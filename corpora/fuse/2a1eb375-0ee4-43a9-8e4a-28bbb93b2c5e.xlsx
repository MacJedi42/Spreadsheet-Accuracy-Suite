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180" yWindow="135" windowWidth="15450" windowHeight="8475" tabRatio="792"/>
  </bookViews>
  <sheets>
    <sheet name="Cover" sheetId="1" r:id="rId1"/>
    <sheet name="Introduction" sheetId="2" r:id="rId2"/>
    <sheet name="INSTRUCTIONS" sheetId="97" r:id="rId3"/>
    <sheet name="1.1a Overall Instit. Profile" sheetId="4" r:id="rId4"/>
    <sheet name="1.1b Administration" sheetId="150" r:id="rId5"/>
    <sheet name="1.2a Institution Profile" sheetId="5" r:id="rId6"/>
    <sheet name="1.2b Institutionial Narrative" sheetId="151" r:id="rId7"/>
    <sheet name="1.3a First Time Students" sheetId="140" r:id="rId8"/>
    <sheet name="1.3b General Student Pop" sheetId="152" r:id="rId9"/>
    <sheet name="1.4 Institution Retention" sheetId="149" r:id="rId10"/>
    <sheet name="1.5 Community Education" sheetId="141" r:id="rId11"/>
    <sheet name="2.1 Student Tuition &amp; Costs" sheetId="10" r:id="rId12"/>
    <sheet name="2.2 Non-Fed Operational Funding" sheetId="154" r:id="rId13"/>
    <sheet name="3.1 Academic Building" sheetId="11" r:id="rId14"/>
    <sheet name="3.2 Library Fac &amp; Res Equipment" sheetId="12" r:id="rId15"/>
    <sheet name="3.3 Research Equipment" sheetId="13" r:id="rId16"/>
    <sheet name="4.1 Majors" sheetId="147" r:id="rId17"/>
    <sheet name="4.2(AC) Major Group Enroll-Grad" sheetId="98" r:id="rId18"/>
    <sheet name="4.2(AG) Major Group Enroll-Grad" sheetId="99" state="hidden" r:id="rId19"/>
    <sheet name="4.2(AL) Major Group Enroll-Grad" sheetId="100" r:id="rId20"/>
    <sheet name="4.2(AS) Major Group Enroll-Grad" sheetId="16" r:id="rId21"/>
    <sheet name="4.2(AR) Major Group Enroll-Grad" sheetId="102" r:id="rId22"/>
    <sheet name="4.2(AU) Major Group Enroll-Grad" sheetId="104" state="hidden" r:id="rId23"/>
    <sheet name="4.2(BI) Major Group Enroll-Grad" sheetId="105" state="hidden" r:id="rId24"/>
    <sheet name="4.2(BT) Major Group Enroll-Grad" sheetId="106" r:id="rId25"/>
    <sheet name="4.2(BU) Major Group Enroll-Grad" sheetId="17" r:id="rId26"/>
    <sheet name="4.2(CH) Major Group Enroll-Grad" sheetId="108" state="hidden" r:id="rId27"/>
    <sheet name="4.2(CS) Major Group Enroll-Grad" sheetId="110" r:id="rId28"/>
    <sheet name="4.2(CT) Major Group Enroll-Grad" sheetId="18" state="hidden" r:id="rId29"/>
    <sheet name="4.2(CL) Major Group Enroll-Grad" sheetId="112" state="hidden" r:id="rId30"/>
    <sheet name="4.2(EA) Major Group Enroll-Grad" sheetId="19" r:id="rId31"/>
    <sheet name="4.2(EO) Major Group Enroll-Grad" sheetId="114" r:id="rId32"/>
    <sheet name="4.2(EN) Major Group Enroll-Grad" sheetId="115" state="hidden" r:id="rId33"/>
    <sheet name="4.2(ES) Major Group Enroll-Grad" sheetId="20" r:id="rId34"/>
    <sheet name="4.2(GE) Major Group Enroll-Grad" sheetId="117" state="hidden" r:id="rId35"/>
    <sheet name="4.2(HC) Major Group Enroll-Grad" sheetId="21" state="hidden" r:id="rId36"/>
    <sheet name="4.2(HI) Major Group Enroll-Grad" sheetId="119" r:id="rId37"/>
    <sheet name="4.2(HS) Major Group Enroll-Grad" sheetId="22" r:id="rId38"/>
    <sheet name="4.2(IP) Major Group Enroll-Grad" sheetId="121" state="hidden" r:id="rId39"/>
    <sheet name="4.2(LA) Major Group Enroll-Grad" sheetId="23" r:id="rId40"/>
    <sheet name="4.2(LS) Major Group Enroll-Grad" sheetId="123" r:id="rId41"/>
    <sheet name="4.2(MA) Major Group Enroll-Grad" sheetId="124" state="hidden" r:id="rId42"/>
    <sheet name="4.2(NS) Major Group Enroll-Grad" sheetId="125" state="hidden" r:id="rId43"/>
    <sheet name="4.2(NU) Major Group Enroll-Grad" sheetId="126" r:id="rId44"/>
    <sheet name="4.2(OA) Major Group Enroll-Grad" sheetId="127" r:id="rId45"/>
    <sheet name="4.2(PA) Major Group Enroll-Grad" sheetId="128" state="hidden" r:id="rId46"/>
    <sheet name="4.2(PE) Major Group Enroll-Grad" sheetId="129" state="hidden" r:id="rId47"/>
    <sheet name="4.2(PV) Major Group Enroll-Grad" sheetId="130" state="hidden" r:id="rId48"/>
    <sheet name="4.2(SC) Major Group Enroll-Grad" sheetId="132" r:id="rId49"/>
    <sheet name="4.2(SS) Major Group Enroll-Grad" sheetId="133" r:id="rId50"/>
    <sheet name="4.2(VC) Major Group Enroll-Grad" sheetId="134" r:id="rId51"/>
    <sheet name="4.2(UK) Major Group Enroll-Grad" sheetId="148" state="hidden" r:id="rId52"/>
    <sheet name="4.2(UN) Major Group Enroll-Grad" sheetId="24" r:id="rId53"/>
    <sheet name="4.2(MS) Major Group Enroll-Grad" sheetId="136" r:id="rId54"/>
    <sheet name="4.2 Major Group Totals" sheetId="44" r:id="rId55"/>
    <sheet name="5.1 Academic Core Curriculum" sheetId="45" r:id="rId56"/>
    <sheet name="5.2 Acad Course Enroll &amp; Comp" sheetId="46" r:id="rId57"/>
    <sheet name="5.3 Vocational Core Curriculum" sheetId="47" r:id="rId58"/>
    <sheet name="5.4 Voc Course Enroll &amp; Comp" sheetId="48" r:id="rId59"/>
    <sheet name="5.5 &amp; 5.6 Remedial-Dev Courses" sheetId="49" r:id="rId60"/>
    <sheet name="5.7 Distance Learning" sheetId="52" r:id="rId61"/>
    <sheet name="6.1 Student Research" sheetId="84" r:id="rId62"/>
    <sheet name="6.2 Student Comm Act" sheetId="143" r:id="rId63"/>
    <sheet name="6.3 TCU Community Partnerships" sheetId="155" r:id="rId64"/>
    <sheet name="7.1 Personnel Demographics" sheetId="77" r:id="rId65"/>
    <sheet name="7.2 Fac Prof Demographics" sheetId="78" r:id="rId66"/>
    <sheet name="7.3 Fac Prof Dev Service" sheetId="79" r:id="rId67"/>
    <sheet name="7.4 Faculty Research" sheetId="80" r:id="rId68"/>
    <sheet name="8.1 Students with Disabilities " sheetId="81" r:id="rId69"/>
    <sheet name="MENU INFO" sheetId="82" r:id="rId70"/>
  </sheets>
  <definedNames>
    <definedName name="_xlnm.Print_Area" localSheetId="3">'1.1a Overall Instit. Profile'!$A$1:$J$41</definedName>
    <definedName name="_xlnm.Print_Area" localSheetId="5">'1.2a Institution Profile'!$A$1:$N$100</definedName>
    <definedName name="_xlnm.Print_Area" localSheetId="7">'1.3a First Time Students'!$A$1:$U$53</definedName>
    <definedName name="_xlnm.Print_Area" localSheetId="8">'1.3b General Student Pop'!$A$1:$J$51</definedName>
    <definedName name="_xlnm.Print_Area" localSheetId="9">'1.4 Institution Retention'!$A$1:$L$42</definedName>
    <definedName name="_xlnm.Print_Area" localSheetId="10">'1.5 Community Education'!$A$1:$F$64</definedName>
    <definedName name="_xlnm.Print_Area" localSheetId="11">'2.1 Student Tuition &amp; Costs'!$A$1:$D$52</definedName>
    <definedName name="_xlnm.Print_Area" localSheetId="13">'3.1 Academic Building'!$A$1:$H$64</definedName>
    <definedName name="_xlnm.Print_Area" localSheetId="14">'3.2 Library Fac &amp; Res Equipment'!$A$1:$L$16</definedName>
    <definedName name="_xlnm.Print_Area" localSheetId="15">'3.3 Research Equipment'!$A$1:$B$88</definedName>
    <definedName name="_xlnm.Print_Area" localSheetId="16">'4.1 Majors'!$A$1:$C$36</definedName>
    <definedName name="_xlnm.Print_Area" localSheetId="54">'4.2 Major Group Totals'!$A$1:$H$34</definedName>
    <definedName name="_xlnm.Print_Area" localSheetId="17">'4.2(AC) Major Group Enroll-Grad'!$A$1:$H$35</definedName>
    <definedName name="_xlnm.Print_Area" localSheetId="18">'4.2(AG) Major Group Enroll-Grad'!$A$1:$H$35</definedName>
    <definedName name="_xlnm.Print_Area" localSheetId="19">'4.2(AL) Major Group Enroll-Grad'!$A$1:$H$35</definedName>
    <definedName name="_xlnm.Print_Area" localSheetId="21">'4.2(AR) Major Group Enroll-Grad'!$A$1:$H$35</definedName>
    <definedName name="_xlnm.Print_Area" localSheetId="20">'4.2(AS) Major Group Enroll-Grad'!$A$1:$H$35</definedName>
    <definedName name="_xlnm.Print_Area" localSheetId="22">'4.2(AU) Major Group Enroll-Grad'!$A$1:$H$35</definedName>
    <definedName name="_xlnm.Print_Area" localSheetId="23">'4.2(BI) Major Group Enroll-Grad'!$A$1:$H$35</definedName>
    <definedName name="_xlnm.Print_Area" localSheetId="24">'4.2(BT) Major Group Enroll-Grad'!$A$1:$H$35</definedName>
    <definedName name="_xlnm.Print_Area" localSheetId="25">'4.2(BU) Major Group Enroll-Grad'!$A$1:$H$35</definedName>
    <definedName name="_xlnm.Print_Area" localSheetId="26">'4.2(CH) Major Group Enroll-Grad'!$A$1:$H$35</definedName>
    <definedName name="_xlnm.Print_Area" localSheetId="29">'4.2(CL) Major Group Enroll-Grad'!$A$1:$H$35</definedName>
    <definedName name="_xlnm.Print_Area" localSheetId="27">'4.2(CS) Major Group Enroll-Grad'!$A$1:$H$35</definedName>
    <definedName name="_xlnm.Print_Area" localSheetId="28">'4.2(CT) Major Group Enroll-Grad'!$A$1:$H$35</definedName>
    <definedName name="_xlnm.Print_Area" localSheetId="30">'4.2(EA) Major Group Enroll-Grad'!$A$1:$H$35</definedName>
    <definedName name="_xlnm.Print_Area" localSheetId="32">'4.2(EN) Major Group Enroll-Grad'!$A$1:$H$35</definedName>
    <definedName name="_xlnm.Print_Area" localSheetId="31">'4.2(EO) Major Group Enroll-Grad'!$A$1:$H$35</definedName>
    <definedName name="_xlnm.Print_Area" localSheetId="33">'4.2(ES) Major Group Enroll-Grad'!$A$1:$H$35</definedName>
    <definedName name="_xlnm.Print_Area" localSheetId="34">'4.2(GE) Major Group Enroll-Grad'!$A$1:$H$35</definedName>
    <definedName name="_xlnm.Print_Area" localSheetId="35">'4.2(HC) Major Group Enroll-Grad'!$A$1:$H$35</definedName>
    <definedName name="_xlnm.Print_Area" localSheetId="36">'4.2(HI) Major Group Enroll-Grad'!$A$1:$H$35</definedName>
    <definedName name="_xlnm.Print_Area" localSheetId="37">'4.2(HS) Major Group Enroll-Grad'!$A$1:$H$35</definedName>
    <definedName name="_xlnm.Print_Area" localSheetId="38">'4.2(IP) Major Group Enroll-Grad'!$A$1:$H$35</definedName>
    <definedName name="_xlnm.Print_Area" localSheetId="39">'4.2(LA) Major Group Enroll-Grad'!$A$1:$H$35</definedName>
    <definedName name="_xlnm.Print_Area" localSheetId="40">'4.2(LS) Major Group Enroll-Grad'!$A$1:$H$35</definedName>
    <definedName name="_xlnm.Print_Area" localSheetId="41">'4.2(MA) Major Group Enroll-Grad'!$A$1:$H$35</definedName>
    <definedName name="_xlnm.Print_Area" localSheetId="53">'4.2(MS) Major Group Enroll-Grad'!$A$1:$H$35</definedName>
    <definedName name="_xlnm.Print_Area" localSheetId="42">'4.2(NS) Major Group Enroll-Grad'!$A$1:$H$35</definedName>
    <definedName name="_xlnm.Print_Area" localSheetId="43">'4.2(NU) Major Group Enroll-Grad'!$A$1:$H$35</definedName>
    <definedName name="_xlnm.Print_Area" localSheetId="44">'4.2(OA) Major Group Enroll-Grad'!$A$1:$H$35</definedName>
    <definedName name="_xlnm.Print_Area" localSheetId="45">'4.2(PA) Major Group Enroll-Grad'!$A$1:$H$35</definedName>
    <definedName name="_xlnm.Print_Area" localSheetId="46">'4.2(PE) Major Group Enroll-Grad'!$A$1:$H$35</definedName>
    <definedName name="_xlnm.Print_Area" localSheetId="47">'4.2(PV) Major Group Enroll-Grad'!$A$1:$H$35</definedName>
    <definedName name="_xlnm.Print_Area" localSheetId="48">'4.2(SC) Major Group Enroll-Grad'!$A$1:$H$35</definedName>
    <definedName name="_xlnm.Print_Area" localSheetId="49">'4.2(SS) Major Group Enroll-Grad'!$A$1:$H$35</definedName>
    <definedName name="_xlnm.Print_Area" localSheetId="51">'4.2(UK) Major Group Enroll-Grad'!$A$1:$H$35</definedName>
    <definedName name="_xlnm.Print_Area" localSheetId="52">'4.2(UN) Major Group Enroll-Grad'!$A$1:$H$35</definedName>
    <definedName name="_xlnm.Print_Area" localSheetId="50">'4.2(VC) Major Group Enroll-Grad'!$A$1:$H$35</definedName>
    <definedName name="_xlnm.Print_Area" localSheetId="55">'5.1 Academic Core Curriculum'!$A$1:$D$18</definedName>
    <definedName name="_xlnm.Print_Area" localSheetId="56">'5.2 Acad Course Enroll &amp; Comp'!$A$1:$R$45</definedName>
    <definedName name="_xlnm.Print_Area" localSheetId="57">'5.3 Vocational Core Curriculum'!$A$1:$D$18</definedName>
    <definedName name="_xlnm.Print_Area" localSheetId="58">'5.4 Voc Course Enroll &amp; Comp'!$A$1:$R$45</definedName>
    <definedName name="_xlnm.Print_Area" localSheetId="59">'5.5 &amp; 5.6 Remedial-Dev Courses'!$A$1:$R$31</definedName>
    <definedName name="_xlnm.Print_Area" localSheetId="60">'5.7 Distance Learning'!$A$1:$F$69</definedName>
    <definedName name="_xlnm.Print_Area" localSheetId="61">'6.1 Student Research'!$A$1:$C$41</definedName>
    <definedName name="_xlnm.Print_Area" localSheetId="62">'6.2 Student Comm Act'!$A$1:$D$22</definedName>
    <definedName name="_xlnm.Print_Area" localSheetId="63">'6.3 TCU Community Partnerships'!$A$1:$D$19</definedName>
    <definedName name="_xlnm.Print_Area" localSheetId="64">'7.1 Personnel Demographics'!$A$1:$F$35</definedName>
    <definedName name="_xlnm.Print_Area" localSheetId="65">'7.2 Fac Prof Demographics'!$A$1:$G$126</definedName>
    <definedName name="_xlnm.Print_Area" localSheetId="66">'7.3 Fac Prof Dev Service'!$A$1:$D$21</definedName>
    <definedName name="_xlnm.Print_Area" localSheetId="67">'7.4 Faculty Research'!$A$1:$D$34</definedName>
    <definedName name="_xlnm.Print_Area" localSheetId="68">'8.1 Students with Disabilities '!$A$1:$I$34</definedName>
    <definedName name="_xlnm.Print_Area" localSheetId="0">Cover!$A$1:$M$46</definedName>
    <definedName name="_xlnm.Print_Area" localSheetId="2">INSTRUCTIONS!$A$1:$N$41</definedName>
    <definedName name="_xlnm.Print_Area" localSheetId="1">Introduction!$A$1:$K$33</definedName>
    <definedName name="_xlnm.Print_Area" localSheetId="69">'MENU INFO'!$A$1:$R$44</definedName>
  </definedNames>
  <calcPr calcId="145621"/>
  <fileRecoveryPr autoRecover="0"/>
</workbook>
</file>

<file path=xl/calcChain.xml><?xml version="1.0" encoding="utf-8"?>
<calcChain xmlns="http://schemas.openxmlformats.org/spreadsheetml/2006/main">
  <c r="J35" i="149" l="1"/>
  <c r="J36" i="149"/>
  <c r="A41" i="46"/>
  <c r="K36" i="149"/>
  <c r="K35" i="149"/>
  <c r="G26" i="5"/>
  <c r="I26" i="5"/>
  <c r="D15" i="44"/>
  <c r="E15" i="44"/>
  <c r="F15" i="44"/>
  <c r="G15" i="44"/>
  <c r="D16" i="44"/>
  <c r="E16" i="44"/>
  <c r="F16" i="44"/>
  <c r="G16" i="44"/>
  <c r="D17" i="44"/>
  <c r="H17" i="44" s="1"/>
  <c r="E17" i="44"/>
  <c r="F17" i="44"/>
  <c r="G17" i="44"/>
  <c r="D18" i="44"/>
  <c r="E18" i="44"/>
  <c r="F18" i="44"/>
  <c r="G18" i="44"/>
  <c r="D19" i="44"/>
  <c r="E19" i="44"/>
  <c r="F19" i="44"/>
  <c r="G19" i="44"/>
  <c r="D20" i="44"/>
  <c r="E20" i="44"/>
  <c r="F20" i="44"/>
  <c r="G20" i="44"/>
  <c r="D21" i="44"/>
  <c r="E21" i="44"/>
  <c r="F21" i="44"/>
  <c r="G21" i="44"/>
  <c r="D22" i="44"/>
  <c r="E22" i="44"/>
  <c r="F22" i="44"/>
  <c r="G22" i="44"/>
  <c r="D23" i="44"/>
  <c r="E23" i="44"/>
  <c r="F23" i="44"/>
  <c r="G23" i="44"/>
  <c r="D24" i="44"/>
  <c r="E24" i="44"/>
  <c r="F24" i="44"/>
  <c r="G24" i="44"/>
  <c r="D25" i="44"/>
  <c r="E25" i="44"/>
  <c r="F25" i="44"/>
  <c r="G25" i="44"/>
  <c r="D26" i="44"/>
  <c r="E26" i="44"/>
  <c r="F26" i="44"/>
  <c r="G26" i="44"/>
  <c r="D27" i="44"/>
  <c r="E27" i="44"/>
  <c r="F27" i="44"/>
  <c r="G27" i="44"/>
  <c r="D28" i="44"/>
  <c r="E28" i="44"/>
  <c r="F28" i="44"/>
  <c r="G28" i="44"/>
  <c r="H29" i="136"/>
  <c r="H28" i="136"/>
  <c r="H27" i="136"/>
  <c r="H26" i="136"/>
  <c r="H25" i="136"/>
  <c r="H24" i="136"/>
  <c r="H23" i="136"/>
  <c r="H22" i="136"/>
  <c r="H21" i="136"/>
  <c r="H20" i="136"/>
  <c r="H19" i="136"/>
  <c r="H18" i="136"/>
  <c r="H17" i="136"/>
  <c r="H16" i="136"/>
  <c r="G11" i="136"/>
  <c r="F11" i="136"/>
  <c r="E11" i="136"/>
  <c r="D11" i="136"/>
  <c r="H11" i="136" s="1"/>
  <c r="H10" i="136"/>
  <c r="H9" i="136"/>
  <c r="H29" i="24"/>
  <c r="H28" i="24"/>
  <c r="H27" i="24"/>
  <c r="H26" i="24"/>
  <c r="H25" i="24"/>
  <c r="H24" i="24"/>
  <c r="H23" i="24"/>
  <c r="H22" i="24"/>
  <c r="H21" i="24"/>
  <c r="H20" i="24"/>
  <c r="H19" i="24"/>
  <c r="H18" i="24"/>
  <c r="H17" i="24"/>
  <c r="H16" i="24"/>
  <c r="G11" i="24"/>
  <c r="F11" i="24"/>
  <c r="E11" i="24"/>
  <c r="D11" i="24"/>
  <c r="H11" i="24"/>
  <c r="H10" i="24"/>
  <c r="H9" i="24"/>
  <c r="H29" i="148"/>
  <c r="H28" i="148"/>
  <c r="H27" i="148"/>
  <c r="H26" i="148"/>
  <c r="H25" i="148"/>
  <c r="H24" i="148"/>
  <c r="H23" i="148"/>
  <c r="H22" i="148"/>
  <c r="H21" i="148"/>
  <c r="H20" i="148"/>
  <c r="H19" i="148"/>
  <c r="H18" i="148"/>
  <c r="H17" i="148"/>
  <c r="H16" i="148"/>
  <c r="G11" i="148"/>
  <c r="F11" i="148"/>
  <c r="E11" i="148"/>
  <c r="D11" i="148"/>
  <c r="H11" i="148" s="1"/>
  <c r="H10" i="148"/>
  <c r="H9" i="148"/>
  <c r="H29" i="99"/>
  <c r="H28" i="99"/>
  <c r="H27" i="99"/>
  <c r="H26" i="99"/>
  <c r="H25" i="99"/>
  <c r="H24" i="99"/>
  <c r="H23" i="99"/>
  <c r="H22" i="99"/>
  <c r="H21" i="99"/>
  <c r="H20" i="99"/>
  <c r="H19" i="99"/>
  <c r="H18" i="99"/>
  <c r="H17" i="99"/>
  <c r="H16" i="99"/>
  <c r="G11" i="99"/>
  <c r="F11" i="99"/>
  <c r="E11" i="99"/>
  <c r="D11" i="99"/>
  <c r="H11" i="99"/>
  <c r="H10" i="99"/>
  <c r="H9" i="99"/>
  <c r="H29" i="16"/>
  <c r="H28" i="16"/>
  <c r="H27" i="16"/>
  <c r="H26" i="16"/>
  <c r="H25" i="16"/>
  <c r="H24" i="16"/>
  <c r="H23" i="16"/>
  <c r="H22" i="16"/>
  <c r="H21" i="16"/>
  <c r="H20" i="16"/>
  <c r="H19" i="16"/>
  <c r="H18" i="16"/>
  <c r="H17" i="16"/>
  <c r="H16" i="16"/>
  <c r="G11" i="16"/>
  <c r="F11" i="16"/>
  <c r="E11" i="16"/>
  <c r="D11" i="16"/>
  <c r="H10" i="16"/>
  <c r="H9" i="16"/>
  <c r="H29" i="102"/>
  <c r="H28" i="102"/>
  <c r="H27" i="102"/>
  <c r="H26" i="102"/>
  <c r="H25" i="102"/>
  <c r="H24" i="102"/>
  <c r="H23" i="102"/>
  <c r="H22" i="102"/>
  <c r="H21" i="102"/>
  <c r="H20" i="102"/>
  <c r="H19" i="102"/>
  <c r="H18" i="102"/>
  <c r="H17" i="102"/>
  <c r="H16" i="102"/>
  <c r="G11" i="102"/>
  <c r="F11" i="102"/>
  <c r="E11" i="102"/>
  <c r="D11" i="102"/>
  <c r="H10" i="102"/>
  <c r="H9" i="102"/>
  <c r="H29" i="104"/>
  <c r="H28" i="104"/>
  <c r="H27" i="104"/>
  <c r="H26" i="104"/>
  <c r="H25" i="104"/>
  <c r="H24" i="104"/>
  <c r="H23" i="104"/>
  <c r="H22" i="104"/>
  <c r="H21" i="104"/>
  <c r="H20" i="104"/>
  <c r="H19" i="104"/>
  <c r="H18" i="104"/>
  <c r="H17" i="104"/>
  <c r="H16" i="104"/>
  <c r="G11" i="104"/>
  <c r="F11" i="104"/>
  <c r="E11" i="104"/>
  <c r="D11" i="104"/>
  <c r="H11" i="104"/>
  <c r="H10" i="104"/>
  <c r="H9" i="104"/>
  <c r="H29" i="105"/>
  <c r="H28" i="105"/>
  <c r="H27" i="105"/>
  <c r="H26" i="105"/>
  <c r="H25" i="105"/>
  <c r="H24" i="105"/>
  <c r="H23" i="105"/>
  <c r="H22" i="105"/>
  <c r="H21" i="105"/>
  <c r="H20" i="105"/>
  <c r="H19" i="105"/>
  <c r="H18" i="105"/>
  <c r="H17" i="105"/>
  <c r="H16" i="105"/>
  <c r="G11" i="105"/>
  <c r="F11" i="105"/>
  <c r="E11" i="105"/>
  <c r="D11" i="105"/>
  <c r="H11" i="105" s="1"/>
  <c r="H10" i="105"/>
  <c r="H9" i="105"/>
  <c r="H29" i="106"/>
  <c r="H28" i="106"/>
  <c r="H27" i="106"/>
  <c r="H26" i="106"/>
  <c r="H25" i="106"/>
  <c r="H24" i="106"/>
  <c r="H23" i="106"/>
  <c r="H22" i="106"/>
  <c r="H21" i="106"/>
  <c r="H20" i="106"/>
  <c r="H19" i="106"/>
  <c r="H18" i="106"/>
  <c r="H17" i="106"/>
  <c r="H16" i="106"/>
  <c r="G11" i="106"/>
  <c r="F11" i="106"/>
  <c r="E11" i="106"/>
  <c r="D11" i="106"/>
  <c r="H10" i="106"/>
  <c r="H9" i="106"/>
  <c r="H29" i="17"/>
  <c r="H28" i="17"/>
  <c r="H27" i="17"/>
  <c r="H26" i="17"/>
  <c r="H25" i="17"/>
  <c r="H24" i="17"/>
  <c r="H23" i="17"/>
  <c r="H22" i="17"/>
  <c r="H21" i="17"/>
  <c r="H20" i="17"/>
  <c r="H19" i="17"/>
  <c r="H18" i="17"/>
  <c r="H17" i="17"/>
  <c r="H16" i="17"/>
  <c r="G11" i="17"/>
  <c r="F11" i="17"/>
  <c r="E11" i="17"/>
  <c r="D11" i="17"/>
  <c r="H10" i="17"/>
  <c r="H9" i="17"/>
  <c r="H29" i="108"/>
  <c r="H28" i="108"/>
  <c r="H27" i="108"/>
  <c r="H26" i="108"/>
  <c r="H25" i="108"/>
  <c r="H24" i="108"/>
  <c r="H23" i="108"/>
  <c r="H22" i="108"/>
  <c r="H21" i="108"/>
  <c r="H20" i="108"/>
  <c r="H19" i="108"/>
  <c r="H18" i="108"/>
  <c r="H17" i="108"/>
  <c r="H16" i="108"/>
  <c r="G11" i="108"/>
  <c r="F11" i="108"/>
  <c r="E11" i="108"/>
  <c r="D11" i="108"/>
  <c r="H11" i="108" s="1"/>
  <c r="H10" i="108"/>
  <c r="H9" i="108"/>
  <c r="H29" i="110"/>
  <c r="H28" i="110"/>
  <c r="H27" i="110"/>
  <c r="H26" i="110"/>
  <c r="H25" i="110"/>
  <c r="H24" i="110"/>
  <c r="H23" i="110"/>
  <c r="H22" i="110"/>
  <c r="H21" i="110"/>
  <c r="H20" i="110"/>
  <c r="H19" i="110"/>
  <c r="H18" i="110"/>
  <c r="H17" i="110"/>
  <c r="H16" i="110"/>
  <c r="G11" i="110"/>
  <c r="F11" i="110"/>
  <c r="E11" i="110"/>
  <c r="D11" i="110"/>
  <c r="H11" i="110"/>
  <c r="H10" i="110"/>
  <c r="H9" i="110"/>
  <c r="H29" i="18"/>
  <c r="H28" i="18"/>
  <c r="H27" i="18"/>
  <c r="H26" i="18"/>
  <c r="H25" i="18"/>
  <c r="H24" i="18"/>
  <c r="H23" i="18"/>
  <c r="H22" i="18"/>
  <c r="H21" i="18"/>
  <c r="H20" i="18"/>
  <c r="H19" i="18"/>
  <c r="H18" i="18"/>
  <c r="H17" i="18"/>
  <c r="H16" i="18"/>
  <c r="G11" i="18"/>
  <c r="F11" i="18"/>
  <c r="E11" i="18"/>
  <c r="D11" i="18"/>
  <c r="H11" i="18" s="1"/>
  <c r="H10" i="18"/>
  <c r="H9" i="18"/>
  <c r="H29" i="112"/>
  <c r="H28" i="112"/>
  <c r="H27" i="112"/>
  <c r="H26" i="112"/>
  <c r="H25" i="112"/>
  <c r="H24" i="112"/>
  <c r="H23" i="112"/>
  <c r="H22" i="112"/>
  <c r="H21" i="112"/>
  <c r="H20" i="112"/>
  <c r="H19" i="112"/>
  <c r="H18" i="112"/>
  <c r="H17" i="112"/>
  <c r="H16" i="112"/>
  <c r="G11" i="112"/>
  <c r="F11" i="112"/>
  <c r="E11" i="112"/>
  <c r="D11" i="112"/>
  <c r="H11" i="112" s="1"/>
  <c r="H10" i="112"/>
  <c r="H9" i="112"/>
  <c r="H29" i="19"/>
  <c r="H28" i="19"/>
  <c r="H27" i="19"/>
  <c r="H26" i="19"/>
  <c r="H25" i="19"/>
  <c r="H24" i="19"/>
  <c r="H23" i="19"/>
  <c r="H22" i="19"/>
  <c r="H21" i="19"/>
  <c r="H20" i="19"/>
  <c r="H19" i="19"/>
  <c r="H18" i="19"/>
  <c r="H17" i="19"/>
  <c r="H16" i="19"/>
  <c r="G11" i="19"/>
  <c r="F11" i="19"/>
  <c r="E11" i="19"/>
  <c r="D11" i="19"/>
  <c r="H10" i="19"/>
  <c r="H9" i="19"/>
  <c r="H29" i="114"/>
  <c r="H28" i="114"/>
  <c r="H27" i="114"/>
  <c r="H26" i="114"/>
  <c r="H25" i="114"/>
  <c r="H24" i="114"/>
  <c r="H23" i="114"/>
  <c r="H22" i="114"/>
  <c r="H21" i="114"/>
  <c r="H20" i="114"/>
  <c r="H19" i="114"/>
  <c r="H18" i="114"/>
  <c r="H17" i="114"/>
  <c r="H16" i="114"/>
  <c r="G11" i="114"/>
  <c r="F11" i="114"/>
  <c r="E11" i="114"/>
  <c r="H11" i="114" s="1"/>
  <c r="D11" i="114"/>
  <c r="H10" i="114"/>
  <c r="H9" i="114"/>
  <c r="H29" i="115"/>
  <c r="H28" i="115"/>
  <c r="H27" i="115"/>
  <c r="H26" i="115"/>
  <c r="H25" i="115"/>
  <c r="H24" i="115"/>
  <c r="H23" i="115"/>
  <c r="H22" i="115"/>
  <c r="H21" i="115"/>
  <c r="H20" i="115"/>
  <c r="H19" i="115"/>
  <c r="H18" i="115"/>
  <c r="H17" i="115"/>
  <c r="H16" i="115"/>
  <c r="G11" i="115"/>
  <c r="F11" i="115"/>
  <c r="E11" i="115"/>
  <c r="D11" i="115"/>
  <c r="H11" i="115"/>
  <c r="H10" i="115"/>
  <c r="H9" i="115"/>
  <c r="H29" i="20"/>
  <c r="H28" i="20"/>
  <c r="H27" i="20"/>
  <c r="H26" i="20"/>
  <c r="H25" i="20"/>
  <c r="H24" i="20"/>
  <c r="H23" i="20"/>
  <c r="H22" i="20"/>
  <c r="H21" i="20"/>
  <c r="H20" i="20"/>
  <c r="H19" i="20"/>
  <c r="H18" i="20"/>
  <c r="H17" i="20"/>
  <c r="H16" i="20"/>
  <c r="G11" i="20"/>
  <c r="F11" i="20"/>
  <c r="E11" i="20"/>
  <c r="D11" i="20"/>
  <c r="H11" i="20" s="1"/>
  <c r="H10" i="20"/>
  <c r="H9" i="20"/>
  <c r="H29" i="117"/>
  <c r="H28" i="117"/>
  <c r="H27" i="117"/>
  <c r="H26" i="117"/>
  <c r="H25" i="117"/>
  <c r="H24" i="117"/>
  <c r="H23" i="117"/>
  <c r="H22" i="117"/>
  <c r="H21" i="117"/>
  <c r="H20" i="117"/>
  <c r="H19" i="117"/>
  <c r="H18" i="117"/>
  <c r="H17" i="117"/>
  <c r="H16" i="117"/>
  <c r="G11" i="117"/>
  <c r="F11" i="117"/>
  <c r="E11" i="117"/>
  <c r="D11" i="117"/>
  <c r="H11" i="117"/>
  <c r="H10" i="117"/>
  <c r="H9" i="117"/>
  <c r="H29" i="21"/>
  <c r="H28" i="21"/>
  <c r="H27" i="21"/>
  <c r="H26" i="21"/>
  <c r="H25" i="21"/>
  <c r="H24" i="21"/>
  <c r="H23" i="21"/>
  <c r="H22" i="21"/>
  <c r="H21" i="21"/>
  <c r="H20" i="21"/>
  <c r="H19" i="21"/>
  <c r="H18" i="21"/>
  <c r="H17" i="21"/>
  <c r="H16" i="21"/>
  <c r="G11" i="21"/>
  <c r="F11" i="21"/>
  <c r="E11" i="21"/>
  <c r="D11" i="21"/>
  <c r="H11" i="21" s="1"/>
  <c r="H10" i="21"/>
  <c r="H9" i="21"/>
  <c r="H29" i="119"/>
  <c r="H28" i="119"/>
  <c r="H27" i="119"/>
  <c r="H26" i="119"/>
  <c r="H25" i="119"/>
  <c r="H24" i="119"/>
  <c r="H23" i="119"/>
  <c r="H22" i="119"/>
  <c r="H21" i="119"/>
  <c r="H20" i="119"/>
  <c r="H19" i="119"/>
  <c r="H18" i="119"/>
  <c r="H17" i="119"/>
  <c r="H16" i="119"/>
  <c r="G11" i="119"/>
  <c r="F11" i="119"/>
  <c r="H11" i="119" s="1"/>
  <c r="E11" i="119"/>
  <c r="D11" i="119"/>
  <c r="H10" i="119"/>
  <c r="H9" i="119"/>
  <c r="H29" i="22"/>
  <c r="H28" i="22"/>
  <c r="H27" i="22"/>
  <c r="H26" i="22"/>
  <c r="H25" i="22"/>
  <c r="H24" i="22"/>
  <c r="H23" i="22"/>
  <c r="H22" i="22"/>
  <c r="H21" i="22"/>
  <c r="H20" i="22"/>
  <c r="H19" i="22"/>
  <c r="H18" i="22"/>
  <c r="H17" i="22"/>
  <c r="H16" i="22"/>
  <c r="G11" i="22"/>
  <c r="F11" i="22"/>
  <c r="E11" i="22"/>
  <c r="D11" i="22"/>
  <c r="H11" i="22" s="1"/>
  <c r="H10" i="22"/>
  <c r="H9" i="22"/>
  <c r="H29" i="121"/>
  <c r="H28" i="121"/>
  <c r="H27" i="121"/>
  <c r="H26" i="121"/>
  <c r="H25" i="121"/>
  <c r="H24" i="121"/>
  <c r="H23" i="121"/>
  <c r="H22" i="121"/>
  <c r="H21" i="121"/>
  <c r="H20" i="121"/>
  <c r="H19" i="121"/>
  <c r="H18" i="121"/>
  <c r="H17" i="121"/>
  <c r="H16" i="121"/>
  <c r="G11" i="121"/>
  <c r="F11" i="121"/>
  <c r="E11" i="121"/>
  <c r="D11" i="121"/>
  <c r="H11" i="121"/>
  <c r="H10" i="121"/>
  <c r="H9" i="121"/>
  <c r="H29" i="23"/>
  <c r="H28" i="23"/>
  <c r="H27" i="23"/>
  <c r="H26" i="23"/>
  <c r="H25" i="23"/>
  <c r="H24" i="23"/>
  <c r="H23" i="23"/>
  <c r="H22" i="23"/>
  <c r="H21" i="23"/>
  <c r="H20" i="23"/>
  <c r="H19" i="23"/>
  <c r="H18" i="23"/>
  <c r="H17" i="23"/>
  <c r="H16" i="23"/>
  <c r="G11" i="23"/>
  <c r="F11" i="23"/>
  <c r="E11" i="23"/>
  <c r="D11" i="23"/>
  <c r="H10" i="23"/>
  <c r="H9" i="23"/>
  <c r="H29" i="123"/>
  <c r="H28" i="123"/>
  <c r="H27" i="123"/>
  <c r="H26" i="123"/>
  <c r="H25" i="123"/>
  <c r="H24" i="123"/>
  <c r="H23" i="123"/>
  <c r="H22" i="123"/>
  <c r="H21" i="123"/>
  <c r="H20" i="123"/>
  <c r="H19" i="123"/>
  <c r="H18" i="123"/>
  <c r="H17" i="123"/>
  <c r="H16" i="123"/>
  <c r="G11" i="123"/>
  <c r="F11" i="123"/>
  <c r="E11" i="123"/>
  <c r="D11" i="123"/>
  <c r="H11" i="123" s="1"/>
  <c r="H10" i="123"/>
  <c r="H9" i="123"/>
  <c r="H29" i="124"/>
  <c r="H28" i="124"/>
  <c r="H27" i="124"/>
  <c r="H26" i="124"/>
  <c r="H25" i="124"/>
  <c r="H24" i="124"/>
  <c r="H23" i="124"/>
  <c r="H22" i="124"/>
  <c r="H21" i="124"/>
  <c r="H20" i="124"/>
  <c r="H19" i="124"/>
  <c r="H18" i="124"/>
  <c r="H17" i="124"/>
  <c r="H16" i="124"/>
  <c r="G11" i="124"/>
  <c r="F11" i="124"/>
  <c r="E11" i="124"/>
  <c r="D11" i="124"/>
  <c r="H11" i="124"/>
  <c r="H10" i="124"/>
  <c r="H9" i="124"/>
  <c r="H29" i="125"/>
  <c r="H28" i="125"/>
  <c r="H27" i="125"/>
  <c r="H26" i="125"/>
  <c r="H25" i="125"/>
  <c r="H24" i="125"/>
  <c r="H23" i="125"/>
  <c r="H22" i="125"/>
  <c r="H21" i="125"/>
  <c r="H20" i="125"/>
  <c r="H19" i="125"/>
  <c r="H18" i="125"/>
  <c r="H17" i="125"/>
  <c r="H16" i="125"/>
  <c r="G11" i="125"/>
  <c r="F11" i="125"/>
  <c r="E11" i="125"/>
  <c r="D11" i="125"/>
  <c r="H11" i="125" s="1"/>
  <c r="H10" i="125"/>
  <c r="H9" i="125"/>
  <c r="H29" i="126"/>
  <c r="H28" i="126"/>
  <c r="H27" i="126"/>
  <c r="H26" i="126"/>
  <c r="H25" i="126"/>
  <c r="H24" i="126"/>
  <c r="H23" i="126"/>
  <c r="H22" i="126"/>
  <c r="H21" i="126"/>
  <c r="H20" i="126"/>
  <c r="H19" i="126"/>
  <c r="H18" i="126"/>
  <c r="H17" i="126"/>
  <c r="H16" i="126"/>
  <c r="G11" i="126"/>
  <c r="F11" i="126"/>
  <c r="E11" i="126"/>
  <c r="D11" i="126"/>
  <c r="H11" i="126"/>
  <c r="H10" i="126"/>
  <c r="H9" i="126"/>
  <c r="H29" i="127"/>
  <c r="H28" i="127"/>
  <c r="H27" i="127"/>
  <c r="H26" i="127"/>
  <c r="H25" i="127"/>
  <c r="H24" i="127"/>
  <c r="H23" i="127"/>
  <c r="H22" i="127"/>
  <c r="H21" i="127"/>
  <c r="H20" i="127"/>
  <c r="H19" i="127"/>
  <c r="H18" i="127"/>
  <c r="H17" i="127"/>
  <c r="H16" i="127"/>
  <c r="G11" i="127"/>
  <c r="F11" i="127"/>
  <c r="E11" i="127"/>
  <c r="D11" i="127"/>
  <c r="H10" i="127"/>
  <c r="H9" i="127"/>
  <c r="H29" i="128"/>
  <c r="H28" i="128"/>
  <c r="H27" i="128"/>
  <c r="H26" i="128"/>
  <c r="H25" i="128"/>
  <c r="H24" i="128"/>
  <c r="H23" i="128"/>
  <c r="H22" i="128"/>
  <c r="H21" i="128"/>
  <c r="H20" i="128"/>
  <c r="H19" i="128"/>
  <c r="H18" i="128"/>
  <c r="H17" i="128"/>
  <c r="H16" i="128"/>
  <c r="G11" i="128"/>
  <c r="F11" i="128"/>
  <c r="E11" i="128"/>
  <c r="D11" i="128"/>
  <c r="H11" i="128" s="1"/>
  <c r="H10" i="128"/>
  <c r="H9" i="128"/>
  <c r="H29" i="129"/>
  <c r="H28" i="129"/>
  <c r="H27" i="129"/>
  <c r="H26" i="129"/>
  <c r="H25" i="129"/>
  <c r="H24" i="129"/>
  <c r="H23" i="129"/>
  <c r="H22" i="129"/>
  <c r="H21" i="129"/>
  <c r="H20" i="129"/>
  <c r="H19" i="129"/>
  <c r="H18" i="129"/>
  <c r="H17" i="129"/>
  <c r="H16" i="129"/>
  <c r="G11" i="129"/>
  <c r="F11" i="129"/>
  <c r="E11" i="129"/>
  <c r="D11" i="129"/>
  <c r="H11" i="129"/>
  <c r="H10" i="129"/>
  <c r="H9" i="129"/>
  <c r="H29" i="130"/>
  <c r="H28" i="130"/>
  <c r="H27" i="130"/>
  <c r="H26" i="130"/>
  <c r="H25" i="130"/>
  <c r="H24" i="130"/>
  <c r="H23" i="130"/>
  <c r="H22" i="130"/>
  <c r="H21" i="130"/>
  <c r="H20" i="130"/>
  <c r="H19" i="130"/>
  <c r="H18" i="130"/>
  <c r="H17" i="130"/>
  <c r="H16" i="130"/>
  <c r="G11" i="130"/>
  <c r="F11" i="130"/>
  <c r="E11" i="130"/>
  <c r="D11" i="130"/>
  <c r="H11" i="130" s="1"/>
  <c r="H10" i="130"/>
  <c r="H9" i="130"/>
  <c r="H29" i="132"/>
  <c r="H28" i="132"/>
  <c r="H27" i="132"/>
  <c r="H26" i="132"/>
  <c r="H25" i="132"/>
  <c r="H24" i="132"/>
  <c r="H23" i="132"/>
  <c r="H22" i="132"/>
  <c r="H21" i="132"/>
  <c r="H20" i="132"/>
  <c r="H19" i="132"/>
  <c r="H18" i="132"/>
  <c r="H17" i="132"/>
  <c r="H16" i="132"/>
  <c r="G11" i="132"/>
  <c r="F11" i="132"/>
  <c r="E11" i="132"/>
  <c r="D11" i="132"/>
  <c r="H10" i="132"/>
  <c r="H9" i="132"/>
  <c r="H29" i="133"/>
  <c r="H28" i="133"/>
  <c r="H27" i="133"/>
  <c r="H26" i="133"/>
  <c r="H25" i="133"/>
  <c r="H24" i="133"/>
  <c r="H23" i="133"/>
  <c r="H22" i="133"/>
  <c r="H21" i="133"/>
  <c r="H20" i="133"/>
  <c r="H19" i="133"/>
  <c r="H18" i="133"/>
  <c r="H17" i="133"/>
  <c r="H16" i="133"/>
  <c r="G11" i="133"/>
  <c r="F11" i="133"/>
  <c r="E11" i="133"/>
  <c r="H11" i="133" s="1"/>
  <c r="D11" i="133"/>
  <c r="H10" i="133"/>
  <c r="H9" i="133"/>
  <c r="H29" i="134"/>
  <c r="H28" i="134"/>
  <c r="H27" i="134"/>
  <c r="H26" i="134"/>
  <c r="H25" i="134"/>
  <c r="H24" i="134"/>
  <c r="H23" i="134"/>
  <c r="H22" i="134"/>
  <c r="H21" i="134"/>
  <c r="H20" i="134"/>
  <c r="H19" i="134"/>
  <c r="H18" i="134"/>
  <c r="H17" i="134"/>
  <c r="H16" i="134"/>
  <c r="G11" i="134"/>
  <c r="H11" i="134" s="1"/>
  <c r="F11" i="134"/>
  <c r="E11" i="134"/>
  <c r="D11" i="134"/>
  <c r="H10" i="134"/>
  <c r="H9" i="134"/>
  <c r="H29" i="98"/>
  <c r="H28" i="98"/>
  <c r="H27" i="98"/>
  <c r="H26" i="98"/>
  <c r="H25" i="98"/>
  <c r="H24" i="98"/>
  <c r="H23" i="98"/>
  <c r="H22" i="98"/>
  <c r="H21" i="98"/>
  <c r="H20" i="98"/>
  <c r="H19" i="98"/>
  <c r="H18" i="98"/>
  <c r="H17" i="98"/>
  <c r="H16" i="98"/>
  <c r="G11" i="98"/>
  <c r="H11" i="98" s="1"/>
  <c r="F11" i="98"/>
  <c r="E11" i="98"/>
  <c r="D11" i="98"/>
  <c r="H10" i="98"/>
  <c r="H9" i="98"/>
  <c r="H11" i="127"/>
  <c r="H11" i="23"/>
  <c r="H11" i="19"/>
  <c r="H11" i="17"/>
  <c r="H25" i="44"/>
  <c r="H37" i="149"/>
  <c r="D37" i="149"/>
  <c r="G39" i="78"/>
  <c r="F38" i="78"/>
  <c r="E38" i="78"/>
  <c r="D38" i="78"/>
  <c r="C38" i="78"/>
  <c r="G37" i="78"/>
  <c r="G36" i="78"/>
  <c r="G35" i="78"/>
  <c r="G34" i="78"/>
  <c r="G33" i="78"/>
  <c r="G32" i="78"/>
  <c r="G111" i="78"/>
  <c r="G99" i="78"/>
  <c r="G87" i="78"/>
  <c r="G75" i="78"/>
  <c r="G63" i="78"/>
  <c r="G51" i="78"/>
  <c r="G27" i="78"/>
  <c r="G15" i="78"/>
  <c r="G92" i="78"/>
  <c r="G93" i="78"/>
  <c r="G94" i="78"/>
  <c r="G95" i="78"/>
  <c r="G96" i="78"/>
  <c r="G97" i="78"/>
  <c r="C98" i="78"/>
  <c r="D98" i="78"/>
  <c r="E98" i="78"/>
  <c r="F98" i="78"/>
  <c r="G104" i="78"/>
  <c r="G105" i="78"/>
  <c r="G106" i="78"/>
  <c r="G107" i="78"/>
  <c r="G108" i="78"/>
  <c r="G109" i="78"/>
  <c r="C110" i="78"/>
  <c r="D110" i="78"/>
  <c r="E110" i="78"/>
  <c r="F110" i="78"/>
  <c r="F86" i="78"/>
  <c r="E86" i="78"/>
  <c r="D86" i="78"/>
  <c r="C86" i="78"/>
  <c r="G85" i="78"/>
  <c r="G84" i="78"/>
  <c r="G83" i="78"/>
  <c r="G82" i="78"/>
  <c r="G81" i="78"/>
  <c r="G80" i="78"/>
  <c r="F74" i="78"/>
  <c r="E74" i="78"/>
  <c r="D74" i="78"/>
  <c r="C74" i="78"/>
  <c r="G73" i="78"/>
  <c r="G72" i="78"/>
  <c r="G71" i="78"/>
  <c r="G70" i="78"/>
  <c r="G69" i="78"/>
  <c r="G68" i="78"/>
  <c r="F62" i="78"/>
  <c r="E62" i="78"/>
  <c r="D62" i="78"/>
  <c r="C62" i="78"/>
  <c r="G61" i="78"/>
  <c r="G60" i="78"/>
  <c r="G59" i="78"/>
  <c r="G58" i="78"/>
  <c r="G57" i="78"/>
  <c r="G56" i="78"/>
  <c r="F50" i="78"/>
  <c r="E50" i="78"/>
  <c r="C50" i="78"/>
  <c r="G49" i="78"/>
  <c r="G48" i="78"/>
  <c r="G47" i="78"/>
  <c r="G46" i="78"/>
  <c r="G45" i="78"/>
  <c r="G44" i="78"/>
  <c r="H28" i="100"/>
  <c r="H17" i="100"/>
  <c r="H19" i="100"/>
  <c r="H21" i="100"/>
  <c r="H29" i="100"/>
  <c r="D61" i="141"/>
  <c r="J26" i="140"/>
  <c r="J25" i="140"/>
  <c r="J24" i="140"/>
  <c r="J23" i="140"/>
  <c r="J22" i="140"/>
  <c r="J21" i="140"/>
  <c r="J20" i="140"/>
  <c r="J19" i="140"/>
  <c r="J18" i="140"/>
  <c r="J16" i="140"/>
  <c r="H9" i="140"/>
  <c r="I9" i="140"/>
  <c r="H10" i="140"/>
  <c r="I10" i="140"/>
  <c r="D11" i="140"/>
  <c r="H11" i="140" s="1"/>
  <c r="J11" i="140" s="1"/>
  <c r="E11" i="140"/>
  <c r="F11" i="140"/>
  <c r="G11" i="140"/>
  <c r="J10" i="140"/>
  <c r="I11" i="140"/>
  <c r="J9" i="140"/>
  <c r="I37" i="149"/>
  <c r="G37" i="149"/>
  <c r="F37" i="149"/>
  <c r="E37" i="149"/>
  <c r="C37" i="149"/>
  <c r="B37" i="149"/>
  <c r="L35" i="149"/>
  <c r="K37" i="149"/>
  <c r="L36" i="149"/>
  <c r="J37" i="149"/>
  <c r="L37" i="149"/>
  <c r="H27" i="100"/>
  <c r="H26" i="100"/>
  <c r="H25" i="100"/>
  <c r="H24" i="100"/>
  <c r="H23" i="100"/>
  <c r="H22" i="100"/>
  <c r="H20" i="100"/>
  <c r="H18" i="100"/>
  <c r="H16" i="100"/>
  <c r="G11" i="100"/>
  <c r="F11" i="100"/>
  <c r="E11" i="100"/>
  <c r="D11" i="100"/>
  <c r="H10" i="100"/>
  <c r="H9" i="100"/>
  <c r="K26" i="5"/>
  <c r="L26" i="5" s="1"/>
  <c r="J26" i="5"/>
  <c r="H26" i="5"/>
  <c r="M26" i="5" s="1"/>
  <c r="F26" i="5"/>
  <c r="E26" i="5"/>
  <c r="D26" i="5"/>
  <c r="C26" i="5"/>
  <c r="H13" i="81"/>
  <c r="G13" i="81"/>
  <c r="H12" i="81"/>
  <c r="H14" i="81" s="1"/>
  <c r="G12" i="81"/>
  <c r="G14" i="81" s="1"/>
  <c r="H26" i="81"/>
  <c r="G26" i="81"/>
  <c r="H25" i="81"/>
  <c r="G25" i="81"/>
  <c r="G28" i="81"/>
  <c r="H28" i="81"/>
  <c r="I28" i="81" s="1"/>
  <c r="G29" i="81"/>
  <c r="H29" i="81"/>
  <c r="G30" i="81"/>
  <c r="H30" i="81"/>
  <c r="G23" i="81"/>
  <c r="H23" i="81"/>
  <c r="G24" i="81"/>
  <c r="H24" i="81"/>
  <c r="G16" i="81"/>
  <c r="H16" i="81"/>
  <c r="G9" i="81"/>
  <c r="H9" i="81"/>
  <c r="G10" i="81"/>
  <c r="H10" i="81"/>
  <c r="H11" i="81" s="1"/>
  <c r="G116" i="78"/>
  <c r="G117" i="78"/>
  <c r="G118" i="78"/>
  <c r="G119" i="78"/>
  <c r="G120" i="78"/>
  <c r="G121" i="78"/>
  <c r="G20" i="78"/>
  <c r="G21" i="78"/>
  <c r="G22" i="78"/>
  <c r="G23" i="78"/>
  <c r="G24" i="78"/>
  <c r="G25" i="78"/>
  <c r="G8" i="78"/>
  <c r="G9" i="78"/>
  <c r="G10" i="78"/>
  <c r="G11" i="78"/>
  <c r="G12" i="78"/>
  <c r="G13" i="78"/>
  <c r="F30" i="77"/>
  <c r="F31" i="77"/>
  <c r="F32" i="77"/>
  <c r="F23" i="77"/>
  <c r="F24" i="77"/>
  <c r="F16" i="77"/>
  <c r="F17" i="77"/>
  <c r="F18" i="77" s="1"/>
  <c r="F8" i="77"/>
  <c r="F9" i="77"/>
  <c r="F10" i="77"/>
  <c r="B11" i="77"/>
  <c r="C11" i="77"/>
  <c r="D11" i="77"/>
  <c r="E11" i="77"/>
  <c r="B18" i="77"/>
  <c r="C18" i="77"/>
  <c r="D18" i="77"/>
  <c r="E18" i="77"/>
  <c r="B25" i="77"/>
  <c r="C25" i="77"/>
  <c r="D25" i="77"/>
  <c r="E25" i="77"/>
  <c r="B33" i="77"/>
  <c r="C33" i="77"/>
  <c r="D33" i="77"/>
  <c r="E33" i="77"/>
  <c r="A41" i="48"/>
  <c r="A38" i="48"/>
  <c r="E20" i="5"/>
  <c r="J20" i="5"/>
  <c r="E16" i="5"/>
  <c r="J16" i="5"/>
  <c r="D49" i="10"/>
  <c r="B1" i="4"/>
  <c r="H21" i="81"/>
  <c r="G21" i="81"/>
  <c r="I21" i="81" s="1"/>
  <c r="A35" i="48"/>
  <c r="A32" i="48"/>
  <c r="A29" i="48"/>
  <c r="A26" i="48"/>
  <c r="A23" i="48"/>
  <c r="A20" i="48"/>
  <c r="A17" i="48"/>
  <c r="A14" i="48"/>
  <c r="A11" i="48"/>
  <c r="A17" i="46"/>
  <c r="A38" i="46"/>
  <c r="A35" i="46"/>
  <c r="A32" i="46"/>
  <c r="A29" i="46"/>
  <c r="A26" i="46"/>
  <c r="A23" i="46"/>
  <c r="A20" i="46"/>
  <c r="A14" i="46"/>
  <c r="A11" i="46"/>
  <c r="H22" i="81"/>
  <c r="G22" i="81"/>
  <c r="F26" i="78"/>
  <c r="E26" i="78"/>
  <c r="D26" i="78"/>
  <c r="C26" i="78"/>
  <c r="G26" i="78"/>
  <c r="F14" i="78"/>
  <c r="E14" i="78"/>
  <c r="D14" i="78"/>
  <c r="C14" i="78"/>
  <c r="A27" i="49"/>
  <c r="A24" i="49"/>
  <c r="A21" i="49"/>
  <c r="A18" i="49"/>
  <c r="J1" i="151"/>
  <c r="B1" i="151"/>
  <c r="H1" i="151"/>
  <c r="D1" i="151"/>
  <c r="F1" i="151"/>
  <c r="E1" i="151"/>
  <c r="G1" i="151"/>
  <c r="C1" i="151"/>
  <c r="I1" i="151"/>
  <c r="I22" i="81"/>
  <c r="B1" i="47"/>
  <c r="C1" i="155"/>
  <c r="C1" i="154"/>
  <c r="C1" i="141"/>
  <c r="D1" i="152"/>
  <c r="B1" i="150"/>
  <c r="B1" i="79"/>
  <c r="B1" i="77"/>
  <c r="C1" i="10"/>
  <c r="D1" i="44"/>
  <c r="D1" i="140"/>
  <c r="B1" i="46"/>
  <c r="B1" i="11"/>
  <c r="C1" i="81"/>
  <c r="C1" i="52"/>
  <c r="B1" i="45"/>
  <c r="B1" i="84"/>
  <c r="B1" i="80"/>
  <c r="B1" i="49"/>
  <c r="D1" i="12"/>
  <c r="D1" i="78"/>
  <c r="B1" i="48"/>
  <c r="B1" i="149"/>
  <c r="C1" i="147"/>
  <c r="D1" i="5"/>
  <c r="D1" i="148"/>
  <c r="D1" i="136"/>
  <c r="D1" i="24"/>
  <c r="D1" i="126"/>
  <c r="D1" i="128"/>
  <c r="D1" i="125"/>
  <c r="D1" i="119"/>
  <c r="D1" i="117"/>
  <c r="D1" i="115"/>
  <c r="D1" i="108"/>
  <c r="D1" i="16"/>
  <c r="D1" i="129"/>
  <c r="D1" i="132"/>
  <c r="D1" i="124"/>
  <c r="D1" i="23"/>
  <c r="D1" i="22"/>
  <c r="D1" i="112"/>
  <c r="D1" i="102"/>
  <c r="D1" i="19"/>
  <c r="D1" i="106"/>
  <c r="D1" i="100"/>
  <c r="D1" i="134"/>
  <c r="D1" i="20"/>
  <c r="D1" i="114"/>
  <c r="D1" i="110"/>
  <c r="D1" i="17"/>
  <c r="D1" i="105"/>
  <c r="D1" i="104"/>
  <c r="D1" i="130"/>
  <c r="D1" i="133"/>
  <c r="D1" i="123"/>
  <c r="D1" i="121"/>
  <c r="D1" i="127"/>
  <c r="D1" i="21"/>
  <c r="D1" i="99"/>
  <c r="D1" i="18"/>
  <c r="B1" i="13"/>
  <c r="D1" i="98"/>
  <c r="C1" i="143"/>
  <c r="D9" i="44"/>
  <c r="D8" i="44"/>
  <c r="F9" i="44"/>
  <c r="F8" i="44"/>
  <c r="E9" i="44"/>
  <c r="E8" i="44"/>
  <c r="G9" i="44"/>
  <c r="G8" i="44"/>
  <c r="G27" i="81" l="1"/>
  <c r="I12" i="81"/>
  <c r="G74" i="78"/>
  <c r="G50" i="78"/>
  <c r="G14" i="78"/>
  <c r="G110" i="78"/>
  <c r="G98" i="78"/>
  <c r="G86" i="78"/>
  <c r="G62" i="78"/>
  <c r="G38" i="78"/>
  <c r="F25" i="77"/>
  <c r="F33" i="77"/>
  <c r="F11" i="77"/>
  <c r="H11" i="132"/>
  <c r="H18" i="44"/>
  <c r="H16" i="44"/>
  <c r="H15" i="44"/>
  <c r="H23" i="44"/>
  <c r="H11" i="106"/>
  <c r="H11" i="102"/>
  <c r="H11" i="16"/>
  <c r="H20" i="44"/>
  <c r="H19" i="44"/>
  <c r="H11" i="100"/>
  <c r="E10" i="44"/>
  <c r="D10" i="44"/>
  <c r="G39" i="5" s="1"/>
  <c r="I29" i="81"/>
  <c r="I30" i="81"/>
  <c r="I24" i="81"/>
  <c r="I23" i="81"/>
  <c r="I26" i="81"/>
  <c r="I25" i="81"/>
  <c r="H27" i="81"/>
  <c r="I16" i="81"/>
  <c r="I13" i="81"/>
  <c r="I14" i="81" s="1"/>
  <c r="H15" i="81"/>
  <c r="I10" i="81"/>
  <c r="G11" i="81"/>
  <c r="G15" i="81" s="1"/>
  <c r="I9" i="81"/>
  <c r="H28" i="44"/>
  <c r="H27" i="44"/>
  <c r="H26" i="44"/>
  <c r="H24" i="44"/>
  <c r="H22" i="44"/>
  <c r="H21" i="44"/>
  <c r="H9" i="44"/>
  <c r="G10" i="44"/>
  <c r="F10" i="44"/>
  <c r="G38" i="5"/>
  <c r="G40" i="5"/>
  <c r="H8" i="44"/>
  <c r="G36" i="5" l="1"/>
  <c r="G37" i="5"/>
  <c r="H10" i="44"/>
  <c r="I27" i="81"/>
  <c r="I11" i="81"/>
  <c r="I15" i="81" s="1"/>
</calcChain>
</file>

<file path=xl/sharedStrings.xml><?xml version="1.0" encoding="utf-8"?>
<sst xmlns="http://schemas.openxmlformats.org/spreadsheetml/2006/main" count="6775" uniqueCount="1004">
  <si>
    <t xml:space="preserve"> Married with dependent children</t>
  </si>
  <si>
    <t xml:space="preserve"> Responsible for elderly family members in home</t>
  </si>
  <si>
    <t>Age range of students</t>
  </si>
  <si>
    <t>Number of students who are:</t>
  </si>
  <si>
    <t>35-49</t>
  </si>
  <si>
    <t>50-64</t>
  </si>
  <si>
    <t>65 &amp; over</t>
  </si>
  <si>
    <t xml:space="preserve"> First Generation Students</t>
  </si>
  <si>
    <t xml:space="preserve"> Not First Generation Students</t>
  </si>
  <si>
    <t>None</t>
  </si>
  <si>
    <t>Fluent</t>
  </si>
  <si>
    <t>Primary residence is</t>
  </si>
  <si>
    <t>Skill Assessment / Placement Test Results</t>
  </si>
  <si>
    <t xml:space="preserve"> On / near reservation (within 60 miles)</t>
  </si>
  <si>
    <t>Reading</t>
  </si>
  <si>
    <t>Writing / Composition</t>
  </si>
  <si>
    <t>Mathematics</t>
  </si>
  <si>
    <t>Science</t>
  </si>
  <si>
    <t xml:space="preserve"> In-State</t>
  </si>
  <si>
    <t>Test Name</t>
  </si>
  <si>
    <t xml:space="preserve"> Out-of-State</t>
  </si>
  <si>
    <t>Number of students</t>
  </si>
  <si>
    <t>Taking Test</t>
  </si>
  <si>
    <t>Financial Background</t>
  </si>
  <si>
    <t>Average family income ($) in student's household</t>
  </si>
  <si>
    <t>Number of students employed less than 20 hrs/week (excluding work / study)</t>
  </si>
  <si>
    <t>Number of students eligible for financial aid</t>
  </si>
  <si>
    <t>Number of students employed 20 or more hrs/week (excluding work / study)</t>
  </si>
  <si>
    <t>Number of students in need, but not eligible for financial aid</t>
  </si>
  <si>
    <t>Please enter the institution's participation in community education programs</t>
  </si>
  <si>
    <t>Target Audience</t>
  </si>
  <si>
    <t>Program Name</t>
  </si>
  <si>
    <t>Number of Participants</t>
  </si>
  <si>
    <t>Please enter the  tuition cost per credit hour, the total amount of financial aid received and the number of students receiving aid, and undergraduate student costs.</t>
  </si>
  <si>
    <t>Undergraduate</t>
  </si>
  <si>
    <t>Graduate</t>
  </si>
  <si>
    <t>Sources and Amount of Financial Aid</t>
  </si>
  <si>
    <t>American Indian College Fund Scholarship</t>
  </si>
  <si>
    <t>Total Dollar Amount</t>
  </si>
  <si>
    <t xml:space="preserve">Total Number of Recipients </t>
  </si>
  <si>
    <t>Federal Pell Grants</t>
  </si>
  <si>
    <t>Federal Supplemental Educational Opportunity Grant</t>
  </si>
  <si>
    <t>State Scholarships/Grants</t>
  </si>
  <si>
    <t>Academic Competitiveness Grant</t>
  </si>
  <si>
    <t>School-to-Work</t>
  </si>
  <si>
    <t>Tribal Scholarships</t>
  </si>
  <si>
    <t>Other Scholarships</t>
  </si>
  <si>
    <t>Federal College Work Study</t>
  </si>
  <si>
    <t>State Work Study</t>
  </si>
  <si>
    <t>Institutional Work Study</t>
  </si>
  <si>
    <t>Total Student Costs</t>
  </si>
  <si>
    <t>Campus Site</t>
  </si>
  <si>
    <t>&lt;select one&gt;</t>
  </si>
  <si>
    <t>Table 3.1:  Building Facilities</t>
  </si>
  <si>
    <t>Main Campus</t>
  </si>
  <si>
    <t>Please briefly summarize the institution's buildings. Identify building usage by main function. Reproduce this work sheet as needed.  If building is used for multiple purposes (e.g. classroom and laboratory) please list building name as many times as necessary and identify total square feet for each main function.</t>
  </si>
  <si>
    <t>Branch Campus</t>
  </si>
  <si>
    <t>Existing Buildings</t>
  </si>
  <si>
    <t>Satellite Site</t>
  </si>
  <si>
    <t>Building Name</t>
  </si>
  <si>
    <t>Year Built / Acquired</t>
  </si>
  <si>
    <t>No. of Stories</t>
  </si>
  <si>
    <t>Total sq. ft.</t>
  </si>
  <si>
    <t>Main Function</t>
  </si>
  <si>
    <t>Own / Lease</t>
  </si>
  <si>
    <t>Note</t>
  </si>
  <si>
    <t>Student Services/Recreation</t>
  </si>
  <si>
    <t>Own</t>
  </si>
  <si>
    <t>Distance Learning</t>
  </si>
  <si>
    <t>Classroom</t>
  </si>
  <si>
    <t>Administration/Office</t>
  </si>
  <si>
    <t>Library</t>
  </si>
  <si>
    <t>Auxiliary</t>
  </si>
  <si>
    <t>Cultural Center/Museum</t>
  </si>
  <si>
    <t>Laboratory</t>
  </si>
  <si>
    <t>Research</t>
  </si>
  <si>
    <t>Residence</t>
  </si>
  <si>
    <t>Own/Lease</t>
  </si>
  <si>
    <t>Assigned by Tribe</t>
  </si>
  <si>
    <t>Donated</t>
  </si>
  <si>
    <t>Lease/Rent</t>
  </si>
  <si>
    <t>Catalogue On-line Access</t>
  </si>
  <si>
    <t>Inter-Library System</t>
  </si>
  <si>
    <t>Computer Lab w/ Internet</t>
  </si>
  <si>
    <t>Please briefly summarize the current status of library facilities.</t>
  </si>
  <si>
    <t>Library Facility</t>
  </si>
  <si>
    <t>Yes</t>
  </si>
  <si>
    <t>Library Name</t>
  </si>
  <si>
    <t>Year Built / Remodeled</t>
  </si>
  <si>
    <t>Periodicals</t>
  </si>
  <si>
    <t>Community Library Status</t>
  </si>
  <si>
    <t>Community Learning Center</t>
  </si>
  <si>
    <t>No</t>
  </si>
  <si>
    <t>Print</t>
  </si>
  <si>
    <t>Electronic</t>
  </si>
  <si>
    <t>Community Library</t>
  </si>
  <si>
    <t>Institution Use Only</t>
  </si>
  <si>
    <r>
      <rPr>
        <b/>
        <sz val="10"/>
        <color indexed="8"/>
        <rFont val="Arial"/>
        <family val="2"/>
      </rPr>
      <t>Special Cultural Collections:</t>
    </r>
    <r>
      <rPr>
        <sz val="10"/>
        <color indexed="8"/>
        <rFont val="Arial"/>
        <family val="2"/>
      </rPr>
      <t xml:space="preserve">  Please briefly describe any cultural or tribal museum/archival collections housed in library or other building.</t>
    </r>
  </si>
  <si>
    <t>Library Improvements / Acquisitions during academic year</t>
  </si>
  <si>
    <t>Please enter major instructional/ research equipment and facilities acquired during the academic year</t>
  </si>
  <si>
    <t>Major Instructional/ Research Equipment and Facilities Acquisition</t>
  </si>
  <si>
    <t>Equipment or Facility Name</t>
  </si>
  <si>
    <t>Purchase Cost</t>
  </si>
  <si>
    <t>Number of Units</t>
  </si>
  <si>
    <t>Purpose</t>
  </si>
  <si>
    <t>Table 4.1: Major Groups</t>
  </si>
  <si>
    <t>Major Groups</t>
  </si>
  <si>
    <t>AC - Accounting</t>
  </si>
  <si>
    <t>AG - Agriculture and Farming</t>
  </si>
  <si>
    <t>AL - American Indian Languages</t>
  </si>
  <si>
    <t>AS - American Indian Studies</t>
  </si>
  <si>
    <t>BT - Building Trades</t>
  </si>
  <si>
    <t>BU - Business</t>
  </si>
  <si>
    <t>CT - Computer Technology</t>
  </si>
  <si>
    <t>CL - Corrections/Law Enforcement</t>
  </si>
  <si>
    <t>EA - Education-Paraprofessional</t>
  </si>
  <si>
    <t>EO - Education-Professional</t>
  </si>
  <si>
    <t>HS - Human Services</t>
  </si>
  <si>
    <t>LA - Liberal Arts/General Studies</t>
  </si>
  <si>
    <t>NU - Nursing</t>
  </si>
  <si>
    <t>OA - Office Administration/Technology</t>
  </si>
  <si>
    <t>Major Group ID/Major Groups</t>
  </si>
  <si>
    <t>AR - Art</t>
  </si>
  <si>
    <t>AU - Automotive Technology</t>
  </si>
  <si>
    <t>BI - Biology</t>
  </si>
  <si>
    <t>CH - Chemistry</t>
  </si>
  <si>
    <t>CS - Computer Science</t>
  </si>
  <si>
    <t>EN - English</t>
  </si>
  <si>
    <t>GE - Geography</t>
  </si>
  <si>
    <t>HI - Hospitality Industry</t>
  </si>
  <si>
    <t>IP - Individualized Program</t>
  </si>
  <si>
    <t>LS - Life Sciences</t>
  </si>
  <si>
    <t>MA - Mathematics</t>
  </si>
  <si>
    <t>NS - Natural Science</t>
  </si>
  <si>
    <t>PA - Paralegal</t>
  </si>
  <si>
    <t>PE - Pre-Engineering</t>
  </si>
  <si>
    <t>PV - Pre-Veterinary Science</t>
  </si>
  <si>
    <t>SC - Science</t>
  </si>
  <si>
    <t>SS - Social Science</t>
  </si>
  <si>
    <t>VC - Vocational/Career Programs</t>
  </si>
  <si>
    <t xml:space="preserve">Please enter the number of students enrolled in this major group for the fall semester. </t>
  </si>
  <si>
    <t>Major Group</t>
  </si>
  <si>
    <t>Fall Enrollment (Snapshot)</t>
  </si>
  <si>
    <t>Please enter the number of diploma, certificates, and degrees earned in this major group.  Also enter the number of students graduating with degrees who earned a GPA of 3.0 or above, and the number who were admitted to a 4 year (Associate degree graduates), or graduate school (Bachelor's degree graduates).  Lastly, enter the number of all graduating students(certificate or degree) who secured employment after graduation.</t>
  </si>
  <si>
    <t>Graduation</t>
  </si>
  <si>
    <t>Apprenticeship/Occupational Program</t>
  </si>
  <si>
    <t>Diploma</t>
  </si>
  <si>
    <t>Certificate</t>
  </si>
  <si>
    <t>Associate Degree</t>
  </si>
  <si>
    <t>Bachelor's Degree</t>
  </si>
  <si>
    <t>Master's Degree</t>
  </si>
  <si>
    <t>Table 5.1: Academic Core Curriculum Courses</t>
  </si>
  <si>
    <t>Please identify your institution's specific Academic Program's Core Curriculum courses required for all students in 2 or 4 year program.  Enter 'nr' if the course is not required.  Please add additional academic core curriculum courses in the spaces provided.</t>
  </si>
  <si>
    <t>Course</t>
  </si>
  <si>
    <t>Course ID(s)</t>
  </si>
  <si>
    <t>Course Title(s)</t>
  </si>
  <si>
    <t>Credits Given</t>
  </si>
  <si>
    <t>Please enter Course Enrollment and Successful Completion data (passed with grade 'C' or better) for the courses listed in Table 5.1.  Enter 'no' if the course is not offered that semester/quarter, or 'nr' if course is not required.</t>
  </si>
  <si>
    <t>Academic Core Curriculum Course Enrollment and Successful Completion</t>
  </si>
  <si>
    <t>Number of Students</t>
  </si>
  <si>
    <t>Enrolled</t>
  </si>
  <si>
    <t>Success Comp.</t>
  </si>
  <si>
    <t>Withdrew</t>
  </si>
  <si>
    <t>Table 5.3: Vocational Core Curriculum Courses</t>
  </si>
  <si>
    <t>Please identify your institution's specific Vocational Program's Core Curriculum courses required for diploma / certificate program.  Enter 'nr' if the course is not required.  Please add additional vocational core curriculum courses in the spaces provided.</t>
  </si>
  <si>
    <t>Please enter Course Enrollment and Successful Completion data (passed with grade 'C' or better) for the courses listed in Table 5.3. Enter 'no' if the course is not offered that semester / quarter, or 'nr' if course is not required.</t>
  </si>
  <si>
    <t>Vocational Core Curriculum Course Enrollment and Successful Completion</t>
  </si>
  <si>
    <t>Table 5.5: Remedial/Developmental Courses</t>
  </si>
  <si>
    <t>Please identify your institution's specific Remedial/Developmental courses.  Enter 'no' if the course is not offered.</t>
  </si>
  <si>
    <t>Please enter Course Enrollment and Successful Completion data (passed with grade 'C' or better).  Enter 'no' if the course is not offered that semester / quarter, or 'nr' if course is not required.</t>
  </si>
  <si>
    <t>Remedial/Developmental Course Enrollment and Successful Completion</t>
  </si>
  <si>
    <t>Please enter Online and Distance Course Information.</t>
  </si>
  <si>
    <t>Number of</t>
  </si>
  <si>
    <t>Courses Offered</t>
  </si>
  <si>
    <t>Sites Courses sent to</t>
  </si>
  <si>
    <t>Academic Development Activities</t>
  </si>
  <si>
    <t>Financial Support</t>
  </si>
  <si>
    <t xml:space="preserve"> Received merit scholarships</t>
  </si>
  <si>
    <t xml:space="preserve"> Received athletic scholarships</t>
  </si>
  <si>
    <t xml:space="preserve"> Participated in work-study program</t>
  </si>
  <si>
    <t>Extracurricular Activities</t>
  </si>
  <si>
    <t>Academic Awards</t>
  </si>
  <si>
    <t>Research, Teaching and Active Learning Activities</t>
  </si>
  <si>
    <t>Career Development</t>
  </si>
  <si>
    <t xml:space="preserve"> Have been a Research Assistant/Involved in Independent Research</t>
  </si>
  <si>
    <t xml:space="preserve"> Participated in on-campus research internship</t>
  </si>
  <si>
    <t xml:space="preserve"> Participated in an International Learning Experience</t>
  </si>
  <si>
    <t xml:space="preserve"> Served as a Peer Tutor</t>
  </si>
  <si>
    <t>Service to the Community</t>
  </si>
  <si>
    <t>Student Services Offered</t>
  </si>
  <si>
    <t>Please note that an individual should only be counted once in the following four tables.</t>
  </si>
  <si>
    <t>Number of Individuals Who Are Faculty Only</t>
  </si>
  <si>
    <t>Full Time Faculty</t>
  </si>
  <si>
    <t>Part Time/Adjunct Faculty</t>
  </si>
  <si>
    <t>Visiting Faculty</t>
  </si>
  <si>
    <t>Total Headcount</t>
  </si>
  <si>
    <t>Number of Individuals Who Are Administrators Only</t>
  </si>
  <si>
    <t>Number of Individuals Who Are Staff Only</t>
  </si>
  <si>
    <t>Number of Individuals Who Are Both Faculty and Administrators/Staff</t>
  </si>
  <si>
    <t>Part Time / Adjunct</t>
  </si>
  <si>
    <t>Visiting</t>
  </si>
  <si>
    <t>Please enter Faculty, Teaching Staff, and Administrator degrees held, salary, and teaching load.</t>
  </si>
  <si>
    <t>No Degree - Expert in Field</t>
  </si>
  <si>
    <t>Associate</t>
  </si>
  <si>
    <t>Bachelors</t>
  </si>
  <si>
    <t>Masters</t>
  </si>
  <si>
    <t>Doctorate</t>
  </si>
  <si>
    <t>Other</t>
  </si>
  <si>
    <t xml:space="preserve">Total </t>
  </si>
  <si>
    <t>Non Weighted Average</t>
  </si>
  <si>
    <t>Average # of courses taught each year</t>
  </si>
  <si>
    <t>Average # of students per course</t>
  </si>
  <si>
    <t>Average Salary per credit hour</t>
  </si>
  <si>
    <t>Teaching Staff Salaries and Teaching Load</t>
  </si>
  <si>
    <r>
      <t>Average Salary per academic year</t>
    </r>
    <r>
      <rPr>
        <vertAlign val="superscript"/>
        <sz val="9"/>
        <color indexed="8"/>
        <rFont val="Arial"/>
        <family val="2"/>
      </rPr>
      <t>*</t>
    </r>
  </si>
  <si>
    <t>Please enter the number of faculty participating in, and the Person Activities (PA) or Total FTE for professional development activities, research, and service.  PA is equal to the number of people attending an activity times the number of activities (e.g., if 2 people attend 2 conferences, and 1 person attends 3 conferences, PA equals (2 x 2) + (1 x 3) = 7.  Total FTE is the sum of the FTE of each faculty member involved in research or service.</t>
  </si>
  <si>
    <t>Number of Faculty / Administrator / Staff</t>
  </si>
  <si>
    <t>Person Activities (PA)</t>
  </si>
  <si>
    <t xml:space="preserve">Attended National Conferences </t>
  </si>
  <si>
    <t xml:space="preserve">Attended Workshops/Seminars </t>
  </si>
  <si>
    <t>Enrolled in study for advanced degree or certification</t>
  </si>
  <si>
    <t>Participated in Summer Programs</t>
  </si>
  <si>
    <t>Faculty / Administrator / Staff Service Contribution</t>
  </si>
  <si>
    <t>Total Hours</t>
  </si>
  <si>
    <t>Student Support Services</t>
  </si>
  <si>
    <t>Campus Activities/Committee Services</t>
  </si>
  <si>
    <t>Curriculum/Course Development</t>
  </si>
  <si>
    <t>Laboratory Development/Enhancement</t>
  </si>
  <si>
    <t>Community Service as a representative of the institution (e.g. Tribal Committee)</t>
  </si>
  <si>
    <t>Please enter faculty/administrator/staff research and creative activities and outcomes.</t>
  </si>
  <si>
    <t>Publications and Presentations</t>
  </si>
  <si>
    <t>Number of Pub. &amp; Pres.</t>
  </si>
  <si>
    <t>Refereed Journal Papers Submitted</t>
  </si>
  <si>
    <t>Refereed Journal Papers Published</t>
  </si>
  <si>
    <t>Other Publications(books, chapters, etc.)</t>
  </si>
  <si>
    <t>Conference Proceedings Published</t>
  </si>
  <si>
    <t>Scholarly creative cultural activities (ex. exhibit, play)</t>
  </si>
  <si>
    <t>Professional Presentations at National Conferences</t>
  </si>
  <si>
    <t>Professional Presentations at on-campus workshops/ seminars</t>
  </si>
  <si>
    <t>Professional Presentations at off-campus workshops/ seminars</t>
  </si>
  <si>
    <t>Proposals Submitted and Funded</t>
  </si>
  <si>
    <t>Number of Proposals</t>
  </si>
  <si>
    <t>Proposals Submitted for External Funding</t>
  </si>
  <si>
    <t>External Proposals Funded</t>
  </si>
  <si>
    <t>Total Amount of Funded Awards ($)</t>
  </si>
  <si>
    <t>Faculty/Administrator/Staff Support for Research</t>
  </si>
  <si>
    <t>Release Time/Reduction of Course Load</t>
  </si>
  <si>
    <t>Provision of Professional Research Staff</t>
  </si>
  <si>
    <t>Provision of Student Research Assistant</t>
  </si>
  <si>
    <t>Please enter the student with disabilities enrollment and graduation data.</t>
  </si>
  <si>
    <t>Disabled Students Enrollment</t>
  </si>
  <si>
    <t>Full Time Total</t>
  </si>
  <si>
    <t>Part Time Total</t>
  </si>
  <si>
    <t>Total Undergraduate Students</t>
  </si>
  <si>
    <t>Total Graduate Students</t>
  </si>
  <si>
    <t>Number of students receiving services</t>
  </si>
  <si>
    <t>Degrees / Certificates Conferred to Disabled Students</t>
  </si>
  <si>
    <t>Degrees / Certificates Conferred</t>
  </si>
  <si>
    <t>Number of Students who Earned</t>
  </si>
  <si>
    <t>Total number degrees conferred</t>
  </si>
  <si>
    <t>Number of Bachelor's Degree graduates admitted to graduate school</t>
  </si>
  <si>
    <t>* Please specify contract duration:</t>
  </si>
  <si>
    <t>Table 1.1</t>
  </si>
  <si>
    <t>Table 3.1</t>
  </si>
  <si>
    <t>Table 3.2</t>
  </si>
  <si>
    <t>ES - Environmental Science/Natural Resources</t>
  </si>
  <si>
    <t>Quarter</t>
  </si>
  <si>
    <t>Semester</t>
  </si>
  <si>
    <t>Table 4.1</t>
  </si>
  <si>
    <t>Trimester</t>
  </si>
  <si>
    <t>Land-Granted</t>
  </si>
  <si>
    <t>On Reservation</t>
  </si>
  <si>
    <t>Off Reservation</t>
  </si>
  <si>
    <t>FTE</t>
  </si>
  <si>
    <t>PE - Pre-Engineering/Engineering</t>
  </si>
  <si>
    <t>HC - Health Careers</t>
  </si>
  <si>
    <r>
      <t>Faculty Teaching Online Courses</t>
    </r>
    <r>
      <rPr>
        <vertAlign val="superscript"/>
        <sz val="9"/>
        <color indexed="8"/>
        <rFont val="Arial"/>
        <family val="2"/>
      </rPr>
      <t>3</t>
    </r>
  </si>
  <si>
    <r>
      <t>Faculty Teaching Distance Courses</t>
    </r>
    <r>
      <rPr>
        <vertAlign val="superscript"/>
        <sz val="9"/>
        <color indexed="8"/>
        <rFont val="Arial"/>
        <family val="2"/>
      </rPr>
      <t>3</t>
    </r>
  </si>
  <si>
    <t>Number</t>
  </si>
  <si>
    <t>Students who</t>
  </si>
  <si>
    <t xml:space="preserve">Number </t>
  </si>
  <si>
    <t>Students who received</t>
  </si>
  <si>
    <t>Volumes</t>
  </si>
  <si>
    <t>English Composition I</t>
  </si>
  <si>
    <t>English Composition II</t>
  </si>
  <si>
    <t>Communications</t>
  </si>
  <si>
    <t>Introduction to Computers</t>
  </si>
  <si>
    <t>Native American Studies</t>
  </si>
  <si>
    <t>General Mathematics</t>
  </si>
  <si>
    <t>Writing/Composition</t>
  </si>
  <si>
    <t>UN - Undeclared/Nondeclared</t>
  </si>
  <si>
    <t>TOTAL</t>
  </si>
  <si>
    <t>Fall 2010 (October 15, 2010)</t>
  </si>
  <si>
    <t>Professional Development Activities</t>
  </si>
  <si>
    <t xml:space="preserve"> Dual enrolled High School and College</t>
  </si>
  <si>
    <t>Full Time Equivalent (FTE)</t>
  </si>
  <si>
    <t>25-34</t>
  </si>
  <si>
    <t>July 1, 2010 - June 30, 2011</t>
  </si>
  <si>
    <t>Part-Time AI Students</t>
  </si>
  <si>
    <t>Part-Time Non-AI Students</t>
  </si>
  <si>
    <t>Full-Time AI Students</t>
  </si>
  <si>
    <t>Full-Time Non-AI Students</t>
  </si>
  <si>
    <t>Part-Time AI Credits</t>
  </si>
  <si>
    <t>Part-Time Non-AI Credits</t>
  </si>
  <si>
    <t>Full-Time AI Credits</t>
  </si>
  <si>
    <t>Full-Time Non-AI Credits</t>
  </si>
  <si>
    <t>AU - Automotive</t>
  </si>
  <si>
    <t>EA - Education - Paraprofessional</t>
  </si>
  <si>
    <t>EO - Education - Professional</t>
  </si>
  <si>
    <t>OA - Office Administration</t>
  </si>
  <si>
    <t>VC - Vocational</t>
  </si>
  <si>
    <r>
      <t xml:space="preserve">CEU AI Credits </t>
    </r>
    <r>
      <rPr>
        <b/>
        <sz val="9"/>
        <color indexed="8"/>
        <rFont val="Arial"/>
        <family val="2"/>
      </rPr>
      <t>TOTAL</t>
    </r>
  </si>
  <si>
    <t>Five Largest Tribal Affiliations of Students Enrolled at Tribal College</t>
  </si>
  <si>
    <t>Does your institution have daycare or other early childhood learning facilities?</t>
  </si>
  <si>
    <t>I.D.</t>
  </si>
  <si>
    <t>Specific Majors (and Degrees Offered)</t>
  </si>
  <si>
    <t>Bach. graduates admitted to graduate school</t>
  </si>
  <si>
    <t>Table 4.2(AG): Major Group Fall Enrollment, Graduation &amp; Post-Graduate / AY 20010-11</t>
  </si>
  <si>
    <t>Table 4.2(AU): Major Group Fall Enrollment, Graduation &amp; Post-Graduate / AY 20010-11</t>
  </si>
  <si>
    <t>Table 4.2(BI): Major Group Fall Enrollment, Graduation &amp; Post-Graduate / AY 20010-11</t>
  </si>
  <si>
    <t>Table 4.2(CH): Major Group Fall Enrollment, Graduation &amp; Post-Graduate / AY 20010-11</t>
  </si>
  <si>
    <t>Table 4.2(EN): Major Group Fall Enrollment, Graduation &amp; Post-Graduate / AY 20010-11</t>
  </si>
  <si>
    <t>Table 4.2(GE): Major Group Fall Enrollment, Graduation &amp; Post-Graduate / AY 20010-11</t>
  </si>
  <si>
    <t>Table 4.2(IP): Major Group Fall Enrollment, Graduation &amp; Post-Graduate / AY 20010-11</t>
  </si>
  <si>
    <t>Table 4.2(MA): Major Group Fall Enrollment, Graduation &amp; Post-Graduate / AY 20010-11</t>
  </si>
  <si>
    <t>Table 4.2(NS): Major Group Fall Enrollment, Graduation &amp; Post-Graduate / AY 20010-11</t>
  </si>
  <si>
    <t>Table 4.2(PA): Major Group Fall Enrollment, Graduation &amp; Post-Graduate / AY 20010-11</t>
  </si>
  <si>
    <t>Table 4.2(PE): Major Group Fall Enrollment, Graduation &amp; Post-Graduate / AY 20010-11</t>
  </si>
  <si>
    <t>Table 4.2(PV): Major Group Fall Enrollment, Graduation &amp; Post-Graduate / AY 20010-11</t>
  </si>
  <si>
    <t>PV - Pre-Veterinary</t>
  </si>
  <si>
    <t>Assoc. graduates admitted to four-year program</t>
  </si>
  <si>
    <t>Table 4.2(MS): Major Group Fall Enrollment, Graduation &amp; Post-Graduate / AY 20010-11</t>
  </si>
  <si>
    <t>MS - Master's</t>
  </si>
  <si>
    <t>Table 4.2(UK): Major Group Fall Enrollment, Graduation &amp; Post-Graduate / AY 20010-11</t>
  </si>
  <si>
    <t>UK - Unknown</t>
  </si>
  <si>
    <t>months</t>
  </si>
  <si>
    <t>Number of Associate's Degree graduates admitted to four-year program</t>
  </si>
  <si>
    <r>
      <t xml:space="preserve">Please enter the number of students enrolled in this major group for the fall semester.  </t>
    </r>
    <r>
      <rPr>
        <b/>
        <sz val="9"/>
        <color indexed="60"/>
        <rFont val="Arial"/>
        <family val="2"/>
      </rPr>
      <t>DO NOT CHANGE THE FORMULAS ON THIS PAGE.</t>
    </r>
  </si>
  <si>
    <r>
      <rPr>
        <vertAlign val="superscript"/>
        <sz val="9"/>
        <color indexed="8"/>
        <rFont val="Arial"/>
        <family val="2"/>
      </rPr>
      <t>1</t>
    </r>
    <r>
      <rPr>
        <sz val="9"/>
        <color indexed="8"/>
        <rFont val="Arial"/>
        <family val="2"/>
      </rPr>
      <t xml:space="preserve"> Headcount of all students taking Distance Learning Courses through your institution.</t>
    </r>
  </si>
  <si>
    <r>
      <rPr>
        <vertAlign val="superscript"/>
        <sz val="9"/>
        <color indexed="8"/>
        <rFont val="Arial"/>
        <family val="2"/>
      </rPr>
      <t>2</t>
    </r>
    <r>
      <rPr>
        <sz val="9"/>
        <color indexed="8"/>
        <rFont val="Arial"/>
        <family val="2"/>
      </rPr>
      <t xml:space="preserve"> Passed with grade 'C' or better.</t>
    </r>
  </si>
  <si>
    <r>
      <rPr>
        <vertAlign val="superscript"/>
        <sz val="9"/>
        <color indexed="8"/>
        <rFont val="Arial"/>
        <family val="2"/>
      </rPr>
      <t>3</t>
    </r>
    <r>
      <rPr>
        <sz val="9"/>
        <color indexed="8"/>
        <rFont val="Arial"/>
        <family val="2"/>
      </rPr>
      <t xml:space="preserve"> Each faculty member (both FT and PT) is counted once (no duplicates).</t>
    </r>
  </si>
  <si>
    <t>MS - Master Degree Programs</t>
  </si>
  <si>
    <t>Table 4.2(HC): Major Group Fall Enrollment, Graduation &amp; Post-Graduate / AY 2010-11</t>
  </si>
  <si>
    <t>Table 4.2(CL): Major Group Fall Enrollment, Graduation &amp; Post-Graduate / AY 2010-11</t>
  </si>
  <si>
    <t>Table 4.2(CT): Major Group Fall Enrollment, Graduation &amp; Post-Graduate / AY 2010-11</t>
  </si>
  <si>
    <t>Please identify your institution's specific majors and degrees offered by major group. If you have additional majors, please add them as needed.</t>
  </si>
  <si>
    <t>Returned in fall 2011</t>
  </si>
  <si>
    <t>First-time entering students in fall 2010</t>
  </si>
  <si>
    <t>Successful Course Completion</t>
  </si>
  <si>
    <t>Please enter the total number of students.</t>
  </si>
  <si>
    <t>Non-Degree Seeking or Undeclared</t>
  </si>
  <si>
    <t>Certificate or Degree-Seeking</t>
  </si>
  <si>
    <t>Summer 2011</t>
  </si>
  <si>
    <t>Total Number of Course Enrollments*</t>
  </si>
  <si>
    <t>Successful Course Completion Rate</t>
  </si>
  <si>
    <r>
      <t xml:space="preserve">* This </t>
    </r>
    <r>
      <rPr>
        <b/>
        <i/>
        <sz val="11"/>
        <color indexed="8"/>
        <rFont val="Arial"/>
        <family val="2"/>
      </rPr>
      <t>will</t>
    </r>
    <r>
      <rPr>
        <b/>
        <sz val="11"/>
        <color indexed="8"/>
        <rFont val="Arial"/>
        <family val="2"/>
      </rPr>
      <t xml:space="preserve"> count students multiple times.</t>
    </r>
  </si>
  <si>
    <t>NOTES</t>
  </si>
  <si>
    <t>Main Campus Location</t>
  </si>
  <si>
    <t>On/Off Reservation</t>
  </si>
  <si>
    <t>Operational Funding Source(s)</t>
  </si>
  <si>
    <t>Table 1.2b: Institutional Narrative / AY 2011-12</t>
  </si>
  <si>
    <t>Limited</t>
  </si>
  <si>
    <t>Conversational</t>
  </si>
  <si>
    <t>Speakers of American Indian Languages</t>
  </si>
  <si>
    <t xml:space="preserve">Number of students who </t>
  </si>
  <si>
    <t>Are Veterans</t>
  </si>
  <si>
    <t>Participated in a Head Start Program</t>
  </si>
  <si>
    <t>Number of HS graduates who graduated from</t>
  </si>
  <si>
    <r>
      <t>AY</t>
    </r>
    <r>
      <rPr>
        <b/>
        <vertAlign val="superscript"/>
        <sz val="9"/>
        <color indexed="8"/>
        <rFont val="Arial"/>
        <family val="2"/>
      </rPr>
      <t xml:space="preserve"> </t>
    </r>
    <r>
      <rPr>
        <b/>
        <sz val="9"/>
        <color indexed="8"/>
        <rFont val="Arial"/>
        <family val="2"/>
      </rPr>
      <t>2011-12</t>
    </r>
  </si>
  <si>
    <t>Fall 2011</t>
  </si>
  <si>
    <t>Winter 2012</t>
  </si>
  <si>
    <t>Spring 2012</t>
  </si>
  <si>
    <t xml:space="preserve"> Tribal Affiliations of Faculty, Staff, and Administrators at Tribal College</t>
  </si>
  <si>
    <r>
      <t>Please list all</t>
    </r>
    <r>
      <rPr>
        <b/>
        <i/>
        <sz val="10"/>
        <color indexed="8"/>
        <rFont val="Arial"/>
        <family val="2"/>
      </rPr>
      <t xml:space="preserve"> federally recognized</t>
    </r>
    <r>
      <rPr>
        <sz val="10"/>
        <color indexed="8"/>
        <rFont val="Arial"/>
        <family val="2"/>
      </rPr>
      <t xml:space="preserve"> tribes for faculty, staff, and administrators represented at your institution.  If more space is needed, please insert more lines.</t>
    </r>
  </si>
  <si>
    <t>Position</t>
  </si>
  <si>
    <t>E-mail</t>
  </si>
  <si>
    <t>President</t>
  </si>
  <si>
    <t>Assistant to President</t>
  </si>
  <si>
    <t>Chief Financial/ Business  Officer</t>
  </si>
  <si>
    <t>Chief Academic Officer</t>
  </si>
  <si>
    <t>Chief Student Service Officer</t>
  </si>
  <si>
    <t xml:space="preserve">Piya Wiconi - Three Mile Creek </t>
  </si>
  <si>
    <t>Administrative Headquarters</t>
  </si>
  <si>
    <t>Instructional Site</t>
  </si>
  <si>
    <t>Director, Infroamtion Technology</t>
  </si>
  <si>
    <t xml:space="preserve">vacant </t>
  </si>
  <si>
    <t>vacant</t>
  </si>
  <si>
    <t>Director of Development</t>
  </si>
  <si>
    <t>Notes: At the request of the Cheyenne River Sioux Tribe in Eagle Butte, SD, OLC also operates an Instructional Site at that location.  Some functions are combined into one position.</t>
  </si>
  <si>
    <t>Accuplacer</t>
  </si>
  <si>
    <t>CPR/First Aid, ASSIST Training (Suiicide Prevention) Hant Virus, Housing maintenance, Emergency Preparedness, Flu Shots, Immunizations for children and families, use of exercise equipment,wellness lectures, diabetic screening, cancer awareness, physical therapy, stress and wellness, voter registration, absentee ballot, change of address, canning workshops, community clean-up, highway/housing clean-up, animal care.</t>
  </si>
  <si>
    <t>Registrar</t>
  </si>
  <si>
    <t>Financial Aid Officer</t>
  </si>
  <si>
    <t>Info. Tech. (MIS)</t>
  </si>
  <si>
    <t>Institutional Research</t>
  </si>
  <si>
    <t>Assessment Officer</t>
  </si>
  <si>
    <t>Public  Relations/ Communications</t>
  </si>
  <si>
    <t>Faculty Development Officer</t>
  </si>
  <si>
    <t>Development/Fundraising</t>
  </si>
  <si>
    <t>Office of Sponsored Programs</t>
  </si>
  <si>
    <t xml:space="preserve">Institution </t>
  </si>
  <si>
    <t>FTE--The sum of credits enrolled in by all students divided by 24 equals the full-time equivalency. FTE=(FTCR+PTCR)/24 (or divided by 36 if on a quarter system).</t>
  </si>
  <si>
    <r>
      <t xml:space="preserve">Please enter the institution's general student population background, and characteristics, </t>
    </r>
    <r>
      <rPr>
        <i/>
        <sz val="8"/>
        <color indexed="8"/>
        <rFont val="Arial"/>
        <family val="2"/>
      </rPr>
      <t>including</t>
    </r>
    <r>
      <rPr>
        <sz val="8"/>
        <color indexed="8"/>
        <rFont val="Arial"/>
        <family val="2"/>
      </rPr>
      <t xml:space="preserve"> first-time entering students.  </t>
    </r>
  </si>
  <si>
    <t>Please enter the institution's first time entering student enrollment, background, and characteristics, including first-time freshman and transfer-in students.  All data on this page are for the first time entering students only- not the entire institution.</t>
  </si>
  <si>
    <t>Time period: AY 2011 (Summer 2011 to Spring 2012)</t>
  </si>
  <si>
    <t>Time period: Fall 2011 (October 15, 2011)</t>
  </si>
  <si>
    <t>Graduated in AY 2011-12</t>
  </si>
  <si>
    <t>Transferred to another college or university in AY 2011-12</t>
  </si>
  <si>
    <t>Withdrew or stopped out in AY 2011-12</t>
  </si>
  <si>
    <t>Other Exclusions in 2011-12*</t>
  </si>
  <si>
    <t>Returned in fall 2012</t>
  </si>
  <si>
    <t>First-time entering students in fall 2011</t>
  </si>
  <si>
    <t>AY 11-12 Total</t>
  </si>
  <si>
    <t>Please insert a profile/description of your institution. Include, but do not limit the profile to, details about the institution’s location, land mass, population, establishment, programs, and what makes the institution unique. (See sample documents for examples.)</t>
  </si>
  <si>
    <t>Adult</t>
  </si>
  <si>
    <t>Type of Community Education</t>
  </si>
  <si>
    <t>Employment Specific Training</t>
  </si>
  <si>
    <t>Funding Source</t>
  </si>
  <si>
    <t>Other Adult Community Education*</t>
  </si>
  <si>
    <t>*  Computer skills, financial literacy, parenting skills, etc.</t>
  </si>
  <si>
    <t>Table 1.3b: General Student Population Demographics / AY 2011-12</t>
  </si>
  <si>
    <t xml:space="preserve">Table 8.1: Enrollment and Graduation of Students with Disabilities / AY 2011-12 </t>
  </si>
  <si>
    <t>Table 7.4: Faculty/Administrator/Staff Research, Creative Activities, and Outcomes / AY 2011-12</t>
  </si>
  <si>
    <t>AY 2011-12</t>
  </si>
  <si>
    <t xml:space="preserve">Table 7.3: Faculty, Administrator, and Staff Professional Development and Service / AY 2011-12 </t>
  </si>
  <si>
    <t>Table 7.2: Faculty, Teaching Staff, and Administrator Professional Demographics / AY 2011-12</t>
  </si>
  <si>
    <t xml:space="preserve">Table 7.1: Personnel Demographics / AY 2011-12 </t>
  </si>
  <si>
    <t>Table 6.2(11): Student Community and Cultural Activities, and Student Services as a Result or Based on College Experience / AY 2011-12</t>
  </si>
  <si>
    <t>Table 5.7: Online and Distance Course Enrollment and Successful Completion / AY 2011-12</t>
  </si>
  <si>
    <t>Online courses were NOT offered in 2011-12:</t>
  </si>
  <si>
    <t>Distance courses were NOT provided BY your campus  in 2011-12:</t>
  </si>
  <si>
    <t>Distance courses were NOT provided TO your campus  in 2011-12:</t>
  </si>
  <si>
    <t>Table 5.6: Remedial/Developmental Course Enrollment and Successful Completion / AY 2011-12</t>
  </si>
  <si>
    <t>Table 5.4: Vocational Core Curriculum Course Enrollment and Successful Completion / AY 2011-12</t>
  </si>
  <si>
    <t>Table 5.2: Academic Core Curriculum Course Enrollment and Successful Completion / AY 2011-12</t>
  </si>
  <si>
    <t>Table 4.2: Major Group Fall Enrollment, Graduation &amp; Post-Graduate Totals / AY 2011-12</t>
  </si>
  <si>
    <t>Table 4.2(UN): Major Group Fall Enrollment, Graduation &amp; Post-Graduate / AY 2011-12</t>
  </si>
  <si>
    <t>Table 4.2(BU): Major Group Fall Enrollment, Graduation &amp; Post-Graduate / AY 2011-12</t>
  </si>
  <si>
    <t>Table 4.2(BT): Major Group Fall Enrollment, Graduation &amp; Post-Graduate / AY 2011-12</t>
  </si>
  <si>
    <t>Table 4.2(AS): Major Group Fall Enrollment, Graduation &amp; Post-Graduate / AY 2011-12</t>
  </si>
  <si>
    <t>Table 4.2(AL): Major Group Fall Enrollment, Graduation &amp; Post-Graduate / AY 2011-12</t>
  </si>
  <si>
    <t>Table 3.3: Instructional/ Research Equipment and Facilities Acquired /AY 2011-12</t>
  </si>
  <si>
    <t>AY 11-12</t>
  </si>
  <si>
    <t>Table 3.2: Library Facilities / AY 2011-12</t>
  </si>
  <si>
    <t>Table 2.1: Student Tuition, Financial Aid, and Costs / AY 2011-12</t>
  </si>
  <si>
    <t>Table 1.3a: First Time Entering Students Demographics / AY 2011-12</t>
  </si>
  <si>
    <t>Table 1.1a: Institution Profile, Contact Information, and Data Sources / AY 2011-12</t>
  </si>
  <si>
    <t>Direct Federal Student Loans</t>
  </si>
  <si>
    <t>CURRENT Year</t>
  </si>
  <si>
    <t>Undergraduate American Indian, In-State</t>
  </si>
  <si>
    <t>Undergraduate American Indian, Out-of-State</t>
  </si>
  <si>
    <t>Undergraduate Non-Indian, In-State</t>
  </si>
  <si>
    <t>Undergraduate Non-Indian, Out-of-State</t>
  </si>
  <si>
    <t>Graduate American Indian, In-State</t>
  </si>
  <si>
    <t>Graduate American Indian, Out-of-State</t>
  </si>
  <si>
    <t>Graduate Non-Indian, In-State</t>
  </si>
  <si>
    <t>Graduate Non-Indian, Out-of-State</t>
  </si>
  <si>
    <t>Books and Supplies</t>
  </si>
  <si>
    <t>Other Expenses</t>
  </si>
  <si>
    <t>Current Academic Year (AY 12-13) Operational Funding from the Tribe (non-scholarship)</t>
  </si>
  <si>
    <t>Current Academic Year (AY 12-13) Construction Funding from the Tribe</t>
  </si>
  <si>
    <t>Tribal Funding</t>
  </si>
  <si>
    <t>State Funding</t>
  </si>
  <si>
    <t>Current Fiscal Year (FY 12-13) Non-Beneficiary Funding Received from the State</t>
  </si>
  <si>
    <t>Table 2.2: Non-Federal Operational Funding / AY 2011-12</t>
  </si>
  <si>
    <t>If so, how many children are served?</t>
  </si>
  <si>
    <t>Age range</t>
  </si>
  <si>
    <t>Whose children attend (Students, Faculty/Staff, General Community)?</t>
  </si>
  <si>
    <r>
      <rPr>
        <b/>
        <sz val="9"/>
        <rFont val="Arial"/>
        <family val="2"/>
      </rPr>
      <t>Gainfully</t>
    </r>
    <r>
      <rPr>
        <sz val="9"/>
        <rFont val="Arial"/>
        <family val="2"/>
      </rPr>
      <t xml:space="preserve"> Employed after graduation</t>
    </r>
  </si>
  <si>
    <r>
      <t>Gainfully</t>
    </r>
    <r>
      <rPr>
        <sz val="9"/>
        <rFont val="Arial"/>
        <family val="2"/>
      </rPr>
      <t xml:space="preserve"> Employed after graduation</t>
    </r>
  </si>
  <si>
    <t>Cert. graduates admitted to a college program</t>
  </si>
  <si>
    <t>Dip. graduates admitted to a college program</t>
  </si>
  <si>
    <t>App. graduates admitted to a college program</t>
  </si>
  <si>
    <t>Summer 11</t>
  </si>
  <si>
    <t>Fall 11</t>
  </si>
  <si>
    <t>Spring 12</t>
  </si>
  <si>
    <t>American Indian Students Withdrew</t>
  </si>
  <si>
    <t>Non-Indian Students Withdrew</t>
  </si>
  <si>
    <t>Graduates who completed remedial courses during their time at the TCU</t>
  </si>
  <si>
    <r>
      <rPr>
        <b/>
        <sz val="10"/>
        <color indexed="8"/>
        <rFont val="Arial"/>
        <family val="2"/>
      </rPr>
      <t xml:space="preserve">II. Online Courses </t>
    </r>
    <r>
      <rPr>
        <sz val="10"/>
        <color indexed="8"/>
        <rFont val="Arial"/>
        <family val="2"/>
      </rPr>
      <t>- Please enter the number of students enrolled in courses offered by your institution via the internet asynchronously, and the number of those students who passed.</t>
    </r>
  </si>
  <si>
    <r>
      <rPr>
        <b/>
        <sz val="10"/>
        <color indexed="8"/>
        <rFont val="Arial"/>
        <family val="2"/>
      </rPr>
      <t xml:space="preserve">III. Distance Courses Provided by Your Campus </t>
    </r>
    <r>
      <rPr>
        <sz val="10"/>
        <color indexed="8"/>
        <rFont val="Arial"/>
        <family val="2"/>
      </rPr>
      <t>- Please enter the number of students enrolled in courses offered by your campus via satellite, interactive television, internet etc. to other campuses or institutions synchronously, and the number of those students who passed.</t>
    </r>
  </si>
  <si>
    <r>
      <rPr>
        <b/>
        <sz val="10"/>
        <color indexed="8"/>
        <rFont val="Arial"/>
        <family val="2"/>
      </rPr>
      <t>IV. Distance Courses Provided to Your Campus</t>
    </r>
    <r>
      <rPr>
        <sz val="10"/>
        <color indexed="8"/>
        <rFont val="Arial"/>
        <family val="2"/>
      </rPr>
      <t xml:space="preserve"> - Please enter the number of students enrolled in courses offered on your campus synchronously taken via satellite, interactive television, internet etc. by external providers, and the number of those students who passed.</t>
    </r>
  </si>
  <si>
    <t>Attended Orientation</t>
  </si>
  <si>
    <t>Attended high school Bridge program</t>
  </si>
  <si>
    <t>Participated in faculty/alumni mentoring program</t>
  </si>
  <si>
    <t>Participated in service learning program</t>
  </si>
  <si>
    <t>Participated in First Year Experience program</t>
  </si>
  <si>
    <t>Received tutoring</t>
  </si>
  <si>
    <t xml:space="preserve"> Received academic award(s) from your college</t>
  </si>
  <si>
    <t xml:space="preserve"> Received academic award(s) from outside college</t>
  </si>
  <si>
    <t xml:space="preserve"> Participated in off-campus research internship (including summer programs)</t>
  </si>
  <si>
    <t xml:space="preserve"> Received financial support (federal, tribal, state, TCU, or A*CF need-based)</t>
  </si>
  <si>
    <t>Presented or competed at a national conference (oral, poster, etc.)</t>
  </si>
  <si>
    <t>Involved in student government or other leadership program</t>
  </si>
  <si>
    <t>Participated in student clubs, including chapters of national organizations</t>
  </si>
  <si>
    <t>Participated in organized athletic programs on campus</t>
  </si>
  <si>
    <t>Participated in non-research internship program( term, summer, etc.)</t>
  </si>
  <si>
    <t>Participated in organized community service volunteer activities (other than service learning program)</t>
  </si>
  <si>
    <t>Participated in tribal boards or community organizations</t>
  </si>
  <si>
    <t>Volunteered to help with community cultural events, including powwows</t>
  </si>
  <si>
    <t>Participated in culturally relevant activities on campus, other than academic courses</t>
  </si>
  <si>
    <r>
      <t xml:space="preserve">Daycare services (number of </t>
    </r>
    <r>
      <rPr>
        <b/>
        <sz val="9"/>
        <color indexed="8"/>
        <rFont val="Arial"/>
        <family val="2"/>
      </rPr>
      <t>children</t>
    </r>
    <r>
      <rPr>
        <sz val="9"/>
        <color indexed="8"/>
        <rFont val="Arial"/>
        <family val="2"/>
      </rPr>
      <t xml:space="preserve"> served)</t>
    </r>
  </si>
  <si>
    <t>Health/wellness services, including behavioral health counseling</t>
  </si>
  <si>
    <t>Housing (on-campus dorms)</t>
  </si>
  <si>
    <t>Parenting skills classes and workshops</t>
  </si>
  <si>
    <t>Transportation services (bus, van service, gas cards, etc.)</t>
  </si>
  <si>
    <t>Financial literacy education programs and workshops</t>
  </si>
  <si>
    <t>Please list health/wellness services offered (e.g., diabetes screening, suicide prevention counseling, hearing and vision testing, nutrtition counseling, etc.):</t>
  </si>
  <si>
    <t>Table 6.3: TCU Community Partnerships / AY 2011-12</t>
  </si>
  <si>
    <t>Does the TCU partner with:</t>
  </si>
  <si>
    <t>Local K-12 system on education reform</t>
  </si>
  <si>
    <t>Economic development planning</t>
  </si>
  <si>
    <t>Community/social development</t>
  </si>
  <si>
    <t>Job training</t>
  </si>
  <si>
    <t>Economic development opportunities</t>
  </si>
  <si>
    <t>List services TCU provides to tribe/community (non-academic), e.g., bus service, public housing, etc.</t>
  </si>
  <si>
    <t>Did your institution experience an increase or decrease in enrollment of 25% or more? If so, explain why.</t>
  </si>
  <si>
    <t>Full Time Faculty - Highest Degree Held</t>
  </si>
  <si>
    <t>Part Time Faculty - Highest Degree Held</t>
  </si>
  <si>
    <t>Full Time Administrators - Highest Degree Held</t>
  </si>
  <si>
    <t>Part Time Administrators - Highest Degree Held</t>
  </si>
  <si>
    <t>Part Time Both Faculty and Administrators/Staff  - Highest Degree Held</t>
  </si>
  <si>
    <t>Full Time Both Faculty and Administrators/Staff  - Highest Degree Held</t>
  </si>
  <si>
    <t>Part Time Both Staff Only - Highest Degree Held</t>
  </si>
  <si>
    <t>Full Time Staff Only - Highest Degree Held</t>
  </si>
  <si>
    <t>Are any of your faculty or students engaged in research?  (Yes/No)</t>
  </si>
  <si>
    <r>
      <t xml:space="preserve">Number of graduates </t>
    </r>
    <r>
      <rPr>
        <b/>
        <sz val="9"/>
        <color indexed="8"/>
        <rFont val="Arial"/>
        <family val="2"/>
      </rPr>
      <t>gainfully</t>
    </r>
    <r>
      <rPr>
        <sz val="9"/>
        <color indexed="8"/>
        <rFont val="Arial"/>
        <family val="2"/>
      </rPr>
      <t xml:space="preserve"> employed after graduation</t>
    </r>
  </si>
  <si>
    <t>Please share one or two significant challenges faced by your institution in AY 2011-12 (e.g., faculty changes, natural disaster, funding cuts, etc.).</t>
  </si>
  <si>
    <t>Room and Board</t>
  </si>
  <si>
    <t>15-17</t>
  </si>
  <si>
    <t>18-21</t>
  </si>
  <si>
    <t>22-24</t>
  </si>
  <si>
    <t>Please note if any data collected is from a sample of students (e.g. financial background data is only from students who applied for financial aid).</t>
  </si>
  <si>
    <t>Placed in Remedial /Developmental Course Based on Test Results</t>
  </si>
  <si>
    <t>Student ISC and FTE Counts</t>
  </si>
  <si>
    <t>Fall 2011 (October 15, 2011)</t>
  </si>
  <si>
    <t>Please enter the number of diploma, certificates, and degrees earned in this major group.  Also enter the number of students who were admitted to a 4 year (Associate degree graduates), or graduate school (Bachelor's degree graduates).  Lastly, enter the number of all graduating students(certificate or degree) who secured gainful employment after graduation.</t>
  </si>
  <si>
    <t>College Mathematics</t>
  </si>
  <si>
    <t>Please list the top five online and distance courses.</t>
  </si>
  <si>
    <t>Graduated from a TCU</t>
  </si>
  <si>
    <t>Visiting Faculty - Highest Degree Held</t>
  </si>
  <si>
    <t>Industry/business (including Tribe)</t>
  </si>
  <si>
    <t>Received career advising (including seminars and workshops)</t>
  </si>
  <si>
    <t>IHS or other organizations on health/wellness</t>
  </si>
  <si>
    <t>Fall 2012</t>
  </si>
  <si>
    <t xml:space="preserve">ISC-- See glossary for full definition. ISC=((FTAICR+PTAICR)/24)+CEUs (or divided by 36 if on a quarter system), where CEUs used in calculation are limited to 10 percent. </t>
  </si>
  <si>
    <t xml:space="preserve">Please list the following administrators as of October 15, 2012 -- CURRENT Administration. </t>
  </si>
  <si>
    <t>First-time entering students in fall 2009</t>
  </si>
  <si>
    <t># of Certificates</t>
  </si>
  <si>
    <t># of Associate's</t>
  </si>
  <si>
    <t># of Bachelor's</t>
  </si>
  <si>
    <t># of Master's</t>
  </si>
  <si>
    <t>** Successful completion means passing with a grade of A, B, C, CR (credit), or P (pass)</t>
  </si>
  <si>
    <t>Cost per Credit Hour (CURRENT Academic Year):</t>
  </si>
  <si>
    <t>Average Full Time Undergraduate American Indian Student Costs for One Academic Year</t>
  </si>
  <si>
    <t>July 1, 2011- June 30, 2012</t>
  </si>
  <si>
    <t>July 1, 2011 - June 30, 2012</t>
  </si>
  <si>
    <t>Winter 12</t>
  </si>
  <si>
    <t>Table 6.1: Student Academic Research and Extracurricular Activities / AY 2011-12</t>
  </si>
  <si>
    <r>
      <t xml:space="preserve">Please indicate if any students were involved in the activity.  If yes, enter number of students (or m, if number is missing) participating in institution or grant supported activities during the academic year July 1, 2011 - June 30, 2012. </t>
    </r>
    <r>
      <rPr>
        <sz val="10"/>
        <color indexed="8"/>
        <rFont val="Arial"/>
        <family val="2"/>
      </rPr>
      <t xml:space="preserve"> </t>
    </r>
    <r>
      <rPr>
        <b/>
        <sz val="10"/>
        <color indexed="8"/>
        <rFont val="Arial"/>
        <family val="2"/>
      </rPr>
      <t>If no, enter zero. DO NOT LEAVE SPACES BLANK.</t>
    </r>
  </si>
  <si>
    <r>
      <t xml:space="preserve">Please indicate if any students were involved in the activity. If yes, enter number of students (or m, if missing) participating in institution or grant supported activities during the academic year July 1, 2011 - June 30, 2012.  </t>
    </r>
    <r>
      <rPr>
        <b/>
        <sz val="10"/>
        <color indexed="8"/>
        <rFont val="Arial"/>
        <family val="2"/>
      </rPr>
      <t>If no, enter zero. DO NOT LEAVE SPACES BLANK.</t>
    </r>
  </si>
  <si>
    <t xml:space="preserve">     AIMS-Key Indicator System 2012 (AKIS-2012)</t>
  </si>
  <si>
    <t>President's Name &amp; Signature</t>
  </si>
  <si>
    <t>Please enter the institution's Indian Student Count and Full time Equivalent (FTE) and five largest tribal affiliations of enrolled students.</t>
  </si>
  <si>
    <t>Conversa-tional</t>
  </si>
  <si>
    <t>Number of students eligible for federal financial aid</t>
  </si>
  <si>
    <t>Number of students in need, but not eligible for federal financial aid</t>
  </si>
  <si>
    <t># of students employed less than 20 hrs/week (excluding work / study)</t>
  </si>
  <si>
    <t># of students employed 20 or more hrs/week (excluding work / study)</t>
  </si>
  <si>
    <r>
      <t xml:space="preserve">Please enter the total number of students entering the institution for the first time in </t>
    </r>
    <r>
      <rPr>
        <b/>
        <sz val="11"/>
        <color indexed="8"/>
        <rFont val="Arial"/>
        <family val="2"/>
      </rPr>
      <t>fall 2009</t>
    </r>
    <r>
      <rPr>
        <sz val="11"/>
        <color indexed="8"/>
        <rFont val="Arial"/>
        <family val="2"/>
      </rPr>
      <t>, including transfers.</t>
    </r>
  </si>
  <si>
    <r>
      <t xml:space="preserve">Please enter the total number of students entering the institution for the first time in </t>
    </r>
    <r>
      <rPr>
        <b/>
        <sz val="11"/>
        <color indexed="8"/>
        <rFont val="Arial"/>
        <family val="2"/>
      </rPr>
      <t>fall 2010</t>
    </r>
    <r>
      <rPr>
        <sz val="11"/>
        <color indexed="8"/>
        <rFont val="Arial"/>
        <family val="2"/>
      </rPr>
      <t>, including transfers.</t>
    </r>
  </si>
  <si>
    <r>
      <t xml:space="preserve">Please enter the total number of students entering the institution for the first time in </t>
    </r>
    <r>
      <rPr>
        <b/>
        <sz val="11"/>
        <color indexed="8"/>
        <rFont val="Arial"/>
        <family val="2"/>
      </rPr>
      <t>fall 2011</t>
    </r>
    <r>
      <rPr>
        <sz val="11"/>
        <color indexed="8"/>
        <rFont val="Arial"/>
        <family val="2"/>
      </rPr>
      <t>, including transfers.</t>
    </r>
  </si>
  <si>
    <t>Winter 2011</t>
  </si>
  <si>
    <r>
      <t>Total Number of Successful Course Completions</t>
    </r>
    <r>
      <rPr>
        <b/>
        <sz val="9"/>
        <color indexed="8"/>
        <rFont val="Arial"/>
        <family val="2"/>
      </rPr>
      <t>**</t>
    </r>
  </si>
  <si>
    <t>TCU-based Tuition Waiver/Discount</t>
  </si>
  <si>
    <t>Table 1.2a: Institution Indian Student Count,  Full Time Equivalent, and Tribal Affiliations / AY 2011-12</t>
  </si>
  <si>
    <t xml:space="preserve">Table 1.4: Institution Student Retention and Completion </t>
  </si>
  <si>
    <t>Table 1.5: Community Education Participation / AY 2011-12</t>
  </si>
  <si>
    <t>Who operates the facility? (TCU, Tribe, Independent non-tribal organization)</t>
  </si>
  <si>
    <t>Do TCU students work in the facility?</t>
  </si>
  <si>
    <t>If so, in what capacity? Please place an X by response(s).</t>
  </si>
  <si>
    <t>Hired employees</t>
  </si>
  <si>
    <t>Volunteers</t>
  </si>
  <si>
    <t>Interns, teaching aides, or other capacity tied to the students' studies</t>
  </si>
  <si>
    <t>What is the cost to attend?</t>
  </si>
  <si>
    <r>
      <t>American Indian Students Enrolled</t>
    </r>
    <r>
      <rPr>
        <vertAlign val="superscript"/>
        <sz val="9"/>
        <color indexed="8"/>
        <rFont val="Arial"/>
        <family val="2"/>
      </rPr>
      <t>1</t>
    </r>
  </si>
  <si>
    <r>
      <t>Non-Indian Students Enrolled</t>
    </r>
    <r>
      <rPr>
        <vertAlign val="superscript"/>
        <sz val="9"/>
        <color indexed="8"/>
        <rFont val="Arial"/>
        <family val="2"/>
      </rPr>
      <t>1</t>
    </r>
  </si>
  <si>
    <r>
      <t>American Indian Students Passed</t>
    </r>
    <r>
      <rPr>
        <vertAlign val="superscript"/>
        <sz val="9"/>
        <color indexed="8"/>
        <rFont val="Arial"/>
        <family val="2"/>
      </rPr>
      <t>2</t>
    </r>
  </si>
  <si>
    <r>
      <t>Non-Indian Students Passed</t>
    </r>
    <r>
      <rPr>
        <vertAlign val="superscript"/>
        <sz val="9"/>
        <color indexed="8"/>
        <rFont val="Arial"/>
        <family val="2"/>
      </rPr>
      <t>2</t>
    </r>
  </si>
  <si>
    <t>ISC
(see note)</t>
  </si>
  <si>
    <t xml:space="preserve">FTE
(see note) </t>
  </si>
  <si>
    <r>
      <t>Please list the five largest</t>
    </r>
    <r>
      <rPr>
        <b/>
        <i/>
        <sz val="10"/>
        <color indexed="8"/>
        <rFont val="Arial"/>
        <family val="2"/>
      </rPr>
      <t xml:space="preserve"> federally recognized</t>
    </r>
    <r>
      <rPr>
        <sz val="10"/>
        <color indexed="8"/>
        <rFont val="Arial"/>
        <family val="2"/>
      </rPr>
      <t xml:space="preserve"> tribes served by your institution.  Total should not exceed total number of American Indian students enrolled (please see Table 4.2).</t>
    </r>
  </si>
  <si>
    <r>
      <t xml:space="preserve"># of graduates who returned to pursue </t>
    </r>
    <r>
      <rPr>
        <b/>
        <i/>
        <sz val="10"/>
        <color indexed="8"/>
        <rFont val="Arial"/>
        <family val="2"/>
      </rPr>
      <t>another</t>
    </r>
    <r>
      <rPr>
        <b/>
        <sz val="10"/>
        <color indexed="8"/>
        <rFont val="Arial"/>
        <family val="2"/>
      </rPr>
      <t xml:space="preserve"> certificate or degree**</t>
    </r>
  </si>
  <si>
    <t>* Exclusions include students who are deceased, permanently disabled, have joined armed forces, and are on official church missions.
** Please note that these graduates should not be counted as returning in fall 2012 students for purposes of retention. Once they've graduated, they are not longer first-time students.</t>
  </si>
  <si>
    <t>Non-Degree Total</t>
  </si>
  <si>
    <t>Certificate/Degree Total</t>
  </si>
  <si>
    <t>Elementary (K-8)</t>
  </si>
  <si>
    <t>Secondary (9-12)</t>
  </si>
  <si>
    <t>Community Education Participation: (Summer 2011 - Spring 2012)</t>
  </si>
  <si>
    <t>Tuition and Fees (Full-Time)</t>
  </si>
  <si>
    <t>Graduates who received A*CF support at some point during their coursework</t>
  </si>
  <si>
    <t>List top 3 employers on the reservation or in the TCU's service area (if TCU not located on a reservation).</t>
  </si>
  <si>
    <t>Table 1.1b: Administration / AY 2012-13</t>
  </si>
  <si>
    <t>American Indian College Fund Full Circle Scholarship</t>
  </si>
  <si>
    <t>Additional Location (town, state)</t>
  </si>
  <si>
    <t>na</t>
  </si>
  <si>
    <t>4-year &amp; doctoral</t>
  </si>
  <si>
    <t>Menu Item List</t>
  </si>
  <si>
    <t>Business Administration (BS); Business (AA), Entrepreneurship  (AAS)</t>
  </si>
  <si>
    <t>Liberal Studies (AA); English and Communications Studies (BA, AA), Literature/Comm (BA)</t>
  </si>
  <si>
    <t>Undeclared (Core)</t>
  </si>
  <si>
    <t>Social Work/CDC</t>
  </si>
  <si>
    <t>LA Liberal Studies</t>
  </si>
  <si>
    <t>Core students - undergraduate undecided; Undeclared - graduate students</t>
  </si>
  <si>
    <t>American Indian Measures for Success (AIHEC-AIMS)</t>
  </si>
  <si>
    <t xml:space="preserve">     AIMS Key Indicator System 2012 (AKIS 2012)</t>
  </si>
  <si>
    <t>Title I</t>
  </si>
  <si>
    <t>Oglala Lakota College</t>
  </si>
  <si>
    <t>www.olc.edu</t>
  </si>
  <si>
    <t>Oglala Sioux Tribal Council</t>
  </si>
  <si>
    <t>SD</t>
  </si>
  <si>
    <t>Piya Wiconi - Three Mile Creek Road</t>
  </si>
  <si>
    <t>P.O. Box 490</t>
  </si>
  <si>
    <t>Kyle</t>
  </si>
  <si>
    <t>605-455-6000</t>
  </si>
  <si>
    <t>Kyle, SD</t>
  </si>
  <si>
    <t>on</t>
  </si>
  <si>
    <t>Allen, SD</t>
  </si>
  <si>
    <t>Batesland, SD</t>
  </si>
  <si>
    <t>Eagle Butte, SD</t>
  </si>
  <si>
    <t>Manderson, SD</t>
  </si>
  <si>
    <t>Martin, SD</t>
  </si>
  <si>
    <t>Oglala, SD</t>
  </si>
  <si>
    <t>Pine Ridge, SD</t>
  </si>
  <si>
    <t>Porcupine, SD</t>
  </si>
  <si>
    <t>Rapid City, SD</t>
  </si>
  <si>
    <t>Wanblee, SD</t>
  </si>
  <si>
    <t>off</t>
  </si>
  <si>
    <t>Piya Wiconi</t>
  </si>
  <si>
    <t>Pine Ridge House 1</t>
  </si>
  <si>
    <t>Pine Ridge House 2</t>
  </si>
  <si>
    <t>Classrooms</t>
  </si>
  <si>
    <t>Martin Building</t>
  </si>
  <si>
    <t>Voc-Ed Building Metal Building</t>
  </si>
  <si>
    <t>Wooden Building</t>
  </si>
  <si>
    <t>Kyle Center</t>
  </si>
  <si>
    <t>m</t>
  </si>
  <si>
    <t>Batesland Center</t>
  </si>
  <si>
    <t>Porcupine Center</t>
  </si>
  <si>
    <t>Pine Ridge Center</t>
  </si>
  <si>
    <t>Manderson Center</t>
  </si>
  <si>
    <t>Wanblee Center</t>
  </si>
  <si>
    <t>Oglala Center</t>
  </si>
  <si>
    <t>Allen Center</t>
  </si>
  <si>
    <t>Martin Center</t>
  </si>
  <si>
    <t>Rapid City Center</t>
  </si>
  <si>
    <t>Kyle Center Addition</t>
  </si>
  <si>
    <t>Pine Ridge Log Cabin</t>
  </si>
  <si>
    <t>Nursing Dorm</t>
  </si>
  <si>
    <t>Lakota Center for Science &amp; Technology</t>
  </si>
  <si>
    <t xml:space="preserve"> Nursing Building</t>
  </si>
  <si>
    <t>Pine Ridge College Center Expansion</t>
  </si>
  <si>
    <t>He Sapa College Center Expansion</t>
  </si>
  <si>
    <t>Cheyenne River College Center</t>
  </si>
  <si>
    <t>Pine Ridge Dorms</t>
  </si>
  <si>
    <t>Pole Barn Building</t>
  </si>
  <si>
    <t>Bookstore</t>
  </si>
  <si>
    <t>Batesland Head Start</t>
  </si>
  <si>
    <t>Wanblee Head Start</t>
  </si>
  <si>
    <t>Pejuta Haka Dorms</t>
  </si>
  <si>
    <t>Martin Head Start</t>
  </si>
  <si>
    <t>Manderson Head Start</t>
  </si>
  <si>
    <t xml:space="preserve">Multipurpose Building </t>
  </si>
  <si>
    <t>Gymnasium</t>
  </si>
  <si>
    <t>Auto Technology Building</t>
  </si>
  <si>
    <t>Rapid City Center #2</t>
  </si>
  <si>
    <t xml:space="preserve">Woksape Tipi </t>
  </si>
  <si>
    <t>80*</t>
  </si>
  <si>
    <t>Museum, Archival Collections; - Lakota Artifacts (e.g. head dresses, pipes, moccasins), - manuscripts, microfilm, video, audio, photographs, maps, posters, rare books, publications covering broad spectrum of Lakota history, society, culture, and institutions; - institutional records of Oglala Lakota College and Oglala Sioux Tribe; - Artwork by Oglala Lakota artists (contemporary).</t>
  </si>
  <si>
    <t>* w/3000+ titles</t>
  </si>
  <si>
    <t>AC</t>
  </si>
  <si>
    <t>Accounting</t>
  </si>
  <si>
    <t>AL</t>
  </si>
  <si>
    <t>American Indian Languages</t>
  </si>
  <si>
    <t>Lakota Language (CT)</t>
  </si>
  <si>
    <t>AS</t>
  </si>
  <si>
    <t>American Indian Studies</t>
  </si>
  <si>
    <t xml:space="preserve">Lakota Studies (AA, BA); K-12 Lakota Studies Education (BS); Tribal Law (AA); </t>
  </si>
  <si>
    <t>AR</t>
  </si>
  <si>
    <t>Art</t>
  </si>
  <si>
    <t>Fine Art (AA)</t>
  </si>
  <si>
    <t>AU</t>
  </si>
  <si>
    <t>Automotive Technology</t>
  </si>
  <si>
    <t>BT</t>
  </si>
  <si>
    <t>Building Trades</t>
  </si>
  <si>
    <t xml:space="preserve">Electrical Technology (AAS); General Construction (CT, AAS); Plumbing Technology (CT, AAS), HVAC ((AAS) </t>
  </si>
  <si>
    <t>BU</t>
  </si>
  <si>
    <t>Business</t>
  </si>
  <si>
    <t>CS</t>
  </si>
  <si>
    <t>Computer Science</t>
  </si>
  <si>
    <t>EA</t>
  </si>
  <si>
    <t>Education-Paraprofessional</t>
  </si>
  <si>
    <t>EO</t>
  </si>
  <si>
    <t>Education-Professional</t>
  </si>
  <si>
    <t>ES</t>
  </si>
  <si>
    <t>Environmental Science/Natural Resources</t>
  </si>
  <si>
    <t>Natural Science (BS), Natural Reources (AA, BS), Science, Eng., Math (SEM) (AA); Life Science, (AA)</t>
  </si>
  <si>
    <t>HI</t>
  </si>
  <si>
    <t>Hospitality Industry</t>
  </si>
  <si>
    <t>Customer Service (CT, AAS)</t>
  </si>
  <si>
    <t>HS</t>
  </si>
  <si>
    <t>Human Services</t>
  </si>
  <si>
    <t>LA</t>
  </si>
  <si>
    <t>Liberal Arts/General Studies</t>
  </si>
  <si>
    <t>LS</t>
  </si>
  <si>
    <t>Life Science</t>
  </si>
  <si>
    <t>Life Science (AA)</t>
  </si>
  <si>
    <t>NU</t>
  </si>
  <si>
    <t>Nursing</t>
  </si>
  <si>
    <t>Nursing (AA)</t>
  </si>
  <si>
    <t>OA</t>
  </si>
  <si>
    <t>Office Administration/Technology</t>
  </si>
  <si>
    <t>Office Technology (CT, AAS); Office Software Applications (CT, AAS)</t>
  </si>
  <si>
    <t>SC</t>
  </si>
  <si>
    <t>Natural Science (BS), Natural Reources (AA, BS), Science, Eng., Math (SEM) (AA);</t>
  </si>
  <si>
    <t>SS</t>
  </si>
  <si>
    <t>Social Science</t>
  </si>
  <si>
    <t>Social Science (AA, BA)</t>
  </si>
  <si>
    <t>VC</t>
  </si>
  <si>
    <t>Vocational</t>
  </si>
  <si>
    <t>TV Production (CT,AAS)</t>
  </si>
  <si>
    <t>MS</t>
  </si>
  <si>
    <t>Master's</t>
  </si>
  <si>
    <t>Lakota Leadership/Management (MA); Secondary/Middle/Elementary Educational Administration (MA)</t>
  </si>
  <si>
    <t>UN</t>
  </si>
  <si>
    <t>Undeclared/Nondeclared</t>
  </si>
  <si>
    <t xml:space="preserve">Accounting (AA) </t>
  </si>
  <si>
    <t>Automotive Technology (AAS)</t>
  </si>
  <si>
    <t>Information Technology (AA, BS)</t>
  </si>
  <si>
    <t>Child Development Associate (CT); Early Childhood (AA); Elementary Education (AA)</t>
  </si>
  <si>
    <t xml:space="preserve">Social Work (BSW); Chemical Dependency Counseling (AA) </t>
  </si>
  <si>
    <t xml:space="preserve">Early Childhood (BA); K-8 Elementary Education (BS); K-12:Lakota Studeis (BS), 7-12 Secondary Education Physical Science (BS), </t>
  </si>
  <si>
    <t>ENGL 103</t>
  </si>
  <si>
    <t>Freshman English I</t>
  </si>
  <si>
    <t>ENGL 113</t>
  </si>
  <si>
    <t>Freshman English II</t>
  </si>
  <si>
    <t>SPCM 103</t>
  </si>
  <si>
    <t>Speech Communications</t>
  </si>
  <si>
    <t>MATH 103</t>
  </si>
  <si>
    <t>Elementary Algebra</t>
  </si>
  <si>
    <t>MIS 113</t>
  </si>
  <si>
    <t>Applied Information Processing</t>
  </si>
  <si>
    <t>LAK 103</t>
  </si>
  <si>
    <t>Lakota Language I</t>
  </si>
  <si>
    <t>LAK 233</t>
  </si>
  <si>
    <t>Lakota Language II</t>
  </si>
  <si>
    <t>LSOC 103</t>
  </si>
  <si>
    <t>Lakota Culture</t>
  </si>
  <si>
    <t>COSU 103</t>
  </si>
  <si>
    <t>College Success - not required</t>
  </si>
  <si>
    <t xml:space="preserve">Lakota Culture </t>
  </si>
  <si>
    <t>College Success</t>
  </si>
  <si>
    <t>MATH103, OMATH113,CMATH153</t>
  </si>
  <si>
    <t>Elementary Algebra, Occupational Math, Consumer Math (Any one of these courses meet the requirement).</t>
  </si>
  <si>
    <t xml:space="preserve">COSU 103 </t>
  </si>
  <si>
    <t>College Success -not required</t>
  </si>
  <si>
    <t>Recorded with Academic Core</t>
  </si>
  <si>
    <t>Basic Math 1 &amp; 2</t>
  </si>
  <si>
    <t>Math 083/093</t>
  </si>
  <si>
    <t>RW 093</t>
  </si>
  <si>
    <t>RW 083</t>
  </si>
  <si>
    <t>Introduction to College Reading and Writing</t>
  </si>
  <si>
    <t>Transition to Reading and Writing</t>
  </si>
  <si>
    <t>only required for Office Technology</t>
  </si>
  <si>
    <t>Table 4.2(AC): Major Group Fall Enrollment, Graduation &amp; Post-Graduate / AY 2011-12</t>
  </si>
  <si>
    <t>Table 4.2(SC): Major Group Fall Enrollment, Graduation &amp; Post-Graduate / AY 2011-12</t>
  </si>
  <si>
    <t>Table 4.2(OA): Major Group Fall Enrollment, Graduation &amp; Post-Graduate / AY 2011-12</t>
  </si>
  <si>
    <t>Table 4.2(NU): Major Group Fall Enrollment, Graduation &amp; Post-Graduate / AY 2011-12</t>
  </si>
  <si>
    <t>Table 4.2(LA): Major Group Fall Enrollment, Graduation &amp; Post-Graduate / AY 2011-12</t>
  </si>
  <si>
    <t>Table 4.2(HS): Major Group Fall Enrollment, Graduation &amp; Post-Graduate / AY 2011-12</t>
  </si>
  <si>
    <t>Table 4.2(HI): Major Group Fall Enrollment, Graduation &amp; Post-Graduate / AY 2011-12</t>
  </si>
  <si>
    <t>Table 4.2(ES): Major Group Fall Enrollment, Graduation &amp; Post-Graduate / AY 2011-12</t>
  </si>
  <si>
    <t>Table 4.2(EA): Major Group Fall Enrollment, Graduation &amp; Post-Graduate / AY 2011-12</t>
  </si>
  <si>
    <t>Table 4.2(CS): Major Group Fall Enrollment, Graduation &amp; Post-Graduate / AY 2011-12</t>
  </si>
  <si>
    <t>Table 4.2(VC): Major Group Fall Enrollment, Graduation &amp; Post-Graduate / AY 2011-12</t>
  </si>
  <si>
    <t>Table 4.2(SS): Major Group Fall Enrollment, Graduation &amp; Post-Graduate / AY 2011-12</t>
  </si>
  <si>
    <t>Table 4.2(LS): Major Group Fall Enrollment, Graduation &amp; Post-Graduate / AY 2011-12</t>
  </si>
  <si>
    <t>Table 4.2(AR): Major Group Fall Enrollment, Graduation &amp; Post-Graduate / AY 2011-12</t>
  </si>
  <si>
    <t>Place a yes or no in each box indicating the TCU’s community partnerships with K-12, tribal, and other entities.</t>
  </si>
  <si>
    <t>If yes, please describe some of the research projects being conducted by faculty or students (e.g., community-based participatory research, locally relevant (applied) research in which your TCU faculty has particular expertise, research partnerships with other entities, etc.)</t>
  </si>
  <si>
    <t>Ursula R. Gaertner</t>
  </si>
  <si>
    <t>Vice President for Instruction</t>
  </si>
  <si>
    <t>605-455-6035</t>
  </si>
  <si>
    <t>ugaertner@olc.edu</t>
  </si>
  <si>
    <t>Thomas Shortbull</t>
  </si>
  <si>
    <t>605-455-6020</t>
  </si>
  <si>
    <t>Diane Winters</t>
  </si>
  <si>
    <t>Billi Hornbeck</t>
  </si>
  <si>
    <t>Student Support Service Coordinator</t>
  </si>
  <si>
    <t>Leslie Mesteth</t>
  </si>
  <si>
    <t>Clifford DeLong</t>
  </si>
  <si>
    <t>n.a.</t>
  </si>
  <si>
    <t>Marilyn Pourier</t>
  </si>
  <si>
    <t>Ursula Gaertner</t>
  </si>
  <si>
    <t>Eric Christensen</t>
  </si>
  <si>
    <t>Eric provided the information but resigned effective September 30, 2012</t>
  </si>
  <si>
    <t>Faith Richards</t>
  </si>
  <si>
    <t>Leslie Heathershaw</t>
  </si>
  <si>
    <t>Oglala Sioux Tribe</t>
  </si>
  <si>
    <t>Cheyenne River Sioux Tribe</t>
  </si>
  <si>
    <t>Rosebud Sioux Tribe</t>
  </si>
  <si>
    <t>Standing Rock Sioux Tribe</t>
  </si>
  <si>
    <t>Navajo Tribe</t>
  </si>
  <si>
    <t>o</t>
  </si>
  <si>
    <t xml:space="preserve">American Indian Higher Education Consortium </t>
  </si>
  <si>
    <t>American Indian Measures for Success (AIMS)</t>
  </si>
  <si>
    <t>Indicator 1: Overall Institution Profile</t>
  </si>
  <si>
    <t>Indicator 2: Financial Resources and Student Costs</t>
  </si>
  <si>
    <t>Indicator 3: Physical Resources</t>
  </si>
  <si>
    <t>Indicator 4: Student Enrollment and Graduation by Major Group</t>
  </si>
  <si>
    <t>Indicator 6: Student Activities</t>
  </si>
  <si>
    <t>Indicator 7: Personnel Demographics, Professional Development, Research, and Outcomes</t>
  </si>
  <si>
    <t>Indicator 8: Students with Disabilities Enrollment and Graduation</t>
  </si>
  <si>
    <t>Institution</t>
  </si>
  <si>
    <t>Institution Profile</t>
  </si>
  <si>
    <t>Institution Name</t>
  </si>
  <si>
    <t>Web Address</t>
  </si>
  <si>
    <t>Address 1</t>
  </si>
  <si>
    <t>Highest Degree Offered</t>
  </si>
  <si>
    <t>Academic Term</t>
  </si>
  <si>
    <t>Address 2</t>
  </si>
  <si>
    <t>Year Founded</t>
  </si>
  <si>
    <t>Land Granted Status</t>
  </si>
  <si>
    <t>City</t>
  </si>
  <si>
    <t>State</t>
  </si>
  <si>
    <t>Zip</t>
  </si>
  <si>
    <t>Chartering Tribe</t>
  </si>
  <si>
    <t>Telephone</t>
  </si>
  <si>
    <t>Location</t>
  </si>
  <si>
    <t>Person(s) Responsible for this Report</t>
  </si>
  <si>
    <t>Name</t>
  </si>
  <si>
    <t>Title</t>
  </si>
  <si>
    <t>Email Address</t>
  </si>
  <si>
    <t>Data Sources</t>
  </si>
  <si>
    <t>Person(s) Responsible</t>
  </si>
  <si>
    <t>Notes</t>
  </si>
  <si>
    <t>Indicator 5: Course Enrollment and Completion</t>
  </si>
  <si>
    <t>Notes:</t>
  </si>
  <si>
    <t>Please certify that your institution's President has seen and approved this submission.</t>
  </si>
  <si>
    <t>Certified By</t>
  </si>
  <si>
    <t>Date</t>
  </si>
  <si>
    <t>degree</t>
  </si>
  <si>
    <t>4-year &amp; master's</t>
  </si>
  <si>
    <t>4-year&amp; doctoral</t>
  </si>
  <si>
    <t>4-year undergraduate</t>
  </si>
  <si>
    <t>2-year</t>
  </si>
  <si>
    <t>academic term</t>
  </si>
  <si>
    <t>quarter</t>
  </si>
  <si>
    <t>semester</t>
  </si>
  <si>
    <t>trimester</t>
  </si>
  <si>
    <t>other</t>
  </si>
  <si>
    <t>location</t>
  </si>
  <si>
    <t>on reservation</t>
  </si>
  <si>
    <t>off reservation</t>
  </si>
  <si>
    <t>land granted status</t>
  </si>
  <si>
    <t>yes</t>
  </si>
  <si>
    <t>no</t>
  </si>
  <si>
    <t>AY 2003-04</t>
  </si>
  <si>
    <t>AY 2004-05</t>
  </si>
  <si>
    <t>AY 2005-06</t>
  </si>
  <si>
    <t>AY 2006-07</t>
  </si>
  <si>
    <t>AY 2007-08</t>
  </si>
  <si>
    <t>Total</t>
  </si>
  <si>
    <t>American Indian</t>
  </si>
  <si>
    <t>Non-Indian</t>
  </si>
  <si>
    <t>M</t>
  </si>
  <si>
    <t>F</t>
  </si>
  <si>
    <t>AY 2008-09</t>
  </si>
  <si>
    <t>Tribe</t>
  </si>
  <si>
    <t># Enrolled</t>
  </si>
  <si>
    <t>% of Enrollment</t>
  </si>
  <si>
    <t>INSTRUCTIONS</t>
  </si>
  <si>
    <t>First Time Entering Student Enrollment</t>
  </si>
  <si>
    <t xml:space="preserve"> Public High School not located on a reservation</t>
  </si>
  <si>
    <t>Full Time</t>
  </si>
  <si>
    <t xml:space="preserve"> Reservation-based public High School</t>
  </si>
  <si>
    <t>Part Time</t>
  </si>
  <si>
    <t xml:space="preserve"> BIA school</t>
  </si>
  <si>
    <t xml:space="preserve"> Tribal or Contract High School</t>
  </si>
  <si>
    <t xml:space="preserve"> Other High School</t>
  </si>
  <si>
    <t>First Time Entering Students Pre-College Preparation</t>
  </si>
  <si>
    <t>Number of students who</t>
  </si>
  <si>
    <t xml:space="preserve"> Graduated High School with Diploma</t>
  </si>
  <si>
    <t>Number of students who are</t>
  </si>
  <si>
    <t xml:space="preserve"> Earned GED</t>
  </si>
  <si>
    <t xml:space="preserve"> Single - No Children</t>
  </si>
  <si>
    <t xml:space="preserve"> Enrolled under Ability to Benefit provision</t>
  </si>
  <si>
    <t xml:space="preserve"> Single with dependent children</t>
  </si>
  <si>
    <t xml:space="preserve"> Married - No Children</t>
  </si>
  <si>
    <t xml:space="preserve"> Have No High School Diploma or GED</t>
  </si>
  <si>
    <t>605-455-6037</t>
  </si>
  <si>
    <t>605-455-6033</t>
  </si>
  <si>
    <t>605-455-6079</t>
  </si>
  <si>
    <t>605-455-6045</t>
  </si>
  <si>
    <t>tshortb@olc.edu</t>
  </si>
  <si>
    <t>dwinters@olc.edu</t>
  </si>
  <si>
    <t>bhornbeck@olc.edu</t>
  </si>
  <si>
    <t>lmesteth@olc.edu</t>
  </si>
  <si>
    <t>cdelong@olc.edu</t>
  </si>
  <si>
    <t>mpourier@olc.edu</t>
  </si>
  <si>
    <t>Oglala Sioux Tribe                                             115</t>
  </si>
  <si>
    <t>Cheyenne River Sioux Tribe                                6</t>
  </si>
  <si>
    <t>Rosebud Sioux Tribe                                           3</t>
  </si>
  <si>
    <t>Cherokee                                                             1</t>
  </si>
  <si>
    <t>Pueblo                                                                 1</t>
  </si>
  <si>
    <t>Tribe unknown                                                     2</t>
  </si>
  <si>
    <t xml:space="preserve">Pine Ridge Reservation in South Dakota was established in 1889 after breaking up the Great Sioux Nation in 1868. The Pine Ridge Reservation has a population of 32,892 persons (HUD, 2012) who live in an area of over 3,648 square miles (larger than Delaware and Rhode Island together).  The Bureau of Indian Affairs in its latest report, estimates that there are 46,855 members enrolled in the Oglala Sioux (Lakota) Tribe who live in the service area, which includes the Pine Ridge Reservation, Rapid City, and adjacent areas (BIA Labor Force Report, 2005).  The only major city within a couple of hours driving distance from Pine Ridge is Rapid City (population 78,000). Chadron, Gordon and Rushville, NE are all within an hour of the southern Reservation boundary.  None have a population over 5,000.  The Pine Ridge Reservation has a representative government operating under a 1936 Indian Reorganization Act constitution.   The legislative body is the 19 member Oglala Sioux Tribal Council.  President and Vice-President are elected at large, and there is a five member Executive board.   The Tribe is regarded as a sovereign nation according to US laws and treaties. The Tribe charters independent organizations like Oglala Lakota College, Oglala Sioux Department of Public Safety and Oglala Sioux (Lakota) Housing.  The reservation is divided into nine districts with each having an elected district government and each electing representatives to the Tribal Council (www.oglalalakotanation.org). The state of South Dakota has divided the reservation into counties:  Shannon is entirely within the reservation. Bennett and Jackson counties include three of the reservation districts and state jurisdiction areas as well.
Distance, weather conditions, and the lack of serviceable automobiles are major transportation barriers with which reservation residents contend.  Public transportation has just started on the reservation, and has limited service. Isolated homes and communities are served by gravel roads. Many homes on the reservation are inaccessible during periods of blizzards or heavy rain.  
Poverty has always been a feature of the Pine Ridge population.  According to the 2010 U.S. Census, the Oglala Lakota per capita income was $7,772 and the poverty level was 53.5% for Shannon County, (four times the national average).  The median income of residents in Shannon County from 2006 to 2010 was $24,392, almost half of that of the median of the country as a whole (US Census, Quickfacts).   
The number of persons living in a housing unit is nearly double the national median.  It is common for multiple families to live in a two bedroom house.  87% of K/12 students on the Reservation receive free or reduced price lunches.  16.1% of adults over 25 are college graduates compared with 25.3% of the US population (US Census, Quickfacts).  
The BIA (2012a) gives the unemployment rate on the Reservation to be 89% with 34% of those employed still living below the poverty line.  The State of South Dakota Office of Tribal Relations says that in 2000 33.4% of the labor force was unemployed, and that in 2005, 89% of Oglala Lakota tribal members were unemployed (SD Tribal Relations).  This variation in numbers is the results of different definitions of unemployment as used by the US Census and other agencies.
The Indian Health Service (IHS) US Department of Health and Human Services Report – Regional Differences in Indian Health 2002-2003 -  the latest data collected - showed that the Aberdeen Area (which includes the Reservation) had the following death rates above the US average.
            Alcohol related           +1290%                        Tuberculosis                         +  262%
            Homicide                    +    87%                        Heart disease                         +  50%
            Suicide                        +  212%                        Diabetes                                +  514%     
Native Americans smoke at twice the rate (46.5%) of other races, and infant mortality is over double that of the US average (Argus Leader (2007).  Alcoholism affects 85% of families on the reservation (Woodward, 2012).  Life expectancy for males on the reservation is 56.5 years and women 66 years (Kukarni et al, 2011).   
Scores on the standardized tests given as part of the federal No Child Left Behind effort in Spring 2011showed all students in South Dakota were 75% proficient in reading while 48% of Native Americans were proficient.  The same ratio was true for math.  83% of all students starting the 9th grade graduated from high school in South Dakota, while 49% of Native-Americans did (Achievement Gap, 2012).  
OLC started offering classes at Mother Butler Center in Rapid City, SD at the request of the Indian community in 1985. In 1990 OLC built the He Sapa Instructional Center and has expanded the building twice since then. Many people from the Pine Ridge and Cheyenne River Reservation move to Rapid City for jobs and housing. The US Census put the Indian population of Rapid City at about 12,000 but as with the Reservation, Indian people are undercounted in the Census.
</t>
  </si>
  <si>
    <t>1.  Time spent on the road; all OLC faculty drive significatn distance4s to get to their classes and to the main administrative site.  Many employees have a round trip of 180 to 200 miles a day.  Traveling in bad weather is hazardous.  2. Student attendance in classes is a challenge; OLC policy allows four absenses (between 25 and 30% of the semester); homework is not turned in on time.</t>
  </si>
  <si>
    <t>Current Fiscal Year (FY 12-13) Operational Funding Received from the State (Perkins money)</t>
  </si>
  <si>
    <t>Youth activities, business of art training, communication skills, climage change preparation training, meeting room, training space for community, Native American Research Centers for Health, National Institute for Health Biomedical Research Infrastructure Network, school districts, tribal programs</t>
  </si>
  <si>
    <t>All graduat students carry out school-. and community action projects.  More information is attached.  Research Class.</t>
  </si>
  <si>
    <t>Community/Continuing Education Department</t>
  </si>
  <si>
    <t>BIA/ABE</t>
  </si>
  <si>
    <t>no cost to students</t>
  </si>
  <si>
    <t>Nursing Department - Certified Nursing Assistant</t>
  </si>
  <si>
    <t>Credit where Credit is Due</t>
  </si>
  <si>
    <t>Lakota Fund</t>
  </si>
  <si>
    <t>Financial Literacy</t>
  </si>
  <si>
    <t>Tax Preparation</t>
  </si>
  <si>
    <t>Home Buyers Class</t>
  </si>
  <si>
    <t>Job Corps</t>
  </si>
  <si>
    <t>Public Safety</t>
  </si>
  <si>
    <t>Mind/Body Medicine</t>
  </si>
  <si>
    <t>Strong Heart</t>
  </si>
  <si>
    <t>OST Fire Department</t>
  </si>
  <si>
    <t>Tom Boy Tools</t>
  </si>
  <si>
    <t>Obama Care</t>
  </si>
  <si>
    <t>none</t>
  </si>
  <si>
    <t>Indian Health Service</t>
  </si>
  <si>
    <t>Maza Ska</t>
  </si>
  <si>
    <t>Soc. Security Admiln.</t>
  </si>
  <si>
    <t>Re. Speakers of American Indian languages: the numbers reflect Yes/No answers only.</t>
  </si>
  <si>
    <t>Oglala Lakota College Center for Science and Technology</t>
  </si>
  <si>
    <t>22 museum cabinets, 5 hoods, 8 cabinets, 2 sinks, 2 tables, UV disinfector, labor, miscelleaneous</t>
  </si>
  <si>
    <t>Laboratory renovations and Tribal Reposistory</t>
  </si>
  <si>
    <t>Department of Math, Science, and Technology</t>
  </si>
  <si>
    <t>$4,900 + installation</t>
  </si>
  <si>
    <t>Multi-site polycom and smart board for departmental use</t>
  </si>
  <si>
    <t>Piya Wiconi Campus, 3 instructional sites, Rapid City server station</t>
  </si>
  <si>
    <t>1 and various and multiple</t>
  </si>
  <si>
    <t>Polycom bridge and upgrades to computing infrastructure</t>
  </si>
  <si>
    <t>Northern PlainsTrib C HB</t>
  </si>
  <si>
    <t>Diabetic Screening</t>
  </si>
  <si>
    <t>Cancer Awareness</t>
  </si>
  <si>
    <t>Screening &amp; Education</t>
  </si>
  <si>
    <t>Diabetic &amp; Nutritional Program</t>
  </si>
  <si>
    <t>Nutrition $ Wellness</t>
  </si>
  <si>
    <t>HIS Wellness Lectures</t>
  </si>
  <si>
    <t>HIS Education Program</t>
  </si>
  <si>
    <t>Veteran's Vol Program</t>
  </si>
  <si>
    <t>Veteran's Benefit by VA</t>
  </si>
  <si>
    <t>General Information</t>
  </si>
  <si>
    <t>Flu Shots</t>
  </si>
  <si>
    <t>N.A.</t>
  </si>
  <si>
    <t>Graduates are not tracked after graduation.  Graduates who took remedial courses are not tracked.  Graduates who received ACF are not tracked.</t>
  </si>
  <si>
    <t>Students are not tracked after graduation.  OLC does not offer apprenticeships, associate or bachelor degrees in Lakota language.</t>
  </si>
  <si>
    <t>OLC does not offer apprenticeships, Diplomas, or Certificates or a master's degree  in this discipline.  OLC does not track graduates, nor who received ACF or took remedial courses.</t>
  </si>
  <si>
    <t>OLC does not offer apprenticeships, diplomas certificates bachelor's degrees or master's degrees in this discipline. OLC does not track graduates, remedial courses or ACF  recipients.</t>
  </si>
  <si>
    <t>Apprenticeships, diplomas, bachelor's or master's degrees are not offered in this discilplien. Graduates are not tracked on the dimensions stated.</t>
  </si>
  <si>
    <t>We do not have any majors in this program and do not track graduates in the areas noted.</t>
  </si>
  <si>
    <t>We do not have employees that combine three functions.</t>
  </si>
  <si>
    <t>Attachment for tab 1.5 for the Math &amp; Science department and the Agriculture Extension Department</t>
  </si>
  <si>
    <t>Graduates are not tracked after graduation.  Graduates who took remedial courses are not tracked.  Graduates who received ACF are not tracked.  We do not offer apprenticeship, diploma, certificates, or master's degrees in this discipline.</t>
  </si>
  <si>
    <t>N"NA" denotes program is not offered.  Graduates are not tracked.</t>
  </si>
  <si>
    <t>NA denotes that the program is not offered. We do not track graduates.</t>
  </si>
  <si>
    <t>NA denotes, program is not offered.  We do not track graduates.</t>
  </si>
  <si>
    <t>NA denotes we do not offer the program.  Graduates are not tracked.</t>
  </si>
  <si>
    <t>NA denotes we do not have the program.  We do not track graduates.</t>
  </si>
  <si>
    <t>NA denotes we do not offer the program.  We do not track graduates.</t>
  </si>
  <si>
    <t>NA denotes that we do not offer the program.  We do not track graduates.</t>
  </si>
  <si>
    <t>We do not track graduates.</t>
  </si>
  <si>
    <t>College Success is no longer required.  We do not have a winter semester.</t>
  </si>
  <si>
    <t>We do not offer remedial classes in science.  We do not have a winter semester.</t>
  </si>
  <si>
    <t>We only offer around 12 courses via online per semester.  Only 300 &amp; 400 level courses are offered on line.  We do not have distance education other than pictel classes and these are not tracked separately.</t>
  </si>
  <si>
    <t>We have not tracked these items so far.</t>
  </si>
  <si>
    <t>Re. Speakers of American Indian Languages: the numbers represent yes/no answers.  Numbers on student's household income reflect only students who completed a FAFSA.</t>
  </si>
  <si>
    <t>Students, General Community</t>
  </si>
  <si>
    <t xml:space="preserve">We do not have a winter semester; we do not track distance Courses separately.  </t>
  </si>
  <si>
    <t>Shannon County schools, Oglala Sioux Tribe, Indian Health Service, Oglala Lakota College, Federal Government,</t>
  </si>
  <si>
    <t xml:space="preserve">We only recently started to track these data and, as of now only have an estimated number of 12 undergraduates students and probably only 2-4 with documented disabilities.  
We are only now beginning to track students with disabilities.
</t>
  </si>
  <si>
    <t>Thomas Shortbull, President</t>
  </si>
  <si>
    <t>G.E.D.</t>
  </si>
  <si>
    <t>Nursing Assistant</t>
  </si>
  <si>
    <t>Banking</t>
  </si>
  <si>
    <t>Budgeting</t>
  </si>
  <si>
    <t>Taxes</t>
  </si>
  <si>
    <t>Home buyers</t>
  </si>
  <si>
    <t>Workplace development</t>
  </si>
  <si>
    <t>Physical well being</t>
  </si>
  <si>
    <t>Heart health</t>
  </si>
  <si>
    <t>Prevention</t>
  </si>
  <si>
    <t>Money Management</t>
  </si>
  <si>
    <t>development</t>
  </si>
  <si>
    <t>Health Care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</si>
</sst>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
    <numFmt numFmtId="165" formatCode="0.0"/>
  </numFmts>
  <fonts count="66" x14ac:knownFonts="1">
    <font>
      <sz val="11"/>
      <color theme="1"/>
      <name val="Calibri"/>
      <family val="2"/>
      <scheme val="minor"/>
    </font>
    <font>
      <sz val="10"/>
      <name val="Arial"/>
      <family val="2"/>
    </font>
    <font>
      <b/>
      <sz val="14"/>
      <name val="Arial"/>
      <family val="2"/>
    </font>
    <font>
      <sz val="10"/>
      <color indexed="8"/>
      <name val="Arial"/>
      <family val="2"/>
    </font>
    <font>
      <b/>
      <sz val="11"/>
      <color indexed="8"/>
      <name val="Arial"/>
      <family val="2"/>
    </font>
    <font>
      <u/>
      <sz val="10"/>
      <color indexed="12"/>
      <name val="Arial"/>
      <family val="2"/>
    </font>
    <font>
      <b/>
      <sz val="10"/>
      <color indexed="8"/>
      <name val="Arial"/>
      <family val="2"/>
    </font>
    <font>
      <u/>
      <sz val="8"/>
      <color indexed="12"/>
      <name val="Arial"/>
      <family val="2"/>
    </font>
    <font>
      <sz val="9"/>
      <color indexed="8"/>
      <name val="Arial"/>
      <family val="2"/>
    </font>
    <font>
      <b/>
      <sz val="9"/>
      <color indexed="8"/>
      <name val="Arial"/>
      <family val="2"/>
    </font>
    <font>
      <sz val="8"/>
      <color indexed="8"/>
      <name val="Arial"/>
      <family val="2"/>
    </font>
    <font>
      <vertAlign val="superscript"/>
      <sz val="9"/>
      <color indexed="8"/>
      <name val="Arial"/>
      <family val="2"/>
    </font>
    <font>
      <sz val="10"/>
      <name val="Verdana"/>
      <family val="2"/>
    </font>
    <font>
      <sz val="10"/>
      <color indexed="9"/>
      <name val="Arial"/>
      <family val="2"/>
    </font>
    <font>
      <b/>
      <sz val="10"/>
      <name val="Arial"/>
      <family val="2"/>
    </font>
    <font>
      <b/>
      <sz val="11"/>
      <name val="Arial"/>
      <family val="2"/>
    </font>
    <font>
      <b/>
      <sz val="11"/>
      <color indexed="37"/>
      <name val="Arial"/>
      <family val="2"/>
    </font>
    <font>
      <sz val="9"/>
      <name val="Arial"/>
      <family val="2"/>
    </font>
    <font>
      <b/>
      <sz val="9"/>
      <name val="Arial"/>
      <family val="2"/>
    </font>
    <font>
      <sz val="8"/>
      <name val="Arial"/>
      <family val="2"/>
    </font>
    <font>
      <b/>
      <sz val="10"/>
      <color indexed="58"/>
      <name val="Arial"/>
      <family val="2"/>
    </font>
    <font>
      <sz val="9"/>
      <color indexed="58"/>
      <name val="Arial"/>
      <family val="2"/>
    </font>
    <font>
      <b/>
      <sz val="13"/>
      <color indexed="37"/>
      <name val="Arial"/>
      <family val="2"/>
    </font>
    <font>
      <b/>
      <sz val="8"/>
      <name val="Arial"/>
      <family val="2"/>
    </font>
    <font>
      <b/>
      <sz val="12"/>
      <name val="Arial"/>
      <family val="2"/>
    </font>
    <font>
      <b/>
      <sz val="9"/>
      <color indexed="9"/>
      <name val="Arial"/>
      <family val="2"/>
    </font>
    <font>
      <sz val="8.5"/>
      <name val="Arial"/>
      <family val="2"/>
    </font>
    <font>
      <b/>
      <sz val="8.5"/>
      <name val="Arial"/>
      <family val="2"/>
    </font>
    <font>
      <b/>
      <sz val="8.5"/>
      <color indexed="8"/>
      <name val="Arial"/>
      <family val="2"/>
    </font>
    <font>
      <sz val="8.5"/>
      <color indexed="8"/>
      <name val="Arial"/>
      <family val="2"/>
    </font>
    <font>
      <sz val="11"/>
      <color indexed="8"/>
      <name val="Arial"/>
      <family val="2"/>
    </font>
    <font>
      <sz val="9"/>
      <color indexed="8"/>
      <name val="Arial"/>
      <family val="2"/>
    </font>
    <font>
      <sz val="11"/>
      <color indexed="8"/>
      <name val="Arial"/>
      <family val="2"/>
    </font>
    <font>
      <sz val="10"/>
      <color indexed="8"/>
      <name val="Arial"/>
      <family val="2"/>
    </font>
    <font>
      <sz val="8"/>
      <color indexed="8"/>
      <name val="Arial"/>
      <family val="2"/>
    </font>
    <font>
      <sz val="9"/>
      <color indexed="8"/>
      <name val="Arial"/>
      <family val="2"/>
    </font>
    <font>
      <b/>
      <sz val="9"/>
      <color indexed="8"/>
      <name val="Arial"/>
      <family val="2"/>
    </font>
    <font>
      <b/>
      <sz val="8"/>
      <color indexed="8"/>
      <name val="Arial"/>
      <family val="2"/>
    </font>
    <font>
      <sz val="11"/>
      <color indexed="9"/>
      <name val="Arial"/>
      <family val="2"/>
    </font>
    <font>
      <sz val="8"/>
      <color indexed="8"/>
      <name val="Arial"/>
      <family val="2"/>
    </font>
    <font>
      <sz val="10"/>
      <color indexed="9"/>
      <name val="Arial"/>
      <family val="2"/>
    </font>
    <font>
      <sz val="9"/>
      <color indexed="9"/>
      <name val="Arial"/>
      <family val="2"/>
    </font>
    <font>
      <b/>
      <sz val="10"/>
      <color indexed="8"/>
      <name val="Arial"/>
      <family val="2"/>
    </font>
    <font>
      <b/>
      <sz val="9"/>
      <color indexed="8"/>
      <name val="Arial"/>
      <family val="2"/>
    </font>
    <font>
      <b/>
      <sz val="11"/>
      <color indexed="8"/>
      <name val="Arial"/>
      <family val="2"/>
    </font>
    <font>
      <b/>
      <sz val="11"/>
      <color indexed="8"/>
      <name val="Arial"/>
      <family val="2"/>
    </font>
    <font>
      <sz val="10"/>
      <color indexed="8"/>
      <name val="Arial"/>
      <family val="2"/>
    </font>
    <font>
      <b/>
      <sz val="10"/>
      <color indexed="8"/>
      <name val="Arial"/>
      <family val="2"/>
    </font>
    <font>
      <sz val="12"/>
      <name val="Arial"/>
      <family val="2"/>
    </font>
    <font>
      <sz val="7"/>
      <name val="Arial"/>
      <family val="2"/>
    </font>
    <font>
      <sz val="14"/>
      <name val="Arial"/>
      <family val="2"/>
    </font>
    <font>
      <b/>
      <vertAlign val="superscript"/>
      <sz val="9"/>
      <color indexed="8"/>
      <name val="Arial"/>
      <family val="2"/>
    </font>
    <font>
      <b/>
      <sz val="12"/>
      <color indexed="8"/>
      <name val="Arial"/>
      <family val="2"/>
    </font>
    <font>
      <b/>
      <sz val="9"/>
      <color indexed="60"/>
      <name val="Arial"/>
      <family val="2"/>
    </font>
    <font>
      <b/>
      <i/>
      <sz val="11"/>
      <color indexed="8"/>
      <name val="Arial"/>
      <family val="2"/>
    </font>
    <font>
      <b/>
      <i/>
      <sz val="10"/>
      <color indexed="8"/>
      <name val="Arial"/>
      <family val="2"/>
    </font>
    <font>
      <sz val="11"/>
      <color indexed="8"/>
      <name val="Arial Narrow"/>
      <family val="2"/>
    </font>
    <font>
      <b/>
      <sz val="11"/>
      <color indexed="8"/>
      <name val="Arial Narrow"/>
      <family val="2"/>
    </font>
    <font>
      <sz val="11"/>
      <color indexed="8"/>
      <name val="Arial Narrow"/>
      <family val="2"/>
    </font>
    <font>
      <i/>
      <sz val="8"/>
      <color indexed="8"/>
      <name val="Arial"/>
      <family val="2"/>
    </font>
    <font>
      <b/>
      <sz val="11"/>
      <color indexed="8"/>
      <name val="Calibri"/>
      <family val="2"/>
    </font>
    <font>
      <sz val="7.5"/>
      <color indexed="8"/>
      <name val="Arial"/>
      <family val="2"/>
    </font>
    <font>
      <sz val="8.5"/>
      <color indexed="8"/>
      <name val="Arial"/>
      <family val="2"/>
    </font>
    <font>
      <b/>
      <sz val="8.5"/>
      <color indexed="8"/>
      <name val="Arial"/>
      <family val="2"/>
    </font>
    <font>
      <sz val="9"/>
      <color indexed="8"/>
      <name val="Calibri"/>
      <family val="2"/>
    </font>
    <font>
      <sz val="8"/>
      <name val="Calibri"/>
      <family val="2"/>
    </font>
  </fonts>
  <fills count="14">
    <fill>
      <patternFill patternType="none"/>
    </fill>
    <fill>
      <patternFill patternType="gray125"/>
    </fill>
    <fill>
      <patternFill patternType="solid">
        <fgColor indexed="9"/>
        <bgColor indexed="64"/>
      </patternFill>
    </fill>
    <fill>
      <patternFill patternType="solid">
        <fgColor indexed="49"/>
        <bgColor indexed="64"/>
      </patternFill>
    </fill>
    <fill>
      <patternFill patternType="solid">
        <fgColor indexed="27"/>
        <bgColor indexed="64"/>
      </patternFill>
    </fill>
    <fill>
      <patternFill patternType="solid">
        <fgColor indexed="22"/>
        <bgColor indexed="64"/>
      </patternFill>
    </fill>
    <fill>
      <patternFill patternType="solid">
        <fgColor indexed="23"/>
        <bgColor indexed="64"/>
      </patternFill>
    </fill>
    <fill>
      <patternFill patternType="solid">
        <fgColor indexed="55"/>
        <bgColor indexed="64"/>
      </patternFill>
    </fill>
    <fill>
      <patternFill patternType="solid">
        <fgColor indexed="44"/>
        <bgColor indexed="64"/>
      </patternFill>
    </fill>
    <fill>
      <patternFill patternType="solid">
        <fgColor indexed="26"/>
        <bgColor indexed="64"/>
      </patternFill>
    </fill>
    <fill>
      <patternFill patternType="solid">
        <fgColor indexed="42"/>
        <bgColor indexed="64"/>
      </patternFill>
    </fill>
    <fill>
      <patternFill patternType="solid">
        <fgColor indexed="47"/>
        <bgColor indexed="64"/>
      </patternFill>
    </fill>
    <fill>
      <patternFill patternType="solid">
        <fgColor indexed="29"/>
        <bgColor indexed="64"/>
      </patternFill>
    </fill>
    <fill>
      <patternFill patternType="solid">
        <fgColor indexed="45"/>
        <bgColor indexed="64"/>
      </patternFill>
    </fill>
  </fills>
  <borders count="207">
    <border>
      <left/>
      <right/>
      <top/>
      <bottom/>
      <diagonal/>
    </border>
    <border>
      <left style="medium">
        <color indexed="64"/>
      </left>
      <right/>
      <top/>
      <bottom/>
      <diagonal/>
    </border>
    <border>
      <left style="double">
        <color indexed="64"/>
      </left>
      <right/>
      <top/>
      <bottom style="thin">
        <color indexed="64"/>
      </bottom>
      <diagonal/>
    </border>
    <border>
      <left style="double">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double">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style="hair">
        <color indexed="64"/>
      </right>
      <top style="hair">
        <color indexed="64"/>
      </top>
      <bottom style="hair">
        <color indexed="64"/>
      </bottom>
      <diagonal/>
    </border>
    <border>
      <left/>
      <right/>
      <top/>
      <bottom style="thin">
        <color indexed="64"/>
      </bottom>
      <diagonal/>
    </border>
    <border>
      <left/>
      <right style="hair">
        <color indexed="64"/>
      </right>
      <top/>
      <bottom style="thin">
        <color indexed="64"/>
      </bottom>
      <diagonal/>
    </border>
    <border>
      <left style="double">
        <color indexed="64"/>
      </left>
      <right style="hair">
        <color indexed="64"/>
      </right>
      <top/>
      <bottom style="hair">
        <color indexed="64"/>
      </bottom>
      <diagonal/>
    </border>
    <border>
      <left/>
      <right style="double">
        <color indexed="64"/>
      </right>
      <top style="thin">
        <color indexed="64"/>
      </top>
      <bottom style="hair">
        <color indexed="64"/>
      </bottom>
      <diagonal/>
    </border>
    <border>
      <left/>
      <right style="hair">
        <color indexed="64"/>
      </right>
      <top style="thin">
        <color indexed="64"/>
      </top>
      <bottom style="thin">
        <color indexed="64"/>
      </bottom>
      <diagonal/>
    </border>
    <border>
      <left/>
      <right style="double">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hair">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hair">
        <color indexed="64"/>
      </left>
      <right style="double">
        <color indexed="64"/>
      </right>
      <top/>
      <bottom style="hair">
        <color indexed="64"/>
      </bottom>
      <diagonal/>
    </border>
    <border>
      <left style="double">
        <color indexed="64"/>
      </left>
      <right style="hair">
        <color indexed="64"/>
      </right>
      <top style="hair">
        <color indexed="64"/>
      </top>
      <bottom style="thin">
        <color indexed="64"/>
      </bottom>
      <diagonal/>
    </border>
    <border>
      <left/>
      <right style="double">
        <color indexed="64"/>
      </right>
      <top style="hair">
        <color indexed="64"/>
      </top>
      <bottom style="hair">
        <color indexed="64"/>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style="hair">
        <color indexed="64"/>
      </bottom>
      <diagonal/>
    </border>
    <border>
      <left/>
      <right style="double">
        <color indexed="64"/>
      </right>
      <top style="hair">
        <color indexed="64"/>
      </top>
      <bottom style="thin">
        <color indexed="64"/>
      </bottom>
      <diagonal/>
    </border>
    <border>
      <left style="double">
        <color indexed="64"/>
      </left>
      <right style="hair">
        <color indexed="64"/>
      </right>
      <top style="thin">
        <color indexed="64"/>
      </top>
      <bottom style="hair">
        <color indexed="64"/>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hair">
        <color indexed="64"/>
      </left>
      <right style="hair">
        <color indexed="64"/>
      </right>
      <top/>
      <bottom style="thin">
        <color indexed="64"/>
      </bottom>
      <diagonal/>
    </border>
    <border>
      <left/>
      <right style="thin">
        <color indexed="64"/>
      </right>
      <top/>
      <bottom style="hair">
        <color indexed="64"/>
      </bottom>
      <diagonal/>
    </border>
    <border>
      <left style="hair">
        <color indexed="64"/>
      </left>
      <right style="hair">
        <color indexed="64"/>
      </right>
      <top/>
      <bottom style="hair">
        <color indexed="64"/>
      </bottom>
      <diagonal/>
    </border>
    <border>
      <left style="double">
        <color indexed="64"/>
      </left>
      <right/>
      <top/>
      <bottom/>
      <diagonal/>
    </border>
    <border>
      <left/>
      <right style="thin">
        <color indexed="64"/>
      </right>
      <top/>
      <bottom/>
      <diagonal/>
    </border>
    <border>
      <left/>
      <right style="double">
        <color indexed="64"/>
      </right>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double">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right/>
      <top style="thin">
        <color indexed="64"/>
      </top>
      <bottom/>
      <diagonal/>
    </border>
    <border>
      <left/>
      <right style="hair">
        <color indexed="64"/>
      </right>
      <top style="thin">
        <color indexed="64"/>
      </top>
      <bottom/>
      <diagonal/>
    </border>
    <border>
      <left/>
      <right style="hair">
        <color indexed="64"/>
      </right>
      <top/>
      <bottom/>
      <diagonal/>
    </border>
    <border>
      <left/>
      <right/>
      <top style="hair">
        <color indexed="64"/>
      </top>
      <bottom style="thin">
        <color indexed="64"/>
      </bottom>
      <diagonal/>
    </border>
    <border>
      <left style="double">
        <color indexed="64"/>
      </left>
      <right/>
      <top style="hair">
        <color indexed="64"/>
      </top>
      <bottom style="thin">
        <color indexed="64"/>
      </bottom>
      <diagonal/>
    </border>
    <border>
      <left style="double">
        <color indexed="64"/>
      </left>
      <right style="hair">
        <color indexed="64"/>
      </right>
      <top/>
      <bottom style="thin">
        <color indexed="64"/>
      </bottom>
      <diagonal/>
    </border>
    <border>
      <left/>
      <right style="hair">
        <color indexed="64"/>
      </right>
      <top style="hair">
        <color indexed="64"/>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
      <left style="hair">
        <color indexed="64"/>
      </left>
      <right style="thin">
        <color indexed="64"/>
      </right>
      <top/>
      <bottom style="thin">
        <color indexed="64"/>
      </bottom>
      <diagonal/>
    </border>
    <border>
      <left style="hair">
        <color indexed="64"/>
      </left>
      <right/>
      <top style="thin">
        <color indexed="64"/>
      </top>
      <bottom style="hair">
        <color indexed="64"/>
      </bottom>
      <diagonal/>
    </border>
    <border>
      <left style="double">
        <color indexed="64"/>
      </left>
      <right/>
      <top style="double">
        <color indexed="64"/>
      </top>
      <bottom style="thin">
        <color indexed="64"/>
      </bottom>
      <diagonal/>
    </border>
    <border>
      <left style="double">
        <color indexed="64"/>
      </left>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medium">
        <color indexed="64"/>
      </left>
      <right/>
      <top/>
      <bottom style="medium">
        <color indexed="64"/>
      </bottom>
      <diagonal/>
    </border>
    <border>
      <left/>
      <right style="double">
        <color indexed="64"/>
      </right>
      <top style="double">
        <color indexed="64"/>
      </top>
      <bottom style="thin">
        <color indexed="64"/>
      </bottom>
      <diagonal/>
    </border>
    <border>
      <left/>
      <right/>
      <top style="double">
        <color indexed="64"/>
      </top>
      <bottom style="thin">
        <color indexed="64"/>
      </bottom>
      <diagonal/>
    </border>
    <border>
      <left style="double">
        <color indexed="64"/>
      </left>
      <right/>
      <top style="thin">
        <color indexed="8"/>
      </top>
      <bottom/>
      <diagonal/>
    </border>
    <border>
      <left style="double">
        <color indexed="64"/>
      </left>
      <right/>
      <top/>
      <bottom style="thin">
        <color indexed="8"/>
      </bottom>
      <diagonal/>
    </border>
    <border>
      <left style="double">
        <color indexed="64"/>
      </left>
      <right/>
      <top style="thin">
        <color indexed="8"/>
      </top>
      <bottom style="hair">
        <color indexed="8"/>
      </bottom>
      <diagonal/>
    </border>
    <border>
      <left style="double">
        <color indexed="64"/>
      </left>
      <right/>
      <top style="hair">
        <color indexed="8"/>
      </top>
      <bottom style="hair">
        <color indexed="8"/>
      </bottom>
      <diagonal/>
    </border>
    <border>
      <left style="double">
        <color indexed="64"/>
      </left>
      <right/>
      <top/>
      <bottom style="hair">
        <color indexed="8"/>
      </bottom>
      <diagonal/>
    </border>
    <border>
      <left style="double">
        <color indexed="64"/>
      </left>
      <right style="thin">
        <color indexed="64"/>
      </right>
      <top/>
      <bottom style="hair">
        <color indexed="64"/>
      </bottom>
      <diagonal/>
    </border>
    <border>
      <left style="hair">
        <color indexed="64"/>
      </left>
      <right style="double">
        <color indexed="64"/>
      </right>
      <top style="hair">
        <color indexed="64"/>
      </top>
      <bottom style="thin">
        <color indexed="64"/>
      </bottom>
      <diagonal/>
    </border>
    <border>
      <left style="thin">
        <color indexed="64"/>
      </left>
      <right/>
      <top/>
      <bottom style="hair">
        <color indexed="64"/>
      </bottom>
      <diagonal/>
    </border>
    <border>
      <left/>
      <right style="thin">
        <color indexed="64"/>
      </right>
      <top style="hair">
        <color indexed="64"/>
      </top>
      <bottom style="hair">
        <color indexed="64"/>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style="double">
        <color indexed="64"/>
      </right>
      <top style="hair">
        <color indexed="64"/>
      </top>
      <bottom style="hair">
        <color indexed="64"/>
      </bottom>
      <diagonal/>
    </border>
    <border>
      <left style="double">
        <color indexed="64"/>
      </left>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double">
        <color indexed="64"/>
      </right>
      <top style="thin">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thin">
        <color indexed="64"/>
      </left>
      <right style="double">
        <color indexed="64"/>
      </right>
      <top/>
      <bottom/>
      <diagonal/>
    </border>
    <border>
      <left/>
      <right style="thin">
        <color indexed="64"/>
      </right>
      <top style="thin">
        <color indexed="64"/>
      </top>
      <bottom/>
      <diagonal/>
    </border>
    <border>
      <left/>
      <right style="thin">
        <color indexed="8"/>
      </right>
      <top/>
      <bottom/>
      <diagonal/>
    </border>
    <border>
      <left/>
      <right style="double">
        <color indexed="64"/>
      </right>
      <top style="thin">
        <color indexed="64"/>
      </top>
      <bottom/>
      <diagonal/>
    </border>
    <border>
      <left/>
      <right/>
      <top/>
      <bottom style="thin">
        <color indexed="8"/>
      </bottom>
      <diagonal/>
    </border>
    <border>
      <left/>
      <right style="thin">
        <color indexed="8"/>
      </right>
      <top/>
      <bottom style="thin">
        <color indexed="8"/>
      </bottom>
      <diagonal/>
    </border>
    <border>
      <left style="thin">
        <color indexed="64"/>
      </left>
      <right style="double">
        <color indexed="64"/>
      </right>
      <top/>
      <bottom style="thin">
        <color indexed="64"/>
      </bottom>
      <diagonal/>
    </border>
    <border>
      <left/>
      <right/>
      <top style="thin">
        <color indexed="8"/>
      </top>
      <bottom/>
      <diagonal/>
    </border>
    <border>
      <left/>
      <right style="thin">
        <color indexed="8"/>
      </right>
      <top style="thin">
        <color indexed="8"/>
      </top>
      <bottom/>
      <diagonal/>
    </border>
    <border>
      <left style="thin">
        <color indexed="8"/>
      </left>
      <right/>
      <top style="thin">
        <color indexed="64"/>
      </top>
      <bottom style="thin">
        <color indexed="64"/>
      </bottom>
      <diagonal/>
    </border>
    <border>
      <left/>
      <right/>
      <top style="thin">
        <color indexed="8"/>
      </top>
      <bottom style="hair">
        <color indexed="8"/>
      </bottom>
      <diagonal/>
    </border>
    <border>
      <left/>
      <right style="thin">
        <color indexed="64"/>
      </right>
      <top style="thin">
        <color indexed="8"/>
      </top>
      <bottom style="hair">
        <color indexed="8"/>
      </bottom>
      <diagonal/>
    </border>
    <border>
      <left/>
      <right style="thin">
        <color indexed="64"/>
      </right>
      <top/>
      <bottom style="hair">
        <color indexed="8"/>
      </bottom>
      <diagonal/>
    </border>
    <border>
      <left style="double">
        <color indexed="64"/>
      </left>
      <right/>
      <top style="thin">
        <color indexed="64"/>
      </top>
      <bottom/>
      <diagonal/>
    </border>
    <border>
      <left style="hair">
        <color indexed="64"/>
      </left>
      <right style="hair">
        <color indexed="64"/>
      </right>
      <top/>
      <bottom/>
      <diagonal/>
    </border>
    <border>
      <left/>
      <right/>
      <top/>
      <bottom style="hair">
        <color indexed="8"/>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right/>
      <top style="hair">
        <color indexed="64"/>
      </top>
      <bottom/>
      <diagonal/>
    </border>
    <border>
      <left style="double">
        <color indexed="64"/>
      </left>
      <right/>
      <top style="hair">
        <color indexed="64"/>
      </top>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style="thin">
        <color indexed="64"/>
      </right>
      <top style="thin">
        <color indexed="64"/>
      </top>
      <bottom style="thin">
        <color indexed="64"/>
      </bottom>
      <diagonal/>
    </border>
    <border>
      <left/>
      <right style="double">
        <color indexed="64"/>
      </right>
      <top style="hair">
        <color indexed="64"/>
      </top>
      <bottom/>
      <diagonal/>
    </border>
    <border>
      <left/>
      <right/>
      <top style="hair">
        <color indexed="64"/>
      </top>
      <bottom style="medium">
        <color indexed="64"/>
      </bottom>
      <diagonal/>
    </border>
    <border>
      <left/>
      <right style="hair">
        <color indexed="64"/>
      </right>
      <top style="hair">
        <color indexed="64"/>
      </top>
      <bottom style="medium">
        <color indexed="64"/>
      </bottom>
      <diagonal/>
    </border>
    <border>
      <left/>
      <right style="double">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right style="double">
        <color indexed="64"/>
      </right>
      <top style="thin">
        <color indexed="64"/>
      </top>
      <bottom style="medium">
        <color indexed="64"/>
      </bottom>
      <diagonal/>
    </border>
    <border>
      <left style="hair">
        <color indexed="64"/>
      </left>
      <right style="hair">
        <color indexed="64"/>
      </right>
      <top style="hair">
        <color indexed="64"/>
      </top>
      <bottom style="double">
        <color indexed="64"/>
      </bottom>
      <diagonal/>
    </border>
    <border>
      <left style="hair">
        <color indexed="64"/>
      </left>
      <right style="double">
        <color indexed="64"/>
      </right>
      <top style="hair">
        <color indexed="64"/>
      </top>
      <bottom style="double">
        <color indexed="64"/>
      </bottom>
      <diagonal/>
    </border>
    <border>
      <left style="thin">
        <color indexed="64"/>
      </left>
      <right style="thin">
        <color indexed="64"/>
      </right>
      <top style="thin">
        <color indexed="64"/>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double">
        <color indexed="64"/>
      </left>
      <right/>
      <top style="hair">
        <color indexed="8"/>
      </top>
      <bottom/>
      <diagonal/>
    </border>
    <border>
      <left/>
      <right/>
      <top style="hair">
        <color indexed="8"/>
      </top>
      <bottom/>
      <diagonal/>
    </border>
    <border>
      <left/>
      <right style="thin">
        <color indexed="64"/>
      </right>
      <top style="hair">
        <color indexed="8"/>
      </top>
      <bottom/>
      <diagonal/>
    </border>
    <border>
      <left/>
      <right style="hair">
        <color indexed="64"/>
      </right>
      <top style="hair">
        <color indexed="64"/>
      </top>
      <bottom/>
      <diagonal/>
    </border>
    <border>
      <left style="hair">
        <color indexed="64"/>
      </left>
      <right style="double">
        <color indexed="64"/>
      </right>
      <top style="hair">
        <color indexed="64"/>
      </top>
      <bottom/>
      <diagonal/>
    </border>
    <border>
      <left style="hair">
        <color indexed="64"/>
      </left>
      <right style="double">
        <color indexed="64"/>
      </right>
      <top style="thin">
        <color indexed="64"/>
      </top>
      <bottom/>
      <diagonal/>
    </border>
    <border>
      <left/>
      <right/>
      <top style="double">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hair">
        <color indexed="64"/>
      </top>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double">
        <color indexed="64"/>
      </right>
      <top style="thin">
        <color indexed="64"/>
      </top>
      <bottom/>
      <diagonal/>
    </border>
    <border>
      <left style="thin">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thin">
        <color indexed="64"/>
      </right>
      <top/>
      <bottom style="double">
        <color indexed="64"/>
      </bottom>
      <diagonal/>
    </border>
    <border>
      <left style="medium">
        <color indexed="64"/>
      </left>
      <right style="medium">
        <color indexed="64"/>
      </right>
      <top style="medium">
        <color indexed="64"/>
      </top>
      <bottom style="medium">
        <color indexed="64"/>
      </bottom>
      <diagonal/>
    </border>
    <border>
      <left style="double">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thin">
        <color indexed="64"/>
      </right>
      <top style="hair">
        <color indexed="64"/>
      </top>
      <bottom/>
      <diagonal/>
    </border>
    <border>
      <left/>
      <right/>
      <top style="thin">
        <color indexed="64"/>
      </top>
      <bottom style="medium">
        <color indexed="64"/>
      </bottom>
      <diagonal/>
    </border>
    <border>
      <left style="hair">
        <color indexed="64"/>
      </left>
      <right/>
      <top/>
      <bottom/>
      <diagonal/>
    </border>
    <border>
      <left style="hair">
        <color indexed="64"/>
      </left>
      <right style="thin">
        <color indexed="64"/>
      </right>
      <top/>
      <bottom/>
      <diagonal/>
    </border>
    <border>
      <left style="hair">
        <color indexed="64"/>
      </left>
      <right style="thin">
        <color indexed="64"/>
      </right>
      <top style="hair">
        <color indexed="64"/>
      </top>
      <bottom style="medium">
        <color indexed="64"/>
      </bottom>
      <diagonal/>
    </border>
    <border>
      <left style="hair">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diagonal/>
    </border>
    <border>
      <left style="hair">
        <color indexed="64"/>
      </left>
      <right style="double">
        <color indexed="64"/>
      </right>
      <top/>
      <bottom/>
      <diagonal/>
    </border>
    <border>
      <left style="hair">
        <color indexed="64"/>
      </left>
      <right/>
      <top style="thin">
        <color indexed="64"/>
      </top>
      <bottom style="thin">
        <color indexed="64"/>
      </bottom>
      <diagonal/>
    </border>
    <border>
      <left/>
      <right style="thin">
        <color indexed="64"/>
      </right>
      <top style="hair">
        <color indexed="64"/>
      </top>
      <bottom style="medium">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medium">
        <color indexed="64"/>
      </bottom>
      <diagonal/>
    </border>
    <border>
      <left style="hair">
        <color indexed="64"/>
      </left>
      <right/>
      <top style="thin">
        <color indexed="64"/>
      </top>
      <bottom/>
      <diagonal/>
    </border>
    <border>
      <left style="thin">
        <color indexed="64"/>
      </left>
      <right style="hair">
        <color indexed="64"/>
      </right>
      <top/>
      <bottom/>
      <diagonal/>
    </border>
    <border>
      <left style="double">
        <color indexed="64"/>
      </left>
      <right style="hair">
        <color indexed="64"/>
      </right>
      <top style="hair">
        <color indexed="64"/>
      </top>
      <bottom style="double">
        <color indexed="64"/>
      </bottom>
      <diagonal/>
    </border>
    <border>
      <left style="hair">
        <color indexed="64"/>
      </left>
      <right/>
      <top/>
      <bottom style="thin">
        <color indexed="64"/>
      </bottom>
      <diagonal/>
    </border>
    <border>
      <left style="hair">
        <color indexed="64"/>
      </left>
      <right/>
      <top/>
      <bottom style="hair">
        <color indexed="64"/>
      </bottom>
      <diagonal/>
    </border>
    <border>
      <left style="thin">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top style="hair">
        <color indexed="64"/>
      </top>
      <bottom style="medium">
        <color indexed="64"/>
      </bottom>
      <diagonal/>
    </border>
    <border>
      <left style="thin">
        <color indexed="64"/>
      </left>
      <right/>
      <top style="hair">
        <color indexed="64"/>
      </top>
      <bottom style="thin">
        <color indexed="64"/>
      </bottom>
      <diagonal/>
    </border>
    <border>
      <left style="thin">
        <color indexed="64"/>
      </left>
      <right/>
      <top/>
      <bottom style="thin">
        <color indexed="64"/>
      </bottom>
      <diagonal/>
    </border>
    <border>
      <left style="hair">
        <color indexed="64"/>
      </left>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right/>
      <top style="hair">
        <color indexed="64"/>
      </top>
      <bottom style="double">
        <color indexed="64"/>
      </bottom>
      <diagonal/>
    </border>
    <border>
      <left style="double">
        <color indexed="64"/>
      </left>
      <right/>
      <top style="hair">
        <color indexed="64"/>
      </top>
      <bottom style="medium">
        <color indexed="64"/>
      </bottom>
      <diagonal/>
    </border>
    <border>
      <left style="thin">
        <color indexed="64"/>
      </left>
      <right/>
      <top style="thin">
        <color indexed="64"/>
      </top>
      <bottom/>
      <diagonal/>
    </border>
    <border>
      <left/>
      <right style="double">
        <color indexed="64"/>
      </right>
      <top style="hair">
        <color indexed="64"/>
      </top>
      <bottom style="double">
        <color indexed="64"/>
      </bottom>
      <diagonal/>
    </border>
    <border>
      <left style="double">
        <color indexed="64"/>
      </left>
      <right style="hair">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right style="hair">
        <color indexed="64"/>
      </right>
      <top style="medium">
        <color indexed="64"/>
      </top>
      <bottom style="thin">
        <color indexed="64"/>
      </bottom>
      <diagonal/>
    </border>
    <border>
      <left style="double">
        <color indexed="64"/>
      </left>
      <right/>
      <top style="thin">
        <color indexed="64"/>
      </top>
      <bottom style="medium">
        <color indexed="64"/>
      </bottom>
      <diagonal/>
    </border>
    <border>
      <left/>
      <right style="double">
        <color indexed="64"/>
      </right>
      <top style="double">
        <color indexed="64"/>
      </top>
      <bottom/>
      <diagonal/>
    </border>
    <border>
      <left style="thin">
        <color indexed="64"/>
      </left>
      <right style="thin">
        <color indexed="64"/>
      </right>
      <top style="double">
        <color indexed="64"/>
      </top>
      <bottom style="thin">
        <color indexed="64"/>
      </bottom>
      <diagonal/>
    </border>
    <border>
      <left style="hair">
        <color indexed="64"/>
      </left>
      <right/>
      <top style="hair">
        <color indexed="64"/>
      </top>
      <bottom/>
      <diagonal/>
    </border>
    <border>
      <left style="thin">
        <color indexed="8"/>
      </left>
      <right/>
      <top style="thin">
        <color indexed="64"/>
      </top>
      <bottom style="hair">
        <color indexed="64"/>
      </bottom>
      <diagonal/>
    </border>
    <border>
      <left style="double">
        <color indexed="64"/>
      </left>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style="thin">
        <color indexed="64"/>
      </right>
      <top/>
      <bottom/>
      <diagonal/>
    </border>
    <border>
      <left style="double">
        <color indexed="64"/>
      </left>
      <right style="hair">
        <color indexed="64"/>
      </right>
      <top style="thin">
        <color indexed="64"/>
      </top>
      <bottom/>
      <diagonal/>
    </border>
    <border>
      <left/>
      <right style="thin">
        <color indexed="64"/>
      </right>
      <top style="hair">
        <color indexed="64"/>
      </top>
      <bottom style="thin">
        <color indexed="64"/>
      </bottom>
      <diagonal/>
    </border>
  </borders>
  <cellStyleXfs count="6">
    <xf numFmtId="0" fontId="0" fillId="0" borderId="0"/>
    <xf numFmtId="0" fontId="5" fillId="0" borderId="0" applyNumberFormat="0" applyFill="0" applyBorder="0" applyAlignment="0" applyProtection="0">
      <alignment vertical="top"/>
      <protection locked="0"/>
    </xf>
    <xf numFmtId="0" fontId="1" fillId="0" borderId="0"/>
    <xf numFmtId="0" fontId="1" fillId="0" borderId="0"/>
    <xf numFmtId="0" fontId="12" fillId="0" borderId="0"/>
    <xf numFmtId="0" fontId="1" fillId="0" borderId="0"/>
  </cellStyleXfs>
  <cellXfs count="1942">
    <xf numFmtId="0" fontId="0" fillId="0" borderId="0" xfId="0"/>
    <xf numFmtId="0" fontId="3" fillId="2" borderId="1" xfId="3" applyFont="1" applyFill="1" applyBorder="1" applyAlignment="1">
      <alignment horizontal="left" readingOrder="1"/>
    </xf>
    <xf numFmtId="0" fontId="6" fillId="3" borderId="2" xfId="0" applyFont="1" applyFill="1" applyBorder="1"/>
    <xf numFmtId="0" fontId="8" fillId="4" borderId="3" xfId="0" applyFont="1" applyFill="1" applyBorder="1"/>
    <xf numFmtId="0" fontId="8" fillId="4" borderId="4" xfId="0" applyFont="1" applyFill="1" applyBorder="1"/>
    <xf numFmtId="0" fontId="8" fillId="4" borderId="5" xfId="0" applyFont="1" applyFill="1" applyBorder="1"/>
    <xf numFmtId="0" fontId="8" fillId="4" borderId="6" xfId="0" applyFont="1" applyFill="1" applyBorder="1"/>
    <xf numFmtId="0" fontId="8" fillId="4" borderId="7" xfId="0" applyFont="1" applyFill="1" applyBorder="1"/>
    <xf numFmtId="0" fontId="8" fillId="4" borderId="8" xfId="0" applyFont="1" applyFill="1" applyBorder="1"/>
    <xf numFmtId="0" fontId="8" fillId="4" borderId="9" xfId="0" applyFont="1" applyFill="1" applyBorder="1" applyAlignment="1">
      <alignment vertical="center"/>
    </xf>
    <xf numFmtId="0" fontId="8" fillId="4" borderId="2" xfId="0" applyFont="1" applyFill="1" applyBorder="1"/>
    <xf numFmtId="0" fontId="8" fillId="4" borderId="10" xfId="0" applyFont="1" applyFill="1" applyBorder="1"/>
    <xf numFmtId="0" fontId="8" fillId="4" borderId="11" xfId="0" applyFont="1" applyFill="1" applyBorder="1"/>
    <xf numFmtId="0" fontId="8" fillId="3" borderId="0" xfId="0" applyFont="1" applyFill="1" applyBorder="1"/>
    <xf numFmtId="0" fontId="30" fillId="0" borderId="0" xfId="0" applyFont="1" applyFill="1"/>
    <xf numFmtId="0" fontId="8" fillId="0" borderId="7" xfId="0" applyFont="1" applyFill="1" applyBorder="1" applyAlignment="1" applyProtection="1">
      <alignment vertical="center"/>
      <protection locked="0"/>
    </xf>
    <xf numFmtId="0" fontId="8" fillId="0" borderId="8" xfId="0" applyFont="1" applyFill="1" applyBorder="1" applyAlignment="1" applyProtection="1">
      <alignment vertical="center"/>
      <protection locked="0"/>
    </xf>
    <xf numFmtId="0" fontId="8" fillId="0" borderId="12" xfId="0" applyFont="1" applyFill="1" applyBorder="1" applyProtection="1">
      <protection locked="0"/>
    </xf>
    <xf numFmtId="0" fontId="8" fillId="0" borderId="9" xfId="0" applyFont="1" applyFill="1" applyBorder="1" applyProtection="1">
      <protection locked="0"/>
    </xf>
    <xf numFmtId="0" fontId="30" fillId="2" borderId="0" xfId="0" applyFont="1" applyFill="1"/>
    <xf numFmtId="0" fontId="30" fillId="2" borderId="0" xfId="0" applyFont="1" applyFill="1" applyBorder="1" applyAlignment="1"/>
    <xf numFmtId="0" fontId="30" fillId="2" borderId="0" xfId="0" applyFont="1" applyFill="1" applyBorder="1"/>
    <xf numFmtId="0" fontId="8" fillId="4" borderId="13" xfId="0" applyFont="1" applyFill="1" applyBorder="1"/>
    <xf numFmtId="0" fontId="8" fillId="4" borderId="14" xfId="0" applyFont="1" applyFill="1" applyBorder="1" applyAlignment="1">
      <alignment horizontal="center" vertical="center"/>
    </xf>
    <xf numFmtId="0" fontId="9" fillId="4" borderId="15" xfId="0" applyFont="1" applyFill="1" applyBorder="1" applyAlignment="1">
      <alignment horizontal="center"/>
    </xf>
    <xf numFmtId="0" fontId="8" fillId="2" borderId="4" xfId="0" applyFont="1" applyFill="1" applyBorder="1"/>
    <xf numFmtId="0" fontId="8" fillId="2" borderId="6" xfId="0" applyFont="1" applyFill="1" applyBorder="1" applyAlignment="1" applyProtection="1">
      <alignment vertical="center"/>
      <protection locked="0"/>
    </xf>
    <xf numFmtId="0" fontId="8" fillId="2" borderId="7" xfId="0" applyFont="1" applyFill="1" applyBorder="1"/>
    <xf numFmtId="0" fontId="8" fillId="2" borderId="8" xfId="0" applyFont="1" applyFill="1" applyBorder="1"/>
    <xf numFmtId="0" fontId="3" fillId="2" borderId="0" xfId="0" applyFont="1" applyFill="1" applyBorder="1"/>
    <xf numFmtId="0" fontId="3" fillId="0" borderId="0" xfId="0" applyFont="1"/>
    <xf numFmtId="0" fontId="8" fillId="0" borderId="8" xfId="0" applyFont="1" applyBorder="1" applyAlignment="1" applyProtection="1">
      <alignment horizontal="center" vertical="center"/>
      <protection locked="0"/>
    </xf>
    <xf numFmtId="0" fontId="8" fillId="0" borderId="16" xfId="0" applyFont="1" applyBorder="1" applyAlignment="1" applyProtection="1">
      <alignment horizontal="center" vertical="center"/>
      <protection locked="0"/>
    </xf>
    <xf numFmtId="0" fontId="8" fillId="0" borderId="5" xfId="0" applyFont="1" applyBorder="1" applyAlignment="1" applyProtection="1">
      <alignment horizontal="center"/>
      <protection locked="0"/>
    </xf>
    <xf numFmtId="0" fontId="8" fillId="0" borderId="17" xfId="0" applyFont="1" applyBorder="1" applyAlignment="1" applyProtection="1">
      <alignment horizontal="center" vertical="center"/>
      <protection locked="0"/>
    </xf>
    <xf numFmtId="0" fontId="30" fillId="2" borderId="0" xfId="0" applyFont="1" applyFill="1" applyBorder="1" applyAlignment="1">
      <alignment horizontal="center"/>
    </xf>
    <xf numFmtId="0" fontId="8" fillId="4" borderId="0" xfId="0" applyFont="1" applyFill="1" applyBorder="1"/>
    <xf numFmtId="0" fontId="3" fillId="2" borderId="0" xfId="0" applyFont="1" applyFill="1"/>
    <xf numFmtId="0" fontId="8" fillId="4" borderId="18" xfId="0" applyFont="1" applyFill="1" applyBorder="1"/>
    <xf numFmtId="0" fontId="8" fillId="0" borderId="19" xfId="0" applyFont="1" applyBorder="1" applyAlignment="1" applyProtection="1">
      <alignment vertical="center"/>
      <protection locked="0"/>
    </xf>
    <xf numFmtId="0" fontId="8" fillId="0" borderId="17" xfId="0" applyFont="1" applyBorder="1" applyAlignment="1" applyProtection="1">
      <alignment vertical="center"/>
      <protection locked="0"/>
    </xf>
    <xf numFmtId="0" fontId="8" fillId="0" borderId="20" xfId="0" applyFont="1" applyBorder="1" applyAlignment="1" applyProtection="1">
      <alignment horizontal="center" vertical="center"/>
      <protection locked="0"/>
    </xf>
    <xf numFmtId="0" fontId="8" fillId="0" borderId="21" xfId="0" applyFont="1" applyBorder="1" applyAlignment="1" applyProtection="1">
      <alignment horizontal="center" vertical="center"/>
      <protection locked="0"/>
    </xf>
    <xf numFmtId="0" fontId="8" fillId="0" borderId="16" xfId="0" applyFont="1" applyBorder="1" applyAlignment="1" applyProtection="1">
      <alignment vertical="center"/>
      <protection locked="0"/>
    </xf>
    <xf numFmtId="0" fontId="8" fillId="0" borderId="22" xfId="0" applyFont="1" applyBorder="1" applyAlignment="1" applyProtection="1">
      <alignment horizontal="center" vertical="center"/>
      <protection locked="0"/>
    </xf>
    <xf numFmtId="0" fontId="8" fillId="0" borderId="15" xfId="0" applyFont="1" applyBorder="1" applyAlignment="1" applyProtection="1">
      <alignment horizontal="center" vertical="center"/>
      <protection locked="0"/>
    </xf>
    <xf numFmtId="0" fontId="9" fillId="4" borderId="23" xfId="0" applyFont="1" applyFill="1" applyBorder="1" applyAlignment="1">
      <alignment horizontal="right"/>
    </xf>
    <xf numFmtId="164" fontId="8" fillId="0" borderId="13" xfId="0" applyNumberFormat="1" applyFont="1" applyBorder="1" applyProtection="1">
      <protection locked="0"/>
    </xf>
    <xf numFmtId="0" fontId="8" fillId="4" borderId="24" xfId="0" applyFont="1" applyFill="1" applyBorder="1" applyAlignment="1">
      <alignment horizontal="center" vertical="center"/>
    </xf>
    <xf numFmtId="0" fontId="8" fillId="4" borderId="15" xfId="0" applyFont="1" applyFill="1" applyBorder="1" applyAlignment="1">
      <alignment horizontal="center" vertical="center"/>
    </xf>
    <xf numFmtId="0" fontId="8" fillId="0" borderId="9" xfId="0" applyFont="1" applyBorder="1" applyAlignment="1" applyProtection="1">
      <alignment horizontal="center" vertical="center"/>
      <protection locked="0"/>
    </xf>
    <xf numFmtId="0" fontId="8" fillId="0" borderId="25" xfId="0" applyFont="1" applyBorder="1" applyAlignment="1">
      <alignment vertical="center"/>
    </xf>
    <xf numFmtId="0" fontId="8" fillId="0" borderId="25" xfId="0" applyFont="1" applyBorder="1" applyAlignment="1" applyProtection="1">
      <alignment horizontal="center" vertical="center"/>
      <protection locked="0"/>
    </xf>
    <xf numFmtId="3" fontId="8" fillId="0" borderId="25" xfId="0" applyNumberFormat="1" applyFont="1" applyBorder="1" applyAlignment="1" applyProtection="1">
      <alignment horizontal="center" vertical="center"/>
      <protection locked="0"/>
    </xf>
    <xf numFmtId="0" fontId="8" fillId="0" borderId="26" xfId="0" applyFont="1" applyBorder="1" applyAlignment="1" applyProtection="1">
      <alignment horizontal="center" vertical="center"/>
      <protection locked="0"/>
    </xf>
    <xf numFmtId="0" fontId="8" fillId="0" borderId="8" xfId="0" applyFont="1" applyBorder="1" applyAlignment="1">
      <alignment vertical="center"/>
    </xf>
    <xf numFmtId="3" fontId="8" fillId="0" borderId="8" xfId="0" applyNumberFormat="1" applyFont="1" applyBorder="1" applyAlignment="1" applyProtection="1">
      <alignment horizontal="center" vertical="center"/>
      <protection locked="0"/>
    </xf>
    <xf numFmtId="0" fontId="8" fillId="0" borderId="27" xfId="0" applyFont="1" applyBorder="1" applyAlignment="1" applyProtection="1">
      <alignment horizontal="center" vertical="center"/>
      <protection locked="0"/>
    </xf>
    <xf numFmtId="0" fontId="8" fillId="0" borderId="28" xfId="0" applyFont="1" applyBorder="1" applyAlignment="1" applyProtection="1">
      <alignment horizontal="center" vertical="center"/>
      <protection locked="0"/>
    </xf>
    <xf numFmtId="0" fontId="1" fillId="2" borderId="0" xfId="0" applyFont="1" applyFill="1"/>
    <xf numFmtId="0" fontId="8" fillId="2" borderId="0" xfId="0" applyFont="1" applyFill="1"/>
    <xf numFmtId="0" fontId="3" fillId="2" borderId="8" xfId="0" applyFont="1" applyFill="1" applyBorder="1"/>
    <xf numFmtId="0" fontId="3" fillId="4" borderId="2" xfId="0" applyFont="1" applyFill="1" applyBorder="1"/>
    <xf numFmtId="0" fontId="8" fillId="0" borderId="29" xfId="0" applyFont="1" applyBorder="1" applyAlignment="1">
      <alignment vertical="center"/>
    </xf>
    <xf numFmtId="0" fontId="8" fillId="0" borderId="26" xfId="0" applyFont="1" applyBorder="1" applyAlignment="1">
      <alignment vertical="center"/>
    </xf>
    <xf numFmtId="0" fontId="8" fillId="4" borderId="24" xfId="0" applyFont="1" applyFill="1" applyBorder="1"/>
    <xf numFmtId="0" fontId="8" fillId="0" borderId="30" xfId="0" applyFont="1" applyFill="1" applyBorder="1" applyAlignment="1" applyProtection="1">
      <alignment horizontal="center" vertical="center" wrapText="1"/>
    </xf>
    <xf numFmtId="0" fontId="8" fillId="0" borderId="31" xfId="0" applyFont="1" applyFill="1" applyBorder="1" applyAlignment="1" applyProtection="1">
      <alignment horizontal="center" vertical="center" wrapText="1"/>
    </xf>
    <xf numFmtId="164" fontId="8" fillId="0" borderId="26" xfId="0" applyNumberFormat="1" applyFont="1" applyFill="1" applyBorder="1" applyAlignment="1" applyProtection="1">
      <alignment horizontal="center" vertical="center" wrapText="1"/>
    </xf>
    <xf numFmtId="1" fontId="8" fillId="0" borderId="26" xfId="0" applyNumberFormat="1" applyFont="1" applyFill="1" applyBorder="1" applyAlignment="1" applyProtection="1">
      <alignment horizontal="center" vertical="center" wrapText="1"/>
    </xf>
    <xf numFmtId="0" fontId="8" fillId="0" borderId="32" xfId="0" applyFont="1" applyFill="1" applyBorder="1" applyAlignment="1" applyProtection="1">
      <alignment wrapText="1"/>
    </xf>
    <xf numFmtId="0" fontId="7" fillId="3" borderId="15" xfId="1" applyFont="1" applyFill="1" applyBorder="1" applyAlignment="1" applyProtection="1">
      <alignment horizontal="right" vertical="center"/>
    </xf>
    <xf numFmtId="0" fontId="1" fillId="4" borderId="0" xfId="2" applyFont="1" applyFill="1" applyBorder="1"/>
    <xf numFmtId="0" fontId="8" fillId="4" borderId="33" xfId="0" applyFont="1" applyFill="1" applyBorder="1" applyAlignment="1">
      <alignment vertical="center"/>
    </xf>
    <xf numFmtId="0" fontId="8" fillId="2" borderId="34" xfId="0" applyFont="1" applyFill="1" applyBorder="1"/>
    <xf numFmtId="0" fontId="8" fillId="2" borderId="35" xfId="0" applyFont="1" applyFill="1" applyBorder="1"/>
    <xf numFmtId="0" fontId="8" fillId="4" borderId="34" xfId="0" applyFont="1" applyFill="1" applyBorder="1"/>
    <xf numFmtId="0" fontId="8" fillId="4" borderId="35" xfId="0" applyFont="1" applyFill="1" applyBorder="1"/>
    <xf numFmtId="0" fontId="8" fillId="4" borderId="11" xfId="0" applyFont="1" applyFill="1" applyBorder="1" applyAlignment="1">
      <alignment horizontal="center" wrapText="1"/>
    </xf>
    <xf numFmtId="0" fontId="8" fillId="4" borderId="15" xfId="0" applyFont="1" applyFill="1" applyBorder="1" applyAlignment="1">
      <alignment horizontal="center" vertical="center" wrapText="1"/>
    </xf>
    <xf numFmtId="0" fontId="8" fillId="0" borderId="36" xfId="0" applyFont="1" applyBorder="1" applyAlignment="1" applyProtection="1">
      <alignment vertical="center" wrapText="1"/>
      <protection locked="0"/>
    </xf>
    <xf numFmtId="0" fontId="8" fillId="0" borderId="11" xfId="0" applyFont="1" applyBorder="1" applyAlignment="1" applyProtection="1">
      <alignment horizontal="center"/>
      <protection locked="0"/>
    </xf>
    <xf numFmtId="0" fontId="8" fillId="0" borderId="36" xfId="0" applyFont="1" applyBorder="1" applyAlignment="1" applyProtection="1">
      <alignment horizontal="center"/>
      <protection locked="0"/>
    </xf>
    <xf numFmtId="0" fontId="3" fillId="0" borderId="0" xfId="0" applyFont="1" applyFill="1"/>
    <xf numFmtId="0" fontId="8" fillId="0" borderId="20" xfId="0" applyFont="1" applyBorder="1" applyAlignment="1" applyProtection="1">
      <alignment horizontal="center"/>
      <protection locked="0"/>
    </xf>
    <xf numFmtId="0" fontId="8" fillId="0" borderId="21" xfId="0" applyFont="1" applyBorder="1" applyAlignment="1" applyProtection="1">
      <alignment horizontal="center"/>
      <protection locked="0"/>
    </xf>
    <xf numFmtId="0" fontId="8" fillId="0" borderId="22" xfId="0" applyFont="1" applyBorder="1" applyAlignment="1" applyProtection="1">
      <alignment horizontal="center"/>
      <protection locked="0"/>
    </xf>
    <xf numFmtId="0" fontId="8" fillId="4" borderId="22" xfId="0" applyFont="1" applyFill="1" applyBorder="1" applyAlignment="1">
      <alignment horizontal="center" wrapText="1"/>
    </xf>
    <xf numFmtId="0" fontId="8" fillId="4" borderId="36" xfId="0" applyFont="1" applyFill="1" applyBorder="1" applyAlignment="1">
      <alignment horizontal="center" vertical="center"/>
    </xf>
    <xf numFmtId="0" fontId="8" fillId="4" borderId="37" xfId="0" applyFont="1" applyFill="1" applyBorder="1"/>
    <xf numFmtId="0" fontId="3" fillId="2" borderId="0" xfId="0" applyFont="1" applyFill="1" applyAlignment="1"/>
    <xf numFmtId="0" fontId="3" fillId="3" borderId="0" xfId="0" applyFont="1" applyFill="1" applyBorder="1" applyAlignment="1"/>
    <xf numFmtId="0" fontId="3" fillId="3" borderId="15" xfId="0" applyFont="1" applyFill="1" applyBorder="1" applyAlignment="1"/>
    <xf numFmtId="0" fontId="8" fillId="2" borderId="15" xfId="0" applyFont="1" applyFill="1" applyBorder="1" applyAlignment="1" applyProtection="1">
      <alignment horizontal="center" vertical="center"/>
      <protection locked="0"/>
    </xf>
    <xf numFmtId="0" fontId="8" fillId="0" borderId="38" xfId="0" applyFont="1" applyBorder="1" applyAlignment="1" applyProtection="1">
      <alignment horizontal="center"/>
      <protection locked="0"/>
    </xf>
    <xf numFmtId="0" fontId="9" fillId="4" borderId="22" xfId="0" applyFont="1" applyFill="1" applyBorder="1" applyAlignment="1">
      <alignment horizontal="center"/>
    </xf>
    <xf numFmtId="0" fontId="9" fillId="4" borderId="36" xfId="0" applyFont="1" applyFill="1" applyBorder="1" applyAlignment="1">
      <alignment horizontal="center"/>
    </xf>
    <xf numFmtId="0" fontId="30" fillId="0" borderId="0" xfId="0" applyFont="1"/>
    <xf numFmtId="164" fontId="8" fillId="0" borderId="20" xfId="0" applyNumberFormat="1" applyFont="1" applyBorder="1" applyAlignment="1" applyProtection="1">
      <alignment horizontal="center"/>
      <protection locked="0"/>
    </xf>
    <xf numFmtId="1" fontId="8" fillId="0" borderId="22" xfId="0" applyNumberFormat="1" applyFont="1" applyFill="1" applyBorder="1" applyAlignment="1" applyProtection="1">
      <alignment horizontal="center"/>
      <protection locked="0"/>
    </xf>
    <xf numFmtId="1" fontId="8" fillId="0" borderId="36" xfId="0" applyNumberFormat="1" applyFont="1" applyFill="1" applyBorder="1" applyAlignment="1" applyProtection="1">
      <alignment horizontal="center"/>
      <protection locked="0"/>
    </xf>
    <xf numFmtId="1" fontId="8" fillId="3" borderId="10" xfId="0" applyNumberFormat="1" applyFont="1" applyFill="1" applyBorder="1" applyAlignment="1" applyProtection="1">
      <alignment horizontal="center"/>
      <protection locked="0"/>
    </xf>
    <xf numFmtId="164" fontId="9" fillId="4" borderId="13" xfId="0" applyNumberFormat="1" applyFont="1" applyFill="1" applyBorder="1" applyAlignment="1">
      <alignment horizontal="center"/>
    </xf>
    <xf numFmtId="0" fontId="3" fillId="4" borderId="16" xfId="0" applyFont="1" applyFill="1" applyBorder="1"/>
    <xf numFmtId="0" fontId="3" fillId="4" borderId="39" xfId="0" applyFont="1" applyFill="1" applyBorder="1"/>
    <xf numFmtId="0" fontId="3" fillId="4" borderId="40" xfId="0" applyFont="1" applyFill="1" applyBorder="1"/>
    <xf numFmtId="0" fontId="3" fillId="4" borderId="37" xfId="0" applyFont="1" applyFill="1" applyBorder="1"/>
    <xf numFmtId="0" fontId="9" fillId="4" borderId="18" xfId="0" applyFont="1" applyFill="1" applyBorder="1" applyAlignment="1">
      <alignment horizontal="centerContinuous" vertical="center"/>
    </xf>
    <xf numFmtId="0" fontId="6" fillId="4" borderId="13" xfId="0" applyFont="1" applyFill="1" applyBorder="1" applyAlignment="1">
      <alignment horizontal="centerContinuous" vertical="center"/>
    </xf>
    <xf numFmtId="0" fontId="8" fillId="2" borderId="11" xfId="0" applyFont="1" applyFill="1" applyBorder="1" applyAlignment="1" applyProtection="1">
      <alignment horizontal="center" vertical="center"/>
      <protection locked="0"/>
    </xf>
    <xf numFmtId="0" fontId="6" fillId="4" borderId="39" xfId="0" applyFont="1" applyFill="1" applyBorder="1" applyAlignment="1">
      <alignment horizontal="centerContinuous" vertical="center"/>
    </xf>
    <xf numFmtId="0" fontId="3" fillId="4" borderId="40" xfId="0" applyFont="1" applyFill="1" applyBorder="1" applyAlignment="1">
      <alignment horizontal="centerContinuous" vertical="center"/>
    </xf>
    <xf numFmtId="0" fontId="8" fillId="4" borderId="39" xfId="0" applyFont="1" applyFill="1" applyBorder="1" applyAlignment="1">
      <alignment horizontal="centerContinuous" vertical="center"/>
    </xf>
    <xf numFmtId="0" fontId="3" fillId="4" borderId="18" xfId="0" applyFont="1" applyFill="1" applyBorder="1"/>
    <xf numFmtId="0" fontId="3" fillId="4" borderId="13" xfId="0" applyFont="1" applyFill="1" applyBorder="1"/>
    <xf numFmtId="0" fontId="8" fillId="4" borderId="4" xfId="0" applyFont="1" applyFill="1" applyBorder="1" applyAlignment="1">
      <alignment horizontal="centerContinuous" wrapText="1"/>
    </xf>
    <xf numFmtId="0" fontId="8" fillId="4" borderId="5" xfId="0" applyFont="1" applyFill="1" applyBorder="1" applyAlignment="1">
      <alignment horizontal="centerContinuous" wrapText="1"/>
    </xf>
    <xf numFmtId="0" fontId="8" fillId="4" borderId="4" xfId="0" applyFont="1" applyFill="1" applyBorder="1" applyAlignment="1">
      <alignment horizontal="centerContinuous" vertical="center"/>
    </xf>
    <xf numFmtId="0" fontId="8" fillId="4" borderId="5" xfId="0" applyFont="1" applyFill="1" applyBorder="1" applyAlignment="1">
      <alignment horizontal="centerContinuous" vertical="center"/>
    </xf>
    <xf numFmtId="0" fontId="9" fillId="4" borderId="4" xfId="0" applyFont="1" applyFill="1" applyBorder="1" applyAlignment="1">
      <alignment horizontal="center" vertical="center"/>
    </xf>
    <xf numFmtId="0" fontId="3" fillId="4" borderId="41" xfId="0" applyFont="1" applyFill="1" applyBorder="1"/>
    <xf numFmtId="0" fontId="8" fillId="4" borderId="11" xfId="0" applyFont="1" applyFill="1" applyBorder="1" applyAlignment="1">
      <alignment horizontal="center"/>
    </xf>
    <xf numFmtId="0" fontId="8" fillId="4" borderId="36" xfId="0" applyFont="1" applyFill="1" applyBorder="1" applyAlignment="1">
      <alignment horizontal="center"/>
    </xf>
    <xf numFmtId="0" fontId="9" fillId="4" borderId="38" xfId="0" applyFont="1" applyFill="1" applyBorder="1" applyAlignment="1">
      <alignment horizontal="center"/>
    </xf>
    <xf numFmtId="0" fontId="9" fillId="4" borderId="5" xfId="0" applyFont="1" applyFill="1" applyBorder="1" applyAlignment="1">
      <alignment horizontal="center"/>
    </xf>
    <xf numFmtId="0" fontId="9" fillId="4" borderId="38" xfId="0" applyFont="1" applyFill="1" applyBorder="1" applyAlignment="1" applyProtection="1">
      <alignment horizontal="center"/>
    </xf>
    <xf numFmtId="0" fontId="9" fillId="4" borderId="27" xfId="0" applyFont="1" applyFill="1" applyBorder="1" applyAlignment="1" applyProtection="1">
      <alignment horizontal="center"/>
    </xf>
    <xf numFmtId="0" fontId="9" fillId="4" borderId="36" xfId="0" applyFont="1" applyFill="1" applyBorder="1" applyAlignment="1" applyProtection="1">
      <alignment horizontal="center"/>
    </xf>
    <xf numFmtId="0" fontId="9" fillId="4" borderId="30" xfId="0" applyFont="1" applyFill="1" applyBorder="1" applyAlignment="1" applyProtection="1">
      <alignment horizontal="center"/>
    </xf>
    <xf numFmtId="0" fontId="8" fillId="2" borderId="5" xfId="0" applyFont="1" applyFill="1" applyBorder="1"/>
    <xf numFmtId="0" fontId="30" fillId="2" borderId="0" xfId="0" applyFont="1" applyFill="1" applyAlignment="1"/>
    <xf numFmtId="0" fontId="30" fillId="0" borderId="0" xfId="0" applyFont="1" applyFill="1" applyAlignment="1"/>
    <xf numFmtId="0" fontId="8" fillId="2" borderId="20" xfId="0" applyFont="1" applyFill="1" applyBorder="1" applyAlignment="1" applyProtection="1">
      <alignment horizontal="center" vertical="center"/>
      <protection locked="0"/>
    </xf>
    <xf numFmtId="0" fontId="8" fillId="2" borderId="2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1" fillId="2" borderId="0" xfId="3" applyFont="1" applyFill="1"/>
    <xf numFmtId="0" fontId="1" fillId="2" borderId="0" xfId="3" applyFont="1" applyFill="1" applyBorder="1" applyAlignment="1">
      <alignment horizontal="center"/>
    </xf>
    <xf numFmtId="0" fontId="1" fillId="2" borderId="44" xfId="3" applyFont="1" applyFill="1" applyBorder="1" applyAlignment="1">
      <alignment horizontal="center"/>
    </xf>
    <xf numFmtId="0" fontId="1" fillId="2" borderId="0" xfId="3" applyFont="1" applyFill="1" applyBorder="1"/>
    <xf numFmtId="0" fontId="1" fillId="2" borderId="44" xfId="3" applyFont="1" applyFill="1" applyBorder="1"/>
    <xf numFmtId="0" fontId="1" fillId="2" borderId="45" xfId="3" applyFont="1" applyFill="1" applyBorder="1"/>
    <xf numFmtId="0" fontId="1" fillId="2" borderId="46" xfId="3" applyFont="1" applyFill="1" applyBorder="1"/>
    <xf numFmtId="0" fontId="38" fillId="2" borderId="0" xfId="0" applyFont="1" applyFill="1" applyAlignment="1"/>
    <xf numFmtId="0" fontId="38" fillId="2" borderId="0" xfId="0" applyFont="1" applyFill="1"/>
    <xf numFmtId="0" fontId="40" fillId="2" borderId="0" xfId="0" applyFont="1" applyFill="1"/>
    <xf numFmtId="0" fontId="40" fillId="0" borderId="0" xfId="0" applyFont="1"/>
    <xf numFmtId="0" fontId="41" fillId="2" borderId="0" xfId="0" applyFont="1" applyFill="1"/>
    <xf numFmtId="0" fontId="17" fillId="4" borderId="0" xfId="2" applyFont="1" applyFill="1" applyBorder="1"/>
    <xf numFmtId="0" fontId="22" fillId="4" borderId="0" xfId="2" quotePrefix="1" applyFont="1" applyFill="1" applyBorder="1" applyAlignment="1">
      <alignment horizontal="left" vertical="center"/>
    </xf>
    <xf numFmtId="0" fontId="22" fillId="4" borderId="0" xfId="2" applyFont="1" applyFill="1" applyBorder="1" applyAlignment="1">
      <alignment vertical="center"/>
    </xf>
    <xf numFmtId="0" fontId="23" fillId="4" borderId="0" xfId="2" applyFont="1" applyFill="1" applyBorder="1" applyAlignment="1">
      <alignment horizontal="centerContinuous" vertical="center"/>
    </xf>
    <xf numFmtId="0" fontId="17" fillId="4" borderId="0" xfId="2" applyFont="1" applyFill="1" applyBorder="1" applyAlignment="1">
      <alignment horizontal="left"/>
    </xf>
    <xf numFmtId="0" fontId="1" fillId="4" borderId="0" xfId="2" applyFont="1" applyFill="1" applyBorder="1" applyAlignment="1" applyProtection="1">
      <alignment horizontal="center" vertical="center"/>
    </xf>
    <xf numFmtId="0" fontId="18" fillId="4" borderId="0" xfId="2" applyFont="1" applyFill="1" applyBorder="1" applyAlignment="1">
      <alignment horizontal="center" vertical="center"/>
    </xf>
    <xf numFmtId="0" fontId="13" fillId="3" borderId="0" xfId="2" applyFont="1" applyFill="1" applyBorder="1" applyAlignment="1">
      <alignment horizontal="left"/>
    </xf>
    <xf numFmtId="0" fontId="17" fillId="3" borderId="0" xfId="2" applyFont="1" applyFill="1" applyBorder="1" applyAlignment="1">
      <alignment horizontal="left"/>
    </xf>
    <xf numFmtId="0" fontId="1" fillId="4" borderId="0" xfId="2" applyFont="1" applyFill="1" applyBorder="1" applyAlignment="1">
      <alignment vertical="center"/>
    </xf>
    <xf numFmtId="1" fontId="9" fillId="4" borderId="0" xfId="2" applyNumberFormat="1" applyFont="1" applyFill="1" applyBorder="1" applyAlignment="1">
      <alignment horizontal="left" vertical="center"/>
    </xf>
    <xf numFmtId="0" fontId="1" fillId="4" borderId="0" xfId="2" applyFont="1" applyFill="1" applyBorder="1" applyAlignment="1">
      <alignment horizontal="left"/>
    </xf>
    <xf numFmtId="0" fontId="18" fillId="3" borderId="0" xfId="2" applyFont="1" applyFill="1" applyBorder="1" applyAlignment="1">
      <alignment horizontal="left"/>
    </xf>
    <xf numFmtId="0" fontId="8" fillId="3" borderId="0" xfId="2" applyFont="1" applyFill="1" applyBorder="1" applyAlignment="1">
      <alignment horizontal="left" vertical="center"/>
    </xf>
    <xf numFmtId="0" fontId="25" fillId="3" borderId="0" xfId="2" applyFont="1" applyFill="1" applyBorder="1" applyAlignment="1">
      <alignment horizontal="left" vertical="center"/>
    </xf>
    <xf numFmtId="0" fontId="25" fillId="4" borderId="0" xfId="2" applyFont="1" applyFill="1" applyBorder="1" applyAlignment="1">
      <alignment horizontal="left" vertical="center"/>
    </xf>
    <xf numFmtId="0" fontId="8" fillId="3" borderId="0" xfId="2" applyFont="1" applyFill="1" applyBorder="1" applyAlignment="1" applyProtection="1">
      <alignment horizontal="left"/>
    </xf>
    <xf numFmtId="0" fontId="1" fillId="3" borderId="0" xfId="2" applyFont="1" applyFill="1" applyBorder="1" applyAlignment="1">
      <alignment horizontal="left"/>
    </xf>
    <xf numFmtId="0" fontId="17" fillId="3" borderId="0" xfId="2" applyFont="1" applyFill="1" applyBorder="1" applyAlignment="1">
      <alignment horizontal="left" vertical="center"/>
    </xf>
    <xf numFmtId="0" fontId="9" fillId="3" borderId="0" xfId="2" applyFont="1" applyFill="1" applyBorder="1" applyAlignment="1">
      <alignment horizontal="left" vertical="center"/>
    </xf>
    <xf numFmtId="0" fontId="9" fillId="4" borderId="0" xfId="2" applyFont="1" applyFill="1" applyBorder="1" applyAlignment="1">
      <alignment horizontal="left" vertical="center"/>
    </xf>
    <xf numFmtId="1" fontId="17" fillId="3" borderId="0" xfId="2" applyNumberFormat="1" applyFont="1" applyFill="1" applyBorder="1" applyAlignment="1">
      <alignment horizontal="left" vertical="center"/>
    </xf>
    <xf numFmtId="1" fontId="17" fillId="4" borderId="0" xfId="2" applyNumberFormat="1" applyFont="1" applyFill="1" applyBorder="1" applyAlignment="1">
      <alignment horizontal="left" vertical="center"/>
    </xf>
    <xf numFmtId="1" fontId="17" fillId="4" borderId="0" xfId="2" applyNumberFormat="1" applyFont="1" applyFill="1" applyBorder="1" applyAlignment="1">
      <alignment horizontal="center" vertical="center"/>
    </xf>
    <xf numFmtId="0" fontId="18" fillId="3" borderId="0" xfId="2" applyFont="1" applyFill="1" applyBorder="1" applyAlignment="1">
      <alignment horizontal="left" vertical="center" wrapText="1"/>
    </xf>
    <xf numFmtId="0" fontId="18" fillId="3" borderId="0" xfId="2" applyFont="1" applyFill="1" applyBorder="1" applyAlignment="1">
      <alignment horizontal="left" wrapText="1"/>
    </xf>
    <xf numFmtId="1" fontId="18" fillId="3" borderId="0" xfId="2" applyNumberFormat="1" applyFont="1" applyFill="1" applyBorder="1" applyAlignment="1">
      <alignment horizontal="left" vertical="center"/>
    </xf>
    <xf numFmtId="1" fontId="18" fillId="4" borderId="0" xfId="2" applyNumberFormat="1" applyFont="1" applyFill="1" applyBorder="1" applyAlignment="1">
      <alignment horizontal="center" vertical="center"/>
    </xf>
    <xf numFmtId="1" fontId="26" fillId="4" borderId="0" xfId="2" applyNumberFormat="1" applyFont="1" applyFill="1" applyBorder="1" applyAlignment="1">
      <alignment horizontal="center" vertical="center"/>
    </xf>
    <xf numFmtId="0" fontId="26" fillId="4" borderId="0" xfId="2" applyFont="1" applyFill="1" applyBorder="1"/>
    <xf numFmtId="1" fontId="26" fillId="4" borderId="0" xfId="2" applyNumberFormat="1" applyFont="1" applyFill="1" applyBorder="1" applyAlignment="1">
      <alignment horizontal="center"/>
    </xf>
    <xf numFmtId="1" fontId="27" fillId="4" borderId="0" xfId="2" applyNumberFormat="1" applyFont="1" applyFill="1" applyBorder="1" applyAlignment="1">
      <alignment horizontal="center" vertical="center"/>
    </xf>
    <xf numFmtId="0" fontId="26" fillId="4" borderId="0" xfId="2" applyFont="1" applyFill="1" applyBorder="1" applyAlignment="1">
      <alignment horizontal="center"/>
    </xf>
    <xf numFmtId="1" fontId="28" fillId="4" borderId="0" xfId="2" applyNumberFormat="1" applyFont="1" applyFill="1" applyBorder="1" applyAlignment="1">
      <alignment horizontal="center" vertical="center"/>
    </xf>
    <xf numFmtId="1" fontId="29" fillId="4" borderId="0" xfId="2" applyNumberFormat="1" applyFont="1" applyFill="1" applyBorder="1" applyAlignment="1">
      <alignment horizontal="center" vertical="center" wrapText="1"/>
    </xf>
    <xf numFmtId="1" fontId="26" fillId="3" borderId="0" xfId="2" applyNumberFormat="1" applyFont="1" applyFill="1" applyBorder="1" applyAlignment="1">
      <alignment horizontal="left" vertical="center" wrapText="1"/>
    </xf>
    <xf numFmtId="0" fontId="18" fillId="4" borderId="0" xfId="2" applyFont="1" applyFill="1" applyBorder="1" applyAlignment="1">
      <alignment horizontal="left" vertical="center"/>
    </xf>
    <xf numFmtId="0" fontId="1" fillId="4" borderId="0" xfId="2" applyFont="1" applyFill="1" applyBorder="1" applyAlignment="1"/>
    <xf numFmtId="0" fontId="1" fillId="3" borderId="0" xfId="2" applyFont="1" applyFill="1" applyBorder="1" applyAlignment="1"/>
    <xf numFmtId="1" fontId="26" fillId="3" borderId="0" xfId="2" applyNumberFormat="1" applyFont="1" applyFill="1" applyBorder="1" applyAlignment="1">
      <alignment horizontal="center" vertical="center"/>
    </xf>
    <xf numFmtId="1" fontId="27" fillId="4" borderId="0" xfId="2" applyNumberFormat="1" applyFont="1" applyFill="1" applyBorder="1" applyAlignment="1">
      <alignment horizontal="center" vertical="center" wrapText="1"/>
    </xf>
    <xf numFmtId="1" fontId="17" fillId="3" borderId="0" xfId="2" applyNumberFormat="1" applyFont="1" applyFill="1" applyBorder="1" applyAlignment="1">
      <alignment horizontal="left" vertical="center" wrapText="1"/>
    </xf>
    <xf numFmtId="1" fontId="18" fillId="3" borderId="0" xfId="2" applyNumberFormat="1" applyFont="1" applyFill="1" applyBorder="1" applyAlignment="1">
      <alignment horizontal="left" vertical="center" wrapText="1"/>
    </xf>
    <xf numFmtId="0" fontId="8" fillId="3" borderId="0" xfId="2" applyFont="1" applyFill="1" applyBorder="1" applyAlignment="1">
      <alignment horizontal="left"/>
    </xf>
    <xf numFmtId="0" fontId="13" fillId="3" borderId="0" xfId="2" applyFont="1" applyFill="1" applyBorder="1" applyAlignment="1">
      <alignment horizontal="center"/>
    </xf>
    <xf numFmtId="0" fontId="22" fillId="4" borderId="39" xfId="2" quotePrefix="1" applyFont="1" applyFill="1" applyBorder="1" applyAlignment="1">
      <alignment horizontal="left" vertical="center"/>
    </xf>
    <xf numFmtId="0" fontId="1" fillId="4" borderId="47" xfId="2" applyFont="1" applyFill="1" applyBorder="1" applyAlignment="1">
      <alignment vertical="center"/>
    </xf>
    <xf numFmtId="0" fontId="1" fillId="4" borderId="39" xfId="2" applyFont="1" applyFill="1" applyBorder="1"/>
    <xf numFmtId="0" fontId="1" fillId="4" borderId="47" xfId="2" applyFont="1" applyFill="1" applyBorder="1"/>
    <xf numFmtId="0" fontId="23" fillId="4" borderId="39" xfId="2" applyFont="1" applyFill="1" applyBorder="1" applyAlignment="1">
      <alignment horizontal="centerContinuous" vertical="center"/>
    </xf>
    <xf numFmtId="0" fontId="14" fillId="4" borderId="39" xfId="2" applyFont="1" applyFill="1" applyBorder="1" applyAlignment="1">
      <alignment vertical="center"/>
    </xf>
    <xf numFmtId="0" fontId="23" fillId="4" borderId="39" xfId="2" applyFont="1" applyFill="1" applyBorder="1" applyAlignment="1">
      <alignment horizontal="centerContinuous"/>
    </xf>
    <xf numFmtId="0" fontId="1" fillId="4" borderId="47" xfId="2" applyFont="1" applyFill="1" applyBorder="1" applyAlignment="1">
      <alignment horizontal="left"/>
    </xf>
    <xf numFmtId="1" fontId="26" fillId="4" borderId="47" xfId="2" applyNumberFormat="1" applyFont="1" applyFill="1" applyBorder="1" applyAlignment="1">
      <alignment horizontal="center" vertical="center"/>
    </xf>
    <xf numFmtId="0" fontId="24" fillId="4" borderId="39" xfId="2" applyFont="1" applyFill="1" applyBorder="1" applyAlignment="1">
      <alignment horizontal="centerContinuous" vertical="center"/>
    </xf>
    <xf numFmtId="1" fontId="27" fillId="4" borderId="47" xfId="2" applyNumberFormat="1" applyFont="1" applyFill="1" applyBorder="1" applyAlignment="1">
      <alignment horizontal="center" vertical="center" wrapText="1"/>
    </xf>
    <xf numFmtId="0" fontId="1" fillId="4" borderId="48" xfId="2" applyFont="1" applyFill="1" applyBorder="1"/>
    <xf numFmtId="0" fontId="1" fillId="4" borderId="49" xfId="2" applyFont="1" applyFill="1" applyBorder="1"/>
    <xf numFmtId="0" fontId="4" fillId="3" borderId="50" xfId="0" applyFont="1" applyFill="1" applyBorder="1" applyAlignment="1"/>
    <xf numFmtId="0" fontId="4" fillId="2" borderId="39" xfId="0" applyFont="1" applyFill="1" applyBorder="1" applyAlignment="1"/>
    <xf numFmtId="0" fontId="4" fillId="2" borderId="0" xfId="0" applyFont="1" applyFill="1" applyBorder="1" applyAlignment="1"/>
    <xf numFmtId="0" fontId="8" fillId="2" borderId="4" xfId="0" applyFont="1" applyFill="1" applyBorder="1" applyProtection="1">
      <protection locked="0"/>
    </xf>
    <xf numFmtId="0" fontId="8" fillId="2" borderId="7" xfId="0" applyFont="1" applyFill="1" applyBorder="1" applyProtection="1">
      <protection locked="0"/>
    </xf>
    <xf numFmtId="165" fontId="9" fillId="4" borderId="15" xfId="0" applyNumberFormat="1" applyFont="1" applyFill="1" applyBorder="1" applyAlignment="1">
      <alignment horizontal="center"/>
    </xf>
    <xf numFmtId="0" fontId="9" fillId="4" borderId="27" xfId="0" applyFont="1" applyFill="1" applyBorder="1" applyAlignment="1">
      <alignment horizontal="center"/>
    </xf>
    <xf numFmtId="0" fontId="6" fillId="3" borderId="2" xfId="0" applyFont="1" applyFill="1" applyBorder="1" applyAlignment="1">
      <alignment vertical="top"/>
    </xf>
    <xf numFmtId="0" fontId="3" fillId="3" borderId="10" xfId="0" applyFont="1" applyFill="1" applyBorder="1" applyAlignment="1">
      <alignment vertical="top"/>
    </xf>
    <xf numFmtId="0" fontId="30" fillId="2" borderId="0" xfId="0" applyFont="1" applyFill="1" applyAlignment="1">
      <alignment vertical="top"/>
    </xf>
    <xf numFmtId="0" fontId="46" fillId="2" borderId="0" xfId="0" applyFont="1" applyFill="1" applyBorder="1" applyAlignment="1"/>
    <xf numFmtId="0" fontId="46" fillId="5" borderId="0" xfId="0" applyFont="1" applyFill="1" applyBorder="1" applyAlignment="1"/>
    <xf numFmtId="0" fontId="8" fillId="6" borderId="10" xfId="0" applyFont="1" applyFill="1" applyBorder="1"/>
    <xf numFmtId="0" fontId="9" fillId="6" borderId="10" xfId="0" applyFont="1" applyFill="1" applyBorder="1" applyAlignment="1">
      <alignment horizontal="center"/>
    </xf>
    <xf numFmtId="0" fontId="8" fillId="6" borderId="15" xfId="0" applyFont="1" applyFill="1" applyBorder="1"/>
    <xf numFmtId="0" fontId="8" fillId="6" borderId="3" xfId="0" applyFont="1" applyFill="1" applyBorder="1"/>
    <xf numFmtId="0" fontId="9" fillId="6" borderId="4" xfId="0" applyFont="1" applyFill="1" applyBorder="1" applyAlignment="1">
      <alignment horizontal="center"/>
    </xf>
    <xf numFmtId="0" fontId="8" fillId="6" borderId="41" xfId="0" applyFont="1" applyFill="1" applyBorder="1"/>
    <xf numFmtId="0" fontId="8" fillId="6" borderId="4" xfId="0" applyFont="1" applyFill="1" applyBorder="1"/>
    <xf numFmtId="0" fontId="8" fillId="6" borderId="2" xfId="0" applyFont="1" applyFill="1" applyBorder="1"/>
    <xf numFmtId="4" fontId="8" fillId="6" borderId="10" xfId="0" applyNumberFormat="1" applyFont="1" applyFill="1" applyBorder="1" applyAlignment="1" applyProtection="1">
      <alignment horizontal="center" vertical="center"/>
      <protection locked="0"/>
    </xf>
    <xf numFmtId="4" fontId="8" fillId="6" borderId="10" xfId="0" applyNumberFormat="1" applyFont="1" applyFill="1" applyBorder="1" applyAlignment="1" applyProtection="1">
      <alignment vertical="center"/>
      <protection locked="0"/>
    </xf>
    <xf numFmtId="0" fontId="9" fillId="6" borderId="15" xfId="0" applyFont="1" applyFill="1" applyBorder="1" applyAlignment="1">
      <alignment horizontal="center"/>
    </xf>
    <xf numFmtId="0" fontId="8" fillId="6" borderId="13" xfId="0" applyFont="1" applyFill="1" applyBorder="1"/>
    <xf numFmtId="0" fontId="8" fillId="6" borderId="3" xfId="0" applyFont="1" applyFill="1" applyBorder="1" applyAlignment="1">
      <alignment horizontal="centerContinuous"/>
    </xf>
    <xf numFmtId="0" fontId="8" fillId="6" borderId="5" xfId="0" applyFont="1" applyFill="1" applyBorder="1" applyAlignment="1">
      <alignment horizontal="centerContinuous"/>
    </xf>
    <xf numFmtId="0" fontId="8" fillId="6" borderId="4" xfId="0" applyFont="1" applyFill="1" applyBorder="1" applyAlignment="1">
      <alignment horizontal="centerContinuous"/>
    </xf>
    <xf numFmtId="0" fontId="9" fillId="6" borderId="41" xfId="0" applyFont="1" applyFill="1" applyBorder="1" applyAlignment="1">
      <alignment horizontal="center"/>
    </xf>
    <xf numFmtId="0" fontId="9" fillId="6" borderId="0" xfId="0" applyFont="1" applyFill="1" applyBorder="1" applyAlignment="1">
      <alignment horizontal="center"/>
    </xf>
    <xf numFmtId="4" fontId="8" fillId="6" borderId="0" xfId="0" applyNumberFormat="1" applyFont="1" applyFill="1" applyBorder="1" applyAlignment="1" applyProtection="1">
      <alignment vertical="center"/>
      <protection locked="0"/>
    </xf>
    <xf numFmtId="4" fontId="8" fillId="6" borderId="0" xfId="0" applyNumberFormat="1" applyFont="1" applyFill="1" applyBorder="1" applyAlignment="1" applyProtection="1">
      <alignment horizontal="center" vertical="center"/>
      <protection locked="0"/>
    </xf>
    <xf numFmtId="0" fontId="9" fillId="6" borderId="39" xfId="0" applyFont="1" applyFill="1" applyBorder="1" applyAlignment="1">
      <alignment horizontal="center"/>
    </xf>
    <xf numFmtId="0" fontId="8" fillId="6" borderId="0" xfId="0" applyFont="1" applyFill="1" applyBorder="1" applyAlignment="1"/>
    <xf numFmtId="1" fontId="8" fillId="6" borderId="24" xfId="0" applyNumberFormat="1" applyFont="1" applyFill="1" applyBorder="1" applyAlignment="1" applyProtection="1">
      <alignment vertical="center"/>
      <protection locked="0"/>
    </xf>
    <xf numFmtId="1" fontId="8" fillId="6" borderId="51" xfId="0" applyNumberFormat="1" applyFont="1" applyFill="1" applyBorder="1" applyAlignment="1" applyProtection="1">
      <alignment vertical="center"/>
      <protection locked="0"/>
    </xf>
    <xf numFmtId="0" fontId="30" fillId="7" borderId="0" xfId="0" applyFont="1" applyFill="1" applyBorder="1" applyAlignment="1">
      <alignment horizontal="center"/>
    </xf>
    <xf numFmtId="0" fontId="8" fillId="4" borderId="52" xfId="0" applyFont="1" applyFill="1" applyBorder="1"/>
    <xf numFmtId="164" fontId="8" fillId="0" borderId="31" xfId="0" applyNumberFormat="1" applyFont="1" applyBorder="1" applyAlignment="1" applyProtection="1">
      <alignment horizontal="right"/>
      <protection locked="0"/>
    </xf>
    <xf numFmtId="164" fontId="8" fillId="0" borderId="27" xfId="0" applyNumberFormat="1" applyFont="1" applyBorder="1" applyAlignment="1" applyProtection="1">
      <alignment horizontal="right"/>
      <protection locked="0"/>
    </xf>
    <xf numFmtId="164" fontId="8" fillId="0" borderId="27" xfId="0" applyNumberFormat="1" applyFont="1" applyFill="1" applyBorder="1" applyAlignment="1" applyProtection="1">
      <alignment horizontal="right"/>
      <protection locked="0"/>
    </xf>
    <xf numFmtId="0" fontId="30" fillId="4" borderId="0" xfId="0" applyFont="1" applyFill="1"/>
    <xf numFmtId="0" fontId="8" fillId="4" borderId="53" xfId="0" applyFont="1" applyFill="1" applyBorder="1"/>
    <xf numFmtId="0" fontId="8" fillId="0" borderId="54" xfId="0" applyFont="1" applyBorder="1" applyAlignment="1" applyProtection="1">
      <alignment horizontal="center"/>
      <protection locked="0"/>
    </xf>
    <xf numFmtId="0" fontId="8" fillId="2" borderId="52" xfId="0" applyFont="1" applyFill="1" applyBorder="1" applyAlignment="1" applyProtection="1">
      <alignment horizontal="center" vertical="center"/>
      <protection locked="0"/>
    </xf>
    <xf numFmtId="0" fontId="3" fillId="4" borderId="53" xfId="0" applyFont="1" applyFill="1" applyBorder="1"/>
    <xf numFmtId="0" fontId="1" fillId="5" borderId="0" xfId="4" applyFont="1" applyFill="1"/>
    <xf numFmtId="0" fontId="3" fillId="4" borderId="10" xfId="0" applyFont="1" applyFill="1" applyBorder="1"/>
    <xf numFmtId="0" fontId="3" fillId="4" borderId="15" xfId="0" applyFont="1" applyFill="1" applyBorder="1"/>
    <xf numFmtId="0" fontId="6" fillId="4" borderId="2" xfId="0" applyFont="1" applyFill="1" applyBorder="1"/>
    <xf numFmtId="0" fontId="8" fillId="3" borderId="55" xfId="0" applyFont="1" applyFill="1" applyBorder="1"/>
    <xf numFmtId="0" fontId="8" fillId="3" borderId="56" xfId="0" applyFont="1" applyFill="1" applyBorder="1"/>
    <xf numFmtId="0" fontId="8" fillId="3" borderId="57" xfId="0" applyFont="1" applyFill="1" applyBorder="1"/>
    <xf numFmtId="0" fontId="8" fillId="3" borderId="4" xfId="0" applyFont="1" applyFill="1" applyBorder="1"/>
    <xf numFmtId="0" fontId="8" fillId="3" borderId="5" xfId="0" applyFont="1" applyFill="1" applyBorder="1"/>
    <xf numFmtId="0" fontId="3" fillId="3" borderId="58" xfId="0" applyFont="1" applyFill="1" applyBorder="1"/>
    <xf numFmtId="0" fontId="3" fillId="3" borderId="32" xfId="0" applyFont="1" applyFill="1" applyBorder="1"/>
    <xf numFmtId="0" fontId="6" fillId="3" borderId="59" xfId="0" applyFont="1" applyFill="1" applyBorder="1"/>
    <xf numFmtId="0" fontId="8" fillId="4" borderId="12" xfId="0" applyFont="1" applyFill="1" applyBorder="1" applyAlignment="1">
      <alignment vertical="center"/>
    </xf>
    <xf numFmtId="0" fontId="8" fillId="4" borderId="60" xfId="0" applyFont="1" applyFill="1" applyBorder="1" applyAlignment="1">
      <alignment horizontal="center"/>
    </xf>
    <xf numFmtId="0" fontId="8" fillId="4" borderId="10" xfId="0" applyFont="1" applyFill="1" applyBorder="1" applyAlignment="1">
      <alignment horizontal="centerContinuous"/>
    </xf>
    <xf numFmtId="0" fontId="8" fillId="4" borderId="11" xfId="0" applyFont="1" applyFill="1" applyBorder="1" applyAlignment="1">
      <alignment horizontal="centerContinuous"/>
    </xf>
    <xf numFmtId="0" fontId="8" fillId="4" borderId="15" xfId="0" applyFont="1" applyFill="1" applyBorder="1" applyAlignment="1">
      <alignment horizontal="centerContinuous"/>
    </xf>
    <xf numFmtId="0" fontId="8" fillId="4" borderId="8" xfId="0" applyFont="1" applyFill="1" applyBorder="1" applyAlignment="1" applyProtection="1">
      <alignment vertical="center"/>
    </xf>
    <xf numFmtId="0" fontId="8" fillId="4" borderId="8" xfId="0" applyFont="1" applyFill="1" applyBorder="1" applyAlignment="1" applyProtection="1">
      <alignment vertical="center" wrapText="1"/>
    </xf>
    <xf numFmtId="0" fontId="8" fillId="4" borderId="5" xfId="0" applyFont="1" applyFill="1" applyBorder="1" applyAlignment="1">
      <alignment vertical="center"/>
    </xf>
    <xf numFmtId="0" fontId="39" fillId="4" borderId="25" xfId="0" applyFont="1" applyFill="1" applyBorder="1" applyAlignment="1">
      <alignment wrapText="1"/>
    </xf>
    <xf numFmtId="0" fontId="31" fillId="4" borderId="0" xfId="0" applyFont="1" applyFill="1"/>
    <xf numFmtId="0" fontId="8" fillId="4" borderId="8" xfId="0" applyFont="1" applyFill="1" applyBorder="1" applyAlignment="1">
      <alignment vertical="center"/>
    </xf>
    <xf numFmtId="0" fontId="8" fillId="4" borderId="59" xfId="0" applyFont="1" applyFill="1" applyBorder="1"/>
    <xf numFmtId="0" fontId="8" fillId="4" borderId="58" xfId="0" applyFont="1" applyFill="1" applyBorder="1"/>
    <xf numFmtId="0" fontId="8" fillId="4" borderId="61" xfId="0" applyFont="1" applyFill="1" applyBorder="1"/>
    <xf numFmtId="0" fontId="3" fillId="4" borderId="62" xfId="0" applyFont="1" applyFill="1" applyBorder="1"/>
    <xf numFmtId="0" fontId="10" fillId="4" borderId="48" xfId="0" applyFont="1" applyFill="1" applyBorder="1"/>
    <xf numFmtId="0" fontId="10" fillId="4" borderId="62" xfId="0" applyFont="1" applyFill="1" applyBorder="1"/>
    <xf numFmtId="0" fontId="3" fillId="4" borderId="49" xfId="0" applyFont="1" applyFill="1" applyBorder="1"/>
    <xf numFmtId="0" fontId="9" fillId="4" borderId="2" xfId="0" applyFont="1" applyFill="1" applyBorder="1"/>
    <xf numFmtId="0" fontId="33" fillId="3" borderId="0" xfId="0" applyFont="1" applyFill="1" applyBorder="1"/>
    <xf numFmtId="0" fontId="33" fillId="3" borderId="39" xfId="0" applyFont="1" applyFill="1" applyBorder="1"/>
    <xf numFmtId="0" fontId="35" fillId="3" borderId="0" xfId="0" applyFont="1" applyFill="1" applyBorder="1"/>
    <xf numFmtId="0" fontId="35" fillId="3" borderId="47" xfId="0" applyFont="1" applyFill="1" applyBorder="1"/>
    <xf numFmtId="0" fontId="33" fillId="3" borderId="47" xfId="0" applyFont="1" applyFill="1" applyBorder="1"/>
    <xf numFmtId="0" fontId="35" fillId="4" borderId="14" xfId="0" applyFont="1" applyFill="1" applyBorder="1"/>
    <xf numFmtId="0" fontId="37" fillId="4" borderId="22" xfId="0" applyFont="1" applyFill="1" applyBorder="1" applyAlignment="1">
      <alignment horizontal="center"/>
    </xf>
    <xf numFmtId="0" fontId="37" fillId="4" borderId="63" xfId="0" applyFont="1" applyFill="1" applyBorder="1" applyAlignment="1">
      <alignment horizontal="center"/>
    </xf>
    <xf numFmtId="0" fontId="36" fillId="4" borderId="20" xfId="0" applyFont="1" applyFill="1" applyBorder="1" applyAlignment="1">
      <alignment horizontal="center"/>
    </xf>
    <xf numFmtId="0" fontId="36" fillId="4" borderId="19" xfId="0" applyFont="1" applyFill="1" applyBorder="1" applyAlignment="1">
      <alignment horizontal="center"/>
    </xf>
    <xf numFmtId="0" fontId="34" fillId="4" borderId="36" xfId="0" applyFont="1" applyFill="1" applyBorder="1" applyAlignment="1">
      <alignment horizontal="center"/>
    </xf>
    <xf numFmtId="0" fontId="34" fillId="4" borderId="64" xfId="0" applyFont="1" applyFill="1" applyBorder="1" applyAlignment="1">
      <alignment horizontal="center"/>
    </xf>
    <xf numFmtId="0" fontId="35" fillId="4" borderId="11" xfId="0" applyFont="1" applyFill="1" applyBorder="1"/>
    <xf numFmtId="0" fontId="8" fillId="8" borderId="57" xfId="0" applyFont="1" applyFill="1" applyBorder="1"/>
    <xf numFmtId="0" fontId="8" fillId="8" borderId="11" xfId="0" applyFont="1" applyFill="1" applyBorder="1"/>
    <xf numFmtId="0" fontId="10" fillId="4" borderId="65" xfId="0" applyFont="1" applyFill="1" applyBorder="1" applyAlignment="1">
      <alignment horizontal="centerContinuous"/>
    </xf>
    <xf numFmtId="0" fontId="10" fillId="4" borderId="52" xfId="0" applyFont="1" applyFill="1" applyBorder="1" applyAlignment="1">
      <alignment horizontal="centerContinuous"/>
    </xf>
    <xf numFmtId="0" fontId="10" fillId="4" borderId="11" xfId="0" applyFont="1" applyFill="1" applyBorder="1" applyAlignment="1">
      <alignment horizontal="center"/>
    </xf>
    <xf numFmtId="0" fontId="3" fillId="4" borderId="35" xfId="0" applyFont="1" applyFill="1" applyBorder="1" applyAlignment="1">
      <alignment vertical="center"/>
    </xf>
    <xf numFmtId="0" fontId="8" fillId="4" borderId="14" xfId="0" applyFont="1" applyFill="1" applyBorder="1" applyAlignment="1">
      <alignment horizontal="center" vertical="center" wrapText="1"/>
    </xf>
    <xf numFmtId="0" fontId="8" fillId="4" borderId="14" xfId="0" applyFont="1" applyFill="1" applyBorder="1" applyAlignment="1">
      <alignment horizontal="center" wrapText="1"/>
    </xf>
    <xf numFmtId="0" fontId="48" fillId="2" borderId="0" xfId="3" applyFont="1" applyFill="1" applyBorder="1" applyAlignment="1">
      <alignment horizontal="center"/>
    </xf>
    <xf numFmtId="1" fontId="8" fillId="0" borderId="20" xfId="0" applyNumberFormat="1" applyFont="1" applyBorder="1" applyAlignment="1" applyProtection="1">
      <alignment horizontal="center"/>
      <protection locked="0"/>
    </xf>
    <xf numFmtId="1" fontId="8" fillId="0" borderId="54" xfId="0" applyNumberFormat="1" applyFont="1" applyBorder="1" applyAlignment="1" applyProtection="1">
      <alignment horizontal="center"/>
      <protection locked="0"/>
    </xf>
    <xf numFmtId="1" fontId="8" fillId="0" borderId="21" xfId="0" applyNumberFormat="1" applyFont="1" applyBorder="1" applyAlignment="1" applyProtection="1">
      <alignment horizontal="center"/>
      <protection locked="0"/>
    </xf>
    <xf numFmtId="1" fontId="9" fillId="4" borderId="43" xfId="0" applyNumberFormat="1" applyFont="1" applyFill="1" applyBorder="1" applyAlignment="1">
      <alignment horizontal="center"/>
    </xf>
    <xf numFmtId="1" fontId="9" fillId="4" borderId="42" xfId="0" applyNumberFormat="1" applyFont="1" applyFill="1" applyBorder="1" applyAlignment="1">
      <alignment horizontal="center"/>
    </xf>
    <xf numFmtId="1" fontId="9" fillId="6" borderId="47" xfId="0" applyNumberFormat="1" applyFont="1" applyFill="1" applyBorder="1" applyAlignment="1">
      <alignment horizontal="center"/>
    </xf>
    <xf numFmtId="0" fontId="8" fillId="2" borderId="54" xfId="0" applyFont="1" applyFill="1" applyBorder="1" applyAlignment="1" applyProtection="1">
      <alignment horizontal="center" vertical="center"/>
      <protection locked="0"/>
    </xf>
    <xf numFmtId="0" fontId="8" fillId="2" borderId="25" xfId="0" applyFont="1" applyFill="1" applyBorder="1" applyAlignment="1" applyProtection="1">
      <alignment horizontal="center" vertical="center"/>
      <protection locked="0"/>
    </xf>
    <xf numFmtId="0" fontId="31" fillId="2" borderId="0" xfId="0" applyFont="1" applyFill="1" applyBorder="1" applyAlignment="1"/>
    <xf numFmtId="0" fontId="4" fillId="3" borderId="39" xfId="0" applyFont="1" applyFill="1" applyBorder="1" applyAlignment="1">
      <alignment vertical="center"/>
    </xf>
    <xf numFmtId="0" fontId="4" fillId="3" borderId="66" xfId="0" applyFont="1" applyFill="1" applyBorder="1" applyAlignment="1">
      <alignment horizontal="center"/>
    </xf>
    <xf numFmtId="0" fontId="9" fillId="4" borderId="39" xfId="0" applyFont="1" applyFill="1" applyBorder="1"/>
    <xf numFmtId="0" fontId="4" fillId="3" borderId="2" xfId="0" applyFont="1" applyFill="1" applyBorder="1" applyAlignment="1">
      <alignment vertical="center"/>
    </xf>
    <xf numFmtId="0" fontId="6" fillId="3" borderId="67" xfId="0" applyFont="1" applyFill="1" applyBorder="1"/>
    <xf numFmtId="0" fontId="4" fillId="3" borderId="68" xfId="0" applyFont="1" applyFill="1" applyBorder="1" applyAlignment="1">
      <alignment horizontal="center"/>
    </xf>
    <xf numFmtId="0" fontId="7" fillId="3" borderId="47" xfId="1" applyFont="1" applyFill="1" applyBorder="1" applyAlignment="1" applyProtection="1">
      <alignment horizontal="right" vertical="center"/>
    </xf>
    <xf numFmtId="0" fontId="10" fillId="3" borderId="2" xfId="0" applyFont="1" applyFill="1" applyBorder="1" applyAlignment="1">
      <alignment vertical="center"/>
    </xf>
    <xf numFmtId="0" fontId="3" fillId="4" borderId="0" xfId="0" applyFont="1" applyFill="1" applyBorder="1"/>
    <xf numFmtId="0" fontId="3" fillId="4" borderId="47" xfId="0" applyFont="1" applyFill="1" applyBorder="1"/>
    <xf numFmtId="0" fontId="3" fillId="3" borderId="69" xfId="0" applyFont="1" applyFill="1" applyBorder="1"/>
    <xf numFmtId="0" fontId="3" fillId="3" borderId="70" xfId="0" applyFont="1" applyFill="1" applyBorder="1"/>
    <xf numFmtId="0" fontId="3" fillId="3" borderId="0" xfId="0" applyFont="1" applyFill="1" applyBorder="1"/>
    <xf numFmtId="0" fontId="3" fillId="3" borderId="10" xfId="0" applyFont="1" applyFill="1" applyBorder="1"/>
    <xf numFmtId="0" fontId="3" fillId="3" borderId="15" xfId="0" applyFont="1" applyFill="1" applyBorder="1"/>
    <xf numFmtId="0" fontId="5" fillId="2" borderId="4" xfId="1" applyFont="1" applyFill="1" applyBorder="1" applyAlignment="1" applyProtection="1">
      <protection locked="0"/>
    </xf>
    <xf numFmtId="0" fontId="8" fillId="2" borderId="13" xfId="0" applyFont="1" applyFill="1" applyBorder="1" applyProtection="1">
      <protection locked="0"/>
    </xf>
    <xf numFmtId="0" fontId="5" fillId="2" borderId="7" xfId="1" applyFont="1" applyFill="1" applyBorder="1" applyAlignment="1" applyProtection="1">
      <protection locked="0"/>
    </xf>
    <xf numFmtId="0" fontId="8" fillId="2" borderId="29" xfId="0" applyFont="1" applyFill="1" applyBorder="1" applyProtection="1">
      <protection locked="0"/>
    </xf>
    <xf numFmtId="0" fontId="1" fillId="2" borderId="1" xfId="3" applyFont="1" applyFill="1" applyBorder="1" applyAlignment="1">
      <alignment horizontal="center"/>
    </xf>
    <xf numFmtId="0" fontId="1" fillId="2" borderId="1" xfId="3" applyFont="1" applyFill="1" applyBorder="1"/>
    <xf numFmtId="0" fontId="1" fillId="2" borderId="71" xfId="3" applyFont="1" applyFill="1" applyBorder="1"/>
    <xf numFmtId="0" fontId="49" fillId="5" borderId="0" xfId="4" applyFont="1" applyFill="1"/>
    <xf numFmtId="0" fontId="14" fillId="5" borderId="0" xfId="4" applyFont="1" applyFill="1" applyAlignment="1">
      <alignment horizontal="left"/>
    </xf>
    <xf numFmtId="0" fontId="50" fillId="5" borderId="0" xfId="4" applyFont="1" applyFill="1"/>
    <xf numFmtId="0" fontId="1" fillId="5" borderId="0" xfId="4" applyFont="1" applyFill="1" applyAlignment="1">
      <alignment vertical="top"/>
    </xf>
    <xf numFmtId="0" fontId="48" fillId="5" borderId="0" xfId="4" applyFont="1" applyFill="1" applyAlignment="1">
      <alignment horizontal="right"/>
    </xf>
    <xf numFmtId="0" fontId="0" fillId="2" borderId="0" xfId="0" applyFill="1"/>
    <xf numFmtId="0" fontId="4" fillId="3" borderId="72" xfId="0" applyFont="1" applyFill="1" applyBorder="1" applyAlignment="1"/>
    <xf numFmtId="0" fontId="30" fillId="2" borderId="0" xfId="0" applyFont="1" applyFill="1" applyBorder="1" applyAlignment="1">
      <alignment wrapText="1"/>
    </xf>
    <xf numFmtId="0" fontId="3" fillId="4" borderId="33" xfId="0" applyFont="1" applyFill="1" applyBorder="1" applyAlignment="1">
      <alignment vertical="center"/>
    </xf>
    <xf numFmtId="0" fontId="3" fillId="4" borderId="9" xfId="0" applyFont="1" applyFill="1" applyBorder="1" applyAlignment="1">
      <alignment horizontal="right"/>
    </xf>
    <xf numFmtId="0" fontId="3" fillId="4" borderId="60" xfId="0" applyFont="1" applyFill="1" applyBorder="1" applyAlignment="1">
      <alignment horizontal="right"/>
    </xf>
    <xf numFmtId="0" fontId="3" fillId="4" borderId="28" xfId="0" applyFont="1" applyFill="1" applyBorder="1" applyAlignment="1">
      <alignment horizontal="right"/>
    </xf>
    <xf numFmtId="0" fontId="30" fillId="4" borderId="0" xfId="0" applyFont="1" applyFill="1" applyBorder="1"/>
    <xf numFmtId="0" fontId="9" fillId="4" borderId="25" xfId="0" applyFont="1" applyFill="1" applyBorder="1" applyAlignment="1">
      <alignment horizontal="center"/>
    </xf>
    <xf numFmtId="0" fontId="4" fillId="3" borderId="73" xfId="0" applyFont="1" applyFill="1" applyBorder="1" applyAlignment="1"/>
    <xf numFmtId="0" fontId="8" fillId="0" borderId="13" xfId="0" applyFont="1" applyBorder="1" applyAlignment="1" applyProtection="1">
      <alignment horizontal="center" vertical="center"/>
      <protection locked="0"/>
    </xf>
    <xf numFmtId="0" fontId="3" fillId="3" borderId="47" xfId="0" applyFont="1" applyFill="1" applyBorder="1"/>
    <xf numFmtId="0" fontId="9" fillId="4" borderId="14" xfId="0" applyFont="1" applyFill="1" applyBorder="1" applyAlignment="1">
      <alignment horizontal="center"/>
    </xf>
    <xf numFmtId="0" fontId="9" fillId="4" borderId="74" xfId="2" applyFont="1" applyFill="1" applyBorder="1" applyAlignment="1" applyProtection="1">
      <alignment vertical="center"/>
    </xf>
    <xf numFmtId="0" fontId="9" fillId="4" borderId="39" xfId="2" applyFont="1" applyFill="1" applyBorder="1" applyAlignment="1" applyProtection="1">
      <alignment vertical="center"/>
    </xf>
    <xf numFmtId="0" fontId="9" fillId="4" borderId="75" xfId="2" applyFont="1" applyFill="1" applyBorder="1" applyAlignment="1" applyProtection="1">
      <alignment vertical="center"/>
    </xf>
    <xf numFmtId="0" fontId="8" fillId="4" borderId="76" xfId="2" applyFont="1" applyFill="1" applyBorder="1" applyAlignment="1" applyProtection="1">
      <alignment vertical="center"/>
    </xf>
    <xf numFmtId="0" fontId="8" fillId="4" borderId="77" xfId="2" applyFont="1" applyFill="1" applyBorder="1" applyAlignment="1" applyProtection="1">
      <alignment vertical="center"/>
    </xf>
    <xf numFmtId="0" fontId="17" fillId="4" borderId="78" xfId="2" applyFont="1" applyFill="1" applyBorder="1" applyAlignment="1" applyProtection="1">
      <alignment vertical="center"/>
    </xf>
    <xf numFmtId="0" fontId="17" fillId="4" borderId="77" xfId="2" applyFont="1" applyFill="1" applyBorder="1" applyAlignment="1" applyProtection="1">
      <alignment horizontal="left" vertical="center"/>
    </xf>
    <xf numFmtId="49" fontId="20" fillId="4" borderId="77" xfId="2" applyNumberFormat="1" applyFont="1" applyFill="1" applyBorder="1" applyProtection="1"/>
    <xf numFmtId="49" fontId="21" fillId="4" borderId="77" xfId="2" applyNumberFormat="1" applyFont="1" applyFill="1" applyBorder="1" applyProtection="1"/>
    <xf numFmtId="0" fontId="1" fillId="3" borderId="47" xfId="2" applyFont="1" applyFill="1" applyBorder="1" applyAlignment="1" applyProtection="1">
      <alignment vertical="center"/>
    </xf>
    <xf numFmtId="0" fontId="17" fillId="3" borderId="69" xfId="2" applyFont="1" applyFill="1" applyBorder="1" applyAlignment="1" applyProtection="1">
      <alignment horizontal="center" vertical="center"/>
    </xf>
    <xf numFmtId="0" fontId="15" fillId="3" borderId="69" xfId="2" applyFont="1" applyFill="1" applyBorder="1" applyAlignment="1">
      <alignment vertical="center"/>
    </xf>
    <xf numFmtId="0" fontId="18" fillId="3" borderId="69" xfId="2" applyFont="1" applyFill="1" applyBorder="1" applyAlignment="1" applyProtection="1">
      <alignment vertical="center"/>
    </xf>
    <xf numFmtId="0" fontId="15" fillId="8" borderId="69" xfId="2" applyFont="1" applyFill="1" applyBorder="1" applyAlignment="1">
      <alignment vertical="center"/>
    </xf>
    <xf numFmtId="0" fontId="1" fillId="8" borderId="0" xfId="2" applyFont="1" applyFill="1" applyBorder="1"/>
    <xf numFmtId="0" fontId="18" fillId="8" borderId="69" xfId="2" applyFont="1" applyFill="1" applyBorder="1" applyAlignment="1" applyProtection="1">
      <alignment vertical="center"/>
    </xf>
    <xf numFmtId="0" fontId="30" fillId="8" borderId="39" xfId="0" applyFont="1" applyFill="1" applyBorder="1"/>
    <xf numFmtId="0" fontId="1" fillId="3" borderId="69" xfId="2" applyFont="1" applyFill="1" applyBorder="1"/>
    <xf numFmtId="0" fontId="6" fillId="4" borderId="0" xfId="2" applyFont="1" applyFill="1" applyBorder="1" applyAlignment="1" applyProtection="1">
      <alignment vertical="center"/>
    </xf>
    <xf numFmtId="0" fontId="1" fillId="8" borderId="69" xfId="2" applyFont="1" applyFill="1" applyBorder="1" applyAlignment="1" applyProtection="1">
      <alignment horizontal="left" vertical="center"/>
    </xf>
    <xf numFmtId="3" fontId="18" fillId="2" borderId="0" xfId="2" applyNumberFormat="1" applyFont="1" applyFill="1" applyBorder="1" applyAlignment="1" applyProtection="1">
      <alignment horizontal="center" vertical="center"/>
    </xf>
    <xf numFmtId="49" fontId="18" fillId="2" borderId="0" xfId="2" applyNumberFormat="1" applyFont="1" applyFill="1" applyBorder="1" applyAlignment="1" applyProtection="1">
      <alignment vertical="center"/>
    </xf>
    <xf numFmtId="0" fontId="17" fillId="2" borderId="0" xfId="2" applyFont="1" applyFill="1" applyBorder="1" applyAlignment="1" applyProtection="1">
      <alignment vertical="top"/>
      <protection locked="0"/>
    </xf>
    <xf numFmtId="3" fontId="17" fillId="2" borderId="0" xfId="2" applyNumberFormat="1" applyFont="1" applyFill="1" applyBorder="1" applyAlignment="1" applyProtection="1">
      <alignment horizontal="center" vertical="center"/>
      <protection locked="0"/>
    </xf>
    <xf numFmtId="3" fontId="17" fillId="2" borderId="0" xfId="2" applyNumberFormat="1" applyFont="1" applyFill="1" applyBorder="1" applyAlignment="1" applyProtection="1">
      <alignment horizontal="center" vertical="center"/>
    </xf>
    <xf numFmtId="0" fontId="8" fillId="4" borderId="19" xfId="0" applyFont="1" applyFill="1" applyBorder="1" applyAlignment="1">
      <alignment horizontal="center"/>
    </xf>
    <xf numFmtId="0" fontId="8" fillId="4" borderId="16" xfId="0" applyFont="1" applyFill="1" applyBorder="1" applyAlignment="1">
      <alignment horizontal="center"/>
    </xf>
    <xf numFmtId="0" fontId="4" fillId="3" borderId="66" xfId="0" applyFont="1" applyFill="1" applyBorder="1" applyAlignment="1"/>
    <xf numFmtId="0" fontId="8" fillId="0" borderId="25" xfId="0" applyFont="1" applyBorder="1" applyAlignment="1" applyProtection="1">
      <alignment horizontal="center"/>
      <protection locked="0"/>
    </xf>
    <xf numFmtId="0" fontId="3" fillId="2" borderId="0" xfId="0" applyFont="1" applyFill="1" applyAlignment="1">
      <alignment horizontal="center"/>
    </xf>
    <xf numFmtId="0" fontId="3" fillId="0" borderId="0" xfId="0" applyFont="1" applyAlignment="1">
      <alignment horizontal="center"/>
    </xf>
    <xf numFmtId="0" fontId="8" fillId="2" borderId="13" xfId="0" applyFont="1" applyFill="1" applyBorder="1" applyAlignment="1" applyProtection="1">
      <alignment horizontal="center" vertical="center"/>
      <protection locked="0"/>
    </xf>
    <xf numFmtId="0" fontId="8" fillId="2" borderId="32" xfId="0" applyFont="1" applyFill="1" applyBorder="1" applyAlignment="1" applyProtection="1">
      <alignment horizontal="center" vertical="center"/>
      <protection locked="0"/>
    </xf>
    <xf numFmtId="0" fontId="8" fillId="2" borderId="29" xfId="0" applyFont="1" applyFill="1" applyBorder="1" applyAlignment="1" applyProtection="1">
      <alignment horizontal="center" vertical="center"/>
      <protection locked="0"/>
    </xf>
    <xf numFmtId="0" fontId="8" fillId="4" borderId="79" xfId="0" applyFont="1" applyFill="1" applyBorder="1"/>
    <xf numFmtId="0" fontId="9" fillId="4" borderId="35" xfId="0" applyFont="1" applyFill="1" applyBorder="1"/>
    <xf numFmtId="0" fontId="9" fillId="4" borderId="53" xfId="0" applyFont="1" applyFill="1" applyBorder="1" applyAlignment="1">
      <alignment horizontal="center" vertical="center"/>
    </xf>
    <xf numFmtId="1" fontId="9" fillId="4" borderId="41" xfId="0" applyNumberFormat="1" applyFont="1" applyFill="1" applyBorder="1" applyAlignment="1">
      <alignment horizontal="center"/>
    </xf>
    <xf numFmtId="1" fontId="8" fillId="0" borderId="25" xfId="0" applyNumberFormat="1" applyFont="1" applyBorder="1" applyAlignment="1" applyProtection="1">
      <alignment horizontal="center"/>
      <protection locked="0"/>
    </xf>
    <xf numFmtId="1" fontId="9" fillId="4" borderId="80" xfId="0" applyNumberFormat="1" applyFont="1" applyFill="1" applyBorder="1" applyAlignment="1">
      <alignment horizontal="center"/>
    </xf>
    <xf numFmtId="1" fontId="8" fillId="2" borderId="25" xfId="0" applyNumberFormat="1" applyFont="1" applyFill="1" applyBorder="1" applyAlignment="1">
      <alignment horizontal="center"/>
    </xf>
    <xf numFmtId="0" fontId="8" fillId="4" borderId="81" xfId="0" applyFont="1" applyFill="1" applyBorder="1" applyAlignment="1">
      <alignment horizontal="centerContinuous"/>
    </xf>
    <xf numFmtId="0" fontId="8" fillId="4" borderId="5" xfId="0" applyFont="1" applyFill="1" applyBorder="1" applyAlignment="1">
      <alignment horizontal="centerContinuous"/>
    </xf>
    <xf numFmtId="0" fontId="8" fillId="4" borderId="4" xfId="0" applyFont="1" applyFill="1" applyBorder="1" applyAlignment="1">
      <alignment horizontal="centerContinuous"/>
    </xf>
    <xf numFmtId="0" fontId="8" fillId="4" borderId="43" xfId="0" applyFont="1" applyFill="1" applyBorder="1" applyAlignment="1">
      <alignment horizontal="center"/>
    </xf>
    <xf numFmtId="0" fontId="8" fillId="4" borderId="42" xfId="0" applyFont="1" applyFill="1" applyBorder="1" applyAlignment="1">
      <alignment horizontal="center"/>
    </xf>
    <xf numFmtId="0" fontId="8" fillId="4" borderId="16" xfId="0" applyFont="1" applyFill="1" applyBorder="1"/>
    <xf numFmtId="1" fontId="8" fillId="3" borderId="0" xfId="0" applyNumberFormat="1" applyFont="1" applyFill="1" applyBorder="1" applyAlignment="1" applyProtection="1">
      <alignment horizontal="center"/>
      <protection locked="0"/>
    </xf>
    <xf numFmtId="0" fontId="8" fillId="4" borderId="82" xfId="0" applyFont="1" applyFill="1" applyBorder="1"/>
    <xf numFmtId="0" fontId="9" fillId="4" borderId="29" xfId="0" applyFont="1" applyFill="1" applyBorder="1" applyAlignment="1">
      <alignment horizontal="center"/>
    </xf>
    <xf numFmtId="164" fontId="8" fillId="0" borderId="54" xfId="0" applyNumberFormat="1" applyFont="1" applyBorder="1" applyAlignment="1" applyProtection="1">
      <alignment horizontal="center"/>
      <protection locked="0"/>
    </xf>
    <xf numFmtId="165" fontId="9" fillId="4" borderId="29" xfId="0" applyNumberFormat="1" applyFont="1" applyFill="1" applyBorder="1" applyAlignment="1">
      <alignment horizontal="center"/>
    </xf>
    <xf numFmtId="0" fontId="9" fillId="3" borderId="15" xfId="0" applyFont="1" applyFill="1" applyBorder="1" applyAlignment="1">
      <alignment horizontal="center"/>
    </xf>
    <xf numFmtId="0" fontId="8" fillId="4" borderId="16" xfId="0" applyFont="1" applyFill="1" applyBorder="1" applyAlignment="1">
      <alignment vertical="center"/>
    </xf>
    <xf numFmtId="0" fontId="3" fillId="4" borderId="39" xfId="0" applyFont="1" applyFill="1" applyBorder="1" applyAlignment="1">
      <alignment vertical="center"/>
    </xf>
    <xf numFmtId="0" fontId="3" fillId="4" borderId="40" xfId="0" applyFont="1" applyFill="1" applyBorder="1" applyAlignment="1">
      <alignment vertical="center"/>
    </xf>
    <xf numFmtId="0" fontId="3" fillId="4" borderId="2" xfId="0" applyFont="1" applyFill="1" applyBorder="1" applyAlignment="1">
      <alignment vertical="center"/>
    </xf>
    <xf numFmtId="0" fontId="3" fillId="4" borderId="16" xfId="0" applyFont="1" applyFill="1" applyBorder="1" applyAlignment="1">
      <alignment vertical="center"/>
    </xf>
    <xf numFmtId="0" fontId="8" fillId="4" borderId="43" xfId="0" applyFont="1" applyFill="1" applyBorder="1" applyAlignment="1">
      <alignment horizontal="center" vertical="center" wrapText="1"/>
    </xf>
    <xf numFmtId="0" fontId="8" fillId="4" borderId="3" xfId="0" applyFont="1" applyFill="1" applyBorder="1" applyAlignment="1">
      <alignment vertical="center"/>
    </xf>
    <xf numFmtId="0" fontId="8" fillId="4" borderId="37" xfId="0" applyFont="1" applyFill="1" applyBorder="1" applyAlignment="1">
      <alignment vertical="center"/>
    </xf>
    <xf numFmtId="0" fontId="8" fillId="4" borderId="2" xfId="0" applyFont="1" applyFill="1" applyBorder="1" applyAlignment="1">
      <alignment vertical="center"/>
    </xf>
    <xf numFmtId="0" fontId="9" fillId="4" borderId="13" xfId="0" applyFont="1" applyFill="1" applyBorder="1" applyAlignment="1">
      <alignment horizontal="centerContinuous" vertical="center"/>
    </xf>
    <xf numFmtId="0" fontId="8" fillId="0" borderId="29" xfId="0" applyFont="1" applyBorder="1" applyAlignment="1" applyProtection="1">
      <alignment horizontal="center" vertical="center"/>
      <protection locked="0"/>
    </xf>
    <xf numFmtId="0" fontId="8" fillId="2" borderId="8" xfId="0" applyFont="1" applyFill="1" applyBorder="1" applyAlignment="1" applyProtection="1">
      <alignment horizontal="center" vertical="center"/>
      <protection locked="0"/>
    </xf>
    <xf numFmtId="0" fontId="8" fillId="2" borderId="61" xfId="0" applyFont="1" applyFill="1" applyBorder="1" applyAlignment="1" applyProtection="1">
      <alignment horizontal="center" vertical="center"/>
      <protection locked="0"/>
    </xf>
    <xf numFmtId="0" fontId="9" fillId="4" borderId="31" xfId="0" applyFont="1" applyFill="1" applyBorder="1" applyAlignment="1" applyProtection="1">
      <alignment horizontal="center"/>
    </xf>
    <xf numFmtId="0" fontId="8" fillId="0" borderId="8" xfId="0" applyFont="1" applyBorder="1" applyAlignment="1" applyProtection="1">
      <alignment horizontal="center"/>
      <protection locked="0"/>
    </xf>
    <xf numFmtId="0" fontId="9" fillId="4" borderId="25" xfId="0" applyFont="1" applyFill="1" applyBorder="1" applyAlignment="1" applyProtection="1">
      <alignment horizontal="center"/>
    </xf>
    <xf numFmtId="0" fontId="9" fillId="4" borderId="26" xfId="0" applyFont="1" applyFill="1" applyBorder="1" applyAlignment="1" applyProtection="1">
      <alignment horizontal="center"/>
    </xf>
    <xf numFmtId="0" fontId="9" fillId="4" borderId="8" xfId="0" applyFont="1" applyFill="1" applyBorder="1" applyAlignment="1">
      <alignment horizontal="center"/>
    </xf>
    <xf numFmtId="0" fontId="9" fillId="4" borderId="41" xfId="0" applyFont="1" applyFill="1" applyBorder="1" applyAlignment="1">
      <alignment horizontal="center"/>
    </xf>
    <xf numFmtId="0" fontId="3" fillId="4" borderId="82" xfId="0" applyFont="1" applyFill="1" applyBorder="1"/>
    <xf numFmtId="0" fontId="9" fillId="4" borderId="26" xfId="0" applyFont="1" applyFill="1" applyBorder="1" applyAlignment="1">
      <alignment horizontal="center"/>
    </xf>
    <xf numFmtId="0" fontId="8" fillId="4" borderId="5" xfId="0" applyFont="1" applyFill="1" applyBorder="1" applyAlignment="1">
      <alignment horizontal="centerContinuous" vertical="center" wrapText="1"/>
    </xf>
    <xf numFmtId="0" fontId="8" fillId="4" borderId="4" xfId="0" applyFont="1" applyFill="1" applyBorder="1" applyAlignment="1">
      <alignment horizontal="centerContinuous" vertical="center" wrapText="1"/>
    </xf>
    <xf numFmtId="0" fontId="45" fillId="2" borderId="39" xfId="0" applyFont="1" applyFill="1" applyBorder="1" applyAlignment="1"/>
    <xf numFmtId="0" fontId="45" fillId="2" borderId="0" xfId="0" applyFont="1" applyFill="1" applyBorder="1" applyAlignment="1"/>
    <xf numFmtId="0" fontId="46" fillId="2" borderId="0" xfId="0" applyFont="1" applyFill="1" applyBorder="1"/>
    <xf numFmtId="0" fontId="46" fillId="2" borderId="0" xfId="0" applyFont="1" applyFill="1"/>
    <xf numFmtId="0" fontId="46" fillId="0" borderId="0" xfId="0" applyFont="1"/>
    <xf numFmtId="0" fontId="46" fillId="9" borderId="0" xfId="0" applyFont="1" applyFill="1"/>
    <xf numFmtId="0" fontId="46" fillId="10" borderId="0" xfId="0" applyFont="1" applyFill="1"/>
    <xf numFmtId="0" fontId="46" fillId="11" borderId="0" xfId="0" applyFont="1" applyFill="1"/>
    <xf numFmtId="0" fontId="31" fillId="2" borderId="0" xfId="0" applyFont="1" applyFill="1"/>
    <xf numFmtId="0" fontId="31" fillId="0" borderId="25" xfId="0" applyFont="1" applyFill="1" applyBorder="1" applyAlignment="1">
      <alignment horizontal="center" vertical="center"/>
    </xf>
    <xf numFmtId="0" fontId="8" fillId="0" borderId="29" xfId="0" applyFont="1" applyFill="1" applyBorder="1" applyAlignment="1" applyProtection="1">
      <alignment horizontal="center" vertical="center"/>
    </xf>
    <xf numFmtId="0" fontId="8" fillId="0" borderId="8" xfId="0" applyFont="1" applyFill="1" applyBorder="1" applyAlignment="1" applyProtection="1">
      <alignment horizontal="left" vertical="center"/>
      <protection locked="0"/>
    </xf>
    <xf numFmtId="0" fontId="9" fillId="4" borderId="83" xfId="2" applyFont="1" applyFill="1" applyBorder="1" applyAlignment="1" applyProtection="1">
      <alignment vertical="center"/>
    </xf>
    <xf numFmtId="0" fontId="9" fillId="4" borderId="84" xfId="2" applyFont="1" applyFill="1" applyBorder="1" applyAlignment="1" applyProtection="1">
      <alignment vertical="center"/>
    </xf>
    <xf numFmtId="0" fontId="17" fillId="4" borderId="83" xfId="2" applyFont="1" applyFill="1" applyBorder="1" applyAlignment="1" applyProtection="1">
      <alignment vertical="center"/>
    </xf>
    <xf numFmtId="3" fontId="18" fillId="4" borderId="85" xfId="2" applyNumberFormat="1" applyFont="1" applyFill="1" applyBorder="1" applyAlignment="1" applyProtection="1">
      <alignment horizontal="center" vertical="center"/>
    </xf>
    <xf numFmtId="0" fontId="1" fillId="4" borderId="83" xfId="2" applyFont="1" applyFill="1" applyBorder="1" applyProtection="1"/>
    <xf numFmtId="0" fontId="1" fillId="4" borderId="84" xfId="2" applyFont="1" applyFill="1" applyBorder="1" applyAlignment="1" applyProtection="1">
      <alignment vertical="center" wrapText="1"/>
    </xf>
    <xf numFmtId="0" fontId="47" fillId="11" borderId="0" xfId="0" applyFont="1" applyFill="1"/>
    <xf numFmtId="0" fontId="47" fillId="10" borderId="0" xfId="0" applyFont="1" applyFill="1"/>
    <xf numFmtId="0" fontId="47" fillId="9" borderId="0" xfId="0" applyFont="1" applyFill="1"/>
    <xf numFmtId="0" fontId="8" fillId="0" borderId="29" xfId="0" applyFont="1" applyBorder="1" applyAlignment="1">
      <alignment horizontal="center" vertical="center"/>
    </xf>
    <xf numFmtId="0" fontId="8" fillId="0" borderId="8" xfId="0" applyFont="1" applyBorder="1" applyAlignment="1">
      <alignment horizontal="center" vertical="center"/>
    </xf>
    <xf numFmtId="0" fontId="3" fillId="2" borderId="52" xfId="0" applyFont="1" applyFill="1" applyBorder="1"/>
    <xf numFmtId="0" fontId="8" fillId="2" borderId="86" xfId="0" applyFont="1" applyFill="1" applyBorder="1" applyAlignment="1" applyProtection="1">
      <alignment vertical="center"/>
      <protection locked="0"/>
    </xf>
    <xf numFmtId="3" fontId="8" fillId="0" borderId="52" xfId="0" applyNumberFormat="1" applyFont="1" applyBorder="1" applyAlignment="1" applyProtection="1">
      <alignment horizontal="center" vertical="center"/>
      <protection locked="0"/>
    </xf>
    <xf numFmtId="0" fontId="17" fillId="4" borderId="0" xfId="2" applyFont="1" applyFill="1" applyBorder="1" applyProtection="1"/>
    <xf numFmtId="0" fontId="9" fillId="4" borderId="87" xfId="2" applyFont="1" applyFill="1" applyBorder="1" applyAlignment="1" applyProtection="1">
      <alignment vertical="center"/>
    </xf>
    <xf numFmtId="0" fontId="6" fillId="4" borderId="69" xfId="2" applyFont="1" applyFill="1" applyBorder="1" applyAlignment="1" applyProtection="1">
      <alignment vertical="center"/>
    </xf>
    <xf numFmtId="0" fontId="9" fillId="4" borderId="69" xfId="2" applyFont="1" applyFill="1" applyBorder="1" applyAlignment="1" applyProtection="1">
      <alignment horizontal="center" vertical="center"/>
    </xf>
    <xf numFmtId="0" fontId="6" fillId="4" borderId="70" xfId="2" applyFont="1" applyFill="1" applyBorder="1" applyAlignment="1" applyProtection="1">
      <alignment vertical="center"/>
    </xf>
    <xf numFmtId="0" fontId="14" fillId="4" borderId="0" xfId="2" applyFont="1" applyFill="1" applyBorder="1" applyAlignment="1" applyProtection="1"/>
    <xf numFmtId="0" fontId="18" fillId="4" borderId="88" xfId="5" applyFont="1" applyFill="1" applyBorder="1" applyAlignment="1" applyProtection="1">
      <alignment horizontal="center" vertical="center" wrapText="1"/>
    </xf>
    <xf numFmtId="0" fontId="17" fillId="4" borderId="89" xfId="2" applyFont="1" applyFill="1" applyBorder="1" applyAlignment="1" applyProtection="1">
      <alignment horizontal="center" vertical="center"/>
    </xf>
    <xf numFmtId="0" fontId="17" fillId="4" borderId="57" xfId="2" applyFont="1" applyFill="1" applyBorder="1" applyAlignment="1" applyProtection="1">
      <alignment horizontal="center" vertical="center"/>
    </xf>
    <xf numFmtId="0" fontId="17" fillId="4" borderId="90" xfId="2" applyFont="1" applyFill="1" applyBorder="1" applyAlignment="1" applyProtection="1">
      <alignment horizontal="center" vertical="center"/>
    </xf>
    <xf numFmtId="0" fontId="17" fillId="4" borderId="40" xfId="2" applyFont="1" applyFill="1" applyBorder="1" applyAlignment="1" applyProtection="1">
      <alignment horizontal="center" vertical="center"/>
    </xf>
    <xf numFmtId="0" fontId="18" fillId="4" borderId="91" xfId="2" applyFont="1" applyFill="1" applyBorder="1" applyAlignment="1" applyProtection="1">
      <alignment horizontal="center" vertical="center"/>
    </xf>
    <xf numFmtId="0" fontId="18" fillId="4" borderId="10" xfId="2" applyFont="1" applyFill="1" applyBorder="1" applyAlignment="1" applyProtection="1">
      <alignment vertical="center"/>
    </xf>
    <xf numFmtId="49" fontId="18" fillId="4" borderId="2" xfId="2" applyNumberFormat="1" applyFont="1" applyFill="1" applyBorder="1" applyAlignment="1" applyProtection="1">
      <alignment vertical="center"/>
    </xf>
    <xf numFmtId="49" fontId="17" fillId="4" borderId="92" xfId="2" applyNumberFormat="1" applyFont="1" applyFill="1" applyBorder="1" applyAlignment="1" applyProtection="1">
      <alignment horizontal="right" vertical="center"/>
    </xf>
    <xf numFmtId="49" fontId="17" fillId="4" borderId="40" xfId="2" applyNumberFormat="1" applyFont="1" applyFill="1" applyBorder="1" applyAlignment="1" applyProtection="1">
      <alignment horizontal="right" vertical="center"/>
    </xf>
    <xf numFmtId="0" fontId="18" fillId="4" borderId="40" xfId="2" applyFont="1" applyFill="1" applyBorder="1" applyAlignment="1" applyProtection="1">
      <alignment horizontal="right" vertical="center"/>
    </xf>
    <xf numFmtId="0" fontId="9" fillId="4" borderId="0" xfId="2" applyFont="1" applyFill="1" applyBorder="1" applyAlignment="1" applyProtection="1">
      <alignment vertical="center"/>
    </xf>
    <xf numFmtId="0" fontId="9" fillId="4" borderId="93" xfId="2" applyFont="1" applyFill="1" applyBorder="1" applyAlignment="1" applyProtection="1">
      <alignment vertical="center"/>
    </xf>
    <xf numFmtId="0" fontId="18" fillId="4" borderId="94" xfId="5" applyFont="1" applyFill="1" applyBorder="1" applyAlignment="1" applyProtection="1">
      <alignment horizontal="center" vertical="center" wrapText="1"/>
    </xf>
    <xf numFmtId="0" fontId="9" fillId="4" borderId="95" xfId="2" applyFont="1" applyFill="1" applyBorder="1" applyAlignment="1" applyProtection="1">
      <alignment vertical="center"/>
    </xf>
    <xf numFmtId="0" fontId="9" fillId="4" borderId="96" xfId="2" applyFont="1" applyFill="1" applyBorder="1" applyAlignment="1" applyProtection="1">
      <alignment vertical="center"/>
    </xf>
    <xf numFmtId="0" fontId="17" fillId="4" borderId="61" xfId="2" applyFont="1" applyFill="1" applyBorder="1" applyAlignment="1" applyProtection="1">
      <alignment horizontal="center" vertical="center"/>
    </xf>
    <xf numFmtId="0" fontId="18" fillId="4" borderId="97" xfId="2" applyFont="1" applyFill="1" applyBorder="1" applyAlignment="1" applyProtection="1">
      <alignment horizontal="center" vertical="center"/>
    </xf>
    <xf numFmtId="0" fontId="9" fillId="4" borderId="98" xfId="2" applyFont="1" applyFill="1" applyBorder="1" applyAlignment="1" applyProtection="1">
      <alignment vertical="center"/>
    </xf>
    <xf numFmtId="0" fontId="9" fillId="4" borderId="99" xfId="2" applyFont="1" applyFill="1" applyBorder="1" applyAlignment="1" applyProtection="1">
      <alignment vertical="center"/>
    </xf>
    <xf numFmtId="0" fontId="9" fillId="4" borderId="100" xfId="2" applyFont="1" applyFill="1" applyBorder="1" applyAlignment="1" applyProtection="1">
      <alignment vertical="center"/>
    </xf>
    <xf numFmtId="0" fontId="9" fillId="4" borderId="101" xfId="2" applyFont="1" applyFill="1" applyBorder="1" applyAlignment="1" applyProtection="1">
      <alignment vertical="center"/>
    </xf>
    <xf numFmtId="0" fontId="9" fillId="4" borderId="102" xfId="2" applyFont="1" applyFill="1" applyBorder="1" applyAlignment="1" applyProtection="1">
      <alignment vertical="center"/>
    </xf>
    <xf numFmtId="0" fontId="17" fillId="4" borderId="103" xfId="2" applyFont="1" applyFill="1" applyBorder="1" applyAlignment="1" applyProtection="1">
      <alignment vertical="center" wrapText="1"/>
    </xf>
    <xf numFmtId="0" fontId="17" fillId="3" borderId="0" xfId="2" applyFont="1" applyFill="1" applyBorder="1" applyAlignment="1" applyProtection="1">
      <alignment horizontal="left" vertical="center" wrapText="1"/>
    </xf>
    <xf numFmtId="0" fontId="15" fillId="3" borderId="39" xfId="2" applyFont="1" applyFill="1" applyBorder="1" applyAlignment="1" applyProtection="1">
      <alignment horizontal="left" vertical="center"/>
    </xf>
    <xf numFmtId="0" fontId="16" fillId="3" borderId="0" xfId="2" applyFont="1" applyFill="1" applyBorder="1" applyAlignment="1" applyProtection="1">
      <alignment horizontal="left" vertical="center"/>
    </xf>
    <xf numFmtId="0" fontId="1" fillId="3" borderId="0" xfId="2" applyFont="1" applyFill="1" applyBorder="1" applyAlignment="1" applyProtection="1">
      <alignment vertical="center"/>
    </xf>
    <xf numFmtId="0" fontId="1" fillId="4" borderId="39" xfId="2" applyFont="1" applyFill="1" applyBorder="1" applyProtection="1"/>
    <xf numFmtId="0" fontId="1" fillId="4" borderId="92" xfId="2" applyFont="1" applyFill="1" applyBorder="1" applyAlignment="1" applyProtection="1"/>
    <xf numFmtId="0" fontId="1" fillId="4" borderId="39" xfId="2" applyFont="1" applyFill="1" applyBorder="1" applyAlignment="1" applyProtection="1"/>
    <xf numFmtId="0" fontId="1" fillId="4" borderId="40" xfId="2" applyFont="1" applyFill="1" applyBorder="1" applyAlignment="1" applyProtection="1"/>
    <xf numFmtId="0" fontId="1" fillId="4" borderId="2" xfId="2" applyFont="1" applyFill="1" applyBorder="1" applyAlignment="1" applyProtection="1"/>
    <xf numFmtId="0" fontId="1" fillId="4" borderId="10" xfId="2" applyFont="1" applyFill="1" applyBorder="1" applyAlignment="1" applyProtection="1"/>
    <xf numFmtId="0" fontId="1" fillId="4" borderId="16" xfId="2" applyFont="1" applyFill="1" applyBorder="1" applyAlignment="1" applyProtection="1"/>
    <xf numFmtId="0" fontId="1" fillId="4" borderId="104" xfId="2" applyFont="1" applyFill="1" applyBorder="1" applyProtection="1"/>
    <xf numFmtId="0" fontId="1" fillId="4" borderId="55" xfId="2" applyFont="1" applyFill="1" applyBorder="1" applyProtection="1"/>
    <xf numFmtId="3" fontId="17" fillId="0" borderId="20" xfId="2" applyNumberFormat="1" applyFont="1" applyFill="1" applyBorder="1" applyAlignment="1" applyProtection="1">
      <alignment horizontal="center" vertical="center"/>
      <protection locked="0"/>
    </xf>
    <xf numFmtId="3" fontId="18" fillId="4" borderId="88" xfId="2" applyNumberFormat="1" applyFont="1" applyFill="1" applyBorder="1" applyAlignment="1" applyProtection="1">
      <alignment horizontal="center" vertical="center"/>
    </xf>
    <xf numFmtId="3" fontId="18" fillId="4" borderId="13" xfId="2" applyNumberFormat="1" applyFont="1" applyFill="1" applyBorder="1" applyAlignment="1" applyProtection="1">
      <alignment horizontal="center" vertical="center"/>
    </xf>
    <xf numFmtId="0" fontId="1" fillId="4" borderId="0" xfId="2" applyFont="1" applyFill="1" applyBorder="1" applyProtection="1"/>
    <xf numFmtId="3" fontId="18" fillId="4" borderId="57" xfId="2" applyNumberFormat="1" applyFont="1" applyFill="1" applyBorder="1" applyAlignment="1" applyProtection="1">
      <alignment horizontal="center" vertical="center"/>
    </xf>
    <xf numFmtId="3" fontId="18" fillId="4" borderId="105" xfId="2" applyNumberFormat="1" applyFont="1" applyFill="1" applyBorder="1" applyAlignment="1" applyProtection="1">
      <alignment horizontal="center" vertical="center"/>
    </xf>
    <xf numFmtId="3" fontId="18" fillId="4" borderId="40" xfId="2" applyNumberFormat="1" applyFont="1" applyFill="1" applyBorder="1" applyAlignment="1" applyProtection="1">
      <alignment horizontal="center" vertical="center"/>
    </xf>
    <xf numFmtId="3" fontId="18" fillId="4" borderId="91" xfId="2" applyNumberFormat="1" applyFont="1" applyFill="1" applyBorder="1" applyAlignment="1" applyProtection="1">
      <alignment horizontal="center" vertical="center"/>
    </xf>
    <xf numFmtId="3" fontId="18" fillId="4" borderId="28" xfId="2" applyNumberFormat="1" applyFont="1" applyFill="1" applyBorder="1" applyAlignment="1" applyProtection="1">
      <alignment horizontal="center" vertical="center"/>
    </xf>
    <xf numFmtId="0" fontId="1" fillId="4" borderId="106" xfId="2" applyFont="1" applyFill="1" applyBorder="1" applyProtection="1"/>
    <xf numFmtId="0" fontId="1" fillId="3" borderId="0" xfId="2" applyFont="1" applyFill="1" applyBorder="1" applyProtection="1"/>
    <xf numFmtId="3" fontId="18" fillId="3" borderId="47" xfId="2" applyNumberFormat="1" applyFont="1" applyFill="1" applyBorder="1" applyAlignment="1" applyProtection="1">
      <alignment horizontal="center" vertical="center"/>
    </xf>
    <xf numFmtId="3" fontId="17" fillId="4" borderId="20" xfId="2" applyNumberFormat="1" applyFont="1" applyFill="1" applyBorder="1" applyAlignment="1" applyProtection="1">
      <alignment horizontal="center" vertical="center"/>
      <protection locked="0"/>
    </xf>
    <xf numFmtId="3" fontId="17" fillId="4" borderId="54" xfId="2" applyNumberFormat="1" applyFont="1" applyFill="1" applyBorder="1" applyAlignment="1" applyProtection="1">
      <alignment horizontal="center" vertical="center"/>
      <protection locked="0"/>
    </xf>
    <xf numFmtId="3" fontId="17" fillId="4" borderId="107" xfId="2" applyNumberFormat="1" applyFont="1" applyFill="1" applyBorder="1" applyAlignment="1" applyProtection="1">
      <alignment horizontal="center" vertical="center"/>
      <protection locked="0"/>
    </xf>
    <xf numFmtId="3" fontId="17" fillId="4" borderId="21" xfId="2" applyNumberFormat="1" applyFont="1" applyFill="1" applyBorder="1" applyAlignment="1" applyProtection="1">
      <alignment horizontal="center" vertical="center"/>
      <protection locked="0"/>
    </xf>
    <xf numFmtId="3" fontId="17" fillId="0" borderId="54" xfId="2" applyNumberFormat="1" applyFont="1" applyFill="1" applyBorder="1" applyAlignment="1" applyProtection="1">
      <alignment horizontal="center" vertical="center"/>
      <protection locked="0"/>
    </xf>
    <xf numFmtId="3" fontId="17" fillId="0" borderId="107" xfId="2" applyNumberFormat="1" applyFont="1" applyFill="1" applyBorder="1" applyAlignment="1" applyProtection="1">
      <alignment horizontal="center" vertical="center"/>
      <protection locked="0"/>
    </xf>
    <xf numFmtId="3" fontId="17" fillId="4" borderId="25" xfId="2" applyNumberFormat="1" applyFont="1" applyFill="1" applyBorder="1" applyAlignment="1" applyProtection="1">
      <alignment horizontal="center" vertical="center"/>
      <protection locked="0"/>
    </xf>
    <xf numFmtId="3" fontId="17" fillId="4" borderId="108" xfId="2" applyNumberFormat="1" applyFont="1" applyFill="1" applyBorder="1" applyAlignment="1" applyProtection="1">
      <alignment horizontal="center" vertical="center"/>
      <protection locked="0"/>
    </xf>
    <xf numFmtId="3" fontId="18" fillId="4" borderId="42" xfId="2" applyNumberFormat="1" applyFont="1" applyFill="1" applyBorder="1" applyAlignment="1" applyProtection="1">
      <alignment horizontal="center" vertical="center"/>
    </xf>
    <xf numFmtId="3" fontId="18" fillId="4" borderId="109" xfId="2" applyNumberFormat="1" applyFont="1" applyFill="1" applyBorder="1" applyAlignment="1" applyProtection="1">
      <alignment horizontal="center" vertical="center"/>
    </xf>
    <xf numFmtId="0" fontId="17" fillId="3" borderId="74" xfId="2" applyFont="1" applyFill="1" applyBorder="1" applyAlignment="1" applyProtection="1">
      <alignment horizontal="left" vertical="center"/>
    </xf>
    <xf numFmtId="3" fontId="17" fillId="3" borderId="110" xfId="2" applyNumberFormat="1" applyFont="1" applyFill="1" applyBorder="1" applyAlignment="1" applyProtection="1">
      <alignment horizontal="center" vertical="center"/>
      <protection locked="0"/>
    </xf>
    <xf numFmtId="0" fontId="8" fillId="2" borderId="9" xfId="0" applyFont="1" applyFill="1" applyBorder="1" applyAlignment="1" applyProtection="1">
      <alignment vertical="center"/>
      <protection locked="0"/>
    </xf>
    <xf numFmtId="0" fontId="8" fillId="0" borderId="52" xfId="0" applyFont="1" applyBorder="1" applyAlignment="1" applyProtection="1">
      <alignment vertical="center" wrapText="1"/>
      <protection locked="0"/>
    </xf>
    <xf numFmtId="0" fontId="8" fillId="0" borderId="54" xfId="0" applyFont="1" applyBorder="1" applyAlignment="1" applyProtection="1">
      <alignment vertical="center" wrapText="1"/>
      <protection locked="0"/>
    </xf>
    <xf numFmtId="0" fontId="8" fillId="0" borderId="8" xfId="0" applyFont="1" applyBorder="1" applyAlignment="1" applyProtection="1">
      <alignment vertical="center" wrapText="1"/>
      <protection locked="0"/>
    </xf>
    <xf numFmtId="0" fontId="1" fillId="3" borderId="0" xfId="2" applyFont="1" applyFill="1" applyBorder="1"/>
    <xf numFmtId="0" fontId="1" fillId="4" borderId="62" xfId="2" applyFont="1" applyFill="1" applyBorder="1"/>
    <xf numFmtId="1" fontId="26" fillId="4" borderId="47" xfId="2" applyNumberFormat="1" applyFont="1" applyFill="1" applyBorder="1" applyAlignment="1">
      <alignment horizontal="left" vertical="center" wrapText="1"/>
    </xf>
    <xf numFmtId="1" fontId="26" fillId="4" borderId="47" xfId="2" applyNumberFormat="1" applyFont="1" applyFill="1" applyBorder="1" applyAlignment="1">
      <alignment horizontal="left" vertical="center"/>
    </xf>
    <xf numFmtId="0" fontId="17" fillId="3" borderId="62" xfId="2" applyFont="1" applyFill="1" applyBorder="1" applyAlignment="1">
      <alignment horizontal="left" vertical="center"/>
    </xf>
    <xf numFmtId="0" fontId="8" fillId="3" borderId="62" xfId="2" applyFont="1" applyFill="1" applyBorder="1" applyAlignment="1">
      <alignment horizontal="left" vertical="center"/>
    </xf>
    <xf numFmtId="0" fontId="9" fillId="3" borderId="62" xfId="2" applyFont="1" applyFill="1" applyBorder="1" applyAlignment="1">
      <alignment horizontal="left" vertical="center"/>
    </xf>
    <xf numFmtId="0" fontId="8" fillId="6" borderId="59" xfId="0" applyFont="1" applyFill="1" applyBorder="1"/>
    <xf numFmtId="0" fontId="9" fillId="6" borderId="58" xfId="0" applyFont="1" applyFill="1" applyBorder="1" applyAlignment="1">
      <alignment horizontal="center"/>
    </xf>
    <xf numFmtId="0" fontId="8" fillId="6" borderId="32" xfId="0" applyFont="1" applyFill="1" applyBorder="1"/>
    <xf numFmtId="0" fontId="8" fillId="6" borderId="58" xfId="0" applyFont="1" applyFill="1" applyBorder="1"/>
    <xf numFmtId="0" fontId="8" fillId="6" borderId="86" xfId="0" applyFont="1" applyFill="1" applyBorder="1"/>
    <xf numFmtId="0" fontId="8" fillId="6" borderId="53" xfId="0" applyFont="1" applyFill="1" applyBorder="1"/>
    <xf numFmtId="0" fontId="9" fillId="6" borderId="53" xfId="0" applyFont="1" applyFill="1" applyBorder="1" applyAlignment="1">
      <alignment horizontal="center"/>
    </xf>
    <xf numFmtId="0" fontId="8" fillId="6" borderId="28" xfId="0" applyFont="1" applyFill="1" applyBorder="1" applyAlignment="1">
      <alignment horizontal="center"/>
    </xf>
    <xf numFmtId="0" fontId="8" fillId="6" borderId="61" xfId="0" applyFont="1" applyFill="1" applyBorder="1" applyAlignment="1">
      <alignment horizontal="center"/>
    </xf>
    <xf numFmtId="0" fontId="9" fillId="6" borderId="32" xfId="0" applyFont="1" applyFill="1" applyBorder="1" applyAlignment="1">
      <alignment horizontal="center"/>
    </xf>
    <xf numFmtId="0" fontId="46" fillId="3" borderId="47" xfId="0" applyFont="1" applyFill="1" applyBorder="1" applyAlignment="1"/>
    <xf numFmtId="0" fontId="31" fillId="0" borderId="25" xfId="0" applyFont="1" applyBorder="1" applyAlignment="1">
      <alignment horizontal="center" vertical="top" wrapText="1"/>
    </xf>
    <xf numFmtId="0" fontId="31" fillId="0" borderId="108" xfId="0" applyFont="1" applyBorder="1" applyAlignment="1">
      <alignment horizontal="center" vertical="top" wrapText="1"/>
    </xf>
    <xf numFmtId="0" fontId="31" fillId="0" borderId="8" xfId="0" applyFont="1" applyBorder="1" applyAlignment="1">
      <alignment horizontal="center" vertical="top" wrapText="1"/>
    </xf>
    <xf numFmtId="0" fontId="31" fillId="3" borderId="82" xfId="0" applyFont="1" applyFill="1" applyBorder="1" applyAlignment="1">
      <alignment horizontal="center" vertical="top" wrapText="1"/>
    </xf>
    <xf numFmtId="0" fontId="31" fillId="3" borderId="29" xfId="0" applyFont="1" applyFill="1" applyBorder="1" applyAlignment="1">
      <alignment horizontal="center" vertical="top" wrapText="1"/>
    </xf>
    <xf numFmtId="0" fontId="31" fillId="4" borderId="42" xfId="0" applyFont="1" applyFill="1" applyBorder="1" applyAlignment="1">
      <alignment horizontal="center" vertical="top" wrapText="1"/>
    </xf>
    <xf numFmtId="0" fontId="31" fillId="4" borderId="109" xfId="0" applyFont="1" applyFill="1" applyBorder="1" applyAlignment="1">
      <alignment horizontal="center" vertical="top" wrapText="1"/>
    </xf>
    <xf numFmtId="0" fontId="31" fillId="4" borderId="61" xfId="0" applyFont="1" applyFill="1" applyBorder="1" applyAlignment="1">
      <alignment horizontal="center" vertical="top" wrapText="1"/>
    </xf>
    <xf numFmtId="0" fontId="8" fillId="2" borderId="25" xfId="0" applyFont="1" applyFill="1" applyBorder="1" applyAlignment="1">
      <alignment horizontal="center" vertical="center"/>
    </xf>
    <xf numFmtId="0" fontId="8" fillId="2" borderId="25" xfId="0" applyFont="1" applyFill="1" applyBorder="1" applyAlignment="1">
      <alignment horizontal="center"/>
    </xf>
    <xf numFmtId="0" fontId="8" fillId="3" borderId="111" xfId="0" applyFont="1" applyFill="1" applyBorder="1" applyAlignment="1" applyProtection="1">
      <alignment horizontal="center" vertical="top"/>
      <protection locked="0"/>
    </xf>
    <xf numFmtId="0" fontId="8" fillId="3" borderId="110" xfId="0" applyFont="1" applyFill="1" applyBorder="1" applyAlignment="1" applyProtection="1">
      <alignment horizontal="center" vertical="top"/>
      <protection locked="0"/>
    </xf>
    <xf numFmtId="0" fontId="8" fillId="3" borderId="110" xfId="0" applyFont="1" applyFill="1" applyBorder="1" applyAlignment="1">
      <alignment horizontal="center"/>
    </xf>
    <xf numFmtId="9" fontId="8" fillId="3" borderId="110" xfId="0" quotePrefix="1" applyNumberFormat="1" applyFont="1" applyFill="1" applyBorder="1" applyAlignment="1" applyProtection="1">
      <alignment horizontal="center" vertical="center"/>
    </xf>
    <xf numFmtId="0" fontId="8" fillId="4" borderId="0" xfId="2" applyFont="1" applyFill="1" applyBorder="1" applyAlignment="1" applyProtection="1">
      <alignment horizontal="left"/>
    </xf>
    <xf numFmtId="0" fontId="18" fillId="4" borderId="0" xfId="2" applyFont="1" applyFill="1" applyBorder="1" applyAlignment="1">
      <alignment horizontal="left"/>
    </xf>
    <xf numFmtId="0" fontId="18" fillId="4" borderId="0" xfId="2" applyFont="1" applyFill="1" applyBorder="1" applyAlignment="1">
      <alignment horizontal="left" vertical="center" wrapText="1"/>
    </xf>
    <xf numFmtId="0" fontId="18" fillId="4" borderId="0" xfId="2" applyFont="1" applyFill="1" applyBorder="1" applyAlignment="1">
      <alignment horizontal="left" wrapText="1"/>
    </xf>
    <xf numFmtId="1" fontId="18" fillId="4" borderId="0" xfId="2" applyNumberFormat="1" applyFont="1" applyFill="1" applyBorder="1" applyAlignment="1">
      <alignment horizontal="left" vertical="center"/>
    </xf>
    <xf numFmtId="0" fontId="8" fillId="4" borderId="0" xfId="2" applyFont="1" applyFill="1" applyBorder="1" applyAlignment="1">
      <alignment horizontal="left"/>
    </xf>
    <xf numFmtId="0" fontId="46" fillId="2" borderId="0" xfId="0" applyFont="1" applyFill="1" applyAlignment="1">
      <alignment vertical="top"/>
    </xf>
    <xf numFmtId="0" fontId="8" fillId="4" borderId="0" xfId="2" applyFont="1" applyFill="1" applyBorder="1" applyAlignment="1" applyProtection="1">
      <alignment horizontal="left" vertical="top"/>
    </xf>
    <xf numFmtId="0" fontId="25" fillId="4" borderId="0" xfId="2" applyFont="1" applyFill="1" applyBorder="1" applyAlignment="1">
      <alignment horizontal="left" vertical="top"/>
    </xf>
    <xf numFmtId="0" fontId="1" fillId="4" borderId="0" xfId="2" applyFont="1" applyFill="1" applyBorder="1" applyAlignment="1">
      <alignment horizontal="left" vertical="top"/>
    </xf>
    <xf numFmtId="0" fontId="46" fillId="0" borderId="0" xfId="0" applyFont="1" applyAlignment="1">
      <alignment vertical="top"/>
    </xf>
    <xf numFmtId="1" fontId="17" fillId="4" borderId="0" xfId="2" applyNumberFormat="1" applyFont="1" applyFill="1" applyBorder="1" applyAlignment="1">
      <alignment horizontal="left" vertical="top"/>
    </xf>
    <xf numFmtId="0" fontId="17" fillId="4" borderId="0" xfId="2" applyFont="1" applyFill="1" applyBorder="1" applyAlignment="1">
      <alignment horizontal="left" vertical="top"/>
    </xf>
    <xf numFmtId="1" fontId="26" fillId="4" borderId="0" xfId="2" applyNumberFormat="1" applyFont="1" applyFill="1" applyBorder="1" applyAlignment="1">
      <alignment horizontal="left" vertical="top" wrapText="1"/>
    </xf>
    <xf numFmtId="0" fontId="1" fillId="4" borderId="0" xfId="2" applyFont="1" applyFill="1" applyBorder="1" applyAlignment="1">
      <alignment vertical="top"/>
    </xf>
    <xf numFmtId="0" fontId="18" fillId="4" borderId="0" xfId="2" applyFont="1" applyFill="1" applyBorder="1" applyAlignment="1">
      <alignment horizontal="left" vertical="top" wrapText="1"/>
    </xf>
    <xf numFmtId="1" fontId="18" fillId="4" borderId="0" xfId="2" applyNumberFormat="1" applyFont="1" applyFill="1" applyBorder="1" applyAlignment="1">
      <alignment horizontal="left" vertical="top"/>
    </xf>
    <xf numFmtId="0" fontId="18" fillId="4" borderId="0" xfId="2" applyFont="1" applyFill="1" applyBorder="1" applyAlignment="1">
      <alignment horizontal="left" vertical="top"/>
    </xf>
    <xf numFmtId="0" fontId="0" fillId="2" borderId="0" xfId="0" applyFill="1" applyAlignment="1">
      <alignment vertical="top"/>
    </xf>
    <xf numFmtId="0" fontId="0" fillId="0" borderId="0" xfId="0" applyAlignment="1">
      <alignment vertical="top"/>
    </xf>
    <xf numFmtId="1" fontId="26" fillId="4" borderId="0" xfId="2" applyNumberFormat="1" applyFont="1" applyFill="1" applyBorder="1" applyAlignment="1">
      <alignment horizontal="center" vertical="top"/>
    </xf>
    <xf numFmtId="0" fontId="4" fillId="3" borderId="112" xfId="0" applyFont="1" applyFill="1" applyBorder="1" applyAlignment="1">
      <alignment horizontal="center"/>
    </xf>
    <xf numFmtId="0" fontId="18" fillId="4" borderId="0" xfId="2" applyFont="1" applyFill="1" applyBorder="1" applyAlignment="1"/>
    <xf numFmtId="0" fontId="4" fillId="3" borderId="113" xfId="0" applyFont="1" applyFill="1" applyBorder="1" applyAlignment="1"/>
    <xf numFmtId="0" fontId="4" fillId="3" borderId="0" xfId="0" applyFont="1" applyFill="1" applyBorder="1" applyAlignment="1">
      <alignment vertical="center"/>
    </xf>
    <xf numFmtId="0" fontId="4" fillId="3" borderId="47" xfId="0" applyFont="1" applyFill="1" applyBorder="1" applyAlignment="1">
      <alignment vertical="center"/>
    </xf>
    <xf numFmtId="0" fontId="3" fillId="3" borderId="39" xfId="0" applyFont="1" applyFill="1" applyBorder="1" applyAlignment="1">
      <alignment vertical="center"/>
    </xf>
    <xf numFmtId="0" fontId="3" fillId="3" borderId="0" xfId="0" applyFont="1" applyFill="1" applyBorder="1" applyAlignment="1">
      <alignment vertical="center"/>
    </xf>
    <xf numFmtId="0" fontId="3" fillId="3" borderId="47" xfId="0" applyFont="1" applyFill="1" applyBorder="1" applyAlignment="1">
      <alignment vertical="center"/>
    </xf>
    <xf numFmtId="0" fontId="6" fillId="4" borderId="39" xfId="0" applyFont="1" applyFill="1" applyBorder="1" applyAlignment="1"/>
    <xf numFmtId="0" fontId="6" fillId="4" borderId="0" xfId="0" applyFont="1" applyFill="1" applyBorder="1" applyAlignment="1"/>
    <xf numFmtId="0" fontId="6" fillId="4" borderId="47" xfId="0" applyFont="1" applyFill="1" applyBorder="1" applyAlignment="1"/>
    <xf numFmtId="0" fontId="34" fillId="4" borderId="10" xfId="0" applyFont="1" applyFill="1" applyBorder="1" applyAlignment="1">
      <alignment horizontal="center"/>
    </xf>
    <xf numFmtId="0" fontId="34" fillId="4" borderId="16" xfId="0" applyFont="1" applyFill="1" applyBorder="1" applyAlignment="1">
      <alignment horizontal="center"/>
    </xf>
    <xf numFmtId="0" fontId="34" fillId="4" borderId="69" xfId="0" applyFont="1" applyFill="1" applyBorder="1" applyAlignment="1">
      <alignment horizontal="center"/>
    </xf>
    <xf numFmtId="0" fontId="34" fillId="4" borderId="114" xfId="0" applyFont="1" applyFill="1" applyBorder="1" applyAlignment="1">
      <alignment horizontal="center"/>
    </xf>
    <xf numFmtId="0" fontId="8" fillId="0" borderId="115" xfId="0" applyFont="1" applyFill="1" applyBorder="1" applyAlignment="1" applyProtection="1">
      <alignment horizontal="center" vertical="center"/>
    </xf>
    <xf numFmtId="0" fontId="8" fillId="4" borderId="28" xfId="0" applyFont="1" applyFill="1" applyBorder="1" applyAlignment="1">
      <alignment vertical="center"/>
    </xf>
    <xf numFmtId="0" fontId="8" fillId="0" borderId="58" xfId="0" applyFont="1" applyFill="1" applyBorder="1" applyAlignment="1" applyProtection="1">
      <alignment vertical="center" wrapText="1"/>
      <protection locked="0"/>
    </xf>
    <xf numFmtId="0" fontId="8" fillId="3" borderId="58" xfId="0" applyFont="1" applyFill="1" applyBorder="1"/>
    <xf numFmtId="0" fontId="8" fillId="3" borderId="61" xfId="0" applyFont="1" applyFill="1" applyBorder="1"/>
    <xf numFmtId="0" fontId="8" fillId="4" borderId="61" xfId="0" applyFont="1" applyFill="1" applyBorder="1" applyAlignment="1" applyProtection="1">
      <alignment vertical="center" wrapText="1"/>
    </xf>
    <xf numFmtId="0" fontId="35" fillId="4" borderId="116" xfId="0" applyFont="1" applyFill="1" applyBorder="1"/>
    <xf numFmtId="0" fontId="35" fillId="4" borderId="117" xfId="0" applyFont="1" applyFill="1" applyBorder="1"/>
    <xf numFmtId="0" fontId="34" fillId="4" borderId="69" xfId="0" applyFont="1" applyFill="1" applyBorder="1" applyAlignment="1">
      <alignment horizontal="left"/>
    </xf>
    <xf numFmtId="0" fontId="35" fillId="0" borderId="118" xfId="0" applyFont="1" applyFill="1" applyBorder="1" applyAlignment="1">
      <alignment horizontal="center"/>
    </xf>
    <xf numFmtId="0" fontId="35" fillId="0" borderId="119" xfId="0" applyFont="1" applyFill="1" applyBorder="1" applyAlignment="1">
      <alignment horizontal="center"/>
    </xf>
    <xf numFmtId="0" fontId="35" fillId="4" borderId="120" xfId="0" applyFont="1" applyFill="1" applyBorder="1"/>
    <xf numFmtId="164" fontId="35" fillId="0" borderId="121" xfId="0" applyNumberFormat="1" applyFont="1" applyFill="1" applyBorder="1" applyAlignment="1">
      <alignment horizontal="center"/>
    </xf>
    <xf numFmtId="164" fontId="35" fillId="0" borderId="122" xfId="0" applyNumberFormat="1" applyFont="1" applyFill="1" applyBorder="1" applyAlignment="1">
      <alignment horizontal="center"/>
    </xf>
    <xf numFmtId="0" fontId="35" fillId="0" borderId="121" xfId="0" applyFont="1" applyFill="1" applyBorder="1" applyAlignment="1">
      <alignment horizontal="center"/>
    </xf>
    <xf numFmtId="0" fontId="35" fillId="0" borderId="122" xfId="0" applyFont="1" applyFill="1" applyBorder="1" applyAlignment="1">
      <alignment horizontal="center"/>
    </xf>
    <xf numFmtId="0" fontId="35" fillId="3" borderId="10" xfId="0" applyFont="1" applyFill="1" applyBorder="1"/>
    <xf numFmtId="0" fontId="33" fillId="3" borderId="10" xfId="0" applyFont="1" applyFill="1" applyBorder="1"/>
    <xf numFmtId="0" fontId="35" fillId="4" borderId="104" xfId="0" applyFont="1" applyFill="1" applyBorder="1"/>
    <xf numFmtId="0" fontId="35" fillId="4" borderId="55" xfId="0" applyFont="1" applyFill="1" applyBorder="1"/>
    <xf numFmtId="0" fontId="35" fillId="4" borderId="52" xfId="0" applyFont="1" applyFill="1" applyBorder="1"/>
    <xf numFmtId="0" fontId="36" fillId="4" borderId="55" xfId="0" applyFont="1" applyFill="1" applyBorder="1" applyAlignment="1"/>
    <xf numFmtId="0" fontId="4" fillId="3" borderId="104" xfId="0" applyFont="1" applyFill="1" applyBorder="1" applyAlignment="1">
      <alignment vertical="center"/>
    </xf>
    <xf numFmtId="0" fontId="4" fillId="3" borderId="55" xfId="0" applyFont="1" applyFill="1" applyBorder="1" applyAlignment="1">
      <alignment vertical="center"/>
    </xf>
    <xf numFmtId="0" fontId="4" fillId="3" borderId="94" xfId="0" applyFont="1" applyFill="1" applyBorder="1" applyAlignment="1">
      <alignment vertical="center"/>
    </xf>
    <xf numFmtId="0" fontId="43" fillId="3" borderId="39" xfId="0" applyFont="1" applyFill="1" applyBorder="1" applyAlignment="1">
      <alignment horizontal="right" vertical="top" wrapText="1"/>
    </xf>
    <xf numFmtId="0" fontId="43" fillId="3" borderId="0" xfId="0" applyFont="1" applyFill="1" applyBorder="1" applyAlignment="1">
      <alignment horizontal="right" vertical="top" wrapText="1"/>
    </xf>
    <xf numFmtId="0" fontId="31" fillId="3" borderId="0" xfId="0" applyFont="1" applyFill="1" applyBorder="1" applyAlignment="1">
      <alignment horizontal="center" vertical="top" wrapText="1"/>
    </xf>
    <xf numFmtId="0" fontId="56" fillId="0" borderId="0" xfId="0" applyFont="1"/>
    <xf numFmtId="0" fontId="3" fillId="3" borderId="55" xfId="0" applyFont="1" applyFill="1" applyBorder="1"/>
    <xf numFmtId="0" fontId="58" fillId="0" borderId="25" xfId="0" applyFont="1" applyBorder="1" applyAlignment="1">
      <alignment vertical="center" wrapText="1"/>
    </xf>
    <xf numFmtId="0" fontId="58" fillId="0" borderId="26" xfId="0" applyFont="1" applyBorder="1" applyAlignment="1">
      <alignment vertical="center" wrapText="1"/>
    </xf>
    <xf numFmtId="0" fontId="58" fillId="0" borderId="123" xfId="0" applyFont="1" applyBorder="1" applyAlignment="1">
      <alignment vertical="center" wrapText="1"/>
    </xf>
    <xf numFmtId="0" fontId="31" fillId="2" borderId="0" xfId="0" applyFont="1" applyFill="1" applyBorder="1" applyAlignment="1">
      <alignment vertical="center"/>
    </xf>
    <xf numFmtId="0" fontId="36" fillId="4" borderId="69" xfId="0" applyFont="1" applyFill="1" applyBorder="1" applyAlignment="1">
      <alignment horizontal="left"/>
    </xf>
    <xf numFmtId="0" fontId="35" fillId="3" borderId="39" xfId="0" applyFont="1" applyFill="1" applyBorder="1"/>
    <xf numFmtId="0" fontId="36" fillId="4" borderId="104" xfId="0" applyFont="1" applyFill="1" applyBorder="1" applyAlignment="1"/>
    <xf numFmtId="0" fontId="8" fillId="4" borderId="34" xfId="0" applyFont="1" applyFill="1" applyBorder="1" applyAlignment="1">
      <alignment horizontal="center" vertical="center" textRotation="90"/>
    </xf>
    <xf numFmtId="0" fontId="3" fillId="3" borderId="0" xfId="0" applyFont="1" applyFill="1" applyBorder="1" applyAlignment="1">
      <alignment wrapText="1"/>
    </xf>
    <xf numFmtId="0" fontId="3" fillId="3" borderId="10" xfId="0" applyFont="1" applyFill="1" applyBorder="1" applyAlignment="1">
      <alignment wrapText="1"/>
    </xf>
    <xf numFmtId="0" fontId="8" fillId="0" borderId="16" xfId="0" applyFont="1" applyBorder="1" applyAlignment="1" applyProtection="1">
      <alignment vertical="center" wrapText="1"/>
      <protection locked="0"/>
    </xf>
    <xf numFmtId="0" fontId="8" fillId="3" borderId="0" xfId="0" applyFont="1" applyFill="1" applyBorder="1" applyAlignment="1">
      <alignment wrapText="1"/>
    </xf>
    <xf numFmtId="0" fontId="3" fillId="2" borderId="0" xfId="0" applyFont="1" applyFill="1" applyBorder="1" applyAlignment="1">
      <alignment wrapText="1"/>
    </xf>
    <xf numFmtId="0" fontId="3" fillId="2" borderId="0" xfId="0" applyFont="1" applyFill="1" applyAlignment="1">
      <alignment wrapText="1"/>
    </xf>
    <xf numFmtId="0" fontId="3" fillId="0" borderId="0" xfId="0" applyFont="1" applyAlignment="1">
      <alignment wrapText="1"/>
    </xf>
    <xf numFmtId="0" fontId="8" fillId="4" borderId="17" xfId="0" applyFont="1" applyFill="1" applyBorder="1" applyAlignment="1" applyProtection="1">
      <alignment horizontal="center" vertical="center" wrapText="1"/>
      <protection locked="0"/>
    </xf>
    <xf numFmtId="0" fontId="8" fillId="3" borderId="125" xfId="0" applyFont="1" applyFill="1" applyBorder="1" applyAlignment="1">
      <alignment horizontal="center" vertical="center" wrapText="1"/>
    </xf>
    <xf numFmtId="0" fontId="8" fillId="3" borderId="17" xfId="0" applyFont="1" applyFill="1" applyBorder="1" applyAlignment="1" applyProtection="1">
      <alignment vertical="center" wrapText="1"/>
      <protection locked="0"/>
    </xf>
    <xf numFmtId="0" fontId="8" fillId="3" borderId="16" xfId="0" applyFont="1" applyFill="1" applyBorder="1" applyAlignment="1" applyProtection="1">
      <alignment vertical="center" wrapText="1"/>
      <protection locked="0"/>
    </xf>
    <xf numFmtId="0" fontId="9" fillId="4" borderId="126" xfId="0" applyFont="1" applyFill="1" applyBorder="1" applyAlignment="1">
      <alignment vertical="center" textRotation="90" wrapText="1"/>
    </xf>
    <xf numFmtId="0" fontId="9" fillId="4" borderId="125" xfId="0" applyFont="1" applyFill="1" applyBorder="1" applyAlignment="1">
      <alignment horizontal="center" vertical="center"/>
    </xf>
    <xf numFmtId="0" fontId="9" fillId="4" borderId="87" xfId="0" applyFont="1" applyFill="1" applyBorder="1" applyAlignment="1">
      <alignment vertical="center" wrapText="1"/>
    </xf>
    <xf numFmtId="0" fontId="0" fillId="0" borderId="0" xfId="0" applyAlignment="1">
      <alignment wrapText="1"/>
    </xf>
    <xf numFmtId="3" fontId="18" fillId="4" borderId="127" xfId="2" applyNumberFormat="1" applyFont="1" applyFill="1" applyBorder="1" applyAlignment="1" applyProtection="1">
      <alignment horizontal="center" vertical="center"/>
    </xf>
    <xf numFmtId="0" fontId="8" fillId="0" borderId="107" xfId="0" applyFont="1" applyBorder="1" applyAlignment="1" applyProtection="1">
      <alignment horizontal="center"/>
      <protection locked="0"/>
    </xf>
    <xf numFmtId="0" fontId="8" fillId="0" borderId="64" xfId="0" applyFont="1" applyBorder="1" applyAlignment="1" applyProtection="1">
      <alignment horizontal="center"/>
      <protection locked="0"/>
    </xf>
    <xf numFmtId="0" fontId="8" fillId="2" borderId="128" xfId="0" applyFont="1" applyFill="1" applyBorder="1"/>
    <xf numFmtId="0" fontId="3" fillId="3" borderId="55" xfId="0" applyFont="1" applyFill="1" applyBorder="1" applyAlignment="1">
      <alignment horizontal="center"/>
    </xf>
    <xf numFmtId="0" fontId="5" fillId="2" borderId="4" xfId="1" applyFill="1" applyBorder="1" applyAlignment="1" applyProtection="1">
      <protection locked="0"/>
    </xf>
    <xf numFmtId="0" fontId="8" fillId="4" borderId="67" xfId="0" applyFont="1" applyFill="1" applyBorder="1" applyAlignment="1">
      <alignment horizontal="center" vertical="center"/>
    </xf>
    <xf numFmtId="0" fontId="17" fillId="4" borderId="3" xfId="5" applyFont="1" applyFill="1" applyBorder="1" applyAlignment="1" applyProtection="1">
      <alignment vertical="center" wrapText="1"/>
    </xf>
    <xf numFmtId="0" fontId="8" fillId="4" borderId="129" xfId="0" applyFont="1" applyFill="1" applyBorder="1" applyAlignment="1">
      <alignment horizontal="center"/>
    </xf>
    <xf numFmtId="0" fontId="8" fillId="2" borderId="130" xfId="0" applyFont="1" applyFill="1" applyBorder="1" applyAlignment="1" applyProtection="1">
      <alignment horizontal="center"/>
      <protection locked="0"/>
    </xf>
    <xf numFmtId="0" fontId="8" fillId="2" borderId="131" xfId="0" applyFont="1" applyFill="1" applyBorder="1" applyAlignment="1" applyProtection="1">
      <alignment horizontal="center"/>
      <protection locked="0"/>
    </xf>
    <xf numFmtId="0" fontId="8" fillId="2" borderId="27" xfId="0" applyFont="1" applyFill="1" applyBorder="1" applyAlignment="1" applyProtection="1">
      <alignment horizontal="center"/>
      <protection locked="0"/>
    </xf>
    <xf numFmtId="0" fontId="18" fillId="4" borderId="132" xfId="2" applyFont="1" applyFill="1" applyBorder="1" applyAlignment="1" applyProtection="1">
      <alignment horizontal="left" vertical="center"/>
    </xf>
    <xf numFmtId="0" fontId="1" fillId="4" borderId="133" xfId="2" applyFont="1" applyFill="1" applyBorder="1" applyProtection="1"/>
    <xf numFmtId="0" fontId="17" fillId="4" borderId="134" xfId="2" applyFont="1" applyFill="1" applyBorder="1" applyAlignment="1" applyProtection="1">
      <alignment horizontal="left" vertical="center" wrapText="1"/>
    </xf>
    <xf numFmtId="0" fontId="45" fillId="2" borderId="0" xfId="0" applyFont="1" applyFill="1"/>
    <xf numFmtId="0" fontId="8" fillId="3" borderId="39" xfId="0" applyFont="1" applyFill="1" applyBorder="1" applyAlignment="1">
      <alignment vertical="center"/>
    </xf>
    <xf numFmtId="0" fontId="8" fillId="3" borderId="0" xfId="0" applyFont="1" applyFill="1" applyBorder="1" applyAlignment="1">
      <alignment vertical="center"/>
    </xf>
    <xf numFmtId="0" fontId="8" fillId="3" borderId="47" xfId="0" applyFont="1" applyFill="1" applyBorder="1" applyAlignment="1">
      <alignment vertical="center"/>
    </xf>
    <xf numFmtId="0" fontId="9" fillId="4" borderId="69" xfId="0" applyFont="1" applyFill="1" applyBorder="1" applyAlignment="1">
      <alignment vertical="top"/>
    </xf>
    <xf numFmtId="0" fontId="9" fillId="4" borderId="13" xfId="0" applyFont="1" applyFill="1" applyBorder="1" applyAlignment="1">
      <alignment horizontal="center" vertical="top" wrapText="1"/>
    </xf>
    <xf numFmtId="0" fontId="8" fillId="4" borderId="6" xfId="0" applyFont="1" applyFill="1" applyBorder="1" applyAlignment="1">
      <alignment vertical="top"/>
    </xf>
    <xf numFmtId="0" fontId="8" fillId="4" borderId="8" xfId="0" applyFont="1" applyFill="1" applyBorder="1" applyAlignment="1">
      <alignment vertical="top"/>
    </xf>
    <xf numFmtId="0" fontId="9" fillId="4" borderId="6" xfId="0" applyFont="1" applyFill="1" applyBorder="1" applyAlignment="1">
      <alignment vertical="top"/>
    </xf>
    <xf numFmtId="0" fontId="9" fillId="4" borderId="8" xfId="0" applyFont="1" applyFill="1" applyBorder="1" applyAlignment="1">
      <alignment vertical="top"/>
    </xf>
    <xf numFmtId="0" fontId="8" fillId="4" borderId="59" xfId="0" applyFont="1" applyFill="1" applyBorder="1" applyAlignment="1">
      <alignment vertical="top"/>
    </xf>
    <xf numFmtId="0" fontId="8" fillId="4" borderId="61" xfId="0" applyFont="1" applyFill="1" applyBorder="1" applyAlignment="1">
      <alignment vertical="top"/>
    </xf>
    <xf numFmtId="0" fontId="3" fillId="3" borderId="47" xfId="0" applyFont="1" applyFill="1" applyBorder="1" applyAlignment="1"/>
    <xf numFmtId="0" fontId="3" fillId="3" borderId="15" xfId="0" applyFont="1" applyFill="1" applyBorder="1" applyAlignment="1">
      <alignment vertical="top"/>
    </xf>
    <xf numFmtId="0" fontId="8" fillId="2" borderId="29" xfId="0" applyFont="1" applyFill="1" applyBorder="1" applyAlignment="1" applyProtection="1">
      <alignment horizontal="center" vertical="top"/>
      <protection locked="0"/>
    </xf>
    <xf numFmtId="0" fontId="8" fillId="2" borderId="32" xfId="0" applyFont="1" applyFill="1" applyBorder="1" applyAlignment="1" applyProtection="1">
      <alignment horizontal="center" vertical="top"/>
      <protection locked="0"/>
    </xf>
    <xf numFmtId="0" fontId="3" fillId="3" borderId="41" xfId="0" applyFont="1" applyFill="1" applyBorder="1" applyAlignment="1"/>
    <xf numFmtId="0" fontId="9" fillId="4" borderId="67" xfId="0" applyFont="1" applyFill="1" applyBorder="1" applyAlignment="1">
      <alignment vertical="top"/>
    </xf>
    <xf numFmtId="0" fontId="3" fillId="4" borderId="70" xfId="0" applyFont="1" applyFill="1" applyBorder="1" applyAlignment="1"/>
    <xf numFmtId="0" fontId="6" fillId="3" borderId="39" xfId="0" applyFont="1" applyFill="1" applyBorder="1" applyAlignment="1">
      <alignment vertical="top"/>
    </xf>
    <xf numFmtId="0" fontId="3" fillId="3" borderId="57" xfId="0" applyFont="1" applyFill="1" applyBorder="1" applyAlignment="1">
      <alignment vertical="top"/>
    </xf>
    <xf numFmtId="0" fontId="3" fillId="3" borderId="57" xfId="0" applyFont="1" applyFill="1" applyBorder="1" applyAlignment="1"/>
    <xf numFmtId="0" fontId="6" fillId="3" borderId="57" xfId="0" applyFont="1" applyFill="1" applyBorder="1" applyAlignment="1">
      <alignment vertical="top"/>
    </xf>
    <xf numFmtId="0" fontId="8" fillId="4" borderId="111" xfId="0" applyFont="1" applyFill="1" applyBorder="1" applyAlignment="1">
      <alignment vertical="top"/>
    </xf>
    <xf numFmtId="0" fontId="8" fillId="4" borderId="135" xfId="0" applyFont="1" applyFill="1" applyBorder="1" applyAlignment="1">
      <alignment vertical="top"/>
    </xf>
    <xf numFmtId="0" fontId="9" fillId="4" borderId="86" xfId="0" applyFont="1" applyFill="1" applyBorder="1" applyAlignment="1">
      <alignment vertical="top"/>
    </xf>
    <xf numFmtId="0" fontId="9" fillId="4" borderId="52" xfId="0" applyFont="1" applyFill="1" applyBorder="1" applyAlignment="1">
      <alignment vertical="top"/>
    </xf>
    <xf numFmtId="0" fontId="8" fillId="4" borderId="52" xfId="0" applyFont="1" applyFill="1" applyBorder="1" applyAlignment="1">
      <alignment vertical="top"/>
    </xf>
    <xf numFmtId="0" fontId="6" fillId="3" borderId="86" xfId="0" applyFont="1" applyFill="1" applyBorder="1" applyAlignment="1">
      <alignment vertical="top"/>
    </xf>
    <xf numFmtId="0" fontId="6" fillId="3" borderId="52" xfId="0" applyFont="1" applyFill="1" applyBorder="1" applyAlignment="1">
      <alignment vertical="top"/>
    </xf>
    <xf numFmtId="0" fontId="31" fillId="2" borderId="48" xfId="0" applyFont="1" applyFill="1" applyBorder="1" applyAlignment="1">
      <alignment vertical="top"/>
    </xf>
    <xf numFmtId="0" fontId="6" fillId="3" borderId="69" xfId="0" applyFont="1" applyFill="1" applyBorder="1" applyAlignment="1">
      <alignment vertical="top"/>
    </xf>
    <xf numFmtId="0" fontId="6" fillId="3" borderId="70" xfId="0" applyFont="1" applyFill="1" applyBorder="1" applyAlignment="1">
      <alignment vertical="top"/>
    </xf>
    <xf numFmtId="0" fontId="9" fillId="4" borderId="52" xfId="0" applyFont="1" applyFill="1" applyBorder="1" applyAlignment="1">
      <alignment vertical="center"/>
    </xf>
    <xf numFmtId="0" fontId="6" fillId="3" borderId="110" xfId="0" applyFont="1" applyFill="1" applyBorder="1" applyAlignment="1">
      <alignment horizontal="left"/>
    </xf>
    <xf numFmtId="0" fontId="9" fillId="4" borderId="53" xfId="0" applyFont="1" applyFill="1" applyBorder="1" applyAlignment="1">
      <alignment vertical="center"/>
    </xf>
    <xf numFmtId="0" fontId="31" fillId="2" borderId="62" xfId="0" applyFont="1" applyFill="1" applyBorder="1" applyAlignment="1">
      <alignment vertical="top"/>
    </xf>
    <xf numFmtId="0" fontId="6" fillId="3" borderId="67" xfId="0" applyFont="1" applyFill="1" applyBorder="1" applyAlignment="1">
      <alignment vertical="top"/>
    </xf>
    <xf numFmtId="0" fontId="9" fillId="4" borderId="31" xfId="0" applyFont="1" applyFill="1" applyBorder="1" applyAlignment="1">
      <alignment horizontal="center" vertical="top" wrapText="1"/>
    </xf>
    <xf numFmtId="0" fontId="8" fillId="2" borderId="26" xfId="0" applyFont="1" applyFill="1" applyBorder="1" applyAlignment="1" applyProtection="1">
      <alignment horizontal="center" vertical="center"/>
      <protection locked="0"/>
    </xf>
    <xf numFmtId="0" fontId="8" fillId="4" borderId="6" xfId="0" applyFont="1" applyFill="1" applyBorder="1" applyAlignment="1">
      <alignment vertical="center"/>
    </xf>
    <xf numFmtId="0" fontId="6" fillId="3" borderId="111" xfId="0" applyFont="1" applyFill="1" applyBorder="1" applyAlignment="1">
      <alignment horizontal="left"/>
    </xf>
    <xf numFmtId="0" fontId="6" fillId="3" borderId="115" xfId="0" applyFont="1" applyFill="1" applyBorder="1" applyAlignment="1">
      <alignment horizontal="left"/>
    </xf>
    <xf numFmtId="0" fontId="9" fillId="4" borderId="86" xfId="0" applyFont="1" applyFill="1" applyBorder="1" applyAlignment="1">
      <alignment vertical="center"/>
    </xf>
    <xf numFmtId="0" fontId="9" fillId="4" borderId="41" xfId="0" applyFont="1" applyFill="1" applyBorder="1" applyAlignment="1">
      <alignment horizontal="center" wrapText="1"/>
    </xf>
    <xf numFmtId="0" fontId="31" fillId="2" borderId="49" xfId="0" applyFont="1" applyFill="1" applyBorder="1" applyAlignment="1">
      <alignment vertical="top"/>
    </xf>
    <xf numFmtId="0" fontId="43" fillId="4" borderId="53" xfId="0" applyFont="1" applyFill="1" applyBorder="1" applyAlignment="1">
      <alignment vertical="top"/>
    </xf>
    <xf numFmtId="0" fontId="43" fillId="4" borderId="52" xfId="0" applyFont="1" applyFill="1" applyBorder="1" applyAlignment="1">
      <alignment vertical="top"/>
    </xf>
    <xf numFmtId="0" fontId="31" fillId="4" borderId="7" xfId="0" applyFont="1" applyFill="1" applyBorder="1"/>
    <xf numFmtId="0" fontId="31" fillId="4" borderId="8" xfId="0" applyFont="1" applyFill="1" applyBorder="1"/>
    <xf numFmtId="0" fontId="31" fillId="4" borderId="7" xfId="0" applyFont="1" applyFill="1" applyBorder="1" applyAlignment="1">
      <alignment vertical="center"/>
    </xf>
    <xf numFmtId="0" fontId="31" fillId="4" borderId="8" xfId="0" applyFont="1" applyFill="1" applyBorder="1" applyAlignment="1">
      <alignment vertical="center"/>
    </xf>
    <xf numFmtId="0" fontId="30" fillId="4" borderId="47" xfId="0" applyFont="1" applyFill="1" applyBorder="1"/>
    <xf numFmtId="0" fontId="8" fillId="2" borderId="41" xfId="0" applyFont="1" applyFill="1" applyBorder="1" applyAlignment="1" applyProtection="1">
      <alignment horizontal="center" vertical="center"/>
      <protection locked="0"/>
    </xf>
    <xf numFmtId="0" fontId="8" fillId="2" borderId="136" xfId="0" applyFont="1" applyFill="1" applyBorder="1" applyAlignment="1" applyProtection="1">
      <alignment horizontal="center" vertical="center"/>
      <protection locked="0"/>
    </xf>
    <xf numFmtId="0" fontId="9" fillId="2" borderId="137" xfId="0" applyFont="1" applyFill="1" applyBorder="1" applyAlignment="1">
      <alignment horizontal="center" vertical="top" wrapText="1"/>
    </xf>
    <xf numFmtId="0" fontId="9" fillId="4" borderId="29" xfId="0" applyFont="1" applyFill="1" applyBorder="1" applyAlignment="1">
      <alignment horizontal="center" vertical="top" wrapText="1"/>
    </xf>
    <xf numFmtId="0" fontId="17" fillId="3" borderId="39" xfId="2" applyFont="1" applyFill="1" applyBorder="1" applyAlignment="1" applyProtection="1">
      <alignment horizontal="left" vertical="center"/>
    </xf>
    <xf numFmtId="3" fontId="17" fillId="3" borderId="0" xfId="2" applyNumberFormat="1" applyFont="1" applyFill="1" applyBorder="1" applyAlignment="1" applyProtection="1">
      <alignment horizontal="center" vertical="center"/>
      <protection locked="0"/>
    </xf>
    <xf numFmtId="0" fontId="17" fillId="2" borderId="138" xfId="2" applyFont="1" applyFill="1" applyBorder="1" applyAlignment="1" applyProtection="1">
      <alignment vertical="top"/>
      <protection locked="0"/>
    </xf>
    <xf numFmtId="0" fontId="30" fillId="2" borderId="138" xfId="0" applyFont="1" applyFill="1" applyBorder="1"/>
    <xf numFmtId="0" fontId="9" fillId="2" borderId="31" xfId="0" applyFont="1" applyFill="1" applyBorder="1" applyAlignment="1">
      <alignment horizontal="center"/>
    </xf>
    <xf numFmtId="0" fontId="31" fillId="4" borderId="18" xfId="0" applyFont="1" applyFill="1" applyBorder="1"/>
    <xf numFmtId="0" fontId="35" fillId="4" borderId="18" xfId="0" applyFont="1" applyFill="1" applyBorder="1"/>
    <xf numFmtId="0" fontId="9" fillId="4" borderId="13" xfId="0" applyFont="1" applyFill="1" applyBorder="1" applyAlignment="1">
      <alignment horizontal="center"/>
    </xf>
    <xf numFmtId="0" fontId="31" fillId="4" borderId="139" xfId="0" applyFont="1" applyFill="1" applyBorder="1"/>
    <xf numFmtId="0" fontId="31" fillId="4" borderId="140" xfId="0" applyFont="1" applyFill="1" applyBorder="1"/>
    <xf numFmtId="0" fontId="31" fillId="4" borderId="141" xfId="0" applyFont="1" applyFill="1" applyBorder="1" applyAlignment="1">
      <alignment horizontal="center" vertical="top" wrapText="1"/>
    </xf>
    <xf numFmtId="0" fontId="31" fillId="4" borderId="115" xfId="0" applyFont="1" applyFill="1" applyBorder="1" applyAlignment="1">
      <alignment horizontal="center" vertical="top" wrapText="1"/>
    </xf>
    <xf numFmtId="0" fontId="3" fillId="3" borderId="10" xfId="0" applyFont="1" applyFill="1" applyBorder="1" applyAlignment="1">
      <alignment horizontal="center"/>
    </xf>
    <xf numFmtId="0" fontId="4" fillId="3" borderId="73" xfId="0" applyFont="1" applyFill="1" applyBorder="1" applyAlignment="1">
      <alignment horizontal="center"/>
    </xf>
    <xf numFmtId="0" fontId="8" fillId="3" borderId="39" xfId="0" applyFont="1" applyFill="1" applyBorder="1"/>
    <xf numFmtId="0" fontId="8" fillId="4" borderId="86" xfId="0" applyFont="1" applyFill="1" applyBorder="1"/>
    <xf numFmtId="0" fontId="8" fillId="4" borderId="17" xfId="0" applyFont="1" applyFill="1" applyBorder="1"/>
    <xf numFmtId="0" fontId="30" fillId="0" borderId="142" xfId="0" applyFont="1" applyBorder="1"/>
    <xf numFmtId="0" fontId="45" fillId="3" borderId="0" xfId="0" applyFont="1" applyFill="1" applyBorder="1" applyAlignment="1">
      <alignment horizontal="center"/>
    </xf>
    <xf numFmtId="0" fontId="30" fillId="3" borderId="0" xfId="0" applyFont="1" applyFill="1" applyBorder="1" applyAlignment="1">
      <alignment horizontal="center"/>
    </xf>
    <xf numFmtId="0" fontId="30" fillId="3" borderId="0" xfId="0" applyFont="1" applyFill="1" applyBorder="1"/>
    <xf numFmtId="0" fontId="0" fillId="0" borderId="26" xfId="0" applyBorder="1" applyAlignment="1">
      <alignment wrapText="1"/>
    </xf>
    <xf numFmtId="0" fontId="0" fillId="0" borderId="124" xfId="0" applyBorder="1" applyAlignment="1">
      <alignment wrapText="1"/>
    </xf>
    <xf numFmtId="0" fontId="8" fillId="0" borderId="130" xfId="0" applyFont="1" applyBorder="1" applyAlignment="1" applyProtection="1">
      <alignment horizontal="center"/>
      <protection locked="0"/>
    </xf>
    <xf numFmtId="0" fontId="8" fillId="0" borderId="131" xfId="0" applyFont="1" applyBorder="1" applyAlignment="1" applyProtection="1">
      <alignment horizontal="center"/>
      <protection locked="0"/>
    </xf>
    <xf numFmtId="0" fontId="8" fillId="3" borderId="104" xfId="0" applyFont="1" applyFill="1" applyBorder="1" applyAlignment="1"/>
    <xf numFmtId="0" fontId="8" fillId="3" borderId="55" xfId="0" applyFont="1" applyFill="1" applyBorder="1" applyAlignment="1"/>
    <xf numFmtId="0" fontId="8" fillId="4" borderId="143" xfId="0" applyFont="1" applyFill="1" applyBorder="1" applyAlignment="1">
      <alignment horizontal="center"/>
    </xf>
    <xf numFmtId="0" fontId="17" fillId="4" borderId="6" xfId="5" applyFont="1" applyFill="1" applyBorder="1" applyAlignment="1" applyProtection="1">
      <alignment vertical="center" wrapText="1"/>
    </xf>
    <xf numFmtId="0" fontId="17" fillId="4" borderId="59" xfId="5" applyFont="1" applyFill="1" applyBorder="1" applyAlignment="1" applyProtection="1">
      <alignment vertical="center"/>
    </xf>
    <xf numFmtId="0" fontId="8" fillId="4" borderId="144" xfId="0" applyFont="1" applyFill="1" applyBorder="1" applyAlignment="1">
      <alignment horizontal="center"/>
    </xf>
    <xf numFmtId="0" fontId="8" fillId="4" borderId="42" xfId="0" applyFont="1" applyFill="1" applyBorder="1" applyAlignment="1">
      <alignment horizontal="center" vertical="center"/>
    </xf>
    <xf numFmtId="0" fontId="8" fillId="0" borderId="143" xfId="0" applyFont="1" applyBorder="1" applyAlignment="1" applyProtection="1">
      <alignment vertical="center"/>
      <protection locked="0"/>
    </xf>
    <xf numFmtId="0" fontId="8" fillId="0" borderId="82" xfId="0" applyFont="1" applyBorder="1" applyAlignment="1" applyProtection="1">
      <alignment vertical="center"/>
      <protection locked="0"/>
    </xf>
    <xf numFmtId="0" fontId="8" fillId="0" borderId="82" xfId="0" applyFont="1" applyBorder="1" applyAlignment="1" applyProtection="1">
      <alignment horizontal="center" vertical="center"/>
      <protection locked="0"/>
    </xf>
    <xf numFmtId="0" fontId="8" fillId="0" borderId="82" xfId="0" applyFont="1" applyBorder="1" applyAlignment="1" applyProtection="1">
      <alignment vertical="center" wrapText="1"/>
      <protection locked="0"/>
    </xf>
    <xf numFmtId="0" fontId="3" fillId="3" borderId="47" xfId="0" applyFont="1" applyFill="1" applyBorder="1" applyAlignment="1">
      <alignment wrapText="1"/>
    </xf>
    <xf numFmtId="0" fontId="3" fillId="3" borderId="15" xfId="0" applyFont="1" applyFill="1" applyBorder="1" applyAlignment="1">
      <alignment wrapText="1"/>
    </xf>
    <xf numFmtId="0" fontId="8" fillId="3" borderId="145" xfId="0" applyFont="1" applyFill="1" applyBorder="1" applyAlignment="1">
      <alignment horizontal="center" vertical="center" wrapText="1"/>
    </xf>
    <xf numFmtId="0" fontId="8" fillId="3" borderId="13" xfId="0" applyFont="1" applyFill="1" applyBorder="1" applyAlignment="1" applyProtection="1">
      <alignment vertical="center" wrapText="1"/>
      <protection locked="0"/>
    </xf>
    <xf numFmtId="0" fontId="8" fillId="3" borderId="82" xfId="0" applyFont="1" applyFill="1" applyBorder="1" applyAlignment="1" applyProtection="1">
      <alignment vertical="center" wrapText="1"/>
      <protection locked="0"/>
    </xf>
    <xf numFmtId="0" fontId="8" fillId="3" borderId="29" xfId="0" applyFont="1" applyFill="1" applyBorder="1" applyAlignment="1" applyProtection="1">
      <alignment vertical="center" wrapText="1"/>
      <protection locked="0"/>
    </xf>
    <xf numFmtId="0" fontId="8" fillId="3" borderId="15" xfId="0" applyFont="1" applyFill="1" applyBorder="1" applyAlignment="1" applyProtection="1">
      <alignment vertical="center" wrapText="1"/>
      <protection locked="0"/>
    </xf>
    <xf numFmtId="0" fontId="8" fillId="0" borderId="129" xfId="0" applyFont="1" applyBorder="1" applyAlignment="1" applyProtection="1">
      <alignment vertical="center"/>
      <protection locked="0"/>
    </xf>
    <xf numFmtId="0" fontId="8" fillId="0" borderId="37" xfId="0" applyFont="1" applyBorder="1" applyAlignment="1" applyProtection="1">
      <alignment vertical="center"/>
      <protection locked="0"/>
    </xf>
    <xf numFmtId="0" fontId="8" fillId="0" borderId="37" xfId="0" applyFont="1" applyBorder="1" applyAlignment="1" applyProtection="1">
      <alignment horizontal="center" vertical="center"/>
      <protection locked="0"/>
    </xf>
    <xf numFmtId="0" fontId="8" fillId="3" borderId="37" xfId="0" applyFont="1" applyFill="1" applyBorder="1" applyAlignment="1" applyProtection="1">
      <alignment vertical="center" wrapText="1"/>
      <protection locked="0"/>
    </xf>
    <xf numFmtId="0" fontId="8" fillId="3" borderId="41" xfId="0" applyFont="1" applyFill="1" applyBorder="1" applyAlignment="1" applyProtection="1">
      <alignment vertical="center" wrapText="1"/>
      <protection locked="0"/>
    </xf>
    <xf numFmtId="0" fontId="8" fillId="4" borderId="88" xfId="0" applyFont="1" applyFill="1" applyBorder="1" applyAlignment="1" applyProtection="1">
      <alignment horizontal="center" vertical="center" wrapText="1"/>
      <protection locked="0"/>
    </xf>
    <xf numFmtId="0" fontId="8" fillId="0" borderId="85" xfId="0" applyFont="1" applyBorder="1" applyAlignment="1" applyProtection="1">
      <alignment horizontal="center" vertical="center" wrapText="1"/>
      <protection locked="0"/>
    </xf>
    <xf numFmtId="0" fontId="8" fillId="0" borderId="97" xfId="0" applyFont="1" applyBorder="1" applyAlignment="1" applyProtection="1">
      <alignment horizontal="center" vertical="center" wrapText="1"/>
      <protection locked="0"/>
    </xf>
    <xf numFmtId="0" fontId="8" fillId="3" borderId="47" xfId="0" applyFont="1" applyFill="1" applyBorder="1" applyAlignment="1">
      <alignment wrapText="1"/>
    </xf>
    <xf numFmtId="3" fontId="17" fillId="4" borderId="146" xfId="2" applyNumberFormat="1" applyFont="1" applyFill="1" applyBorder="1" applyAlignment="1" applyProtection="1">
      <alignment horizontal="center" vertical="center"/>
      <protection locked="0"/>
    </xf>
    <xf numFmtId="3" fontId="17" fillId="4" borderId="147" xfId="2" applyNumberFormat="1" applyFont="1" applyFill="1" applyBorder="1" applyAlignment="1" applyProtection="1">
      <alignment horizontal="center" vertical="center"/>
      <protection locked="0"/>
    </xf>
    <xf numFmtId="3" fontId="17" fillId="4" borderId="148" xfId="2" applyNumberFormat="1" applyFont="1" applyFill="1" applyBorder="1" applyAlignment="1" applyProtection="1">
      <alignment horizontal="center" vertical="center"/>
      <protection locked="0"/>
    </xf>
    <xf numFmtId="0" fontId="31" fillId="0" borderId="0" xfId="0" applyFont="1"/>
    <xf numFmtId="0" fontId="8" fillId="3" borderId="2" xfId="0" applyFont="1" applyFill="1" applyBorder="1" applyAlignment="1">
      <alignment horizontal="center" vertical="center" textRotation="90"/>
    </xf>
    <xf numFmtId="0" fontId="8" fillId="3" borderId="10" xfId="0" applyFont="1" applyFill="1" applyBorder="1"/>
    <xf numFmtId="0" fontId="9" fillId="2" borderId="149" xfId="0" applyFont="1" applyFill="1" applyBorder="1" applyAlignment="1">
      <alignment horizontal="center"/>
    </xf>
    <xf numFmtId="0" fontId="9" fillId="2" borderId="69" xfId="0" applyFont="1" applyFill="1" applyBorder="1" applyAlignment="1"/>
    <xf numFmtId="0" fontId="9" fillId="3" borderId="39" xfId="0" applyFont="1" applyFill="1" applyBorder="1" applyAlignment="1"/>
    <xf numFmtId="0" fontId="9" fillId="3" borderId="0" xfId="0" applyFont="1" applyFill="1" applyBorder="1" applyAlignment="1"/>
    <xf numFmtId="0" fontId="8" fillId="3" borderId="47" xfId="0" applyFont="1" applyFill="1" applyBorder="1"/>
    <xf numFmtId="0" fontId="8" fillId="4" borderId="47" xfId="0" applyFont="1" applyFill="1" applyBorder="1"/>
    <xf numFmtId="0" fontId="30" fillId="2" borderId="0" xfId="0" applyFont="1" applyFill="1" applyBorder="1" applyAlignment="1">
      <alignment horizontal="left" vertical="top"/>
    </xf>
    <xf numFmtId="0" fontId="42" fillId="3" borderId="47" xfId="0" applyFont="1" applyFill="1" applyBorder="1"/>
    <xf numFmtId="0" fontId="30" fillId="2" borderId="62" xfId="0" applyFont="1" applyFill="1" applyBorder="1" applyAlignment="1">
      <alignment horizontal="left" vertical="top"/>
    </xf>
    <xf numFmtId="0" fontId="8" fillId="0" borderId="25" xfId="0" applyFont="1" applyFill="1" applyBorder="1" applyAlignment="1" applyProtection="1">
      <alignment vertical="center" wrapText="1"/>
      <protection locked="0"/>
    </xf>
    <xf numFmtId="0" fontId="8" fillId="4" borderId="25" xfId="0" applyFont="1" applyFill="1" applyBorder="1"/>
    <xf numFmtId="0" fontId="8" fillId="0" borderId="25" xfId="0" applyFont="1" applyFill="1" applyBorder="1" applyAlignment="1" applyProtection="1">
      <alignment vertical="center" wrapText="1"/>
    </xf>
    <xf numFmtId="0" fontId="8" fillId="4" borderId="150" xfId="0" applyFont="1" applyFill="1" applyBorder="1" applyAlignment="1">
      <alignment vertical="center"/>
    </xf>
    <xf numFmtId="0" fontId="8" fillId="0" borderId="90" xfId="0" applyFont="1" applyFill="1" applyBorder="1" applyAlignment="1" applyProtection="1">
      <alignment vertical="center" wrapText="1"/>
      <protection locked="0"/>
    </xf>
    <xf numFmtId="0" fontId="8" fillId="4" borderId="90" xfId="0" applyFont="1" applyFill="1" applyBorder="1"/>
    <xf numFmtId="0" fontId="8" fillId="0" borderId="90" xfId="0" applyFont="1" applyFill="1" applyBorder="1" applyAlignment="1" applyProtection="1">
      <alignment vertical="center" wrapText="1"/>
    </xf>
    <xf numFmtId="0" fontId="8" fillId="0" borderId="38" xfId="0" applyFont="1" applyFill="1" applyBorder="1" applyAlignment="1" applyProtection="1">
      <alignment vertical="center" wrapText="1"/>
      <protection locked="0"/>
    </xf>
    <xf numFmtId="0" fontId="8" fillId="4" borderId="38" xfId="0" applyFont="1" applyFill="1" applyBorder="1"/>
    <xf numFmtId="0" fontId="8" fillId="0" borderId="38" xfId="0" applyFont="1" applyFill="1" applyBorder="1" applyAlignment="1" applyProtection="1">
      <alignment vertical="center" wrapText="1"/>
    </xf>
    <xf numFmtId="0" fontId="8" fillId="0" borderId="47" xfId="0" applyFont="1" applyFill="1" applyBorder="1" applyAlignment="1" applyProtection="1">
      <alignment horizontal="center" vertical="center"/>
    </xf>
    <xf numFmtId="0" fontId="8" fillId="4" borderId="24" xfId="0" applyFont="1" applyFill="1" applyBorder="1" applyAlignment="1">
      <alignment vertical="center"/>
    </xf>
    <xf numFmtId="0" fontId="8" fillId="0" borderId="51" xfId="0" applyFont="1" applyFill="1" applyBorder="1" applyAlignment="1" applyProtection="1">
      <alignment vertical="center" wrapText="1"/>
      <protection locked="0"/>
    </xf>
    <xf numFmtId="0" fontId="8" fillId="4" borderId="51" xfId="0" applyFont="1" applyFill="1" applyBorder="1"/>
    <xf numFmtId="0" fontId="8" fillId="0" borderId="51" xfId="0" applyFont="1" applyFill="1" applyBorder="1" applyAlignment="1" applyProtection="1">
      <alignment vertical="center" wrapText="1"/>
    </xf>
    <xf numFmtId="0" fontId="31" fillId="0" borderId="109" xfId="0" applyFont="1" applyBorder="1" applyAlignment="1">
      <alignment horizontal="center" vertical="top" wrapText="1"/>
    </xf>
    <xf numFmtId="0" fontId="31" fillId="0" borderId="42" xfId="0" applyFont="1" applyBorder="1" applyAlignment="1">
      <alignment horizontal="center" vertical="top" wrapText="1"/>
    </xf>
    <xf numFmtId="0" fontId="31" fillId="0" borderId="61" xfId="0" applyFont="1" applyBorder="1" applyAlignment="1">
      <alignment horizontal="center" vertical="top" wrapText="1"/>
    </xf>
    <xf numFmtId="0" fontId="31" fillId="0" borderId="135" xfId="0" applyFont="1" applyBorder="1" applyAlignment="1">
      <alignment horizontal="center" vertical="top" wrapText="1"/>
    </xf>
    <xf numFmtId="0" fontId="31" fillId="0" borderId="151" xfId="0" applyFont="1" applyBorder="1" applyAlignment="1">
      <alignment horizontal="center" vertical="top" wrapText="1"/>
    </xf>
    <xf numFmtId="0" fontId="31" fillId="0" borderId="152" xfId="0" applyFont="1" applyBorder="1" applyAlignment="1">
      <alignment horizontal="center" vertical="top" wrapText="1"/>
    </xf>
    <xf numFmtId="0" fontId="35" fillId="4" borderId="53" xfId="0" applyFont="1" applyFill="1" applyBorder="1"/>
    <xf numFmtId="0" fontId="35" fillId="4" borderId="58" xfId="0" applyFont="1" applyFill="1" applyBorder="1"/>
    <xf numFmtId="0" fontId="35" fillId="4" borderId="153" xfId="0" applyFont="1" applyFill="1" applyBorder="1"/>
    <xf numFmtId="0" fontId="35" fillId="4" borderId="69" xfId="0" applyFont="1" applyFill="1" applyBorder="1"/>
    <xf numFmtId="0" fontId="34" fillId="4" borderId="154" xfId="0" applyFont="1" applyFill="1" applyBorder="1" applyAlignment="1">
      <alignment horizontal="center"/>
    </xf>
    <xf numFmtId="0" fontId="35" fillId="0" borderId="38" xfId="0" applyFont="1" applyFill="1" applyBorder="1" applyAlignment="1">
      <alignment horizontal="center"/>
    </xf>
    <xf numFmtId="0" fontId="35" fillId="0" borderId="131" xfId="0" applyFont="1" applyFill="1" applyBorder="1" applyAlignment="1">
      <alignment horizontal="center"/>
    </xf>
    <xf numFmtId="0" fontId="35" fillId="0" borderId="25" xfId="0" applyFont="1" applyFill="1" applyBorder="1" applyAlignment="1">
      <alignment horizontal="center"/>
    </xf>
    <xf numFmtId="0" fontId="35" fillId="0" borderId="108" xfId="0" applyFont="1" applyFill="1" applyBorder="1" applyAlignment="1">
      <alignment horizontal="center"/>
    </xf>
    <xf numFmtId="0" fontId="35" fillId="0" borderId="21" xfId="0" applyFont="1" applyFill="1" applyBorder="1" applyAlignment="1">
      <alignment horizontal="center"/>
    </xf>
    <xf numFmtId="0" fontId="34" fillId="4" borderId="105" xfId="0" applyFont="1" applyFill="1" applyBorder="1" applyAlignment="1">
      <alignment horizontal="center"/>
    </xf>
    <xf numFmtId="0" fontId="34" fillId="4" borderId="0" xfId="0" applyFont="1" applyFill="1" applyBorder="1" applyAlignment="1">
      <alignment horizontal="center"/>
    </xf>
    <xf numFmtId="0" fontId="35" fillId="4" borderId="5" xfId="0" applyFont="1" applyFill="1" applyBorder="1" applyAlignment="1">
      <alignment horizontal="right"/>
    </xf>
    <xf numFmtId="0" fontId="10" fillId="4" borderId="25" xfId="0" applyFont="1" applyFill="1" applyBorder="1" applyAlignment="1" applyProtection="1">
      <alignment horizontal="center" vertical="center"/>
      <protection locked="0"/>
    </xf>
    <xf numFmtId="0" fontId="35" fillId="0" borderId="5" xfId="0" applyFont="1" applyFill="1" applyBorder="1" applyAlignment="1">
      <alignment horizontal="center"/>
    </xf>
    <xf numFmtId="0" fontId="35" fillId="0" borderId="8" xfId="0" applyFont="1" applyFill="1" applyBorder="1" applyAlignment="1">
      <alignment horizontal="center"/>
    </xf>
    <xf numFmtId="0" fontId="35" fillId="0" borderId="117" xfId="0" applyFont="1" applyFill="1" applyBorder="1" applyAlignment="1">
      <alignment horizontal="center"/>
    </xf>
    <xf numFmtId="0" fontId="35" fillId="0" borderId="120" xfId="0" applyFont="1" applyFill="1" applyBorder="1" applyAlignment="1">
      <alignment horizontal="center"/>
    </xf>
    <xf numFmtId="0" fontId="35" fillId="0" borderId="61" xfId="0" applyFont="1" applyFill="1" applyBorder="1" applyAlignment="1">
      <alignment horizontal="center"/>
    </xf>
    <xf numFmtId="164" fontId="35" fillId="0" borderId="120" xfId="0" applyNumberFormat="1" applyFont="1" applyFill="1" applyBorder="1" applyAlignment="1">
      <alignment horizontal="center"/>
    </xf>
    <xf numFmtId="0" fontId="35" fillId="4" borderId="4" xfId="0" applyFont="1" applyFill="1" applyBorder="1"/>
    <xf numFmtId="0" fontId="35" fillId="0" borderId="142" xfId="0" applyFont="1" applyFill="1" applyBorder="1" applyAlignment="1">
      <alignment horizontal="center"/>
    </xf>
    <xf numFmtId="0" fontId="36" fillId="4" borderId="21" xfId="0" applyFont="1" applyFill="1" applyBorder="1" applyAlignment="1">
      <alignment horizontal="center"/>
    </xf>
    <xf numFmtId="0" fontId="35" fillId="4" borderId="8" xfId="0" applyFont="1" applyFill="1" applyBorder="1"/>
    <xf numFmtId="0" fontId="35" fillId="4" borderId="3" xfId="0" applyFont="1" applyFill="1" applyBorder="1"/>
    <xf numFmtId="0" fontId="36" fillId="4" borderId="4" xfId="0" applyFont="1" applyFill="1" applyBorder="1"/>
    <xf numFmtId="0" fontId="35" fillId="4" borderId="4" xfId="0" applyFont="1" applyFill="1" applyBorder="1" applyAlignment="1">
      <alignment horizontal="left" indent="2"/>
    </xf>
    <xf numFmtId="0" fontId="35" fillId="4" borderId="7" xfId="0" applyFont="1" applyFill="1" applyBorder="1"/>
    <xf numFmtId="0" fontId="35" fillId="4" borderId="81" xfId="0" applyFont="1" applyFill="1" applyBorder="1"/>
    <xf numFmtId="0" fontId="35" fillId="4" borderId="5" xfId="0" applyFont="1" applyFill="1" applyBorder="1"/>
    <xf numFmtId="0" fontId="35" fillId="4" borderId="61" xfId="0" applyFont="1" applyFill="1" applyBorder="1"/>
    <xf numFmtId="0" fontId="35" fillId="0" borderId="42" xfId="0" applyFont="1" applyFill="1" applyBorder="1" applyAlignment="1">
      <alignment horizontal="center"/>
    </xf>
    <xf numFmtId="0" fontId="36" fillId="4" borderId="67" xfId="0" applyFont="1" applyFill="1" applyBorder="1" applyAlignment="1">
      <alignment horizontal="left"/>
    </xf>
    <xf numFmtId="0" fontId="34" fillId="4" borderId="155" xfId="0" applyFont="1" applyFill="1" applyBorder="1" applyAlignment="1">
      <alignment horizontal="center"/>
    </xf>
    <xf numFmtId="0" fontId="35" fillId="0" borderId="156" xfId="0" applyFont="1" applyFill="1" applyBorder="1" applyAlignment="1">
      <alignment horizontal="center"/>
    </xf>
    <xf numFmtId="0" fontId="35" fillId="0" borderId="109" xfId="0" applyFont="1" applyFill="1" applyBorder="1" applyAlignment="1">
      <alignment horizontal="center"/>
    </xf>
    <xf numFmtId="164" fontId="35" fillId="0" borderId="157" xfId="0" applyNumberFormat="1" applyFont="1" applyFill="1" applyBorder="1" applyAlignment="1">
      <alignment horizontal="center"/>
    </xf>
    <xf numFmtId="0" fontId="35" fillId="0" borderId="158" xfId="0" applyFont="1" applyFill="1" applyBorder="1" applyAlignment="1">
      <alignment horizontal="center"/>
    </xf>
    <xf numFmtId="0" fontId="34" fillId="4" borderId="69" xfId="0" applyFont="1" applyFill="1" applyBorder="1" applyAlignment="1">
      <alignment horizontal="center" wrapText="1"/>
    </xf>
    <xf numFmtId="0" fontId="33" fillId="3" borderId="0" xfId="0" applyFont="1" applyFill="1" applyBorder="1" applyAlignment="1">
      <alignment horizontal="center"/>
    </xf>
    <xf numFmtId="0" fontId="30" fillId="2" borderId="159" xfId="0" applyFont="1" applyFill="1" applyBorder="1" applyAlignment="1">
      <alignment vertical="top"/>
    </xf>
    <xf numFmtId="0" fontId="30" fillId="2" borderId="0" xfId="0" applyFont="1" applyFill="1" applyBorder="1" applyAlignment="1">
      <alignment vertical="top"/>
    </xf>
    <xf numFmtId="0" fontId="34" fillId="4" borderId="160" xfId="0" applyFont="1" applyFill="1" applyBorder="1" applyAlignment="1">
      <alignment horizontal="center"/>
    </xf>
    <xf numFmtId="0" fontId="35" fillId="0" borderId="41" xfId="0" applyFont="1" applyFill="1" applyBorder="1" applyAlignment="1">
      <alignment horizontal="center"/>
    </xf>
    <xf numFmtId="0" fontId="35" fillId="0" borderId="29" xfId="0" applyFont="1" applyFill="1" applyBorder="1" applyAlignment="1">
      <alignment horizontal="center"/>
    </xf>
    <xf numFmtId="0" fontId="35" fillId="0" borderId="32" xfId="0" applyFont="1" applyFill="1" applyBorder="1" applyAlignment="1">
      <alignment horizontal="center"/>
    </xf>
    <xf numFmtId="0" fontId="30" fillId="2" borderId="47" xfId="0" applyFont="1" applyFill="1" applyBorder="1"/>
    <xf numFmtId="0" fontId="30" fillId="2" borderId="62" xfId="0" applyFont="1" applyFill="1" applyBorder="1"/>
    <xf numFmtId="0" fontId="30" fillId="2" borderId="49" xfId="0" applyFont="1" applyFill="1" applyBorder="1"/>
    <xf numFmtId="0" fontId="30" fillId="3" borderId="39" xfId="0" applyFont="1" applyFill="1" applyBorder="1"/>
    <xf numFmtId="0" fontId="30" fillId="3" borderId="47" xfId="0" applyFont="1" applyFill="1" applyBorder="1"/>
    <xf numFmtId="0" fontId="34" fillId="3" borderId="0" xfId="0" applyFont="1" applyFill="1" applyBorder="1" applyAlignment="1">
      <alignment vertical="center" wrapText="1"/>
    </xf>
    <xf numFmtId="0" fontId="10" fillId="4" borderId="108" xfId="0" applyFont="1" applyFill="1" applyBorder="1" applyAlignment="1" applyProtection="1">
      <alignment horizontal="center" vertical="center"/>
      <protection locked="0"/>
    </xf>
    <xf numFmtId="0" fontId="10" fillId="4" borderId="21" xfId="0" applyFont="1" applyFill="1" applyBorder="1" applyAlignment="1" applyProtection="1">
      <alignment horizontal="center" vertical="center"/>
      <protection locked="0"/>
    </xf>
    <xf numFmtId="0" fontId="34" fillId="4" borderId="10" xfId="0" applyFont="1" applyFill="1" applyBorder="1" applyAlignment="1">
      <alignment wrapText="1"/>
    </xf>
    <xf numFmtId="0" fontId="35" fillId="0" borderId="54" xfId="0" applyFont="1" applyFill="1" applyBorder="1" applyAlignment="1">
      <alignment horizontal="center"/>
    </xf>
    <xf numFmtId="0" fontId="35" fillId="0" borderId="107" xfId="0" applyFont="1" applyFill="1" applyBorder="1" applyAlignment="1">
      <alignment horizontal="center"/>
    </xf>
    <xf numFmtId="0" fontId="35" fillId="4" borderId="54" xfId="0" applyFont="1" applyFill="1" applyBorder="1" applyAlignment="1">
      <alignment horizontal="center"/>
    </xf>
    <xf numFmtId="0" fontId="35" fillId="4" borderId="42" xfId="0" applyFont="1" applyFill="1" applyBorder="1" applyAlignment="1">
      <alignment horizontal="center"/>
    </xf>
    <xf numFmtId="0" fontId="62" fillId="4" borderId="4" xfId="0" applyFont="1" applyFill="1" applyBorder="1" applyAlignment="1">
      <alignment horizontal="left" indent="2"/>
    </xf>
    <xf numFmtId="1" fontId="34" fillId="0" borderId="25" xfId="0" applyNumberFormat="1" applyFont="1" applyFill="1" applyBorder="1" applyAlignment="1"/>
    <xf numFmtId="1" fontId="34" fillId="0" borderId="108" xfId="0" applyNumberFormat="1" applyFont="1" applyFill="1" applyBorder="1" applyAlignment="1"/>
    <xf numFmtId="1" fontId="10" fillId="0" borderId="25" xfId="0" applyNumberFormat="1" applyFont="1" applyBorder="1" applyAlignment="1" applyProtection="1">
      <alignment vertical="center"/>
      <protection locked="0"/>
    </xf>
    <xf numFmtId="1" fontId="10" fillId="0" borderId="108" xfId="0" applyNumberFormat="1" applyFont="1" applyBorder="1" applyAlignment="1" applyProtection="1">
      <alignment vertical="center"/>
      <protection locked="0"/>
    </xf>
    <xf numFmtId="1" fontId="34" fillId="0" borderId="21" xfId="0" applyNumberFormat="1" applyFont="1" applyFill="1" applyBorder="1" applyAlignment="1"/>
    <xf numFmtId="0" fontId="30" fillId="8" borderId="25" xfId="0" applyFont="1" applyFill="1" applyBorder="1"/>
    <xf numFmtId="0" fontId="35" fillId="8" borderId="9" xfId="0" applyFont="1" applyFill="1" applyBorder="1" applyAlignment="1">
      <alignment horizontal="right"/>
    </xf>
    <xf numFmtId="0" fontId="30" fillId="0" borderId="25" xfId="0" applyFont="1" applyBorder="1"/>
    <xf numFmtId="0" fontId="35" fillId="4" borderId="9" xfId="0" applyFont="1" applyFill="1" applyBorder="1" applyAlignment="1">
      <alignment horizontal="right"/>
    </xf>
    <xf numFmtId="0" fontId="31" fillId="4" borderId="9" xfId="0" applyFont="1" applyFill="1" applyBorder="1" applyAlignment="1">
      <alignment horizontal="right"/>
    </xf>
    <xf numFmtId="0" fontId="31" fillId="8" borderId="9" xfId="0" applyFont="1" applyFill="1" applyBorder="1"/>
    <xf numFmtId="0" fontId="43" fillId="8" borderId="108" xfId="0" applyFont="1" applyFill="1" applyBorder="1" applyAlignment="1">
      <alignment horizontal="center"/>
    </xf>
    <xf numFmtId="0" fontId="43" fillId="8" borderId="26" xfId="0" applyFont="1" applyFill="1" applyBorder="1" applyAlignment="1">
      <alignment horizontal="center"/>
    </xf>
    <xf numFmtId="0" fontId="31" fillId="8" borderId="9" xfId="0" applyFont="1" applyFill="1" applyBorder="1" applyAlignment="1">
      <alignment horizontal="right"/>
    </xf>
    <xf numFmtId="0" fontId="30" fillId="0" borderId="142" xfId="0" applyFont="1" applyBorder="1" applyAlignment="1"/>
    <xf numFmtId="0" fontId="30" fillId="0" borderId="108" xfId="0" applyFont="1" applyBorder="1" applyAlignment="1"/>
    <xf numFmtId="0" fontId="30" fillId="8" borderId="26" xfId="0" applyFont="1" applyFill="1" applyBorder="1"/>
    <xf numFmtId="0" fontId="43" fillId="8" borderId="25" xfId="0" applyFont="1" applyFill="1" applyBorder="1" applyAlignment="1">
      <alignment horizontal="center"/>
    </xf>
    <xf numFmtId="0" fontId="43" fillId="8" borderId="21" xfId="0" applyFont="1" applyFill="1" applyBorder="1" applyAlignment="1">
      <alignment horizontal="center"/>
    </xf>
    <xf numFmtId="0" fontId="31" fillId="0" borderId="161" xfId="0" applyFont="1" applyBorder="1"/>
    <xf numFmtId="0" fontId="31" fillId="0" borderId="161" xfId="0" applyFont="1" applyFill="1" applyBorder="1" applyAlignment="1">
      <alignment horizontal="center"/>
    </xf>
    <xf numFmtId="0" fontId="36" fillId="4" borderId="69" xfId="0" applyFont="1" applyFill="1" applyBorder="1" applyAlignment="1">
      <alignment horizontal="center"/>
    </xf>
    <xf numFmtId="0" fontId="34" fillId="4" borderId="47" xfId="0" applyFont="1" applyFill="1" applyBorder="1" applyAlignment="1">
      <alignment horizontal="center"/>
    </xf>
    <xf numFmtId="0" fontId="34" fillId="4" borderId="57" xfId="0" applyFont="1" applyFill="1" applyBorder="1" applyAlignment="1">
      <alignment horizontal="center"/>
    </xf>
    <xf numFmtId="0" fontId="35" fillId="0" borderId="14" xfId="0" applyFont="1" applyFill="1" applyBorder="1" applyAlignment="1">
      <alignment horizontal="center"/>
    </xf>
    <xf numFmtId="0" fontId="35" fillId="0" borderId="51" xfId="0" applyFont="1" applyFill="1" applyBorder="1" applyAlignment="1">
      <alignment horizontal="center"/>
    </xf>
    <xf numFmtId="0" fontId="34" fillId="4" borderId="40" xfId="0" applyFont="1" applyFill="1" applyBorder="1" applyAlignment="1">
      <alignment horizontal="center"/>
    </xf>
    <xf numFmtId="0" fontId="35" fillId="0" borderId="37" xfId="0" applyFont="1" applyFill="1" applyBorder="1" applyAlignment="1">
      <alignment horizontal="center"/>
    </xf>
    <xf numFmtId="0" fontId="35" fillId="0" borderId="82" xfId="0" applyFont="1" applyFill="1" applyBorder="1" applyAlignment="1">
      <alignment horizontal="center"/>
    </xf>
    <xf numFmtId="0" fontId="35" fillId="0" borderId="162" xfId="0" applyFont="1" applyFill="1" applyBorder="1" applyAlignment="1">
      <alignment horizontal="center"/>
    </xf>
    <xf numFmtId="0" fontId="35" fillId="0" borderId="163" xfId="0" applyFont="1" applyFill="1" applyBorder="1" applyAlignment="1">
      <alignment horizontal="center"/>
    </xf>
    <xf numFmtId="0" fontId="35" fillId="0" borderId="70" xfId="0" applyFont="1" applyFill="1" applyBorder="1" applyAlignment="1">
      <alignment horizontal="center"/>
    </xf>
    <xf numFmtId="0" fontId="3" fillId="3" borderId="4" xfId="0" applyFont="1" applyFill="1" applyBorder="1" applyAlignment="1">
      <alignment vertical="center" wrapText="1"/>
    </xf>
    <xf numFmtId="0" fontId="17" fillId="4" borderId="84" xfId="2" applyFont="1" applyFill="1" applyBorder="1" applyAlignment="1" applyProtection="1">
      <alignment horizontal="left" vertical="center" wrapText="1"/>
    </xf>
    <xf numFmtId="0" fontId="63" fillId="4" borderId="164" xfId="0" applyFont="1" applyFill="1" applyBorder="1"/>
    <xf numFmtId="0" fontId="63" fillId="4" borderId="164" xfId="0" applyFont="1" applyFill="1" applyBorder="1" applyAlignment="1">
      <alignment horizontal="center"/>
    </xf>
    <xf numFmtId="0" fontId="30" fillId="0" borderId="163" xfId="0" applyFont="1" applyFill="1" applyBorder="1" applyAlignment="1">
      <alignment horizontal="center"/>
    </xf>
    <xf numFmtId="0" fontId="46" fillId="3" borderId="39" xfId="0" applyFont="1" applyFill="1" applyBorder="1" applyAlignment="1">
      <alignment horizontal="right"/>
    </xf>
    <xf numFmtId="10" fontId="45" fillId="3" borderId="0" xfId="0" applyNumberFormat="1" applyFont="1" applyFill="1" applyBorder="1"/>
    <xf numFmtId="0" fontId="30" fillId="3" borderId="73" xfId="0" applyFont="1" applyFill="1" applyBorder="1" applyAlignment="1"/>
    <xf numFmtId="0" fontId="30" fillId="3" borderId="72" xfId="0" applyFont="1" applyFill="1" applyBorder="1" applyAlignment="1"/>
    <xf numFmtId="0" fontId="4" fillId="3" borderId="165" xfId="0" applyFont="1" applyFill="1" applyBorder="1" applyAlignment="1">
      <alignment horizontal="center"/>
    </xf>
    <xf numFmtId="0" fontId="42" fillId="3" borderId="39" xfId="0" applyFont="1" applyFill="1" applyBorder="1"/>
    <xf numFmtId="0" fontId="42" fillId="3" borderId="0" xfId="0" applyFont="1" applyFill="1" applyBorder="1"/>
    <xf numFmtId="0" fontId="33" fillId="2" borderId="0" xfId="0" applyFont="1" applyFill="1" applyBorder="1"/>
    <xf numFmtId="0" fontId="35" fillId="4" borderId="2" xfId="0" applyFont="1" applyFill="1" applyBorder="1"/>
    <xf numFmtId="0" fontId="35" fillId="4" borderId="166" xfId="0" applyFont="1" applyFill="1" applyBorder="1"/>
    <xf numFmtId="0" fontId="35" fillId="4" borderId="155" xfId="0" applyFont="1" applyFill="1" applyBorder="1" applyAlignment="1">
      <alignment horizontal="center"/>
    </xf>
    <xf numFmtId="0" fontId="44" fillId="3" borderId="0" xfId="0" applyFont="1" applyFill="1" applyBorder="1"/>
    <xf numFmtId="0" fontId="44" fillId="3" borderId="47" xfId="0" applyFont="1" applyFill="1" applyBorder="1"/>
    <xf numFmtId="0" fontId="44" fillId="3" borderId="10" xfId="0" applyFont="1" applyFill="1" applyBorder="1"/>
    <xf numFmtId="0" fontId="35" fillId="4" borderId="10" xfId="0" applyFont="1" applyFill="1" applyBorder="1"/>
    <xf numFmtId="0" fontId="31" fillId="4" borderId="53" xfId="0" applyFont="1" applyFill="1" applyBorder="1"/>
    <xf numFmtId="0" fontId="30" fillId="2" borderId="48" xfId="0" applyFont="1" applyFill="1" applyBorder="1" applyAlignment="1">
      <alignment vertical="top"/>
    </xf>
    <xf numFmtId="0" fontId="30" fillId="2" borderId="62" xfId="0" applyFont="1" applyFill="1" applyBorder="1" applyAlignment="1">
      <alignment vertical="top"/>
    </xf>
    <xf numFmtId="0" fontId="8" fillId="3" borderId="2" xfId="0" applyFont="1" applyFill="1" applyBorder="1" applyAlignment="1">
      <alignment vertical="center"/>
    </xf>
    <xf numFmtId="0" fontId="4" fillId="12" borderId="68" xfId="0" applyFont="1" applyFill="1" applyBorder="1" applyAlignment="1">
      <alignment horizontal="center"/>
    </xf>
    <xf numFmtId="0" fontId="4" fillId="12" borderId="113" xfId="0" applyFont="1" applyFill="1" applyBorder="1" applyAlignment="1"/>
    <xf numFmtId="0" fontId="30" fillId="12" borderId="73" xfId="0" applyFont="1" applyFill="1" applyBorder="1" applyAlignment="1">
      <alignment horizontal="left"/>
    </xf>
    <xf numFmtId="0" fontId="30" fillId="12" borderId="72" xfId="0" applyFont="1" applyFill="1" applyBorder="1" applyAlignment="1">
      <alignment horizontal="left"/>
    </xf>
    <xf numFmtId="0" fontId="4" fillId="12" borderId="39" xfId="0" applyFont="1" applyFill="1" applyBorder="1" applyAlignment="1">
      <alignment vertical="center"/>
    </xf>
    <xf numFmtId="0" fontId="3" fillId="12" borderId="0" xfId="0" applyFont="1" applyFill="1" applyBorder="1"/>
    <xf numFmtId="0" fontId="7" fillId="12" borderId="47" xfId="1" applyFont="1" applyFill="1" applyBorder="1" applyAlignment="1" applyProtection="1">
      <alignment horizontal="right" vertical="center"/>
    </xf>
    <xf numFmtId="0" fontId="4" fillId="12" borderId="2" xfId="0" applyFont="1" applyFill="1" applyBorder="1" applyAlignment="1">
      <alignment vertical="center"/>
    </xf>
    <xf numFmtId="0" fontId="3" fillId="12" borderId="10" xfId="0" applyFont="1" applyFill="1" applyBorder="1"/>
    <xf numFmtId="0" fontId="3" fillId="12" borderId="15" xfId="0" applyFont="1" applyFill="1" applyBorder="1"/>
    <xf numFmtId="0" fontId="6" fillId="12" borderId="104" xfId="0" applyFont="1" applyFill="1" applyBorder="1"/>
    <xf numFmtId="0" fontId="3" fillId="12" borderId="55" xfId="0" applyFont="1" applyFill="1" applyBorder="1"/>
    <xf numFmtId="0" fontId="3" fillId="12" borderId="69" xfId="0" applyFont="1" applyFill="1" applyBorder="1"/>
    <xf numFmtId="0" fontId="3" fillId="12" borderId="70" xfId="0" applyFont="1" applyFill="1" applyBorder="1"/>
    <xf numFmtId="0" fontId="8" fillId="13" borderId="86" xfId="0" applyFont="1" applyFill="1" applyBorder="1"/>
    <xf numFmtId="0" fontId="8" fillId="13" borderId="53" xfId="0" applyFont="1" applyFill="1" applyBorder="1"/>
    <xf numFmtId="0" fontId="8" fillId="13" borderId="52" xfId="0" applyFont="1" applyFill="1" applyBorder="1"/>
    <xf numFmtId="0" fontId="9" fillId="13" borderId="39" xfId="0" applyFont="1" applyFill="1" applyBorder="1"/>
    <xf numFmtId="0" fontId="8" fillId="13" borderId="0" xfId="0" applyFont="1" applyFill="1" applyBorder="1"/>
    <xf numFmtId="0" fontId="8" fillId="13" borderId="57" xfId="0" applyFont="1" applyFill="1" applyBorder="1"/>
    <xf numFmtId="0" fontId="60" fillId="12" borderId="6" xfId="0" applyFont="1" applyFill="1" applyBorder="1" applyAlignment="1">
      <alignment wrapText="1"/>
    </xf>
    <xf numFmtId="0" fontId="0" fillId="12" borderId="7" xfId="0" applyFill="1" applyBorder="1" applyAlignment="1">
      <alignment wrapText="1"/>
    </xf>
    <xf numFmtId="0" fontId="0" fillId="12" borderId="29" xfId="0" applyFill="1" applyBorder="1" applyAlignment="1">
      <alignment wrapText="1"/>
    </xf>
    <xf numFmtId="0" fontId="6" fillId="12" borderId="3" xfId="0" applyFont="1" applyFill="1" applyBorder="1" applyAlignment="1">
      <alignment vertical="center" wrapText="1"/>
    </xf>
    <xf numFmtId="0" fontId="3" fillId="12" borderId="4" xfId="0" applyFont="1" applyFill="1" applyBorder="1" applyAlignment="1">
      <alignment vertical="center" wrapText="1"/>
    </xf>
    <xf numFmtId="0" fontId="3" fillId="12" borderId="41" xfId="0" applyFont="1" applyFill="1" applyBorder="1" applyAlignment="1">
      <alignment vertical="center" wrapText="1"/>
    </xf>
    <xf numFmtId="0" fontId="6" fillId="4" borderId="9" xfId="0" applyFont="1" applyFill="1" applyBorder="1" applyAlignment="1">
      <alignment horizontal="left" vertical="center" wrapText="1"/>
    </xf>
    <xf numFmtId="0" fontId="3" fillId="2" borderId="25" xfId="0" applyFont="1" applyFill="1" applyBorder="1" applyAlignment="1">
      <alignment horizontal="left" vertical="center" wrapText="1"/>
    </xf>
    <xf numFmtId="0" fontId="6" fillId="4" borderId="25" xfId="0" applyFont="1" applyFill="1" applyBorder="1" applyAlignment="1">
      <alignment horizontal="center" vertical="center" wrapText="1"/>
    </xf>
    <xf numFmtId="0" fontId="3" fillId="0" borderId="26" xfId="0" applyFont="1" applyFill="1" applyBorder="1" applyAlignment="1">
      <alignment horizontal="left" vertical="center" wrapText="1"/>
    </xf>
    <xf numFmtId="0" fontId="3" fillId="2" borderId="25" xfId="0" applyFont="1" applyFill="1" applyBorder="1" applyAlignment="1">
      <alignment vertical="center" wrapText="1"/>
    </xf>
    <xf numFmtId="0" fontId="3" fillId="0" borderId="25" xfId="0" applyFont="1" applyFill="1" applyBorder="1" applyAlignment="1">
      <alignment vertical="center" wrapText="1"/>
    </xf>
    <xf numFmtId="0" fontId="3" fillId="2" borderId="25" xfId="0" applyFont="1" applyFill="1" applyBorder="1" applyAlignment="1">
      <alignment vertical="center"/>
    </xf>
    <xf numFmtId="0" fontId="3" fillId="3" borderId="142" xfId="0" applyFont="1" applyFill="1" applyBorder="1"/>
    <xf numFmtId="0" fontId="52" fillId="3" borderId="110" xfId="0" applyFont="1" applyFill="1" applyBorder="1" applyAlignment="1">
      <alignment horizontal="center" vertical="center" wrapText="1"/>
    </xf>
    <xf numFmtId="0" fontId="3" fillId="3" borderId="115" xfId="0" applyFont="1" applyFill="1" applyBorder="1" applyAlignment="1">
      <alignment horizontal="left" vertical="center" wrapText="1"/>
    </xf>
    <xf numFmtId="0" fontId="3" fillId="3" borderId="4" xfId="0" applyFont="1" applyFill="1" applyBorder="1"/>
    <xf numFmtId="0" fontId="3" fillId="3" borderId="4" xfId="0" applyFont="1" applyFill="1" applyBorder="1" applyAlignment="1">
      <alignment vertical="center"/>
    </xf>
    <xf numFmtId="0" fontId="3" fillId="3" borderId="41" xfId="0" applyFont="1" applyFill="1" applyBorder="1" applyAlignment="1">
      <alignment horizontal="left" vertical="center" wrapText="1"/>
    </xf>
    <xf numFmtId="0" fontId="52" fillId="3" borderId="167" xfId="0" applyFont="1" applyFill="1" applyBorder="1" applyAlignment="1">
      <alignment horizontal="center" vertical="center" wrapText="1"/>
    </xf>
    <xf numFmtId="0" fontId="3" fillId="3" borderId="94" xfId="0" applyFont="1" applyFill="1" applyBorder="1" applyAlignment="1">
      <alignment horizontal="left" vertical="center" wrapText="1"/>
    </xf>
    <xf numFmtId="0" fontId="3" fillId="2" borderId="26" xfId="0" applyFont="1" applyFill="1" applyBorder="1" applyAlignment="1">
      <alignment vertical="center" wrapText="1"/>
    </xf>
    <xf numFmtId="0" fontId="3" fillId="4" borderId="25" xfId="0" applyFont="1" applyFill="1" applyBorder="1" applyAlignment="1">
      <alignment horizontal="center" vertical="center" wrapText="1"/>
    </xf>
    <xf numFmtId="0" fontId="8" fillId="2" borderId="38" xfId="0" applyFont="1" applyFill="1" applyBorder="1" applyAlignment="1" applyProtection="1">
      <alignment horizontal="center" vertical="center"/>
      <protection locked="0"/>
    </xf>
    <xf numFmtId="0" fontId="8" fillId="2" borderId="89" xfId="0" applyFont="1" applyFill="1" applyBorder="1" applyAlignment="1" applyProtection="1">
      <alignment horizontal="center" vertical="center"/>
      <protection locked="0"/>
    </xf>
    <xf numFmtId="0" fontId="8" fillId="2" borderId="90" xfId="0" applyFont="1" applyFill="1" applyBorder="1" applyAlignment="1" applyProtection="1">
      <alignment horizontal="center" vertical="center"/>
      <protection locked="0"/>
    </xf>
    <xf numFmtId="0" fontId="8" fillId="2" borderId="115" xfId="0" applyFont="1" applyFill="1" applyBorder="1" applyAlignment="1" applyProtection="1">
      <alignment horizontal="center" vertical="center"/>
      <protection locked="0"/>
    </xf>
    <xf numFmtId="0" fontId="31" fillId="3" borderId="8" xfId="0" applyFont="1" applyFill="1" applyBorder="1" applyAlignment="1" applyProtection="1">
      <alignment horizontal="center" vertical="center"/>
      <protection locked="0"/>
    </xf>
    <xf numFmtId="0" fontId="8" fillId="0" borderId="108" xfId="0" applyFont="1" applyBorder="1" applyAlignment="1" applyProtection="1">
      <alignment horizontal="center"/>
      <protection locked="0"/>
    </xf>
    <xf numFmtId="0" fontId="8" fillId="0" borderId="43" xfId="0" applyFont="1" applyBorder="1" applyAlignment="1" applyProtection="1">
      <alignment horizontal="center"/>
      <protection locked="0"/>
    </xf>
    <xf numFmtId="0" fontId="8" fillId="0" borderId="42" xfId="0" applyFont="1" applyBorder="1" applyAlignment="1" applyProtection="1">
      <alignment horizontal="center"/>
      <protection locked="0"/>
    </xf>
    <xf numFmtId="0" fontId="8" fillId="0" borderId="109" xfId="0" applyFont="1" applyBorder="1" applyAlignment="1" applyProtection="1">
      <alignment horizontal="center"/>
      <protection locked="0"/>
    </xf>
    <xf numFmtId="0" fontId="8" fillId="2" borderId="38" xfId="0" applyFont="1" applyFill="1" applyBorder="1" applyAlignment="1" applyProtection="1">
      <alignment horizontal="center"/>
      <protection locked="0"/>
    </xf>
    <xf numFmtId="0" fontId="8" fillId="2" borderId="21" xfId="0" applyFont="1" applyFill="1" applyBorder="1" applyAlignment="1" applyProtection="1">
      <alignment horizontal="center"/>
      <protection locked="0"/>
    </xf>
    <xf numFmtId="0" fontId="8" fillId="2" borderId="25" xfId="0" applyFont="1" applyFill="1" applyBorder="1" applyAlignment="1" applyProtection="1">
      <alignment horizontal="center"/>
      <protection locked="0"/>
    </xf>
    <xf numFmtId="0" fontId="8" fillId="2" borderId="108" xfId="0" applyFont="1" applyFill="1" applyBorder="1" applyAlignment="1" applyProtection="1">
      <alignment horizontal="center"/>
      <protection locked="0"/>
    </xf>
    <xf numFmtId="0" fontId="8" fillId="2" borderId="43" xfId="0" applyFont="1" applyFill="1" applyBorder="1" applyAlignment="1" applyProtection="1">
      <alignment horizontal="center"/>
      <protection locked="0"/>
    </xf>
    <xf numFmtId="0" fontId="8" fillId="2" borderId="42" xfId="0" applyFont="1" applyFill="1" applyBorder="1" applyAlignment="1" applyProtection="1">
      <alignment horizontal="center"/>
      <protection locked="0"/>
    </xf>
    <xf numFmtId="0" fontId="8" fillId="2" borderId="109" xfId="0" applyFont="1" applyFill="1" applyBorder="1" applyAlignment="1" applyProtection="1">
      <alignment horizontal="center"/>
      <protection locked="0"/>
    </xf>
    <xf numFmtId="0" fontId="8" fillId="4" borderId="22" xfId="0" applyFont="1" applyFill="1" applyBorder="1" applyAlignment="1">
      <alignment horizontal="center" vertical="center" wrapText="1"/>
    </xf>
    <xf numFmtId="0" fontId="8" fillId="4" borderId="36" xfId="0" applyFont="1" applyFill="1" applyBorder="1" applyAlignment="1">
      <alignment horizontal="center" vertical="center" wrapText="1"/>
    </xf>
    <xf numFmtId="0" fontId="8" fillId="4" borderId="64"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0" borderId="31" xfId="0" applyFont="1" applyBorder="1" applyAlignment="1" applyProtection="1">
      <alignment horizontal="center"/>
      <protection locked="0"/>
    </xf>
    <xf numFmtId="0" fontId="8" fillId="0" borderId="26" xfId="0" applyFont="1" applyBorder="1" applyAlignment="1" applyProtection="1">
      <alignment horizontal="center"/>
      <protection locked="0"/>
    </xf>
    <xf numFmtId="0" fontId="8" fillId="0" borderId="80" xfId="0" applyFont="1" applyBorder="1" applyAlignment="1" applyProtection="1">
      <alignment horizontal="center"/>
      <protection locked="0"/>
    </xf>
    <xf numFmtId="0" fontId="8" fillId="2" borderId="26" xfId="0" applyFont="1" applyFill="1" applyBorder="1" applyAlignment="1" applyProtection="1">
      <alignment horizontal="center"/>
      <protection locked="0"/>
    </xf>
    <xf numFmtId="0" fontId="8" fillId="2" borderId="80" xfId="0" applyFont="1" applyFill="1" applyBorder="1" applyAlignment="1" applyProtection="1">
      <alignment horizontal="center"/>
      <protection locked="0"/>
    </xf>
    <xf numFmtId="0" fontId="8" fillId="0" borderId="27" xfId="0" applyFont="1" applyBorder="1" applyAlignment="1" applyProtection="1">
      <alignment horizontal="center"/>
      <protection locked="0"/>
    </xf>
    <xf numFmtId="0" fontId="8" fillId="0" borderId="30" xfId="0" applyFont="1" applyBorder="1" applyAlignment="1" applyProtection="1">
      <alignment horizontal="center"/>
      <protection locked="0"/>
    </xf>
    <xf numFmtId="0" fontId="4" fillId="3" borderId="67" xfId="0" applyFont="1" applyFill="1" applyBorder="1" applyAlignment="1"/>
    <xf numFmtId="0" fontId="1" fillId="3" borderId="67" xfId="2" applyFont="1" applyFill="1" applyBorder="1" applyProtection="1"/>
    <xf numFmtId="0" fontId="18" fillId="3" borderId="70" xfId="2" applyFont="1" applyFill="1" applyBorder="1" applyAlignment="1" applyProtection="1">
      <alignment vertical="center"/>
    </xf>
    <xf numFmtId="0" fontId="1" fillId="8" borderId="67" xfId="2" applyFont="1" applyFill="1" applyBorder="1" applyProtection="1"/>
    <xf numFmtId="0" fontId="18" fillId="8" borderId="70" xfId="2" applyFont="1" applyFill="1" applyBorder="1" applyAlignment="1" applyProtection="1">
      <alignment vertical="center"/>
    </xf>
    <xf numFmtId="3" fontId="17" fillId="0" borderId="21" xfId="2" applyNumberFormat="1" applyFont="1" applyFill="1" applyBorder="1" applyAlignment="1" applyProtection="1">
      <alignment horizontal="center" vertical="center"/>
      <protection locked="0"/>
    </xf>
    <xf numFmtId="3" fontId="17" fillId="0" borderId="25" xfId="2" applyNumberFormat="1" applyFont="1" applyFill="1" applyBorder="1" applyAlignment="1" applyProtection="1">
      <alignment horizontal="center" vertical="center"/>
      <protection locked="0"/>
    </xf>
    <xf numFmtId="3" fontId="17" fillId="0" borderId="108" xfId="2" applyNumberFormat="1" applyFont="1" applyFill="1" applyBorder="1" applyAlignment="1" applyProtection="1">
      <alignment horizontal="center" vertical="center"/>
      <protection locked="0"/>
    </xf>
    <xf numFmtId="3" fontId="18" fillId="4" borderId="29" xfId="2" applyNumberFormat="1" applyFont="1" applyFill="1" applyBorder="1" applyAlignment="1" applyProtection="1">
      <alignment horizontal="center" vertical="center"/>
    </xf>
    <xf numFmtId="3" fontId="18" fillId="4" borderId="43" xfId="2" applyNumberFormat="1" applyFont="1" applyFill="1" applyBorder="1" applyAlignment="1" applyProtection="1">
      <alignment horizontal="center" vertical="center"/>
    </xf>
    <xf numFmtId="0" fontId="17" fillId="4" borderId="132" xfId="2" applyFont="1" applyFill="1" applyBorder="1" applyAlignment="1" applyProtection="1">
      <alignment horizontal="left" vertical="center"/>
    </xf>
    <xf numFmtId="0" fontId="8" fillId="0" borderId="52" xfId="0" applyFont="1" applyBorder="1" applyAlignment="1" applyProtection="1">
      <alignment horizontal="center" vertical="center"/>
      <protection locked="0"/>
    </xf>
    <xf numFmtId="3" fontId="17" fillId="0" borderId="168" xfId="2" applyNumberFormat="1" applyFont="1" applyFill="1" applyBorder="1" applyAlignment="1" applyProtection="1">
      <alignment horizontal="center" vertical="center"/>
      <protection locked="0"/>
    </xf>
    <xf numFmtId="3" fontId="17" fillId="0" borderId="105" xfId="2" applyNumberFormat="1" applyFont="1" applyFill="1" applyBorder="1" applyAlignment="1" applyProtection="1">
      <alignment horizontal="center" vertical="center"/>
      <protection locked="0"/>
    </xf>
    <xf numFmtId="3" fontId="17" fillId="0" borderId="155" xfId="2" applyNumberFormat="1" applyFont="1" applyFill="1" applyBorder="1" applyAlignment="1" applyProtection="1">
      <alignment horizontal="center" vertical="center"/>
      <protection locked="0"/>
    </xf>
    <xf numFmtId="0" fontId="2" fillId="2" borderId="0" xfId="3" applyFont="1" applyFill="1" applyBorder="1" applyAlignment="1"/>
    <xf numFmtId="0" fontId="57" fillId="13" borderId="33" xfId="0" applyFont="1" applyFill="1" applyBorder="1" applyAlignment="1">
      <alignment horizontal="center" vertical="center" wrapText="1"/>
    </xf>
    <xf numFmtId="0" fontId="58" fillId="13" borderId="9" xfId="0" applyFont="1" applyFill="1" applyBorder="1" applyAlignment="1">
      <alignment vertical="center" wrapText="1"/>
    </xf>
    <xf numFmtId="0" fontId="58" fillId="13" borderId="169" xfId="0" applyFont="1" applyFill="1" applyBorder="1" applyAlignment="1">
      <alignment vertical="center" wrapText="1"/>
    </xf>
    <xf numFmtId="0" fontId="57" fillId="13" borderId="54" xfId="0" applyFont="1" applyFill="1" applyBorder="1" applyAlignment="1">
      <alignment horizontal="center" vertical="center" wrapText="1"/>
    </xf>
    <xf numFmtId="0" fontId="57" fillId="13" borderId="31" xfId="0" applyFont="1" applyFill="1" applyBorder="1" applyAlignment="1">
      <alignment horizontal="center" vertical="center" wrapText="1"/>
    </xf>
    <xf numFmtId="0" fontId="31" fillId="4" borderId="54" xfId="0" applyFont="1" applyFill="1" applyBorder="1" applyAlignment="1">
      <alignment horizontal="center" wrapText="1"/>
    </xf>
    <xf numFmtId="0" fontId="31" fillId="4" borderId="107" xfId="0" applyFont="1" applyFill="1" applyBorder="1" applyAlignment="1">
      <alignment horizontal="center" wrapText="1"/>
    </xf>
    <xf numFmtId="0" fontId="31" fillId="4" borderId="52" xfId="0" applyFont="1" applyFill="1" applyBorder="1" applyAlignment="1">
      <alignment horizontal="center" wrapText="1"/>
    </xf>
    <xf numFmtId="0" fontId="31" fillId="4" borderId="17" xfId="0" applyFont="1" applyFill="1" applyBorder="1" applyAlignment="1">
      <alignment horizontal="center" wrapText="1"/>
    </xf>
    <xf numFmtId="0" fontId="31" fillId="4" borderId="13" xfId="0" applyFont="1" applyFill="1" applyBorder="1" applyAlignment="1">
      <alignment horizontal="center" wrapText="1"/>
    </xf>
    <xf numFmtId="0" fontId="31" fillId="13" borderId="54" xfId="0" applyFont="1" applyFill="1" applyBorder="1" applyAlignment="1">
      <alignment horizontal="center" wrapText="1"/>
    </xf>
    <xf numFmtId="0" fontId="31" fillId="13" borderId="107" xfId="0" applyFont="1" applyFill="1" applyBorder="1" applyAlignment="1">
      <alignment horizontal="center" wrapText="1"/>
    </xf>
    <xf numFmtId="0" fontId="31" fillId="13" borderId="52" xfId="0" applyFont="1" applyFill="1" applyBorder="1" applyAlignment="1">
      <alignment horizontal="center" wrapText="1"/>
    </xf>
    <xf numFmtId="0" fontId="31" fillId="13" borderId="19" xfId="0" applyFont="1" applyFill="1" applyBorder="1" applyAlignment="1">
      <alignment horizontal="center" wrapText="1"/>
    </xf>
    <xf numFmtId="0" fontId="35" fillId="4" borderId="94" xfId="0" applyFont="1" applyFill="1" applyBorder="1"/>
    <xf numFmtId="0" fontId="34" fillId="4" borderId="15" xfId="0" applyFont="1" applyFill="1" applyBorder="1" applyAlignment="1">
      <alignment horizontal="center"/>
    </xf>
    <xf numFmtId="0" fontId="35" fillId="0" borderId="31" xfId="0" applyFont="1" applyFill="1" applyBorder="1" applyAlignment="1">
      <alignment horizontal="center"/>
    </xf>
    <xf numFmtId="0" fontId="35" fillId="0" borderId="80" xfId="0" applyFont="1" applyFill="1" applyBorder="1" applyAlignment="1">
      <alignment horizontal="center"/>
    </xf>
    <xf numFmtId="0" fontId="44" fillId="3" borderId="15" xfId="0" applyFont="1" applyFill="1" applyBorder="1"/>
    <xf numFmtId="0" fontId="35" fillId="0" borderId="105" xfId="0" applyFont="1" applyFill="1" applyBorder="1" applyAlignment="1">
      <alignment horizontal="center"/>
    </xf>
    <xf numFmtId="0" fontId="35" fillId="0" borderId="155" xfId="0" applyFont="1" applyFill="1" applyBorder="1" applyAlignment="1">
      <alignment horizontal="center"/>
    </xf>
    <xf numFmtId="0" fontId="35" fillId="0" borderId="168" xfId="0" applyFont="1" applyFill="1" applyBorder="1" applyAlignment="1">
      <alignment horizontal="center"/>
    </xf>
    <xf numFmtId="0" fontId="34" fillId="4" borderId="170" xfId="0" applyFont="1" applyFill="1" applyBorder="1" applyAlignment="1">
      <alignment horizontal="center"/>
    </xf>
    <xf numFmtId="0" fontId="34" fillId="4" borderId="30" xfId="0" applyFont="1" applyFill="1" applyBorder="1" applyAlignment="1">
      <alignment horizontal="center"/>
    </xf>
    <xf numFmtId="0" fontId="35" fillId="0" borderId="43" xfId="0" applyFont="1" applyFill="1" applyBorder="1" applyAlignment="1">
      <alignment horizontal="center"/>
    </xf>
    <xf numFmtId="0" fontId="35" fillId="4" borderId="109" xfId="0" applyFont="1" applyFill="1" applyBorder="1" applyAlignment="1">
      <alignment horizontal="center"/>
    </xf>
    <xf numFmtId="0" fontId="34" fillId="4" borderId="125" xfId="0" applyFont="1" applyFill="1" applyBorder="1"/>
    <xf numFmtId="0" fontId="37" fillId="4" borderId="10" xfId="0" applyFont="1" applyFill="1" applyBorder="1" applyAlignment="1">
      <alignment horizontal="center"/>
    </xf>
    <xf numFmtId="0" fontId="35" fillId="0" borderId="171" xfId="0" applyFont="1" applyFill="1" applyBorder="1" applyAlignment="1">
      <alignment horizontal="center"/>
    </xf>
    <xf numFmtId="0" fontId="36" fillId="4" borderId="171" xfId="0" applyFont="1" applyFill="1" applyBorder="1" applyAlignment="1">
      <alignment horizontal="center"/>
    </xf>
    <xf numFmtId="0" fontId="36" fillId="4" borderId="143" xfId="0" applyFont="1" applyFill="1" applyBorder="1" applyAlignment="1">
      <alignment horizontal="center"/>
    </xf>
    <xf numFmtId="0" fontId="31" fillId="4" borderId="172" xfId="0" applyFont="1" applyFill="1" applyBorder="1"/>
    <xf numFmtId="0" fontId="36" fillId="4" borderId="42" xfId="0" applyFont="1" applyFill="1" applyBorder="1" applyAlignment="1">
      <alignment horizontal="center"/>
    </xf>
    <xf numFmtId="0" fontId="36" fillId="4" borderId="43" xfId="0" applyFont="1" applyFill="1" applyBorder="1" applyAlignment="1">
      <alignment horizontal="center"/>
    </xf>
    <xf numFmtId="0" fontId="36" fillId="4" borderId="173" xfId="0" applyFont="1" applyFill="1" applyBorder="1" applyAlignment="1">
      <alignment horizontal="center"/>
    </xf>
    <xf numFmtId="0" fontId="36" fillId="4" borderId="144" xfId="0" applyFont="1" applyFill="1" applyBorder="1" applyAlignment="1">
      <alignment horizontal="center"/>
    </xf>
    <xf numFmtId="0" fontId="31" fillId="4" borderId="174" xfId="0" applyFont="1" applyFill="1" applyBorder="1"/>
    <xf numFmtId="0" fontId="31" fillId="4" borderId="116" xfId="0" applyFont="1" applyFill="1" applyBorder="1"/>
    <xf numFmtId="0" fontId="35" fillId="0" borderId="130" xfId="0" applyFont="1" applyFill="1" applyBorder="1" applyAlignment="1">
      <alignment horizontal="center"/>
    </xf>
    <xf numFmtId="0" fontId="35" fillId="4" borderId="131" xfId="0" applyFont="1" applyFill="1" applyBorder="1" applyAlignment="1">
      <alignment horizontal="center"/>
    </xf>
    <xf numFmtId="0" fontId="35" fillId="4" borderId="172" xfId="0" applyFont="1" applyFill="1" applyBorder="1"/>
    <xf numFmtId="0" fontId="35" fillId="4" borderId="175" xfId="0" applyFont="1" applyFill="1" applyBorder="1"/>
    <xf numFmtId="0" fontId="35" fillId="4" borderId="92" xfId="0" applyFont="1" applyFill="1" applyBorder="1"/>
    <xf numFmtId="0" fontId="33" fillId="3" borderId="55" xfId="0" applyFont="1" applyFill="1" applyBorder="1"/>
    <xf numFmtId="0" fontId="35" fillId="4" borderId="56" xfId="0" applyFont="1" applyFill="1" applyBorder="1"/>
    <xf numFmtId="0" fontId="35" fillId="4" borderId="111" xfId="0" applyFont="1" applyFill="1" applyBorder="1"/>
    <xf numFmtId="0" fontId="35" fillId="4" borderId="135" xfId="0" applyFont="1" applyFill="1" applyBorder="1" applyAlignment="1">
      <alignment horizontal="right"/>
    </xf>
    <xf numFmtId="0" fontId="10" fillId="4" borderId="8" xfId="0" applyFont="1" applyFill="1" applyBorder="1" applyAlignment="1" applyProtection="1">
      <alignment horizontal="center" vertical="center"/>
      <protection locked="0"/>
    </xf>
    <xf numFmtId="1" fontId="34" fillId="0" borderId="8" xfId="0" applyNumberFormat="1" applyFont="1" applyFill="1" applyBorder="1" applyAlignment="1"/>
    <xf numFmtId="1" fontId="34" fillId="0" borderId="42" xfId="0" applyNumberFormat="1" applyFont="1" applyFill="1" applyBorder="1" applyAlignment="1">
      <alignment vertical="center"/>
    </xf>
    <xf numFmtId="1" fontId="34" fillId="0" borderId="109" xfId="0" applyNumberFormat="1" applyFont="1" applyFill="1" applyBorder="1" applyAlignment="1">
      <alignment vertical="center"/>
    </xf>
    <xf numFmtId="1" fontId="34" fillId="0" borderId="61" xfId="0" applyNumberFormat="1" applyFont="1" applyFill="1" applyBorder="1" applyAlignment="1">
      <alignment vertical="center"/>
    </xf>
    <xf numFmtId="1" fontId="10" fillId="2" borderId="42" xfId="0" applyNumberFormat="1" applyFont="1" applyFill="1" applyBorder="1" applyAlignment="1" applyProtection="1">
      <alignment vertical="center"/>
      <protection locked="0"/>
    </xf>
    <xf numFmtId="1" fontId="10" fillId="2" borderId="109" xfId="0" applyNumberFormat="1" applyFont="1" applyFill="1" applyBorder="1" applyAlignment="1" applyProtection="1">
      <alignment vertical="center"/>
      <protection locked="0"/>
    </xf>
    <xf numFmtId="1" fontId="34" fillId="0" borderId="43" xfId="0" applyNumberFormat="1" applyFont="1" applyFill="1" applyBorder="1" applyAlignment="1">
      <alignment vertical="center"/>
    </xf>
    <xf numFmtId="0" fontId="34" fillId="4" borderId="176" xfId="0" applyFont="1" applyFill="1" applyBorder="1" applyAlignment="1">
      <alignment horizontal="center"/>
    </xf>
    <xf numFmtId="0" fontId="34" fillId="4" borderId="11" xfId="0" applyFont="1" applyFill="1" applyBorder="1" applyAlignment="1">
      <alignment horizontal="center"/>
    </xf>
    <xf numFmtId="0" fontId="30" fillId="3" borderId="10" xfId="0" applyFont="1" applyFill="1" applyBorder="1"/>
    <xf numFmtId="0" fontId="30" fillId="3" borderId="15" xfId="0" applyFont="1" applyFill="1" applyBorder="1"/>
    <xf numFmtId="0" fontId="33" fillId="3" borderId="69" xfId="0" applyFont="1" applyFill="1" applyBorder="1"/>
    <xf numFmtId="0" fontId="33" fillId="3" borderId="70" xfId="0" applyFont="1" applyFill="1" applyBorder="1"/>
    <xf numFmtId="0" fontId="31" fillId="8" borderId="12" xfId="0" applyFont="1" applyFill="1" applyBorder="1" applyAlignment="1">
      <alignment horizontal="right"/>
    </xf>
    <xf numFmtId="0" fontId="30" fillId="0" borderId="171" xfId="0" applyFont="1" applyBorder="1"/>
    <xf numFmtId="0" fontId="35" fillId="8" borderId="12" xfId="0" applyFont="1" applyFill="1" applyBorder="1" applyAlignment="1">
      <alignment horizontal="right"/>
    </xf>
    <xf numFmtId="0" fontId="30" fillId="0" borderId="38" xfId="0" applyFont="1" applyBorder="1"/>
    <xf numFmtId="0" fontId="31" fillId="8" borderId="150" xfId="0" applyFont="1" applyFill="1" applyBorder="1" applyAlignment="1">
      <alignment horizontal="right"/>
    </xf>
    <xf numFmtId="0" fontId="31" fillId="2" borderId="163" xfId="0" applyFont="1" applyFill="1" applyBorder="1"/>
    <xf numFmtId="0" fontId="46" fillId="3" borderId="2" xfId="0" applyFont="1" applyFill="1" applyBorder="1" applyAlignment="1">
      <alignment horizontal="right"/>
    </xf>
    <xf numFmtId="10" fontId="45" fillId="3" borderId="10" xfId="0" applyNumberFormat="1" applyFont="1" applyFill="1" applyBorder="1"/>
    <xf numFmtId="0" fontId="43" fillId="8" borderId="7" xfId="0" applyFont="1" applyFill="1" applyBorder="1" applyAlignment="1">
      <alignment horizontal="center"/>
    </xf>
    <xf numFmtId="0" fontId="43" fillId="8" borderId="8" xfId="0" applyFont="1" applyFill="1" applyBorder="1" applyAlignment="1">
      <alignment horizontal="center"/>
    </xf>
    <xf numFmtId="0" fontId="30" fillId="0" borderId="8" xfId="0" applyFont="1" applyBorder="1" applyAlignment="1"/>
    <xf numFmtId="0" fontId="30" fillId="0" borderId="7" xfId="0" applyFont="1" applyBorder="1" applyAlignment="1"/>
    <xf numFmtId="0" fontId="30" fillId="0" borderId="172" xfId="0" applyFont="1" applyBorder="1" applyAlignment="1"/>
    <xf numFmtId="0" fontId="30" fillId="8" borderId="8" xfId="0" applyFont="1" applyFill="1" applyBorder="1"/>
    <xf numFmtId="0" fontId="31" fillId="8" borderId="169" xfId="0" applyFont="1" applyFill="1" applyBorder="1" applyAlignment="1">
      <alignment horizontal="right"/>
    </xf>
    <xf numFmtId="10" fontId="45" fillId="8" borderId="177" xfId="0" applyNumberFormat="1" applyFont="1" applyFill="1" applyBorder="1" applyAlignment="1"/>
    <xf numFmtId="10" fontId="45" fillId="8" borderId="178" xfId="0" applyNumberFormat="1" applyFont="1" applyFill="1" applyBorder="1" applyAlignment="1"/>
    <xf numFmtId="10" fontId="45" fillId="8" borderId="179" xfId="0" applyNumberFormat="1" applyFont="1" applyFill="1" applyBorder="1" applyAlignment="1"/>
    <xf numFmtId="10" fontId="45" fillId="8" borderId="180" xfId="0" applyNumberFormat="1" applyFont="1" applyFill="1" applyBorder="1" applyAlignment="1"/>
    <xf numFmtId="10" fontId="45" fillId="8" borderId="124" xfId="0" applyNumberFormat="1" applyFont="1" applyFill="1" applyBorder="1" applyAlignment="1"/>
    <xf numFmtId="0" fontId="35" fillId="4" borderId="12" xfId="0" applyFont="1" applyFill="1" applyBorder="1" applyAlignment="1">
      <alignment horizontal="right" wrapText="1"/>
    </xf>
    <xf numFmtId="0" fontId="45" fillId="0" borderId="38" xfId="0" applyFont="1" applyBorder="1" applyAlignment="1">
      <alignment horizontal="center"/>
    </xf>
    <xf numFmtId="0" fontId="9" fillId="4" borderId="70" xfId="0" applyFont="1" applyFill="1" applyBorder="1" applyAlignment="1">
      <alignment horizontal="center"/>
    </xf>
    <xf numFmtId="1" fontId="8" fillId="0" borderId="80" xfId="0" applyNumberFormat="1" applyFont="1" applyBorder="1" applyAlignment="1" applyProtection="1">
      <alignment horizontal="right"/>
      <protection locked="0"/>
    </xf>
    <xf numFmtId="1" fontId="8" fillId="0" borderId="80" xfId="0" applyNumberFormat="1" applyFont="1" applyFill="1" applyBorder="1" applyAlignment="1" applyProtection="1">
      <alignment horizontal="right"/>
      <protection locked="0"/>
    </xf>
    <xf numFmtId="1" fontId="8" fillId="0" borderId="26" xfId="0" applyNumberFormat="1" applyFont="1" applyBorder="1" applyAlignment="1" applyProtection="1">
      <alignment horizontal="right"/>
      <protection locked="0"/>
    </xf>
    <xf numFmtId="0" fontId="9" fillId="13" borderId="6" xfId="0" applyFont="1" applyFill="1" applyBorder="1"/>
    <xf numFmtId="0" fontId="8" fillId="13" borderId="4" xfId="0" applyFont="1" applyFill="1" applyBorder="1"/>
    <xf numFmtId="164" fontId="8" fillId="13" borderId="41" xfId="0" applyNumberFormat="1" applyFont="1" applyFill="1" applyBorder="1" applyProtection="1">
      <protection locked="0"/>
    </xf>
    <xf numFmtId="0" fontId="30" fillId="12" borderId="47" xfId="0" applyFont="1" applyFill="1" applyBorder="1"/>
    <xf numFmtId="0" fontId="8" fillId="13" borderId="3" xfId="0" applyFont="1" applyFill="1" applyBorder="1" applyAlignment="1">
      <alignment horizontal="left" indent="4"/>
    </xf>
    <xf numFmtId="164" fontId="8" fillId="0" borderId="41" xfId="0" applyNumberFormat="1" applyFont="1" applyBorder="1" applyProtection="1">
      <protection locked="0"/>
    </xf>
    <xf numFmtId="0" fontId="9" fillId="13" borderId="70" xfId="0" applyFont="1" applyFill="1" applyBorder="1" applyAlignment="1">
      <alignment horizontal="center"/>
    </xf>
    <xf numFmtId="0" fontId="8" fillId="13" borderId="6" xfId="0" applyFont="1" applyFill="1" applyBorder="1"/>
    <xf numFmtId="0" fontId="8" fillId="13" borderId="7" xfId="0" applyFont="1" applyFill="1" applyBorder="1"/>
    <xf numFmtId="0" fontId="8" fillId="13" borderId="8" xfId="0" applyFont="1" applyFill="1" applyBorder="1"/>
    <xf numFmtId="164" fontId="8" fillId="0" borderId="29" xfId="0" applyNumberFormat="1" applyFont="1" applyBorder="1" applyProtection="1">
      <protection locked="0"/>
    </xf>
    <xf numFmtId="164" fontId="9" fillId="13" borderId="160" xfId="0" applyNumberFormat="1" applyFont="1" applyFill="1" applyBorder="1"/>
    <xf numFmtId="0" fontId="8" fillId="13" borderId="181" xfId="0" applyFont="1" applyFill="1" applyBorder="1" applyAlignment="1">
      <alignment horizontal="left" indent="4"/>
    </xf>
    <xf numFmtId="0" fontId="8" fillId="13" borderId="116" xfId="0" applyFont="1" applyFill="1" applyBorder="1"/>
    <xf numFmtId="164" fontId="8" fillId="0" borderId="118" xfId="0" applyNumberFormat="1" applyFont="1" applyBorder="1" applyProtection="1">
      <protection locked="0"/>
    </xf>
    <xf numFmtId="0" fontId="3" fillId="3" borderId="52" xfId="0" applyFont="1" applyFill="1" applyBorder="1" applyAlignment="1">
      <alignment vertical="center" wrapText="1"/>
    </xf>
    <xf numFmtId="0" fontId="31" fillId="0" borderId="33" xfId="0" applyFont="1" applyBorder="1" applyAlignment="1">
      <alignment horizontal="center" vertical="top"/>
    </xf>
    <xf numFmtId="0" fontId="31" fillId="0" borderId="54" xfId="0" applyFont="1" applyBorder="1" applyAlignment="1">
      <alignment vertical="top" wrapText="1"/>
    </xf>
    <xf numFmtId="0" fontId="8" fillId="0" borderId="31" xfId="0" applyFont="1" applyBorder="1" applyAlignment="1" applyProtection="1">
      <alignment vertical="top" wrapText="1"/>
      <protection locked="0"/>
    </xf>
    <xf numFmtId="0" fontId="31" fillId="0" borderId="9" xfId="0" applyFont="1" applyBorder="1" applyAlignment="1">
      <alignment horizontal="center" vertical="top"/>
    </xf>
    <xf numFmtId="0" fontId="31" fillId="0" borderId="25" xfId="0" applyFont="1" applyBorder="1" applyAlignment="1">
      <alignment vertical="top"/>
    </xf>
    <xf numFmtId="0" fontId="8" fillId="0" borderId="26" xfId="0" applyFont="1" applyBorder="1" applyAlignment="1" applyProtection="1">
      <alignment vertical="top" wrapText="1"/>
      <protection locked="0"/>
    </xf>
    <xf numFmtId="0" fontId="64" fillId="0" borderId="9" xfId="0" applyFont="1" applyBorder="1" applyAlignment="1">
      <alignment horizontal="center" vertical="top"/>
    </xf>
    <xf numFmtId="0" fontId="64" fillId="0" borderId="25" xfId="0" applyFont="1" applyBorder="1" applyAlignment="1">
      <alignment vertical="top"/>
    </xf>
    <xf numFmtId="0" fontId="64" fillId="0" borderId="26" xfId="0" applyFont="1" applyBorder="1" applyAlignment="1">
      <alignment vertical="top"/>
    </xf>
    <xf numFmtId="0" fontId="64" fillId="0" borderId="28" xfId="0" applyFont="1" applyBorder="1" applyAlignment="1">
      <alignment horizontal="center" vertical="top"/>
    </xf>
    <xf numFmtId="0" fontId="64" fillId="0" borderId="42" xfId="0" applyFont="1" applyBorder="1" applyAlignment="1">
      <alignment vertical="top"/>
    </xf>
    <xf numFmtId="0" fontId="64" fillId="0" borderId="80" xfId="0" applyFont="1" applyBorder="1" applyAlignment="1">
      <alignment vertical="top"/>
    </xf>
    <xf numFmtId="0" fontId="9" fillId="4" borderId="24" xfId="0" applyFont="1" applyFill="1" applyBorder="1" applyAlignment="1">
      <alignment horizontal="center"/>
    </xf>
    <xf numFmtId="0" fontId="8" fillId="4" borderId="51" xfId="0" applyFont="1" applyFill="1" applyBorder="1" applyAlignment="1">
      <alignment horizontal="center" vertical="center"/>
    </xf>
    <xf numFmtId="0" fontId="8" fillId="0" borderId="25" xfId="0" applyFont="1" applyBorder="1" applyAlignment="1" applyProtection="1">
      <alignment vertical="center" wrapText="1"/>
      <protection locked="0"/>
    </xf>
    <xf numFmtId="0" fontId="8" fillId="0" borderId="9" xfId="0" applyFont="1" applyBorder="1" applyAlignment="1" applyProtection="1">
      <alignment vertical="center" wrapText="1"/>
      <protection locked="0"/>
    </xf>
    <xf numFmtId="0" fontId="8" fillId="0" borderId="60" xfId="0" applyFont="1" applyBorder="1" applyAlignment="1" applyProtection="1">
      <alignment vertical="center" wrapText="1"/>
      <protection locked="0"/>
    </xf>
    <xf numFmtId="0" fontId="8" fillId="0" borderId="33" xfId="0" applyFont="1" applyBorder="1" applyAlignment="1" applyProtection="1">
      <alignment horizontal="left" vertical="top"/>
      <protection locked="0"/>
    </xf>
    <xf numFmtId="0" fontId="8" fillId="9" borderId="25" xfId="0" applyFont="1" applyFill="1" applyBorder="1" applyAlignment="1">
      <alignment horizontal="left" vertical="top"/>
    </xf>
    <xf numFmtId="0" fontId="8" fillId="10" borderId="25" xfId="0" applyFont="1" applyFill="1" applyBorder="1" applyAlignment="1">
      <alignment horizontal="left" vertical="top"/>
    </xf>
    <xf numFmtId="0" fontId="8" fillId="0" borderId="9" xfId="0" applyFont="1" applyBorder="1" applyAlignment="1" applyProtection="1">
      <alignment horizontal="left" vertical="top"/>
      <protection locked="0"/>
    </xf>
    <xf numFmtId="0" fontId="8" fillId="9" borderId="8" xfId="0" applyFont="1" applyFill="1" applyBorder="1" applyAlignment="1">
      <alignment horizontal="left" vertical="top"/>
    </xf>
    <xf numFmtId="0" fontId="8" fillId="10" borderId="8" xfId="0" applyFont="1" applyFill="1" applyBorder="1" applyAlignment="1">
      <alignment horizontal="left" vertical="top"/>
    </xf>
    <xf numFmtId="0" fontId="8" fillId="0" borderId="25" xfId="0" applyFont="1" applyBorder="1" applyAlignment="1" applyProtection="1">
      <alignment horizontal="left" vertical="top"/>
      <protection locked="0"/>
    </xf>
    <xf numFmtId="1" fontId="8" fillId="0" borderId="54" xfId="0" applyNumberFormat="1" applyFont="1" applyBorder="1" applyAlignment="1" applyProtection="1">
      <alignment horizontal="left" vertical="top"/>
      <protection locked="0"/>
    </xf>
    <xf numFmtId="3" fontId="8" fillId="0" borderId="54" xfId="0" applyNumberFormat="1" applyFont="1" applyBorder="1" applyAlignment="1" applyProtection="1">
      <alignment horizontal="left" vertical="top"/>
      <protection locked="0"/>
    </xf>
    <xf numFmtId="0" fontId="8" fillId="11" borderId="25" xfId="0" applyFont="1" applyFill="1" applyBorder="1" applyAlignment="1">
      <alignment horizontal="left" vertical="top"/>
    </xf>
    <xf numFmtId="1" fontId="8" fillId="0" borderId="25" xfId="0" applyNumberFormat="1" applyFont="1" applyBorder="1" applyAlignment="1" applyProtection="1">
      <alignment horizontal="left" vertical="top"/>
      <protection locked="0"/>
    </xf>
    <xf numFmtId="3" fontId="8" fillId="0" borderId="25" xfId="0" applyNumberFormat="1" applyFont="1" applyBorder="1" applyAlignment="1" applyProtection="1">
      <alignment horizontal="left" vertical="top"/>
      <protection locked="0"/>
    </xf>
    <xf numFmtId="0" fontId="8" fillId="0" borderId="8" xfId="0" applyFont="1" applyBorder="1" applyAlignment="1" applyProtection="1">
      <alignment horizontal="left" vertical="top"/>
      <protection locked="0"/>
    </xf>
    <xf numFmtId="1" fontId="8" fillId="0" borderId="8" xfId="0" applyNumberFormat="1" applyFont="1" applyBorder="1" applyAlignment="1" applyProtection="1">
      <alignment horizontal="left" vertical="top"/>
      <protection locked="0"/>
    </xf>
    <xf numFmtId="3" fontId="8" fillId="0" borderId="8" xfId="0" applyNumberFormat="1" applyFont="1" applyBorder="1" applyAlignment="1" applyProtection="1">
      <alignment horizontal="left" vertical="top"/>
      <protection locked="0"/>
    </xf>
    <xf numFmtId="0" fontId="8" fillId="11" borderId="8" xfId="0" applyFont="1" applyFill="1" applyBorder="1" applyAlignment="1">
      <alignment horizontal="left" vertical="top"/>
    </xf>
    <xf numFmtId="0" fontId="8" fillId="0" borderId="12" xfId="0" applyFont="1" applyBorder="1" applyAlignment="1" applyProtection="1">
      <alignment horizontal="left" vertical="top"/>
      <protection locked="0"/>
    </xf>
    <xf numFmtId="0" fontId="8" fillId="9" borderId="38" xfId="0" applyFont="1" applyFill="1" applyBorder="1" applyAlignment="1">
      <alignment horizontal="left" vertical="top"/>
    </xf>
    <xf numFmtId="0" fontId="8" fillId="0" borderId="38" xfId="0" applyFont="1" applyBorder="1" applyAlignment="1" applyProtection="1">
      <alignment horizontal="left" vertical="top"/>
      <protection locked="0"/>
    </xf>
    <xf numFmtId="1" fontId="8" fillId="0" borderId="38" xfId="0" applyNumberFormat="1" applyFont="1" applyBorder="1" applyAlignment="1" applyProtection="1">
      <alignment horizontal="left" vertical="top"/>
      <protection locked="0"/>
    </xf>
    <xf numFmtId="3" fontId="8" fillId="0" borderId="38" xfId="0" applyNumberFormat="1" applyFont="1" applyBorder="1" applyAlignment="1" applyProtection="1">
      <alignment horizontal="left" vertical="top"/>
      <protection locked="0"/>
    </xf>
    <xf numFmtId="0" fontId="8" fillId="10" borderId="38" xfId="0" applyFont="1" applyFill="1" applyBorder="1" applyAlignment="1">
      <alignment horizontal="left" vertical="top"/>
    </xf>
    <xf numFmtId="0" fontId="8" fillId="11" borderId="38" xfId="0" applyFont="1" applyFill="1" applyBorder="1" applyAlignment="1">
      <alignment horizontal="left" vertical="top"/>
    </xf>
    <xf numFmtId="0" fontId="10" fillId="0" borderId="26" xfId="0" applyFont="1" applyBorder="1" applyAlignment="1" applyProtection="1">
      <alignment horizontal="left" vertical="top"/>
      <protection locked="0"/>
    </xf>
    <xf numFmtId="0" fontId="10" fillId="0" borderId="29" xfId="0" applyFont="1" applyBorder="1" applyAlignment="1" applyProtection="1">
      <alignment horizontal="left" vertical="top"/>
      <protection locked="0"/>
    </xf>
    <xf numFmtId="0" fontId="10" fillId="0" borderId="27" xfId="0" applyFont="1" applyBorder="1" applyAlignment="1" applyProtection="1">
      <alignment horizontal="left" vertical="top"/>
      <protection locked="0"/>
    </xf>
    <xf numFmtId="0" fontId="17" fillId="4" borderId="135" xfId="2" applyFont="1" applyFill="1" applyBorder="1" applyAlignment="1" applyProtection="1">
      <alignment horizontal="center" vertical="center"/>
    </xf>
    <xf numFmtId="3" fontId="17" fillId="0" borderId="89" xfId="2" applyNumberFormat="1" applyFont="1" applyFill="1" applyBorder="1" applyAlignment="1" applyProtection="1">
      <alignment horizontal="center" vertical="center"/>
      <protection locked="0"/>
    </xf>
    <xf numFmtId="3" fontId="17" fillId="0" borderId="90" xfId="2" applyNumberFormat="1" applyFont="1" applyFill="1" applyBorder="1" applyAlignment="1" applyProtection="1">
      <alignment horizontal="center" vertical="center"/>
      <protection locked="0"/>
    </xf>
    <xf numFmtId="3" fontId="17" fillId="0" borderId="151" xfId="2" applyNumberFormat="1" applyFont="1" applyFill="1" applyBorder="1" applyAlignment="1" applyProtection="1">
      <alignment horizontal="center" vertical="center"/>
      <protection locked="0"/>
    </xf>
    <xf numFmtId="3" fontId="17" fillId="0" borderId="130" xfId="2" applyNumberFormat="1" applyFont="1" applyFill="1" applyBorder="1" applyAlignment="1" applyProtection="1">
      <alignment horizontal="center" vertical="center"/>
      <protection locked="0"/>
    </xf>
    <xf numFmtId="3" fontId="17" fillId="0" borderId="38" xfId="2" applyNumberFormat="1" applyFont="1" applyFill="1" applyBorder="1" applyAlignment="1" applyProtection="1">
      <alignment horizontal="center" vertical="center"/>
      <protection locked="0"/>
    </xf>
    <xf numFmtId="3" fontId="17" fillId="0" borderId="131" xfId="2" applyNumberFormat="1" applyFont="1" applyFill="1" applyBorder="1" applyAlignment="1" applyProtection="1">
      <alignment horizontal="center" vertical="center"/>
      <protection locked="0"/>
    </xf>
    <xf numFmtId="3" fontId="17" fillId="0" borderId="182" xfId="2" applyNumberFormat="1" applyFont="1" applyFill="1" applyBorder="1" applyAlignment="1" applyProtection="1">
      <alignment horizontal="center" vertical="center"/>
      <protection locked="0"/>
    </xf>
    <xf numFmtId="0" fontId="47" fillId="4" borderId="6" xfId="0" applyFont="1" applyFill="1" applyBorder="1"/>
    <xf numFmtId="0" fontId="47" fillId="4" borderId="7" xfId="0" applyFont="1" applyFill="1" applyBorder="1"/>
    <xf numFmtId="0" fontId="30" fillId="4" borderId="7" xfId="0" applyFont="1" applyFill="1" applyBorder="1"/>
    <xf numFmtId="0" fontId="30" fillId="4" borderId="8" xfId="0" applyFont="1" applyFill="1" applyBorder="1"/>
    <xf numFmtId="0" fontId="8" fillId="9" borderId="42" xfId="0" applyFont="1" applyFill="1" applyBorder="1" applyAlignment="1">
      <alignment horizontal="left" vertical="top"/>
    </xf>
    <xf numFmtId="0" fontId="8" fillId="0" borderId="42" xfId="0" applyFont="1" applyBorder="1" applyAlignment="1" applyProtection="1">
      <alignment horizontal="left" vertical="top"/>
      <protection locked="0"/>
    </xf>
    <xf numFmtId="1" fontId="8" fillId="0" borderId="42" xfId="0" applyNumberFormat="1" applyFont="1" applyBorder="1" applyAlignment="1" applyProtection="1">
      <alignment horizontal="left" vertical="top"/>
      <protection locked="0"/>
    </xf>
    <xf numFmtId="3" fontId="8" fillId="0" borderId="42" xfId="0" applyNumberFormat="1" applyFont="1" applyBorder="1" applyAlignment="1" applyProtection="1">
      <alignment horizontal="left" vertical="top"/>
      <protection locked="0"/>
    </xf>
    <xf numFmtId="0" fontId="8" fillId="10" borderId="42" xfId="0" applyFont="1" applyFill="1" applyBorder="1" applyAlignment="1">
      <alignment horizontal="left" vertical="top"/>
    </xf>
    <xf numFmtId="0" fontId="8" fillId="11" borderId="42" xfId="0" applyFont="1" applyFill="1" applyBorder="1" applyAlignment="1">
      <alignment horizontal="left" vertical="top"/>
    </xf>
    <xf numFmtId="0" fontId="6" fillId="4" borderId="25" xfId="0" applyFont="1" applyFill="1" applyBorder="1" applyAlignment="1">
      <alignment horizontal="left" vertical="center" wrapText="1"/>
    </xf>
    <xf numFmtId="0" fontId="10" fillId="0" borderId="8" xfId="0" applyFont="1" applyBorder="1" applyAlignment="1" applyProtection="1">
      <alignment vertical="center" wrapText="1"/>
      <protection locked="0"/>
    </xf>
    <xf numFmtId="0" fontId="8" fillId="0" borderId="12" xfId="0" applyFont="1" applyBorder="1" applyAlignment="1" applyProtection="1">
      <alignment horizontal="left" vertical="center"/>
      <protection locked="0"/>
    </xf>
    <xf numFmtId="0" fontId="31" fillId="0" borderId="26" xfId="0" applyFont="1" applyBorder="1" applyAlignment="1">
      <alignment vertical="top"/>
    </xf>
    <xf numFmtId="0" fontId="31" fillId="0" borderId="25" xfId="0" applyFont="1" applyBorder="1" applyAlignment="1">
      <alignment vertical="top" wrapText="1"/>
    </xf>
    <xf numFmtId="0" fontId="29" fillId="0" borderId="7" xfId="0" applyFont="1" applyFill="1" applyBorder="1" applyAlignment="1" applyProtection="1">
      <alignment vertical="center" wrapText="1"/>
      <protection locked="0"/>
    </xf>
    <xf numFmtId="0" fontId="45" fillId="4" borderId="171" xfId="0" applyFont="1" applyFill="1" applyBorder="1" applyAlignment="1">
      <alignment horizontal="center"/>
    </xf>
    <xf numFmtId="0" fontId="45" fillId="4" borderId="38" xfId="0" applyFont="1" applyFill="1" applyBorder="1" applyAlignment="1">
      <alignment horizontal="center"/>
    </xf>
    <xf numFmtId="0" fontId="56" fillId="0" borderId="25" xfId="0" applyFont="1" applyBorder="1" applyAlignment="1">
      <alignment vertical="center" wrapText="1"/>
    </xf>
    <xf numFmtId="0" fontId="56" fillId="0" borderId="123" xfId="0" applyFont="1" applyBorder="1" applyAlignment="1">
      <alignment vertical="center" wrapText="1"/>
    </xf>
    <xf numFmtId="0" fontId="56" fillId="0" borderId="26" xfId="0" quotePrefix="1" applyFont="1" applyBorder="1" applyAlignment="1">
      <alignment vertical="center" wrapText="1"/>
    </xf>
    <xf numFmtId="0" fontId="5" fillId="0" borderId="26" xfId="1" applyBorder="1" applyAlignment="1" applyProtection="1">
      <alignment vertical="center" wrapText="1"/>
    </xf>
    <xf numFmtId="0" fontId="5" fillId="0" borderId="124" xfId="1" applyBorder="1" applyAlignment="1" applyProtection="1">
      <alignment vertical="center" wrapText="1"/>
    </xf>
    <xf numFmtId="3" fontId="0" fillId="0" borderId="26" xfId="0" applyNumberFormat="1" applyBorder="1" applyAlignment="1">
      <alignment wrapText="1"/>
    </xf>
    <xf numFmtId="0" fontId="8" fillId="0" borderId="36" xfId="0" applyFont="1" applyFill="1" applyBorder="1" applyAlignment="1">
      <alignment horizontal="center"/>
    </xf>
    <xf numFmtId="0" fontId="8" fillId="0" borderId="16" xfId="0" applyFont="1" applyFill="1" applyBorder="1" applyAlignment="1">
      <alignment horizontal="center"/>
    </xf>
    <xf numFmtId="0" fontId="8" fillId="0" borderId="11" xfId="0" applyFont="1" applyFill="1" applyBorder="1" applyAlignment="1">
      <alignment horizontal="center"/>
    </xf>
    <xf numFmtId="0" fontId="8" fillId="0" borderId="15" xfId="0" applyFont="1" applyFill="1" applyBorder="1" applyAlignment="1">
      <alignment horizontal="center"/>
    </xf>
    <xf numFmtId="0" fontId="8" fillId="0" borderId="8" xfId="0" applyFont="1" applyBorder="1" applyAlignment="1">
      <alignment horizontal="center" vertical="top" wrapText="1"/>
    </xf>
    <xf numFmtId="0" fontId="8" fillId="0" borderId="54" xfId="0" applyFont="1" applyFill="1" applyBorder="1" applyAlignment="1">
      <alignment horizontal="center"/>
    </xf>
    <xf numFmtId="0" fontId="8" fillId="0" borderId="42" xfId="0" applyFont="1" applyFill="1" applyBorder="1" applyAlignment="1">
      <alignment horizontal="center"/>
    </xf>
    <xf numFmtId="0" fontId="8" fillId="0" borderId="107" xfId="0" applyFont="1" applyFill="1" applyBorder="1" applyAlignment="1">
      <alignment horizontal="center"/>
    </xf>
    <xf numFmtId="0" fontId="8" fillId="0" borderId="109" xfId="0" applyFont="1" applyFill="1" applyBorder="1" applyAlignment="1">
      <alignment horizontal="center"/>
    </xf>
    <xf numFmtId="0" fontId="8" fillId="0" borderId="64" xfId="0" applyFont="1" applyFill="1" applyBorder="1" applyAlignment="1">
      <alignment horizontal="center"/>
    </xf>
    <xf numFmtId="0" fontId="8" fillId="0" borderId="38" xfId="0" applyFont="1" applyFill="1" applyBorder="1" applyAlignment="1">
      <alignment horizontal="center"/>
    </xf>
    <xf numFmtId="0" fontId="8" fillId="0" borderId="25" xfId="0" applyFont="1" applyFill="1" applyBorder="1" applyAlignment="1">
      <alignment horizontal="center"/>
    </xf>
    <xf numFmtId="0" fontId="8" fillId="0" borderId="131" xfId="0" applyFont="1" applyFill="1" applyBorder="1" applyAlignment="1">
      <alignment horizontal="center"/>
    </xf>
    <xf numFmtId="0" fontId="8" fillId="0" borderId="108" xfId="0" applyFont="1" applyFill="1" applyBorder="1" applyAlignment="1">
      <alignment horizontal="center"/>
    </xf>
    <xf numFmtId="0" fontId="8" fillId="0" borderId="5" xfId="0" applyFont="1" applyFill="1" applyBorder="1" applyAlignment="1">
      <alignment horizontal="center"/>
    </xf>
    <xf numFmtId="0" fontId="8" fillId="0" borderId="8" xfId="0" applyFont="1" applyFill="1" applyBorder="1" applyAlignment="1">
      <alignment horizontal="center"/>
    </xf>
    <xf numFmtId="0" fontId="8" fillId="0" borderId="41" xfId="0" applyFont="1" applyFill="1" applyBorder="1" applyAlignment="1">
      <alignment horizontal="center"/>
    </xf>
    <xf numFmtId="0" fontId="8" fillId="0" borderId="29" xfId="0" applyFont="1" applyFill="1" applyBorder="1" applyAlignment="1">
      <alignment horizontal="center"/>
    </xf>
    <xf numFmtId="0" fontId="8" fillId="0" borderId="121" xfId="0" applyFont="1" applyFill="1" applyBorder="1" applyAlignment="1">
      <alignment horizontal="center"/>
    </xf>
    <xf numFmtId="0" fontId="8" fillId="0" borderId="157" xfId="0" applyFont="1" applyFill="1" applyBorder="1" applyAlignment="1">
      <alignment horizontal="center"/>
    </xf>
    <xf numFmtId="0" fontId="8" fillId="0" borderId="120" xfId="0" applyFont="1" applyFill="1" applyBorder="1" applyAlignment="1">
      <alignment horizontal="center"/>
    </xf>
    <xf numFmtId="0" fontId="8" fillId="0" borderId="122" xfId="0" applyFont="1" applyFill="1" applyBorder="1" applyAlignment="1">
      <alignment horizontal="center"/>
    </xf>
    <xf numFmtId="1" fontId="10" fillId="0" borderId="21" xfId="0" applyNumberFormat="1" applyFont="1" applyFill="1" applyBorder="1" applyAlignment="1"/>
    <xf numFmtId="1" fontId="10" fillId="0" borderId="25" xfId="0" applyNumberFormat="1" applyFont="1" applyFill="1" applyBorder="1" applyAlignment="1"/>
    <xf numFmtId="1" fontId="10" fillId="0" borderId="43" xfId="0" applyNumberFormat="1" applyFont="1" applyFill="1" applyBorder="1" applyAlignment="1">
      <alignment vertical="center"/>
    </xf>
    <xf numFmtId="1" fontId="10" fillId="0" borderId="42" xfId="0" applyNumberFormat="1" applyFont="1" applyFill="1" applyBorder="1" applyAlignment="1">
      <alignment vertical="center"/>
    </xf>
    <xf numFmtId="0" fontId="8" fillId="0" borderId="119" xfId="0" applyFont="1" applyFill="1" applyBorder="1" applyAlignment="1">
      <alignment horizontal="center"/>
    </xf>
    <xf numFmtId="0" fontId="8" fillId="0" borderId="156" xfId="0" applyFont="1" applyFill="1" applyBorder="1" applyAlignment="1">
      <alignment horizontal="center"/>
    </xf>
    <xf numFmtId="0" fontId="8" fillId="0" borderId="117" xfId="0" applyFont="1" applyFill="1" applyBorder="1" applyAlignment="1">
      <alignment horizontal="center"/>
    </xf>
    <xf numFmtId="0" fontId="8" fillId="0" borderId="118" xfId="0" applyFont="1" applyFill="1" applyBorder="1" applyAlignment="1">
      <alignment horizontal="center"/>
    </xf>
    <xf numFmtId="0" fontId="30" fillId="0" borderId="0" xfId="0" applyFont="1" applyFill="1" applyBorder="1" applyAlignment="1">
      <alignment horizontal="center"/>
    </xf>
    <xf numFmtId="0" fontId="2" fillId="2" borderId="185" xfId="3" applyFont="1" applyFill="1" applyBorder="1" applyAlignment="1">
      <alignment horizontal="center"/>
    </xf>
    <xf numFmtId="0" fontId="2" fillId="2" borderId="186" xfId="3" applyFont="1" applyFill="1" applyBorder="1" applyAlignment="1">
      <alignment horizontal="center"/>
    </xf>
    <xf numFmtId="0" fontId="2" fillId="2" borderId="187" xfId="3" applyFont="1" applyFill="1" applyBorder="1" applyAlignment="1">
      <alignment horizontal="center"/>
    </xf>
    <xf numFmtId="0" fontId="2" fillId="2" borderId="1" xfId="3" applyFont="1" applyFill="1" applyBorder="1" applyAlignment="1">
      <alignment horizontal="center"/>
    </xf>
    <xf numFmtId="0" fontId="2" fillId="2" borderId="0" xfId="3" applyFont="1" applyFill="1" applyBorder="1" applyAlignment="1">
      <alignment horizontal="center"/>
    </xf>
    <xf numFmtId="0" fontId="2" fillId="2" borderId="44" xfId="3" applyFont="1" applyFill="1" applyBorder="1" applyAlignment="1">
      <alignment horizontal="center"/>
    </xf>
    <xf numFmtId="0" fontId="24" fillId="2" borderId="185" xfId="3" applyFont="1" applyFill="1" applyBorder="1" applyAlignment="1">
      <alignment horizontal="center"/>
    </xf>
    <xf numFmtId="0" fontId="24" fillId="2" borderId="186" xfId="3" applyFont="1" applyFill="1" applyBorder="1" applyAlignment="1">
      <alignment horizontal="center"/>
    </xf>
    <xf numFmtId="0" fontId="24" fillId="2" borderId="187" xfId="3" applyFont="1" applyFill="1" applyBorder="1" applyAlignment="1">
      <alignment horizontal="center"/>
    </xf>
    <xf numFmtId="0" fontId="24" fillId="2" borderId="1" xfId="3" applyFont="1" applyFill="1" applyBorder="1" applyAlignment="1">
      <alignment horizontal="center"/>
    </xf>
    <xf numFmtId="0" fontId="24" fillId="2" borderId="0" xfId="3" applyFont="1" applyFill="1" applyBorder="1" applyAlignment="1">
      <alignment horizontal="center"/>
    </xf>
    <xf numFmtId="0" fontId="24" fillId="2" borderId="44" xfId="3" applyFont="1" applyFill="1" applyBorder="1" applyAlignment="1">
      <alignment horizontal="center"/>
    </xf>
    <xf numFmtId="0" fontId="24" fillId="2" borderId="1" xfId="3" applyFont="1" applyFill="1" applyBorder="1" applyAlignment="1">
      <alignment horizontal="center" vertical="center"/>
    </xf>
    <xf numFmtId="0" fontId="24" fillId="2" borderId="0" xfId="3" applyFont="1" applyFill="1" applyBorder="1" applyAlignment="1">
      <alignment horizontal="center" vertical="center"/>
    </xf>
    <xf numFmtId="0" fontId="24" fillId="2" borderId="44" xfId="3" applyFont="1" applyFill="1" applyBorder="1" applyAlignment="1">
      <alignment horizontal="center" vertical="center"/>
    </xf>
    <xf numFmtId="0" fontId="8" fillId="0" borderId="184" xfId="0" applyFont="1" applyFill="1" applyBorder="1" applyAlignment="1" applyProtection="1">
      <protection locked="0"/>
    </xf>
    <xf numFmtId="0" fontId="30" fillId="0" borderId="105" xfId="0" applyFont="1" applyBorder="1" applyAlignment="1"/>
    <xf numFmtId="0" fontId="8" fillId="0" borderId="105" xfId="0" applyFont="1" applyFill="1" applyBorder="1" applyAlignment="1" applyProtection="1">
      <protection locked="0"/>
    </xf>
    <xf numFmtId="14" fontId="8" fillId="0" borderId="105" xfId="0" applyNumberFormat="1" applyFont="1" applyFill="1" applyBorder="1" applyAlignment="1" applyProtection="1">
      <protection locked="0"/>
    </xf>
    <xf numFmtId="0" fontId="30" fillId="0" borderId="160" xfId="0" applyFont="1" applyBorder="1" applyAlignment="1"/>
    <xf numFmtId="0" fontId="8" fillId="0" borderId="142" xfId="0" applyFont="1" applyFill="1" applyBorder="1" applyProtection="1">
      <protection locked="0"/>
    </xf>
    <xf numFmtId="0" fontId="8" fillId="0" borderId="7" xfId="0" applyFont="1" applyFill="1" applyBorder="1" applyProtection="1">
      <protection locked="0"/>
    </xf>
    <xf numFmtId="0" fontId="8" fillId="0" borderId="29" xfId="0" applyFont="1" applyFill="1" applyBorder="1" applyProtection="1">
      <protection locked="0"/>
    </xf>
    <xf numFmtId="0" fontId="8" fillId="4" borderId="104" xfId="0" applyFont="1" applyFill="1" applyBorder="1"/>
    <xf numFmtId="0" fontId="9" fillId="4" borderId="55" xfId="0" applyFont="1" applyFill="1" applyBorder="1"/>
    <xf numFmtId="0" fontId="9" fillId="4" borderId="94" xfId="0" applyFont="1" applyFill="1" applyBorder="1"/>
    <xf numFmtId="0" fontId="8" fillId="0" borderId="173" xfId="0" applyFont="1" applyFill="1" applyBorder="1" applyProtection="1">
      <protection locked="0"/>
    </xf>
    <xf numFmtId="0" fontId="8" fillId="0" borderId="58" xfId="0" applyFont="1" applyFill="1" applyBorder="1" applyProtection="1">
      <protection locked="0"/>
    </xf>
    <xf numFmtId="0" fontId="8" fillId="0" borderId="32" xfId="0" applyFont="1" applyFill="1" applyBorder="1" applyProtection="1">
      <protection locked="0"/>
    </xf>
    <xf numFmtId="0" fontId="8" fillId="2" borderId="173" xfId="0" applyFont="1" applyFill="1" applyBorder="1" applyProtection="1">
      <protection locked="0"/>
    </xf>
    <xf numFmtId="0" fontId="8" fillId="2" borderId="58" xfId="0" applyFont="1" applyFill="1" applyBorder="1" applyProtection="1">
      <protection locked="0"/>
    </xf>
    <xf numFmtId="0" fontId="8" fillId="2" borderId="61" xfId="0" applyFont="1" applyFill="1" applyBorder="1" applyProtection="1">
      <protection locked="0"/>
    </xf>
    <xf numFmtId="0" fontId="8" fillId="2" borderId="142" xfId="0" applyFont="1" applyFill="1" applyBorder="1" applyProtection="1">
      <protection locked="0"/>
    </xf>
    <xf numFmtId="0" fontId="8" fillId="2" borderId="7" xfId="0" applyFont="1" applyFill="1" applyBorder="1" applyProtection="1">
      <protection locked="0"/>
    </xf>
    <xf numFmtId="0" fontId="8" fillId="2" borderId="8" xfId="0" applyFont="1" applyFill="1" applyBorder="1" applyProtection="1">
      <protection locked="0"/>
    </xf>
    <xf numFmtId="0" fontId="8" fillId="0" borderId="2" xfId="0" applyFont="1" applyFill="1" applyBorder="1" applyAlignment="1" applyProtection="1">
      <alignment horizontal="left" vertical="top" wrapText="1"/>
      <protection locked="0"/>
    </xf>
    <xf numFmtId="0" fontId="8" fillId="0" borderId="10" xfId="0" applyFont="1" applyFill="1" applyBorder="1" applyAlignment="1" applyProtection="1">
      <alignment horizontal="left" vertical="top" wrapText="1"/>
      <protection locked="0"/>
    </xf>
    <xf numFmtId="0" fontId="8" fillId="0" borderId="15" xfId="0" applyFont="1" applyFill="1" applyBorder="1" applyAlignment="1" applyProtection="1">
      <alignment horizontal="left" vertical="top" wrapText="1"/>
      <protection locked="0"/>
    </xf>
    <xf numFmtId="0" fontId="8" fillId="4" borderId="25" xfId="0" applyFont="1" applyFill="1" applyBorder="1" applyAlignment="1" applyProtection="1">
      <alignment horizontal="left" vertical="center"/>
    </xf>
    <xf numFmtId="0" fontId="8" fillId="0" borderId="142" xfId="0" applyFont="1" applyFill="1" applyBorder="1" applyAlignment="1" applyProtection="1">
      <alignment vertical="center"/>
      <protection locked="0"/>
    </xf>
    <xf numFmtId="0" fontId="8" fillId="0" borderId="7" xfId="0" applyFont="1" applyFill="1" applyBorder="1" applyAlignment="1" applyProtection="1">
      <alignment vertical="center"/>
      <protection locked="0"/>
    </xf>
    <xf numFmtId="0" fontId="8" fillId="0" borderId="29" xfId="0" applyFont="1" applyFill="1" applyBorder="1" applyAlignment="1" applyProtection="1">
      <alignment vertical="center"/>
      <protection locked="0"/>
    </xf>
    <xf numFmtId="0" fontId="8" fillId="0" borderId="167" xfId="0" applyFont="1" applyFill="1" applyBorder="1" applyAlignment="1" applyProtection="1">
      <alignment vertical="center"/>
      <protection locked="0"/>
    </xf>
    <xf numFmtId="0" fontId="8" fillId="0" borderId="55" xfId="0" applyFont="1" applyFill="1" applyBorder="1" applyAlignment="1" applyProtection="1">
      <alignment vertical="center"/>
      <protection locked="0"/>
    </xf>
    <xf numFmtId="0" fontId="8" fillId="2" borderId="65" xfId="0" applyFont="1" applyFill="1" applyBorder="1" applyProtection="1">
      <protection locked="0"/>
    </xf>
    <xf numFmtId="0" fontId="8" fillId="2" borderId="53" xfId="0" applyFont="1" applyFill="1" applyBorder="1" applyProtection="1">
      <protection locked="0"/>
    </xf>
    <xf numFmtId="0" fontId="8" fillId="2" borderId="52" xfId="0" applyFont="1" applyFill="1" applyBorder="1" applyProtection="1">
      <protection locked="0"/>
    </xf>
    <xf numFmtId="0" fontId="4" fillId="3" borderId="113" xfId="0" applyFont="1" applyFill="1" applyBorder="1" applyAlignment="1"/>
    <xf numFmtId="0" fontId="30" fillId="3" borderId="73" xfId="0" applyFont="1" applyFill="1" applyBorder="1" applyAlignment="1"/>
    <xf numFmtId="0" fontId="30" fillId="3" borderId="72" xfId="0" applyFont="1" applyFill="1" applyBorder="1" applyAlignment="1"/>
    <xf numFmtId="0" fontId="5" fillId="0" borderId="65" xfId="1" applyFill="1" applyBorder="1" applyAlignment="1" applyProtection="1">
      <alignment horizontal="center" vertical="center"/>
      <protection locked="0"/>
    </xf>
    <xf numFmtId="0" fontId="8" fillId="0" borderId="53" xfId="0" applyFont="1" applyFill="1" applyBorder="1" applyAlignment="1" applyProtection="1">
      <alignment horizontal="center" vertical="center"/>
      <protection locked="0"/>
    </xf>
    <xf numFmtId="0" fontId="8" fillId="0" borderId="13" xfId="0" applyFont="1" applyFill="1" applyBorder="1" applyAlignment="1" applyProtection="1">
      <alignment horizontal="center" vertical="center"/>
      <protection locked="0"/>
    </xf>
    <xf numFmtId="0" fontId="8" fillId="4" borderId="6" xfId="0" applyFont="1" applyFill="1" applyBorder="1" applyAlignment="1">
      <alignment horizontal="left" wrapText="1"/>
    </xf>
    <xf numFmtId="0" fontId="8" fillId="4" borderId="7" xfId="0" applyFont="1" applyFill="1" applyBorder="1" applyAlignment="1">
      <alignment horizontal="left" wrapText="1"/>
    </xf>
    <xf numFmtId="0" fontId="8" fillId="4" borderId="8" xfId="0" applyFont="1" applyFill="1" applyBorder="1" applyAlignment="1">
      <alignment horizontal="left" wrapText="1"/>
    </xf>
    <xf numFmtId="0" fontId="8" fillId="0" borderId="173" xfId="0" applyFont="1" applyFill="1" applyBorder="1" applyAlignment="1" applyProtection="1">
      <alignment horizontal="center" vertical="center"/>
    </xf>
    <xf numFmtId="0" fontId="8" fillId="0" borderId="58" xfId="0" applyFont="1" applyFill="1" applyBorder="1" applyAlignment="1" applyProtection="1">
      <alignment horizontal="center" vertical="center"/>
    </xf>
    <xf numFmtId="0" fontId="8" fillId="0" borderId="32" xfId="0" applyFont="1" applyFill="1" applyBorder="1" applyAlignment="1" applyProtection="1">
      <alignment horizontal="center" vertical="center"/>
    </xf>
    <xf numFmtId="0" fontId="8" fillId="4" borderId="38" xfId="0" applyFont="1" applyFill="1" applyBorder="1" applyAlignment="1" applyProtection="1">
      <alignment horizontal="left" vertical="center"/>
    </xf>
    <xf numFmtId="0" fontId="8" fillId="3" borderId="161" xfId="0" applyFont="1" applyFill="1" applyBorder="1" applyAlignment="1" applyProtection="1">
      <alignment horizontal="center" vertical="center"/>
    </xf>
    <xf numFmtId="0" fontId="8" fillId="3" borderId="69" xfId="0" applyFont="1" applyFill="1" applyBorder="1" applyAlignment="1" applyProtection="1">
      <alignment horizontal="center" vertical="center"/>
    </xf>
    <xf numFmtId="0" fontId="8" fillId="3" borderId="70" xfId="0" applyFont="1" applyFill="1" applyBorder="1" applyAlignment="1" applyProtection="1">
      <alignment horizontal="center" vertical="center"/>
    </xf>
    <xf numFmtId="0" fontId="8" fillId="0" borderId="65" xfId="0" applyFont="1" applyFill="1" applyBorder="1" applyProtection="1">
      <protection locked="0"/>
    </xf>
    <xf numFmtId="0" fontId="8" fillId="0" borderId="53" xfId="0" applyFont="1" applyFill="1" applyBorder="1" applyProtection="1">
      <protection locked="0"/>
    </xf>
    <xf numFmtId="0" fontId="8" fillId="0" borderId="13" xfId="0" applyFont="1" applyFill="1" applyBorder="1" applyProtection="1">
      <protection locked="0"/>
    </xf>
    <xf numFmtId="0" fontId="30" fillId="2" borderId="172" xfId="0" applyFont="1" applyFill="1" applyBorder="1" applyAlignment="1">
      <alignment horizontal="left" vertical="top"/>
    </xf>
    <xf numFmtId="0" fontId="30" fillId="2" borderId="7" xfId="0" applyFont="1" applyFill="1" applyBorder="1" applyAlignment="1">
      <alignment horizontal="left" vertical="top"/>
    </xf>
    <xf numFmtId="0" fontId="30" fillId="2" borderId="29" xfId="0" applyFont="1" applyFill="1" applyBorder="1" applyAlignment="1">
      <alignment horizontal="left" vertical="top"/>
    </xf>
    <xf numFmtId="0" fontId="30" fillId="2" borderId="179" xfId="0" applyFont="1" applyFill="1" applyBorder="1" applyAlignment="1">
      <alignment horizontal="left" vertical="top"/>
    </xf>
    <xf numFmtId="0" fontId="30" fillId="2" borderId="180" xfId="0" applyFont="1" applyFill="1" applyBorder="1" applyAlignment="1">
      <alignment horizontal="left" vertical="top"/>
    </xf>
    <xf numFmtId="0" fontId="30" fillId="2" borderId="183" xfId="0" applyFont="1" applyFill="1" applyBorder="1" applyAlignment="1">
      <alignment horizontal="left" vertical="top"/>
    </xf>
    <xf numFmtId="0" fontId="30" fillId="2" borderId="0" xfId="0" applyFont="1" applyFill="1" applyBorder="1" applyAlignment="1"/>
    <xf numFmtId="0" fontId="8" fillId="2" borderId="6" xfId="0" applyFont="1" applyFill="1" applyBorder="1" applyAlignment="1" applyProtection="1">
      <alignment horizontal="left" vertical="top"/>
      <protection locked="0"/>
    </xf>
    <xf numFmtId="0" fontId="8" fillId="2" borderId="7" xfId="0" applyFont="1" applyFill="1" applyBorder="1" applyAlignment="1" applyProtection="1">
      <alignment horizontal="left" vertical="top"/>
      <protection locked="0"/>
    </xf>
    <xf numFmtId="0" fontId="8" fillId="2" borderId="8" xfId="0" applyFont="1" applyFill="1" applyBorder="1" applyAlignment="1" applyProtection="1">
      <alignment horizontal="left" vertical="top"/>
      <protection locked="0"/>
    </xf>
    <xf numFmtId="0" fontId="47" fillId="2" borderId="0" xfId="0" applyFont="1" applyFill="1" applyBorder="1" applyAlignment="1">
      <alignment horizontal="center" vertical="center"/>
    </xf>
    <xf numFmtId="0" fontId="3" fillId="2" borderId="0" xfId="0" applyFont="1" applyFill="1" applyBorder="1" applyAlignment="1">
      <alignment horizontal="left" vertical="center" wrapText="1"/>
    </xf>
    <xf numFmtId="0" fontId="9" fillId="2" borderId="0" xfId="0" applyFont="1" applyFill="1" applyBorder="1" applyAlignment="1">
      <alignment horizontal="center"/>
    </xf>
    <xf numFmtId="9" fontId="8" fillId="4" borderId="25" xfId="0" quotePrefix="1" applyNumberFormat="1" applyFont="1" applyFill="1" applyBorder="1" applyAlignment="1" applyProtection="1">
      <alignment horizontal="center" vertical="center"/>
    </xf>
    <xf numFmtId="9" fontId="8" fillId="4" borderId="142" xfId="0" quotePrefix="1" applyNumberFormat="1" applyFont="1" applyFill="1" applyBorder="1" applyAlignment="1" applyProtection="1">
      <alignment horizontal="center" vertical="center"/>
    </xf>
    <xf numFmtId="0" fontId="9" fillId="4" borderId="9" xfId="0" applyFont="1" applyFill="1" applyBorder="1" applyAlignment="1">
      <alignment horizontal="center"/>
    </xf>
    <xf numFmtId="0" fontId="9" fillId="4" borderId="25" xfId="0" applyFont="1" applyFill="1" applyBorder="1" applyAlignment="1">
      <alignment horizontal="center"/>
    </xf>
    <xf numFmtId="0" fontId="9" fillId="4" borderId="142" xfId="0" applyFont="1" applyFill="1" applyBorder="1" applyAlignment="1">
      <alignment horizontal="center"/>
    </xf>
    <xf numFmtId="0" fontId="8" fillId="4" borderId="142"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43" fillId="4" borderId="150" xfId="0" applyFont="1" applyFill="1" applyBorder="1" applyAlignment="1">
      <alignment horizontal="right" vertical="top" wrapText="1"/>
    </xf>
    <xf numFmtId="0" fontId="43" fillId="4" borderId="90" xfId="0" applyFont="1" applyFill="1" applyBorder="1" applyAlignment="1">
      <alignment horizontal="right" vertical="top" wrapText="1"/>
    </xf>
    <xf numFmtId="0" fontId="43" fillId="4" borderId="9" xfId="0" applyFont="1" applyFill="1" applyBorder="1" applyAlignment="1">
      <alignment horizontal="right" vertical="top" wrapText="1"/>
    </xf>
    <xf numFmtId="0" fontId="43" fillId="4" borderId="25" xfId="0" applyFont="1" applyFill="1" applyBorder="1" applyAlignment="1">
      <alignment horizontal="right" vertical="top" wrapText="1"/>
    </xf>
    <xf numFmtId="0" fontId="8" fillId="2" borderId="9" xfId="0" applyFont="1" applyFill="1" applyBorder="1" applyAlignment="1">
      <alignment horizontal="center" vertical="center"/>
    </xf>
    <xf numFmtId="0" fontId="8" fillId="2" borderId="25" xfId="0" applyFont="1" applyFill="1" applyBorder="1" applyAlignment="1">
      <alignment horizontal="center" vertical="center"/>
    </xf>
    <xf numFmtId="0" fontId="8" fillId="2" borderId="9" xfId="0" applyFont="1" applyFill="1" applyBorder="1" applyAlignment="1" applyProtection="1">
      <alignment vertical="top" wrapText="1"/>
      <protection locked="0"/>
    </xf>
    <xf numFmtId="0" fontId="8" fillId="2" borderId="25" xfId="0" applyFont="1" applyFill="1" applyBorder="1" applyAlignment="1" applyProtection="1">
      <alignment vertical="top" wrapText="1"/>
      <protection locked="0"/>
    </xf>
    <xf numFmtId="0" fontId="43" fillId="4" borderId="86" xfId="0" applyFont="1" applyFill="1" applyBorder="1" applyAlignment="1">
      <alignment horizontal="center" vertical="center" wrapText="1"/>
    </xf>
    <xf numFmtId="0" fontId="43" fillId="4" borderId="52" xfId="0" applyFont="1" applyFill="1" applyBorder="1" applyAlignment="1">
      <alignment horizontal="center" vertical="center" wrapText="1"/>
    </xf>
    <xf numFmtId="0" fontId="4" fillId="3" borderId="66" xfId="0" applyFont="1" applyFill="1" applyBorder="1" applyAlignment="1">
      <alignment horizontal="center"/>
    </xf>
    <xf numFmtId="0" fontId="4" fillId="3" borderId="73" xfId="0" applyFont="1" applyFill="1" applyBorder="1" applyAlignment="1">
      <alignment horizontal="center"/>
    </xf>
    <xf numFmtId="0" fontId="4" fillId="3" borderId="165" xfId="0" applyFont="1" applyFill="1" applyBorder="1" applyAlignment="1">
      <alignment horizontal="center"/>
    </xf>
    <xf numFmtId="0" fontId="6" fillId="6" borderId="2" xfId="0" applyFont="1" applyFill="1" applyBorder="1"/>
    <xf numFmtId="0" fontId="6" fillId="6" borderId="10" xfId="0" applyFont="1" applyFill="1" applyBorder="1"/>
    <xf numFmtId="0" fontId="3" fillId="4" borderId="81"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41" xfId="0" applyFont="1" applyFill="1" applyBorder="1" applyAlignment="1">
      <alignment horizontal="center" vertical="center" wrapText="1"/>
    </xf>
    <xf numFmtId="0" fontId="47" fillId="4" borderId="182" xfId="0" applyFont="1" applyFill="1" applyBorder="1" applyAlignment="1">
      <alignment horizontal="center" vertical="center" wrapText="1"/>
    </xf>
    <xf numFmtId="0" fontId="47" fillId="4" borderId="55" xfId="0" applyFont="1" applyFill="1" applyBorder="1" applyAlignment="1">
      <alignment horizontal="center" vertical="center" wrapText="1"/>
    </xf>
    <xf numFmtId="0" fontId="47" fillId="4" borderId="94" xfId="0" applyFont="1" applyFill="1" applyBorder="1" applyAlignment="1">
      <alignment horizontal="center" vertical="center" wrapText="1"/>
    </xf>
    <xf numFmtId="0" fontId="47" fillId="4" borderId="159" xfId="0" applyFont="1" applyFill="1" applyBorder="1" applyAlignment="1">
      <alignment horizontal="center" vertical="center" wrapText="1"/>
    </xf>
    <xf numFmtId="0" fontId="47" fillId="4" borderId="0" xfId="0" applyFont="1" applyFill="1" applyBorder="1" applyAlignment="1">
      <alignment horizontal="center" vertical="center" wrapText="1"/>
    </xf>
    <xf numFmtId="0" fontId="47" fillId="4" borderId="47" xfId="0" applyFont="1" applyFill="1" applyBorder="1" applyAlignment="1">
      <alignment horizontal="center" vertical="center" wrapText="1"/>
    </xf>
    <xf numFmtId="0" fontId="8" fillId="3" borderId="39" xfId="0" applyFont="1" applyFill="1" applyBorder="1" applyAlignment="1">
      <alignment horizontal="left" vertical="center" wrapText="1"/>
    </xf>
    <xf numFmtId="0" fontId="8" fillId="3" borderId="0" xfId="0" applyFont="1" applyFill="1" applyBorder="1" applyAlignment="1">
      <alignment horizontal="left" vertical="center" wrapText="1"/>
    </xf>
    <xf numFmtId="0" fontId="8" fillId="3" borderId="47"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3" borderId="10" xfId="0" applyFont="1" applyFill="1" applyBorder="1" applyAlignment="1">
      <alignment horizontal="left" vertical="center" wrapText="1"/>
    </xf>
    <xf numFmtId="0" fontId="43" fillId="13" borderId="86" xfId="0" applyFont="1" applyFill="1" applyBorder="1" applyAlignment="1">
      <alignment horizontal="center" vertical="center" wrapText="1"/>
    </xf>
    <xf numFmtId="0" fontId="43" fillId="13" borderId="52" xfId="0" applyFont="1" applyFill="1" applyBorder="1" applyAlignment="1">
      <alignment horizontal="center" vertical="center" wrapText="1"/>
    </xf>
    <xf numFmtId="0" fontId="43" fillId="13" borderId="28" xfId="0" applyFont="1" applyFill="1" applyBorder="1" applyAlignment="1">
      <alignment horizontal="right" vertical="top" wrapText="1"/>
    </xf>
    <xf numFmtId="0" fontId="43" fillId="13" borderId="42" xfId="0" applyFont="1" applyFill="1" applyBorder="1" applyAlignment="1">
      <alignment horizontal="right" vertical="top" wrapText="1"/>
    </xf>
    <xf numFmtId="0" fontId="47" fillId="3" borderId="159" xfId="0" applyFont="1" applyFill="1" applyBorder="1" applyAlignment="1">
      <alignment horizontal="center" vertical="center" wrapText="1"/>
    </xf>
    <xf numFmtId="0" fontId="47" fillId="3" borderId="0" xfId="0" applyFont="1" applyFill="1" applyBorder="1" applyAlignment="1">
      <alignment horizontal="center" vertical="center" wrapText="1"/>
    </xf>
    <xf numFmtId="0" fontId="47" fillId="3" borderId="47" xfId="0" applyFont="1" applyFill="1" applyBorder="1" applyAlignment="1">
      <alignment horizontal="center" vertical="center" wrapText="1"/>
    </xf>
    <xf numFmtId="0" fontId="6" fillId="4" borderId="104" xfId="0" applyFont="1" applyFill="1" applyBorder="1" applyAlignment="1">
      <alignment horizontal="left"/>
    </xf>
    <xf numFmtId="0" fontId="6" fillId="4" borderId="55" xfId="0" applyFont="1" applyFill="1" applyBorder="1" applyAlignment="1">
      <alignment horizontal="left"/>
    </xf>
    <xf numFmtId="0" fontId="3" fillId="3" borderId="3" xfId="0" applyFont="1" applyFill="1" applyBorder="1" applyAlignment="1">
      <alignment vertical="center" wrapText="1"/>
    </xf>
    <xf numFmtId="0" fontId="3" fillId="3" borderId="4" xfId="0" applyFont="1" applyFill="1" applyBorder="1" applyAlignment="1">
      <alignment vertical="center" wrapText="1"/>
    </xf>
    <xf numFmtId="0" fontId="0" fillId="0" borderId="188" xfId="0" applyBorder="1" applyAlignment="1">
      <alignment horizontal="left" vertical="top"/>
    </xf>
    <xf numFmtId="0" fontId="0" fillId="0" borderId="189" xfId="0" applyBorder="1" applyAlignment="1">
      <alignment horizontal="left" vertical="top"/>
    </xf>
    <xf numFmtId="0" fontId="0" fillId="0" borderId="190" xfId="0" applyBorder="1" applyAlignment="1">
      <alignment horizontal="left" vertical="top"/>
    </xf>
    <xf numFmtId="0" fontId="0" fillId="0" borderId="67" xfId="0" applyBorder="1" applyAlignment="1">
      <alignment horizontal="left" vertical="top"/>
    </xf>
    <xf numFmtId="0" fontId="0" fillId="0" borderId="69" xfId="0" applyBorder="1" applyAlignment="1">
      <alignment horizontal="left" vertical="top"/>
    </xf>
    <xf numFmtId="0" fontId="0" fillId="0" borderId="70" xfId="0" applyBorder="1" applyAlignment="1">
      <alignment horizontal="left" vertical="top"/>
    </xf>
    <xf numFmtId="0" fontId="0" fillId="0" borderId="67" xfId="0" applyBorder="1" applyAlignment="1">
      <alignment horizontal="left" vertical="top" wrapText="1"/>
    </xf>
    <xf numFmtId="0" fontId="6" fillId="3" borderId="67" xfId="0" applyFont="1" applyFill="1" applyBorder="1" applyAlignment="1">
      <alignment horizontal="left" vertical="top" wrapText="1"/>
    </xf>
    <xf numFmtId="0" fontId="6" fillId="3" borderId="69" xfId="0" applyFont="1" applyFill="1" applyBorder="1" applyAlignment="1">
      <alignment horizontal="left" vertical="top" wrapText="1"/>
    </xf>
    <xf numFmtId="0" fontId="6" fillId="3" borderId="70" xfId="0" applyFont="1" applyFill="1" applyBorder="1" applyAlignment="1">
      <alignment horizontal="left" vertical="top" wrapText="1"/>
    </xf>
    <xf numFmtId="0" fontId="34" fillId="4" borderId="55" xfId="0" applyFont="1" applyFill="1" applyBorder="1" applyAlignment="1">
      <alignment horizontal="center"/>
    </xf>
    <xf numFmtId="0" fontId="34" fillId="4" borderId="94" xfId="0" applyFont="1" applyFill="1" applyBorder="1" applyAlignment="1">
      <alignment horizontal="center"/>
    </xf>
    <xf numFmtId="0" fontId="35" fillId="4" borderId="3" xfId="0" applyFont="1" applyFill="1" applyBorder="1"/>
    <xf numFmtId="0" fontId="35" fillId="4" borderId="4" xfId="0" applyFont="1" applyFill="1" applyBorder="1"/>
    <xf numFmtId="0" fontId="35" fillId="4" borderId="5" xfId="0" applyFont="1" applyFill="1" applyBorder="1"/>
    <xf numFmtId="0" fontId="42" fillId="3" borderId="0" xfId="0" applyFont="1" applyFill="1" applyBorder="1"/>
    <xf numFmtId="0" fontId="34" fillId="4" borderId="167" xfId="0" applyFont="1" applyFill="1" applyBorder="1" applyAlignment="1">
      <alignment horizontal="center"/>
    </xf>
    <xf numFmtId="0" fontId="34" fillId="4" borderId="92" xfId="0" applyFont="1" applyFill="1" applyBorder="1" applyAlignment="1">
      <alignment horizontal="center"/>
    </xf>
    <xf numFmtId="0" fontId="42" fillId="3" borderId="39" xfId="0" applyFont="1" applyFill="1" applyBorder="1"/>
    <xf numFmtId="0" fontId="34" fillId="4" borderId="191" xfId="0" applyFont="1" applyFill="1" applyBorder="1" applyAlignment="1">
      <alignment horizontal="center"/>
    </xf>
    <xf numFmtId="0" fontId="34" fillId="4" borderId="192" xfId="0" applyFont="1" applyFill="1" applyBorder="1" applyAlignment="1">
      <alignment horizontal="center"/>
    </xf>
    <xf numFmtId="0" fontId="37" fillId="4" borderId="182" xfId="0" applyFont="1" applyFill="1" applyBorder="1" applyAlignment="1">
      <alignment horizontal="center"/>
    </xf>
    <xf numFmtId="0" fontId="37" fillId="4" borderId="92" xfId="0" applyFont="1" applyFill="1" applyBorder="1" applyAlignment="1">
      <alignment horizontal="center"/>
    </xf>
    <xf numFmtId="0" fontId="36" fillId="4" borderId="2" xfId="0" applyFont="1" applyFill="1" applyBorder="1"/>
    <xf numFmtId="0" fontId="36" fillId="4" borderId="10" xfId="0" applyFont="1" applyFill="1" applyBorder="1"/>
    <xf numFmtId="0" fontId="4" fillId="3" borderId="73" xfId="0" applyFont="1" applyFill="1" applyBorder="1" applyAlignment="1"/>
    <xf numFmtId="0" fontId="44" fillId="3" borderId="39" xfId="0" applyFont="1" applyFill="1" applyBorder="1"/>
    <xf numFmtId="0" fontId="44" fillId="3" borderId="0" xfId="0" applyFont="1" applyFill="1" applyBorder="1"/>
    <xf numFmtId="0" fontId="44" fillId="3" borderId="2" xfId="0" applyFont="1" applyFill="1" applyBorder="1"/>
    <xf numFmtId="0" fontId="44" fillId="3" borderId="10" xfId="0" applyFont="1" applyFill="1" applyBorder="1"/>
    <xf numFmtId="0" fontId="34" fillId="3" borderId="39" xfId="0" applyFont="1" applyFill="1" applyBorder="1" applyAlignment="1">
      <alignment vertical="center" wrapText="1"/>
    </xf>
    <xf numFmtId="0" fontId="34" fillId="3" borderId="0" xfId="0" applyFont="1" applyFill="1" applyBorder="1" applyAlignment="1">
      <alignment vertical="center" wrapText="1"/>
    </xf>
    <xf numFmtId="0" fontId="34" fillId="3" borderId="47" xfId="0" applyFont="1" applyFill="1" applyBorder="1" applyAlignment="1">
      <alignment vertical="center" wrapText="1"/>
    </xf>
    <xf numFmtId="0" fontId="44" fillId="3" borderId="39" xfId="0" applyFont="1" applyFill="1" applyBorder="1" applyAlignment="1">
      <alignment horizontal="left" vertical="center" wrapText="1"/>
    </xf>
    <xf numFmtId="0" fontId="44" fillId="3" borderId="0" xfId="0" applyFont="1" applyFill="1" applyBorder="1" applyAlignment="1">
      <alignment horizontal="left" vertical="center" wrapText="1"/>
    </xf>
    <xf numFmtId="0" fontId="44" fillId="3" borderId="47" xfId="0" applyFont="1" applyFill="1" applyBorder="1" applyAlignment="1">
      <alignment horizontal="left" vertical="center" wrapText="1"/>
    </xf>
    <xf numFmtId="0" fontId="35" fillId="4" borderId="166" xfId="0" applyFont="1" applyFill="1" applyBorder="1"/>
    <xf numFmtId="0" fontId="35" fillId="4" borderId="153" xfId="0" applyFont="1" applyFill="1" applyBorder="1"/>
    <xf numFmtId="0" fontId="62" fillId="4" borderId="175" xfId="0" applyFont="1" applyFill="1" applyBorder="1"/>
    <xf numFmtId="0" fontId="62" fillId="4" borderId="58" xfId="0" applyFont="1" applyFill="1" applyBorder="1"/>
    <xf numFmtId="0" fontId="62" fillId="4" borderId="61" xfId="0" applyFont="1" applyFill="1" applyBorder="1"/>
    <xf numFmtId="0" fontId="35" fillId="4" borderId="193" xfId="0" applyFont="1" applyFill="1" applyBorder="1"/>
    <xf numFmtId="0" fontId="35" fillId="4" borderId="194" xfId="0" applyFont="1" applyFill="1" applyBorder="1"/>
    <xf numFmtId="0" fontId="35" fillId="4" borderId="195" xfId="0" applyFont="1" applyFill="1" applyBorder="1"/>
    <xf numFmtId="0" fontId="43" fillId="4" borderId="182" xfId="0" applyFont="1" applyFill="1" applyBorder="1"/>
    <xf numFmtId="0" fontId="43" fillId="4" borderId="55" xfId="0" applyFont="1" applyFill="1" applyBorder="1"/>
    <xf numFmtId="0" fontId="43" fillId="4" borderId="56" xfId="0" applyFont="1" applyFill="1" applyBorder="1"/>
    <xf numFmtId="0" fontId="43" fillId="4" borderId="176" xfId="0" applyFont="1" applyFill="1" applyBorder="1"/>
    <xf numFmtId="0" fontId="43" fillId="4" borderId="10" xfId="0" applyFont="1" applyFill="1" applyBorder="1"/>
    <xf numFmtId="0" fontId="43" fillId="4" borderId="11" xfId="0" applyFont="1" applyFill="1" applyBorder="1"/>
    <xf numFmtId="0" fontId="61" fillId="4" borderId="174" xfId="0" applyFont="1" applyFill="1" applyBorder="1"/>
    <xf numFmtId="0" fontId="61" fillId="4" borderId="116" xfId="0" applyFont="1" applyFill="1" applyBorder="1"/>
    <xf numFmtId="0" fontId="61" fillId="4" borderId="117" xfId="0" applyFont="1" applyFill="1" applyBorder="1"/>
    <xf numFmtId="0" fontId="35" fillId="4" borderId="104" xfId="0" applyFont="1" applyFill="1" applyBorder="1" applyAlignment="1">
      <alignment horizontal="left" vertical="center"/>
    </xf>
    <xf numFmtId="0" fontId="35" fillId="4" borderId="56" xfId="0" applyFont="1" applyFill="1" applyBorder="1" applyAlignment="1">
      <alignment horizontal="left" vertical="center"/>
    </xf>
    <xf numFmtId="0" fontId="35" fillId="4" borderId="2" xfId="0" applyFont="1" applyFill="1" applyBorder="1" applyAlignment="1">
      <alignment horizontal="left" vertical="center"/>
    </xf>
    <xf numFmtId="0" fontId="35" fillId="4" borderId="11" xfId="0" applyFont="1" applyFill="1" applyBorder="1" applyAlignment="1">
      <alignment horizontal="left" vertical="center"/>
    </xf>
    <xf numFmtId="0" fontId="36" fillId="4" borderId="182" xfId="0" applyFont="1" applyFill="1" applyBorder="1"/>
    <xf numFmtId="0" fontId="36" fillId="4" borderId="55" xfId="0" applyFont="1" applyFill="1" applyBorder="1"/>
    <xf numFmtId="0" fontId="36" fillId="4" borderId="56" xfId="0" applyFont="1" applyFill="1" applyBorder="1"/>
    <xf numFmtId="0" fontId="36" fillId="4" borderId="176" xfId="0" applyFont="1" applyFill="1" applyBorder="1"/>
    <xf numFmtId="0" fontId="36" fillId="4" borderId="11" xfId="0" applyFont="1" applyFill="1" applyBorder="1"/>
    <xf numFmtId="0" fontId="35" fillId="4" borderId="2" xfId="0" applyFont="1" applyFill="1" applyBorder="1"/>
    <xf numFmtId="0" fontId="35" fillId="4" borderId="10" xfId="0" applyFont="1" applyFill="1" applyBorder="1"/>
    <xf numFmtId="0" fontId="35" fillId="4" borderId="59" xfId="0" applyFont="1" applyFill="1" applyBorder="1"/>
    <xf numFmtId="0" fontId="35" fillId="4" borderId="58" xfId="0" applyFont="1" applyFill="1" applyBorder="1"/>
    <xf numFmtId="0" fontId="36" fillId="4" borderId="104" xfId="0" applyFont="1" applyFill="1" applyBorder="1"/>
    <xf numFmtId="0" fontId="36" fillId="4" borderId="104" xfId="0" applyFont="1" applyFill="1" applyBorder="1" applyAlignment="1">
      <alignment horizontal="left" vertical="center"/>
    </xf>
    <xf numFmtId="0" fontId="36" fillId="4" borderId="55" xfId="0" applyFont="1" applyFill="1" applyBorder="1" applyAlignment="1">
      <alignment horizontal="left" vertical="center"/>
    </xf>
    <xf numFmtId="0" fontId="36" fillId="4" borderId="56" xfId="0" applyFont="1" applyFill="1" applyBorder="1" applyAlignment="1">
      <alignment horizontal="left" vertical="center"/>
    </xf>
    <xf numFmtId="0" fontId="36" fillId="4" borderId="2" xfId="0" applyFont="1" applyFill="1" applyBorder="1" applyAlignment="1">
      <alignment horizontal="left" vertical="center"/>
    </xf>
    <xf numFmtId="0" fontId="36" fillId="4" borderId="10" xfId="0" applyFont="1" applyFill="1" applyBorder="1" applyAlignment="1">
      <alignment horizontal="left" vertical="center"/>
    </xf>
    <xf numFmtId="0" fontId="36" fillId="4" borderId="11" xfId="0" applyFont="1" applyFill="1" applyBorder="1" applyAlignment="1">
      <alignment horizontal="left" vertical="center"/>
    </xf>
    <xf numFmtId="0" fontId="35" fillId="4" borderId="86" xfId="0" applyFont="1" applyFill="1" applyBorder="1"/>
    <xf numFmtId="0" fontId="35" fillId="4" borderId="53" xfId="0" applyFont="1" applyFill="1" applyBorder="1"/>
    <xf numFmtId="0" fontId="35" fillId="4" borderId="142" xfId="0" applyFont="1" applyFill="1" applyBorder="1" applyAlignment="1">
      <alignment horizontal="center"/>
    </xf>
    <xf numFmtId="0" fontId="35" fillId="4" borderId="7" xfId="0" applyFont="1" applyFill="1" applyBorder="1" applyAlignment="1">
      <alignment horizontal="center"/>
    </xf>
    <xf numFmtId="0" fontId="35" fillId="4" borderId="82" xfId="0" applyFont="1" applyFill="1" applyBorder="1" applyAlignment="1">
      <alignment horizontal="center"/>
    </xf>
    <xf numFmtId="0" fontId="35" fillId="4" borderId="6" xfId="0" applyFont="1" applyFill="1" applyBorder="1"/>
    <xf numFmtId="0" fontId="35" fillId="4" borderId="7" xfId="0" applyFont="1" applyFill="1" applyBorder="1"/>
    <xf numFmtId="0" fontId="34" fillId="4" borderId="182" xfId="0" applyFont="1" applyFill="1" applyBorder="1" applyAlignment="1">
      <alignment horizontal="center"/>
    </xf>
    <xf numFmtId="0" fontId="34" fillId="4" borderId="56" xfId="0" applyFont="1" applyFill="1" applyBorder="1" applyAlignment="1">
      <alignment horizontal="center"/>
    </xf>
    <xf numFmtId="0" fontId="35" fillId="4" borderId="192" xfId="0" applyFont="1" applyFill="1" applyBorder="1" applyAlignment="1">
      <alignment horizontal="center"/>
    </xf>
    <xf numFmtId="0" fontId="35" fillId="4" borderId="64" xfId="0" applyFont="1" applyFill="1" applyBorder="1" applyAlignment="1">
      <alignment horizontal="center"/>
    </xf>
    <xf numFmtId="0" fontId="61" fillId="4" borderId="81" xfId="0" applyFont="1" applyFill="1" applyBorder="1"/>
    <xf numFmtId="0" fontId="61" fillId="4" borderId="4" xfId="0" applyFont="1" applyFill="1" applyBorder="1"/>
    <xf numFmtId="0" fontId="61" fillId="4" borderId="5" xfId="0" applyFont="1" applyFill="1" applyBorder="1"/>
    <xf numFmtId="0" fontId="33" fillId="3" borderId="0" xfId="0" applyFont="1" applyFill="1" applyBorder="1" applyAlignment="1">
      <alignment horizontal="center"/>
    </xf>
    <xf numFmtId="0" fontId="33" fillId="3" borderId="47" xfId="0" applyFont="1" applyFill="1" applyBorder="1" applyAlignment="1">
      <alignment horizontal="center"/>
    </xf>
    <xf numFmtId="0" fontId="35" fillId="4" borderId="65" xfId="0" applyFont="1" applyFill="1" applyBorder="1" applyAlignment="1">
      <alignment horizontal="center"/>
    </xf>
    <xf numFmtId="0" fontId="35" fillId="4" borderId="52" xfId="0" applyFont="1" applyFill="1" applyBorder="1" applyAlignment="1">
      <alignment horizontal="center"/>
    </xf>
    <xf numFmtId="0" fontId="35" fillId="4" borderId="173" xfId="0" applyFont="1" applyFill="1" applyBorder="1" applyAlignment="1">
      <alignment horizontal="center"/>
    </xf>
    <xf numFmtId="0" fontId="35" fillId="4" borderId="61" xfId="0" applyFont="1" applyFill="1" applyBorder="1" applyAlignment="1">
      <alignment horizontal="center"/>
    </xf>
    <xf numFmtId="0" fontId="36" fillId="4" borderId="39" xfId="0" applyFont="1" applyFill="1" applyBorder="1" applyAlignment="1"/>
    <xf numFmtId="0" fontId="36" fillId="4" borderId="0" xfId="0" applyFont="1" applyFill="1" applyBorder="1" applyAlignment="1"/>
    <xf numFmtId="0" fontId="36" fillId="4" borderId="47" xfId="0" applyFont="1" applyFill="1" applyBorder="1" applyAlignment="1"/>
    <xf numFmtId="0" fontId="10" fillId="4" borderId="172" xfId="0" applyFont="1" applyFill="1" applyBorder="1" applyAlignment="1" applyProtection="1">
      <alignment horizontal="center" vertical="center"/>
      <protection locked="0"/>
    </xf>
    <xf numFmtId="0" fontId="10" fillId="4" borderId="8" xfId="0" applyFont="1" applyFill="1" applyBorder="1" applyAlignment="1" applyProtection="1">
      <alignment horizontal="center" vertical="center"/>
      <protection locked="0"/>
    </xf>
    <xf numFmtId="0" fontId="33" fillId="2" borderId="39" xfId="0" applyFont="1" applyFill="1" applyBorder="1"/>
    <xf numFmtId="0" fontId="33" fillId="2" borderId="0" xfId="0" applyFont="1" applyFill="1" applyBorder="1"/>
    <xf numFmtId="0" fontId="10" fillId="4" borderId="7" xfId="0" applyFont="1" applyFill="1" applyBorder="1" applyAlignment="1" applyProtection="1">
      <alignment horizontal="center" vertical="center"/>
      <protection locked="0"/>
    </xf>
    <xf numFmtId="0" fontId="34" fillId="4" borderId="39" xfId="0" applyFont="1" applyFill="1" applyBorder="1" applyAlignment="1">
      <alignment horizontal="left" wrapText="1"/>
    </xf>
    <xf numFmtId="0" fontId="34" fillId="4" borderId="0" xfId="0" applyFont="1" applyFill="1" applyBorder="1" applyAlignment="1">
      <alignment horizontal="left" wrapText="1"/>
    </xf>
    <xf numFmtId="0" fontId="34" fillId="4" borderId="47" xfId="0" applyFont="1" applyFill="1" applyBorder="1" applyAlignment="1">
      <alignment horizontal="left" wrapText="1"/>
    </xf>
    <xf numFmtId="0" fontId="34" fillId="4" borderId="150" xfId="0" applyFont="1" applyFill="1" applyBorder="1" applyAlignment="1">
      <alignment horizontal="center" vertical="center" textRotation="90" wrapText="1"/>
    </xf>
    <xf numFmtId="0" fontId="34" fillId="4" borderId="60" xfId="0" applyFont="1" applyFill="1" applyBorder="1" applyAlignment="1">
      <alignment horizontal="center" vertical="center" textRotation="90" wrapText="1"/>
    </xf>
    <xf numFmtId="0" fontId="10" fillId="4" borderId="142" xfId="0" applyFont="1" applyFill="1" applyBorder="1" applyAlignment="1" applyProtection="1">
      <alignment horizontal="center" vertical="center"/>
      <protection locked="0"/>
    </xf>
    <xf numFmtId="0" fontId="10" fillId="4" borderId="82" xfId="0" applyFont="1" applyFill="1" applyBorder="1" applyAlignment="1" applyProtection="1">
      <alignment horizontal="center" vertical="center"/>
      <protection locked="0"/>
    </xf>
    <xf numFmtId="0" fontId="35" fillId="4" borderId="139" xfId="0" applyFont="1" applyFill="1" applyBorder="1"/>
    <xf numFmtId="0" fontId="35" fillId="4" borderId="140" xfId="0" applyFont="1" applyFill="1" applyBorder="1"/>
    <xf numFmtId="0" fontId="35" fillId="4" borderId="196" xfId="0" applyFont="1" applyFill="1" applyBorder="1"/>
    <xf numFmtId="0" fontId="34" fillId="4" borderId="65" xfId="0" applyFont="1" applyFill="1" applyBorder="1" applyAlignment="1">
      <alignment horizontal="center"/>
    </xf>
    <xf numFmtId="0" fontId="34" fillId="4" borderId="53" xfId="0" applyFont="1" applyFill="1" applyBorder="1" applyAlignment="1">
      <alignment horizontal="center"/>
    </xf>
    <xf numFmtId="0" fontId="34" fillId="4" borderId="17" xfId="0" applyFont="1" applyFill="1" applyBorder="1" applyAlignment="1">
      <alignment horizontal="center"/>
    </xf>
    <xf numFmtId="0" fontId="10" fillId="0" borderId="142" xfId="0" applyFont="1" applyBorder="1" applyAlignment="1" applyProtection="1">
      <alignment horizontal="center" vertical="center"/>
      <protection locked="0"/>
    </xf>
    <xf numFmtId="0" fontId="10" fillId="0" borderId="7" xfId="0" applyFont="1" applyBorder="1" applyAlignment="1" applyProtection="1">
      <alignment horizontal="center" vertical="center"/>
      <protection locked="0"/>
    </xf>
    <xf numFmtId="0" fontId="10" fillId="0" borderId="82" xfId="0" applyFont="1" applyBorder="1" applyAlignment="1" applyProtection="1">
      <alignment horizontal="center" vertical="center"/>
      <protection locked="0"/>
    </xf>
    <xf numFmtId="0" fontId="10" fillId="0" borderId="172" xfId="0" applyFont="1" applyBorder="1" applyAlignment="1" applyProtection="1">
      <alignment horizontal="center" vertical="center"/>
      <protection locked="0"/>
    </xf>
    <xf numFmtId="0" fontId="34" fillId="4" borderId="18" xfId="0" applyFont="1" applyFill="1" applyBorder="1" applyAlignment="1">
      <alignment horizontal="center"/>
    </xf>
    <xf numFmtId="0" fontId="10" fillId="0" borderId="172" xfId="0" applyFont="1" applyBorder="1" applyAlignment="1" applyProtection="1">
      <alignment vertical="center"/>
      <protection locked="0"/>
    </xf>
    <xf numFmtId="0" fontId="10" fillId="0" borderId="7" xfId="0" applyFont="1" applyBorder="1" applyAlignment="1" applyProtection="1">
      <alignment vertical="center"/>
      <protection locked="0"/>
    </xf>
    <xf numFmtId="0" fontId="10" fillId="0" borderId="82" xfId="0" applyFont="1" applyBorder="1" applyAlignment="1" applyProtection="1">
      <alignment vertical="center"/>
      <protection locked="0"/>
    </xf>
    <xf numFmtId="0" fontId="30" fillId="2" borderId="48" xfId="0" applyFont="1" applyFill="1" applyBorder="1" applyAlignment="1">
      <alignment vertical="top"/>
    </xf>
    <xf numFmtId="0" fontId="30" fillId="2" borderId="62" xfId="0" applyFont="1" applyFill="1" applyBorder="1" applyAlignment="1">
      <alignment vertical="top"/>
    </xf>
    <xf numFmtId="0" fontId="30" fillId="2" borderId="49" xfId="0" applyFont="1" applyFill="1" applyBorder="1" applyAlignment="1">
      <alignment vertical="top"/>
    </xf>
    <xf numFmtId="0" fontId="43" fillId="4" borderId="104" xfId="0" applyFont="1" applyFill="1" applyBorder="1"/>
    <xf numFmtId="0" fontId="43" fillId="4" borderId="2" xfId="0" applyFont="1" applyFill="1" applyBorder="1"/>
    <xf numFmtId="0" fontId="35" fillId="4" borderId="67" xfId="0" applyFont="1" applyFill="1" applyBorder="1"/>
    <xf numFmtId="0" fontId="35" fillId="4" borderId="69" xfId="0" applyFont="1" applyFill="1" applyBorder="1"/>
    <xf numFmtId="0" fontId="34" fillId="4" borderId="181" xfId="0" applyFont="1" applyFill="1" applyBorder="1"/>
    <xf numFmtId="0" fontId="34" fillId="4" borderId="116" xfId="0" applyFont="1" applyFill="1" applyBorder="1"/>
    <xf numFmtId="0" fontId="34" fillId="4" borderId="117" xfId="0" applyFont="1" applyFill="1" applyBorder="1"/>
    <xf numFmtId="0" fontId="35" fillId="4" borderId="61" xfId="0" applyFont="1" applyFill="1" applyBorder="1"/>
    <xf numFmtId="0" fontId="35" fillId="4" borderId="197" xfId="0" applyFont="1" applyFill="1" applyBorder="1"/>
    <xf numFmtId="0" fontId="34" fillId="4" borderId="3" xfId="0" applyFont="1" applyFill="1" applyBorder="1"/>
    <xf numFmtId="0" fontId="34" fillId="4" borderId="4" xfId="0" applyFont="1" applyFill="1" applyBorder="1"/>
    <xf numFmtId="0" fontId="34" fillId="4" borderId="5" xfId="0" applyFont="1" applyFill="1" applyBorder="1"/>
    <xf numFmtId="0" fontId="31" fillId="4" borderId="6" xfId="0" applyFont="1" applyFill="1" applyBorder="1"/>
    <xf numFmtId="0" fontId="31" fillId="4" borderId="7" xfId="0" applyFont="1" applyFill="1" applyBorder="1"/>
    <xf numFmtId="0" fontId="31" fillId="4" borderId="86" xfId="0" applyFont="1" applyFill="1" applyBorder="1"/>
    <xf numFmtId="0" fontId="31" fillId="4" borderId="53" xfId="0" applyFont="1" applyFill="1" applyBorder="1"/>
    <xf numFmtId="0" fontId="31" fillId="4" borderId="2" xfId="0" applyFont="1" applyFill="1" applyBorder="1"/>
    <xf numFmtId="0" fontId="31" fillId="4" borderId="10" xfId="0" applyFont="1" applyFill="1" applyBorder="1"/>
    <xf numFmtId="0" fontId="31" fillId="4" borderId="181" xfId="0" applyFont="1" applyFill="1" applyBorder="1"/>
    <xf numFmtId="0" fontId="31" fillId="4" borderId="116" xfId="0" applyFont="1" applyFill="1" applyBorder="1"/>
    <xf numFmtId="0" fontId="35" fillId="4" borderId="58" xfId="0" applyFont="1" applyFill="1" applyBorder="1" applyAlignment="1">
      <alignment horizontal="center"/>
    </xf>
    <xf numFmtId="0" fontId="35" fillId="4" borderId="53" xfId="0" applyFont="1" applyFill="1" applyBorder="1" applyAlignment="1">
      <alignment horizontal="center"/>
    </xf>
    <xf numFmtId="0" fontId="34" fillId="3" borderId="67" xfId="0" applyFont="1" applyFill="1" applyBorder="1" applyAlignment="1">
      <alignment horizontal="left" wrapText="1"/>
    </xf>
    <xf numFmtId="0" fontId="34" fillId="3" borderId="69" xfId="0" applyFont="1" applyFill="1" applyBorder="1" applyAlignment="1">
      <alignment horizontal="left" wrapText="1"/>
    </xf>
    <xf numFmtId="0" fontId="44" fillId="3" borderId="104" xfId="0" applyFont="1" applyFill="1" applyBorder="1" applyAlignment="1">
      <alignment horizontal="left" vertical="center" wrapText="1"/>
    </xf>
    <xf numFmtId="0" fontId="44" fillId="3" borderId="55" xfId="0" applyFont="1" applyFill="1" applyBorder="1" applyAlignment="1">
      <alignment horizontal="left" vertical="center" wrapText="1"/>
    </xf>
    <xf numFmtId="0" fontId="35" fillId="4" borderId="55" xfId="0" applyFont="1" applyFill="1" applyBorder="1" applyAlignment="1">
      <alignment horizontal="left" vertical="center"/>
    </xf>
    <xf numFmtId="0" fontId="35" fillId="4" borderId="10" xfId="0" applyFont="1" applyFill="1" applyBorder="1" applyAlignment="1">
      <alignment horizontal="left" vertical="center"/>
    </xf>
    <xf numFmtId="0" fontId="45" fillId="4" borderId="39" xfId="0" applyFont="1" applyFill="1" applyBorder="1"/>
    <xf numFmtId="0" fontId="45" fillId="4" borderId="0" xfId="0" applyFont="1" applyFill="1" applyBorder="1"/>
    <xf numFmtId="0" fontId="45" fillId="4" borderId="47" xfId="0" applyFont="1" applyFill="1" applyBorder="1"/>
    <xf numFmtId="0" fontId="31" fillId="2" borderId="48" xfId="0" applyFont="1" applyFill="1" applyBorder="1" applyAlignment="1">
      <alignment vertical="top"/>
    </xf>
    <xf numFmtId="0" fontId="31" fillId="2" borderId="62" xfId="0" applyFont="1" applyFill="1" applyBorder="1" applyAlignment="1">
      <alignment vertical="top"/>
    </xf>
    <xf numFmtId="0" fontId="31" fillId="2" borderId="49" xfId="0" applyFont="1" applyFill="1" applyBorder="1" applyAlignment="1">
      <alignment vertical="top"/>
    </xf>
    <xf numFmtId="0" fontId="45" fillId="3" borderId="2" xfId="0" applyFont="1" applyFill="1" applyBorder="1" applyAlignment="1">
      <alignment horizontal="left"/>
    </xf>
    <xf numFmtId="0" fontId="45" fillId="3" borderId="10" xfId="0" applyFont="1" applyFill="1" applyBorder="1" applyAlignment="1">
      <alignment horizontal="left"/>
    </xf>
    <xf numFmtId="0" fontId="45" fillId="3" borderId="15" xfId="0" applyFont="1" applyFill="1" applyBorder="1" applyAlignment="1">
      <alignment horizontal="left"/>
    </xf>
    <xf numFmtId="0" fontId="30" fillId="3" borderId="10" xfId="0" applyFont="1" applyFill="1" applyBorder="1" applyAlignment="1">
      <alignment horizontal="center"/>
    </xf>
    <xf numFmtId="0" fontId="30" fillId="3" borderId="15" xfId="0" applyFont="1" applyFill="1" applyBorder="1" applyAlignment="1">
      <alignment horizontal="center"/>
    </xf>
    <xf numFmtId="0" fontId="47" fillId="8" borderId="172" xfId="0" applyFont="1" applyFill="1" applyBorder="1" applyAlignment="1">
      <alignment horizontal="center"/>
    </xf>
    <xf numFmtId="0" fontId="47" fillId="8" borderId="7" xfId="0" applyFont="1" applyFill="1" applyBorder="1" applyAlignment="1">
      <alignment horizontal="center"/>
    </xf>
    <xf numFmtId="0" fontId="47" fillId="8" borderId="82" xfId="0" applyFont="1" applyFill="1" applyBorder="1" applyAlignment="1">
      <alignment horizontal="center"/>
    </xf>
    <xf numFmtId="0" fontId="43" fillId="8" borderId="142" xfId="0" applyFont="1" applyFill="1" applyBorder="1" applyAlignment="1">
      <alignment horizontal="center"/>
    </xf>
    <xf numFmtId="0" fontId="43" fillId="8" borderId="7" xfId="0" applyFont="1" applyFill="1" applyBorder="1" applyAlignment="1">
      <alignment horizontal="center"/>
    </xf>
    <xf numFmtId="0" fontId="43" fillId="8" borderId="82" xfId="0" applyFont="1" applyFill="1" applyBorder="1" applyAlignment="1">
      <alignment horizontal="center"/>
    </xf>
    <xf numFmtId="0" fontId="45" fillId="3" borderId="112" xfId="0" applyFont="1" applyFill="1" applyBorder="1" applyAlignment="1">
      <alignment horizontal="left"/>
    </xf>
    <xf numFmtId="0" fontId="45" fillId="3" borderId="138" xfId="0" applyFont="1" applyFill="1" applyBorder="1" applyAlignment="1">
      <alignment horizontal="left"/>
    </xf>
    <xf numFmtId="0" fontId="45" fillId="3" borderId="198" xfId="0" applyFont="1" applyFill="1" applyBorder="1" applyAlignment="1">
      <alignment horizontal="left"/>
    </xf>
    <xf numFmtId="0" fontId="45" fillId="3" borderId="104" xfId="0" applyFont="1" applyFill="1" applyBorder="1"/>
    <xf numFmtId="0" fontId="45" fillId="3" borderId="55" xfId="0" applyFont="1" applyFill="1" applyBorder="1"/>
    <xf numFmtId="0" fontId="45" fillId="3" borderId="94" xfId="0" applyFont="1" applyFill="1" applyBorder="1"/>
    <xf numFmtId="0" fontId="47" fillId="3" borderId="39" xfId="0" applyFont="1" applyFill="1" applyBorder="1"/>
    <xf numFmtId="0" fontId="47" fillId="3" borderId="0" xfId="0" applyFont="1" applyFill="1" applyBorder="1"/>
    <xf numFmtId="0" fontId="47" fillId="3" borderId="47" xfId="0" applyFont="1" applyFill="1" applyBorder="1"/>
    <xf numFmtId="0" fontId="47" fillId="8" borderId="81" xfId="0" applyFont="1" applyFill="1" applyBorder="1" applyAlignment="1">
      <alignment horizontal="center"/>
    </xf>
    <xf numFmtId="0" fontId="47" fillId="8" borderId="4" xfId="0" applyFont="1" applyFill="1" applyBorder="1" applyAlignment="1">
      <alignment horizontal="center"/>
    </xf>
    <xf numFmtId="0" fontId="47" fillId="8" borderId="41" xfId="0" applyFont="1" applyFill="1" applyBorder="1" applyAlignment="1">
      <alignment horizontal="center"/>
    </xf>
    <xf numFmtId="0" fontId="47" fillId="3" borderId="39" xfId="0" applyFont="1" applyFill="1" applyBorder="1" applyAlignment="1">
      <alignment horizontal="left" wrapText="1"/>
    </xf>
    <xf numFmtId="0" fontId="47" fillId="3" borderId="0" xfId="0" applyFont="1" applyFill="1" applyBorder="1" applyAlignment="1">
      <alignment horizontal="left" wrapText="1"/>
    </xf>
    <xf numFmtId="0" fontId="47" fillId="3" borderId="47" xfId="0" applyFont="1" applyFill="1" applyBorder="1" applyAlignment="1">
      <alignment horizontal="left" wrapText="1"/>
    </xf>
    <xf numFmtId="0" fontId="4" fillId="3" borderId="39" xfId="0" applyFont="1" applyFill="1" applyBorder="1" applyAlignment="1">
      <alignment horizontal="left" vertical="center"/>
    </xf>
    <xf numFmtId="0" fontId="4" fillId="3" borderId="0" xfId="0" applyFont="1" applyFill="1" applyBorder="1" applyAlignment="1">
      <alignment horizontal="left" vertical="center"/>
    </xf>
    <xf numFmtId="0" fontId="4" fillId="3" borderId="47" xfId="0" applyFont="1" applyFill="1" applyBorder="1" applyAlignment="1">
      <alignment horizontal="left" vertical="center"/>
    </xf>
    <xf numFmtId="0" fontId="4" fillId="3" borderId="73" xfId="0" applyFont="1" applyFill="1" applyBorder="1" applyAlignment="1">
      <alignment horizontal="left"/>
    </xf>
    <xf numFmtId="0" fontId="4" fillId="3" borderId="72" xfId="0" applyFont="1" applyFill="1" applyBorder="1" applyAlignment="1">
      <alignment horizontal="left"/>
    </xf>
    <xf numFmtId="0" fontId="32" fillId="3" borderId="2" xfId="0" applyFont="1" applyFill="1" applyBorder="1" applyAlignment="1">
      <alignment horizontal="left" wrapText="1"/>
    </xf>
    <xf numFmtId="0" fontId="32" fillId="3" borderId="10" xfId="0" applyFont="1" applyFill="1" applyBorder="1" applyAlignment="1">
      <alignment horizontal="left" wrapText="1"/>
    </xf>
    <xf numFmtId="0" fontId="32" fillId="3" borderId="15" xfId="0" applyFont="1" applyFill="1" applyBorder="1" applyAlignment="1">
      <alignment horizontal="left" wrapText="1"/>
    </xf>
    <xf numFmtId="0" fontId="4" fillId="3" borderId="2" xfId="0" applyFont="1" applyFill="1" applyBorder="1" applyAlignment="1">
      <alignment horizontal="left" vertical="center"/>
    </xf>
    <xf numFmtId="0" fontId="4" fillId="3" borderId="10" xfId="0" applyFont="1" applyFill="1" applyBorder="1" applyAlignment="1">
      <alignment horizontal="left" vertical="center"/>
    </xf>
    <xf numFmtId="0" fontId="4" fillId="3" borderId="15" xfId="0" applyFont="1" applyFill="1" applyBorder="1" applyAlignment="1">
      <alignment horizontal="left" vertical="center"/>
    </xf>
    <xf numFmtId="0" fontId="47" fillId="4" borderId="164" xfId="0" applyFont="1" applyFill="1" applyBorder="1"/>
    <xf numFmtId="0" fontId="47" fillId="4" borderId="51" xfId="0" applyFont="1" applyFill="1" applyBorder="1"/>
    <xf numFmtId="0" fontId="4" fillId="3" borderId="73" xfId="0" applyFont="1" applyFill="1" applyBorder="1" applyAlignment="1">
      <alignment horizontal="left" wrapText="1"/>
    </xf>
    <xf numFmtId="0" fontId="4" fillId="3" borderId="72" xfId="0" applyFont="1" applyFill="1" applyBorder="1" applyAlignment="1">
      <alignment horizontal="left" wrapText="1"/>
    </xf>
    <xf numFmtId="0" fontId="8" fillId="4" borderId="87" xfId="0" applyFont="1" applyFill="1" applyBorder="1" applyAlignment="1">
      <alignment horizontal="center" vertical="center" wrapText="1"/>
    </xf>
    <xf numFmtId="0" fontId="8" fillId="4" borderId="70" xfId="0" applyFont="1" applyFill="1" applyBorder="1" applyAlignment="1">
      <alignment horizontal="center" vertical="center" wrapText="1"/>
    </xf>
    <xf numFmtId="0" fontId="8" fillId="0" borderId="48" xfId="0" applyFont="1" applyBorder="1" applyAlignment="1" applyProtection="1">
      <alignment horizontal="left" vertical="top" wrapText="1"/>
      <protection locked="0"/>
    </xf>
    <xf numFmtId="0" fontId="8" fillId="0" borderId="62" xfId="0" applyFont="1" applyBorder="1" applyAlignment="1" applyProtection="1">
      <alignment horizontal="left" vertical="top" wrapText="1"/>
      <protection locked="0"/>
    </xf>
    <xf numFmtId="0" fontId="8" fillId="0" borderId="49" xfId="0" applyFont="1" applyBorder="1" applyAlignment="1" applyProtection="1">
      <alignment horizontal="left" vertical="top" wrapText="1"/>
      <protection locked="0"/>
    </xf>
    <xf numFmtId="0" fontId="4" fillId="3" borderId="2" xfId="0" applyFont="1" applyFill="1" applyBorder="1" applyAlignment="1">
      <alignment vertical="center"/>
    </xf>
    <xf numFmtId="0" fontId="4" fillId="3" borderId="10" xfId="0" applyFont="1" applyFill="1" applyBorder="1" applyAlignment="1">
      <alignment vertical="center"/>
    </xf>
    <xf numFmtId="0" fontId="4" fillId="3" borderId="15" xfId="0" applyFont="1" applyFill="1" applyBorder="1" applyAlignment="1">
      <alignment vertical="center"/>
    </xf>
    <xf numFmtId="0" fontId="6" fillId="3" borderId="67" xfId="0" applyFont="1" applyFill="1" applyBorder="1"/>
    <xf numFmtId="0" fontId="6" fillId="3" borderId="69" xfId="0" applyFont="1" applyFill="1" applyBorder="1"/>
    <xf numFmtId="0" fontId="6" fillId="3" borderId="70" xfId="0" applyFont="1" applyFill="1" applyBorder="1"/>
    <xf numFmtId="0" fontId="9" fillId="4" borderId="34" xfId="0" applyFont="1" applyFill="1" applyBorder="1" applyAlignment="1">
      <alignment horizontal="center" vertical="center" textRotation="90"/>
    </xf>
    <xf numFmtId="0" fontId="9" fillId="4" borderId="35" xfId="0" applyFont="1" applyFill="1" applyBorder="1" applyAlignment="1">
      <alignment horizontal="center" vertical="center" textRotation="90"/>
    </xf>
    <xf numFmtId="0" fontId="9" fillId="4" borderId="39" xfId="0" applyFont="1" applyFill="1" applyBorder="1"/>
    <xf numFmtId="0" fontId="9" fillId="4" borderId="0" xfId="0" applyFont="1" applyFill="1" applyBorder="1"/>
    <xf numFmtId="0" fontId="9" fillId="4" borderId="47" xfId="0" applyFont="1" applyFill="1" applyBorder="1"/>
    <xf numFmtId="0" fontId="8" fillId="3" borderId="39" xfId="0" applyFont="1" applyFill="1" applyBorder="1" applyAlignment="1">
      <alignment horizontal="left"/>
    </xf>
    <xf numFmtId="0" fontId="8" fillId="3" borderId="0" xfId="0" applyFont="1" applyFill="1" applyBorder="1" applyAlignment="1">
      <alignment horizontal="left"/>
    </xf>
    <xf numFmtId="0" fontId="8" fillId="3" borderId="47" xfId="0" applyFont="1" applyFill="1" applyBorder="1" applyAlignment="1">
      <alignment horizontal="left"/>
    </xf>
    <xf numFmtId="0" fontId="9" fillId="4" borderId="125" xfId="0" applyFont="1" applyFill="1" applyBorder="1" applyAlignment="1">
      <alignment horizontal="center" vertical="center"/>
    </xf>
    <xf numFmtId="0" fontId="9" fillId="4" borderId="129" xfId="0" applyFont="1" applyFill="1" applyBorder="1" applyAlignment="1">
      <alignment horizontal="center" vertical="center"/>
    </xf>
    <xf numFmtId="0" fontId="9" fillId="4" borderId="125" xfId="0" applyFont="1" applyFill="1" applyBorder="1" applyAlignment="1">
      <alignment vertical="center" wrapText="1"/>
    </xf>
    <xf numFmtId="0" fontId="9" fillId="4" borderId="129" xfId="0" applyFont="1" applyFill="1" applyBorder="1" applyAlignment="1">
      <alignment vertical="center" wrapText="1"/>
    </xf>
    <xf numFmtId="0" fontId="8" fillId="4" borderId="39" xfId="0" applyFont="1" applyFill="1" applyBorder="1" applyAlignment="1">
      <alignment horizontal="left" vertical="center"/>
    </xf>
    <xf numFmtId="0" fontId="8" fillId="4" borderId="57" xfId="0" applyFont="1" applyFill="1" applyBorder="1" applyAlignment="1">
      <alignment horizontal="left" vertical="center"/>
    </xf>
    <xf numFmtId="0" fontId="8" fillId="4" borderId="2" xfId="0" applyFont="1" applyFill="1" applyBorder="1" applyAlignment="1">
      <alignment horizontal="left" vertical="center"/>
    </xf>
    <xf numFmtId="0" fontId="8" fillId="4" borderId="11" xfId="0" applyFont="1" applyFill="1" applyBorder="1" applyAlignment="1">
      <alignment horizontal="left" vertical="center"/>
    </xf>
    <xf numFmtId="0" fontId="8" fillId="4" borderId="39" xfId="0" applyFont="1" applyFill="1" applyBorder="1" applyAlignment="1">
      <alignment horizontal="left" vertical="center" wrapText="1"/>
    </xf>
    <xf numFmtId="0" fontId="8" fillId="4" borderId="57" xfId="0" applyFont="1" applyFill="1" applyBorder="1" applyAlignment="1">
      <alignment horizontal="left" vertical="center" wrapText="1"/>
    </xf>
    <xf numFmtId="0" fontId="8" fillId="4" borderId="2" xfId="0" applyFont="1" applyFill="1" applyBorder="1" applyAlignment="1">
      <alignment horizontal="left" vertical="center" wrapText="1"/>
    </xf>
    <xf numFmtId="0" fontId="8" fillId="4" borderId="11" xfId="0" applyFont="1" applyFill="1" applyBorder="1" applyAlignment="1">
      <alignment horizontal="left" vertical="center" wrapText="1"/>
    </xf>
    <xf numFmtId="0" fontId="9" fillId="4" borderId="39" xfId="0" applyFont="1" applyFill="1" applyBorder="1" applyAlignment="1"/>
    <xf numFmtId="0" fontId="9" fillId="4" borderId="0" xfId="0" applyFont="1" applyFill="1" applyBorder="1" applyAlignment="1"/>
    <xf numFmtId="0" fontId="9" fillId="4" borderId="47" xfId="0" applyFont="1" applyFill="1" applyBorder="1" applyAlignment="1"/>
    <xf numFmtId="0" fontId="9" fillId="3" borderId="39" xfId="0" applyFont="1" applyFill="1" applyBorder="1"/>
    <xf numFmtId="0" fontId="9" fillId="3" borderId="0" xfId="0" applyFont="1" applyFill="1" applyBorder="1"/>
    <xf numFmtId="0" fontId="9" fillId="3" borderId="47" xfId="0" applyFont="1" applyFill="1" applyBorder="1"/>
    <xf numFmtId="0" fontId="8" fillId="4" borderId="104" xfId="0" applyFont="1" applyFill="1" applyBorder="1" applyAlignment="1">
      <alignment horizontal="left" vertical="center" wrapText="1"/>
    </xf>
    <xf numFmtId="0" fontId="8" fillId="4" borderId="56" xfId="0" applyFont="1" applyFill="1" applyBorder="1" applyAlignment="1">
      <alignment horizontal="left" vertical="center" wrapText="1"/>
    </xf>
    <xf numFmtId="0" fontId="8" fillId="2" borderId="48" xfId="0" applyFont="1" applyFill="1" applyBorder="1" applyAlignment="1" applyProtection="1">
      <alignment horizontal="left" vertical="top" wrapText="1"/>
      <protection locked="0"/>
    </xf>
    <xf numFmtId="0" fontId="8" fillId="2" borderId="62" xfId="0" applyFont="1" applyFill="1" applyBorder="1" applyAlignment="1" applyProtection="1">
      <alignment horizontal="left" vertical="top" wrapText="1"/>
      <protection locked="0"/>
    </xf>
    <xf numFmtId="0" fontId="8" fillId="2" borderId="49" xfId="0" applyFont="1" applyFill="1" applyBorder="1" applyAlignment="1" applyProtection="1">
      <alignment horizontal="left" vertical="top" wrapText="1"/>
      <protection locked="0"/>
    </xf>
    <xf numFmtId="0" fontId="8" fillId="3" borderId="59" xfId="0" applyFont="1" applyFill="1" applyBorder="1"/>
    <xf numFmtId="0" fontId="8" fillId="3" borderId="58" xfId="0" applyFont="1" applyFill="1" applyBorder="1"/>
    <xf numFmtId="0" fontId="8" fillId="3" borderId="32" xfId="0" applyFont="1" applyFill="1" applyBorder="1"/>
    <xf numFmtId="0" fontId="9" fillId="13" borderId="67" xfId="0" applyFont="1" applyFill="1" applyBorder="1" applyAlignment="1">
      <alignment horizontal="center" wrapText="1"/>
    </xf>
    <xf numFmtId="0" fontId="9" fillId="13" borderId="69" xfId="0" applyFont="1" applyFill="1" applyBorder="1" applyAlignment="1">
      <alignment horizontal="center" wrapText="1"/>
    </xf>
    <xf numFmtId="0" fontId="9" fillId="13" borderId="14" xfId="0" applyFont="1" applyFill="1" applyBorder="1" applyAlignment="1">
      <alignment horizontal="center" wrapText="1"/>
    </xf>
    <xf numFmtId="0" fontId="4" fillId="3" borderId="68" xfId="0" applyFont="1" applyFill="1" applyBorder="1" applyAlignment="1">
      <alignment horizontal="center" wrapText="1"/>
    </xf>
    <xf numFmtId="0" fontId="30" fillId="3" borderId="199" xfId="0" applyFont="1" applyFill="1" applyBorder="1" applyAlignment="1">
      <alignment horizontal="center" wrapText="1"/>
    </xf>
    <xf numFmtId="0" fontId="9" fillId="4" borderId="67" xfId="0" applyFont="1" applyFill="1" applyBorder="1"/>
    <xf numFmtId="0" fontId="9" fillId="4" borderId="69" xfId="0" applyFont="1" applyFill="1" applyBorder="1"/>
    <xf numFmtId="0" fontId="9" fillId="4" borderId="14" xfId="0" applyFont="1" applyFill="1" applyBorder="1"/>
    <xf numFmtId="0" fontId="8" fillId="4" borderId="104" xfId="0" applyFont="1" applyFill="1" applyBorder="1" applyAlignment="1">
      <alignment horizontal="left" vertical="center"/>
    </xf>
    <xf numFmtId="0" fontId="8" fillId="4" borderId="56" xfId="0" applyFont="1" applyFill="1" applyBorder="1" applyAlignment="1">
      <alignment horizontal="left" vertical="center"/>
    </xf>
    <xf numFmtId="0" fontId="4" fillId="3" borderId="113" xfId="0" applyFont="1" applyFill="1" applyBorder="1" applyAlignment="1">
      <alignment wrapText="1"/>
    </xf>
    <xf numFmtId="0" fontId="4" fillId="3" borderId="72" xfId="0" applyFont="1" applyFill="1" applyBorder="1" applyAlignment="1">
      <alignment wrapText="1"/>
    </xf>
    <xf numFmtId="0" fontId="4" fillId="3" borderId="39" xfId="0" applyFont="1" applyFill="1" applyBorder="1" applyAlignment="1">
      <alignment vertical="center" wrapText="1"/>
    </xf>
    <xf numFmtId="0" fontId="4" fillId="3" borderId="0" xfId="0" applyFont="1" applyFill="1" applyBorder="1" applyAlignment="1">
      <alignment vertical="center" wrapText="1"/>
    </xf>
    <xf numFmtId="0" fontId="4" fillId="3" borderId="47" xfId="0" applyFont="1" applyFill="1" applyBorder="1" applyAlignment="1">
      <alignment vertical="center" wrapText="1"/>
    </xf>
    <xf numFmtId="0" fontId="3" fillId="3" borderId="2" xfId="0" applyFont="1" applyFill="1" applyBorder="1" applyAlignment="1">
      <alignment vertical="center" wrapText="1"/>
    </xf>
    <xf numFmtId="0" fontId="3" fillId="3" borderId="10" xfId="0" applyFont="1" applyFill="1" applyBorder="1" applyAlignment="1">
      <alignment vertical="center" wrapText="1"/>
    </xf>
    <xf numFmtId="0" fontId="3" fillId="3" borderId="15" xfId="0" applyFont="1" applyFill="1" applyBorder="1" applyAlignment="1">
      <alignment vertical="center" wrapText="1"/>
    </xf>
    <xf numFmtId="0" fontId="0" fillId="13" borderId="9" xfId="0" applyFill="1" applyBorder="1" applyAlignment="1">
      <alignment wrapText="1"/>
    </xf>
    <xf numFmtId="0" fontId="0" fillId="13" borderId="25" xfId="0" applyFill="1" applyBorder="1" applyAlignment="1">
      <alignment wrapText="1"/>
    </xf>
    <xf numFmtId="0" fontId="0" fillId="13" borderId="169" xfId="0" applyFill="1" applyBorder="1" applyAlignment="1">
      <alignment wrapText="1"/>
    </xf>
    <xf numFmtId="0" fontId="0" fillId="13" borderId="123" xfId="0" applyFill="1" applyBorder="1" applyAlignment="1">
      <alignment wrapText="1"/>
    </xf>
    <xf numFmtId="0" fontId="4" fillId="12" borderId="68" xfId="0" applyFont="1" applyFill="1" applyBorder="1" applyAlignment="1">
      <alignment horizontal="center" wrapText="1"/>
    </xf>
    <xf numFmtId="0" fontId="30" fillId="12" borderId="199" xfId="0" applyFont="1" applyFill="1" applyBorder="1" applyAlignment="1">
      <alignment horizontal="center" wrapText="1"/>
    </xf>
    <xf numFmtId="0" fontId="4" fillId="12" borderId="113" xfId="0" applyFont="1" applyFill="1" applyBorder="1" applyAlignment="1">
      <alignment wrapText="1"/>
    </xf>
    <xf numFmtId="0" fontId="4" fillId="12" borderId="72" xfId="0" applyFont="1" applyFill="1" applyBorder="1" applyAlignment="1">
      <alignment wrapText="1"/>
    </xf>
    <xf numFmtId="0" fontId="4" fillId="12" borderId="39" xfId="0" applyFont="1" applyFill="1" applyBorder="1" applyAlignment="1">
      <alignment vertical="center" wrapText="1"/>
    </xf>
    <xf numFmtId="0" fontId="4" fillId="12" borderId="0" xfId="0" applyFont="1" applyFill="1" applyBorder="1" applyAlignment="1">
      <alignment vertical="center" wrapText="1"/>
    </xf>
    <xf numFmtId="0" fontId="4" fillId="12" borderId="47" xfId="0" applyFont="1" applyFill="1" applyBorder="1" applyAlignment="1">
      <alignment vertical="center" wrapText="1"/>
    </xf>
    <xf numFmtId="0" fontId="3" fillId="4" borderId="25" xfId="0" applyFont="1" applyFill="1" applyBorder="1" applyAlignment="1">
      <alignment horizontal="center" vertical="center" wrapText="1"/>
    </xf>
    <xf numFmtId="0" fontId="3" fillId="2" borderId="142" xfId="0" applyFont="1" applyFill="1" applyBorder="1" applyAlignment="1">
      <alignment horizontal="left" vertical="center" wrapText="1"/>
    </xf>
    <xf numFmtId="0" fontId="3" fillId="2" borderId="8" xfId="0" applyFont="1" applyFill="1" applyBorder="1" applyAlignment="1">
      <alignment horizontal="left" vertical="center" wrapText="1"/>
    </xf>
    <xf numFmtId="0" fontId="8" fillId="4" borderId="6" xfId="0" applyFont="1" applyFill="1" applyBorder="1" applyAlignment="1">
      <alignment horizontal="right" vertical="center" wrapText="1"/>
    </xf>
    <xf numFmtId="0" fontId="8" fillId="4" borderId="8" xfId="0" applyFont="1" applyFill="1" applyBorder="1" applyAlignment="1">
      <alignment horizontal="right" vertical="center" wrapText="1"/>
    </xf>
    <xf numFmtId="0" fontId="6" fillId="3" borderId="200" xfId="0" applyFont="1" applyFill="1" applyBorder="1" applyAlignment="1">
      <alignment horizontal="left" vertical="center" wrapText="1"/>
    </xf>
    <xf numFmtId="0" fontId="6" fillId="3" borderId="110" xfId="0" applyFont="1" applyFill="1" applyBorder="1" applyAlignment="1">
      <alignment horizontal="left" vertical="center" wrapText="1"/>
    </xf>
    <xf numFmtId="0" fontId="3" fillId="2" borderId="53" xfId="0" applyFont="1" applyFill="1" applyBorder="1" applyAlignment="1">
      <alignment vertical="center" wrapText="1"/>
    </xf>
    <xf numFmtId="0" fontId="6" fillId="4" borderId="86" xfId="0" applyFont="1" applyFill="1" applyBorder="1" applyAlignment="1">
      <alignment horizontal="left" vertical="center" wrapText="1"/>
    </xf>
    <xf numFmtId="0" fontId="6" fillId="4" borderId="53" xfId="0" applyFont="1" applyFill="1" applyBorder="1" applyAlignment="1">
      <alignment horizontal="left" vertical="center" wrapText="1"/>
    </xf>
    <xf numFmtId="0" fontId="4" fillId="3" borderId="72" xfId="0" applyFont="1" applyFill="1" applyBorder="1" applyAlignment="1"/>
    <xf numFmtId="0" fontId="6" fillId="4" borderId="25" xfId="0" applyFont="1" applyFill="1" applyBorder="1" applyAlignment="1">
      <alignment horizontal="left" vertical="center" wrapText="1"/>
    </xf>
    <xf numFmtId="0" fontId="3" fillId="2" borderId="25" xfId="0" applyFont="1" applyFill="1" applyBorder="1" applyAlignment="1">
      <alignment vertical="center" wrapText="1"/>
    </xf>
    <xf numFmtId="0" fontId="3" fillId="2" borderId="4" xfId="0" applyFont="1" applyFill="1" applyBorder="1" applyAlignment="1">
      <alignment horizontal="center" vertical="center" wrapText="1"/>
    </xf>
    <xf numFmtId="0" fontId="3" fillId="2" borderId="41" xfId="0" applyFont="1" applyFill="1" applyBorder="1" applyAlignment="1">
      <alignment horizontal="center" vertical="center" wrapText="1"/>
    </xf>
    <xf numFmtId="0" fontId="3" fillId="3" borderId="67" xfId="0" applyFont="1" applyFill="1" applyBorder="1" applyAlignment="1">
      <alignment horizontal="left" vertical="center" wrapText="1"/>
    </xf>
    <xf numFmtId="0" fontId="3" fillId="3" borderId="69" xfId="0" applyFont="1" applyFill="1" applyBorder="1" applyAlignment="1">
      <alignment horizontal="left" vertical="center" wrapText="1"/>
    </xf>
    <xf numFmtId="0" fontId="3" fillId="3" borderId="70" xfId="0" applyFont="1" applyFill="1" applyBorder="1" applyAlignment="1">
      <alignment horizontal="left" vertical="center" wrapText="1"/>
    </xf>
    <xf numFmtId="0" fontId="10" fillId="4" borderId="57" xfId="0" applyFont="1" applyFill="1" applyBorder="1" applyAlignment="1">
      <alignment horizontal="center" vertical="center"/>
    </xf>
    <xf numFmtId="0" fontId="10" fillId="4" borderId="11" xfId="0" applyFont="1" applyFill="1" applyBorder="1" applyAlignment="1">
      <alignment horizontal="center" vertical="center"/>
    </xf>
    <xf numFmtId="0" fontId="10" fillId="4" borderId="57"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191" xfId="0" applyFont="1" applyFill="1" applyBorder="1" applyAlignment="1">
      <alignment horizontal="center" vertical="center" wrapText="1"/>
    </xf>
    <xf numFmtId="0" fontId="10" fillId="4" borderId="36" xfId="0" applyFont="1" applyFill="1" applyBorder="1" applyAlignment="1">
      <alignment horizontal="center" vertical="center" wrapText="1"/>
    </xf>
    <xf numFmtId="0" fontId="10" fillId="4" borderId="39" xfId="0" applyFont="1" applyFill="1" applyBorder="1" applyAlignment="1">
      <alignment horizontal="center" vertical="center"/>
    </xf>
    <xf numFmtId="0" fontId="10" fillId="4" borderId="2" xfId="0" applyFont="1" applyFill="1" applyBorder="1" applyAlignment="1">
      <alignment horizontal="center" vertical="center"/>
    </xf>
    <xf numFmtId="0" fontId="10" fillId="4" borderId="47"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3" fillId="4" borderId="0" xfId="0" applyFont="1" applyFill="1" applyBorder="1"/>
    <xf numFmtId="0" fontId="3" fillId="4" borderId="47" xfId="0" applyFont="1" applyFill="1" applyBorder="1"/>
    <xf numFmtId="0" fontId="8" fillId="0" borderId="176" xfId="0" applyFont="1" applyBorder="1" applyAlignment="1" applyProtection="1">
      <alignment horizontal="left" vertical="top" wrapText="1"/>
      <protection locked="0"/>
    </xf>
    <xf numFmtId="0" fontId="8" fillId="0" borderId="10" xfId="0" applyFont="1" applyBorder="1" applyAlignment="1" applyProtection="1">
      <alignment horizontal="left" vertical="top" wrapText="1"/>
      <protection locked="0"/>
    </xf>
    <xf numFmtId="0" fontId="8" fillId="0" borderId="15" xfId="0" applyFont="1" applyBorder="1" applyAlignment="1" applyProtection="1">
      <alignment horizontal="left" vertical="top" wrapText="1"/>
      <protection locked="0"/>
    </xf>
    <xf numFmtId="0" fontId="10" fillId="0" borderId="67" xfId="0" applyFont="1" applyBorder="1" applyAlignment="1" applyProtection="1">
      <alignment horizontal="left" vertical="top" wrapText="1"/>
      <protection locked="0"/>
    </xf>
    <xf numFmtId="0" fontId="10" fillId="0" borderId="69" xfId="0" applyFont="1" applyBorder="1" applyAlignment="1" applyProtection="1">
      <alignment horizontal="left" vertical="top" wrapText="1"/>
      <protection locked="0"/>
    </xf>
    <xf numFmtId="0" fontId="10" fillId="0" borderId="70" xfId="0" applyFont="1" applyBorder="1" applyAlignment="1" applyProtection="1">
      <alignment horizontal="left" vertical="top" wrapText="1"/>
      <protection locked="0"/>
    </xf>
    <xf numFmtId="0" fontId="4" fillId="3" borderId="104" xfId="0" applyFont="1" applyFill="1" applyBorder="1" applyAlignment="1">
      <alignment vertical="center"/>
    </xf>
    <xf numFmtId="0" fontId="4" fillId="3" borderId="94" xfId="0" applyFont="1" applyFill="1" applyBorder="1" applyAlignment="1">
      <alignment vertical="center"/>
    </xf>
    <xf numFmtId="0" fontId="3" fillId="4" borderId="104" xfId="0" applyFont="1" applyFill="1" applyBorder="1"/>
    <xf numFmtId="0" fontId="3" fillId="4" borderId="94" xfId="0" applyFont="1" applyFill="1" applyBorder="1"/>
    <xf numFmtId="0" fontId="3" fillId="2" borderId="48" xfId="0" applyFont="1" applyFill="1" applyBorder="1"/>
    <xf numFmtId="0" fontId="3" fillId="2" borderId="49" xfId="0" applyFont="1" applyFill="1" applyBorder="1"/>
    <xf numFmtId="0" fontId="3" fillId="3" borderId="67" xfId="0" applyFont="1" applyFill="1" applyBorder="1" applyAlignment="1">
      <alignment vertical="center"/>
    </xf>
    <xf numFmtId="0" fontId="3" fillId="3" borderId="70" xfId="0" applyFont="1" applyFill="1" applyBorder="1" applyAlignment="1">
      <alignment vertical="center"/>
    </xf>
    <xf numFmtId="0" fontId="18" fillId="4" borderId="0" xfId="2" applyFont="1" applyFill="1" applyBorder="1" applyAlignment="1">
      <alignment horizontal="center"/>
    </xf>
    <xf numFmtId="0" fontId="1" fillId="8" borderId="55" xfId="2" applyNumberFormat="1" applyFont="1" applyFill="1" applyBorder="1" applyAlignment="1" applyProtection="1">
      <alignment horizontal="left" vertical="center" wrapText="1"/>
    </xf>
    <xf numFmtId="0" fontId="1" fillId="8" borderId="94" xfId="2" applyNumberFormat="1" applyFont="1" applyFill="1" applyBorder="1" applyAlignment="1" applyProtection="1">
      <alignment horizontal="left" vertical="center" wrapText="1"/>
    </xf>
    <xf numFmtId="0" fontId="17" fillId="4" borderId="83" xfId="2" applyFont="1" applyFill="1" applyBorder="1" applyAlignment="1" applyProtection="1">
      <alignment horizontal="left" vertical="center" wrapText="1"/>
    </xf>
    <xf numFmtId="0" fontId="17" fillId="4" borderId="84" xfId="2" applyFont="1" applyFill="1" applyBorder="1" applyAlignment="1" applyProtection="1">
      <alignment horizontal="left" vertical="center" wrapText="1"/>
    </xf>
    <xf numFmtId="0" fontId="17" fillId="4" borderId="201" xfId="2" applyFont="1" applyFill="1" applyBorder="1" applyAlignment="1" applyProtection="1">
      <alignment horizontal="center" vertical="center" wrapText="1"/>
    </xf>
    <xf numFmtId="0" fontId="17" fillId="4" borderId="52" xfId="2" applyFont="1" applyFill="1" applyBorder="1" applyAlignment="1" applyProtection="1">
      <alignment horizontal="center" vertical="center" wrapText="1"/>
    </xf>
    <xf numFmtId="0" fontId="17" fillId="4" borderId="65" xfId="2" applyFont="1" applyFill="1" applyBorder="1" applyAlignment="1" applyProtection="1">
      <alignment horizontal="center" vertical="center" wrapText="1"/>
    </xf>
    <xf numFmtId="0" fontId="17" fillId="4" borderId="17" xfId="2" applyFont="1" applyFill="1" applyBorder="1" applyAlignment="1" applyProtection="1">
      <alignment horizontal="center" vertical="center" wrapText="1"/>
    </xf>
    <xf numFmtId="0" fontId="15" fillId="3" borderId="2" xfId="2" applyFont="1" applyFill="1" applyBorder="1" applyAlignment="1" applyProtection="1">
      <alignment horizontal="left" vertical="center"/>
    </xf>
    <xf numFmtId="0" fontId="15" fillId="3" borderId="10" xfId="2" applyFont="1" applyFill="1" applyBorder="1" applyAlignment="1" applyProtection="1">
      <alignment horizontal="left" vertical="center"/>
    </xf>
    <xf numFmtId="0" fontId="15" fillId="3" borderId="15" xfId="2" applyFont="1" applyFill="1" applyBorder="1" applyAlignment="1" applyProtection="1">
      <alignment horizontal="left" vertical="center"/>
    </xf>
    <xf numFmtId="0" fontId="17" fillId="4" borderId="18" xfId="2" applyFont="1" applyFill="1" applyBorder="1" applyAlignment="1" applyProtection="1">
      <alignment horizontal="center" vertical="center" wrapText="1"/>
    </xf>
    <xf numFmtId="0" fontId="17" fillId="0" borderId="39" xfId="2" applyFont="1" applyBorder="1" applyAlignment="1" applyProtection="1">
      <alignment horizontal="left" vertical="top"/>
      <protection locked="0"/>
    </xf>
    <xf numFmtId="0" fontId="17" fillId="0" borderId="0" xfId="2" applyFont="1" applyBorder="1" applyAlignment="1" applyProtection="1">
      <alignment horizontal="left" vertical="top"/>
      <protection locked="0"/>
    </xf>
    <xf numFmtId="0" fontId="17" fillId="0" borderId="47" xfId="2" applyFont="1" applyBorder="1" applyAlignment="1" applyProtection="1">
      <alignment horizontal="left" vertical="top"/>
      <protection locked="0"/>
    </xf>
    <xf numFmtId="0" fontId="17" fillId="0" borderId="48" xfId="2" applyFont="1" applyBorder="1" applyAlignment="1" applyProtection="1">
      <alignment horizontal="left" vertical="top"/>
      <protection locked="0"/>
    </xf>
    <xf numFmtId="0" fontId="17" fillId="0" borderId="62" xfId="2" applyFont="1" applyBorder="1" applyAlignment="1" applyProtection="1">
      <alignment horizontal="left" vertical="top"/>
      <protection locked="0"/>
    </xf>
    <xf numFmtId="0" fontId="17" fillId="0" borderId="49" xfId="2" applyFont="1" applyBorder="1" applyAlignment="1" applyProtection="1">
      <alignment horizontal="left" vertical="top"/>
      <protection locked="0"/>
    </xf>
    <xf numFmtId="0" fontId="17" fillId="4" borderId="6" xfId="2" applyFont="1" applyFill="1" applyBorder="1" applyAlignment="1" applyProtection="1">
      <alignment horizontal="left" vertical="center" wrapText="1"/>
    </xf>
    <xf numFmtId="0" fontId="17" fillId="4" borderId="7" xfId="2" applyFont="1" applyFill="1" applyBorder="1" applyAlignment="1" applyProtection="1">
      <alignment horizontal="left" vertical="center" wrapText="1"/>
    </xf>
    <xf numFmtId="0" fontId="17" fillId="4" borderId="82" xfId="2" applyFont="1" applyFill="1" applyBorder="1" applyAlignment="1" applyProtection="1">
      <alignment horizontal="left" vertical="center" wrapText="1"/>
    </xf>
    <xf numFmtId="0" fontId="17" fillId="4" borderId="39" xfId="2" applyFont="1" applyFill="1" applyBorder="1" applyAlignment="1" applyProtection="1">
      <alignment horizontal="left" vertical="center" wrapText="1"/>
    </xf>
    <xf numFmtId="0" fontId="17" fillId="4" borderId="0" xfId="2" applyFont="1" applyFill="1" applyBorder="1" applyAlignment="1" applyProtection="1">
      <alignment horizontal="left" vertical="center" wrapText="1"/>
    </xf>
    <xf numFmtId="0" fontId="17" fillId="4" borderId="40" xfId="2" applyFont="1" applyFill="1" applyBorder="1" applyAlignment="1" applyProtection="1">
      <alignment horizontal="left" vertical="center" wrapText="1"/>
    </xf>
    <xf numFmtId="0" fontId="17" fillId="3" borderId="104" xfId="2" applyFont="1" applyFill="1" applyBorder="1" applyAlignment="1" applyProtection="1">
      <alignment horizontal="center" vertical="center"/>
    </xf>
    <xf numFmtId="0" fontId="17" fillId="3" borderId="55" xfId="2" applyFont="1" applyFill="1" applyBorder="1" applyAlignment="1" applyProtection="1">
      <alignment horizontal="center" vertical="center"/>
    </xf>
    <xf numFmtId="0" fontId="17" fillId="3" borderId="94" xfId="2" applyFont="1" applyFill="1" applyBorder="1" applyAlignment="1" applyProtection="1">
      <alignment horizontal="center" vertical="center"/>
    </xf>
    <xf numFmtId="49" fontId="18" fillId="4" borderId="39" xfId="2" applyNumberFormat="1" applyFont="1" applyFill="1" applyBorder="1" applyAlignment="1" applyProtection="1">
      <alignment horizontal="left" vertical="center"/>
    </xf>
    <xf numFmtId="49" fontId="18" fillId="4" borderId="0" xfId="2" applyNumberFormat="1" applyFont="1" applyFill="1" applyBorder="1" applyAlignment="1" applyProtection="1">
      <alignment horizontal="left" vertical="center"/>
    </xf>
    <xf numFmtId="49" fontId="18" fillId="4" borderId="47" xfId="2" applyNumberFormat="1" applyFont="1" applyFill="1" applyBorder="1" applyAlignment="1" applyProtection="1">
      <alignment horizontal="left" vertical="center"/>
    </xf>
    <xf numFmtId="0" fontId="17" fillId="2" borderId="48" xfId="2" applyFont="1" applyFill="1" applyBorder="1" applyAlignment="1" applyProtection="1">
      <alignment vertical="top"/>
      <protection locked="0"/>
    </xf>
    <xf numFmtId="0" fontId="17" fillId="2" borderId="62" xfId="2" applyFont="1" applyFill="1" applyBorder="1" applyAlignment="1" applyProtection="1">
      <alignment vertical="top"/>
      <protection locked="0"/>
    </xf>
    <xf numFmtId="0" fontId="17" fillId="2" borderId="49" xfId="2" applyFont="1" applyFill="1" applyBorder="1" applyAlignment="1" applyProtection="1">
      <alignment vertical="top"/>
      <protection locked="0"/>
    </xf>
    <xf numFmtId="49" fontId="18" fillId="4" borderId="39" xfId="2" applyNumberFormat="1" applyFont="1" applyFill="1" applyBorder="1" applyAlignment="1" applyProtection="1">
      <alignment vertical="center" wrapText="1"/>
    </xf>
    <xf numFmtId="49" fontId="18" fillId="4" borderId="0" xfId="2" applyNumberFormat="1" applyFont="1" applyFill="1" applyBorder="1" applyAlignment="1" applyProtection="1">
      <alignment vertical="center" wrapText="1"/>
    </xf>
    <xf numFmtId="49" fontId="18" fillId="4" borderId="47" xfId="2" applyNumberFormat="1" applyFont="1" applyFill="1" applyBorder="1" applyAlignment="1" applyProtection="1">
      <alignment vertical="center" wrapText="1"/>
    </xf>
    <xf numFmtId="0" fontId="17" fillId="2" borderId="39" xfId="2" applyFont="1" applyFill="1" applyBorder="1" applyAlignment="1" applyProtection="1">
      <alignment vertical="top"/>
      <protection locked="0"/>
    </xf>
    <xf numFmtId="0" fontId="17" fillId="2" borderId="0" xfId="2" applyFont="1" applyFill="1" applyBorder="1" applyAlignment="1" applyProtection="1">
      <alignment vertical="top"/>
      <protection locked="0"/>
    </xf>
    <xf numFmtId="0" fontId="17" fillId="2" borderId="47" xfId="2" applyFont="1" applyFill="1" applyBorder="1" applyAlignment="1" applyProtection="1">
      <alignment vertical="top"/>
      <protection locked="0"/>
    </xf>
    <xf numFmtId="0" fontId="8" fillId="3" borderId="67" xfId="2" applyFont="1" applyFill="1" applyBorder="1" applyAlignment="1" applyProtection="1">
      <alignment horizontal="left" vertical="center" wrapText="1"/>
    </xf>
    <xf numFmtId="0" fontId="8" fillId="3" borderId="69" xfId="2" applyFont="1" applyFill="1" applyBorder="1" applyAlignment="1" applyProtection="1">
      <alignment horizontal="left" vertical="center" wrapText="1"/>
    </xf>
    <xf numFmtId="0" fontId="8" fillId="3" borderId="70" xfId="2" applyFont="1" applyFill="1" applyBorder="1" applyAlignment="1" applyProtection="1">
      <alignment horizontal="left" vertical="center" wrapText="1"/>
    </xf>
    <xf numFmtId="0" fontId="17" fillId="4" borderId="53" xfId="2" applyFont="1" applyFill="1" applyBorder="1" applyAlignment="1" applyProtection="1">
      <alignment horizontal="center" vertical="center" wrapText="1"/>
    </xf>
    <xf numFmtId="0" fontId="19" fillId="3" borderId="104" xfId="2" applyNumberFormat="1" applyFont="1" applyFill="1" applyBorder="1" applyAlignment="1" applyProtection="1">
      <alignment vertical="center" wrapText="1"/>
    </xf>
    <xf numFmtId="0" fontId="19" fillId="3" borderId="55" xfId="2" applyNumberFormat="1" applyFont="1" applyFill="1" applyBorder="1" applyAlignment="1" applyProtection="1">
      <alignment vertical="center" wrapText="1"/>
    </xf>
    <xf numFmtId="0" fontId="19" fillId="3" borderId="94" xfId="2" applyNumberFormat="1" applyFont="1" applyFill="1" applyBorder="1" applyAlignment="1" applyProtection="1">
      <alignment vertical="center" wrapText="1"/>
    </xf>
    <xf numFmtId="49" fontId="18" fillId="4" borderId="39" xfId="2" applyNumberFormat="1" applyFont="1" applyFill="1" applyBorder="1" applyAlignment="1" applyProtection="1">
      <alignment vertical="center"/>
    </xf>
    <xf numFmtId="49" fontId="18" fillId="4" borderId="0" xfId="2" applyNumberFormat="1" applyFont="1" applyFill="1" applyBorder="1" applyAlignment="1" applyProtection="1">
      <alignment vertical="center"/>
    </xf>
    <xf numFmtId="49" fontId="18" fillId="4" borderId="47" xfId="2" applyNumberFormat="1" applyFont="1" applyFill="1" applyBorder="1" applyAlignment="1" applyProtection="1">
      <alignment vertical="center"/>
    </xf>
    <xf numFmtId="0" fontId="17" fillId="4" borderId="202" xfId="2" applyFont="1" applyFill="1" applyBorder="1" applyAlignment="1" applyProtection="1">
      <alignment horizontal="left" vertical="center" wrapText="1"/>
    </xf>
    <xf numFmtId="0" fontId="17" fillId="4" borderId="180" xfId="2" applyFont="1" applyFill="1" applyBorder="1" applyAlignment="1" applyProtection="1">
      <alignment horizontal="left" vertical="center" wrapText="1"/>
    </xf>
    <xf numFmtId="0" fontId="17" fillId="4" borderId="203" xfId="2" applyFont="1" applyFill="1" applyBorder="1" applyAlignment="1" applyProtection="1">
      <alignment horizontal="left" vertical="center" wrapText="1"/>
    </xf>
    <xf numFmtId="0" fontId="8" fillId="3" borderId="67" xfId="0" applyFont="1" applyFill="1" applyBorder="1" applyAlignment="1">
      <alignment horizontal="left" vertical="center" wrapText="1"/>
    </xf>
    <xf numFmtId="0" fontId="8" fillId="3" borderId="69" xfId="0" applyFont="1" applyFill="1" applyBorder="1" applyAlignment="1">
      <alignment horizontal="left" vertical="center" wrapText="1"/>
    </xf>
    <xf numFmtId="0" fontId="8" fillId="3" borderId="70" xfId="0" applyFont="1" applyFill="1" applyBorder="1" applyAlignment="1">
      <alignment horizontal="left" vertical="center" wrapText="1"/>
    </xf>
    <xf numFmtId="0" fontId="9" fillId="4" borderId="104" xfId="0" applyFont="1" applyFill="1" applyBorder="1"/>
    <xf numFmtId="0" fontId="4" fillId="3" borderId="113" xfId="0" applyFont="1" applyFill="1" applyBorder="1" applyAlignment="1">
      <alignment horizontal="left"/>
    </xf>
    <xf numFmtId="0" fontId="9" fillId="4" borderId="18" xfId="0" applyFont="1" applyFill="1" applyBorder="1" applyAlignment="1">
      <alignment horizontal="center"/>
    </xf>
    <xf numFmtId="0" fontId="9" fillId="4" borderId="53" xfId="0" applyFont="1" applyFill="1" applyBorder="1" applyAlignment="1">
      <alignment horizontal="center"/>
    </xf>
    <xf numFmtId="0" fontId="9" fillId="4" borderId="13" xfId="0" applyFont="1" applyFill="1" applyBorder="1" applyAlignment="1">
      <alignment horizontal="center"/>
    </xf>
    <xf numFmtId="0" fontId="8" fillId="4" borderId="89" xfId="0" applyFont="1" applyFill="1" applyBorder="1" applyAlignment="1">
      <alignment horizontal="center" vertical="center" wrapText="1"/>
    </xf>
    <xf numFmtId="0" fontId="8" fillId="4" borderId="90" xfId="0" applyFont="1" applyFill="1" applyBorder="1" applyAlignment="1">
      <alignment horizontal="center" vertical="center" wrapText="1"/>
    </xf>
    <xf numFmtId="0" fontId="8" fillId="4" borderId="151" xfId="0" applyFont="1" applyFill="1" applyBorder="1" applyAlignment="1">
      <alignment horizontal="center" vertical="center" wrapText="1"/>
    </xf>
    <xf numFmtId="0" fontId="6" fillId="3" borderId="39" xfId="0" applyFont="1" applyFill="1" applyBorder="1" applyAlignment="1">
      <alignment horizontal="left"/>
    </xf>
    <xf numFmtId="0" fontId="6" fillId="3" borderId="0" xfId="0" applyFont="1" applyFill="1" applyBorder="1" applyAlignment="1">
      <alignment horizontal="left"/>
    </xf>
    <xf numFmtId="0" fontId="6" fillId="3" borderId="47" xfId="0" applyFont="1" applyFill="1" applyBorder="1" applyAlignment="1">
      <alignment horizontal="left"/>
    </xf>
    <xf numFmtId="0" fontId="4" fillId="3" borderId="39" xfId="0" applyFont="1" applyFill="1" applyBorder="1" applyAlignment="1">
      <alignment vertical="center"/>
    </xf>
    <xf numFmtId="0" fontId="4" fillId="3" borderId="0" xfId="0" applyFont="1" applyFill="1" applyBorder="1" applyAlignment="1">
      <alignment vertical="center"/>
    </xf>
    <xf numFmtId="0" fontId="4" fillId="3" borderId="47" xfId="0" applyFont="1" applyFill="1" applyBorder="1" applyAlignment="1">
      <alignment vertical="center"/>
    </xf>
    <xf numFmtId="0" fontId="8" fillId="4" borderId="136" xfId="0" applyFont="1" applyFill="1" applyBorder="1" applyAlignment="1">
      <alignment horizontal="center" vertical="center" wrapText="1"/>
    </xf>
    <xf numFmtId="0" fontId="8" fillId="4" borderId="128" xfId="0" applyFont="1" applyFill="1" applyBorder="1" applyAlignment="1">
      <alignment horizontal="center" vertical="center" wrapText="1"/>
    </xf>
    <xf numFmtId="0" fontId="8" fillId="4" borderId="34" xfId="0" applyFont="1" applyFill="1" applyBorder="1" applyAlignment="1">
      <alignment horizontal="center" vertical="center" wrapText="1"/>
    </xf>
    <xf numFmtId="0" fontId="8" fillId="4" borderId="35" xfId="0" applyFont="1" applyFill="1" applyBorder="1" applyAlignment="1">
      <alignment horizontal="center" vertical="center" wrapText="1"/>
    </xf>
    <xf numFmtId="0" fontId="8" fillId="4" borderId="125" xfId="0" applyFont="1" applyFill="1" applyBorder="1" applyAlignment="1">
      <alignment horizontal="center" vertical="center" wrapText="1"/>
    </xf>
    <xf numFmtId="0" fontId="8" fillId="4" borderId="204" xfId="0" applyFont="1" applyFill="1" applyBorder="1" applyAlignment="1">
      <alignment horizontal="center" vertical="center" wrapText="1"/>
    </xf>
    <xf numFmtId="0" fontId="8" fillId="4" borderId="63" xfId="0" applyFont="1" applyFill="1" applyBorder="1" applyAlignment="1">
      <alignment horizontal="center" vertical="center" wrapText="1"/>
    </xf>
    <xf numFmtId="0" fontId="8" fillId="3" borderId="55" xfId="0" applyFont="1" applyFill="1" applyBorder="1" applyAlignment="1">
      <alignment horizontal="center"/>
    </xf>
    <xf numFmtId="0" fontId="8" fillId="3" borderId="94" xfId="0" applyFont="1" applyFill="1" applyBorder="1" applyAlignment="1">
      <alignment horizontal="center"/>
    </xf>
    <xf numFmtId="0" fontId="3" fillId="4" borderId="0" xfId="0" applyFont="1" applyFill="1" applyBorder="1" applyAlignment="1">
      <alignment horizontal="center"/>
    </xf>
    <xf numFmtId="0" fontId="3" fillId="4" borderId="47" xfId="0" applyFont="1" applyFill="1" applyBorder="1" applyAlignment="1">
      <alignment horizontal="center"/>
    </xf>
    <xf numFmtId="0" fontId="8" fillId="0" borderId="48" xfId="0" applyFont="1" applyBorder="1" applyAlignment="1" applyProtection="1">
      <alignment horizontal="left" wrapText="1"/>
      <protection locked="0"/>
    </xf>
    <xf numFmtId="0" fontId="8" fillId="0" borderId="62" xfId="0" applyFont="1" applyBorder="1" applyAlignment="1" applyProtection="1">
      <alignment horizontal="left" wrapText="1"/>
      <protection locked="0"/>
    </xf>
    <xf numFmtId="0" fontId="8" fillId="0" borderId="49" xfId="0" applyFont="1" applyBorder="1" applyAlignment="1" applyProtection="1">
      <alignment horizontal="left" wrapText="1"/>
      <protection locked="0"/>
    </xf>
    <xf numFmtId="0" fontId="8" fillId="4" borderId="21" xfId="0" applyFont="1" applyFill="1" applyBorder="1" applyAlignment="1">
      <alignment horizontal="center" vertical="center" wrapText="1"/>
    </xf>
    <xf numFmtId="0" fontId="8" fillId="4" borderId="108" xfId="0" applyFont="1" applyFill="1" applyBorder="1" applyAlignment="1">
      <alignment horizontal="center" vertical="center" wrapText="1"/>
    </xf>
    <xf numFmtId="0" fontId="8" fillId="4" borderId="143" xfId="0" applyFont="1" applyFill="1" applyBorder="1" applyAlignment="1">
      <alignment horizontal="center" vertical="center"/>
    </xf>
    <xf numFmtId="0" fontId="8" fillId="4" borderId="8" xfId="0" applyFont="1" applyFill="1" applyBorder="1" applyAlignment="1">
      <alignment horizontal="center" vertical="center" wrapText="1"/>
    </xf>
    <xf numFmtId="0" fontId="8" fillId="4" borderId="26" xfId="0" applyFont="1" applyFill="1" applyBorder="1" applyAlignment="1">
      <alignment horizontal="center" vertical="center" wrapText="1"/>
    </xf>
    <xf numFmtId="0" fontId="10" fillId="3" borderId="2" xfId="0" applyFont="1" applyFill="1" applyBorder="1" applyAlignment="1">
      <alignment horizontal="left" wrapText="1"/>
    </xf>
    <xf numFmtId="0" fontId="10" fillId="3" borderId="10" xfId="0" applyFont="1" applyFill="1" applyBorder="1" applyAlignment="1">
      <alignment horizontal="left" wrapText="1"/>
    </xf>
    <xf numFmtId="0" fontId="10" fillId="3" borderId="15" xfId="0" applyFont="1" applyFill="1" applyBorder="1" applyAlignment="1">
      <alignment horizontal="left" wrapText="1"/>
    </xf>
    <xf numFmtId="0" fontId="4" fillId="3" borderId="69" xfId="0" applyFont="1" applyFill="1" applyBorder="1" applyAlignment="1"/>
    <xf numFmtId="0" fontId="4" fillId="3" borderId="70" xfId="0" applyFont="1" applyFill="1" applyBorder="1" applyAlignment="1"/>
    <xf numFmtId="0" fontId="6" fillId="3" borderId="2" xfId="0" applyFont="1" applyFill="1" applyBorder="1" applyAlignment="1">
      <alignment horizontal="left"/>
    </xf>
    <xf numFmtId="0" fontId="6" fillId="3" borderId="10" xfId="0" applyFont="1" applyFill="1" applyBorder="1" applyAlignment="1">
      <alignment horizontal="left"/>
    </xf>
    <xf numFmtId="0" fontId="6" fillId="3" borderId="15" xfId="0" applyFont="1" applyFill="1" applyBorder="1" applyAlignment="1">
      <alignment horizontal="left"/>
    </xf>
    <xf numFmtId="0" fontId="8" fillId="0" borderId="173" xfId="0" applyFont="1" applyBorder="1" applyAlignment="1" applyProtection="1">
      <alignment horizontal="center" vertical="center"/>
      <protection locked="0"/>
    </xf>
    <xf numFmtId="0" fontId="8" fillId="0" borderId="58" xfId="0" applyFont="1" applyBorder="1" applyAlignment="1" applyProtection="1">
      <alignment horizontal="center" vertical="center"/>
      <protection locked="0"/>
    </xf>
    <xf numFmtId="0" fontId="8" fillId="0" borderId="61" xfId="0" applyFont="1" applyBorder="1" applyAlignment="1" applyProtection="1">
      <alignment horizontal="center" vertical="center"/>
      <protection locked="0"/>
    </xf>
    <xf numFmtId="0" fontId="8" fillId="0" borderId="173" xfId="0" applyFont="1" applyBorder="1" applyAlignment="1" applyProtection="1">
      <alignment horizontal="center" vertical="center" wrapText="1"/>
      <protection locked="0"/>
    </xf>
    <xf numFmtId="0" fontId="8" fillId="0" borderId="32" xfId="0" applyFont="1" applyBorder="1" applyAlignment="1" applyProtection="1">
      <alignment horizontal="center" vertical="center" wrapText="1"/>
      <protection locked="0"/>
    </xf>
    <xf numFmtId="0" fontId="8" fillId="3" borderId="39" xfId="0" applyFont="1" applyFill="1" applyBorder="1" applyAlignment="1">
      <alignment vertical="center" wrapText="1"/>
    </xf>
    <xf numFmtId="0" fontId="8" fillId="3" borderId="0" xfId="0" applyFont="1" applyFill="1" applyBorder="1" applyAlignment="1">
      <alignment vertical="center" wrapText="1"/>
    </xf>
    <xf numFmtId="0" fontId="8" fillId="3" borderId="47" xfId="0" applyFont="1" applyFill="1" applyBorder="1" applyAlignment="1">
      <alignment vertical="center" wrapText="1"/>
    </xf>
    <xf numFmtId="0" fontId="4" fillId="3" borderId="138" xfId="0" applyFont="1" applyFill="1" applyBorder="1" applyAlignment="1"/>
    <xf numFmtId="0" fontId="4" fillId="3" borderId="198" xfId="0" applyFont="1" applyFill="1" applyBorder="1" applyAlignment="1"/>
    <xf numFmtId="0" fontId="3" fillId="3" borderId="10" xfId="0" applyFont="1" applyFill="1" applyBorder="1" applyAlignment="1">
      <alignment horizontal="center"/>
    </xf>
    <xf numFmtId="0" fontId="3" fillId="3" borderId="15" xfId="0" applyFont="1" applyFill="1" applyBorder="1" applyAlignment="1">
      <alignment horizontal="center"/>
    </xf>
    <xf numFmtId="0" fontId="3" fillId="3" borderId="55" xfId="0" applyFont="1" applyFill="1" applyBorder="1" applyAlignment="1">
      <alignment horizontal="center"/>
    </xf>
    <xf numFmtId="0" fontId="3" fillId="3" borderId="94" xfId="0" applyFont="1" applyFill="1" applyBorder="1" applyAlignment="1">
      <alignment horizontal="center"/>
    </xf>
    <xf numFmtId="0" fontId="6" fillId="3" borderId="39" xfId="0" applyFont="1" applyFill="1" applyBorder="1"/>
    <xf numFmtId="0" fontId="6" fillId="3" borderId="0" xfId="0" applyFont="1" applyFill="1" applyBorder="1"/>
    <xf numFmtId="0" fontId="6" fillId="3" borderId="47" xfId="0" applyFont="1" applyFill="1" applyBorder="1"/>
    <xf numFmtId="0" fontId="4" fillId="3" borderId="39" xfId="0" applyFont="1" applyFill="1" applyBorder="1" applyAlignment="1">
      <alignment horizontal="left" vertical="center" wrapText="1"/>
    </xf>
    <xf numFmtId="0" fontId="4" fillId="3" borderId="0" xfId="0" applyFont="1" applyFill="1" applyBorder="1" applyAlignment="1">
      <alignment horizontal="left" vertical="center" wrapText="1"/>
    </xf>
    <xf numFmtId="0" fontId="4" fillId="3" borderId="47" xfId="0" applyFont="1" applyFill="1" applyBorder="1" applyAlignment="1">
      <alignment horizontal="left" vertical="center" wrapText="1"/>
    </xf>
    <xf numFmtId="0" fontId="8" fillId="0" borderId="142" xfId="0" applyFont="1" applyBorder="1" applyAlignment="1" applyProtection="1">
      <alignment horizontal="center" vertical="center"/>
      <protection locked="0"/>
    </xf>
    <xf numFmtId="0" fontId="8" fillId="0" borderId="7" xfId="0" applyFont="1" applyBorder="1" applyAlignment="1" applyProtection="1">
      <alignment horizontal="center" vertical="center"/>
      <protection locked="0"/>
    </xf>
    <xf numFmtId="0" fontId="8" fillId="0" borderId="8" xfId="0" applyFont="1" applyBorder="1" applyAlignment="1" applyProtection="1">
      <alignment horizontal="center" vertical="center"/>
      <protection locked="0"/>
    </xf>
    <xf numFmtId="0" fontId="8" fillId="0" borderId="142" xfId="0" applyFont="1" applyBorder="1" applyAlignment="1" applyProtection="1">
      <alignment horizontal="center" vertical="center" wrapText="1"/>
      <protection locked="0"/>
    </xf>
    <xf numFmtId="0" fontId="8" fillId="0" borderId="29" xfId="0" applyFont="1" applyBorder="1" applyAlignment="1" applyProtection="1">
      <alignment horizontal="center" vertical="center" wrapText="1"/>
      <protection locked="0"/>
    </xf>
    <xf numFmtId="0" fontId="8" fillId="4" borderId="161" xfId="0" applyFont="1" applyFill="1" applyBorder="1" applyAlignment="1">
      <alignment horizontal="center" vertical="center"/>
    </xf>
    <xf numFmtId="0" fontId="8" fillId="4" borderId="70" xfId="0" applyFont="1" applyFill="1" applyBorder="1" applyAlignment="1">
      <alignment horizontal="center" vertical="center"/>
    </xf>
    <xf numFmtId="0" fontId="8" fillId="0" borderId="171" xfId="0" applyFont="1" applyBorder="1" applyAlignment="1" applyProtection="1">
      <alignment horizontal="center" vertical="center" wrapText="1"/>
      <protection locked="0"/>
    </xf>
    <xf numFmtId="0" fontId="8" fillId="0" borderId="41" xfId="0" applyFont="1" applyBorder="1" applyAlignment="1" applyProtection="1">
      <alignment horizontal="center" vertical="center" wrapText="1"/>
      <protection locked="0"/>
    </xf>
    <xf numFmtId="0" fontId="8" fillId="4" borderId="69" xfId="0" applyFont="1" applyFill="1" applyBorder="1" applyAlignment="1">
      <alignment horizontal="center" vertical="center"/>
    </xf>
    <xf numFmtId="0" fontId="8" fillId="4" borderId="14" xfId="0" applyFont="1" applyFill="1" applyBorder="1" applyAlignment="1">
      <alignment horizontal="center" vertical="center"/>
    </xf>
    <xf numFmtId="0" fontId="8" fillId="0" borderId="65" xfId="0" applyFont="1" applyBorder="1" applyAlignment="1" applyProtection="1">
      <alignment horizontal="center" vertical="center"/>
      <protection locked="0"/>
    </xf>
    <xf numFmtId="0" fontId="8" fillId="0" borderId="53" xfId="0" applyFont="1" applyBorder="1" applyAlignment="1" applyProtection="1">
      <alignment horizontal="center" vertical="center"/>
      <protection locked="0"/>
    </xf>
    <xf numFmtId="0" fontId="8" fillId="0" borderId="52" xfId="0" applyFont="1" applyBorder="1" applyAlignment="1" applyProtection="1">
      <alignment horizontal="center" vertical="center"/>
      <protection locked="0"/>
    </xf>
    <xf numFmtId="0" fontId="8" fillId="0" borderId="171"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2" borderId="3" xfId="0" applyFont="1" applyFill="1" applyBorder="1" applyAlignment="1">
      <alignment horizontal="left" vertical="top"/>
    </xf>
    <xf numFmtId="0" fontId="8" fillId="2" borderId="4" xfId="0" applyFont="1" applyFill="1" applyBorder="1" applyAlignment="1">
      <alignment horizontal="left" vertical="top"/>
    </xf>
    <xf numFmtId="0" fontId="8" fillId="2" borderId="41" xfId="0" applyFont="1" applyFill="1" applyBorder="1" applyAlignment="1">
      <alignment horizontal="left" vertical="top"/>
    </xf>
    <xf numFmtId="0" fontId="8" fillId="2" borderId="6" xfId="0" applyFont="1" applyFill="1" applyBorder="1" applyAlignment="1">
      <alignment horizontal="left" vertical="top"/>
    </xf>
    <xf numFmtId="0" fontId="8" fillId="2" borderId="7" xfId="0" applyFont="1" applyFill="1" applyBorder="1" applyAlignment="1">
      <alignment horizontal="left" vertical="top"/>
    </xf>
    <xf numFmtId="0" fontId="8" fillId="2" borderId="29" xfId="0" applyFont="1" applyFill="1" applyBorder="1" applyAlignment="1">
      <alignment horizontal="left" vertical="top"/>
    </xf>
    <xf numFmtId="0" fontId="9" fillId="3" borderId="67" xfId="0" applyFont="1" applyFill="1" applyBorder="1" applyAlignment="1">
      <alignment vertical="center"/>
    </xf>
    <xf numFmtId="0" fontId="9" fillId="3" borderId="69" xfId="0" applyFont="1" applyFill="1" applyBorder="1" applyAlignment="1">
      <alignment vertical="center"/>
    </xf>
    <xf numFmtId="0" fontId="9" fillId="3" borderId="70" xfId="0" applyFont="1" applyFill="1" applyBorder="1" applyAlignment="1">
      <alignment vertical="center"/>
    </xf>
    <xf numFmtId="0" fontId="4" fillId="3" borderId="55" xfId="0" applyFont="1" applyFill="1" applyBorder="1" applyAlignment="1">
      <alignment vertical="center"/>
    </xf>
    <xf numFmtId="0" fontId="4" fillId="3" borderId="2" xfId="0" applyFont="1" applyFill="1" applyBorder="1" applyAlignment="1">
      <alignment vertical="center" wrapText="1"/>
    </xf>
    <xf numFmtId="0" fontId="4" fillId="3" borderId="10" xfId="0" applyFont="1" applyFill="1" applyBorder="1" applyAlignment="1">
      <alignment vertical="center" wrapText="1"/>
    </xf>
    <xf numFmtId="0" fontId="4" fillId="3" borderId="15" xfId="0" applyFont="1" applyFill="1" applyBorder="1" applyAlignment="1">
      <alignment vertical="center" wrapText="1"/>
    </xf>
    <xf numFmtId="0" fontId="30" fillId="2" borderId="0" xfId="0" applyFont="1" applyFill="1" applyBorder="1" applyAlignment="1">
      <alignment horizontal="center"/>
    </xf>
    <xf numFmtId="0" fontId="30" fillId="2" borderId="47" xfId="0" applyFont="1" applyFill="1" applyBorder="1" applyAlignment="1">
      <alignment horizontal="center"/>
    </xf>
    <xf numFmtId="0" fontId="9" fillId="4" borderId="81" xfId="0" applyFont="1" applyFill="1" applyBorder="1" applyAlignment="1">
      <alignment horizontal="center"/>
    </xf>
    <xf numFmtId="0" fontId="9" fillId="4" borderId="4" xfId="0" applyFont="1" applyFill="1" applyBorder="1" applyAlignment="1">
      <alignment horizontal="center"/>
    </xf>
    <xf numFmtId="0" fontId="9" fillId="4" borderId="41" xfId="0" applyFont="1" applyFill="1" applyBorder="1" applyAlignment="1">
      <alignment horizontal="center"/>
    </xf>
    <xf numFmtId="0" fontId="3" fillId="3" borderId="111" xfId="0" applyFont="1" applyFill="1" applyBorder="1" applyAlignment="1">
      <alignment horizontal="left" vertical="top" wrapText="1"/>
    </xf>
    <xf numFmtId="0" fontId="3" fillId="3" borderId="110" xfId="0" applyFont="1" applyFill="1" applyBorder="1" applyAlignment="1">
      <alignment horizontal="left" vertical="top" wrapText="1"/>
    </xf>
    <xf numFmtId="0" fontId="3" fillId="3" borderId="115" xfId="0" applyFont="1" applyFill="1" applyBorder="1" applyAlignment="1">
      <alignment horizontal="left" vertical="top" wrapText="1"/>
    </xf>
    <xf numFmtId="0" fontId="8" fillId="4" borderId="6" xfId="0" applyFont="1" applyFill="1" applyBorder="1" applyAlignment="1">
      <alignment vertical="center"/>
    </xf>
    <xf numFmtId="0" fontId="8" fillId="4" borderId="39" xfId="0" applyFont="1" applyFill="1" applyBorder="1" applyAlignment="1">
      <alignment horizontal="center" vertical="center"/>
    </xf>
    <xf numFmtId="0" fontId="8" fillId="4" borderId="40"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16" xfId="0" applyFont="1" applyFill="1" applyBorder="1" applyAlignment="1">
      <alignment horizontal="center" vertical="center"/>
    </xf>
    <xf numFmtId="0" fontId="3" fillId="3" borderId="104" xfId="0" applyFont="1" applyFill="1" applyBorder="1" applyAlignment="1">
      <alignment horizontal="left" vertical="top" wrapText="1"/>
    </xf>
    <xf numFmtId="0" fontId="3" fillId="3" borderId="55" xfId="0" applyFont="1" applyFill="1" applyBorder="1" applyAlignment="1">
      <alignment horizontal="left" vertical="top" wrapText="1"/>
    </xf>
    <xf numFmtId="0" fontId="3" fillId="3" borderId="94" xfId="0" applyFont="1" applyFill="1" applyBorder="1" applyAlignment="1">
      <alignment horizontal="left" vertical="top" wrapText="1"/>
    </xf>
    <xf numFmtId="0" fontId="8" fillId="3" borderId="39" xfId="0" applyFont="1" applyFill="1" applyBorder="1"/>
    <xf numFmtId="0" fontId="8" fillId="3" borderId="0" xfId="0" applyFont="1" applyFill="1" applyBorder="1"/>
    <xf numFmtId="0" fontId="8" fillId="3" borderId="47" xfId="0" applyFont="1" applyFill="1" applyBorder="1"/>
    <xf numFmtId="0" fontId="8" fillId="3" borderId="111" xfId="0" applyFont="1" applyFill="1" applyBorder="1"/>
    <xf numFmtId="0" fontId="8" fillId="3" borderId="110" xfId="0" applyFont="1" applyFill="1" applyBorder="1"/>
    <xf numFmtId="0" fontId="8" fillId="3" borderId="115" xfId="0" applyFont="1" applyFill="1" applyBorder="1"/>
    <xf numFmtId="0" fontId="8" fillId="2" borderId="188" xfId="0" applyFont="1" applyFill="1" applyBorder="1" applyAlignment="1">
      <alignment horizontal="left" vertical="top" wrapText="1"/>
    </xf>
    <xf numFmtId="0" fontId="8" fillId="2" borderId="189" xfId="0" applyFont="1" applyFill="1" applyBorder="1" applyAlignment="1">
      <alignment horizontal="left" vertical="top" wrapText="1"/>
    </xf>
    <xf numFmtId="0" fontId="8" fillId="2" borderId="190" xfId="0" applyFont="1" applyFill="1" applyBorder="1" applyAlignment="1">
      <alignment horizontal="left" vertical="top" wrapText="1"/>
    </xf>
    <xf numFmtId="0" fontId="30" fillId="0" borderId="72" xfId="0" applyFont="1" applyBorder="1" applyAlignment="1"/>
    <xf numFmtId="0" fontId="8" fillId="3" borderId="67" xfId="0" applyFont="1" applyFill="1" applyBorder="1" applyAlignment="1">
      <alignment vertical="center" wrapText="1"/>
    </xf>
    <xf numFmtId="0" fontId="8" fillId="3" borderId="69" xfId="0" applyFont="1" applyFill="1" applyBorder="1" applyAlignment="1">
      <alignment vertical="center" wrapText="1"/>
    </xf>
    <xf numFmtId="0" fontId="8" fillId="3" borderId="70" xfId="0" applyFont="1" applyFill="1" applyBorder="1" applyAlignment="1">
      <alignment vertical="center" wrapText="1"/>
    </xf>
    <xf numFmtId="0" fontId="9" fillId="4" borderId="86" xfId="0" applyFont="1" applyFill="1" applyBorder="1" applyAlignment="1">
      <alignment vertical="top"/>
    </xf>
    <xf numFmtId="0" fontId="9" fillId="4" borderId="52" xfId="0" applyFont="1" applyFill="1" applyBorder="1" applyAlignment="1">
      <alignment vertical="top"/>
    </xf>
    <xf numFmtId="0" fontId="8" fillId="2" borderId="2" xfId="0" applyFont="1" applyFill="1" applyBorder="1"/>
    <xf numFmtId="0" fontId="8" fillId="2" borderId="10" xfId="0" applyFont="1" applyFill="1" applyBorder="1"/>
    <xf numFmtId="0" fontId="8" fillId="2" borderId="15" xfId="0" applyFont="1" applyFill="1" applyBorder="1"/>
    <xf numFmtId="0" fontId="8" fillId="4" borderId="111" xfId="0" applyFont="1" applyFill="1" applyBorder="1" applyAlignment="1">
      <alignment horizontal="left" wrapText="1" indent="3"/>
    </xf>
    <xf numFmtId="0" fontId="8" fillId="4" borderId="110" xfId="0" applyFont="1" applyFill="1" applyBorder="1" applyAlignment="1">
      <alignment horizontal="left" wrapText="1" indent="3"/>
    </xf>
    <xf numFmtId="0" fontId="8" fillId="4" borderId="115" xfId="0" applyFont="1" applyFill="1" applyBorder="1" applyAlignment="1">
      <alignment horizontal="left" wrapText="1" indent="3"/>
    </xf>
    <xf numFmtId="0" fontId="8" fillId="2" borderId="6" xfId="0" applyFont="1" applyFill="1" applyBorder="1"/>
    <xf numFmtId="0" fontId="8" fillId="2" borderId="7" xfId="0" applyFont="1" applyFill="1" applyBorder="1"/>
    <xf numFmtId="0" fontId="8" fillId="2" borderId="115" xfId="0" applyFont="1" applyFill="1" applyBorder="1"/>
    <xf numFmtId="0" fontId="8" fillId="2" borderId="29" xfId="0" applyFont="1" applyFill="1" applyBorder="1"/>
    <xf numFmtId="0" fontId="9" fillId="4" borderId="128" xfId="0" applyFont="1" applyFill="1" applyBorder="1" applyAlignment="1">
      <alignment horizontal="left" vertical="center" wrapText="1"/>
    </xf>
    <xf numFmtId="0" fontId="9" fillId="4" borderId="34" xfId="0" applyFont="1" applyFill="1" applyBorder="1" applyAlignment="1">
      <alignment horizontal="left" vertical="center" wrapText="1"/>
    </xf>
    <xf numFmtId="0" fontId="9" fillId="4" borderId="35" xfId="0" applyFont="1" applyFill="1" applyBorder="1" applyAlignment="1">
      <alignment horizontal="left" vertical="center" wrapText="1"/>
    </xf>
    <xf numFmtId="0" fontId="8" fillId="4" borderId="47" xfId="0" applyFont="1" applyFill="1" applyBorder="1" applyAlignment="1">
      <alignment horizontal="center" vertical="center"/>
    </xf>
    <xf numFmtId="0" fontId="8" fillId="4" borderId="15" xfId="0" applyFont="1" applyFill="1" applyBorder="1" applyAlignment="1">
      <alignment horizontal="center" vertical="center"/>
    </xf>
    <xf numFmtId="0" fontId="4" fillId="3" borderId="104" xfId="0" applyFont="1" applyFill="1" applyBorder="1" applyAlignment="1">
      <alignment vertical="center" wrapText="1"/>
    </xf>
    <xf numFmtId="0" fontId="4" fillId="3" borderId="55" xfId="0" applyFont="1" applyFill="1" applyBorder="1" applyAlignment="1">
      <alignment vertical="center" wrapText="1"/>
    </xf>
    <xf numFmtId="0" fontId="4" fillId="3" borderId="94" xfId="0" applyFont="1" applyFill="1" applyBorder="1" applyAlignment="1">
      <alignment vertical="center" wrapText="1"/>
    </xf>
    <xf numFmtId="0" fontId="8" fillId="3" borderId="2" xfId="0" applyFont="1" applyFill="1" applyBorder="1" applyAlignment="1">
      <alignment vertical="center"/>
    </xf>
    <xf numFmtId="0" fontId="8" fillId="3" borderId="10" xfId="0" applyFont="1" applyFill="1" applyBorder="1" applyAlignment="1">
      <alignment vertical="center"/>
    </xf>
    <xf numFmtId="0" fontId="8" fillId="3" borderId="15" xfId="0" applyFont="1" applyFill="1" applyBorder="1" applyAlignment="1">
      <alignment vertical="center"/>
    </xf>
    <xf numFmtId="0" fontId="3" fillId="3" borderId="67" xfId="0" applyFont="1" applyFill="1" applyBorder="1"/>
    <xf numFmtId="0" fontId="3" fillId="3" borderId="69" xfId="0" applyFont="1" applyFill="1" applyBorder="1"/>
    <xf numFmtId="0" fontId="3" fillId="3" borderId="70" xfId="0" applyFont="1" applyFill="1" applyBorder="1"/>
    <xf numFmtId="0" fontId="9" fillId="4" borderId="47" xfId="0" applyFont="1" applyFill="1" applyBorder="1" applyAlignment="1">
      <alignment horizontal="center" vertical="center"/>
    </xf>
    <xf numFmtId="0" fontId="9" fillId="4" borderId="15" xfId="0" applyFont="1" applyFill="1" applyBorder="1" applyAlignment="1">
      <alignment horizontal="center" vertical="center"/>
    </xf>
    <xf numFmtId="0" fontId="8" fillId="3" borderId="67" xfId="0" applyFont="1" applyFill="1" applyBorder="1"/>
    <xf numFmtId="0" fontId="8" fillId="3" borderId="69" xfId="0" applyFont="1" applyFill="1" applyBorder="1"/>
    <xf numFmtId="0" fontId="8" fillId="3" borderId="70" xfId="0" applyFont="1" applyFill="1" applyBorder="1"/>
    <xf numFmtId="0" fontId="9" fillId="4" borderId="39" xfId="0" applyFont="1" applyFill="1" applyBorder="1" applyAlignment="1">
      <alignment horizontal="left" vertical="center" wrapText="1"/>
    </xf>
    <xf numFmtId="0" fontId="9" fillId="4" borderId="40" xfId="0" applyFont="1" applyFill="1" applyBorder="1" applyAlignment="1">
      <alignment horizontal="left" vertical="center" wrapText="1"/>
    </xf>
    <xf numFmtId="0" fontId="9" fillId="4" borderId="2" xfId="0" applyFont="1" applyFill="1" applyBorder="1" applyAlignment="1">
      <alignment horizontal="left" vertical="center" wrapText="1"/>
    </xf>
    <xf numFmtId="0" fontId="9" fillId="4" borderId="16" xfId="0" applyFont="1" applyFill="1" applyBorder="1" applyAlignment="1">
      <alignment horizontal="left" vertical="center" wrapText="1"/>
    </xf>
    <xf numFmtId="0" fontId="9" fillId="4" borderId="136" xfId="0" applyFont="1" applyFill="1" applyBorder="1" applyAlignment="1">
      <alignment horizontal="center" vertical="center"/>
    </xf>
    <xf numFmtId="0" fontId="9" fillId="4" borderId="30" xfId="0" applyFont="1" applyFill="1" applyBorder="1" applyAlignment="1">
      <alignment horizontal="center" vertical="center"/>
    </xf>
    <xf numFmtId="0" fontId="9" fillId="4" borderId="104" xfId="0" applyFont="1" applyFill="1" applyBorder="1" applyAlignment="1">
      <alignment horizontal="left" vertical="center" wrapText="1"/>
    </xf>
    <xf numFmtId="0" fontId="9" fillId="4" borderId="92" xfId="0" applyFont="1" applyFill="1" applyBorder="1" applyAlignment="1">
      <alignment horizontal="left" vertical="center" wrapText="1"/>
    </xf>
    <xf numFmtId="0" fontId="9" fillId="4" borderId="104" xfId="0" applyFont="1" applyFill="1" applyBorder="1" applyAlignment="1">
      <alignment vertical="center" wrapText="1"/>
    </xf>
    <xf numFmtId="0" fontId="31" fillId="4" borderId="92" xfId="0" applyFont="1" applyFill="1" applyBorder="1" applyAlignment="1">
      <alignment vertical="center" wrapText="1"/>
    </xf>
    <xf numFmtId="0" fontId="31" fillId="4" borderId="39" xfId="0" applyFont="1" applyFill="1" applyBorder="1" applyAlignment="1">
      <alignment vertical="center" wrapText="1"/>
    </xf>
    <xf numFmtId="0" fontId="31" fillId="4" borderId="40" xfId="0" applyFont="1" applyFill="1" applyBorder="1" applyAlignment="1">
      <alignment vertical="center" wrapText="1"/>
    </xf>
    <xf numFmtId="0" fontId="31" fillId="4" borderId="2" xfId="0" applyFont="1" applyFill="1" applyBorder="1" applyAlignment="1">
      <alignment vertical="center" wrapText="1"/>
    </xf>
    <xf numFmtId="0" fontId="31" fillId="4" borderId="16" xfId="0" applyFont="1" applyFill="1" applyBorder="1" applyAlignment="1">
      <alignment vertical="center" wrapText="1"/>
    </xf>
    <xf numFmtId="0" fontId="10" fillId="4" borderId="205" xfId="0" applyFont="1" applyFill="1" applyBorder="1" applyAlignment="1">
      <alignment horizontal="center" vertical="center" textRotation="90"/>
    </xf>
    <xf numFmtId="0" fontId="10" fillId="4" borderId="184" xfId="0" applyFont="1" applyFill="1" applyBorder="1" applyAlignment="1">
      <alignment horizontal="center" vertical="center" textRotation="90"/>
    </xf>
    <xf numFmtId="0" fontId="10" fillId="4" borderId="60" xfId="0" applyFont="1" applyFill="1" applyBorder="1" applyAlignment="1">
      <alignment horizontal="center" vertical="center" textRotation="90"/>
    </xf>
    <xf numFmtId="0" fontId="9" fillId="4" borderId="67" xfId="0" applyFont="1" applyFill="1" applyBorder="1" applyAlignment="1"/>
    <xf numFmtId="0" fontId="9" fillId="4" borderId="69" xfId="0" applyFont="1" applyFill="1" applyBorder="1" applyAlignment="1"/>
    <xf numFmtId="0" fontId="9" fillId="4" borderId="47"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6" fillId="3" borderId="67" xfId="0" applyFont="1" applyFill="1" applyBorder="1" applyAlignment="1">
      <alignment vertical="center"/>
    </xf>
    <xf numFmtId="0" fontId="6" fillId="3" borderId="69" xfId="0" applyFont="1" applyFill="1" applyBorder="1" applyAlignment="1">
      <alignment vertical="center"/>
    </xf>
    <xf numFmtId="0" fontId="6" fillId="3" borderId="70" xfId="0" applyFont="1" applyFill="1" applyBorder="1" applyAlignment="1">
      <alignment vertical="center"/>
    </xf>
    <xf numFmtId="0" fontId="8" fillId="4" borderId="16" xfId="0" applyFont="1" applyFill="1" applyBorder="1" applyAlignment="1">
      <alignment horizontal="left" vertical="center" wrapText="1"/>
    </xf>
    <xf numFmtId="0" fontId="8" fillId="3" borderId="67" xfId="0" applyFont="1" applyFill="1" applyBorder="1" applyAlignment="1">
      <alignment vertical="center"/>
    </xf>
    <xf numFmtId="0" fontId="8" fillId="3" borderId="69" xfId="0" applyFont="1" applyFill="1" applyBorder="1" applyAlignment="1">
      <alignment vertical="center"/>
    </xf>
    <xf numFmtId="0" fontId="8" fillId="3" borderId="70" xfId="0" applyFont="1" applyFill="1" applyBorder="1" applyAlignment="1">
      <alignment vertical="center"/>
    </xf>
    <xf numFmtId="0" fontId="8" fillId="4" borderId="6" xfId="0" applyFont="1" applyFill="1" applyBorder="1"/>
    <xf numFmtId="0" fontId="8" fillId="4" borderId="82" xfId="0" applyFont="1" applyFill="1" applyBorder="1"/>
    <xf numFmtId="0" fontId="9" fillId="4" borderId="104" xfId="0" applyFont="1" applyFill="1" applyBorder="1" applyAlignment="1"/>
    <xf numFmtId="0" fontId="9" fillId="4" borderId="55" xfId="0" applyFont="1" applyFill="1" applyBorder="1" applyAlignment="1"/>
    <xf numFmtId="0" fontId="9" fillId="4" borderId="94" xfId="0" applyFont="1" applyFill="1" applyBorder="1" applyAlignment="1"/>
    <xf numFmtId="164" fontId="8" fillId="2" borderId="175" xfId="0" applyNumberFormat="1" applyFont="1" applyFill="1" applyBorder="1" applyAlignment="1" applyProtection="1">
      <alignment horizontal="center"/>
      <protection locked="0"/>
    </xf>
    <xf numFmtId="164" fontId="8" fillId="2" borderId="32" xfId="0" applyNumberFormat="1" applyFont="1" applyFill="1" applyBorder="1" applyAlignment="1" applyProtection="1">
      <alignment horizontal="center"/>
      <protection locked="0"/>
    </xf>
    <xf numFmtId="0" fontId="9" fillId="4" borderId="86" xfId="0" applyFont="1" applyFill="1" applyBorder="1" applyAlignment="1"/>
    <xf numFmtId="0" fontId="9" fillId="4" borderId="53" xfId="0" applyFont="1" applyFill="1" applyBorder="1" applyAlignment="1"/>
    <xf numFmtId="0" fontId="9" fillId="4" borderId="39" xfId="0" applyFont="1" applyFill="1" applyBorder="1" applyAlignment="1">
      <alignment wrapText="1"/>
    </xf>
    <xf numFmtId="0" fontId="9" fillId="4" borderId="0" xfId="0" applyFont="1" applyFill="1" applyBorder="1" applyAlignment="1">
      <alignment wrapText="1"/>
    </xf>
    <xf numFmtId="0" fontId="9" fillId="4" borderId="47" xfId="0" applyFont="1" applyFill="1" applyBorder="1" applyAlignment="1">
      <alignment wrapText="1"/>
    </xf>
    <xf numFmtId="0" fontId="8" fillId="4" borderId="86" xfId="0" applyFont="1" applyFill="1" applyBorder="1"/>
    <xf numFmtId="0" fontId="8" fillId="4" borderId="17" xfId="0" applyFont="1" applyFill="1" applyBorder="1"/>
    <xf numFmtId="0" fontId="8" fillId="2" borderId="48" xfId="0" applyFont="1" applyFill="1" applyBorder="1" applyAlignment="1">
      <alignment horizontal="left" vertical="top"/>
    </xf>
    <xf numFmtId="0" fontId="8" fillId="2" borderId="62" xfId="0" applyFont="1" applyFill="1" applyBorder="1" applyAlignment="1">
      <alignment horizontal="left" vertical="top"/>
    </xf>
    <xf numFmtId="0" fontId="8" fillId="2" borderId="49" xfId="0" applyFont="1" applyFill="1" applyBorder="1" applyAlignment="1">
      <alignment horizontal="left" vertical="top"/>
    </xf>
    <xf numFmtId="0" fontId="8" fillId="4" borderId="59" xfId="0" applyFont="1" applyFill="1" applyBorder="1"/>
    <xf numFmtId="0" fontId="8" fillId="4" borderId="206" xfId="0" applyFont="1" applyFill="1" applyBorder="1"/>
    <xf numFmtId="0" fontId="8" fillId="2" borderId="39" xfId="0" applyFont="1" applyFill="1" applyBorder="1" applyAlignment="1">
      <alignment horizontal="left" vertical="top"/>
    </xf>
    <xf numFmtId="0" fontId="8" fillId="2" borderId="0" xfId="0" applyFont="1" applyFill="1" applyBorder="1" applyAlignment="1">
      <alignment horizontal="left" vertical="top"/>
    </xf>
    <xf numFmtId="0" fontId="8" fillId="2" borderId="47" xfId="0" applyFont="1" applyFill="1" applyBorder="1" applyAlignment="1">
      <alignment horizontal="left" vertical="top"/>
    </xf>
    <xf numFmtId="0" fontId="8" fillId="4" borderId="59" xfId="0" applyFont="1" applyFill="1" applyBorder="1" applyAlignment="1">
      <alignment horizontal="left" wrapText="1"/>
    </xf>
    <xf numFmtId="0" fontId="8" fillId="4" borderId="206" xfId="0" applyFont="1" applyFill="1" applyBorder="1" applyAlignment="1">
      <alignment horizontal="left" wrapText="1"/>
    </xf>
    <xf numFmtId="0" fontId="6" fillId="4" borderId="39" xfId="0" applyFont="1" applyFill="1" applyBorder="1"/>
    <xf numFmtId="0" fontId="3" fillId="2" borderId="39" xfId="0" applyFont="1" applyFill="1" applyBorder="1" applyAlignment="1">
      <alignment wrapText="1"/>
    </xf>
    <xf numFmtId="0" fontId="3" fillId="2" borderId="0" xfId="0" applyFont="1" applyFill="1" applyBorder="1"/>
    <xf numFmtId="0" fontId="3" fillId="2" borderId="47" xfId="0" applyFont="1" applyFill="1" applyBorder="1"/>
    <xf numFmtId="0" fontId="3" fillId="2" borderId="39" xfId="0" applyFont="1" applyFill="1" applyBorder="1"/>
    <xf numFmtId="0" fontId="3" fillId="2" borderId="62" xfId="0" applyFont="1" applyFill="1" applyBorder="1"/>
    <xf numFmtId="0" fontId="10" fillId="3" borderId="67" xfId="0" applyFont="1" applyFill="1" applyBorder="1" applyAlignment="1">
      <alignment vertical="center"/>
    </xf>
    <xf numFmtId="0" fontId="10" fillId="3" borderId="69" xfId="0" applyFont="1" applyFill="1" applyBorder="1" applyAlignment="1">
      <alignment vertical="center"/>
    </xf>
    <xf numFmtId="0" fontId="10" fillId="3" borderId="70" xfId="0" applyFont="1" applyFill="1" applyBorder="1" applyAlignment="1">
      <alignment vertical="center"/>
    </xf>
    <xf numFmtId="0" fontId="10" fillId="4" borderId="12" xfId="0" applyFont="1" applyFill="1" applyBorder="1" applyAlignment="1">
      <alignment horizontal="center" vertical="center" textRotation="90"/>
    </xf>
    <xf numFmtId="0" fontId="8" fillId="4" borderId="82" xfId="0" applyFont="1" applyFill="1" applyBorder="1" applyAlignment="1">
      <alignment horizontal="left" wrapText="1"/>
    </xf>
    <xf numFmtId="1" fontId="9" fillId="3" borderId="0" xfId="2" applyNumberFormat="1" applyFont="1" applyFill="1" applyBorder="1" applyAlignment="1">
      <alignment horizontal="center" vertical="center"/>
    </xf>
    <xf numFmtId="0" fontId="18" fillId="3" borderId="0" xfId="2" applyFont="1" applyFill="1" applyBorder="1" applyAlignment="1">
      <alignment horizontal="center"/>
    </xf>
    <xf numFmtId="0" fontId="18" fillId="3" borderId="0" xfId="2" applyFont="1" applyFill="1" applyBorder="1" applyAlignment="1">
      <alignment horizontal="center" vertical="top"/>
    </xf>
    <xf numFmtId="0" fontId="7" fillId="4" borderId="0" xfId="1" applyFont="1" applyFill="1" applyBorder="1" applyAlignment="1" applyProtection="1">
      <alignment horizontal="right" vertical="center"/>
    </xf>
    <xf numFmtId="0" fontId="30" fillId="4" borderId="0" xfId="0" applyFont="1" applyFill="1" applyBorder="1"/>
    <xf numFmtId="0" fontId="45" fillId="4" borderId="112" xfId="2" applyFont="1" applyFill="1" applyBorder="1" applyAlignment="1" applyProtection="1">
      <alignment horizontal="center" vertical="center" wrapText="1"/>
    </xf>
    <xf numFmtId="0" fontId="45" fillId="4" borderId="138" xfId="2" applyFont="1" applyFill="1" applyBorder="1" applyAlignment="1" applyProtection="1">
      <alignment horizontal="center" vertical="center" wrapText="1"/>
    </xf>
    <xf numFmtId="0" fontId="45" fillId="4" borderId="198" xfId="2" applyFont="1" applyFill="1" applyBorder="1" applyAlignment="1" applyProtection="1">
      <alignment horizontal="center" vertical="center" wrapText="1"/>
    </xf>
    <xf numFmtId="0" fontId="18" fillId="3" borderId="0" xfId="2" applyFont="1" applyFill="1" applyBorder="1" applyAlignment="1">
      <alignment horizontal="center" vertical="center"/>
    </xf>
  </cellXfs>
  <cellStyles count="6">
    <cellStyle name="Hyperlink" xfId="1" builtinId="8"/>
    <cellStyle name="Normal" xfId="0" builtinId="0"/>
    <cellStyle name="Normal 2" xfId="2"/>
    <cellStyle name="Normal_AKIS 2008 coverTOC" xfId="3"/>
    <cellStyle name="Normal_akis2004 cover" xfId="4"/>
    <cellStyle name="Normal_TabA1[95]"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xdr:col>
      <xdr:colOff>47625</xdr:colOff>
      <xdr:row>10</xdr:row>
      <xdr:rowOff>152400</xdr:rowOff>
    </xdr:from>
    <xdr:to>
      <xdr:col>9</xdr:col>
      <xdr:colOff>314325</xdr:colOff>
      <xdr:row>24</xdr:row>
      <xdr:rowOff>0</xdr:rowOff>
    </xdr:to>
    <xdr:sp macro="" textlink="">
      <xdr:nvSpPr>
        <xdr:cNvPr id="7" name="Text Box 5"/>
        <xdr:cNvSpPr txBox="1">
          <a:spLocks noChangeArrowheads="1"/>
        </xdr:cNvSpPr>
      </xdr:nvSpPr>
      <xdr:spPr bwMode="auto">
        <a:xfrm>
          <a:off x="1724025" y="1838325"/>
          <a:ext cx="5819775" cy="2114550"/>
        </a:xfrm>
        <a:prstGeom prst="rect">
          <a:avLst/>
        </a:prstGeom>
        <a:noFill/>
        <a:ln w="9525">
          <a:noFill/>
          <a:miter lim="800000"/>
          <a:headEnd/>
          <a:tailEnd/>
        </a:ln>
      </xdr:spPr>
      <xdr:txBody>
        <a:bodyPr vertOverflow="clip" wrap="square" lIns="45720" tIns="36576" rIns="0" bIns="0" anchor="t" upright="1"/>
        <a:lstStyle/>
        <a:p>
          <a:pPr algn="l" rtl="0">
            <a:defRPr sz="1000"/>
          </a:pPr>
          <a:r>
            <a:rPr lang="en-US" sz="1800" b="0" i="0" strike="noStrike">
              <a:solidFill>
                <a:srgbClr val="000000"/>
              </a:solidFill>
              <a:latin typeface="+mn-lt"/>
            </a:rPr>
            <a:t>             American Indian Measures for Success (AIMS)</a:t>
          </a:r>
        </a:p>
        <a:p>
          <a:pPr algn="l" rtl="0">
            <a:defRPr sz="1000"/>
          </a:pPr>
          <a:r>
            <a:rPr lang="en-US" sz="4000" b="1" i="0" strike="noStrike">
              <a:solidFill>
                <a:srgbClr val="000000"/>
              </a:solidFill>
              <a:latin typeface="+mn-lt"/>
            </a:rPr>
            <a:t>AIMS Key Indicator System</a:t>
          </a:r>
          <a:endParaRPr lang="en-US" sz="1800" b="1" i="0" strike="noStrike">
            <a:solidFill>
              <a:srgbClr val="000000"/>
            </a:solidFill>
            <a:latin typeface="+mn-lt"/>
          </a:endParaRPr>
        </a:p>
        <a:p>
          <a:pPr algn="l" rtl="0">
            <a:defRPr sz="1000"/>
          </a:pPr>
          <a:r>
            <a:rPr lang="en-US" sz="2400" b="0" i="0" strike="noStrike">
              <a:solidFill>
                <a:srgbClr val="000000"/>
              </a:solidFill>
              <a:latin typeface="+mn-lt"/>
            </a:rPr>
            <a:t>        </a:t>
          </a:r>
          <a:r>
            <a:rPr lang="en-US" sz="2000" b="0" i="0" strike="noStrike">
              <a:solidFill>
                <a:srgbClr val="000000"/>
              </a:solidFill>
              <a:latin typeface="+mn-lt"/>
            </a:rPr>
            <a:t>Part A: Quantitative Indicators (AKIS-2012A)</a:t>
          </a:r>
        </a:p>
        <a:p>
          <a:pPr algn="l" rtl="0">
            <a:defRPr sz="1000"/>
          </a:pPr>
          <a:endParaRPr lang="en-US" sz="1800" b="0" i="0" strike="noStrike">
            <a:solidFill>
              <a:srgbClr val="000000"/>
            </a:solidFill>
            <a:latin typeface="Georgia"/>
          </a:endParaRPr>
        </a:p>
      </xdr:txBody>
    </xdr:sp>
    <xdr:clientData/>
  </xdr:twoCellAnchor>
  <xdr:twoCellAnchor>
    <xdr:from>
      <xdr:col>2</xdr:col>
      <xdr:colOff>219075</xdr:colOff>
      <xdr:row>25</xdr:row>
      <xdr:rowOff>9525</xdr:rowOff>
    </xdr:from>
    <xdr:to>
      <xdr:col>9</xdr:col>
      <xdr:colOff>209549</xdr:colOff>
      <xdr:row>34</xdr:row>
      <xdr:rowOff>85726</xdr:rowOff>
    </xdr:to>
    <xdr:sp macro="" textlink="">
      <xdr:nvSpPr>
        <xdr:cNvPr id="9" name="Text Box 10"/>
        <xdr:cNvSpPr txBox="1">
          <a:spLocks noChangeArrowheads="1"/>
        </xdr:cNvSpPr>
      </xdr:nvSpPr>
      <xdr:spPr bwMode="auto">
        <a:xfrm>
          <a:off x="1895475" y="4124325"/>
          <a:ext cx="5543549" cy="1533526"/>
        </a:xfrm>
        <a:prstGeom prst="rect">
          <a:avLst/>
        </a:prstGeom>
        <a:noFill/>
        <a:ln w="9525">
          <a:noFill/>
          <a:miter lim="800000"/>
          <a:headEnd/>
          <a:tailEnd/>
        </a:ln>
      </xdr:spPr>
      <xdr:txBody>
        <a:bodyPr vertOverflow="clip" wrap="square" lIns="45720" tIns="41148" rIns="45720" bIns="41148" anchor="ctr" upright="1"/>
        <a:lstStyle/>
        <a:p>
          <a:pPr algn="ctr" rtl="0"/>
          <a:r>
            <a:rPr lang="en-US" sz="3200" b="1" i="0" baseline="0">
              <a:solidFill>
                <a:srgbClr val="C00000"/>
              </a:solidFill>
              <a:latin typeface="+mn-lt"/>
              <a:ea typeface="+mn-ea"/>
              <a:cs typeface="+mn-cs"/>
            </a:rPr>
            <a:t>Oglala Lakota College</a:t>
          </a:r>
          <a:endParaRPr lang="en-US" sz="3200">
            <a:solidFill>
              <a:srgbClr val="C00000"/>
            </a:solidFill>
          </a:endParaRPr>
        </a:p>
      </xdr:txBody>
    </xdr:sp>
    <xdr:clientData/>
  </xdr:twoCellAnchor>
  <xdr:twoCellAnchor>
    <xdr:from>
      <xdr:col>4</xdr:col>
      <xdr:colOff>333375</xdr:colOff>
      <xdr:row>34</xdr:row>
      <xdr:rowOff>38100</xdr:rowOff>
    </xdr:from>
    <xdr:to>
      <xdr:col>6</xdr:col>
      <xdr:colOff>638175</xdr:colOff>
      <xdr:row>37</xdr:row>
      <xdr:rowOff>38100</xdr:rowOff>
    </xdr:to>
    <xdr:sp macro="" textlink="">
      <xdr:nvSpPr>
        <xdr:cNvPr id="10" name="Text Box 12"/>
        <xdr:cNvSpPr txBox="1">
          <a:spLocks noChangeArrowheads="1"/>
        </xdr:cNvSpPr>
      </xdr:nvSpPr>
      <xdr:spPr bwMode="auto">
        <a:xfrm>
          <a:off x="3686175" y="5610225"/>
          <a:ext cx="1981200" cy="485775"/>
        </a:xfrm>
        <a:prstGeom prst="rect">
          <a:avLst/>
        </a:prstGeom>
        <a:solidFill>
          <a:schemeClr val="bg1">
            <a:lumMod val="95000"/>
          </a:schemeClr>
        </a:solidFill>
        <a:ln w="9525">
          <a:noFill/>
          <a:miter lim="800000"/>
          <a:headEnd/>
          <a:tailEnd/>
        </a:ln>
      </xdr:spPr>
      <xdr:txBody>
        <a:bodyPr vertOverflow="clip" wrap="square" lIns="36576" tIns="32004" rIns="36576" bIns="32004" anchor="ctr" upright="1"/>
        <a:lstStyle/>
        <a:p>
          <a:pPr algn="ctr" rtl="0">
            <a:defRPr sz="1000"/>
          </a:pPr>
          <a:r>
            <a:rPr lang="en-US" sz="1200" b="0" i="0" strike="noStrike">
              <a:solidFill>
                <a:srgbClr val="000000"/>
              </a:solidFill>
              <a:latin typeface="+mn-lt"/>
              <a:cs typeface="Times New Roman"/>
            </a:rPr>
            <a:t>July 2012</a:t>
          </a:r>
        </a:p>
      </xdr:txBody>
    </xdr:sp>
    <xdr:clientData/>
  </xdr:twoCellAnchor>
  <xdr:twoCellAnchor>
    <xdr:from>
      <xdr:col>4</xdr:col>
      <xdr:colOff>114300</xdr:colOff>
      <xdr:row>21</xdr:row>
      <xdr:rowOff>133350</xdr:rowOff>
    </xdr:from>
    <xdr:to>
      <xdr:col>6</xdr:col>
      <xdr:colOff>815340</xdr:colOff>
      <xdr:row>24</xdr:row>
      <xdr:rowOff>133350</xdr:rowOff>
    </xdr:to>
    <xdr:sp macro="" textlink="">
      <xdr:nvSpPr>
        <xdr:cNvPr id="12" name="Text Box 12"/>
        <xdr:cNvSpPr txBox="1">
          <a:spLocks noChangeArrowheads="1"/>
        </xdr:cNvSpPr>
      </xdr:nvSpPr>
      <xdr:spPr bwMode="auto">
        <a:xfrm>
          <a:off x="3467100" y="3600450"/>
          <a:ext cx="2377440" cy="485775"/>
        </a:xfrm>
        <a:prstGeom prst="rect">
          <a:avLst/>
        </a:prstGeom>
        <a:solidFill>
          <a:schemeClr val="bg1">
            <a:lumMod val="95000"/>
          </a:schemeClr>
        </a:solidFill>
        <a:ln w="9525">
          <a:noFill/>
          <a:miter lim="800000"/>
          <a:headEnd/>
          <a:tailEnd/>
        </a:ln>
      </xdr:spPr>
      <xdr:txBody>
        <a:bodyPr vertOverflow="clip" wrap="square" lIns="36576" tIns="32004" rIns="36576" bIns="32004" anchor="ctr" upright="1"/>
        <a:lstStyle/>
        <a:p>
          <a:pPr algn="ctr" rtl="0">
            <a:defRPr sz="1000"/>
          </a:pPr>
          <a:r>
            <a:rPr lang="en-US" sz="1400" b="1" i="0" strike="noStrike">
              <a:solidFill>
                <a:srgbClr val="000000"/>
              </a:solidFill>
              <a:latin typeface="Arial" pitchFamily="34" charset="0"/>
              <a:cs typeface="Arial" pitchFamily="34" charset="0"/>
            </a:rPr>
            <a:t>MASTER SPREADSHEET</a:t>
          </a:r>
        </a:p>
      </xdr:txBody>
    </xdr:sp>
    <xdr:clientData/>
  </xdr:twoCellAnchor>
  <xdr:twoCellAnchor editAs="oneCell">
    <xdr:from>
      <xdr:col>0</xdr:col>
      <xdr:colOff>7620</xdr:colOff>
      <xdr:row>0</xdr:row>
      <xdr:rowOff>0</xdr:rowOff>
    </xdr:from>
    <xdr:to>
      <xdr:col>2</xdr:col>
      <xdr:colOff>670560</xdr:colOff>
      <xdr:row>13</xdr:row>
      <xdr:rowOff>152400</xdr:rowOff>
    </xdr:to>
    <xdr:pic>
      <xdr:nvPicPr>
        <xdr:cNvPr id="2053" name="Picture 1"/>
        <xdr:cNvPicPr>
          <a:picLocks noChangeAspect="1"/>
        </xdr:cNvPicPr>
      </xdr:nvPicPr>
      <xdr:blipFill>
        <a:blip xmlns:r="http://schemas.openxmlformats.org/officeDocument/2006/relationships" r:embed="rId1" cstate="print"/>
        <a:srcRect/>
        <a:stretch>
          <a:fillRect/>
        </a:stretch>
      </xdr:blipFill>
      <xdr:spPr bwMode="auto">
        <a:xfrm>
          <a:off x="7620" y="0"/>
          <a:ext cx="2385060" cy="238506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180974</xdr:colOff>
      <xdr:row>9</xdr:row>
      <xdr:rowOff>1</xdr:rowOff>
    </xdr:from>
    <xdr:to>
      <xdr:col>10</xdr:col>
      <xdr:colOff>647700</xdr:colOff>
      <xdr:row>32</xdr:row>
      <xdr:rowOff>352425</xdr:rowOff>
    </xdr:to>
    <xdr:sp macro="" textlink="">
      <xdr:nvSpPr>
        <xdr:cNvPr id="5" name="Text Box 1"/>
        <xdr:cNvSpPr txBox="1">
          <a:spLocks noChangeArrowheads="1"/>
        </xdr:cNvSpPr>
      </xdr:nvSpPr>
      <xdr:spPr bwMode="auto">
        <a:xfrm>
          <a:off x="180974" y="1781176"/>
          <a:ext cx="8086726" cy="4076699"/>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100" b="0" i="0" strike="noStrike">
              <a:solidFill>
                <a:srgbClr val="000000"/>
              </a:solidFill>
              <a:latin typeface="Arial" pitchFamily="34" charset="0"/>
              <a:cs typeface="Arial" pitchFamily="34" charset="0"/>
            </a:rPr>
            <a:t>The AIHEC</a:t>
          </a:r>
          <a:r>
            <a:rPr lang="en-US" sz="1100" b="0" i="0" strike="noStrike" baseline="0">
              <a:solidFill>
                <a:srgbClr val="000000"/>
              </a:solidFill>
              <a:latin typeface="Arial" pitchFamily="34" charset="0"/>
              <a:cs typeface="Arial" pitchFamily="34" charset="0"/>
            </a:rPr>
            <a:t> </a:t>
          </a:r>
          <a:r>
            <a:rPr lang="en-US" sz="1100" b="0" i="0" strike="noStrike">
              <a:solidFill>
                <a:srgbClr val="000000"/>
              </a:solidFill>
              <a:latin typeface="Arial" pitchFamily="34" charset="0"/>
              <a:cs typeface="Arial" pitchFamily="34" charset="0"/>
            </a:rPr>
            <a:t>American Indian Measures for Success (AIHEC-AIMS) project has two goals: 1) to define relevant quantitative and qualitative indicator data of American Indian student success, as determined by the tribal colleges, and 2) to develop and implement a strategy for collecting, analyzing, and presenting annually the success indicator data using electronic information management tools.  Through data collection and analysis, this project provides the foundation for systemic reform that significantly increases - and for the first time, accurately measures - American Indian success in higher education.  </a:t>
          </a:r>
        </a:p>
        <a:p>
          <a:pPr algn="l" rtl="0">
            <a:defRPr sz="1000"/>
          </a:pPr>
          <a:endParaRPr lang="en-US" sz="1100" b="0" i="0" strike="noStrike">
            <a:solidFill>
              <a:srgbClr val="000000"/>
            </a:solidFill>
            <a:latin typeface="Arial" pitchFamily="34" charset="0"/>
            <a:cs typeface="Arial" pitchFamily="34" charset="0"/>
          </a:endParaRPr>
        </a:p>
        <a:p>
          <a:pPr algn="l" rtl="0">
            <a:defRPr sz="1000"/>
          </a:pPr>
          <a:r>
            <a:rPr lang="en-US" sz="1100" b="0" i="0" strike="noStrike">
              <a:solidFill>
                <a:srgbClr val="000000"/>
              </a:solidFill>
              <a:latin typeface="Arial" pitchFamily="34" charset="0"/>
              <a:cs typeface="Arial" pitchFamily="34" charset="0"/>
            </a:rPr>
            <a:t>At the spring 2004 meeting, the AIHEC Board of Directors passed the following resolution in support of the AIHEC-AIMS project:</a:t>
          </a:r>
        </a:p>
        <a:p>
          <a:pPr algn="l" rtl="0">
            <a:defRPr sz="1000"/>
          </a:pPr>
          <a:endParaRPr lang="en-US" sz="1100" b="0" i="0" strike="noStrike">
            <a:solidFill>
              <a:srgbClr val="000000"/>
            </a:solidFill>
            <a:latin typeface="Arial" pitchFamily="34" charset="0"/>
            <a:cs typeface="Arial" pitchFamily="34" charset="0"/>
          </a:endParaRPr>
        </a:p>
        <a:p>
          <a:pPr algn="l" rtl="0">
            <a:defRPr sz="1000"/>
          </a:pPr>
          <a:r>
            <a:rPr lang="en-US" sz="1100" b="0" i="0" strike="noStrike">
              <a:solidFill>
                <a:srgbClr val="000000"/>
              </a:solidFill>
              <a:latin typeface="Arial" pitchFamily="34" charset="0"/>
              <a:cs typeface="Arial" pitchFamily="34" charset="0"/>
            </a:rPr>
            <a:t>“The AIHEC Board of Directors should take an active role in the development of a definition of Tribal College and University student success and should support the AIHEC-Lumina initiative. Further, each </a:t>
          </a:r>
          <a:r>
            <a:rPr lang="en-US" sz="1100" b="0" i="0">
              <a:latin typeface="Arial" pitchFamily="34" charset="0"/>
              <a:ea typeface="+mn-ea"/>
              <a:cs typeface="Arial" pitchFamily="34" charset="0"/>
            </a:rPr>
            <a:t>Tribal College </a:t>
          </a:r>
          <a:r>
            <a:rPr lang="en-US" sz="1100" b="0" i="0" strike="noStrike">
              <a:solidFill>
                <a:srgbClr val="000000"/>
              </a:solidFill>
              <a:latin typeface="Arial" pitchFamily="34" charset="0"/>
              <a:cs typeface="Arial" pitchFamily="34" charset="0"/>
            </a:rPr>
            <a:t>should participate, to the maximum extent possible, in all activities associated with the initiative.”</a:t>
          </a:r>
        </a:p>
        <a:p>
          <a:pPr algn="l" rtl="0">
            <a:defRPr sz="1000"/>
          </a:pPr>
          <a:endParaRPr lang="en-US" sz="1100" b="0" i="0" u="none" strike="noStrike">
            <a:solidFill>
              <a:srgbClr val="000000"/>
            </a:solidFill>
            <a:latin typeface="Arial" pitchFamily="34" charset="0"/>
            <a:ea typeface="+mn-ea"/>
            <a:cs typeface="Arial" pitchFamily="34" charset="0"/>
          </a:endParaRPr>
        </a:p>
        <a:p>
          <a:pPr algn="l" rtl="0">
            <a:defRPr sz="1000"/>
          </a:pPr>
          <a:r>
            <a:rPr lang="en-US" sz="1100" b="0" i="0" strike="noStrike">
              <a:solidFill>
                <a:srgbClr val="000000"/>
              </a:solidFill>
              <a:latin typeface="Arial" pitchFamily="34" charset="0"/>
              <a:ea typeface="+mn-ea"/>
              <a:cs typeface="Arial" pitchFamily="34" charset="0"/>
            </a:rPr>
            <a:t>AKIS was developed under the guidance of the AIMS Advisory Panel and Tribal College and University presidents and registrars.  AIHEC would like to express its appreciation for the time and effort given during the development of the instruments. </a:t>
          </a:r>
        </a:p>
        <a:p>
          <a:pPr algn="l" rtl="0">
            <a:defRPr sz="1000"/>
          </a:pPr>
          <a:endParaRPr lang="en-US" sz="1100" b="0" i="0" strike="noStrike">
            <a:solidFill>
              <a:srgbClr val="000000"/>
            </a:solidFill>
            <a:latin typeface="Arial" pitchFamily="34" charset="0"/>
            <a:ea typeface="+mn-ea"/>
            <a:cs typeface="Arial" pitchFamily="34" charset="0"/>
          </a:endParaRPr>
        </a:p>
        <a:p>
          <a:pPr rtl="0"/>
          <a:r>
            <a:rPr lang="en-US" sz="1100" b="0" i="0">
              <a:latin typeface="Arial" pitchFamily="34" charset="0"/>
              <a:ea typeface="+mn-ea"/>
              <a:cs typeface="Arial" pitchFamily="34" charset="0"/>
            </a:rPr>
            <a:t>AKIS 2012 consists of two parts:</a:t>
          </a:r>
          <a:endParaRPr lang="en-US">
            <a:latin typeface="Arial" pitchFamily="34" charset="0"/>
            <a:cs typeface="Arial" pitchFamily="34" charset="0"/>
          </a:endParaRPr>
        </a:p>
        <a:p>
          <a:pPr rtl="0"/>
          <a:endParaRPr lang="en-US" sz="1100" b="0" i="0">
            <a:latin typeface="Arial" pitchFamily="34" charset="0"/>
            <a:ea typeface="+mn-ea"/>
            <a:cs typeface="Arial" pitchFamily="34" charset="0"/>
          </a:endParaRPr>
        </a:p>
        <a:p>
          <a:pPr rtl="0"/>
          <a:r>
            <a:rPr lang="en-US" sz="1100" b="0" i="0">
              <a:latin typeface="Arial" pitchFamily="34" charset="0"/>
              <a:ea typeface="+mn-ea"/>
              <a:cs typeface="Arial" pitchFamily="34" charset="0"/>
            </a:rPr>
            <a:t>        Part A: Quantitative Indicators (Microsoft Excel</a:t>
          </a:r>
          <a:r>
            <a:rPr lang="en-US" sz="1100" b="0" i="0" baseline="30000">
              <a:latin typeface="Arial" pitchFamily="34" charset="0"/>
              <a:ea typeface="+mn-ea"/>
              <a:cs typeface="Arial" pitchFamily="34" charset="0"/>
            </a:rPr>
            <a:t>®</a:t>
          </a:r>
          <a:r>
            <a:rPr lang="en-US" sz="1100" b="0" i="0">
              <a:latin typeface="Arial" pitchFamily="34" charset="0"/>
              <a:ea typeface="+mn-ea"/>
              <a:cs typeface="Arial" pitchFamily="34" charset="0"/>
            </a:rPr>
            <a:t>)</a:t>
          </a:r>
          <a:endParaRPr lang="en-US">
            <a:latin typeface="Arial" pitchFamily="34" charset="0"/>
            <a:cs typeface="Arial" pitchFamily="34" charset="0"/>
          </a:endParaRPr>
        </a:p>
        <a:p>
          <a:pPr rtl="0"/>
          <a:r>
            <a:rPr lang="en-US" sz="1100" b="0" i="0">
              <a:latin typeface="Arial" pitchFamily="34" charset="0"/>
              <a:ea typeface="+mn-ea"/>
              <a:cs typeface="Arial" pitchFamily="34" charset="0"/>
            </a:rPr>
            <a:t>        Part B: Qualitative Indicators (Microsoft Word</a:t>
          </a:r>
          <a:r>
            <a:rPr lang="en-US" sz="1100" b="0" i="0" baseline="30000">
              <a:latin typeface="Arial" pitchFamily="34" charset="0"/>
              <a:ea typeface="+mn-ea"/>
              <a:cs typeface="Arial" pitchFamily="34" charset="0"/>
            </a:rPr>
            <a:t>®</a:t>
          </a:r>
          <a:r>
            <a:rPr lang="en-US" sz="1100" b="0" i="0">
              <a:latin typeface="Arial" pitchFamily="34" charset="0"/>
              <a:ea typeface="+mn-ea"/>
              <a:cs typeface="Arial" pitchFamily="34" charset="0"/>
            </a:rPr>
            <a:t>)</a:t>
          </a:r>
          <a:endParaRPr lang="en-US">
            <a:latin typeface="Arial" pitchFamily="34" charset="0"/>
            <a:cs typeface="Arial" pitchFamily="34" charset="0"/>
          </a:endParaRPr>
        </a:p>
        <a:p>
          <a:pPr rtl="0"/>
          <a:endParaRPr lang="en-US" sz="1100" b="0" i="0">
            <a:latin typeface="Arial" pitchFamily="34" charset="0"/>
            <a:ea typeface="+mn-ea"/>
            <a:cs typeface="Arial" pitchFamily="34" charset="0"/>
          </a:endParaRPr>
        </a:p>
        <a:p>
          <a:pPr rtl="0"/>
          <a:r>
            <a:rPr lang="en-US" sz="1100" b="0" i="0">
              <a:latin typeface="Arial" pitchFamily="34" charset="0"/>
              <a:ea typeface="+mn-ea"/>
              <a:cs typeface="Arial" pitchFamily="34" charset="0"/>
            </a:rPr>
            <a:t>Thank you in advance for your participation in the AIHEC-AIMS project!  Please complete AKIS</a:t>
          </a:r>
          <a:r>
            <a:rPr lang="en-US" sz="1100" b="0" i="0" baseline="0">
              <a:latin typeface="Arial" pitchFamily="34" charset="0"/>
              <a:ea typeface="+mn-ea"/>
              <a:cs typeface="Arial" pitchFamily="34" charset="0"/>
            </a:rPr>
            <a:t> </a:t>
          </a:r>
          <a:r>
            <a:rPr lang="en-US" sz="1100" b="0" i="0">
              <a:latin typeface="Arial" pitchFamily="34" charset="0"/>
              <a:ea typeface="+mn-ea"/>
              <a:cs typeface="Arial" pitchFamily="34" charset="0"/>
            </a:rPr>
            <a:t>2012 by </a:t>
          </a:r>
          <a:r>
            <a:rPr lang="en-US" sz="1100" b="1" i="0">
              <a:latin typeface="Arial" pitchFamily="34" charset="0"/>
              <a:ea typeface="+mn-ea"/>
              <a:cs typeface="Arial" pitchFamily="34" charset="0"/>
            </a:rPr>
            <a:t>December</a:t>
          </a:r>
          <a:r>
            <a:rPr lang="en-US" sz="1100" b="1" i="0" baseline="0">
              <a:latin typeface="Arial" pitchFamily="34" charset="0"/>
              <a:ea typeface="+mn-ea"/>
              <a:cs typeface="Arial" pitchFamily="34" charset="0"/>
            </a:rPr>
            <a:t> 14</a:t>
          </a:r>
          <a:r>
            <a:rPr lang="en-US" sz="1100" b="1" i="0">
              <a:latin typeface="Arial" pitchFamily="34" charset="0"/>
              <a:ea typeface="+mn-ea"/>
              <a:cs typeface="Arial" pitchFamily="34" charset="0"/>
            </a:rPr>
            <a:t>, 2012</a:t>
          </a:r>
          <a:r>
            <a:rPr lang="en-US" sz="1100" b="0" i="0">
              <a:latin typeface="Arial" pitchFamily="34" charset="0"/>
              <a:ea typeface="+mn-ea"/>
              <a:cs typeface="Arial" pitchFamily="34" charset="0"/>
            </a:rPr>
            <a:t>.</a:t>
          </a:r>
          <a:endParaRPr lang="en-US">
            <a:latin typeface="Arial" pitchFamily="34" charset="0"/>
            <a:cs typeface="Arial" pitchFamily="34" charset="0"/>
          </a:endParaRPr>
        </a:p>
        <a:p>
          <a:pPr rtl="0"/>
          <a:endParaRPr lang="en-US" sz="1100" b="0" i="0">
            <a:latin typeface="Arial" pitchFamily="34" charset="0"/>
            <a:ea typeface="+mn-ea"/>
            <a:cs typeface="Arial" pitchFamily="34" charset="0"/>
          </a:endParaRPr>
        </a:p>
        <a:p>
          <a:pPr rtl="0"/>
          <a:r>
            <a:rPr lang="en-US" sz="1100" b="0" i="0">
              <a:latin typeface="Arial" pitchFamily="34" charset="0"/>
              <a:ea typeface="+mn-ea"/>
              <a:cs typeface="Arial" pitchFamily="34" charset="0"/>
            </a:rPr>
            <a:t>If you have any questions regarding AKIS</a:t>
          </a:r>
          <a:r>
            <a:rPr lang="en-US" sz="1100" b="0" i="0" baseline="0">
              <a:latin typeface="Arial" pitchFamily="34" charset="0"/>
              <a:ea typeface="+mn-ea"/>
              <a:cs typeface="Arial" pitchFamily="34" charset="0"/>
            </a:rPr>
            <a:t> </a:t>
          </a:r>
          <a:r>
            <a:rPr lang="en-US" sz="1100" b="0" i="0">
              <a:latin typeface="Arial" pitchFamily="34" charset="0"/>
              <a:ea typeface="+mn-ea"/>
              <a:cs typeface="Arial" pitchFamily="34" charset="0"/>
            </a:rPr>
            <a:t>2012, please contact Katherine Page by email at kpage@aihec.org or by phone at (703) 838-0400 x105.</a:t>
          </a:r>
          <a:endParaRPr lang="en-US">
            <a:latin typeface="Arial" pitchFamily="34" charset="0"/>
            <a:cs typeface="Arial" pitchFamily="34" charset="0"/>
          </a:endParaRPr>
        </a:p>
        <a:p>
          <a:pPr algn="l" rtl="0">
            <a:defRPr sz="1000"/>
          </a:pPr>
          <a:endParaRPr lang="en-US" sz="1100" b="0" i="0" strike="noStrike">
            <a:solidFill>
              <a:srgbClr val="000000"/>
            </a:solidFill>
            <a:latin typeface="Arial" pitchFamily="34" charset="0"/>
            <a:ea typeface="+mn-ea"/>
            <a:cs typeface="Arial" pitchFamily="34" charset="0"/>
          </a:endParaRPr>
        </a:p>
        <a:p>
          <a:pPr algn="l" rtl="0">
            <a:defRPr sz="1000"/>
          </a:pPr>
          <a:endParaRPr lang="en-US" sz="11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xdr:txBody>
    </xdr:sp>
    <xdr:clientData/>
  </xdr:twoCellAnchor>
  <xdr:twoCellAnchor editAs="oneCell">
    <xdr:from>
      <xdr:col>0</xdr:col>
      <xdr:colOff>304800</xdr:colOff>
      <xdr:row>3</xdr:row>
      <xdr:rowOff>38100</xdr:rowOff>
    </xdr:from>
    <xdr:to>
      <xdr:col>1</xdr:col>
      <xdr:colOff>655320</xdr:colOff>
      <xdr:row>8</xdr:row>
      <xdr:rowOff>22860</xdr:rowOff>
    </xdr:to>
    <xdr:pic>
      <xdr:nvPicPr>
        <xdr:cNvPr id="3074" name="Picture 3"/>
        <xdr:cNvPicPr>
          <a:picLocks noChangeAspect="1"/>
        </xdr:cNvPicPr>
      </xdr:nvPicPr>
      <xdr:blipFill>
        <a:blip xmlns:r="http://schemas.openxmlformats.org/officeDocument/2006/relationships" r:embed="rId1" cstate="print"/>
        <a:srcRect/>
        <a:stretch>
          <a:fillRect/>
        </a:stretch>
      </xdr:blipFill>
      <xdr:spPr bwMode="auto">
        <a:xfrm>
          <a:off x="304800" y="548640"/>
          <a:ext cx="1135380" cy="110490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104773</xdr:colOff>
      <xdr:row>6</xdr:row>
      <xdr:rowOff>95249</xdr:rowOff>
    </xdr:from>
    <xdr:to>
      <xdr:col>13</xdr:col>
      <xdr:colOff>942974</xdr:colOff>
      <xdr:row>40</xdr:row>
      <xdr:rowOff>0</xdr:rowOff>
    </xdr:to>
    <xdr:sp macro="" textlink="">
      <xdr:nvSpPr>
        <xdr:cNvPr id="2" name="Text Box 1"/>
        <xdr:cNvSpPr txBox="1">
          <a:spLocks noChangeArrowheads="1"/>
        </xdr:cNvSpPr>
      </xdr:nvSpPr>
      <xdr:spPr bwMode="auto">
        <a:xfrm>
          <a:off x="104773" y="1390649"/>
          <a:ext cx="8763001" cy="5448301"/>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0" i="0">
              <a:latin typeface="Arial" pitchFamily="34" charset="0"/>
              <a:ea typeface="+mn-ea"/>
              <a:cs typeface="Arial" pitchFamily="34" charset="0"/>
            </a:rPr>
            <a:t>Please enter information in white</a:t>
          </a:r>
          <a:r>
            <a:rPr lang="en-US" sz="1000" b="0" i="0" baseline="0">
              <a:latin typeface="Arial" pitchFamily="34" charset="0"/>
              <a:ea typeface="+mn-ea"/>
              <a:cs typeface="Arial" pitchFamily="34" charset="0"/>
            </a:rPr>
            <a:t> </a:t>
          </a:r>
          <a:r>
            <a:rPr lang="en-US" sz="1000" b="0" i="0">
              <a:latin typeface="Arial" pitchFamily="34" charset="0"/>
              <a:ea typeface="+mn-ea"/>
              <a:cs typeface="Arial" pitchFamily="34" charset="0"/>
            </a:rPr>
            <a:t>cells only.</a:t>
          </a:r>
        </a:p>
        <a:p>
          <a:pPr algn="l" rtl="0">
            <a:defRPr sz="1000"/>
          </a:pPr>
          <a:endParaRPr lang="en-US" sz="1000" b="0" i="0">
            <a:latin typeface="Arial" pitchFamily="34" charset="0"/>
            <a:ea typeface="+mn-ea"/>
            <a:cs typeface="Arial" pitchFamily="34" charset="0"/>
          </a:endParaRPr>
        </a:p>
        <a:p>
          <a:pPr algn="l" rtl="0">
            <a:defRPr sz="1000"/>
          </a:pPr>
          <a:r>
            <a:rPr lang="en-US" sz="1000" b="0" i="0">
              <a:latin typeface="Arial" pitchFamily="34" charset="0"/>
              <a:ea typeface="+mn-ea"/>
              <a:cs typeface="Arial" pitchFamily="34" charset="0"/>
            </a:rPr>
            <a:t>Do not change anything in the colored cells</a:t>
          </a:r>
          <a:r>
            <a:rPr lang="en-US" sz="1000" b="0" i="0" baseline="0">
              <a:latin typeface="Arial" pitchFamily="34" charset="0"/>
              <a:ea typeface="+mn-ea"/>
              <a:cs typeface="Arial" pitchFamily="34" charset="0"/>
            </a:rPr>
            <a:t>.  </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Sheets may be copied and distributed to appropriate staff.  If you copy and distribute sections, be aware that formulas may be affected. </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One person should be responsible for transferring information from distributed spreadsheets to the master spreadsheet, if applicable.  Copy only information from uncolored boxes, and paste only into uncolored boxes.  Check the data to be sure they make sense.</a:t>
          </a:r>
        </a:p>
        <a:p>
          <a:pPr algn="l" rtl="0">
            <a:defRPr sz="1000"/>
          </a:pPr>
          <a:endParaRPr lang="en-US" sz="1000" b="0" i="0" baseline="0">
            <a:latin typeface="Arial" pitchFamily="34" charset="0"/>
            <a:ea typeface="+mn-ea"/>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0" i="0" baseline="0">
              <a:latin typeface="Arial" pitchFamily="34" charset="0"/>
              <a:ea typeface="+mn-ea"/>
              <a:cs typeface="Arial" pitchFamily="34" charset="0"/>
            </a:rPr>
            <a:t>There should be information in </a:t>
          </a:r>
          <a:r>
            <a:rPr lang="en-US" sz="1000" b="1" i="0" baseline="0">
              <a:latin typeface="Arial" pitchFamily="34" charset="0"/>
              <a:ea typeface="+mn-ea"/>
              <a:cs typeface="Arial" pitchFamily="34" charset="0"/>
            </a:rPr>
            <a:t>every</a:t>
          </a:r>
          <a:r>
            <a:rPr lang="en-US" sz="1000" b="0" i="0" baseline="0">
              <a:latin typeface="Arial" pitchFamily="34" charset="0"/>
              <a:ea typeface="+mn-ea"/>
              <a:cs typeface="Arial" pitchFamily="34" charset="0"/>
            </a:rPr>
            <a:t> uncolored box.  </a:t>
          </a:r>
          <a:r>
            <a:rPr lang="en-US" sz="1000" b="1" i="0" baseline="0">
              <a:latin typeface="Arial" pitchFamily="34" charset="0"/>
              <a:ea typeface="+mn-ea"/>
              <a:cs typeface="Arial" pitchFamily="34" charset="0"/>
            </a:rPr>
            <a:t>Do not leave any blanks.  </a:t>
          </a:r>
          <a:endParaRPr lang="en-US" sz="1000" b="1">
            <a:latin typeface="Arial" pitchFamily="34" charset="0"/>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endParaRPr lang="en-US" sz="1000" b="0" i="0" baseline="0">
            <a:latin typeface="Arial" pitchFamily="34" charset="0"/>
            <a:ea typeface="+mn-ea"/>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1" i="0" baseline="0">
              <a:latin typeface="Arial" pitchFamily="34" charset="0"/>
              <a:ea typeface="+mn-ea"/>
              <a:cs typeface="Arial" pitchFamily="34" charset="0"/>
            </a:rPr>
            <a:t>Zero is an important value! </a:t>
          </a:r>
          <a:r>
            <a:rPr lang="en-US" sz="1000" b="0" i="0" baseline="0">
              <a:latin typeface="Arial" pitchFamily="34" charset="0"/>
              <a:ea typeface="+mn-ea"/>
              <a:cs typeface="Arial" pitchFamily="34" charset="0"/>
            </a:rPr>
            <a:t>	0 = zero; actual value is zero</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Only three abbreviations should be used when a number cannot be entered:</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	m = missing; not available; lost; unable to calculate</a:t>
          </a:r>
        </a:p>
        <a:p>
          <a:pPr algn="l" rtl="0">
            <a:defRPr sz="1000"/>
          </a:pPr>
          <a:r>
            <a:rPr lang="en-US" sz="1000" b="0" i="0" baseline="0">
              <a:latin typeface="Arial" pitchFamily="34" charset="0"/>
              <a:ea typeface="+mn-ea"/>
              <a:cs typeface="Arial" pitchFamily="34" charset="0"/>
            </a:rPr>
            <a:t>	NA = not applicable; does not apply</a:t>
          </a:r>
        </a:p>
        <a:p>
          <a:pPr algn="l" rtl="0">
            <a:defRPr sz="1000"/>
          </a:pPr>
          <a:r>
            <a:rPr lang="en-US" sz="1000" b="0" i="0" baseline="0">
              <a:latin typeface="Arial" pitchFamily="34" charset="0"/>
              <a:ea typeface="+mn-ea"/>
              <a:cs typeface="Arial" pitchFamily="34" charset="0"/>
            </a:rPr>
            <a:t>	NO = not offered</a:t>
          </a:r>
        </a:p>
        <a:p>
          <a:pPr algn="l" rtl="0">
            <a:defRPr sz="1000"/>
          </a:pPr>
          <a:r>
            <a:rPr lang="en-US" sz="1000" b="0" i="0" baseline="0">
              <a:latin typeface="Arial" pitchFamily="34" charset="0"/>
              <a:ea typeface="+mn-ea"/>
              <a:cs typeface="Arial" pitchFamily="34" charset="0"/>
            </a:rPr>
            <a:t>	</a:t>
          </a:r>
        </a:p>
        <a:p>
          <a:pPr algn="l" rtl="0">
            <a:defRPr sz="1000"/>
          </a:pPr>
          <a:r>
            <a:rPr lang="en-US" sz="1000" b="0" i="0" baseline="0">
              <a:latin typeface="Arial" pitchFamily="34" charset="0"/>
              <a:ea typeface="+mn-ea"/>
              <a:cs typeface="Arial" pitchFamily="34" charset="0"/>
            </a:rPr>
            <a:t>If a response is "NA" or "missing," </a:t>
          </a:r>
          <a:r>
            <a:rPr lang="en-US" sz="1000" b="1" i="0" baseline="0">
              <a:latin typeface="Arial" pitchFamily="34" charset="0"/>
              <a:ea typeface="+mn-ea"/>
              <a:cs typeface="Arial" pitchFamily="34" charset="0"/>
            </a:rPr>
            <a:t>explain why </a:t>
          </a:r>
          <a:r>
            <a:rPr lang="en-US" sz="1000" b="0" i="0" baseline="0">
              <a:latin typeface="Arial" pitchFamily="34" charset="0"/>
              <a:ea typeface="+mn-ea"/>
              <a:cs typeface="Arial" pitchFamily="34" charset="0"/>
            </a:rPr>
            <a:t>in the Notes section, located at the bottom of each page.  Include any other additional information in the Notes section.</a:t>
          </a:r>
        </a:p>
        <a:p>
          <a:pPr algn="l" rtl="0">
            <a:defRPr sz="1000"/>
          </a:pPr>
          <a:endParaRPr lang="en-US" sz="1000" b="0" i="0" baseline="0">
            <a:latin typeface="Arial" pitchFamily="34" charset="0"/>
            <a:ea typeface="+mn-ea"/>
            <a:cs typeface="Arial" pitchFamily="34" charset="0"/>
          </a:endParaRPr>
        </a:p>
        <a:p>
          <a:r>
            <a:rPr lang="en-US" sz="1000">
              <a:latin typeface="+mn-lt"/>
              <a:ea typeface="+mn-ea"/>
              <a:cs typeface="+mn-cs"/>
            </a:rPr>
            <a:t> </a:t>
          </a:r>
          <a:r>
            <a:rPr lang="en-US" sz="1000">
              <a:latin typeface="Arial" pitchFamily="34" charset="0"/>
              <a:ea typeface="+mn-ea"/>
              <a:cs typeface="Arial" pitchFamily="34" charset="0"/>
            </a:rPr>
            <a:t>Please complete AKIS 2012 by </a:t>
          </a:r>
          <a:r>
            <a:rPr lang="en-US" sz="1000" b="1">
              <a:latin typeface="Arial" pitchFamily="34" charset="0"/>
              <a:ea typeface="+mn-ea"/>
              <a:cs typeface="Arial" pitchFamily="34" charset="0"/>
            </a:rPr>
            <a:t>December 14, 2012 </a:t>
          </a:r>
          <a:r>
            <a:rPr lang="en-US" sz="1000">
              <a:latin typeface="Arial" pitchFamily="34" charset="0"/>
              <a:ea typeface="+mn-ea"/>
              <a:cs typeface="Arial" pitchFamily="34" charset="0"/>
            </a:rPr>
            <a:t>and send it to AIHEC</a:t>
          </a:r>
          <a:r>
            <a:rPr lang="en-US" sz="1000" b="1">
              <a:latin typeface="Arial" pitchFamily="34" charset="0"/>
              <a:ea typeface="+mn-ea"/>
              <a:cs typeface="Arial" pitchFamily="34" charset="0"/>
            </a:rPr>
            <a:t> via e-mail to kpage@aihec.org or  via U.S. mail on a CD </a:t>
          </a:r>
          <a:r>
            <a:rPr lang="en-US" sz="1000">
              <a:latin typeface="Arial" pitchFamily="34" charset="0"/>
              <a:ea typeface="+mn-ea"/>
              <a:cs typeface="Arial" pitchFamily="34" charset="0"/>
            </a:rPr>
            <a:t>along with your </a:t>
          </a:r>
          <a:r>
            <a:rPr lang="en-US" sz="1000" b="1">
              <a:latin typeface="Arial" pitchFamily="34" charset="0"/>
              <a:ea typeface="+mn-ea"/>
              <a:cs typeface="Arial" pitchFamily="34" charset="0"/>
            </a:rPr>
            <a:t>photos, photo description sheet, and</a:t>
          </a:r>
          <a:r>
            <a:rPr lang="en-US" sz="1000">
              <a:latin typeface="Arial" pitchFamily="34" charset="0"/>
              <a:ea typeface="+mn-ea"/>
              <a:cs typeface="Arial" pitchFamily="34" charset="0"/>
            </a:rPr>
            <a:t> </a:t>
          </a:r>
          <a:r>
            <a:rPr lang="en-US" sz="1000" b="1">
              <a:latin typeface="Arial" pitchFamily="34" charset="0"/>
              <a:ea typeface="+mn-ea"/>
              <a:cs typeface="Arial" pitchFamily="34" charset="0"/>
            </a:rPr>
            <a:t>AKIS 2012 Part B</a:t>
          </a:r>
          <a:r>
            <a:rPr lang="en-US" sz="1000">
              <a:latin typeface="Arial" pitchFamily="34" charset="0"/>
              <a:ea typeface="+mn-ea"/>
              <a:cs typeface="Arial" pitchFamily="34" charset="0"/>
            </a:rPr>
            <a:t>. </a:t>
          </a:r>
          <a:endParaRPr lang="en-US" sz="1000" b="1">
            <a:latin typeface="Arial" pitchFamily="34" charset="0"/>
            <a:ea typeface="+mn-ea"/>
            <a:cs typeface="Arial" pitchFamily="34" charset="0"/>
          </a:endParaRPr>
        </a:p>
        <a:p>
          <a:r>
            <a:rPr lang="en-US" sz="1000" u="none" strike="noStrike">
              <a:latin typeface="Arial" pitchFamily="34" charset="0"/>
              <a:ea typeface="+mn-ea"/>
              <a:cs typeface="Arial" pitchFamily="34" charset="0"/>
            </a:rPr>
            <a:t> </a:t>
          </a:r>
          <a:endParaRPr lang="en-US" sz="1000">
            <a:latin typeface="Arial" pitchFamily="34" charset="0"/>
            <a:ea typeface="+mn-ea"/>
            <a:cs typeface="Arial" pitchFamily="34" charset="0"/>
          </a:endParaRPr>
        </a:p>
        <a:p>
          <a:pPr algn="ctr"/>
          <a:r>
            <a:rPr lang="en-US" sz="1000">
              <a:latin typeface="Arial" pitchFamily="34" charset="0"/>
              <a:ea typeface="+mn-ea"/>
              <a:cs typeface="Arial" pitchFamily="34" charset="0"/>
            </a:rPr>
            <a:t>Katherine Page</a:t>
          </a:r>
        </a:p>
        <a:p>
          <a:pPr algn="ctr"/>
          <a:r>
            <a:rPr lang="en-US" sz="1000">
              <a:latin typeface="Arial" pitchFamily="34" charset="0"/>
              <a:ea typeface="+mn-ea"/>
              <a:cs typeface="Arial" pitchFamily="34" charset="0"/>
            </a:rPr>
            <a:t>AIHEC</a:t>
          </a:r>
        </a:p>
        <a:p>
          <a:pPr algn="ctr"/>
          <a:r>
            <a:rPr lang="en-US" sz="1000">
              <a:latin typeface="Arial" pitchFamily="34" charset="0"/>
              <a:ea typeface="+mn-ea"/>
              <a:cs typeface="Arial" pitchFamily="34" charset="0"/>
            </a:rPr>
            <a:t>121 Oronoco St.</a:t>
          </a:r>
        </a:p>
        <a:p>
          <a:pPr algn="ctr"/>
          <a:r>
            <a:rPr lang="en-US" sz="1000">
              <a:latin typeface="Arial" pitchFamily="34" charset="0"/>
              <a:ea typeface="+mn-ea"/>
              <a:cs typeface="Arial" pitchFamily="34" charset="0"/>
            </a:rPr>
            <a:t>Alexandria, VA  22314</a:t>
          </a:r>
        </a:p>
        <a:p>
          <a:pPr algn="l" rtl="0">
            <a:defRPr sz="1000"/>
          </a:pPr>
          <a:endParaRPr lang="en-US" sz="1000" b="0" i="0" baseline="0">
            <a:latin typeface="Arial" pitchFamily="34" charset="0"/>
            <a:ea typeface="+mn-ea"/>
            <a:cs typeface="Arial" pitchFamily="34" charset="0"/>
          </a:endParaRP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For questions, concerns, and other assistance, please contact Katherine Page at kpage@aihec.org or (703) 838-0400 x105.</a:t>
          </a:r>
        </a:p>
        <a:p>
          <a:pPr algn="l" rtl="0">
            <a:defRPr sz="1000"/>
          </a:pPr>
          <a:endParaRPr lang="en-US" sz="1100" b="0" i="0" baseline="0">
            <a:latin typeface="Arial" pitchFamily="34" charset="0"/>
            <a:ea typeface="+mn-ea"/>
            <a:cs typeface="Arial" pitchFamily="34" charset="0"/>
          </a:endParaRPr>
        </a:p>
        <a:p>
          <a:pPr algn="ctr" rtl="0">
            <a:defRPr sz="1000"/>
          </a:pPr>
          <a:r>
            <a:rPr lang="en-US" sz="1600" b="1" i="0" baseline="0">
              <a:solidFill>
                <a:srgbClr val="C00000"/>
              </a:solidFill>
              <a:latin typeface="Arial" pitchFamily="34" charset="0"/>
              <a:ea typeface="+mn-ea"/>
              <a:cs typeface="Arial" pitchFamily="34" charset="0"/>
            </a:rPr>
            <a:t>NO EXTENSIONS ON DEADLINE </a:t>
          </a:r>
        </a:p>
        <a:p>
          <a:pPr algn="ctr" rtl="0">
            <a:defRPr sz="1000"/>
          </a:pPr>
          <a:r>
            <a:rPr lang="en-US" sz="1550" b="1" i="0" baseline="0">
              <a:solidFill>
                <a:srgbClr val="C00000"/>
              </a:solidFill>
              <a:latin typeface="Arial" pitchFamily="34" charset="0"/>
              <a:ea typeface="+mn-ea"/>
              <a:cs typeface="Arial" pitchFamily="34" charset="0"/>
            </a:rPr>
            <a:t>If the data are incomplete when submitted, the report will be rejected and considered LATE.</a:t>
          </a:r>
        </a:p>
        <a:p>
          <a:pPr algn="l" rtl="0">
            <a:defRPr sz="1000"/>
          </a:pPr>
          <a:endParaRPr lang="en-US" sz="1100" b="0" i="0" baseline="0">
            <a:latin typeface="Arial" pitchFamily="34" charset="0"/>
            <a:ea typeface="+mn-ea"/>
            <a:cs typeface="Arial" pitchFamily="34" charset="0"/>
          </a:endParaRPr>
        </a:p>
        <a:p>
          <a:pPr algn="l" rtl="0">
            <a:defRPr sz="1000"/>
          </a:pPr>
          <a:endParaRPr lang="en-US" sz="1100" b="0" i="0" strike="noStrike">
            <a:solidFill>
              <a:srgbClr val="000000"/>
            </a:solidFill>
            <a:latin typeface="Arial" pitchFamily="34" charset="0"/>
            <a:ea typeface="+mn-ea"/>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xdr:txBody>
    </xdr:sp>
    <xdr:clientData/>
  </xdr:twoCellAnchor>
  <xdr:twoCellAnchor>
    <xdr:from>
      <xdr:col>0</xdr:col>
      <xdr:colOff>213360</xdr:colOff>
      <xdr:row>0</xdr:row>
      <xdr:rowOff>114300</xdr:rowOff>
    </xdr:from>
    <xdr:to>
      <xdr:col>1</xdr:col>
      <xdr:colOff>571500</xdr:colOff>
      <xdr:row>5</xdr:row>
      <xdr:rowOff>76200</xdr:rowOff>
    </xdr:to>
    <xdr:pic>
      <xdr:nvPicPr>
        <xdr:cNvPr id="4098" name="Picture 2" descr="Logo hi-res with text"/>
        <xdr:cNvPicPr>
          <a:picLocks noChangeArrowheads="1"/>
        </xdr:cNvPicPr>
      </xdr:nvPicPr>
      <xdr:blipFill>
        <a:blip xmlns:r="http://schemas.openxmlformats.org/officeDocument/2006/relationships" r:embed="rId1" cstate="print"/>
        <a:srcRect/>
        <a:stretch>
          <a:fillRect/>
        </a:stretch>
      </xdr:blipFill>
      <xdr:spPr bwMode="auto">
        <a:xfrm>
          <a:off x="213360" y="114300"/>
          <a:ext cx="982980" cy="1051560"/>
        </a:xfrm>
        <a:prstGeom prst="rect">
          <a:avLst/>
        </a:prstGeom>
        <a:noFill/>
        <a:ln w="9525">
          <a:noFill/>
          <a:miter lim="800000"/>
          <a:headEnd/>
          <a:tailEnd/>
        </a:ln>
      </xdr:spPr>
    </xdr:pic>
    <xdr:clientData/>
  </xdr:twoCellAnchor>
  <xdr:twoCellAnchor>
    <xdr:from>
      <xdr:col>7</xdr:col>
      <xdr:colOff>342900</xdr:colOff>
      <xdr:row>7</xdr:row>
      <xdr:rowOff>123825</xdr:rowOff>
    </xdr:from>
    <xdr:to>
      <xdr:col>13</xdr:col>
      <xdr:colOff>209550</xdr:colOff>
      <xdr:row>40</xdr:row>
      <xdr:rowOff>0</xdr:rowOff>
    </xdr:to>
    <xdr:sp macro="" textlink="">
      <xdr:nvSpPr>
        <xdr:cNvPr id="4" name="Text Box 4"/>
        <xdr:cNvSpPr txBox="1">
          <a:spLocks noChangeArrowheads="1"/>
        </xdr:cNvSpPr>
      </xdr:nvSpPr>
      <xdr:spPr bwMode="auto">
        <a:xfrm>
          <a:off x="5219700" y="2295525"/>
          <a:ext cx="3524250" cy="5219700"/>
        </a:xfrm>
        <a:prstGeom prst="rect">
          <a:avLst/>
        </a:prstGeom>
        <a:noFill/>
        <a:ln w="9525">
          <a:noFill/>
          <a:miter lim="800000"/>
          <a:headEnd/>
          <a:tailEnd/>
        </a:ln>
      </xdr:spPr>
      <xdr:txBody>
        <a:bodyPr vertOverflow="clip" wrap="square" lIns="27432" tIns="22860" rIns="0" bIns="0" anchor="t" upright="1"/>
        <a:lstStyle/>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ugaertner@olc.edu" TargetMode="External"/><Relationship Id="rId1" Type="http://schemas.openxmlformats.org/officeDocument/2006/relationships/hyperlink" Target="http://www.olc.edu/"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mpourier@olc.edu" TargetMode="External"/><Relationship Id="rId3" Type="http://schemas.openxmlformats.org/officeDocument/2006/relationships/hyperlink" Target="mailto:bhornbeck@olc.edu" TargetMode="External"/><Relationship Id="rId7" Type="http://schemas.openxmlformats.org/officeDocument/2006/relationships/hyperlink" Target="mailto:mpourier@olc.edu" TargetMode="External"/><Relationship Id="rId2" Type="http://schemas.openxmlformats.org/officeDocument/2006/relationships/hyperlink" Target="mailto:ugaertner@olc.edu" TargetMode="External"/><Relationship Id="rId1" Type="http://schemas.openxmlformats.org/officeDocument/2006/relationships/hyperlink" Target="mailto:dwinters@olc.edu" TargetMode="External"/><Relationship Id="rId6" Type="http://schemas.openxmlformats.org/officeDocument/2006/relationships/hyperlink" Target="mailto:cdelong@olc.edu" TargetMode="External"/><Relationship Id="rId5" Type="http://schemas.openxmlformats.org/officeDocument/2006/relationships/hyperlink" Target="mailto:bhornbeck@olc.edu" TargetMode="External"/><Relationship Id="rId10" Type="http://schemas.openxmlformats.org/officeDocument/2006/relationships/printerSettings" Target="../printerSettings/printerSettings5.bin"/><Relationship Id="rId4" Type="http://schemas.openxmlformats.org/officeDocument/2006/relationships/hyperlink" Target="mailto:lmesteth@olc.edu" TargetMode="External"/><Relationship Id="rId9" Type="http://schemas.openxmlformats.org/officeDocument/2006/relationships/hyperlink" Target="mailto:ugaertner@olc.edu"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J40"/>
  <sheetViews>
    <sheetView tabSelected="1" topLeftCell="A9" zoomScaleNormal="100" workbookViewId="0">
      <selection activeCell="B20" sqref="B20"/>
    </sheetView>
  </sheetViews>
  <sheetFormatPr defaultColWidth="12.5703125" defaultRowHeight="12.75" x14ac:dyDescent="0.2"/>
  <cols>
    <col min="1" max="7" width="12.5703125" style="251" customWidth="1"/>
    <col min="8" max="8" width="7.85546875" style="251" customWidth="1"/>
    <col min="9" max="16384" width="12.5703125" style="251"/>
  </cols>
  <sheetData>
    <row r="1" spans="1:9" x14ac:dyDescent="0.2">
      <c r="I1" s="335"/>
    </row>
    <row r="5" spans="1:9" x14ac:dyDescent="0.2">
      <c r="C5" s="336"/>
    </row>
    <row r="10" spans="1:9" ht="18" x14ac:dyDescent="0.25">
      <c r="A10" s="337"/>
    </row>
    <row r="29" spans="1:5" x14ac:dyDescent="0.2">
      <c r="A29" s="338"/>
      <c r="E29" s="338"/>
    </row>
    <row r="39" spans="6:10" ht="15" x14ac:dyDescent="0.2">
      <c r="J39" s="339"/>
    </row>
    <row r="40" spans="6:10" x14ac:dyDescent="0.2">
      <c r="F40" s="338"/>
    </row>
  </sheetData>
  <phoneticPr fontId="65" type="noConversion"/>
  <pageMargins left="0.40583333300000002" right="0.12833333333333299" top="0.75" bottom="0.75" header="0.3" footer="0.3"/>
  <pageSetup scale="83" orientation="landscape" r:id="rId1"/>
  <headerFooter>
    <oddHeader>&amp;LAKIS A 2012</oddHeader>
    <oddFooter>&amp;LAmerican Indian Higher Education Consortium</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N33"/>
  <sheetViews>
    <sheetView zoomScaleNormal="100" workbookViewId="0">
      <selection activeCell="A7" sqref="A7:K7"/>
    </sheetView>
  </sheetViews>
  <sheetFormatPr defaultColWidth="9.140625" defaultRowHeight="12.75" x14ac:dyDescent="0.2"/>
  <cols>
    <col min="1" max="14" width="11.42578125" style="136" customWidth="1"/>
    <col min="15" max="16384" width="9.140625" style="136"/>
  </cols>
  <sheetData>
    <row r="2" spans="1:14" x14ac:dyDescent="0.2">
      <c r="L2" s="139"/>
      <c r="M2" s="139"/>
      <c r="N2" s="139"/>
    </row>
    <row r="3" spans="1:14" ht="13.5" thickBot="1" x14ac:dyDescent="0.25">
      <c r="L3" s="139"/>
      <c r="M3" s="139"/>
      <c r="N3" s="139"/>
    </row>
    <row r="4" spans="1:14" ht="27" customHeight="1" x14ac:dyDescent="0.25">
      <c r="A4" s="1219" t="s">
        <v>814</v>
      </c>
      <c r="B4" s="1220"/>
      <c r="C4" s="1220"/>
      <c r="D4" s="1220"/>
      <c r="E4" s="1220"/>
      <c r="F4" s="1220"/>
      <c r="G4" s="1220"/>
      <c r="H4" s="1220"/>
      <c r="I4" s="1220"/>
      <c r="J4" s="1220"/>
      <c r="K4" s="1221"/>
      <c r="L4" s="1009"/>
      <c r="M4" s="1009"/>
      <c r="N4" s="1009"/>
    </row>
    <row r="5" spans="1:14" ht="18" x14ac:dyDescent="0.25">
      <c r="A5" s="1222" t="s">
        <v>614</v>
      </c>
      <c r="B5" s="1223"/>
      <c r="C5" s="1223"/>
      <c r="D5" s="1223"/>
      <c r="E5" s="1223"/>
      <c r="F5" s="1223"/>
      <c r="G5" s="1223"/>
      <c r="H5" s="1223"/>
      <c r="I5" s="1223"/>
      <c r="J5" s="1223"/>
      <c r="K5" s="1224"/>
      <c r="L5" s="1009"/>
      <c r="M5" s="1009"/>
      <c r="N5" s="1009"/>
    </row>
    <row r="6" spans="1:14" x14ac:dyDescent="0.2">
      <c r="A6" s="332"/>
      <c r="B6" s="137"/>
      <c r="C6" s="137"/>
      <c r="D6" s="137"/>
      <c r="E6" s="137"/>
      <c r="F6" s="137"/>
      <c r="G6" s="137"/>
      <c r="H6" s="137"/>
      <c r="I6" s="137"/>
      <c r="J6" s="137"/>
      <c r="K6" s="138"/>
      <c r="L6" s="137"/>
      <c r="M6" s="137"/>
      <c r="N6" s="137"/>
    </row>
    <row r="7" spans="1:14" ht="18" x14ac:dyDescent="0.25">
      <c r="A7" s="1222" t="s">
        <v>615</v>
      </c>
      <c r="B7" s="1223"/>
      <c r="C7" s="1223"/>
      <c r="D7" s="1223"/>
      <c r="E7" s="1223"/>
      <c r="F7" s="1223"/>
      <c r="G7" s="1223"/>
      <c r="H7" s="1223"/>
      <c r="I7" s="1223"/>
      <c r="J7" s="1223"/>
      <c r="K7" s="1224"/>
      <c r="L7" s="1009"/>
      <c r="M7" s="1009"/>
      <c r="N7" s="1009"/>
    </row>
    <row r="8" spans="1:14" x14ac:dyDescent="0.2">
      <c r="A8" s="333"/>
      <c r="B8" s="139"/>
      <c r="C8" s="139"/>
      <c r="D8" s="139"/>
      <c r="E8" s="139"/>
      <c r="F8" s="139"/>
      <c r="G8" s="139"/>
      <c r="H8" s="139"/>
      <c r="I8" s="139"/>
      <c r="J8" s="139"/>
      <c r="K8" s="140"/>
      <c r="L8" s="139"/>
      <c r="M8" s="139"/>
      <c r="N8" s="139"/>
    </row>
    <row r="9" spans="1:14" x14ac:dyDescent="0.2">
      <c r="A9" s="333"/>
      <c r="B9" s="139"/>
      <c r="C9" s="139"/>
      <c r="D9" s="139"/>
      <c r="E9" s="139"/>
      <c r="F9" s="139"/>
      <c r="G9" s="139"/>
      <c r="H9" s="139"/>
      <c r="I9" s="139"/>
      <c r="J9" s="139"/>
      <c r="K9" s="140"/>
      <c r="L9" s="139"/>
      <c r="M9" s="139"/>
      <c r="N9" s="139"/>
    </row>
    <row r="10" spans="1:14" x14ac:dyDescent="0.2">
      <c r="A10" s="333"/>
      <c r="B10" s="139"/>
      <c r="C10" s="139"/>
      <c r="D10" s="139"/>
      <c r="E10" s="139"/>
      <c r="F10" s="139"/>
      <c r="G10" s="139"/>
      <c r="H10" s="139"/>
      <c r="I10" s="139"/>
      <c r="J10" s="139"/>
      <c r="K10" s="140"/>
      <c r="L10" s="139"/>
      <c r="M10" s="139"/>
      <c r="N10" s="139"/>
    </row>
    <row r="11" spans="1:14" x14ac:dyDescent="0.2">
      <c r="A11" s="333"/>
      <c r="B11" s="139"/>
      <c r="C11" s="139"/>
      <c r="D11" s="139"/>
      <c r="E11" s="139"/>
      <c r="F11" s="139"/>
      <c r="G11" s="139"/>
      <c r="H11" s="139"/>
      <c r="I11" s="139"/>
      <c r="J11" s="139"/>
      <c r="K11" s="140"/>
      <c r="L11" s="139"/>
      <c r="M11" s="139"/>
      <c r="N11" s="139"/>
    </row>
    <row r="12" spans="1:14" x14ac:dyDescent="0.2">
      <c r="A12" s="333"/>
      <c r="B12" s="139"/>
      <c r="C12" s="139"/>
      <c r="D12" s="139"/>
      <c r="E12" s="139"/>
      <c r="F12" s="139"/>
      <c r="G12" s="139"/>
      <c r="H12" s="139"/>
      <c r="I12" s="139"/>
      <c r="J12" s="139"/>
      <c r="K12" s="140"/>
      <c r="L12" s="139"/>
      <c r="M12" s="139"/>
      <c r="N12" s="139"/>
    </row>
    <row r="13" spans="1:14" x14ac:dyDescent="0.2">
      <c r="A13" s="333"/>
      <c r="B13" s="139"/>
      <c r="C13" s="139"/>
      <c r="D13" s="139"/>
      <c r="E13" s="139"/>
      <c r="F13" s="139"/>
      <c r="G13" s="139"/>
      <c r="H13" s="139"/>
      <c r="I13" s="139"/>
      <c r="J13" s="139"/>
      <c r="K13" s="140"/>
      <c r="L13" s="139"/>
      <c r="M13" s="139"/>
      <c r="N13" s="139"/>
    </row>
    <row r="14" spans="1:14" x14ac:dyDescent="0.2">
      <c r="A14" s="333"/>
      <c r="B14" s="139"/>
      <c r="C14" s="139"/>
      <c r="D14" s="139"/>
      <c r="E14" s="139"/>
      <c r="F14" s="139"/>
      <c r="G14" s="139"/>
      <c r="H14" s="139"/>
      <c r="I14" s="139"/>
      <c r="J14" s="139"/>
      <c r="K14" s="140"/>
      <c r="L14" s="139"/>
      <c r="M14" s="139"/>
      <c r="N14" s="139"/>
    </row>
    <row r="15" spans="1:14" x14ac:dyDescent="0.2">
      <c r="A15" s="333"/>
      <c r="B15" s="139"/>
      <c r="C15" s="139"/>
      <c r="D15" s="139"/>
      <c r="E15" s="139"/>
      <c r="F15" s="139"/>
      <c r="G15" s="139"/>
      <c r="H15" s="139"/>
      <c r="I15" s="139"/>
      <c r="J15" s="139"/>
      <c r="K15" s="140"/>
      <c r="L15" s="139"/>
      <c r="M15" s="139"/>
      <c r="N15" s="139"/>
    </row>
    <row r="16" spans="1:14" x14ac:dyDescent="0.2">
      <c r="A16" s="333"/>
      <c r="B16" s="139"/>
      <c r="C16" s="139"/>
      <c r="D16" s="139"/>
      <c r="E16" s="139"/>
      <c r="F16" s="139"/>
      <c r="G16" s="139"/>
      <c r="H16" s="139"/>
      <c r="I16" s="139"/>
      <c r="J16" s="139"/>
      <c r="K16" s="140"/>
      <c r="L16" s="139"/>
      <c r="M16" s="139"/>
      <c r="N16" s="139"/>
    </row>
    <row r="17" spans="1:14" x14ac:dyDescent="0.2">
      <c r="A17" s="333"/>
      <c r="B17" s="139"/>
      <c r="C17" s="139"/>
      <c r="D17" s="139"/>
      <c r="E17" s="139"/>
      <c r="F17" s="139"/>
      <c r="G17" s="139"/>
      <c r="H17" s="139"/>
      <c r="I17" s="139"/>
      <c r="J17" s="139"/>
      <c r="K17" s="140"/>
      <c r="L17" s="139"/>
      <c r="M17" s="139"/>
      <c r="N17" s="139"/>
    </row>
    <row r="18" spans="1:14" x14ac:dyDescent="0.2">
      <c r="A18" s="333"/>
      <c r="B18" s="139"/>
      <c r="C18" s="139"/>
      <c r="D18" s="139"/>
      <c r="E18" s="139"/>
      <c r="F18" s="139"/>
      <c r="G18" s="139"/>
      <c r="H18" s="139"/>
      <c r="I18" s="139"/>
      <c r="J18" s="139"/>
      <c r="K18" s="140"/>
      <c r="L18" s="139"/>
      <c r="M18" s="139"/>
      <c r="N18" s="139"/>
    </row>
    <row r="19" spans="1:14" x14ac:dyDescent="0.2">
      <c r="A19" s="333"/>
      <c r="B19" s="139"/>
      <c r="C19" s="139"/>
      <c r="D19" s="139"/>
      <c r="E19" s="139"/>
      <c r="F19" s="139"/>
      <c r="G19" s="139"/>
      <c r="H19" s="139"/>
      <c r="I19" s="139"/>
      <c r="J19" s="139"/>
      <c r="K19" s="140"/>
      <c r="L19" s="139"/>
      <c r="M19" s="139"/>
      <c r="N19" s="139"/>
    </row>
    <row r="20" spans="1:14" x14ac:dyDescent="0.2">
      <c r="A20" s="333"/>
      <c r="B20" s="139"/>
      <c r="C20" s="139"/>
      <c r="D20" s="139"/>
      <c r="E20" s="139"/>
      <c r="F20" s="139"/>
      <c r="G20" s="139"/>
      <c r="H20" s="139"/>
      <c r="I20" s="139"/>
      <c r="J20" s="139"/>
      <c r="K20" s="140"/>
      <c r="L20" s="139"/>
      <c r="M20" s="139"/>
      <c r="N20" s="139"/>
    </row>
    <row r="21" spans="1:14" x14ac:dyDescent="0.2">
      <c r="A21" s="333"/>
      <c r="B21" s="139"/>
      <c r="C21" s="139"/>
      <c r="D21" s="139"/>
      <c r="E21" s="139"/>
      <c r="F21" s="139"/>
      <c r="G21" s="139"/>
      <c r="H21" s="139"/>
      <c r="I21" s="139"/>
      <c r="J21" s="139"/>
      <c r="K21" s="140"/>
      <c r="L21" s="139"/>
      <c r="M21" s="139"/>
      <c r="N21" s="139"/>
    </row>
    <row r="22" spans="1:14" x14ac:dyDescent="0.2">
      <c r="A22" s="333"/>
      <c r="B22" s="139"/>
      <c r="C22" s="139"/>
      <c r="D22" s="139"/>
      <c r="E22" s="139"/>
      <c r="F22" s="139"/>
      <c r="G22" s="139"/>
      <c r="H22" s="139"/>
      <c r="I22" s="139"/>
      <c r="J22" s="139"/>
      <c r="K22" s="140"/>
      <c r="L22" s="139"/>
      <c r="M22" s="139"/>
      <c r="N22" s="139"/>
    </row>
    <row r="23" spans="1:14" x14ac:dyDescent="0.2">
      <c r="A23" s="333"/>
      <c r="B23" s="139"/>
      <c r="C23" s="139"/>
      <c r="D23" s="139"/>
      <c r="E23" s="139"/>
      <c r="F23" s="139"/>
      <c r="G23" s="139"/>
      <c r="H23" s="139"/>
      <c r="I23" s="139"/>
      <c r="J23" s="139"/>
      <c r="K23" s="140"/>
      <c r="L23" s="139"/>
      <c r="M23" s="139"/>
      <c r="N23" s="139"/>
    </row>
    <row r="24" spans="1:14" x14ac:dyDescent="0.2">
      <c r="A24" s="333"/>
      <c r="B24" s="139"/>
      <c r="C24" s="139"/>
      <c r="D24" s="139"/>
      <c r="E24" s="139"/>
      <c r="F24" s="139"/>
      <c r="G24" s="139"/>
      <c r="H24" s="139"/>
      <c r="I24" s="139"/>
      <c r="J24" s="139"/>
      <c r="K24" s="140"/>
      <c r="L24" s="139"/>
      <c r="M24" s="139"/>
      <c r="N24" s="139"/>
    </row>
    <row r="25" spans="1:14" x14ac:dyDescent="0.2">
      <c r="A25" s="1"/>
      <c r="B25" s="139"/>
      <c r="C25" s="139"/>
      <c r="D25" s="139"/>
      <c r="E25" s="139"/>
      <c r="F25" s="139"/>
      <c r="G25" s="139"/>
      <c r="H25" s="139"/>
      <c r="I25" s="139"/>
      <c r="J25" s="139"/>
      <c r="K25" s="140"/>
      <c r="L25" s="139"/>
      <c r="M25" s="139"/>
      <c r="N25" s="139"/>
    </row>
    <row r="26" spans="1:14" x14ac:dyDescent="0.2">
      <c r="A26" s="333"/>
      <c r="B26" s="139"/>
      <c r="C26" s="139"/>
      <c r="D26" s="139"/>
      <c r="E26" s="139"/>
      <c r="F26" s="139"/>
      <c r="G26" s="139"/>
      <c r="H26" s="139"/>
      <c r="I26" s="139"/>
      <c r="J26" s="139"/>
      <c r="K26" s="140"/>
      <c r="L26" s="139"/>
      <c r="M26" s="139"/>
      <c r="N26" s="139"/>
    </row>
    <row r="27" spans="1:14" x14ac:dyDescent="0.2">
      <c r="A27" s="333"/>
      <c r="B27" s="139"/>
      <c r="C27" s="139"/>
      <c r="D27" s="139"/>
      <c r="E27" s="139"/>
      <c r="F27" s="139"/>
      <c r="G27" s="139"/>
      <c r="H27" s="139"/>
      <c r="I27" s="139"/>
      <c r="J27" s="139"/>
      <c r="K27" s="140"/>
      <c r="L27" s="139"/>
      <c r="M27" s="139"/>
      <c r="N27" s="139"/>
    </row>
    <row r="28" spans="1:14" x14ac:dyDescent="0.2">
      <c r="A28" s="333"/>
      <c r="B28" s="139"/>
      <c r="C28" s="139"/>
      <c r="D28" s="139"/>
      <c r="E28" s="139"/>
      <c r="F28" s="139"/>
      <c r="G28" s="139"/>
      <c r="H28" s="139"/>
      <c r="I28" s="139"/>
      <c r="J28" s="139"/>
      <c r="K28" s="140"/>
      <c r="L28" s="139"/>
      <c r="M28" s="139"/>
      <c r="N28" s="139"/>
    </row>
    <row r="29" spans="1:14" x14ac:dyDescent="0.2">
      <c r="A29" s="333"/>
      <c r="B29" s="139"/>
      <c r="C29" s="139"/>
      <c r="D29" s="139"/>
      <c r="E29" s="139"/>
      <c r="F29" s="139"/>
      <c r="G29" s="139"/>
      <c r="H29" s="139"/>
      <c r="I29" s="139"/>
      <c r="J29" s="139"/>
      <c r="K29" s="140"/>
      <c r="L29" s="139"/>
      <c r="M29" s="139"/>
      <c r="N29" s="139"/>
    </row>
    <row r="30" spans="1:14" x14ac:dyDescent="0.2">
      <c r="A30" s="333"/>
      <c r="B30" s="139"/>
      <c r="C30" s="139"/>
      <c r="D30" s="139"/>
      <c r="E30" s="139"/>
      <c r="F30" s="139"/>
      <c r="G30" s="139"/>
      <c r="H30" s="139"/>
      <c r="I30" s="139"/>
      <c r="J30" s="139"/>
      <c r="K30" s="140"/>
      <c r="L30" s="139"/>
      <c r="M30" s="139"/>
      <c r="N30" s="139"/>
    </row>
    <row r="31" spans="1:14" x14ac:dyDescent="0.2">
      <c r="A31" s="333"/>
      <c r="B31" s="139"/>
      <c r="C31" s="139"/>
      <c r="D31" s="139"/>
      <c r="E31" s="139"/>
      <c r="F31" s="139"/>
      <c r="G31" s="139"/>
      <c r="H31" s="139"/>
      <c r="I31" s="139"/>
      <c r="J31" s="139"/>
      <c r="K31" s="140"/>
      <c r="L31" s="139"/>
      <c r="M31" s="139"/>
      <c r="N31" s="139"/>
    </row>
    <row r="32" spans="1:14" x14ac:dyDescent="0.2">
      <c r="A32" s="333"/>
      <c r="B32" s="139"/>
      <c r="C32" s="139"/>
      <c r="D32" s="139"/>
      <c r="E32" s="139"/>
      <c r="F32" s="139"/>
      <c r="G32" s="139"/>
      <c r="H32" s="139"/>
      <c r="I32" s="139"/>
      <c r="J32" s="139"/>
      <c r="K32" s="140"/>
      <c r="L32" s="333"/>
      <c r="M32" s="139"/>
      <c r="N32" s="139"/>
    </row>
    <row r="33" spans="1:11" ht="30.75" customHeight="1" thickBot="1" x14ac:dyDescent="0.25">
      <c r="A33" s="334"/>
      <c r="B33" s="141"/>
      <c r="C33" s="141"/>
      <c r="D33" s="141"/>
      <c r="E33" s="141"/>
      <c r="F33" s="141"/>
      <c r="G33" s="141"/>
      <c r="H33" s="141"/>
      <c r="I33" s="141"/>
      <c r="J33" s="141"/>
      <c r="K33" s="142"/>
    </row>
  </sheetData>
  <mergeCells count="3">
    <mergeCell ref="A4:K4"/>
    <mergeCell ref="A5:K5"/>
    <mergeCell ref="A7:K7"/>
  </mergeCells>
  <phoneticPr fontId="65" type="noConversion"/>
  <pageMargins left="0.40583333300000002" right="0.12833333333333299" top="0.75" bottom="0.75" header="0.3" footer="0.3"/>
  <pageSetup orientation="landscape" r:id="rId1"/>
  <headerFooter>
    <oddHeader>&amp;LAKIS A 2012</oddHeader>
    <oddFooter>&amp;LAmerican Indian Higher Education Consortium</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O49"/>
  <sheetViews>
    <sheetView zoomScaleNormal="100" workbookViewId="0">
      <selection activeCell="A5" sqref="A5"/>
    </sheetView>
  </sheetViews>
  <sheetFormatPr defaultColWidth="9.140625" defaultRowHeight="12.75" x14ac:dyDescent="0.2"/>
  <cols>
    <col min="1" max="13" width="9.140625" style="136"/>
    <col min="14" max="14" width="15.140625" style="136" customWidth="1"/>
    <col min="15" max="16384" width="9.140625" style="136"/>
  </cols>
  <sheetData>
    <row r="1" spans="1:14" ht="27" customHeight="1" x14ac:dyDescent="0.25">
      <c r="A1" s="1225" t="s">
        <v>814</v>
      </c>
      <c r="B1" s="1226"/>
      <c r="C1" s="1226"/>
      <c r="D1" s="1226"/>
      <c r="E1" s="1226"/>
      <c r="F1" s="1226"/>
      <c r="G1" s="1226"/>
      <c r="H1" s="1226"/>
      <c r="I1" s="1226"/>
      <c r="J1" s="1226"/>
      <c r="K1" s="1226"/>
      <c r="L1" s="1226"/>
      <c r="M1" s="1226"/>
      <c r="N1" s="1227"/>
    </row>
    <row r="2" spans="1:14" ht="15.75" x14ac:dyDescent="0.25">
      <c r="A2" s="1228" t="s">
        <v>815</v>
      </c>
      <c r="B2" s="1229"/>
      <c r="C2" s="1229"/>
      <c r="D2" s="1229"/>
      <c r="E2" s="1229"/>
      <c r="F2" s="1229"/>
      <c r="G2" s="1229"/>
      <c r="H2" s="1229"/>
      <c r="I2" s="1229"/>
      <c r="J2" s="1229"/>
      <c r="K2" s="1229"/>
      <c r="L2" s="1229"/>
      <c r="M2" s="1229"/>
      <c r="N2" s="1230"/>
    </row>
    <row r="3" spans="1:14" ht="15" x14ac:dyDescent="0.2">
      <c r="A3" s="332"/>
      <c r="B3" s="137"/>
      <c r="C3" s="137"/>
      <c r="D3" s="137"/>
      <c r="E3" s="137"/>
      <c r="F3" s="303"/>
      <c r="G3" s="137"/>
      <c r="H3" s="137"/>
      <c r="I3" s="137"/>
      <c r="J3" s="137"/>
      <c r="K3" s="137"/>
      <c r="L3" s="137"/>
      <c r="M3" s="137"/>
      <c r="N3" s="138"/>
    </row>
    <row r="4" spans="1:14" ht="15.75" x14ac:dyDescent="0.25">
      <c r="A4" s="1228" t="s">
        <v>561</v>
      </c>
      <c r="B4" s="1229"/>
      <c r="C4" s="1229"/>
      <c r="D4" s="1229"/>
      <c r="E4" s="1229"/>
      <c r="F4" s="1229"/>
      <c r="G4" s="1229"/>
      <c r="H4" s="1229"/>
      <c r="I4" s="1229"/>
      <c r="J4" s="1229"/>
      <c r="K4" s="1229"/>
      <c r="L4" s="1229"/>
      <c r="M4" s="1229"/>
      <c r="N4" s="1230"/>
    </row>
    <row r="5" spans="1:14" ht="12.75" customHeight="1" x14ac:dyDescent="0.2">
      <c r="A5" s="333"/>
      <c r="B5" s="139"/>
      <c r="C5" s="139"/>
      <c r="D5" s="139"/>
      <c r="E5" s="139"/>
      <c r="F5" s="139"/>
      <c r="G5" s="139"/>
      <c r="H5" s="139"/>
      <c r="I5" s="139"/>
      <c r="J5" s="139"/>
      <c r="K5" s="139"/>
      <c r="L5" s="139"/>
      <c r="M5" s="139"/>
      <c r="N5" s="140"/>
    </row>
    <row r="6" spans="1:14" ht="15.75" x14ac:dyDescent="0.2">
      <c r="A6" s="1231" t="s">
        <v>881</v>
      </c>
      <c r="B6" s="1232"/>
      <c r="C6" s="1232"/>
      <c r="D6" s="1232"/>
      <c r="E6" s="1232"/>
      <c r="F6" s="1232"/>
      <c r="G6" s="1232"/>
      <c r="H6" s="1232"/>
      <c r="I6" s="1232"/>
      <c r="J6" s="1232"/>
      <c r="K6" s="1232"/>
      <c r="L6" s="1232"/>
      <c r="M6" s="1232"/>
      <c r="N6" s="1233"/>
    </row>
    <row r="7" spans="1:14" x14ac:dyDescent="0.2">
      <c r="A7" s="333"/>
      <c r="B7" s="139"/>
      <c r="C7" s="139"/>
      <c r="D7" s="139"/>
      <c r="E7" s="139"/>
      <c r="F7" s="139"/>
      <c r="G7" s="139"/>
      <c r="H7" s="139"/>
      <c r="I7" s="139"/>
      <c r="J7" s="139"/>
      <c r="K7" s="139"/>
      <c r="L7" s="139"/>
      <c r="M7" s="139"/>
      <c r="N7" s="140"/>
    </row>
    <row r="8" spans="1:14" x14ac:dyDescent="0.2">
      <c r="A8" s="333"/>
      <c r="B8" s="139"/>
      <c r="C8" s="139"/>
      <c r="D8" s="139"/>
      <c r="E8" s="139"/>
      <c r="F8" s="139"/>
      <c r="G8" s="139"/>
      <c r="H8" s="139"/>
      <c r="I8" s="139"/>
      <c r="J8" s="139"/>
      <c r="K8" s="139"/>
      <c r="L8" s="139"/>
      <c r="M8" s="139"/>
      <c r="N8" s="140"/>
    </row>
    <row r="9" spans="1:14" x14ac:dyDescent="0.2">
      <c r="A9" s="333"/>
      <c r="B9" s="139"/>
      <c r="C9" s="139"/>
      <c r="D9" s="139"/>
      <c r="E9" s="139"/>
      <c r="F9" s="139"/>
      <c r="G9" s="139"/>
      <c r="H9" s="139"/>
      <c r="I9" s="139"/>
      <c r="J9" s="139"/>
      <c r="K9" s="139"/>
      <c r="L9" s="139"/>
      <c r="M9" s="139"/>
      <c r="N9" s="140"/>
    </row>
    <row r="10" spans="1:14" x14ac:dyDescent="0.2">
      <c r="A10" s="333"/>
      <c r="B10" s="139"/>
      <c r="C10" s="139"/>
      <c r="D10" s="139"/>
      <c r="E10" s="139"/>
      <c r="F10" s="139"/>
      <c r="G10" s="139"/>
      <c r="H10" s="139"/>
      <c r="I10" s="139"/>
      <c r="J10" s="139"/>
      <c r="K10" s="139"/>
      <c r="L10" s="139"/>
      <c r="M10" s="139"/>
      <c r="N10" s="140"/>
    </row>
    <row r="11" spans="1:14" x14ac:dyDescent="0.2">
      <c r="A11" s="333"/>
      <c r="B11" s="139"/>
      <c r="C11" s="139"/>
      <c r="D11" s="139"/>
      <c r="E11" s="139"/>
      <c r="F11" s="139"/>
      <c r="G11" s="139"/>
      <c r="H11" s="139"/>
      <c r="I11" s="139"/>
      <c r="J11" s="139"/>
      <c r="K11" s="139"/>
      <c r="L11" s="139"/>
      <c r="M11" s="139"/>
      <c r="N11" s="140"/>
    </row>
    <row r="12" spans="1:14" x14ac:dyDescent="0.2">
      <c r="A12" s="333"/>
      <c r="B12" s="139"/>
      <c r="C12" s="139"/>
      <c r="D12" s="139"/>
      <c r="E12" s="139"/>
      <c r="F12" s="139"/>
      <c r="G12" s="139"/>
      <c r="H12" s="139"/>
      <c r="I12" s="139"/>
      <c r="J12" s="139"/>
      <c r="K12" s="139"/>
      <c r="L12" s="139"/>
      <c r="M12" s="139"/>
      <c r="N12" s="140"/>
    </row>
    <row r="13" spans="1:14" x14ac:dyDescent="0.2">
      <c r="A13" s="333"/>
      <c r="B13" s="139"/>
      <c r="C13" s="139"/>
      <c r="D13" s="139"/>
      <c r="E13" s="139"/>
      <c r="F13" s="139"/>
      <c r="G13" s="139"/>
      <c r="H13" s="139"/>
      <c r="I13" s="139"/>
      <c r="J13" s="139"/>
      <c r="K13" s="139"/>
      <c r="L13" s="139"/>
      <c r="M13" s="139"/>
      <c r="N13" s="140"/>
    </row>
    <row r="14" spans="1:14" x14ac:dyDescent="0.2">
      <c r="A14" s="333"/>
      <c r="B14" s="139"/>
      <c r="C14" s="139"/>
      <c r="D14" s="139"/>
      <c r="E14" s="139"/>
      <c r="F14" s="139"/>
      <c r="G14" s="139"/>
      <c r="H14" s="139"/>
      <c r="I14" s="139"/>
      <c r="J14" s="139"/>
      <c r="K14" s="139"/>
      <c r="L14" s="139"/>
      <c r="M14" s="139"/>
      <c r="N14" s="140"/>
    </row>
    <row r="15" spans="1:14" x14ac:dyDescent="0.2">
      <c r="A15" s="333"/>
      <c r="B15" s="139"/>
      <c r="C15" s="139"/>
      <c r="D15" s="139"/>
      <c r="E15" s="139"/>
      <c r="F15" s="139"/>
      <c r="G15" s="139"/>
      <c r="H15" s="139"/>
      <c r="I15" s="139"/>
      <c r="J15" s="139"/>
      <c r="K15" s="139"/>
      <c r="L15" s="139"/>
      <c r="M15" s="139"/>
      <c r="N15" s="140"/>
    </row>
    <row r="16" spans="1:14" x14ac:dyDescent="0.2">
      <c r="A16" s="333"/>
      <c r="B16" s="139"/>
      <c r="C16" s="139"/>
      <c r="D16" s="139"/>
      <c r="E16" s="139"/>
      <c r="F16" s="139"/>
      <c r="G16" s="139"/>
      <c r="H16" s="139"/>
      <c r="I16" s="139"/>
      <c r="J16" s="139"/>
      <c r="K16" s="139"/>
      <c r="L16" s="139"/>
      <c r="M16" s="139"/>
      <c r="N16" s="140"/>
    </row>
    <row r="17" spans="1:14" x14ac:dyDescent="0.2">
      <c r="A17" s="333"/>
      <c r="B17" s="139"/>
      <c r="C17" s="139"/>
      <c r="D17" s="139"/>
      <c r="E17" s="139"/>
      <c r="F17" s="139"/>
      <c r="G17" s="139"/>
      <c r="H17" s="139"/>
      <c r="I17" s="139"/>
      <c r="J17" s="139"/>
      <c r="K17" s="139"/>
      <c r="L17" s="139"/>
      <c r="M17" s="139"/>
      <c r="N17" s="140"/>
    </row>
    <row r="18" spans="1:14" x14ac:dyDescent="0.2">
      <c r="A18" s="333"/>
      <c r="B18" s="139"/>
      <c r="C18" s="139"/>
      <c r="D18" s="139"/>
      <c r="E18" s="139"/>
      <c r="F18" s="139"/>
      <c r="G18" s="139"/>
      <c r="H18" s="139"/>
      <c r="I18" s="139"/>
      <c r="J18" s="139"/>
      <c r="K18" s="139"/>
      <c r="L18" s="139"/>
      <c r="M18" s="139"/>
      <c r="N18" s="140"/>
    </row>
    <row r="19" spans="1:14" x14ac:dyDescent="0.2">
      <c r="A19" s="333"/>
      <c r="B19" s="139"/>
      <c r="C19" s="139"/>
      <c r="D19" s="139"/>
      <c r="E19" s="139"/>
      <c r="F19" s="139"/>
      <c r="G19" s="139"/>
      <c r="H19" s="139"/>
      <c r="I19" s="139"/>
      <c r="J19" s="139"/>
      <c r="K19" s="139"/>
      <c r="L19" s="139"/>
      <c r="M19" s="139"/>
      <c r="N19" s="140"/>
    </row>
    <row r="20" spans="1:14" x14ac:dyDescent="0.2">
      <c r="A20" s="333"/>
      <c r="B20" s="139"/>
      <c r="C20" s="139"/>
      <c r="D20" s="139"/>
      <c r="E20" s="139"/>
      <c r="F20" s="139"/>
      <c r="G20" s="139"/>
      <c r="H20" s="139"/>
      <c r="I20" s="139"/>
      <c r="J20" s="139"/>
      <c r="K20" s="139"/>
      <c r="L20" s="139"/>
      <c r="M20" s="139"/>
      <c r="N20" s="140"/>
    </row>
    <row r="21" spans="1:14" x14ac:dyDescent="0.2">
      <c r="A21" s="333"/>
      <c r="B21" s="139"/>
      <c r="C21" s="139"/>
      <c r="D21" s="139"/>
      <c r="E21" s="139"/>
      <c r="F21" s="139"/>
      <c r="G21" s="139"/>
      <c r="H21" s="139"/>
      <c r="I21" s="139"/>
      <c r="J21" s="139"/>
      <c r="K21" s="139"/>
      <c r="L21" s="139"/>
      <c r="M21" s="139"/>
      <c r="N21" s="140"/>
    </row>
    <row r="22" spans="1:14" x14ac:dyDescent="0.2">
      <c r="A22" s="333"/>
      <c r="B22" s="139"/>
      <c r="C22" s="139"/>
      <c r="D22" s="139"/>
      <c r="E22" s="139"/>
      <c r="F22" s="139"/>
      <c r="G22" s="139"/>
      <c r="H22" s="139"/>
      <c r="I22" s="139"/>
      <c r="J22" s="139"/>
      <c r="K22" s="139"/>
      <c r="L22" s="139"/>
      <c r="M22" s="139"/>
      <c r="N22" s="140"/>
    </row>
    <row r="23" spans="1:14" x14ac:dyDescent="0.2">
      <c r="A23" s="333"/>
      <c r="B23" s="139"/>
      <c r="C23" s="139"/>
      <c r="D23" s="139"/>
      <c r="E23" s="139"/>
      <c r="F23" s="139"/>
      <c r="G23" s="139"/>
      <c r="H23" s="139"/>
      <c r="I23" s="139"/>
      <c r="J23" s="139"/>
      <c r="K23" s="139"/>
      <c r="L23" s="139"/>
      <c r="M23" s="139"/>
      <c r="N23" s="140"/>
    </row>
    <row r="24" spans="1:14" x14ac:dyDescent="0.2">
      <c r="A24" s="1"/>
      <c r="B24" s="139"/>
      <c r="C24" s="139"/>
      <c r="D24" s="139"/>
      <c r="E24" s="139"/>
      <c r="F24" s="139"/>
      <c r="G24" s="139"/>
      <c r="H24" s="139"/>
      <c r="I24" s="139"/>
      <c r="J24" s="139"/>
      <c r="K24" s="139"/>
      <c r="L24" s="139"/>
      <c r="M24" s="139"/>
      <c r="N24" s="140"/>
    </row>
    <row r="25" spans="1:14" x14ac:dyDescent="0.2">
      <c r="A25" s="333"/>
      <c r="B25" s="139"/>
      <c r="C25" s="139"/>
      <c r="D25" s="139"/>
      <c r="E25" s="139"/>
      <c r="F25" s="139"/>
      <c r="G25" s="139"/>
      <c r="H25" s="139"/>
      <c r="I25" s="139"/>
      <c r="J25" s="139"/>
      <c r="K25" s="139"/>
      <c r="L25" s="139"/>
      <c r="M25" s="139"/>
      <c r="N25" s="140"/>
    </row>
    <row r="26" spans="1:14" x14ac:dyDescent="0.2">
      <c r="A26" s="333"/>
      <c r="B26" s="139"/>
      <c r="C26" s="139"/>
      <c r="D26" s="139"/>
      <c r="E26" s="139"/>
      <c r="F26" s="139"/>
      <c r="G26" s="139"/>
      <c r="H26" s="139"/>
      <c r="I26" s="139"/>
      <c r="J26" s="139"/>
      <c r="K26" s="139"/>
      <c r="L26" s="139"/>
      <c r="M26" s="139"/>
      <c r="N26" s="140"/>
    </row>
    <row r="27" spans="1:14" x14ac:dyDescent="0.2">
      <c r="A27" s="333"/>
      <c r="B27" s="139"/>
      <c r="C27" s="139"/>
      <c r="D27" s="139"/>
      <c r="E27" s="139"/>
      <c r="F27" s="139"/>
      <c r="G27" s="139"/>
      <c r="H27" s="139"/>
      <c r="I27" s="139"/>
      <c r="J27" s="139"/>
      <c r="K27" s="139"/>
      <c r="L27" s="139"/>
      <c r="M27" s="139"/>
      <c r="N27" s="140"/>
    </row>
    <row r="28" spans="1:14" x14ac:dyDescent="0.2">
      <c r="A28" s="333"/>
      <c r="B28" s="139"/>
      <c r="C28" s="139"/>
      <c r="D28" s="139"/>
      <c r="E28" s="139"/>
      <c r="F28" s="139"/>
      <c r="G28" s="139"/>
      <c r="H28" s="139"/>
      <c r="I28" s="139"/>
      <c r="J28" s="139"/>
      <c r="K28" s="139"/>
      <c r="L28" s="139"/>
      <c r="M28" s="139"/>
      <c r="N28" s="140"/>
    </row>
    <row r="29" spans="1:14" x14ac:dyDescent="0.2">
      <c r="A29" s="333"/>
      <c r="B29" s="139"/>
      <c r="C29" s="139"/>
      <c r="D29" s="139"/>
      <c r="E29" s="139"/>
      <c r="F29" s="139"/>
      <c r="G29" s="139"/>
      <c r="H29" s="139"/>
      <c r="I29" s="139"/>
      <c r="J29" s="139"/>
      <c r="K29" s="139"/>
      <c r="L29" s="139"/>
      <c r="M29" s="139"/>
      <c r="N29" s="140"/>
    </row>
    <row r="30" spans="1:14" x14ac:dyDescent="0.2">
      <c r="A30" s="333"/>
      <c r="B30" s="139"/>
      <c r="C30" s="139"/>
      <c r="D30" s="139"/>
      <c r="E30" s="139"/>
      <c r="F30" s="139"/>
      <c r="G30" s="139"/>
      <c r="H30" s="139"/>
      <c r="I30" s="139"/>
      <c r="J30" s="139"/>
      <c r="K30" s="139"/>
      <c r="L30" s="139"/>
      <c r="M30" s="139"/>
      <c r="N30" s="140"/>
    </row>
    <row r="31" spans="1:14" x14ac:dyDescent="0.2">
      <c r="A31" s="333"/>
      <c r="B31" s="139"/>
      <c r="C31" s="139"/>
      <c r="D31" s="139"/>
      <c r="E31" s="139"/>
      <c r="F31" s="139"/>
      <c r="G31" s="139"/>
      <c r="H31" s="139"/>
      <c r="I31" s="139"/>
      <c r="J31" s="139"/>
      <c r="K31" s="139"/>
      <c r="L31" s="139"/>
      <c r="M31" s="139"/>
      <c r="N31" s="140"/>
    </row>
    <row r="32" spans="1:14" x14ac:dyDescent="0.2">
      <c r="A32" s="333"/>
      <c r="B32" s="139"/>
      <c r="C32" s="139"/>
      <c r="D32" s="139"/>
      <c r="E32" s="139"/>
      <c r="F32" s="139"/>
      <c r="G32" s="139"/>
      <c r="H32" s="139"/>
      <c r="I32" s="139"/>
      <c r="J32" s="139"/>
      <c r="K32" s="139"/>
      <c r="L32" s="139"/>
      <c r="M32" s="139"/>
      <c r="N32" s="140"/>
    </row>
    <row r="33" spans="1:15" x14ac:dyDescent="0.2">
      <c r="A33" s="333"/>
      <c r="B33" s="139"/>
      <c r="C33" s="139"/>
      <c r="D33" s="139"/>
      <c r="E33" s="139"/>
      <c r="F33" s="139"/>
      <c r="G33" s="139"/>
      <c r="H33" s="139"/>
      <c r="I33" s="139"/>
      <c r="J33" s="139"/>
      <c r="K33" s="139"/>
      <c r="L33" s="139"/>
      <c r="M33" s="139"/>
      <c r="N33" s="140"/>
    </row>
    <row r="34" spans="1:15" x14ac:dyDescent="0.2">
      <c r="A34" s="333"/>
      <c r="B34" s="139"/>
      <c r="C34" s="139"/>
      <c r="D34" s="139"/>
      <c r="E34" s="139"/>
      <c r="F34" s="139"/>
      <c r="G34" s="139"/>
      <c r="H34" s="139"/>
      <c r="I34" s="139"/>
      <c r="J34" s="139"/>
      <c r="K34" s="139"/>
      <c r="L34" s="139"/>
      <c r="M34" s="139"/>
      <c r="N34" s="140"/>
    </row>
    <row r="35" spans="1:15" x14ac:dyDescent="0.2">
      <c r="A35" s="333"/>
      <c r="B35" s="139"/>
      <c r="C35" s="139"/>
      <c r="D35" s="139"/>
      <c r="E35" s="139"/>
      <c r="F35" s="139"/>
      <c r="G35" s="139"/>
      <c r="H35" s="139"/>
      <c r="I35" s="139"/>
      <c r="J35" s="139"/>
      <c r="K35" s="139"/>
      <c r="L35" s="139"/>
      <c r="M35" s="139"/>
      <c r="N35" s="140"/>
    </row>
    <row r="36" spans="1:15" x14ac:dyDescent="0.2">
      <c r="A36" s="333"/>
      <c r="B36" s="139"/>
      <c r="C36" s="139"/>
      <c r="D36" s="139"/>
      <c r="E36" s="139"/>
      <c r="F36" s="139"/>
      <c r="G36" s="139"/>
      <c r="H36" s="139"/>
      <c r="I36" s="139"/>
      <c r="J36" s="139"/>
      <c r="K36" s="139"/>
      <c r="L36" s="139"/>
      <c r="M36" s="139"/>
      <c r="N36" s="140"/>
    </row>
    <row r="37" spans="1:15" x14ac:dyDescent="0.2">
      <c r="A37" s="333"/>
      <c r="B37" s="139"/>
      <c r="C37" s="139"/>
      <c r="D37" s="139"/>
      <c r="E37" s="139"/>
      <c r="F37" s="139"/>
      <c r="G37" s="139"/>
      <c r="H37" s="139"/>
      <c r="I37" s="139"/>
      <c r="J37" s="139"/>
      <c r="K37" s="139"/>
      <c r="L37" s="139"/>
      <c r="M37" s="139"/>
      <c r="N37" s="140"/>
    </row>
    <row r="38" spans="1:15" x14ac:dyDescent="0.2">
      <c r="A38" s="333"/>
      <c r="B38" s="139"/>
      <c r="C38" s="139"/>
      <c r="D38" s="139"/>
      <c r="E38" s="139"/>
      <c r="F38" s="139"/>
      <c r="G38" s="139"/>
      <c r="H38" s="139"/>
      <c r="I38" s="139"/>
      <c r="J38" s="139"/>
      <c r="K38" s="139"/>
      <c r="L38" s="139"/>
      <c r="M38" s="139"/>
      <c r="N38" s="140"/>
    </row>
    <row r="39" spans="1:15" x14ac:dyDescent="0.2">
      <c r="A39" s="333"/>
      <c r="B39" s="139"/>
      <c r="C39" s="139"/>
      <c r="D39" s="139"/>
      <c r="E39" s="139"/>
      <c r="F39" s="139"/>
      <c r="G39" s="139"/>
      <c r="H39" s="139"/>
      <c r="I39" s="139"/>
      <c r="J39" s="139"/>
      <c r="K39" s="139"/>
      <c r="L39" s="139"/>
      <c r="M39" s="139"/>
      <c r="N39" s="140"/>
    </row>
    <row r="40" spans="1:15" x14ac:dyDescent="0.2">
      <c r="A40" s="333"/>
      <c r="B40" s="139"/>
      <c r="C40" s="139"/>
      <c r="D40" s="139"/>
      <c r="E40" s="139"/>
      <c r="F40" s="139"/>
      <c r="G40" s="139"/>
      <c r="H40" s="139"/>
      <c r="I40" s="139"/>
      <c r="J40" s="139"/>
      <c r="K40" s="139"/>
      <c r="L40" s="139"/>
      <c r="M40" s="139"/>
      <c r="N40" s="140"/>
    </row>
    <row r="41" spans="1:15" ht="13.5" thickBot="1" x14ac:dyDescent="0.25">
      <c r="A41" s="334"/>
      <c r="B41" s="141"/>
      <c r="C41" s="141"/>
      <c r="D41" s="141"/>
      <c r="E41" s="141"/>
      <c r="F41" s="141"/>
      <c r="G41" s="141"/>
      <c r="H41" s="141"/>
      <c r="I41" s="141"/>
      <c r="J41" s="141"/>
      <c r="K41" s="141"/>
      <c r="L41" s="141"/>
      <c r="M41" s="141"/>
      <c r="N41" s="142"/>
    </row>
    <row r="42" spans="1:15" x14ac:dyDescent="0.2">
      <c r="A42" s="139"/>
      <c r="B42" s="139"/>
      <c r="C42" s="139"/>
      <c r="D42" s="139"/>
      <c r="E42" s="139"/>
      <c r="F42" s="139"/>
      <c r="G42" s="139"/>
      <c r="H42" s="139"/>
      <c r="I42" s="139"/>
      <c r="J42" s="139"/>
      <c r="K42" s="139"/>
      <c r="L42" s="139"/>
      <c r="M42" s="139"/>
      <c r="N42" s="139"/>
      <c r="O42" s="139"/>
    </row>
    <row r="43" spans="1:15" s="139" customFormat="1" x14ac:dyDescent="0.2"/>
    <row r="44" spans="1:15" x14ac:dyDescent="0.2">
      <c r="A44" s="139"/>
      <c r="B44" s="139"/>
      <c r="C44" s="139"/>
      <c r="D44" s="139"/>
      <c r="E44" s="139"/>
      <c r="F44" s="139"/>
      <c r="G44" s="139"/>
      <c r="H44" s="139"/>
      <c r="I44" s="139"/>
      <c r="J44" s="139"/>
      <c r="K44" s="139"/>
      <c r="L44" s="139"/>
      <c r="M44" s="139"/>
      <c r="N44" s="139"/>
      <c r="O44" s="139"/>
    </row>
    <row r="45" spans="1:15" x14ac:dyDescent="0.2">
      <c r="A45" s="139"/>
      <c r="B45" s="139"/>
      <c r="C45" s="139"/>
      <c r="D45" s="139"/>
      <c r="E45" s="139"/>
      <c r="F45" s="139"/>
      <c r="G45" s="139"/>
      <c r="H45" s="139"/>
      <c r="I45" s="139"/>
      <c r="J45" s="139"/>
      <c r="K45" s="139"/>
      <c r="L45" s="139"/>
      <c r="M45" s="139"/>
      <c r="N45" s="139"/>
      <c r="O45" s="139"/>
    </row>
    <row r="46" spans="1:15" x14ac:dyDescent="0.2">
      <c r="A46" s="139"/>
      <c r="B46" s="139"/>
      <c r="C46" s="139"/>
      <c r="D46" s="139"/>
      <c r="E46" s="139"/>
      <c r="F46" s="139"/>
      <c r="G46" s="139"/>
      <c r="H46" s="139"/>
      <c r="I46" s="139"/>
      <c r="J46" s="139"/>
      <c r="K46" s="139"/>
      <c r="L46" s="139"/>
      <c r="M46" s="139"/>
      <c r="N46" s="139"/>
      <c r="O46" s="139"/>
    </row>
    <row r="47" spans="1:15" x14ac:dyDescent="0.2">
      <c r="A47" s="139"/>
      <c r="B47" s="139"/>
      <c r="C47" s="139"/>
      <c r="D47" s="139"/>
      <c r="E47" s="139"/>
      <c r="F47" s="139"/>
      <c r="G47" s="139"/>
      <c r="H47" s="139"/>
      <c r="I47" s="139"/>
      <c r="J47" s="139"/>
      <c r="K47" s="139"/>
      <c r="L47" s="139"/>
      <c r="M47" s="139"/>
      <c r="N47" s="139"/>
      <c r="O47" s="139"/>
    </row>
    <row r="48" spans="1:15" x14ac:dyDescent="0.2">
      <c r="A48" s="139"/>
      <c r="B48" s="139"/>
      <c r="C48" s="139"/>
      <c r="D48" s="139"/>
      <c r="E48" s="139"/>
      <c r="F48" s="139"/>
      <c r="G48" s="139"/>
      <c r="H48" s="139"/>
      <c r="I48" s="139"/>
      <c r="J48" s="139"/>
      <c r="K48" s="139"/>
      <c r="L48" s="139"/>
      <c r="M48" s="139"/>
      <c r="N48" s="139"/>
      <c r="O48" s="139"/>
    </row>
    <row r="49" spans="1:15" x14ac:dyDescent="0.2">
      <c r="A49" s="139"/>
      <c r="B49" s="139"/>
      <c r="C49" s="139"/>
      <c r="D49" s="139"/>
      <c r="E49" s="139"/>
      <c r="F49" s="139"/>
      <c r="G49" s="139"/>
      <c r="H49" s="139"/>
      <c r="I49" s="139"/>
      <c r="J49" s="139"/>
      <c r="K49" s="139"/>
      <c r="L49" s="139"/>
      <c r="M49" s="139"/>
      <c r="N49" s="139"/>
      <c r="O49" s="139"/>
    </row>
  </sheetData>
  <mergeCells count="4">
    <mergeCell ref="A1:N1"/>
    <mergeCell ref="A2:N2"/>
    <mergeCell ref="A4:N4"/>
    <mergeCell ref="A6:N6"/>
  </mergeCells>
  <phoneticPr fontId="65" type="noConversion"/>
  <pageMargins left="0.90583333300000002" right="0.12833333333333299" top="0.75" bottom="0.75" header="0.3" footer="0.3"/>
  <pageSetup scale="83" orientation="landscape" r:id="rId1"/>
  <headerFooter>
    <oddHeader>&amp;LAKIS A 2012</oddHeader>
    <oddFooter>&amp;LAmerican Indian Higher Education Consortium</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F294"/>
  <sheetViews>
    <sheetView zoomScaleNormal="100" workbookViewId="0">
      <selection activeCell="H45" sqref="H45"/>
    </sheetView>
  </sheetViews>
  <sheetFormatPr defaultColWidth="9.140625" defaultRowHeight="14.25" x14ac:dyDescent="0.2"/>
  <cols>
    <col min="1" max="1" width="25.7109375" style="14" customWidth="1"/>
    <col min="2" max="2" width="24.7109375" style="14" customWidth="1"/>
    <col min="3" max="3" width="4.85546875" style="14" customWidth="1"/>
    <col min="4" max="4" width="4.7109375" style="14" customWidth="1"/>
    <col min="5" max="5" width="3.42578125" style="14" customWidth="1"/>
    <col min="6" max="6" width="11.7109375" style="14" customWidth="1"/>
    <col min="7" max="7" width="15.140625" style="14" customWidth="1"/>
    <col min="8" max="8" width="17" style="14" customWidth="1"/>
    <col min="9" max="9" width="22.85546875" style="14" customWidth="1"/>
    <col min="10" max="10" width="16" style="14" customWidth="1"/>
    <col min="11" max="11" width="9.140625" style="144"/>
    <col min="12" max="58" width="9.140625" style="19"/>
    <col min="59" max="16384" width="9.140625" style="14"/>
  </cols>
  <sheetData>
    <row r="1" spans="1:58" s="131" customFormat="1" ht="15.75" thickTop="1" x14ac:dyDescent="0.25">
      <c r="A1" s="318" t="s">
        <v>823</v>
      </c>
      <c r="B1" s="1266" t="str">
        <f>B5</f>
        <v>Oglala Lakota College</v>
      </c>
      <c r="C1" s="1267"/>
      <c r="D1" s="1267"/>
      <c r="E1" s="1267"/>
      <c r="F1" s="1267"/>
      <c r="G1" s="1267"/>
      <c r="H1" s="1267"/>
      <c r="I1" s="1267"/>
      <c r="J1" s="1268"/>
      <c r="K1" s="143" t="s">
        <v>851</v>
      </c>
      <c r="L1" s="130"/>
      <c r="M1" s="130"/>
      <c r="N1" s="130"/>
      <c r="O1" s="130"/>
      <c r="P1" s="130"/>
      <c r="Q1" s="130"/>
      <c r="R1" s="130"/>
      <c r="S1" s="130"/>
      <c r="T1" s="130"/>
      <c r="U1" s="130"/>
      <c r="V1" s="130"/>
      <c r="W1" s="130"/>
      <c r="X1" s="130"/>
      <c r="Y1" s="130"/>
      <c r="Z1" s="130"/>
      <c r="AA1" s="130"/>
      <c r="AB1" s="130"/>
      <c r="AC1" s="130"/>
      <c r="AD1" s="130"/>
      <c r="AE1" s="130"/>
      <c r="AF1" s="130"/>
      <c r="AG1" s="130"/>
      <c r="AH1" s="130"/>
      <c r="AI1" s="130"/>
      <c r="AJ1" s="130"/>
      <c r="AK1" s="130"/>
      <c r="AL1" s="130"/>
      <c r="AM1" s="130"/>
      <c r="AN1" s="130"/>
      <c r="AO1" s="130"/>
      <c r="AP1" s="130"/>
      <c r="AQ1" s="130"/>
      <c r="AR1" s="130"/>
      <c r="AS1" s="130"/>
      <c r="AT1" s="130"/>
      <c r="AU1" s="130"/>
      <c r="AV1" s="130"/>
      <c r="AW1" s="130"/>
      <c r="AX1" s="130"/>
      <c r="AY1" s="130"/>
      <c r="AZ1" s="130"/>
      <c r="BA1" s="130"/>
      <c r="BB1" s="130"/>
      <c r="BC1" s="130"/>
      <c r="BD1" s="130"/>
      <c r="BE1" s="130"/>
      <c r="BF1" s="130"/>
    </row>
    <row r="2" spans="1:58" ht="15" x14ac:dyDescent="0.2">
      <c r="A2" s="313" t="s">
        <v>816</v>
      </c>
      <c r="B2" s="325"/>
      <c r="C2" s="325"/>
      <c r="D2" s="325"/>
      <c r="E2" s="325"/>
      <c r="F2" s="325"/>
      <c r="G2" s="325"/>
      <c r="H2" s="325"/>
      <c r="I2" s="325"/>
      <c r="J2" s="319"/>
      <c r="K2" s="144" t="s">
        <v>852</v>
      </c>
    </row>
    <row r="3" spans="1:58" ht="15" x14ac:dyDescent="0.2">
      <c r="A3" s="316" t="s">
        <v>446</v>
      </c>
      <c r="B3" s="326"/>
      <c r="C3" s="326"/>
      <c r="D3" s="326"/>
      <c r="E3" s="326"/>
      <c r="F3" s="326"/>
      <c r="G3" s="326"/>
      <c r="H3" s="326"/>
      <c r="I3" s="326"/>
      <c r="J3" s="327"/>
      <c r="K3" s="144" t="s">
        <v>853</v>
      </c>
    </row>
    <row r="4" spans="1:58" x14ac:dyDescent="0.2">
      <c r="A4" s="317" t="s">
        <v>824</v>
      </c>
      <c r="B4" s="323"/>
      <c r="C4" s="323"/>
      <c r="D4" s="323"/>
      <c r="E4" s="323"/>
      <c r="F4" s="323"/>
      <c r="G4" s="323"/>
      <c r="H4" s="323"/>
      <c r="I4" s="323"/>
      <c r="J4" s="324"/>
      <c r="K4" s="144" t="s">
        <v>854</v>
      </c>
    </row>
    <row r="5" spans="1:58" x14ac:dyDescent="0.2">
      <c r="A5" s="263" t="s">
        <v>825</v>
      </c>
      <c r="B5" s="1261" t="s">
        <v>617</v>
      </c>
      <c r="C5" s="1262"/>
      <c r="D5" s="1262"/>
      <c r="E5" s="255"/>
      <c r="F5" s="256"/>
      <c r="G5" s="270" t="s">
        <v>826</v>
      </c>
      <c r="H5" s="1269" t="s">
        <v>618</v>
      </c>
      <c r="I5" s="1270"/>
      <c r="J5" s="1271"/>
      <c r="K5" s="144" t="s">
        <v>855</v>
      </c>
    </row>
    <row r="6" spans="1:58" ht="22.5" customHeight="1" x14ac:dyDescent="0.2">
      <c r="A6" s="9" t="s">
        <v>827</v>
      </c>
      <c r="B6" s="1179" t="s">
        <v>621</v>
      </c>
      <c r="C6" s="13"/>
      <c r="D6" s="13"/>
      <c r="E6" s="13"/>
      <c r="F6" s="257"/>
      <c r="G6" s="271" t="s">
        <v>828</v>
      </c>
      <c r="H6" s="438" t="s">
        <v>852</v>
      </c>
      <c r="I6" s="268" t="s">
        <v>829</v>
      </c>
      <c r="J6" s="439" t="s">
        <v>858</v>
      </c>
    </row>
    <row r="7" spans="1:58" ht="24" customHeight="1" x14ac:dyDescent="0.2">
      <c r="A7" s="9" t="s">
        <v>830</v>
      </c>
      <c r="B7" s="15" t="s">
        <v>622</v>
      </c>
      <c r="C7" s="258"/>
      <c r="D7" s="258"/>
      <c r="E7" s="258"/>
      <c r="F7" s="259"/>
      <c r="G7" s="272" t="s">
        <v>831</v>
      </c>
      <c r="H7" s="438">
        <v>1971</v>
      </c>
      <c r="I7" s="269" t="s">
        <v>832</v>
      </c>
      <c r="J7" s="439" t="s">
        <v>865</v>
      </c>
      <c r="K7" s="144" t="s">
        <v>856</v>
      </c>
    </row>
    <row r="8" spans="1:58" ht="15" customHeight="1" x14ac:dyDescent="0.2">
      <c r="A8" s="9" t="s">
        <v>833</v>
      </c>
      <c r="B8" s="16" t="s">
        <v>623</v>
      </c>
      <c r="C8" s="273" t="s">
        <v>834</v>
      </c>
      <c r="D8" s="16" t="s">
        <v>620</v>
      </c>
      <c r="E8" s="273" t="s">
        <v>835</v>
      </c>
      <c r="F8" s="440">
        <v>57752</v>
      </c>
      <c r="G8" s="273" t="s">
        <v>836</v>
      </c>
      <c r="H8" s="1258" t="s">
        <v>619</v>
      </c>
      <c r="I8" s="1259"/>
      <c r="J8" s="1260"/>
      <c r="K8" s="144" t="s">
        <v>857</v>
      </c>
    </row>
    <row r="9" spans="1:58" ht="36" x14ac:dyDescent="0.2">
      <c r="A9" s="595" t="s">
        <v>837</v>
      </c>
      <c r="B9" s="596" t="s">
        <v>624</v>
      </c>
      <c r="C9" s="597"/>
      <c r="D9" s="597"/>
      <c r="E9" s="597"/>
      <c r="F9" s="598"/>
      <c r="G9" s="599" t="s">
        <v>359</v>
      </c>
      <c r="H9" s="1275" t="s">
        <v>616</v>
      </c>
      <c r="I9" s="1276"/>
      <c r="J9" s="1277"/>
      <c r="K9" s="144" t="s">
        <v>858</v>
      </c>
    </row>
    <row r="10" spans="1:58" ht="24" x14ac:dyDescent="0.2">
      <c r="A10" s="797" t="s">
        <v>357</v>
      </c>
      <c r="B10" s="798" t="s">
        <v>381</v>
      </c>
      <c r="C10" s="799" t="s">
        <v>358</v>
      </c>
      <c r="D10" s="799"/>
      <c r="E10" s="799"/>
      <c r="F10" s="799"/>
      <c r="G10" s="800" t="s">
        <v>626</v>
      </c>
      <c r="H10" s="1279" t="s">
        <v>382</v>
      </c>
      <c r="I10" s="1280"/>
      <c r="J10" s="1281"/>
    </row>
    <row r="11" spans="1:58" ht="15" customHeight="1" x14ac:dyDescent="0.2">
      <c r="A11" s="263" t="s">
        <v>604</v>
      </c>
      <c r="B11" s="793" t="s">
        <v>627</v>
      </c>
      <c r="C11" s="794" t="s">
        <v>358</v>
      </c>
      <c r="D11" s="794"/>
      <c r="E11" s="794"/>
      <c r="F11" s="794"/>
      <c r="G11" s="795" t="s">
        <v>626</v>
      </c>
      <c r="H11" s="1278" t="s">
        <v>383</v>
      </c>
      <c r="I11" s="1278"/>
      <c r="J11" s="796"/>
    </row>
    <row r="12" spans="1:58" x14ac:dyDescent="0.2">
      <c r="A12" s="9" t="s">
        <v>604</v>
      </c>
      <c r="B12" s="786" t="s">
        <v>628</v>
      </c>
      <c r="C12" s="787" t="s">
        <v>358</v>
      </c>
      <c r="D12" s="787"/>
      <c r="E12" s="787"/>
      <c r="F12" s="787"/>
      <c r="G12" s="788" t="s">
        <v>626</v>
      </c>
      <c r="H12" s="1257" t="s">
        <v>383</v>
      </c>
      <c r="I12" s="1257"/>
      <c r="J12" s="594"/>
    </row>
    <row r="13" spans="1:58" x14ac:dyDescent="0.2">
      <c r="A13" s="9" t="s">
        <v>604</v>
      </c>
      <c r="B13" s="786" t="s">
        <v>629</v>
      </c>
      <c r="C13" s="787" t="s">
        <v>358</v>
      </c>
      <c r="D13" s="787"/>
      <c r="E13" s="787"/>
      <c r="F13" s="787"/>
      <c r="G13" s="788" t="s">
        <v>626</v>
      </c>
      <c r="H13" s="1257" t="s">
        <v>383</v>
      </c>
      <c r="I13" s="1257"/>
      <c r="J13" s="594"/>
    </row>
    <row r="14" spans="1:58" x14ac:dyDescent="0.2">
      <c r="A14" s="9" t="s">
        <v>604</v>
      </c>
      <c r="B14" s="786" t="s">
        <v>630</v>
      </c>
      <c r="C14" s="787" t="s">
        <v>358</v>
      </c>
      <c r="D14" s="787"/>
      <c r="E14" s="787"/>
      <c r="F14" s="787"/>
      <c r="G14" s="788" t="s">
        <v>626</v>
      </c>
      <c r="H14" s="1257" t="s">
        <v>383</v>
      </c>
      <c r="I14" s="1257"/>
      <c r="J14" s="594"/>
    </row>
    <row r="15" spans="1:58" x14ac:dyDescent="0.2">
      <c r="A15" s="9" t="s">
        <v>604</v>
      </c>
      <c r="B15" s="786" t="s">
        <v>631</v>
      </c>
      <c r="C15" s="787" t="s">
        <v>358</v>
      </c>
      <c r="D15" s="787"/>
      <c r="E15" s="787"/>
      <c r="F15" s="787"/>
      <c r="G15" s="788" t="s">
        <v>626</v>
      </c>
      <c r="H15" s="1257" t="s">
        <v>383</v>
      </c>
      <c r="I15" s="1257"/>
      <c r="J15" s="594"/>
    </row>
    <row r="16" spans="1:58" x14ac:dyDescent="0.2">
      <c r="A16" s="9" t="s">
        <v>604</v>
      </c>
      <c r="B16" s="786" t="s">
        <v>632</v>
      </c>
      <c r="C16" s="787" t="s">
        <v>358</v>
      </c>
      <c r="D16" s="787"/>
      <c r="E16" s="787"/>
      <c r="F16" s="787"/>
      <c r="G16" s="788" t="s">
        <v>626</v>
      </c>
      <c r="H16" s="1257" t="s">
        <v>383</v>
      </c>
      <c r="I16" s="1257"/>
      <c r="J16" s="594"/>
    </row>
    <row r="17" spans="1:11" x14ac:dyDescent="0.2">
      <c r="A17" s="9" t="s">
        <v>604</v>
      </c>
      <c r="B17" s="786" t="s">
        <v>633</v>
      </c>
      <c r="C17" s="787" t="s">
        <v>358</v>
      </c>
      <c r="D17" s="787"/>
      <c r="E17" s="787"/>
      <c r="F17" s="787"/>
      <c r="G17" s="788" t="s">
        <v>626</v>
      </c>
      <c r="H17" s="1257" t="s">
        <v>383</v>
      </c>
      <c r="I17" s="1257"/>
      <c r="J17" s="594"/>
    </row>
    <row r="18" spans="1:11" x14ac:dyDescent="0.2">
      <c r="A18" s="9" t="s">
        <v>604</v>
      </c>
      <c r="B18" s="786" t="s">
        <v>634</v>
      </c>
      <c r="C18" s="787" t="s">
        <v>358</v>
      </c>
      <c r="D18" s="787"/>
      <c r="E18" s="787"/>
      <c r="F18" s="787"/>
      <c r="G18" s="788" t="s">
        <v>626</v>
      </c>
      <c r="H18" s="1257" t="s">
        <v>383</v>
      </c>
      <c r="I18" s="1257"/>
      <c r="J18" s="594"/>
    </row>
    <row r="19" spans="1:11" x14ac:dyDescent="0.2">
      <c r="A19" s="9" t="s">
        <v>604</v>
      </c>
      <c r="B19" s="786" t="s">
        <v>635</v>
      </c>
      <c r="C19" s="787" t="s">
        <v>358</v>
      </c>
      <c r="D19" s="787"/>
      <c r="E19" s="787"/>
      <c r="F19" s="787"/>
      <c r="G19" s="788" t="s">
        <v>637</v>
      </c>
      <c r="H19" s="1257" t="s">
        <v>383</v>
      </c>
      <c r="I19" s="1257"/>
      <c r="J19" s="594"/>
    </row>
    <row r="20" spans="1:11" x14ac:dyDescent="0.2">
      <c r="A20" s="9" t="s">
        <v>604</v>
      </c>
      <c r="B20" s="786" t="s">
        <v>636</v>
      </c>
      <c r="C20" s="787" t="s">
        <v>358</v>
      </c>
      <c r="D20" s="787"/>
      <c r="E20" s="787"/>
      <c r="F20" s="787"/>
      <c r="G20" s="788" t="s">
        <v>626</v>
      </c>
      <c r="H20" s="1257" t="s">
        <v>383</v>
      </c>
      <c r="I20" s="1257"/>
      <c r="J20" s="594"/>
    </row>
    <row r="21" spans="1:11" x14ac:dyDescent="0.2">
      <c r="A21" s="789" t="s">
        <v>604</v>
      </c>
      <c r="B21" s="790" t="s">
        <v>625</v>
      </c>
      <c r="C21" s="791" t="s">
        <v>358</v>
      </c>
      <c r="D21" s="791"/>
      <c r="E21" s="791"/>
      <c r="F21" s="791"/>
      <c r="G21" s="792" t="s">
        <v>626</v>
      </c>
      <c r="H21" s="1257" t="s">
        <v>383</v>
      </c>
      <c r="I21" s="1257"/>
      <c r="J21" s="594"/>
    </row>
    <row r="22" spans="1:11" x14ac:dyDescent="0.2">
      <c r="A22" s="262" t="s">
        <v>839</v>
      </c>
      <c r="B22" s="260"/>
      <c r="C22" s="326"/>
      <c r="D22" s="326"/>
      <c r="E22" s="326"/>
      <c r="F22" s="326"/>
      <c r="G22" s="260"/>
      <c r="H22" s="260"/>
      <c r="I22" s="260"/>
      <c r="J22" s="261"/>
      <c r="K22" s="144" t="s">
        <v>859</v>
      </c>
    </row>
    <row r="23" spans="1:11" x14ac:dyDescent="0.2">
      <c r="A23" s="264" t="s">
        <v>840</v>
      </c>
      <c r="B23" s="265" t="s">
        <v>841</v>
      </c>
      <c r="C23" s="266"/>
      <c r="D23" s="265" t="s">
        <v>837</v>
      </c>
      <c r="E23" s="265"/>
      <c r="F23" s="266"/>
      <c r="G23" s="265" t="s">
        <v>842</v>
      </c>
      <c r="H23" s="265"/>
      <c r="I23" s="265"/>
      <c r="J23" s="267"/>
      <c r="K23" s="144" t="s">
        <v>860</v>
      </c>
    </row>
    <row r="24" spans="1:11" x14ac:dyDescent="0.2">
      <c r="A24" s="17" t="s">
        <v>790</v>
      </c>
      <c r="B24" s="209" t="s">
        <v>791</v>
      </c>
      <c r="C24" s="129"/>
      <c r="D24" s="209" t="s">
        <v>792</v>
      </c>
      <c r="E24" s="25"/>
      <c r="F24" s="129"/>
      <c r="G24" s="328"/>
      <c r="H24" s="652" t="s">
        <v>793</v>
      </c>
      <c r="I24" s="209"/>
      <c r="J24" s="329"/>
    </row>
    <row r="25" spans="1:11" x14ac:dyDescent="0.2">
      <c r="A25" s="18"/>
      <c r="B25" s="210"/>
      <c r="C25" s="28"/>
      <c r="D25" s="210"/>
      <c r="E25" s="27"/>
      <c r="F25" s="28"/>
      <c r="G25" s="330"/>
      <c r="H25" s="210"/>
      <c r="I25" s="210"/>
      <c r="J25" s="331"/>
      <c r="K25" s="144" t="s">
        <v>864</v>
      </c>
    </row>
    <row r="26" spans="1:11" ht="15" customHeight="1" x14ac:dyDescent="0.2">
      <c r="A26" s="18"/>
      <c r="B26" s="210"/>
      <c r="C26" s="28"/>
      <c r="D26" s="210"/>
      <c r="E26" s="27"/>
      <c r="F26" s="28"/>
      <c r="G26" s="210"/>
      <c r="H26" s="210"/>
      <c r="I26" s="210"/>
      <c r="J26" s="331"/>
      <c r="K26" s="144" t="s">
        <v>865</v>
      </c>
    </row>
    <row r="27" spans="1:11" x14ac:dyDescent="0.2">
      <c r="A27" s="2" t="s">
        <v>843</v>
      </c>
      <c r="B27" s="326"/>
      <c r="C27" s="326"/>
      <c r="D27" s="326"/>
      <c r="E27" s="326"/>
      <c r="F27" s="326"/>
      <c r="G27" s="326"/>
      <c r="H27" s="326"/>
      <c r="I27" s="326"/>
      <c r="J27" s="327"/>
      <c r="K27" s="144" t="s">
        <v>866</v>
      </c>
    </row>
    <row r="28" spans="1:11" x14ac:dyDescent="0.2">
      <c r="A28" s="10"/>
      <c r="B28" s="11"/>
      <c r="C28" s="12"/>
      <c r="D28" s="265" t="s">
        <v>844</v>
      </c>
      <c r="E28" s="265"/>
      <c r="F28" s="266"/>
      <c r="G28" s="265" t="s">
        <v>845</v>
      </c>
      <c r="H28" s="265"/>
      <c r="I28" s="265"/>
      <c r="J28" s="267"/>
    </row>
    <row r="29" spans="1:11" x14ac:dyDescent="0.2">
      <c r="A29" s="3" t="s">
        <v>816</v>
      </c>
      <c r="B29" s="4"/>
      <c r="C29" s="5"/>
      <c r="D29" s="1263" t="s">
        <v>803</v>
      </c>
      <c r="E29" s="1264"/>
      <c r="F29" s="1265"/>
      <c r="G29" s="1282"/>
      <c r="H29" s="1283"/>
      <c r="I29" s="1283"/>
      <c r="J29" s="1284"/>
      <c r="K29" s="144" t="s">
        <v>861</v>
      </c>
    </row>
    <row r="30" spans="1:11" x14ac:dyDescent="0.2">
      <c r="A30" s="6" t="s">
        <v>817</v>
      </c>
      <c r="B30" s="7"/>
      <c r="C30" s="8"/>
      <c r="D30" s="1251" t="s">
        <v>804</v>
      </c>
      <c r="E30" s="1252"/>
      <c r="F30" s="1253"/>
      <c r="G30" s="1239" t="s">
        <v>805</v>
      </c>
      <c r="H30" s="1240"/>
      <c r="I30" s="1240"/>
      <c r="J30" s="1241"/>
      <c r="K30" s="144" t="s">
        <v>862</v>
      </c>
    </row>
    <row r="31" spans="1:11" x14ac:dyDescent="0.2">
      <c r="A31" s="6" t="s">
        <v>818</v>
      </c>
      <c r="B31" s="7"/>
      <c r="C31" s="8"/>
      <c r="D31" s="1251" t="s">
        <v>804</v>
      </c>
      <c r="E31" s="1252"/>
      <c r="F31" s="1253"/>
      <c r="G31" s="1239" t="s">
        <v>805</v>
      </c>
      <c r="H31" s="1240"/>
      <c r="I31" s="1240"/>
      <c r="J31" s="1241"/>
      <c r="K31" s="144" t="s">
        <v>863</v>
      </c>
    </row>
    <row r="32" spans="1:11" x14ac:dyDescent="0.2">
      <c r="A32" s="6" t="s">
        <v>819</v>
      </c>
      <c r="B32" s="7"/>
      <c r="C32" s="8"/>
      <c r="D32" s="1251" t="s">
        <v>799</v>
      </c>
      <c r="E32" s="1252"/>
      <c r="F32" s="1253"/>
      <c r="G32" s="1239"/>
      <c r="H32" s="1240"/>
      <c r="I32" s="1240"/>
      <c r="J32" s="1241"/>
    </row>
    <row r="33" spans="1:10" x14ac:dyDescent="0.2">
      <c r="A33" s="6" t="s">
        <v>846</v>
      </c>
      <c r="B33" s="7"/>
      <c r="C33" s="8"/>
      <c r="D33" s="1251" t="s">
        <v>799</v>
      </c>
      <c r="E33" s="1252"/>
      <c r="F33" s="1253"/>
      <c r="G33" s="1239"/>
      <c r="H33" s="1240"/>
      <c r="I33" s="1240"/>
      <c r="J33" s="1241"/>
    </row>
    <row r="34" spans="1:10" x14ac:dyDescent="0.2">
      <c r="A34" s="6" t="s">
        <v>820</v>
      </c>
      <c r="B34" s="7"/>
      <c r="C34" s="8"/>
      <c r="D34" s="1251" t="s">
        <v>797</v>
      </c>
      <c r="E34" s="1252"/>
      <c r="F34" s="1253"/>
      <c r="G34" s="1239"/>
      <c r="H34" s="1240"/>
      <c r="I34" s="1240"/>
      <c r="J34" s="1241"/>
    </row>
    <row r="35" spans="1:10" ht="24.75" customHeight="1" x14ac:dyDescent="0.2">
      <c r="A35" s="1272" t="s">
        <v>821</v>
      </c>
      <c r="B35" s="1273"/>
      <c r="C35" s="1274"/>
      <c r="D35" s="1251" t="s">
        <v>806</v>
      </c>
      <c r="E35" s="1252"/>
      <c r="F35" s="1253"/>
      <c r="G35" s="1239"/>
      <c r="H35" s="1240"/>
      <c r="I35" s="1240"/>
      <c r="J35" s="1241"/>
    </row>
    <row r="36" spans="1:10" x14ac:dyDescent="0.2">
      <c r="A36" s="274" t="s">
        <v>822</v>
      </c>
      <c r="B36" s="275"/>
      <c r="C36" s="276"/>
      <c r="D36" s="1248" t="s">
        <v>807</v>
      </c>
      <c r="E36" s="1249"/>
      <c r="F36" s="1250"/>
      <c r="G36" s="1245"/>
      <c r="H36" s="1246"/>
      <c r="I36" s="1246"/>
      <c r="J36" s="1247"/>
    </row>
    <row r="37" spans="1:10" x14ac:dyDescent="0.2">
      <c r="A37" s="1242" t="s">
        <v>388</v>
      </c>
      <c r="B37" s="1243"/>
      <c r="C37" s="1243"/>
      <c r="D37" s="1243"/>
      <c r="E37" s="1243"/>
      <c r="F37" s="1243"/>
      <c r="G37" s="1243"/>
      <c r="H37" s="1243"/>
      <c r="I37" s="1243"/>
      <c r="J37" s="1244"/>
    </row>
    <row r="38" spans="1:10" x14ac:dyDescent="0.2">
      <c r="A38" s="1254"/>
      <c r="B38" s="1255"/>
      <c r="C38" s="1255"/>
      <c r="D38" s="1255"/>
      <c r="E38" s="1255"/>
      <c r="F38" s="1255"/>
      <c r="G38" s="1255"/>
      <c r="H38" s="1255"/>
      <c r="I38" s="1255"/>
      <c r="J38" s="1256"/>
    </row>
    <row r="39" spans="1:10" x14ac:dyDescent="0.2">
      <c r="A39" s="315" t="s">
        <v>848</v>
      </c>
      <c r="B39" s="321"/>
      <c r="C39" s="321"/>
      <c r="D39" s="321"/>
      <c r="E39" s="321"/>
      <c r="F39" s="321"/>
      <c r="G39" s="321"/>
      <c r="H39" s="321"/>
      <c r="I39" s="321"/>
      <c r="J39" s="322"/>
    </row>
    <row r="40" spans="1:10" x14ac:dyDescent="0.2">
      <c r="A40" s="1234" t="s">
        <v>990</v>
      </c>
      <c r="B40" s="1235"/>
      <c r="C40" s="1235"/>
      <c r="D40" s="1236" t="s">
        <v>790</v>
      </c>
      <c r="E40" s="1235"/>
      <c r="F40" s="1235"/>
      <c r="G40" s="1235"/>
      <c r="H40" s="1237">
        <v>41257</v>
      </c>
      <c r="I40" s="1235"/>
      <c r="J40" s="1238"/>
    </row>
    <row r="41" spans="1:10" ht="15" thickBot="1" x14ac:dyDescent="0.25">
      <c r="A41" s="278" t="s">
        <v>562</v>
      </c>
      <c r="B41" s="277"/>
      <c r="C41" s="277"/>
      <c r="D41" s="279" t="s">
        <v>849</v>
      </c>
      <c r="E41" s="277"/>
      <c r="F41" s="277"/>
      <c r="G41" s="277"/>
      <c r="H41" s="279" t="s">
        <v>850</v>
      </c>
      <c r="I41" s="277"/>
      <c r="J41" s="280"/>
    </row>
    <row r="42" spans="1:10" ht="15" thickTop="1" x14ac:dyDescent="0.2">
      <c r="A42" s="19"/>
      <c r="B42" s="19"/>
      <c r="C42" s="19"/>
      <c r="D42" s="19"/>
      <c r="E42" s="19"/>
      <c r="F42" s="19"/>
      <c r="G42" s="19"/>
      <c r="H42" s="19"/>
      <c r="I42" s="19"/>
      <c r="J42" s="19"/>
    </row>
    <row r="43" spans="1:10" x14ac:dyDescent="0.2">
      <c r="A43" s="19"/>
      <c r="B43" s="19"/>
      <c r="C43" s="19"/>
      <c r="D43" s="19"/>
      <c r="E43" s="19"/>
      <c r="F43" s="19"/>
      <c r="G43" s="19"/>
      <c r="H43" s="19"/>
      <c r="I43" s="19"/>
      <c r="J43" s="19"/>
    </row>
    <row r="44" spans="1:10" x14ac:dyDescent="0.2">
      <c r="A44" s="19"/>
      <c r="B44" s="19"/>
      <c r="C44" s="19"/>
      <c r="D44" s="19"/>
      <c r="E44" s="19"/>
      <c r="F44" s="19"/>
      <c r="G44" s="19"/>
      <c r="H44" s="19"/>
      <c r="I44" s="19"/>
      <c r="J44" s="19"/>
    </row>
    <row r="45" spans="1:10" x14ac:dyDescent="0.2">
      <c r="A45" s="19"/>
      <c r="B45" s="19"/>
      <c r="C45" s="19"/>
      <c r="D45" s="19"/>
      <c r="E45" s="19"/>
      <c r="F45" s="19"/>
      <c r="G45" s="19"/>
      <c r="H45" s="19"/>
      <c r="I45" s="19"/>
      <c r="J45" s="19"/>
    </row>
    <row r="46" spans="1:10" x14ac:dyDescent="0.2">
      <c r="A46" s="19"/>
      <c r="B46" s="19"/>
      <c r="C46" s="19"/>
      <c r="D46" s="19"/>
      <c r="E46" s="19"/>
      <c r="F46" s="19"/>
      <c r="G46" s="19"/>
      <c r="H46" s="19"/>
      <c r="I46" s="19"/>
      <c r="J46" s="19"/>
    </row>
    <row r="47" spans="1:10" x14ac:dyDescent="0.2">
      <c r="A47" s="19"/>
      <c r="B47" s="19"/>
      <c r="C47" s="19"/>
      <c r="D47" s="19"/>
      <c r="E47" s="19"/>
      <c r="F47" s="19"/>
      <c r="G47" s="19"/>
      <c r="H47" s="19"/>
      <c r="I47" s="19"/>
      <c r="J47" s="19"/>
    </row>
    <row r="48" spans="1:10" x14ac:dyDescent="0.2">
      <c r="A48" s="19"/>
      <c r="B48" s="19"/>
      <c r="C48" s="19"/>
      <c r="D48" s="19"/>
      <c r="E48" s="19"/>
      <c r="F48" s="19"/>
      <c r="G48" s="19"/>
      <c r="H48" s="19"/>
      <c r="I48" s="19"/>
      <c r="J48" s="19"/>
    </row>
    <row r="49" spans="11:11" s="19" customFormat="1" x14ac:dyDescent="0.2">
      <c r="K49" s="144"/>
    </row>
    <row r="50" spans="11:11" s="19" customFormat="1" x14ac:dyDescent="0.2">
      <c r="K50" s="144"/>
    </row>
    <row r="51" spans="11:11" s="19" customFormat="1" x14ac:dyDescent="0.2">
      <c r="K51" s="144"/>
    </row>
    <row r="52" spans="11:11" s="19" customFormat="1" x14ac:dyDescent="0.2">
      <c r="K52" s="144"/>
    </row>
    <row r="53" spans="11:11" s="19" customFormat="1" x14ac:dyDescent="0.2">
      <c r="K53" s="144"/>
    </row>
    <row r="54" spans="11:11" s="19" customFormat="1" x14ac:dyDescent="0.2">
      <c r="K54" s="144"/>
    </row>
    <row r="55" spans="11:11" s="19" customFormat="1" x14ac:dyDescent="0.2">
      <c r="K55" s="144"/>
    </row>
    <row r="56" spans="11:11" s="19" customFormat="1" x14ac:dyDescent="0.2">
      <c r="K56" s="144"/>
    </row>
    <row r="57" spans="11:11" s="19" customFormat="1" x14ac:dyDescent="0.2">
      <c r="K57" s="144"/>
    </row>
    <row r="58" spans="11:11" s="19" customFormat="1" x14ac:dyDescent="0.2">
      <c r="K58" s="144"/>
    </row>
    <row r="59" spans="11:11" s="19" customFormat="1" x14ac:dyDescent="0.2">
      <c r="K59" s="144"/>
    </row>
    <row r="60" spans="11:11" s="19" customFormat="1" x14ac:dyDescent="0.2">
      <c r="K60" s="144"/>
    </row>
    <row r="61" spans="11:11" s="19" customFormat="1" x14ac:dyDescent="0.2">
      <c r="K61" s="144"/>
    </row>
    <row r="62" spans="11:11" s="19" customFormat="1" x14ac:dyDescent="0.2">
      <c r="K62" s="144"/>
    </row>
    <row r="63" spans="11:11" s="19" customFormat="1" x14ac:dyDescent="0.2">
      <c r="K63" s="144"/>
    </row>
    <row r="64" spans="11:11" s="19" customFormat="1" x14ac:dyDescent="0.2">
      <c r="K64" s="144"/>
    </row>
    <row r="65" spans="11:11" s="19" customFormat="1" x14ac:dyDescent="0.2">
      <c r="K65" s="144"/>
    </row>
    <row r="66" spans="11:11" s="19" customFormat="1" x14ac:dyDescent="0.2">
      <c r="K66" s="144"/>
    </row>
    <row r="67" spans="11:11" s="19" customFormat="1" x14ac:dyDescent="0.2">
      <c r="K67" s="144"/>
    </row>
    <row r="68" spans="11:11" s="19" customFormat="1" x14ac:dyDescent="0.2">
      <c r="K68" s="144"/>
    </row>
    <row r="69" spans="11:11" s="19" customFormat="1" x14ac:dyDescent="0.2">
      <c r="K69" s="144"/>
    </row>
    <row r="70" spans="11:11" s="19" customFormat="1" x14ac:dyDescent="0.2">
      <c r="K70" s="144"/>
    </row>
    <row r="71" spans="11:11" s="19" customFormat="1" x14ac:dyDescent="0.2">
      <c r="K71" s="144"/>
    </row>
    <row r="72" spans="11:11" s="19" customFormat="1" x14ac:dyDescent="0.2">
      <c r="K72" s="144"/>
    </row>
    <row r="73" spans="11:11" s="19" customFormat="1" x14ac:dyDescent="0.2">
      <c r="K73" s="144"/>
    </row>
    <row r="74" spans="11:11" s="19" customFormat="1" x14ac:dyDescent="0.2">
      <c r="K74" s="144"/>
    </row>
    <row r="75" spans="11:11" s="19" customFormat="1" x14ac:dyDescent="0.2">
      <c r="K75" s="144"/>
    </row>
    <row r="76" spans="11:11" s="19" customFormat="1" x14ac:dyDescent="0.2">
      <c r="K76" s="144"/>
    </row>
    <row r="77" spans="11:11" s="19" customFormat="1" x14ac:dyDescent="0.2">
      <c r="K77" s="144"/>
    </row>
    <row r="78" spans="11:11" s="19" customFormat="1" x14ac:dyDescent="0.2">
      <c r="K78" s="144"/>
    </row>
    <row r="79" spans="11:11" s="19" customFormat="1" x14ac:dyDescent="0.2">
      <c r="K79" s="144"/>
    </row>
    <row r="80" spans="11:11" s="19" customFormat="1" x14ac:dyDescent="0.2">
      <c r="K80" s="144"/>
    </row>
    <row r="81" spans="11:11" s="19" customFormat="1" x14ac:dyDescent="0.2">
      <c r="K81" s="144"/>
    </row>
    <row r="82" spans="11:11" s="19" customFormat="1" x14ac:dyDescent="0.2">
      <c r="K82" s="144"/>
    </row>
    <row r="83" spans="11:11" s="19" customFormat="1" x14ac:dyDescent="0.2">
      <c r="K83" s="144"/>
    </row>
    <row r="84" spans="11:11" s="19" customFormat="1" x14ac:dyDescent="0.2">
      <c r="K84" s="144"/>
    </row>
    <row r="85" spans="11:11" s="19" customFormat="1" x14ac:dyDescent="0.2">
      <c r="K85" s="144"/>
    </row>
    <row r="86" spans="11:11" s="19" customFormat="1" x14ac:dyDescent="0.2">
      <c r="K86" s="144"/>
    </row>
    <row r="87" spans="11:11" s="19" customFormat="1" x14ac:dyDescent="0.2">
      <c r="K87" s="144"/>
    </row>
    <row r="88" spans="11:11" s="19" customFormat="1" x14ac:dyDescent="0.2">
      <c r="K88" s="144"/>
    </row>
    <row r="89" spans="11:11" s="19" customFormat="1" x14ac:dyDescent="0.2">
      <c r="K89" s="144"/>
    </row>
    <row r="90" spans="11:11" s="19" customFormat="1" x14ac:dyDescent="0.2">
      <c r="K90" s="144"/>
    </row>
    <row r="91" spans="11:11" s="19" customFormat="1" x14ac:dyDescent="0.2">
      <c r="K91" s="144"/>
    </row>
    <row r="92" spans="11:11" s="19" customFormat="1" x14ac:dyDescent="0.2">
      <c r="K92" s="144"/>
    </row>
    <row r="93" spans="11:11" s="19" customFormat="1" x14ac:dyDescent="0.2">
      <c r="K93" s="144"/>
    </row>
    <row r="94" spans="11:11" s="19" customFormat="1" x14ac:dyDescent="0.2">
      <c r="K94" s="144"/>
    </row>
    <row r="95" spans="11:11" s="19" customFormat="1" x14ac:dyDescent="0.2">
      <c r="K95" s="144"/>
    </row>
    <row r="96" spans="11:11" s="19" customFormat="1" x14ac:dyDescent="0.2">
      <c r="K96" s="144"/>
    </row>
    <row r="97" spans="11:11" s="19" customFormat="1" x14ac:dyDescent="0.2">
      <c r="K97" s="144"/>
    </row>
    <row r="98" spans="11:11" s="19" customFormat="1" x14ac:dyDescent="0.2">
      <c r="K98" s="144"/>
    </row>
    <row r="99" spans="11:11" s="19" customFormat="1" x14ac:dyDescent="0.2">
      <c r="K99" s="144"/>
    </row>
    <row r="100" spans="11:11" s="19" customFormat="1" x14ac:dyDescent="0.2">
      <c r="K100" s="144"/>
    </row>
    <row r="101" spans="11:11" s="19" customFormat="1" x14ac:dyDescent="0.2">
      <c r="K101" s="144"/>
    </row>
    <row r="102" spans="11:11" s="19" customFormat="1" x14ac:dyDescent="0.2">
      <c r="K102" s="144"/>
    </row>
    <row r="103" spans="11:11" s="19" customFormat="1" x14ac:dyDescent="0.2">
      <c r="K103" s="144"/>
    </row>
    <row r="104" spans="11:11" s="19" customFormat="1" x14ac:dyDescent="0.2">
      <c r="K104" s="144"/>
    </row>
    <row r="105" spans="11:11" s="19" customFormat="1" x14ac:dyDescent="0.2">
      <c r="K105" s="144"/>
    </row>
    <row r="106" spans="11:11" s="19" customFormat="1" x14ac:dyDescent="0.2">
      <c r="K106" s="144"/>
    </row>
    <row r="107" spans="11:11" s="19" customFormat="1" x14ac:dyDescent="0.2">
      <c r="K107" s="144"/>
    </row>
    <row r="108" spans="11:11" s="19" customFormat="1" x14ac:dyDescent="0.2">
      <c r="K108" s="144"/>
    </row>
    <row r="109" spans="11:11" s="19" customFormat="1" x14ac:dyDescent="0.2">
      <c r="K109" s="144"/>
    </row>
    <row r="110" spans="11:11" s="19" customFormat="1" x14ac:dyDescent="0.2">
      <c r="K110" s="144"/>
    </row>
    <row r="111" spans="11:11" s="19" customFormat="1" x14ac:dyDescent="0.2">
      <c r="K111" s="144"/>
    </row>
    <row r="112" spans="11:11" s="19" customFormat="1" x14ac:dyDescent="0.2">
      <c r="K112" s="144"/>
    </row>
    <row r="113" spans="11:11" s="19" customFormat="1" x14ac:dyDescent="0.2">
      <c r="K113" s="144"/>
    </row>
    <row r="114" spans="11:11" s="19" customFormat="1" x14ac:dyDescent="0.2">
      <c r="K114" s="144"/>
    </row>
    <row r="115" spans="11:11" s="19" customFormat="1" x14ac:dyDescent="0.2">
      <c r="K115" s="144"/>
    </row>
    <row r="116" spans="11:11" s="19" customFormat="1" x14ac:dyDescent="0.2">
      <c r="K116" s="144"/>
    </row>
    <row r="117" spans="11:11" s="19" customFormat="1" x14ac:dyDescent="0.2">
      <c r="K117" s="144"/>
    </row>
    <row r="118" spans="11:11" s="19" customFormat="1" x14ac:dyDescent="0.2">
      <c r="K118" s="144"/>
    </row>
    <row r="119" spans="11:11" s="19" customFormat="1" x14ac:dyDescent="0.2">
      <c r="K119" s="144"/>
    </row>
    <row r="120" spans="11:11" s="19" customFormat="1" x14ac:dyDescent="0.2">
      <c r="K120" s="144"/>
    </row>
    <row r="121" spans="11:11" s="19" customFormat="1" x14ac:dyDescent="0.2">
      <c r="K121" s="144"/>
    </row>
    <row r="122" spans="11:11" s="19" customFormat="1" x14ac:dyDescent="0.2">
      <c r="K122" s="144"/>
    </row>
    <row r="123" spans="11:11" s="19" customFormat="1" x14ac:dyDescent="0.2">
      <c r="K123" s="144"/>
    </row>
    <row r="124" spans="11:11" s="19" customFormat="1" x14ac:dyDescent="0.2">
      <c r="K124" s="144"/>
    </row>
    <row r="125" spans="11:11" s="19" customFormat="1" x14ac:dyDescent="0.2">
      <c r="K125" s="144"/>
    </row>
    <row r="126" spans="11:11" s="19" customFormat="1" x14ac:dyDescent="0.2">
      <c r="K126" s="144"/>
    </row>
    <row r="127" spans="11:11" s="19" customFormat="1" x14ac:dyDescent="0.2">
      <c r="K127" s="144"/>
    </row>
    <row r="128" spans="11:11" s="19" customFormat="1" x14ac:dyDescent="0.2">
      <c r="K128" s="144"/>
    </row>
    <row r="129" spans="11:11" s="19" customFormat="1" x14ac:dyDescent="0.2">
      <c r="K129" s="144"/>
    </row>
    <row r="130" spans="11:11" s="19" customFormat="1" x14ac:dyDescent="0.2">
      <c r="K130" s="144"/>
    </row>
    <row r="131" spans="11:11" s="19" customFormat="1" x14ac:dyDescent="0.2">
      <c r="K131" s="144"/>
    </row>
    <row r="132" spans="11:11" s="19" customFormat="1" x14ac:dyDescent="0.2">
      <c r="K132" s="144"/>
    </row>
    <row r="133" spans="11:11" s="19" customFormat="1" x14ac:dyDescent="0.2">
      <c r="K133" s="144"/>
    </row>
    <row r="134" spans="11:11" s="19" customFormat="1" x14ac:dyDescent="0.2">
      <c r="K134" s="144"/>
    </row>
    <row r="135" spans="11:11" s="19" customFormat="1" x14ac:dyDescent="0.2">
      <c r="K135" s="144"/>
    </row>
    <row r="136" spans="11:11" s="19" customFormat="1" x14ac:dyDescent="0.2">
      <c r="K136" s="144"/>
    </row>
    <row r="137" spans="11:11" s="19" customFormat="1" x14ac:dyDescent="0.2">
      <c r="K137" s="144"/>
    </row>
    <row r="138" spans="11:11" s="19" customFormat="1" x14ac:dyDescent="0.2">
      <c r="K138" s="144"/>
    </row>
    <row r="139" spans="11:11" s="19" customFormat="1" x14ac:dyDescent="0.2">
      <c r="K139" s="144"/>
    </row>
    <row r="140" spans="11:11" s="19" customFormat="1" x14ac:dyDescent="0.2">
      <c r="K140" s="144"/>
    </row>
    <row r="141" spans="11:11" s="19" customFormat="1" x14ac:dyDescent="0.2">
      <c r="K141" s="144"/>
    </row>
    <row r="142" spans="11:11" s="19" customFormat="1" x14ac:dyDescent="0.2">
      <c r="K142" s="144"/>
    </row>
    <row r="143" spans="11:11" s="19" customFormat="1" x14ac:dyDescent="0.2">
      <c r="K143" s="144"/>
    </row>
    <row r="144" spans="11:11" s="19" customFormat="1" x14ac:dyDescent="0.2">
      <c r="K144" s="144"/>
    </row>
    <row r="145" spans="11:11" s="19" customFormat="1" x14ac:dyDescent="0.2">
      <c r="K145" s="144"/>
    </row>
    <row r="146" spans="11:11" s="19" customFormat="1" x14ac:dyDescent="0.2">
      <c r="K146" s="144"/>
    </row>
    <row r="147" spans="11:11" s="19" customFormat="1" x14ac:dyDescent="0.2">
      <c r="K147" s="144"/>
    </row>
    <row r="148" spans="11:11" s="19" customFormat="1" x14ac:dyDescent="0.2">
      <c r="K148" s="144"/>
    </row>
    <row r="149" spans="11:11" s="19" customFormat="1" x14ac:dyDescent="0.2">
      <c r="K149" s="144"/>
    </row>
    <row r="150" spans="11:11" s="19" customFormat="1" x14ac:dyDescent="0.2">
      <c r="K150" s="144"/>
    </row>
    <row r="151" spans="11:11" s="19" customFormat="1" x14ac:dyDescent="0.2">
      <c r="K151" s="144"/>
    </row>
    <row r="152" spans="11:11" s="19" customFormat="1" x14ac:dyDescent="0.2">
      <c r="K152" s="144"/>
    </row>
    <row r="153" spans="11:11" s="19" customFormat="1" x14ac:dyDescent="0.2">
      <c r="K153" s="144"/>
    </row>
    <row r="154" spans="11:11" s="19" customFormat="1" x14ac:dyDescent="0.2">
      <c r="K154" s="144"/>
    </row>
    <row r="155" spans="11:11" s="19" customFormat="1" x14ac:dyDescent="0.2">
      <c r="K155" s="144"/>
    </row>
    <row r="156" spans="11:11" s="19" customFormat="1" x14ac:dyDescent="0.2">
      <c r="K156" s="144"/>
    </row>
    <row r="157" spans="11:11" s="19" customFormat="1" x14ac:dyDescent="0.2">
      <c r="K157" s="144"/>
    </row>
    <row r="158" spans="11:11" s="19" customFormat="1" x14ac:dyDescent="0.2">
      <c r="K158" s="144"/>
    </row>
    <row r="159" spans="11:11" s="19" customFormat="1" x14ac:dyDescent="0.2">
      <c r="K159" s="144"/>
    </row>
    <row r="160" spans="11:11" s="19" customFormat="1" x14ac:dyDescent="0.2">
      <c r="K160" s="144"/>
    </row>
    <row r="161" spans="11:11" s="19" customFormat="1" x14ac:dyDescent="0.2">
      <c r="K161" s="144"/>
    </row>
    <row r="162" spans="11:11" s="19" customFormat="1" x14ac:dyDescent="0.2">
      <c r="K162" s="144"/>
    </row>
    <row r="163" spans="11:11" s="19" customFormat="1" x14ac:dyDescent="0.2">
      <c r="K163" s="144"/>
    </row>
    <row r="164" spans="11:11" s="19" customFormat="1" x14ac:dyDescent="0.2">
      <c r="K164" s="144"/>
    </row>
    <row r="165" spans="11:11" s="19" customFormat="1" x14ac:dyDescent="0.2">
      <c r="K165" s="144"/>
    </row>
    <row r="166" spans="11:11" s="19" customFormat="1" x14ac:dyDescent="0.2">
      <c r="K166" s="144"/>
    </row>
    <row r="167" spans="11:11" s="19" customFormat="1" x14ac:dyDescent="0.2">
      <c r="K167" s="144"/>
    </row>
    <row r="168" spans="11:11" s="19" customFormat="1" x14ac:dyDescent="0.2">
      <c r="K168" s="144"/>
    </row>
    <row r="169" spans="11:11" s="19" customFormat="1" x14ac:dyDescent="0.2">
      <c r="K169" s="144"/>
    </row>
    <row r="170" spans="11:11" s="19" customFormat="1" x14ac:dyDescent="0.2">
      <c r="K170" s="144"/>
    </row>
    <row r="171" spans="11:11" s="19" customFormat="1" x14ac:dyDescent="0.2">
      <c r="K171" s="144"/>
    </row>
    <row r="172" spans="11:11" s="19" customFormat="1" x14ac:dyDescent="0.2">
      <c r="K172" s="144"/>
    </row>
    <row r="173" spans="11:11" s="19" customFormat="1" x14ac:dyDescent="0.2">
      <c r="K173" s="144"/>
    </row>
    <row r="174" spans="11:11" s="19" customFormat="1" x14ac:dyDescent="0.2">
      <c r="K174" s="144"/>
    </row>
    <row r="175" spans="11:11" s="19" customFormat="1" x14ac:dyDescent="0.2">
      <c r="K175" s="144"/>
    </row>
    <row r="176" spans="11:11" s="19" customFormat="1" x14ac:dyDescent="0.2">
      <c r="K176" s="144"/>
    </row>
    <row r="177" spans="11:11" s="19" customFormat="1" x14ac:dyDescent="0.2">
      <c r="K177" s="144"/>
    </row>
    <row r="178" spans="11:11" s="19" customFormat="1" x14ac:dyDescent="0.2">
      <c r="K178" s="144"/>
    </row>
    <row r="179" spans="11:11" s="19" customFormat="1" x14ac:dyDescent="0.2">
      <c r="K179" s="144"/>
    </row>
    <row r="180" spans="11:11" s="19" customFormat="1" x14ac:dyDescent="0.2">
      <c r="K180" s="144"/>
    </row>
    <row r="181" spans="11:11" s="19" customFormat="1" x14ac:dyDescent="0.2">
      <c r="K181" s="144"/>
    </row>
    <row r="182" spans="11:11" s="19" customFormat="1" x14ac:dyDescent="0.2">
      <c r="K182" s="144"/>
    </row>
    <row r="183" spans="11:11" s="19" customFormat="1" x14ac:dyDescent="0.2">
      <c r="K183" s="144"/>
    </row>
    <row r="184" spans="11:11" s="19" customFormat="1" x14ac:dyDescent="0.2">
      <c r="K184" s="144"/>
    </row>
    <row r="185" spans="11:11" s="19" customFormat="1" x14ac:dyDescent="0.2">
      <c r="K185" s="144"/>
    </row>
    <row r="186" spans="11:11" s="19" customFormat="1" x14ac:dyDescent="0.2">
      <c r="K186" s="144"/>
    </row>
    <row r="187" spans="11:11" s="19" customFormat="1" x14ac:dyDescent="0.2">
      <c r="K187" s="144"/>
    </row>
    <row r="188" spans="11:11" s="19" customFormat="1" x14ac:dyDescent="0.2">
      <c r="K188" s="144"/>
    </row>
    <row r="189" spans="11:11" s="19" customFormat="1" x14ac:dyDescent="0.2">
      <c r="K189" s="144"/>
    </row>
    <row r="190" spans="11:11" s="19" customFormat="1" x14ac:dyDescent="0.2">
      <c r="K190" s="144"/>
    </row>
    <row r="191" spans="11:11" s="19" customFormat="1" x14ac:dyDescent="0.2">
      <c r="K191" s="144"/>
    </row>
    <row r="192" spans="11:11" s="19" customFormat="1" x14ac:dyDescent="0.2">
      <c r="K192" s="144"/>
    </row>
    <row r="193" spans="11:11" s="19" customFormat="1" x14ac:dyDescent="0.2">
      <c r="K193" s="144"/>
    </row>
    <row r="194" spans="11:11" s="19" customFormat="1" x14ac:dyDescent="0.2">
      <c r="K194" s="144"/>
    </row>
    <row r="195" spans="11:11" s="19" customFormat="1" x14ac:dyDescent="0.2">
      <c r="K195" s="144"/>
    </row>
    <row r="196" spans="11:11" s="19" customFormat="1" x14ac:dyDescent="0.2">
      <c r="K196" s="144"/>
    </row>
    <row r="197" spans="11:11" s="19" customFormat="1" x14ac:dyDescent="0.2">
      <c r="K197" s="144"/>
    </row>
    <row r="198" spans="11:11" s="19" customFormat="1" x14ac:dyDescent="0.2">
      <c r="K198" s="144"/>
    </row>
    <row r="199" spans="11:11" s="19" customFormat="1" x14ac:dyDescent="0.2">
      <c r="K199" s="144"/>
    </row>
    <row r="200" spans="11:11" s="19" customFormat="1" x14ac:dyDescent="0.2">
      <c r="K200" s="144"/>
    </row>
    <row r="201" spans="11:11" s="19" customFormat="1" x14ac:dyDescent="0.2">
      <c r="K201" s="144"/>
    </row>
    <row r="202" spans="11:11" s="19" customFormat="1" x14ac:dyDescent="0.2">
      <c r="K202" s="144"/>
    </row>
    <row r="203" spans="11:11" s="19" customFormat="1" x14ac:dyDescent="0.2">
      <c r="K203" s="144"/>
    </row>
    <row r="204" spans="11:11" s="19" customFormat="1" x14ac:dyDescent="0.2">
      <c r="K204" s="144"/>
    </row>
    <row r="205" spans="11:11" s="19" customFormat="1" x14ac:dyDescent="0.2">
      <c r="K205" s="144"/>
    </row>
    <row r="206" spans="11:11" s="19" customFormat="1" x14ac:dyDescent="0.2">
      <c r="K206" s="144"/>
    </row>
    <row r="207" spans="11:11" s="19" customFormat="1" x14ac:dyDescent="0.2">
      <c r="K207" s="144"/>
    </row>
    <row r="208" spans="11:11" s="19" customFormat="1" x14ac:dyDescent="0.2">
      <c r="K208" s="144"/>
    </row>
    <row r="209" spans="11:11" s="19" customFormat="1" x14ac:dyDescent="0.2">
      <c r="K209" s="144"/>
    </row>
    <row r="210" spans="11:11" s="19" customFormat="1" x14ac:dyDescent="0.2">
      <c r="K210" s="144"/>
    </row>
    <row r="211" spans="11:11" s="19" customFormat="1" x14ac:dyDescent="0.2">
      <c r="K211" s="144"/>
    </row>
    <row r="212" spans="11:11" s="19" customFormat="1" x14ac:dyDescent="0.2">
      <c r="K212" s="144"/>
    </row>
    <row r="213" spans="11:11" s="19" customFormat="1" x14ac:dyDescent="0.2">
      <c r="K213" s="144"/>
    </row>
    <row r="214" spans="11:11" s="19" customFormat="1" x14ac:dyDescent="0.2">
      <c r="K214" s="144"/>
    </row>
    <row r="215" spans="11:11" s="19" customFormat="1" x14ac:dyDescent="0.2">
      <c r="K215" s="144"/>
    </row>
    <row r="216" spans="11:11" s="19" customFormat="1" x14ac:dyDescent="0.2">
      <c r="K216" s="144"/>
    </row>
    <row r="217" spans="11:11" s="19" customFormat="1" x14ac:dyDescent="0.2">
      <c r="K217" s="144"/>
    </row>
    <row r="218" spans="11:11" s="19" customFormat="1" x14ac:dyDescent="0.2">
      <c r="K218" s="144"/>
    </row>
    <row r="219" spans="11:11" s="19" customFormat="1" x14ac:dyDescent="0.2">
      <c r="K219" s="144"/>
    </row>
    <row r="220" spans="11:11" s="19" customFormat="1" x14ac:dyDescent="0.2">
      <c r="K220" s="144"/>
    </row>
    <row r="221" spans="11:11" s="19" customFormat="1" x14ac:dyDescent="0.2">
      <c r="K221" s="144"/>
    </row>
    <row r="222" spans="11:11" s="19" customFormat="1" x14ac:dyDescent="0.2">
      <c r="K222" s="144"/>
    </row>
    <row r="223" spans="11:11" s="19" customFormat="1" x14ac:dyDescent="0.2">
      <c r="K223" s="144"/>
    </row>
    <row r="224" spans="11:11" s="19" customFormat="1" x14ac:dyDescent="0.2">
      <c r="K224" s="144"/>
    </row>
    <row r="225" spans="11:11" s="19" customFormat="1" x14ac:dyDescent="0.2">
      <c r="K225" s="144"/>
    </row>
    <row r="226" spans="11:11" s="19" customFormat="1" x14ac:dyDescent="0.2">
      <c r="K226" s="144"/>
    </row>
    <row r="227" spans="11:11" s="19" customFormat="1" x14ac:dyDescent="0.2">
      <c r="K227" s="144"/>
    </row>
    <row r="228" spans="11:11" s="19" customFormat="1" x14ac:dyDescent="0.2">
      <c r="K228" s="144"/>
    </row>
    <row r="229" spans="11:11" s="19" customFormat="1" x14ac:dyDescent="0.2">
      <c r="K229" s="144"/>
    </row>
    <row r="230" spans="11:11" s="19" customFormat="1" x14ac:dyDescent="0.2">
      <c r="K230" s="144"/>
    </row>
    <row r="231" spans="11:11" s="19" customFormat="1" x14ac:dyDescent="0.2">
      <c r="K231" s="144"/>
    </row>
    <row r="232" spans="11:11" s="19" customFormat="1" x14ac:dyDescent="0.2">
      <c r="K232" s="144"/>
    </row>
    <row r="233" spans="11:11" s="19" customFormat="1" x14ac:dyDescent="0.2">
      <c r="K233" s="144"/>
    </row>
    <row r="234" spans="11:11" s="19" customFormat="1" x14ac:dyDescent="0.2">
      <c r="K234" s="144"/>
    </row>
    <row r="235" spans="11:11" s="19" customFormat="1" x14ac:dyDescent="0.2">
      <c r="K235" s="144"/>
    </row>
    <row r="236" spans="11:11" s="19" customFormat="1" x14ac:dyDescent="0.2">
      <c r="K236" s="144"/>
    </row>
    <row r="237" spans="11:11" s="19" customFormat="1" x14ac:dyDescent="0.2">
      <c r="K237" s="144"/>
    </row>
    <row r="238" spans="11:11" s="19" customFormat="1" x14ac:dyDescent="0.2">
      <c r="K238" s="144"/>
    </row>
    <row r="239" spans="11:11" s="19" customFormat="1" x14ac:dyDescent="0.2">
      <c r="K239" s="144"/>
    </row>
    <row r="240" spans="11:11" s="19" customFormat="1" x14ac:dyDescent="0.2">
      <c r="K240" s="144"/>
    </row>
    <row r="241" spans="11:11" s="19" customFormat="1" x14ac:dyDescent="0.2">
      <c r="K241" s="144"/>
    </row>
    <row r="242" spans="11:11" s="19" customFormat="1" x14ac:dyDescent="0.2">
      <c r="K242" s="144"/>
    </row>
    <row r="243" spans="11:11" s="19" customFormat="1" x14ac:dyDescent="0.2">
      <c r="K243" s="144"/>
    </row>
    <row r="244" spans="11:11" s="19" customFormat="1" x14ac:dyDescent="0.2">
      <c r="K244" s="144"/>
    </row>
    <row r="245" spans="11:11" s="19" customFormat="1" x14ac:dyDescent="0.2">
      <c r="K245" s="144"/>
    </row>
    <row r="246" spans="11:11" s="19" customFormat="1" x14ac:dyDescent="0.2">
      <c r="K246" s="144"/>
    </row>
    <row r="247" spans="11:11" s="19" customFormat="1" x14ac:dyDescent="0.2">
      <c r="K247" s="144"/>
    </row>
    <row r="248" spans="11:11" s="19" customFormat="1" x14ac:dyDescent="0.2">
      <c r="K248" s="144"/>
    </row>
    <row r="249" spans="11:11" s="19" customFormat="1" x14ac:dyDescent="0.2">
      <c r="K249" s="144"/>
    </row>
    <row r="250" spans="11:11" s="19" customFormat="1" x14ac:dyDescent="0.2">
      <c r="K250" s="144"/>
    </row>
    <row r="251" spans="11:11" s="19" customFormat="1" x14ac:dyDescent="0.2">
      <c r="K251" s="144"/>
    </row>
    <row r="252" spans="11:11" s="19" customFormat="1" x14ac:dyDescent="0.2">
      <c r="K252" s="144"/>
    </row>
    <row r="253" spans="11:11" s="19" customFormat="1" x14ac:dyDescent="0.2">
      <c r="K253" s="144"/>
    </row>
    <row r="254" spans="11:11" s="19" customFormat="1" x14ac:dyDescent="0.2">
      <c r="K254" s="144"/>
    </row>
    <row r="255" spans="11:11" s="19" customFormat="1" x14ac:dyDescent="0.2">
      <c r="K255" s="144"/>
    </row>
    <row r="256" spans="11:11" s="19" customFormat="1" x14ac:dyDescent="0.2">
      <c r="K256" s="144"/>
    </row>
    <row r="257" spans="11:11" s="19" customFormat="1" x14ac:dyDescent="0.2">
      <c r="K257" s="144"/>
    </row>
    <row r="258" spans="11:11" s="19" customFormat="1" x14ac:dyDescent="0.2">
      <c r="K258" s="144"/>
    </row>
    <row r="259" spans="11:11" s="19" customFormat="1" x14ac:dyDescent="0.2">
      <c r="K259" s="144"/>
    </row>
    <row r="260" spans="11:11" s="19" customFormat="1" x14ac:dyDescent="0.2">
      <c r="K260" s="144"/>
    </row>
    <row r="261" spans="11:11" s="19" customFormat="1" x14ac:dyDescent="0.2">
      <c r="K261" s="144"/>
    </row>
    <row r="262" spans="11:11" s="19" customFormat="1" x14ac:dyDescent="0.2">
      <c r="K262" s="144"/>
    </row>
    <row r="263" spans="11:11" s="19" customFormat="1" x14ac:dyDescent="0.2">
      <c r="K263" s="144"/>
    </row>
    <row r="264" spans="11:11" s="19" customFormat="1" x14ac:dyDescent="0.2">
      <c r="K264" s="144"/>
    </row>
    <row r="265" spans="11:11" s="19" customFormat="1" x14ac:dyDescent="0.2">
      <c r="K265" s="144"/>
    </row>
    <row r="266" spans="11:11" s="19" customFormat="1" x14ac:dyDescent="0.2">
      <c r="K266" s="144"/>
    </row>
    <row r="267" spans="11:11" s="19" customFormat="1" x14ac:dyDescent="0.2">
      <c r="K267" s="144"/>
    </row>
    <row r="268" spans="11:11" s="19" customFormat="1" x14ac:dyDescent="0.2">
      <c r="K268" s="144"/>
    </row>
    <row r="269" spans="11:11" s="19" customFormat="1" x14ac:dyDescent="0.2">
      <c r="K269" s="144"/>
    </row>
    <row r="270" spans="11:11" s="19" customFormat="1" x14ac:dyDescent="0.2">
      <c r="K270" s="144"/>
    </row>
    <row r="271" spans="11:11" s="19" customFormat="1" x14ac:dyDescent="0.2">
      <c r="K271" s="144"/>
    </row>
    <row r="272" spans="11:11" s="19" customFormat="1" x14ac:dyDescent="0.2">
      <c r="K272" s="144"/>
    </row>
    <row r="273" spans="11:11" s="19" customFormat="1" x14ac:dyDescent="0.2">
      <c r="K273" s="144"/>
    </row>
    <row r="274" spans="11:11" s="19" customFormat="1" x14ac:dyDescent="0.2">
      <c r="K274" s="144"/>
    </row>
    <row r="275" spans="11:11" s="19" customFormat="1" x14ac:dyDescent="0.2">
      <c r="K275" s="144"/>
    </row>
    <row r="276" spans="11:11" s="19" customFormat="1" x14ac:dyDescent="0.2">
      <c r="K276" s="144"/>
    </row>
    <row r="277" spans="11:11" s="19" customFormat="1" x14ac:dyDescent="0.2">
      <c r="K277" s="144"/>
    </row>
    <row r="278" spans="11:11" s="19" customFormat="1" x14ac:dyDescent="0.2">
      <c r="K278" s="144"/>
    </row>
    <row r="279" spans="11:11" s="19" customFormat="1" x14ac:dyDescent="0.2">
      <c r="K279" s="144"/>
    </row>
    <row r="280" spans="11:11" s="19" customFormat="1" x14ac:dyDescent="0.2">
      <c r="K280" s="144"/>
    </row>
    <row r="281" spans="11:11" s="19" customFormat="1" x14ac:dyDescent="0.2">
      <c r="K281" s="144"/>
    </row>
    <row r="282" spans="11:11" s="19" customFormat="1" x14ac:dyDescent="0.2">
      <c r="K282" s="144"/>
    </row>
    <row r="283" spans="11:11" s="19" customFormat="1" x14ac:dyDescent="0.2">
      <c r="K283" s="144"/>
    </row>
    <row r="284" spans="11:11" s="19" customFormat="1" x14ac:dyDescent="0.2">
      <c r="K284" s="144"/>
    </row>
    <row r="285" spans="11:11" s="19" customFormat="1" x14ac:dyDescent="0.2">
      <c r="K285" s="144"/>
    </row>
    <row r="286" spans="11:11" s="19" customFormat="1" x14ac:dyDescent="0.2">
      <c r="K286" s="144"/>
    </row>
    <row r="287" spans="11:11" s="19" customFormat="1" x14ac:dyDescent="0.2">
      <c r="K287" s="144"/>
    </row>
    <row r="288" spans="11:11" s="19" customFormat="1" x14ac:dyDescent="0.2">
      <c r="K288" s="144"/>
    </row>
    <row r="289" spans="11:11" s="19" customFormat="1" x14ac:dyDescent="0.2">
      <c r="K289" s="144"/>
    </row>
    <row r="290" spans="11:11" s="19" customFormat="1" x14ac:dyDescent="0.2">
      <c r="K290" s="144"/>
    </row>
    <row r="291" spans="11:11" s="19" customFormat="1" x14ac:dyDescent="0.2">
      <c r="K291" s="144"/>
    </row>
    <row r="292" spans="11:11" s="19" customFormat="1" x14ac:dyDescent="0.2">
      <c r="K292" s="144"/>
    </row>
    <row r="293" spans="11:11" s="19" customFormat="1" x14ac:dyDescent="0.2">
      <c r="K293" s="144"/>
    </row>
    <row r="294" spans="11:11" s="19" customFormat="1" x14ac:dyDescent="0.2">
      <c r="K294" s="144"/>
    </row>
  </sheetData>
  <mergeCells count="39">
    <mergeCell ref="B1:J1"/>
    <mergeCell ref="H5:J5"/>
    <mergeCell ref="A35:C35"/>
    <mergeCell ref="G32:J32"/>
    <mergeCell ref="H15:I15"/>
    <mergeCell ref="H16:I16"/>
    <mergeCell ref="H17:I17"/>
    <mergeCell ref="D32:F32"/>
    <mergeCell ref="D33:F33"/>
    <mergeCell ref="H9:J9"/>
    <mergeCell ref="H11:I11"/>
    <mergeCell ref="H12:I12"/>
    <mergeCell ref="H13:I13"/>
    <mergeCell ref="H10:J10"/>
    <mergeCell ref="H18:I18"/>
    <mergeCell ref="G29:J29"/>
    <mergeCell ref="B5:D5"/>
    <mergeCell ref="D29:F29"/>
    <mergeCell ref="D30:F30"/>
    <mergeCell ref="D31:F31"/>
    <mergeCell ref="D35:F35"/>
    <mergeCell ref="H19:I19"/>
    <mergeCell ref="H20:I20"/>
    <mergeCell ref="H8:J8"/>
    <mergeCell ref="G33:J33"/>
    <mergeCell ref="H21:I21"/>
    <mergeCell ref="H14:I14"/>
    <mergeCell ref="G30:J30"/>
    <mergeCell ref="G31:J31"/>
    <mergeCell ref="A40:C40"/>
    <mergeCell ref="D40:G40"/>
    <mergeCell ref="H40:J40"/>
    <mergeCell ref="G34:J34"/>
    <mergeCell ref="A37:J37"/>
    <mergeCell ref="G36:J36"/>
    <mergeCell ref="G35:J35"/>
    <mergeCell ref="D36:F36"/>
    <mergeCell ref="D34:F34"/>
    <mergeCell ref="A38:J38"/>
  </mergeCells>
  <phoneticPr fontId="65" type="noConversion"/>
  <hyperlinks>
    <hyperlink ref="H5" r:id="rId1"/>
    <hyperlink ref="H24" r:id="rId2"/>
  </hyperlinks>
  <pageMargins left="0.65583333300000002" right="0.12833333333333299" top="0.5" bottom="0.5" header="0.3" footer="0.3"/>
  <pageSetup scale="87" fitToWidth="0" orientation="landscape" r:id="rId3"/>
  <headerFooter>
    <oddHeader>&amp;LAKIS A 2012</oddHeader>
    <oddFooter>&amp;LAmerican Indian Higher Education Consortium</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zoomScaleNormal="100" workbookViewId="0">
      <selection activeCell="C17" sqref="C17"/>
    </sheetView>
  </sheetViews>
  <sheetFormatPr defaultRowHeight="15" x14ac:dyDescent="0.25"/>
  <cols>
    <col min="1" max="1" width="32.7109375" customWidth="1"/>
    <col min="2" max="2" width="35.140625" customWidth="1"/>
    <col min="3" max="3" width="32.42578125" customWidth="1"/>
    <col min="4" max="4" width="25.42578125" customWidth="1"/>
    <col min="5" max="5" width="26.7109375" customWidth="1"/>
    <col min="6" max="6" width="11.7109375" customWidth="1"/>
    <col min="7" max="7" width="15.140625" customWidth="1"/>
    <col min="8" max="8" width="17" customWidth="1"/>
    <col min="9" max="9" width="22.85546875" customWidth="1"/>
    <col min="10" max="10" width="16" customWidth="1"/>
  </cols>
  <sheetData>
    <row r="1" spans="1:5" ht="15.75" thickTop="1" x14ac:dyDescent="0.25">
      <c r="A1" s="923" t="s">
        <v>400</v>
      </c>
      <c r="B1" s="924" t="str">
        <f>'1.1a Overall Instit. Profile'!$B$1</f>
        <v>Oglala Lakota College</v>
      </c>
      <c r="C1" s="925"/>
      <c r="D1" s="925"/>
      <c r="E1" s="926"/>
    </row>
    <row r="2" spans="1:5" x14ac:dyDescent="0.25">
      <c r="A2" s="927" t="s">
        <v>816</v>
      </c>
      <c r="B2" s="928"/>
      <c r="C2" s="928"/>
      <c r="D2" s="928"/>
      <c r="E2" s="929"/>
    </row>
    <row r="3" spans="1:5" x14ac:dyDescent="0.25">
      <c r="A3" s="930" t="s">
        <v>602</v>
      </c>
      <c r="B3" s="931"/>
      <c r="C3" s="931"/>
      <c r="D3" s="931"/>
      <c r="E3" s="932"/>
    </row>
    <row r="4" spans="1:5" x14ac:dyDescent="0.25">
      <c r="A4" s="933" t="s">
        <v>546</v>
      </c>
      <c r="B4" s="934"/>
      <c r="C4" s="935"/>
      <c r="D4" s="935"/>
      <c r="E4" s="936"/>
    </row>
    <row r="5" spans="1:5" s="622" customFormat="1" ht="16.5" x14ac:dyDescent="0.3">
      <c r="A5" s="1010" t="s">
        <v>374</v>
      </c>
      <c r="B5" s="1013" t="s">
        <v>840</v>
      </c>
      <c r="C5" s="1013" t="s">
        <v>841</v>
      </c>
      <c r="D5" s="1013" t="s">
        <v>837</v>
      </c>
      <c r="E5" s="1014" t="s">
        <v>375</v>
      </c>
    </row>
    <row r="6" spans="1:5" s="622" customFormat="1" ht="16.5" x14ac:dyDescent="0.3">
      <c r="A6" s="1011" t="s">
        <v>376</v>
      </c>
      <c r="B6" s="624" t="s">
        <v>794</v>
      </c>
      <c r="C6" s="624" t="s">
        <v>376</v>
      </c>
      <c r="D6" s="624" t="s">
        <v>795</v>
      </c>
      <c r="E6" s="1184" t="s">
        <v>904</v>
      </c>
    </row>
    <row r="7" spans="1:5" s="622" customFormat="1" ht="16.5" x14ac:dyDescent="0.3">
      <c r="A7" s="1011" t="s">
        <v>377</v>
      </c>
      <c r="B7" s="624" t="s">
        <v>796</v>
      </c>
      <c r="C7" s="624" t="s">
        <v>377</v>
      </c>
      <c r="D7" s="1182" t="s">
        <v>795</v>
      </c>
      <c r="E7" s="1185" t="s">
        <v>905</v>
      </c>
    </row>
    <row r="8" spans="1:5" s="622" customFormat="1" ht="16.5" x14ac:dyDescent="0.3">
      <c r="A8" s="1011" t="s">
        <v>378</v>
      </c>
      <c r="B8" s="624" t="s">
        <v>385</v>
      </c>
      <c r="C8" s="624"/>
      <c r="D8" s="624"/>
      <c r="E8" s="625"/>
    </row>
    <row r="9" spans="1:5" s="622" customFormat="1" ht="16.5" x14ac:dyDescent="0.3">
      <c r="A9" s="1011" t="s">
        <v>379</v>
      </c>
      <c r="B9" s="624" t="s">
        <v>790</v>
      </c>
      <c r="C9" s="624" t="s">
        <v>791</v>
      </c>
      <c r="D9" s="624" t="s">
        <v>792</v>
      </c>
      <c r="E9" s="1185" t="s">
        <v>793</v>
      </c>
    </row>
    <row r="10" spans="1:5" s="622" customFormat="1" ht="16.5" x14ac:dyDescent="0.3">
      <c r="A10" s="1011" t="s">
        <v>380</v>
      </c>
      <c r="B10" s="624" t="s">
        <v>797</v>
      </c>
      <c r="C10" s="624" t="s">
        <v>798</v>
      </c>
      <c r="D10" s="1182" t="s">
        <v>900</v>
      </c>
      <c r="E10" s="1185" t="s">
        <v>906</v>
      </c>
    </row>
    <row r="11" spans="1:5" s="622" customFormat="1" ht="16.5" x14ac:dyDescent="0.3">
      <c r="A11" s="1011" t="s">
        <v>391</v>
      </c>
      <c r="B11" s="624" t="s">
        <v>799</v>
      </c>
      <c r="C11" s="624" t="s">
        <v>391</v>
      </c>
      <c r="D11" s="1182" t="s">
        <v>901</v>
      </c>
      <c r="E11" s="1185" t="s">
        <v>907</v>
      </c>
    </row>
    <row r="12" spans="1:5" s="622" customFormat="1" ht="16.5" x14ac:dyDescent="0.3">
      <c r="A12" s="1011" t="s">
        <v>392</v>
      </c>
      <c r="B12" s="624" t="s">
        <v>797</v>
      </c>
      <c r="C12" s="624" t="s">
        <v>392</v>
      </c>
      <c r="D12" s="1182" t="s">
        <v>900</v>
      </c>
      <c r="E12" s="1185" t="s">
        <v>906</v>
      </c>
    </row>
    <row r="13" spans="1:5" s="622" customFormat="1" ht="16.5" x14ac:dyDescent="0.3">
      <c r="A13" s="1011" t="s">
        <v>393</v>
      </c>
      <c r="B13" s="624" t="s">
        <v>800</v>
      </c>
      <c r="C13" s="624" t="s">
        <v>384</v>
      </c>
      <c r="D13" s="1182" t="s">
        <v>902</v>
      </c>
      <c r="E13" s="1185" t="s">
        <v>908</v>
      </c>
    </row>
    <row r="14" spans="1:5" s="622" customFormat="1" ht="16.5" x14ac:dyDescent="0.3">
      <c r="A14" s="1011" t="s">
        <v>394</v>
      </c>
      <c r="B14" s="624" t="s">
        <v>385</v>
      </c>
      <c r="C14" s="624"/>
      <c r="D14" s="624"/>
      <c r="E14" s="625"/>
    </row>
    <row r="15" spans="1:5" s="622" customFormat="1" ht="16.5" x14ac:dyDescent="0.3">
      <c r="A15" s="1011" t="s">
        <v>395</v>
      </c>
      <c r="B15" s="624" t="s">
        <v>386</v>
      </c>
      <c r="C15" s="624"/>
      <c r="D15" s="624"/>
      <c r="E15" s="625"/>
    </row>
    <row r="16" spans="1:5" s="622" customFormat="1" ht="16.5" x14ac:dyDescent="0.3">
      <c r="A16" s="1011" t="s">
        <v>398</v>
      </c>
      <c r="B16" s="624" t="s">
        <v>802</v>
      </c>
      <c r="C16" s="624" t="s">
        <v>387</v>
      </c>
      <c r="D16" s="1182" t="s">
        <v>903</v>
      </c>
      <c r="E16" s="1185" t="s">
        <v>909</v>
      </c>
    </row>
    <row r="17" spans="1:5" s="622" customFormat="1" ht="16.5" x14ac:dyDescent="0.3">
      <c r="A17" s="1011" t="s">
        <v>399</v>
      </c>
      <c r="B17" s="1182" t="s">
        <v>963</v>
      </c>
      <c r="C17" s="624"/>
      <c r="D17" s="624"/>
      <c r="E17" s="625"/>
    </row>
    <row r="18" spans="1:5" s="622" customFormat="1" ht="16.5" x14ac:dyDescent="0.3">
      <c r="A18" s="1011" t="s">
        <v>396</v>
      </c>
      <c r="B18" s="624" t="s">
        <v>802</v>
      </c>
      <c r="C18" s="624" t="s">
        <v>387</v>
      </c>
      <c r="D18" s="1182" t="s">
        <v>903</v>
      </c>
      <c r="E18" s="1185" t="s">
        <v>909</v>
      </c>
    </row>
    <row r="19" spans="1:5" s="622" customFormat="1" ht="17.25" thickBot="1" x14ac:dyDescent="0.35">
      <c r="A19" s="1012" t="s">
        <v>397</v>
      </c>
      <c r="B19" s="626" t="s">
        <v>790</v>
      </c>
      <c r="C19" s="626" t="s">
        <v>791</v>
      </c>
      <c r="D19" s="1183" t="s">
        <v>792</v>
      </c>
      <c r="E19" s="1186" t="s">
        <v>793</v>
      </c>
    </row>
    <row r="20" spans="1:5" ht="15.75" thickTop="1" x14ac:dyDescent="0.25"/>
  </sheetData>
  <phoneticPr fontId="65" type="noConversion"/>
  <hyperlinks>
    <hyperlink ref="E7" r:id="rId1"/>
    <hyperlink ref="E9" r:id="rId2"/>
    <hyperlink ref="E10" r:id="rId3"/>
    <hyperlink ref="E11" r:id="rId4"/>
    <hyperlink ref="E12" r:id="rId5"/>
    <hyperlink ref="E13" r:id="rId6"/>
    <hyperlink ref="E16" r:id="rId7"/>
    <hyperlink ref="E18" r:id="rId8"/>
    <hyperlink ref="E19" r:id="rId9"/>
  </hyperlinks>
  <pageMargins left="0.65583333300000002" right="0.12833333333333299" top="0.75" bottom="0.75" header="0.3" footer="0.3"/>
  <pageSetup scale="83" fitToHeight="0" orientation="landscape" horizontalDpi="1200" verticalDpi="1200" r:id="rId10"/>
  <headerFooter>
    <oddHeader>&amp;LAKIS A 2012</oddHeader>
    <oddFooter>&amp;LAmerican Indian Higher Education Consortium</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F289"/>
  <sheetViews>
    <sheetView zoomScaleNormal="100" workbookViewId="0">
      <selection activeCell="K30" sqref="K30"/>
    </sheetView>
  </sheetViews>
  <sheetFormatPr defaultColWidth="9.140625" defaultRowHeight="14.25" x14ac:dyDescent="0.2"/>
  <cols>
    <col min="1" max="1" width="8.7109375" style="20" customWidth="1"/>
    <col min="2" max="2" width="14.5703125" style="20" customWidth="1"/>
    <col min="3" max="14" width="8.7109375" style="20" customWidth="1"/>
    <col min="15" max="16384" width="9.140625" style="20"/>
  </cols>
  <sheetData>
    <row r="1" spans="1:14" ht="15.75" thickTop="1" x14ac:dyDescent="0.25">
      <c r="A1" s="1315" t="s">
        <v>823</v>
      </c>
      <c r="B1" s="1316"/>
      <c r="C1" s="1317"/>
      <c r="D1" s="581" t="str">
        <f>'1.1a Overall Instit. Profile'!$B$1</f>
        <v>Oglala Lakota College</v>
      </c>
      <c r="E1" s="349"/>
      <c r="F1" s="349"/>
      <c r="G1" s="349"/>
      <c r="H1" s="349"/>
      <c r="I1" s="349"/>
      <c r="J1" s="349"/>
      <c r="K1" s="349"/>
      <c r="L1" s="349"/>
      <c r="M1" s="349"/>
      <c r="N1" s="341"/>
    </row>
    <row r="2" spans="1:14" ht="15" x14ac:dyDescent="0.2">
      <c r="A2" s="616" t="s">
        <v>816</v>
      </c>
      <c r="B2" s="617"/>
      <c r="C2" s="617"/>
      <c r="D2" s="617"/>
      <c r="E2" s="617"/>
      <c r="F2" s="617"/>
      <c r="G2" s="617"/>
      <c r="H2" s="617"/>
      <c r="I2" s="617"/>
      <c r="J2" s="617"/>
      <c r="K2" s="617"/>
      <c r="L2" s="617"/>
      <c r="M2" s="617"/>
      <c r="N2" s="618"/>
    </row>
    <row r="3" spans="1:14" ht="15" x14ac:dyDescent="0.2">
      <c r="A3" s="313" t="s">
        <v>575</v>
      </c>
      <c r="B3" s="582"/>
      <c r="C3" s="582"/>
      <c r="D3" s="582"/>
      <c r="E3" s="582"/>
      <c r="F3" s="582"/>
      <c r="G3" s="582"/>
      <c r="H3" s="582"/>
      <c r="I3" s="582"/>
      <c r="J3" s="582"/>
      <c r="K3" s="582"/>
      <c r="L3" s="582"/>
      <c r="M3" s="582"/>
      <c r="N3" s="583"/>
    </row>
    <row r="4" spans="1:14" x14ac:dyDescent="0.2">
      <c r="A4" s="584" t="s">
        <v>563</v>
      </c>
      <c r="B4" s="585"/>
      <c r="C4" s="585"/>
      <c r="D4" s="585"/>
      <c r="E4" s="585"/>
      <c r="F4" s="585"/>
      <c r="G4" s="585"/>
      <c r="H4" s="585"/>
      <c r="I4" s="585"/>
      <c r="J4" s="585"/>
      <c r="K4" s="585"/>
      <c r="L4" s="585"/>
      <c r="M4" s="585"/>
      <c r="N4" s="586"/>
    </row>
    <row r="5" spans="1:14" x14ac:dyDescent="0.2">
      <c r="A5" s="587" t="s">
        <v>534</v>
      </c>
      <c r="B5" s="588"/>
      <c r="C5" s="588"/>
      <c r="D5" s="588"/>
      <c r="E5" s="588"/>
      <c r="F5" s="588"/>
      <c r="G5" s="588"/>
      <c r="H5" s="588"/>
      <c r="I5" s="588"/>
      <c r="J5" s="588"/>
      <c r="K5" s="588"/>
      <c r="L5" s="588"/>
      <c r="M5" s="588"/>
      <c r="N5" s="589"/>
    </row>
    <row r="6" spans="1:14" hidden="1" x14ac:dyDescent="0.2">
      <c r="A6" s="221"/>
      <c r="B6" s="222" t="s">
        <v>867</v>
      </c>
      <c r="C6" s="223"/>
      <c r="D6" s="224"/>
      <c r="E6" s="222" t="s">
        <v>868</v>
      </c>
      <c r="F6" s="223"/>
      <c r="G6" s="224"/>
      <c r="H6" s="222" t="s">
        <v>869</v>
      </c>
      <c r="I6" s="223"/>
      <c r="J6" s="224"/>
      <c r="K6" s="222" t="s">
        <v>870</v>
      </c>
      <c r="L6" s="223"/>
      <c r="M6" s="224"/>
      <c r="N6" s="222" t="s">
        <v>871</v>
      </c>
    </row>
    <row r="7" spans="1:14" hidden="1" x14ac:dyDescent="0.2">
      <c r="A7" s="533"/>
      <c r="B7" s="534" t="s">
        <v>872</v>
      </c>
      <c r="C7" s="535"/>
      <c r="D7" s="536"/>
      <c r="E7" s="534" t="s">
        <v>872</v>
      </c>
      <c r="F7" s="535"/>
      <c r="G7" s="536"/>
      <c r="H7" s="534" t="s">
        <v>872</v>
      </c>
      <c r="I7" s="535"/>
      <c r="J7" s="536"/>
      <c r="K7" s="534" t="s">
        <v>872</v>
      </c>
      <c r="L7" s="535"/>
      <c r="M7" s="536"/>
      <c r="N7" s="534" t="s">
        <v>872</v>
      </c>
    </row>
    <row r="8" spans="1:14" hidden="1" x14ac:dyDescent="0.2">
      <c r="A8" s="225"/>
      <c r="B8" s="226">
        <v>1126.4000000000001</v>
      </c>
      <c r="C8" s="220"/>
      <c r="D8" s="219"/>
      <c r="E8" s="227">
        <v>1202.51</v>
      </c>
      <c r="F8" s="228"/>
      <c r="G8" s="218"/>
      <c r="H8" s="226">
        <v>1131.51</v>
      </c>
      <c r="I8" s="220"/>
      <c r="J8" s="219"/>
      <c r="K8" s="227">
        <v>1069.8</v>
      </c>
      <c r="L8" s="220"/>
      <c r="M8" s="218"/>
      <c r="N8" s="227">
        <v>1069.6300000000001</v>
      </c>
    </row>
    <row r="9" spans="1:14" hidden="1" x14ac:dyDescent="0.2">
      <c r="A9" s="221"/>
      <c r="B9" s="222" t="s">
        <v>877</v>
      </c>
      <c r="C9" s="223"/>
      <c r="D9" s="237"/>
      <c r="E9" s="235"/>
      <c r="F9" s="234"/>
      <c r="G9" s="238"/>
      <c r="H9" s="236"/>
      <c r="I9" s="238"/>
      <c r="J9" s="234"/>
      <c r="K9" s="235"/>
      <c r="L9" s="238"/>
      <c r="M9" s="238"/>
      <c r="N9" s="235"/>
    </row>
    <row r="10" spans="1:14" hidden="1" x14ac:dyDescent="0.2">
      <c r="A10" s="533"/>
      <c r="B10" s="534" t="s">
        <v>872</v>
      </c>
      <c r="C10" s="535"/>
      <c r="D10" s="237"/>
      <c r="E10" s="235"/>
      <c r="F10" s="234"/>
      <c r="G10" s="238"/>
      <c r="H10" s="236"/>
      <c r="I10" s="238"/>
      <c r="J10" s="234"/>
      <c r="K10" s="235"/>
      <c r="L10" s="238"/>
      <c r="M10" s="238"/>
      <c r="N10" s="235"/>
    </row>
    <row r="11" spans="1:14" hidden="1" x14ac:dyDescent="0.2">
      <c r="A11" s="225"/>
      <c r="B11" s="226">
        <v>1046.3499999999999</v>
      </c>
      <c r="C11" s="220"/>
      <c r="D11" s="237"/>
      <c r="E11" s="235"/>
      <c r="F11" s="234"/>
      <c r="G11" s="238"/>
      <c r="H11" s="236"/>
      <c r="I11" s="238"/>
      <c r="J11" s="234"/>
      <c r="K11" s="235"/>
      <c r="L11" s="238"/>
      <c r="M11" s="238"/>
      <c r="N11" s="235"/>
    </row>
    <row r="12" spans="1:14" hidden="1" x14ac:dyDescent="0.2">
      <c r="A12" s="1318" t="s">
        <v>295</v>
      </c>
      <c r="B12" s="1319"/>
      <c r="C12" s="1319"/>
      <c r="D12" s="1319"/>
      <c r="E12" s="1319"/>
      <c r="F12" s="1319"/>
      <c r="G12" s="1319"/>
      <c r="H12" s="1319"/>
      <c r="I12" s="1319"/>
      <c r="J12" s="1319"/>
      <c r="K12" s="1319"/>
      <c r="L12" s="1319"/>
      <c r="M12" s="1319"/>
      <c r="N12" s="1319"/>
    </row>
    <row r="13" spans="1:14" hidden="1" x14ac:dyDescent="0.2">
      <c r="A13" s="537"/>
      <c r="B13" s="538"/>
      <c r="C13" s="539" t="s">
        <v>867</v>
      </c>
      <c r="D13" s="538"/>
      <c r="E13" s="229"/>
      <c r="F13" s="538"/>
      <c r="G13" s="538"/>
      <c r="H13" s="539" t="s">
        <v>868</v>
      </c>
      <c r="I13" s="538"/>
      <c r="J13" s="229"/>
      <c r="K13" s="538"/>
      <c r="L13" s="538"/>
      <c r="M13" s="539" t="s">
        <v>869</v>
      </c>
      <c r="N13" s="538"/>
    </row>
    <row r="14" spans="1:14" hidden="1" x14ac:dyDescent="0.2">
      <c r="A14" s="230" t="s">
        <v>873</v>
      </c>
      <c r="B14" s="231"/>
      <c r="C14" s="232" t="s">
        <v>874</v>
      </c>
      <c r="D14" s="231"/>
      <c r="E14" s="233" t="s">
        <v>273</v>
      </c>
      <c r="F14" s="230" t="s">
        <v>873</v>
      </c>
      <c r="G14" s="231"/>
      <c r="H14" s="232" t="s">
        <v>874</v>
      </c>
      <c r="I14" s="231"/>
      <c r="J14" s="233" t="s">
        <v>273</v>
      </c>
      <c r="K14" s="230" t="s">
        <v>873</v>
      </c>
      <c r="L14" s="231"/>
      <c r="M14" s="232" t="s">
        <v>874</v>
      </c>
      <c r="N14" s="231"/>
    </row>
    <row r="15" spans="1:14" hidden="1" x14ac:dyDescent="0.2">
      <c r="A15" s="540" t="s">
        <v>875</v>
      </c>
      <c r="B15" s="541" t="s">
        <v>876</v>
      </c>
      <c r="C15" s="541" t="s">
        <v>875</v>
      </c>
      <c r="D15" s="541" t="s">
        <v>876</v>
      </c>
      <c r="E15" s="542" t="s">
        <v>872</v>
      </c>
      <c r="F15" s="541" t="s">
        <v>875</v>
      </c>
      <c r="G15" s="541" t="s">
        <v>876</v>
      </c>
      <c r="H15" s="541" t="s">
        <v>875</v>
      </c>
      <c r="I15" s="541" t="s">
        <v>876</v>
      </c>
      <c r="J15" s="542" t="s">
        <v>872</v>
      </c>
      <c r="K15" s="541" t="s">
        <v>875</v>
      </c>
      <c r="L15" s="541" t="s">
        <v>876</v>
      </c>
      <c r="M15" s="541" t="s">
        <v>875</v>
      </c>
      <c r="N15" s="541" t="s">
        <v>876</v>
      </c>
    </row>
    <row r="16" spans="1:14" hidden="1" x14ac:dyDescent="0.2">
      <c r="A16" s="239">
        <v>0</v>
      </c>
      <c r="B16" s="240">
        <v>0</v>
      </c>
      <c r="C16" s="240">
        <v>0</v>
      </c>
      <c r="D16" s="240">
        <v>0</v>
      </c>
      <c r="E16" s="309">
        <f>SUM(A16:D16)</f>
        <v>0</v>
      </c>
      <c r="F16" s="239">
        <v>0</v>
      </c>
      <c r="G16" s="240">
        <v>0</v>
      </c>
      <c r="H16" s="240">
        <v>0</v>
      </c>
      <c r="I16" s="240">
        <v>0</v>
      </c>
      <c r="J16" s="309">
        <f>SUM(F16:I16)</f>
        <v>0</v>
      </c>
      <c r="K16" s="239">
        <v>0</v>
      </c>
      <c r="L16" s="240">
        <v>0</v>
      </c>
      <c r="M16" s="240">
        <v>0</v>
      </c>
      <c r="N16" s="240">
        <v>0</v>
      </c>
    </row>
    <row r="17" spans="1:32" hidden="1" x14ac:dyDescent="0.2">
      <c r="A17" s="537"/>
      <c r="B17" s="538"/>
      <c r="C17" s="539" t="s">
        <v>870</v>
      </c>
      <c r="D17" s="538"/>
      <c r="E17" s="229"/>
      <c r="F17" s="538"/>
      <c r="G17" s="538"/>
      <c r="H17" s="539" t="s">
        <v>871</v>
      </c>
      <c r="I17" s="538"/>
      <c r="J17" s="229"/>
      <c r="K17" s="538"/>
      <c r="L17" s="538"/>
      <c r="M17" s="539" t="s">
        <v>877</v>
      </c>
      <c r="N17" s="538"/>
    </row>
    <row r="18" spans="1:32" hidden="1" x14ac:dyDescent="0.2">
      <c r="A18" s="230" t="s">
        <v>873</v>
      </c>
      <c r="B18" s="231"/>
      <c r="C18" s="232" t="s">
        <v>874</v>
      </c>
      <c r="D18" s="231"/>
      <c r="E18" s="233" t="s">
        <v>273</v>
      </c>
      <c r="F18" s="230" t="s">
        <v>873</v>
      </c>
      <c r="G18" s="231"/>
      <c r="H18" s="232" t="s">
        <v>874</v>
      </c>
      <c r="I18" s="231"/>
      <c r="J18" s="233" t="s">
        <v>273</v>
      </c>
      <c r="K18" s="230" t="s">
        <v>873</v>
      </c>
      <c r="L18" s="231"/>
      <c r="M18" s="232" t="s">
        <v>874</v>
      </c>
      <c r="N18" s="231"/>
    </row>
    <row r="19" spans="1:32" hidden="1" x14ac:dyDescent="0.2">
      <c r="A19" s="540" t="s">
        <v>875</v>
      </c>
      <c r="B19" s="541" t="s">
        <v>876</v>
      </c>
      <c r="C19" s="541" t="s">
        <v>875</v>
      </c>
      <c r="D19" s="541" t="s">
        <v>876</v>
      </c>
      <c r="E19" s="542" t="s">
        <v>872</v>
      </c>
      <c r="F19" s="541" t="s">
        <v>875</v>
      </c>
      <c r="G19" s="541" t="s">
        <v>876</v>
      </c>
      <c r="H19" s="541" t="s">
        <v>875</v>
      </c>
      <c r="I19" s="541" t="s">
        <v>876</v>
      </c>
      <c r="J19" s="542" t="s">
        <v>872</v>
      </c>
      <c r="K19" s="541" t="s">
        <v>875</v>
      </c>
      <c r="L19" s="541" t="s">
        <v>876</v>
      </c>
      <c r="M19" s="541" t="s">
        <v>875</v>
      </c>
      <c r="N19" s="541" t="s">
        <v>876</v>
      </c>
    </row>
    <row r="20" spans="1:32" s="217" customFormat="1" ht="12.75" hidden="1" x14ac:dyDescent="0.2">
      <c r="A20" s="239">
        <v>0</v>
      </c>
      <c r="B20" s="240">
        <v>0</v>
      </c>
      <c r="C20" s="240">
        <v>0</v>
      </c>
      <c r="D20" s="240">
        <v>0</v>
      </c>
      <c r="E20" s="309">
        <f>SUM(A20:D20)</f>
        <v>0</v>
      </c>
      <c r="F20" s="239">
        <v>0</v>
      </c>
      <c r="G20" s="240">
        <v>0</v>
      </c>
      <c r="H20" s="240">
        <v>0</v>
      </c>
      <c r="I20" s="240">
        <v>0</v>
      </c>
      <c r="J20" s="309">
        <f>SUM(F20:I20)</f>
        <v>0</v>
      </c>
      <c r="K20" s="239">
        <v>0</v>
      </c>
      <c r="L20" s="240">
        <v>0</v>
      </c>
      <c r="M20" s="240">
        <v>0</v>
      </c>
      <c r="N20" s="240">
        <v>0</v>
      </c>
      <c r="O20" s="216"/>
      <c r="P20" s="216"/>
      <c r="Q20" s="216"/>
      <c r="R20" s="216"/>
      <c r="S20" s="216"/>
      <c r="T20" s="216"/>
      <c r="U20" s="216"/>
      <c r="V20" s="216"/>
      <c r="W20" s="216"/>
      <c r="X20" s="216"/>
      <c r="Y20" s="216"/>
      <c r="Z20" s="216"/>
      <c r="AA20" s="216"/>
      <c r="AB20" s="216"/>
      <c r="AC20" s="216"/>
      <c r="AD20" s="216"/>
      <c r="AE20" s="216"/>
      <c r="AF20" s="216"/>
    </row>
    <row r="21" spans="1:32" s="312" customFormat="1" ht="38.25" customHeight="1" x14ac:dyDescent="0.2">
      <c r="A21" s="1313" t="s">
        <v>368</v>
      </c>
      <c r="B21" s="1314"/>
      <c r="C21" s="1015" t="s">
        <v>298</v>
      </c>
      <c r="D21" s="1016" t="s">
        <v>299</v>
      </c>
      <c r="E21" s="1017" t="s">
        <v>300</v>
      </c>
      <c r="F21" s="1016" t="s">
        <v>301</v>
      </c>
      <c r="G21" s="1017" t="s">
        <v>302</v>
      </c>
      <c r="H21" s="1016" t="s">
        <v>303</v>
      </c>
      <c r="I21" s="1017" t="s">
        <v>304</v>
      </c>
      <c r="J21" s="1016" t="s">
        <v>305</v>
      </c>
      <c r="K21" s="1017" t="s">
        <v>311</v>
      </c>
      <c r="L21" s="1018" t="s">
        <v>589</v>
      </c>
      <c r="M21" s="1019" t="s">
        <v>590</v>
      </c>
      <c r="N21" s="543"/>
      <c r="O21" s="216"/>
      <c r="P21" s="216"/>
      <c r="Q21" s="216"/>
      <c r="R21" s="216"/>
      <c r="S21" s="216"/>
      <c r="T21" s="216"/>
      <c r="U21" s="216"/>
      <c r="V21" s="216"/>
      <c r="W21" s="216"/>
      <c r="X21" s="216"/>
      <c r="Y21" s="216"/>
      <c r="Z21" s="216"/>
      <c r="AA21" s="216"/>
      <c r="AB21" s="216"/>
      <c r="AC21" s="216"/>
      <c r="AD21" s="216"/>
      <c r="AE21" s="216"/>
    </row>
    <row r="22" spans="1:32" s="312" customFormat="1" ht="12" customHeight="1" x14ac:dyDescent="0.2">
      <c r="A22" s="1307" t="s">
        <v>352</v>
      </c>
      <c r="B22" s="1308"/>
      <c r="C22" s="544">
        <v>172</v>
      </c>
      <c r="D22" s="545">
        <v>8</v>
      </c>
      <c r="E22" s="546">
        <v>21</v>
      </c>
      <c r="F22" s="545">
        <v>0</v>
      </c>
      <c r="G22" s="546">
        <v>891</v>
      </c>
      <c r="H22" s="545">
        <v>42</v>
      </c>
      <c r="I22" s="546">
        <v>282</v>
      </c>
      <c r="J22" s="545">
        <v>0</v>
      </c>
      <c r="K22" s="546">
        <v>25.9</v>
      </c>
      <c r="L22" s="547"/>
      <c r="M22" s="548"/>
      <c r="N22" s="543"/>
      <c r="O22" s="216"/>
      <c r="P22" s="216"/>
      <c r="Q22" s="216"/>
      <c r="R22" s="216"/>
      <c r="S22" s="216"/>
      <c r="T22" s="216"/>
      <c r="U22" s="216"/>
      <c r="V22" s="216"/>
      <c r="W22" s="216"/>
      <c r="X22" s="216"/>
      <c r="Y22" s="216"/>
      <c r="Z22" s="216"/>
      <c r="AA22" s="216"/>
      <c r="AB22" s="216"/>
      <c r="AC22" s="216"/>
      <c r="AD22" s="216"/>
      <c r="AE22" s="216"/>
    </row>
    <row r="23" spans="1:32" s="312" customFormat="1" ht="12.75" x14ac:dyDescent="0.2">
      <c r="A23" s="1307" t="s">
        <v>369</v>
      </c>
      <c r="B23" s="1308"/>
      <c r="C23" s="544">
        <v>629</v>
      </c>
      <c r="D23" s="545">
        <v>67</v>
      </c>
      <c r="E23" s="546">
        <v>957</v>
      </c>
      <c r="F23" s="545">
        <v>35</v>
      </c>
      <c r="G23" s="546">
        <v>3961</v>
      </c>
      <c r="H23" s="545">
        <v>360</v>
      </c>
      <c r="I23" s="546">
        <v>11965</v>
      </c>
      <c r="J23" s="545">
        <v>439</v>
      </c>
      <c r="K23" s="546">
        <v>18.329999999999998</v>
      </c>
      <c r="L23" s="547"/>
      <c r="M23" s="548"/>
      <c r="N23" s="543"/>
      <c r="O23" s="216"/>
      <c r="P23" s="216"/>
      <c r="Q23" s="216"/>
      <c r="R23" s="216"/>
      <c r="S23" s="216"/>
      <c r="T23" s="216"/>
      <c r="U23" s="216"/>
      <c r="V23" s="216"/>
      <c r="W23" s="216"/>
      <c r="X23" s="216"/>
      <c r="Y23" s="216"/>
      <c r="Z23" s="216"/>
      <c r="AA23" s="216"/>
      <c r="AB23" s="216"/>
      <c r="AC23" s="216"/>
      <c r="AD23" s="216"/>
      <c r="AE23" s="216"/>
    </row>
    <row r="24" spans="1:32" s="312" customFormat="1" ht="12" customHeight="1" x14ac:dyDescent="0.2">
      <c r="A24" s="1307" t="s">
        <v>370</v>
      </c>
      <c r="B24" s="1308"/>
      <c r="C24" s="544" t="s">
        <v>801</v>
      </c>
      <c r="D24" s="545" t="s">
        <v>801</v>
      </c>
      <c r="E24" s="546" t="s">
        <v>801</v>
      </c>
      <c r="F24" s="545" t="s">
        <v>801</v>
      </c>
      <c r="G24" s="546" t="s">
        <v>801</v>
      </c>
      <c r="H24" s="545" t="s">
        <v>801</v>
      </c>
      <c r="I24" s="546" t="s">
        <v>801</v>
      </c>
      <c r="J24" s="545" t="s">
        <v>801</v>
      </c>
      <c r="K24" s="1192" t="s">
        <v>801</v>
      </c>
      <c r="L24" s="547"/>
      <c r="M24" s="548"/>
      <c r="N24" s="543"/>
      <c r="O24" s="216"/>
      <c r="P24" s="216"/>
      <c r="Q24" s="216"/>
      <c r="R24" s="216"/>
      <c r="S24" s="216"/>
      <c r="T24" s="216"/>
      <c r="U24" s="216"/>
      <c r="V24" s="216"/>
      <c r="W24" s="216"/>
      <c r="X24" s="216"/>
      <c r="Y24" s="216"/>
      <c r="Z24" s="216"/>
      <c r="AA24" s="216"/>
      <c r="AB24" s="216"/>
      <c r="AC24" s="216"/>
      <c r="AD24" s="216"/>
      <c r="AE24" s="216"/>
    </row>
    <row r="25" spans="1:32" s="312" customFormat="1" ht="12" customHeight="1" x14ac:dyDescent="0.2">
      <c r="A25" s="1307" t="s">
        <v>371</v>
      </c>
      <c r="B25" s="1308"/>
      <c r="C25" s="544">
        <v>685</v>
      </c>
      <c r="D25" s="545">
        <v>81</v>
      </c>
      <c r="E25" s="546">
        <v>1016</v>
      </c>
      <c r="F25" s="545">
        <v>33</v>
      </c>
      <c r="G25" s="546">
        <v>4202</v>
      </c>
      <c r="H25" s="545">
        <v>382</v>
      </c>
      <c r="I25" s="546">
        <v>12805</v>
      </c>
      <c r="J25" s="545">
        <v>429</v>
      </c>
      <c r="K25" s="546">
        <v>23.13</v>
      </c>
      <c r="L25" s="547"/>
      <c r="M25" s="548"/>
      <c r="N25" s="543"/>
      <c r="O25" s="216"/>
      <c r="P25" s="216"/>
      <c r="Q25" s="216"/>
      <c r="R25" s="216"/>
      <c r="S25" s="216"/>
      <c r="T25" s="216"/>
      <c r="U25" s="216"/>
      <c r="V25" s="216"/>
      <c r="W25" s="216"/>
      <c r="X25" s="216"/>
      <c r="Y25" s="216"/>
      <c r="Z25" s="216"/>
      <c r="AA25" s="216"/>
      <c r="AB25" s="216"/>
      <c r="AC25" s="216"/>
      <c r="AD25" s="216"/>
      <c r="AE25" s="216"/>
    </row>
    <row r="26" spans="1:32" s="312" customFormat="1" ht="12.75" x14ac:dyDescent="0.2">
      <c r="A26" s="1305" t="s">
        <v>291</v>
      </c>
      <c r="B26" s="1306"/>
      <c r="C26" s="549">
        <f>SUM(C22:C25)</f>
        <v>1486</v>
      </c>
      <c r="D26" s="550">
        <f t="shared" ref="D26:K26" si="0">SUM(D22:D25)</f>
        <v>156</v>
      </c>
      <c r="E26" s="551">
        <f t="shared" si="0"/>
        <v>1994</v>
      </c>
      <c r="F26" s="550">
        <f t="shared" si="0"/>
        <v>68</v>
      </c>
      <c r="G26" s="551">
        <f t="shared" si="0"/>
        <v>9054</v>
      </c>
      <c r="H26" s="550">
        <f t="shared" si="0"/>
        <v>784</v>
      </c>
      <c r="I26" s="551">
        <f t="shared" si="0"/>
        <v>25052</v>
      </c>
      <c r="J26" s="550">
        <f t="shared" si="0"/>
        <v>868</v>
      </c>
      <c r="K26" s="551">
        <f t="shared" si="0"/>
        <v>67.36</v>
      </c>
      <c r="L26" s="729">
        <f>(SUM(G26,I26,)/24)+(K26*0.1)</f>
        <v>1427.8193333333334</v>
      </c>
      <c r="M26" s="730">
        <f>SUM(G26:J26)/24</f>
        <v>1489.9166666666667</v>
      </c>
      <c r="N26" s="543"/>
      <c r="O26" s="216"/>
      <c r="P26" s="216"/>
      <c r="Q26" s="216"/>
      <c r="R26" s="216"/>
      <c r="S26" s="216"/>
      <c r="T26" s="216"/>
      <c r="U26" s="216"/>
      <c r="V26" s="216"/>
      <c r="W26" s="216"/>
      <c r="X26" s="216"/>
      <c r="Y26" s="216"/>
      <c r="Z26" s="216"/>
      <c r="AA26" s="216"/>
      <c r="AB26" s="216"/>
      <c r="AC26" s="216"/>
      <c r="AD26" s="216"/>
      <c r="AE26" s="216"/>
    </row>
    <row r="27" spans="1:32" s="627" customFormat="1" ht="30" customHeight="1" x14ac:dyDescent="0.25">
      <c r="A27" s="1329" t="s">
        <v>545</v>
      </c>
      <c r="B27" s="1330"/>
      <c r="C27" s="1330"/>
      <c r="D27" s="1330"/>
      <c r="E27" s="1330"/>
      <c r="F27" s="1330"/>
      <c r="G27" s="1330"/>
      <c r="H27" s="1330"/>
      <c r="I27" s="1330"/>
      <c r="J27" s="1330"/>
      <c r="K27" s="1330"/>
      <c r="L27" s="1330"/>
      <c r="M27" s="1330"/>
      <c r="N27" s="1331"/>
    </row>
    <row r="28" spans="1:32" s="627" customFormat="1" ht="30" customHeight="1" x14ac:dyDescent="0.25">
      <c r="A28" s="1332" t="s">
        <v>401</v>
      </c>
      <c r="B28" s="1333"/>
      <c r="C28" s="1333"/>
      <c r="D28" s="1333"/>
      <c r="E28" s="1333"/>
      <c r="F28" s="1333"/>
      <c r="G28" s="1333"/>
      <c r="H28" s="1333"/>
      <c r="I28" s="1333"/>
      <c r="J28" s="1333"/>
      <c r="K28" s="1333"/>
      <c r="L28" s="1330"/>
      <c r="M28" s="1330"/>
      <c r="N28" s="1331"/>
    </row>
    <row r="29" spans="1:32" s="312" customFormat="1" ht="36.75" customHeight="1" x14ac:dyDescent="0.2">
      <c r="A29" s="1334"/>
      <c r="B29" s="1335"/>
      <c r="C29" s="1020" t="s">
        <v>298</v>
      </c>
      <c r="D29" s="1021" t="s">
        <v>299</v>
      </c>
      <c r="E29" s="1022" t="s">
        <v>300</v>
      </c>
      <c r="F29" s="1021" t="s">
        <v>301</v>
      </c>
      <c r="G29" s="1022" t="s">
        <v>302</v>
      </c>
      <c r="H29" s="1021" t="s">
        <v>303</v>
      </c>
      <c r="I29" s="1022" t="s">
        <v>304</v>
      </c>
      <c r="J29" s="1021" t="s">
        <v>305</v>
      </c>
      <c r="K29" s="1023" t="s">
        <v>311</v>
      </c>
      <c r="L29" s="1338"/>
      <c r="M29" s="1339"/>
      <c r="N29" s="1340"/>
    </row>
    <row r="30" spans="1:32" s="312" customFormat="1" ht="14.25" customHeight="1" x14ac:dyDescent="0.2">
      <c r="A30" s="1336" t="s">
        <v>544</v>
      </c>
      <c r="B30" s="1337"/>
      <c r="C30" s="802">
        <v>637</v>
      </c>
      <c r="D30" s="801">
        <v>60</v>
      </c>
      <c r="E30" s="803">
        <v>863</v>
      </c>
      <c r="F30" s="801">
        <v>29</v>
      </c>
      <c r="G30" s="803">
        <v>4050</v>
      </c>
      <c r="H30" s="801">
        <v>315</v>
      </c>
      <c r="I30" s="804">
        <v>10693</v>
      </c>
      <c r="J30" s="805">
        <v>378</v>
      </c>
      <c r="K30" s="806">
        <v>67.36</v>
      </c>
      <c r="L30" s="1338"/>
      <c r="M30" s="1339"/>
      <c r="N30" s="1340"/>
    </row>
    <row r="31" spans="1:32" s="312" customFormat="1" ht="14.25" customHeight="1" x14ac:dyDescent="0.2">
      <c r="A31" s="619"/>
      <c r="B31" s="620"/>
      <c r="C31" s="621"/>
      <c r="D31" s="621"/>
      <c r="E31" s="621"/>
      <c r="F31" s="621"/>
      <c r="G31" s="621"/>
      <c r="H31" s="621"/>
      <c r="I31" s="1323" t="s">
        <v>372</v>
      </c>
      <c r="J31" s="1324"/>
      <c r="K31" s="1324"/>
      <c r="L31" s="1324"/>
      <c r="M31" s="1324"/>
      <c r="N31" s="1325"/>
    </row>
    <row r="32" spans="1:32" s="312" customFormat="1" ht="15" customHeight="1" x14ac:dyDescent="0.2">
      <c r="A32" s="1341" t="s">
        <v>312</v>
      </c>
      <c r="B32" s="1342"/>
      <c r="C32" s="1342"/>
      <c r="D32" s="1342"/>
      <c r="E32" s="1342"/>
      <c r="F32" s="1342"/>
      <c r="G32" s="1342"/>
      <c r="H32" s="1342"/>
      <c r="I32" s="1326"/>
      <c r="J32" s="1327"/>
      <c r="K32" s="1327"/>
      <c r="L32" s="1327"/>
      <c r="M32" s="1327"/>
      <c r="N32" s="1328"/>
    </row>
    <row r="33" spans="1:15" ht="44.25" customHeight="1" x14ac:dyDescent="0.2">
      <c r="A33" s="1343" t="s">
        <v>591</v>
      </c>
      <c r="B33" s="1344"/>
      <c r="C33" s="1344"/>
      <c r="D33" s="1344"/>
      <c r="E33" s="1344"/>
      <c r="F33" s="1344"/>
      <c r="G33" s="1344"/>
      <c r="H33" s="1344"/>
      <c r="I33" s="1320" t="s">
        <v>373</v>
      </c>
      <c r="J33" s="1321"/>
      <c r="K33" s="1321"/>
      <c r="L33" s="1321"/>
      <c r="M33" s="1321"/>
      <c r="N33" s="1322"/>
      <c r="O33" s="312"/>
    </row>
    <row r="34" spans="1:15" s="312" customFormat="1" ht="15.75" customHeight="1" x14ac:dyDescent="0.2">
      <c r="A34" s="1300" t="s">
        <v>535</v>
      </c>
      <c r="B34" s="1301"/>
      <c r="C34" s="1301"/>
      <c r="D34" s="1301"/>
      <c r="E34" s="1301"/>
      <c r="F34" s="1301"/>
      <c r="G34" s="1301"/>
      <c r="H34" s="1302"/>
      <c r="I34" s="1285" t="s">
        <v>910</v>
      </c>
      <c r="J34" s="1286"/>
      <c r="K34" s="1286"/>
      <c r="L34" s="1286"/>
      <c r="M34" s="1286"/>
      <c r="N34" s="1287"/>
    </row>
    <row r="35" spans="1:15" s="312" customFormat="1" ht="15" customHeight="1" x14ac:dyDescent="0.2">
      <c r="A35" s="1309" t="s">
        <v>878</v>
      </c>
      <c r="B35" s="1310"/>
      <c r="C35" s="1310"/>
      <c r="D35" s="1310"/>
      <c r="E35" s="1310"/>
      <c r="F35" s="552" t="s">
        <v>879</v>
      </c>
      <c r="G35" s="1303" t="s">
        <v>880</v>
      </c>
      <c r="H35" s="1304"/>
      <c r="I35" s="1285" t="s">
        <v>911</v>
      </c>
      <c r="J35" s="1286"/>
      <c r="K35" s="1286"/>
      <c r="L35" s="1286"/>
      <c r="M35" s="1286"/>
      <c r="N35" s="1287"/>
    </row>
    <row r="36" spans="1:15" s="312" customFormat="1" ht="15" customHeight="1" x14ac:dyDescent="0.2">
      <c r="A36" s="1311" t="s">
        <v>808</v>
      </c>
      <c r="B36" s="1312"/>
      <c r="C36" s="1312"/>
      <c r="D36" s="1312"/>
      <c r="E36" s="1312"/>
      <c r="F36" s="553">
        <v>1036</v>
      </c>
      <c r="G36" s="1298">
        <f>SUM(F36/SUM('4.2 Major Group Totals'!D$10:'4.2 Major Group Totals'!E$10))</f>
        <v>0.64669163545568042</v>
      </c>
      <c r="H36" s="1299"/>
      <c r="I36" s="1285" t="s">
        <v>912</v>
      </c>
      <c r="J36" s="1286"/>
      <c r="K36" s="1286"/>
      <c r="L36" s="1286"/>
      <c r="M36" s="1286"/>
      <c r="N36" s="1287"/>
    </row>
    <row r="37" spans="1:15" s="312" customFormat="1" ht="15" customHeight="1" x14ac:dyDescent="0.2">
      <c r="A37" s="1292" t="s">
        <v>809</v>
      </c>
      <c r="B37" s="1293"/>
      <c r="C37" s="1293"/>
      <c r="D37" s="1293"/>
      <c r="E37" s="1294"/>
      <c r="F37" s="553">
        <v>273</v>
      </c>
      <c r="G37" s="1298">
        <f>SUM(F37/SUM('4.2 Major Group Totals'!D$10:'4.2 Major Group Totals'!E$10))</f>
        <v>0.17041198501872659</v>
      </c>
      <c r="H37" s="1299"/>
      <c r="I37" s="1285" t="s">
        <v>913</v>
      </c>
      <c r="J37" s="1286"/>
      <c r="K37" s="1286"/>
      <c r="L37" s="1286"/>
      <c r="M37" s="1286"/>
      <c r="N37" s="1287"/>
    </row>
    <row r="38" spans="1:15" s="312" customFormat="1" ht="15" customHeight="1" x14ac:dyDescent="0.2">
      <c r="A38" s="1292" t="s">
        <v>810</v>
      </c>
      <c r="B38" s="1293"/>
      <c r="C38" s="1293"/>
      <c r="D38" s="1293"/>
      <c r="E38" s="1294"/>
      <c r="F38" s="553">
        <v>69</v>
      </c>
      <c r="G38" s="1298">
        <f>SUM(F38/SUM('4.2 Major Group Totals'!D$10:'4.2 Major Group Totals'!E$10))</f>
        <v>4.307116104868914E-2</v>
      </c>
      <c r="H38" s="1299"/>
      <c r="I38" s="1285" t="s">
        <v>914</v>
      </c>
      <c r="J38" s="1286"/>
      <c r="K38" s="1286"/>
      <c r="L38" s="1286"/>
      <c r="M38" s="1286"/>
      <c r="N38" s="1287"/>
    </row>
    <row r="39" spans="1:15" s="312" customFormat="1" ht="15" customHeight="1" x14ac:dyDescent="0.2">
      <c r="A39" s="1292" t="s">
        <v>811</v>
      </c>
      <c r="B39" s="1293"/>
      <c r="C39" s="1293"/>
      <c r="D39" s="1293"/>
      <c r="E39" s="1294"/>
      <c r="F39" s="553">
        <v>36</v>
      </c>
      <c r="G39" s="1298">
        <f>SUM(F39/SUM('4.2 Major Group Totals'!D$10:'4.2 Major Group Totals'!E$10))</f>
        <v>2.247191011235955E-2</v>
      </c>
      <c r="H39" s="1299"/>
      <c r="I39" s="1285" t="s">
        <v>915</v>
      </c>
      <c r="J39" s="1286"/>
      <c r="K39" s="1286"/>
      <c r="L39" s="1286"/>
      <c r="M39" s="1286"/>
      <c r="N39" s="1287"/>
    </row>
    <row r="40" spans="1:15" ht="15" customHeight="1" x14ac:dyDescent="0.2">
      <c r="A40" s="1292" t="s">
        <v>812</v>
      </c>
      <c r="B40" s="1293"/>
      <c r="C40" s="1293"/>
      <c r="D40" s="1293"/>
      <c r="E40" s="1294"/>
      <c r="F40" s="553">
        <v>13</v>
      </c>
      <c r="G40" s="1298">
        <f>SUM(F40/SUM('4.2 Major Group Totals'!D$10:'4.2 Major Group Totals'!E$10))</f>
        <v>8.1148564294631718E-3</v>
      </c>
      <c r="H40" s="1299"/>
      <c r="I40" s="1285"/>
      <c r="J40" s="1286"/>
      <c r="K40" s="1286"/>
      <c r="L40" s="1286"/>
      <c r="M40" s="1286"/>
      <c r="N40" s="1287"/>
    </row>
    <row r="41" spans="1:15" x14ac:dyDescent="0.2">
      <c r="A41" s="554"/>
      <c r="B41" s="555"/>
      <c r="C41" s="555"/>
      <c r="D41" s="555"/>
      <c r="E41" s="555"/>
      <c r="F41" s="556"/>
      <c r="G41" s="557"/>
      <c r="H41" s="557"/>
      <c r="I41" s="1285"/>
      <c r="J41" s="1286"/>
      <c r="K41" s="1286"/>
      <c r="L41" s="1286"/>
      <c r="M41" s="1286"/>
      <c r="N41" s="1287"/>
    </row>
    <row r="42" spans="1:15" ht="18.75" customHeight="1" x14ac:dyDescent="0.2">
      <c r="A42" s="1295"/>
      <c r="B42" s="1295"/>
      <c r="C42" s="1295"/>
      <c r="D42" s="1295"/>
      <c r="E42" s="1295"/>
      <c r="F42" s="1295"/>
      <c r="G42" s="1295"/>
      <c r="H42" s="1295"/>
      <c r="I42" s="1285"/>
      <c r="J42" s="1286"/>
      <c r="K42" s="1286"/>
      <c r="L42" s="1286"/>
      <c r="M42" s="1286"/>
      <c r="N42" s="1287"/>
    </row>
    <row r="43" spans="1:15" ht="27.75" customHeight="1" x14ac:dyDescent="0.2">
      <c r="A43" s="1296"/>
      <c r="B43" s="1296"/>
      <c r="C43" s="1296"/>
      <c r="D43" s="1296"/>
      <c r="E43" s="1296"/>
      <c r="F43" s="1296"/>
      <c r="G43" s="1296"/>
      <c r="H43" s="1296"/>
      <c r="I43" s="1285"/>
      <c r="J43" s="1286"/>
      <c r="K43" s="1286"/>
      <c r="L43" s="1286"/>
      <c r="M43" s="1286"/>
      <c r="N43" s="1287"/>
    </row>
    <row r="44" spans="1:15" x14ac:dyDescent="0.2">
      <c r="A44" s="1297"/>
      <c r="B44" s="1297"/>
      <c r="C44" s="1297"/>
      <c r="D44" s="1297"/>
      <c r="E44" s="1297"/>
      <c r="F44" s="1297"/>
      <c r="G44" s="1297"/>
      <c r="H44" s="1297"/>
      <c r="I44" s="1285"/>
      <c r="J44" s="1286"/>
      <c r="K44" s="1286"/>
      <c r="L44" s="1286"/>
      <c r="M44" s="1286"/>
      <c r="N44" s="1287"/>
    </row>
    <row r="45" spans="1:15" x14ac:dyDescent="0.2">
      <c r="A45" s="1291"/>
      <c r="B45" s="1291"/>
      <c r="C45" s="1291"/>
      <c r="D45" s="1291"/>
      <c r="E45" s="1291"/>
      <c r="F45" s="1291"/>
      <c r="G45" s="1291"/>
      <c r="H45" s="1291"/>
      <c r="I45" s="1285"/>
      <c r="J45" s="1286"/>
      <c r="K45" s="1286"/>
      <c r="L45" s="1286"/>
      <c r="M45" s="1286"/>
      <c r="N45" s="1287"/>
    </row>
    <row r="46" spans="1:15" x14ac:dyDescent="0.2">
      <c r="A46" s="1291"/>
      <c r="B46" s="1291"/>
      <c r="C46" s="1291"/>
      <c r="D46" s="1291"/>
      <c r="E46" s="1291"/>
      <c r="F46" s="1291"/>
      <c r="G46" s="1291"/>
      <c r="H46" s="1291"/>
      <c r="I46" s="1285"/>
      <c r="J46" s="1286"/>
      <c r="K46" s="1286"/>
      <c r="L46" s="1286"/>
      <c r="M46" s="1286"/>
      <c r="N46" s="1287"/>
    </row>
    <row r="47" spans="1:15" x14ac:dyDescent="0.2">
      <c r="A47" s="1291"/>
      <c r="B47" s="1291"/>
      <c r="C47" s="1291"/>
      <c r="D47" s="1291"/>
      <c r="E47" s="1291"/>
      <c r="F47" s="1291"/>
      <c r="G47" s="1291"/>
      <c r="H47" s="1291"/>
      <c r="I47" s="1285"/>
      <c r="J47" s="1286"/>
      <c r="K47" s="1286"/>
      <c r="L47" s="1286"/>
      <c r="M47" s="1286"/>
      <c r="N47" s="1287"/>
    </row>
    <row r="48" spans="1:15" x14ac:dyDescent="0.2">
      <c r="A48" s="1291"/>
      <c r="B48" s="1291"/>
      <c r="C48" s="1291"/>
      <c r="D48" s="1291"/>
      <c r="E48" s="1291"/>
      <c r="F48" s="1291"/>
      <c r="G48" s="1291"/>
      <c r="H48" s="1291"/>
      <c r="I48" s="1285"/>
      <c r="J48" s="1286"/>
      <c r="K48" s="1286"/>
      <c r="L48" s="1286"/>
      <c r="M48" s="1286"/>
      <c r="N48" s="1287"/>
    </row>
    <row r="49" spans="1:14" x14ac:dyDescent="0.2">
      <c r="A49" s="1291"/>
      <c r="B49" s="1291"/>
      <c r="C49" s="1291"/>
      <c r="D49" s="1291"/>
      <c r="E49" s="1291"/>
      <c r="F49" s="1291"/>
      <c r="G49" s="1291"/>
      <c r="H49" s="1291"/>
      <c r="I49" s="1285"/>
      <c r="J49" s="1286"/>
      <c r="K49" s="1286"/>
      <c r="L49" s="1286"/>
      <c r="M49" s="1286"/>
      <c r="N49" s="1287"/>
    </row>
    <row r="50" spans="1:14" x14ac:dyDescent="0.2">
      <c r="A50" s="1291"/>
      <c r="B50" s="1291"/>
      <c r="C50" s="1291"/>
      <c r="D50" s="1291"/>
      <c r="E50" s="1291"/>
      <c r="F50" s="1291"/>
      <c r="G50" s="1291"/>
      <c r="H50" s="1291"/>
      <c r="I50" s="1285"/>
      <c r="J50" s="1286"/>
      <c r="K50" s="1286"/>
      <c r="L50" s="1286"/>
      <c r="M50" s="1286"/>
      <c r="N50" s="1287"/>
    </row>
    <row r="51" spans="1:14" x14ac:dyDescent="0.2">
      <c r="A51" s="1291"/>
      <c r="B51" s="1291"/>
      <c r="C51" s="1291"/>
      <c r="D51" s="1291"/>
      <c r="E51" s="1291"/>
      <c r="F51" s="1291"/>
      <c r="G51" s="1291"/>
      <c r="H51" s="1291"/>
      <c r="I51" s="1285"/>
      <c r="J51" s="1286"/>
      <c r="K51" s="1286"/>
      <c r="L51" s="1286"/>
      <c r="M51" s="1286"/>
      <c r="N51" s="1287"/>
    </row>
    <row r="52" spans="1:14" x14ac:dyDescent="0.2">
      <c r="A52" s="1291"/>
      <c r="B52" s="1291"/>
      <c r="C52" s="1291"/>
      <c r="D52" s="1291"/>
      <c r="E52" s="1291"/>
      <c r="F52" s="1291"/>
      <c r="G52" s="1291"/>
      <c r="H52" s="1291"/>
      <c r="I52" s="1285"/>
      <c r="J52" s="1286"/>
      <c r="K52" s="1286"/>
      <c r="L52" s="1286"/>
      <c r="M52" s="1286"/>
      <c r="N52" s="1287"/>
    </row>
    <row r="53" spans="1:14" x14ac:dyDescent="0.2">
      <c r="A53" s="1291"/>
      <c r="B53" s="1291"/>
      <c r="C53" s="1291"/>
      <c r="D53" s="1291"/>
      <c r="E53" s="1291"/>
      <c r="F53" s="1291"/>
      <c r="G53" s="1291"/>
      <c r="H53" s="1291"/>
      <c r="I53" s="1285"/>
      <c r="J53" s="1286"/>
      <c r="K53" s="1286"/>
      <c r="L53" s="1286"/>
      <c r="M53" s="1286"/>
      <c r="N53" s="1287"/>
    </row>
    <row r="54" spans="1:14" x14ac:dyDescent="0.2">
      <c r="A54" s="1291"/>
      <c r="B54" s="1291"/>
      <c r="C54" s="1291"/>
      <c r="D54" s="1291"/>
      <c r="E54" s="1291"/>
      <c r="F54" s="1291"/>
      <c r="G54" s="1291"/>
      <c r="H54" s="1291"/>
      <c r="I54" s="1285"/>
      <c r="J54" s="1286"/>
      <c r="K54" s="1286"/>
      <c r="L54" s="1286"/>
      <c r="M54" s="1286"/>
      <c r="N54" s="1287"/>
    </row>
    <row r="55" spans="1:14" x14ac:dyDescent="0.2">
      <c r="A55" s="1291"/>
      <c r="B55" s="1291"/>
      <c r="C55" s="1291"/>
      <c r="D55" s="1291"/>
      <c r="E55" s="1291"/>
      <c r="F55" s="1291"/>
      <c r="G55" s="1291"/>
      <c r="H55" s="1291"/>
      <c r="I55" s="1285"/>
      <c r="J55" s="1286"/>
      <c r="K55" s="1286"/>
      <c r="L55" s="1286"/>
      <c r="M55" s="1286"/>
      <c r="N55" s="1287"/>
    </row>
    <row r="56" spans="1:14" x14ac:dyDescent="0.2">
      <c r="A56" s="1291"/>
      <c r="B56" s="1291"/>
      <c r="C56" s="1291"/>
      <c r="D56" s="1291"/>
      <c r="E56" s="1291"/>
      <c r="F56" s="1291"/>
      <c r="G56" s="1291"/>
      <c r="H56" s="1291"/>
      <c r="I56" s="1285"/>
      <c r="J56" s="1286"/>
      <c r="K56" s="1286"/>
      <c r="L56" s="1286"/>
      <c r="M56" s="1286"/>
      <c r="N56" s="1287"/>
    </row>
    <row r="57" spans="1:14" x14ac:dyDescent="0.2">
      <c r="A57" s="1291"/>
      <c r="B57" s="1291"/>
      <c r="C57" s="1291"/>
      <c r="D57" s="1291"/>
      <c r="E57" s="1291"/>
      <c r="F57" s="1291"/>
      <c r="G57" s="1291"/>
      <c r="H57" s="1291"/>
      <c r="I57" s="1285"/>
      <c r="J57" s="1286"/>
      <c r="K57" s="1286"/>
      <c r="L57" s="1286"/>
      <c r="M57" s="1286"/>
      <c r="N57" s="1287"/>
    </row>
    <row r="58" spans="1:14" x14ac:dyDescent="0.2">
      <c r="A58" s="1291"/>
      <c r="B58" s="1291"/>
      <c r="C58" s="1291"/>
      <c r="D58" s="1291"/>
      <c r="E58" s="1291"/>
      <c r="F58" s="1291"/>
      <c r="G58" s="1291"/>
      <c r="H58" s="1291"/>
      <c r="I58" s="1285"/>
      <c r="J58" s="1286"/>
      <c r="K58" s="1286"/>
      <c r="L58" s="1286"/>
      <c r="M58" s="1286"/>
      <c r="N58" s="1287"/>
    </row>
    <row r="59" spans="1:14" x14ac:dyDescent="0.2">
      <c r="A59" s="1291"/>
      <c r="B59" s="1291"/>
      <c r="C59" s="1291"/>
      <c r="D59" s="1291"/>
      <c r="E59" s="1291"/>
      <c r="F59" s="1291"/>
      <c r="G59" s="1291"/>
      <c r="H59" s="1291"/>
      <c r="I59" s="1285"/>
      <c r="J59" s="1286"/>
      <c r="K59" s="1286"/>
      <c r="L59" s="1286"/>
      <c r="M59" s="1286"/>
      <c r="N59" s="1287"/>
    </row>
    <row r="60" spans="1:14" x14ac:dyDescent="0.2">
      <c r="A60" s="1291"/>
      <c r="B60" s="1291"/>
      <c r="C60" s="1291"/>
      <c r="D60" s="1291"/>
      <c r="E60" s="1291"/>
      <c r="F60" s="1291"/>
      <c r="G60" s="1291"/>
      <c r="H60" s="1291"/>
      <c r="I60" s="1285"/>
      <c r="J60" s="1286"/>
      <c r="K60" s="1286"/>
      <c r="L60" s="1286"/>
      <c r="M60" s="1286"/>
      <c r="N60" s="1287"/>
    </row>
    <row r="61" spans="1:14" x14ac:dyDescent="0.2">
      <c r="A61" s="1291"/>
      <c r="B61" s="1291"/>
      <c r="C61" s="1291"/>
      <c r="D61" s="1291"/>
      <c r="E61" s="1291"/>
      <c r="F61" s="1291"/>
      <c r="G61" s="1291"/>
      <c r="H61" s="1291"/>
      <c r="I61" s="1285"/>
      <c r="J61" s="1286"/>
      <c r="K61" s="1286"/>
      <c r="L61" s="1286"/>
      <c r="M61" s="1286"/>
      <c r="N61" s="1287"/>
    </row>
    <row r="62" spans="1:14" x14ac:dyDescent="0.2">
      <c r="A62" s="1291"/>
      <c r="B62" s="1291"/>
      <c r="C62" s="1291"/>
      <c r="D62" s="1291"/>
      <c r="E62" s="1291"/>
      <c r="F62" s="1291"/>
      <c r="G62" s="1291"/>
      <c r="H62" s="1291"/>
      <c r="I62" s="1285"/>
      <c r="J62" s="1286"/>
      <c r="K62" s="1286"/>
      <c r="L62" s="1286"/>
      <c r="M62" s="1286"/>
      <c r="N62" s="1287"/>
    </row>
    <row r="63" spans="1:14" x14ac:dyDescent="0.2">
      <c r="A63" s="1291"/>
      <c r="B63" s="1291"/>
      <c r="C63" s="1291"/>
      <c r="D63" s="1291"/>
      <c r="E63" s="1291"/>
      <c r="F63" s="1291"/>
      <c r="G63" s="1291"/>
      <c r="H63" s="1291"/>
      <c r="I63" s="1285"/>
      <c r="J63" s="1286"/>
      <c r="K63" s="1286"/>
      <c r="L63" s="1286"/>
      <c r="M63" s="1286"/>
      <c r="N63" s="1287"/>
    </row>
    <row r="64" spans="1:14" x14ac:dyDescent="0.2">
      <c r="A64" s="1291"/>
      <c r="B64" s="1291"/>
      <c r="C64" s="1291"/>
      <c r="D64" s="1291"/>
      <c r="E64" s="1291"/>
      <c r="F64" s="1291"/>
      <c r="G64" s="1291"/>
      <c r="H64" s="1291"/>
      <c r="I64" s="1285"/>
      <c r="J64" s="1286"/>
      <c r="K64" s="1286"/>
      <c r="L64" s="1286"/>
      <c r="M64" s="1286"/>
      <c r="N64" s="1287"/>
    </row>
    <row r="65" spans="1:14" x14ac:dyDescent="0.2">
      <c r="A65" s="1291"/>
      <c r="B65" s="1291"/>
      <c r="C65" s="1291"/>
      <c r="D65" s="1291"/>
      <c r="E65" s="1291"/>
      <c r="F65" s="1291"/>
      <c r="G65" s="1291"/>
      <c r="H65" s="1291"/>
      <c r="I65" s="1285"/>
      <c r="J65" s="1286"/>
      <c r="K65" s="1286"/>
      <c r="L65" s="1286"/>
      <c r="M65" s="1286"/>
      <c r="N65" s="1287"/>
    </row>
    <row r="66" spans="1:14" x14ac:dyDescent="0.2">
      <c r="A66" s="1291"/>
      <c r="B66" s="1291"/>
      <c r="C66" s="1291"/>
      <c r="D66" s="1291"/>
      <c r="E66" s="1291"/>
      <c r="F66" s="1291"/>
      <c r="G66" s="1291"/>
      <c r="H66" s="1291"/>
      <c r="I66" s="1285"/>
      <c r="J66" s="1286"/>
      <c r="K66" s="1286"/>
      <c r="L66" s="1286"/>
      <c r="M66" s="1286"/>
      <c r="N66" s="1287"/>
    </row>
    <row r="67" spans="1:14" x14ac:dyDescent="0.2">
      <c r="A67" s="1291"/>
      <c r="B67" s="1291"/>
      <c r="C67" s="1291"/>
      <c r="D67" s="1291"/>
      <c r="E67" s="1291"/>
      <c r="F67" s="1291"/>
      <c r="G67" s="1291"/>
      <c r="H67" s="1291"/>
      <c r="I67" s="1285"/>
      <c r="J67" s="1286"/>
      <c r="K67" s="1286"/>
      <c r="L67" s="1286"/>
      <c r="M67" s="1286"/>
      <c r="N67" s="1287"/>
    </row>
    <row r="68" spans="1:14" x14ac:dyDescent="0.2">
      <c r="A68" s="1291"/>
      <c r="B68" s="1291"/>
      <c r="C68" s="1291"/>
      <c r="D68" s="1291"/>
      <c r="E68" s="1291"/>
      <c r="F68" s="1291"/>
      <c r="G68" s="1291"/>
      <c r="H68" s="1291"/>
      <c r="I68" s="1285"/>
      <c r="J68" s="1286"/>
      <c r="K68" s="1286"/>
      <c r="L68" s="1286"/>
      <c r="M68" s="1286"/>
      <c r="N68" s="1287"/>
    </row>
    <row r="69" spans="1:14" x14ac:dyDescent="0.2">
      <c r="A69" s="1291"/>
      <c r="B69" s="1291"/>
      <c r="C69" s="1291"/>
      <c r="D69" s="1291"/>
      <c r="E69" s="1291"/>
      <c r="F69" s="1291"/>
      <c r="G69" s="1291"/>
      <c r="H69" s="1291"/>
      <c r="I69" s="1285"/>
      <c r="J69" s="1286"/>
      <c r="K69" s="1286"/>
      <c r="L69" s="1286"/>
      <c r="M69" s="1286"/>
      <c r="N69" s="1287"/>
    </row>
    <row r="70" spans="1:14" x14ac:dyDescent="0.2">
      <c r="A70" s="1291"/>
      <c r="B70" s="1291"/>
      <c r="C70" s="1291"/>
      <c r="D70" s="1291"/>
      <c r="E70" s="1291"/>
      <c r="F70" s="1291"/>
      <c r="G70" s="1291"/>
      <c r="H70" s="1291"/>
      <c r="I70" s="1285"/>
      <c r="J70" s="1286"/>
      <c r="K70" s="1286"/>
      <c r="L70" s="1286"/>
      <c r="M70" s="1286"/>
      <c r="N70" s="1287"/>
    </row>
    <row r="71" spans="1:14" x14ac:dyDescent="0.2">
      <c r="A71" s="1291"/>
      <c r="B71" s="1291"/>
      <c r="C71" s="1291"/>
      <c r="D71" s="1291"/>
      <c r="E71" s="1291"/>
      <c r="F71" s="1291"/>
      <c r="G71" s="1291"/>
      <c r="H71" s="1291"/>
      <c r="I71" s="1285"/>
      <c r="J71" s="1286"/>
      <c r="K71" s="1286"/>
      <c r="L71" s="1286"/>
      <c r="M71" s="1286"/>
      <c r="N71" s="1287"/>
    </row>
    <row r="72" spans="1:14" x14ac:dyDescent="0.2">
      <c r="A72" s="1291"/>
      <c r="B72" s="1291"/>
      <c r="C72" s="1291"/>
      <c r="D72" s="1291"/>
      <c r="E72" s="1291"/>
      <c r="F72" s="1291"/>
      <c r="G72" s="1291"/>
      <c r="H72" s="1291"/>
      <c r="I72" s="1285"/>
      <c r="J72" s="1286"/>
      <c r="K72" s="1286"/>
      <c r="L72" s="1286"/>
      <c r="M72" s="1286"/>
      <c r="N72" s="1287"/>
    </row>
    <row r="73" spans="1:14" x14ac:dyDescent="0.2">
      <c r="A73" s="1291"/>
      <c r="B73" s="1291"/>
      <c r="C73" s="1291"/>
      <c r="D73" s="1291"/>
      <c r="E73" s="1291"/>
      <c r="F73" s="1291"/>
      <c r="G73" s="1291"/>
      <c r="H73" s="1291"/>
      <c r="I73" s="1285"/>
      <c r="J73" s="1286"/>
      <c r="K73" s="1286"/>
      <c r="L73" s="1286"/>
      <c r="M73" s="1286"/>
      <c r="N73" s="1287"/>
    </row>
    <row r="74" spans="1:14" x14ac:dyDescent="0.2">
      <c r="A74" s="1291"/>
      <c r="B74" s="1291"/>
      <c r="C74" s="1291"/>
      <c r="D74" s="1291"/>
      <c r="E74" s="1291"/>
      <c r="F74" s="1291"/>
      <c r="G74" s="1291"/>
      <c r="H74" s="1291"/>
      <c r="I74" s="1285"/>
      <c r="J74" s="1286"/>
      <c r="K74" s="1286"/>
      <c r="L74" s="1286"/>
      <c r="M74" s="1286"/>
      <c r="N74" s="1287"/>
    </row>
    <row r="75" spans="1:14" x14ac:dyDescent="0.2">
      <c r="A75" s="1291"/>
      <c r="B75" s="1291"/>
      <c r="C75" s="1291"/>
      <c r="D75" s="1291"/>
      <c r="E75" s="1291"/>
      <c r="F75" s="1291"/>
      <c r="G75" s="1291"/>
      <c r="H75" s="1291"/>
      <c r="I75" s="1285"/>
      <c r="J75" s="1286"/>
      <c r="K75" s="1286"/>
      <c r="L75" s="1286"/>
      <c r="M75" s="1286"/>
      <c r="N75" s="1287"/>
    </row>
    <row r="76" spans="1:14" x14ac:dyDescent="0.2">
      <c r="A76" s="1291"/>
      <c r="B76" s="1291"/>
      <c r="C76" s="1291"/>
      <c r="D76" s="1291"/>
      <c r="E76" s="1291"/>
      <c r="F76" s="1291"/>
      <c r="G76" s="1291"/>
      <c r="H76" s="1291"/>
      <c r="I76" s="1285"/>
      <c r="J76" s="1286"/>
      <c r="K76" s="1286"/>
      <c r="L76" s="1286"/>
      <c r="M76" s="1286"/>
      <c r="N76" s="1287"/>
    </row>
    <row r="77" spans="1:14" x14ac:dyDescent="0.2">
      <c r="A77" s="1291"/>
      <c r="B77" s="1291"/>
      <c r="C77" s="1291"/>
      <c r="D77" s="1291"/>
      <c r="E77" s="1291"/>
      <c r="F77" s="1291"/>
      <c r="G77" s="1291"/>
      <c r="H77" s="1291"/>
      <c r="I77" s="1285"/>
      <c r="J77" s="1286"/>
      <c r="K77" s="1286"/>
      <c r="L77" s="1286"/>
      <c r="M77" s="1286"/>
      <c r="N77" s="1287"/>
    </row>
    <row r="78" spans="1:14" x14ac:dyDescent="0.2">
      <c r="A78" s="1291"/>
      <c r="B78" s="1291"/>
      <c r="C78" s="1291"/>
      <c r="D78" s="1291"/>
      <c r="E78" s="1291"/>
      <c r="F78" s="1291"/>
      <c r="G78" s="1291"/>
      <c r="H78" s="1291"/>
      <c r="I78" s="1285"/>
      <c r="J78" s="1286"/>
      <c r="K78" s="1286"/>
      <c r="L78" s="1286"/>
      <c r="M78" s="1286"/>
      <c r="N78" s="1287"/>
    </row>
    <row r="79" spans="1:14" x14ac:dyDescent="0.2">
      <c r="A79" s="1291"/>
      <c r="B79" s="1291"/>
      <c r="C79" s="1291"/>
      <c r="D79" s="1291"/>
      <c r="E79" s="1291"/>
      <c r="F79" s="1291"/>
      <c r="G79" s="1291"/>
      <c r="H79" s="1291"/>
      <c r="I79" s="1285"/>
      <c r="J79" s="1286"/>
      <c r="K79" s="1286"/>
      <c r="L79" s="1286"/>
      <c r="M79" s="1286"/>
      <c r="N79" s="1287"/>
    </row>
    <row r="80" spans="1:14" x14ac:dyDescent="0.2">
      <c r="A80" s="1291"/>
      <c r="B80" s="1291"/>
      <c r="C80" s="1291"/>
      <c r="D80" s="1291"/>
      <c r="E80" s="1291"/>
      <c r="F80" s="1291"/>
      <c r="G80" s="1291"/>
      <c r="H80" s="1291"/>
      <c r="I80" s="1285"/>
      <c r="J80" s="1286"/>
      <c r="K80" s="1286"/>
      <c r="L80" s="1286"/>
      <c r="M80" s="1286"/>
      <c r="N80" s="1287"/>
    </row>
    <row r="81" spans="1:14" x14ac:dyDescent="0.2">
      <c r="A81" s="1291"/>
      <c r="B81" s="1291"/>
      <c r="C81" s="1291"/>
      <c r="D81" s="1291"/>
      <c r="E81" s="1291"/>
      <c r="F81" s="1291"/>
      <c r="G81" s="1291"/>
      <c r="H81" s="1291"/>
      <c r="I81" s="1285"/>
      <c r="J81" s="1286"/>
      <c r="K81" s="1286"/>
      <c r="L81" s="1286"/>
      <c r="M81" s="1286"/>
      <c r="N81" s="1287"/>
    </row>
    <row r="82" spans="1:14" x14ac:dyDescent="0.2">
      <c r="A82" s="1291"/>
      <c r="B82" s="1291"/>
      <c r="C82" s="1291"/>
      <c r="D82" s="1291"/>
      <c r="E82" s="1291"/>
      <c r="F82" s="1291"/>
      <c r="G82" s="1291"/>
      <c r="H82" s="1291"/>
      <c r="I82" s="1285"/>
      <c r="J82" s="1286"/>
      <c r="K82" s="1286"/>
      <c r="L82" s="1286"/>
      <c r="M82" s="1286"/>
      <c r="N82" s="1287"/>
    </row>
    <row r="83" spans="1:14" x14ac:dyDescent="0.2">
      <c r="A83" s="1291"/>
      <c r="B83" s="1291"/>
      <c r="C83" s="1291"/>
      <c r="D83" s="1291"/>
      <c r="E83" s="1291"/>
      <c r="F83" s="1291"/>
      <c r="G83" s="1291"/>
      <c r="H83" s="1291"/>
      <c r="I83" s="1285"/>
      <c r="J83" s="1286"/>
      <c r="K83" s="1286"/>
      <c r="L83" s="1286"/>
      <c r="M83" s="1286"/>
      <c r="N83" s="1287"/>
    </row>
    <row r="84" spans="1:14" x14ac:dyDescent="0.2">
      <c r="A84" s="1291"/>
      <c r="B84" s="1291"/>
      <c r="C84" s="1291"/>
      <c r="D84" s="1291"/>
      <c r="E84" s="1291"/>
      <c r="F84" s="1291"/>
      <c r="G84" s="1291"/>
      <c r="H84" s="1291"/>
      <c r="I84" s="1285"/>
      <c r="J84" s="1286"/>
      <c r="K84" s="1286"/>
      <c r="L84" s="1286"/>
      <c r="M84" s="1286"/>
      <c r="N84" s="1287"/>
    </row>
    <row r="85" spans="1:14" x14ac:dyDescent="0.2">
      <c r="A85" s="1291"/>
      <c r="B85" s="1291"/>
      <c r="C85" s="1291"/>
      <c r="D85" s="1291"/>
      <c r="E85" s="1291"/>
      <c r="F85" s="1291"/>
      <c r="G85" s="1291"/>
      <c r="H85" s="1291"/>
      <c r="I85" s="1285"/>
      <c r="J85" s="1286"/>
      <c r="K85" s="1286"/>
      <c r="L85" s="1286"/>
      <c r="M85" s="1286"/>
      <c r="N85" s="1287"/>
    </row>
    <row r="86" spans="1:14" x14ac:dyDescent="0.2">
      <c r="A86" s="1291"/>
      <c r="B86" s="1291"/>
      <c r="C86" s="1291"/>
      <c r="D86" s="1291"/>
      <c r="E86" s="1291"/>
      <c r="F86" s="1291"/>
      <c r="G86" s="1291"/>
      <c r="H86" s="1291"/>
      <c r="I86" s="1285"/>
      <c r="J86" s="1286"/>
      <c r="K86" s="1286"/>
      <c r="L86" s="1286"/>
      <c r="M86" s="1286"/>
      <c r="N86" s="1287"/>
    </row>
    <row r="87" spans="1:14" x14ac:dyDescent="0.2">
      <c r="A87" s="1291"/>
      <c r="B87" s="1291"/>
      <c r="C87" s="1291"/>
      <c r="D87" s="1291"/>
      <c r="E87" s="1291"/>
      <c r="F87" s="1291"/>
      <c r="G87" s="1291"/>
      <c r="H87" s="1291"/>
      <c r="I87" s="1285"/>
      <c r="J87" s="1286"/>
      <c r="K87" s="1286"/>
      <c r="L87" s="1286"/>
      <c r="M87" s="1286"/>
      <c r="N87" s="1287"/>
    </row>
    <row r="88" spans="1:14" x14ac:dyDescent="0.2">
      <c r="A88" s="1291"/>
      <c r="B88" s="1291"/>
      <c r="C88" s="1291"/>
      <c r="D88" s="1291"/>
      <c r="E88" s="1291"/>
      <c r="F88" s="1291"/>
      <c r="G88" s="1291"/>
      <c r="H88" s="1291"/>
      <c r="I88" s="1285"/>
      <c r="J88" s="1286"/>
      <c r="K88" s="1286"/>
      <c r="L88" s="1286"/>
      <c r="M88" s="1286"/>
      <c r="N88" s="1287"/>
    </row>
    <row r="89" spans="1:14" x14ac:dyDescent="0.2">
      <c r="A89" s="1291"/>
      <c r="B89" s="1291"/>
      <c r="C89" s="1291"/>
      <c r="D89" s="1291"/>
      <c r="E89" s="1291"/>
      <c r="F89" s="1291"/>
      <c r="G89" s="1291"/>
      <c r="H89" s="1291"/>
      <c r="I89" s="1285"/>
      <c r="J89" s="1286"/>
      <c r="K89" s="1286"/>
      <c r="L89" s="1286"/>
      <c r="M89" s="1286"/>
      <c r="N89" s="1287"/>
    </row>
    <row r="90" spans="1:14" x14ac:dyDescent="0.2">
      <c r="A90" s="1291"/>
      <c r="B90" s="1291"/>
      <c r="C90" s="1291"/>
      <c r="D90" s="1291"/>
      <c r="E90" s="1291"/>
      <c r="F90" s="1291"/>
      <c r="G90" s="1291"/>
      <c r="H90" s="1291"/>
      <c r="I90" s="1285"/>
      <c r="J90" s="1286"/>
      <c r="K90" s="1286"/>
      <c r="L90" s="1286"/>
      <c r="M90" s="1286"/>
      <c r="N90" s="1287"/>
    </row>
    <row r="91" spans="1:14" x14ac:dyDescent="0.2">
      <c r="A91" s="1291"/>
      <c r="B91" s="1291"/>
      <c r="C91" s="1291"/>
      <c r="D91" s="1291"/>
      <c r="E91" s="1291"/>
      <c r="F91" s="1291"/>
      <c r="G91" s="1291"/>
      <c r="H91" s="1291"/>
      <c r="I91" s="1285"/>
      <c r="J91" s="1286"/>
      <c r="K91" s="1286"/>
      <c r="L91" s="1286"/>
      <c r="M91" s="1286"/>
      <c r="N91" s="1287"/>
    </row>
    <row r="92" spans="1:14" x14ac:dyDescent="0.2">
      <c r="A92" s="1291"/>
      <c r="B92" s="1291"/>
      <c r="C92" s="1291"/>
      <c r="D92" s="1291"/>
      <c r="E92" s="1291"/>
      <c r="F92" s="1291"/>
      <c r="G92" s="1291"/>
      <c r="H92" s="1291"/>
      <c r="I92" s="1285"/>
      <c r="J92" s="1286"/>
      <c r="K92" s="1286"/>
      <c r="L92" s="1286"/>
      <c r="M92" s="1286"/>
      <c r="N92" s="1287"/>
    </row>
    <row r="93" spans="1:14" x14ac:dyDescent="0.2">
      <c r="A93" s="1291"/>
      <c r="B93" s="1291"/>
      <c r="C93" s="1291"/>
      <c r="D93" s="1291"/>
      <c r="E93" s="1291"/>
      <c r="F93" s="1291"/>
      <c r="G93" s="1291"/>
      <c r="H93" s="1291"/>
      <c r="I93" s="1285"/>
      <c r="J93" s="1286"/>
      <c r="K93" s="1286"/>
      <c r="L93" s="1286"/>
      <c r="M93" s="1286"/>
      <c r="N93" s="1287"/>
    </row>
    <row r="94" spans="1:14" x14ac:dyDescent="0.2">
      <c r="A94" s="1291"/>
      <c r="B94" s="1291"/>
      <c r="C94" s="1291"/>
      <c r="D94" s="1291"/>
      <c r="E94" s="1291"/>
      <c r="F94" s="1291"/>
      <c r="G94" s="1291"/>
      <c r="H94" s="1291"/>
      <c r="I94" s="1285"/>
      <c r="J94" s="1286"/>
      <c r="K94" s="1286"/>
      <c r="L94" s="1286"/>
      <c r="M94" s="1286"/>
      <c r="N94" s="1287"/>
    </row>
    <row r="95" spans="1:14" x14ac:dyDescent="0.2">
      <c r="A95" s="1291"/>
      <c r="B95" s="1291"/>
      <c r="C95" s="1291"/>
      <c r="D95" s="1291"/>
      <c r="E95" s="1291"/>
      <c r="F95" s="1291"/>
      <c r="G95" s="1291"/>
      <c r="H95" s="1291"/>
      <c r="I95" s="1285"/>
      <c r="J95" s="1286"/>
      <c r="K95" s="1286"/>
      <c r="L95" s="1286"/>
      <c r="M95" s="1286"/>
      <c r="N95" s="1287"/>
    </row>
    <row r="96" spans="1:14" x14ac:dyDescent="0.2">
      <c r="A96" s="1291"/>
      <c r="B96" s="1291"/>
      <c r="C96" s="1291"/>
      <c r="D96" s="1291"/>
      <c r="E96" s="1291"/>
      <c r="F96" s="1291"/>
      <c r="G96" s="1291"/>
      <c r="H96" s="1291"/>
      <c r="I96" s="1285"/>
      <c r="J96" s="1286"/>
      <c r="K96" s="1286"/>
      <c r="L96" s="1286"/>
      <c r="M96" s="1286"/>
      <c r="N96" s="1287"/>
    </row>
    <row r="97" spans="1:14" x14ac:dyDescent="0.2">
      <c r="A97" s="1291"/>
      <c r="B97" s="1291"/>
      <c r="C97" s="1291"/>
      <c r="D97" s="1291"/>
      <c r="E97" s="1291"/>
      <c r="F97" s="1291"/>
      <c r="G97" s="1291"/>
      <c r="H97" s="1291"/>
      <c r="I97" s="1285"/>
      <c r="J97" s="1286"/>
      <c r="K97" s="1286"/>
      <c r="L97" s="1286"/>
      <c r="M97" s="1286"/>
      <c r="N97" s="1287"/>
    </row>
    <row r="98" spans="1:14" x14ac:dyDescent="0.2">
      <c r="A98" s="1291"/>
      <c r="B98" s="1291"/>
      <c r="C98" s="1291"/>
      <c r="D98" s="1291"/>
      <c r="E98" s="1291"/>
      <c r="F98" s="1291"/>
      <c r="G98" s="1291"/>
      <c r="H98" s="1291"/>
      <c r="I98" s="1285"/>
      <c r="J98" s="1286"/>
      <c r="K98" s="1286"/>
      <c r="L98" s="1286"/>
      <c r="M98" s="1286"/>
      <c r="N98" s="1287"/>
    </row>
    <row r="99" spans="1:14" x14ac:dyDescent="0.2">
      <c r="A99" s="1291"/>
      <c r="B99" s="1291"/>
      <c r="C99" s="1291"/>
      <c r="D99" s="1291"/>
      <c r="E99" s="1291"/>
      <c r="F99" s="1291"/>
      <c r="G99" s="1291"/>
      <c r="H99" s="1291"/>
      <c r="I99" s="1285"/>
      <c r="J99" s="1286"/>
      <c r="K99" s="1286"/>
      <c r="L99" s="1286"/>
      <c r="M99" s="1286"/>
      <c r="N99" s="1287"/>
    </row>
    <row r="100" spans="1:14" x14ac:dyDescent="0.2">
      <c r="A100" s="1291"/>
      <c r="B100" s="1291"/>
      <c r="C100" s="1291"/>
      <c r="D100" s="1291"/>
      <c r="E100" s="1291"/>
      <c r="F100" s="1291"/>
      <c r="G100" s="1291"/>
      <c r="H100" s="1291"/>
      <c r="I100" s="1285"/>
      <c r="J100" s="1286"/>
      <c r="K100" s="1286"/>
      <c r="L100" s="1286"/>
      <c r="M100" s="1286"/>
      <c r="N100" s="1287"/>
    </row>
    <row r="101" spans="1:14" x14ac:dyDescent="0.2">
      <c r="A101" s="1291"/>
      <c r="B101" s="1291"/>
      <c r="C101" s="1291"/>
      <c r="D101" s="1291"/>
      <c r="E101" s="1291"/>
      <c r="F101" s="1291"/>
      <c r="G101" s="1291"/>
      <c r="H101" s="1291"/>
      <c r="I101" s="1285"/>
      <c r="J101" s="1286"/>
      <c r="K101" s="1286"/>
      <c r="L101" s="1286"/>
      <c r="M101" s="1286"/>
      <c r="N101" s="1287"/>
    </row>
    <row r="102" spans="1:14" x14ac:dyDescent="0.2">
      <c r="A102" s="1291"/>
      <c r="B102" s="1291"/>
      <c r="C102" s="1291"/>
      <c r="D102" s="1291"/>
      <c r="E102" s="1291"/>
      <c r="F102" s="1291"/>
      <c r="G102" s="1291"/>
      <c r="H102" s="1291"/>
      <c r="I102" s="1285"/>
      <c r="J102" s="1286"/>
      <c r="K102" s="1286"/>
      <c r="L102" s="1286"/>
      <c r="M102" s="1286"/>
      <c r="N102" s="1287"/>
    </row>
    <row r="103" spans="1:14" x14ac:dyDescent="0.2">
      <c r="A103" s="1291"/>
      <c r="B103" s="1291"/>
      <c r="C103" s="1291"/>
      <c r="D103" s="1291"/>
      <c r="E103" s="1291"/>
      <c r="F103" s="1291"/>
      <c r="G103" s="1291"/>
      <c r="H103" s="1291"/>
      <c r="I103" s="1285"/>
      <c r="J103" s="1286"/>
      <c r="K103" s="1286"/>
      <c r="L103" s="1286"/>
      <c r="M103" s="1286"/>
      <c r="N103" s="1287"/>
    </row>
    <row r="104" spans="1:14" x14ac:dyDescent="0.2">
      <c r="A104" s="1291"/>
      <c r="B104" s="1291"/>
      <c r="C104" s="1291"/>
      <c r="D104" s="1291"/>
      <c r="E104" s="1291"/>
      <c r="F104" s="1291"/>
      <c r="G104" s="1291"/>
      <c r="H104" s="1291"/>
      <c r="I104" s="1285"/>
      <c r="J104" s="1286"/>
      <c r="K104" s="1286"/>
      <c r="L104" s="1286"/>
      <c r="M104" s="1286"/>
      <c r="N104" s="1287"/>
    </row>
    <row r="105" spans="1:14" x14ac:dyDescent="0.2">
      <c r="A105" s="1291"/>
      <c r="B105" s="1291"/>
      <c r="C105" s="1291"/>
      <c r="D105" s="1291"/>
      <c r="E105" s="1291"/>
      <c r="F105" s="1291"/>
      <c r="G105" s="1291"/>
      <c r="H105" s="1291"/>
      <c r="I105" s="1285"/>
      <c r="J105" s="1286"/>
      <c r="K105" s="1286"/>
      <c r="L105" s="1286"/>
      <c r="M105" s="1286"/>
      <c r="N105" s="1287"/>
    </row>
    <row r="106" spans="1:14" x14ac:dyDescent="0.2">
      <c r="A106" s="1291"/>
      <c r="B106" s="1291"/>
      <c r="C106" s="1291"/>
      <c r="D106" s="1291"/>
      <c r="E106" s="1291"/>
      <c r="F106" s="1291"/>
      <c r="G106" s="1291"/>
      <c r="H106" s="1291"/>
      <c r="I106" s="1285"/>
      <c r="J106" s="1286"/>
      <c r="K106" s="1286"/>
      <c r="L106" s="1286"/>
      <c r="M106" s="1286"/>
      <c r="N106" s="1287"/>
    </row>
    <row r="107" spans="1:14" x14ac:dyDescent="0.2">
      <c r="A107" s="1291"/>
      <c r="B107" s="1291"/>
      <c r="C107" s="1291"/>
      <c r="D107" s="1291"/>
      <c r="E107" s="1291"/>
      <c r="F107" s="1291"/>
      <c r="G107" s="1291"/>
      <c r="H107" s="1291"/>
      <c r="I107" s="1285"/>
      <c r="J107" s="1286"/>
      <c r="K107" s="1286"/>
      <c r="L107" s="1286"/>
      <c r="M107" s="1286"/>
      <c r="N107" s="1287"/>
    </row>
    <row r="108" spans="1:14" x14ac:dyDescent="0.2">
      <c r="A108" s="1291"/>
      <c r="B108" s="1291"/>
      <c r="C108" s="1291"/>
      <c r="D108" s="1291"/>
      <c r="E108" s="1291"/>
      <c r="F108" s="1291"/>
      <c r="G108" s="1291"/>
      <c r="H108" s="1291"/>
      <c r="I108" s="1285"/>
      <c r="J108" s="1286"/>
      <c r="K108" s="1286"/>
      <c r="L108" s="1286"/>
      <c r="M108" s="1286"/>
      <c r="N108" s="1287"/>
    </row>
    <row r="109" spans="1:14" x14ac:dyDescent="0.2">
      <c r="A109" s="1291"/>
      <c r="B109" s="1291"/>
      <c r="C109" s="1291"/>
      <c r="D109" s="1291"/>
      <c r="E109" s="1291"/>
      <c r="F109" s="1291"/>
      <c r="G109" s="1291"/>
      <c r="H109" s="1291"/>
      <c r="I109" s="1285"/>
      <c r="J109" s="1286"/>
      <c r="K109" s="1286"/>
      <c r="L109" s="1286"/>
      <c r="M109" s="1286"/>
      <c r="N109" s="1287"/>
    </row>
    <row r="110" spans="1:14" x14ac:dyDescent="0.2">
      <c r="A110" s="1291"/>
      <c r="B110" s="1291"/>
      <c r="C110" s="1291"/>
      <c r="D110" s="1291"/>
      <c r="E110" s="1291"/>
      <c r="F110" s="1291"/>
      <c r="G110" s="1291"/>
      <c r="H110" s="1291"/>
      <c r="I110" s="1285"/>
      <c r="J110" s="1286"/>
      <c r="K110" s="1286"/>
      <c r="L110" s="1286"/>
      <c r="M110" s="1286"/>
      <c r="N110" s="1287"/>
    </row>
    <row r="111" spans="1:14" x14ac:dyDescent="0.2">
      <c r="A111" s="1291"/>
      <c r="B111" s="1291"/>
      <c r="C111" s="1291"/>
      <c r="D111" s="1291"/>
      <c r="E111" s="1291"/>
      <c r="F111" s="1291"/>
      <c r="G111" s="1291"/>
      <c r="H111" s="1291"/>
      <c r="I111" s="1285"/>
      <c r="J111" s="1286"/>
      <c r="K111" s="1286"/>
      <c r="L111" s="1286"/>
      <c r="M111" s="1286"/>
      <c r="N111" s="1287"/>
    </row>
    <row r="112" spans="1:14" x14ac:dyDescent="0.2">
      <c r="A112" s="1291"/>
      <c r="B112" s="1291"/>
      <c r="C112" s="1291"/>
      <c r="D112" s="1291"/>
      <c r="E112" s="1291"/>
      <c r="F112" s="1291"/>
      <c r="G112" s="1291"/>
      <c r="H112" s="1291"/>
      <c r="I112" s="1285"/>
      <c r="J112" s="1286"/>
      <c r="K112" s="1286"/>
      <c r="L112" s="1286"/>
      <c r="M112" s="1286"/>
      <c r="N112" s="1287"/>
    </row>
    <row r="113" spans="1:14" x14ac:dyDescent="0.2">
      <c r="A113" s="1291"/>
      <c r="B113" s="1291"/>
      <c r="C113" s="1291"/>
      <c r="D113" s="1291"/>
      <c r="E113" s="1291"/>
      <c r="F113" s="1291"/>
      <c r="G113" s="1291"/>
      <c r="H113" s="1291"/>
      <c r="I113" s="1285"/>
      <c r="J113" s="1286"/>
      <c r="K113" s="1286"/>
      <c r="L113" s="1286"/>
      <c r="M113" s="1286"/>
      <c r="N113" s="1287"/>
    </row>
    <row r="114" spans="1:14" x14ac:dyDescent="0.2">
      <c r="A114" s="1291"/>
      <c r="B114" s="1291"/>
      <c r="C114" s="1291"/>
      <c r="D114" s="1291"/>
      <c r="E114" s="1291"/>
      <c r="F114" s="1291"/>
      <c r="G114" s="1291"/>
      <c r="H114" s="1291"/>
      <c r="I114" s="1285"/>
      <c r="J114" s="1286"/>
      <c r="K114" s="1286"/>
      <c r="L114" s="1286"/>
      <c r="M114" s="1286"/>
      <c r="N114" s="1287"/>
    </row>
    <row r="115" spans="1:14" x14ac:dyDescent="0.2">
      <c r="A115" s="1291"/>
      <c r="B115" s="1291"/>
      <c r="C115" s="1291"/>
      <c r="D115" s="1291"/>
      <c r="E115" s="1291"/>
      <c r="F115" s="1291"/>
      <c r="G115" s="1291"/>
      <c r="H115" s="1291"/>
      <c r="I115" s="1285"/>
      <c r="J115" s="1286"/>
      <c r="K115" s="1286"/>
      <c r="L115" s="1286"/>
      <c r="M115" s="1286"/>
      <c r="N115" s="1287"/>
    </row>
    <row r="116" spans="1:14" x14ac:dyDescent="0.2">
      <c r="A116" s="1291"/>
      <c r="B116" s="1291"/>
      <c r="C116" s="1291"/>
      <c r="D116" s="1291"/>
      <c r="E116" s="1291"/>
      <c r="F116" s="1291"/>
      <c r="G116" s="1291"/>
      <c r="H116" s="1291"/>
      <c r="I116" s="1285"/>
      <c r="J116" s="1286"/>
      <c r="K116" s="1286"/>
      <c r="L116" s="1286"/>
      <c r="M116" s="1286"/>
      <c r="N116" s="1287"/>
    </row>
    <row r="117" spans="1:14" x14ac:dyDescent="0.2">
      <c r="A117" s="1291"/>
      <c r="B117" s="1291"/>
      <c r="C117" s="1291"/>
      <c r="D117" s="1291"/>
      <c r="E117" s="1291"/>
      <c r="F117" s="1291"/>
      <c r="G117" s="1291"/>
      <c r="H117" s="1291"/>
      <c r="I117" s="1285"/>
      <c r="J117" s="1286"/>
      <c r="K117" s="1286"/>
      <c r="L117" s="1286"/>
      <c r="M117" s="1286"/>
      <c r="N117" s="1287"/>
    </row>
    <row r="118" spans="1:14" x14ac:dyDescent="0.2">
      <c r="A118" s="1291"/>
      <c r="B118" s="1291"/>
      <c r="C118" s="1291"/>
      <c r="D118" s="1291"/>
      <c r="E118" s="1291"/>
      <c r="F118" s="1291"/>
      <c r="G118" s="1291"/>
      <c r="H118" s="1291"/>
      <c r="I118" s="1285"/>
      <c r="J118" s="1286"/>
      <c r="K118" s="1286"/>
      <c r="L118" s="1286"/>
      <c r="M118" s="1286"/>
      <c r="N118" s="1287"/>
    </row>
    <row r="119" spans="1:14" x14ac:dyDescent="0.2">
      <c r="A119" s="1291"/>
      <c r="B119" s="1291"/>
      <c r="C119" s="1291"/>
      <c r="D119" s="1291"/>
      <c r="E119" s="1291"/>
      <c r="F119" s="1291"/>
      <c r="G119" s="1291"/>
      <c r="H119" s="1291"/>
      <c r="I119" s="1285"/>
      <c r="J119" s="1286"/>
      <c r="K119" s="1286"/>
      <c r="L119" s="1286"/>
      <c r="M119" s="1286"/>
      <c r="N119" s="1287"/>
    </row>
    <row r="120" spans="1:14" x14ac:dyDescent="0.2">
      <c r="A120" s="1291"/>
      <c r="B120" s="1291"/>
      <c r="C120" s="1291"/>
      <c r="D120" s="1291"/>
      <c r="E120" s="1291"/>
      <c r="F120" s="1291"/>
      <c r="G120" s="1291"/>
      <c r="H120" s="1291"/>
      <c r="I120" s="1285"/>
      <c r="J120" s="1286"/>
      <c r="K120" s="1286"/>
      <c r="L120" s="1286"/>
      <c r="M120" s="1286"/>
      <c r="N120" s="1287"/>
    </row>
    <row r="121" spans="1:14" x14ac:dyDescent="0.2">
      <c r="A121" s="1291"/>
      <c r="B121" s="1291"/>
      <c r="C121" s="1291"/>
      <c r="D121" s="1291"/>
      <c r="E121" s="1291"/>
      <c r="F121" s="1291"/>
      <c r="G121" s="1291"/>
      <c r="H121" s="1291"/>
      <c r="I121" s="1285"/>
      <c r="J121" s="1286"/>
      <c r="K121" s="1286"/>
      <c r="L121" s="1286"/>
      <c r="M121" s="1286"/>
      <c r="N121" s="1287"/>
    </row>
    <row r="122" spans="1:14" x14ac:dyDescent="0.2">
      <c r="A122" s="1291"/>
      <c r="B122" s="1291"/>
      <c r="C122" s="1291"/>
      <c r="D122" s="1291"/>
      <c r="E122" s="1291"/>
      <c r="F122" s="1291"/>
      <c r="G122" s="1291"/>
      <c r="H122" s="1291"/>
      <c r="I122" s="1285"/>
      <c r="J122" s="1286"/>
      <c r="K122" s="1286"/>
      <c r="L122" s="1286"/>
      <c r="M122" s="1286"/>
      <c r="N122" s="1287"/>
    </row>
    <row r="123" spans="1:14" x14ac:dyDescent="0.2">
      <c r="A123" s="1291"/>
      <c r="B123" s="1291"/>
      <c r="C123" s="1291"/>
      <c r="D123" s="1291"/>
      <c r="E123" s="1291"/>
      <c r="F123" s="1291"/>
      <c r="G123" s="1291"/>
      <c r="H123" s="1291"/>
      <c r="I123" s="1285"/>
      <c r="J123" s="1286"/>
      <c r="K123" s="1286"/>
      <c r="L123" s="1286"/>
      <c r="M123" s="1286"/>
      <c r="N123" s="1287"/>
    </row>
    <row r="124" spans="1:14" x14ac:dyDescent="0.2">
      <c r="A124" s="1291"/>
      <c r="B124" s="1291"/>
      <c r="C124" s="1291"/>
      <c r="D124" s="1291"/>
      <c r="E124" s="1291"/>
      <c r="F124" s="1291"/>
      <c r="G124" s="1291"/>
      <c r="H124" s="1291"/>
      <c r="I124" s="1285"/>
      <c r="J124" s="1286"/>
      <c r="K124" s="1286"/>
      <c r="L124" s="1286"/>
      <c r="M124" s="1286"/>
      <c r="N124" s="1287"/>
    </row>
    <row r="125" spans="1:14" x14ac:dyDescent="0.2">
      <c r="A125" s="1291"/>
      <c r="B125" s="1291"/>
      <c r="C125" s="1291"/>
      <c r="D125" s="1291"/>
      <c r="E125" s="1291"/>
      <c r="F125" s="1291"/>
      <c r="G125" s="1291"/>
      <c r="H125" s="1291"/>
      <c r="I125" s="1285"/>
      <c r="J125" s="1286"/>
      <c r="K125" s="1286"/>
      <c r="L125" s="1286"/>
      <c r="M125" s="1286"/>
      <c r="N125" s="1287"/>
    </row>
    <row r="126" spans="1:14" x14ac:dyDescent="0.2">
      <c r="A126" s="1291"/>
      <c r="B126" s="1291"/>
      <c r="C126" s="1291"/>
      <c r="D126" s="1291"/>
      <c r="E126" s="1291"/>
      <c r="F126" s="1291"/>
      <c r="G126" s="1291"/>
      <c r="H126" s="1291"/>
      <c r="I126" s="1285"/>
      <c r="J126" s="1286"/>
      <c r="K126" s="1286"/>
      <c r="L126" s="1286"/>
      <c r="M126" s="1286"/>
      <c r="N126" s="1287"/>
    </row>
    <row r="127" spans="1:14" x14ac:dyDescent="0.2">
      <c r="A127" s="1291"/>
      <c r="B127" s="1291"/>
      <c r="C127" s="1291"/>
      <c r="D127" s="1291"/>
      <c r="E127" s="1291"/>
      <c r="F127" s="1291"/>
      <c r="G127" s="1291"/>
      <c r="H127" s="1291"/>
      <c r="I127" s="1285"/>
      <c r="J127" s="1286"/>
      <c r="K127" s="1286"/>
      <c r="L127" s="1286"/>
      <c r="M127" s="1286"/>
      <c r="N127" s="1287"/>
    </row>
    <row r="128" spans="1:14" x14ac:dyDescent="0.2">
      <c r="A128" s="1291"/>
      <c r="B128" s="1291"/>
      <c r="C128" s="1291"/>
      <c r="D128" s="1291"/>
      <c r="E128" s="1291"/>
      <c r="F128" s="1291"/>
      <c r="G128" s="1291"/>
      <c r="H128" s="1291"/>
      <c r="I128" s="1285"/>
      <c r="J128" s="1286"/>
      <c r="K128" s="1286"/>
      <c r="L128" s="1286"/>
      <c r="M128" s="1286"/>
      <c r="N128" s="1287"/>
    </row>
    <row r="129" spans="1:14" x14ac:dyDescent="0.2">
      <c r="A129" s="1291"/>
      <c r="B129" s="1291"/>
      <c r="C129" s="1291"/>
      <c r="D129" s="1291"/>
      <c r="E129" s="1291"/>
      <c r="F129" s="1291"/>
      <c r="G129" s="1291"/>
      <c r="H129" s="1291"/>
      <c r="I129" s="1285"/>
      <c r="J129" s="1286"/>
      <c r="K129" s="1286"/>
      <c r="L129" s="1286"/>
      <c r="M129" s="1286"/>
      <c r="N129" s="1287"/>
    </row>
    <row r="130" spans="1:14" x14ac:dyDescent="0.2">
      <c r="A130" s="1291"/>
      <c r="B130" s="1291"/>
      <c r="C130" s="1291"/>
      <c r="D130" s="1291"/>
      <c r="E130" s="1291"/>
      <c r="F130" s="1291"/>
      <c r="G130" s="1291"/>
      <c r="H130" s="1291"/>
      <c r="I130" s="1285"/>
      <c r="J130" s="1286"/>
      <c r="K130" s="1286"/>
      <c r="L130" s="1286"/>
      <c r="M130" s="1286"/>
      <c r="N130" s="1287"/>
    </row>
    <row r="131" spans="1:14" x14ac:dyDescent="0.2">
      <c r="A131" s="1291"/>
      <c r="B131" s="1291"/>
      <c r="C131" s="1291"/>
      <c r="D131" s="1291"/>
      <c r="E131" s="1291"/>
      <c r="F131" s="1291"/>
      <c r="G131" s="1291"/>
      <c r="H131" s="1291"/>
      <c r="I131" s="1285"/>
      <c r="J131" s="1286"/>
      <c r="K131" s="1286"/>
      <c r="L131" s="1286"/>
      <c r="M131" s="1286"/>
      <c r="N131" s="1287"/>
    </row>
    <row r="132" spans="1:14" x14ac:dyDescent="0.2">
      <c r="A132" s="1291"/>
      <c r="B132" s="1291"/>
      <c r="C132" s="1291"/>
      <c r="D132" s="1291"/>
      <c r="E132" s="1291"/>
      <c r="F132" s="1291"/>
      <c r="G132" s="1291"/>
      <c r="H132" s="1291"/>
      <c r="I132" s="1285"/>
      <c r="J132" s="1286"/>
      <c r="K132" s="1286"/>
      <c r="L132" s="1286"/>
      <c r="M132" s="1286"/>
      <c r="N132" s="1287"/>
    </row>
    <row r="133" spans="1:14" x14ac:dyDescent="0.2">
      <c r="A133" s="1291"/>
      <c r="B133" s="1291"/>
      <c r="C133" s="1291"/>
      <c r="D133" s="1291"/>
      <c r="E133" s="1291"/>
      <c r="F133" s="1291"/>
      <c r="G133" s="1291"/>
      <c r="H133" s="1291"/>
      <c r="I133" s="1285"/>
      <c r="J133" s="1286"/>
      <c r="K133" s="1286"/>
      <c r="L133" s="1286"/>
      <c r="M133" s="1286"/>
      <c r="N133" s="1287"/>
    </row>
    <row r="134" spans="1:14" x14ac:dyDescent="0.2">
      <c r="A134" s="1291"/>
      <c r="B134" s="1291"/>
      <c r="C134" s="1291"/>
      <c r="D134" s="1291"/>
      <c r="E134" s="1291"/>
      <c r="F134" s="1291"/>
      <c r="G134" s="1291"/>
      <c r="H134" s="1291"/>
      <c r="I134" s="1285"/>
      <c r="J134" s="1286"/>
      <c r="K134" s="1286"/>
      <c r="L134" s="1286"/>
      <c r="M134" s="1286"/>
      <c r="N134" s="1287"/>
    </row>
    <row r="135" spans="1:14" x14ac:dyDescent="0.2">
      <c r="A135" s="1291"/>
      <c r="B135" s="1291"/>
      <c r="C135" s="1291"/>
      <c r="D135" s="1291"/>
      <c r="E135" s="1291"/>
      <c r="F135" s="1291"/>
      <c r="G135" s="1291"/>
      <c r="H135" s="1291"/>
      <c r="I135" s="1285"/>
      <c r="J135" s="1286"/>
      <c r="K135" s="1286"/>
      <c r="L135" s="1286"/>
      <c r="M135" s="1286"/>
      <c r="N135" s="1287"/>
    </row>
    <row r="136" spans="1:14" x14ac:dyDescent="0.2">
      <c r="A136" s="1291"/>
      <c r="B136" s="1291"/>
      <c r="C136" s="1291"/>
      <c r="D136" s="1291"/>
      <c r="E136" s="1291"/>
      <c r="F136" s="1291"/>
      <c r="G136" s="1291"/>
      <c r="H136" s="1291"/>
      <c r="I136" s="1285"/>
      <c r="J136" s="1286"/>
      <c r="K136" s="1286"/>
      <c r="L136" s="1286"/>
      <c r="M136" s="1286"/>
      <c r="N136" s="1287"/>
    </row>
    <row r="137" spans="1:14" x14ac:dyDescent="0.2">
      <c r="A137" s="1291"/>
      <c r="B137" s="1291"/>
      <c r="C137" s="1291"/>
      <c r="D137" s="1291"/>
      <c r="E137" s="1291"/>
      <c r="F137" s="1291"/>
      <c r="G137" s="1291"/>
      <c r="H137" s="1291"/>
      <c r="I137" s="1285"/>
      <c r="J137" s="1286"/>
      <c r="K137" s="1286"/>
      <c r="L137" s="1286"/>
      <c r="M137" s="1286"/>
      <c r="N137" s="1287"/>
    </row>
    <row r="138" spans="1:14" x14ac:dyDescent="0.2">
      <c r="A138" s="1291"/>
      <c r="B138" s="1291"/>
      <c r="C138" s="1291"/>
      <c r="D138" s="1291"/>
      <c r="E138" s="1291"/>
      <c r="F138" s="1291"/>
      <c r="G138" s="1291"/>
      <c r="H138" s="1291"/>
      <c r="I138" s="1285"/>
      <c r="J138" s="1286"/>
      <c r="K138" s="1286"/>
      <c r="L138" s="1286"/>
      <c r="M138" s="1286"/>
      <c r="N138" s="1287"/>
    </row>
    <row r="139" spans="1:14" x14ac:dyDescent="0.2">
      <c r="A139" s="1291"/>
      <c r="B139" s="1291"/>
      <c r="C139" s="1291"/>
      <c r="D139" s="1291"/>
      <c r="E139" s="1291"/>
      <c r="F139" s="1291"/>
      <c r="G139" s="1291"/>
      <c r="H139" s="1291"/>
      <c r="I139" s="1285"/>
      <c r="J139" s="1286"/>
      <c r="K139" s="1286"/>
      <c r="L139" s="1286"/>
      <c r="M139" s="1286"/>
      <c r="N139" s="1287"/>
    </row>
    <row r="140" spans="1:14" x14ac:dyDescent="0.2">
      <c r="A140" s="1291"/>
      <c r="B140" s="1291"/>
      <c r="C140" s="1291"/>
      <c r="D140" s="1291"/>
      <c r="E140" s="1291"/>
      <c r="F140" s="1291"/>
      <c r="G140" s="1291"/>
      <c r="H140" s="1291"/>
      <c r="I140" s="1285"/>
      <c r="J140" s="1286"/>
      <c r="K140" s="1286"/>
      <c r="L140" s="1286"/>
      <c r="M140" s="1286"/>
      <c r="N140" s="1287"/>
    </row>
    <row r="141" spans="1:14" x14ac:dyDescent="0.2">
      <c r="A141" s="1291"/>
      <c r="B141" s="1291"/>
      <c r="C141" s="1291"/>
      <c r="D141" s="1291"/>
      <c r="E141" s="1291"/>
      <c r="F141" s="1291"/>
      <c r="G141" s="1291"/>
      <c r="H141" s="1291"/>
      <c r="I141" s="1285"/>
      <c r="J141" s="1286"/>
      <c r="K141" s="1286"/>
      <c r="L141" s="1286"/>
      <c r="M141" s="1286"/>
      <c r="N141" s="1287"/>
    </row>
    <row r="142" spans="1:14" x14ac:dyDescent="0.2">
      <c r="A142" s="1291"/>
      <c r="B142" s="1291"/>
      <c r="C142" s="1291"/>
      <c r="D142" s="1291"/>
      <c r="E142" s="1291"/>
      <c r="F142" s="1291"/>
      <c r="G142" s="1291"/>
      <c r="H142" s="1291"/>
      <c r="I142" s="1285"/>
      <c r="J142" s="1286"/>
      <c r="K142" s="1286"/>
      <c r="L142" s="1286"/>
      <c r="M142" s="1286"/>
      <c r="N142" s="1287"/>
    </row>
    <row r="143" spans="1:14" x14ac:dyDescent="0.2">
      <c r="A143" s="1291"/>
      <c r="B143" s="1291"/>
      <c r="C143" s="1291"/>
      <c r="D143" s="1291"/>
      <c r="E143" s="1291"/>
      <c r="F143" s="1291"/>
      <c r="G143" s="1291"/>
      <c r="H143" s="1291"/>
      <c r="I143" s="1285"/>
      <c r="J143" s="1286"/>
      <c r="K143" s="1286"/>
      <c r="L143" s="1286"/>
      <c r="M143" s="1286"/>
      <c r="N143" s="1287"/>
    </row>
    <row r="144" spans="1:14" x14ac:dyDescent="0.2">
      <c r="A144" s="1291"/>
      <c r="B144" s="1291"/>
      <c r="C144" s="1291"/>
      <c r="D144" s="1291"/>
      <c r="E144" s="1291"/>
      <c r="F144" s="1291"/>
      <c r="G144" s="1291"/>
      <c r="H144" s="1291"/>
      <c r="I144" s="1285"/>
      <c r="J144" s="1286"/>
      <c r="K144" s="1286"/>
      <c r="L144" s="1286"/>
      <c r="M144" s="1286"/>
      <c r="N144" s="1287"/>
    </row>
    <row r="145" spans="1:14" x14ac:dyDescent="0.2">
      <c r="A145" s="1291"/>
      <c r="B145" s="1291"/>
      <c r="C145" s="1291"/>
      <c r="D145" s="1291"/>
      <c r="E145" s="1291"/>
      <c r="F145" s="1291"/>
      <c r="G145" s="1291"/>
      <c r="H145" s="1291"/>
      <c r="I145" s="1285"/>
      <c r="J145" s="1286"/>
      <c r="K145" s="1286"/>
      <c r="L145" s="1286"/>
      <c r="M145" s="1286"/>
      <c r="N145" s="1287"/>
    </row>
    <row r="146" spans="1:14" x14ac:dyDescent="0.2">
      <c r="A146" s="1291"/>
      <c r="B146" s="1291"/>
      <c r="C146" s="1291"/>
      <c r="D146" s="1291"/>
      <c r="E146" s="1291"/>
      <c r="F146" s="1291"/>
      <c r="G146" s="1291"/>
      <c r="H146" s="1291"/>
      <c r="I146" s="1285"/>
      <c r="J146" s="1286"/>
      <c r="K146" s="1286"/>
      <c r="L146" s="1286"/>
      <c r="M146" s="1286"/>
      <c r="N146" s="1287"/>
    </row>
    <row r="147" spans="1:14" x14ac:dyDescent="0.2">
      <c r="A147" s="1291"/>
      <c r="B147" s="1291"/>
      <c r="C147" s="1291"/>
      <c r="D147" s="1291"/>
      <c r="E147" s="1291"/>
      <c r="F147" s="1291"/>
      <c r="G147" s="1291"/>
      <c r="H147" s="1291"/>
      <c r="I147" s="1285"/>
      <c r="J147" s="1286"/>
      <c r="K147" s="1286"/>
      <c r="L147" s="1286"/>
      <c r="M147" s="1286"/>
      <c r="N147" s="1287"/>
    </row>
    <row r="148" spans="1:14" x14ac:dyDescent="0.2">
      <c r="A148" s="1291"/>
      <c r="B148" s="1291"/>
      <c r="C148" s="1291"/>
      <c r="D148" s="1291"/>
      <c r="E148" s="1291"/>
      <c r="F148" s="1291"/>
      <c r="G148" s="1291"/>
      <c r="H148" s="1291"/>
      <c r="I148" s="1285"/>
      <c r="J148" s="1286"/>
      <c r="K148" s="1286"/>
      <c r="L148" s="1286"/>
      <c r="M148" s="1286"/>
      <c r="N148" s="1287"/>
    </row>
    <row r="149" spans="1:14" x14ac:dyDescent="0.2">
      <c r="A149" s="1291"/>
      <c r="B149" s="1291"/>
      <c r="C149" s="1291"/>
      <c r="D149" s="1291"/>
      <c r="E149" s="1291"/>
      <c r="F149" s="1291"/>
      <c r="G149" s="1291"/>
      <c r="H149" s="1291"/>
      <c r="I149" s="1285"/>
      <c r="J149" s="1286"/>
      <c r="K149" s="1286"/>
      <c r="L149" s="1286"/>
      <c r="M149" s="1286"/>
      <c r="N149" s="1287"/>
    </row>
    <row r="150" spans="1:14" x14ac:dyDescent="0.2">
      <c r="A150" s="1291"/>
      <c r="B150" s="1291"/>
      <c r="C150" s="1291"/>
      <c r="D150" s="1291"/>
      <c r="E150" s="1291"/>
      <c r="F150" s="1291"/>
      <c r="G150" s="1291"/>
      <c r="H150" s="1291"/>
      <c r="I150" s="1285"/>
      <c r="J150" s="1286"/>
      <c r="K150" s="1286"/>
      <c r="L150" s="1286"/>
      <c r="M150" s="1286"/>
      <c r="N150" s="1287"/>
    </row>
    <row r="151" spans="1:14" x14ac:dyDescent="0.2">
      <c r="A151" s="1291"/>
      <c r="B151" s="1291"/>
      <c r="C151" s="1291"/>
      <c r="D151" s="1291"/>
      <c r="E151" s="1291"/>
      <c r="F151" s="1291"/>
      <c r="G151" s="1291"/>
      <c r="H151" s="1291"/>
      <c r="I151" s="1285"/>
      <c r="J151" s="1286"/>
      <c r="K151" s="1286"/>
      <c r="L151" s="1286"/>
      <c r="M151" s="1286"/>
      <c r="N151" s="1287"/>
    </row>
    <row r="152" spans="1:14" x14ac:dyDescent="0.2">
      <c r="A152" s="1291"/>
      <c r="B152" s="1291"/>
      <c r="C152" s="1291"/>
      <c r="D152" s="1291"/>
      <c r="E152" s="1291"/>
      <c r="F152" s="1291"/>
      <c r="G152" s="1291"/>
      <c r="H152" s="1291"/>
      <c r="I152" s="1285"/>
      <c r="J152" s="1286"/>
      <c r="K152" s="1286"/>
      <c r="L152" s="1286"/>
      <c r="M152" s="1286"/>
      <c r="N152" s="1287"/>
    </row>
    <row r="153" spans="1:14" x14ac:dyDescent="0.2">
      <c r="A153" s="1291"/>
      <c r="B153" s="1291"/>
      <c r="C153" s="1291"/>
      <c r="D153" s="1291"/>
      <c r="E153" s="1291"/>
      <c r="F153" s="1291"/>
      <c r="G153" s="1291"/>
      <c r="H153" s="1291"/>
      <c r="I153" s="1285"/>
      <c r="J153" s="1286"/>
      <c r="K153" s="1286"/>
      <c r="L153" s="1286"/>
      <c r="M153" s="1286"/>
      <c r="N153" s="1287"/>
    </row>
    <row r="154" spans="1:14" x14ac:dyDescent="0.2">
      <c r="A154" s="1291"/>
      <c r="B154" s="1291"/>
      <c r="C154" s="1291"/>
      <c r="D154" s="1291"/>
      <c r="E154" s="1291"/>
      <c r="F154" s="1291"/>
      <c r="G154" s="1291"/>
      <c r="H154" s="1291"/>
      <c r="I154" s="1285"/>
      <c r="J154" s="1286"/>
      <c r="K154" s="1286"/>
      <c r="L154" s="1286"/>
      <c r="M154" s="1286"/>
      <c r="N154" s="1287"/>
    </row>
    <row r="155" spans="1:14" x14ac:dyDescent="0.2">
      <c r="A155" s="1291"/>
      <c r="B155" s="1291"/>
      <c r="C155" s="1291"/>
      <c r="D155" s="1291"/>
      <c r="E155" s="1291"/>
      <c r="F155" s="1291"/>
      <c r="G155" s="1291"/>
      <c r="H155" s="1291"/>
      <c r="I155" s="1285"/>
      <c r="J155" s="1286"/>
      <c r="K155" s="1286"/>
      <c r="L155" s="1286"/>
      <c r="M155" s="1286"/>
      <c r="N155" s="1287"/>
    </row>
    <row r="156" spans="1:14" x14ac:dyDescent="0.2">
      <c r="A156" s="1291"/>
      <c r="B156" s="1291"/>
      <c r="C156" s="1291"/>
      <c r="D156" s="1291"/>
      <c r="E156" s="1291"/>
      <c r="F156" s="1291"/>
      <c r="G156" s="1291"/>
      <c r="H156" s="1291"/>
      <c r="I156" s="1285"/>
      <c r="J156" s="1286"/>
      <c r="K156" s="1286"/>
      <c r="L156" s="1286"/>
      <c r="M156" s="1286"/>
      <c r="N156" s="1287"/>
    </row>
    <row r="157" spans="1:14" x14ac:dyDescent="0.2">
      <c r="A157" s="1291"/>
      <c r="B157" s="1291"/>
      <c r="C157" s="1291"/>
      <c r="D157" s="1291"/>
      <c r="E157" s="1291"/>
      <c r="F157" s="1291"/>
      <c r="G157" s="1291"/>
      <c r="H157" s="1291"/>
      <c r="I157" s="1285"/>
      <c r="J157" s="1286"/>
      <c r="K157" s="1286"/>
      <c r="L157" s="1286"/>
      <c r="M157" s="1286"/>
      <c r="N157" s="1287"/>
    </row>
    <row r="158" spans="1:14" x14ac:dyDescent="0.2">
      <c r="A158" s="1291"/>
      <c r="B158" s="1291"/>
      <c r="C158" s="1291"/>
      <c r="D158" s="1291"/>
      <c r="E158" s="1291"/>
      <c r="F158" s="1291"/>
      <c r="G158" s="1291"/>
      <c r="H158" s="1291"/>
      <c r="I158" s="1285"/>
      <c r="J158" s="1286"/>
      <c r="K158" s="1286"/>
      <c r="L158" s="1286"/>
      <c r="M158" s="1286"/>
      <c r="N158" s="1287"/>
    </row>
    <row r="159" spans="1:14" x14ac:dyDescent="0.2">
      <c r="A159" s="1291"/>
      <c r="B159" s="1291"/>
      <c r="C159" s="1291"/>
      <c r="D159" s="1291"/>
      <c r="E159" s="1291"/>
      <c r="F159" s="1291"/>
      <c r="G159" s="1291"/>
      <c r="H159" s="1291"/>
      <c r="I159" s="1285"/>
      <c r="J159" s="1286"/>
      <c r="K159" s="1286"/>
      <c r="L159" s="1286"/>
      <c r="M159" s="1286"/>
      <c r="N159" s="1287"/>
    </row>
    <row r="160" spans="1:14" x14ac:dyDescent="0.2">
      <c r="A160" s="1291"/>
      <c r="B160" s="1291"/>
      <c r="C160" s="1291"/>
      <c r="D160" s="1291"/>
      <c r="E160" s="1291"/>
      <c r="F160" s="1291"/>
      <c r="G160" s="1291"/>
      <c r="H160" s="1291"/>
      <c r="I160" s="1285"/>
      <c r="J160" s="1286"/>
      <c r="K160" s="1286"/>
      <c r="L160" s="1286"/>
      <c r="M160" s="1286"/>
      <c r="N160" s="1287"/>
    </row>
    <row r="161" spans="1:14" x14ac:dyDescent="0.2">
      <c r="A161" s="1291"/>
      <c r="B161" s="1291"/>
      <c r="C161" s="1291"/>
      <c r="D161" s="1291"/>
      <c r="E161" s="1291"/>
      <c r="F161" s="1291"/>
      <c r="G161" s="1291"/>
      <c r="H161" s="1291"/>
      <c r="I161" s="1285"/>
      <c r="J161" s="1286"/>
      <c r="K161" s="1286"/>
      <c r="L161" s="1286"/>
      <c r="M161" s="1286"/>
      <c r="N161" s="1287"/>
    </row>
    <row r="162" spans="1:14" x14ac:dyDescent="0.2">
      <c r="A162" s="1291"/>
      <c r="B162" s="1291"/>
      <c r="C162" s="1291"/>
      <c r="D162" s="1291"/>
      <c r="E162" s="1291"/>
      <c r="F162" s="1291"/>
      <c r="G162" s="1291"/>
      <c r="H162" s="1291"/>
      <c r="I162" s="1285"/>
      <c r="J162" s="1286"/>
      <c r="K162" s="1286"/>
      <c r="L162" s="1286"/>
      <c r="M162" s="1286"/>
      <c r="N162" s="1287"/>
    </row>
    <row r="163" spans="1:14" x14ac:dyDescent="0.2">
      <c r="A163" s="1291"/>
      <c r="B163" s="1291"/>
      <c r="C163" s="1291"/>
      <c r="D163" s="1291"/>
      <c r="E163" s="1291"/>
      <c r="F163" s="1291"/>
      <c r="G163" s="1291"/>
      <c r="H163" s="1291"/>
      <c r="I163" s="1285"/>
      <c r="J163" s="1286"/>
      <c r="K163" s="1286"/>
      <c r="L163" s="1286"/>
      <c r="M163" s="1286"/>
      <c r="N163" s="1287"/>
    </row>
    <row r="164" spans="1:14" x14ac:dyDescent="0.2">
      <c r="A164" s="1291"/>
      <c r="B164" s="1291"/>
      <c r="C164" s="1291"/>
      <c r="D164" s="1291"/>
      <c r="E164" s="1291"/>
      <c r="F164" s="1291"/>
      <c r="G164" s="1291"/>
      <c r="H164" s="1291"/>
      <c r="I164" s="1285"/>
      <c r="J164" s="1286"/>
      <c r="K164" s="1286"/>
      <c r="L164" s="1286"/>
      <c r="M164" s="1286"/>
      <c r="N164" s="1287"/>
    </row>
    <row r="165" spans="1:14" x14ac:dyDescent="0.2">
      <c r="A165" s="1291"/>
      <c r="B165" s="1291"/>
      <c r="C165" s="1291"/>
      <c r="D165" s="1291"/>
      <c r="E165" s="1291"/>
      <c r="F165" s="1291"/>
      <c r="G165" s="1291"/>
      <c r="H165" s="1291"/>
      <c r="I165" s="1285"/>
      <c r="J165" s="1286"/>
      <c r="K165" s="1286"/>
      <c r="L165" s="1286"/>
      <c r="M165" s="1286"/>
      <c r="N165" s="1287"/>
    </row>
    <row r="166" spans="1:14" x14ac:dyDescent="0.2">
      <c r="A166" s="1291"/>
      <c r="B166" s="1291"/>
      <c r="C166" s="1291"/>
      <c r="D166" s="1291"/>
      <c r="E166" s="1291"/>
      <c r="F166" s="1291"/>
      <c r="G166" s="1291"/>
      <c r="H166" s="1291"/>
      <c r="I166" s="1285"/>
      <c r="J166" s="1286"/>
      <c r="K166" s="1286"/>
      <c r="L166" s="1286"/>
      <c r="M166" s="1286"/>
      <c r="N166" s="1287"/>
    </row>
    <row r="167" spans="1:14" x14ac:dyDescent="0.2">
      <c r="A167" s="1291"/>
      <c r="B167" s="1291"/>
      <c r="C167" s="1291"/>
      <c r="D167" s="1291"/>
      <c r="E167" s="1291"/>
      <c r="F167" s="1291"/>
      <c r="G167" s="1291"/>
      <c r="H167" s="1291"/>
      <c r="I167" s="1285"/>
      <c r="J167" s="1286"/>
      <c r="K167" s="1286"/>
      <c r="L167" s="1286"/>
      <c r="M167" s="1286"/>
      <c r="N167" s="1287"/>
    </row>
    <row r="168" spans="1:14" x14ac:dyDescent="0.2">
      <c r="A168" s="1291"/>
      <c r="B168" s="1291"/>
      <c r="C168" s="1291"/>
      <c r="D168" s="1291"/>
      <c r="E168" s="1291"/>
      <c r="F168" s="1291"/>
      <c r="G168" s="1291"/>
      <c r="H168" s="1291"/>
      <c r="I168" s="1285"/>
      <c r="J168" s="1286"/>
      <c r="K168" s="1286"/>
      <c r="L168" s="1286"/>
      <c r="M168" s="1286"/>
      <c r="N168" s="1287"/>
    </row>
    <row r="169" spans="1:14" x14ac:dyDescent="0.2">
      <c r="A169" s="1291"/>
      <c r="B169" s="1291"/>
      <c r="C169" s="1291"/>
      <c r="D169" s="1291"/>
      <c r="E169" s="1291"/>
      <c r="F169" s="1291"/>
      <c r="G169" s="1291"/>
      <c r="H169" s="1291"/>
      <c r="I169" s="1285"/>
      <c r="J169" s="1286"/>
      <c r="K169" s="1286"/>
      <c r="L169" s="1286"/>
      <c r="M169" s="1286"/>
      <c r="N169" s="1287"/>
    </row>
    <row r="170" spans="1:14" x14ac:dyDescent="0.2">
      <c r="A170" s="1291"/>
      <c r="B170" s="1291"/>
      <c r="C170" s="1291"/>
      <c r="D170" s="1291"/>
      <c r="E170" s="1291"/>
      <c r="F170" s="1291"/>
      <c r="G170" s="1291"/>
      <c r="H170" s="1291"/>
      <c r="I170" s="1285"/>
      <c r="J170" s="1286"/>
      <c r="K170" s="1286"/>
      <c r="L170" s="1286"/>
      <c r="M170" s="1286"/>
      <c r="N170" s="1287"/>
    </row>
    <row r="171" spans="1:14" x14ac:dyDescent="0.2">
      <c r="A171" s="1291"/>
      <c r="B171" s="1291"/>
      <c r="C171" s="1291"/>
      <c r="D171" s="1291"/>
      <c r="E171" s="1291"/>
      <c r="F171" s="1291"/>
      <c r="G171" s="1291"/>
      <c r="H171" s="1291"/>
      <c r="I171" s="1285"/>
      <c r="J171" s="1286"/>
      <c r="K171" s="1286"/>
      <c r="L171" s="1286"/>
      <c r="M171" s="1286"/>
      <c r="N171" s="1287"/>
    </row>
    <row r="172" spans="1:14" x14ac:dyDescent="0.2">
      <c r="A172" s="1291"/>
      <c r="B172" s="1291"/>
      <c r="C172" s="1291"/>
      <c r="D172" s="1291"/>
      <c r="E172" s="1291"/>
      <c r="F172" s="1291"/>
      <c r="G172" s="1291"/>
      <c r="H172" s="1291"/>
      <c r="I172" s="1285"/>
      <c r="J172" s="1286"/>
      <c r="K172" s="1286"/>
      <c r="L172" s="1286"/>
      <c r="M172" s="1286"/>
      <c r="N172" s="1287"/>
    </row>
    <row r="173" spans="1:14" x14ac:dyDescent="0.2">
      <c r="A173" s="1291"/>
      <c r="B173" s="1291"/>
      <c r="C173" s="1291"/>
      <c r="D173" s="1291"/>
      <c r="E173" s="1291"/>
      <c r="F173" s="1291"/>
      <c r="G173" s="1291"/>
      <c r="H173" s="1291"/>
      <c r="I173" s="1285"/>
      <c r="J173" s="1286"/>
      <c r="K173" s="1286"/>
      <c r="L173" s="1286"/>
      <c r="M173" s="1286"/>
      <c r="N173" s="1287"/>
    </row>
    <row r="174" spans="1:14" x14ac:dyDescent="0.2">
      <c r="A174" s="1291"/>
      <c r="B174" s="1291"/>
      <c r="C174" s="1291"/>
      <c r="D174" s="1291"/>
      <c r="E174" s="1291"/>
      <c r="F174" s="1291"/>
      <c r="G174" s="1291"/>
      <c r="H174" s="1291"/>
      <c r="I174" s="1285"/>
      <c r="J174" s="1286"/>
      <c r="K174" s="1286"/>
      <c r="L174" s="1286"/>
      <c r="M174" s="1286"/>
      <c r="N174" s="1287"/>
    </row>
    <row r="175" spans="1:14" x14ac:dyDescent="0.2">
      <c r="A175" s="1291"/>
      <c r="B175" s="1291"/>
      <c r="C175" s="1291"/>
      <c r="D175" s="1291"/>
      <c r="E175" s="1291"/>
      <c r="F175" s="1291"/>
      <c r="G175" s="1291"/>
      <c r="H175" s="1291"/>
      <c r="I175" s="1285"/>
      <c r="J175" s="1286"/>
      <c r="K175" s="1286"/>
      <c r="L175" s="1286"/>
      <c r="M175" s="1286"/>
      <c r="N175" s="1287"/>
    </row>
    <row r="176" spans="1:14" x14ac:dyDescent="0.2">
      <c r="A176" s="1291"/>
      <c r="B176" s="1291"/>
      <c r="C176" s="1291"/>
      <c r="D176" s="1291"/>
      <c r="E176" s="1291"/>
      <c r="F176" s="1291"/>
      <c r="G176" s="1291"/>
      <c r="H176" s="1291"/>
      <c r="I176" s="1285"/>
      <c r="J176" s="1286"/>
      <c r="K176" s="1286"/>
      <c r="L176" s="1286"/>
      <c r="M176" s="1286"/>
      <c r="N176" s="1287"/>
    </row>
    <row r="177" spans="1:14" x14ac:dyDescent="0.2">
      <c r="A177" s="1291"/>
      <c r="B177" s="1291"/>
      <c r="C177" s="1291"/>
      <c r="D177" s="1291"/>
      <c r="E177" s="1291"/>
      <c r="F177" s="1291"/>
      <c r="G177" s="1291"/>
      <c r="H177" s="1291"/>
      <c r="I177" s="1285"/>
      <c r="J177" s="1286"/>
      <c r="K177" s="1286"/>
      <c r="L177" s="1286"/>
      <c r="M177" s="1286"/>
      <c r="N177" s="1287"/>
    </row>
    <row r="178" spans="1:14" x14ac:dyDescent="0.2">
      <c r="A178" s="1291"/>
      <c r="B178" s="1291"/>
      <c r="C178" s="1291"/>
      <c r="D178" s="1291"/>
      <c r="E178" s="1291"/>
      <c r="F178" s="1291"/>
      <c r="G178" s="1291"/>
      <c r="H178" s="1291"/>
      <c r="I178" s="1285"/>
      <c r="J178" s="1286"/>
      <c r="K178" s="1286"/>
      <c r="L178" s="1286"/>
      <c r="M178" s="1286"/>
      <c r="N178" s="1287"/>
    </row>
    <row r="179" spans="1:14" x14ac:dyDescent="0.2">
      <c r="A179" s="1291"/>
      <c r="B179" s="1291"/>
      <c r="C179" s="1291"/>
      <c r="D179" s="1291"/>
      <c r="E179" s="1291"/>
      <c r="F179" s="1291"/>
      <c r="G179" s="1291"/>
      <c r="H179" s="1291"/>
      <c r="I179" s="1285"/>
      <c r="J179" s="1286"/>
      <c r="K179" s="1286"/>
      <c r="L179" s="1286"/>
      <c r="M179" s="1286"/>
      <c r="N179" s="1287"/>
    </row>
    <row r="180" spans="1:14" x14ac:dyDescent="0.2">
      <c r="A180" s="1291"/>
      <c r="B180" s="1291"/>
      <c r="C180" s="1291"/>
      <c r="D180" s="1291"/>
      <c r="E180" s="1291"/>
      <c r="F180" s="1291"/>
      <c r="G180" s="1291"/>
      <c r="H180" s="1291"/>
      <c r="I180" s="1285"/>
      <c r="J180" s="1286"/>
      <c r="K180" s="1286"/>
      <c r="L180" s="1286"/>
      <c r="M180" s="1286"/>
      <c r="N180" s="1287"/>
    </row>
    <row r="181" spans="1:14" x14ac:dyDescent="0.2">
      <c r="A181" s="1291"/>
      <c r="B181" s="1291"/>
      <c r="C181" s="1291"/>
      <c r="D181" s="1291"/>
      <c r="E181" s="1291"/>
      <c r="F181" s="1291"/>
      <c r="G181" s="1291"/>
      <c r="H181" s="1291"/>
      <c r="I181" s="1285"/>
      <c r="J181" s="1286"/>
      <c r="K181" s="1286"/>
      <c r="L181" s="1286"/>
      <c r="M181" s="1286"/>
      <c r="N181" s="1287"/>
    </row>
    <row r="182" spans="1:14" x14ac:dyDescent="0.2">
      <c r="A182" s="1291"/>
      <c r="B182" s="1291"/>
      <c r="C182" s="1291"/>
      <c r="D182" s="1291"/>
      <c r="E182" s="1291"/>
      <c r="F182" s="1291"/>
      <c r="G182" s="1291"/>
      <c r="H182" s="1291"/>
      <c r="I182" s="1285"/>
      <c r="J182" s="1286"/>
      <c r="K182" s="1286"/>
      <c r="L182" s="1286"/>
      <c r="M182" s="1286"/>
      <c r="N182" s="1287"/>
    </row>
    <row r="183" spans="1:14" x14ac:dyDescent="0.2">
      <c r="A183" s="1291"/>
      <c r="B183" s="1291"/>
      <c r="C183" s="1291"/>
      <c r="D183" s="1291"/>
      <c r="E183" s="1291"/>
      <c r="F183" s="1291"/>
      <c r="G183" s="1291"/>
      <c r="H183" s="1291"/>
      <c r="I183" s="1285"/>
      <c r="J183" s="1286"/>
      <c r="K183" s="1286"/>
      <c r="L183" s="1286"/>
      <c r="M183" s="1286"/>
      <c r="N183" s="1287"/>
    </row>
    <row r="184" spans="1:14" x14ac:dyDescent="0.2">
      <c r="A184" s="1291"/>
      <c r="B184" s="1291"/>
      <c r="C184" s="1291"/>
      <c r="D184" s="1291"/>
      <c r="E184" s="1291"/>
      <c r="F184" s="1291"/>
      <c r="G184" s="1291"/>
      <c r="H184" s="1291"/>
      <c r="I184" s="1285"/>
      <c r="J184" s="1286"/>
      <c r="K184" s="1286"/>
      <c r="L184" s="1286"/>
      <c r="M184" s="1286"/>
      <c r="N184" s="1287"/>
    </row>
    <row r="185" spans="1:14" x14ac:dyDescent="0.2">
      <c r="A185" s="1291"/>
      <c r="B185" s="1291"/>
      <c r="C185" s="1291"/>
      <c r="D185" s="1291"/>
      <c r="E185" s="1291"/>
      <c r="F185" s="1291"/>
      <c r="G185" s="1291"/>
      <c r="H185" s="1291"/>
      <c r="I185" s="1285"/>
      <c r="J185" s="1286"/>
      <c r="K185" s="1286"/>
      <c r="L185" s="1286"/>
      <c r="M185" s="1286"/>
      <c r="N185" s="1287"/>
    </row>
    <row r="186" spans="1:14" x14ac:dyDescent="0.2">
      <c r="A186" s="1291"/>
      <c r="B186" s="1291"/>
      <c r="C186" s="1291"/>
      <c r="D186" s="1291"/>
      <c r="E186" s="1291"/>
      <c r="F186" s="1291"/>
      <c r="G186" s="1291"/>
      <c r="H186" s="1291"/>
      <c r="I186" s="1285"/>
      <c r="J186" s="1286"/>
      <c r="K186" s="1286"/>
      <c r="L186" s="1286"/>
      <c r="M186" s="1286"/>
      <c r="N186" s="1287"/>
    </row>
    <row r="187" spans="1:14" x14ac:dyDescent="0.2">
      <c r="A187" s="1291"/>
      <c r="B187" s="1291"/>
      <c r="C187" s="1291"/>
      <c r="D187" s="1291"/>
      <c r="E187" s="1291"/>
      <c r="F187" s="1291"/>
      <c r="G187" s="1291"/>
      <c r="H187" s="1291"/>
      <c r="I187" s="1285"/>
      <c r="J187" s="1286"/>
      <c r="K187" s="1286"/>
      <c r="L187" s="1286"/>
      <c r="M187" s="1286"/>
      <c r="N187" s="1287"/>
    </row>
    <row r="188" spans="1:14" x14ac:dyDescent="0.2">
      <c r="A188" s="1291"/>
      <c r="B188" s="1291"/>
      <c r="C188" s="1291"/>
      <c r="D188" s="1291"/>
      <c r="E188" s="1291"/>
      <c r="F188" s="1291"/>
      <c r="G188" s="1291"/>
      <c r="H188" s="1291"/>
      <c r="I188" s="1285"/>
      <c r="J188" s="1286"/>
      <c r="K188" s="1286"/>
      <c r="L188" s="1286"/>
      <c r="M188" s="1286"/>
      <c r="N188" s="1287"/>
    </row>
    <row r="189" spans="1:14" x14ac:dyDescent="0.2">
      <c r="A189" s="1291"/>
      <c r="B189" s="1291"/>
      <c r="C189" s="1291"/>
      <c r="D189" s="1291"/>
      <c r="E189" s="1291"/>
      <c r="F189" s="1291"/>
      <c r="G189" s="1291"/>
      <c r="H189" s="1291"/>
      <c r="I189" s="1285"/>
      <c r="J189" s="1286"/>
      <c r="K189" s="1286"/>
      <c r="L189" s="1286"/>
      <c r="M189" s="1286"/>
      <c r="N189" s="1287"/>
    </row>
    <row r="190" spans="1:14" x14ac:dyDescent="0.2">
      <c r="A190" s="1291"/>
      <c r="B190" s="1291"/>
      <c r="C190" s="1291"/>
      <c r="D190" s="1291"/>
      <c r="E190" s="1291"/>
      <c r="F190" s="1291"/>
      <c r="G190" s="1291"/>
      <c r="H190" s="1291"/>
      <c r="I190" s="1285"/>
      <c r="J190" s="1286"/>
      <c r="K190" s="1286"/>
      <c r="L190" s="1286"/>
      <c r="M190" s="1286"/>
      <c r="N190" s="1287"/>
    </row>
    <row r="191" spans="1:14" x14ac:dyDescent="0.2">
      <c r="A191" s="1291"/>
      <c r="B191" s="1291"/>
      <c r="C191" s="1291"/>
      <c r="D191" s="1291"/>
      <c r="E191" s="1291"/>
      <c r="F191" s="1291"/>
      <c r="G191" s="1291"/>
      <c r="H191" s="1291"/>
      <c r="I191" s="1285"/>
      <c r="J191" s="1286"/>
      <c r="K191" s="1286"/>
      <c r="L191" s="1286"/>
      <c r="M191" s="1286"/>
      <c r="N191" s="1287"/>
    </row>
    <row r="192" spans="1:14" x14ac:dyDescent="0.2">
      <c r="A192" s="1291"/>
      <c r="B192" s="1291"/>
      <c r="C192" s="1291"/>
      <c r="D192" s="1291"/>
      <c r="E192" s="1291"/>
      <c r="F192" s="1291"/>
      <c r="G192" s="1291"/>
      <c r="H192" s="1291"/>
      <c r="I192" s="1285"/>
      <c r="J192" s="1286"/>
      <c r="K192" s="1286"/>
      <c r="L192" s="1286"/>
      <c r="M192" s="1286"/>
      <c r="N192" s="1287"/>
    </row>
    <row r="193" spans="1:14" x14ac:dyDescent="0.2">
      <c r="A193" s="1291"/>
      <c r="B193" s="1291"/>
      <c r="C193" s="1291"/>
      <c r="D193" s="1291"/>
      <c r="E193" s="1291"/>
      <c r="F193" s="1291"/>
      <c r="G193" s="1291"/>
      <c r="H193" s="1291"/>
      <c r="I193" s="1285"/>
      <c r="J193" s="1286"/>
      <c r="K193" s="1286"/>
      <c r="L193" s="1286"/>
      <c r="M193" s="1286"/>
      <c r="N193" s="1287"/>
    </row>
    <row r="194" spans="1:14" x14ac:dyDescent="0.2">
      <c r="A194" s="1291"/>
      <c r="B194" s="1291"/>
      <c r="C194" s="1291"/>
      <c r="D194" s="1291"/>
      <c r="E194" s="1291"/>
      <c r="F194" s="1291"/>
      <c r="G194" s="1291"/>
      <c r="H194" s="1291"/>
      <c r="I194" s="1285"/>
      <c r="J194" s="1286"/>
      <c r="K194" s="1286"/>
      <c r="L194" s="1286"/>
      <c r="M194" s="1286"/>
      <c r="N194" s="1287"/>
    </row>
    <row r="195" spans="1:14" x14ac:dyDescent="0.2">
      <c r="A195" s="1291"/>
      <c r="B195" s="1291"/>
      <c r="C195" s="1291"/>
      <c r="D195" s="1291"/>
      <c r="E195" s="1291"/>
      <c r="F195" s="1291"/>
      <c r="G195" s="1291"/>
      <c r="H195" s="1291"/>
      <c r="I195" s="1285"/>
      <c r="J195" s="1286"/>
      <c r="K195" s="1286"/>
      <c r="L195" s="1286"/>
      <c r="M195" s="1286"/>
      <c r="N195" s="1287"/>
    </row>
    <row r="196" spans="1:14" x14ac:dyDescent="0.2">
      <c r="A196" s="1291"/>
      <c r="B196" s="1291"/>
      <c r="C196" s="1291"/>
      <c r="D196" s="1291"/>
      <c r="E196" s="1291"/>
      <c r="F196" s="1291"/>
      <c r="G196" s="1291"/>
      <c r="H196" s="1291"/>
      <c r="I196" s="1285"/>
      <c r="J196" s="1286"/>
      <c r="K196" s="1286"/>
      <c r="L196" s="1286"/>
      <c r="M196" s="1286"/>
      <c r="N196" s="1287"/>
    </row>
    <row r="197" spans="1:14" x14ac:dyDescent="0.2">
      <c r="A197" s="1291"/>
      <c r="B197" s="1291"/>
      <c r="C197" s="1291"/>
      <c r="D197" s="1291"/>
      <c r="E197" s="1291"/>
      <c r="F197" s="1291"/>
      <c r="G197" s="1291"/>
      <c r="H197" s="1291"/>
      <c r="I197" s="1285"/>
      <c r="J197" s="1286"/>
      <c r="K197" s="1286"/>
      <c r="L197" s="1286"/>
      <c r="M197" s="1286"/>
      <c r="N197" s="1287"/>
    </row>
    <row r="198" spans="1:14" x14ac:dyDescent="0.2">
      <c r="A198" s="1291"/>
      <c r="B198" s="1291"/>
      <c r="C198" s="1291"/>
      <c r="D198" s="1291"/>
      <c r="E198" s="1291"/>
      <c r="F198" s="1291"/>
      <c r="G198" s="1291"/>
      <c r="H198" s="1291"/>
      <c r="I198" s="1285"/>
      <c r="J198" s="1286"/>
      <c r="K198" s="1286"/>
      <c r="L198" s="1286"/>
      <c r="M198" s="1286"/>
      <c r="N198" s="1287"/>
    </row>
    <row r="199" spans="1:14" x14ac:dyDescent="0.2">
      <c r="A199" s="1291"/>
      <c r="B199" s="1291"/>
      <c r="C199" s="1291"/>
      <c r="D199" s="1291"/>
      <c r="E199" s="1291"/>
      <c r="F199" s="1291"/>
      <c r="G199" s="1291"/>
      <c r="H199" s="1291"/>
      <c r="I199" s="1285"/>
      <c r="J199" s="1286"/>
      <c r="K199" s="1286"/>
      <c r="L199" s="1286"/>
      <c r="M199" s="1286"/>
      <c r="N199" s="1287"/>
    </row>
    <row r="200" spans="1:14" x14ac:dyDescent="0.2">
      <c r="A200" s="1291"/>
      <c r="B200" s="1291"/>
      <c r="C200" s="1291"/>
      <c r="D200" s="1291"/>
      <c r="E200" s="1291"/>
      <c r="F200" s="1291"/>
      <c r="G200" s="1291"/>
      <c r="H200" s="1291"/>
      <c r="I200" s="1285"/>
      <c r="J200" s="1286"/>
      <c r="K200" s="1286"/>
      <c r="L200" s="1286"/>
      <c r="M200" s="1286"/>
      <c r="N200" s="1287"/>
    </row>
    <row r="201" spans="1:14" x14ac:dyDescent="0.2">
      <c r="A201" s="1291"/>
      <c r="B201" s="1291"/>
      <c r="C201" s="1291"/>
      <c r="D201" s="1291"/>
      <c r="E201" s="1291"/>
      <c r="F201" s="1291"/>
      <c r="G201" s="1291"/>
      <c r="H201" s="1291"/>
      <c r="I201" s="1285"/>
      <c r="J201" s="1286"/>
      <c r="K201" s="1286"/>
      <c r="L201" s="1286"/>
      <c r="M201" s="1286"/>
      <c r="N201" s="1287"/>
    </row>
    <row r="202" spans="1:14" x14ac:dyDescent="0.2">
      <c r="A202" s="1291"/>
      <c r="B202" s="1291"/>
      <c r="C202" s="1291"/>
      <c r="D202" s="1291"/>
      <c r="E202" s="1291"/>
      <c r="F202" s="1291"/>
      <c r="G202" s="1291"/>
      <c r="H202" s="1291"/>
      <c r="I202" s="1285"/>
      <c r="J202" s="1286"/>
      <c r="K202" s="1286"/>
      <c r="L202" s="1286"/>
      <c r="M202" s="1286"/>
      <c r="N202" s="1287"/>
    </row>
    <row r="203" spans="1:14" x14ac:dyDescent="0.2">
      <c r="A203" s="1291"/>
      <c r="B203" s="1291"/>
      <c r="C203" s="1291"/>
      <c r="D203" s="1291"/>
      <c r="E203" s="1291"/>
      <c r="F203" s="1291"/>
      <c r="G203" s="1291"/>
      <c r="H203" s="1291"/>
      <c r="I203" s="1285"/>
      <c r="J203" s="1286"/>
      <c r="K203" s="1286"/>
      <c r="L203" s="1286"/>
      <c r="M203" s="1286"/>
      <c r="N203" s="1287"/>
    </row>
    <row r="204" spans="1:14" x14ac:dyDescent="0.2">
      <c r="A204" s="1291"/>
      <c r="B204" s="1291"/>
      <c r="C204" s="1291"/>
      <c r="D204" s="1291"/>
      <c r="E204" s="1291"/>
      <c r="F204" s="1291"/>
      <c r="G204" s="1291"/>
      <c r="H204" s="1291"/>
      <c r="I204" s="1285"/>
      <c r="J204" s="1286"/>
      <c r="K204" s="1286"/>
      <c r="L204" s="1286"/>
      <c r="M204" s="1286"/>
      <c r="N204" s="1287"/>
    </row>
    <row r="205" spans="1:14" x14ac:dyDescent="0.2">
      <c r="A205" s="1291"/>
      <c r="B205" s="1291"/>
      <c r="C205" s="1291"/>
      <c r="D205" s="1291"/>
      <c r="E205" s="1291"/>
      <c r="F205" s="1291"/>
      <c r="G205" s="1291"/>
      <c r="H205" s="1291"/>
      <c r="I205" s="1285"/>
      <c r="J205" s="1286"/>
      <c r="K205" s="1286"/>
      <c r="L205" s="1286"/>
      <c r="M205" s="1286"/>
      <c r="N205" s="1287"/>
    </row>
    <row r="206" spans="1:14" x14ac:dyDescent="0.2">
      <c r="A206" s="1291"/>
      <c r="B206" s="1291"/>
      <c r="C206" s="1291"/>
      <c r="D206" s="1291"/>
      <c r="E206" s="1291"/>
      <c r="F206" s="1291"/>
      <c r="G206" s="1291"/>
      <c r="H206" s="1291"/>
      <c r="I206" s="1285"/>
      <c r="J206" s="1286"/>
      <c r="K206" s="1286"/>
      <c r="L206" s="1286"/>
      <c r="M206" s="1286"/>
      <c r="N206" s="1287"/>
    </row>
    <row r="207" spans="1:14" x14ac:dyDescent="0.2">
      <c r="A207" s="1291"/>
      <c r="B207" s="1291"/>
      <c r="C207" s="1291"/>
      <c r="D207" s="1291"/>
      <c r="E207" s="1291"/>
      <c r="F207" s="1291"/>
      <c r="G207" s="1291"/>
      <c r="H207" s="1291"/>
      <c r="I207" s="1285"/>
      <c r="J207" s="1286"/>
      <c r="K207" s="1286"/>
      <c r="L207" s="1286"/>
      <c r="M207" s="1286"/>
      <c r="N207" s="1287"/>
    </row>
    <row r="208" spans="1:14" x14ac:dyDescent="0.2">
      <c r="A208" s="1291"/>
      <c r="B208" s="1291"/>
      <c r="C208" s="1291"/>
      <c r="D208" s="1291"/>
      <c r="E208" s="1291"/>
      <c r="F208" s="1291"/>
      <c r="G208" s="1291"/>
      <c r="H208" s="1291"/>
      <c r="I208" s="1285"/>
      <c r="J208" s="1286"/>
      <c r="K208" s="1286"/>
      <c r="L208" s="1286"/>
      <c r="M208" s="1286"/>
      <c r="N208" s="1287"/>
    </row>
    <row r="209" spans="1:14" x14ac:dyDescent="0.2">
      <c r="A209" s="1291"/>
      <c r="B209" s="1291"/>
      <c r="C209" s="1291"/>
      <c r="D209" s="1291"/>
      <c r="E209" s="1291"/>
      <c r="F209" s="1291"/>
      <c r="G209" s="1291"/>
      <c r="H209" s="1291"/>
      <c r="I209" s="1285"/>
      <c r="J209" s="1286"/>
      <c r="K209" s="1286"/>
      <c r="L209" s="1286"/>
      <c r="M209" s="1286"/>
      <c r="N209" s="1287"/>
    </row>
    <row r="210" spans="1:14" x14ac:dyDescent="0.2">
      <c r="A210" s="1291"/>
      <c r="B210" s="1291"/>
      <c r="C210" s="1291"/>
      <c r="D210" s="1291"/>
      <c r="E210" s="1291"/>
      <c r="F210" s="1291"/>
      <c r="G210" s="1291"/>
      <c r="H210" s="1291"/>
      <c r="I210" s="1285"/>
      <c r="J210" s="1286"/>
      <c r="K210" s="1286"/>
      <c r="L210" s="1286"/>
      <c r="M210" s="1286"/>
      <c r="N210" s="1287"/>
    </row>
    <row r="211" spans="1:14" x14ac:dyDescent="0.2">
      <c r="A211" s="1291"/>
      <c r="B211" s="1291"/>
      <c r="C211" s="1291"/>
      <c r="D211" s="1291"/>
      <c r="E211" s="1291"/>
      <c r="F211" s="1291"/>
      <c r="G211" s="1291"/>
      <c r="H211" s="1291"/>
      <c r="I211" s="1285"/>
      <c r="J211" s="1286"/>
      <c r="K211" s="1286"/>
      <c r="L211" s="1286"/>
      <c r="M211" s="1286"/>
      <c r="N211" s="1287"/>
    </row>
    <row r="212" spans="1:14" x14ac:dyDescent="0.2">
      <c r="A212" s="1291"/>
      <c r="B212" s="1291"/>
      <c r="C212" s="1291"/>
      <c r="D212" s="1291"/>
      <c r="E212" s="1291"/>
      <c r="F212" s="1291"/>
      <c r="G212" s="1291"/>
      <c r="H212" s="1291"/>
      <c r="I212" s="1285"/>
      <c r="J212" s="1286"/>
      <c r="K212" s="1286"/>
      <c r="L212" s="1286"/>
      <c r="M212" s="1286"/>
      <c r="N212" s="1287"/>
    </row>
    <row r="213" spans="1:14" x14ac:dyDescent="0.2">
      <c r="A213" s="1291"/>
      <c r="B213" s="1291"/>
      <c r="C213" s="1291"/>
      <c r="D213" s="1291"/>
      <c r="E213" s="1291"/>
      <c r="F213" s="1291"/>
      <c r="G213" s="1291"/>
      <c r="H213" s="1291"/>
      <c r="I213" s="1285"/>
      <c r="J213" s="1286"/>
      <c r="K213" s="1286"/>
      <c r="L213" s="1286"/>
      <c r="M213" s="1286"/>
      <c r="N213" s="1287"/>
    </row>
    <row r="214" spans="1:14" x14ac:dyDescent="0.2">
      <c r="A214" s="1291"/>
      <c r="B214" s="1291"/>
      <c r="C214" s="1291"/>
      <c r="D214" s="1291"/>
      <c r="E214" s="1291"/>
      <c r="F214" s="1291"/>
      <c r="G214" s="1291"/>
      <c r="H214" s="1291"/>
      <c r="I214" s="1285"/>
      <c r="J214" s="1286"/>
      <c r="K214" s="1286"/>
      <c r="L214" s="1286"/>
      <c r="M214" s="1286"/>
      <c r="N214" s="1287"/>
    </row>
    <row r="215" spans="1:14" x14ac:dyDescent="0.2">
      <c r="A215" s="1291"/>
      <c r="B215" s="1291"/>
      <c r="C215" s="1291"/>
      <c r="D215" s="1291"/>
      <c r="E215" s="1291"/>
      <c r="F215" s="1291"/>
      <c r="G215" s="1291"/>
      <c r="H215" s="1291"/>
      <c r="I215" s="1285"/>
      <c r="J215" s="1286"/>
      <c r="K215" s="1286"/>
      <c r="L215" s="1286"/>
      <c r="M215" s="1286"/>
      <c r="N215" s="1287"/>
    </row>
    <row r="216" spans="1:14" x14ac:dyDescent="0.2">
      <c r="A216" s="1291"/>
      <c r="B216" s="1291"/>
      <c r="C216" s="1291"/>
      <c r="D216" s="1291"/>
      <c r="E216" s="1291"/>
      <c r="F216" s="1291"/>
      <c r="G216" s="1291"/>
      <c r="H216" s="1291"/>
      <c r="I216" s="1285"/>
      <c r="J216" s="1286"/>
      <c r="K216" s="1286"/>
      <c r="L216" s="1286"/>
      <c r="M216" s="1286"/>
      <c r="N216" s="1287"/>
    </row>
    <row r="217" spans="1:14" x14ac:dyDescent="0.2">
      <c r="A217" s="1291"/>
      <c r="B217" s="1291"/>
      <c r="C217" s="1291"/>
      <c r="D217" s="1291"/>
      <c r="E217" s="1291"/>
      <c r="F217" s="1291"/>
      <c r="G217" s="1291"/>
      <c r="H217" s="1291"/>
      <c r="I217" s="1285"/>
      <c r="J217" s="1286"/>
      <c r="K217" s="1286"/>
      <c r="L217" s="1286"/>
      <c r="M217" s="1286"/>
      <c r="N217" s="1287"/>
    </row>
    <row r="218" spans="1:14" x14ac:dyDescent="0.2">
      <c r="A218" s="1291"/>
      <c r="B218" s="1291"/>
      <c r="C218" s="1291"/>
      <c r="D218" s="1291"/>
      <c r="E218" s="1291"/>
      <c r="F218" s="1291"/>
      <c r="G218" s="1291"/>
      <c r="H218" s="1291"/>
      <c r="I218" s="1285"/>
      <c r="J218" s="1286"/>
      <c r="K218" s="1286"/>
      <c r="L218" s="1286"/>
      <c r="M218" s="1286"/>
      <c r="N218" s="1287"/>
    </row>
    <row r="219" spans="1:14" x14ac:dyDescent="0.2">
      <c r="A219" s="1291"/>
      <c r="B219" s="1291"/>
      <c r="C219" s="1291"/>
      <c r="D219" s="1291"/>
      <c r="E219" s="1291"/>
      <c r="F219" s="1291"/>
      <c r="G219" s="1291"/>
      <c r="H219" s="1291"/>
      <c r="I219" s="1285"/>
      <c r="J219" s="1286"/>
      <c r="K219" s="1286"/>
      <c r="L219" s="1286"/>
      <c r="M219" s="1286"/>
      <c r="N219" s="1287"/>
    </row>
    <row r="220" spans="1:14" x14ac:dyDescent="0.2">
      <c r="A220" s="1291"/>
      <c r="B220" s="1291"/>
      <c r="C220" s="1291"/>
      <c r="D220" s="1291"/>
      <c r="E220" s="1291"/>
      <c r="F220" s="1291"/>
      <c r="G220" s="1291"/>
      <c r="H220" s="1291"/>
      <c r="I220" s="1285"/>
      <c r="J220" s="1286"/>
      <c r="K220" s="1286"/>
      <c r="L220" s="1286"/>
      <c r="M220" s="1286"/>
      <c r="N220" s="1287"/>
    </row>
    <row r="221" spans="1:14" x14ac:dyDescent="0.2">
      <c r="A221" s="1291"/>
      <c r="B221" s="1291"/>
      <c r="C221" s="1291"/>
      <c r="D221" s="1291"/>
      <c r="E221" s="1291"/>
      <c r="F221" s="1291"/>
      <c r="G221" s="1291"/>
      <c r="H221" s="1291"/>
      <c r="I221" s="1285"/>
      <c r="J221" s="1286"/>
      <c r="K221" s="1286"/>
      <c r="L221" s="1286"/>
      <c r="M221" s="1286"/>
      <c r="N221" s="1287"/>
    </row>
    <row r="222" spans="1:14" x14ac:dyDescent="0.2">
      <c r="A222" s="1291"/>
      <c r="B222" s="1291"/>
      <c r="C222" s="1291"/>
      <c r="D222" s="1291"/>
      <c r="E222" s="1291"/>
      <c r="F222" s="1291"/>
      <c r="G222" s="1291"/>
      <c r="H222" s="1291"/>
      <c r="I222" s="1285"/>
      <c r="J222" s="1286"/>
      <c r="K222" s="1286"/>
      <c r="L222" s="1286"/>
      <c r="M222" s="1286"/>
      <c r="N222" s="1287"/>
    </row>
    <row r="223" spans="1:14" x14ac:dyDescent="0.2">
      <c r="A223" s="1291"/>
      <c r="B223" s="1291"/>
      <c r="C223" s="1291"/>
      <c r="D223" s="1291"/>
      <c r="E223" s="1291"/>
      <c r="F223" s="1291"/>
      <c r="G223" s="1291"/>
      <c r="H223" s="1291"/>
      <c r="I223" s="1285"/>
      <c r="J223" s="1286"/>
      <c r="K223" s="1286"/>
      <c r="L223" s="1286"/>
      <c r="M223" s="1286"/>
      <c r="N223" s="1287"/>
    </row>
    <row r="224" spans="1:14" x14ac:dyDescent="0.2">
      <c r="A224" s="1291"/>
      <c r="B224" s="1291"/>
      <c r="C224" s="1291"/>
      <c r="D224" s="1291"/>
      <c r="E224" s="1291"/>
      <c r="F224" s="1291"/>
      <c r="G224" s="1291"/>
      <c r="H224" s="1291"/>
      <c r="I224" s="1285"/>
      <c r="J224" s="1286"/>
      <c r="K224" s="1286"/>
      <c r="L224" s="1286"/>
      <c r="M224" s="1286"/>
      <c r="N224" s="1287"/>
    </row>
    <row r="225" spans="1:14" x14ac:dyDescent="0.2">
      <c r="A225" s="1291"/>
      <c r="B225" s="1291"/>
      <c r="C225" s="1291"/>
      <c r="D225" s="1291"/>
      <c r="E225" s="1291"/>
      <c r="F225" s="1291"/>
      <c r="G225" s="1291"/>
      <c r="H225" s="1291"/>
      <c r="I225" s="1285"/>
      <c r="J225" s="1286"/>
      <c r="K225" s="1286"/>
      <c r="L225" s="1286"/>
      <c r="M225" s="1286"/>
      <c r="N225" s="1287"/>
    </row>
    <row r="226" spans="1:14" x14ac:dyDescent="0.2">
      <c r="A226" s="1291"/>
      <c r="B226" s="1291"/>
      <c r="C226" s="1291"/>
      <c r="D226" s="1291"/>
      <c r="E226" s="1291"/>
      <c r="F226" s="1291"/>
      <c r="G226" s="1291"/>
      <c r="H226" s="1291"/>
      <c r="I226" s="1285"/>
      <c r="J226" s="1286"/>
      <c r="K226" s="1286"/>
      <c r="L226" s="1286"/>
      <c r="M226" s="1286"/>
      <c r="N226" s="1287"/>
    </row>
    <row r="227" spans="1:14" x14ac:dyDescent="0.2">
      <c r="A227" s="1291"/>
      <c r="B227" s="1291"/>
      <c r="C227" s="1291"/>
      <c r="D227" s="1291"/>
      <c r="E227" s="1291"/>
      <c r="F227" s="1291"/>
      <c r="G227" s="1291"/>
      <c r="H227" s="1291"/>
      <c r="I227" s="1285"/>
      <c r="J227" s="1286"/>
      <c r="K227" s="1286"/>
      <c r="L227" s="1286"/>
      <c r="M227" s="1286"/>
      <c r="N227" s="1287"/>
    </row>
    <row r="228" spans="1:14" x14ac:dyDescent="0.2">
      <c r="A228" s="1291"/>
      <c r="B228" s="1291"/>
      <c r="C228" s="1291"/>
      <c r="D228" s="1291"/>
      <c r="E228" s="1291"/>
      <c r="F228" s="1291"/>
      <c r="G228" s="1291"/>
      <c r="H228" s="1291"/>
      <c r="I228" s="1285"/>
      <c r="J228" s="1286"/>
      <c r="K228" s="1286"/>
      <c r="L228" s="1286"/>
      <c r="M228" s="1286"/>
      <c r="N228" s="1287"/>
    </row>
    <row r="229" spans="1:14" x14ac:dyDescent="0.2">
      <c r="A229" s="1291"/>
      <c r="B229" s="1291"/>
      <c r="C229" s="1291"/>
      <c r="D229" s="1291"/>
      <c r="E229" s="1291"/>
      <c r="F229" s="1291"/>
      <c r="G229" s="1291"/>
      <c r="H229" s="1291"/>
      <c r="I229" s="1285"/>
      <c r="J229" s="1286"/>
      <c r="K229" s="1286"/>
      <c r="L229" s="1286"/>
      <c r="M229" s="1286"/>
      <c r="N229" s="1287"/>
    </row>
    <row r="230" spans="1:14" x14ac:dyDescent="0.2">
      <c r="A230" s="1291"/>
      <c r="B230" s="1291"/>
      <c r="C230" s="1291"/>
      <c r="D230" s="1291"/>
      <c r="E230" s="1291"/>
      <c r="F230" s="1291"/>
      <c r="G230" s="1291"/>
      <c r="H230" s="1291"/>
      <c r="I230" s="1285"/>
      <c r="J230" s="1286"/>
      <c r="K230" s="1286"/>
      <c r="L230" s="1286"/>
      <c r="M230" s="1286"/>
      <c r="N230" s="1287"/>
    </row>
    <row r="231" spans="1:14" x14ac:dyDescent="0.2">
      <c r="A231" s="1291"/>
      <c r="B231" s="1291"/>
      <c r="C231" s="1291"/>
      <c r="D231" s="1291"/>
      <c r="E231" s="1291"/>
      <c r="F231" s="1291"/>
      <c r="G231" s="1291"/>
      <c r="H231" s="1291"/>
      <c r="I231" s="1285"/>
      <c r="J231" s="1286"/>
      <c r="K231" s="1286"/>
      <c r="L231" s="1286"/>
      <c r="M231" s="1286"/>
      <c r="N231" s="1287"/>
    </row>
    <row r="232" spans="1:14" x14ac:dyDescent="0.2">
      <c r="A232" s="1291"/>
      <c r="B232" s="1291"/>
      <c r="C232" s="1291"/>
      <c r="D232" s="1291"/>
      <c r="E232" s="1291"/>
      <c r="F232" s="1291"/>
      <c r="G232" s="1291"/>
      <c r="H232" s="1291"/>
      <c r="I232" s="1285"/>
      <c r="J232" s="1286"/>
      <c r="K232" s="1286"/>
      <c r="L232" s="1286"/>
      <c r="M232" s="1286"/>
      <c r="N232" s="1287"/>
    </row>
    <row r="233" spans="1:14" x14ac:dyDescent="0.2">
      <c r="A233" s="1291"/>
      <c r="B233" s="1291"/>
      <c r="C233" s="1291"/>
      <c r="D233" s="1291"/>
      <c r="E233" s="1291"/>
      <c r="F233" s="1291"/>
      <c r="G233" s="1291"/>
      <c r="H233" s="1291"/>
      <c r="I233" s="1285"/>
      <c r="J233" s="1286"/>
      <c r="K233" s="1286"/>
      <c r="L233" s="1286"/>
      <c r="M233" s="1286"/>
      <c r="N233" s="1287"/>
    </row>
    <row r="234" spans="1:14" x14ac:dyDescent="0.2">
      <c r="A234" s="1291"/>
      <c r="B234" s="1291"/>
      <c r="C234" s="1291"/>
      <c r="D234" s="1291"/>
      <c r="E234" s="1291"/>
      <c r="F234" s="1291"/>
      <c r="G234" s="1291"/>
      <c r="H234" s="1291"/>
      <c r="I234" s="1285"/>
      <c r="J234" s="1286"/>
      <c r="K234" s="1286"/>
      <c r="L234" s="1286"/>
      <c r="M234" s="1286"/>
      <c r="N234" s="1287"/>
    </row>
    <row r="235" spans="1:14" x14ac:dyDescent="0.2">
      <c r="A235" s="1291"/>
      <c r="B235" s="1291"/>
      <c r="C235" s="1291"/>
      <c r="D235" s="1291"/>
      <c r="E235" s="1291"/>
      <c r="F235" s="1291"/>
      <c r="G235" s="1291"/>
      <c r="H235" s="1291"/>
      <c r="I235" s="1285"/>
      <c r="J235" s="1286"/>
      <c r="K235" s="1286"/>
      <c r="L235" s="1286"/>
      <c r="M235" s="1286"/>
      <c r="N235" s="1287"/>
    </row>
    <row r="236" spans="1:14" x14ac:dyDescent="0.2">
      <c r="A236" s="1291"/>
      <c r="B236" s="1291"/>
      <c r="C236" s="1291"/>
      <c r="D236" s="1291"/>
      <c r="E236" s="1291"/>
      <c r="F236" s="1291"/>
      <c r="G236" s="1291"/>
      <c r="H236" s="1291"/>
      <c r="I236" s="1285"/>
      <c r="J236" s="1286"/>
      <c r="K236" s="1286"/>
      <c r="L236" s="1286"/>
      <c r="M236" s="1286"/>
      <c r="N236" s="1287"/>
    </row>
    <row r="237" spans="1:14" x14ac:dyDescent="0.2">
      <c r="A237" s="1291"/>
      <c r="B237" s="1291"/>
      <c r="C237" s="1291"/>
      <c r="D237" s="1291"/>
      <c r="E237" s="1291"/>
      <c r="F237" s="1291"/>
      <c r="G237" s="1291"/>
      <c r="H237" s="1291"/>
      <c r="I237" s="1285"/>
      <c r="J237" s="1286"/>
      <c r="K237" s="1286"/>
      <c r="L237" s="1286"/>
      <c r="M237" s="1286"/>
      <c r="N237" s="1287"/>
    </row>
    <row r="238" spans="1:14" x14ac:dyDescent="0.2">
      <c r="A238" s="1291"/>
      <c r="B238" s="1291"/>
      <c r="C238" s="1291"/>
      <c r="D238" s="1291"/>
      <c r="E238" s="1291"/>
      <c r="F238" s="1291"/>
      <c r="G238" s="1291"/>
      <c r="H238" s="1291"/>
      <c r="I238" s="1285"/>
      <c r="J238" s="1286"/>
      <c r="K238" s="1286"/>
      <c r="L238" s="1286"/>
      <c r="M238" s="1286"/>
      <c r="N238" s="1287"/>
    </row>
    <row r="239" spans="1:14" x14ac:dyDescent="0.2">
      <c r="A239" s="1291"/>
      <c r="B239" s="1291"/>
      <c r="C239" s="1291"/>
      <c r="D239" s="1291"/>
      <c r="E239" s="1291"/>
      <c r="F239" s="1291"/>
      <c r="G239" s="1291"/>
      <c r="H239" s="1291"/>
      <c r="I239" s="1285"/>
      <c r="J239" s="1286"/>
      <c r="K239" s="1286"/>
      <c r="L239" s="1286"/>
      <c r="M239" s="1286"/>
      <c r="N239" s="1287"/>
    </row>
    <row r="240" spans="1:14" x14ac:dyDescent="0.2">
      <c r="A240" s="1291"/>
      <c r="B240" s="1291"/>
      <c r="C240" s="1291"/>
      <c r="D240" s="1291"/>
      <c r="E240" s="1291"/>
      <c r="F240" s="1291"/>
      <c r="G240" s="1291"/>
      <c r="H240" s="1291"/>
      <c r="I240" s="1285"/>
      <c r="J240" s="1286"/>
      <c r="K240" s="1286"/>
      <c r="L240" s="1286"/>
      <c r="M240" s="1286"/>
      <c r="N240" s="1287"/>
    </row>
    <row r="241" spans="1:14" x14ac:dyDescent="0.2">
      <c r="A241" s="1291"/>
      <c r="B241" s="1291"/>
      <c r="C241" s="1291"/>
      <c r="D241" s="1291"/>
      <c r="E241" s="1291"/>
      <c r="F241" s="1291"/>
      <c r="G241" s="1291"/>
      <c r="H241" s="1291"/>
      <c r="I241" s="1285"/>
      <c r="J241" s="1286"/>
      <c r="K241" s="1286"/>
      <c r="L241" s="1286"/>
      <c r="M241" s="1286"/>
      <c r="N241" s="1287"/>
    </row>
    <row r="242" spans="1:14" x14ac:dyDescent="0.2">
      <c r="A242" s="1291"/>
      <c r="B242" s="1291"/>
      <c r="C242" s="1291"/>
      <c r="D242" s="1291"/>
      <c r="E242" s="1291"/>
      <c r="F242" s="1291"/>
      <c r="G242" s="1291"/>
      <c r="H242" s="1291"/>
      <c r="I242" s="1285"/>
      <c r="J242" s="1286"/>
      <c r="K242" s="1286"/>
      <c r="L242" s="1286"/>
      <c r="M242" s="1286"/>
      <c r="N242" s="1287"/>
    </row>
    <row r="243" spans="1:14" x14ac:dyDescent="0.2">
      <c r="A243" s="1291"/>
      <c r="B243" s="1291"/>
      <c r="C243" s="1291"/>
      <c r="D243" s="1291"/>
      <c r="E243" s="1291"/>
      <c r="F243" s="1291"/>
      <c r="G243" s="1291"/>
      <c r="H243" s="1291"/>
      <c r="I243" s="1285"/>
      <c r="J243" s="1286"/>
      <c r="K243" s="1286"/>
      <c r="L243" s="1286"/>
      <c r="M243" s="1286"/>
      <c r="N243" s="1287"/>
    </row>
    <row r="244" spans="1:14" x14ac:dyDescent="0.2">
      <c r="A244" s="1291"/>
      <c r="B244" s="1291"/>
      <c r="C244" s="1291"/>
      <c r="D244" s="1291"/>
      <c r="E244" s="1291"/>
      <c r="F244" s="1291"/>
      <c r="G244" s="1291"/>
      <c r="H244" s="1291"/>
      <c r="I244" s="1285"/>
      <c r="J244" s="1286"/>
      <c r="K244" s="1286"/>
      <c r="L244" s="1286"/>
      <c r="M244" s="1286"/>
      <c r="N244" s="1287"/>
    </row>
    <row r="245" spans="1:14" x14ac:dyDescent="0.2">
      <c r="A245" s="1291"/>
      <c r="B245" s="1291"/>
      <c r="C245" s="1291"/>
      <c r="D245" s="1291"/>
      <c r="E245" s="1291"/>
      <c r="F245" s="1291"/>
      <c r="G245" s="1291"/>
      <c r="H245" s="1291"/>
      <c r="I245" s="1285"/>
      <c r="J245" s="1286"/>
      <c r="K245" s="1286"/>
      <c r="L245" s="1286"/>
      <c r="M245" s="1286"/>
      <c r="N245" s="1287"/>
    </row>
    <row r="246" spans="1:14" x14ac:dyDescent="0.2">
      <c r="A246" s="1291"/>
      <c r="B246" s="1291"/>
      <c r="C246" s="1291"/>
      <c r="D246" s="1291"/>
      <c r="E246" s="1291"/>
      <c r="F246" s="1291"/>
      <c r="G246" s="1291"/>
      <c r="H246" s="1291"/>
      <c r="I246" s="1285"/>
      <c r="J246" s="1286"/>
      <c r="K246" s="1286"/>
      <c r="L246" s="1286"/>
      <c r="M246" s="1286"/>
      <c r="N246" s="1287"/>
    </row>
    <row r="247" spans="1:14" x14ac:dyDescent="0.2">
      <c r="A247" s="1291"/>
      <c r="B247" s="1291"/>
      <c r="C247" s="1291"/>
      <c r="D247" s="1291"/>
      <c r="E247" s="1291"/>
      <c r="F247" s="1291"/>
      <c r="G247" s="1291"/>
      <c r="H247" s="1291"/>
      <c r="I247" s="1285"/>
      <c r="J247" s="1286"/>
      <c r="K247" s="1286"/>
      <c r="L247" s="1286"/>
      <c r="M247" s="1286"/>
      <c r="N247" s="1287"/>
    </row>
    <row r="248" spans="1:14" x14ac:dyDescent="0.2">
      <c r="A248" s="1291"/>
      <c r="B248" s="1291"/>
      <c r="C248" s="1291"/>
      <c r="D248" s="1291"/>
      <c r="E248" s="1291"/>
      <c r="F248" s="1291"/>
      <c r="G248" s="1291"/>
      <c r="H248" s="1291"/>
      <c r="I248" s="1285"/>
      <c r="J248" s="1286"/>
      <c r="K248" s="1286"/>
      <c r="L248" s="1286"/>
      <c r="M248" s="1286"/>
      <c r="N248" s="1287"/>
    </row>
    <row r="249" spans="1:14" x14ac:dyDescent="0.2">
      <c r="A249" s="1291"/>
      <c r="B249" s="1291"/>
      <c r="C249" s="1291"/>
      <c r="D249" s="1291"/>
      <c r="E249" s="1291"/>
      <c r="F249" s="1291"/>
      <c r="G249" s="1291"/>
      <c r="H249" s="1291"/>
      <c r="I249" s="1285"/>
      <c r="J249" s="1286"/>
      <c r="K249" s="1286"/>
      <c r="L249" s="1286"/>
      <c r="M249" s="1286"/>
      <c r="N249" s="1287"/>
    </row>
    <row r="250" spans="1:14" x14ac:dyDescent="0.2">
      <c r="A250" s="1291"/>
      <c r="B250" s="1291"/>
      <c r="C250" s="1291"/>
      <c r="D250" s="1291"/>
      <c r="E250" s="1291"/>
      <c r="F250" s="1291"/>
      <c r="G250" s="1291"/>
      <c r="H250" s="1291"/>
      <c r="I250" s="1285"/>
      <c r="J250" s="1286"/>
      <c r="K250" s="1286"/>
      <c r="L250" s="1286"/>
      <c r="M250" s="1286"/>
      <c r="N250" s="1287"/>
    </row>
    <row r="251" spans="1:14" x14ac:dyDescent="0.2">
      <c r="A251" s="1291"/>
      <c r="B251" s="1291"/>
      <c r="C251" s="1291"/>
      <c r="D251" s="1291"/>
      <c r="E251" s="1291"/>
      <c r="F251" s="1291"/>
      <c r="G251" s="1291"/>
      <c r="H251" s="1291"/>
      <c r="I251" s="1285"/>
      <c r="J251" s="1286"/>
      <c r="K251" s="1286"/>
      <c r="L251" s="1286"/>
      <c r="M251" s="1286"/>
      <c r="N251" s="1287"/>
    </row>
    <row r="252" spans="1:14" x14ac:dyDescent="0.2">
      <c r="A252" s="1291"/>
      <c r="B252" s="1291"/>
      <c r="C252" s="1291"/>
      <c r="D252" s="1291"/>
      <c r="E252" s="1291"/>
      <c r="F252" s="1291"/>
      <c r="G252" s="1291"/>
      <c r="H252" s="1291"/>
      <c r="I252" s="1285"/>
      <c r="J252" s="1286"/>
      <c r="K252" s="1286"/>
      <c r="L252" s="1286"/>
      <c r="M252" s="1286"/>
      <c r="N252" s="1287"/>
    </row>
    <row r="253" spans="1:14" x14ac:dyDescent="0.2">
      <c r="A253" s="1291"/>
      <c r="B253" s="1291"/>
      <c r="C253" s="1291"/>
      <c r="D253" s="1291"/>
      <c r="E253" s="1291"/>
      <c r="F253" s="1291"/>
      <c r="G253" s="1291"/>
      <c r="H253" s="1291"/>
      <c r="I253" s="1285"/>
      <c r="J253" s="1286"/>
      <c r="K253" s="1286"/>
      <c r="L253" s="1286"/>
      <c r="M253" s="1286"/>
      <c r="N253" s="1287"/>
    </row>
    <row r="254" spans="1:14" x14ac:dyDescent="0.2">
      <c r="A254" s="1291"/>
      <c r="B254" s="1291"/>
      <c r="C254" s="1291"/>
      <c r="D254" s="1291"/>
      <c r="E254" s="1291"/>
      <c r="F254" s="1291"/>
      <c r="G254" s="1291"/>
      <c r="H254" s="1291"/>
      <c r="I254" s="1285"/>
      <c r="J254" s="1286"/>
      <c r="K254" s="1286"/>
      <c r="L254" s="1286"/>
      <c r="M254" s="1286"/>
      <c r="N254" s="1287"/>
    </row>
    <row r="255" spans="1:14" x14ac:dyDescent="0.2">
      <c r="A255" s="1291"/>
      <c r="B255" s="1291"/>
      <c r="C255" s="1291"/>
      <c r="D255" s="1291"/>
      <c r="E255" s="1291"/>
      <c r="F255" s="1291"/>
      <c r="G255" s="1291"/>
      <c r="H255" s="1291"/>
      <c r="I255" s="1285"/>
      <c r="J255" s="1286"/>
      <c r="K255" s="1286"/>
      <c r="L255" s="1286"/>
      <c r="M255" s="1286"/>
      <c r="N255" s="1287"/>
    </row>
    <row r="256" spans="1:14" x14ac:dyDescent="0.2">
      <c r="A256" s="1291"/>
      <c r="B256" s="1291"/>
      <c r="C256" s="1291"/>
      <c r="D256" s="1291"/>
      <c r="E256" s="1291"/>
      <c r="F256" s="1291"/>
      <c r="G256" s="1291"/>
      <c r="H256" s="1291"/>
      <c r="I256" s="1285"/>
      <c r="J256" s="1286"/>
      <c r="K256" s="1286"/>
      <c r="L256" s="1286"/>
      <c r="M256" s="1286"/>
      <c r="N256" s="1287"/>
    </row>
    <row r="257" spans="1:14" x14ac:dyDescent="0.2">
      <c r="A257" s="1291"/>
      <c r="B257" s="1291"/>
      <c r="C257" s="1291"/>
      <c r="D257" s="1291"/>
      <c r="E257" s="1291"/>
      <c r="F257" s="1291"/>
      <c r="G257" s="1291"/>
      <c r="H257" s="1291"/>
      <c r="I257" s="1285"/>
      <c r="J257" s="1286"/>
      <c r="K257" s="1286"/>
      <c r="L257" s="1286"/>
      <c r="M257" s="1286"/>
      <c r="N257" s="1287"/>
    </row>
    <row r="258" spans="1:14" x14ac:dyDescent="0.2">
      <c r="A258" s="1291"/>
      <c r="B258" s="1291"/>
      <c r="C258" s="1291"/>
      <c r="D258" s="1291"/>
      <c r="E258" s="1291"/>
      <c r="F258" s="1291"/>
      <c r="G258" s="1291"/>
      <c r="H258" s="1291"/>
      <c r="I258" s="1285"/>
      <c r="J258" s="1286"/>
      <c r="K258" s="1286"/>
      <c r="L258" s="1286"/>
      <c r="M258" s="1286"/>
      <c r="N258" s="1287"/>
    </row>
    <row r="259" spans="1:14" x14ac:dyDescent="0.2">
      <c r="A259" s="1291"/>
      <c r="B259" s="1291"/>
      <c r="C259" s="1291"/>
      <c r="D259" s="1291"/>
      <c r="E259" s="1291"/>
      <c r="F259" s="1291"/>
      <c r="G259" s="1291"/>
      <c r="H259" s="1291"/>
      <c r="I259" s="1285"/>
      <c r="J259" s="1286"/>
      <c r="K259" s="1286"/>
      <c r="L259" s="1286"/>
      <c r="M259" s="1286"/>
      <c r="N259" s="1287"/>
    </row>
    <row r="260" spans="1:14" x14ac:dyDescent="0.2">
      <c r="A260" s="1291"/>
      <c r="B260" s="1291"/>
      <c r="C260" s="1291"/>
      <c r="D260" s="1291"/>
      <c r="E260" s="1291"/>
      <c r="F260" s="1291"/>
      <c r="G260" s="1291"/>
      <c r="H260" s="1291"/>
      <c r="I260" s="1285"/>
      <c r="J260" s="1286"/>
      <c r="K260" s="1286"/>
      <c r="L260" s="1286"/>
      <c r="M260" s="1286"/>
      <c r="N260" s="1287"/>
    </row>
    <row r="261" spans="1:14" x14ac:dyDescent="0.2">
      <c r="A261" s="1291"/>
      <c r="B261" s="1291"/>
      <c r="C261" s="1291"/>
      <c r="D261" s="1291"/>
      <c r="E261" s="1291"/>
      <c r="F261" s="1291"/>
      <c r="G261" s="1291"/>
      <c r="H261" s="1291"/>
      <c r="I261" s="1285"/>
      <c r="J261" s="1286"/>
      <c r="K261" s="1286"/>
      <c r="L261" s="1286"/>
      <c r="M261" s="1286"/>
      <c r="N261" s="1287"/>
    </row>
    <row r="262" spans="1:14" x14ac:dyDescent="0.2">
      <c r="A262" s="1291"/>
      <c r="B262" s="1291"/>
      <c r="C262" s="1291"/>
      <c r="D262" s="1291"/>
      <c r="E262" s="1291"/>
      <c r="F262" s="1291"/>
      <c r="G262" s="1291"/>
      <c r="H262" s="1291"/>
      <c r="I262" s="1285"/>
      <c r="J262" s="1286"/>
      <c r="K262" s="1286"/>
      <c r="L262" s="1286"/>
      <c r="M262" s="1286"/>
      <c r="N262" s="1287"/>
    </row>
    <row r="263" spans="1:14" x14ac:dyDescent="0.2">
      <c r="A263" s="1291"/>
      <c r="B263" s="1291"/>
      <c r="C263" s="1291"/>
      <c r="D263" s="1291"/>
      <c r="E263" s="1291"/>
      <c r="F263" s="1291"/>
      <c r="G263" s="1291"/>
      <c r="H263" s="1291"/>
      <c r="I263" s="1285"/>
      <c r="J263" s="1286"/>
      <c r="K263" s="1286"/>
      <c r="L263" s="1286"/>
      <c r="M263" s="1286"/>
      <c r="N263" s="1287"/>
    </row>
    <row r="264" spans="1:14" x14ac:dyDescent="0.2">
      <c r="A264" s="1291"/>
      <c r="B264" s="1291"/>
      <c r="C264" s="1291"/>
      <c r="D264" s="1291"/>
      <c r="E264" s="1291"/>
      <c r="F264" s="1291"/>
      <c r="G264" s="1291"/>
      <c r="H264" s="1291"/>
      <c r="I264" s="1285"/>
      <c r="J264" s="1286"/>
      <c r="K264" s="1286"/>
      <c r="L264" s="1286"/>
      <c r="M264" s="1286"/>
      <c r="N264" s="1287"/>
    </row>
    <row r="265" spans="1:14" x14ac:dyDescent="0.2">
      <c r="A265" s="1291"/>
      <c r="B265" s="1291"/>
      <c r="C265" s="1291"/>
      <c r="D265" s="1291"/>
      <c r="E265" s="1291"/>
      <c r="F265" s="1291"/>
      <c r="G265" s="1291"/>
      <c r="H265" s="1291"/>
      <c r="I265" s="1285"/>
      <c r="J265" s="1286"/>
      <c r="K265" s="1286"/>
      <c r="L265" s="1286"/>
      <c r="M265" s="1286"/>
      <c r="N265" s="1287"/>
    </row>
    <row r="266" spans="1:14" x14ac:dyDescent="0.2">
      <c r="A266" s="1291"/>
      <c r="B266" s="1291"/>
      <c r="C266" s="1291"/>
      <c r="D266" s="1291"/>
      <c r="E266" s="1291"/>
      <c r="F266" s="1291"/>
      <c r="G266" s="1291"/>
      <c r="H266" s="1291"/>
      <c r="I266" s="1285"/>
      <c r="J266" s="1286"/>
      <c r="K266" s="1286"/>
      <c r="L266" s="1286"/>
      <c r="M266" s="1286"/>
      <c r="N266" s="1287"/>
    </row>
    <row r="267" spans="1:14" x14ac:dyDescent="0.2">
      <c r="A267" s="1291"/>
      <c r="B267" s="1291"/>
      <c r="C267" s="1291"/>
      <c r="D267" s="1291"/>
      <c r="E267" s="1291"/>
      <c r="F267" s="1291"/>
      <c r="G267" s="1291"/>
      <c r="H267" s="1291"/>
      <c r="I267" s="1285"/>
      <c r="J267" s="1286"/>
      <c r="K267" s="1286"/>
      <c r="L267" s="1286"/>
      <c r="M267" s="1286"/>
      <c r="N267" s="1287"/>
    </row>
    <row r="268" spans="1:14" x14ac:dyDescent="0.2">
      <c r="A268" s="1291"/>
      <c r="B268" s="1291"/>
      <c r="C268" s="1291"/>
      <c r="D268" s="1291"/>
      <c r="E268" s="1291"/>
      <c r="F268" s="1291"/>
      <c r="G268" s="1291"/>
      <c r="H268" s="1291"/>
      <c r="I268" s="1285"/>
      <c r="J268" s="1286"/>
      <c r="K268" s="1286"/>
      <c r="L268" s="1286"/>
      <c r="M268" s="1286"/>
      <c r="N268" s="1287"/>
    </row>
    <row r="269" spans="1:14" x14ac:dyDescent="0.2">
      <c r="A269" s="1291"/>
      <c r="B269" s="1291"/>
      <c r="C269" s="1291"/>
      <c r="D269" s="1291"/>
      <c r="E269" s="1291"/>
      <c r="F269" s="1291"/>
      <c r="G269" s="1291"/>
      <c r="H269" s="1291"/>
      <c r="I269" s="1285"/>
      <c r="J269" s="1286"/>
      <c r="K269" s="1286"/>
      <c r="L269" s="1286"/>
      <c r="M269" s="1286"/>
      <c r="N269" s="1287"/>
    </row>
    <row r="270" spans="1:14" x14ac:dyDescent="0.2">
      <c r="A270" s="1291"/>
      <c r="B270" s="1291"/>
      <c r="C270" s="1291"/>
      <c r="D270" s="1291"/>
      <c r="E270" s="1291"/>
      <c r="F270" s="1291"/>
      <c r="G270" s="1291"/>
      <c r="H270" s="1291"/>
      <c r="I270" s="1285"/>
      <c r="J270" s="1286"/>
      <c r="K270" s="1286"/>
      <c r="L270" s="1286"/>
      <c r="M270" s="1286"/>
      <c r="N270" s="1287"/>
    </row>
    <row r="271" spans="1:14" x14ac:dyDescent="0.2">
      <c r="A271" s="1291"/>
      <c r="B271" s="1291"/>
      <c r="C271" s="1291"/>
      <c r="D271" s="1291"/>
      <c r="E271" s="1291"/>
      <c r="F271" s="1291"/>
      <c r="G271" s="1291"/>
      <c r="H271" s="1291"/>
      <c r="I271" s="1285"/>
      <c r="J271" s="1286"/>
      <c r="K271" s="1286"/>
      <c r="L271" s="1286"/>
      <c r="M271" s="1286"/>
      <c r="N271" s="1287"/>
    </row>
    <row r="272" spans="1:14" x14ac:dyDescent="0.2">
      <c r="A272" s="1291"/>
      <c r="B272" s="1291"/>
      <c r="C272" s="1291"/>
      <c r="D272" s="1291"/>
      <c r="E272" s="1291"/>
      <c r="F272" s="1291"/>
      <c r="G272" s="1291"/>
      <c r="H272" s="1291"/>
      <c r="I272" s="1285"/>
      <c r="J272" s="1286"/>
      <c r="K272" s="1286"/>
      <c r="L272" s="1286"/>
      <c r="M272" s="1286"/>
      <c r="N272" s="1287"/>
    </row>
    <row r="273" spans="1:14" x14ac:dyDescent="0.2">
      <c r="A273" s="1291"/>
      <c r="B273" s="1291"/>
      <c r="C273" s="1291"/>
      <c r="D273" s="1291"/>
      <c r="E273" s="1291"/>
      <c r="F273" s="1291"/>
      <c r="G273" s="1291"/>
      <c r="H273" s="1291"/>
      <c r="I273" s="1285"/>
      <c r="J273" s="1286"/>
      <c r="K273" s="1286"/>
      <c r="L273" s="1286"/>
      <c r="M273" s="1286"/>
      <c r="N273" s="1287"/>
    </row>
    <row r="274" spans="1:14" x14ac:dyDescent="0.2">
      <c r="A274" s="1291"/>
      <c r="B274" s="1291"/>
      <c r="C274" s="1291"/>
      <c r="D274" s="1291"/>
      <c r="E274" s="1291"/>
      <c r="F274" s="1291"/>
      <c r="G274" s="1291"/>
      <c r="H274" s="1291"/>
      <c r="I274" s="1285"/>
      <c r="J274" s="1286"/>
      <c r="K274" s="1286"/>
      <c r="L274" s="1286"/>
      <c r="M274" s="1286"/>
      <c r="N274" s="1287"/>
    </row>
    <row r="275" spans="1:14" x14ac:dyDescent="0.2">
      <c r="A275" s="1291"/>
      <c r="B275" s="1291"/>
      <c r="C275" s="1291"/>
      <c r="D275" s="1291"/>
      <c r="E275" s="1291"/>
      <c r="F275" s="1291"/>
      <c r="G275" s="1291"/>
      <c r="H275" s="1291"/>
      <c r="I275" s="1285"/>
      <c r="J275" s="1286"/>
      <c r="K275" s="1286"/>
      <c r="L275" s="1286"/>
      <c r="M275" s="1286"/>
      <c r="N275" s="1287"/>
    </row>
    <row r="276" spans="1:14" ht="15" thickBot="1" x14ac:dyDescent="0.25">
      <c r="A276" s="1291"/>
      <c r="B276" s="1291"/>
      <c r="C276" s="1291"/>
      <c r="D276" s="1291"/>
      <c r="E276" s="1291"/>
      <c r="F276" s="1291"/>
      <c r="G276" s="1291"/>
      <c r="H276" s="1291"/>
      <c r="I276" s="1288"/>
      <c r="J276" s="1289"/>
      <c r="K276" s="1289"/>
      <c r="L276" s="1289"/>
      <c r="M276" s="1289"/>
      <c r="N276" s="1290"/>
    </row>
    <row r="277" spans="1:14" ht="15" thickTop="1" x14ac:dyDescent="0.2">
      <c r="A277" s="1291"/>
      <c r="B277" s="1291"/>
      <c r="C277" s="1291"/>
      <c r="D277" s="1291"/>
      <c r="E277" s="1291"/>
      <c r="F277" s="1291"/>
      <c r="G277" s="1291"/>
      <c r="H277" s="1291"/>
    </row>
    <row r="278" spans="1:14" x14ac:dyDescent="0.2">
      <c r="A278" s="1291"/>
      <c r="B278" s="1291"/>
      <c r="C278" s="1291"/>
      <c r="D278" s="1291"/>
      <c r="E278" s="1291"/>
      <c r="F278" s="1291"/>
      <c r="G278" s="1291"/>
      <c r="H278" s="1291"/>
    </row>
    <row r="279" spans="1:14" x14ac:dyDescent="0.2">
      <c r="A279" s="1291"/>
      <c r="B279" s="1291"/>
      <c r="C279" s="1291"/>
      <c r="D279" s="1291"/>
      <c r="E279" s="1291"/>
      <c r="F279" s="1291"/>
      <c r="G279" s="1291"/>
      <c r="H279" s="1291"/>
    </row>
    <row r="280" spans="1:14" x14ac:dyDescent="0.2">
      <c r="A280" s="1291"/>
      <c r="B280" s="1291"/>
      <c r="C280" s="1291"/>
      <c r="D280" s="1291"/>
      <c r="E280" s="1291"/>
      <c r="F280" s="1291"/>
      <c r="G280" s="1291"/>
      <c r="H280" s="1291"/>
    </row>
    <row r="281" spans="1:14" x14ac:dyDescent="0.2">
      <c r="A281" s="1291"/>
      <c r="B281" s="1291"/>
      <c r="C281" s="1291"/>
      <c r="D281" s="1291"/>
      <c r="E281" s="1291"/>
      <c r="F281" s="1291"/>
      <c r="G281" s="1291"/>
      <c r="H281" s="1291"/>
    </row>
    <row r="282" spans="1:14" x14ac:dyDescent="0.2">
      <c r="A282" s="1291"/>
      <c r="B282" s="1291"/>
      <c r="C282" s="1291"/>
      <c r="D282" s="1291"/>
      <c r="E282" s="1291"/>
      <c r="F282" s="1291"/>
      <c r="G282" s="1291"/>
      <c r="H282" s="1291"/>
    </row>
    <row r="283" spans="1:14" x14ac:dyDescent="0.2">
      <c r="A283" s="1291"/>
      <c r="B283" s="1291"/>
      <c r="C283" s="1291"/>
      <c r="D283" s="1291"/>
      <c r="E283" s="1291"/>
      <c r="F283" s="1291"/>
      <c r="G283" s="1291"/>
      <c r="H283" s="1291"/>
    </row>
    <row r="284" spans="1:14" x14ac:dyDescent="0.2">
      <c r="A284" s="1291"/>
      <c r="B284" s="1291"/>
      <c r="C284" s="1291"/>
      <c r="D284" s="1291"/>
      <c r="E284" s="1291"/>
      <c r="F284" s="1291"/>
      <c r="G284" s="1291"/>
      <c r="H284" s="1291"/>
    </row>
    <row r="285" spans="1:14" x14ac:dyDescent="0.2">
      <c r="A285" s="1291"/>
      <c r="B285" s="1291"/>
      <c r="C285" s="1291"/>
      <c r="D285" s="1291"/>
      <c r="E285" s="1291"/>
      <c r="F285" s="1291"/>
      <c r="G285" s="1291"/>
      <c r="H285" s="1291"/>
    </row>
    <row r="286" spans="1:14" x14ac:dyDescent="0.2">
      <c r="A286" s="1291"/>
      <c r="B286" s="1291"/>
      <c r="C286" s="1291"/>
      <c r="D286" s="1291"/>
      <c r="E286" s="1291"/>
      <c r="F286" s="1291"/>
      <c r="G286" s="1291"/>
      <c r="H286" s="1291"/>
    </row>
    <row r="287" spans="1:14" x14ac:dyDescent="0.2">
      <c r="A287" s="1291"/>
      <c r="B287" s="1291"/>
      <c r="C287" s="1291"/>
      <c r="D287" s="1291"/>
      <c r="E287" s="1291"/>
      <c r="F287" s="1291"/>
      <c r="G287" s="1291"/>
      <c r="H287" s="1291"/>
    </row>
    <row r="288" spans="1:14" x14ac:dyDescent="0.2">
      <c r="A288" s="1291"/>
      <c r="B288" s="1291"/>
      <c r="C288" s="1291"/>
      <c r="D288" s="1291"/>
      <c r="E288" s="1291"/>
      <c r="F288" s="1291"/>
      <c r="G288" s="1291"/>
      <c r="H288" s="1291"/>
    </row>
    <row r="289" spans="1:8" x14ac:dyDescent="0.2">
      <c r="A289" s="1291"/>
      <c r="B289" s="1291"/>
      <c r="C289" s="1291"/>
      <c r="D289" s="1291"/>
      <c r="E289" s="1291"/>
      <c r="F289" s="1291"/>
      <c r="G289" s="1291"/>
      <c r="H289" s="1291"/>
    </row>
  </sheetData>
  <mergeCells count="521">
    <mergeCell ref="A21:B21"/>
    <mergeCell ref="A22:B22"/>
    <mergeCell ref="A1:C1"/>
    <mergeCell ref="A12:N12"/>
    <mergeCell ref="A23:B23"/>
    <mergeCell ref="A24:B24"/>
    <mergeCell ref="I33:N33"/>
    <mergeCell ref="I31:N32"/>
    <mergeCell ref="A27:N27"/>
    <mergeCell ref="A28:N28"/>
    <mergeCell ref="A29:B29"/>
    <mergeCell ref="A30:B30"/>
    <mergeCell ref="L29:N30"/>
    <mergeCell ref="A32:H32"/>
    <mergeCell ref="A33:H33"/>
    <mergeCell ref="A34:H34"/>
    <mergeCell ref="G35:H35"/>
    <mergeCell ref="G36:H36"/>
    <mergeCell ref="G37:H37"/>
    <mergeCell ref="G39:H39"/>
    <mergeCell ref="G38:H38"/>
    <mergeCell ref="A39:E39"/>
    <mergeCell ref="A26:B26"/>
    <mergeCell ref="A25:B25"/>
    <mergeCell ref="A35:E35"/>
    <mergeCell ref="A36:E36"/>
    <mergeCell ref="A37:E37"/>
    <mergeCell ref="A38:E38"/>
    <mergeCell ref="A45:H45"/>
    <mergeCell ref="A46:H46"/>
    <mergeCell ref="A47:H47"/>
    <mergeCell ref="A48:H48"/>
    <mergeCell ref="A40:E40"/>
    <mergeCell ref="A42:H42"/>
    <mergeCell ref="A43:H43"/>
    <mergeCell ref="A44:H44"/>
    <mergeCell ref="G40:H40"/>
    <mergeCell ref="A59:H59"/>
    <mergeCell ref="A50:H50"/>
    <mergeCell ref="A51:H51"/>
    <mergeCell ref="A52:H52"/>
    <mergeCell ref="A53:H53"/>
    <mergeCell ref="A54:H54"/>
    <mergeCell ref="A49:H49"/>
    <mergeCell ref="A58:H58"/>
    <mergeCell ref="A56:H56"/>
    <mergeCell ref="A57:H57"/>
    <mergeCell ref="A55:H55"/>
    <mergeCell ref="A69:H69"/>
    <mergeCell ref="A60:H60"/>
    <mergeCell ref="A61:H61"/>
    <mergeCell ref="A62:H62"/>
    <mergeCell ref="A63:H63"/>
    <mergeCell ref="A64:H64"/>
    <mergeCell ref="A65:H65"/>
    <mergeCell ref="A66:H66"/>
    <mergeCell ref="A67:H67"/>
    <mergeCell ref="A68:H68"/>
    <mergeCell ref="A79:H79"/>
    <mergeCell ref="A70:H70"/>
    <mergeCell ref="A71:H71"/>
    <mergeCell ref="A72:H72"/>
    <mergeCell ref="A73:H73"/>
    <mergeCell ref="A74:H74"/>
    <mergeCell ref="A75:H75"/>
    <mergeCell ref="A76:H76"/>
    <mergeCell ref="A77:H77"/>
    <mergeCell ref="A78:H78"/>
    <mergeCell ref="A89:H89"/>
    <mergeCell ref="A80:H80"/>
    <mergeCell ref="A81:H81"/>
    <mergeCell ref="A82:H82"/>
    <mergeCell ref="A83:H83"/>
    <mergeCell ref="A84:H84"/>
    <mergeCell ref="A85:H85"/>
    <mergeCell ref="A86:H86"/>
    <mergeCell ref="A87:H87"/>
    <mergeCell ref="A88:H88"/>
    <mergeCell ref="A99:H99"/>
    <mergeCell ref="A90:H90"/>
    <mergeCell ref="A91:H91"/>
    <mergeCell ref="A92:H92"/>
    <mergeCell ref="A93:H93"/>
    <mergeCell ref="A94:H94"/>
    <mergeCell ref="A95:H95"/>
    <mergeCell ref="A96:H96"/>
    <mergeCell ref="A97:H97"/>
    <mergeCell ref="A98:H98"/>
    <mergeCell ref="A109:H109"/>
    <mergeCell ref="A100:H100"/>
    <mergeCell ref="A101:H101"/>
    <mergeCell ref="A102:H102"/>
    <mergeCell ref="A103:H103"/>
    <mergeCell ref="A104:H104"/>
    <mergeCell ref="A105:H105"/>
    <mergeCell ref="A106:H106"/>
    <mergeCell ref="A107:H107"/>
    <mergeCell ref="A108:H108"/>
    <mergeCell ref="A119:H119"/>
    <mergeCell ref="A110:H110"/>
    <mergeCell ref="A111:H111"/>
    <mergeCell ref="A112:H112"/>
    <mergeCell ref="A113:H113"/>
    <mergeCell ref="A114:H114"/>
    <mergeCell ref="A115:H115"/>
    <mergeCell ref="A116:H116"/>
    <mergeCell ref="A117:H117"/>
    <mergeCell ref="A118:H118"/>
    <mergeCell ref="A129:H129"/>
    <mergeCell ref="A120:H120"/>
    <mergeCell ref="A121:H121"/>
    <mergeCell ref="A122:H122"/>
    <mergeCell ref="A123:H123"/>
    <mergeCell ref="A124:H124"/>
    <mergeCell ref="A125:H125"/>
    <mergeCell ref="A126:H126"/>
    <mergeCell ref="A127:H127"/>
    <mergeCell ref="A128:H128"/>
    <mergeCell ref="A139:H139"/>
    <mergeCell ref="A130:H130"/>
    <mergeCell ref="A131:H131"/>
    <mergeCell ref="A132:H132"/>
    <mergeCell ref="A133:H133"/>
    <mergeCell ref="A134:H134"/>
    <mergeCell ref="A135:H135"/>
    <mergeCell ref="A136:H136"/>
    <mergeCell ref="A137:H137"/>
    <mergeCell ref="A138:H138"/>
    <mergeCell ref="A149:H149"/>
    <mergeCell ref="A140:H140"/>
    <mergeCell ref="A141:H141"/>
    <mergeCell ref="A142:H142"/>
    <mergeCell ref="A143:H143"/>
    <mergeCell ref="A144:H144"/>
    <mergeCell ref="A145:H145"/>
    <mergeCell ref="A146:H146"/>
    <mergeCell ref="A147:H147"/>
    <mergeCell ref="A148:H148"/>
    <mergeCell ref="A159:H159"/>
    <mergeCell ref="A150:H150"/>
    <mergeCell ref="A151:H151"/>
    <mergeCell ref="A152:H152"/>
    <mergeCell ref="A153:H153"/>
    <mergeCell ref="A154:H154"/>
    <mergeCell ref="A155:H155"/>
    <mergeCell ref="A156:H156"/>
    <mergeCell ref="A157:H157"/>
    <mergeCell ref="A158:H158"/>
    <mergeCell ref="A160:H160"/>
    <mergeCell ref="A161:H161"/>
    <mergeCell ref="A162:H162"/>
    <mergeCell ref="A163:H163"/>
    <mergeCell ref="A164:H164"/>
    <mergeCell ref="A165:H165"/>
    <mergeCell ref="A166:H166"/>
    <mergeCell ref="A167:H167"/>
    <mergeCell ref="A168:H168"/>
    <mergeCell ref="A170:H170"/>
    <mergeCell ref="A171:H171"/>
    <mergeCell ref="A172:H172"/>
    <mergeCell ref="A173:H173"/>
    <mergeCell ref="A174:H174"/>
    <mergeCell ref="A185:H185"/>
    <mergeCell ref="A186:H186"/>
    <mergeCell ref="A187:H187"/>
    <mergeCell ref="A169:H169"/>
    <mergeCell ref="A188:H188"/>
    <mergeCell ref="A191:H191"/>
    <mergeCell ref="A192:H192"/>
    <mergeCell ref="A175:H175"/>
    <mergeCell ref="A176:H176"/>
    <mergeCell ref="A177:H177"/>
    <mergeCell ref="A178:H178"/>
    <mergeCell ref="A189:H189"/>
    <mergeCell ref="A180:H180"/>
    <mergeCell ref="A181:H181"/>
    <mergeCell ref="A182:H182"/>
    <mergeCell ref="A183:H183"/>
    <mergeCell ref="A184:H184"/>
    <mergeCell ref="A179:H179"/>
    <mergeCell ref="A198:H198"/>
    <mergeCell ref="A208:H208"/>
    <mergeCell ref="A232:H232"/>
    <mergeCell ref="A223:H223"/>
    <mergeCell ref="A219:H219"/>
    <mergeCell ref="A209:H209"/>
    <mergeCell ref="A231:H231"/>
    <mergeCell ref="A200:H200"/>
    <mergeCell ref="A201:H201"/>
    <mergeCell ref="A210:H210"/>
    <mergeCell ref="A211:H211"/>
    <mergeCell ref="A212:H212"/>
    <mergeCell ref="A213:H213"/>
    <mergeCell ref="A214:H214"/>
    <mergeCell ref="A263:H263"/>
    <mergeCell ref="A264:H264"/>
    <mergeCell ref="A260:H260"/>
    <mergeCell ref="A261:H261"/>
    <mergeCell ref="A286:H286"/>
    <mergeCell ref="A275:H275"/>
    <mergeCell ref="A276:H276"/>
    <mergeCell ref="A280:H280"/>
    <mergeCell ref="A281:H281"/>
    <mergeCell ref="A278:H278"/>
    <mergeCell ref="A262:H262"/>
    <mergeCell ref="A289:H289"/>
    <mergeCell ref="A274:H274"/>
    <mergeCell ref="A265:H265"/>
    <mergeCell ref="A266:H266"/>
    <mergeCell ref="A267:H267"/>
    <mergeCell ref="A268:H268"/>
    <mergeCell ref="A269:H269"/>
    <mergeCell ref="A284:H284"/>
    <mergeCell ref="A287:H287"/>
    <mergeCell ref="A288:H288"/>
    <mergeCell ref="A270:H270"/>
    <mergeCell ref="A271:H271"/>
    <mergeCell ref="A277:H277"/>
    <mergeCell ref="A272:H272"/>
    <mergeCell ref="A273:H273"/>
    <mergeCell ref="A279:H279"/>
    <mergeCell ref="A282:H282"/>
    <mergeCell ref="A283:H283"/>
    <mergeCell ref="A285:H285"/>
    <mergeCell ref="I57:N57"/>
    <mergeCell ref="I58:N58"/>
    <mergeCell ref="I63:N63"/>
    <mergeCell ref="I78:N78"/>
    <mergeCell ref="A229:H229"/>
    <mergeCell ref="A220:H220"/>
    <mergeCell ref="A221:H221"/>
    <mergeCell ref="I89:N89"/>
    <mergeCell ref="A215:H215"/>
    <mergeCell ref="A216:H216"/>
    <mergeCell ref="A199:H199"/>
    <mergeCell ref="I79:N79"/>
    <mergeCell ref="I80:N80"/>
    <mergeCell ref="I99:N99"/>
    <mergeCell ref="I94:N94"/>
    <mergeCell ref="A194:H194"/>
    <mergeCell ref="A195:H195"/>
    <mergeCell ref="A196:H196"/>
    <mergeCell ref="A197:H197"/>
    <mergeCell ref="A190:H190"/>
    <mergeCell ref="A202:H202"/>
    <mergeCell ref="A203:H203"/>
    <mergeCell ref="A222:H222"/>
    <mergeCell ref="A204:H204"/>
    <mergeCell ref="I86:N86"/>
    <mergeCell ref="I98:N98"/>
    <mergeCell ref="I90:N90"/>
    <mergeCell ref="A251:H251"/>
    <mergeCell ref="A252:H252"/>
    <mergeCell ref="A249:H249"/>
    <mergeCell ref="A242:H242"/>
    <mergeCell ref="A245:H245"/>
    <mergeCell ref="A246:H246"/>
    <mergeCell ref="A247:H247"/>
    <mergeCell ref="A234:H234"/>
    <mergeCell ref="A248:H248"/>
    <mergeCell ref="A205:H205"/>
    <mergeCell ref="A206:H206"/>
    <mergeCell ref="A207:H207"/>
    <mergeCell ref="A243:H243"/>
    <mergeCell ref="A244:H244"/>
    <mergeCell ref="A233:H233"/>
    <mergeCell ref="A225:H225"/>
    <mergeCell ref="A226:H226"/>
    <mergeCell ref="A227:H227"/>
    <mergeCell ref="A228:H228"/>
    <mergeCell ref="A250:H250"/>
    <mergeCell ref="A193:H193"/>
    <mergeCell ref="A240:H240"/>
    <mergeCell ref="A241:H241"/>
    <mergeCell ref="A224:H224"/>
    <mergeCell ref="A217:H217"/>
    <mergeCell ref="A218:H218"/>
    <mergeCell ref="A259:H259"/>
    <mergeCell ref="A256:H256"/>
    <mergeCell ref="A253:H253"/>
    <mergeCell ref="A254:H254"/>
    <mergeCell ref="I67:N67"/>
    <mergeCell ref="I66:N66"/>
    <mergeCell ref="A257:H257"/>
    <mergeCell ref="A258:H258"/>
    <mergeCell ref="A255:H255"/>
    <mergeCell ref="A235:H235"/>
    <mergeCell ref="A236:H236"/>
    <mergeCell ref="A237:H237"/>
    <mergeCell ref="A238:H238"/>
    <mergeCell ref="A239:H239"/>
    <mergeCell ref="I68:N68"/>
    <mergeCell ref="I69:N69"/>
    <mergeCell ref="I70:N70"/>
    <mergeCell ref="I71:N71"/>
    <mergeCell ref="I77:N77"/>
    <mergeCell ref="I85:N85"/>
    <mergeCell ref="I84:N84"/>
    <mergeCell ref="I81:N81"/>
    <mergeCell ref="A230:H230"/>
    <mergeCell ref="I72:N72"/>
    <mergeCell ref="I73:N73"/>
    <mergeCell ref="I74:N74"/>
    <mergeCell ref="I75:N75"/>
    <mergeCell ref="I76:N76"/>
    <mergeCell ref="I83:N83"/>
    <mergeCell ref="I93:N93"/>
    <mergeCell ref="I82:N82"/>
    <mergeCell ref="I87:N87"/>
    <mergeCell ref="I108:N108"/>
    <mergeCell ref="I109:N109"/>
    <mergeCell ref="I110:N110"/>
    <mergeCell ref="I51:N51"/>
    <mergeCell ref="I52:N52"/>
    <mergeCell ref="I53:N53"/>
    <mergeCell ref="I54:N54"/>
    <mergeCell ref="I88:N88"/>
    <mergeCell ref="I100:N100"/>
    <mergeCell ref="I95:N95"/>
    <mergeCell ref="I96:N96"/>
    <mergeCell ref="I97:N97"/>
    <mergeCell ref="I55:N55"/>
    <mergeCell ref="I56:N56"/>
    <mergeCell ref="I64:N64"/>
    <mergeCell ref="I65:N65"/>
    <mergeCell ref="I59:N59"/>
    <mergeCell ref="I60:N60"/>
    <mergeCell ref="I61:N61"/>
    <mergeCell ref="I62:N62"/>
    <mergeCell ref="I101:N101"/>
    <mergeCell ref="I102:N102"/>
    <mergeCell ref="I103:N103"/>
    <mergeCell ref="I104:N104"/>
    <mergeCell ref="I105:N105"/>
    <mergeCell ref="I106:N106"/>
    <mergeCell ref="I91:N91"/>
    <mergeCell ref="I92:N92"/>
    <mergeCell ref="I114:N114"/>
    <mergeCell ref="I123:N123"/>
    <mergeCell ref="I137:N137"/>
    <mergeCell ref="I138:N138"/>
    <mergeCell ref="I135:N135"/>
    <mergeCell ref="I136:N136"/>
    <mergeCell ref="I125:N125"/>
    <mergeCell ref="I126:N126"/>
    <mergeCell ref="I107:N107"/>
    <mergeCell ref="I117:N117"/>
    <mergeCell ref="I118:N118"/>
    <mergeCell ref="I119:N119"/>
    <mergeCell ref="I124:N124"/>
    <mergeCell ref="I120:N120"/>
    <mergeCell ref="I121:N121"/>
    <mergeCell ref="I122:N122"/>
    <mergeCell ref="I133:N133"/>
    <mergeCell ref="I113:N113"/>
    <mergeCell ref="I116:N116"/>
    <mergeCell ref="I111:N111"/>
    <mergeCell ref="I112:N112"/>
    <mergeCell ref="I115:N115"/>
    <mergeCell ref="I127:N127"/>
    <mergeCell ref="I128:N128"/>
    <mergeCell ref="I131:N131"/>
    <mergeCell ref="I158:N158"/>
    <mergeCell ref="I139:N139"/>
    <mergeCell ref="I140:N140"/>
    <mergeCell ref="I142:N142"/>
    <mergeCell ref="I151:N151"/>
    <mergeCell ref="I152:N152"/>
    <mergeCell ref="I147:N147"/>
    <mergeCell ref="I148:N148"/>
    <mergeCell ref="I134:N134"/>
    <mergeCell ref="I129:N129"/>
    <mergeCell ref="I130:N130"/>
    <mergeCell ref="I141:N141"/>
    <mergeCell ref="I159:N159"/>
    <mergeCell ref="I177:N177"/>
    <mergeCell ref="I153:N153"/>
    <mergeCell ref="I154:N154"/>
    <mergeCell ref="I143:N143"/>
    <mergeCell ref="I144:N144"/>
    <mergeCell ref="I145:N145"/>
    <mergeCell ref="I146:N146"/>
    <mergeCell ref="I149:N149"/>
    <mergeCell ref="I150:N150"/>
    <mergeCell ref="I160:N160"/>
    <mergeCell ref="I173:N173"/>
    <mergeCell ref="I174:N174"/>
    <mergeCell ref="I175:N175"/>
    <mergeCell ref="I176:N176"/>
    <mergeCell ref="I132:N132"/>
    <mergeCell ref="I165:N165"/>
    <mergeCell ref="I166:N166"/>
    <mergeCell ref="I155:N155"/>
    <mergeCell ref="I156:N156"/>
    <mergeCell ref="I157:N157"/>
    <mergeCell ref="I178:N178"/>
    <mergeCell ref="I161:N161"/>
    <mergeCell ref="I162:N162"/>
    <mergeCell ref="I163:N163"/>
    <mergeCell ref="I164:N164"/>
    <mergeCell ref="I167:N167"/>
    <mergeCell ref="I168:N168"/>
    <mergeCell ref="I169:N169"/>
    <mergeCell ref="I170:N170"/>
    <mergeCell ref="I171:N171"/>
    <mergeCell ref="I172:N172"/>
    <mergeCell ref="I193:N193"/>
    <mergeCell ref="I194:N194"/>
    <mergeCell ref="I187:N187"/>
    <mergeCell ref="I188:N188"/>
    <mergeCell ref="I183:N183"/>
    <mergeCell ref="I184:N184"/>
    <mergeCell ref="I195:N195"/>
    <mergeCell ref="I189:N189"/>
    <mergeCell ref="I190:N190"/>
    <mergeCell ref="I179:N179"/>
    <mergeCell ref="I180:N180"/>
    <mergeCell ref="I181:N181"/>
    <mergeCell ref="I182:N182"/>
    <mergeCell ref="I185:N185"/>
    <mergeCell ref="I186:N186"/>
    <mergeCell ref="I196:N196"/>
    <mergeCell ref="I222:N222"/>
    <mergeCell ref="I197:N197"/>
    <mergeCell ref="I198:N198"/>
    <mergeCell ref="I199:N199"/>
    <mergeCell ref="I200:N200"/>
    <mergeCell ref="I206:N206"/>
    <mergeCell ref="I207:N207"/>
    <mergeCell ref="I208:N208"/>
    <mergeCell ref="I213:N213"/>
    <mergeCell ref="I209:N209"/>
    <mergeCell ref="I210:N210"/>
    <mergeCell ref="I211:N211"/>
    <mergeCell ref="I212:N212"/>
    <mergeCell ref="I201:N201"/>
    <mergeCell ref="I202:N202"/>
    <mergeCell ref="I191:N191"/>
    <mergeCell ref="I192:N192"/>
    <mergeCell ref="I244:N244"/>
    <mergeCell ref="I214:N214"/>
    <mergeCell ref="I227:N227"/>
    <mergeCell ref="I228:N228"/>
    <mergeCell ref="I237:N237"/>
    <mergeCell ref="I238:N238"/>
    <mergeCell ref="I223:N223"/>
    <mergeCell ref="I224:N224"/>
    <mergeCell ref="I219:N219"/>
    <mergeCell ref="I220:N220"/>
    <mergeCell ref="I272:N272"/>
    <mergeCell ref="I50:N50"/>
    <mergeCell ref="I253:N253"/>
    <mergeCell ref="I248:N248"/>
    <mergeCell ref="I249:N249"/>
    <mergeCell ref="I233:N233"/>
    <mergeCell ref="I225:N225"/>
    <mergeCell ref="I226:N226"/>
    <mergeCell ref="I215:N215"/>
    <mergeCell ref="I236:N236"/>
    <mergeCell ref="I239:N239"/>
    <mergeCell ref="I216:N216"/>
    <mergeCell ref="I217:N217"/>
    <mergeCell ref="I218:N218"/>
    <mergeCell ref="I221:N221"/>
    <mergeCell ref="I229:N229"/>
    <mergeCell ref="I230:N230"/>
    <mergeCell ref="I231:N231"/>
    <mergeCell ref="I232:N232"/>
    <mergeCell ref="I234:N234"/>
    <mergeCell ref="I235:N235"/>
    <mergeCell ref="I203:N203"/>
    <mergeCell ref="I204:N204"/>
    <mergeCell ref="I205:N205"/>
    <mergeCell ref="I276:N276"/>
    <mergeCell ref="I251:N251"/>
    <mergeCell ref="I252:N252"/>
    <mergeCell ref="I256:N256"/>
    <mergeCell ref="I273:N273"/>
    <mergeCell ref="I274:N274"/>
    <mergeCell ref="I264:N264"/>
    <mergeCell ref="I269:N269"/>
    <mergeCell ref="I263:N263"/>
    <mergeCell ref="I270:N270"/>
    <mergeCell ref="I261:N261"/>
    <mergeCell ref="I262:N262"/>
    <mergeCell ref="I275:N275"/>
    <mergeCell ref="I266:N266"/>
    <mergeCell ref="I267:N267"/>
    <mergeCell ref="I268:N268"/>
    <mergeCell ref="I265:N265"/>
    <mergeCell ref="I259:N259"/>
    <mergeCell ref="I260:N260"/>
    <mergeCell ref="I257:N257"/>
    <mergeCell ref="I258:N258"/>
    <mergeCell ref="I254:N254"/>
    <mergeCell ref="I255:N255"/>
    <mergeCell ref="I271:N271"/>
    <mergeCell ref="I39:N39"/>
    <mergeCell ref="I250:N250"/>
    <mergeCell ref="I247:N247"/>
    <mergeCell ref="I42:N42"/>
    <mergeCell ref="I40:N40"/>
    <mergeCell ref="I41:N41"/>
    <mergeCell ref="I34:N34"/>
    <mergeCell ref="I35:N35"/>
    <mergeCell ref="I36:N36"/>
    <mergeCell ref="I37:N37"/>
    <mergeCell ref="I38:N38"/>
    <mergeCell ref="I240:N240"/>
    <mergeCell ref="I241:N241"/>
    <mergeCell ref="I242:N242"/>
    <mergeCell ref="I243:N243"/>
    <mergeCell ref="I245:N245"/>
    <mergeCell ref="I246:N246"/>
    <mergeCell ref="I43:N43"/>
    <mergeCell ref="I44:N44"/>
    <mergeCell ref="I45:N45"/>
    <mergeCell ref="I46:N46"/>
    <mergeCell ref="I47:N47"/>
    <mergeCell ref="I48:N48"/>
    <mergeCell ref="I49:N49"/>
  </mergeCells>
  <phoneticPr fontId="65" type="noConversion"/>
  <pageMargins left="0.40583333300000002" right="0.12833333333333299" top="0.75" bottom="0.75" header="0.3" footer="0.3"/>
  <pageSetup scale="72" fitToHeight="2" orientation="landscape" r:id="rId1"/>
  <headerFooter>
    <oddHeader>&amp;LAKIS A 2012</oddHeader>
    <oddFooter>&amp;LAmerican Indian Higher Education Consortium</oddFooter>
  </headerFooter>
  <rowBreaks count="1" manualBreakCount="1">
    <brk id="50" max="1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
  <sheetViews>
    <sheetView zoomScaleNormal="100" workbookViewId="0">
      <selection activeCell="A5" sqref="A5:J5"/>
    </sheetView>
  </sheetViews>
  <sheetFormatPr defaultRowHeight="15" x14ac:dyDescent="0.25"/>
  <cols>
    <col min="1" max="1" width="25.7109375" customWidth="1"/>
    <col min="2" max="2" width="24.7109375" customWidth="1"/>
    <col min="3" max="3" width="4.85546875" customWidth="1"/>
    <col min="4" max="4" width="4.7109375" customWidth="1"/>
    <col min="5" max="5" width="3.42578125" customWidth="1"/>
    <col min="6" max="6" width="11.7109375" customWidth="1"/>
    <col min="7" max="7" width="15.140625" customWidth="1"/>
    <col min="8" max="8" width="17" customWidth="1"/>
    <col min="9" max="9" width="22.85546875" customWidth="1"/>
    <col min="10" max="10" width="16" customWidth="1"/>
  </cols>
  <sheetData>
    <row r="1" spans="1:10" ht="15.75" thickTop="1" x14ac:dyDescent="0.25">
      <c r="A1" s="318" t="s">
        <v>823</v>
      </c>
      <c r="B1" s="1266" t="str">
        <f>'1.1a Overall Instit. Profile'!$B$1</f>
        <v>Oglala Lakota College</v>
      </c>
      <c r="C1" s="1267" t="str">
        <f>'1.1a Overall Instit. Profile'!$B$1</f>
        <v>Oglala Lakota College</v>
      </c>
      <c r="D1" s="1267" t="str">
        <f>'1.1a Overall Instit. Profile'!$B$1</f>
        <v>Oglala Lakota College</v>
      </c>
      <c r="E1" s="1267" t="str">
        <f>'1.1a Overall Instit. Profile'!$B$1</f>
        <v>Oglala Lakota College</v>
      </c>
      <c r="F1" s="1267" t="str">
        <f>'1.1a Overall Instit. Profile'!$B$1</f>
        <v>Oglala Lakota College</v>
      </c>
      <c r="G1" s="1267" t="str">
        <f>'1.1a Overall Instit. Profile'!$B$1</f>
        <v>Oglala Lakota College</v>
      </c>
      <c r="H1" s="1267" t="str">
        <f>'1.1a Overall Instit. Profile'!$B$1</f>
        <v>Oglala Lakota College</v>
      </c>
      <c r="I1" s="1267" t="str">
        <f>'1.1a Overall Instit. Profile'!$B$1</f>
        <v>Oglala Lakota College</v>
      </c>
      <c r="J1" s="1268" t="str">
        <f>'1.1a Overall Instit. Profile'!$B$1</f>
        <v>Oglala Lakota College</v>
      </c>
    </row>
    <row r="2" spans="1:10" x14ac:dyDescent="0.25">
      <c r="A2" s="313" t="s">
        <v>816</v>
      </c>
      <c r="B2" s="325"/>
      <c r="C2" s="325"/>
      <c r="D2" s="325"/>
      <c r="E2" s="325"/>
      <c r="F2" s="325"/>
      <c r="G2" s="325"/>
      <c r="H2" s="325"/>
      <c r="I2" s="325"/>
      <c r="J2" s="319"/>
    </row>
    <row r="3" spans="1:10" x14ac:dyDescent="0.25">
      <c r="A3" s="316" t="s">
        <v>360</v>
      </c>
      <c r="B3" s="326"/>
      <c r="C3" s="326"/>
      <c r="D3" s="326"/>
      <c r="E3" s="326"/>
      <c r="F3" s="326"/>
      <c r="G3" s="326"/>
      <c r="H3" s="326"/>
      <c r="I3" s="326"/>
      <c r="J3" s="327"/>
    </row>
    <row r="4" spans="1:10" ht="29.25" customHeight="1" x14ac:dyDescent="0.25">
      <c r="A4" s="1352" t="s">
        <v>413</v>
      </c>
      <c r="B4" s="1353"/>
      <c r="C4" s="1353"/>
      <c r="D4" s="1353"/>
      <c r="E4" s="1353"/>
      <c r="F4" s="1353"/>
      <c r="G4" s="1353"/>
      <c r="H4" s="1353"/>
      <c r="I4" s="1353"/>
      <c r="J4" s="1354"/>
    </row>
    <row r="5" spans="1:10" ht="300" customHeight="1" x14ac:dyDescent="0.25">
      <c r="A5" s="1351" t="s">
        <v>916</v>
      </c>
      <c r="B5" s="1349"/>
      <c r="C5" s="1349"/>
      <c r="D5" s="1349"/>
      <c r="E5" s="1349"/>
      <c r="F5" s="1349"/>
      <c r="G5" s="1349"/>
      <c r="H5" s="1349"/>
      <c r="I5" s="1349"/>
      <c r="J5" s="1350"/>
    </row>
    <row r="6" spans="1:10" ht="29.25" customHeight="1" x14ac:dyDescent="0.25">
      <c r="A6" s="1352"/>
      <c r="B6" s="1353"/>
      <c r="C6" s="1353"/>
      <c r="D6" s="1353"/>
      <c r="E6" s="1353"/>
      <c r="F6" s="1353"/>
      <c r="G6" s="1353"/>
      <c r="H6" s="1353"/>
      <c r="I6" s="1353"/>
      <c r="J6" s="1354"/>
    </row>
    <row r="7" spans="1:10" ht="300" customHeight="1" x14ac:dyDescent="0.25">
      <c r="A7" s="1348"/>
      <c r="B7" s="1349"/>
      <c r="C7" s="1349"/>
      <c r="D7" s="1349"/>
      <c r="E7" s="1349"/>
      <c r="F7" s="1349"/>
      <c r="G7" s="1349"/>
      <c r="H7" s="1349"/>
      <c r="I7" s="1349"/>
      <c r="J7" s="1350"/>
    </row>
    <row r="8" spans="1:10" ht="29.25" customHeight="1" x14ac:dyDescent="0.25">
      <c r="A8" s="1352" t="s">
        <v>527</v>
      </c>
      <c r="B8" s="1353"/>
      <c r="C8" s="1353"/>
      <c r="D8" s="1353"/>
      <c r="E8" s="1353"/>
      <c r="F8" s="1353"/>
      <c r="G8" s="1353"/>
      <c r="H8" s="1353"/>
      <c r="I8" s="1353"/>
      <c r="J8" s="1354"/>
    </row>
    <row r="9" spans="1:10" ht="283.5" customHeight="1" thickBot="1" x14ac:dyDescent="0.3">
      <c r="A9" s="1345" t="s">
        <v>917</v>
      </c>
      <c r="B9" s="1346"/>
      <c r="C9" s="1346"/>
      <c r="D9" s="1346"/>
      <c r="E9" s="1346"/>
      <c r="F9" s="1346"/>
      <c r="G9" s="1346"/>
      <c r="H9" s="1346"/>
      <c r="I9" s="1346"/>
      <c r="J9" s="1347"/>
    </row>
    <row r="10" spans="1:10" ht="15.75" thickTop="1" x14ac:dyDescent="0.25"/>
  </sheetData>
  <mergeCells count="7">
    <mergeCell ref="A9:J9"/>
    <mergeCell ref="A7:J7"/>
    <mergeCell ref="A5:J5"/>
    <mergeCell ref="B1:J1"/>
    <mergeCell ref="A4:J4"/>
    <mergeCell ref="A6:J6"/>
    <mergeCell ref="A8:J8"/>
  </mergeCells>
  <phoneticPr fontId="65" type="noConversion"/>
  <pageMargins left="0.40583333300000002" right="0.12833333333333299" top="0.75" bottom="0.75" header="0.3" footer="0.3"/>
  <pageSetup scale="69" fitToHeight="0" orientation="portrait" horizontalDpi="1200" verticalDpi="1200" r:id="rId1"/>
  <headerFooter>
    <oddHeader>&amp;LAKIS A 2012</oddHeader>
    <oddFooter>&amp;LAmerican Indian Higher Education Consortium</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55"/>
  <sheetViews>
    <sheetView topLeftCell="A40" zoomScaleNormal="100" workbookViewId="0">
      <selection activeCell="X41" sqref="X41"/>
    </sheetView>
  </sheetViews>
  <sheetFormatPr defaultColWidth="9.140625" defaultRowHeight="14.25" x14ac:dyDescent="0.2"/>
  <cols>
    <col min="1" max="1" width="4.42578125" style="21" customWidth="1"/>
    <col min="2" max="2" width="13.85546875" style="21" customWidth="1"/>
    <col min="3" max="21" width="7.85546875" style="21" customWidth="1"/>
    <col min="22" max="16384" width="9.140625" style="21"/>
  </cols>
  <sheetData>
    <row r="1" spans="1:21" s="20" customFormat="1" ht="15.75" thickTop="1" x14ac:dyDescent="0.25">
      <c r="A1" s="1315" t="s">
        <v>823</v>
      </c>
      <c r="B1" s="1316"/>
      <c r="C1" s="1317"/>
      <c r="D1" s="1266" t="str">
        <f>'1.1a Overall Instit. Profile'!$B$1</f>
        <v>Oglala Lakota College</v>
      </c>
      <c r="E1" s="1370"/>
      <c r="F1" s="1370"/>
      <c r="G1" s="1370"/>
      <c r="H1" s="1370"/>
      <c r="I1" s="1370"/>
      <c r="J1" s="1370"/>
      <c r="K1" s="1370"/>
      <c r="L1" s="1370"/>
      <c r="M1" s="1370"/>
      <c r="N1" s="1370"/>
      <c r="O1" s="1370"/>
      <c r="P1" s="1267"/>
      <c r="Q1" s="1267"/>
      <c r="R1" s="1267"/>
      <c r="S1" s="1267"/>
      <c r="T1" s="906"/>
      <c r="U1" s="907"/>
    </row>
    <row r="2" spans="1:21" ht="14.25" customHeight="1" x14ac:dyDescent="0.25">
      <c r="A2" s="1371" t="s">
        <v>816</v>
      </c>
      <c r="B2" s="1372"/>
      <c r="C2" s="1372"/>
      <c r="D2" s="1372"/>
      <c r="E2" s="1372"/>
      <c r="F2" s="1372"/>
      <c r="G2" s="1372"/>
      <c r="H2" s="1372"/>
      <c r="I2" s="1372"/>
      <c r="J2" s="1372"/>
      <c r="K2" s="1372"/>
      <c r="L2" s="1372"/>
      <c r="M2" s="1372"/>
      <c r="N2" s="1372"/>
      <c r="O2" s="1372"/>
      <c r="P2" s="1372"/>
      <c r="Q2" s="1372"/>
      <c r="R2" s="1372"/>
      <c r="S2" s="1372"/>
      <c r="T2" s="915"/>
      <c r="U2" s="916"/>
    </row>
    <row r="3" spans="1:21" ht="15" x14ac:dyDescent="0.25">
      <c r="A3" s="1373" t="s">
        <v>445</v>
      </c>
      <c r="B3" s="1374"/>
      <c r="C3" s="1374"/>
      <c r="D3" s="1374"/>
      <c r="E3" s="1374"/>
      <c r="F3" s="1374"/>
      <c r="G3" s="1374"/>
      <c r="H3" s="1374"/>
      <c r="I3" s="1374"/>
      <c r="J3" s="1374"/>
      <c r="K3" s="1374"/>
      <c r="L3" s="1374"/>
      <c r="M3" s="1374"/>
      <c r="N3" s="1374"/>
      <c r="O3" s="1374"/>
      <c r="P3" s="1374"/>
      <c r="Q3" s="1374"/>
      <c r="R3" s="1374"/>
      <c r="S3" s="1374"/>
      <c r="T3" s="917"/>
      <c r="U3" s="1028"/>
    </row>
    <row r="4" spans="1:21" ht="27" customHeight="1" x14ac:dyDescent="0.2">
      <c r="A4" s="1375" t="s">
        <v>403</v>
      </c>
      <c r="B4" s="1376"/>
      <c r="C4" s="1376"/>
      <c r="D4" s="1376"/>
      <c r="E4" s="1376"/>
      <c r="F4" s="1376"/>
      <c r="G4" s="1376"/>
      <c r="H4" s="1376"/>
      <c r="I4" s="1376"/>
      <c r="J4" s="1376"/>
      <c r="K4" s="1376"/>
      <c r="L4" s="1376"/>
      <c r="M4" s="1376"/>
      <c r="N4" s="1376"/>
      <c r="O4" s="1376"/>
      <c r="P4" s="1376"/>
      <c r="Q4" s="1376"/>
      <c r="R4" s="1376"/>
      <c r="S4" s="1376"/>
      <c r="T4" s="1376"/>
      <c r="U4" s="1377"/>
    </row>
    <row r="5" spans="1:21" ht="22.5" customHeight="1" x14ac:dyDescent="0.2">
      <c r="A5" s="1378" t="s">
        <v>404</v>
      </c>
      <c r="B5" s="1379"/>
      <c r="C5" s="1379"/>
      <c r="D5" s="1379"/>
      <c r="E5" s="1379"/>
      <c r="F5" s="1379"/>
      <c r="G5" s="1379"/>
      <c r="H5" s="1379"/>
      <c r="I5" s="1379"/>
      <c r="J5" s="1379"/>
      <c r="K5" s="1379"/>
      <c r="L5" s="1379"/>
      <c r="M5" s="1379"/>
      <c r="N5" s="1379"/>
      <c r="O5" s="1379"/>
      <c r="P5" s="1379"/>
      <c r="Q5" s="1379"/>
      <c r="R5" s="1379"/>
      <c r="S5" s="1379"/>
      <c r="T5" s="1379"/>
      <c r="U5" s="1380"/>
    </row>
    <row r="6" spans="1:21" x14ac:dyDescent="0.2">
      <c r="A6" s="1363" t="s">
        <v>882</v>
      </c>
      <c r="B6" s="1360"/>
      <c r="C6" s="1360"/>
      <c r="D6" s="1360"/>
      <c r="E6" s="1360"/>
      <c r="F6" s="1360"/>
      <c r="G6" s="1360"/>
      <c r="H6" s="1360"/>
      <c r="I6" s="1360"/>
      <c r="J6" s="1360"/>
      <c r="K6" s="282"/>
      <c r="L6" s="1360"/>
      <c r="M6" s="1360"/>
      <c r="N6" s="1360"/>
      <c r="O6" s="1360"/>
      <c r="P6" s="1360"/>
      <c r="Q6" s="1360"/>
      <c r="R6" s="1360"/>
      <c r="S6" s="1360"/>
      <c r="T6" s="910"/>
      <c r="U6" s="784"/>
    </row>
    <row r="7" spans="1:21" x14ac:dyDescent="0.2">
      <c r="A7" s="612"/>
      <c r="B7" s="613"/>
      <c r="C7" s="613"/>
      <c r="D7" s="1364" t="s">
        <v>873</v>
      </c>
      <c r="E7" s="1364"/>
      <c r="F7" s="1364" t="s">
        <v>874</v>
      </c>
      <c r="G7" s="1365"/>
      <c r="H7" s="1366" t="s">
        <v>872</v>
      </c>
      <c r="I7" s="1367"/>
      <c r="J7" s="1036"/>
      <c r="K7" s="282"/>
      <c r="L7" s="1389" t="s">
        <v>893</v>
      </c>
      <c r="M7" s="1390"/>
      <c r="N7" s="1390"/>
      <c r="O7" s="1390"/>
      <c r="P7" s="1390"/>
      <c r="Q7" s="1391"/>
      <c r="R7" s="1361" t="s">
        <v>873</v>
      </c>
      <c r="S7" s="1362"/>
      <c r="T7" s="1355" t="s">
        <v>874</v>
      </c>
      <c r="U7" s="1356"/>
    </row>
    <row r="8" spans="1:21" x14ac:dyDescent="0.2">
      <c r="A8" s="912"/>
      <c r="B8" s="918"/>
      <c r="C8" s="918"/>
      <c r="D8" s="292" t="s">
        <v>875</v>
      </c>
      <c r="E8" s="292" t="s">
        <v>876</v>
      </c>
      <c r="F8" s="292" t="s">
        <v>875</v>
      </c>
      <c r="G8" s="293" t="s">
        <v>876</v>
      </c>
      <c r="H8" s="288" t="s">
        <v>875</v>
      </c>
      <c r="I8" s="1037" t="s">
        <v>876</v>
      </c>
      <c r="J8" s="289" t="s">
        <v>872</v>
      </c>
      <c r="K8" s="282"/>
      <c r="L8" s="1392"/>
      <c r="M8" s="1393"/>
      <c r="N8" s="1393"/>
      <c r="O8" s="1393"/>
      <c r="P8" s="1393"/>
      <c r="Q8" s="1394"/>
      <c r="R8" s="1032" t="s">
        <v>875</v>
      </c>
      <c r="S8" s="293" t="s">
        <v>876</v>
      </c>
      <c r="T8" s="590" t="s">
        <v>875</v>
      </c>
      <c r="U8" s="1033" t="s">
        <v>876</v>
      </c>
    </row>
    <row r="9" spans="1:21" x14ac:dyDescent="0.2">
      <c r="A9" s="1357" t="s">
        <v>884</v>
      </c>
      <c r="B9" s="1358"/>
      <c r="C9" s="1359"/>
      <c r="D9" s="812">
        <v>165</v>
      </c>
      <c r="E9" s="812">
        <v>202</v>
      </c>
      <c r="F9" s="812">
        <v>2</v>
      </c>
      <c r="G9" s="1038">
        <v>3</v>
      </c>
      <c r="H9" s="290">
        <f>SUM(D9,F9)</f>
        <v>167</v>
      </c>
      <c r="I9" s="1039">
        <f t="shared" ref="H9:I11" si="0">SUM(E9,G9)</f>
        <v>205</v>
      </c>
      <c r="J9" s="291">
        <f>SUM(H9:I9)</f>
        <v>372</v>
      </c>
      <c r="K9" s="282"/>
      <c r="L9" s="724" t="s">
        <v>895</v>
      </c>
      <c r="M9" s="919"/>
      <c r="N9" s="807"/>
      <c r="O9" s="807"/>
      <c r="P9" s="807"/>
      <c r="Q9" s="614"/>
      <c r="R9" s="812">
        <v>120</v>
      </c>
      <c r="S9" s="813">
        <v>145</v>
      </c>
      <c r="T9" s="821">
        <v>1</v>
      </c>
      <c r="U9" s="850">
        <v>6</v>
      </c>
    </row>
    <row r="10" spans="1:21" x14ac:dyDescent="0.2">
      <c r="A10" s="1357" t="s">
        <v>886</v>
      </c>
      <c r="B10" s="1358"/>
      <c r="C10" s="1359"/>
      <c r="D10" s="814">
        <v>43</v>
      </c>
      <c r="E10" s="814">
        <v>59</v>
      </c>
      <c r="F10" s="814">
        <v>3</v>
      </c>
      <c r="G10" s="828">
        <v>9</v>
      </c>
      <c r="H10" s="829">
        <f t="shared" si="0"/>
        <v>46</v>
      </c>
      <c r="I10" s="1039">
        <f t="shared" si="0"/>
        <v>68</v>
      </c>
      <c r="J10" s="1040">
        <f>SUM(H10:I10)</f>
        <v>114</v>
      </c>
      <c r="K10" s="282"/>
      <c r="L10" s="1041" t="s">
        <v>897</v>
      </c>
      <c r="M10" s="710"/>
      <c r="N10" s="710"/>
      <c r="O10" s="834"/>
      <c r="P10" s="834"/>
      <c r="Q10" s="830"/>
      <c r="R10" s="814">
        <v>67</v>
      </c>
      <c r="S10" s="815">
        <v>92</v>
      </c>
      <c r="T10" s="822">
        <v>2</v>
      </c>
      <c r="U10" s="851">
        <v>3</v>
      </c>
    </row>
    <row r="11" spans="1:21" x14ac:dyDescent="0.2">
      <c r="A11" s="1368" t="s">
        <v>872</v>
      </c>
      <c r="B11" s="1369"/>
      <c r="C11" s="1369"/>
      <c r="D11" s="1042">
        <f>SUM(D9:D10)</f>
        <v>208</v>
      </c>
      <c r="E11" s="1042">
        <f>SUM(E9:E10)</f>
        <v>261</v>
      </c>
      <c r="F11" s="1042">
        <f>SUM(F9:F10)</f>
        <v>5</v>
      </c>
      <c r="G11" s="1042">
        <f>SUM(G9:G10)</f>
        <v>12</v>
      </c>
      <c r="H11" s="1043">
        <f t="shared" si="0"/>
        <v>213</v>
      </c>
      <c r="I11" s="1044">
        <f t="shared" si="0"/>
        <v>273</v>
      </c>
      <c r="J11" s="1045">
        <f>SUM(H11:I11)</f>
        <v>486</v>
      </c>
      <c r="K11" s="282"/>
      <c r="L11" s="1041" t="s">
        <v>898</v>
      </c>
      <c r="M11" s="710"/>
      <c r="N11" s="834"/>
      <c r="O11" s="834"/>
      <c r="P11" s="834"/>
      <c r="Q11" s="830"/>
      <c r="R11" s="814">
        <v>5</v>
      </c>
      <c r="S11" s="815">
        <v>5</v>
      </c>
      <c r="T11" s="822">
        <v>0</v>
      </c>
      <c r="U11" s="851">
        <v>0</v>
      </c>
    </row>
    <row r="12" spans="1:21" ht="15" thickBot="1" x14ac:dyDescent="0.25">
      <c r="A12" s="283"/>
      <c r="B12" s="282"/>
      <c r="C12" s="282"/>
      <c r="D12" s="282"/>
      <c r="E12" s="282"/>
      <c r="F12" s="282"/>
      <c r="G12" s="282"/>
      <c r="H12" s="282"/>
      <c r="I12" s="282"/>
      <c r="J12" s="282"/>
      <c r="K12" s="282"/>
      <c r="L12" s="1046" t="s">
        <v>0</v>
      </c>
      <c r="M12" s="1047"/>
      <c r="N12" s="1047"/>
      <c r="O12" s="600"/>
      <c r="P12" s="600"/>
      <c r="Q12" s="601"/>
      <c r="R12" s="604">
        <v>18</v>
      </c>
      <c r="S12" s="841">
        <v>22</v>
      </c>
      <c r="T12" s="823">
        <v>0</v>
      </c>
      <c r="U12" s="603">
        <v>0</v>
      </c>
    </row>
    <row r="13" spans="1:21" x14ac:dyDescent="0.2">
      <c r="A13" s="1363" t="s">
        <v>890</v>
      </c>
      <c r="B13" s="1360"/>
      <c r="C13" s="1360"/>
      <c r="D13" s="1360"/>
      <c r="E13" s="1360"/>
      <c r="F13" s="1360"/>
      <c r="G13" s="1360"/>
      <c r="H13" s="1360"/>
      <c r="I13" s="1360"/>
      <c r="J13" s="1360"/>
      <c r="K13" s="1360"/>
      <c r="L13" s="727" t="s">
        <v>1</v>
      </c>
      <c r="M13" s="728"/>
      <c r="N13" s="728"/>
      <c r="O13" s="728"/>
      <c r="P13" s="728"/>
      <c r="Q13" s="294"/>
      <c r="R13" s="1188" t="s">
        <v>646</v>
      </c>
      <c r="S13" s="1197" t="s">
        <v>646</v>
      </c>
      <c r="T13" s="1190" t="s">
        <v>646</v>
      </c>
      <c r="U13" s="1191" t="s">
        <v>646</v>
      </c>
    </row>
    <row r="14" spans="1:21" x14ac:dyDescent="0.2">
      <c r="A14" s="1412" t="s">
        <v>891</v>
      </c>
      <c r="B14" s="1413"/>
      <c r="C14" s="1413"/>
      <c r="D14" s="1413"/>
      <c r="E14" s="1414"/>
      <c r="F14" s="1361" t="s">
        <v>873</v>
      </c>
      <c r="G14" s="1355"/>
      <c r="H14" s="1425" t="s">
        <v>874</v>
      </c>
      <c r="I14" s="1426"/>
      <c r="J14" s="1427" t="s">
        <v>872</v>
      </c>
      <c r="K14" s="282"/>
      <c r="L14" s="284"/>
      <c r="M14" s="284"/>
      <c r="N14" s="284"/>
      <c r="O14" s="284"/>
      <c r="P14" s="284"/>
      <c r="Q14" s="284"/>
      <c r="R14" s="610"/>
      <c r="S14" s="284"/>
      <c r="T14" s="610"/>
      <c r="U14" s="285"/>
    </row>
    <row r="15" spans="1:21" ht="15" customHeight="1" x14ac:dyDescent="0.2">
      <c r="A15" s="1415"/>
      <c r="B15" s="1416"/>
      <c r="C15" s="1416"/>
      <c r="D15" s="1416"/>
      <c r="E15" s="1417"/>
      <c r="F15" s="1032" t="s">
        <v>875</v>
      </c>
      <c r="G15" s="1032" t="s">
        <v>876</v>
      </c>
      <c r="H15" s="1065" t="s">
        <v>875</v>
      </c>
      <c r="I15" s="292" t="s">
        <v>876</v>
      </c>
      <c r="J15" s="1428"/>
      <c r="K15" s="282"/>
      <c r="L15" s="1389" t="s">
        <v>893</v>
      </c>
      <c r="M15" s="1390"/>
      <c r="N15" s="1390"/>
      <c r="O15" s="1390"/>
      <c r="P15" s="1390"/>
      <c r="Q15" s="1391"/>
      <c r="R15" s="1361" t="s">
        <v>873</v>
      </c>
      <c r="S15" s="1362"/>
      <c r="T15" s="1355" t="s">
        <v>874</v>
      </c>
      <c r="U15" s="1356"/>
    </row>
    <row r="16" spans="1:21" ht="15" customHeight="1" x14ac:dyDescent="0.2">
      <c r="A16" s="1418" t="s">
        <v>892</v>
      </c>
      <c r="B16" s="1419"/>
      <c r="C16" s="1419"/>
      <c r="D16" s="1419"/>
      <c r="E16" s="807"/>
      <c r="F16" s="1029">
        <v>142</v>
      </c>
      <c r="G16" s="1030">
        <v>191</v>
      </c>
      <c r="H16" s="1031">
        <v>2</v>
      </c>
      <c r="I16" s="1030">
        <v>9</v>
      </c>
      <c r="J16" s="914">
        <f>SUM(H16:I16)</f>
        <v>11</v>
      </c>
      <c r="K16" s="282"/>
      <c r="L16" s="1392"/>
      <c r="M16" s="1393"/>
      <c r="N16" s="1393"/>
      <c r="O16" s="1393"/>
      <c r="P16" s="1393"/>
      <c r="Q16" s="1394"/>
      <c r="R16" s="1032" t="s">
        <v>875</v>
      </c>
      <c r="S16" s="293" t="s">
        <v>876</v>
      </c>
      <c r="T16" s="590" t="s">
        <v>875</v>
      </c>
      <c r="U16" s="1033" t="s">
        <v>876</v>
      </c>
    </row>
    <row r="17" spans="1:21" ht="15" customHeight="1" x14ac:dyDescent="0.2">
      <c r="A17" s="831"/>
      <c r="B17" s="832" t="s">
        <v>367</v>
      </c>
      <c r="C17" s="827"/>
      <c r="D17" s="827"/>
      <c r="E17" s="827"/>
      <c r="F17" s="1420"/>
      <c r="G17" s="1421"/>
      <c r="H17" s="1421"/>
      <c r="I17" s="1421"/>
      <c r="J17" s="1422"/>
      <c r="K17" s="282"/>
      <c r="L17" s="725" t="s">
        <v>7</v>
      </c>
      <c r="M17" s="807"/>
      <c r="N17" s="807"/>
      <c r="O17" s="807"/>
      <c r="P17" s="807"/>
      <c r="Q17" s="614"/>
      <c r="R17" s="1198" t="s">
        <v>646</v>
      </c>
      <c r="S17" s="1200" t="s">
        <v>646</v>
      </c>
      <c r="T17" s="1202" t="s">
        <v>646</v>
      </c>
      <c r="U17" s="1204" t="s">
        <v>646</v>
      </c>
    </row>
    <row r="18" spans="1:21" ht="15" customHeight="1" x14ac:dyDescent="0.2">
      <c r="A18" s="831"/>
      <c r="B18" s="866" t="s">
        <v>883</v>
      </c>
      <c r="C18" s="827"/>
      <c r="D18" s="827"/>
      <c r="E18" s="827"/>
      <c r="F18" s="812">
        <v>0</v>
      </c>
      <c r="G18" s="813">
        <v>0</v>
      </c>
      <c r="H18" s="1048">
        <v>0</v>
      </c>
      <c r="I18" s="813" t="s">
        <v>813</v>
      </c>
      <c r="J18" s="1049">
        <f t="shared" ref="J18:J26" si="1">SUM(H18:I18)</f>
        <v>0</v>
      </c>
      <c r="K18" s="282"/>
      <c r="L18" s="1050" t="s">
        <v>8</v>
      </c>
      <c r="M18" s="834"/>
      <c r="N18" s="834"/>
      <c r="O18" s="834"/>
      <c r="P18" s="834"/>
      <c r="Q18" s="830"/>
      <c r="R18" s="1199" t="s">
        <v>646</v>
      </c>
      <c r="S18" s="1201" t="s">
        <v>646</v>
      </c>
      <c r="T18" s="1203" t="s">
        <v>646</v>
      </c>
      <c r="U18" s="1205" t="s">
        <v>646</v>
      </c>
    </row>
    <row r="19" spans="1:21" ht="15" customHeight="1" x14ac:dyDescent="0.2">
      <c r="A19" s="831"/>
      <c r="B19" s="833" t="s">
        <v>885</v>
      </c>
      <c r="C19" s="827"/>
      <c r="D19" s="827"/>
      <c r="E19" s="827"/>
      <c r="F19" s="812">
        <v>11</v>
      </c>
      <c r="G19" s="813">
        <v>33</v>
      </c>
      <c r="H19" s="1048">
        <v>1</v>
      </c>
      <c r="I19" s="813">
        <v>2</v>
      </c>
      <c r="J19" s="1049">
        <f t="shared" si="1"/>
        <v>3</v>
      </c>
      <c r="K19" s="282"/>
      <c r="L19" s="284"/>
      <c r="M19" s="284"/>
      <c r="N19" s="284"/>
      <c r="O19" s="284"/>
      <c r="P19" s="284"/>
      <c r="Q19" s="284"/>
      <c r="R19" s="610"/>
      <c r="S19" s="284"/>
      <c r="T19" s="610"/>
      <c r="U19" s="285"/>
    </row>
    <row r="20" spans="1:21" ht="15" customHeight="1" x14ac:dyDescent="0.2">
      <c r="A20" s="831"/>
      <c r="B20" s="833" t="s">
        <v>887</v>
      </c>
      <c r="C20" s="827"/>
      <c r="D20" s="827"/>
      <c r="E20" s="827"/>
      <c r="F20" s="812">
        <v>44</v>
      </c>
      <c r="G20" s="813">
        <v>49</v>
      </c>
      <c r="H20" s="1048">
        <v>0</v>
      </c>
      <c r="I20" s="813">
        <v>0</v>
      </c>
      <c r="J20" s="1049">
        <f t="shared" si="1"/>
        <v>0</v>
      </c>
      <c r="K20" s="282"/>
      <c r="L20" s="1402" t="s">
        <v>11</v>
      </c>
      <c r="M20" s="1403"/>
      <c r="N20" s="1403"/>
      <c r="O20" s="1403"/>
      <c r="P20" s="1403"/>
      <c r="Q20" s="1404"/>
      <c r="R20" s="1361" t="s">
        <v>873</v>
      </c>
      <c r="S20" s="1362"/>
      <c r="T20" s="1355" t="s">
        <v>874</v>
      </c>
      <c r="U20" s="1356"/>
    </row>
    <row r="21" spans="1:21" ht="15" customHeight="1" x14ac:dyDescent="0.2">
      <c r="A21" s="831"/>
      <c r="B21" s="833" t="s">
        <v>888</v>
      </c>
      <c r="C21" s="827"/>
      <c r="D21" s="827"/>
      <c r="E21" s="827"/>
      <c r="F21" s="812">
        <v>33</v>
      </c>
      <c r="G21" s="813">
        <v>30</v>
      </c>
      <c r="H21" s="1048">
        <v>0</v>
      </c>
      <c r="I21" s="813">
        <v>0</v>
      </c>
      <c r="J21" s="1049">
        <f t="shared" si="1"/>
        <v>0</v>
      </c>
      <c r="K21" s="282"/>
      <c r="L21" s="1405"/>
      <c r="M21" s="1369"/>
      <c r="N21" s="1369"/>
      <c r="O21" s="1369"/>
      <c r="P21" s="1369"/>
      <c r="Q21" s="1406"/>
      <c r="R21" s="811" t="s">
        <v>875</v>
      </c>
      <c r="S21" s="840" t="s">
        <v>876</v>
      </c>
      <c r="T21" s="818" t="s">
        <v>875</v>
      </c>
      <c r="U21" s="849" t="s">
        <v>876</v>
      </c>
    </row>
    <row r="22" spans="1:21" ht="15" thickBot="1" x14ac:dyDescent="0.25">
      <c r="A22" s="831"/>
      <c r="B22" s="833" t="s">
        <v>889</v>
      </c>
      <c r="C22" s="827"/>
      <c r="D22" s="827"/>
      <c r="E22" s="827"/>
      <c r="F22" s="812">
        <v>54</v>
      </c>
      <c r="G22" s="813">
        <v>79</v>
      </c>
      <c r="H22" s="1048">
        <v>1</v>
      </c>
      <c r="I22" s="813">
        <v>7</v>
      </c>
      <c r="J22" s="1049">
        <f t="shared" si="1"/>
        <v>8</v>
      </c>
      <c r="K22" s="282"/>
      <c r="L22" s="913" t="s">
        <v>13</v>
      </c>
      <c r="M22" s="809"/>
      <c r="N22" s="809"/>
      <c r="O22" s="809"/>
      <c r="P22" s="809"/>
      <c r="Q22" s="809"/>
      <c r="R22" s="1206" t="s">
        <v>646</v>
      </c>
      <c r="S22" s="1207" t="s">
        <v>646</v>
      </c>
      <c r="T22" s="1208" t="s">
        <v>646</v>
      </c>
      <c r="U22" s="1209" t="s">
        <v>646</v>
      </c>
    </row>
    <row r="23" spans="1:21" x14ac:dyDescent="0.2">
      <c r="A23" s="1423" t="s">
        <v>894</v>
      </c>
      <c r="B23" s="1424"/>
      <c r="C23" s="827"/>
      <c r="D23" s="834"/>
      <c r="E23" s="834"/>
      <c r="F23" s="814">
        <v>61</v>
      </c>
      <c r="G23" s="815">
        <v>55</v>
      </c>
      <c r="H23" s="816">
        <v>2</v>
      </c>
      <c r="I23" s="815">
        <v>3</v>
      </c>
      <c r="J23" s="1049">
        <f t="shared" si="1"/>
        <v>5</v>
      </c>
      <c r="K23" s="282"/>
      <c r="L23" s="835" t="s">
        <v>18</v>
      </c>
      <c r="M23" s="827"/>
      <c r="N23" s="827"/>
      <c r="O23" s="827"/>
      <c r="P23" s="827"/>
      <c r="Q23" s="836"/>
      <c r="R23" s="812">
        <v>206</v>
      </c>
      <c r="S23" s="813">
        <v>258</v>
      </c>
      <c r="T23" s="821">
        <v>5</v>
      </c>
      <c r="U23" s="850">
        <v>11</v>
      </c>
    </row>
    <row r="24" spans="1:21" x14ac:dyDescent="0.2">
      <c r="A24" s="1423" t="s">
        <v>896</v>
      </c>
      <c r="B24" s="1424"/>
      <c r="C24" s="1424"/>
      <c r="D24" s="1424"/>
      <c r="E24" s="1424"/>
      <c r="F24" s="814">
        <v>0</v>
      </c>
      <c r="G24" s="815">
        <v>0</v>
      </c>
      <c r="H24" s="816">
        <v>0</v>
      </c>
      <c r="I24" s="815">
        <v>0</v>
      </c>
      <c r="J24" s="1049">
        <f t="shared" si="1"/>
        <v>0</v>
      </c>
      <c r="K24" s="282"/>
      <c r="L24" s="1051" t="s">
        <v>20</v>
      </c>
      <c r="M24" s="808"/>
      <c r="N24" s="808"/>
      <c r="O24" s="808"/>
      <c r="P24" s="808"/>
      <c r="Q24" s="837"/>
      <c r="R24" s="838">
        <v>0</v>
      </c>
      <c r="S24" s="842">
        <v>0</v>
      </c>
      <c r="T24" s="825">
        <v>2</v>
      </c>
      <c r="U24" s="852">
        <v>4</v>
      </c>
    </row>
    <row r="25" spans="1:21" x14ac:dyDescent="0.2">
      <c r="A25" s="1423" t="s">
        <v>294</v>
      </c>
      <c r="B25" s="1424"/>
      <c r="C25" s="1424"/>
      <c r="D25" s="1424"/>
      <c r="E25" s="1424"/>
      <c r="F25" s="814">
        <v>6</v>
      </c>
      <c r="G25" s="815">
        <v>14</v>
      </c>
      <c r="H25" s="816">
        <v>1</v>
      </c>
      <c r="I25" s="815">
        <v>0</v>
      </c>
      <c r="J25" s="1049">
        <f t="shared" si="1"/>
        <v>1</v>
      </c>
      <c r="K25" s="282"/>
      <c r="L25" s="284"/>
      <c r="M25" s="284"/>
      <c r="N25" s="284"/>
      <c r="O25" s="284"/>
      <c r="P25" s="284"/>
      <c r="Q25" s="284"/>
      <c r="R25" s="610"/>
      <c r="S25" s="284"/>
      <c r="T25" s="610"/>
      <c r="U25" s="285"/>
    </row>
    <row r="26" spans="1:21" x14ac:dyDescent="0.2">
      <c r="A26" s="1409" t="s">
        <v>899</v>
      </c>
      <c r="B26" s="1410"/>
      <c r="C26" s="1410"/>
      <c r="D26" s="1410"/>
      <c r="E26" s="808"/>
      <c r="F26" s="838">
        <v>0</v>
      </c>
      <c r="G26" s="842">
        <v>0</v>
      </c>
      <c r="H26" s="1034">
        <v>0</v>
      </c>
      <c r="I26" s="842">
        <v>0</v>
      </c>
      <c r="J26" s="1035">
        <f t="shared" si="1"/>
        <v>0</v>
      </c>
      <c r="K26" s="282"/>
      <c r="L26" s="1402" t="s">
        <v>23</v>
      </c>
      <c r="M26" s="1403"/>
      <c r="N26" s="1403"/>
      <c r="O26" s="1403"/>
      <c r="P26" s="1403"/>
      <c r="Q26" s="1404"/>
      <c r="R26" s="1361" t="s">
        <v>873</v>
      </c>
      <c r="S26" s="1362"/>
      <c r="T26" s="1355" t="s">
        <v>874</v>
      </c>
      <c r="U26" s="1356"/>
    </row>
    <row r="27" spans="1:21" x14ac:dyDescent="0.2">
      <c r="A27" s="283"/>
      <c r="B27" s="282"/>
      <c r="C27" s="282"/>
      <c r="D27" s="282"/>
      <c r="E27" s="282"/>
      <c r="F27" s="282"/>
      <c r="G27" s="282"/>
      <c r="H27" s="282"/>
      <c r="I27" s="282"/>
      <c r="J27" s="282"/>
      <c r="K27" s="282"/>
      <c r="L27" s="1405"/>
      <c r="M27" s="1369"/>
      <c r="N27" s="1369"/>
      <c r="O27" s="1369"/>
      <c r="P27" s="1369"/>
      <c r="Q27" s="1406"/>
      <c r="R27" s="811" t="s">
        <v>875</v>
      </c>
      <c r="S27" s="840" t="s">
        <v>876</v>
      </c>
      <c r="T27" s="818" t="s">
        <v>875</v>
      </c>
      <c r="U27" s="849" t="s">
        <v>876</v>
      </c>
    </row>
    <row r="28" spans="1:21" ht="15" thickBot="1" x14ac:dyDescent="0.25">
      <c r="A28" s="1411" t="s">
        <v>2</v>
      </c>
      <c r="B28" s="1403"/>
      <c r="C28" s="613"/>
      <c r="D28" s="613"/>
      <c r="E28" s="613"/>
      <c r="F28" s="613"/>
      <c r="G28" s="613"/>
      <c r="H28" s="613"/>
      <c r="I28" s="613"/>
      <c r="J28" s="1052"/>
      <c r="K28" s="282"/>
      <c r="L28" s="913" t="s">
        <v>24</v>
      </c>
      <c r="M28" s="809"/>
      <c r="N28" s="809"/>
      <c r="O28" s="809"/>
      <c r="P28" s="809"/>
      <c r="Q28" s="605"/>
      <c r="R28" s="606">
        <v>13328</v>
      </c>
      <c r="S28" s="843">
        <v>12797</v>
      </c>
      <c r="T28" s="826">
        <v>3000</v>
      </c>
      <c r="U28" s="607">
        <v>34482</v>
      </c>
    </row>
    <row r="29" spans="1:21" x14ac:dyDescent="0.2">
      <c r="A29" s="1407" t="s">
        <v>3</v>
      </c>
      <c r="B29" s="1408"/>
      <c r="C29" s="1408"/>
      <c r="D29" s="590" t="s">
        <v>529</v>
      </c>
      <c r="E29" s="590" t="s">
        <v>530</v>
      </c>
      <c r="F29" s="590" t="s">
        <v>531</v>
      </c>
      <c r="G29" s="590" t="s">
        <v>296</v>
      </c>
      <c r="H29" s="590" t="s">
        <v>4</v>
      </c>
      <c r="I29" s="590" t="s">
        <v>5</v>
      </c>
      <c r="J29" s="591" t="s">
        <v>6</v>
      </c>
      <c r="K29" s="282"/>
      <c r="L29" s="1429" t="s">
        <v>567</v>
      </c>
      <c r="M29" s="1430"/>
      <c r="N29" s="1430"/>
      <c r="O29" s="1430"/>
      <c r="P29" s="1430"/>
      <c r="Q29" s="1431"/>
      <c r="R29" s="1198" t="s">
        <v>646</v>
      </c>
      <c r="S29" s="1200" t="s">
        <v>646</v>
      </c>
      <c r="T29" s="1202" t="s">
        <v>646</v>
      </c>
      <c r="U29" s="1204" t="s">
        <v>646</v>
      </c>
    </row>
    <row r="30" spans="1:21" ht="15" thickBot="1" x14ac:dyDescent="0.25">
      <c r="A30" s="1398" t="s">
        <v>873</v>
      </c>
      <c r="B30" s="1399"/>
      <c r="C30" s="864" t="s">
        <v>875</v>
      </c>
      <c r="D30" s="862">
        <v>3</v>
      </c>
      <c r="E30" s="862">
        <v>96</v>
      </c>
      <c r="F30" s="862">
        <v>34</v>
      </c>
      <c r="G30" s="862">
        <v>43</v>
      </c>
      <c r="H30" s="862">
        <v>26</v>
      </c>
      <c r="I30" s="862">
        <v>5</v>
      </c>
      <c r="J30" s="863">
        <v>1</v>
      </c>
      <c r="K30" s="282"/>
      <c r="L30" s="1395" t="s">
        <v>568</v>
      </c>
      <c r="M30" s="1396"/>
      <c r="N30" s="1396"/>
      <c r="O30" s="1396"/>
      <c r="P30" s="1396"/>
      <c r="Q30" s="1397"/>
      <c r="R30" s="1214" t="s">
        <v>646</v>
      </c>
      <c r="S30" s="1215" t="s">
        <v>646</v>
      </c>
      <c r="T30" s="1216" t="s">
        <v>646</v>
      </c>
      <c r="U30" s="1217" t="s">
        <v>646</v>
      </c>
    </row>
    <row r="31" spans="1:21" ht="15" customHeight="1" x14ac:dyDescent="0.2">
      <c r="A31" s="1400"/>
      <c r="B31" s="1401"/>
      <c r="C31" s="865" t="s">
        <v>876</v>
      </c>
      <c r="D31" s="838">
        <v>14</v>
      </c>
      <c r="E31" s="838">
        <v>125</v>
      </c>
      <c r="F31" s="838">
        <v>38</v>
      </c>
      <c r="G31" s="838">
        <v>45</v>
      </c>
      <c r="H31" s="838">
        <v>31</v>
      </c>
      <c r="I31" s="838">
        <v>6</v>
      </c>
      <c r="J31" s="842">
        <v>2</v>
      </c>
      <c r="K31" s="282"/>
      <c r="L31" s="1386" t="s">
        <v>565</v>
      </c>
      <c r="M31" s="1387"/>
      <c r="N31" s="1387"/>
      <c r="O31" s="1387"/>
      <c r="P31" s="1387"/>
      <c r="Q31" s="1388"/>
      <c r="R31" s="812">
        <v>75</v>
      </c>
      <c r="S31" s="813">
        <v>120</v>
      </c>
      <c r="T31" s="821">
        <v>1</v>
      </c>
      <c r="U31" s="850">
        <v>1</v>
      </c>
    </row>
    <row r="32" spans="1:21" ht="15" customHeight="1" x14ac:dyDescent="0.2">
      <c r="A32" s="1398" t="s">
        <v>874</v>
      </c>
      <c r="B32" s="1399"/>
      <c r="C32" s="864" t="s">
        <v>875</v>
      </c>
      <c r="D32" s="862">
        <v>1</v>
      </c>
      <c r="E32" s="862">
        <v>0</v>
      </c>
      <c r="F32" s="862">
        <v>2</v>
      </c>
      <c r="G32" s="862">
        <v>0</v>
      </c>
      <c r="H32" s="862">
        <v>1</v>
      </c>
      <c r="I32" s="862">
        <v>0</v>
      </c>
      <c r="J32" s="863">
        <v>1</v>
      </c>
      <c r="K32" s="282"/>
      <c r="L32" s="1383" t="s">
        <v>566</v>
      </c>
      <c r="M32" s="1384"/>
      <c r="N32" s="1384"/>
      <c r="O32" s="1384"/>
      <c r="P32" s="1384"/>
      <c r="Q32" s="1385"/>
      <c r="R32" s="838">
        <v>4</v>
      </c>
      <c r="S32" s="842">
        <v>4</v>
      </c>
      <c r="T32" s="825">
        <v>0</v>
      </c>
      <c r="U32" s="852">
        <v>0</v>
      </c>
    </row>
    <row r="33" spans="1:21" x14ac:dyDescent="0.2">
      <c r="A33" s="1400"/>
      <c r="B33" s="1401"/>
      <c r="C33" s="865" t="s">
        <v>876</v>
      </c>
      <c r="D33" s="838">
        <v>0</v>
      </c>
      <c r="E33" s="838">
        <v>2</v>
      </c>
      <c r="F33" s="838">
        <v>4</v>
      </c>
      <c r="G33" s="838">
        <v>1</v>
      </c>
      <c r="H33" s="838">
        <v>5</v>
      </c>
      <c r="I33" s="838">
        <v>0</v>
      </c>
      <c r="J33" s="842">
        <v>0</v>
      </c>
      <c r="K33" s="282"/>
      <c r="L33" s="282"/>
      <c r="M33" s="282"/>
      <c r="N33" s="282"/>
      <c r="O33" s="282"/>
      <c r="P33" s="282"/>
      <c r="Q33" s="282"/>
      <c r="R33" s="611"/>
      <c r="S33" s="282"/>
      <c r="T33" s="611"/>
      <c r="U33" s="286"/>
    </row>
    <row r="34" spans="1:21" x14ac:dyDescent="0.2">
      <c r="A34" s="283"/>
      <c r="B34" s="282"/>
      <c r="C34" s="282"/>
      <c r="D34" s="282"/>
      <c r="E34" s="282"/>
      <c r="F34" s="282"/>
      <c r="G34" s="282"/>
      <c r="H34" s="282"/>
      <c r="I34" s="282"/>
      <c r="J34" s="282"/>
      <c r="K34" s="282"/>
      <c r="L34" s="1389" t="s">
        <v>364</v>
      </c>
      <c r="M34" s="1390"/>
      <c r="N34" s="1390"/>
      <c r="O34" s="1390"/>
      <c r="P34" s="1390"/>
      <c r="Q34" s="1391"/>
      <c r="R34" s="1361" t="s">
        <v>873</v>
      </c>
      <c r="S34" s="1362"/>
      <c r="T34" s="1355" t="s">
        <v>874</v>
      </c>
      <c r="U34" s="1356"/>
    </row>
    <row r="35" spans="1:21" ht="22.5" customHeight="1" x14ac:dyDescent="0.2">
      <c r="A35" s="839" t="s">
        <v>363</v>
      </c>
      <c r="B35" s="628"/>
      <c r="C35" s="628"/>
      <c r="D35" s="602"/>
      <c r="E35" s="592" t="s">
        <v>9</v>
      </c>
      <c r="F35" s="592" t="s">
        <v>361</v>
      </c>
      <c r="G35" s="845" t="s">
        <v>564</v>
      </c>
      <c r="H35" s="593" t="s">
        <v>10</v>
      </c>
      <c r="I35" s="282"/>
      <c r="J35" s="282"/>
      <c r="K35" s="910"/>
      <c r="L35" s="1392"/>
      <c r="M35" s="1393"/>
      <c r="N35" s="1393"/>
      <c r="O35" s="1393"/>
      <c r="P35" s="1393"/>
      <c r="Q35" s="1394"/>
      <c r="R35" s="811" t="s">
        <v>875</v>
      </c>
      <c r="S35" s="840" t="s">
        <v>876</v>
      </c>
      <c r="T35" s="818" t="s">
        <v>875</v>
      </c>
      <c r="U35" s="849" t="s">
        <v>876</v>
      </c>
    </row>
    <row r="36" spans="1:21" ht="15" thickBot="1" x14ac:dyDescent="0.25">
      <c r="A36" s="1398" t="s">
        <v>873</v>
      </c>
      <c r="B36" s="1399"/>
      <c r="C36" s="1434" t="s">
        <v>875</v>
      </c>
      <c r="D36" s="1435"/>
      <c r="E36" s="862">
        <v>178</v>
      </c>
      <c r="F36" s="862">
        <v>33</v>
      </c>
      <c r="G36" s="1193" t="s">
        <v>646</v>
      </c>
      <c r="H36" s="1195" t="s">
        <v>646</v>
      </c>
      <c r="I36" s="282"/>
      <c r="J36" s="282"/>
      <c r="K36" s="910"/>
      <c r="L36" s="1381" t="s">
        <v>365</v>
      </c>
      <c r="M36" s="1382"/>
      <c r="N36" s="1382"/>
      <c r="O36" s="809"/>
      <c r="P36" s="809"/>
      <c r="Q36" s="605"/>
      <c r="R36" s="608">
        <v>16</v>
      </c>
      <c r="S36" s="844">
        <v>11</v>
      </c>
      <c r="T36" s="824">
        <v>2</v>
      </c>
      <c r="U36" s="609">
        <v>1</v>
      </c>
    </row>
    <row r="37" spans="1:21" ht="14.25" customHeight="1" x14ac:dyDescent="0.2">
      <c r="A37" s="1400"/>
      <c r="B37" s="1401"/>
      <c r="C37" s="1436" t="s">
        <v>876</v>
      </c>
      <c r="D37" s="1437"/>
      <c r="E37" s="838">
        <v>228</v>
      </c>
      <c r="F37" s="838">
        <v>30</v>
      </c>
      <c r="G37" s="1194" t="s">
        <v>646</v>
      </c>
      <c r="H37" s="1196" t="s">
        <v>646</v>
      </c>
      <c r="I37" s="282"/>
      <c r="J37" s="282"/>
      <c r="K37" s="910"/>
      <c r="L37" s="1453" t="s">
        <v>366</v>
      </c>
      <c r="M37" s="1454"/>
      <c r="N37" s="1454"/>
      <c r="O37" s="1454"/>
      <c r="P37" s="1454"/>
      <c r="Q37" s="1455"/>
      <c r="R37" s="1188" t="s">
        <v>646</v>
      </c>
      <c r="S37" s="1189" t="s">
        <v>646</v>
      </c>
      <c r="T37" s="1190" t="s">
        <v>646</v>
      </c>
      <c r="U37" s="1191" t="s">
        <v>646</v>
      </c>
    </row>
    <row r="38" spans="1:21" ht="15" customHeight="1" x14ac:dyDescent="0.2">
      <c r="A38" s="1398" t="s">
        <v>874</v>
      </c>
      <c r="B38" s="1399"/>
      <c r="C38" s="1434" t="s">
        <v>875</v>
      </c>
      <c r="D38" s="1435"/>
      <c r="E38" s="862">
        <v>5</v>
      </c>
      <c r="F38" s="1193" t="s">
        <v>646</v>
      </c>
      <c r="G38" s="1193" t="s">
        <v>646</v>
      </c>
      <c r="H38" s="1195" t="s">
        <v>646</v>
      </c>
      <c r="I38" s="282"/>
      <c r="J38" s="282"/>
      <c r="K38" s="910"/>
      <c r="L38" s="282"/>
      <c r="M38" s="282"/>
      <c r="N38" s="282"/>
      <c r="O38" s="282"/>
      <c r="P38" s="282"/>
      <c r="Q38" s="282"/>
      <c r="R38" s="1053"/>
      <c r="S38" s="1053"/>
      <c r="T38" s="1053"/>
      <c r="U38" s="286"/>
    </row>
    <row r="39" spans="1:21" ht="15" customHeight="1" x14ac:dyDescent="0.2">
      <c r="A39" s="1400"/>
      <c r="B39" s="1401"/>
      <c r="C39" s="1436" t="s">
        <v>876</v>
      </c>
      <c r="D39" s="1437"/>
      <c r="E39" s="838">
        <v>12</v>
      </c>
      <c r="F39" s="1194" t="s">
        <v>646</v>
      </c>
      <c r="G39" s="1194" t="s">
        <v>646</v>
      </c>
      <c r="H39" s="1196" t="s">
        <v>646</v>
      </c>
      <c r="I39" s="282"/>
      <c r="J39" s="282"/>
      <c r="K39" s="910"/>
      <c r="L39" s="739"/>
      <c r="M39" s="739"/>
      <c r="N39" s="739"/>
      <c r="O39" s="739"/>
      <c r="P39" s="739"/>
      <c r="Q39" s="739"/>
      <c r="R39" s="739"/>
      <c r="S39" s="739"/>
      <c r="T39" s="739"/>
      <c r="U39" s="857"/>
    </row>
    <row r="40" spans="1:21" ht="15" customHeight="1" x14ac:dyDescent="0.2">
      <c r="A40" s="283"/>
      <c r="B40" s="282"/>
      <c r="C40" s="282"/>
      <c r="D40" s="282"/>
      <c r="E40" s="282"/>
      <c r="F40" s="282"/>
      <c r="G40" s="282"/>
      <c r="H40" s="910"/>
      <c r="I40" s="282"/>
      <c r="J40" s="282"/>
      <c r="K40" s="282"/>
      <c r="L40" s="739"/>
      <c r="M40" s="739"/>
      <c r="N40" s="739"/>
      <c r="O40" s="739"/>
      <c r="P40" s="739"/>
      <c r="Q40" s="739"/>
      <c r="R40" s="739"/>
      <c r="S40" s="739"/>
      <c r="T40" s="739"/>
      <c r="U40" s="857"/>
    </row>
    <row r="41" spans="1:21" ht="16.5" customHeight="1" x14ac:dyDescent="0.2">
      <c r="A41" s="909" t="s">
        <v>12</v>
      </c>
      <c r="B41" s="910"/>
      <c r="C41" s="910"/>
      <c r="D41" s="910"/>
      <c r="E41" s="910"/>
      <c r="F41" s="910"/>
      <c r="G41" s="910"/>
      <c r="H41" s="910"/>
      <c r="I41" s="282"/>
      <c r="J41" s="282"/>
      <c r="K41" s="282"/>
      <c r="L41" s="739"/>
      <c r="M41" s="739"/>
      <c r="N41" s="739"/>
      <c r="O41" s="739"/>
      <c r="P41" s="739"/>
      <c r="Q41" s="739"/>
      <c r="R41" s="739"/>
      <c r="S41" s="739"/>
      <c r="T41" s="739"/>
      <c r="U41" s="857"/>
    </row>
    <row r="42" spans="1:21" ht="15" customHeight="1" x14ac:dyDescent="0.2">
      <c r="A42" s="612"/>
      <c r="B42" s="1054"/>
      <c r="C42" s="1456" t="s">
        <v>14</v>
      </c>
      <c r="D42" s="1457"/>
      <c r="E42" s="1457"/>
      <c r="F42" s="1458"/>
      <c r="G42" s="1457" t="s">
        <v>15</v>
      </c>
      <c r="H42" s="1457"/>
      <c r="I42" s="1457"/>
      <c r="J42" s="1458"/>
      <c r="K42" s="1463" t="s">
        <v>16</v>
      </c>
      <c r="L42" s="1457"/>
      <c r="M42" s="1457"/>
      <c r="N42" s="1458"/>
      <c r="O42" s="1463" t="s">
        <v>17</v>
      </c>
      <c r="P42" s="1457"/>
      <c r="Q42" s="1457"/>
      <c r="R42" s="1458"/>
      <c r="S42" s="739"/>
      <c r="T42" s="739"/>
      <c r="U42" s="857"/>
    </row>
    <row r="43" spans="1:21" ht="15" customHeight="1" x14ac:dyDescent="0.2">
      <c r="A43" s="831"/>
      <c r="B43" s="819" t="s">
        <v>19</v>
      </c>
      <c r="C43" s="1459" t="s">
        <v>389</v>
      </c>
      <c r="D43" s="1460"/>
      <c r="E43" s="1460"/>
      <c r="F43" s="1461"/>
      <c r="G43" s="1462" t="s">
        <v>389</v>
      </c>
      <c r="H43" s="1460"/>
      <c r="I43" s="1460"/>
      <c r="J43" s="1461"/>
      <c r="K43" s="1464" t="s">
        <v>389</v>
      </c>
      <c r="L43" s="1465"/>
      <c r="M43" s="1465"/>
      <c r="N43" s="1466"/>
      <c r="O43" s="1462" t="s">
        <v>389</v>
      </c>
      <c r="P43" s="1460"/>
      <c r="Q43" s="1460"/>
      <c r="R43" s="1461"/>
      <c r="S43" s="739"/>
      <c r="T43" s="739"/>
      <c r="U43" s="857"/>
    </row>
    <row r="44" spans="1:21" ht="15" customHeight="1" x14ac:dyDescent="0.2">
      <c r="A44" s="1055"/>
      <c r="B44" s="1056"/>
      <c r="C44" s="1451" t="s">
        <v>873</v>
      </c>
      <c r="D44" s="1442"/>
      <c r="E44" s="1451" t="s">
        <v>874</v>
      </c>
      <c r="F44" s="1452"/>
      <c r="G44" s="1445" t="s">
        <v>873</v>
      </c>
      <c r="H44" s="1442"/>
      <c r="I44" s="1451" t="s">
        <v>874</v>
      </c>
      <c r="J44" s="1452"/>
      <c r="K44" s="1441" t="s">
        <v>873</v>
      </c>
      <c r="L44" s="1442"/>
      <c r="M44" s="1451" t="s">
        <v>874</v>
      </c>
      <c r="N44" s="1452"/>
      <c r="O44" s="1441" t="s">
        <v>873</v>
      </c>
      <c r="P44" s="1442"/>
      <c r="Q44" s="1451" t="s">
        <v>874</v>
      </c>
      <c r="R44" s="1452"/>
      <c r="S44" s="739"/>
      <c r="T44" s="739"/>
      <c r="U44" s="857"/>
    </row>
    <row r="45" spans="1:21" x14ac:dyDescent="0.2">
      <c r="A45" s="831"/>
      <c r="B45" s="819"/>
      <c r="C45" s="820" t="s">
        <v>875</v>
      </c>
      <c r="D45" s="820" t="s">
        <v>876</v>
      </c>
      <c r="E45" s="820" t="s">
        <v>875</v>
      </c>
      <c r="F45" s="859" t="s">
        <v>876</v>
      </c>
      <c r="G45" s="1057" t="s">
        <v>875</v>
      </c>
      <c r="H45" s="820" t="s">
        <v>876</v>
      </c>
      <c r="I45" s="820" t="s">
        <v>875</v>
      </c>
      <c r="J45" s="859" t="s">
        <v>876</v>
      </c>
      <c r="K45" s="860" t="s">
        <v>875</v>
      </c>
      <c r="L45" s="820" t="s">
        <v>876</v>
      </c>
      <c r="M45" s="820" t="s">
        <v>875</v>
      </c>
      <c r="N45" s="859" t="s">
        <v>876</v>
      </c>
      <c r="O45" s="860" t="s">
        <v>875</v>
      </c>
      <c r="P45" s="820" t="s">
        <v>876</v>
      </c>
      <c r="Q45" s="820" t="s">
        <v>875</v>
      </c>
      <c r="R45" s="859" t="s">
        <v>876</v>
      </c>
      <c r="S45" s="739"/>
      <c r="T45" s="739"/>
      <c r="U45" s="857"/>
    </row>
    <row r="46" spans="1:21" x14ac:dyDescent="0.2">
      <c r="A46" s="1449" t="s">
        <v>21</v>
      </c>
      <c r="B46" s="836" t="s">
        <v>22</v>
      </c>
      <c r="C46" s="867">
        <v>186</v>
      </c>
      <c r="D46" s="867">
        <v>269</v>
      </c>
      <c r="E46" s="867">
        <v>8</v>
      </c>
      <c r="F46" s="868">
        <v>10</v>
      </c>
      <c r="G46" s="1058">
        <v>183</v>
      </c>
      <c r="H46" s="867">
        <v>268</v>
      </c>
      <c r="I46" s="869">
        <v>7</v>
      </c>
      <c r="J46" s="870">
        <v>10</v>
      </c>
      <c r="K46" s="871">
        <v>215</v>
      </c>
      <c r="L46" s="867">
        <v>312</v>
      </c>
      <c r="M46" s="867">
        <v>8</v>
      </c>
      <c r="N46" s="868">
        <v>12</v>
      </c>
      <c r="O46" s="1210" t="s">
        <v>801</v>
      </c>
      <c r="P46" s="1211" t="s">
        <v>801</v>
      </c>
      <c r="Q46" s="869" t="s">
        <v>801</v>
      </c>
      <c r="R46" s="870" t="s">
        <v>801</v>
      </c>
      <c r="S46" s="739"/>
      <c r="T46" s="739"/>
      <c r="U46" s="857"/>
    </row>
    <row r="47" spans="1:21" ht="45" x14ac:dyDescent="0.2">
      <c r="A47" s="1450"/>
      <c r="B47" s="861" t="s">
        <v>533</v>
      </c>
      <c r="C47" s="1059">
        <v>84</v>
      </c>
      <c r="D47" s="1059">
        <v>146</v>
      </c>
      <c r="E47" s="1059">
        <v>3</v>
      </c>
      <c r="F47" s="1060">
        <v>0</v>
      </c>
      <c r="G47" s="1061">
        <v>83</v>
      </c>
      <c r="H47" s="1059">
        <v>145</v>
      </c>
      <c r="I47" s="1062">
        <v>3</v>
      </c>
      <c r="J47" s="1063">
        <v>0</v>
      </c>
      <c r="K47" s="1064">
        <v>214</v>
      </c>
      <c r="L47" s="1059">
        <v>210</v>
      </c>
      <c r="M47" s="1059">
        <v>4</v>
      </c>
      <c r="N47" s="1060">
        <v>5</v>
      </c>
      <c r="O47" s="1212" t="s">
        <v>801</v>
      </c>
      <c r="P47" s="1213" t="s">
        <v>801</v>
      </c>
      <c r="Q47" s="1062" t="s">
        <v>801</v>
      </c>
      <c r="R47" s="1063" t="s">
        <v>801</v>
      </c>
      <c r="S47" s="739"/>
      <c r="T47" s="739"/>
      <c r="U47" s="857"/>
    </row>
    <row r="48" spans="1:21" x14ac:dyDescent="0.2">
      <c r="A48" s="856"/>
      <c r="B48" s="739"/>
      <c r="C48" s="739"/>
      <c r="D48" s="739"/>
      <c r="E48" s="739"/>
      <c r="F48" s="739"/>
      <c r="G48" s="739"/>
      <c r="H48" s="739"/>
      <c r="I48" s="739"/>
      <c r="J48" s="739"/>
      <c r="K48" s="739"/>
      <c r="L48" s="739"/>
      <c r="M48" s="739"/>
      <c r="N48" s="739"/>
      <c r="O48" s="739"/>
      <c r="P48" s="739"/>
      <c r="Q48" s="739"/>
      <c r="R48" s="739"/>
      <c r="S48" s="739"/>
      <c r="T48" s="739"/>
      <c r="U48" s="857"/>
    </row>
    <row r="49" spans="1:21" ht="14.25" customHeight="1" x14ac:dyDescent="0.2">
      <c r="A49" s="1446" t="s">
        <v>532</v>
      </c>
      <c r="B49" s="1447"/>
      <c r="C49" s="1447"/>
      <c r="D49" s="1447"/>
      <c r="E49" s="1447"/>
      <c r="F49" s="1447"/>
      <c r="G49" s="1447"/>
      <c r="H49" s="1447"/>
      <c r="I49" s="1447"/>
      <c r="J49" s="1447"/>
      <c r="K49" s="1447"/>
      <c r="L49" s="1447"/>
      <c r="M49" s="1447"/>
      <c r="N49" s="1447"/>
      <c r="O49" s="1447"/>
      <c r="P49" s="1447"/>
      <c r="Q49" s="1447"/>
      <c r="R49" s="1447"/>
      <c r="S49" s="1447"/>
      <c r="T49" s="1447"/>
      <c r="U49" s="1448"/>
    </row>
    <row r="50" spans="1:21" x14ac:dyDescent="0.2">
      <c r="A50" s="1443"/>
      <c r="B50" s="1444"/>
      <c r="C50" s="1444"/>
      <c r="D50" s="1444"/>
      <c r="E50" s="1444"/>
      <c r="F50" s="1444"/>
      <c r="G50" s="1444"/>
      <c r="H50" s="1444"/>
      <c r="I50" s="911"/>
      <c r="J50" s="911"/>
      <c r="U50" s="853"/>
    </row>
    <row r="51" spans="1:21" x14ac:dyDescent="0.2">
      <c r="A51" s="283"/>
      <c r="B51" s="1432"/>
      <c r="C51" s="1432"/>
      <c r="D51" s="1432"/>
      <c r="E51" s="1432"/>
      <c r="F51" s="1432"/>
      <c r="G51" s="1432"/>
      <c r="H51" s="1432"/>
      <c r="I51" s="1432"/>
      <c r="J51" s="1432"/>
      <c r="K51" s="1432"/>
      <c r="L51" s="1432"/>
      <c r="M51" s="1432"/>
      <c r="N51" s="1432"/>
      <c r="O51" s="1432"/>
      <c r="P51" s="1432"/>
      <c r="Q51" s="1432"/>
      <c r="R51" s="1432"/>
      <c r="S51" s="1432"/>
      <c r="T51" s="1432"/>
      <c r="U51" s="1433"/>
    </row>
    <row r="52" spans="1:21" x14ac:dyDescent="0.2">
      <c r="A52" s="1438" t="s">
        <v>847</v>
      </c>
      <c r="B52" s="1439"/>
      <c r="C52" s="1439"/>
      <c r="D52" s="1439"/>
      <c r="E52" s="1439"/>
      <c r="F52" s="1439"/>
      <c r="G52" s="1439"/>
      <c r="H52" s="1439"/>
      <c r="I52" s="1439"/>
      <c r="J52" s="1439"/>
      <c r="K52" s="1439"/>
      <c r="L52" s="1439"/>
      <c r="M52" s="1439"/>
      <c r="N52" s="1439"/>
      <c r="O52" s="1439"/>
      <c r="P52" s="1439"/>
      <c r="Q52" s="1439"/>
      <c r="R52" s="1439"/>
      <c r="S52" s="1439"/>
      <c r="T52" s="1439"/>
      <c r="U52" s="1440"/>
    </row>
    <row r="53" spans="1:21" ht="41.25" customHeight="1" thickBot="1" x14ac:dyDescent="0.25">
      <c r="A53" s="920" t="s">
        <v>941</v>
      </c>
      <c r="B53" s="921"/>
      <c r="C53" s="921"/>
      <c r="D53" s="921"/>
      <c r="E53" s="921"/>
      <c r="F53" s="921"/>
      <c r="G53" s="921"/>
      <c r="H53" s="921"/>
      <c r="I53" s="785"/>
      <c r="J53" s="785"/>
      <c r="K53" s="854"/>
      <c r="L53" s="854"/>
      <c r="M53" s="854"/>
      <c r="N53" s="854"/>
      <c r="O53" s="854"/>
      <c r="P53" s="854"/>
      <c r="Q53" s="854"/>
      <c r="R53" s="854"/>
      <c r="S53" s="854"/>
      <c r="T53" s="854"/>
      <c r="U53" s="855"/>
    </row>
    <row r="54" spans="1:21" ht="15" thickTop="1" x14ac:dyDescent="0.2">
      <c r="A54" s="847"/>
      <c r="B54" s="848"/>
      <c r="C54" s="848"/>
      <c r="D54" s="848"/>
      <c r="E54" s="848"/>
      <c r="F54" s="848"/>
      <c r="G54" s="848"/>
      <c r="H54" s="848"/>
      <c r="I54" s="783"/>
      <c r="J54" s="783"/>
    </row>
    <row r="55" spans="1:21" x14ac:dyDescent="0.2">
      <c r="A55" s="847"/>
      <c r="B55" s="848"/>
      <c r="C55" s="848"/>
      <c r="D55" s="848"/>
      <c r="E55" s="848"/>
      <c r="F55" s="848"/>
      <c r="G55" s="848"/>
      <c r="H55" s="848"/>
      <c r="I55" s="783"/>
      <c r="J55" s="783"/>
    </row>
  </sheetData>
  <mergeCells count="77">
    <mergeCell ref="C38:D38"/>
    <mergeCell ref="C39:D39"/>
    <mergeCell ref="O44:P44"/>
    <mergeCell ref="M44:N44"/>
    <mergeCell ref="I44:J44"/>
    <mergeCell ref="E44:F44"/>
    <mergeCell ref="G43:J43"/>
    <mergeCell ref="O43:R43"/>
    <mergeCell ref="K42:N42"/>
    <mergeCell ref="O42:R42"/>
    <mergeCell ref="K43:N43"/>
    <mergeCell ref="B51:U51"/>
    <mergeCell ref="C36:D36"/>
    <mergeCell ref="C37:D37"/>
    <mergeCell ref="A52:U52"/>
    <mergeCell ref="K44:L44"/>
    <mergeCell ref="A50:H50"/>
    <mergeCell ref="G44:H44"/>
    <mergeCell ref="A49:U49"/>
    <mergeCell ref="A46:A47"/>
    <mergeCell ref="Q44:R44"/>
    <mergeCell ref="C44:D44"/>
    <mergeCell ref="L37:Q37"/>
    <mergeCell ref="A38:B39"/>
    <mergeCell ref="C42:F42"/>
    <mergeCell ref="C43:F43"/>
    <mergeCell ref="G42:J42"/>
    <mergeCell ref="R26:S26"/>
    <mergeCell ref="F14:G14"/>
    <mergeCell ref="T26:U26"/>
    <mergeCell ref="R34:S34"/>
    <mergeCell ref="T34:U34"/>
    <mergeCell ref="J14:J15"/>
    <mergeCell ref="T15:U15"/>
    <mergeCell ref="R15:S15"/>
    <mergeCell ref="L29:Q29"/>
    <mergeCell ref="R20:S20"/>
    <mergeCell ref="A14:E15"/>
    <mergeCell ref="A16:D16"/>
    <mergeCell ref="L26:Q27"/>
    <mergeCell ref="F17:J17"/>
    <mergeCell ref="A24:E24"/>
    <mergeCell ref="A23:B23"/>
    <mergeCell ref="H14:I14"/>
    <mergeCell ref="A25:E25"/>
    <mergeCell ref="A5:U5"/>
    <mergeCell ref="L36:N36"/>
    <mergeCell ref="L32:Q32"/>
    <mergeCell ref="L31:Q31"/>
    <mergeCell ref="L34:Q35"/>
    <mergeCell ref="L30:Q30"/>
    <mergeCell ref="A30:B31"/>
    <mergeCell ref="A32:B33"/>
    <mergeCell ref="A36:B37"/>
    <mergeCell ref="L7:Q8"/>
    <mergeCell ref="L15:Q16"/>
    <mergeCell ref="T20:U20"/>
    <mergeCell ref="L20:Q21"/>
    <mergeCell ref="A29:C29"/>
    <mergeCell ref="A26:D26"/>
    <mergeCell ref="A28:B28"/>
    <mergeCell ref="A1:C1"/>
    <mergeCell ref="D1:S1"/>
    <mergeCell ref="A2:S2"/>
    <mergeCell ref="A3:S3"/>
    <mergeCell ref="A4:U4"/>
    <mergeCell ref="T7:U7"/>
    <mergeCell ref="A9:C9"/>
    <mergeCell ref="L6:S6"/>
    <mergeCell ref="R7:S7"/>
    <mergeCell ref="A13:K13"/>
    <mergeCell ref="A6:J6"/>
    <mergeCell ref="D7:E7"/>
    <mergeCell ref="F7:G7"/>
    <mergeCell ref="H7:I7"/>
    <mergeCell ref="A10:C10"/>
    <mergeCell ref="A11:C11"/>
  </mergeCells>
  <phoneticPr fontId="65" type="noConversion"/>
  <pageMargins left="0.40583333300000002" right="0.12833333333333299" top="0.3" bottom="0.25" header="0.03" footer="0.05"/>
  <pageSetup scale="68" orientation="landscape" r:id="rId1"/>
  <headerFooter>
    <oddHeader>&amp;LAKIS A 2012</oddHeader>
    <oddFooter>&amp;LAmerican Indian Higher Education Consortium</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2"/>
  <sheetViews>
    <sheetView zoomScaleNormal="100" workbookViewId="0">
      <selection activeCell="A51" sqref="A51:J51"/>
    </sheetView>
  </sheetViews>
  <sheetFormatPr defaultColWidth="9.140625" defaultRowHeight="14.25" x14ac:dyDescent="0.2"/>
  <cols>
    <col min="1" max="1" width="4.42578125" style="21" customWidth="1"/>
    <col min="2" max="2" width="16.140625" style="21" customWidth="1"/>
    <col min="3" max="3" width="7.7109375" style="21" customWidth="1"/>
    <col min="4" max="8" width="11.5703125" style="21" customWidth="1"/>
    <col min="9" max="16384" width="9.140625" style="21"/>
  </cols>
  <sheetData>
    <row r="1" spans="1:10" s="20" customFormat="1" ht="15.75" thickTop="1" x14ac:dyDescent="0.25">
      <c r="A1" s="1315" t="s">
        <v>823</v>
      </c>
      <c r="B1" s="1316"/>
      <c r="C1" s="1317"/>
      <c r="D1" s="1266" t="str">
        <f>'1.1a Overall Instit. Profile'!$B$1</f>
        <v>Oglala Lakota College</v>
      </c>
      <c r="E1" s="1370"/>
      <c r="F1" s="1370"/>
      <c r="G1" s="1370"/>
      <c r="H1" s="1370"/>
      <c r="I1" s="906"/>
      <c r="J1" s="907"/>
    </row>
    <row r="2" spans="1:10" ht="14.25" customHeight="1" x14ac:dyDescent="0.25">
      <c r="A2" s="1371" t="s">
        <v>816</v>
      </c>
      <c r="B2" s="1372"/>
      <c r="C2" s="1372"/>
      <c r="D2" s="1372"/>
      <c r="E2" s="1372"/>
      <c r="F2" s="1372"/>
      <c r="G2" s="1372"/>
      <c r="H2" s="1372"/>
      <c r="I2" s="739"/>
      <c r="J2" s="857"/>
    </row>
    <row r="3" spans="1:10" ht="15" x14ac:dyDescent="0.25">
      <c r="A3" s="1373" t="s">
        <v>420</v>
      </c>
      <c r="B3" s="1374"/>
      <c r="C3" s="1374"/>
      <c r="D3" s="1374"/>
      <c r="E3" s="1374"/>
      <c r="F3" s="1374"/>
      <c r="G3" s="1374"/>
      <c r="H3" s="1374"/>
      <c r="I3" s="1067"/>
      <c r="J3" s="1068"/>
    </row>
    <row r="4" spans="1:10" ht="22.5" customHeight="1" x14ac:dyDescent="0.2">
      <c r="A4" s="1494" t="s">
        <v>405</v>
      </c>
      <c r="B4" s="1495"/>
      <c r="C4" s="1495"/>
      <c r="D4" s="1495"/>
      <c r="E4" s="1495"/>
      <c r="F4" s="1495"/>
      <c r="G4" s="858"/>
      <c r="H4" s="858"/>
      <c r="I4" s="1067"/>
      <c r="J4" s="1068"/>
    </row>
    <row r="5" spans="1:10" ht="22.5" customHeight="1" x14ac:dyDescent="0.2">
      <c r="A5" s="1492" t="s">
        <v>402</v>
      </c>
      <c r="B5" s="1493"/>
      <c r="C5" s="1493"/>
      <c r="D5" s="1493"/>
      <c r="E5" s="1493"/>
      <c r="F5" s="1493"/>
      <c r="G5" s="1493"/>
      <c r="H5" s="1493"/>
      <c r="I5" s="739"/>
      <c r="J5" s="857"/>
    </row>
    <row r="6" spans="1:10" x14ac:dyDescent="0.2">
      <c r="A6" s="1411" t="s">
        <v>2</v>
      </c>
      <c r="B6" s="1403"/>
      <c r="C6" s="613"/>
      <c r="D6" s="613"/>
      <c r="E6" s="613"/>
      <c r="F6" s="613"/>
      <c r="G6" s="613"/>
      <c r="H6" s="613"/>
      <c r="I6" s="613"/>
      <c r="J6" s="1024"/>
    </row>
    <row r="7" spans="1:10" x14ac:dyDescent="0.2">
      <c r="A7" s="1407" t="s">
        <v>3</v>
      </c>
      <c r="B7" s="1408"/>
      <c r="C7" s="1408"/>
      <c r="D7" s="590" t="s">
        <v>529</v>
      </c>
      <c r="E7" s="590" t="s">
        <v>530</v>
      </c>
      <c r="F7" s="590" t="s">
        <v>531</v>
      </c>
      <c r="G7" s="590" t="s">
        <v>296</v>
      </c>
      <c r="H7" s="590" t="s">
        <v>4</v>
      </c>
      <c r="I7" s="590" t="s">
        <v>5</v>
      </c>
      <c r="J7" s="1025" t="s">
        <v>6</v>
      </c>
    </row>
    <row r="8" spans="1:10" x14ac:dyDescent="0.2">
      <c r="A8" s="1398" t="s">
        <v>873</v>
      </c>
      <c r="B8" s="1399"/>
      <c r="C8" s="864" t="s">
        <v>875</v>
      </c>
      <c r="D8" s="862">
        <v>0</v>
      </c>
      <c r="E8" s="862">
        <v>115</v>
      </c>
      <c r="F8" s="862">
        <v>83</v>
      </c>
      <c r="G8" s="862">
        <v>185</v>
      </c>
      <c r="H8" s="862">
        <v>119</v>
      </c>
      <c r="I8" s="862">
        <v>27</v>
      </c>
      <c r="J8" s="1026">
        <v>2</v>
      </c>
    </row>
    <row r="9" spans="1:10" x14ac:dyDescent="0.2">
      <c r="A9" s="1400"/>
      <c r="B9" s="1401"/>
      <c r="C9" s="865" t="s">
        <v>876</v>
      </c>
      <c r="D9" s="838">
        <v>7</v>
      </c>
      <c r="E9" s="838">
        <v>206</v>
      </c>
      <c r="F9" s="838">
        <v>157</v>
      </c>
      <c r="G9" s="838">
        <v>341</v>
      </c>
      <c r="H9" s="838">
        <v>233</v>
      </c>
      <c r="I9" s="838">
        <v>100</v>
      </c>
      <c r="J9" s="1027">
        <v>11</v>
      </c>
    </row>
    <row r="10" spans="1:10" ht="15" customHeight="1" x14ac:dyDescent="0.2">
      <c r="A10" s="1398" t="s">
        <v>874</v>
      </c>
      <c r="B10" s="1399"/>
      <c r="C10" s="864" t="s">
        <v>875</v>
      </c>
      <c r="D10" s="862">
        <v>1</v>
      </c>
      <c r="E10" s="862">
        <v>2</v>
      </c>
      <c r="F10" s="862">
        <v>4</v>
      </c>
      <c r="G10" s="862">
        <v>10</v>
      </c>
      <c r="H10" s="862">
        <v>10</v>
      </c>
      <c r="I10" s="862">
        <v>5</v>
      </c>
      <c r="J10" s="1026">
        <v>2</v>
      </c>
    </row>
    <row r="11" spans="1:10" x14ac:dyDescent="0.2">
      <c r="A11" s="1400"/>
      <c r="B11" s="1401"/>
      <c r="C11" s="865" t="s">
        <v>876</v>
      </c>
      <c r="D11" s="838">
        <v>0</v>
      </c>
      <c r="E11" s="838">
        <v>6</v>
      </c>
      <c r="F11" s="838">
        <v>7</v>
      </c>
      <c r="G11" s="838">
        <v>20</v>
      </c>
      <c r="H11" s="838">
        <v>22</v>
      </c>
      <c r="I11" s="838">
        <v>12</v>
      </c>
      <c r="J11" s="1027">
        <v>1</v>
      </c>
    </row>
    <row r="12" spans="1:10" ht="7.5" customHeight="1" x14ac:dyDescent="0.2">
      <c r="A12" s="283"/>
      <c r="B12" s="282"/>
      <c r="C12" s="846"/>
      <c r="D12" s="282"/>
      <c r="E12" s="282"/>
      <c r="F12" s="282"/>
      <c r="G12" s="282"/>
      <c r="H12" s="282"/>
      <c r="I12" s="739"/>
      <c r="J12" s="857"/>
    </row>
    <row r="13" spans="1:10" x14ac:dyDescent="0.2">
      <c r="A13" s="839" t="s">
        <v>363</v>
      </c>
      <c r="B13" s="628"/>
      <c r="C13" s="888"/>
      <c r="D13" s="602"/>
      <c r="E13" s="592" t="s">
        <v>9</v>
      </c>
      <c r="F13" s="592" t="s">
        <v>361</v>
      </c>
      <c r="G13" s="592" t="s">
        <v>362</v>
      </c>
      <c r="H13" s="593" t="s">
        <v>10</v>
      </c>
      <c r="I13" s="739"/>
      <c r="J13" s="857"/>
    </row>
    <row r="14" spans="1:10" ht="15" customHeight="1" x14ac:dyDescent="0.2">
      <c r="A14" s="1398" t="s">
        <v>873</v>
      </c>
      <c r="B14" s="1496"/>
      <c r="C14" s="1491" t="s">
        <v>875</v>
      </c>
      <c r="D14" s="1435"/>
      <c r="E14" s="862">
        <v>444</v>
      </c>
      <c r="F14" s="862">
        <v>87</v>
      </c>
      <c r="G14" s="1193" t="s">
        <v>646</v>
      </c>
      <c r="H14" s="1195" t="s">
        <v>646</v>
      </c>
      <c r="I14" s="739"/>
      <c r="J14" s="857"/>
    </row>
    <row r="15" spans="1:10" ht="15" customHeight="1" x14ac:dyDescent="0.2">
      <c r="A15" s="1400"/>
      <c r="B15" s="1497"/>
      <c r="C15" s="1490" t="s">
        <v>876</v>
      </c>
      <c r="D15" s="1437"/>
      <c r="E15" s="838">
        <v>913</v>
      </c>
      <c r="F15" s="838">
        <v>142</v>
      </c>
      <c r="G15" s="1194" t="s">
        <v>646</v>
      </c>
      <c r="H15" s="1196" t="s">
        <v>646</v>
      </c>
      <c r="I15" s="739"/>
      <c r="J15" s="857"/>
    </row>
    <row r="16" spans="1:10" ht="15" customHeight="1" x14ac:dyDescent="0.2">
      <c r="A16" s="1398" t="s">
        <v>874</v>
      </c>
      <c r="B16" s="1496"/>
      <c r="C16" s="1491" t="s">
        <v>875</v>
      </c>
      <c r="D16" s="1435"/>
      <c r="E16" s="862">
        <v>34</v>
      </c>
      <c r="F16" s="1193" t="s">
        <v>646</v>
      </c>
      <c r="G16" s="1193" t="s">
        <v>646</v>
      </c>
      <c r="H16" s="1195" t="s">
        <v>646</v>
      </c>
      <c r="I16" s="739"/>
      <c r="J16" s="857"/>
    </row>
    <row r="17" spans="1:10" ht="15" customHeight="1" x14ac:dyDescent="0.2">
      <c r="A17" s="1400"/>
      <c r="B17" s="1497"/>
      <c r="C17" s="1490" t="s">
        <v>876</v>
      </c>
      <c r="D17" s="1437"/>
      <c r="E17" s="838">
        <v>66</v>
      </c>
      <c r="F17" s="838">
        <v>2</v>
      </c>
      <c r="G17" s="1194" t="s">
        <v>646</v>
      </c>
      <c r="H17" s="1196" t="s">
        <v>646</v>
      </c>
      <c r="I17" s="739"/>
      <c r="J17" s="857"/>
    </row>
    <row r="18" spans="1:10" ht="7.5" customHeight="1" x14ac:dyDescent="0.2">
      <c r="A18" s="283"/>
      <c r="B18" s="282"/>
      <c r="C18" s="282"/>
      <c r="D18" s="282"/>
      <c r="E18" s="282"/>
      <c r="F18" s="282"/>
      <c r="G18" s="282"/>
      <c r="H18" s="282"/>
      <c r="I18" s="739"/>
      <c r="J18" s="857"/>
    </row>
    <row r="19" spans="1:10" ht="15" customHeight="1" x14ac:dyDescent="0.2">
      <c r="A19" s="1470" t="s">
        <v>893</v>
      </c>
      <c r="B19" s="1390"/>
      <c r="C19" s="1390"/>
      <c r="D19" s="1390"/>
      <c r="E19" s="1390"/>
      <c r="F19" s="1391"/>
      <c r="G19" s="1361" t="s">
        <v>873</v>
      </c>
      <c r="H19" s="1362"/>
      <c r="I19" s="1355" t="s">
        <v>874</v>
      </c>
      <c r="J19" s="1356"/>
    </row>
    <row r="20" spans="1:10" ht="15" customHeight="1" x14ac:dyDescent="0.2">
      <c r="A20" s="1471"/>
      <c r="B20" s="1393"/>
      <c r="C20" s="1393"/>
      <c r="D20" s="1393"/>
      <c r="E20" s="1393"/>
      <c r="F20" s="1394"/>
      <c r="G20" s="292" t="s">
        <v>875</v>
      </c>
      <c r="H20" s="591" t="s">
        <v>876</v>
      </c>
      <c r="I20" s="1066" t="s">
        <v>875</v>
      </c>
      <c r="J20" s="1025" t="s">
        <v>876</v>
      </c>
    </row>
    <row r="21" spans="1:10" ht="15" customHeight="1" x14ac:dyDescent="0.2">
      <c r="A21" s="1484" t="s">
        <v>895</v>
      </c>
      <c r="B21" s="1485"/>
      <c r="C21" s="807"/>
      <c r="D21" s="807"/>
      <c r="E21" s="807"/>
      <c r="F21" s="614"/>
      <c r="G21" s="812">
        <v>255</v>
      </c>
      <c r="H21" s="894">
        <v>335</v>
      </c>
      <c r="I21" s="821">
        <v>15</v>
      </c>
      <c r="J21" s="850">
        <v>20</v>
      </c>
    </row>
    <row r="22" spans="1:10" ht="15" customHeight="1" x14ac:dyDescent="0.2">
      <c r="A22" s="1482" t="s">
        <v>897</v>
      </c>
      <c r="B22" s="1483"/>
      <c r="C22" s="1483"/>
      <c r="D22" s="834"/>
      <c r="E22" s="834"/>
      <c r="F22" s="830"/>
      <c r="G22" s="814">
        <v>209</v>
      </c>
      <c r="H22" s="895">
        <v>556</v>
      </c>
      <c r="I22" s="822">
        <v>7</v>
      </c>
      <c r="J22" s="851">
        <v>18</v>
      </c>
    </row>
    <row r="23" spans="1:10" ht="15" customHeight="1" x14ac:dyDescent="0.2">
      <c r="A23" s="1482" t="s">
        <v>898</v>
      </c>
      <c r="B23" s="1483"/>
      <c r="C23" s="834"/>
      <c r="D23" s="834"/>
      <c r="E23" s="834"/>
      <c r="F23" s="830"/>
      <c r="G23" s="814">
        <v>8</v>
      </c>
      <c r="H23" s="895">
        <v>16</v>
      </c>
      <c r="I23" s="822">
        <v>3</v>
      </c>
      <c r="J23" s="851">
        <v>5</v>
      </c>
    </row>
    <row r="24" spans="1:10" ht="15" customHeight="1" thickBot="1" x14ac:dyDescent="0.25">
      <c r="A24" s="1488" t="s">
        <v>0</v>
      </c>
      <c r="B24" s="1489"/>
      <c r="C24" s="1489"/>
      <c r="D24" s="600"/>
      <c r="E24" s="600"/>
      <c r="F24" s="601"/>
      <c r="G24" s="604">
        <v>59</v>
      </c>
      <c r="H24" s="896">
        <v>148</v>
      </c>
      <c r="I24" s="823">
        <v>9</v>
      </c>
      <c r="J24" s="603">
        <v>25</v>
      </c>
    </row>
    <row r="25" spans="1:10" ht="15" customHeight="1" x14ac:dyDescent="0.2">
      <c r="A25" s="1486" t="s">
        <v>1</v>
      </c>
      <c r="B25" s="1487"/>
      <c r="C25" s="1487"/>
      <c r="D25" s="1487"/>
      <c r="E25" s="1487"/>
      <c r="F25" s="294"/>
      <c r="G25" s="1188" t="s">
        <v>646</v>
      </c>
      <c r="H25" s="1189" t="s">
        <v>646</v>
      </c>
      <c r="I25" s="1190" t="s">
        <v>646</v>
      </c>
      <c r="J25" s="1191" t="s">
        <v>646</v>
      </c>
    </row>
    <row r="26" spans="1:10" ht="7.5" customHeight="1" x14ac:dyDescent="0.2">
      <c r="A26" s="629"/>
      <c r="B26" s="284"/>
      <c r="C26" s="284"/>
      <c r="D26" s="284"/>
      <c r="E26" s="284"/>
      <c r="F26" s="284"/>
      <c r="G26" s="610"/>
      <c r="H26" s="284"/>
      <c r="I26" s="610"/>
      <c r="J26" s="285"/>
    </row>
    <row r="27" spans="1:10" x14ac:dyDescent="0.2">
      <c r="A27" s="1470" t="s">
        <v>893</v>
      </c>
      <c r="B27" s="1390"/>
      <c r="C27" s="1390"/>
      <c r="D27" s="1390"/>
      <c r="E27" s="1390"/>
      <c r="F27" s="1391"/>
      <c r="G27" s="1361" t="s">
        <v>873</v>
      </c>
      <c r="H27" s="1362"/>
      <c r="I27" s="1355" t="s">
        <v>874</v>
      </c>
      <c r="J27" s="1356"/>
    </row>
    <row r="28" spans="1:10" x14ac:dyDescent="0.2">
      <c r="A28" s="1471"/>
      <c r="B28" s="1393"/>
      <c r="C28" s="1393"/>
      <c r="D28" s="1393"/>
      <c r="E28" s="1393"/>
      <c r="F28" s="1394"/>
      <c r="G28" s="292" t="s">
        <v>875</v>
      </c>
      <c r="H28" s="591" t="s">
        <v>876</v>
      </c>
      <c r="I28" s="1066" t="s">
        <v>875</v>
      </c>
      <c r="J28" s="1025" t="s">
        <v>876</v>
      </c>
    </row>
    <row r="29" spans="1:10" x14ac:dyDescent="0.2">
      <c r="A29" s="1418" t="s">
        <v>7</v>
      </c>
      <c r="B29" s="1419"/>
      <c r="C29" s="1419"/>
      <c r="D29" s="807"/>
      <c r="E29" s="807"/>
      <c r="F29" s="614"/>
      <c r="G29" s="1198" t="s">
        <v>646</v>
      </c>
      <c r="H29" s="1200" t="s">
        <v>646</v>
      </c>
      <c r="I29" s="1202" t="s">
        <v>646</v>
      </c>
      <c r="J29" s="1204" t="s">
        <v>646</v>
      </c>
    </row>
    <row r="30" spans="1:10" x14ac:dyDescent="0.2">
      <c r="A30" s="1423" t="s">
        <v>8</v>
      </c>
      <c r="B30" s="1424"/>
      <c r="C30" s="1424"/>
      <c r="D30" s="834"/>
      <c r="E30" s="834"/>
      <c r="F30" s="830"/>
      <c r="G30" s="1199" t="s">
        <v>646</v>
      </c>
      <c r="H30" s="1201" t="s">
        <v>646</v>
      </c>
      <c r="I30" s="1203" t="s">
        <v>646</v>
      </c>
      <c r="J30" s="1205" t="s">
        <v>646</v>
      </c>
    </row>
    <row r="31" spans="1:10" ht="7.5" customHeight="1" x14ac:dyDescent="0.2">
      <c r="A31" s="629"/>
      <c r="B31" s="284"/>
      <c r="C31" s="284"/>
      <c r="D31" s="284"/>
      <c r="E31" s="284"/>
      <c r="F31" s="284"/>
      <c r="G31" s="610"/>
      <c r="H31" s="284"/>
      <c r="I31" s="610"/>
      <c r="J31" s="285"/>
    </row>
    <row r="32" spans="1:10" x14ac:dyDescent="0.2">
      <c r="A32" s="1411" t="s">
        <v>11</v>
      </c>
      <c r="B32" s="1403"/>
      <c r="C32" s="1403"/>
      <c r="D32" s="1403"/>
      <c r="E32" s="1403"/>
      <c r="F32" s="1404"/>
      <c r="G32" s="1361" t="s">
        <v>873</v>
      </c>
      <c r="H32" s="1362"/>
      <c r="I32" s="1355" t="s">
        <v>874</v>
      </c>
      <c r="J32" s="1356"/>
    </row>
    <row r="33" spans="1:10" x14ac:dyDescent="0.2">
      <c r="A33" s="1368"/>
      <c r="B33" s="1369"/>
      <c r="C33" s="1369"/>
      <c r="D33" s="1369"/>
      <c r="E33" s="1369"/>
      <c r="F33" s="1406"/>
      <c r="G33" s="817" t="s">
        <v>875</v>
      </c>
      <c r="H33" s="893" t="s">
        <v>876</v>
      </c>
      <c r="I33" s="890" t="s">
        <v>875</v>
      </c>
      <c r="J33" s="889" t="s">
        <v>876</v>
      </c>
    </row>
    <row r="34" spans="1:10" ht="15" thickBot="1" x14ac:dyDescent="0.25">
      <c r="A34" s="1478" t="s">
        <v>13</v>
      </c>
      <c r="B34" s="1382"/>
      <c r="C34" s="1382"/>
      <c r="D34" s="1382"/>
      <c r="E34" s="809"/>
      <c r="F34" s="809"/>
      <c r="G34" s="1206" t="s">
        <v>646</v>
      </c>
      <c r="H34" s="1207" t="s">
        <v>646</v>
      </c>
      <c r="I34" s="1208" t="s">
        <v>646</v>
      </c>
      <c r="J34" s="1209" t="s">
        <v>646</v>
      </c>
    </row>
    <row r="35" spans="1:10" x14ac:dyDescent="0.2">
      <c r="A35" s="831" t="s">
        <v>18</v>
      </c>
      <c r="B35" s="827"/>
      <c r="C35" s="827"/>
      <c r="D35" s="827"/>
      <c r="E35" s="827"/>
      <c r="F35" s="836"/>
      <c r="G35" s="812">
        <v>527</v>
      </c>
      <c r="H35" s="813">
        <v>1037</v>
      </c>
      <c r="I35" s="821">
        <v>30</v>
      </c>
      <c r="J35" s="850">
        <v>58</v>
      </c>
    </row>
    <row r="36" spans="1:10" x14ac:dyDescent="0.2">
      <c r="A36" s="1409" t="s">
        <v>20</v>
      </c>
      <c r="B36" s="1410"/>
      <c r="C36" s="808"/>
      <c r="D36" s="808"/>
      <c r="E36" s="808"/>
      <c r="F36" s="837"/>
      <c r="G36" s="838">
        <v>4</v>
      </c>
      <c r="H36" s="842">
        <v>18</v>
      </c>
      <c r="I36" s="825">
        <v>4</v>
      </c>
      <c r="J36" s="852">
        <v>10</v>
      </c>
    </row>
    <row r="37" spans="1:10" ht="7.5" customHeight="1" x14ac:dyDescent="0.2">
      <c r="A37" s="629"/>
      <c r="B37" s="284"/>
      <c r="C37" s="284"/>
      <c r="D37" s="284"/>
      <c r="E37" s="284"/>
      <c r="F37" s="284"/>
      <c r="G37" s="610"/>
      <c r="H37" s="284"/>
      <c r="I37" s="610"/>
      <c r="J37" s="285"/>
    </row>
    <row r="38" spans="1:10" x14ac:dyDescent="0.2">
      <c r="A38" s="1411" t="s">
        <v>23</v>
      </c>
      <c r="B38" s="1403"/>
      <c r="C38" s="1403"/>
      <c r="D38" s="1403"/>
      <c r="E38" s="1403"/>
      <c r="F38" s="1404"/>
      <c r="G38" s="1361" t="s">
        <v>873</v>
      </c>
      <c r="H38" s="1362"/>
      <c r="I38" s="1355" t="s">
        <v>874</v>
      </c>
      <c r="J38" s="1356"/>
    </row>
    <row r="39" spans="1:10" x14ac:dyDescent="0.2">
      <c r="A39" s="1368"/>
      <c r="B39" s="1369"/>
      <c r="C39" s="1369"/>
      <c r="D39" s="1369"/>
      <c r="E39" s="1369"/>
      <c r="F39" s="1406"/>
      <c r="G39" s="817" t="s">
        <v>875</v>
      </c>
      <c r="H39" s="893" t="s">
        <v>876</v>
      </c>
      <c r="I39" s="890" t="s">
        <v>875</v>
      </c>
      <c r="J39" s="889" t="s">
        <v>876</v>
      </c>
    </row>
    <row r="40" spans="1:10" ht="15" thickBot="1" x14ac:dyDescent="0.25">
      <c r="A40" s="1478" t="s">
        <v>24</v>
      </c>
      <c r="B40" s="1382"/>
      <c r="C40" s="1382"/>
      <c r="D40" s="1382"/>
      <c r="E40" s="1382"/>
      <c r="F40" s="605"/>
      <c r="G40" s="606">
        <v>11743</v>
      </c>
      <c r="H40" s="843">
        <v>13019</v>
      </c>
      <c r="I40" s="826">
        <v>14903</v>
      </c>
      <c r="J40" s="607">
        <v>21099</v>
      </c>
    </row>
    <row r="41" spans="1:10" x14ac:dyDescent="0.2">
      <c r="A41" s="1479" t="s">
        <v>25</v>
      </c>
      <c r="B41" s="1480"/>
      <c r="C41" s="1480"/>
      <c r="D41" s="1480"/>
      <c r="E41" s="1480"/>
      <c r="F41" s="1481"/>
      <c r="G41" s="1198" t="s">
        <v>646</v>
      </c>
      <c r="H41" s="1200" t="s">
        <v>646</v>
      </c>
      <c r="I41" s="1202" t="s">
        <v>646</v>
      </c>
      <c r="J41" s="1204" t="s">
        <v>646</v>
      </c>
    </row>
    <row r="42" spans="1:10" ht="15" thickBot="1" x14ac:dyDescent="0.25">
      <c r="A42" s="1474" t="s">
        <v>27</v>
      </c>
      <c r="B42" s="1475"/>
      <c r="C42" s="1475"/>
      <c r="D42" s="1475"/>
      <c r="E42" s="1475"/>
      <c r="F42" s="1476"/>
      <c r="G42" s="1214" t="s">
        <v>646</v>
      </c>
      <c r="H42" s="1215" t="s">
        <v>646</v>
      </c>
      <c r="I42" s="1216" t="s">
        <v>646</v>
      </c>
      <c r="J42" s="1217" t="s">
        <v>646</v>
      </c>
    </row>
    <row r="43" spans="1:10" ht="14.25" customHeight="1" x14ac:dyDescent="0.2">
      <c r="A43" s="1357" t="s">
        <v>26</v>
      </c>
      <c r="B43" s="1358"/>
      <c r="C43" s="1358"/>
      <c r="D43" s="1358"/>
      <c r="E43" s="827"/>
      <c r="F43" s="836"/>
      <c r="G43" s="812">
        <v>381</v>
      </c>
      <c r="H43" s="813">
        <v>741</v>
      </c>
      <c r="I43" s="821">
        <v>16</v>
      </c>
      <c r="J43" s="850">
        <v>33</v>
      </c>
    </row>
    <row r="44" spans="1:10" x14ac:dyDescent="0.2">
      <c r="A44" s="1409" t="s">
        <v>28</v>
      </c>
      <c r="B44" s="1410"/>
      <c r="C44" s="1410"/>
      <c r="D44" s="1410"/>
      <c r="E44" s="1410"/>
      <c r="F44" s="1477"/>
      <c r="G44" s="838">
        <v>47</v>
      </c>
      <c r="H44" s="842">
        <v>99</v>
      </c>
      <c r="I44" s="825">
        <v>0</v>
      </c>
      <c r="J44" s="852">
        <v>3</v>
      </c>
    </row>
    <row r="45" spans="1:10" ht="7.5" customHeight="1" x14ac:dyDescent="0.2">
      <c r="A45" s="283"/>
      <c r="B45" s="282"/>
      <c r="C45" s="282"/>
      <c r="D45" s="282"/>
      <c r="E45" s="282"/>
      <c r="F45" s="282"/>
      <c r="G45" s="611"/>
      <c r="H45" s="282"/>
      <c r="I45" s="611"/>
      <c r="J45" s="286"/>
    </row>
    <row r="46" spans="1:10" ht="15" customHeight="1" x14ac:dyDescent="0.2">
      <c r="A46" s="1470" t="s">
        <v>364</v>
      </c>
      <c r="B46" s="1390"/>
      <c r="C46" s="1390"/>
      <c r="D46" s="1390"/>
      <c r="E46" s="1390"/>
      <c r="F46" s="1391"/>
      <c r="G46" s="1361" t="s">
        <v>873</v>
      </c>
      <c r="H46" s="1362"/>
      <c r="I46" s="1355" t="s">
        <v>874</v>
      </c>
      <c r="J46" s="1356"/>
    </row>
    <row r="47" spans="1:10" ht="15" customHeight="1" x14ac:dyDescent="0.2">
      <c r="A47" s="1471"/>
      <c r="B47" s="1393"/>
      <c r="C47" s="1393"/>
      <c r="D47" s="1393"/>
      <c r="E47" s="1393"/>
      <c r="F47" s="1394"/>
      <c r="G47" s="817" t="s">
        <v>875</v>
      </c>
      <c r="H47" s="893" t="s">
        <v>876</v>
      </c>
      <c r="I47" s="890" t="s">
        <v>875</v>
      </c>
      <c r="J47" s="889" t="s">
        <v>876</v>
      </c>
    </row>
    <row r="48" spans="1:10" ht="15" customHeight="1" x14ac:dyDescent="0.2">
      <c r="A48" s="1472" t="s">
        <v>365</v>
      </c>
      <c r="B48" s="1473"/>
      <c r="C48" s="1473"/>
      <c r="D48" s="810"/>
      <c r="E48" s="810"/>
      <c r="F48" s="287"/>
      <c r="G48" s="892">
        <v>13</v>
      </c>
      <c r="H48" s="897">
        <v>11</v>
      </c>
      <c r="I48" s="891">
        <v>2</v>
      </c>
      <c r="J48" s="898">
        <v>0</v>
      </c>
    </row>
    <row r="49" spans="1:10" ht="7.5" customHeight="1" x14ac:dyDescent="0.2">
      <c r="A49" s="283"/>
      <c r="B49" s="282"/>
      <c r="C49" s="282"/>
      <c r="D49" s="282"/>
      <c r="E49" s="282"/>
      <c r="F49" s="282"/>
      <c r="G49" s="1069"/>
      <c r="H49" s="1069"/>
      <c r="I49" s="1069"/>
      <c r="J49" s="1070"/>
    </row>
    <row r="50" spans="1:10" ht="15" customHeight="1" x14ac:dyDescent="0.2">
      <c r="A50" s="630" t="s">
        <v>847</v>
      </c>
      <c r="B50" s="615"/>
      <c r="C50" s="615"/>
      <c r="D50" s="615"/>
      <c r="E50" s="615"/>
      <c r="F50" s="615"/>
      <c r="G50" s="1439"/>
      <c r="H50" s="1439"/>
      <c r="I50" s="1439"/>
      <c r="J50" s="1440"/>
    </row>
    <row r="51" spans="1:10" ht="54" customHeight="1" thickBot="1" x14ac:dyDescent="0.25">
      <c r="A51" s="1467" t="s">
        <v>985</v>
      </c>
      <c r="B51" s="1468"/>
      <c r="C51" s="1468"/>
      <c r="D51" s="1468"/>
      <c r="E51" s="1468"/>
      <c r="F51" s="1468"/>
      <c r="G51" s="1468"/>
      <c r="H51" s="1468"/>
      <c r="I51" s="1468"/>
      <c r="J51" s="1469"/>
    </row>
    <row r="52" spans="1:10" ht="15" thickTop="1" x14ac:dyDescent="0.2"/>
  </sheetData>
  <mergeCells count="48">
    <mergeCell ref="A29:C29"/>
    <mergeCell ref="A1:C1"/>
    <mergeCell ref="D1:H1"/>
    <mergeCell ref="A2:H2"/>
    <mergeCell ref="A3:H3"/>
    <mergeCell ref="A5:H5"/>
    <mergeCell ref="A4:F4"/>
    <mergeCell ref="A19:F20"/>
    <mergeCell ref="C17:D17"/>
    <mergeCell ref="A14:B15"/>
    <mergeCell ref="A7:C7"/>
    <mergeCell ref="A6:B6"/>
    <mergeCell ref="A8:B9"/>
    <mergeCell ref="A10:B11"/>
    <mergeCell ref="A16:B17"/>
    <mergeCell ref="C16:D16"/>
    <mergeCell ref="C15:D15"/>
    <mergeCell ref="C14:D14"/>
    <mergeCell ref="I19:J19"/>
    <mergeCell ref="G27:H27"/>
    <mergeCell ref="I27:J27"/>
    <mergeCell ref="G19:H19"/>
    <mergeCell ref="A23:B23"/>
    <mergeCell ref="A21:B21"/>
    <mergeCell ref="A22:C22"/>
    <mergeCell ref="A27:F28"/>
    <mergeCell ref="A25:E25"/>
    <mergeCell ref="A24:C24"/>
    <mergeCell ref="A30:C30"/>
    <mergeCell ref="A34:D34"/>
    <mergeCell ref="A32:F33"/>
    <mergeCell ref="G38:H38"/>
    <mergeCell ref="A41:F41"/>
    <mergeCell ref="A36:B36"/>
    <mergeCell ref="A40:E40"/>
    <mergeCell ref="G50:J50"/>
    <mergeCell ref="A51:J51"/>
    <mergeCell ref="A46:F47"/>
    <mergeCell ref="G32:H32"/>
    <mergeCell ref="I32:J32"/>
    <mergeCell ref="G46:H46"/>
    <mergeCell ref="I46:J46"/>
    <mergeCell ref="A38:F39"/>
    <mergeCell ref="A48:C48"/>
    <mergeCell ref="A42:F42"/>
    <mergeCell ref="A44:F44"/>
    <mergeCell ref="I38:J38"/>
    <mergeCell ref="A43:D43"/>
  </mergeCells>
  <phoneticPr fontId="65" type="noConversion"/>
  <pageMargins left="0.40583333300000002" right="0.12833333333333299" top="0.75" bottom="0.75" header="0.3" footer="0.3"/>
  <pageSetup scale="93" orientation="portrait" r:id="rId1"/>
  <headerFooter>
    <oddHeader>&amp;LAKIS A 2012</oddHeader>
    <oddFooter>&amp;LAmerican Indian Higher Education Consortium</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44"/>
  <sheetViews>
    <sheetView zoomScaleNormal="100" workbookViewId="0">
      <selection activeCell="A39" sqref="A39:L39"/>
    </sheetView>
  </sheetViews>
  <sheetFormatPr defaultColWidth="14.28515625" defaultRowHeight="15.75" customHeight="1" x14ac:dyDescent="0.2"/>
  <cols>
    <col min="1" max="1" width="44.85546875" style="21" customWidth="1"/>
    <col min="2" max="3" width="13.42578125" style="35" customWidth="1"/>
    <col min="4" max="4" width="13.42578125" style="241" customWidth="1"/>
    <col min="5" max="9" width="13.42578125" style="21" customWidth="1"/>
    <col min="10" max="11" width="12.140625" style="97" customWidth="1"/>
    <col min="12" max="12" width="12.7109375" style="21" customWidth="1"/>
    <col min="13" max="16384" width="14.28515625" style="21"/>
  </cols>
  <sheetData>
    <row r="1" spans="1:12" s="20" customFormat="1" ht="15.75" customHeight="1" thickTop="1" x14ac:dyDescent="0.25">
      <c r="A1" s="314" t="s">
        <v>823</v>
      </c>
      <c r="B1" s="1533" t="str">
        <f>'1.1a Overall Instit. Profile'!$B$1</f>
        <v>Oglala Lakota College</v>
      </c>
      <c r="C1" s="1533"/>
      <c r="D1" s="1533"/>
      <c r="E1" s="1533"/>
      <c r="F1" s="1533"/>
      <c r="G1" s="1533"/>
      <c r="H1" s="1533"/>
      <c r="I1" s="1533"/>
      <c r="J1" s="1533"/>
      <c r="K1" s="1533"/>
      <c r="L1" s="1534"/>
    </row>
    <row r="2" spans="1:12" ht="15.75" customHeight="1" x14ac:dyDescent="0.2">
      <c r="A2" s="1530" t="s">
        <v>816</v>
      </c>
      <c r="B2" s="1531"/>
      <c r="C2" s="1531"/>
      <c r="D2" s="1531"/>
      <c r="E2" s="1531"/>
      <c r="F2" s="1531"/>
      <c r="G2" s="1531"/>
      <c r="H2" s="1531"/>
      <c r="I2" s="1531"/>
      <c r="J2" s="1531"/>
      <c r="K2" s="1531"/>
      <c r="L2" s="1532"/>
    </row>
    <row r="3" spans="1:12" ht="15.75" customHeight="1" x14ac:dyDescent="0.2">
      <c r="A3" s="1538" t="s">
        <v>576</v>
      </c>
      <c r="B3" s="1539"/>
      <c r="C3" s="1539"/>
      <c r="D3" s="1539"/>
      <c r="E3" s="1539"/>
      <c r="F3" s="1539"/>
      <c r="G3" s="1539"/>
      <c r="H3" s="1539"/>
      <c r="I3" s="1539"/>
      <c r="J3" s="1539"/>
      <c r="K3" s="1539"/>
      <c r="L3" s="1540"/>
    </row>
    <row r="4" spans="1:12" s="97" customFormat="1" ht="21" customHeight="1" x14ac:dyDescent="0.25">
      <c r="A4" s="1535" t="s">
        <v>569</v>
      </c>
      <c r="B4" s="1536"/>
      <c r="C4" s="1536"/>
      <c r="D4" s="1536"/>
      <c r="E4" s="1536"/>
      <c r="F4" s="1536"/>
      <c r="G4" s="1536"/>
      <c r="H4" s="1536"/>
      <c r="I4" s="1536"/>
      <c r="J4" s="1536"/>
      <c r="K4" s="1536"/>
      <c r="L4" s="1537"/>
    </row>
    <row r="5" spans="1:12" s="97" customFormat="1" ht="15.75" customHeight="1" x14ac:dyDescent="0.25">
      <c r="A5" s="1091" t="s">
        <v>547</v>
      </c>
      <c r="B5" s="1180">
        <v>205</v>
      </c>
      <c r="C5" s="737"/>
      <c r="D5" s="737"/>
      <c r="E5" s="737"/>
      <c r="F5" s="737"/>
      <c r="G5" s="737"/>
      <c r="H5" s="738"/>
      <c r="I5" s="738"/>
      <c r="J5" s="739"/>
      <c r="K5" s="739"/>
      <c r="L5" s="857"/>
    </row>
    <row r="6" spans="1:12" s="97" customFormat="1" ht="15.75" customHeight="1" x14ac:dyDescent="0.2">
      <c r="A6" s="1071" t="s">
        <v>346</v>
      </c>
      <c r="B6" s="1072">
        <v>74</v>
      </c>
      <c r="C6" s="739"/>
      <c r="D6" s="739"/>
      <c r="E6" s="739"/>
      <c r="F6" s="739"/>
      <c r="G6" s="739"/>
      <c r="H6" s="738"/>
      <c r="I6" s="738"/>
      <c r="J6" s="739"/>
      <c r="K6" s="739"/>
      <c r="L6" s="857"/>
    </row>
    <row r="7" spans="1:12" s="97" customFormat="1" ht="15.75" customHeight="1" x14ac:dyDescent="0.2">
      <c r="A7" s="1073" t="s">
        <v>406</v>
      </c>
      <c r="B7" s="1074">
        <v>6</v>
      </c>
      <c r="C7" s="901" t="s">
        <v>548</v>
      </c>
      <c r="D7" s="886">
        <v>0</v>
      </c>
      <c r="E7" s="901" t="s">
        <v>549</v>
      </c>
      <c r="F7" s="886">
        <v>6</v>
      </c>
      <c r="G7" s="902" t="s">
        <v>550</v>
      </c>
      <c r="H7" s="887">
        <v>0</v>
      </c>
      <c r="I7" s="901" t="s">
        <v>551</v>
      </c>
      <c r="J7" s="1076">
        <v>0</v>
      </c>
      <c r="K7" s="739"/>
      <c r="L7" s="857"/>
    </row>
    <row r="8" spans="1:12" s="97" customFormat="1" ht="15.75" customHeight="1" x14ac:dyDescent="0.2">
      <c r="A8" s="873" t="s">
        <v>407</v>
      </c>
      <c r="B8" s="736">
        <v>0</v>
      </c>
      <c r="C8" s="739"/>
      <c r="D8" s="1541" t="s">
        <v>592</v>
      </c>
      <c r="E8" s="1542"/>
      <c r="F8" s="1542"/>
      <c r="G8" s="1542"/>
      <c r="H8" s="1542"/>
      <c r="I8" s="903">
        <v>6</v>
      </c>
      <c r="J8" s="739"/>
      <c r="K8" s="739"/>
      <c r="L8" s="857"/>
    </row>
    <row r="9" spans="1:12" s="97" customFormat="1" ht="15.75" customHeight="1" x14ac:dyDescent="0.2">
      <c r="A9" s="873" t="s">
        <v>408</v>
      </c>
      <c r="B9" s="736">
        <v>149</v>
      </c>
      <c r="C9" s="739"/>
      <c r="D9" s="739"/>
      <c r="E9" s="739"/>
      <c r="F9" s="739"/>
      <c r="G9" s="739"/>
      <c r="H9" s="738"/>
      <c r="I9" s="738"/>
      <c r="J9" s="739"/>
      <c r="K9" s="739"/>
      <c r="L9" s="857"/>
    </row>
    <row r="10" spans="1:12" s="97" customFormat="1" ht="15.75" customHeight="1" x14ac:dyDescent="0.2">
      <c r="A10" s="1075" t="s">
        <v>409</v>
      </c>
      <c r="B10" s="736">
        <v>0</v>
      </c>
      <c r="C10" s="739"/>
      <c r="D10" s="739"/>
      <c r="E10" s="739"/>
      <c r="F10" s="739"/>
      <c r="G10" s="739"/>
      <c r="H10" s="738"/>
      <c r="I10" s="738"/>
      <c r="J10" s="739"/>
      <c r="K10" s="739"/>
      <c r="L10" s="857"/>
    </row>
    <row r="11" spans="1:12" s="97" customFormat="1" ht="15.75" customHeight="1" x14ac:dyDescent="0.2">
      <c r="A11" s="1071" t="s">
        <v>410</v>
      </c>
      <c r="B11" s="736">
        <v>56</v>
      </c>
      <c r="C11" s="739"/>
      <c r="D11" s="739"/>
      <c r="E11" s="739"/>
      <c r="F11" s="739"/>
      <c r="G11" s="739"/>
      <c r="H11" s="738"/>
      <c r="I11" s="738"/>
      <c r="J11" s="739"/>
      <c r="K11" s="739"/>
      <c r="L11" s="857"/>
    </row>
    <row r="12" spans="1:12" s="19" customFormat="1" ht="7.5" customHeight="1" x14ac:dyDescent="0.25">
      <c r="A12" s="904"/>
      <c r="B12" s="905"/>
      <c r="C12" s="905"/>
      <c r="D12" s="905"/>
      <c r="E12" s="905"/>
      <c r="F12" s="905"/>
      <c r="G12" s="905"/>
      <c r="H12" s="905"/>
      <c r="I12" s="905"/>
      <c r="J12" s="739"/>
      <c r="K12" s="739"/>
      <c r="L12" s="857"/>
    </row>
    <row r="13" spans="1:12" s="97" customFormat="1" ht="21" customHeight="1" x14ac:dyDescent="0.25">
      <c r="A13" s="1535" t="s">
        <v>570</v>
      </c>
      <c r="B13" s="1536"/>
      <c r="C13" s="1536"/>
      <c r="D13" s="1536"/>
      <c r="E13" s="1536"/>
      <c r="F13" s="1536"/>
      <c r="G13" s="1536"/>
      <c r="H13" s="1536"/>
      <c r="I13" s="1536"/>
      <c r="J13" s="1536"/>
      <c r="K13" s="1067"/>
      <c r="L13" s="1068"/>
    </row>
    <row r="14" spans="1:12" s="97" customFormat="1" ht="15.75" customHeight="1" x14ac:dyDescent="0.25">
      <c r="A14" s="1091" t="s">
        <v>347</v>
      </c>
      <c r="B14" s="1181">
        <v>228</v>
      </c>
      <c r="C14" s="737"/>
      <c r="D14" s="737"/>
      <c r="E14" s="737"/>
      <c r="F14" s="737"/>
      <c r="G14" s="737"/>
      <c r="H14" s="738"/>
      <c r="I14" s="738"/>
      <c r="J14" s="739"/>
      <c r="K14" s="739"/>
      <c r="L14" s="857"/>
    </row>
    <row r="15" spans="1:12" s="97" customFormat="1" ht="15.75" customHeight="1" x14ac:dyDescent="0.2">
      <c r="A15" s="1071" t="s">
        <v>346</v>
      </c>
      <c r="B15" s="1074">
        <v>96</v>
      </c>
      <c r="C15" s="739"/>
      <c r="D15" s="739"/>
      <c r="E15" s="739"/>
      <c r="F15" s="739"/>
      <c r="G15" s="739"/>
      <c r="H15" s="738"/>
      <c r="I15" s="738"/>
      <c r="J15" s="739"/>
      <c r="K15" s="739"/>
      <c r="L15" s="857"/>
    </row>
    <row r="16" spans="1:12" s="97" customFormat="1" ht="15.75" customHeight="1" x14ac:dyDescent="0.2">
      <c r="A16" s="1073" t="s">
        <v>406</v>
      </c>
      <c r="B16" s="1074">
        <v>0</v>
      </c>
      <c r="C16" s="901" t="s">
        <v>548</v>
      </c>
      <c r="D16" s="886">
        <v>0</v>
      </c>
      <c r="E16" s="901" t="s">
        <v>549</v>
      </c>
      <c r="F16" s="886">
        <v>0</v>
      </c>
      <c r="G16" s="902" t="s">
        <v>550</v>
      </c>
      <c r="H16" s="887">
        <v>0</v>
      </c>
      <c r="I16" s="901" t="s">
        <v>551</v>
      </c>
      <c r="J16" s="1076">
        <v>0</v>
      </c>
      <c r="K16" s="739"/>
      <c r="L16" s="857"/>
    </row>
    <row r="17" spans="1:12" s="97" customFormat="1" ht="15.75" customHeight="1" x14ac:dyDescent="0.2">
      <c r="A17" s="873" t="s">
        <v>407</v>
      </c>
      <c r="B17" s="874">
        <v>0</v>
      </c>
      <c r="C17" s="739"/>
      <c r="D17" s="1541" t="s">
        <v>592</v>
      </c>
      <c r="E17" s="1542"/>
      <c r="F17" s="1542"/>
      <c r="G17" s="1542"/>
      <c r="H17" s="1542"/>
      <c r="I17" s="903">
        <v>0</v>
      </c>
      <c r="J17" s="739"/>
      <c r="K17" s="739"/>
      <c r="L17" s="857"/>
    </row>
    <row r="18" spans="1:12" s="97" customFormat="1" ht="15.75" customHeight="1" x14ac:dyDescent="0.2">
      <c r="A18" s="873" t="s">
        <v>408</v>
      </c>
      <c r="B18" s="874">
        <v>164</v>
      </c>
      <c r="C18" s="739"/>
      <c r="D18" s="739"/>
      <c r="E18" s="739"/>
      <c r="F18" s="739"/>
      <c r="G18" s="739"/>
      <c r="H18" s="738"/>
      <c r="I18" s="738"/>
      <c r="J18" s="739"/>
      <c r="K18" s="739"/>
      <c r="L18" s="857"/>
    </row>
    <row r="19" spans="1:12" s="97" customFormat="1" ht="15.75" customHeight="1" x14ac:dyDescent="0.2">
      <c r="A19" s="1075" t="s">
        <v>409</v>
      </c>
      <c r="B19" s="874">
        <v>0</v>
      </c>
      <c r="C19" s="739"/>
      <c r="D19" s="739"/>
      <c r="E19" s="739"/>
      <c r="F19" s="739"/>
      <c r="G19" s="739"/>
      <c r="H19" s="738"/>
      <c r="I19" s="738"/>
      <c r="J19" s="739"/>
      <c r="K19" s="739"/>
      <c r="L19" s="857"/>
    </row>
    <row r="20" spans="1:12" s="97" customFormat="1" ht="15.75" customHeight="1" x14ac:dyDescent="0.2">
      <c r="A20" s="1071" t="s">
        <v>410</v>
      </c>
      <c r="B20" s="874">
        <v>64</v>
      </c>
      <c r="C20" s="739"/>
      <c r="D20" s="739"/>
      <c r="E20" s="739"/>
      <c r="F20" s="739"/>
      <c r="G20" s="739"/>
      <c r="H20" s="738"/>
      <c r="I20" s="738"/>
      <c r="J20" s="739"/>
      <c r="K20" s="739"/>
      <c r="L20" s="857"/>
    </row>
    <row r="21" spans="1:12" s="19" customFormat="1" ht="7.5" customHeight="1" x14ac:dyDescent="0.25">
      <c r="A21" s="904"/>
      <c r="B21" s="905"/>
      <c r="C21" s="905"/>
      <c r="D21" s="905"/>
      <c r="E21" s="905"/>
      <c r="F21" s="905"/>
      <c r="G21" s="905"/>
      <c r="H21" s="905"/>
      <c r="I21" s="905"/>
      <c r="J21" s="739"/>
      <c r="K21" s="739"/>
      <c r="L21" s="857"/>
    </row>
    <row r="22" spans="1:12" s="97" customFormat="1" ht="18" customHeight="1" x14ac:dyDescent="0.25">
      <c r="A22" s="1535" t="s">
        <v>571</v>
      </c>
      <c r="B22" s="1536"/>
      <c r="C22" s="1536"/>
      <c r="D22" s="1536"/>
      <c r="E22" s="1536"/>
      <c r="F22" s="1536"/>
      <c r="G22" s="1536"/>
      <c r="H22" s="1536"/>
      <c r="I22" s="1536"/>
      <c r="J22" s="1536"/>
      <c r="K22" s="1067"/>
      <c r="L22" s="1068"/>
    </row>
    <row r="23" spans="1:12" s="97" customFormat="1" ht="15.75" customHeight="1" x14ac:dyDescent="0.25">
      <c r="A23" s="1091" t="s">
        <v>411</v>
      </c>
      <c r="B23" s="1092">
        <v>218</v>
      </c>
      <c r="C23" s="739"/>
      <c r="D23" s="739"/>
      <c r="E23" s="739"/>
      <c r="F23" s="739"/>
      <c r="G23" s="739"/>
      <c r="H23" s="738"/>
      <c r="I23" s="738"/>
      <c r="J23" s="739"/>
      <c r="K23" s="739"/>
      <c r="L23" s="857"/>
    </row>
    <row r="24" spans="1:12" s="97" customFormat="1" ht="15.75" customHeight="1" x14ac:dyDescent="0.2">
      <c r="A24" s="875" t="s">
        <v>406</v>
      </c>
      <c r="B24" s="874">
        <v>0</v>
      </c>
      <c r="C24" s="901" t="s">
        <v>548</v>
      </c>
      <c r="D24" s="886">
        <v>0</v>
      </c>
      <c r="E24" s="901" t="s">
        <v>549</v>
      </c>
      <c r="F24" s="886">
        <v>0</v>
      </c>
      <c r="G24" s="902" t="s">
        <v>550</v>
      </c>
      <c r="H24" s="887">
        <v>0</v>
      </c>
      <c r="I24" s="901" t="s">
        <v>551</v>
      </c>
      <c r="J24" s="1076">
        <v>0</v>
      </c>
      <c r="K24" s="739"/>
      <c r="L24" s="857"/>
    </row>
    <row r="25" spans="1:12" s="97" customFormat="1" ht="15.75" customHeight="1" x14ac:dyDescent="0.2">
      <c r="A25" s="875" t="s">
        <v>407</v>
      </c>
      <c r="B25" s="874">
        <v>0</v>
      </c>
      <c r="C25" s="739"/>
      <c r="D25" s="1541" t="s">
        <v>592</v>
      </c>
      <c r="E25" s="1542"/>
      <c r="F25" s="1542"/>
      <c r="G25" s="1542"/>
      <c r="H25" s="1542"/>
      <c r="I25" s="903">
        <v>0</v>
      </c>
      <c r="J25" s="739"/>
      <c r="K25" s="739"/>
      <c r="L25" s="857"/>
    </row>
    <row r="26" spans="1:12" s="97" customFormat="1" ht="15.75" customHeight="1" x14ac:dyDescent="0.2">
      <c r="A26" s="875" t="s">
        <v>408</v>
      </c>
      <c r="B26" s="874">
        <v>121</v>
      </c>
      <c r="C26" s="739"/>
      <c r="D26" s="739"/>
      <c r="E26" s="739"/>
      <c r="F26" s="739"/>
      <c r="G26" s="739"/>
      <c r="H26" s="738"/>
      <c r="I26" s="738"/>
      <c r="J26" s="739"/>
      <c r="K26" s="739"/>
      <c r="L26" s="857"/>
    </row>
    <row r="27" spans="1:12" s="97" customFormat="1" ht="15.75" customHeight="1" x14ac:dyDescent="0.2">
      <c r="A27" s="876" t="s">
        <v>409</v>
      </c>
      <c r="B27" s="874">
        <v>0</v>
      </c>
      <c r="C27" s="739"/>
      <c r="D27" s="739"/>
      <c r="E27" s="739"/>
      <c r="F27" s="739"/>
      <c r="G27" s="739"/>
      <c r="H27" s="738"/>
      <c r="I27" s="738"/>
      <c r="J27" s="739"/>
      <c r="K27" s="739"/>
      <c r="L27" s="857"/>
    </row>
    <row r="28" spans="1:12" s="97" customFormat="1" ht="15.75" customHeight="1" x14ac:dyDescent="0.2">
      <c r="A28" s="1071" t="s">
        <v>410</v>
      </c>
      <c r="B28" s="1074">
        <v>97</v>
      </c>
      <c r="C28" s="739"/>
      <c r="D28" s="739"/>
      <c r="E28" s="739"/>
      <c r="F28" s="739"/>
      <c r="G28" s="739"/>
      <c r="H28" s="738"/>
      <c r="I28" s="738"/>
      <c r="J28" s="739"/>
      <c r="K28" s="739"/>
      <c r="L28" s="857"/>
    </row>
    <row r="29" spans="1:12" s="97" customFormat="1" ht="39.75" customHeight="1" x14ac:dyDescent="0.2">
      <c r="A29" s="1527" t="s">
        <v>593</v>
      </c>
      <c r="B29" s="1528"/>
      <c r="C29" s="1528"/>
      <c r="D29" s="1528"/>
      <c r="E29" s="1528"/>
      <c r="F29" s="1528"/>
      <c r="G29" s="1528"/>
      <c r="H29" s="1528"/>
      <c r="I29" s="1528"/>
      <c r="J29" s="1528"/>
      <c r="K29" s="1528"/>
      <c r="L29" s="1529"/>
    </row>
    <row r="30" spans="1:12" s="97" customFormat="1" ht="8.25" customHeight="1" x14ac:dyDescent="0.25">
      <c r="A30" s="1077"/>
      <c r="B30" s="1078"/>
      <c r="C30" s="1078"/>
      <c r="D30" s="1078"/>
      <c r="E30" s="1078"/>
      <c r="F30" s="1078"/>
      <c r="G30" s="1078"/>
      <c r="H30" s="1078"/>
      <c r="I30" s="1078"/>
      <c r="J30" s="1507"/>
      <c r="K30" s="1507"/>
      <c r="L30" s="1508"/>
    </row>
    <row r="31" spans="1:12" s="97" customFormat="1" ht="15.75" customHeight="1" x14ac:dyDescent="0.25">
      <c r="A31" s="1518" t="s">
        <v>348</v>
      </c>
      <c r="B31" s="1519"/>
      <c r="C31" s="1519"/>
      <c r="D31" s="1519"/>
      <c r="E31" s="1519"/>
      <c r="F31" s="1519"/>
      <c r="G31" s="1519"/>
      <c r="H31" s="1519"/>
      <c r="I31" s="1519"/>
      <c r="J31" s="1519"/>
      <c r="K31" s="1519"/>
      <c r="L31" s="1520"/>
    </row>
    <row r="32" spans="1:12" s="97" customFormat="1" ht="15.75" customHeight="1" x14ac:dyDescent="0.2">
      <c r="A32" s="1521" t="s">
        <v>349</v>
      </c>
      <c r="B32" s="1522"/>
      <c r="C32" s="1522"/>
      <c r="D32" s="1522"/>
      <c r="E32" s="1522"/>
      <c r="F32" s="1522"/>
      <c r="G32" s="1522"/>
      <c r="H32" s="1522"/>
      <c r="I32" s="1522"/>
      <c r="J32" s="1522"/>
      <c r="K32" s="1522"/>
      <c r="L32" s="1523"/>
    </row>
    <row r="33" spans="1:14" s="97" customFormat="1" ht="15.75" customHeight="1" x14ac:dyDescent="0.2">
      <c r="A33" s="877"/>
      <c r="B33" s="1512" t="s">
        <v>350</v>
      </c>
      <c r="C33" s="1513"/>
      <c r="D33" s="1513"/>
      <c r="E33" s="1514"/>
      <c r="F33" s="1509" t="s">
        <v>351</v>
      </c>
      <c r="G33" s="1510"/>
      <c r="H33" s="1510"/>
      <c r="I33" s="1511"/>
      <c r="J33" s="1524" t="s">
        <v>872</v>
      </c>
      <c r="K33" s="1525"/>
      <c r="L33" s="1526"/>
      <c r="M33" s="19"/>
    </row>
    <row r="34" spans="1:14" s="97" customFormat="1" ht="15.75" customHeight="1" x14ac:dyDescent="0.2">
      <c r="A34" s="877"/>
      <c r="B34" s="884" t="s">
        <v>352</v>
      </c>
      <c r="C34" s="884" t="s">
        <v>369</v>
      </c>
      <c r="D34" s="1079" t="s">
        <v>572</v>
      </c>
      <c r="E34" s="878" t="s">
        <v>371</v>
      </c>
      <c r="F34" s="885" t="s">
        <v>352</v>
      </c>
      <c r="G34" s="884" t="s">
        <v>369</v>
      </c>
      <c r="H34" s="1079" t="s">
        <v>572</v>
      </c>
      <c r="I34" s="878" t="s">
        <v>371</v>
      </c>
      <c r="J34" s="1080" t="s">
        <v>594</v>
      </c>
      <c r="K34" s="884" t="s">
        <v>595</v>
      </c>
      <c r="L34" s="879" t="s">
        <v>412</v>
      </c>
      <c r="M34" s="19"/>
      <c r="N34" s="19"/>
    </row>
    <row r="35" spans="1:14" s="97" customFormat="1" ht="15.75" customHeight="1" x14ac:dyDescent="0.2">
      <c r="A35" s="880" t="s">
        <v>353</v>
      </c>
      <c r="B35" s="881">
        <v>90</v>
      </c>
      <c r="C35" s="1081">
        <v>475</v>
      </c>
      <c r="D35" s="1082" t="s">
        <v>801</v>
      </c>
      <c r="E35" s="882">
        <v>500</v>
      </c>
      <c r="F35" s="1083">
        <v>495</v>
      </c>
      <c r="G35" s="1081">
        <v>6297</v>
      </c>
      <c r="H35" s="1082" t="s">
        <v>801</v>
      </c>
      <c r="I35" s="882">
        <v>6503</v>
      </c>
      <c r="J35" s="1084">
        <f>SUM(B35:G35)</f>
        <v>7857</v>
      </c>
      <c r="K35" s="872">
        <f>SUM(F35:I35)</f>
        <v>13295</v>
      </c>
      <c r="L35" s="883">
        <f>SUM(J35:K35)</f>
        <v>21152</v>
      </c>
      <c r="M35" s="19"/>
      <c r="N35" s="19"/>
    </row>
    <row r="36" spans="1:14" s="97" customFormat="1" ht="15.75" customHeight="1" x14ac:dyDescent="0.2">
      <c r="A36" s="880" t="s">
        <v>573</v>
      </c>
      <c r="B36" s="881">
        <v>39</v>
      </c>
      <c r="C36" s="1081">
        <v>128</v>
      </c>
      <c r="D36" s="1082" t="s">
        <v>801</v>
      </c>
      <c r="E36" s="882">
        <v>150</v>
      </c>
      <c r="F36" s="1083">
        <v>447</v>
      </c>
      <c r="G36" s="1081">
        <v>4104</v>
      </c>
      <c r="H36" s="1082" t="s">
        <v>801</v>
      </c>
      <c r="I36" s="882">
        <v>4069</v>
      </c>
      <c r="J36" s="1084">
        <f>SUM(B36:F36)</f>
        <v>764</v>
      </c>
      <c r="K36" s="872">
        <f>SUM(F36:I36)</f>
        <v>8620</v>
      </c>
      <c r="L36" s="883">
        <f>SUM(J36:K36)</f>
        <v>9384</v>
      </c>
      <c r="M36" s="19"/>
      <c r="N36" s="19"/>
    </row>
    <row r="37" spans="1:14" s="97" customFormat="1" ht="15.75" customHeight="1" thickBot="1" x14ac:dyDescent="0.3">
      <c r="A37" s="1085" t="s">
        <v>354</v>
      </c>
      <c r="B37" s="1086">
        <f>B36/B35</f>
        <v>0.43333333333333335</v>
      </c>
      <c r="C37" s="1086">
        <f t="shared" ref="C37:L37" si="0">C36/C35</f>
        <v>0.26947368421052631</v>
      </c>
      <c r="D37" s="1086" t="e">
        <f t="shared" si="0"/>
        <v>#VALUE!</v>
      </c>
      <c r="E37" s="1087">
        <f t="shared" si="0"/>
        <v>0.3</v>
      </c>
      <c r="F37" s="1088">
        <f t="shared" si="0"/>
        <v>0.90303030303030307</v>
      </c>
      <c r="G37" s="1086">
        <f t="shared" si="0"/>
        <v>0.65173892329680805</v>
      </c>
      <c r="H37" s="1086" t="e">
        <f>H36/H35</f>
        <v>#VALUE!</v>
      </c>
      <c r="I37" s="1087">
        <f t="shared" si="0"/>
        <v>0.625711210210672</v>
      </c>
      <c r="J37" s="1089">
        <f t="shared" si="0"/>
        <v>9.7238131602392766E-2</v>
      </c>
      <c r="K37" s="1086">
        <f t="shared" si="0"/>
        <v>0.64836404663407299</v>
      </c>
      <c r="L37" s="1090">
        <f t="shared" si="0"/>
        <v>0.44364599092284418</v>
      </c>
      <c r="M37" s="19"/>
      <c r="N37" s="19"/>
    </row>
    <row r="38" spans="1:14" s="97" customFormat="1" ht="15.75" customHeight="1" thickTop="1" x14ac:dyDescent="0.25">
      <c r="A38" s="1515" t="s">
        <v>355</v>
      </c>
      <c r="B38" s="1516"/>
      <c r="C38" s="1516"/>
      <c r="D38" s="1516"/>
      <c r="E38" s="1516"/>
      <c r="F38" s="1516"/>
      <c r="G38" s="1516"/>
      <c r="H38" s="1516"/>
      <c r="I38" s="1516"/>
      <c r="J38" s="1516"/>
      <c r="K38" s="1516"/>
      <c r="L38" s="1517"/>
    </row>
    <row r="39" spans="1:14" s="97" customFormat="1" ht="15.75" customHeight="1" x14ac:dyDescent="0.25">
      <c r="A39" s="1504" t="s">
        <v>552</v>
      </c>
      <c r="B39" s="1505"/>
      <c r="C39" s="1505"/>
      <c r="D39" s="1505"/>
      <c r="E39" s="1505"/>
      <c r="F39" s="1505"/>
      <c r="G39" s="1505"/>
      <c r="H39" s="1505"/>
      <c r="I39" s="1505"/>
      <c r="J39" s="1505"/>
      <c r="K39" s="1505"/>
      <c r="L39" s="1506"/>
    </row>
    <row r="40" spans="1:14" s="97" customFormat="1" ht="10.5" customHeight="1" x14ac:dyDescent="0.2">
      <c r="A40" s="856"/>
      <c r="B40" s="739"/>
      <c r="C40" s="739"/>
      <c r="D40" s="739"/>
      <c r="E40" s="739"/>
      <c r="F40" s="739"/>
      <c r="G40" s="739"/>
      <c r="H40" s="739"/>
      <c r="I40" s="739"/>
      <c r="J40" s="739"/>
      <c r="K40" s="739"/>
      <c r="L40" s="857"/>
    </row>
    <row r="41" spans="1:14" s="97" customFormat="1" ht="15.75" customHeight="1" x14ac:dyDescent="0.25">
      <c r="A41" s="1498" t="s">
        <v>356</v>
      </c>
      <c r="B41" s="1499"/>
      <c r="C41" s="1499"/>
      <c r="D41" s="1499"/>
      <c r="E41" s="1499"/>
      <c r="F41" s="1499"/>
      <c r="G41" s="1499"/>
      <c r="H41" s="1499"/>
      <c r="I41" s="1499"/>
      <c r="J41" s="1499"/>
      <c r="K41" s="1499"/>
      <c r="L41" s="1500"/>
    </row>
    <row r="42" spans="1:14" s="97" customFormat="1" ht="75.75" customHeight="1" thickBot="1" x14ac:dyDescent="0.25">
      <c r="A42" s="1501"/>
      <c r="B42" s="1502"/>
      <c r="C42" s="1502"/>
      <c r="D42" s="1502"/>
      <c r="E42" s="1502"/>
      <c r="F42" s="1502"/>
      <c r="G42" s="1502"/>
      <c r="H42" s="1502"/>
      <c r="I42" s="1502"/>
      <c r="J42" s="1502"/>
      <c r="K42" s="1502"/>
      <c r="L42" s="1503"/>
    </row>
    <row r="43" spans="1:14" s="97" customFormat="1" ht="15.75" customHeight="1" thickTop="1" x14ac:dyDescent="0.2">
      <c r="A43" s="19"/>
      <c r="B43" s="19"/>
      <c r="C43" s="19"/>
      <c r="D43" s="19"/>
      <c r="E43" s="19"/>
      <c r="F43" s="19"/>
      <c r="G43" s="19"/>
      <c r="H43" s="19"/>
      <c r="I43" s="19"/>
      <c r="J43" s="19"/>
      <c r="K43" s="19"/>
    </row>
    <row r="44" spans="1:14" s="97" customFormat="1" ht="15.75" customHeight="1" x14ac:dyDescent="0.2">
      <c r="A44" s="19"/>
      <c r="B44" s="19"/>
      <c r="C44" s="19"/>
      <c r="D44" s="19"/>
      <c r="E44" s="19"/>
      <c r="F44" s="19"/>
      <c r="G44" s="19"/>
      <c r="H44" s="19"/>
      <c r="I44" s="19"/>
      <c r="J44" s="19"/>
      <c r="K44" s="19"/>
    </row>
    <row r="45" spans="1:14" s="97" customFormat="1" ht="15.75" customHeight="1" x14ac:dyDescent="0.2">
      <c r="A45" s="19"/>
      <c r="B45" s="19"/>
      <c r="C45" s="19"/>
      <c r="D45" s="19"/>
      <c r="E45" s="19"/>
      <c r="F45" s="19"/>
      <c r="G45" s="19"/>
      <c r="H45" s="19"/>
      <c r="I45" s="19"/>
      <c r="J45" s="19"/>
      <c r="K45" s="19"/>
    </row>
    <row r="46" spans="1:14" s="97" customFormat="1" ht="15.75" customHeight="1" x14ac:dyDescent="0.2">
      <c r="A46" s="19"/>
      <c r="B46" s="19"/>
      <c r="C46" s="19"/>
      <c r="D46" s="19"/>
      <c r="E46" s="19"/>
      <c r="F46" s="19"/>
      <c r="G46" s="19"/>
      <c r="H46" s="19"/>
      <c r="I46" s="19"/>
      <c r="J46" s="19"/>
      <c r="K46" s="19"/>
    </row>
    <row r="47" spans="1:14" s="97" customFormat="1" ht="15.75" customHeight="1" x14ac:dyDescent="0.2">
      <c r="A47" s="19"/>
      <c r="B47" s="19"/>
      <c r="C47" s="19"/>
      <c r="D47" s="19"/>
      <c r="E47" s="19"/>
      <c r="F47" s="19"/>
      <c r="G47" s="19"/>
      <c r="H47" s="19"/>
      <c r="I47" s="19"/>
      <c r="J47" s="19"/>
      <c r="K47" s="19"/>
    </row>
    <row r="48" spans="1:14" s="97" customFormat="1" ht="15.75" customHeight="1" x14ac:dyDescent="0.2">
      <c r="A48" s="19"/>
      <c r="B48" s="19"/>
      <c r="C48" s="19"/>
      <c r="D48" s="19"/>
      <c r="E48" s="19"/>
      <c r="F48" s="19"/>
      <c r="G48" s="19"/>
      <c r="H48" s="19"/>
      <c r="I48" s="19"/>
      <c r="J48" s="19"/>
      <c r="K48" s="19"/>
    </row>
    <row r="49" spans="1:11" s="97" customFormat="1" ht="15.75" customHeight="1" x14ac:dyDescent="0.2">
      <c r="A49" s="19"/>
      <c r="B49" s="19"/>
      <c r="C49" s="19"/>
      <c r="D49" s="19"/>
      <c r="E49" s="19"/>
      <c r="F49" s="19"/>
      <c r="G49" s="19"/>
      <c r="H49" s="19"/>
      <c r="I49" s="19"/>
      <c r="J49" s="19"/>
      <c r="K49" s="19"/>
    </row>
    <row r="50" spans="1:11" s="97" customFormat="1" ht="15.75" customHeight="1" x14ac:dyDescent="0.2">
      <c r="A50" s="19"/>
      <c r="B50" s="19"/>
      <c r="C50" s="19"/>
      <c r="D50" s="19"/>
      <c r="E50" s="19"/>
      <c r="F50" s="19"/>
      <c r="G50" s="19"/>
      <c r="H50" s="19"/>
      <c r="I50" s="19"/>
      <c r="J50" s="19"/>
      <c r="K50" s="19"/>
    </row>
    <row r="51" spans="1:11" s="97" customFormat="1" ht="15.75" customHeight="1" x14ac:dyDescent="0.2">
      <c r="A51" s="19"/>
      <c r="B51" s="19"/>
      <c r="C51" s="19"/>
      <c r="D51" s="19"/>
      <c r="E51" s="19"/>
      <c r="F51" s="19"/>
      <c r="G51" s="19"/>
      <c r="H51" s="19"/>
      <c r="I51" s="19"/>
      <c r="J51" s="19"/>
      <c r="K51" s="19"/>
    </row>
    <row r="52" spans="1:11" s="97" customFormat="1" ht="15.75" customHeight="1" x14ac:dyDescent="0.2">
      <c r="A52" s="19"/>
      <c r="B52" s="19"/>
      <c r="C52" s="19"/>
      <c r="D52" s="19"/>
      <c r="E52" s="19"/>
      <c r="F52" s="19"/>
      <c r="G52" s="19"/>
      <c r="H52" s="19"/>
      <c r="I52" s="19"/>
      <c r="J52" s="19"/>
      <c r="K52" s="19"/>
    </row>
    <row r="53" spans="1:11" s="97" customFormat="1" ht="15.75" customHeight="1" x14ac:dyDescent="0.2">
      <c r="A53" s="19"/>
      <c r="B53" s="19"/>
      <c r="C53" s="19"/>
      <c r="D53" s="19"/>
      <c r="E53" s="19"/>
      <c r="F53" s="19"/>
      <c r="G53" s="19"/>
      <c r="H53" s="19"/>
      <c r="I53" s="19"/>
      <c r="J53" s="19"/>
      <c r="K53" s="19"/>
    </row>
    <row r="54" spans="1:11" s="97" customFormat="1" ht="15.75" customHeight="1" x14ac:dyDescent="0.2"/>
    <row r="55" spans="1:11" s="97" customFormat="1" ht="15.75" customHeight="1" x14ac:dyDescent="0.2"/>
    <row r="56" spans="1:11" s="97" customFormat="1" ht="15.75" customHeight="1" x14ac:dyDescent="0.2"/>
    <row r="57" spans="1:11" s="97" customFormat="1" ht="15.75" customHeight="1" x14ac:dyDescent="0.2"/>
    <row r="58" spans="1:11" s="97" customFormat="1" ht="15.75" customHeight="1" x14ac:dyDescent="0.2"/>
    <row r="59" spans="1:11" s="97" customFormat="1" ht="15.75" customHeight="1" x14ac:dyDescent="0.2"/>
    <row r="60" spans="1:11" s="97" customFormat="1" ht="15.75" customHeight="1" x14ac:dyDescent="0.2"/>
    <row r="61" spans="1:11" s="97" customFormat="1" ht="15.75" customHeight="1" x14ac:dyDescent="0.2"/>
    <row r="62" spans="1:11" s="97" customFormat="1" ht="15.75" customHeight="1" x14ac:dyDescent="0.2"/>
    <row r="63" spans="1:11" s="97" customFormat="1" ht="15.75" customHeight="1" x14ac:dyDescent="0.2"/>
    <row r="64" spans="1:11" s="97" customFormat="1" ht="15.75" customHeight="1" x14ac:dyDescent="0.2"/>
    <row r="65" s="97" customFormat="1" ht="15.75" customHeight="1" x14ac:dyDescent="0.2"/>
    <row r="66" s="97" customFormat="1" ht="15.75" customHeight="1" x14ac:dyDescent="0.2"/>
    <row r="67" s="97" customFormat="1" ht="15.75" customHeight="1" x14ac:dyDescent="0.2"/>
    <row r="68" s="97" customFormat="1" ht="15.75" customHeight="1" x14ac:dyDescent="0.2"/>
    <row r="69" s="97" customFormat="1" ht="15.75" customHeight="1" x14ac:dyDescent="0.2"/>
    <row r="70" s="97" customFormat="1" ht="15.75" customHeight="1" x14ac:dyDescent="0.2"/>
    <row r="71" s="97" customFormat="1" ht="15.75" customHeight="1" x14ac:dyDescent="0.2"/>
    <row r="72" s="97" customFormat="1" ht="15.75" customHeight="1" x14ac:dyDescent="0.2"/>
    <row r="73" s="97" customFormat="1" ht="15.75" customHeight="1" x14ac:dyDescent="0.2"/>
    <row r="74" s="97" customFormat="1" ht="15.75" customHeight="1" x14ac:dyDescent="0.2"/>
    <row r="75" s="97" customFormat="1" ht="15.75" customHeight="1" x14ac:dyDescent="0.2"/>
    <row r="76" s="97" customFormat="1" ht="15.75" customHeight="1" x14ac:dyDescent="0.2"/>
    <row r="77" s="97" customFormat="1" ht="15.75" customHeight="1" x14ac:dyDescent="0.2"/>
    <row r="78" s="97" customFormat="1" ht="15.75" customHeight="1" x14ac:dyDescent="0.2"/>
    <row r="79" s="97" customFormat="1" ht="15.75" customHeight="1" x14ac:dyDescent="0.2"/>
    <row r="80" s="97" customFormat="1" ht="15.75" customHeight="1" x14ac:dyDescent="0.2"/>
    <row r="81" s="97" customFormat="1" ht="15.75" customHeight="1" x14ac:dyDescent="0.2"/>
    <row r="82" s="97" customFormat="1" ht="15.75" customHeight="1" x14ac:dyDescent="0.2"/>
    <row r="83" s="97" customFormat="1" ht="15.75" customHeight="1" x14ac:dyDescent="0.2"/>
    <row r="84" s="97" customFormat="1" ht="15.75" customHeight="1" x14ac:dyDescent="0.2"/>
    <row r="85" s="97" customFormat="1" ht="15.75" customHeight="1" x14ac:dyDescent="0.2"/>
    <row r="86" s="97" customFormat="1" ht="15.75" customHeight="1" x14ac:dyDescent="0.2"/>
    <row r="87" s="97" customFormat="1" ht="15.75" customHeight="1" x14ac:dyDescent="0.2"/>
    <row r="88" s="97" customFormat="1" ht="15.75" customHeight="1" x14ac:dyDescent="0.2"/>
    <row r="89" s="97" customFormat="1" ht="15.75" customHeight="1" x14ac:dyDescent="0.2"/>
    <row r="90" s="97" customFormat="1" ht="15.75" customHeight="1" x14ac:dyDescent="0.2"/>
    <row r="91" s="97" customFormat="1" ht="15.75" customHeight="1" x14ac:dyDescent="0.2"/>
    <row r="92" s="97" customFormat="1" ht="15.75" customHeight="1" x14ac:dyDescent="0.2"/>
    <row r="93" s="97" customFormat="1" ht="15.75" customHeight="1" x14ac:dyDescent="0.2"/>
    <row r="94" s="97" customFormat="1" ht="15.75" customHeight="1" x14ac:dyDescent="0.2"/>
    <row r="95" s="97" customFormat="1" ht="15.75" customHeight="1" x14ac:dyDescent="0.2"/>
    <row r="96" s="97" customFormat="1" ht="15.75" customHeight="1" x14ac:dyDescent="0.2"/>
    <row r="97" s="97" customFormat="1" ht="15.75" customHeight="1" x14ac:dyDescent="0.2"/>
    <row r="98" s="97" customFormat="1" ht="15.75" customHeight="1" x14ac:dyDescent="0.2"/>
    <row r="99" s="97" customFormat="1" ht="15.75" customHeight="1" x14ac:dyDescent="0.2"/>
    <row r="100" s="97" customFormat="1" ht="15.75" customHeight="1" x14ac:dyDescent="0.2"/>
    <row r="101" s="97" customFormat="1" ht="15.75" customHeight="1" x14ac:dyDescent="0.2"/>
    <row r="102" s="97" customFormat="1" ht="15.75" customHeight="1" x14ac:dyDescent="0.2"/>
    <row r="103" s="97" customFormat="1" ht="15.75" customHeight="1" x14ac:dyDescent="0.2"/>
    <row r="104" s="97" customFormat="1" ht="15.75" customHeight="1" x14ac:dyDescent="0.2"/>
    <row r="105" s="97" customFormat="1" ht="15.75" customHeight="1" x14ac:dyDescent="0.2"/>
    <row r="106" s="97" customFormat="1" ht="15.75" customHeight="1" x14ac:dyDescent="0.2"/>
    <row r="107" s="97" customFormat="1" ht="15.75" customHeight="1" x14ac:dyDescent="0.2"/>
    <row r="108" s="97" customFormat="1" ht="15.75" customHeight="1" x14ac:dyDescent="0.2"/>
    <row r="109" s="97" customFormat="1" ht="15.75" customHeight="1" x14ac:dyDescent="0.2"/>
    <row r="110" s="97" customFormat="1" ht="15.75" customHeight="1" x14ac:dyDescent="0.2"/>
    <row r="111" s="97" customFormat="1" ht="15.75" customHeight="1" x14ac:dyDescent="0.2"/>
    <row r="112" s="97" customFormat="1" ht="15.75" customHeight="1" x14ac:dyDescent="0.2"/>
    <row r="113" spans="4:4" s="97" customFormat="1" ht="15.75" customHeight="1" x14ac:dyDescent="0.2"/>
    <row r="114" spans="4:4" s="97" customFormat="1" ht="15.75" customHeight="1" x14ac:dyDescent="0.2"/>
    <row r="115" spans="4:4" s="97" customFormat="1" ht="15.75" customHeight="1" x14ac:dyDescent="0.2"/>
    <row r="116" spans="4:4" s="97" customFormat="1" ht="15.75" customHeight="1" x14ac:dyDescent="0.2"/>
    <row r="117" spans="4:4" s="97" customFormat="1" ht="15.75" customHeight="1" x14ac:dyDescent="0.2"/>
    <row r="118" spans="4:4" s="97" customFormat="1" ht="15.75" customHeight="1" x14ac:dyDescent="0.2"/>
    <row r="119" spans="4:4" s="97" customFormat="1" ht="15.75" customHeight="1" x14ac:dyDescent="0.2"/>
    <row r="120" spans="4:4" s="97" customFormat="1" ht="15.75" customHeight="1" x14ac:dyDescent="0.2"/>
    <row r="121" spans="4:4" ht="15.75" customHeight="1" x14ac:dyDescent="0.2">
      <c r="D121" s="35"/>
    </row>
    <row r="122" spans="4:4" ht="15.75" customHeight="1" x14ac:dyDescent="0.2">
      <c r="D122" s="35"/>
    </row>
    <row r="123" spans="4:4" ht="15.75" customHeight="1" x14ac:dyDescent="0.2">
      <c r="D123" s="35"/>
    </row>
    <row r="124" spans="4:4" ht="15.75" customHeight="1" x14ac:dyDescent="0.2">
      <c r="D124" s="35"/>
    </row>
    <row r="125" spans="4:4" ht="15.75" customHeight="1" x14ac:dyDescent="0.2">
      <c r="D125" s="35"/>
    </row>
    <row r="126" spans="4:4" ht="15.75" customHeight="1" x14ac:dyDescent="0.2">
      <c r="D126" s="35"/>
    </row>
    <row r="127" spans="4:4" ht="15.75" customHeight="1" x14ac:dyDescent="0.2">
      <c r="D127" s="35"/>
    </row>
    <row r="128" spans="4:4" ht="15.75" customHeight="1" x14ac:dyDescent="0.2">
      <c r="D128" s="35"/>
    </row>
    <row r="129" spans="4:4" ht="15.75" customHeight="1" x14ac:dyDescent="0.2">
      <c r="D129" s="35"/>
    </row>
    <row r="130" spans="4:4" ht="15.75" customHeight="1" x14ac:dyDescent="0.2">
      <c r="D130" s="35"/>
    </row>
    <row r="131" spans="4:4" ht="15.75" customHeight="1" x14ac:dyDescent="0.2">
      <c r="D131" s="35"/>
    </row>
    <row r="132" spans="4:4" ht="15.75" customHeight="1" x14ac:dyDescent="0.2">
      <c r="D132" s="35"/>
    </row>
    <row r="133" spans="4:4" ht="15.75" customHeight="1" x14ac:dyDescent="0.2">
      <c r="D133" s="35"/>
    </row>
    <row r="134" spans="4:4" ht="15.75" customHeight="1" x14ac:dyDescent="0.2">
      <c r="D134" s="35"/>
    </row>
    <row r="135" spans="4:4" ht="15.75" customHeight="1" x14ac:dyDescent="0.2">
      <c r="D135" s="35"/>
    </row>
    <row r="136" spans="4:4" ht="15.75" customHeight="1" x14ac:dyDescent="0.2">
      <c r="D136" s="35"/>
    </row>
    <row r="137" spans="4:4" ht="15.75" customHeight="1" x14ac:dyDescent="0.2">
      <c r="D137" s="35"/>
    </row>
    <row r="138" spans="4:4" ht="15.75" customHeight="1" x14ac:dyDescent="0.2">
      <c r="D138" s="35"/>
    </row>
    <row r="139" spans="4:4" ht="15.75" customHeight="1" x14ac:dyDescent="0.2">
      <c r="D139" s="35"/>
    </row>
    <row r="140" spans="4:4" ht="15.75" customHeight="1" x14ac:dyDescent="0.2">
      <c r="D140" s="35"/>
    </row>
    <row r="141" spans="4:4" ht="15.75" customHeight="1" x14ac:dyDescent="0.2">
      <c r="D141" s="35"/>
    </row>
    <row r="142" spans="4:4" ht="15.75" customHeight="1" x14ac:dyDescent="0.2">
      <c r="D142" s="35"/>
    </row>
    <row r="143" spans="4:4" ht="15.75" customHeight="1" x14ac:dyDescent="0.2">
      <c r="D143" s="35"/>
    </row>
    <row r="144" spans="4:4" ht="15.75" customHeight="1" x14ac:dyDescent="0.2">
      <c r="D144" s="35"/>
    </row>
  </sheetData>
  <mergeCells count="20">
    <mergeCell ref="A29:L29"/>
    <mergeCell ref="A2:L2"/>
    <mergeCell ref="B1:L1"/>
    <mergeCell ref="A4:L4"/>
    <mergeCell ref="A3:L3"/>
    <mergeCell ref="A22:J22"/>
    <mergeCell ref="A13:J13"/>
    <mergeCell ref="D8:H8"/>
    <mergeCell ref="D17:H17"/>
    <mergeCell ref="D25:H25"/>
    <mergeCell ref="A41:L41"/>
    <mergeCell ref="A42:L42"/>
    <mergeCell ref="A39:L39"/>
    <mergeCell ref="J30:L30"/>
    <mergeCell ref="F33:I33"/>
    <mergeCell ref="B33:E33"/>
    <mergeCell ref="A38:L38"/>
    <mergeCell ref="A31:L31"/>
    <mergeCell ref="A32:L32"/>
    <mergeCell ref="J33:L33"/>
  </mergeCells>
  <phoneticPr fontId="65" type="noConversion"/>
  <pageMargins left="0.40583333300000002" right="0.12833333333333299" top="0.75" bottom="0.75" header="0.3" footer="0.3"/>
  <pageSetup scale="70" orientation="landscape" r:id="rId1"/>
  <headerFooter>
    <oddHeader>&amp;LAKIS A 2012</oddHeader>
    <oddFooter>&amp;LAmerican Indian Higher Education Consortium</oddFooter>
  </headerFooter>
  <rowBreaks count="1" manualBreakCount="1">
    <brk id="58" max="6"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R107"/>
  <sheetViews>
    <sheetView topLeftCell="A29" zoomScaleNormal="100" workbookViewId="0">
      <selection activeCell="F46" sqref="F46"/>
    </sheetView>
  </sheetViews>
  <sheetFormatPr defaultColWidth="9.140625" defaultRowHeight="12.75" x14ac:dyDescent="0.2"/>
  <cols>
    <col min="1" max="1" width="5.140625" style="30" customWidth="1"/>
    <col min="2" max="2" width="47.28515625" style="30" customWidth="1"/>
    <col min="3" max="3" width="47.140625" style="30" customWidth="1"/>
    <col min="4" max="4" width="10.7109375" style="30" customWidth="1"/>
    <col min="5" max="5" width="11.42578125" style="638" customWidth="1"/>
    <col min="6" max="6" width="20.140625" style="638" customWidth="1"/>
    <col min="7" max="44" width="9.140625" style="37"/>
    <col min="45" max="16384" width="9.140625" style="30"/>
  </cols>
  <sheetData>
    <row r="1" spans="1:12" s="20" customFormat="1" ht="15.75" thickTop="1" x14ac:dyDescent="0.25">
      <c r="A1" s="314"/>
      <c r="B1" s="732" t="s">
        <v>823</v>
      </c>
      <c r="C1" s="1543" t="str">
        <f>'1.1a Overall Instit. Profile'!$B$1</f>
        <v>Oglala Lakota College</v>
      </c>
      <c r="D1" s="1543"/>
      <c r="E1" s="1543"/>
      <c r="F1" s="1544"/>
      <c r="G1" s="208"/>
      <c r="H1" s="208"/>
      <c r="I1" s="208"/>
      <c r="J1" s="208"/>
      <c r="K1" s="208"/>
      <c r="L1" s="208"/>
    </row>
    <row r="2" spans="1:12" ht="15" x14ac:dyDescent="0.2">
      <c r="A2" s="313" t="s">
        <v>816</v>
      </c>
      <c r="B2" s="325"/>
      <c r="C2" s="325"/>
      <c r="D2" s="325"/>
      <c r="E2" s="632"/>
      <c r="F2" s="755"/>
    </row>
    <row r="3" spans="1:12" ht="15" x14ac:dyDescent="0.2">
      <c r="A3" s="1550" t="s">
        <v>577</v>
      </c>
      <c r="B3" s="1551"/>
      <c r="C3" s="1551"/>
      <c r="D3" s="1551"/>
      <c r="E3" s="1551"/>
      <c r="F3" s="1552"/>
    </row>
    <row r="4" spans="1:12" x14ac:dyDescent="0.2">
      <c r="A4" s="320" t="s">
        <v>29</v>
      </c>
      <c r="B4" s="326"/>
      <c r="C4" s="326"/>
      <c r="D4" s="326"/>
      <c r="E4" s="633"/>
      <c r="F4" s="756"/>
    </row>
    <row r="5" spans="1:12" x14ac:dyDescent="0.2">
      <c r="A5" s="1553" t="s">
        <v>598</v>
      </c>
      <c r="B5" s="1554"/>
      <c r="C5" s="1554"/>
      <c r="D5" s="1554"/>
      <c r="E5" s="1554"/>
      <c r="F5" s="1555"/>
    </row>
    <row r="6" spans="1:12" ht="75.75" x14ac:dyDescent="0.2">
      <c r="A6" s="643" t="s">
        <v>30</v>
      </c>
      <c r="B6" s="644" t="s">
        <v>31</v>
      </c>
      <c r="C6" s="644" t="s">
        <v>417</v>
      </c>
      <c r="D6" s="645" t="s">
        <v>32</v>
      </c>
      <c r="E6" s="640"/>
      <c r="F6" s="757"/>
    </row>
    <row r="7" spans="1:12" x14ac:dyDescent="0.2">
      <c r="A7" s="1556" t="s">
        <v>596</v>
      </c>
      <c r="B7" s="39"/>
      <c r="C7" s="40"/>
      <c r="D7" s="34"/>
      <c r="E7" s="641"/>
      <c r="F7" s="758"/>
    </row>
    <row r="8" spans="1:12" x14ac:dyDescent="0.2">
      <c r="A8" s="1556"/>
      <c r="B8" s="751"/>
      <c r="C8" s="752"/>
      <c r="D8" s="753"/>
      <c r="E8" s="759"/>
      <c r="F8" s="760"/>
    </row>
    <row r="9" spans="1:12" x14ac:dyDescent="0.2">
      <c r="A9" s="1556"/>
      <c r="B9" s="751"/>
      <c r="C9" s="752"/>
      <c r="D9" s="753"/>
      <c r="E9" s="759"/>
      <c r="F9" s="760"/>
    </row>
    <row r="10" spans="1:12" x14ac:dyDescent="0.2">
      <c r="A10" s="1556"/>
      <c r="B10" s="751"/>
      <c r="C10" s="752"/>
      <c r="D10" s="753"/>
      <c r="E10" s="759"/>
      <c r="F10" s="760"/>
    </row>
    <row r="11" spans="1:12" x14ac:dyDescent="0.2">
      <c r="A11" s="1556"/>
      <c r="B11" s="751"/>
      <c r="C11" s="752"/>
      <c r="D11" s="753"/>
      <c r="E11" s="759"/>
      <c r="F11" s="760"/>
    </row>
    <row r="12" spans="1:12" x14ac:dyDescent="0.2">
      <c r="A12" s="1556"/>
      <c r="B12" s="751"/>
      <c r="C12" s="752"/>
      <c r="D12" s="753"/>
      <c r="E12" s="759"/>
      <c r="F12" s="760"/>
    </row>
    <row r="13" spans="1:12" x14ac:dyDescent="0.2">
      <c r="A13" s="1556"/>
      <c r="B13" s="751"/>
      <c r="C13" s="752"/>
      <c r="D13" s="753"/>
      <c r="E13" s="759"/>
      <c r="F13" s="760"/>
    </row>
    <row r="14" spans="1:12" x14ac:dyDescent="0.2">
      <c r="A14" s="1556"/>
      <c r="B14" s="751"/>
      <c r="C14" s="752"/>
      <c r="D14" s="753"/>
      <c r="E14" s="759"/>
      <c r="F14" s="760"/>
    </row>
    <row r="15" spans="1:12" x14ac:dyDescent="0.2">
      <c r="A15" s="1556"/>
      <c r="B15" s="751"/>
      <c r="C15" s="752"/>
      <c r="D15" s="753"/>
      <c r="E15" s="759"/>
      <c r="F15" s="760"/>
    </row>
    <row r="16" spans="1:12" x14ac:dyDescent="0.2">
      <c r="A16" s="1556"/>
      <c r="B16" s="751"/>
      <c r="C16" s="752"/>
      <c r="D16" s="753"/>
      <c r="E16" s="759"/>
      <c r="F16" s="760"/>
    </row>
    <row r="17" spans="1:6" x14ac:dyDescent="0.2">
      <c r="A17" s="1557"/>
      <c r="B17" s="43"/>
      <c r="C17" s="43"/>
      <c r="D17" s="32"/>
      <c r="E17" s="642"/>
      <c r="F17" s="761"/>
    </row>
    <row r="18" spans="1:6" x14ac:dyDescent="0.2">
      <c r="A18" s="1556" t="s">
        <v>597</v>
      </c>
      <c r="B18" s="39"/>
      <c r="C18" s="40"/>
      <c r="D18" s="34"/>
      <c r="E18" s="641"/>
      <c r="F18" s="758"/>
    </row>
    <row r="19" spans="1:6" x14ac:dyDescent="0.2">
      <c r="A19" s="1556"/>
      <c r="B19" s="762"/>
      <c r="C19" s="763"/>
      <c r="D19" s="764"/>
      <c r="E19" s="765"/>
      <c r="F19" s="766"/>
    </row>
    <row r="20" spans="1:6" x14ac:dyDescent="0.2">
      <c r="A20" s="1556"/>
      <c r="B20" s="762"/>
      <c r="C20" s="763"/>
      <c r="D20" s="764"/>
      <c r="E20" s="765"/>
      <c r="F20" s="766"/>
    </row>
    <row r="21" spans="1:6" x14ac:dyDescent="0.2">
      <c r="A21" s="1556"/>
      <c r="B21" s="762"/>
      <c r="C21" s="763"/>
      <c r="D21" s="764"/>
      <c r="E21" s="765"/>
      <c r="F21" s="766"/>
    </row>
    <row r="22" spans="1:6" x14ac:dyDescent="0.2">
      <c r="A22" s="1556"/>
      <c r="B22" s="762"/>
      <c r="C22" s="763"/>
      <c r="D22" s="764"/>
      <c r="E22" s="765"/>
      <c r="F22" s="766"/>
    </row>
    <row r="23" spans="1:6" x14ac:dyDescent="0.2">
      <c r="A23" s="1556"/>
      <c r="B23" s="762"/>
      <c r="C23" s="763"/>
      <c r="D23" s="764"/>
      <c r="E23" s="765"/>
      <c r="F23" s="766"/>
    </row>
    <row r="24" spans="1:6" x14ac:dyDescent="0.2">
      <c r="A24" s="1556"/>
      <c r="B24" s="762"/>
      <c r="C24" s="763"/>
      <c r="D24" s="764"/>
      <c r="E24" s="765"/>
      <c r="F24" s="766"/>
    </row>
    <row r="25" spans="1:6" x14ac:dyDescent="0.2">
      <c r="A25" s="1556"/>
      <c r="B25" s="762"/>
      <c r="C25" s="763"/>
      <c r="D25" s="764"/>
      <c r="E25" s="765"/>
      <c r="F25" s="766"/>
    </row>
    <row r="26" spans="1:6" x14ac:dyDescent="0.2">
      <c r="A26" s="1556"/>
      <c r="B26" s="762"/>
      <c r="C26" s="763"/>
      <c r="D26" s="764"/>
      <c r="E26" s="765"/>
      <c r="F26" s="766"/>
    </row>
    <row r="27" spans="1:6" x14ac:dyDescent="0.2">
      <c r="A27" s="1556"/>
      <c r="B27" s="751"/>
      <c r="C27" s="752"/>
      <c r="D27" s="753"/>
      <c r="E27" s="759"/>
      <c r="F27" s="760"/>
    </row>
    <row r="28" spans="1:6" x14ac:dyDescent="0.2">
      <c r="A28" s="1556"/>
      <c r="B28" s="751"/>
      <c r="C28" s="752"/>
      <c r="D28" s="753"/>
      <c r="E28" s="759"/>
      <c r="F28" s="760"/>
    </row>
    <row r="29" spans="1:6" x14ac:dyDescent="0.2">
      <c r="A29" s="1556"/>
      <c r="B29" s="751"/>
      <c r="C29" s="752"/>
      <c r="D29" s="753"/>
      <c r="E29" s="759"/>
      <c r="F29" s="760"/>
    </row>
    <row r="30" spans="1:6" x14ac:dyDescent="0.2">
      <c r="A30" s="1557"/>
      <c r="B30" s="43"/>
      <c r="C30" s="43"/>
      <c r="D30" s="32"/>
      <c r="E30" s="642"/>
      <c r="F30" s="761"/>
    </row>
    <row r="31" spans="1:6" x14ac:dyDescent="0.2">
      <c r="A31" s="631"/>
      <c r="B31" s="1564" t="s">
        <v>31</v>
      </c>
      <c r="C31" s="1564" t="s">
        <v>417</v>
      </c>
      <c r="D31" s="1566" t="s">
        <v>32</v>
      </c>
      <c r="E31" s="1545" t="s">
        <v>415</v>
      </c>
      <c r="F31" s="1546"/>
    </row>
    <row r="32" spans="1:6" ht="36" x14ac:dyDescent="0.2">
      <c r="A32" s="1556" t="s">
        <v>414</v>
      </c>
      <c r="B32" s="1565"/>
      <c r="C32" s="1565"/>
      <c r="D32" s="1567"/>
      <c r="E32" s="639" t="s">
        <v>416</v>
      </c>
      <c r="F32" s="767" t="s">
        <v>418</v>
      </c>
    </row>
    <row r="33" spans="1:6" x14ac:dyDescent="0.2">
      <c r="A33" s="1556"/>
      <c r="B33" s="751" t="s">
        <v>921</v>
      </c>
      <c r="C33" s="752" t="s">
        <v>922</v>
      </c>
      <c r="D33" s="753">
        <v>665</v>
      </c>
      <c r="E33" s="754">
        <v>266</v>
      </c>
      <c r="F33" s="768" t="s">
        <v>991</v>
      </c>
    </row>
    <row r="34" spans="1:6" x14ac:dyDescent="0.2">
      <c r="A34" s="1556"/>
      <c r="B34" s="751" t="s">
        <v>924</v>
      </c>
      <c r="C34" s="752" t="s">
        <v>923</v>
      </c>
      <c r="D34" s="753">
        <v>22</v>
      </c>
      <c r="E34" s="754">
        <v>22</v>
      </c>
      <c r="F34" s="768" t="s">
        <v>992</v>
      </c>
    </row>
    <row r="35" spans="1:6" x14ac:dyDescent="0.2">
      <c r="A35" s="1556"/>
      <c r="B35" s="751" t="s">
        <v>925</v>
      </c>
      <c r="C35" s="752" t="s">
        <v>926</v>
      </c>
      <c r="D35" s="753">
        <v>10</v>
      </c>
      <c r="E35" s="754">
        <v>0</v>
      </c>
      <c r="F35" s="768" t="s">
        <v>993</v>
      </c>
    </row>
    <row r="36" spans="1:6" x14ac:dyDescent="0.2">
      <c r="A36" s="1556"/>
      <c r="B36" s="751" t="s">
        <v>927</v>
      </c>
      <c r="C36" s="752" t="s">
        <v>926</v>
      </c>
      <c r="D36" s="753">
        <v>16</v>
      </c>
      <c r="E36" s="754"/>
      <c r="F36" s="768" t="s">
        <v>994</v>
      </c>
    </row>
    <row r="37" spans="1:6" x14ac:dyDescent="0.2">
      <c r="A37" s="1556"/>
      <c r="B37" s="751" t="s">
        <v>928</v>
      </c>
      <c r="C37" s="752" t="s">
        <v>926</v>
      </c>
      <c r="D37" s="753">
        <v>25</v>
      </c>
      <c r="E37" s="754"/>
      <c r="F37" s="768" t="s">
        <v>995</v>
      </c>
    </row>
    <row r="38" spans="1:6" x14ac:dyDescent="0.2">
      <c r="A38" s="1556"/>
      <c r="B38" s="751" t="s">
        <v>929</v>
      </c>
      <c r="C38" s="752" t="s">
        <v>926</v>
      </c>
      <c r="D38" s="753">
        <v>10</v>
      </c>
      <c r="E38" s="754"/>
      <c r="F38" s="768" t="s">
        <v>996</v>
      </c>
    </row>
    <row r="39" spans="1:6" x14ac:dyDescent="0.2">
      <c r="A39" s="1556"/>
      <c r="B39" s="751" t="s">
        <v>930</v>
      </c>
      <c r="C39" s="752" t="s">
        <v>930</v>
      </c>
      <c r="D39" s="753">
        <v>50</v>
      </c>
      <c r="E39" s="754"/>
      <c r="F39" s="768" t="s">
        <v>997</v>
      </c>
    </row>
    <row r="40" spans="1:6" x14ac:dyDescent="0.2">
      <c r="A40" s="1556"/>
      <c r="B40" s="751" t="s">
        <v>931</v>
      </c>
      <c r="C40" s="752" t="s">
        <v>808</v>
      </c>
      <c r="D40" s="753">
        <v>15</v>
      </c>
      <c r="E40" s="754">
        <v>15</v>
      </c>
      <c r="F40" s="768"/>
    </row>
    <row r="41" spans="1:6" x14ac:dyDescent="0.2">
      <c r="A41" s="1556"/>
      <c r="B41" s="751" t="s">
        <v>932</v>
      </c>
      <c r="C41" s="752" t="s">
        <v>937</v>
      </c>
      <c r="D41" s="753">
        <v>6</v>
      </c>
      <c r="E41" s="754"/>
      <c r="F41" s="768" t="s">
        <v>998</v>
      </c>
    </row>
    <row r="42" spans="1:6" x14ac:dyDescent="0.2">
      <c r="A42" s="1556"/>
      <c r="B42" s="751" t="s">
        <v>933</v>
      </c>
      <c r="C42" s="752" t="s">
        <v>938</v>
      </c>
      <c r="D42" s="753">
        <v>30</v>
      </c>
      <c r="E42" s="754"/>
      <c r="F42" s="768" t="s">
        <v>999</v>
      </c>
    </row>
    <row r="43" spans="1:6" x14ac:dyDescent="0.2">
      <c r="A43" s="1556"/>
      <c r="B43" s="751" t="s">
        <v>934</v>
      </c>
      <c r="C43" s="752" t="s">
        <v>808</v>
      </c>
      <c r="D43" s="753">
        <v>15</v>
      </c>
      <c r="E43" s="754">
        <v>15</v>
      </c>
      <c r="F43" s="768" t="s">
        <v>1000</v>
      </c>
    </row>
    <row r="44" spans="1:6" x14ac:dyDescent="0.2">
      <c r="A44" s="1556"/>
      <c r="B44" s="751" t="s">
        <v>939</v>
      </c>
      <c r="C44" s="752" t="s">
        <v>808</v>
      </c>
      <c r="D44" s="753">
        <v>20</v>
      </c>
      <c r="E44" s="754"/>
      <c r="F44" s="768" t="s">
        <v>1001</v>
      </c>
    </row>
    <row r="45" spans="1:6" x14ac:dyDescent="0.2">
      <c r="A45" s="1556"/>
      <c r="B45" s="751" t="s">
        <v>935</v>
      </c>
      <c r="C45" s="752" t="s">
        <v>937</v>
      </c>
      <c r="D45" s="753">
        <v>15</v>
      </c>
      <c r="E45" s="754"/>
      <c r="F45" s="768" t="s">
        <v>1002</v>
      </c>
    </row>
    <row r="46" spans="1:6" x14ac:dyDescent="0.2">
      <c r="A46" s="1556"/>
      <c r="B46" s="751" t="s">
        <v>936</v>
      </c>
      <c r="C46" s="752" t="s">
        <v>940</v>
      </c>
      <c r="D46" s="753">
        <v>20</v>
      </c>
      <c r="E46" s="754"/>
      <c r="F46" s="768" t="s">
        <v>1003</v>
      </c>
    </row>
    <row r="47" spans="1:6" x14ac:dyDescent="0.2">
      <c r="A47" s="1556"/>
      <c r="B47" s="751" t="s">
        <v>951</v>
      </c>
      <c r="C47" s="752" t="s">
        <v>801</v>
      </c>
      <c r="D47" s="753">
        <v>1350</v>
      </c>
      <c r="E47" s="754"/>
      <c r="F47" s="768" t="s">
        <v>953</v>
      </c>
    </row>
    <row r="48" spans="1:6" x14ac:dyDescent="0.2">
      <c r="A48" s="1556"/>
      <c r="B48" s="751" t="s">
        <v>952</v>
      </c>
      <c r="C48" s="752" t="s">
        <v>801</v>
      </c>
      <c r="D48" s="753">
        <v>140</v>
      </c>
      <c r="E48" s="754"/>
      <c r="F48" s="768" t="s">
        <v>954</v>
      </c>
    </row>
    <row r="49" spans="1:6" x14ac:dyDescent="0.2">
      <c r="A49" s="1556"/>
      <c r="B49" s="751" t="s">
        <v>955</v>
      </c>
      <c r="C49" s="752" t="s">
        <v>801</v>
      </c>
      <c r="D49" s="753">
        <v>32</v>
      </c>
      <c r="E49" s="754"/>
      <c r="F49" s="768" t="s">
        <v>956</v>
      </c>
    </row>
    <row r="50" spans="1:6" x14ac:dyDescent="0.2">
      <c r="A50" s="1556"/>
      <c r="B50" s="751" t="s">
        <v>957</v>
      </c>
      <c r="C50" s="752" t="s">
        <v>801</v>
      </c>
      <c r="D50" s="753">
        <v>120</v>
      </c>
      <c r="E50" s="754"/>
      <c r="F50" s="768" t="s">
        <v>962</v>
      </c>
    </row>
    <row r="51" spans="1:6" x14ac:dyDescent="0.2">
      <c r="A51" s="1556"/>
      <c r="B51" s="751" t="s">
        <v>958</v>
      </c>
      <c r="C51" s="752" t="s">
        <v>801</v>
      </c>
      <c r="D51" s="753">
        <v>250</v>
      </c>
      <c r="E51" s="754"/>
      <c r="F51" s="768" t="s">
        <v>961</v>
      </c>
    </row>
    <row r="52" spans="1:6" x14ac:dyDescent="0.2">
      <c r="A52" s="1556"/>
      <c r="B52" s="751" t="s">
        <v>959</v>
      </c>
      <c r="C52" s="752" t="s">
        <v>801</v>
      </c>
      <c r="D52" s="753">
        <v>50</v>
      </c>
      <c r="E52" s="754"/>
      <c r="F52" s="768" t="s">
        <v>960</v>
      </c>
    </row>
    <row r="53" spans="1:6" x14ac:dyDescent="0.2">
      <c r="A53" s="1556"/>
      <c r="B53" s="751"/>
      <c r="C53" s="752"/>
      <c r="D53" s="753"/>
      <c r="E53" s="754"/>
      <c r="F53" s="768"/>
    </row>
    <row r="54" spans="1:6" x14ac:dyDescent="0.2">
      <c r="A54" s="1556"/>
      <c r="B54" s="751"/>
      <c r="C54" s="752"/>
      <c r="D54" s="753"/>
      <c r="E54" s="754"/>
      <c r="F54" s="768"/>
    </row>
    <row r="55" spans="1:6" x14ac:dyDescent="0.2">
      <c r="A55" s="1556"/>
      <c r="B55" s="751"/>
      <c r="C55" s="752"/>
      <c r="D55" s="753"/>
      <c r="E55" s="754"/>
      <c r="F55" s="768"/>
    </row>
    <row r="56" spans="1:6" x14ac:dyDescent="0.2">
      <c r="A56" s="1556"/>
      <c r="B56" s="751"/>
      <c r="C56" s="752"/>
      <c r="D56" s="753"/>
      <c r="E56" s="754"/>
      <c r="F56" s="768"/>
    </row>
    <row r="57" spans="1:6" x14ac:dyDescent="0.2">
      <c r="A57" s="1556"/>
      <c r="B57" s="751"/>
      <c r="C57" s="752"/>
      <c r="D57" s="753"/>
      <c r="E57" s="754"/>
      <c r="F57" s="768"/>
    </row>
    <row r="58" spans="1:6" x14ac:dyDescent="0.2">
      <c r="A58" s="1556"/>
      <c r="B58" s="751"/>
      <c r="C58" s="752"/>
      <c r="D58" s="753"/>
      <c r="E58" s="754"/>
      <c r="F58" s="768"/>
    </row>
    <row r="59" spans="1:6" x14ac:dyDescent="0.2">
      <c r="A59" s="1556"/>
      <c r="B59" s="751"/>
      <c r="C59" s="752"/>
      <c r="D59" s="753"/>
      <c r="E59" s="754"/>
      <c r="F59" s="768"/>
    </row>
    <row r="60" spans="1:6" x14ac:dyDescent="0.2">
      <c r="A60" s="1557"/>
      <c r="B60" s="43"/>
      <c r="C60" s="43"/>
      <c r="D60" s="32"/>
      <c r="E60" s="634"/>
      <c r="F60" s="769"/>
    </row>
    <row r="61" spans="1:6" x14ac:dyDescent="0.2">
      <c r="A61" s="733"/>
      <c r="B61" s="13"/>
      <c r="C61" s="13"/>
      <c r="D61" s="46">
        <f>SUM(D7:D60)</f>
        <v>2861</v>
      </c>
      <c r="E61" s="635"/>
      <c r="F61" s="770"/>
    </row>
    <row r="62" spans="1:6" x14ac:dyDescent="0.2">
      <c r="A62" s="1561" t="s">
        <v>419</v>
      </c>
      <c r="B62" s="1562"/>
      <c r="C62" s="1562"/>
      <c r="D62" s="1562"/>
      <c r="E62" s="1562"/>
      <c r="F62" s="1563"/>
    </row>
    <row r="63" spans="1:6" x14ac:dyDescent="0.2">
      <c r="A63" s="1558" t="s">
        <v>847</v>
      </c>
      <c r="B63" s="1559"/>
      <c r="C63" s="1559"/>
      <c r="D63" s="1559"/>
      <c r="E63" s="1559"/>
      <c r="F63" s="1560"/>
    </row>
    <row r="64" spans="1:6" ht="13.5" thickBot="1" x14ac:dyDescent="0.25">
      <c r="A64" s="1547" t="s">
        <v>971</v>
      </c>
      <c r="B64" s="1548"/>
      <c r="C64" s="1548"/>
      <c r="D64" s="1548"/>
      <c r="E64" s="1548"/>
      <c r="F64" s="1549"/>
    </row>
    <row r="65" spans="1:6" ht="13.5" thickTop="1" x14ac:dyDescent="0.2">
      <c r="A65" s="29"/>
      <c r="B65" s="29"/>
      <c r="C65" s="29"/>
      <c r="D65" s="29"/>
      <c r="E65" s="636"/>
      <c r="F65" s="636"/>
    </row>
    <row r="66" spans="1:6" x14ac:dyDescent="0.2">
      <c r="A66" s="29"/>
      <c r="B66" s="29"/>
      <c r="C66" s="29"/>
      <c r="D66" s="29"/>
      <c r="E66" s="636"/>
      <c r="F66" s="636"/>
    </row>
    <row r="67" spans="1:6" x14ac:dyDescent="0.2">
      <c r="A67" s="29"/>
      <c r="B67" s="29"/>
      <c r="C67" s="29"/>
      <c r="D67" s="29"/>
      <c r="E67" s="636"/>
      <c r="F67" s="636"/>
    </row>
    <row r="68" spans="1:6" x14ac:dyDescent="0.2">
      <c r="A68" s="29"/>
      <c r="B68" s="29"/>
      <c r="C68" s="29"/>
      <c r="D68" s="29"/>
      <c r="E68" s="636"/>
      <c r="F68" s="636"/>
    </row>
    <row r="69" spans="1:6" x14ac:dyDescent="0.2">
      <c r="A69" s="29"/>
      <c r="B69" s="29"/>
      <c r="C69" s="29"/>
      <c r="D69" s="29"/>
      <c r="E69" s="636"/>
      <c r="F69" s="636"/>
    </row>
    <row r="70" spans="1:6" x14ac:dyDescent="0.2">
      <c r="A70" s="29"/>
      <c r="B70" s="29"/>
      <c r="C70" s="29"/>
      <c r="D70" s="29"/>
      <c r="E70" s="636"/>
      <c r="F70" s="636"/>
    </row>
    <row r="71" spans="1:6" x14ac:dyDescent="0.2">
      <c r="A71" s="29"/>
      <c r="B71" s="29"/>
      <c r="C71" s="29"/>
      <c r="D71" s="29"/>
      <c r="E71" s="636"/>
      <c r="F71" s="636"/>
    </row>
    <row r="72" spans="1:6" x14ac:dyDescent="0.2">
      <c r="A72" s="37"/>
      <c r="B72" s="37"/>
      <c r="C72" s="37"/>
      <c r="D72" s="37"/>
      <c r="E72" s="637"/>
      <c r="F72" s="637"/>
    </row>
    <row r="73" spans="1:6" x14ac:dyDescent="0.2">
      <c r="A73" s="37"/>
      <c r="B73" s="37"/>
      <c r="C73" s="37"/>
      <c r="D73" s="37"/>
      <c r="E73" s="637"/>
      <c r="F73" s="637"/>
    </row>
    <row r="74" spans="1:6" x14ac:dyDescent="0.2">
      <c r="A74" s="37"/>
      <c r="B74" s="37"/>
      <c r="C74" s="37"/>
      <c r="D74" s="37"/>
      <c r="E74" s="637"/>
      <c r="F74" s="637"/>
    </row>
    <row r="75" spans="1:6" x14ac:dyDescent="0.2">
      <c r="A75" s="37"/>
      <c r="B75" s="37"/>
      <c r="C75" s="37"/>
      <c r="D75" s="37"/>
      <c r="E75" s="637"/>
      <c r="F75" s="637"/>
    </row>
    <row r="76" spans="1:6" x14ac:dyDescent="0.2">
      <c r="A76" s="37"/>
      <c r="B76" s="37"/>
      <c r="C76" s="37"/>
      <c r="D76" s="37"/>
      <c r="E76" s="637"/>
      <c r="F76" s="637"/>
    </row>
    <row r="77" spans="1:6" x14ac:dyDescent="0.2">
      <c r="A77" s="37"/>
      <c r="B77" s="37"/>
      <c r="C77" s="37"/>
      <c r="D77" s="37"/>
      <c r="E77" s="637"/>
      <c r="F77" s="637"/>
    </row>
    <row r="78" spans="1:6" x14ac:dyDescent="0.2">
      <c r="A78" s="37"/>
      <c r="B78" s="37"/>
      <c r="C78" s="37"/>
      <c r="D78" s="37"/>
      <c r="E78" s="637"/>
      <c r="F78" s="637"/>
    </row>
    <row r="79" spans="1:6" x14ac:dyDescent="0.2">
      <c r="A79" s="37"/>
      <c r="B79" s="37"/>
      <c r="C79" s="37"/>
      <c r="D79" s="37"/>
      <c r="E79" s="637"/>
      <c r="F79" s="637"/>
    </row>
    <row r="80" spans="1:6" x14ac:dyDescent="0.2">
      <c r="A80" s="37"/>
      <c r="B80" s="37"/>
      <c r="C80" s="37"/>
      <c r="D80" s="37"/>
      <c r="E80" s="637"/>
      <c r="F80" s="637"/>
    </row>
    <row r="81" spans="1:6" x14ac:dyDescent="0.2">
      <c r="A81" s="37"/>
      <c r="B81" s="37"/>
      <c r="C81" s="37"/>
      <c r="D81" s="37"/>
      <c r="E81" s="637"/>
      <c r="F81" s="637"/>
    </row>
    <row r="82" spans="1:6" x14ac:dyDescent="0.2">
      <c r="A82" s="37"/>
      <c r="B82" s="37"/>
      <c r="C82" s="37"/>
      <c r="D82" s="37"/>
      <c r="E82" s="637"/>
      <c r="F82" s="637"/>
    </row>
    <row r="83" spans="1:6" x14ac:dyDescent="0.2">
      <c r="A83" s="37"/>
      <c r="B83" s="37"/>
      <c r="C83" s="37"/>
      <c r="D83" s="37"/>
      <c r="E83" s="637"/>
      <c r="F83" s="637"/>
    </row>
    <row r="84" spans="1:6" x14ac:dyDescent="0.2">
      <c r="A84" s="37"/>
      <c r="B84" s="37"/>
      <c r="C84" s="37"/>
      <c r="D84" s="37"/>
      <c r="E84" s="637"/>
      <c r="F84" s="637"/>
    </row>
    <row r="85" spans="1:6" x14ac:dyDescent="0.2">
      <c r="A85" s="37"/>
      <c r="B85" s="37"/>
      <c r="C85" s="37"/>
      <c r="D85" s="37"/>
      <c r="E85" s="637"/>
      <c r="F85" s="637"/>
    </row>
    <row r="86" spans="1:6" x14ac:dyDescent="0.2">
      <c r="A86" s="37"/>
      <c r="B86" s="37"/>
      <c r="C86" s="37"/>
      <c r="D86" s="37"/>
      <c r="E86" s="637"/>
      <c r="F86" s="637"/>
    </row>
    <row r="87" spans="1:6" x14ac:dyDescent="0.2">
      <c r="A87" s="37"/>
      <c r="B87" s="37"/>
      <c r="C87" s="37"/>
      <c r="D87" s="37"/>
      <c r="E87" s="637"/>
      <c r="F87" s="637"/>
    </row>
    <row r="88" spans="1:6" x14ac:dyDescent="0.2">
      <c r="A88" s="37"/>
      <c r="B88" s="37"/>
      <c r="C88" s="37"/>
      <c r="D88" s="37"/>
      <c r="E88" s="637"/>
      <c r="F88" s="637"/>
    </row>
    <row r="89" spans="1:6" x14ac:dyDescent="0.2">
      <c r="A89" s="37"/>
      <c r="B89" s="37"/>
      <c r="C89" s="37"/>
      <c r="D89" s="37"/>
      <c r="E89" s="637"/>
      <c r="F89" s="637"/>
    </row>
    <row r="90" spans="1:6" x14ac:dyDescent="0.2">
      <c r="A90" s="37"/>
      <c r="B90" s="37"/>
      <c r="C90" s="37"/>
      <c r="D90" s="37"/>
      <c r="E90" s="637"/>
      <c r="F90" s="637"/>
    </row>
    <row r="91" spans="1:6" x14ac:dyDescent="0.2">
      <c r="A91" s="37"/>
      <c r="B91" s="37"/>
      <c r="C91" s="37"/>
      <c r="D91" s="37"/>
      <c r="E91" s="637"/>
      <c r="F91" s="637"/>
    </row>
    <row r="92" spans="1:6" x14ac:dyDescent="0.2">
      <c r="A92" s="37"/>
      <c r="B92" s="37"/>
      <c r="C92" s="37"/>
      <c r="D92" s="37"/>
      <c r="E92" s="637"/>
      <c r="F92" s="637"/>
    </row>
    <row r="93" spans="1:6" x14ac:dyDescent="0.2">
      <c r="A93" s="37"/>
      <c r="B93" s="37"/>
      <c r="C93" s="37"/>
      <c r="D93" s="37"/>
      <c r="E93" s="637"/>
      <c r="F93" s="637"/>
    </row>
    <row r="94" spans="1:6" x14ac:dyDescent="0.2">
      <c r="A94" s="37"/>
      <c r="B94" s="37"/>
      <c r="C94" s="37"/>
      <c r="D94" s="37"/>
      <c r="E94" s="637"/>
      <c r="F94" s="637"/>
    </row>
    <row r="95" spans="1:6" x14ac:dyDescent="0.2">
      <c r="A95" s="37"/>
      <c r="B95" s="37"/>
      <c r="C95" s="37"/>
      <c r="D95" s="37"/>
      <c r="E95" s="637"/>
      <c r="F95" s="637"/>
    </row>
    <row r="96" spans="1:6" x14ac:dyDescent="0.2">
      <c r="A96" s="37"/>
      <c r="B96" s="37"/>
      <c r="C96" s="37"/>
      <c r="D96" s="37"/>
      <c r="E96" s="637"/>
      <c r="F96" s="637"/>
    </row>
    <row r="97" spans="1:6" x14ac:dyDescent="0.2">
      <c r="A97" s="37"/>
      <c r="B97" s="37"/>
      <c r="C97" s="37"/>
      <c r="D97" s="37"/>
      <c r="E97" s="637"/>
      <c r="F97" s="637"/>
    </row>
    <row r="98" spans="1:6" x14ac:dyDescent="0.2">
      <c r="A98" s="37"/>
      <c r="B98" s="37"/>
      <c r="C98" s="37"/>
      <c r="D98" s="37"/>
      <c r="E98" s="637"/>
      <c r="F98" s="637"/>
    </row>
    <row r="99" spans="1:6" x14ac:dyDescent="0.2">
      <c r="A99" s="37"/>
      <c r="B99" s="37"/>
      <c r="C99" s="37"/>
      <c r="D99" s="37"/>
      <c r="E99" s="637"/>
      <c r="F99" s="637"/>
    </row>
    <row r="100" spans="1:6" x14ac:dyDescent="0.2">
      <c r="A100" s="37"/>
      <c r="B100" s="37"/>
      <c r="C100" s="37"/>
      <c r="D100" s="37"/>
      <c r="E100" s="637"/>
      <c r="F100" s="637"/>
    </row>
    <row r="101" spans="1:6" x14ac:dyDescent="0.2">
      <c r="A101" s="37"/>
      <c r="B101" s="37"/>
      <c r="C101" s="37"/>
      <c r="D101" s="37"/>
      <c r="E101" s="637"/>
      <c r="F101" s="637"/>
    </row>
    <row r="102" spans="1:6" x14ac:dyDescent="0.2">
      <c r="A102" s="37"/>
      <c r="B102" s="37"/>
      <c r="C102" s="37"/>
      <c r="D102" s="37"/>
      <c r="E102" s="637"/>
      <c r="F102" s="637"/>
    </row>
    <row r="103" spans="1:6" x14ac:dyDescent="0.2">
      <c r="A103" s="37"/>
      <c r="B103" s="37"/>
      <c r="C103" s="37"/>
      <c r="D103" s="37"/>
      <c r="E103" s="637"/>
      <c r="F103" s="637"/>
    </row>
    <row r="104" spans="1:6" x14ac:dyDescent="0.2">
      <c r="A104" s="37"/>
      <c r="B104" s="37"/>
      <c r="C104" s="37"/>
      <c r="D104" s="37"/>
      <c r="E104" s="637"/>
      <c r="F104" s="637"/>
    </row>
    <row r="105" spans="1:6" x14ac:dyDescent="0.2">
      <c r="A105" s="37"/>
      <c r="B105" s="37"/>
      <c r="C105" s="37"/>
      <c r="D105" s="37"/>
      <c r="E105" s="637"/>
      <c r="F105" s="637"/>
    </row>
    <row r="106" spans="1:6" x14ac:dyDescent="0.2">
      <c r="A106" s="37"/>
      <c r="B106" s="37"/>
      <c r="C106" s="37"/>
      <c r="D106" s="37"/>
      <c r="E106" s="637"/>
      <c r="F106" s="637"/>
    </row>
    <row r="107" spans="1:6" x14ac:dyDescent="0.2">
      <c r="A107" s="37"/>
      <c r="B107" s="37"/>
      <c r="C107" s="37"/>
      <c r="D107" s="37"/>
      <c r="E107" s="637"/>
      <c r="F107" s="637"/>
    </row>
  </sheetData>
  <mergeCells count="13">
    <mergeCell ref="C1:F1"/>
    <mergeCell ref="E31:F31"/>
    <mergeCell ref="A64:F64"/>
    <mergeCell ref="A3:F3"/>
    <mergeCell ref="A5:F5"/>
    <mergeCell ref="A7:A17"/>
    <mergeCell ref="A18:A30"/>
    <mergeCell ref="A32:A60"/>
    <mergeCell ref="A63:F63"/>
    <mergeCell ref="A62:F62"/>
    <mergeCell ref="B31:B32"/>
    <mergeCell ref="C31:C32"/>
    <mergeCell ref="D31:D32"/>
  </mergeCells>
  <phoneticPr fontId="65" type="noConversion"/>
  <pageMargins left="0.40583333300000002" right="0.12833333333333299" top="0.75" bottom="0.75" header="0.3" footer="0.3"/>
  <pageSetup scale="75" fitToHeight="0" orientation="portrait" r:id="rId1"/>
  <headerFooter>
    <oddHeader>&amp;LAKIS A 2012</oddHeader>
    <oddFooter>&amp;LAmerican Indian Higher Education Consortium</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D53"/>
  <sheetViews>
    <sheetView topLeftCell="A29" zoomScaleNormal="100" workbookViewId="0">
      <selection activeCell="D25" sqref="D25"/>
    </sheetView>
  </sheetViews>
  <sheetFormatPr defaultColWidth="9.140625" defaultRowHeight="14.25" x14ac:dyDescent="0.2"/>
  <cols>
    <col min="1" max="1" width="14.7109375" style="21" customWidth="1"/>
    <col min="2" max="2" width="25.7109375" style="21" customWidth="1"/>
    <col min="3" max="3" width="27.140625" style="21" customWidth="1"/>
    <col min="4" max="4" width="13.42578125" style="21" customWidth="1"/>
    <col min="5" max="16384" width="9.140625" style="21"/>
  </cols>
  <sheetData>
    <row r="1" spans="1:4" s="342" customFormat="1" ht="15.75" thickTop="1" x14ac:dyDescent="0.25">
      <c r="A1" s="1593" t="s">
        <v>823</v>
      </c>
      <c r="B1" s="1594"/>
      <c r="C1" s="1600" t="str">
        <f>'1.1a Overall Instit. Profile'!B1</f>
        <v>Oglala Lakota College</v>
      </c>
      <c r="D1" s="1601"/>
    </row>
    <row r="2" spans="1:4" s="342" customFormat="1" ht="28.5" customHeight="1" x14ac:dyDescent="0.2">
      <c r="A2" s="1602" t="s">
        <v>817</v>
      </c>
      <c r="B2" s="1603"/>
      <c r="C2" s="1603"/>
      <c r="D2" s="1604"/>
    </row>
    <row r="3" spans="1:4" s="342" customFormat="1" ht="27.75" customHeight="1" x14ac:dyDescent="0.2">
      <c r="A3" s="1602" t="s">
        <v>444</v>
      </c>
      <c r="B3" s="1603"/>
      <c r="C3" s="1603"/>
      <c r="D3" s="1604"/>
    </row>
    <row r="4" spans="1:4" s="342" customFormat="1" ht="40.5" customHeight="1" x14ac:dyDescent="0.2">
      <c r="A4" s="1605" t="s">
        <v>33</v>
      </c>
      <c r="B4" s="1606"/>
      <c r="C4" s="1606"/>
      <c r="D4" s="1607"/>
    </row>
    <row r="5" spans="1:4" x14ac:dyDescent="0.2">
      <c r="A5" s="1595" t="s">
        <v>36</v>
      </c>
      <c r="B5" s="1596"/>
      <c r="C5" s="1597"/>
      <c r="D5" s="1093" t="s">
        <v>442</v>
      </c>
    </row>
    <row r="6" spans="1:4" x14ac:dyDescent="0.2">
      <c r="A6" s="1582" t="s">
        <v>37</v>
      </c>
      <c r="B6" s="1583"/>
      <c r="C6" s="242" t="s">
        <v>38</v>
      </c>
      <c r="D6" s="243">
        <v>154132</v>
      </c>
    </row>
    <row r="7" spans="1:4" ht="15" customHeight="1" x14ac:dyDescent="0.2">
      <c r="A7" s="1574"/>
      <c r="B7" s="1575"/>
      <c r="C7" s="296" t="s">
        <v>39</v>
      </c>
      <c r="D7" s="1094">
        <v>291</v>
      </c>
    </row>
    <row r="8" spans="1:4" x14ac:dyDescent="0.2">
      <c r="A8" s="1582" t="s">
        <v>603</v>
      </c>
      <c r="B8" s="1583"/>
      <c r="C8" s="242" t="s">
        <v>38</v>
      </c>
      <c r="D8" s="243">
        <v>131500</v>
      </c>
    </row>
    <row r="9" spans="1:4" ht="15" customHeight="1" x14ac:dyDescent="0.2">
      <c r="A9" s="1574"/>
      <c r="B9" s="1575"/>
      <c r="C9" s="296" t="s">
        <v>39</v>
      </c>
      <c r="D9" s="1094">
        <v>46</v>
      </c>
    </row>
    <row r="10" spans="1:4" x14ac:dyDescent="0.2">
      <c r="A10" s="1568" t="s">
        <v>40</v>
      </c>
      <c r="B10" s="1569"/>
      <c r="C10" s="242" t="s">
        <v>38</v>
      </c>
      <c r="D10" s="244">
        <v>5216170</v>
      </c>
    </row>
    <row r="11" spans="1:4" x14ac:dyDescent="0.2">
      <c r="A11" s="1570"/>
      <c r="B11" s="1571"/>
      <c r="C11" s="296" t="s">
        <v>39</v>
      </c>
      <c r="D11" s="1094">
        <v>1519</v>
      </c>
    </row>
    <row r="12" spans="1:4" x14ac:dyDescent="0.2">
      <c r="A12" s="1572" t="s">
        <v>41</v>
      </c>
      <c r="B12" s="1573"/>
      <c r="C12" s="242" t="s">
        <v>38</v>
      </c>
      <c r="D12" s="244">
        <v>88400</v>
      </c>
    </row>
    <row r="13" spans="1:4" x14ac:dyDescent="0.2">
      <c r="A13" s="1574"/>
      <c r="B13" s="1575"/>
      <c r="C13" s="296" t="s">
        <v>39</v>
      </c>
      <c r="D13" s="1094">
        <v>203</v>
      </c>
    </row>
    <row r="14" spans="1:4" x14ac:dyDescent="0.2">
      <c r="A14" s="1582" t="s">
        <v>447</v>
      </c>
      <c r="B14" s="1583"/>
      <c r="C14" s="242" t="s">
        <v>38</v>
      </c>
      <c r="D14" s="244">
        <v>0</v>
      </c>
    </row>
    <row r="15" spans="1:4" x14ac:dyDescent="0.2">
      <c r="A15" s="1572"/>
      <c r="B15" s="1573"/>
      <c r="C15" s="296" t="s">
        <v>39</v>
      </c>
      <c r="D15" s="1094">
        <v>0</v>
      </c>
    </row>
    <row r="16" spans="1:4" x14ac:dyDescent="0.2">
      <c r="A16" s="1598" t="s">
        <v>42</v>
      </c>
      <c r="B16" s="1599"/>
      <c r="C16" s="242" t="s">
        <v>38</v>
      </c>
      <c r="D16" s="244">
        <v>65599</v>
      </c>
    </row>
    <row r="17" spans="1:4" x14ac:dyDescent="0.2">
      <c r="A17" s="1570"/>
      <c r="B17" s="1571"/>
      <c r="C17" s="296" t="s">
        <v>39</v>
      </c>
      <c r="D17" s="1094">
        <v>152</v>
      </c>
    </row>
    <row r="18" spans="1:4" x14ac:dyDescent="0.2">
      <c r="A18" s="1568" t="s">
        <v>43</v>
      </c>
      <c r="B18" s="1569"/>
      <c r="C18" s="242" t="s">
        <v>38</v>
      </c>
      <c r="D18" s="244">
        <v>0</v>
      </c>
    </row>
    <row r="19" spans="1:4" x14ac:dyDescent="0.2">
      <c r="A19" s="1570"/>
      <c r="B19" s="1571"/>
      <c r="C19" s="296" t="s">
        <v>39</v>
      </c>
      <c r="D19" s="1094">
        <v>0</v>
      </c>
    </row>
    <row r="20" spans="1:4" x14ac:dyDescent="0.2">
      <c r="A20" s="1568" t="s">
        <v>44</v>
      </c>
      <c r="B20" s="1569"/>
      <c r="C20" s="242" t="s">
        <v>38</v>
      </c>
      <c r="D20" s="244">
        <v>0</v>
      </c>
    </row>
    <row r="21" spans="1:4" x14ac:dyDescent="0.2">
      <c r="A21" s="1570"/>
      <c r="B21" s="1571"/>
      <c r="C21" s="296" t="s">
        <v>39</v>
      </c>
      <c r="D21" s="1094">
        <v>0</v>
      </c>
    </row>
    <row r="22" spans="1:4" x14ac:dyDescent="0.2">
      <c r="A22" s="1568" t="s">
        <v>45</v>
      </c>
      <c r="B22" s="1569"/>
      <c r="C22" s="242" t="s">
        <v>38</v>
      </c>
      <c r="D22" s="244">
        <v>847479</v>
      </c>
    </row>
    <row r="23" spans="1:4" x14ac:dyDescent="0.2">
      <c r="A23" s="1570"/>
      <c r="B23" s="1571"/>
      <c r="C23" s="296" t="s">
        <v>39</v>
      </c>
      <c r="D23" s="1094">
        <v>407</v>
      </c>
    </row>
    <row r="24" spans="1:4" x14ac:dyDescent="0.2">
      <c r="A24" s="1568" t="s">
        <v>574</v>
      </c>
      <c r="B24" s="1569"/>
      <c r="C24" s="242" t="s">
        <v>38</v>
      </c>
      <c r="D24" s="245">
        <v>23477</v>
      </c>
    </row>
    <row r="25" spans="1:4" x14ac:dyDescent="0.2">
      <c r="A25" s="1570"/>
      <c r="B25" s="1571"/>
      <c r="C25" s="296" t="s">
        <v>39</v>
      </c>
      <c r="D25" s="1095">
        <v>39</v>
      </c>
    </row>
    <row r="26" spans="1:4" x14ac:dyDescent="0.2">
      <c r="A26" s="1568" t="s">
        <v>46</v>
      </c>
      <c r="B26" s="1569"/>
      <c r="C26" s="242" t="s">
        <v>38</v>
      </c>
      <c r="D26" s="244">
        <v>759645</v>
      </c>
    </row>
    <row r="27" spans="1:4" x14ac:dyDescent="0.2">
      <c r="A27" s="1570"/>
      <c r="B27" s="1571"/>
      <c r="C27" s="296" t="s">
        <v>39</v>
      </c>
      <c r="D27" s="1094">
        <v>1358</v>
      </c>
    </row>
    <row r="28" spans="1:4" x14ac:dyDescent="0.2">
      <c r="A28" s="1568" t="s">
        <v>47</v>
      </c>
      <c r="B28" s="1569"/>
      <c r="C28" s="242" t="s">
        <v>38</v>
      </c>
      <c r="D28" s="244">
        <v>82599</v>
      </c>
    </row>
    <row r="29" spans="1:4" x14ac:dyDescent="0.2">
      <c r="A29" s="1570"/>
      <c r="B29" s="1571"/>
      <c r="C29" s="296" t="s">
        <v>39</v>
      </c>
      <c r="D29" s="1094">
        <v>64</v>
      </c>
    </row>
    <row r="30" spans="1:4" x14ac:dyDescent="0.2">
      <c r="A30" s="1568" t="s">
        <v>48</v>
      </c>
      <c r="B30" s="1569"/>
      <c r="C30" s="242" t="s">
        <v>38</v>
      </c>
      <c r="D30" s="244">
        <v>0</v>
      </c>
    </row>
    <row r="31" spans="1:4" x14ac:dyDescent="0.2">
      <c r="A31" s="1570"/>
      <c r="B31" s="1571"/>
      <c r="C31" s="296" t="s">
        <v>39</v>
      </c>
      <c r="D31" s="1094">
        <v>0</v>
      </c>
    </row>
    <row r="32" spans="1:4" x14ac:dyDescent="0.2">
      <c r="A32" s="1568" t="s">
        <v>49</v>
      </c>
      <c r="B32" s="1569"/>
      <c r="C32" s="242" t="s">
        <v>38</v>
      </c>
      <c r="D32" s="244">
        <v>0</v>
      </c>
    </row>
    <row r="33" spans="1:4" x14ac:dyDescent="0.2">
      <c r="A33" s="1568"/>
      <c r="B33" s="1569"/>
      <c r="C33" s="295" t="s">
        <v>39</v>
      </c>
      <c r="D33" s="1096">
        <v>0</v>
      </c>
    </row>
    <row r="34" spans="1:4" ht="7.5" customHeight="1" x14ac:dyDescent="0.2">
      <c r="A34" s="1587"/>
      <c r="B34" s="1588"/>
      <c r="C34" s="1588"/>
      <c r="D34" s="1589"/>
    </row>
    <row r="35" spans="1:4" x14ac:dyDescent="0.2">
      <c r="A35" s="1097" t="s">
        <v>553</v>
      </c>
      <c r="B35" s="1098"/>
      <c r="C35" s="1099"/>
      <c r="D35" s="1100"/>
    </row>
    <row r="36" spans="1:4" x14ac:dyDescent="0.2">
      <c r="A36" s="1101" t="s">
        <v>449</v>
      </c>
      <c r="B36" s="1098"/>
      <c r="C36" s="1102">
        <v>80</v>
      </c>
      <c r="D36" s="1100"/>
    </row>
    <row r="37" spans="1:4" x14ac:dyDescent="0.2">
      <c r="A37" s="1101" t="s">
        <v>450</v>
      </c>
      <c r="B37" s="1098"/>
      <c r="C37" s="1102">
        <v>80</v>
      </c>
      <c r="D37" s="1100"/>
    </row>
    <row r="38" spans="1:4" x14ac:dyDescent="0.2">
      <c r="A38" s="1101" t="s">
        <v>451</v>
      </c>
      <c r="B38" s="1098"/>
      <c r="C38" s="1102">
        <v>98</v>
      </c>
      <c r="D38" s="1100"/>
    </row>
    <row r="39" spans="1:4" ht="15" thickBot="1" x14ac:dyDescent="0.25">
      <c r="A39" s="1109" t="s">
        <v>452</v>
      </c>
      <c r="B39" s="1110"/>
      <c r="C39" s="1111">
        <v>98</v>
      </c>
      <c r="D39" s="1100"/>
    </row>
    <row r="40" spans="1:4" x14ac:dyDescent="0.2">
      <c r="A40" s="1101" t="s">
        <v>453</v>
      </c>
      <c r="B40" s="1098"/>
      <c r="C40" s="1102">
        <v>115</v>
      </c>
      <c r="D40" s="1100"/>
    </row>
    <row r="41" spans="1:4" x14ac:dyDescent="0.2">
      <c r="A41" s="1101" t="s">
        <v>454</v>
      </c>
      <c r="B41" s="1098"/>
      <c r="C41" s="1102">
        <v>115</v>
      </c>
      <c r="D41" s="1100"/>
    </row>
    <row r="42" spans="1:4" x14ac:dyDescent="0.2">
      <c r="A42" s="1101" t="s">
        <v>455</v>
      </c>
      <c r="B42" s="1098"/>
      <c r="C42" s="1102">
        <v>115</v>
      </c>
      <c r="D42" s="1100"/>
    </row>
    <row r="43" spans="1:4" x14ac:dyDescent="0.2">
      <c r="A43" s="1101" t="s">
        <v>456</v>
      </c>
      <c r="B43" s="1098"/>
      <c r="C43" s="1102">
        <v>115</v>
      </c>
      <c r="D43" s="1100"/>
    </row>
    <row r="44" spans="1:4" ht="27.75" customHeight="1" x14ac:dyDescent="0.2">
      <c r="A44" s="1590" t="s">
        <v>554</v>
      </c>
      <c r="B44" s="1591"/>
      <c r="C44" s="1592"/>
      <c r="D44" s="1103" t="s">
        <v>448</v>
      </c>
    </row>
    <row r="45" spans="1:4" x14ac:dyDescent="0.2">
      <c r="A45" s="937" t="s">
        <v>599</v>
      </c>
      <c r="B45" s="938"/>
      <c r="C45" s="939"/>
      <c r="D45" s="47">
        <v>2396</v>
      </c>
    </row>
    <row r="46" spans="1:4" x14ac:dyDescent="0.2">
      <c r="A46" s="1104" t="s">
        <v>528</v>
      </c>
      <c r="B46" s="1105"/>
      <c r="C46" s="1106"/>
      <c r="D46" s="1107">
        <v>5400</v>
      </c>
    </row>
    <row r="47" spans="1:4" x14ac:dyDescent="0.2">
      <c r="A47" s="1104" t="s">
        <v>457</v>
      </c>
      <c r="B47" s="1105"/>
      <c r="C47" s="1106"/>
      <c r="D47" s="1107">
        <v>1200</v>
      </c>
    </row>
    <row r="48" spans="1:4" x14ac:dyDescent="0.2">
      <c r="A48" s="1104" t="s">
        <v>458</v>
      </c>
      <c r="B48" s="1105"/>
      <c r="C48" s="1106"/>
      <c r="D48" s="1107">
        <v>4850</v>
      </c>
    </row>
    <row r="49" spans="1:4" x14ac:dyDescent="0.2">
      <c r="A49" s="940" t="s">
        <v>50</v>
      </c>
      <c r="B49" s="941"/>
      <c r="C49" s="942"/>
      <c r="D49" s="1108">
        <f>SUM(D35:D48)</f>
        <v>13846</v>
      </c>
    </row>
    <row r="50" spans="1:4" ht="7.5" customHeight="1" x14ac:dyDescent="0.2">
      <c r="A50" s="1579"/>
      <c r="B50" s="1580"/>
      <c r="C50" s="1580"/>
      <c r="D50" s="1581"/>
    </row>
    <row r="51" spans="1:4" ht="15" customHeight="1" x14ac:dyDescent="0.2">
      <c r="A51" s="1576" t="s">
        <v>847</v>
      </c>
      <c r="B51" s="1577"/>
      <c r="C51" s="1577"/>
      <c r="D51" s="1578"/>
    </row>
    <row r="52" spans="1:4" ht="28.5" customHeight="1" thickBot="1" x14ac:dyDescent="0.25">
      <c r="A52" s="1584"/>
      <c r="B52" s="1585"/>
      <c r="C52" s="1585"/>
      <c r="D52" s="1586"/>
    </row>
    <row r="53" spans="1:4" ht="15" thickTop="1" x14ac:dyDescent="0.2"/>
  </sheetData>
  <mergeCells count="25">
    <mergeCell ref="A1:B1"/>
    <mergeCell ref="A18:B19"/>
    <mergeCell ref="A10:B11"/>
    <mergeCell ref="A5:C5"/>
    <mergeCell ref="A6:B7"/>
    <mergeCell ref="A16:B17"/>
    <mergeCell ref="C1:D1"/>
    <mergeCell ref="A3:D3"/>
    <mergeCell ref="A4:D4"/>
    <mergeCell ref="A2:D2"/>
    <mergeCell ref="A8:B9"/>
    <mergeCell ref="A52:D52"/>
    <mergeCell ref="A34:D34"/>
    <mergeCell ref="A22:B23"/>
    <mergeCell ref="A24:B25"/>
    <mergeCell ref="A32:B33"/>
    <mergeCell ref="A30:B31"/>
    <mergeCell ref="A28:B29"/>
    <mergeCell ref="A26:B27"/>
    <mergeCell ref="A44:C44"/>
    <mergeCell ref="A20:B21"/>
    <mergeCell ref="A12:B13"/>
    <mergeCell ref="A51:D51"/>
    <mergeCell ref="A50:D50"/>
    <mergeCell ref="A14:B15"/>
  </mergeCells>
  <phoneticPr fontId="65" type="noConversion"/>
  <pageMargins left="0.40583333300000002" right="0.12833333333333299" top="0.75" bottom="0.75" header="0.3" footer="0.3"/>
  <pageSetup scale="83" orientation="portrait" r:id="rId1"/>
  <headerFooter>
    <oddHeader>&amp;LAKIS A 2012</oddHeader>
    <oddFooter>&amp;LAmerican Indian Higher Education Consortium</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zoomScaleNormal="100" workbookViewId="0">
      <selection activeCell="D9" sqref="D9"/>
    </sheetView>
  </sheetViews>
  <sheetFormatPr defaultColWidth="9.140625" defaultRowHeight="21" customHeight="1" x14ac:dyDescent="0.25"/>
  <cols>
    <col min="1" max="1" width="14.7109375" customWidth="1"/>
    <col min="2" max="2" width="14.140625" customWidth="1"/>
    <col min="3" max="3" width="49.42578125" customWidth="1"/>
    <col min="4" max="4" width="13.42578125" customWidth="1"/>
  </cols>
  <sheetData>
    <row r="1" spans="1:4" s="342" customFormat="1" ht="21" customHeight="1" thickTop="1" x14ac:dyDescent="0.25">
      <c r="A1" s="1612" t="s">
        <v>823</v>
      </c>
      <c r="B1" s="1613"/>
      <c r="C1" s="1614" t="str">
        <f>'1.1a Overall Instit. Profile'!B1</f>
        <v>Oglala Lakota College</v>
      </c>
      <c r="D1" s="1615"/>
    </row>
    <row r="2" spans="1:4" s="342" customFormat="1" ht="21" customHeight="1" x14ac:dyDescent="0.2">
      <c r="A2" s="1616" t="s">
        <v>817</v>
      </c>
      <c r="B2" s="1617"/>
      <c r="C2" s="1617"/>
      <c r="D2" s="1618"/>
    </row>
    <row r="3" spans="1:4" s="342" customFormat="1" ht="21" customHeight="1" x14ac:dyDescent="0.2">
      <c r="A3" s="1616" t="s">
        <v>464</v>
      </c>
      <c r="B3" s="1617"/>
      <c r="C3" s="1617"/>
      <c r="D3" s="1618"/>
    </row>
    <row r="4" spans="1:4" s="342" customFormat="1" ht="21" customHeight="1" x14ac:dyDescent="0.2">
      <c r="A4" s="946" t="s">
        <v>461</v>
      </c>
      <c r="B4" s="947"/>
      <c r="C4" s="947"/>
      <c r="D4" s="948"/>
    </row>
    <row r="5" spans="1:4" s="646" customFormat="1" ht="21" customHeight="1" x14ac:dyDescent="0.25">
      <c r="A5" s="1608" t="s">
        <v>459</v>
      </c>
      <c r="B5" s="1609"/>
      <c r="C5" s="1609"/>
      <c r="D5" s="740">
        <v>0</v>
      </c>
    </row>
    <row r="6" spans="1:4" s="646" customFormat="1" ht="21" customHeight="1" x14ac:dyDescent="0.25">
      <c r="A6" s="1608" t="s">
        <v>460</v>
      </c>
      <c r="B6" s="1609"/>
      <c r="C6" s="1609"/>
      <c r="D6" s="740">
        <v>0</v>
      </c>
    </row>
    <row r="7" spans="1:4" s="646" customFormat="1" ht="21" customHeight="1" x14ac:dyDescent="0.25">
      <c r="A7" s="943" t="s">
        <v>462</v>
      </c>
      <c r="B7" s="944"/>
      <c r="C7" s="944"/>
      <c r="D7" s="945"/>
    </row>
    <row r="8" spans="1:4" s="646" customFormat="1" ht="21" customHeight="1" x14ac:dyDescent="0.25">
      <c r="A8" s="1608" t="s">
        <v>918</v>
      </c>
      <c r="B8" s="1609"/>
      <c r="C8" s="1609"/>
      <c r="D8" s="1187">
        <v>78000</v>
      </c>
    </row>
    <row r="9" spans="1:4" s="646" customFormat="1" ht="21" customHeight="1" thickBot="1" x14ac:dyDescent="0.3">
      <c r="A9" s="1610" t="s">
        <v>463</v>
      </c>
      <c r="B9" s="1611"/>
      <c r="C9" s="1611"/>
      <c r="D9" s="741">
        <v>0</v>
      </c>
    </row>
    <row r="10" spans="1:4" ht="21" customHeight="1" thickTop="1" x14ac:dyDescent="0.25"/>
  </sheetData>
  <mergeCells count="8">
    <mergeCell ref="A6:C6"/>
    <mergeCell ref="A8:C8"/>
    <mergeCell ref="A9:C9"/>
    <mergeCell ref="A1:B1"/>
    <mergeCell ref="C1:D1"/>
    <mergeCell ref="A2:D2"/>
    <mergeCell ref="A3:D3"/>
    <mergeCell ref="A5:C5"/>
  </mergeCells>
  <phoneticPr fontId="65" type="noConversion"/>
  <pageMargins left="0.40583333300000002" right="0.12833333333333299" top="0.75" bottom="0.75" header="0.3" footer="0.3"/>
  <pageSetup scale="83" orientation="portrait" r:id="rId1"/>
  <headerFooter>
    <oddHeader>&amp;LAKIS A 2012</oddHeader>
    <oddFooter>&amp;LAmerican Indian Higher Education Consortium</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Z114"/>
  <sheetViews>
    <sheetView topLeftCell="A38" zoomScaleNormal="100" workbookViewId="0">
      <selection activeCell="H16" sqref="H16"/>
    </sheetView>
  </sheetViews>
  <sheetFormatPr defaultColWidth="9.140625" defaultRowHeight="12.75" x14ac:dyDescent="0.2"/>
  <cols>
    <col min="1" max="1" width="61" style="30" customWidth="1"/>
    <col min="2" max="2" width="17.5703125" style="30" customWidth="1"/>
    <col min="3" max="3" width="8.7109375" style="30" customWidth="1"/>
    <col min="4" max="4" width="6.7109375" style="30" customWidth="1"/>
    <col min="5" max="5" width="8.85546875" style="30" customWidth="1"/>
    <col min="6" max="6" width="28.28515625" style="30" customWidth="1"/>
    <col min="7" max="7" width="16.28515625" style="30" customWidth="1"/>
    <col min="8" max="8" width="31.7109375" style="30" customWidth="1"/>
    <col min="9" max="9" width="3.5703125" style="433" customWidth="1"/>
    <col min="10" max="14" width="9.140625" style="433"/>
    <col min="15" max="16384" width="9.140625" style="30"/>
  </cols>
  <sheetData>
    <row r="1" spans="1:26" s="20" customFormat="1" ht="15.75" thickTop="1" x14ac:dyDescent="0.25">
      <c r="A1" s="314" t="s">
        <v>823</v>
      </c>
      <c r="B1" s="1266" t="str">
        <f>'1.1a Overall Instit. Profile'!B1</f>
        <v>Oglala Lakota College</v>
      </c>
      <c r="C1" s="1370"/>
      <c r="D1" s="1370"/>
      <c r="E1" s="1370"/>
      <c r="F1" s="1370"/>
      <c r="G1" s="1370"/>
      <c r="H1" s="1629"/>
      <c r="I1" s="429"/>
      <c r="J1" s="430"/>
      <c r="K1" s="430"/>
      <c r="L1" s="430"/>
      <c r="M1" s="430"/>
      <c r="N1" s="430"/>
      <c r="O1" s="208"/>
    </row>
    <row r="2" spans="1:26" ht="18.75" customHeight="1" x14ac:dyDescent="0.2">
      <c r="A2" s="313" t="s">
        <v>818</v>
      </c>
      <c r="B2" s="325"/>
      <c r="C2" s="325"/>
      <c r="D2" s="325"/>
      <c r="E2" s="325"/>
      <c r="F2" s="325"/>
      <c r="G2" s="325"/>
      <c r="H2" s="319"/>
      <c r="I2" s="431"/>
      <c r="J2" s="432"/>
      <c r="K2" s="432"/>
      <c r="L2" s="432"/>
      <c r="M2" s="432"/>
      <c r="N2" s="432"/>
      <c r="O2" s="37"/>
      <c r="P2" s="37"/>
      <c r="Q2" s="37"/>
      <c r="R2" s="37"/>
      <c r="S2" s="37"/>
      <c r="T2" s="37"/>
      <c r="U2" s="37"/>
      <c r="V2" s="37"/>
      <c r="W2" s="37"/>
      <c r="X2" s="37"/>
      <c r="Y2" s="37"/>
      <c r="Z2" s="37"/>
    </row>
    <row r="3" spans="1:26" ht="18.75" customHeight="1" x14ac:dyDescent="0.2">
      <c r="A3" s="316" t="s">
        <v>53</v>
      </c>
      <c r="B3" s="326"/>
      <c r="C3" s="326"/>
      <c r="D3" s="326"/>
      <c r="E3" s="326"/>
      <c r="F3" s="326"/>
      <c r="G3" s="326"/>
      <c r="H3" s="327"/>
      <c r="I3" s="431"/>
      <c r="J3" s="432"/>
      <c r="K3" s="432"/>
      <c r="L3" s="432"/>
      <c r="M3" s="432"/>
      <c r="N3" s="432"/>
      <c r="O3" s="37"/>
      <c r="P3" s="37"/>
      <c r="Q3" s="37"/>
      <c r="R3" s="37"/>
      <c r="S3" s="37"/>
      <c r="T3" s="37"/>
      <c r="U3" s="37"/>
      <c r="V3" s="37"/>
      <c r="W3" s="37"/>
      <c r="X3" s="37"/>
      <c r="Y3" s="37"/>
      <c r="Z3" s="37"/>
    </row>
    <row r="4" spans="1:26" ht="27.75" customHeight="1" x14ac:dyDescent="0.2">
      <c r="A4" s="1634" t="s">
        <v>55</v>
      </c>
      <c r="B4" s="1635"/>
      <c r="C4" s="1635"/>
      <c r="D4" s="1635"/>
      <c r="E4" s="1635"/>
      <c r="F4" s="1635"/>
      <c r="G4" s="1635"/>
      <c r="H4" s="1636"/>
      <c r="I4" s="431"/>
      <c r="J4" s="432"/>
      <c r="K4" s="432"/>
      <c r="L4" s="432"/>
      <c r="M4" s="432"/>
      <c r="N4" s="432"/>
      <c r="O4" s="37"/>
      <c r="P4" s="37"/>
      <c r="Q4" s="37"/>
      <c r="R4" s="37"/>
      <c r="S4" s="37"/>
      <c r="T4" s="37"/>
      <c r="U4" s="37"/>
      <c r="V4" s="37"/>
      <c r="W4" s="37"/>
      <c r="X4" s="37"/>
      <c r="Y4" s="37"/>
      <c r="Z4" s="37"/>
    </row>
    <row r="5" spans="1:26" ht="37.5" customHeight="1" x14ac:dyDescent="0.2">
      <c r="A5" s="1627" t="s">
        <v>313</v>
      </c>
      <c r="B5" s="1628"/>
      <c r="C5" s="1626" t="s">
        <v>865</v>
      </c>
      <c r="D5" s="1626"/>
      <c r="E5" s="1626"/>
      <c r="F5" s="1112"/>
      <c r="G5" s="962"/>
      <c r="H5" s="963"/>
      <c r="I5" s="431"/>
      <c r="J5" s="432"/>
      <c r="K5" s="432"/>
      <c r="L5" s="432"/>
      <c r="M5" s="432"/>
      <c r="N5" s="432"/>
      <c r="O5" s="37"/>
      <c r="P5" s="37"/>
      <c r="Q5" s="37"/>
      <c r="R5" s="37"/>
      <c r="S5" s="37"/>
      <c r="T5" s="37"/>
      <c r="U5" s="37"/>
      <c r="V5" s="37"/>
      <c r="W5" s="37"/>
      <c r="X5" s="37"/>
      <c r="Y5" s="37"/>
      <c r="Z5" s="37"/>
    </row>
    <row r="6" spans="1:26" ht="25.5" x14ac:dyDescent="0.2">
      <c r="A6" s="949" t="s">
        <v>465</v>
      </c>
      <c r="B6" s="950" t="s">
        <v>54</v>
      </c>
      <c r="C6" s="951" t="s">
        <v>466</v>
      </c>
      <c r="D6" s="1620" t="s">
        <v>646</v>
      </c>
      <c r="E6" s="1621"/>
      <c r="F6" s="1174" t="s">
        <v>584</v>
      </c>
      <c r="G6" s="1632" t="s">
        <v>646</v>
      </c>
      <c r="H6" s="1633"/>
      <c r="I6" s="431"/>
      <c r="J6" s="432"/>
      <c r="K6" s="432"/>
      <c r="L6" s="432"/>
      <c r="M6" s="432"/>
      <c r="N6" s="432"/>
      <c r="O6" s="37"/>
      <c r="P6" s="37"/>
      <c r="Q6" s="37"/>
      <c r="R6" s="37"/>
      <c r="S6" s="37"/>
      <c r="T6" s="37"/>
      <c r="U6" s="37"/>
      <c r="V6" s="37"/>
      <c r="W6" s="37"/>
      <c r="X6" s="37"/>
      <c r="Y6" s="37"/>
      <c r="Z6" s="37"/>
    </row>
    <row r="7" spans="1:26" ht="25.5" x14ac:dyDescent="0.2">
      <c r="A7" s="949" t="s">
        <v>467</v>
      </c>
      <c r="B7" s="1631" t="s">
        <v>986</v>
      </c>
      <c r="C7" s="1631"/>
      <c r="D7" s="1631"/>
      <c r="E7" s="1631"/>
      <c r="F7" s="1630" t="s">
        <v>578</v>
      </c>
      <c r="G7" s="1630"/>
      <c r="H7" s="952" t="s">
        <v>808</v>
      </c>
      <c r="I7" s="431"/>
      <c r="J7" s="432"/>
      <c r="K7" s="432"/>
      <c r="L7" s="432"/>
      <c r="M7" s="432"/>
      <c r="N7" s="432"/>
      <c r="O7" s="37"/>
      <c r="P7" s="37"/>
      <c r="Q7" s="37"/>
      <c r="R7" s="37"/>
      <c r="S7" s="37"/>
      <c r="T7" s="37"/>
      <c r="U7" s="37"/>
      <c r="V7" s="37"/>
      <c r="W7" s="37"/>
      <c r="X7" s="37"/>
      <c r="Y7" s="37"/>
      <c r="Z7" s="37"/>
    </row>
    <row r="8" spans="1:26" ht="15.75" x14ac:dyDescent="0.2">
      <c r="A8" s="949" t="s">
        <v>579</v>
      </c>
      <c r="B8" s="953" t="s">
        <v>646</v>
      </c>
      <c r="C8" s="1624"/>
      <c r="D8" s="1625"/>
      <c r="E8" s="1625"/>
      <c r="F8" s="1625"/>
      <c r="G8" s="957"/>
      <c r="H8" s="958"/>
      <c r="I8" s="431"/>
      <c r="J8" s="432"/>
      <c r="K8" s="432"/>
      <c r="L8" s="432"/>
      <c r="M8" s="432"/>
      <c r="N8" s="432"/>
      <c r="O8" s="37"/>
      <c r="P8" s="37"/>
      <c r="Q8" s="37"/>
      <c r="R8" s="37"/>
      <c r="S8" s="37"/>
      <c r="T8" s="37"/>
      <c r="U8" s="37"/>
      <c r="V8" s="37"/>
      <c r="W8" s="37"/>
      <c r="X8" s="37"/>
      <c r="Y8" s="37"/>
      <c r="Z8" s="37"/>
    </row>
    <row r="9" spans="1:26" x14ac:dyDescent="0.2">
      <c r="A9" s="949" t="s">
        <v>580</v>
      </c>
      <c r="B9" s="956"/>
      <c r="C9" s="899"/>
      <c r="D9" s="959"/>
      <c r="E9" s="959"/>
      <c r="F9" s="960"/>
      <c r="G9" s="959"/>
      <c r="H9" s="961"/>
      <c r="I9" s="431"/>
      <c r="J9" s="432"/>
      <c r="K9" s="432"/>
      <c r="L9" s="432"/>
      <c r="M9" s="432"/>
      <c r="N9" s="432"/>
      <c r="O9" s="37"/>
      <c r="P9" s="37"/>
      <c r="Q9" s="37"/>
      <c r="R9" s="37"/>
      <c r="S9" s="37"/>
      <c r="T9" s="37"/>
      <c r="U9" s="37"/>
      <c r="V9" s="37"/>
      <c r="W9" s="37"/>
      <c r="X9" s="37"/>
      <c r="Y9" s="37"/>
      <c r="Z9" s="37"/>
    </row>
    <row r="10" spans="1:26" ht="21" customHeight="1" x14ac:dyDescent="0.2">
      <c r="A10" s="1622" t="s">
        <v>583</v>
      </c>
      <c r="B10" s="1623"/>
      <c r="C10" s="954" t="s">
        <v>646</v>
      </c>
      <c r="D10" s="1619" t="s">
        <v>581</v>
      </c>
      <c r="E10" s="1619"/>
      <c r="F10" s="955" t="s">
        <v>646</v>
      </c>
      <c r="G10" s="965" t="s">
        <v>582</v>
      </c>
      <c r="H10" s="964" t="s">
        <v>646</v>
      </c>
      <c r="I10" s="431"/>
      <c r="J10" s="432"/>
      <c r="K10" s="432"/>
      <c r="L10" s="432"/>
      <c r="M10" s="432"/>
      <c r="N10" s="432"/>
      <c r="O10" s="37"/>
      <c r="P10" s="37"/>
      <c r="Q10" s="37"/>
      <c r="R10" s="37"/>
      <c r="S10" s="37"/>
      <c r="T10" s="37"/>
      <c r="U10" s="37"/>
      <c r="V10" s="37"/>
      <c r="W10" s="37"/>
      <c r="X10" s="37"/>
      <c r="Y10" s="37"/>
      <c r="Z10" s="37"/>
    </row>
    <row r="11" spans="1:26" ht="17.25" customHeight="1" x14ac:dyDescent="0.2">
      <c r="A11" s="262" t="s">
        <v>57</v>
      </c>
      <c r="B11" s="260"/>
      <c r="C11" s="260"/>
      <c r="D11" s="260"/>
      <c r="E11" s="260"/>
      <c r="F11" s="260"/>
      <c r="G11" s="260"/>
      <c r="H11" s="261"/>
      <c r="I11" s="431"/>
      <c r="J11" s="432"/>
      <c r="K11" s="432"/>
      <c r="L11" s="432"/>
      <c r="M11" s="432"/>
      <c r="N11" s="432"/>
      <c r="O11" s="37"/>
      <c r="P11" s="37"/>
      <c r="Q11" s="37"/>
      <c r="R11" s="37"/>
      <c r="S11" s="37"/>
      <c r="T11" s="37"/>
      <c r="U11" s="37"/>
      <c r="V11" s="37"/>
      <c r="W11" s="37"/>
      <c r="X11" s="37"/>
      <c r="Y11" s="37"/>
      <c r="Z11" s="37"/>
    </row>
    <row r="12" spans="1:26" ht="24" x14ac:dyDescent="0.2">
      <c r="A12" s="48" t="s">
        <v>59</v>
      </c>
      <c r="B12" s="23" t="s">
        <v>51</v>
      </c>
      <c r="C12" s="301" t="s">
        <v>60</v>
      </c>
      <c r="D12" s="302" t="s">
        <v>61</v>
      </c>
      <c r="E12" s="301" t="s">
        <v>62</v>
      </c>
      <c r="F12" s="23" t="s">
        <v>63</v>
      </c>
      <c r="G12" s="23" t="s">
        <v>64</v>
      </c>
      <c r="H12" s="49" t="s">
        <v>65</v>
      </c>
      <c r="I12" s="431"/>
      <c r="J12" s="449" t="s">
        <v>51</v>
      </c>
      <c r="K12" s="434"/>
      <c r="L12" s="432"/>
      <c r="M12" s="432"/>
      <c r="N12" s="432"/>
      <c r="O12" s="37"/>
      <c r="P12" s="37"/>
      <c r="Q12" s="37"/>
      <c r="R12" s="37"/>
      <c r="S12" s="37"/>
      <c r="T12" s="37"/>
      <c r="U12" s="37"/>
      <c r="V12" s="37"/>
      <c r="W12" s="37"/>
      <c r="X12" s="37"/>
      <c r="Y12" s="37"/>
      <c r="Z12" s="37"/>
    </row>
    <row r="13" spans="1:26" ht="15.75" customHeight="1" x14ac:dyDescent="0.2">
      <c r="A13" s="1130" t="s">
        <v>638</v>
      </c>
      <c r="B13" s="1131" t="s">
        <v>54</v>
      </c>
      <c r="C13" s="1136">
        <v>1980</v>
      </c>
      <c r="D13" s="1137">
        <v>2</v>
      </c>
      <c r="E13" s="1138">
        <v>24800</v>
      </c>
      <c r="F13" s="1132" t="s">
        <v>70</v>
      </c>
      <c r="G13" s="1139" t="s">
        <v>67</v>
      </c>
      <c r="H13" s="1153"/>
      <c r="I13" s="431"/>
      <c r="J13" s="434" t="s">
        <v>54</v>
      </c>
      <c r="K13" s="434"/>
      <c r="L13" s="432"/>
      <c r="M13" s="432"/>
      <c r="N13" s="432"/>
      <c r="O13" s="37"/>
      <c r="P13" s="37"/>
      <c r="Q13" s="37"/>
      <c r="R13" s="37"/>
      <c r="S13" s="37"/>
      <c r="T13" s="37"/>
      <c r="U13" s="37"/>
      <c r="V13" s="37"/>
      <c r="W13" s="37"/>
      <c r="X13" s="37"/>
      <c r="Y13" s="37"/>
      <c r="Z13" s="37"/>
    </row>
    <row r="14" spans="1:26" ht="15.75" customHeight="1" x14ac:dyDescent="0.2">
      <c r="A14" s="1133" t="s">
        <v>639</v>
      </c>
      <c r="B14" s="1131" t="s">
        <v>58</v>
      </c>
      <c r="C14" s="1136">
        <v>1939</v>
      </c>
      <c r="D14" s="1140">
        <v>1</v>
      </c>
      <c r="E14" s="1141">
        <v>1700</v>
      </c>
      <c r="F14" s="1132" t="s">
        <v>72</v>
      </c>
      <c r="G14" s="1139" t="s">
        <v>67</v>
      </c>
      <c r="H14" s="1153"/>
      <c r="I14" s="431"/>
      <c r="J14" s="434" t="s">
        <v>56</v>
      </c>
      <c r="K14" s="434"/>
      <c r="L14" s="432"/>
      <c r="M14" s="432"/>
      <c r="N14" s="432"/>
      <c r="O14" s="37"/>
      <c r="P14" s="37"/>
      <c r="Q14" s="37"/>
      <c r="R14" s="37"/>
      <c r="S14" s="37"/>
      <c r="T14" s="37"/>
      <c r="U14" s="37"/>
      <c r="V14" s="37"/>
      <c r="W14" s="37"/>
      <c r="X14" s="37"/>
      <c r="Y14" s="37"/>
      <c r="Z14" s="37"/>
    </row>
    <row r="15" spans="1:26" ht="15.75" customHeight="1" x14ac:dyDescent="0.2">
      <c r="A15" s="1133" t="s">
        <v>640</v>
      </c>
      <c r="B15" s="1131" t="s">
        <v>58</v>
      </c>
      <c r="C15" s="1136">
        <v>1939</v>
      </c>
      <c r="D15" s="1140">
        <v>1</v>
      </c>
      <c r="E15" s="1141">
        <v>1700</v>
      </c>
      <c r="F15" s="1132" t="s">
        <v>72</v>
      </c>
      <c r="G15" s="1139" t="s">
        <v>67</v>
      </c>
      <c r="H15" s="1153"/>
      <c r="I15" s="431"/>
      <c r="J15" s="434" t="s">
        <v>58</v>
      </c>
      <c r="K15" s="434"/>
      <c r="L15" s="432"/>
      <c r="M15" s="432"/>
      <c r="N15" s="432"/>
      <c r="O15" s="37"/>
      <c r="P15" s="37"/>
      <c r="Q15" s="37"/>
      <c r="R15" s="37"/>
      <c r="S15" s="37"/>
      <c r="T15" s="37"/>
      <c r="U15" s="37"/>
      <c r="V15" s="37"/>
      <c r="W15" s="37"/>
      <c r="X15" s="37"/>
      <c r="Y15" s="37"/>
      <c r="Z15" s="37"/>
    </row>
    <row r="16" spans="1:26" ht="15.75" customHeight="1" x14ac:dyDescent="0.2">
      <c r="A16" s="1133" t="s">
        <v>641</v>
      </c>
      <c r="B16" s="1131" t="s">
        <v>58</v>
      </c>
      <c r="C16" s="1136">
        <v>1970</v>
      </c>
      <c r="D16" s="1140">
        <v>1</v>
      </c>
      <c r="E16" s="1141">
        <v>3080</v>
      </c>
      <c r="F16" s="1132" t="s">
        <v>69</v>
      </c>
      <c r="G16" s="1139" t="s">
        <v>67</v>
      </c>
      <c r="H16" s="1153"/>
      <c r="I16" s="431"/>
      <c r="J16" s="432"/>
      <c r="K16" s="432"/>
      <c r="L16" s="432"/>
      <c r="M16" s="432"/>
      <c r="N16" s="432"/>
      <c r="O16" s="37"/>
      <c r="P16" s="37"/>
      <c r="Q16" s="37"/>
      <c r="R16" s="37"/>
      <c r="S16" s="37"/>
      <c r="T16" s="37"/>
      <c r="U16" s="37"/>
      <c r="V16" s="37"/>
      <c r="W16" s="37"/>
      <c r="X16" s="37"/>
      <c r="Y16" s="37"/>
      <c r="Z16" s="37"/>
    </row>
    <row r="17" spans="1:26" ht="15.75" customHeight="1" x14ac:dyDescent="0.2">
      <c r="A17" s="1133" t="s">
        <v>642</v>
      </c>
      <c r="B17" s="1131" t="s">
        <v>58</v>
      </c>
      <c r="C17" s="1136">
        <v>1947</v>
      </c>
      <c r="D17" s="1140">
        <v>1</v>
      </c>
      <c r="E17" s="1141">
        <v>2500</v>
      </c>
      <c r="F17" s="1132" t="s">
        <v>72</v>
      </c>
      <c r="G17" s="1139" t="s">
        <v>67</v>
      </c>
      <c r="H17" s="1153"/>
      <c r="I17" s="431"/>
      <c r="J17" s="448" t="s">
        <v>63</v>
      </c>
      <c r="K17" s="435"/>
      <c r="L17" s="435"/>
      <c r="M17" s="432"/>
      <c r="N17" s="432"/>
      <c r="O17" s="37"/>
      <c r="P17" s="37"/>
      <c r="Q17" s="37"/>
      <c r="R17" s="37"/>
      <c r="S17" s="37"/>
      <c r="T17" s="37"/>
      <c r="U17" s="37"/>
      <c r="V17" s="37"/>
      <c r="W17" s="37"/>
      <c r="X17" s="37"/>
      <c r="Y17" s="37"/>
      <c r="Z17" s="37"/>
    </row>
    <row r="18" spans="1:26" ht="15.75" customHeight="1" x14ac:dyDescent="0.2">
      <c r="A18" s="1133" t="s">
        <v>643</v>
      </c>
      <c r="B18" s="1131" t="s">
        <v>54</v>
      </c>
      <c r="C18" s="1136">
        <v>1981</v>
      </c>
      <c r="D18" s="1140">
        <v>1</v>
      </c>
      <c r="E18" s="1141">
        <v>8400</v>
      </c>
      <c r="F18" s="1132" t="s">
        <v>70</v>
      </c>
      <c r="G18" s="1139" t="s">
        <v>67</v>
      </c>
      <c r="H18" s="1153"/>
      <c r="I18" s="431"/>
      <c r="J18" s="435" t="s">
        <v>70</v>
      </c>
      <c r="K18" s="435"/>
      <c r="L18" s="435"/>
      <c r="M18" s="432"/>
      <c r="N18" s="432"/>
      <c r="O18" s="37"/>
      <c r="P18" s="37"/>
      <c r="Q18" s="37"/>
      <c r="R18" s="37"/>
      <c r="S18" s="37"/>
      <c r="T18" s="37"/>
      <c r="U18" s="37"/>
      <c r="V18" s="37"/>
      <c r="W18" s="37"/>
      <c r="X18" s="37"/>
      <c r="Y18" s="37"/>
      <c r="Z18" s="37"/>
    </row>
    <row r="19" spans="1:26" ht="15.75" customHeight="1" x14ac:dyDescent="0.2">
      <c r="A19" s="1133" t="s">
        <v>644</v>
      </c>
      <c r="B19" s="1131" t="s">
        <v>54</v>
      </c>
      <c r="C19" s="1136">
        <v>1988</v>
      </c>
      <c r="D19" s="1140">
        <v>1</v>
      </c>
      <c r="E19" s="1141">
        <v>2100</v>
      </c>
      <c r="F19" s="1132" t="s">
        <v>70</v>
      </c>
      <c r="G19" s="1139" t="s">
        <v>67</v>
      </c>
      <c r="H19" s="1153"/>
      <c r="I19" s="431"/>
      <c r="J19" s="435" t="s">
        <v>72</v>
      </c>
      <c r="K19" s="435"/>
      <c r="L19" s="435"/>
      <c r="M19" s="432"/>
      <c r="N19" s="432"/>
      <c r="O19" s="37"/>
      <c r="P19" s="37"/>
      <c r="Q19" s="37"/>
      <c r="R19" s="37"/>
      <c r="S19" s="37"/>
      <c r="T19" s="37"/>
      <c r="U19" s="37"/>
      <c r="V19" s="37"/>
      <c r="W19" s="37"/>
      <c r="X19" s="37"/>
      <c r="Y19" s="37"/>
      <c r="Z19" s="37"/>
    </row>
    <row r="20" spans="1:26" ht="15.75" customHeight="1" x14ac:dyDescent="0.2">
      <c r="A20" s="1133" t="s">
        <v>645</v>
      </c>
      <c r="B20" s="1131" t="s">
        <v>58</v>
      </c>
      <c r="C20" s="1136">
        <v>1994</v>
      </c>
      <c r="D20" s="1140">
        <v>1</v>
      </c>
      <c r="E20" s="1141" t="s">
        <v>646</v>
      </c>
      <c r="F20" s="1132" t="s">
        <v>70</v>
      </c>
      <c r="G20" s="1139" t="s">
        <v>67</v>
      </c>
      <c r="H20" s="1153"/>
      <c r="I20" s="431"/>
      <c r="J20" s="435" t="s">
        <v>69</v>
      </c>
      <c r="K20" s="435"/>
      <c r="L20" s="435"/>
      <c r="M20" s="432"/>
      <c r="N20" s="432"/>
      <c r="O20" s="37"/>
      <c r="P20" s="37"/>
      <c r="Q20" s="37"/>
      <c r="R20" s="37"/>
      <c r="S20" s="37"/>
      <c r="T20" s="37"/>
      <c r="U20" s="37"/>
      <c r="V20" s="37"/>
      <c r="W20" s="37"/>
      <c r="X20" s="37"/>
      <c r="Y20" s="37"/>
      <c r="Z20" s="37"/>
    </row>
    <row r="21" spans="1:26" ht="15.75" customHeight="1" x14ac:dyDescent="0.2">
      <c r="A21" s="1133" t="s">
        <v>647</v>
      </c>
      <c r="B21" s="1131" t="s">
        <v>58</v>
      </c>
      <c r="C21" s="1136">
        <v>1994</v>
      </c>
      <c r="D21" s="1140">
        <v>1</v>
      </c>
      <c r="E21" s="1141">
        <v>5000</v>
      </c>
      <c r="F21" s="1132" t="s">
        <v>70</v>
      </c>
      <c r="G21" s="1139" t="s">
        <v>67</v>
      </c>
      <c r="H21" s="1153"/>
      <c r="I21" s="431"/>
      <c r="J21" s="435" t="s">
        <v>73</v>
      </c>
      <c r="K21" s="435"/>
      <c r="L21" s="435"/>
      <c r="M21" s="432"/>
      <c r="N21" s="432"/>
      <c r="O21" s="37"/>
      <c r="P21" s="37"/>
      <c r="Q21" s="37"/>
      <c r="R21" s="37"/>
      <c r="S21" s="37"/>
      <c r="T21" s="37"/>
      <c r="U21" s="37"/>
      <c r="V21" s="37"/>
      <c r="W21" s="37"/>
      <c r="X21" s="37"/>
      <c r="Y21" s="37"/>
      <c r="Z21" s="37"/>
    </row>
    <row r="22" spans="1:26" ht="15.75" customHeight="1" x14ac:dyDescent="0.2">
      <c r="A22" s="1133" t="s">
        <v>648</v>
      </c>
      <c r="B22" s="1131" t="s">
        <v>58</v>
      </c>
      <c r="C22" s="1136">
        <v>1997</v>
      </c>
      <c r="D22" s="1140">
        <v>1</v>
      </c>
      <c r="E22" s="1141">
        <v>6582</v>
      </c>
      <c r="F22" s="1132" t="s">
        <v>69</v>
      </c>
      <c r="G22" s="1139" t="s">
        <v>67</v>
      </c>
      <c r="H22" s="1153"/>
      <c r="I22" s="431"/>
      <c r="J22" s="435" t="s">
        <v>68</v>
      </c>
      <c r="K22" s="435"/>
      <c r="L22" s="435"/>
      <c r="M22" s="432"/>
      <c r="N22" s="432"/>
      <c r="O22" s="37"/>
      <c r="P22" s="37"/>
      <c r="Q22" s="37"/>
      <c r="R22" s="37"/>
      <c r="S22" s="37"/>
      <c r="T22" s="37"/>
      <c r="U22" s="37"/>
      <c r="V22" s="37"/>
      <c r="W22" s="37"/>
      <c r="X22" s="37"/>
      <c r="Y22" s="37"/>
      <c r="Z22" s="37"/>
    </row>
    <row r="23" spans="1:26" ht="15.75" customHeight="1" x14ac:dyDescent="0.2">
      <c r="A23" s="1133" t="s">
        <v>649</v>
      </c>
      <c r="B23" s="1131" t="s">
        <v>58</v>
      </c>
      <c r="C23" s="1136">
        <v>1997</v>
      </c>
      <c r="D23" s="1140">
        <v>1</v>
      </c>
      <c r="E23" s="1141">
        <v>12150</v>
      </c>
      <c r="F23" s="1132" t="s">
        <v>69</v>
      </c>
      <c r="G23" s="1139" t="s">
        <v>67</v>
      </c>
      <c r="H23" s="1153"/>
      <c r="I23" s="431"/>
      <c r="J23" s="435" t="s">
        <v>74</v>
      </c>
      <c r="K23" s="435"/>
      <c r="L23" s="435"/>
      <c r="M23" s="432"/>
      <c r="N23" s="432"/>
      <c r="O23" s="37"/>
      <c r="P23" s="37"/>
      <c r="Q23" s="37"/>
      <c r="R23" s="37"/>
      <c r="S23" s="37"/>
      <c r="T23" s="37"/>
      <c r="U23" s="37"/>
      <c r="V23" s="37"/>
      <c r="W23" s="37"/>
      <c r="X23" s="37"/>
      <c r="Y23" s="37"/>
      <c r="Z23" s="37"/>
    </row>
    <row r="24" spans="1:26" ht="15.75" customHeight="1" x14ac:dyDescent="0.2">
      <c r="A24" s="1133" t="s">
        <v>650</v>
      </c>
      <c r="B24" s="1131" t="s">
        <v>58</v>
      </c>
      <c r="C24" s="1136">
        <v>1998</v>
      </c>
      <c r="D24" s="1140">
        <v>1</v>
      </c>
      <c r="E24" s="1141" t="s">
        <v>646</v>
      </c>
      <c r="F24" s="1132" t="s">
        <v>69</v>
      </c>
      <c r="G24" s="1139" t="s">
        <v>67</v>
      </c>
      <c r="H24" s="1153"/>
      <c r="I24" s="431"/>
      <c r="J24" s="435" t="s">
        <v>71</v>
      </c>
      <c r="K24" s="435"/>
      <c r="L24" s="435"/>
      <c r="M24" s="432"/>
      <c r="N24" s="432"/>
      <c r="O24" s="37"/>
      <c r="P24" s="37"/>
      <c r="Q24" s="37"/>
      <c r="R24" s="37"/>
      <c r="S24" s="37"/>
      <c r="T24" s="37"/>
      <c r="U24" s="37"/>
      <c r="V24" s="37"/>
      <c r="W24" s="37"/>
      <c r="X24" s="37"/>
      <c r="Y24" s="37"/>
      <c r="Z24" s="37"/>
    </row>
    <row r="25" spans="1:26" ht="15.75" customHeight="1" x14ac:dyDescent="0.2">
      <c r="A25" s="1133" t="s">
        <v>651</v>
      </c>
      <c r="B25" s="1131" t="s">
        <v>58</v>
      </c>
      <c r="C25" s="1136">
        <v>1998</v>
      </c>
      <c r="D25" s="1140">
        <v>1</v>
      </c>
      <c r="E25" s="1141" t="s">
        <v>646</v>
      </c>
      <c r="F25" s="1132" t="s">
        <v>69</v>
      </c>
      <c r="G25" s="1139" t="s">
        <v>67</v>
      </c>
      <c r="H25" s="1153"/>
      <c r="I25" s="431"/>
      <c r="J25" s="435" t="s">
        <v>75</v>
      </c>
      <c r="K25" s="435"/>
      <c r="L25" s="435"/>
      <c r="M25" s="432"/>
      <c r="N25" s="432"/>
      <c r="O25" s="37"/>
      <c r="P25" s="37"/>
      <c r="Q25" s="37"/>
      <c r="R25" s="37"/>
      <c r="S25" s="37"/>
      <c r="T25" s="37"/>
      <c r="U25" s="37"/>
      <c r="V25" s="37"/>
      <c r="W25" s="37"/>
      <c r="X25" s="37"/>
      <c r="Y25" s="37"/>
      <c r="Z25" s="37"/>
    </row>
    <row r="26" spans="1:26" ht="15.75" customHeight="1" x14ac:dyDescent="0.2">
      <c r="A26" s="1133" t="s">
        <v>652</v>
      </c>
      <c r="B26" s="1131" t="s">
        <v>58</v>
      </c>
      <c r="C26" s="1136">
        <v>1998</v>
      </c>
      <c r="D26" s="1140">
        <v>1</v>
      </c>
      <c r="E26" s="1141" t="s">
        <v>646</v>
      </c>
      <c r="F26" s="1132" t="s">
        <v>69</v>
      </c>
      <c r="G26" s="1139" t="s">
        <v>67</v>
      </c>
      <c r="H26" s="1153"/>
      <c r="I26" s="431"/>
      <c r="J26" s="435" t="s">
        <v>76</v>
      </c>
      <c r="K26" s="435"/>
      <c r="L26" s="435"/>
      <c r="M26" s="432"/>
      <c r="N26" s="432"/>
      <c r="O26" s="37"/>
      <c r="P26" s="37"/>
      <c r="Q26" s="37"/>
      <c r="R26" s="37"/>
      <c r="S26" s="37"/>
      <c r="T26" s="37"/>
      <c r="U26" s="37"/>
      <c r="V26" s="37"/>
      <c r="W26" s="37"/>
      <c r="X26" s="37"/>
      <c r="Y26" s="37"/>
      <c r="Z26" s="37"/>
    </row>
    <row r="27" spans="1:26" ht="15.75" customHeight="1" x14ac:dyDescent="0.2">
      <c r="A27" s="1133" t="s">
        <v>653</v>
      </c>
      <c r="B27" s="1131" t="s">
        <v>58</v>
      </c>
      <c r="C27" s="1136">
        <v>1999</v>
      </c>
      <c r="D27" s="1140">
        <v>1</v>
      </c>
      <c r="E27" s="1141" t="s">
        <v>646</v>
      </c>
      <c r="F27" s="1132" t="s">
        <v>69</v>
      </c>
      <c r="G27" s="1139" t="s">
        <v>67</v>
      </c>
      <c r="H27" s="1153"/>
      <c r="I27" s="431"/>
      <c r="J27" s="435" t="s">
        <v>66</v>
      </c>
      <c r="K27" s="435"/>
      <c r="L27" s="435"/>
      <c r="M27" s="432"/>
      <c r="N27" s="432"/>
      <c r="O27" s="37"/>
      <c r="P27" s="37"/>
      <c r="Q27" s="37"/>
      <c r="R27" s="37"/>
      <c r="S27" s="37"/>
      <c r="T27" s="37"/>
      <c r="U27" s="37"/>
      <c r="V27" s="37"/>
      <c r="W27" s="37"/>
      <c r="X27" s="37"/>
      <c r="Y27" s="37"/>
      <c r="Z27" s="37"/>
    </row>
    <row r="28" spans="1:26" ht="15.75" customHeight="1" x14ac:dyDescent="0.2">
      <c r="A28" s="1133" t="s">
        <v>654</v>
      </c>
      <c r="B28" s="1131" t="s">
        <v>58</v>
      </c>
      <c r="C28" s="1136">
        <v>1999</v>
      </c>
      <c r="D28" s="1140">
        <v>1</v>
      </c>
      <c r="E28" s="1141" t="s">
        <v>646</v>
      </c>
      <c r="F28" s="1132" t="s">
        <v>69</v>
      </c>
      <c r="G28" s="1139" t="s">
        <v>67</v>
      </c>
      <c r="H28" s="1153"/>
      <c r="I28" s="431"/>
      <c r="J28" s="432"/>
      <c r="K28" s="432"/>
      <c r="L28" s="432"/>
      <c r="M28" s="432"/>
      <c r="N28" s="432"/>
      <c r="O28" s="37"/>
      <c r="P28" s="37"/>
      <c r="Q28" s="37"/>
      <c r="R28" s="37"/>
      <c r="S28" s="37"/>
      <c r="T28" s="37"/>
      <c r="U28" s="37"/>
      <c r="V28" s="37"/>
      <c r="W28" s="37"/>
      <c r="X28" s="37"/>
      <c r="Y28" s="37"/>
      <c r="Z28" s="37"/>
    </row>
    <row r="29" spans="1:26" ht="15.75" customHeight="1" x14ac:dyDescent="0.2">
      <c r="A29" s="1133" t="s">
        <v>655</v>
      </c>
      <c r="B29" s="1134" t="s">
        <v>58</v>
      </c>
      <c r="C29" s="1142">
        <v>1999</v>
      </c>
      <c r="D29" s="1143">
        <v>1</v>
      </c>
      <c r="E29" s="1144" t="s">
        <v>646</v>
      </c>
      <c r="F29" s="1135" t="s">
        <v>69</v>
      </c>
      <c r="G29" s="1145" t="s">
        <v>67</v>
      </c>
      <c r="H29" s="1154"/>
      <c r="I29" s="431"/>
      <c r="J29" s="447" t="s">
        <v>77</v>
      </c>
      <c r="K29" s="436"/>
      <c r="L29" s="432"/>
      <c r="M29" s="432"/>
      <c r="N29" s="432"/>
      <c r="O29" s="37"/>
      <c r="P29" s="37"/>
      <c r="Q29" s="37"/>
      <c r="R29" s="37"/>
      <c r="S29" s="37"/>
      <c r="T29" s="37"/>
      <c r="U29" s="37"/>
      <c r="V29" s="37"/>
      <c r="W29" s="37"/>
      <c r="X29" s="37"/>
      <c r="Y29" s="37"/>
      <c r="Z29" s="37"/>
    </row>
    <row r="30" spans="1:26" ht="15.75" customHeight="1" x14ac:dyDescent="0.2">
      <c r="A30" s="1146" t="s">
        <v>656</v>
      </c>
      <c r="B30" s="1147" t="s">
        <v>58</v>
      </c>
      <c r="C30" s="1148">
        <v>2001</v>
      </c>
      <c r="D30" s="1149">
        <v>1</v>
      </c>
      <c r="E30" s="1150" t="s">
        <v>646</v>
      </c>
      <c r="F30" s="1151" t="s">
        <v>69</v>
      </c>
      <c r="G30" s="1152" t="s">
        <v>67</v>
      </c>
      <c r="H30" s="1155"/>
      <c r="I30" s="431"/>
      <c r="J30" s="436" t="s">
        <v>78</v>
      </c>
      <c r="K30" s="436"/>
      <c r="L30" s="432"/>
      <c r="M30" s="432"/>
      <c r="N30" s="432"/>
      <c r="O30" s="37"/>
      <c r="P30" s="37"/>
      <c r="Q30" s="37"/>
      <c r="R30" s="37"/>
      <c r="S30" s="37"/>
      <c r="T30" s="37"/>
      <c r="U30" s="37"/>
      <c r="V30" s="37"/>
      <c r="W30" s="37"/>
      <c r="X30" s="37"/>
      <c r="Y30" s="37"/>
      <c r="Z30" s="37"/>
    </row>
    <row r="31" spans="1:26" ht="15.75" customHeight="1" x14ac:dyDescent="0.2">
      <c r="A31" s="1133" t="s">
        <v>657</v>
      </c>
      <c r="B31" s="1131" t="s">
        <v>58</v>
      </c>
      <c r="C31" s="1136" t="s">
        <v>646</v>
      </c>
      <c r="D31" s="1140">
        <v>1</v>
      </c>
      <c r="E31" s="1141">
        <v>4526</v>
      </c>
      <c r="F31" s="1132" t="s">
        <v>72</v>
      </c>
      <c r="G31" s="1139" t="s">
        <v>67</v>
      </c>
      <c r="H31" s="1153"/>
      <c r="I31" s="431"/>
      <c r="J31" s="436" t="s">
        <v>79</v>
      </c>
      <c r="K31" s="436"/>
      <c r="L31" s="432"/>
      <c r="M31" s="432"/>
      <c r="N31" s="432"/>
      <c r="O31" s="37"/>
      <c r="P31" s="37"/>
      <c r="Q31" s="37"/>
      <c r="R31" s="37"/>
      <c r="S31" s="37"/>
      <c r="T31" s="37"/>
      <c r="U31" s="37"/>
      <c r="V31" s="37"/>
      <c r="W31" s="37"/>
      <c r="X31" s="37"/>
      <c r="Y31" s="37"/>
      <c r="Z31" s="37"/>
    </row>
    <row r="32" spans="1:26" ht="15.75" customHeight="1" x14ac:dyDescent="0.2">
      <c r="A32" s="1133" t="s">
        <v>658</v>
      </c>
      <c r="B32" s="1131" t="s">
        <v>58</v>
      </c>
      <c r="C32" s="1136">
        <v>2003</v>
      </c>
      <c r="D32" s="1140">
        <v>1</v>
      </c>
      <c r="E32" s="1141" t="s">
        <v>646</v>
      </c>
      <c r="F32" s="1132" t="s">
        <v>76</v>
      </c>
      <c r="G32" s="1139" t="s">
        <v>67</v>
      </c>
      <c r="H32" s="1153"/>
      <c r="I32" s="431"/>
      <c r="J32" s="436" t="s">
        <v>80</v>
      </c>
      <c r="K32" s="436"/>
      <c r="L32" s="432"/>
      <c r="M32" s="432"/>
      <c r="N32" s="432"/>
      <c r="O32" s="37"/>
      <c r="P32" s="37"/>
      <c r="Q32" s="37"/>
      <c r="R32" s="37"/>
      <c r="S32" s="37"/>
      <c r="T32" s="37"/>
      <c r="U32" s="37"/>
      <c r="V32" s="37"/>
      <c r="W32" s="37"/>
      <c r="X32" s="37"/>
      <c r="Y32" s="37"/>
      <c r="Z32" s="37"/>
    </row>
    <row r="33" spans="1:26" ht="15.75" customHeight="1" x14ac:dyDescent="0.2">
      <c r="A33" s="1133" t="s">
        <v>659</v>
      </c>
      <c r="B33" s="1131" t="s">
        <v>54</v>
      </c>
      <c r="C33" s="1136">
        <v>2003</v>
      </c>
      <c r="D33" s="1140">
        <v>1</v>
      </c>
      <c r="E33" s="1141">
        <v>6000</v>
      </c>
      <c r="F33" s="1132" t="s">
        <v>74</v>
      </c>
      <c r="G33" s="1139" t="s">
        <v>67</v>
      </c>
      <c r="H33" s="1153"/>
      <c r="I33" s="431"/>
      <c r="J33" s="436" t="s">
        <v>67</v>
      </c>
      <c r="K33" s="436"/>
      <c r="L33" s="432"/>
      <c r="M33" s="432"/>
      <c r="N33" s="432"/>
      <c r="O33" s="37"/>
      <c r="P33" s="37"/>
      <c r="Q33" s="37"/>
      <c r="R33" s="37"/>
      <c r="S33" s="37"/>
      <c r="T33" s="37"/>
      <c r="U33" s="37"/>
      <c r="V33" s="37"/>
      <c r="W33" s="37"/>
      <c r="X33" s="37"/>
      <c r="Y33" s="37"/>
      <c r="Z33" s="37"/>
    </row>
    <row r="34" spans="1:26" ht="15.75" customHeight="1" x14ac:dyDescent="0.2">
      <c r="A34" s="1133" t="s">
        <v>660</v>
      </c>
      <c r="B34" s="1131" t="s">
        <v>58</v>
      </c>
      <c r="C34" s="1136">
        <v>2004</v>
      </c>
      <c r="D34" s="1140">
        <v>1</v>
      </c>
      <c r="E34" s="1141">
        <v>8000</v>
      </c>
      <c r="F34" s="1132" t="s">
        <v>69</v>
      </c>
      <c r="G34" s="1139" t="s">
        <v>67</v>
      </c>
      <c r="H34" s="1153"/>
      <c r="I34" s="431"/>
      <c r="J34" s="432"/>
      <c r="K34" s="432"/>
      <c r="L34" s="432"/>
      <c r="M34" s="432"/>
      <c r="N34" s="432"/>
      <c r="O34" s="37"/>
      <c r="P34" s="37"/>
      <c r="Q34" s="37"/>
      <c r="R34" s="37"/>
      <c r="S34" s="37"/>
      <c r="T34" s="37"/>
      <c r="U34" s="37"/>
      <c r="V34" s="37"/>
      <c r="W34" s="37"/>
      <c r="X34" s="37"/>
      <c r="Y34" s="37"/>
      <c r="Z34" s="37"/>
    </row>
    <row r="35" spans="1:26" ht="15.75" customHeight="1" x14ac:dyDescent="0.2">
      <c r="A35" s="1133" t="s">
        <v>661</v>
      </c>
      <c r="B35" s="1131" t="s">
        <v>58</v>
      </c>
      <c r="C35" s="1136">
        <v>2004</v>
      </c>
      <c r="D35" s="1140">
        <v>1</v>
      </c>
      <c r="E35" s="1141">
        <v>4500</v>
      </c>
      <c r="F35" s="1132" t="s">
        <v>69</v>
      </c>
      <c r="G35" s="1139" t="s">
        <v>67</v>
      </c>
      <c r="H35" s="1153"/>
      <c r="I35" s="431"/>
      <c r="J35" s="432"/>
      <c r="K35" s="432"/>
      <c r="L35" s="432"/>
      <c r="M35" s="432"/>
      <c r="N35" s="432"/>
      <c r="O35" s="37"/>
      <c r="P35" s="37"/>
      <c r="Q35" s="37"/>
      <c r="R35" s="37"/>
      <c r="S35" s="37"/>
      <c r="T35" s="37"/>
      <c r="U35" s="37"/>
      <c r="V35" s="37"/>
      <c r="W35" s="37"/>
      <c r="X35" s="37"/>
      <c r="Y35" s="37"/>
      <c r="Z35" s="37"/>
    </row>
    <row r="36" spans="1:26" ht="15.75" customHeight="1" x14ac:dyDescent="0.2">
      <c r="A36" s="1133" t="s">
        <v>662</v>
      </c>
      <c r="B36" s="1131" t="s">
        <v>58</v>
      </c>
      <c r="C36" s="1136">
        <v>2006</v>
      </c>
      <c r="D36" s="1140">
        <v>1</v>
      </c>
      <c r="E36" s="1141">
        <v>6500</v>
      </c>
      <c r="F36" s="1132" t="s">
        <v>69</v>
      </c>
      <c r="G36" s="1139" t="s">
        <v>67</v>
      </c>
      <c r="H36" s="1153"/>
      <c r="I36" s="431"/>
      <c r="J36" s="432"/>
      <c r="K36" s="432"/>
      <c r="L36" s="432"/>
      <c r="M36" s="432"/>
      <c r="N36" s="432"/>
      <c r="O36" s="37"/>
      <c r="P36" s="37"/>
      <c r="Q36" s="37"/>
      <c r="R36" s="37"/>
      <c r="S36" s="37"/>
      <c r="T36" s="37"/>
      <c r="U36" s="37"/>
      <c r="V36" s="37"/>
      <c r="W36" s="37"/>
      <c r="X36" s="37"/>
      <c r="Y36" s="37"/>
      <c r="Z36" s="37"/>
    </row>
    <row r="37" spans="1:26" ht="15.75" customHeight="1" x14ac:dyDescent="0.2">
      <c r="A37" s="1133" t="s">
        <v>663</v>
      </c>
      <c r="B37" s="1131" t="s">
        <v>58</v>
      </c>
      <c r="C37" s="1136">
        <v>2000</v>
      </c>
      <c r="D37" s="1140">
        <v>1</v>
      </c>
      <c r="E37" s="1141">
        <v>25000</v>
      </c>
      <c r="F37" s="1132" t="s">
        <v>69</v>
      </c>
      <c r="G37" s="1139" t="s">
        <v>78</v>
      </c>
      <c r="H37" s="1153"/>
      <c r="I37" s="431"/>
      <c r="J37" s="432"/>
      <c r="K37" s="432"/>
      <c r="L37" s="432"/>
      <c r="M37" s="432"/>
      <c r="N37" s="432"/>
      <c r="O37" s="37"/>
      <c r="P37" s="37"/>
      <c r="Q37" s="37"/>
      <c r="R37" s="37"/>
      <c r="S37" s="37"/>
      <c r="T37" s="37"/>
      <c r="U37" s="37"/>
      <c r="V37" s="37"/>
      <c r="W37" s="37"/>
      <c r="X37" s="37"/>
      <c r="Y37" s="37"/>
      <c r="Z37" s="37"/>
    </row>
    <row r="38" spans="1:26" ht="15.75" customHeight="1" x14ac:dyDescent="0.2">
      <c r="A38" s="1133" t="s">
        <v>664</v>
      </c>
      <c r="B38" s="1131" t="s">
        <v>58</v>
      </c>
      <c r="C38" s="1136">
        <v>2006</v>
      </c>
      <c r="D38" s="1140">
        <v>1</v>
      </c>
      <c r="E38" s="1141">
        <v>4200</v>
      </c>
      <c r="F38" s="1132" t="s">
        <v>76</v>
      </c>
      <c r="G38" s="1139" t="s">
        <v>67</v>
      </c>
      <c r="H38" s="1153"/>
      <c r="I38" s="431"/>
      <c r="J38" s="432"/>
      <c r="K38" s="432"/>
      <c r="L38" s="432"/>
      <c r="M38" s="432"/>
      <c r="N38" s="432"/>
      <c r="O38" s="37"/>
      <c r="P38" s="37"/>
      <c r="Q38" s="37"/>
      <c r="R38" s="37"/>
      <c r="S38" s="37"/>
      <c r="T38" s="37"/>
      <c r="U38" s="37"/>
      <c r="V38" s="37"/>
      <c r="W38" s="37"/>
      <c r="X38" s="37"/>
      <c r="Y38" s="37"/>
      <c r="Z38" s="37"/>
    </row>
    <row r="39" spans="1:26" ht="15.75" customHeight="1" x14ac:dyDescent="0.2">
      <c r="A39" s="1133" t="s">
        <v>665</v>
      </c>
      <c r="B39" s="1131" t="s">
        <v>54</v>
      </c>
      <c r="C39" s="1136">
        <v>2008</v>
      </c>
      <c r="D39" s="1140">
        <v>1</v>
      </c>
      <c r="E39" s="1141">
        <v>2040</v>
      </c>
      <c r="F39" s="1132" t="s">
        <v>70</v>
      </c>
      <c r="G39" s="1139" t="s">
        <v>67</v>
      </c>
      <c r="H39" s="1153"/>
      <c r="I39" s="431"/>
      <c r="J39" s="432"/>
      <c r="K39" s="432"/>
      <c r="L39" s="432"/>
      <c r="M39" s="432"/>
      <c r="N39" s="432"/>
      <c r="O39" s="37"/>
      <c r="P39" s="37"/>
      <c r="Q39" s="37"/>
      <c r="R39" s="37"/>
      <c r="S39" s="37"/>
      <c r="T39" s="37"/>
      <c r="U39" s="37"/>
      <c r="V39" s="37"/>
      <c r="W39" s="37"/>
      <c r="X39" s="37"/>
      <c r="Y39" s="37"/>
      <c r="Z39" s="37"/>
    </row>
    <row r="40" spans="1:26" ht="15.75" customHeight="1" x14ac:dyDescent="0.2">
      <c r="A40" s="1133" t="s">
        <v>666</v>
      </c>
      <c r="B40" s="1131" t="s">
        <v>54</v>
      </c>
      <c r="C40" s="1136">
        <v>2008</v>
      </c>
      <c r="D40" s="1140">
        <v>1</v>
      </c>
      <c r="E40" s="1141">
        <v>3625</v>
      </c>
      <c r="F40" s="1132" t="s">
        <v>70</v>
      </c>
      <c r="G40" s="1139" t="s">
        <v>67</v>
      </c>
      <c r="H40" s="1153"/>
      <c r="I40" s="431"/>
      <c r="J40" s="432"/>
      <c r="K40" s="432"/>
      <c r="L40" s="432"/>
      <c r="M40" s="432"/>
      <c r="N40" s="432"/>
      <c r="O40" s="37"/>
      <c r="P40" s="37"/>
      <c r="Q40" s="37"/>
      <c r="R40" s="37"/>
      <c r="S40" s="37"/>
      <c r="T40" s="37"/>
      <c r="U40" s="37"/>
      <c r="V40" s="37"/>
      <c r="W40" s="37"/>
      <c r="X40" s="37"/>
      <c r="Y40" s="37"/>
      <c r="Z40" s="37"/>
    </row>
    <row r="41" spans="1:26" ht="15.75" customHeight="1" x14ac:dyDescent="0.2">
      <c r="A41" s="1133" t="s">
        <v>667</v>
      </c>
      <c r="B41" s="1131" t="s">
        <v>58</v>
      </c>
      <c r="C41" s="1136">
        <v>2008</v>
      </c>
      <c r="D41" s="1140">
        <v>1</v>
      </c>
      <c r="E41" s="1141">
        <v>1680</v>
      </c>
      <c r="F41" s="1132" t="s">
        <v>69</v>
      </c>
      <c r="G41" s="1139" t="s">
        <v>67</v>
      </c>
      <c r="H41" s="1153"/>
      <c r="I41" s="431"/>
      <c r="J41" s="432"/>
      <c r="K41" s="432"/>
      <c r="L41" s="432"/>
      <c r="M41" s="432"/>
      <c r="N41" s="432"/>
      <c r="O41" s="37"/>
      <c r="P41" s="37"/>
      <c r="Q41" s="37"/>
      <c r="R41" s="37"/>
      <c r="S41" s="37"/>
      <c r="T41" s="37"/>
      <c r="U41" s="37"/>
      <c r="V41" s="37"/>
      <c r="W41" s="37"/>
      <c r="X41" s="37"/>
      <c r="Y41" s="37"/>
      <c r="Z41" s="37"/>
    </row>
    <row r="42" spans="1:26" ht="15.75" customHeight="1" x14ac:dyDescent="0.2">
      <c r="A42" s="1133" t="s">
        <v>668</v>
      </c>
      <c r="B42" s="1131" t="s">
        <v>58</v>
      </c>
      <c r="C42" s="1136">
        <v>2008</v>
      </c>
      <c r="D42" s="1140">
        <v>1</v>
      </c>
      <c r="E42" s="1141">
        <v>2576</v>
      </c>
      <c r="F42" s="1132" t="s">
        <v>69</v>
      </c>
      <c r="G42" s="1139" t="s">
        <v>67</v>
      </c>
      <c r="H42" s="1153"/>
      <c r="I42" s="431"/>
      <c r="J42" s="432"/>
      <c r="K42" s="432"/>
      <c r="L42" s="432"/>
      <c r="M42" s="432"/>
      <c r="N42" s="432"/>
      <c r="O42" s="37"/>
      <c r="P42" s="37"/>
      <c r="Q42" s="37"/>
      <c r="R42" s="37"/>
      <c r="S42" s="37"/>
      <c r="T42" s="37"/>
      <c r="U42" s="37"/>
      <c r="V42" s="37"/>
      <c r="W42" s="37"/>
      <c r="X42" s="37"/>
      <c r="Y42" s="37"/>
      <c r="Z42" s="37"/>
    </row>
    <row r="43" spans="1:26" ht="15.75" customHeight="1" x14ac:dyDescent="0.2">
      <c r="A43" s="1133" t="s">
        <v>669</v>
      </c>
      <c r="B43" s="1131" t="s">
        <v>58</v>
      </c>
      <c r="C43" s="1136">
        <v>2009</v>
      </c>
      <c r="D43" s="1140">
        <v>1</v>
      </c>
      <c r="E43" s="1141">
        <v>9000</v>
      </c>
      <c r="F43" s="1132" t="s">
        <v>76</v>
      </c>
      <c r="G43" s="1139" t="s">
        <v>67</v>
      </c>
      <c r="H43" s="1153"/>
      <c r="I43" s="431"/>
      <c r="J43" s="432"/>
      <c r="K43" s="432"/>
      <c r="L43" s="432"/>
      <c r="M43" s="432"/>
      <c r="N43" s="432"/>
      <c r="O43" s="37"/>
      <c r="P43" s="37"/>
      <c r="Q43" s="37"/>
      <c r="R43" s="37"/>
      <c r="S43" s="37"/>
      <c r="T43" s="37"/>
      <c r="U43" s="37"/>
      <c r="V43" s="37"/>
      <c r="W43" s="37"/>
      <c r="X43" s="37"/>
      <c r="Y43" s="37"/>
      <c r="Z43" s="37"/>
    </row>
    <row r="44" spans="1:26" ht="15.75" customHeight="1" x14ac:dyDescent="0.2">
      <c r="A44" s="1133" t="s">
        <v>670</v>
      </c>
      <c r="B44" s="1131" t="s">
        <v>58</v>
      </c>
      <c r="C44" s="1136">
        <v>2009</v>
      </c>
      <c r="D44" s="1140">
        <v>1</v>
      </c>
      <c r="E44" s="1141">
        <v>2591</v>
      </c>
      <c r="F44" s="1132" t="s">
        <v>69</v>
      </c>
      <c r="G44" s="1139" t="s">
        <v>67</v>
      </c>
      <c r="H44" s="1153"/>
      <c r="I44" s="431"/>
      <c r="J44" s="432"/>
      <c r="K44" s="432"/>
      <c r="L44" s="432"/>
      <c r="M44" s="432"/>
      <c r="N44" s="432"/>
      <c r="O44" s="37"/>
      <c r="P44" s="37"/>
      <c r="Q44" s="37"/>
      <c r="R44" s="37"/>
      <c r="S44" s="37"/>
      <c r="T44" s="37"/>
      <c r="U44" s="37"/>
      <c r="V44" s="37"/>
      <c r="W44" s="37"/>
      <c r="X44" s="37"/>
      <c r="Y44" s="37"/>
      <c r="Z44" s="37"/>
    </row>
    <row r="45" spans="1:26" ht="15.75" customHeight="1" x14ac:dyDescent="0.2">
      <c r="A45" s="1133" t="s">
        <v>671</v>
      </c>
      <c r="B45" s="1131" t="s">
        <v>58</v>
      </c>
      <c r="C45" s="1136">
        <v>2009</v>
      </c>
      <c r="D45" s="1140">
        <v>1</v>
      </c>
      <c r="E45" s="1141">
        <v>3200</v>
      </c>
      <c r="F45" s="1132" t="s">
        <v>69</v>
      </c>
      <c r="G45" s="1139" t="s">
        <v>67</v>
      </c>
      <c r="H45" s="1153"/>
      <c r="I45" s="431"/>
      <c r="J45" s="432"/>
      <c r="K45" s="432"/>
      <c r="L45" s="432"/>
      <c r="M45" s="432"/>
      <c r="N45" s="432"/>
      <c r="O45" s="37"/>
      <c r="P45" s="37"/>
      <c r="Q45" s="37"/>
      <c r="R45" s="37"/>
      <c r="S45" s="37"/>
      <c r="T45" s="37"/>
      <c r="U45" s="37"/>
      <c r="V45" s="37"/>
      <c r="W45" s="37"/>
      <c r="X45" s="37"/>
      <c r="Y45" s="37"/>
      <c r="Z45" s="37"/>
    </row>
    <row r="46" spans="1:26" ht="15.75" customHeight="1" x14ac:dyDescent="0.2">
      <c r="A46" s="1133" t="s">
        <v>672</v>
      </c>
      <c r="B46" s="1131" t="s">
        <v>54</v>
      </c>
      <c r="C46" s="1136">
        <v>2010</v>
      </c>
      <c r="D46" s="1140">
        <v>1</v>
      </c>
      <c r="E46" s="1141">
        <v>14733</v>
      </c>
      <c r="F46" s="1132" t="s">
        <v>66</v>
      </c>
      <c r="G46" s="1139" t="s">
        <v>67</v>
      </c>
      <c r="H46" s="1153" t="s">
        <v>673</v>
      </c>
      <c r="I46" s="431"/>
      <c r="J46" s="432"/>
      <c r="K46" s="432"/>
      <c r="L46" s="432"/>
      <c r="M46" s="432"/>
      <c r="N46" s="432"/>
      <c r="O46" s="37"/>
      <c r="P46" s="37"/>
      <c r="Q46" s="37"/>
      <c r="R46" s="37"/>
      <c r="S46" s="37"/>
      <c r="T46" s="37"/>
      <c r="U46" s="37"/>
      <c r="V46" s="37"/>
      <c r="W46" s="37"/>
      <c r="X46" s="37"/>
      <c r="Y46" s="37"/>
      <c r="Z46" s="37"/>
    </row>
    <row r="47" spans="1:26" ht="15.75" customHeight="1" x14ac:dyDescent="0.2">
      <c r="A47" s="1133" t="s">
        <v>674</v>
      </c>
      <c r="B47" s="1131" t="s">
        <v>58</v>
      </c>
      <c r="C47" s="1136">
        <v>2011</v>
      </c>
      <c r="D47" s="1140">
        <v>1</v>
      </c>
      <c r="E47" s="1141">
        <v>8400</v>
      </c>
      <c r="F47" s="1132" t="s">
        <v>69</v>
      </c>
      <c r="G47" s="1139" t="s">
        <v>67</v>
      </c>
      <c r="H47" s="1153"/>
      <c r="I47" s="431"/>
      <c r="J47" s="432"/>
      <c r="K47" s="432"/>
      <c r="L47" s="432"/>
      <c r="M47" s="432"/>
      <c r="N47" s="432"/>
      <c r="O47" s="37"/>
      <c r="P47" s="37"/>
      <c r="Q47" s="37"/>
      <c r="R47" s="37"/>
      <c r="S47" s="37"/>
      <c r="T47" s="37"/>
      <c r="U47" s="37"/>
      <c r="V47" s="37"/>
      <c r="W47" s="37"/>
      <c r="X47" s="37"/>
      <c r="Y47" s="37"/>
      <c r="Z47" s="37"/>
    </row>
    <row r="48" spans="1:26" ht="15.75" customHeight="1" x14ac:dyDescent="0.2">
      <c r="A48" s="1176" t="s">
        <v>675</v>
      </c>
      <c r="B48" s="1147" t="s">
        <v>58</v>
      </c>
      <c r="C48" s="1148">
        <v>2011</v>
      </c>
      <c r="D48" s="1149">
        <v>2</v>
      </c>
      <c r="E48" s="1150">
        <v>4850</v>
      </c>
      <c r="F48" s="1151" t="s">
        <v>69</v>
      </c>
      <c r="G48" s="1152" t="s">
        <v>67</v>
      </c>
      <c r="H48" s="57"/>
      <c r="I48" s="431"/>
      <c r="J48" s="432"/>
      <c r="K48" s="432"/>
      <c r="L48" s="432"/>
      <c r="M48" s="432"/>
      <c r="N48" s="432"/>
      <c r="O48" s="37"/>
      <c r="P48" s="37"/>
      <c r="Q48" s="37"/>
      <c r="R48" s="37"/>
      <c r="S48" s="37"/>
      <c r="T48" s="37"/>
      <c r="U48" s="37"/>
      <c r="V48" s="37"/>
      <c r="W48" s="37"/>
      <c r="X48" s="37"/>
      <c r="Y48" s="37"/>
      <c r="Z48" s="37"/>
    </row>
    <row r="49" spans="1:26" ht="15.75" customHeight="1" x14ac:dyDescent="0.2">
      <c r="A49" s="50"/>
      <c r="B49" s="1131"/>
      <c r="C49" s="1136"/>
      <c r="D49" s="1140"/>
      <c r="E49" s="1141"/>
      <c r="F49" s="1132"/>
      <c r="G49" s="1139"/>
      <c r="H49" s="54"/>
      <c r="I49" s="431"/>
      <c r="J49" s="432"/>
      <c r="K49" s="432"/>
      <c r="L49" s="432"/>
      <c r="M49" s="432"/>
      <c r="N49" s="432"/>
      <c r="O49" s="37"/>
      <c r="P49" s="37"/>
      <c r="Q49" s="37"/>
      <c r="R49" s="37"/>
      <c r="S49" s="37"/>
      <c r="T49" s="37"/>
      <c r="U49" s="37"/>
      <c r="V49" s="37"/>
      <c r="W49" s="37"/>
      <c r="X49" s="37"/>
      <c r="Y49" s="37"/>
      <c r="Z49" s="37"/>
    </row>
    <row r="50" spans="1:26" ht="15.75" customHeight="1" x14ac:dyDescent="0.2">
      <c r="A50" s="50"/>
      <c r="B50" s="1131"/>
      <c r="C50" s="1136"/>
      <c r="D50" s="1140"/>
      <c r="E50" s="1141"/>
      <c r="F50" s="1132"/>
      <c r="G50" s="1139"/>
      <c r="H50" s="54"/>
      <c r="I50" s="431"/>
      <c r="J50" s="432"/>
      <c r="K50" s="432"/>
      <c r="L50" s="432"/>
      <c r="M50" s="432"/>
      <c r="N50" s="432"/>
      <c r="O50" s="37"/>
      <c r="P50" s="37"/>
      <c r="Q50" s="37"/>
      <c r="R50" s="37"/>
      <c r="S50" s="37"/>
      <c r="T50" s="37"/>
      <c r="U50" s="37"/>
      <c r="V50" s="37"/>
      <c r="W50" s="37"/>
      <c r="X50" s="37"/>
      <c r="Y50" s="37"/>
      <c r="Z50" s="37"/>
    </row>
    <row r="51" spans="1:26" ht="15.75" customHeight="1" x14ac:dyDescent="0.2">
      <c r="A51" s="50"/>
      <c r="B51" s="1131"/>
      <c r="C51" s="1136"/>
      <c r="D51" s="1140"/>
      <c r="E51" s="1141"/>
      <c r="F51" s="1132"/>
      <c r="G51" s="1139"/>
      <c r="H51" s="54"/>
      <c r="I51" s="431"/>
      <c r="J51" s="432"/>
      <c r="K51" s="432"/>
      <c r="L51" s="432"/>
      <c r="M51" s="432"/>
      <c r="N51" s="432"/>
      <c r="O51" s="37"/>
      <c r="P51" s="37"/>
      <c r="Q51" s="37"/>
      <c r="R51" s="37"/>
      <c r="S51" s="37"/>
      <c r="T51" s="37"/>
      <c r="U51" s="37"/>
      <c r="V51" s="37"/>
      <c r="W51" s="37"/>
      <c r="X51" s="37"/>
      <c r="Y51" s="37"/>
      <c r="Z51" s="37"/>
    </row>
    <row r="52" spans="1:26" ht="15.75" customHeight="1" x14ac:dyDescent="0.2">
      <c r="A52" s="50"/>
      <c r="B52" s="1131"/>
      <c r="C52" s="1136"/>
      <c r="D52" s="1140"/>
      <c r="E52" s="1141"/>
      <c r="F52" s="1132"/>
      <c r="G52" s="1139"/>
      <c r="H52" s="54"/>
      <c r="I52" s="431"/>
      <c r="J52" s="432"/>
      <c r="K52" s="432"/>
      <c r="L52" s="432"/>
      <c r="M52" s="432"/>
      <c r="N52" s="432"/>
      <c r="O52" s="37"/>
      <c r="P52" s="37"/>
      <c r="Q52" s="37"/>
      <c r="R52" s="37"/>
      <c r="S52" s="37"/>
      <c r="T52" s="37"/>
      <c r="U52" s="37"/>
      <c r="V52" s="37"/>
      <c r="W52" s="37"/>
      <c r="X52" s="37"/>
      <c r="Y52" s="37"/>
      <c r="Z52" s="37"/>
    </row>
    <row r="53" spans="1:26" ht="15.75" customHeight="1" x14ac:dyDescent="0.2">
      <c r="A53" s="50"/>
      <c r="B53" s="1131"/>
      <c r="C53" s="1136"/>
      <c r="D53" s="1140"/>
      <c r="E53" s="1141"/>
      <c r="F53" s="1132"/>
      <c r="G53" s="1139"/>
      <c r="H53" s="54"/>
      <c r="I53" s="431"/>
      <c r="J53" s="432"/>
      <c r="K53" s="432"/>
      <c r="L53" s="432"/>
      <c r="M53" s="432"/>
      <c r="N53" s="432"/>
      <c r="O53" s="37"/>
      <c r="P53" s="37"/>
      <c r="Q53" s="37"/>
      <c r="R53" s="37"/>
      <c r="S53" s="37"/>
      <c r="T53" s="37"/>
      <c r="U53" s="37"/>
      <c r="V53" s="37"/>
      <c r="W53" s="37"/>
      <c r="X53" s="37"/>
      <c r="Y53" s="37"/>
      <c r="Z53" s="37"/>
    </row>
    <row r="54" spans="1:26" ht="15.75" customHeight="1" x14ac:dyDescent="0.2">
      <c r="A54" s="50"/>
      <c r="B54" s="1131"/>
      <c r="C54" s="1136"/>
      <c r="D54" s="1140"/>
      <c r="E54" s="1141"/>
      <c r="F54" s="1132"/>
      <c r="G54" s="1139"/>
      <c r="H54" s="54"/>
      <c r="I54" s="431"/>
      <c r="J54" s="432"/>
      <c r="K54" s="432"/>
      <c r="L54" s="432"/>
      <c r="M54" s="432"/>
      <c r="N54" s="432"/>
      <c r="O54" s="37"/>
      <c r="P54" s="37"/>
      <c r="Q54" s="37"/>
      <c r="R54" s="37"/>
      <c r="S54" s="37"/>
      <c r="T54" s="37"/>
      <c r="U54" s="37"/>
      <c r="V54" s="37"/>
      <c r="W54" s="37"/>
      <c r="X54" s="37"/>
      <c r="Y54" s="37"/>
      <c r="Z54" s="37"/>
    </row>
    <row r="55" spans="1:26" ht="15.75" customHeight="1" x14ac:dyDescent="0.2">
      <c r="A55" s="50"/>
      <c r="B55" s="1131"/>
      <c r="C55" s="1136"/>
      <c r="D55" s="1140"/>
      <c r="E55" s="1141"/>
      <c r="F55" s="1132"/>
      <c r="G55" s="1139"/>
      <c r="H55" s="54"/>
      <c r="I55" s="431"/>
      <c r="J55" s="432"/>
      <c r="K55" s="432"/>
      <c r="L55" s="432"/>
      <c r="M55" s="432"/>
      <c r="N55" s="432"/>
      <c r="O55" s="37"/>
      <c r="P55" s="37"/>
      <c r="Q55" s="37"/>
      <c r="R55" s="37"/>
      <c r="S55" s="37"/>
      <c r="T55" s="37"/>
      <c r="U55" s="37"/>
      <c r="V55" s="37"/>
      <c r="W55" s="37"/>
      <c r="X55" s="37"/>
      <c r="Y55" s="37"/>
      <c r="Z55" s="37"/>
    </row>
    <row r="56" spans="1:26" ht="15.75" customHeight="1" x14ac:dyDescent="0.2">
      <c r="A56" s="50"/>
      <c r="B56" s="1131"/>
      <c r="C56" s="1136"/>
      <c r="D56" s="1140"/>
      <c r="E56" s="1141"/>
      <c r="F56" s="1132"/>
      <c r="G56" s="1139"/>
      <c r="H56" s="54"/>
      <c r="I56" s="431"/>
      <c r="J56" s="432"/>
      <c r="K56" s="432"/>
      <c r="L56" s="432"/>
      <c r="M56" s="432"/>
      <c r="N56" s="432"/>
      <c r="O56" s="37"/>
      <c r="P56" s="37"/>
      <c r="Q56" s="37"/>
      <c r="R56" s="37"/>
      <c r="S56" s="37"/>
      <c r="T56" s="37"/>
      <c r="U56" s="37"/>
      <c r="V56" s="37"/>
      <c r="W56" s="37"/>
      <c r="X56" s="37"/>
      <c r="Y56" s="37"/>
      <c r="Z56" s="37"/>
    </row>
    <row r="57" spans="1:26" ht="15.75" customHeight="1" x14ac:dyDescent="0.2">
      <c r="A57" s="50"/>
      <c r="B57" s="1131"/>
      <c r="C57" s="1136"/>
      <c r="D57" s="1140"/>
      <c r="E57" s="1141"/>
      <c r="F57" s="1132"/>
      <c r="G57" s="1139"/>
      <c r="H57" s="54"/>
      <c r="I57" s="431"/>
      <c r="J57" s="432"/>
      <c r="K57" s="432"/>
      <c r="L57" s="432"/>
      <c r="M57" s="432"/>
      <c r="N57" s="432"/>
      <c r="O57" s="37"/>
      <c r="P57" s="37"/>
      <c r="Q57" s="37"/>
      <c r="R57" s="37"/>
      <c r="S57" s="37"/>
      <c r="T57" s="37"/>
      <c r="U57" s="37"/>
      <c r="V57" s="37"/>
      <c r="W57" s="37"/>
      <c r="X57" s="37"/>
      <c r="Y57" s="37"/>
      <c r="Z57" s="37"/>
    </row>
    <row r="58" spans="1:26" ht="15.75" customHeight="1" x14ac:dyDescent="0.2">
      <c r="A58" s="50"/>
      <c r="B58" s="1131"/>
      <c r="C58" s="1136"/>
      <c r="D58" s="1140"/>
      <c r="E58" s="1141"/>
      <c r="F58" s="1132"/>
      <c r="G58" s="1139"/>
      <c r="H58" s="54"/>
      <c r="I58" s="431"/>
      <c r="J58" s="432"/>
      <c r="K58" s="432"/>
      <c r="L58" s="432"/>
      <c r="M58" s="432"/>
      <c r="N58" s="432"/>
      <c r="O58" s="37"/>
      <c r="P58" s="37"/>
      <c r="Q58" s="37"/>
      <c r="R58" s="37"/>
      <c r="S58" s="37"/>
      <c r="T58" s="37"/>
      <c r="U58" s="37"/>
      <c r="V58" s="37"/>
      <c r="W58" s="37"/>
      <c r="X58" s="37"/>
      <c r="Y58" s="37"/>
      <c r="Z58" s="37"/>
    </row>
    <row r="59" spans="1:26" ht="15.75" customHeight="1" x14ac:dyDescent="0.2">
      <c r="A59" s="50"/>
      <c r="B59" s="1131"/>
      <c r="C59" s="1136"/>
      <c r="D59" s="1140"/>
      <c r="E59" s="1141"/>
      <c r="F59" s="1132"/>
      <c r="G59" s="1139"/>
      <c r="H59" s="54"/>
      <c r="I59" s="431"/>
      <c r="J59" s="432"/>
      <c r="K59" s="432"/>
      <c r="L59" s="432"/>
      <c r="M59" s="432"/>
      <c r="N59" s="432"/>
      <c r="O59" s="37"/>
      <c r="P59" s="37"/>
      <c r="Q59" s="37"/>
      <c r="R59" s="37"/>
      <c r="S59" s="37"/>
      <c r="T59" s="37"/>
      <c r="U59" s="37"/>
      <c r="V59" s="37"/>
      <c r="W59" s="37"/>
      <c r="X59" s="37"/>
      <c r="Y59" s="37"/>
      <c r="Z59" s="37"/>
    </row>
    <row r="60" spans="1:26" ht="15.75" customHeight="1" x14ac:dyDescent="0.2">
      <c r="A60" s="50"/>
      <c r="B60" s="1131"/>
      <c r="C60" s="1136"/>
      <c r="D60" s="1140"/>
      <c r="E60" s="1141"/>
      <c r="F60" s="1132"/>
      <c r="G60" s="1139"/>
      <c r="H60" s="54"/>
      <c r="I60" s="431"/>
      <c r="K60" s="432"/>
      <c r="L60" s="432"/>
      <c r="M60" s="432"/>
      <c r="N60" s="432"/>
      <c r="O60" s="37"/>
      <c r="P60" s="37"/>
      <c r="Q60" s="37"/>
      <c r="R60" s="37"/>
      <c r="S60" s="37"/>
      <c r="T60" s="37"/>
      <c r="U60" s="37"/>
      <c r="V60" s="37"/>
      <c r="W60" s="37"/>
      <c r="X60" s="37"/>
      <c r="Y60" s="37"/>
      <c r="Z60" s="37"/>
    </row>
    <row r="61" spans="1:26" ht="15.75" customHeight="1" x14ac:dyDescent="0.2">
      <c r="A61" s="50"/>
      <c r="B61" s="1131"/>
      <c r="C61" s="1136"/>
      <c r="D61" s="1140"/>
      <c r="E61" s="1141"/>
      <c r="F61" s="1132"/>
      <c r="G61" s="1139"/>
      <c r="H61" s="54"/>
      <c r="I61" s="431"/>
      <c r="K61" s="432"/>
      <c r="L61" s="432"/>
      <c r="M61" s="432"/>
      <c r="N61" s="432"/>
      <c r="O61" s="37"/>
      <c r="P61" s="37"/>
      <c r="Q61" s="37"/>
      <c r="R61" s="37"/>
      <c r="S61" s="37"/>
      <c r="T61" s="37"/>
      <c r="U61" s="37"/>
      <c r="V61" s="37"/>
      <c r="W61" s="37"/>
      <c r="X61" s="37"/>
      <c r="Y61" s="37"/>
      <c r="Z61" s="37"/>
    </row>
    <row r="62" spans="1:26" ht="15.75" customHeight="1" x14ac:dyDescent="0.2">
      <c r="A62" s="58"/>
      <c r="B62" s="1168"/>
      <c r="C62" s="1169"/>
      <c r="D62" s="1170"/>
      <c r="E62" s="1171"/>
      <c r="F62" s="1172"/>
      <c r="G62" s="1173"/>
      <c r="H62" s="45"/>
      <c r="I62" s="431"/>
      <c r="J62" s="432"/>
      <c r="K62" s="432"/>
      <c r="L62" s="432"/>
      <c r="M62" s="432"/>
      <c r="N62" s="432"/>
      <c r="O62" s="37"/>
      <c r="P62" s="37"/>
      <c r="Q62" s="37"/>
      <c r="R62" s="37"/>
      <c r="S62" s="37"/>
      <c r="T62" s="37"/>
      <c r="U62" s="37"/>
      <c r="V62" s="37"/>
      <c r="W62" s="37"/>
      <c r="X62" s="37"/>
      <c r="Y62" s="37"/>
      <c r="Z62" s="37"/>
    </row>
    <row r="63" spans="1:26" x14ac:dyDescent="0.2">
      <c r="A63" s="315" t="s">
        <v>847</v>
      </c>
      <c r="B63" s="321"/>
      <c r="C63" s="321"/>
      <c r="D63" s="321"/>
      <c r="E63" s="321"/>
      <c r="F63" s="321"/>
      <c r="G63" s="321"/>
      <c r="H63" s="322"/>
      <c r="I63" s="431"/>
      <c r="J63" s="432"/>
      <c r="K63" s="432"/>
      <c r="L63" s="432"/>
      <c r="M63" s="432"/>
      <c r="N63" s="432"/>
      <c r="O63" s="37"/>
      <c r="P63" s="37"/>
      <c r="Q63" s="37"/>
      <c r="R63" s="37"/>
      <c r="S63" s="37"/>
      <c r="T63" s="37"/>
      <c r="U63" s="37"/>
      <c r="V63" s="37"/>
      <c r="W63" s="37"/>
      <c r="X63" s="37"/>
      <c r="Y63" s="37"/>
      <c r="Z63" s="37"/>
    </row>
    <row r="64" spans="1:26" ht="39" customHeight="1" thickBot="1" x14ac:dyDescent="0.25">
      <c r="A64" s="1547"/>
      <c r="B64" s="1548"/>
      <c r="C64" s="1548"/>
      <c r="D64" s="1548"/>
      <c r="E64" s="1548"/>
      <c r="F64" s="1548"/>
      <c r="G64" s="1548"/>
      <c r="H64" s="1549"/>
      <c r="I64" s="431"/>
      <c r="J64" s="432"/>
      <c r="K64" s="432"/>
      <c r="L64" s="432"/>
      <c r="M64" s="432"/>
      <c r="N64" s="432"/>
      <c r="O64" s="37"/>
      <c r="P64" s="37"/>
      <c r="Q64" s="37"/>
      <c r="R64" s="37"/>
      <c r="S64" s="37"/>
      <c r="T64" s="37"/>
      <c r="U64" s="37"/>
      <c r="V64" s="37"/>
      <c r="W64" s="37"/>
      <c r="X64" s="37"/>
      <c r="Y64" s="37"/>
      <c r="Z64" s="37"/>
    </row>
    <row r="65" spans="1:26" ht="13.5" thickTop="1" x14ac:dyDescent="0.2">
      <c r="A65" s="29"/>
      <c r="B65" s="29"/>
      <c r="C65" s="29"/>
      <c r="D65" s="29"/>
      <c r="E65" s="29"/>
      <c r="F65" s="29"/>
      <c r="G65" s="29"/>
      <c r="H65" s="29"/>
      <c r="I65" s="431"/>
      <c r="J65" s="432"/>
      <c r="K65" s="432"/>
      <c r="L65" s="432"/>
      <c r="M65" s="432"/>
      <c r="N65" s="432"/>
      <c r="O65" s="37"/>
      <c r="P65" s="37"/>
      <c r="Q65" s="37"/>
      <c r="R65" s="37"/>
      <c r="S65" s="37"/>
      <c r="T65" s="37"/>
      <c r="U65" s="37"/>
      <c r="V65" s="37"/>
      <c r="W65" s="37"/>
      <c r="X65" s="37"/>
      <c r="Y65" s="37"/>
      <c r="Z65" s="37"/>
    </row>
    <row r="66" spans="1:26" x14ac:dyDescent="0.2">
      <c r="A66" s="29"/>
      <c r="B66" s="29"/>
      <c r="C66" s="29"/>
      <c r="D66" s="29"/>
      <c r="E66" s="29"/>
      <c r="F66" s="29"/>
      <c r="G66" s="29"/>
      <c r="H66" s="29"/>
      <c r="I66" s="431"/>
      <c r="J66" s="432"/>
      <c r="K66" s="432"/>
      <c r="L66" s="432"/>
      <c r="M66" s="432"/>
      <c r="N66" s="432"/>
      <c r="O66" s="37"/>
      <c r="P66" s="37"/>
      <c r="Q66" s="37"/>
      <c r="R66" s="37"/>
      <c r="S66" s="37"/>
      <c r="T66" s="37"/>
      <c r="U66" s="37"/>
      <c r="V66" s="37"/>
      <c r="W66" s="37"/>
      <c r="X66" s="37"/>
      <c r="Y66" s="37"/>
      <c r="Z66" s="37"/>
    </row>
    <row r="67" spans="1:26" x14ac:dyDescent="0.2">
      <c r="A67" s="29"/>
      <c r="B67" s="29"/>
      <c r="C67" s="29"/>
      <c r="D67" s="29"/>
      <c r="E67" s="29"/>
      <c r="F67" s="29"/>
      <c r="G67" s="29"/>
      <c r="H67" s="29"/>
      <c r="I67" s="431"/>
      <c r="J67" s="432"/>
      <c r="K67" s="432"/>
      <c r="L67" s="432"/>
      <c r="M67" s="432"/>
      <c r="N67" s="432"/>
      <c r="O67" s="37"/>
      <c r="P67" s="37"/>
      <c r="Q67" s="37"/>
      <c r="R67" s="37"/>
      <c r="S67" s="37"/>
      <c r="T67" s="37"/>
      <c r="U67" s="37"/>
      <c r="V67" s="37"/>
      <c r="W67" s="37"/>
      <c r="X67" s="37"/>
      <c r="Y67" s="37"/>
      <c r="Z67" s="37"/>
    </row>
    <row r="68" spans="1:26" x14ac:dyDescent="0.2">
      <c r="A68" s="29"/>
      <c r="B68" s="29"/>
      <c r="C68" s="29"/>
      <c r="D68" s="29"/>
      <c r="E68" s="29"/>
      <c r="F68" s="29"/>
      <c r="G68" s="29"/>
      <c r="H68" s="29"/>
      <c r="I68" s="431"/>
      <c r="J68" s="432"/>
      <c r="K68" s="432"/>
      <c r="L68" s="432"/>
      <c r="M68" s="432"/>
      <c r="N68" s="432"/>
      <c r="O68" s="37"/>
      <c r="P68" s="37"/>
      <c r="Q68" s="37"/>
      <c r="R68" s="37"/>
      <c r="S68" s="37"/>
      <c r="T68" s="37"/>
      <c r="U68" s="37"/>
      <c r="V68" s="37"/>
      <c r="W68" s="37"/>
      <c r="X68" s="37"/>
      <c r="Y68" s="37"/>
      <c r="Z68" s="37"/>
    </row>
    <row r="69" spans="1:26" x14ac:dyDescent="0.2">
      <c r="A69" s="29"/>
      <c r="B69" s="29"/>
      <c r="C69" s="29"/>
      <c r="D69" s="29"/>
      <c r="E69" s="29"/>
      <c r="F69" s="29"/>
      <c r="G69" s="29"/>
      <c r="H69" s="29"/>
      <c r="I69" s="431"/>
      <c r="J69" s="432"/>
      <c r="K69" s="432"/>
      <c r="L69" s="432"/>
      <c r="M69" s="432"/>
      <c r="N69" s="432"/>
      <c r="O69" s="37"/>
      <c r="P69" s="37"/>
      <c r="Q69" s="37"/>
      <c r="R69" s="37"/>
      <c r="S69" s="37"/>
      <c r="T69" s="37"/>
      <c r="U69" s="37"/>
      <c r="V69" s="37"/>
      <c r="W69" s="37"/>
      <c r="X69" s="37"/>
      <c r="Y69" s="37"/>
      <c r="Z69" s="37"/>
    </row>
    <row r="70" spans="1:26" x14ac:dyDescent="0.2">
      <c r="A70" s="29"/>
      <c r="B70" s="29"/>
      <c r="C70" s="29"/>
      <c r="D70" s="29"/>
      <c r="E70" s="29"/>
      <c r="F70" s="29"/>
      <c r="G70" s="29"/>
      <c r="H70" s="29"/>
      <c r="I70" s="431"/>
      <c r="J70" s="432"/>
      <c r="K70" s="432"/>
      <c r="L70" s="432"/>
      <c r="M70" s="432"/>
      <c r="N70" s="432"/>
      <c r="O70" s="37"/>
      <c r="P70" s="37"/>
      <c r="Q70" s="37"/>
      <c r="R70" s="37"/>
      <c r="S70" s="37"/>
      <c r="T70" s="37"/>
      <c r="U70" s="37"/>
      <c r="V70" s="37"/>
      <c r="W70" s="37"/>
      <c r="X70" s="37"/>
      <c r="Y70" s="37"/>
      <c r="Z70" s="37"/>
    </row>
    <row r="71" spans="1:26" x14ac:dyDescent="0.2">
      <c r="A71" s="29"/>
      <c r="B71" s="29"/>
      <c r="C71" s="29"/>
      <c r="D71" s="29"/>
      <c r="E71" s="29"/>
      <c r="F71" s="29"/>
      <c r="G71" s="29"/>
      <c r="H71" s="29"/>
      <c r="I71" s="431"/>
      <c r="J71" s="432"/>
      <c r="K71" s="432"/>
      <c r="L71" s="432"/>
      <c r="M71" s="432"/>
      <c r="N71" s="432"/>
      <c r="O71" s="37"/>
      <c r="P71" s="37"/>
      <c r="Q71" s="37"/>
      <c r="R71" s="37"/>
      <c r="S71" s="37"/>
      <c r="T71" s="37"/>
      <c r="U71" s="37"/>
      <c r="V71" s="37"/>
      <c r="W71" s="37"/>
      <c r="X71" s="37"/>
      <c r="Y71" s="37"/>
      <c r="Z71" s="37"/>
    </row>
    <row r="72" spans="1:26" x14ac:dyDescent="0.2">
      <c r="A72" s="29"/>
      <c r="B72" s="29"/>
      <c r="C72" s="29"/>
      <c r="D72" s="29"/>
      <c r="E72" s="29"/>
      <c r="F72" s="29"/>
      <c r="G72" s="29"/>
      <c r="H72" s="29"/>
      <c r="I72" s="431"/>
      <c r="J72" s="432"/>
      <c r="K72" s="432"/>
      <c r="L72" s="432"/>
      <c r="M72" s="432"/>
      <c r="N72" s="432"/>
      <c r="O72" s="37"/>
      <c r="P72" s="37"/>
      <c r="Q72" s="37"/>
      <c r="R72" s="37"/>
      <c r="S72" s="37"/>
      <c r="T72" s="37"/>
      <c r="U72" s="37"/>
      <c r="V72" s="37"/>
      <c r="W72" s="37"/>
      <c r="X72" s="37"/>
      <c r="Y72" s="37"/>
      <c r="Z72" s="37"/>
    </row>
    <row r="73" spans="1:26" x14ac:dyDescent="0.2">
      <c r="A73" s="29"/>
      <c r="B73" s="29"/>
      <c r="C73" s="29"/>
      <c r="D73" s="29"/>
      <c r="E73" s="29"/>
      <c r="F73" s="29"/>
      <c r="G73" s="29"/>
      <c r="H73" s="29"/>
      <c r="I73" s="431"/>
      <c r="J73" s="432"/>
      <c r="K73" s="432"/>
      <c r="L73" s="432"/>
      <c r="M73" s="432"/>
      <c r="N73" s="432"/>
      <c r="O73" s="37"/>
      <c r="P73" s="37"/>
      <c r="Q73" s="37"/>
      <c r="R73" s="37"/>
      <c r="S73" s="37"/>
      <c r="T73" s="37"/>
      <c r="U73" s="37"/>
      <c r="V73" s="37"/>
      <c r="W73" s="37"/>
      <c r="X73" s="37"/>
      <c r="Y73" s="37"/>
      <c r="Z73" s="37"/>
    </row>
    <row r="74" spans="1:26" x14ac:dyDescent="0.2">
      <c r="A74" s="29"/>
      <c r="B74" s="29"/>
      <c r="C74" s="29"/>
      <c r="D74" s="29"/>
      <c r="E74" s="29"/>
      <c r="F74" s="29"/>
      <c r="G74" s="29"/>
      <c r="H74" s="29"/>
      <c r="I74" s="431"/>
      <c r="J74" s="432"/>
      <c r="K74" s="432"/>
      <c r="L74" s="432"/>
      <c r="M74" s="432"/>
      <c r="N74" s="432"/>
      <c r="O74" s="37"/>
      <c r="P74" s="37"/>
      <c r="Q74" s="37"/>
      <c r="R74" s="37"/>
      <c r="S74" s="37"/>
      <c r="T74" s="37"/>
      <c r="U74" s="37"/>
      <c r="V74" s="37"/>
      <c r="W74" s="37"/>
      <c r="X74" s="37"/>
      <c r="Y74" s="37"/>
      <c r="Z74" s="37"/>
    </row>
    <row r="75" spans="1:26" x14ac:dyDescent="0.2">
      <c r="A75" s="29"/>
      <c r="B75" s="29"/>
      <c r="C75" s="29"/>
      <c r="D75" s="29"/>
      <c r="E75" s="29"/>
      <c r="F75" s="29"/>
      <c r="G75" s="29"/>
      <c r="H75" s="29"/>
      <c r="I75" s="431"/>
      <c r="J75" s="432"/>
      <c r="K75" s="432"/>
      <c r="L75" s="432"/>
      <c r="M75" s="432"/>
      <c r="N75" s="432"/>
      <c r="O75" s="37"/>
      <c r="P75" s="37"/>
      <c r="Q75" s="37"/>
      <c r="R75" s="37"/>
      <c r="S75" s="37"/>
      <c r="T75" s="37"/>
      <c r="U75" s="37"/>
      <c r="V75" s="37"/>
      <c r="W75" s="37"/>
      <c r="X75" s="37"/>
      <c r="Y75" s="37"/>
      <c r="Z75" s="37"/>
    </row>
    <row r="76" spans="1:26" x14ac:dyDescent="0.2">
      <c r="A76" s="29"/>
      <c r="B76" s="29"/>
      <c r="C76" s="29"/>
      <c r="D76" s="29"/>
      <c r="E76" s="29"/>
      <c r="F76" s="29"/>
      <c r="G76" s="29"/>
      <c r="H76" s="29"/>
      <c r="I76" s="431"/>
      <c r="J76" s="432"/>
      <c r="K76" s="432"/>
      <c r="L76" s="432"/>
      <c r="M76" s="432"/>
      <c r="N76" s="432"/>
      <c r="O76" s="37"/>
      <c r="P76" s="37"/>
      <c r="Q76" s="37"/>
      <c r="R76" s="37"/>
      <c r="S76" s="37"/>
      <c r="T76" s="37"/>
      <c r="U76" s="37"/>
      <c r="V76" s="37"/>
      <c r="W76" s="37"/>
      <c r="X76" s="37"/>
      <c r="Y76" s="37"/>
      <c r="Z76" s="37"/>
    </row>
    <row r="77" spans="1:26" x14ac:dyDescent="0.2">
      <c r="A77" s="29"/>
      <c r="B77" s="29"/>
      <c r="C77" s="29"/>
      <c r="D77" s="29"/>
      <c r="E77" s="29"/>
      <c r="F77" s="29"/>
      <c r="G77" s="29"/>
      <c r="H77" s="29"/>
      <c r="I77" s="431"/>
      <c r="J77" s="432"/>
      <c r="K77" s="432"/>
      <c r="L77" s="432"/>
      <c r="M77" s="432"/>
      <c r="N77" s="432"/>
      <c r="O77" s="37"/>
      <c r="P77" s="37"/>
      <c r="Q77" s="37"/>
      <c r="R77" s="37"/>
      <c r="S77" s="37"/>
      <c r="T77" s="37"/>
      <c r="U77" s="37"/>
      <c r="V77" s="37"/>
      <c r="W77" s="37"/>
      <c r="X77" s="37"/>
      <c r="Y77" s="37"/>
      <c r="Z77" s="37"/>
    </row>
    <row r="78" spans="1:26" x14ac:dyDescent="0.2">
      <c r="A78" s="29"/>
      <c r="B78" s="29"/>
      <c r="C78" s="29"/>
      <c r="D78" s="29"/>
      <c r="E78" s="29"/>
      <c r="F78" s="29"/>
      <c r="G78" s="29"/>
      <c r="H78" s="29"/>
      <c r="I78" s="431"/>
      <c r="J78" s="432"/>
      <c r="K78" s="432"/>
      <c r="L78" s="432"/>
      <c r="M78" s="432"/>
      <c r="N78" s="432"/>
      <c r="O78" s="37"/>
      <c r="P78" s="37"/>
      <c r="Q78" s="37"/>
      <c r="R78" s="37"/>
      <c r="S78" s="37"/>
      <c r="T78" s="37"/>
      <c r="U78" s="37"/>
      <c r="V78" s="37"/>
      <c r="W78" s="37"/>
      <c r="X78" s="37"/>
      <c r="Y78" s="37"/>
      <c r="Z78" s="37"/>
    </row>
    <row r="79" spans="1:26" x14ac:dyDescent="0.2">
      <c r="A79" s="29"/>
      <c r="B79" s="29"/>
      <c r="C79" s="29"/>
      <c r="D79" s="29"/>
      <c r="E79" s="29"/>
      <c r="F79" s="29"/>
      <c r="G79" s="29"/>
      <c r="H79" s="29"/>
      <c r="I79" s="431"/>
      <c r="J79" s="432"/>
      <c r="K79" s="432"/>
      <c r="L79" s="432"/>
      <c r="M79" s="432"/>
      <c r="N79" s="432"/>
      <c r="O79" s="37"/>
      <c r="P79" s="37"/>
      <c r="Q79" s="37"/>
      <c r="R79" s="37"/>
      <c r="S79" s="37"/>
      <c r="T79" s="37"/>
      <c r="U79" s="37"/>
      <c r="V79" s="37"/>
      <c r="W79" s="37"/>
      <c r="X79" s="37"/>
      <c r="Y79" s="37"/>
      <c r="Z79" s="37"/>
    </row>
    <row r="80" spans="1:26" x14ac:dyDescent="0.2">
      <c r="A80" s="37"/>
      <c r="B80" s="37"/>
      <c r="C80" s="37"/>
      <c r="D80" s="37"/>
      <c r="E80" s="37"/>
      <c r="F80" s="37"/>
      <c r="G80" s="37"/>
      <c r="H80" s="37"/>
      <c r="I80" s="432"/>
      <c r="J80" s="432"/>
      <c r="K80" s="432"/>
      <c r="L80" s="432"/>
      <c r="M80" s="432"/>
      <c r="N80" s="432"/>
      <c r="O80" s="37"/>
      <c r="P80" s="37"/>
      <c r="Q80" s="37"/>
      <c r="R80" s="37"/>
      <c r="S80" s="37"/>
      <c r="T80" s="37"/>
      <c r="U80" s="37"/>
      <c r="V80" s="37"/>
      <c r="W80" s="37"/>
      <c r="X80" s="37"/>
      <c r="Y80" s="37"/>
      <c r="Z80" s="37"/>
    </row>
    <row r="81" spans="1:26" x14ac:dyDescent="0.2">
      <c r="A81" s="37"/>
      <c r="B81" s="37"/>
      <c r="C81" s="37"/>
      <c r="D81" s="37"/>
      <c r="E81" s="37"/>
      <c r="F81" s="37"/>
      <c r="G81" s="37"/>
      <c r="H81" s="37"/>
      <c r="I81" s="432"/>
      <c r="J81" s="432"/>
      <c r="K81" s="432"/>
      <c r="L81" s="432"/>
      <c r="M81" s="432"/>
      <c r="N81" s="432"/>
      <c r="O81" s="37"/>
      <c r="P81" s="37"/>
      <c r="Q81" s="37"/>
      <c r="R81" s="37"/>
      <c r="S81" s="37"/>
      <c r="T81" s="37"/>
      <c r="U81" s="37"/>
      <c r="V81" s="37"/>
      <c r="W81" s="37"/>
      <c r="X81" s="37"/>
      <c r="Y81" s="37"/>
      <c r="Z81" s="37"/>
    </row>
    <row r="82" spans="1:26" x14ac:dyDescent="0.2">
      <c r="A82" s="37"/>
      <c r="B82" s="37"/>
      <c r="C82" s="37"/>
      <c r="D82" s="37"/>
      <c r="E82" s="37"/>
      <c r="F82" s="37"/>
      <c r="G82" s="37"/>
      <c r="H82" s="37"/>
      <c r="I82" s="432"/>
      <c r="J82" s="432"/>
      <c r="K82" s="432"/>
      <c r="L82" s="432"/>
      <c r="M82" s="432"/>
      <c r="N82" s="432"/>
      <c r="O82" s="37"/>
      <c r="P82" s="37"/>
      <c r="Q82" s="37"/>
      <c r="R82" s="37"/>
      <c r="S82" s="37"/>
      <c r="T82" s="37"/>
      <c r="U82" s="37"/>
      <c r="V82" s="37"/>
      <c r="W82" s="37"/>
      <c r="X82" s="37"/>
      <c r="Y82" s="37"/>
      <c r="Z82" s="37"/>
    </row>
    <row r="83" spans="1:26" x14ac:dyDescent="0.2">
      <c r="A83" s="37"/>
      <c r="B83" s="37"/>
      <c r="C83" s="37"/>
      <c r="D83" s="37"/>
      <c r="E83" s="37"/>
      <c r="F83" s="37"/>
      <c r="G83" s="37"/>
      <c r="H83" s="37"/>
      <c r="I83" s="432"/>
      <c r="J83" s="432"/>
      <c r="K83" s="432"/>
      <c r="L83" s="432"/>
      <c r="M83" s="432"/>
      <c r="N83" s="432"/>
      <c r="O83" s="37"/>
      <c r="P83" s="37"/>
      <c r="Q83" s="37"/>
      <c r="R83" s="37"/>
      <c r="S83" s="37"/>
      <c r="T83" s="37"/>
      <c r="U83" s="37"/>
      <c r="V83" s="37"/>
      <c r="W83" s="37"/>
      <c r="X83" s="37"/>
      <c r="Y83" s="37"/>
      <c r="Z83" s="37"/>
    </row>
    <row r="84" spans="1:26" x14ac:dyDescent="0.2">
      <c r="A84" s="37"/>
      <c r="B84" s="37"/>
      <c r="C84" s="37"/>
      <c r="D84" s="37"/>
      <c r="E84" s="37"/>
      <c r="F84" s="37"/>
      <c r="G84" s="37"/>
      <c r="H84" s="37"/>
      <c r="I84" s="432"/>
      <c r="J84" s="432"/>
      <c r="K84" s="432"/>
      <c r="L84" s="432"/>
      <c r="M84" s="432"/>
      <c r="N84" s="432"/>
      <c r="O84" s="37"/>
      <c r="P84" s="37"/>
      <c r="Q84" s="37"/>
      <c r="R84" s="37"/>
      <c r="S84" s="37"/>
      <c r="T84" s="37"/>
      <c r="U84" s="37"/>
      <c r="V84" s="37"/>
      <c r="W84" s="37"/>
      <c r="X84" s="37"/>
      <c r="Y84" s="37"/>
      <c r="Z84" s="37"/>
    </row>
    <row r="85" spans="1:26" x14ac:dyDescent="0.2">
      <c r="A85" s="37"/>
      <c r="B85" s="37"/>
      <c r="C85" s="37"/>
      <c r="D85" s="37"/>
      <c r="E85" s="37"/>
      <c r="F85" s="37"/>
      <c r="G85" s="37"/>
      <c r="H85" s="37"/>
      <c r="I85" s="432"/>
      <c r="J85" s="432"/>
      <c r="K85" s="432"/>
      <c r="L85" s="432"/>
      <c r="M85" s="432"/>
      <c r="N85" s="432"/>
      <c r="O85" s="37"/>
      <c r="P85" s="37"/>
      <c r="Q85" s="37"/>
      <c r="R85" s="37"/>
      <c r="S85" s="37"/>
      <c r="T85" s="37"/>
      <c r="U85" s="37"/>
      <c r="V85" s="37"/>
      <c r="W85" s="37"/>
      <c r="X85" s="37"/>
      <c r="Y85" s="37"/>
      <c r="Z85" s="37"/>
    </row>
    <row r="86" spans="1:26" x14ac:dyDescent="0.2">
      <c r="A86" s="37"/>
      <c r="B86" s="37"/>
      <c r="C86" s="37"/>
      <c r="D86" s="37"/>
      <c r="E86" s="37"/>
      <c r="F86" s="37"/>
      <c r="G86" s="37"/>
      <c r="H86" s="37"/>
      <c r="I86" s="432"/>
      <c r="J86" s="432"/>
      <c r="K86" s="432"/>
      <c r="L86" s="432"/>
      <c r="M86" s="432"/>
      <c r="N86" s="432"/>
      <c r="O86" s="37"/>
      <c r="P86" s="37"/>
      <c r="Q86" s="37"/>
      <c r="R86" s="37"/>
      <c r="S86" s="37"/>
      <c r="T86" s="37"/>
      <c r="U86" s="37"/>
      <c r="V86" s="37"/>
      <c r="W86" s="37"/>
      <c r="X86" s="37"/>
      <c r="Y86" s="37"/>
      <c r="Z86" s="37"/>
    </row>
    <row r="87" spans="1:26" x14ac:dyDescent="0.2">
      <c r="A87" s="37"/>
      <c r="B87" s="37"/>
      <c r="C87" s="37"/>
      <c r="D87" s="37"/>
      <c r="E87" s="37"/>
      <c r="F87" s="37"/>
      <c r="G87" s="37"/>
      <c r="H87" s="37"/>
      <c r="I87" s="432"/>
      <c r="J87" s="432"/>
      <c r="K87" s="432"/>
      <c r="L87" s="432"/>
      <c r="M87" s="432"/>
      <c r="N87" s="432"/>
      <c r="O87" s="37"/>
      <c r="P87" s="37"/>
      <c r="Q87" s="37"/>
      <c r="R87" s="37"/>
      <c r="S87" s="37"/>
      <c r="T87" s="37"/>
      <c r="U87" s="37"/>
      <c r="V87" s="37"/>
      <c r="W87" s="37"/>
      <c r="X87" s="37"/>
      <c r="Y87" s="37"/>
      <c r="Z87" s="37"/>
    </row>
    <row r="88" spans="1:26" x14ac:dyDescent="0.2">
      <c r="A88" s="37"/>
      <c r="B88" s="37"/>
      <c r="C88" s="37"/>
      <c r="D88" s="37"/>
      <c r="E88" s="37"/>
      <c r="F88" s="37"/>
      <c r="G88" s="37"/>
      <c r="H88" s="37"/>
      <c r="I88" s="432"/>
      <c r="J88" s="432"/>
      <c r="K88" s="432"/>
      <c r="L88" s="432"/>
      <c r="M88" s="432"/>
      <c r="N88" s="432"/>
      <c r="O88" s="37"/>
      <c r="P88" s="37"/>
      <c r="Q88" s="37"/>
      <c r="R88" s="37"/>
      <c r="S88" s="37"/>
      <c r="T88" s="37"/>
      <c r="U88" s="37"/>
      <c r="V88" s="37"/>
      <c r="W88" s="37"/>
      <c r="X88" s="37"/>
      <c r="Y88" s="37"/>
      <c r="Z88" s="37"/>
    </row>
    <row r="89" spans="1:26" x14ac:dyDescent="0.2">
      <c r="A89" s="37"/>
      <c r="B89" s="37"/>
      <c r="C89" s="37"/>
      <c r="D89" s="37"/>
      <c r="E89" s="37"/>
      <c r="F89" s="37"/>
      <c r="G89" s="37"/>
      <c r="H89" s="37"/>
      <c r="I89" s="432"/>
      <c r="J89" s="432"/>
      <c r="K89" s="432"/>
      <c r="L89" s="432"/>
      <c r="M89" s="432"/>
      <c r="N89" s="432"/>
      <c r="O89" s="37"/>
      <c r="P89" s="37"/>
      <c r="Q89" s="37"/>
      <c r="R89" s="37"/>
      <c r="S89" s="37"/>
      <c r="T89" s="37"/>
      <c r="U89" s="37"/>
      <c r="V89" s="37"/>
      <c r="W89" s="37"/>
      <c r="X89" s="37"/>
      <c r="Y89" s="37"/>
      <c r="Z89" s="37"/>
    </row>
    <row r="90" spans="1:26" x14ac:dyDescent="0.2">
      <c r="A90" s="37"/>
      <c r="B90" s="37"/>
      <c r="C90" s="37"/>
      <c r="D90" s="37"/>
      <c r="E90" s="37"/>
      <c r="F90" s="37"/>
      <c r="G90" s="37"/>
      <c r="H90" s="37"/>
      <c r="I90" s="432"/>
      <c r="J90" s="432"/>
      <c r="K90" s="432"/>
      <c r="L90" s="432"/>
      <c r="M90" s="432"/>
      <c r="N90" s="432"/>
      <c r="O90" s="37"/>
      <c r="P90" s="37"/>
      <c r="Q90" s="37"/>
      <c r="R90" s="37"/>
      <c r="S90" s="37"/>
      <c r="T90" s="37"/>
      <c r="U90" s="37"/>
      <c r="V90" s="37"/>
      <c r="W90" s="37"/>
      <c r="X90" s="37"/>
      <c r="Y90" s="37"/>
      <c r="Z90" s="37"/>
    </row>
    <row r="91" spans="1:26" x14ac:dyDescent="0.2">
      <c r="A91" s="37"/>
      <c r="B91" s="37"/>
      <c r="C91" s="37"/>
      <c r="D91" s="37"/>
      <c r="E91" s="37"/>
      <c r="F91" s="37"/>
      <c r="G91" s="37"/>
      <c r="H91" s="37"/>
      <c r="I91" s="432"/>
      <c r="J91" s="432"/>
      <c r="K91" s="432"/>
      <c r="L91" s="432"/>
      <c r="M91" s="432"/>
      <c r="N91" s="432"/>
      <c r="O91" s="37"/>
      <c r="P91" s="37"/>
      <c r="Q91" s="37"/>
      <c r="R91" s="37"/>
      <c r="S91" s="37"/>
      <c r="T91" s="37"/>
      <c r="U91" s="37"/>
      <c r="V91" s="37"/>
      <c r="W91" s="37"/>
      <c r="X91" s="37"/>
      <c r="Y91" s="37"/>
      <c r="Z91" s="37"/>
    </row>
    <row r="92" spans="1:26" x14ac:dyDescent="0.2">
      <c r="A92" s="37"/>
      <c r="B92" s="37"/>
      <c r="C92" s="37"/>
      <c r="D92" s="37"/>
      <c r="E92" s="37"/>
      <c r="F92" s="37"/>
      <c r="G92" s="37"/>
      <c r="H92" s="37"/>
      <c r="I92" s="432"/>
      <c r="J92" s="432"/>
      <c r="K92" s="432"/>
      <c r="L92" s="432"/>
      <c r="M92" s="432"/>
      <c r="N92" s="432"/>
      <c r="O92" s="37"/>
      <c r="P92" s="37"/>
      <c r="Q92" s="37"/>
      <c r="R92" s="37"/>
      <c r="S92" s="37"/>
      <c r="T92" s="37"/>
      <c r="U92" s="37"/>
      <c r="V92" s="37"/>
      <c r="W92" s="37"/>
      <c r="X92" s="37"/>
      <c r="Y92" s="37"/>
      <c r="Z92" s="37"/>
    </row>
    <row r="93" spans="1:26" x14ac:dyDescent="0.2">
      <c r="A93" s="37"/>
      <c r="B93" s="37"/>
      <c r="C93" s="37"/>
      <c r="D93" s="37"/>
      <c r="E93" s="37"/>
      <c r="F93" s="37"/>
      <c r="G93" s="37"/>
      <c r="H93" s="37"/>
      <c r="I93" s="432"/>
      <c r="J93" s="432"/>
      <c r="K93" s="432"/>
      <c r="L93" s="432"/>
      <c r="M93" s="432"/>
      <c r="N93" s="432"/>
      <c r="O93" s="37"/>
      <c r="P93" s="37"/>
      <c r="Q93" s="37"/>
      <c r="R93" s="37"/>
      <c r="S93" s="37"/>
      <c r="T93" s="37"/>
      <c r="U93" s="37"/>
      <c r="V93" s="37"/>
      <c r="W93" s="37"/>
      <c r="X93" s="37"/>
      <c r="Y93" s="37"/>
      <c r="Z93" s="37"/>
    </row>
    <row r="94" spans="1:26" x14ac:dyDescent="0.2">
      <c r="A94" s="37"/>
      <c r="B94" s="37"/>
      <c r="C94" s="37"/>
      <c r="D94" s="37"/>
      <c r="E94" s="37"/>
      <c r="F94" s="37"/>
      <c r="G94" s="37"/>
      <c r="H94" s="37"/>
      <c r="I94" s="432"/>
      <c r="J94" s="432"/>
      <c r="K94" s="432"/>
      <c r="L94" s="432"/>
      <c r="M94" s="432"/>
      <c r="N94" s="432"/>
      <c r="O94" s="37"/>
      <c r="P94" s="37"/>
      <c r="Q94" s="37"/>
      <c r="R94" s="37"/>
      <c r="S94" s="37"/>
      <c r="T94" s="37"/>
      <c r="U94" s="37"/>
      <c r="V94" s="37"/>
      <c r="W94" s="37"/>
      <c r="X94" s="37"/>
      <c r="Y94" s="37"/>
      <c r="Z94" s="37"/>
    </row>
    <row r="95" spans="1:26" x14ac:dyDescent="0.2">
      <c r="A95" s="37"/>
      <c r="B95" s="37"/>
      <c r="C95" s="37"/>
      <c r="D95" s="37"/>
      <c r="E95" s="37"/>
      <c r="F95" s="37"/>
      <c r="G95" s="37"/>
      <c r="H95" s="37"/>
      <c r="I95" s="432"/>
      <c r="J95" s="432"/>
      <c r="K95" s="432"/>
      <c r="L95" s="432"/>
      <c r="M95" s="432"/>
      <c r="N95" s="432"/>
      <c r="O95" s="37"/>
      <c r="P95" s="37"/>
      <c r="Q95" s="37"/>
      <c r="R95" s="37"/>
      <c r="S95" s="37"/>
      <c r="T95" s="37"/>
      <c r="U95" s="37"/>
      <c r="V95" s="37"/>
      <c r="W95" s="37"/>
      <c r="X95" s="37"/>
      <c r="Y95" s="37"/>
      <c r="Z95" s="37"/>
    </row>
    <row r="96" spans="1:26" x14ac:dyDescent="0.2">
      <c r="A96" s="37"/>
      <c r="B96" s="37"/>
      <c r="C96" s="37"/>
      <c r="D96" s="37"/>
      <c r="E96" s="37"/>
      <c r="F96" s="37"/>
      <c r="G96" s="37"/>
      <c r="H96" s="37"/>
      <c r="I96" s="432"/>
      <c r="J96" s="432"/>
      <c r="K96" s="432"/>
      <c r="L96" s="432"/>
      <c r="M96" s="432"/>
      <c r="N96" s="432"/>
      <c r="O96" s="37"/>
      <c r="P96" s="37"/>
      <c r="Q96" s="37"/>
      <c r="R96" s="37"/>
      <c r="S96" s="37"/>
      <c r="T96" s="37"/>
      <c r="U96" s="37"/>
      <c r="V96" s="37"/>
      <c r="W96" s="37"/>
      <c r="X96" s="37"/>
      <c r="Y96" s="37"/>
      <c r="Z96" s="37"/>
    </row>
    <row r="97" spans="1:26" x14ac:dyDescent="0.2">
      <c r="A97" s="37"/>
      <c r="B97" s="37"/>
      <c r="C97" s="37"/>
      <c r="D97" s="37"/>
      <c r="E97" s="37"/>
      <c r="F97" s="37"/>
      <c r="G97" s="37"/>
      <c r="H97" s="37"/>
      <c r="I97" s="432"/>
      <c r="J97" s="432"/>
      <c r="K97" s="432"/>
      <c r="L97" s="432"/>
      <c r="M97" s="432"/>
      <c r="N97" s="432"/>
      <c r="O97" s="37"/>
      <c r="P97" s="37"/>
      <c r="Q97" s="37"/>
      <c r="R97" s="37"/>
      <c r="S97" s="37"/>
      <c r="T97" s="37"/>
      <c r="U97" s="37"/>
      <c r="V97" s="37"/>
      <c r="W97" s="37"/>
      <c r="X97" s="37"/>
      <c r="Y97" s="37"/>
      <c r="Z97" s="37"/>
    </row>
    <row r="98" spans="1:26" x14ac:dyDescent="0.2">
      <c r="A98" s="37"/>
      <c r="B98" s="37"/>
      <c r="C98" s="37"/>
      <c r="D98" s="37"/>
      <c r="E98" s="37"/>
      <c r="F98" s="37"/>
      <c r="G98" s="37"/>
      <c r="H98" s="37"/>
      <c r="I98" s="432"/>
      <c r="J98" s="432"/>
      <c r="K98" s="432"/>
      <c r="L98" s="432"/>
      <c r="M98" s="432"/>
      <c r="N98" s="432"/>
      <c r="O98" s="37"/>
      <c r="P98" s="37"/>
      <c r="Q98" s="37"/>
      <c r="R98" s="37"/>
      <c r="S98" s="37"/>
      <c r="T98" s="37"/>
      <c r="U98" s="37"/>
      <c r="V98" s="37"/>
      <c r="W98" s="37"/>
      <c r="X98" s="37"/>
      <c r="Y98" s="37"/>
      <c r="Z98" s="37"/>
    </row>
    <row r="99" spans="1:26" x14ac:dyDescent="0.2">
      <c r="A99" s="37"/>
      <c r="B99" s="37"/>
      <c r="C99" s="37"/>
      <c r="D99" s="37"/>
      <c r="E99" s="37"/>
      <c r="F99" s="37"/>
      <c r="G99" s="37"/>
      <c r="H99" s="37"/>
      <c r="I99" s="432"/>
      <c r="J99" s="432"/>
      <c r="K99" s="432"/>
      <c r="L99" s="432"/>
      <c r="M99" s="432"/>
      <c r="N99" s="432"/>
      <c r="O99" s="37"/>
      <c r="P99" s="37"/>
      <c r="Q99" s="37"/>
      <c r="R99" s="37"/>
      <c r="S99" s="37"/>
      <c r="T99" s="37"/>
      <c r="U99" s="37"/>
      <c r="V99" s="37"/>
      <c r="W99" s="37"/>
      <c r="X99" s="37"/>
      <c r="Y99" s="37"/>
      <c r="Z99" s="37"/>
    </row>
    <row r="100" spans="1:26" x14ac:dyDescent="0.2">
      <c r="A100" s="37"/>
      <c r="B100" s="37"/>
      <c r="C100" s="37"/>
      <c r="D100" s="37"/>
      <c r="E100" s="37"/>
      <c r="F100" s="37"/>
      <c r="G100" s="37"/>
      <c r="H100" s="37"/>
      <c r="I100" s="432"/>
      <c r="J100" s="432"/>
      <c r="K100" s="432"/>
      <c r="L100" s="432"/>
      <c r="M100" s="432"/>
      <c r="N100" s="432"/>
      <c r="O100" s="37"/>
      <c r="P100" s="37"/>
      <c r="Q100" s="37"/>
      <c r="R100" s="37"/>
      <c r="S100" s="37"/>
      <c r="T100" s="37"/>
      <c r="U100" s="37"/>
      <c r="V100" s="37"/>
      <c r="W100" s="37"/>
      <c r="X100" s="37"/>
      <c r="Y100" s="37"/>
      <c r="Z100" s="37"/>
    </row>
    <row r="101" spans="1:26" x14ac:dyDescent="0.2">
      <c r="A101" s="37"/>
      <c r="B101" s="37"/>
      <c r="C101" s="37"/>
      <c r="D101" s="37"/>
      <c r="E101" s="37"/>
      <c r="F101" s="37"/>
      <c r="G101" s="37"/>
      <c r="H101" s="37"/>
      <c r="I101" s="432"/>
      <c r="J101" s="432"/>
      <c r="K101" s="432"/>
      <c r="L101" s="432"/>
      <c r="M101" s="432"/>
      <c r="N101" s="432"/>
      <c r="O101" s="37"/>
      <c r="P101" s="37"/>
      <c r="Q101" s="37"/>
      <c r="R101" s="37"/>
      <c r="S101" s="37"/>
      <c r="T101" s="37"/>
      <c r="U101" s="37"/>
      <c r="V101" s="37"/>
      <c r="W101" s="37"/>
      <c r="X101" s="37"/>
      <c r="Y101" s="37"/>
      <c r="Z101" s="37"/>
    </row>
    <row r="102" spans="1:26" x14ac:dyDescent="0.2">
      <c r="A102" s="37"/>
      <c r="B102" s="37"/>
      <c r="C102" s="37"/>
      <c r="D102" s="37"/>
      <c r="E102" s="37"/>
      <c r="F102" s="37"/>
      <c r="G102" s="37"/>
      <c r="H102" s="37"/>
      <c r="I102" s="432"/>
      <c r="J102" s="432"/>
      <c r="K102" s="432"/>
      <c r="L102" s="432"/>
      <c r="M102" s="432"/>
      <c r="N102" s="432"/>
      <c r="O102" s="37"/>
      <c r="P102" s="37"/>
      <c r="Q102" s="37"/>
      <c r="R102" s="37"/>
      <c r="S102" s="37"/>
      <c r="T102" s="37"/>
      <c r="U102" s="37"/>
      <c r="V102" s="37"/>
      <c r="W102" s="37"/>
      <c r="X102" s="37"/>
      <c r="Y102" s="37"/>
      <c r="Z102" s="37"/>
    </row>
    <row r="103" spans="1:26" x14ac:dyDescent="0.2">
      <c r="A103" s="37"/>
      <c r="B103" s="37"/>
      <c r="C103" s="37"/>
      <c r="D103" s="37"/>
      <c r="E103" s="37"/>
      <c r="F103" s="37"/>
      <c r="G103" s="37"/>
      <c r="H103" s="37"/>
      <c r="I103" s="432"/>
      <c r="J103" s="432"/>
      <c r="K103" s="432"/>
      <c r="L103" s="432"/>
      <c r="M103" s="432"/>
      <c r="N103" s="432"/>
      <c r="O103" s="37"/>
      <c r="P103" s="37"/>
      <c r="Q103" s="37"/>
      <c r="R103" s="37"/>
      <c r="S103" s="37"/>
      <c r="T103" s="37"/>
      <c r="U103" s="37"/>
      <c r="V103" s="37"/>
      <c r="W103" s="37"/>
      <c r="X103" s="37"/>
      <c r="Y103" s="37"/>
      <c r="Z103" s="37"/>
    </row>
    <row r="104" spans="1:26" x14ac:dyDescent="0.2">
      <c r="A104" s="37"/>
      <c r="B104" s="37"/>
      <c r="C104" s="37"/>
      <c r="D104" s="37"/>
      <c r="E104" s="37"/>
      <c r="F104" s="37"/>
      <c r="G104" s="37"/>
      <c r="H104" s="37"/>
      <c r="I104" s="432"/>
      <c r="J104" s="432"/>
      <c r="K104" s="432"/>
      <c r="L104" s="432"/>
      <c r="M104" s="432"/>
      <c r="N104" s="432"/>
      <c r="O104" s="37"/>
      <c r="P104" s="37"/>
      <c r="Q104" s="37"/>
      <c r="R104" s="37"/>
      <c r="S104" s="37"/>
      <c r="T104" s="37"/>
      <c r="U104" s="37"/>
      <c r="V104" s="37"/>
      <c r="W104" s="37"/>
      <c r="X104" s="37"/>
      <c r="Y104" s="37"/>
      <c r="Z104" s="37"/>
    </row>
    <row r="105" spans="1:26" x14ac:dyDescent="0.2">
      <c r="A105" s="37"/>
      <c r="B105" s="37"/>
      <c r="C105" s="37"/>
      <c r="D105" s="37"/>
      <c r="E105" s="37"/>
      <c r="F105" s="37"/>
      <c r="G105" s="37"/>
      <c r="H105" s="37"/>
      <c r="I105" s="432"/>
      <c r="J105" s="432"/>
      <c r="K105" s="432"/>
      <c r="L105" s="432"/>
      <c r="M105" s="432"/>
      <c r="N105" s="432"/>
      <c r="O105" s="37"/>
      <c r="P105" s="37"/>
      <c r="Q105" s="37"/>
      <c r="R105" s="37"/>
      <c r="S105" s="37"/>
      <c r="T105" s="37"/>
      <c r="U105" s="37"/>
      <c r="V105" s="37"/>
      <c r="W105" s="37"/>
      <c r="X105" s="37"/>
      <c r="Y105" s="37"/>
      <c r="Z105" s="37"/>
    </row>
    <row r="106" spans="1:26" x14ac:dyDescent="0.2">
      <c r="A106" s="37"/>
      <c r="B106" s="37"/>
      <c r="C106" s="37"/>
      <c r="D106" s="37"/>
      <c r="E106" s="37"/>
      <c r="F106" s="37"/>
      <c r="G106" s="37"/>
      <c r="H106" s="37"/>
      <c r="I106" s="432"/>
      <c r="J106" s="432"/>
      <c r="K106" s="432"/>
      <c r="L106" s="432"/>
      <c r="M106" s="432"/>
      <c r="N106" s="432"/>
      <c r="O106" s="37"/>
      <c r="P106" s="37"/>
      <c r="Q106" s="37"/>
      <c r="R106" s="37"/>
      <c r="S106" s="37"/>
      <c r="T106" s="37"/>
      <c r="U106" s="37"/>
      <c r="V106" s="37"/>
      <c r="W106" s="37"/>
      <c r="X106" s="37"/>
      <c r="Y106" s="37"/>
      <c r="Z106" s="37"/>
    </row>
    <row r="107" spans="1:26" x14ac:dyDescent="0.2">
      <c r="A107" s="37"/>
      <c r="B107" s="37"/>
      <c r="C107" s="37"/>
      <c r="D107" s="37"/>
      <c r="E107" s="37"/>
      <c r="F107" s="37"/>
      <c r="G107" s="37"/>
      <c r="H107" s="37"/>
      <c r="I107" s="432"/>
      <c r="J107" s="432"/>
      <c r="K107" s="432"/>
      <c r="L107" s="432"/>
      <c r="M107" s="432"/>
      <c r="N107" s="432"/>
      <c r="O107" s="37"/>
      <c r="P107" s="37"/>
      <c r="Q107" s="37"/>
      <c r="R107" s="37"/>
      <c r="S107" s="37"/>
      <c r="T107" s="37"/>
      <c r="U107" s="37"/>
      <c r="V107" s="37"/>
      <c r="W107" s="37"/>
      <c r="X107" s="37"/>
      <c r="Y107" s="37"/>
      <c r="Z107" s="37"/>
    </row>
    <row r="108" spans="1:26" x14ac:dyDescent="0.2">
      <c r="A108" s="37"/>
      <c r="B108" s="37"/>
      <c r="C108" s="37"/>
      <c r="D108" s="37"/>
      <c r="E108" s="37"/>
      <c r="F108" s="37"/>
      <c r="G108" s="37"/>
      <c r="H108" s="37"/>
      <c r="I108" s="432"/>
      <c r="J108" s="432"/>
      <c r="K108" s="432"/>
      <c r="L108" s="432"/>
      <c r="M108" s="432"/>
      <c r="N108" s="432"/>
      <c r="O108" s="37"/>
      <c r="P108" s="37"/>
      <c r="Q108" s="37"/>
      <c r="R108" s="37"/>
      <c r="S108" s="37"/>
      <c r="T108" s="37"/>
      <c r="U108" s="37"/>
      <c r="V108" s="37"/>
      <c r="W108" s="37"/>
      <c r="X108" s="37"/>
      <c r="Y108" s="37"/>
      <c r="Z108" s="37"/>
    </row>
    <row r="109" spans="1:26" x14ac:dyDescent="0.2">
      <c r="A109" s="37"/>
      <c r="B109" s="37"/>
      <c r="C109" s="37"/>
      <c r="D109" s="37"/>
      <c r="E109" s="37"/>
      <c r="F109" s="37"/>
      <c r="G109" s="37"/>
      <c r="H109" s="37"/>
      <c r="I109" s="432"/>
      <c r="J109" s="432"/>
      <c r="K109" s="432"/>
      <c r="L109" s="432"/>
      <c r="M109" s="432"/>
      <c r="N109" s="432"/>
      <c r="O109" s="37"/>
      <c r="P109" s="37"/>
      <c r="Q109" s="37"/>
      <c r="R109" s="37"/>
      <c r="S109" s="37"/>
      <c r="T109" s="37"/>
      <c r="U109" s="37"/>
      <c r="V109" s="37"/>
      <c r="W109" s="37"/>
      <c r="X109" s="37"/>
      <c r="Y109" s="37"/>
      <c r="Z109" s="37"/>
    </row>
    <row r="110" spans="1:26" x14ac:dyDescent="0.2">
      <c r="A110" s="37"/>
      <c r="B110" s="37"/>
      <c r="C110" s="37"/>
      <c r="D110" s="37"/>
      <c r="E110" s="37"/>
      <c r="F110" s="37"/>
      <c r="G110" s="37"/>
      <c r="H110" s="37"/>
      <c r="I110" s="432"/>
      <c r="J110" s="432"/>
      <c r="K110" s="432"/>
      <c r="L110" s="432"/>
      <c r="M110" s="432"/>
      <c r="N110" s="432"/>
      <c r="O110" s="37"/>
      <c r="P110" s="37"/>
      <c r="Q110" s="37"/>
      <c r="R110" s="37"/>
      <c r="S110" s="37"/>
      <c r="T110" s="37"/>
      <c r="U110" s="37"/>
      <c r="V110" s="37"/>
      <c r="W110" s="37"/>
      <c r="X110" s="37"/>
      <c r="Y110" s="37"/>
      <c r="Z110" s="37"/>
    </row>
    <row r="111" spans="1:26" x14ac:dyDescent="0.2">
      <c r="A111" s="37"/>
      <c r="B111" s="37"/>
      <c r="C111" s="37"/>
      <c r="D111" s="37"/>
      <c r="E111" s="37"/>
      <c r="F111" s="37"/>
      <c r="G111" s="37"/>
      <c r="H111" s="37"/>
      <c r="I111" s="432"/>
      <c r="J111" s="432"/>
      <c r="K111" s="432"/>
      <c r="L111" s="432"/>
      <c r="M111" s="432"/>
      <c r="N111" s="432"/>
      <c r="O111" s="37"/>
      <c r="P111" s="37"/>
      <c r="Q111" s="37"/>
      <c r="R111" s="37"/>
      <c r="S111" s="37"/>
      <c r="T111" s="37"/>
      <c r="U111" s="37"/>
      <c r="V111" s="37"/>
      <c r="W111" s="37"/>
      <c r="X111" s="37"/>
      <c r="Y111" s="37"/>
      <c r="Z111" s="37"/>
    </row>
    <row r="112" spans="1:26" x14ac:dyDescent="0.2">
      <c r="A112" s="37"/>
      <c r="B112" s="37"/>
      <c r="C112" s="37"/>
      <c r="D112" s="37"/>
      <c r="E112" s="37"/>
      <c r="F112" s="37"/>
      <c r="G112" s="37"/>
      <c r="H112" s="37"/>
      <c r="I112" s="432"/>
      <c r="K112" s="432"/>
      <c r="L112" s="432"/>
      <c r="M112" s="432"/>
      <c r="N112" s="432"/>
      <c r="O112" s="37"/>
      <c r="P112" s="37"/>
      <c r="Q112" s="37"/>
      <c r="R112" s="37"/>
      <c r="S112" s="37"/>
      <c r="T112" s="37"/>
      <c r="U112" s="37"/>
      <c r="V112" s="37"/>
      <c r="W112" s="37"/>
      <c r="X112" s="37"/>
      <c r="Y112" s="37"/>
      <c r="Z112" s="37"/>
    </row>
    <row r="113" spans="1:26" x14ac:dyDescent="0.2">
      <c r="A113" s="37"/>
      <c r="B113" s="37"/>
      <c r="C113" s="37"/>
      <c r="D113" s="37"/>
      <c r="E113" s="37"/>
      <c r="F113" s="37"/>
      <c r="G113" s="37"/>
      <c r="H113" s="37"/>
      <c r="I113" s="432"/>
      <c r="K113" s="432"/>
      <c r="L113" s="432"/>
      <c r="M113" s="432"/>
      <c r="N113" s="432"/>
      <c r="O113" s="37"/>
      <c r="P113" s="37"/>
      <c r="Q113" s="37"/>
      <c r="R113" s="37"/>
      <c r="S113" s="37"/>
      <c r="T113" s="37"/>
      <c r="U113" s="37"/>
      <c r="V113" s="37"/>
      <c r="W113" s="37"/>
      <c r="X113" s="37"/>
      <c r="Y113" s="37"/>
      <c r="Z113" s="37"/>
    </row>
    <row r="114" spans="1:26" x14ac:dyDescent="0.2">
      <c r="A114" s="37"/>
      <c r="B114" s="37"/>
      <c r="C114" s="37"/>
      <c r="D114" s="37"/>
      <c r="E114" s="37"/>
      <c r="F114" s="37"/>
      <c r="G114" s="37"/>
      <c r="H114" s="37"/>
      <c r="I114" s="432"/>
      <c r="M114" s="432"/>
      <c r="N114" s="432"/>
      <c r="O114" s="37"/>
      <c r="P114" s="37"/>
      <c r="Q114" s="37"/>
      <c r="R114" s="37"/>
      <c r="S114" s="37"/>
      <c r="T114" s="37"/>
      <c r="U114" s="37"/>
      <c r="V114" s="37"/>
      <c r="W114" s="37"/>
      <c r="X114" s="37"/>
      <c r="Y114" s="37"/>
      <c r="Z114" s="37"/>
    </row>
  </sheetData>
  <mergeCells count="12">
    <mergeCell ref="C5:E5"/>
    <mergeCell ref="A5:B5"/>
    <mergeCell ref="B1:H1"/>
    <mergeCell ref="F7:G7"/>
    <mergeCell ref="B7:E7"/>
    <mergeCell ref="G6:H6"/>
    <mergeCell ref="A4:H4"/>
    <mergeCell ref="A64:H64"/>
    <mergeCell ref="D10:E10"/>
    <mergeCell ref="D6:E6"/>
    <mergeCell ref="A10:B10"/>
    <mergeCell ref="C8:F8"/>
  </mergeCells>
  <phoneticPr fontId="65" type="noConversion"/>
  <pageMargins left="0.40583333300000002" right="0.12833333333333299" top="0.5" bottom="0.5" header="0.05" footer="0.05"/>
  <pageSetup scale="74" fitToHeight="0" orientation="landscape" r:id="rId1"/>
  <headerFooter>
    <oddHeader>&amp;LAKIS A 2012</oddHeader>
    <oddFooter>&amp;LAmerican Indian Higher Education Consortium</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Z95"/>
  <sheetViews>
    <sheetView topLeftCell="A2" zoomScaleNormal="100" workbookViewId="0">
      <selection activeCell="B14" sqref="B14:L14"/>
    </sheetView>
  </sheetViews>
  <sheetFormatPr defaultColWidth="9.140625" defaultRowHeight="12.75" x14ac:dyDescent="0.2"/>
  <cols>
    <col min="1" max="1" width="9.140625" style="30"/>
    <col min="2" max="2" width="20.140625" style="30" customWidth="1"/>
    <col min="3" max="7" width="8.7109375" style="30" customWidth="1"/>
    <col min="8" max="8" width="12.140625" style="30" customWidth="1"/>
    <col min="9" max="10" width="12.28515625" style="30" customWidth="1"/>
    <col min="11" max="11" width="19.28515625" style="30" customWidth="1"/>
    <col min="12" max="12" width="14.28515625" style="30" customWidth="1"/>
    <col min="13" max="13" width="9.140625" style="30"/>
    <col min="14" max="14" width="9.140625" style="146"/>
    <col min="15" max="16384" width="9.140625" style="30"/>
  </cols>
  <sheetData>
    <row r="1" spans="1:26" s="20" customFormat="1" ht="15.75" thickTop="1" x14ac:dyDescent="0.25">
      <c r="A1" s="1315" t="s">
        <v>823</v>
      </c>
      <c r="B1" s="1316"/>
      <c r="C1" s="1317"/>
      <c r="D1" s="1266" t="str">
        <f>'1.1a Overall Instit. Profile'!B1</f>
        <v>Oglala Lakota College</v>
      </c>
      <c r="E1" s="1267"/>
      <c r="F1" s="1267"/>
      <c r="G1" s="1267"/>
      <c r="H1" s="1267"/>
      <c r="I1" s="1267"/>
      <c r="J1" s="1267"/>
      <c r="K1" s="1267"/>
      <c r="L1" s="1268"/>
      <c r="M1" s="207"/>
      <c r="N1" s="208"/>
      <c r="O1" s="208"/>
    </row>
    <row r="2" spans="1:26" ht="18.75" customHeight="1" x14ac:dyDescent="0.2">
      <c r="A2" s="313" t="s">
        <v>818</v>
      </c>
      <c r="B2" s="325"/>
      <c r="C2" s="325"/>
      <c r="D2" s="325"/>
      <c r="E2" s="325"/>
      <c r="F2" s="325"/>
      <c r="G2" s="325"/>
      <c r="H2" s="325"/>
      <c r="I2" s="325"/>
      <c r="J2" s="325"/>
      <c r="K2" s="325"/>
      <c r="L2" s="319"/>
      <c r="M2" s="37"/>
      <c r="N2" s="145" t="s">
        <v>82</v>
      </c>
      <c r="O2" s="59"/>
      <c r="P2" s="59"/>
      <c r="Q2" s="37"/>
      <c r="R2" s="37"/>
      <c r="S2" s="37"/>
      <c r="T2" s="37"/>
      <c r="U2" s="37"/>
      <c r="V2" s="37"/>
      <c r="W2" s="37"/>
      <c r="X2" s="37"/>
      <c r="Y2" s="37"/>
      <c r="Z2" s="37"/>
    </row>
    <row r="3" spans="1:26" ht="18.75" customHeight="1" x14ac:dyDescent="0.2">
      <c r="A3" s="1550" t="s">
        <v>443</v>
      </c>
      <c r="B3" s="1551"/>
      <c r="C3" s="1551"/>
      <c r="D3" s="1551"/>
      <c r="E3" s="1551"/>
      <c r="F3" s="1551"/>
      <c r="G3" s="1551"/>
      <c r="H3" s="1551"/>
      <c r="I3" s="1551"/>
      <c r="J3" s="1551"/>
      <c r="K3" s="1551"/>
      <c r="L3" s="1552"/>
      <c r="M3" s="37"/>
      <c r="N3" s="145" t="s">
        <v>83</v>
      </c>
      <c r="O3" s="59"/>
      <c r="P3" s="59"/>
      <c r="Q3" s="37"/>
      <c r="R3" s="37"/>
      <c r="S3" s="37"/>
      <c r="T3" s="37"/>
      <c r="U3" s="37"/>
      <c r="V3" s="37"/>
      <c r="W3" s="37"/>
      <c r="X3" s="37"/>
      <c r="Y3" s="37"/>
      <c r="Z3" s="37"/>
    </row>
    <row r="4" spans="1:26" ht="15" customHeight="1" x14ac:dyDescent="0.2">
      <c r="A4" s="320" t="s">
        <v>84</v>
      </c>
      <c r="B4" s="326"/>
      <c r="C4" s="326"/>
      <c r="D4" s="326"/>
      <c r="E4" s="326"/>
      <c r="F4" s="326"/>
      <c r="G4" s="326"/>
      <c r="H4" s="326"/>
      <c r="I4" s="326"/>
      <c r="J4" s="326"/>
      <c r="K4" s="326"/>
      <c r="L4" s="327"/>
      <c r="M4" s="37"/>
      <c r="N4" s="145" t="s">
        <v>52</v>
      </c>
      <c r="O4" s="59"/>
      <c r="P4" s="59"/>
      <c r="Q4" s="37"/>
      <c r="R4" s="37"/>
      <c r="S4" s="37"/>
      <c r="T4" s="37"/>
      <c r="U4" s="37"/>
      <c r="V4" s="37"/>
      <c r="W4" s="37"/>
      <c r="X4" s="37"/>
      <c r="Y4" s="37"/>
      <c r="Z4" s="37"/>
    </row>
    <row r="5" spans="1:26" ht="17.25" customHeight="1" x14ac:dyDescent="0.2">
      <c r="A5" s="2" t="s">
        <v>85</v>
      </c>
      <c r="B5" s="326"/>
      <c r="C5" s="326"/>
      <c r="D5" s="326"/>
      <c r="E5" s="326"/>
      <c r="F5" s="326"/>
      <c r="G5" s="326"/>
      <c r="H5" s="326"/>
      <c r="I5" s="326"/>
      <c r="J5" s="326"/>
      <c r="K5" s="326"/>
      <c r="L5" s="327"/>
      <c r="M5" s="37"/>
      <c r="N5" s="145" t="s">
        <v>86</v>
      </c>
      <c r="O5" s="59"/>
      <c r="P5" s="59"/>
      <c r="Q5" s="37"/>
      <c r="R5" s="37"/>
      <c r="S5" s="37"/>
      <c r="T5" s="37"/>
      <c r="U5" s="37"/>
      <c r="V5" s="37"/>
      <c r="W5" s="37"/>
      <c r="X5" s="37"/>
      <c r="Y5" s="37"/>
      <c r="Z5" s="37"/>
    </row>
    <row r="6" spans="1:26" ht="12.75" customHeight="1" x14ac:dyDescent="0.2">
      <c r="A6" s="1643" t="s">
        <v>87</v>
      </c>
      <c r="B6" s="1637"/>
      <c r="C6" s="1637" t="s">
        <v>62</v>
      </c>
      <c r="D6" s="1641" t="s">
        <v>88</v>
      </c>
      <c r="E6" s="1637" t="s">
        <v>282</v>
      </c>
      <c r="F6" s="297" t="s">
        <v>89</v>
      </c>
      <c r="G6" s="298"/>
      <c r="H6" s="1639" t="s">
        <v>81</v>
      </c>
      <c r="I6" s="1639" t="s">
        <v>82</v>
      </c>
      <c r="J6" s="1639" t="s">
        <v>83</v>
      </c>
      <c r="K6" s="1639" t="s">
        <v>90</v>
      </c>
      <c r="L6" s="1645" t="s">
        <v>91</v>
      </c>
      <c r="M6" s="60"/>
      <c r="N6" s="147" t="s">
        <v>92</v>
      </c>
      <c r="O6" s="59"/>
      <c r="P6" s="59"/>
      <c r="Q6" s="37"/>
      <c r="R6" s="37"/>
      <c r="S6" s="37"/>
      <c r="T6" s="37"/>
      <c r="U6" s="37"/>
      <c r="V6" s="37"/>
      <c r="W6" s="37"/>
      <c r="X6" s="37"/>
      <c r="Y6" s="37"/>
      <c r="Z6" s="37"/>
    </row>
    <row r="7" spans="1:26" x14ac:dyDescent="0.2">
      <c r="A7" s="1644"/>
      <c r="B7" s="1638"/>
      <c r="C7" s="1638"/>
      <c r="D7" s="1642"/>
      <c r="E7" s="1638"/>
      <c r="F7" s="299" t="s">
        <v>93</v>
      </c>
      <c r="G7" s="299" t="s">
        <v>94</v>
      </c>
      <c r="H7" s="1640"/>
      <c r="I7" s="1640"/>
      <c r="J7" s="1640"/>
      <c r="K7" s="1640"/>
      <c r="L7" s="1646"/>
      <c r="M7" s="60"/>
      <c r="N7" s="147"/>
      <c r="O7" s="59"/>
      <c r="P7" s="59"/>
      <c r="Q7" s="37"/>
      <c r="R7" s="37"/>
      <c r="S7" s="37"/>
      <c r="T7" s="37"/>
      <c r="U7" s="37"/>
      <c r="V7" s="37"/>
      <c r="W7" s="37"/>
      <c r="X7" s="37"/>
      <c r="Y7" s="37"/>
      <c r="Z7" s="37"/>
    </row>
    <row r="8" spans="1:26" ht="18" customHeight="1" x14ac:dyDescent="0.2">
      <c r="A8" s="453" t="s">
        <v>676</v>
      </c>
      <c r="B8" s="452"/>
      <c r="C8" s="454">
        <v>18000</v>
      </c>
      <c r="D8" s="1005">
        <v>1997</v>
      </c>
      <c r="E8" s="454">
        <v>49000</v>
      </c>
      <c r="F8" s="454">
        <v>60</v>
      </c>
      <c r="G8" s="56" t="s">
        <v>677</v>
      </c>
      <c r="H8" s="451" t="s">
        <v>86</v>
      </c>
      <c r="I8" s="451" t="s">
        <v>86</v>
      </c>
      <c r="J8" s="451" t="s">
        <v>86</v>
      </c>
      <c r="K8" s="451" t="s">
        <v>95</v>
      </c>
      <c r="L8" s="450" t="s">
        <v>86</v>
      </c>
      <c r="M8" s="37"/>
      <c r="N8" s="145" t="s">
        <v>90</v>
      </c>
      <c r="O8" s="59"/>
      <c r="P8" s="59"/>
      <c r="Q8" s="37"/>
      <c r="R8" s="37"/>
      <c r="S8" s="37"/>
      <c r="T8" s="37"/>
      <c r="U8" s="37"/>
      <c r="V8" s="37"/>
      <c r="W8" s="37"/>
      <c r="X8" s="37"/>
      <c r="Y8" s="37"/>
      <c r="Z8" s="37"/>
    </row>
    <row r="9" spans="1:26" ht="18" customHeight="1" x14ac:dyDescent="0.2">
      <c r="A9" s="26"/>
      <c r="B9" s="61"/>
      <c r="C9" s="56"/>
      <c r="D9" s="31"/>
      <c r="E9" s="56"/>
      <c r="F9" s="56"/>
      <c r="G9" s="56"/>
      <c r="H9" s="55"/>
      <c r="I9" s="55"/>
      <c r="J9" s="55"/>
      <c r="K9" s="55"/>
      <c r="L9" s="63"/>
      <c r="M9" s="37"/>
      <c r="N9" s="145" t="s">
        <v>52</v>
      </c>
      <c r="O9" s="59"/>
      <c r="P9" s="59"/>
      <c r="Q9" s="37"/>
      <c r="R9" s="37"/>
      <c r="S9" s="37"/>
      <c r="T9" s="37"/>
      <c r="U9" s="37"/>
      <c r="V9" s="37"/>
      <c r="W9" s="37"/>
      <c r="X9" s="37"/>
      <c r="Y9" s="37"/>
      <c r="Z9" s="37"/>
    </row>
    <row r="10" spans="1:26" ht="18" customHeight="1" x14ac:dyDescent="0.2">
      <c r="A10" s="26"/>
      <c r="B10" s="61"/>
      <c r="C10" s="53"/>
      <c r="D10" s="52"/>
      <c r="E10" s="53"/>
      <c r="F10" s="53"/>
      <c r="G10" s="53"/>
      <c r="H10" s="51"/>
      <c r="I10" s="51"/>
      <c r="J10" s="51"/>
      <c r="K10" s="51"/>
      <c r="L10" s="64"/>
      <c r="M10" s="37"/>
      <c r="N10" s="145" t="s">
        <v>95</v>
      </c>
      <c r="O10" s="59"/>
      <c r="P10" s="59"/>
      <c r="Q10" s="37"/>
      <c r="R10" s="37"/>
      <c r="S10" s="37"/>
      <c r="T10" s="37"/>
      <c r="U10" s="37"/>
      <c r="V10" s="37"/>
      <c r="W10" s="37"/>
      <c r="X10" s="37"/>
      <c r="Y10" s="37"/>
      <c r="Z10" s="37"/>
    </row>
    <row r="11" spans="1:26" ht="17.25" customHeight="1" x14ac:dyDescent="0.2">
      <c r="A11" s="62" t="s">
        <v>97</v>
      </c>
      <c r="B11" s="252"/>
      <c r="C11" s="252"/>
      <c r="D11" s="252"/>
      <c r="E11" s="252"/>
      <c r="F11" s="252"/>
      <c r="G11" s="252"/>
      <c r="H11" s="252"/>
      <c r="I11" s="252"/>
      <c r="J11" s="252"/>
      <c r="K11" s="252"/>
      <c r="L11" s="253"/>
      <c r="M11" s="37"/>
      <c r="N11" s="145"/>
      <c r="O11" s="59"/>
      <c r="P11" s="59"/>
      <c r="Q11" s="37"/>
      <c r="R11" s="37"/>
      <c r="S11" s="37"/>
      <c r="T11" s="37"/>
      <c r="U11" s="37"/>
      <c r="V11" s="37"/>
      <c r="W11" s="37"/>
      <c r="X11" s="37"/>
      <c r="Y11" s="37"/>
      <c r="Z11" s="37"/>
    </row>
    <row r="12" spans="1:26" ht="96" customHeight="1" x14ac:dyDescent="0.2">
      <c r="A12" s="1652" t="s">
        <v>678</v>
      </c>
      <c r="B12" s="1653"/>
      <c r="C12" s="1653"/>
      <c r="D12" s="1653"/>
      <c r="E12" s="1653"/>
      <c r="F12" s="1653"/>
      <c r="G12" s="1653"/>
      <c r="H12" s="1653"/>
      <c r="I12" s="1653"/>
      <c r="J12" s="1653"/>
      <c r="K12" s="1653"/>
      <c r="L12" s="1654"/>
      <c r="M12" s="37"/>
      <c r="N12" s="145"/>
      <c r="O12" s="59"/>
      <c r="P12" s="59"/>
      <c r="Q12" s="37"/>
      <c r="R12" s="37"/>
      <c r="S12" s="37"/>
      <c r="T12" s="37"/>
      <c r="U12" s="37"/>
      <c r="V12" s="37"/>
      <c r="W12" s="37"/>
      <c r="X12" s="37"/>
      <c r="Y12" s="37"/>
      <c r="Z12" s="37"/>
    </row>
    <row r="13" spans="1:26" ht="17.25" customHeight="1" x14ac:dyDescent="0.2">
      <c r="A13" s="254" t="s">
        <v>98</v>
      </c>
      <c r="B13" s="252"/>
      <c r="C13" s="252"/>
      <c r="D13" s="252"/>
      <c r="E13" s="252"/>
      <c r="F13" s="252"/>
      <c r="G13" s="252"/>
      <c r="H13" s="252"/>
      <c r="I13" s="252"/>
      <c r="J13" s="252"/>
      <c r="K13" s="252"/>
      <c r="L13" s="253"/>
      <c r="M13" s="37"/>
      <c r="N13" s="145"/>
      <c r="O13" s="59"/>
      <c r="P13" s="59"/>
      <c r="Q13" s="37"/>
      <c r="R13" s="37"/>
      <c r="S13" s="37"/>
      <c r="T13" s="37"/>
      <c r="U13" s="37"/>
      <c r="V13" s="37"/>
      <c r="W13" s="37"/>
      <c r="X13" s="37"/>
      <c r="Y13" s="37"/>
      <c r="Z13" s="37"/>
    </row>
    <row r="14" spans="1:26" ht="38.25" customHeight="1" x14ac:dyDescent="0.2">
      <c r="A14" s="300" t="s">
        <v>442</v>
      </c>
      <c r="B14" s="1649" t="s">
        <v>646</v>
      </c>
      <c r="C14" s="1650"/>
      <c r="D14" s="1650"/>
      <c r="E14" s="1650"/>
      <c r="F14" s="1650"/>
      <c r="G14" s="1650"/>
      <c r="H14" s="1650"/>
      <c r="I14" s="1650"/>
      <c r="J14" s="1650"/>
      <c r="K14" s="1650"/>
      <c r="L14" s="1651"/>
      <c r="M14" s="37"/>
      <c r="N14" s="145"/>
      <c r="O14" s="37"/>
      <c r="P14" s="37"/>
      <c r="Q14" s="37"/>
      <c r="R14" s="37"/>
      <c r="S14" s="37"/>
      <c r="T14" s="37"/>
      <c r="U14" s="37"/>
      <c r="V14" s="37"/>
      <c r="W14" s="37"/>
      <c r="X14" s="37"/>
      <c r="Y14" s="37"/>
      <c r="Z14" s="37"/>
    </row>
    <row r="15" spans="1:26" x14ac:dyDescent="0.2">
      <c r="A15" s="315" t="s">
        <v>847</v>
      </c>
      <c r="B15" s="321"/>
      <c r="C15" s="321"/>
      <c r="D15" s="321"/>
      <c r="E15" s="321"/>
      <c r="F15" s="321"/>
      <c r="G15" s="321"/>
      <c r="H15" s="1647"/>
      <c r="I15" s="1647"/>
      <c r="J15" s="1647"/>
      <c r="K15" s="1647"/>
      <c r="L15" s="1648"/>
      <c r="M15" s="37"/>
      <c r="N15" s="145"/>
      <c r="O15" s="37"/>
      <c r="P15" s="37"/>
      <c r="Q15" s="37"/>
      <c r="R15" s="37"/>
      <c r="S15" s="37"/>
      <c r="T15" s="37"/>
      <c r="U15" s="37"/>
      <c r="V15" s="37"/>
      <c r="W15" s="37"/>
      <c r="X15" s="37"/>
      <c r="Y15" s="37"/>
      <c r="Z15" s="37"/>
    </row>
    <row r="16" spans="1:26" ht="39" customHeight="1" thickBot="1" x14ac:dyDescent="0.25">
      <c r="A16" s="1547" t="s">
        <v>679</v>
      </c>
      <c r="B16" s="1548"/>
      <c r="C16" s="1548"/>
      <c r="D16" s="1548"/>
      <c r="E16" s="1548"/>
      <c r="F16" s="1548"/>
      <c r="G16" s="1548"/>
      <c r="H16" s="1548"/>
      <c r="I16" s="1548"/>
      <c r="J16" s="1548"/>
      <c r="K16" s="1548"/>
      <c r="L16" s="1549"/>
      <c r="M16" s="37"/>
      <c r="N16" s="145"/>
      <c r="O16" s="37"/>
      <c r="P16" s="37"/>
      <c r="Q16" s="37"/>
      <c r="R16" s="37"/>
      <c r="S16" s="37"/>
      <c r="T16" s="37"/>
      <c r="U16" s="37"/>
      <c r="V16" s="37"/>
      <c r="W16" s="37"/>
      <c r="X16" s="37"/>
      <c r="Y16" s="37"/>
      <c r="Z16" s="37"/>
    </row>
    <row r="17" spans="1:26" ht="13.5" thickTop="1" x14ac:dyDescent="0.2">
      <c r="A17" s="29"/>
      <c r="B17" s="29"/>
      <c r="C17" s="29"/>
      <c r="D17" s="29"/>
      <c r="E17" s="29"/>
      <c r="F17" s="29"/>
      <c r="G17" s="29"/>
      <c r="H17" s="29"/>
      <c r="I17" s="29"/>
      <c r="J17" s="37"/>
      <c r="K17" s="37"/>
      <c r="L17" s="37"/>
      <c r="M17" s="37"/>
      <c r="N17" s="145"/>
      <c r="O17" s="37"/>
      <c r="P17" s="37"/>
      <c r="Q17" s="37"/>
      <c r="R17" s="37"/>
      <c r="S17" s="37"/>
      <c r="T17" s="37"/>
      <c r="U17" s="37"/>
      <c r="V17" s="37"/>
      <c r="W17" s="37"/>
      <c r="X17" s="37"/>
      <c r="Y17" s="37"/>
      <c r="Z17" s="37"/>
    </row>
    <row r="18" spans="1:26" x14ac:dyDescent="0.2">
      <c r="A18" s="29"/>
      <c r="B18" s="29"/>
      <c r="C18" s="29"/>
      <c r="D18" s="29"/>
      <c r="E18" s="29"/>
      <c r="F18" s="29"/>
      <c r="G18" s="29"/>
      <c r="H18" s="29"/>
      <c r="I18" s="29"/>
      <c r="J18" s="37"/>
      <c r="K18" s="37"/>
      <c r="L18" s="37"/>
      <c r="M18" s="37"/>
      <c r="N18" s="145"/>
      <c r="O18" s="37"/>
      <c r="P18" s="37"/>
      <c r="Q18" s="37"/>
      <c r="R18" s="37"/>
      <c r="S18" s="37"/>
      <c r="T18" s="37"/>
      <c r="U18" s="37"/>
      <c r="V18" s="37"/>
      <c r="W18" s="37"/>
      <c r="X18" s="37"/>
      <c r="Y18" s="37"/>
      <c r="Z18" s="37"/>
    </row>
    <row r="19" spans="1:26" x14ac:dyDescent="0.2">
      <c r="A19" s="29"/>
      <c r="B19" s="29"/>
      <c r="C19" s="29"/>
      <c r="D19" s="29"/>
      <c r="E19" s="29"/>
      <c r="F19" s="29"/>
      <c r="G19" s="29"/>
      <c r="H19" s="29"/>
      <c r="I19" s="29"/>
      <c r="J19" s="37"/>
      <c r="K19" s="37"/>
      <c r="L19" s="37"/>
      <c r="M19" s="37"/>
      <c r="N19" s="145"/>
      <c r="O19" s="37"/>
      <c r="P19" s="37"/>
      <c r="Q19" s="37"/>
      <c r="R19" s="37"/>
      <c r="S19" s="37"/>
      <c r="T19" s="37"/>
      <c r="U19" s="37"/>
      <c r="V19" s="37"/>
      <c r="W19" s="37"/>
      <c r="X19" s="37"/>
      <c r="Y19" s="37"/>
      <c r="Z19" s="37"/>
    </row>
    <row r="20" spans="1:26" x14ac:dyDescent="0.2">
      <c r="A20" s="29"/>
      <c r="B20" s="29"/>
      <c r="C20" s="29"/>
      <c r="D20" s="29"/>
      <c r="E20" s="29"/>
      <c r="F20" s="29"/>
      <c r="G20" s="29"/>
      <c r="H20" s="29"/>
      <c r="I20" s="29"/>
      <c r="J20" s="37"/>
      <c r="K20" s="37"/>
      <c r="L20" s="37"/>
      <c r="M20" s="37"/>
      <c r="N20" s="145"/>
      <c r="O20" s="37"/>
      <c r="P20" s="37"/>
      <c r="Q20" s="37"/>
      <c r="R20" s="37"/>
      <c r="S20" s="37"/>
      <c r="T20" s="37"/>
      <c r="U20" s="37"/>
      <c r="V20" s="37"/>
      <c r="W20" s="37"/>
      <c r="X20" s="37"/>
      <c r="Y20" s="37"/>
      <c r="Z20" s="37"/>
    </row>
    <row r="21" spans="1:26" x14ac:dyDescent="0.2">
      <c r="A21" s="29"/>
      <c r="B21" s="29"/>
      <c r="C21" s="29"/>
      <c r="D21" s="29"/>
      <c r="E21" s="29"/>
      <c r="F21" s="29"/>
      <c r="G21" s="29"/>
      <c r="H21" s="29"/>
      <c r="I21" s="29"/>
      <c r="J21" s="37"/>
      <c r="K21" s="37"/>
      <c r="L21" s="37"/>
      <c r="M21" s="37"/>
      <c r="N21" s="145"/>
      <c r="O21" s="37"/>
      <c r="P21" s="37"/>
      <c r="Q21" s="37"/>
      <c r="R21" s="37"/>
      <c r="S21" s="37"/>
      <c r="T21" s="37"/>
      <c r="U21" s="37"/>
      <c r="V21" s="37"/>
      <c r="W21" s="37"/>
      <c r="X21" s="37"/>
      <c r="Y21" s="37"/>
      <c r="Z21" s="37"/>
    </row>
    <row r="22" spans="1:26" x14ac:dyDescent="0.2">
      <c r="A22" s="29"/>
      <c r="B22" s="29"/>
      <c r="C22" s="29"/>
      <c r="D22" s="29"/>
      <c r="E22" s="29"/>
      <c r="F22" s="29"/>
      <c r="G22" s="29"/>
      <c r="H22" s="29"/>
      <c r="I22" s="29"/>
      <c r="J22" s="37"/>
      <c r="K22" s="37"/>
      <c r="L22" s="37"/>
      <c r="M22" s="37"/>
      <c r="N22" s="145"/>
      <c r="O22" s="37"/>
      <c r="P22" s="37"/>
      <c r="Q22" s="37"/>
      <c r="R22" s="37"/>
      <c r="S22" s="37"/>
      <c r="T22" s="37"/>
      <c r="U22" s="37"/>
      <c r="V22" s="37"/>
      <c r="W22" s="37"/>
      <c r="X22" s="37"/>
      <c r="Y22" s="37"/>
      <c r="Z22" s="37"/>
    </row>
    <row r="23" spans="1:26" x14ac:dyDescent="0.2">
      <c r="A23" s="29"/>
      <c r="B23" s="29"/>
      <c r="C23" s="29"/>
      <c r="D23" s="29"/>
      <c r="E23" s="29"/>
      <c r="F23" s="29"/>
      <c r="G23" s="29"/>
      <c r="H23" s="29"/>
      <c r="I23" s="29"/>
      <c r="J23" s="37"/>
      <c r="K23" s="37"/>
      <c r="L23" s="37"/>
      <c r="M23" s="37"/>
      <c r="N23" s="145"/>
      <c r="O23" s="37"/>
      <c r="P23" s="37"/>
      <c r="Q23" s="37"/>
      <c r="R23" s="37"/>
      <c r="S23" s="37"/>
      <c r="T23" s="37"/>
      <c r="U23" s="37"/>
      <c r="V23" s="37"/>
      <c r="W23" s="37"/>
      <c r="X23" s="37"/>
      <c r="Y23" s="37"/>
      <c r="Z23" s="37"/>
    </row>
    <row r="24" spans="1:26" x14ac:dyDescent="0.2">
      <c r="A24" s="29"/>
      <c r="B24" s="29"/>
      <c r="C24" s="29"/>
      <c r="D24" s="29"/>
      <c r="E24" s="29"/>
      <c r="F24" s="29"/>
      <c r="G24" s="29"/>
      <c r="H24" s="29"/>
      <c r="I24" s="29"/>
      <c r="J24" s="37"/>
      <c r="K24" s="37"/>
      <c r="L24" s="37"/>
      <c r="M24" s="37"/>
      <c r="N24" s="145"/>
      <c r="O24" s="37"/>
      <c r="P24" s="37"/>
      <c r="Q24" s="37"/>
      <c r="R24" s="37"/>
      <c r="S24" s="37"/>
      <c r="T24" s="37"/>
      <c r="U24" s="37"/>
      <c r="V24" s="37"/>
      <c r="W24" s="37"/>
      <c r="X24" s="37"/>
      <c r="Y24" s="37"/>
      <c r="Z24" s="37"/>
    </row>
    <row r="25" spans="1:26" x14ac:dyDescent="0.2">
      <c r="A25" s="29"/>
      <c r="B25" s="29"/>
      <c r="C25" s="29"/>
      <c r="D25" s="29"/>
      <c r="E25" s="29"/>
      <c r="F25" s="29"/>
      <c r="G25" s="29"/>
      <c r="H25" s="29"/>
      <c r="I25" s="29"/>
      <c r="J25" s="37"/>
      <c r="K25" s="37"/>
      <c r="L25" s="37"/>
      <c r="M25" s="37"/>
      <c r="N25" s="145"/>
      <c r="O25" s="37"/>
      <c r="P25" s="37"/>
      <c r="Q25" s="37"/>
      <c r="R25" s="37"/>
      <c r="S25" s="37"/>
      <c r="T25" s="37"/>
      <c r="U25" s="37"/>
      <c r="V25" s="37"/>
      <c r="W25" s="37"/>
      <c r="X25" s="37"/>
      <c r="Y25" s="37"/>
      <c r="Z25" s="37"/>
    </row>
    <row r="26" spans="1:26" x14ac:dyDescent="0.2">
      <c r="A26" s="29"/>
      <c r="B26" s="29"/>
      <c r="C26" s="29"/>
      <c r="D26" s="29"/>
      <c r="E26" s="29"/>
      <c r="F26" s="29"/>
      <c r="G26" s="29"/>
      <c r="H26" s="29"/>
      <c r="I26" s="29"/>
      <c r="J26" s="37"/>
      <c r="K26" s="37"/>
      <c r="L26" s="37"/>
      <c r="M26" s="37"/>
      <c r="N26" s="145"/>
      <c r="O26" s="37"/>
      <c r="P26" s="37"/>
      <c r="Q26" s="37"/>
      <c r="R26" s="37"/>
      <c r="S26" s="37"/>
      <c r="T26" s="37"/>
      <c r="U26" s="37"/>
      <c r="V26" s="37"/>
      <c r="W26" s="37"/>
      <c r="X26" s="37"/>
      <c r="Y26" s="37"/>
      <c r="Z26" s="37"/>
    </row>
    <row r="27" spans="1:26" x14ac:dyDescent="0.2">
      <c r="A27" s="29"/>
      <c r="B27" s="29"/>
      <c r="C27" s="29"/>
      <c r="D27" s="29"/>
      <c r="E27" s="29"/>
      <c r="F27" s="29"/>
      <c r="G27" s="29"/>
      <c r="H27" s="29"/>
      <c r="I27" s="29"/>
      <c r="J27" s="37"/>
      <c r="K27" s="37"/>
      <c r="L27" s="37"/>
      <c r="M27" s="37"/>
      <c r="N27" s="145"/>
      <c r="O27" s="37"/>
      <c r="P27" s="37"/>
      <c r="Q27" s="37"/>
      <c r="R27" s="37"/>
      <c r="S27" s="37"/>
      <c r="T27" s="37"/>
      <c r="U27" s="37"/>
      <c r="V27" s="37"/>
      <c r="W27" s="37"/>
      <c r="X27" s="37"/>
      <c r="Y27" s="37"/>
      <c r="Z27" s="37"/>
    </row>
    <row r="28" spans="1:26" x14ac:dyDescent="0.2">
      <c r="A28" s="29"/>
      <c r="B28" s="29"/>
      <c r="C28" s="29"/>
      <c r="D28" s="29"/>
      <c r="E28" s="29"/>
      <c r="F28" s="29"/>
      <c r="G28" s="29"/>
      <c r="H28" s="29"/>
      <c r="I28" s="29"/>
      <c r="J28" s="37"/>
      <c r="K28" s="37"/>
      <c r="L28" s="37"/>
      <c r="M28" s="37"/>
      <c r="N28" s="145"/>
      <c r="O28" s="37"/>
      <c r="P28" s="37"/>
      <c r="Q28" s="37"/>
      <c r="R28" s="37"/>
      <c r="S28" s="37"/>
      <c r="T28" s="37"/>
      <c r="U28" s="37"/>
      <c r="V28" s="37"/>
      <c r="W28" s="37"/>
      <c r="X28" s="37"/>
      <c r="Y28" s="37"/>
      <c r="Z28" s="37"/>
    </row>
    <row r="29" spans="1:26" x14ac:dyDescent="0.2">
      <c r="A29" s="29"/>
      <c r="B29" s="29"/>
      <c r="C29" s="29"/>
      <c r="D29" s="29"/>
      <c r="E29" s="29"/>
      <c r="F29" s="29"/>
      <c r="G29" s="29"/>
      <c r="H29" s="29"/>
      <c r="I29" s="29"/>
      <c r="J29" s="37"/>
      <c r="K29" s="37"/>
      <c r="L29" s="37"/>
      <c r="M29" s="37"/>
      <c r="N29" s="145"/>
      <c r="O29" s="37"/>
      <c r="P29" s="37"/>
      <c r="Q29" s="37"/>
      <c r="R29" s="37"/>
      <c r="S29" s="37"/>
      <c r="T29" s="37"/>
      <c r="U29" s="37"/>
      <c r="V29" s="37"/>
      <c r="W29" s="37"/>
      <c r="X29" s="37"/>
      <c r="Y29" s="37"/>
      <c r="Z29" s="37"/>
    </row>
    <row r="30" spans="1:26" x14ac:dyDescent="0.2">
      <c r="A30" s="29"/>
      <c r="B30" s="29"/>
      <c r="C30" s="29"/>
      <c r="D30" s="29"/>
      <c r="E30" s="29"/>
      <c r="F30" s="29"/>
      <c r="G30" s="29"/>
      <c r="H30" s="29"/>
      <c r="I30" s="29"/>
      <c r="J30" s="37"/>
      <c r="K30" s="37"/>
      <c r="L30" s="37"/>
      <c r="M30" s="37"/>
      <c r="N30" s="145"/>
      <c r="O30" s="37"/>
      <c r="P30" s="37"/>
      <c r="Q30" s="37"/>
      <c r="R30" s="37"/>
      <c r="S30" s="37"/>
      <c r="T30" s="37"/>
      <c r="U30" s="37"/>
      <c r="V30" s="37"/>
      <c r="W30" s="37"/>
      <c r="X30" s="37"/>
      <c r="Y30" s="37"/>
      <c r="Z30" s="37"/>
    </row>
    <row r="31" spans="1:26" x14ac:dyDescent="0.2">
      <c r="A31" s="29"/>
      <c r="B31" s="29"/>
      <c r="C31" s="29"/>
      <c r="D31" s="29"/>
      <c r="E31" s="29"/>
      <c r="F31" s="29"/>
      <c r="G31" s="29"/>
      <c r="H31" s="29"/>
      <c r="I31" s="29"/>
      <c r="J31" s="37"/>
      <c r="K31" s="37"/>
      <c r="L31" s="37"/>
      <c r="M31" s="37"/>
      <c r="N31" s="145"/>
      <c r="O31" s="37"/>
      <c r="P31" s="37"/>
      <c r="Q31" s="37"/>
      <c r="R31" s="37"/>
      <c r="S31" s="37"/>
      <c r="T31" s="37"/>
      <c r="U31" s="37"/>
      <c r="V31" s="37"/>
      <c r="W31" s="37"/>
      <c r="X31" s="37"/>
      <c r="Y31" s="37"/>
      <c r="Z31" s="37"/>
    </row>
    <row r="32" spans="1:26" x14ac:dyDescent="0.2">
      <c r="A32" s="29"/>
      <c r="B32" s="29"/>
      <c r="C32" s="29"/>
      <c r="D32" s="29"/>
      <c r="E32" s="29"/>
      <c r="F32" s="29"/>
      <c r="G32" s="29"/>
      <c r="H32" s="29"/>
      <c r="I32" s="29"/>
      <c r="J32" s="37"/>
      <c r="K32" s="37"/>
      <c r="L32" s="37"/>
      <c r="M32" s="37"/>
      <c r="N32" s="145"/>
      <c r="O32" s="37"/>
      <c r="P32" s="37"/>
      <c r="Q32" s="37"/>
      <c r="R32" s="37"/>
      <c r="S32" s="37"/>
      <c r="T32" s="37"/>
      <c r="U32" s="37"/>
      <c r="V32" s="37"/>
      <c r="W32" s="37"/>
      <c r="X32" s="37"/>
      <c r="Y32" s="37"/>
      <c r="Z32" s="37"/>
    </row>
    <row r="33" spans="1:26" x14ac:dyDescent="0.2">
      <c r="A33" s="29"/>
      <c r="B33" s="29"/>
      <c r="C33" s="29"/>
      <c r="D33" s="29"/>
      <c r="E33" s="29"/>
      <c r="F33" s="29"/>
      <c r="G33" s="29"/>
      <c r="H33" s="29"/>
      <c r="I33" s="29"/>
      <c r="J33" s="37"/>
      <c r="K33" s="37"/>
      <c r="L33" s="37"/>
      <c r="M33" s="37"/>
      <c r="N33" s="145"/>
      <c r="O33" s="37"/>
      <c r="P33" s="37"/>
      <c r="Q33" s="37"/>
      <c r="R33" s="37"/>
      <c r="S33" s="37"/>
      <c r="T33" s="37"/>
      <c r="U33" s="37"/>
      <c r="V33" s="37"/>
      <c r="W33" s="37"/>
      <c r="X33" s="37"/>
      <c r="Y33" s="37"/>
      <c r="Z33" s="37"/>
    </row>
    <row r="34" spans="1:26" x14ac:dyDescent="0.2">
      <c r="A34" s="29"/>
      <c r="B34" s="29"/>
      <c r="C34" s="29"/>
      <c r="D34" s="29"/>
      <c r="E34" s="29"/>
      <c r="F34" s="29"/>
      <c r="G34" s="29"/>
      <c r="H34" s="29"/>
      <c r="I34" s="29"/>
      <c r="J34" s="37"/>
      <c r="K34" s="37"/>
      <c r="L34" s="37"/>
      <c r="M34" s="37"/>
      <c r="N34" s="145"/>
      <c r="O34" s="37"/>
      <c r="P34" s="37"/>
      <c r="Q34" s="37"/>
      <c r="R34" s="37"/>
      <c r="S34" s="37"/>
      <c r="T34" s="37"/>
      <c r="U34" s="37"/>
      <c r="V34" s="37"/>
      <c r="W34" s="37"/>
      <c r="X34" s="37"/>
      <c r="Y34" s="37"/>
      <c r="Z34" s="37"/>
    </row>
    <row r="35" spans="1:26" x14ac:dyDescent="0.2">
      <c r="A35" s="29"/>
      <c r="B35" s="29"/>
      <c r="C35" s="29"/>
      <c r="D35" s="29"/>
      <c r="E35" s="29"/>
      <c r="F35" s="29"/>
      <c r="G35" s="29"/>
      <c r="H35" s="29"/>
      <c r="I35" s="29"/>
      <c r="J35" s="37"/>
      <c r="K35" s="37"/>
      <c r="L35" s="37"/>
      <c r="M35" s="37"/>
      <c r="N35" s="145"/>
      <c r="O35" s="37"/>
      <c r="P35" s="37"/>
      <c r="Q35" s="37"/>
      <c r="R35" s="37"/>
      <c r="S35" s="37"/>
      <c r="T35" s="37"/>
      <c r="U35" s="37"/>
      <c r="V35" s="37"/>
      <c r="W35" s="37"/>
      <c r="X35" s="37"/>
      <c r="Y35" s="37"/>
      <c r="Z35" s="37"/>
    </row>
    <row r="36" spans="1:26" x14ac:dyDescent="0.2">
      <c r="A36" s="29"/>
      <c r="B36" s="29"/>
      <c r="C36" s="29"/>
      <c r="D36" s="29"/>
      <c r="E36" s="29"/>
      <c r="F36" s="29"/>
      <c r="G36" s="29"/>
      <c r="H36" s="29"/>
      <c r="I36" s="29"/>
      <c r="J36" s="37"/>
      <c r="K36" s="37"/>
      <c r="L36" s="37"/>
      <c r="M36" s="37"/>
      <c r="N36" s="145"/>
      <c r="O36" s="37"/>
      <c r="P36" s="37"/>
      <c r="Q36" s="37"/>
      <c r="R36" s="37"/>
      <c r="S36" s="37"/>
      <c r="T36" s="37"/>
      <c r="U36" s="37"/>
      <c r="V36" s="37"/>
      <c r="W36" s="37"/>
      <c r="X36" s="37"/>
      <c r="Y36" s="37"/>
      <c r="Z36" s="37"/>
    </row>
    <row r="37" spans="1:26" x14ac:dyDescent="0.2">
      <c r="A37" s="37"/>
      <c r="B37" s="37"/>
      <c r="C37" s="37"/>
      <c r="D37" s="37"/>
      <c r="E37" s="37"/>
      <c r="F37" s="37"/>
      <c r="G37" s="37"/>
      <c r="H37" s="37"/>
      <c r="I37" s="37"/>
      <c r="J37" s="37"/>
      <c r="K37" s="37"/>
      <c r="L37" s="37"/>
      <c r="M37" s="37"/>
      <c r="N37" s="145"/>
      <c r="O37" s="37"/>
      <c r="P37" s="37"/>
      <c r="Q37" s="37"/>
      <c r="R37" s="37"/>
      <c r="S37" s="37"/>
      <c r="T37" s="37"/>
      <c r="U37" s="37"/>
      <c r="V37" s="37"/>
      <c r="W37" s="37"/>
      <c r="X37" s="37"/>
      <c r="Y37" s="37"/>
      <c r="Z37" s="37"/>
    </row>
    <row r="38" spans="1:26" x14ac:dyDescent="0.2">
      <c r="A38" s="37"/>
      <c r="B38" s="37"/>
      <c r="C38" s="37"/>
      <c r="D38" s="37"/>
      <c r="E38" s="37"/>
      <c r="F38" s="37"/>
      <c r="G38" s="37"/>
      <c r="H38" s="37"/>
      <c r="I38" s="37"/>
      <c r="J38" s="37"/>
      <c r="K38" s="37"/>
      <c r="L38" s="37"/>
      <c r="M38" s="37"/>
      <c r="N38" s="145"/>
      <c r="O38" s="37"/>
      <c r="P38" s="37"/>
      <c r="Q38" s="37"/>
      <c r="R38" s="37"/>
      <c r="S38" s="37"/>
      <c r="T38" s="37"/>
      <c r="U38" s="37"/>
      <c r="V38" s="37"/>
      <c r="W38" s="37"/>
      <c r="X38" s="37"/>
      <c r="Y38" s="37"/>
      <c r="Z38" s="37"/>
    </row>
    <row r="39" spans="1:26" x14ac:dyDescent="0.2">
      <c r="A39" s="37"/>
      <c r="B39" s="37"/>
      <c r="C39" s="37"/>
      <c r="D39" s="37"/>
      <c r="E39" s="37"/>
      <c r="F39" s="37"/>
      <c r="G39" s="37"/>
      <c r="H39" s="37"/>
      <c r="I39" s="37"/>
      <c r="J39" s="37"/>
      <c r="K39" s="37"/>
      <c r="L39" s="37"/>
      <c r="M39" s="37"/>
      <c r="N39" s="145"/>
      <c r="O39" s="37"/>
      <c r="P39" s="37"/>
      <c r="Q39" s="37"/>
      <c r="R39" s="37"/>
      <c r="S39" s="37"/>
      <c r="T39" s="37"/>
      <c r="U39" s="37"/>
      <c r="V39" s="37"/>
      <c r="W39" s="37"/>
      <c r="X39" s="37"/>
      <c r="Y39" s="37"/>
      <c r="Z39" s="37"/>
    </row>
    <row r="40" spans="1:26" x14ac:dyDescent="0.2">
      <c r="A40" s="37"/>
      <c r="B40" s="37"/>
      <c r="C40" s="37"/>
      <c r="D40" s="37"/>
      <c r="E40" s="37"/>
      <c r="F40" s="37"/>
      <c r="G40" s="37"/>
      <c r="H40" s="37"/>
      <c r="I40" s="37"/>
      <c r="J40" s="37"/>
      <c r="K40" s="37"/>
      <c r="L40" s="37"/>
      <c r="M40" s="37"/>
      <c r="N40" s="145"/>
      <c r="O40" s="37"/>
      <c r="P40" s="37"/>
      <c r="Q40" s="37"/>
      <c r="R40" s="37"/>
      <c r="S40" s="37"/>
      <c r="T40" s="37"/>
      <c r="U40" s="37"/>
      <c r="V40" s="37"/>
      <c r="W40" s="37"/>
      <c r="X40" s="37"/>
      <c r="Y40" s="37"/>
      <c r="Z40" s="37"/>
    </row>
    <row r="41" spans="1:26" x14ac:dyDescent="0.2">
      <c r="A41" s="37"/>
      <c r="B41" s="37"/>
      <c r="C41" s="37"/>
      <c r="D41" s="37"/>
      <c r="E41" s="37"/>
      <c r="F41" s="37"/>
      <c r="G41" s="37"/>
      <c r="H41" s="37"/>
      <c r="I41" s="37"/>
      <c r="J41" s="37"/>
      <c r="K41" s="37"/>
      <c r="L41" s="37"/>
      <c r="M41" s="37"/>
      <c r="N41" s="145"/>
      <c r="O41" s="37"/>
      <c r="P41" s="37"/>
      <c r="Q41" s="37"/>
      <c r="R41" s="37"/>
      <c r="S41" s="37"/>
      <c r="T41" s="37"/>
      <c r="U41" s="37"/>
      <c r="V41" s="37"/>
      <c r="W41" s="37"/>
      <c r="X41" s="37"/>
      <c r="Y41" s="37"/>
      <c r="Z41" s="37"/>
    </row>
    <row r="42" spans="1:26" x14ac:dyDescent="0.2">
      <c r="A42" s="37"/>
      <c r="B42" s="37"/>
      <c r="C42" s="37"/>
      <c r="D42" s="37"/>
      <c r="E42" s="37"/>
      <c r="F42" s="37"/>
      <c r="G42" s="37"/>
      <c r="H42" s="37"/>
      <c r="I42" s="37"/>
      <c r="J42" s="37"/>
      <c r="K42" s="37"/>
      <c r="L42" s="37"/>
      <c r="M42" s="37"/>
      <c r="N42" s="145"/>
      <c r="O42" s="37"/>
      <c r="P42" s="37"/>
      <c r="Q42" s="37"/>
      <c r="R42" s="37"/>
      <c r="S42" s="37"/>
      <c r="T42" s="37"/>
      <c r="U42" s="37"/>
      <c r="V42" s="37"/>
      <c r="W42" s="37"/>
      <c r="X42" s="37"/>
      <c r="Y42" s="37"/>
      <c r="Z42" s="37"/>
    </row>
    <row r="43" spans="1:26" x14ac:dyDescent="0.2">
      <c r="A43" s="37"/>
      <c r="B43" s="37"/>
      <c r="C43" s="37"/>
      <c r="D43" s="37"/>
      <c r="E43" s="37"/>
      <c r="F43" s="37"/>
      <c r="G43" s="37"/>
      <c r="H43" s="37"/>
      <c r="I43" s="37"/>
      <c r="J43" s="37"/>
      <c r="K43" s="37"/>
      <c r="L43" s="37"/>
      <c r="M43" s="37"/>
      <c r="N43" s="145"/>
      <c r="O43" s="37"/>
      <c r="P43" s="37"/>
      <c r="Q43" s="37"/>
      <c r="R43" s="37"/>
      <c r="S43" s="37"/>
      <c r="T43" s="37"/>
      <c r="U43" s="37"/>
      <c r="V43" s="37"/>
      <c r="W43" s="37"/>
      <c r="X43" s="37"/>
      <c r="Y43" s="37"/>
      <c r="Z43" s="37"/>
    </row>
    <row r="44" spans="1:26" x14ac:dyDescent="0.2">
      <c r="A44" s="37"/>
      <c r="B44" s="37"/>
      <c r="C44" s="37"/>
      <c r="D44" s="37"/>
      <c r="E44" s="37"/>
      <c r="F44" s="37"/>
      <c r="G44" s="37"/>
      <c r="H44" s="37"/>
      <c r="I44" s="37"/>
      <c r="J44" s="37"/>
      <c r="K44" s="37"/>
      <c r="L44" s="37"/>
      <c r="M44" s="37"/>
      <c r="N44" s="145"/>
      <c r="O44" s="37"/>
      <c r="P44" s="37"/>
      <c r="Q44" s="37"/>
      <c r="R44" s="37"/>
      <c r="S44" s="37"/>
      <c r="T44" s="37"/>
      <c r="U44" s="37"/>
      <c r="V44" s="37"/>
      <c r="W44" s="37"/>
      <c r="X44" s="37"/>
      <c r="Y44" s="37"/>
      <c r="Z44" s="37"/>
    </row>
    <row r="45" spans="1:26" x14ac:dyDescent="0.2">
      <c r="A45" s="37"/>
      <c r="B45" s="37"/>
      <c r="C45" s="37"/>
      <c r="D45" s="37"/>
      <c r="E45" s="37"/>
      <c r="F45" s="37"/>
      <c r="G45" s="37"/>
      <c r="H45" s="37"/>
      <c r="I45" s="37"/>
      <c r="J45" s="37"/>
      <c r="K45" s="37"/>
      <c r="L45" s="37"/>
      <c r="M45" s="37"/>
      <c r="N45" s="145"/>
      <c r="O45" s="37"/>
      <c r="P45" s="37"/>
      <c r="Q45" s="37"/>
      <c r="R45" s="37"/>
      <c r="S45" s="37"/>
      <c r="T45" s="37"/>
      <c r="U45" s="37"/>
      <c r="V45" s="37"/>
      <c r="W45" s="37"/>
      <c r="X45" s="37"/>
      <c r="Y45" s="37"/>
      <c r="Z45" s="37"/>
    </row>
    <row r="46" spans="1:26" x14ac:dyDescent="0.2">
      <c r="A46" s="37"/>
      <c r="B46" s="37"/>
      <c r="C46" s="37"/>
      <c r="D46" s="37"/>
      <c r="E46" s="37"/>
      <c r="F46" s="37"/>
      <c r="G46" s="37"/>
      <c r="H46" s="37"/>
      <c r="I46" s="37"/>
      <c r="J46" s="37"/>
      <c r="K46" s="37"/>
      <c r="L46" s="37"/>
      <c r="M46" s="37"/>
      <c r="N46" s="145"/>
      <c r="O46" s="37"/>
      <c r="P46" s="37"/>
      <c r="Q46" s="37"/>
      <c r="R46" s="37"/>
      <c r="S46" s="37"/>
      <c r="T46" s="37"/>
      <c r="U46" s="37"/>
      <c r="V46" s="37"/>
      <c r="W46" s="37"/>
      <c r="X46" s="37"/>
      <c r="Y46" s="37"/>
      <c r="Z46" s="37"/>
    </row>
    <row r="47" spans="1:26" x14ac:dyDescent="0.2">
      <c r="A47" s="37"/>
      <c r="B47" s="37"/>
      <c r="C47" s="37"/>
      <c r="D47" s="37"/>
      <c r="E47" s="37"/>
      <c r="F47" s="37"/>
      <c r="G47" s="37"/>
      <c r="H47" s="37"/>
      <c r="I47" s="37"/>
      <c r="J47" s="37"/>
      <c r="K47" s="37"/>
      <c r="L47" s="37"/>
      <c r="M47" s="37"/>
      <c r="N47" s="145"/>
      <c r="O47" s="37"/>
      <c r="P47" s="37"/>
      <c r="Q47" s="37"/>
      <c r="R47" s="37"/>
      <c r="S47" s="37"/>
      <c r="T47" s="37"/>
      <c r="U47" s="37"/>
      <c r="V47" s="37"/>
      <c r="W47" s="37"/>
      <c r="X47" s="37"/>
      <c r="Y47" s="37"/>
      <c r="Z47" s="37"/>
    </row>
    <row r="48" spans="1:26" x14ac:dyDescent="0.2">
      <c r="A48" s="37"/>
      <c r="B48" s="37"/>
      <c r="C48" s="37"/>
      <c r="D48" s="37"/>
      <c r="E48" s="37"/>
      <c r="F48" s="37"/>
      <c r="G48" s="37"/>
      <c r="H48" s="37"/>
      <c r="I48" s="37"/>
      <c r="J48" s="37"/>
      <c r="K48" s="37"/>
      <c r="L48" s="37"/>
      <c r="M48" s="37"/>
      <c r="N48" s="145"/>
      <c r="O48" s="37"/>
      <c r="P48" s="37"/>
      <c r="Q48" s="37"/>
      <c r="R48" s="37"/>
      <c r="S48" s="37"/>
      <c r="T48" s="37"/>
      <c r="U48" s="37"/>
      <c r="V48" s="37"/>
      <c r="W48" s="37"/>
      <c r="X48" s="37"/>
      <c r="Y48" s="37"/>
      <c r="Z48" s="37"/>
    </row>
    <row r="49" spans="1:26" x14ac:dyDescent="0.2">
      <c r="A49" s="37"/>
      <c r="B49" s="37"/>
      <c r="C49" s="37"/>
      <c r="D49" s="37"/>
      <c r="E49" s="37"/>
      <c r="F49" s="37"/>
      <c r="G49" s="37"/>
      <c r="H49" s="37"/>
      <c r="I49" s="37"/>
      <c r="J49" s="37"/>
      <c r="K49" s="37"/>
      <c r="L49" s="37"/>
      <c r="M49" s="37"/>
      <c r="N49" s="145"/>
      <c r="O49" s="37"/>
      <c r="P49" s="37"/>
      <c r="Q49" s="37"/>
      <c r="R49" s="37"/>
      <c r="S49" s="37"/>
      <c r="T49" s="37"/>
      <c r="U49" s="37"/>
      <c r="V49" s="37"/>
      <c r="W49" s="37"/>
      <c r="X49" s="37"/>
      <c r="Y49" s="37"/>
      <c r="Z49" s="37"/>
    </row>
    <row r="50" spans="1:26" x14ac:dyDescent="0.2">
      <c r="A50" s="37"/>
      <c r="B50" s="37"/>
      <c r="C50" s="37"/>
      <c r="D50" s="37"/>
      <c r="E50" s="37"/>
      <c r="F50" s="37"/>
      <c r="G50" s="37"/>
      <c r="H50" s="37"/>
      <c r="I50" s="37"/>
      <c r="J50" s="37"/>
      <c r="K50" s="37"/>
      <c r="L50" s="37"/>
      <c r="M50" s="37"/>
      <c r="N50" s="145"/>
      <c r="O50" s="37"/>
      <c r="P50" s="37"/>
      <c r="Q50" s="37"/>
      <c r="R50" s="37"/>
      <c r="S50" s="37"/>
      <c r="T50" s="37"/>
      <c r="U50" s="37"/>
      <c r="V50" s="37"/>
      <c r="W50" s="37"/>
      <c r="X50" s="37"/>
      <c r="Y50" s="37"/>
      <c r="Z50" s="37"/>
    </row>
    <row r="51" spans="1:26" x14ac:dyDescent="0.2">
      <c r="A51" s="37"/>
      <c r="B51" s="37"/>
      <c r="C51" s="37"/>
      <c r="D51" s="37"/>
      <c r="E51" s="37"/>
      <c r="F51" s="37"/>
      <c r="G51" s="37"/>
      <c r="H51" s="37"/>
      <c r="I51" s="37"/>
      <c r="J51" s="37"/>
      <c r="K51" s="37"/>
      <c r="L51" s="37"/>
      <c r="M51" s="37"/>
      <c r="N51" s="145"/>
      <c r="O51" s="37"/>
      <c r="P51" s="37"/>
      <c r="Q51" s="37"/>
      <c r="R51" s="37"/>
      <c r="S51" s="37"/>
      <c r="T51" s="37"/>
      <c r="U51" s="37"/>
      <c r="V51" s="37"/>
      <c r="W51" s="37"/>
      <c r="X51" s="37"/>
      <c r="Y51" s="37"/>
      <c r="Z51" s="37"/>
    </row>
    <row r="52" spans="1:26" x14ac:dyDescent="0.2">
      <c r="A52" s="37"/>
      <c r="B52" s="37"/>
      <c r="C52" s="37"/>
      <c r="D52" s="37"/>
      <c r="E52" s="37"/>
      <c r="F52" s="37"/>
      <c r="G52" s="37"/>
      <c r="H52" s="37"/>
      <c r="I52" s="37"/>
      <c r="J52" s="37"/>
      <c r="K52" s="37"/>
      <c r="L52" s="37"/>
      <c r="M52" s="37"/>
      <c r="N52" s="145"/>
      <c r="O52" s="37"/>
      <c r="P52" s="37"/>
      <c r="Q52" s="37"/>
      <c r="R52" s="37"/>
      <c r="S52" s="37"/>
      <c r="T52" s="37"/>
      <c r="U52" s="37"/>
      <c r="V52" s="37"/>
      <c r="W52" s="37"/>
      <c r="X52" s="37"/>
      <c r="Y52" s="37"/>
      <c r="Z52" s="37"/>
    </row>
    <row r="53" spans="1:26" x14ac:dyDescent="0.2">
      <c r="A53" s="37"/>
      <c r="B53" s="37"/>
      <c r="C53" s="37"/>
      <c r="D53" s="37"/>
      <c r="E53" s="37"/>
      <c r="F53" s="37"/>
      <c r="G53" s="37"/>
      <c r="H53" s="37"/>
      <c r="I53" s="37"/>
      <c r="J53" s="37"/>
      <c r="K53" s="37"/>
      <c r="L53" s="37"/>
      <c r="M53" s="37"/>
      <c r="N53" s="145"/>
      <c r="O53" s="37"/>
      <c r="P53" s="37"/>
      <c r="Q53" s="37"/>
      <c r="R53" s="37"/>
      <c r="S53" s="37"/>
      <c r="T53" s="37"/>
      <c r="U53" s="37"/>
      <c r="V53" s="37"/>
      <c r="W53" s="37"/>
      <c r="X53" s="37"/>
      <c r="Y53" s="37"/>
      <c r="Z53" s="37"/>
    </row>
    <row r="54" spans="1:26" x14ac:dyDescent="0.2">
      <c r="A54" s="37"/>
      <c r="B54" s="37"/>
      <c r="C54" s="37"/>
      <c r="D54" s="37"/>
      <c r="E54" s="37"/>
      <c r="F54" s="37"/>
      <c r="G54" s="37"/>
      <c r="H54" s="37"/>
      <c r="I54" s="37"/>
      <c r="J54" s="37"/>
      <c r="K54" s="37"/>
      <c r="L54" s="37"/>
      <c r="M54" s="37"/>
      <c r="N54" s="145"/>
      <c r="O54" s="37"/>
      <c r="P54" s="37"/>
      <c r="Q54" s="37"/>
      <c r="R54" s="37"/>
      <c r="S54" s="37"/>
      <c r="T54" s="37"/>
      <c r="U54" s="37"/>
      <c r="V54" s="37"/>
      <c r="W54" s="37"/>
      <c r="X54" s="37"/>
      <c r="Y54" s="37"/>
      <c r="Z54" s="37"/>
    </row>
    <row r="55" spans="1:26" x14ac:dyDescent="0.2">
      <c r="A55" s="37"/>
      <c r="B55" s="37"/>
      <c r="C55" s="37"/>
      <c r="D55" s="37"/>
      <c r="E55" s="37"/>
      <c r="F55" s="37"/>
      <c r="G55" s="37"/>
      <c r="H55" s="37"/>
      <c r="I55" s="37"/>
      <c r="J55" s="37"/>
      <c r="K55" s="37"/>
      <c r="L55" s="37"/>
      <c r="M55" s="37"/>
      <c r="N55" s="145"/>
      <c r="O55" s="37"/>
      <c r="P55" s="37"/>
      <c r="Q55" s="37"/>
      <c r="R55" s="37"/>
      <c r="S55" s="37"/>
      <c r="T55" s="37"/>
      <c r="U55" s="37"/>
      <c r="V55" s="37"/>
      <c r="W55" s="37"/>
      <c r="X55" s="37"/>
      <c r="Y55" s="37"/>
      <c r="Z55" s="37"/>
    </row>
    <row r="56" spans="1:26" x14ac:dyDescent="0.2">
      <c r="A56" s="37"/>
      <c r="B56" s="37"/>
      <c r="C56" s="37"/>
      <c r="D56" s="37"/>
      <c r="E56" s="37"/>
      <c r="F56" s="37"/>
      <c r="G56" s="37"/>
      <c r="H56" s="37"/>
      <c r="I56" s="37"/>
      <c r="J56" s="37"/>
      <c r="K56" s="37"/>
      <c r="L56" s="37"/>
      <c r="M56" s="37"/>
      <c r="N56" s="145"/>
      <c r="O56" s="37"/>
      <c r="P56" s="37"/>
      <c r="Q56" s="37"/>
      <c r="R56" s="37"/>
      <c r="S56" s="37"/>
      <c r="T56" s="37"/>
      <c r="U56" s="37"/>
      <c r="V56" s="37"/>
      <c r="W56" s="37"/>
      <c r="X56" s="37"/>
      <c r="Y56" s="37"/>
      <c r="Z56" s="37"/>
    </row>
    <row r="57" spans="1:26" x14ac:dyDescent="0.2">
      <c r="A57" s="37"/>
      <c r="B57" s="37"/>
      <c r="C57" s="37"/>
      <c r="D57" s="37"/>
      <c r="E57" s="37"/>
      <c r="F57" s="37"/>
      <c r="G57" s="37"/>
      <c r="H57" s="37"/>
      <c r="I57" s="37"/>
      <c r="J57" s="37"/>
      <c r="K57" s="37"/>
      <c r="L57" s="37"/>
      <c r="M57" s="37"/>
      <c r="N57" s="145"/>
      <c r="O57" s="37"/>
      <c r="P57" s="37"/>
      <c r="Q57" s="37"/>
      <c r="R57" s="37"/>
      <c r="S57" s="37"/>
      <c r="T57" s="37"/>
      <c r="U57" s="37"/>
      <c r="V57" s="37"/>
      <c r="W57" s="37"/>
      <c r="X57" s="37"/>
      <c r="Y57" s="37"/>
      <c r="Z57" s="37"/>
    </row>
    <row r="58" spans="1:26" x14ac:dyDescent="0.2">
      <c r="A58" s="37"/>
      <c r="B58" s="37"/>
      <c r="C58" s="37"/>
      <c r="D58" s="37"/>
      <c r="E58" s="37"/>
      <c r="F58" s="37"/>
      <c r="G58" s="37"/>
      <c r="H58" s="37"/>
      <c r="I58" s="37"/>
      <c r="J58" s="37"/>
      <c r="K58" s="37"/>
      <c r="L58" s="37"/>
      <c r="M58" s="37"/>
      <c r="N58" s="145"/>
      <c r="O58" s="37"/>
      <c r="P58" s="37"/>
      <c r="Q58" s="37"/>
      <c r="R58" s="37"/>
      <c r="S58" s="37"/>
      <c r="T58" s="37"/>
      <c r="U58" s="37"/>
      <c r="V58" s="37"/>
      <c r="W58" s="37"/>
      <c r="X58" s="37"/>
      <c r="Y58" s="37"/>
      <c r="Z58" s="37"/>
    </row>
    <row r="59" spans="1:26" x14ac:dyDescent="0.2">
      <c r="A59" s="37"/>
      <c r="B59" s="37"/>
      <c r="C59" s="37"/>
      <c r="D59" s="37"/>
      <c r="E59" s="37"/>
      <c r="F59" s="37"/>
      <c r="G59" s="37"/>
      <c r="H59" s="37"/>
      <c r="I59" s="37"/>
      <c r="J59" s="37"/>
      <c r="K59" s="37"/>
      <c r="L59" s="37"/>
      <c r="M59" s="37"/>
      <c r="N59" s="145"/>
      <c r="O59" s="37"/>
      <c r="P59" s="37"/>
      <c r="Q59" s="37"/>
      <c r="R59" s="37"/>
      <c r="S59" s="37"/>
      <c r="T59" s="37"/>
      <c r="U59" s="37"/>
      <c r="V59" s="37"/>
      <c r="W59" s="37"/>
      <c r="X59" s="37"/>
      <c r="Y59" s="37"/>
      <c r="Z59" s="37"/>
    </row>
    <row r="60" spans="1:26" x14ac:dyDescent="0.2">
      <c r="A60" s="37"/>
      <c r="B60" s="37"/>
      <c r="C60" s="37"/>
      <c r="D60" s="37"/>
      <c r="E60" s="37"/>
      <c r="F60" s="37"/>
      <c r="G60" s="37"/>
      <c r="H60" s="37"/>
      <c r="I60" s="37"/>
      <c r="J60" s="37"/>
      <c r="K60" s="37"/>
      <c r="L60" s="37"/>
      <c r="M60" s="37"/>
      <c r="N60" s="145"/>
      <c r="O60" s="37"/>
      <c r="P60" s="37"/>
      <c r="Q60" s="37"/>
      <c r="R60" s="37"/>
      <c r="S60" s="37"/>
      <c r="T60" s="37"/>
      <c r="U60" s="37"/>
      <c r="V60" s="37"/>
      <c r="W60" s="37"/>
      <c r="X60" s="37"/>
      <c r="Y60" s="37"/>
      <c r="Z60" s="37"/>
    </row>
    <row r="61" spans="1:26" x14ac:dyDescent="0.2">
      <c r="A61" s="37"/>
      <c r="B61" s="37"/>
      <c r="C61" s="37"/>
      <c r="D61" s="37"/>
      <c r="E61" s="37"/>
      <c r="F61" s="37"/>
      <c r="G61" s="37"/>
      <c r="H61" s="37"/>
      <c r="I61" s="37"/>
      <c r="J61" s="37"/>
      <c r="K61" s="37"/>
      <c r="L61" s="37"/>
      <c r="M61" s="37"/>
      <c r="N61" s="145"/>
      <c r="O61" s="37"/>
      <c r="P61" s="37"/>
      <c r="Q61" s="37"/>
      <c r="R61" s="37"/>
      <c r="S61" s="37"/>
      <c r="T61" s="37"/>
      <c r="U61" s="37"/>
      <c r="V61" s="37"/>
      <c r="W61" s="37"/>
      <c r="X61" s="37"/>
      <c r="Y61" s="37"/>
      <c r="Z61" s="37"/>
    </row>
    <row r="62" spans="1:26" x14ac:dyDescent="0.2">
      <c r="A62" s="37"/>
      <c r="B62" s="37"/>
      <c r="C62" s="37"/>
      <c r="D62" s="37"/>
      <c r="E62" s="37"/>
      <c r="F62" s="37"/>
      <c r="G62" s="37"/>
      <c r="H62" s="37"/>
      <c r="I62" s="37"/>
      <c r="J62" s="37"/>
      <c r="K62" s="37"/>
      <c r="L62" s="37"/>
      <c r="M62" s="37"/>
      <c r="N62" s="145"/>
      <c r="O62" s="37"/>
      <c r="P62" s="37"/>
      <c r="Q62" s="37"/>
      <c r="R62" s="37"/>
      <c r="S62" s="37"/>
      <c r="T62" s="37"/>
      <c r="U62" s="37"/>
      <c r="V62" s="37"/>
      <c r="W62" s="37"/>
      <c r="X62" s="37"/>
      <c r="Y62" s="37"/>
      <c r="Z62" s="37"/>
    </row>
    <row r="63" spans="1:26" x14ac:dyDescent="0.2">
      <c r="A63" s="37"/>
      <c r="B63" s="37"/>
      <c r="C63" s="37"/>
      <c r="D63" s="37"/>
      <c r="E63" s="37"/>
      <c r="F63" s="37"/>
      <c r="G63" s="37"/>
      <c r="H63" s="37"/>
      <c r="I63" s="37"/>
      <c r="J63" s="37"/>
      <c r="K63" s="37"/>
      <c r="L63" s="37"/>
      <c r="M63" s="37"/>
      <c r="N63" s="145"/>
      <c r="O63" s="37"/>
      <c r="P63" s="37"/>
      <c r="Q63" s="37"/>
      <c r="R63" s="37"/>
      <c r="S63" s="37"/>
      <c r="T63" s="37"/>
      <c r="U63" s="37"/>
      <c r="V63" s="37"/>
      <c r="W63" s="37"/>
      <c r="X63" s="37"/>
      <c r="Y63" s="37"/>
      <c r="Z63" s="37"/>
    </row>
    <row r="64" spans="1:26" x14ac:dyDescent="0.2">
      <c r="A64" s="37"/>
      <c r="B64" s="37"/>
      <c r="C64" s="37"/>
      <c r="D64" s="37"/>
      <c r="E64" s="37"/>
      <c r="F64" s="37"/>
      <c r="G64" s="37"/>
      <c r="H64" s="37"/>
      <c r="I64" s="37"/>
      <c r="J64" s="37"/>
      <c r="K64" s="37"/>
      <c r="L64" s="37"/>
      <c r="M64" s="37"/>
      <c r="N64" s="145"/>
      <c r="O64" s="37"/>
      <c r="P64" s="37"/>
      <c r="Q64" s="37"/>
      <c r="R64" s="37"/>
      <c r="S64" s="37"/>
      <c r="T64" s="37"/>
      <c r="U64" s="37"/>
      <c r="V64" s="37"/>
      <c r="W64" s="37"/>
      <c r="X64" s="37"/>
      <c r="Y64" s="37"/>
      <c r="Z64" s="37"/>
    </row>
    <row r="65" spans="1:26" x14ac:dyDescent="0.2">
      <c r="A65" s="37"/>
      <c r="B65" s="37"/>
      <c r="C65" s="37"/>
      <c r="D65" s="37"/>
      <c r="E65" s="37"/>
      <c r="F65" s="37"/>
      <c r="G65" s="37"/>
      <c r="H65" s="37"/>
      <c r="I65" s="37"/>
      <c r="J65" s="37"/>
      <c r="K65" s="37"/>
      <c r="L65" s="37"/>
      <c r="M65" s="37"/>
      <c r="N65" s="145"/>
      <c r="O65" s="37"/>
      <c r="P65" s="37"/>
      <c r="Q65" s="37"/>
      <c r="R65" s="37"/>
      <c r="S65" s="37"/>
      <c r="T65" s="37"/>
      <c r="U65" s="37"/>
      <c r="V65" s="37"/>
      <c r="W65" s="37"/>
      <c r="X65" s="37"/>
      <c r="Y65" s="37"/>
      <c r="Z65" s="37"/>
    </row>
    <row r="66" spans="1:26" x14ac:dyDescent="0.2">
      <c r="A66" s="37"/>
      <c r="B66" s="37"/>
      <c r="C66" s="37"/>
      <c r="D66" s="37"/>
      <c r="E66" s="37"/>
      <c r="F66" s="37"/>
      <c r="G66" s="37"/>
      <c r="H66" s="37"/>
      <c r="I66" s="37"/>
      <c r="J66" s="37"/>
      <c r="K66" s="37"/>
      <c r="L66" s="37"/>
      <c r="M66" s="37"/>
      <c r="N66" s="145"/>
      <c r="O66" s="37"/>
      <c r="P66" s="37"/>
      <c r="Q66" s="37"/>
      <c r="R66" s="37"/>
      <c r="S66" s="37"/>
      <c r="T66" s="37"/>
      <c r="U66" s="37"/>
      <c r="V66" s="37"/>
      <c r="W66" s="37"/>
      <c r="X66" s="37"/>
      <c r="Y66" s="37"/>
      <c r="Z66" s="37"/>
    </row>
    <row r="67" spans="1:26" x14ac:dyDescent="0.2">
      <c r="A67" s="37"/>
      <c r="B67" s="37"/>
      <c r="C67" s="37"/>
      <c r="D67" s="37"/>
      <c r="E67" s="37"/>
      <c r="F67" s="37"/>
      <c r="G67" s="37"/>
      <c r="H67" s="37"/>
      <c r="I67" s="37"/>
      <c r="J67" s="37"/>
      <c r="K67" s="37"/>
      <c r="L67" s="37"/>
      <c r="M67" s="37"/>
      <c r="N67" s="145"/>
      <c r="O67" s="37"/>
      <c r="P67" s="37"/>
      <c r="Q67" s="37"/>
      <c r="R67" s="37"/>
      <c r="S67" s="37"/>
      <c r="T67" s="37"/>
      <c r="U67" s="37"/>
      <c r="V67" s="37"/>
      <c r="W67" s="37"/>
      <c r="X67" s="37"/>
      <c r="Y67" s="37"/>
      <c r="Z67" s="37"/>
    </row>
    <row r="68" spans="1:26" x14ac:dyDescent="0.2">
      <c r="A68" s="37"/>
      <c r="B68" s="37"/>
      <c r="C68" s="37"/>
      <c r="D68" s="37"/>
      <c r="E68" s="37"/>
      <c r="F68" s="37"/>
      <c r="G68" s="37"/>
      <c r="H68" s="37"/>
      <c r="I68" s="37"/>
      <c r="J68" s="37"/>
      <c r="K68" s="37"/>
      <c r="L68" s="37"/>
      <c r="M68" s="37"/>
      <c r="N68" s="145"/>
      <c r="O68" s="37"/>
      <c r="P68" s="37"/>
      <c r="Q68" s="37"/>
      <c r="R68" s="37"/>
      <c r="S68" s="37"/>
      <c r="T68" s="37"/>
      <c r="U68" s="37"/>
      <c r="V68" s="37"/>
      <c r="W68" s="37"/>
      <c r="X68" s="37"/>
      <c r="Y68" s="37"/>
      <c r="Z68" s="37"/>
    </row>
    <row r="69" spans="1:26" x14ac:dyDescent="0.2">
      <c r="A69" s="37"/>
      <c r="B69" s="37"/>
      <c r="C69" s="37"/>
      <c r="D69" s="37"/>
      <c r="E69" s="37"/>
      <c r="F69" s="37"/>
      <c r="G69" s="37"/>
      <c r="H69" s="37"/>
      <c r="I69" s="37"/>
      <c r="J69" s="37"/>
      <c r="K69" s="37"/>
      <c r="L69" s="37"/>
      <c r="M69" s="37"/>
      <c r="N69" s="145"/>
      <c r="O69" s="37"/>
      <c r="P69" s="37"/>
      <c r="Q69" s="37"/>
      <c r="R69" s="37"/>
      <c r="S69" s="37"/>
      <c r="T69" s="37"/>
      <c r="U69" s="37"/>
      <c r="V69" s="37"/>
      <c r="W69" s="37"/>
      <c r="X69" s="37"/>
      <c r="Y69" s="37"/>
      <c r="Z69" s="37"/>
    </row>
    <row r="70" spans="1:26" x14ac:dyDescent="0.2">
      <c r="A70" s="37"/>
      <c r="B70" s="37"/>
      <c r="C70" s="37"/>
      <c r="D70" s="37"/>
      <c r="E70" s="37"/>
      <c r="F70" s="37"/>
      <c r="G70" s="37"/>
      <c r="H70" s="37"/>
      <c r="I70" s="37"/>
      <c r="J70" s="37"/>
      <c r="K70" s="37"/>
      <c r="L70" s="37"/>
      <c r="M70" s="37"/>
      <c r="N70" s="145"/>
      <c r="O70" s="37"/>
      <c r="P70" s="37"/>
      <c r="Q70" s="37"/>
      <c r="R70" s="37"/>
      <c r="S70" s="37"/>
      <c r="T70" s="37"/>
      <c r="U70" s="37"/>
      <c r="V70" s="37"/>
      <c r="W70" s="37"/>
      <c r="X70" s="37"/>
      <c r="Y70" s="37"/>
      <c r="Z70" s="37"/>
    </row>
    <row r="71" spans="1:26" x14ac:dyDescent="0.2">
      <c r="A71" s="37"/>
      <c r="B71" s="37"/>
      <c r="C71" s="37"/>
      <c r="D71" s="37"/>
      <c r="E71" s="37"/>
      <c r="F71" s="37"/>
      <c r="G71" s="37"/>
      <c r="H71" s="37"/>
      <c r="I71" s="37"/>
      <c r="J71" s="37"/>
      <c r="K71" s="37"/>
      <c r="L71" s="37"/>
      <c r="M71" s="37"/>
      <c r="N71" s="145"/>
      <c r="O71" s="37"/>
      <c r="P71" s="37"/>
      <c r="Q71" s="37"/>
      <c r="R71" s="37"/>
      <c r="S71" s="37"/>
      <c r="T71" s="37"/>
      <c r="U71" s="37"/>
      <c r="V71" s="37"/>
      <c r="W71" s="37"/>
      <c r="X71" s="37"/>
      <c r="Y71" s="37"/>
      <c r="Z71" s="37"/>
    </row>
    <row r="72" spans="1:26" x14ac:dyDescent="0.2">
      <c r="A72" s="37"/>
      <c r="B72" s="37"/>
      <c r="C72" s="37"/>
      <c r="D72" s="37"/>
      <c r="E72" s="37"/>
      <c r="F72" s="37"/>
      <c r="G72" s="37"/>
      <c r="H72" s="37"/>
      <c r="I72" s="37"/>
      <c r="J72" s="37"/>
      <c r="K72" s="37"/>
      <c r="L72" s="37"/>
      <c r="M72" s="37"/>
      <c r="N72" s="145"/>
      <c r="O72" s="37"/>
      <c r="P72" s="37"/>
      <c r="Q72" s="37"/>
      <c r="R72" s="37"/>
      <c r="S72" s="37"/>
      <c r="T72" s="37"/>
      <c r="U72" s="37"/>
      <c r="V72" s="37"/>
      <c r="W72" s="37"/>
      <c r="X72" s="37"/>
      <c r="Y72" s="37"/>
      <c r="Z72" s="37"/>
    </row>
    <row r="73" spans="1:26" x14ac:dyDescent="0.2">
      <c r="A73" s="37"/>
      <c r="B73" s="37"/>
      <c r="C73" s="37"/>
      <c r="D73" s="37"/>
      <c r="E73" s="37"/>
      <c r="F73" s="37"/>
      <c r="G73" s="37"/>
      <c r="H73" s="37"/>
      <c r="I73" s="37"/>
      <c r="J73" s="37"/>
      <c r="K73" s="37"/>
      <c r="L73" s="37"/>
      <c r="M73" s="37"/>
      <c r="N73" s="145"/>
      <c r="O73" s="37"/>
      <c r="P73" s="37"/>
      <c r="Q73" s="37"/>
      <c r="R73" s="37"/>
      <c r="S73" s="37"/>
      <c r="T73" s="37"/>
      <c r="U73" s="37"/>
      <c r="V73" s="37"/>
      <c r="W73" s="37"/>
      <c r="X73" s="37"/>
      <c r="Y73" s="37"/>
      <c r="Z73" s="37"/>
    </row>
    <row r="74" spans="1:26" x14ac:dyDescent="0.2">
      <c r="A74" s="37"/>
      <c r="B74" s="37"/>
      <c r="C74" s="37"/>
      <c r="D74" s="37"/>
      <c r="E74" s="37"/>
      <c r="F74" s="37"/>
      <c r="G74" s="37"/>
      <c r="H74" s="37"/>
      <c r="I74" s="37"/>
      <c r="J74" s="37"/>
      <c r="K74" s="37"/>
      <c r="L74" s="37"/>
      <c r="M74" s="37"/>
      <c r="N74" s="145"/>
      <c r="O74" s="37"/>
      <c r="P74" s="37"/>
      <c r="Q74" s="37"/>
      <c r="R74" s="37"/>
      <c r="S74" s="37"/>
      <c r="T74" s="37"/>
      <c r="U74" s="37"/>
      <c r="V74" s="37"/>
      <c r="W74" s="37"/>
      <c r="X74" s="37"/>
      <c r="Y74" s="37"/>
      <c r="Z74" s="37"/>
    </row>
    <row r="75" spans="1:26" x14ac:dyDescent="0.2">
      <c r="A75" s="37"/>
      <c r="B75" s="37"/>
      <c r="C75" s="37"/>
      <c r="D75" s="37"/>
      <c r="E75" s="37"/>
      <c r="F75" s="37"/>
      <c r="G75" s="37"/>
      <c r="H75" s="37"/>
      <c r="I75" s="37"/>
      <c r="J75" s="37"/>
      <c r="K75" s="37"/>
      <c r="L75" s="37"/>
      <c r="M75" s="37"/>
      <c r="N75" s="145"/>
      <c r="O75" s="37"/>
      <c r="P75" s="37"/>
      <c r="Q75" s="37"/>
      <c r="R75" s="37"/>
      <c r="S75" s="37"/>
      <c r="T75" s="37"/>
      <c r="U75" s="37"/>
      <c r="V75" s="37"/>
      <c r="W75" s="37"/>
      <c r="X75" s="37"/>
      <c r="Y75" s="37"/>
      <c r="Z75" s="37"/>
    </row>
    <row r="76" spans="1:26" x14ac:dyDescent="0.2">
      <c r="A76" s="37"/>
      <c r="B76" s="37"/>
      <c r="C76" s="37"/>
      <c r="D76" s="37"/>
      <c r="E76" s="37"/>
      <c r="F76" s="37"/>
      <c r="G76" s="37"/>
      <c r="H76" s="37"/>
      <c r="I76" s="37"/>
      <c r="J76" s="37"/>
      <c r="K76" s="37"/>
      <c r="L76" s="37"/>
      <c r="M76" s="37"/>
      <c r="N76" s="145"/>
      <c r="O76" s="37"/>
      <c r="P76" s="37"/>
      <c r="Q76" s="37"/>
      <c r="R76" s="37"/>
      <c r="S76" s="37"/>
      <c r="T76" s="37"/>
      <c r="U76" s="37"/>
      <c r="V76" s="37"/>
      <c r="W76" s="37"/>
      <c r="X76" s="37"/>
      <c r="Y76" s="37"/>
      <c r="Z76" s="37"/>
    </row>
    <row r="77" spans="1:26" x14ac:dyDescent="0.2">
      <c r="A77" s="37"/>
      <c r="B77" s="37"/>
      <c r="C77" s="37"/>
      <c r="D77" s="37"/>
      <c r="E77" s="37"/>
      <c r="F77" s="37"/>
      <c r="G77" s="37"/>
      <c r="H77" s="37"/>
      <c r="I77" s="37"/>
      <c r="J77" s="37"/>
      <c r="K77" s="37"/>
      <c r="L77" s="37"/>
      <c r="M77" s="37"/>
      <c r="N77" s="145"/>
      <c r="O77" s="37"/>
      <c r="P77" s="37"/>
      <c r="Q77" s="37"/>
      <c r="R77" s="37"/>
      <c r="S77" s="37"/>
      <c r="T77" s="37"/>
      <c r="U77" s="37"/>
      <c r="V77" s="37"/>
      <c r="W77" s="37"/>
      <c r="X77" s="37"/>
      <c r="Y77" s="37"/>
      <c r="Z77" s="37"/>
    </row>
    <row r="78" spans="1:26" x14ac:dyDescent="0.2">
      <c r="A78" s="37"/>
      <c r="B78" s="37"/>
      <c r="C78" s="37"/>
      <c r="D78" s="37"/>
      <c r="E78" s="37"/>
      <c r="F78" s="37"/>
      <c r="G78" s="37"/>
      <c r="H78" s="37"/>
      <c r="I78" s="37"/>
      <c r="J78" s="37"/>
      <c r="K78" s="37"/>
      <c r="L78" s="37"/>
      <c r="M78" s="37"/>
      <c r="N78" s="145"/>
      <c r="O78" s="37"/>
      <c r="P78" s="37"/>
      <c r="Q78" s="37"/>
      <c r="R78" s="37"/>
      <c r="S78" s="37"/>
      <c r="T78" s="37"/>
      <c r="U78" s="37"/>
      <c r="V78" s="37"/>
      <c r="W78" s="37"/>
      <c r="X78" s="37"/>
      <c r="Y78" s="37"/>
      <c r="Z78" s="37"/>
    </row>
    <row r="79" spans="1:26" x14ac:dyDescent="0.2">
      <c r="A79" s="37"/>
      <c r="B79" s="37"/>
      <c r="C79" s="37"/>
      <c r="D79" s="37"/>
      <c r="E79" s="37"/>
      <c r="F79" s="37"/>
      <c r="G79" s="37"/>
      <c r="H79" s="37"/>
      <c r="I79" s="37"/>
      <c r="J79" s="37"/>
      <c r="K79" s="37"/>
      <c r="L79" s="37"/>
      <c r="M79" s="37"/>
      <c r="N79" s="145"/>
      <c r="O79" s="37"/>
      <c r="P79" s="37"/>
      <c r="Q79" s="37"/>
      <c r="R79" s="37"/>
      <c r="S79" s="37"/>
      <c r="T79" s="37"/>
      <c r="U79" s="37"/>
      <c r="V79" s="37"/>
      <c r="W79" s="37"/>
      <c r="X79" s="37"/>
      <c r="Y79" s="37"/>
      <c r="Z79" s="37"/>
    </row>
    <row r="80" spans="1:26" x14ac:dyDescent="0.2">
      <c r="A80" s="37"/>
      <c r="B80" s="37"/>
      <c r="C80" s="37"/>
      <c r="D80" s="37"/>
      <c r="E80" s="37"/>
      <c r="F80" s="37"/>
      <c r="G80" s="37"/>
      <c r="H80" s="37"/>
      <c r="I80" s="37"/>
      <c r="J80" s="37"/>
      <c r="K80" s="37"/>
      <c r="L80" s="37"/>
      <c r="M80" s="37"/>
      <c r="N80" s="145"/>
      <c r="O80" s="37"/>
      <c r="P80" s="37"/>
      <c r="Q80" s="37"/>
      <c r="R80" s="37"/>
      <c r="S80" s="37"/>
      <c r="T80" s="37"/>
      <c r="U80" s="37"/>
      <c r="V80" s="37"/>
      <c r="W80" s="37"/>
      <c r="X80" s="37"/>
      <c r="Y80" s="37"/>
      <c r="Z80" s="37"/>
    </row>
    <row r="81" spans="1:26" x14ac:dyDescent="0.2">
      <c r="A81" s="37"/>
      <c r="B81" s="37"/>
      <c r="C81" s="37"/>
      <c r="D81" s="37"/>
      <c r="E81" s="37"/>
      <c r="F81" s="37"/>
      <c r="G81" s="37"/>
      <c r="H81" s="37"/>
      <c r="I81" s="37"/>
      <c r="J81" s="37"/>
      <c r="K81" s="37"/>
      <c r="L81" s="37"/>
      <c r="M81" s="37"/>
      <c r="N81" s="145"/>
      <c r="O81" s="37"/>
      <c r="P81" s="37"/>
      <c r="Q81" s="37"/>
      <c r="R81" s="37"/>
      <c r="S81" s="37"/>
      <c r="T81" s="37"/>
      <c r="U81" s="37"/>
      <c r="V81" s="37"/>
      <c r="W81" s="37"/>
      <c r="X81" s="37"/>
      <c r="Y81" s="37"/>
      <c r="Z81" s="37"/>
    </row>
    <row r="82" spans="1:26" x14ac:dyDescent="0.2">
      <c r="A82" s="37"/>
      <c r="B82" s="37"/>
      <c r="C82" s="37"/>
      <c r="D82" s="37"/>
      <c r="E82" s="37"/>
      <c r="F82" s="37"/>
      <c r="G82" s="37"/>
      <c r="H82" s="37"/>
      <c r="I82" s="37"/>
      <c r="J82" s="37"/>
      <c r="K82" s="37"/>
      <c r="L82" s="37"/>
      <c r="M82" s="37"/>
      <c r="N82" s="145"/>
      <c r="O82" s="37"/>
      <c r="P82" s="37"/>
      <c r="Q82" s="37"/>
      <c r="R82" s="37"/>
      <c r="S82" s="37"/>
      <c r="T82" s="37"/>
      <c r="U82" s="37"/>
      <c r="V82" s="37"/>
      <c r="W82" s="37"/>
      <c r="X82" s="37"/>
      <c r="Y82" s="37"/>
      <c r="Z82" s="37"/>
    </row>
    <row r="83" spans="1:26" x14ac:dyDescent="0.2">
      <c r="A83" s="37"/>
      <c r="B83" s="37"/>
      <c r="C83" s="37"/>
      <c r="D83" s="37"/>
      <c r="E83" s="37"/>
      <c r="F83" s="37"/>
      <c r="G83" s="37"/>
      <c r="H83" s="37"/>
      <c r="I83" s="37"/>
      <c r="J83" s="37"/>
      <c r="K83" s="37"/>
      <c r="L83" s="37"/>
      <c r="M83" s="37"/>
      <c r="N83" s="145"/>
      <c r="O83" s="37"/>
      <c r="P83" s="37"/>
      <c r="Q83" s="37"/>
      <c r="R83" s="37"/>
      <c r="S83" s="37"/>
      <c r="T83" s="37"/>
      <c r="U83" s="37"/>
      <c r="V83" s="37"/>
      <c r="W83" s="37"/>
      <c r="X83" s="37"/>
      <c r="Y83" s="37"/>
      <c r="Z83" s="37"/>
    </row>
    <row r="84" spans="1:26" x14ac:dyDescent="0.2">
      <c r="A84" s="37"/>
      <c r="B84" s="37"/>
      <c r="C84" s="37"/>
      <c r="D84" s="37"/>
      <c r="E84" s="37"/>
      <c r="F84" s="37"/>
      <c r="G84" s="37"/>
      <c r="H84" s="37"/>
      <c r="I84" s="37"/>
      <c r="J84" s="37"/>
      <c r="K84" s="37"/>
      <c r="L84" s="37"/>
      <c r="M84" s="37"/>
      <c r="N84" s="145"/>
      <c r="O84" s="37"/>
      <c r="P84" s="37"/>
      <c r="Q84" s="37"/>
      <c r="R84" s="37"/>
      <c r="S84" s="37"/>
      <c r="T84" s="37"/>
      <c r="U84" s="37"/>
      <c r="V84" s="37"/>
      <c r="W84" s="37"/>
      <c r="X84" s="37"/>
      <c r="Y84" s="37"/>
      <c r="Z84" s="37"/>
    </row>
    <row r="85" spans="1:26" x14ac:dyDescent="0.2">
      <c r="A85" s="37"/>
      <c r="B85" s="37"/>
      <c r="C85" s="37"/>
      <c r="D85" s="37"/>
      <c r="E85" s="37"/>
      <c r="F85" s="37"/>
      <c r="G85" s="37"/>
      <c r="H85" s="37"/>
      <c r="I85" s="37"/>
      <c r="J85" s="37"/>
      <c r="K85" s="37"/>
      <c r="L85" s="37"/>
      <c r="M85" s="37"/>
      <c r="N85" s="145"/>
      <c r="O85" s="37"/>
      <c r="P85" s="37"/>
      <c r="Q85" s="37"/>
      <c r="R85" s="37"/>
      <c r="S85" s="37"/>
      <c r="T85" s="37"/>
      <c r="U85" s="37"/>
      <c r="V85" s="37"/>
      <c r="W85" s="37"/>
      <c r="X85" s="37"/>
      <c r="Y85" s="37"/>
      <c r="Z85" s="37"/>
    </row>
    <row r="86" spans="1:26" x14ac:dyDescent="0.2">
      <c r="A86" s="37"/>
      <c r="B86" s="37"/>
      <c r="C86" s="37"/>
      <c r="D86" s="37"/>
      <c r="E86" s="37"/>
      <c r="F86" s="37"/>
      <c r="G86" s="37"/>
      <c r="H86" s="37"/>
      <c r="I86" s="37"/>
      <c r="J86" s="37"/>
      <c r="K86" s="37"/>
      <c r="L86" s="37"/>
      <c r="M86" s="37"/>
      <c r="N86" s="145"/>
      <c r="O86" s="37"/>
      <c r="P86" s="37"/>
      <c r="Q86" s="37"/>
      <c r="R86" s="37"/>
      <c r="S86" s="37"/>
      <c r="T86" s="37"/>
      <c r="U86" s="37"/>
      <c r="V86" s="37"/>
      <c r="W86" s="37"/>
      <c r="X86" s="37"/>
      <c r="Y86" s="37"/>
      <c r="Z86" s="37"/>
    </row>
    <row r="87" spans="1:26" x14ac:dyDescent="0.2">
      <c r="A87" s="37"/>
      <c r="B87" s="37"/>
      <c r="C87" s="37"/>
      <c r="D87" s="37"/>
      <c r="E87" s="37"/>
      <c r="F87" s="37"/>
      <c r="G87" s="37"/>
      <c r="H87" s="37"/>
      <c r="I87" s="37"/>
      <c r="J87" s="37"/>
      <c r="K87" s="37"/>
      <c r="L87" s="37"/>
      <c r="M87" s="37"/>
      <c r="N87" s="145"/>
      <c r="O87" s="37"/>
      <c r="P87" s="37"/>
      <c r="Q87" s="37"/>
      <c r="R87" s="37"/>
      <c r="S87" s="37"/>
      <c r="T87" s="37"/>
      <c r="U87" s="37"/>
      <c r="V87" s="37"/>
      <c r="W87" s="37"/>
      <c r="X87" s="37"/>
      <c r="Y87" s="37"/>
      <c r="Z87" s="37"/>
    </row>
    <row r="88" spans="1:26" x14ac:dyDescent="0.2">
      <c r="A88" s="37"/>
      <c r="B88" s="37"/>
      <c r="C88" s="37"/>
      <c r="D88" s="37"/>
      <c r="E88" s="37"/>
      <c r="F88" s="37"/>
      <c r="G88" s="37"/>
      <c r="H88" s="37"/>
      <c r="I88" s="37"/>
      <c r="J88" s="37"/>
      <c r="K88" s="37"/>
      <c r="L88" s="37"/>
      <c r="M88" s="37"/>
      <c r="N88" s="145"/>
      <c r="O88" s="37"/>
      <c r="P88" s="37"/>
      <c r="Q88" s="37"/>
      <c r="R88" s="37"/>
      <c r="S88" s="37"/>
      <c r="T88" s="37"/>
      <c r="U88" s="37"/>
      <c r="V88" s="37"/>
      <c r="W88" s="37"/>
      <c r="X88" s="37"/>
      <c r="Y88" s="37"/>
      <c r="Z88" s="37"/>
    </row>
    <row r="89" spans="1:26" x14ac:dyDescent="0.2">
      <c r="A89" s="37"/>
      <c r="B89" s="37"/>
      <c r="C89" s="37"/>
      <c r="D89" s="37"/>
      <c r="E89" s="37"/>
      <c r="F89" s="37"/>
      <c r="G89" s="37"/>
      <c r="H89" s="37"/>
      <c r="I89" s="37"/>
      <c r="J89" s="37"/>
      <c r="K89" s="37"/>
      <c r="L89" s="37"/>
      <c r="M89" s="37"/>
      <c r="N89" s="145"/>
      <c r="O89" s="37"/>
      <c r="P89" s="37"/>
      <c r="Q89" s="37"/>
      <c r="R89" s="37"/>
      <c r="S89" s="37"/>
      <c r="T89" s="37"/>
      <c r="U89" s="37"/>
      <c r="V89" s="37"/>
      <c r="W89" s="37"/>
      <c r="X89" s="37"/>
      <c r="Y89" s="37"/>
      <c r="Z89" s="37"/>
    </row>
    <row r="90" spans="1:26" x14ac:dyDescent="0.2">
      <c r="A90" s="37"/>
      <c r="B90" s="37"/>
      <c r="C90" s="37"/>
      <c r="D90" s="37"/>
      <c r="E90" s="37"/>
      <c r="F90" s="37"/>
      <c r="G90" s="37"/>
      <c r="H90" s="37"/>
      <c r="I90" s="37"/>
      <c r="J90" s="37"/>
      <c r="K90" s="37"/>
      <c r="L90" s="37"/>
      <c r="M90" s="37"/>
      <c r="N90" s="145"/>
      <c r="O90" s="37"/>
      <c r="P90" s="37"/>
      <c r="Q90" s="37"/>
      <c r="R90" s="37"/>
      <c r="S90" s="37"/>
      <c r="T90" s="37"/>
      <c r="U90" s="37"/>
      <c r="V90" s="37"/>
      <c r="W90" s="37"/>
      <c r="X90" s="37"/>
      <c r="Y90" s="37"/>
      <c r="Z90" s="37"/>
    </row>
    <row r="91" spans="1:26" x14ac:dyDescent="0.2">
      <c r="A91" s="37"/>
      <c r="B91" s="37"/>
      <c r="C91" s="37"/>
      <c r="D91" s="37"/>
      <c r="E91" s="37"/>
      <c r="F91" s="37"/>
      <c r="G91" s="37"/>
      <c r="H91" s="37"/>
      <c r="I91" s="37"/>
      <c r="J91" s="37"/>
      <c r="K91" s="37"/>
      <c r="L91" s="37"/>
      <c r="M91" s="37"/>
      <c r="N91" s="145"/>
      <c r="O91" s="37"/>
      <c r="P91" s="37"/>
      <c r="Q91" s="37"/>
      <c r="R91" s="37"/>
      <c r="S91" s="37"/>
      <c r="T91" s="37"/>
      <c r="U91" s="37"/>
      <c r="V91" s="37"/>
      <c r="W91" s="37"/>
      <c r="X91" s="37"/>
      <c r="Y91" s="37"/>
      <c r="Z91" s="37"/>
    </row>
    <row r="92" spans="1:26" x14ac:dyDescent="0.2">
      <c r="A92" s="37"/>
      <c r="B92" s="37"/>
      <c r="C92" s="37"/>
      <c r="D92" s="37"/>
      <c r="E92" s="37"/>
      <c r="F92" s="37"/>
      <c r="G92" s="37"/>
      <c r="H92" s="37"/>
      <c r="I92" s="37"/>
      <c r="J92" s="37"/>
      <c r="K92" s="37"/>
      <c r="L92" s="37"/>
      <c r="M92" s="37"/>
      <c r="N92" s="145"/>
      <c r="O92" s="37"/>
      <c r="P92" s="37"/>
      <c r="Q92" s="37"/>
      <c r="R92" s="37"/>
      <c r="S92" s="37"/>
      <c r="T92" s="37"/>
      <c r="U92" s="37"/>
      <c r="V92" s="37"/>
      <c r="W92" s="37"/>
      <c r="X92" s="37"/>
      <c r="Y92" s="37"/>
      <c r="Z92" s="37"/>
    </row>
    <row r="93" spans="1:26" x14ac:dyDescent="0.2">
      <c r="A93" s="37"/>
      <c r="B93" s="37"/>
      <c r="C93" s="37"/>
      <c r="D93" s="37"/>
      <c r="E93" s="37"/>
      <c r="F93" s="37"/>
      <c r="G93" s="37"/>
      <c r="H93" s="37"/>
      <c r="I93" s="37"/>
      <c r="J93" s="37"/>
      <c r="K93" s="37"/>
      <c r="L93" s="37"/>
      <c r="M93" s="37"/>
      <c r="N93" s="145"/>
      <c r="O93" s="37"/>
      <c r="P93" s="37"/>
      <c r="Q93" s="37"/>
      <c r="R93" s="37"/>
      <c r="S93" s="37"/>
      <c r="T93" s="37"/>
      <c r="U93" s="37"/>
      <c r="V93" s="37"/>
      <c r="W93" s="37"/>
      <c r="X93" s="37"/>
      <c r="Y93" s="37"/>
      <c r="Z93" s="37"/>
    </row>
    <row r="94" spans="1:26" x14ac:dyDescent="0.2">
      <c r="A94" s="37"/>
      <c r="B94" s="37"/>
      <c r="C94" s="37"/>
      <c r="D94" s="37"/>
      <c r="E94" s="37"/>
      <c r="F94" s="37"/>
      <c r="G94" s="37"/>
      <c r="H94" s="37"/>
      <c r="I94" s="37"/>
      <c r="J94" s="37"/>
      <c r="K94" s="37"/>
      <c r="L94" s="37"/>
      <c r="M94" s="37"/>
      <c r="N94" s="145"/>
      <c r="O94" s="37"/>
      <c r="P94" s="37"/>
      <c r="Q94" s="37"/>
      <c r="R94" s="37"/>
      <c r="S94" s="37"/>
      <c r="T94" s="37"/>
      <c r="U94" s="37"/>
      <c r="V94" s="37"/>
      <c r="W94" s="37"/>
      <c r="X94" s="37"/>
      <c r="Y94" s="37"/>
      <c r="Z94" s="37"/>
    </row>
    <row r="95" spans="1:26" x14ac:dyDescent="0.2">
      <c r="A95" s="37"/>
      <c r="B95" s="37"/>
      <c r="C95" s="37"/>
      <c r="D95" s="37"/>
      <c r="E95" s="37"/>
      <c r="F95" s="37"/>
      <c r="G95" s="37"/>
      <c r="H95" s="37"/>
      <c r="I95" s="37"/>
      <c r="J95" s="37"/>
      <c r="K95" s="37"/>
      <c r="L95" s="37"/>
      <c r="M95" s="37"/>
      <c r="N95" s="145"/>
      <c r="O95" s="37"/>
      <c r="P95" s="37"/>
      <c r="Q95" s="37"/>
      <c r="R95" s="37"/>
      <c r="S95" s="37"/>
      <c r="T95" s="37"/>
      <c r="U95" s="37"/>
      <c r="V95" s="37"/>
      <c r="W95" s="37"/>
      <c r="X95" s="37"/>
      <c r="Y95" s="37"/>
      <c r="Z95" s="37"/>
    </row>
  </sheetData>
  <mergeCells count="16">
    <mergeCell ref="A16:L16"/>
    <mergeCell ref="J6:J7"/>
    <mergeCell ref="K6:K7"/>
    <mergeCell ref="L6:L7"/>
    <mergeCell ref="H15:L15"/>
    <mergeCell ref="E6:E7"/>
    <mergeCell ref="B14:L14"/>
    <mergeCell ref="I6:I7"/>
    <mergeCell ref="A12:L12"/>
    <mergeCell ref="A1:C1"/>
    <mergeCell ref="D1:L1"/>
    <mergeCell ref="A3:L3"/>
    <mergeCell ref="C6:C7"/>
    <mergeCell ref="H6:H7"/>
    <mergeCell ref="D6:D7"/>
    <mergeCell ref="A6:B7"/>
  </mergeCells>
  <phoneticPr fontId="65" type="noConversion"/>
  <pageMargins left="0.90583333300000002" right="0.12833333333333299" top="0.75" bottom="0.75" header="0.3" footer="0.3"/>
  <pageSetup scale="83" orientation="landscape" r:id="rId1"/>
  <headerFooter>
    <oddHeader>&amp;LAKIS A 2012</oddHeader>
    <oddFooter>&amp;LAmerican Indian Higher Education Consortium</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1"/>
  <dimension ref="A1:BZ151"/>
  <sheetViews>
    <sheetView zoomScaleNormal="100" workbookViewId="0">
      <selection activeCell="B22" sqref="B22"/>
    </sheetView>
  </sheetViews>
  <sheetFormatPr defaultColWidth="9.140625" defaultRowHeight="12.75" x14ac:dyDescent="0.2"/>
  <cols>
    <col min="1" max="1" width="29" style="30" customWidth="1"/>
    <col min="2" max="2" width="79.42578125" style="30" customWidth="1"/>
    <col min="3" max="78" width="9.140625" style="37"/>
    <col min="79" max="16384" width="9.140625" style="30"/>
  </cols>
  <sheetData>
    <row r="1" spans="1:2" s="20" customFormat="1" ht="15.75" thickTop="1" x14ac:dyDescent="0.25">
      <c r="A1" s="314" t="s">
        <v>823</v>
      </c>
      <c r="B1" s="341" t="str">
        <f>'1.1a Overall Instit. Profile'!B1</f>
        <v>Oglala Lakota College</v>
      </c>
    </row>
    <row r="2" spans="1:2" ht="18.75" customHeight="1" x14ac:dyDescent="0.2">
      <c r="A2" s="1655" t="s">
        <v>818</v>
      </c>
      <c r="B2" s="1656"/>
    </row>
    <row r="3" spans="1:2" ht="18.75" customHeight="1" x14ac:dyDescent="0.2">
      <c r="A3" s="316" t="s">
        <v>441</v>
      </c>
      <c r="B3" s="327"/>
    </row>
    <row r="4" spans="1:2" ht="15" customHeight="1" x14ac:dyDescent="0.2">
      <c r="A4" s="1661" t="s">
        <v>99</v>
      </c>
      <c r="B4" s="1662"/>
    </row>
    <row r="5" spans="1:2" ht="17.25" customHeight="1" x14ac:dyDescent="0.2">
      <c r="A5" s="1553" t="s">
        <v>100</v>
      </c>
      <c r="B5" s="1555"/>
    </row>
    <row r="6" spans="1:2" x14ac:dyDescent="0.2">
      <c r="A6" s="65"/>
      <c r="B6" s="24" t="s">
        <v>442</v>
      </c>
    </row>
    <row r="7" spans="1:2" ht="25.5" customHeight="1" x14ac:dyDescent="0.2">
      <c r="A7" s="343" t="s">
        <v>101</v>
      </c>
      <c r="B7" s="67" t="s">
        <v>942</v>
      </c>
    </row>
    <row r="8" spans="1:2" ht="14.25" customHeight="1" x14ac:dyDescent="0.2">
      <c r="A8" s="344" t="s">
        <v>102</v>
      </c>
      <c r="B8" s="68">
        <v>436697</v>
      </c>
    </row>
    <row r="9" spans="1:2" ht="14.25" customHeight="1" x14ac:dyDescent="0.2">
      <c r="A9" s="344" t="s">
        <v>103</v>
      </c>
      <c r="B9" s="69" t="s">
        <v>943</v>
      </c>
    </row>
    <row r="10" spans="1:2" ht="14.25" customHeight="1" x14ac:dyDescent="0.2">
      <c r="A10" s="345" t="s">
        <v>104</v>
      </c>
      <c r="B10" s="66" t="s">
        <v>944</v>
      </c>
    </row>
    <row r="11" spans="1:2" ht="25.5" customHeight="1" x14ac:dyDescent="0.2">
      <c r="A11" s="343" t="s">
        <v>101</v>
      </c>
      <c r="B11" s="67" t="s">
        <v>945</v>
      </c>
    </row>
    <row r="12" spans="1:2" ht="14.25" customHeight="1" x14ac:dyDescent="0.2">
      <c r="A12" s="344" t="s">
        <v>102</v>
      </c>
      <c r="B12" s="68" t="s">
        <v>946</v>
      </c>
    </row>
    <row r="13" spans="1:2" ht="14.25" customHeight="1" x14ac:dyDescent="0.2">
      <c r="A13" s="344" t="s">
        <v>103</v>
      </c>
      <c r="B13" s="69">
        <v>1</v>
      </c>
    </row>
    <row r="14" spans="1:2" ht="14.25" customHeight="1" x14ac:dyDescent="0.2">
      <c r="A14" s="345" t="s">
        <v>104</v>
      </c>
      <c r="B14" s="66" t="s">
        <v>947</v>
      </c>
    </row>
    <row r="15" spans="1:2" ht="25.5" customHeight="1" x14ac:dyDescent="0.2">
      <c r="A15" s="343" t="s">
        <v>101</v>
      </c>
      <c r="B15" s="67" t="s">
        <v>948</v>
      </c>
    </row>
    <row r="16" spans="1:2" ht="14.25" customHeight="1" x14ac:dyDescent="0.2">
      <c r="A16" s="344" t="s">
        <v>102</v>
      </c>
      <c r="B16" s="68">
        <v>140000</v>
      </c>
    </row>
    <row r="17" spans="1:2" ht="14.25" customHeight="1" x14ac:dyDescent="0.2">
      <c r="A17" s="344" t="s">
        <v>103</v>
      </c>
      <c r="B17" s="69" t="s">
        <v>949</v>
      </c>
    </row>
    <row r="18" spans="1:2" ht="14.25" customHeight="1" x14ac:dyDescent="0.2">
      <c r="A18" s="345" t="s">
        <v>104</v>
      </c>
      <c r="B18" s="66" t="s">
        <v>950</v>
      </c>
    </row>
    <row r="19" spans="1:2" ht="25.5" customHeight="1" x14ac:dyDescent="0.2">
      <c r="A19" s="343" t="s">
        <v>101</v>
      </c>
      <c r="B19" s="67"/>
    </row>
    <row r="20" spans="1:2" ht="14.25" customHeight="1" x14ac:dyDescent="0.2">
      <c r="A20" s="344" t="s">
        <v>102</v>
      </c>
      <c r="B20" s="68"/>
    </row>
    <row r="21" spans="1:2" ht="14.25" customHeight="1" x14ac:dyDescent="0.2">
      <c r="A21" s="344" t="s">
        <v>103</v>
      </c>
      <c r="B21" s="69"/>
    </row>
    <row r="22" spans="1:2" ht="14.25" customHeight="1" x14ac:dyDescent="0.2">
      <c r="A22" s="345" t="s">
        <v>104</v>
      </c>
      <c r="B22" s="66"/>
    </row>
    <row r="23" spans="1:2" ht="25.5" customHeight="1" x14ac:dyDescent="0.2">
      <c r="A23" s="343" t="s">
        <v>101</v>
      </c>
      <c r="B23" s="67"/>
    </row>
    <row r="24" spans="1:2" ht="14.25" customHeight="1" x14ac:dyDescent="0.2">
      <c r="A24" s="344" t="s">
        <v>102</v>
      </c>
      <c r="B24" s="68"/>
    </row>
    <row r="25" spans="1:2" ht="14.25" customHeight="1" x14ac:dyDescent="0.2">
      <c r="A25" s="344" t="s">
        <v>103</v>
      </c>
      <c r="B25" s="69"/>
    </row>
    <row r="26" spans="1:2" ht="14.25" customHeight="1" x14ac:dyDescent="0.2">
      <c r="A26" s="345" t="s">
        <v>104</v>
      </c>
      <c r="B26" s="66"/>
    </row>
    <row r="27" spans="1:2" ht="25.5" customHeight="1" x14ac:dyDescent="0.2">
      <c r="A27" s="343" t="s">
        <v>101</v>
      </c>
      <c r="B27" s="67"/>
    </row>
    <row r="28" spans="1:2" ht="14.25" customHeight="1" x14ac:dyDescent="0.2">
      <c r="A28" s="344" t="s">
        <v>102</v>
      </c>
      <c r="B28" s="68"/>
    </row>
    <row r="29" spans="1:2" ht="14.25" customHeight="1" x14ac:dyDescent="0.2">
      <c r="A29" s="344" t="s">
        <v>103</v>
      </c>
      <c r="B29" s="69"/>
    </row>
    <row r="30" spans="1:2" ht="14.25" customHeight="1" x14ac:dyDescent="0.2">
      <c r="A30" s="345" t="s">
        <v>104</v>
      </c>
      <c r="B30" s="66"/>
    </row>
    <row r="31" spans="1:2" ht="25.5" customHeight="1" x14ac:dyDescent="0.2">
      <c r="A31" s="343" t="s">
        <v>101</v>
      </c>
      <c r="B31" s="67"/>
    </row>
    <row r="32" spans="1:2" ht="14.25" customHeight="1" x14ac:dyDescent="0.2">
      <c r="A32" s="344" t="s">
        <v>102</v>
      </c>
      <c r="B32" s="68"/>
    </row>
    <row r="33" spans="1:2" ht="14.25" customHeight="1" x14ac:dyDescent="0.2">
      <c r="A33" s="344" t="s">
        <v>103</v>
      </c>
      <c r="B33" s="69"/>
    </row>
    <row r="34" spans="1:2" ht="14.25" customHeight="1" x14ac:dyDescent="0.2">
      <c r="A34" s="345" t="s">
        <v>104</v>
      </c>
      <c r="B34" s="66"/>
    </row>
    <row r="35" spans="1:2" ht="25.5" customHeight="1" x14ac:dyDescent="0.2">
      <c r="A35" s="343" t="s">
        <v>101</v>
      </c>
      <c r="B35" s="67"/>
    </row>
    <row r="36" spans="1:2" ht="14.25" customHeight="1" x14ac:dyDescent="0.2">
      <c r="A36" s="344" t="s">
        <v>102</v>
      </c>
      <c r="B36" s="68"/>
    </row>
    <row r="37" spans="1:2" ht="14.25" customHeight="1" x14ac:dyDescent="0.2">
      <c r="A37" s="344" t="s">
        <v>103</v>
      </c>
      <c r="B37" s="69"/>
    </row>
    <row r="38" spans="1:2" ht="14.25" customHeight="1" x14ac:dyDescent="0.2">
      <c r="A38" s="345" t="s">
        <v>104</v>
      </c>
      <c r="B38" s="66"/>
    </row>
    <row r="39" spans="1:2" ht="25.5" customHeight="1" x14ac:dyDescent="0.2">
      <c r="A39" s="343" t="s">
        <v>101</v>
      </c>
      <c r="B39" s="67"/>
    </row>
    <row r="40" spans="1:2" ht="14.25" customHeight="1" x14ac:dyDescent="0.2">
      <c r="A40" s="344" t="s">
        <v>102</v>
      </c>
      <c r="B40" s="68"/>
    </row>
    <row r="41" spans="1:2" ht="14.25" customHeight="1" x14ac:dyDescent="0.2">
      <c r="A41" s="344" t="s">
        <v>103</v>
      </c>
      <c r="B41" s="69"/>
    </row>
    <row r="42" spans="1:2" ht="14.25" customHeight="1" x14ac:dyDescent="0.2">
      <c r="A42" s="345" t="s">
        <v>104</v>
      </c>
      <c r="B42" s="66"/>
    </row>
    <row r="43" spans="1:2" ht="25.5" customHeight="1" x14ac:dyDescent="0.2">
      <c r="A43" s="343" t="s">
        <v>101</v>
      </c>
      <c r="B43" s="67"/>
    </row>
    <row r="44" spans="1:2" ht="14.25" customHeight="1" x14ac:dyDescent="0.2">
      <c r="A44" s="344" t="s">
        <v>102</v>
      </c>
      <c r="B44" s="68"/>
    </row>
    <row r="45" spans="1:2" ht="14.25" customHeight="1" x14ac:dyDescent="0.2">
      <c r="A45" s="344" t="s">
        <v>103</v>
      </c>
      <c r="B45" s="69"/>
    </row>
    <row r="46" spans="1:2" ht="14.25" customHeight="1" x14ac:dyDescent="0.2">
      <c r="A46" s="345" t="s">
        <v>104</v>
      </c>
      <c r="B46" s="66"/>
    </row>
    <row r="47" spans="1:2" ht="25.5" customHeight="1" x14ac:dyDescent="0.2">
      <c r="A47" s="343" t="s">
        <v>101</v>
      </c>
      <c r="B47" s="67"/>
    </row>
    <row r="48" spans="1:2" ht="14.25" customHeight="1" x14ac:dyDescent="0.2">
      <c r="A48" s="344" t="s">
        <v>102</v>
      </c>
      <c r="B48" s="68"/>
    </row>
    <row r="49" spans="1:2" ht="14.25" customHeight="1" x14ac:dyDescent="0.2">
      <c r="A49" s="344" t="s">
        <v>103</v>
      </c>
      <c r="B49" s="69"/>
    </row>
    <row r="50" spans="1:2" ht="14.25" customHeight="1" x14ac:dyDescent="0.2">
      <c r="A50" s="345" t="s">
        <v>104</v>
      </c>
      <c r="B50" s="66"/>
    </row>
    <row r="51" spans="1:2" ht="25.5" customHeight="1" x14ac:dyDescent="0.2">
      <c r="A51" s="343" t="s">
        <v>101</v>
      </c>
      <c r="B51" s="67"/>
    </row>
    <row r="52" spans="1:2" ht="14.25" customHeight="1" x14ac:dyDescent="0.2">
      <c r="A52" s="344" t="s">
        <v>102</v>
      </c>
      <c r="B52" s="68"/>
    </row>
    <row r="53" spans="1:2" ht="14.25" customHeight="1" x14ac:dyDescent="0.2">
      <c r="A53" s="344" t="s">
        <v>103</v>
      </c>
      <c r="B53" s="69"/>
    </row>
    <row r="54" spans="1:2" ht="14.25" customHeight="1" x14ac:dyDescent="0.2">
      <c r="A54" s="345" t="s">
        <v>104</v>
      </c>
      <c r="B54" s="66"/>
    </row>
    <row r="55" spans="1:2" ht="25.5" customHeight="1" x14ac:dyDescent="0.2">
      <c r="A55" s="343" t="s">
        <v>101</v>
      </c>
      <c r="B55" s="67"/>
    </row>
    <row r="56" spans="1:2" ht="14.25" customHeight="1" x14ac:dyDescent="0.2">
      <c r="A56" s="344" t="s">
        <v>102</v>
      </c>
      <c r="B56" s="68"/>
    </row>
    <row r="57" spans="1:2" ht="14.25" customHeight="1" x14ac:dyDescent="0.2">
      <c r="A57" s="344" t="s">
        <v>103</v>
      </c>
      <c r="B57" s="69"/>
    </row>
    <row r="58" spans="1:2" ht="14.25" customHeight="1" x14ac:dyDescent="0.2">
      <c r="A58" s="345" t="s">
        <v>104</v>
      </c>
      <c r="B58" s="66"/>
    </row>
    <row r="59" spans="1:2" ht="25.5" customHeight="1" x14ac:dyDescent="0.2">
      <c r="A59" s="343" t="s">
        <v>101</v>
      </c>
      <c r="B59" s="67"/>
    </row>
    <row r="60" spans="1:2" ht="14.25" customHeight="1" x14ac:dyDescent="0.2">
      <c r="A60" s="344" t="s">
        <v>102</v>
      </c>
      <c r="B60" s="68"/>
    </row>
    <row r="61" spans="1:2" ht="14.25" customHeight="1" x14ac:dyDescent="0.2">
      <c r="A61" s="344" t="s">
        <v>103</v>
      </c>
      <c r="B61" s="69"/>
    </row>
    <row r="62" spans="1:2" ht="14.25" customHeight="1" x14ac:dyDescent="0.2">
      <c r="A62" s="345" t="s">
        <v>104</v>
      </c>
      <c r="B62" s="66"/>
    </row>
    <row r="63" spans="1:2" ht="25.5" customHeight="1" x14ac:dyDescent="0.2">
      <c r="A63" s="343" t="s">
        <v>101</v>
      </c>
      <c r="B63" s="67"/>
    </row>
    <row r="64" spans="1:2" ht="14.25" customHeight="1" x14ac:dyDescent="0.2">
      <c r="A64" s="344" t="s">
        <v>102</v>
      </c>
      <c r="B64" s="68"/>
    </row>
    <row r="65" spans="1:2" ht="14.25" customHeight="1" x14ac:dyDescent="0.2">
      <c r="A65" s="344" t="s">
        <v>103</v>
      </c>
      <c r="B65" s="69"/>
    </row>
    <row r="66" spans="1:2" ht="14.25" customHeight="1" x14ac:dyDescent="0.2">
      <c r="A66" s="345" t="s">
        <v>104</v>
      </c>
      <c r="B66" s="66"/>
    </row>
    <row r="67" spans="1:2" ht="25.5" customHeight="1" x14ac:dyDescent="0.2">
      <c r="A67" s="343" t="s">
        <v>101</v>
      </c>
      <c r="B67" s="67"/>
    </row>
    <row r="68" spans="1:2" ht="14.25" customHeight="1" x14ac:dyDescent="0.2">
      <c r="A68" s="344" t="s">
        <v>102</v>
      </c>
      <c r="B68" s="68"/>
    </row>
    <row r="69" spans="1:2" ht="14.25" customHeight="1" x14ac:dyDescent="0.2">
      <c r="A69" s="344" t="s">
        <v>103</v>
      </c>
      <c r="B69" s="69"/>
    </row>
    <row r="70" spans="1:2" ht="14.25" customHeight="1" x14ac:dyDescent="0.2">
      <c r="A70" s="345" t="s">
        <v>104</v>
      </c>
      <c r="B70" s="66"/>
    </row>
    <row r="71" spans="1:2" ht="25.5" customHeight="1" x14ac:dyDescent="0.2">
      <c r="A71" s="343" t="s">
        <v>101</v>
      </c>
      <c r="B71" s="67"/>
    </row>
    <row r="72" spans="1:2" ht="14.25" customHeight="1" x14ac:dyDescent="0.2">
      <c r="A72" s="344" t="s">
        <v>102</v>
      </c>
      <c r="B72" s="68"/>
    </row>
    <row r="73" spans="1:2" ht="14.25" customHeight="1" x14ac:dyDescent="0.2">
      <c r="A73" s="344" t="s">
        <v>103</v>
      </c>
      <c r="B73" s="69"/>
    </row>
    <row r="74" spans="1:2" ht="14.25" customHeight="1" x14ac:dyDescent="0.2">
      <c r="A74" s="345" t="s">
        <v>104</v>
      </c>
      <c r="B74" s="66"/>
    </row>
    <row r="75" spans="1:2" ht="25.5" customHeight="1" x14ac:dyDescent="0.2">
      <c r="A75" s="343" t="s">
        <v>101</v>
      </c>
      <c r="B75" s="67"/>
    </row>
    <row r="76" spans="1:2" ht="14.25" customHeight="1" x14ac:dyDescent="0.2">
      <c r="A76" s="344" t="s">
        <v>102</v>
      </c>
      <c r="B76" s="68"/>
    </row>
    <row r="77" spans="1:2" ht="14.25" customHeight="1" x14ac:dyDescent="0.2">
      <c r="A77" s="344" t="s">
        <v>103</v>
      </c>
      <c r="B77" s="69"/>
    </row>
    <row r="78" spans="1:2" ht="14.25" customHeight="1" x14ac:dyDescent="0.2">
      <c r="A78" s="345" t="s">
        <v>104</v>
      </c>
      <c r="B78" s="66"/>
    </row>
    <row r="79" spans="1:2" ht="25.5" customHeight="1" x14ac:dyDescent="0.2">
      <c r="A79" s="343" t="s">
        <v>101</v>
      </c>
      <c r="B79" s="67"/>
    </row>
    <row r="80" spans="1:2" ht="14.25" customHeight="1" x14ac:dyDescent="0.2">
      <c r="A80" s="344" t="s">
        <v>102</v>
      </c>
      <c r="B80" s="68"/>
    </row>
    <row r="81" spans="1:2" ht="14.25" customHeight="1" x14ac:dyDescent="0.2">
      <c r="A81" s="344" t="s">
        <v>103</v>
      </c>
      <c r="B81" s="69"/>
    </row>
    <row r="82" spans="1:2" ht="14.25" customHeight="1" x14ac:dyDescent="0.2">
      <c r="A82" s="345" t="s">
        <v>104</v>
      </c>
      <c r="B82" s="66"/>
    </row>
    <row r="83" spans="1:2" ht="25.5" customHeight="1" x14ac:dyDescent="0.2">
      <c r="A83" s="343" t="s">
        <v>101</v>
      </c>
      <c r="B83" s="67"/>
    </row>
    <row r="84" spans="1:2" ht="14.25" customHeight="1" x14ac:dyDescent="0.2">
      <c r="A84" s="344" t="s">
        <v>102</v>
      </c>
      <c r="B84" s="68"/>
    </row>
    <row r="85" spans="1:2" ht="14.25" customHeight="1" x14ac:dyDescent="0.2">
      <c r="A85" s="344" t="s">
        <v>103</v>
      </c>
      <c r="B85" s="69"/>
    </row>
    <row r="86" spans="1:2" ht="14.25" customHeight="1" x14ac:dyDescent="0.2">
      <c r="A86" s="346" t="s">
        <v>104</v>
      </c>
      <c r="B86" s="70"/>
    </row>
    <row r="87" spans="1:2" x14ac:dyDescent="0.2">
      <c r="A87" s="1657" t="s">
        <v>847</v>
      </c>
      <c r="B87" s="1658"/>
    </row>
    <row r="88" spans="1:2" ht="33.75" customHeight="1" thickBot="1" x14ac:dyDescent="0.25">
      <c r="A88" s="1659">
        <v>0</v>
      </c>
      <c r="B88" s="1660"/>
    </row>
    <row r="89" spans="1:2" ht="13.5" thickTop="1" x14ac:dyDescent="0.2">
      <c r="A89" s="29"/>
      <c r="B89" s="29"/>
    </row>
    <row r="90" spans="1:2" x14ac:dyDescent="0.2">
      <c r="A90" s="29"/>
      <c r="B90" s="29"/>
    </row>
    <row r="91" spans="1:2" x14ac:dyDescent="0.2">
      <c r="A91" s="29"/>
      <c r="B91" s="29"/>
    </row>
    <row r="92" spans="1:2" x14ac:dyDescent="0.2">
      <c r="A92" s="29"/>
      <c r="B92" s="29"/>
    </row>
    <row r="93" spans="1:2" x14ac:dyDescent="0.2">
      <c r="A93" s="37"/>
      <c r="B93" s="37"/>
    </row>
    <row r="94" spans="1:2" x14ac:dyDescent="0.2">
      <c r="A94" s="37"/>
      <c r="B94" s="37"/>
    </row>
    <row r="95" spans="1:2" x14ac:dyDescent="0.2">
      <c r="A95" s="37"/>
      <c r="B95" s="37"/>
    </row>
    <row r="96" spans="1:2" x14ac:dyDescent="0.2">
      <c r="A96" s="37"/>
      <c r="B96" s="37"/>
    </row>
    <row r="97" spans="1:2" x14ac:dyDescent="0.2">
      <c r="A97" s="37"/>
      <c r="B97" s="37"/>
    </row>
    <row r="98" spans="1:2" x14ac:dyDescent="0.2">
      <c r="A98" s="37"/>
      <c r="B98" s="37"/>
    </row>
    <row r="99" spans="1:2" x14ac:dyDescent="0.2">
      <c r="A99" s="37"/>
      <c r="B99" s="37"/>
    </row>
    <row r="100" spans="1:2" x14ac:dyDescent="0.2">
      <c r="A100" s="37"/>
      <c r="B100" s="37"/>
    </row>
    <row r="101" spans="1:2" x14ac:dyDescent="0.2">
      <c r="A101" s="37"/>
      <c r="B101" s="37"/>
    </row>
    <row r="102" spans="1:2" x14ac:dyDescent="0.2">
      <c r="A102" s="37"/>
      <c r="B102" s="37"/>
    </row>
    <row r="103" spans="1:2" x14ac:dyDescent="0.2">
      <c r="A103" s="37"/>
      <c r="B103" s="37"/>
    </row>
    <row r="104" spans="1:2" x14ac:dyDescent="0.2">
      <c r="A104" s="37"/>
      <c r="B104" s="37"/>
    </row>
    <row r="105" spans="1:2" x14ac:dyDescent="0.2">
      <c r="A105" s="37"/>
      <c r="B105" s="37"/>
    </row>
    <row r="106" spans="1:2" x14ac:dyDescent="0.2">
      <c r="A106" s="37"/>
      <c r="B106" s="37"/>
    </row>
    <row r="107" spans="1:2" x14ac:dyDescent="0.2">
      <c r="A107" s="37"/>
      <c r="B107" s="37"/>
    </row>
    <row r="108" spans="1:2" x14ac:dyDescent="0.2">
      <c r="A108" s="37"/>
      <c r="B108" s="37"/>
    </row>
    <row r="109" spans="1:2" x14ac:dyDescent="0.2">
      <c r="A109" s="37"/>
      <c r="B109" s="37"/>
    </row>
    <row r="110" spans="1:2" x14ac:dyDescent="0.2">
      <c r="A110" s="37"/>
      <c r="B110" s="37"/>
    </row>
    <row r="111" spans="1:2" x14ac:dyDescent="0.2">
      <c r="A111" s="37"/>
      <c r="B111" s="37"/>
    </row>
    <row r="112" spans="1:2" x14ac:dyDescent="0.2">
      <c r="A112" s="37"/>
      <c r="B112" s="37"/>
    </row>
    <row r="113" spans="1:2" x14ac:dyDescent="0.2">
      <c r="A113" s="37"/>
      <c r="B113" s="37"/>
    </row>
    <row r="114" spans="1:2" x14ac:dyDescent="0.2">
      <c r="A114" s="37"/>
      <c r="B114" s="37"/>
    </row>
    <row r="115" spans="1:2" x14ac:dyDescent="0.2">
      <c r="A115" s="37"/>
      <c r="B115" s="37"/>
    </row>
    <row r="116" spans="1:2" x14ac:dyDescent="0.2">
      <c r="A116" s="37"/>
      <c r="B116" s="37"/>
    </row>
    <row r="117" spans="1:2" x14ac:dyDescent="0.2">
      <c r="A117" s="37"/>
      <c r="B117" s="37"/>
    </row>
    <row r="118" spans="1:2" x14ac:dyDescent="0.2">
      <c r="A118" s="37"/>
      <c r="B118" s="37"/>
    </row>
    <row r="119" spans="1:2" x14ac:dyDescent="0.2">
      <c r="A119" s="37"/>
      <c r="B119" s="37"/>
    </row>
    <row r="120" spans="1:2" x14ac:dyDescent="0.2">
      <c r="A120" s="37"/>
      <c r="B120" s="37"/>
    </row>
    <row r="121" spans="1:2" x14ac:dyDescent="0.2">
      <c r="A121" s="37"/>
      <c r="B121" s="37"/>
    </row>
    <row r="122" spans="1:2" x14ac:dyDescent="0.2">
      <c r="A122" s="37"/>
      <c r="B122" s="37"/>
    </row>
    <row r="123" spans="1:2" x14ac:dyDescent="0.2">
      <c r="A123" s="37"/>
      <c r="B123" s="37"/>
    </row>
    <row r="124" spans="1:2" x14ac:dyDescent="0.2">
      <c r="A124" s="37"/>
      <c r="B124" s="37"/>
    </row>
    <row r="125" spans="1:2" x14ac:dyDescent="0.2">
      <c r="A125" s="37"/>
      <c r="B125" s="37"/>
    </row>
    <row r="126" spans="1:2" x14ac:dyDescent="0.2">
      <c r="A126" s="37"/>
      <c r="B126" s="37"/>
    </row>
    <row r="127" spans="1:2" x14ac:dyDescent="0.2">
      <c r="A127" s="37"/>
      <c r="B127" s="37"/>
    </row>
    <row r="128" spans="1:2" x14ac:dyDescent="0.2">
      <c r="A128" s="37"/>
      <c r="B128" s="37"/>
    </row>
    <row r="129" spans="1:2" x14ac:dyDescent="0.2">
      <c r="A129" s="37"/>
      <c r="B129" s="37"/>
    </row>
    <row r="130" spans="1:2" x14ac:dyDescent="0.2">
      <c r="A130" s="37"/>
      <c r="B130" s="37"/>
    </row>
    <row r="131" spans="1:2" x14ac:dyDescent="0.2">
      <c r="A131" s="37"/>
      <c r="B131" s="37"/>
    </row>
    <row r="132" spans="1:2" x14ac:dyDescent="0.2">
      <c r="A132" s="37"/>
      <c r="B132" s="37"/>
    </row>
    <row r="133" spans="1:2" x14ac:dyDescent="0.2">
      <c r="A133" s="37"/>
      <c r="B133" s="37"/>
    </row>
    <row r="134" spans="1:2" x14ac:dyDescent="0.2">
      <c r="A134" s="37"/>
      <c r="B134" s="37"/>
    </row>
    <row r="135" spans="1:2" x14ac:dyDescent="0.2">
      <c r="A135" s="37"/>
      <c r="B135" s="37"/>
    </row>
    <row r="136" spans="1:2" x14ac:dyDescent="0.2">
      <c r="A136" s="37"/>
      <c r="B136" s="37"/>
    </row>
    <row r="137" spans="1:2" x14ac:dyDescent="0.2">
      <c r="A137" s="37"/>
      <c r="B137" s="37"/>
    </row>
    <row r="138" spans="1:2" x14ac:dyDescent="0.2">
      <c r="A138" s="37"/>
      <c r="B138" s="37"/>
    </row>
    <row r="139" spans="1:2" x14ac:dyDescent="0.2">
      <c r="A139" s="37"/>
      <c r="B139" s="37"/>
    </row>
    <row r="140" spans="1:2" x14ac:dyDescent="0.2">
      <c r="A140" s="37"/>
      <c r="B140" s="37"/>
    </row>
    <row r="141" spans="1:2" x14ac:dyDescent="0.2">
      <c r="A141" s="37"/>
      <c r="B141" s="37"/>
    </row>
    <row r="142" spans="1:2" x14ac:dyDescent="0.2">
      <c r="A142" s="37"/>
      <c r="B142" s="37"/>
    </row>
    <row r="143" spans="1:2" x14ac:dyDescent="0.2">
      <c r="A143" s="37"/>
      <c r="B143" s="37"/>
    </row>
    <row r="144" spans="1:2" x14ac:dyDescent="0.2">
      <c r="A144" s="37"/>
      <c r="B144" s="37"/>
    </row>
    <row r="145" spans="1:2" x14ac:dyDescent="0.2">
      <c r="A145" s="37"/>
      <c r="B145" s="37"/>
    </row>
    <row r="146" spans="1:2" x14ac:dyDescent="0.2">
      <c r="A146" s="37"/>
      <c r="B146" s="37"/>
    </row>
    <row r="147" spans="1:2" x14ac:dyDescent="0.2">
      <c r="A147" s="37"/>
      <c r="B147" s="37"/>
    </row>
    <row r="148" spans="1:2" x14ac:dyDescent="0.2">
      <c r="A148" s="37"/>
      <c r="B148" s="37"/>
    </row>
    <row r="149" spans="1:2" x14ac:dyDescent="0.2">
      <c r="A149" s="37"/>
      <c r="B149" s="37"/>
    </row>
    <row r="150" spans="1:2" x14ac:dyDescent="0.2">
      <c r="A150" s="37"/>
      <c r="B150" s="37"/>
    </row>
    <row r="151" spans="1:2" x14ac:dyDescent="0.2">
      <c r="A151" s="37"/>
      <c r="B151" s="37"/>
    </row>
  </sheetData>
  <mergeCells count="5">
    <mergeCell ref="A2:B2"/>
    <mergeCell ref="A87:B87"/>
    <mergeCell ref="A88:B88"/>
    <mergeCell ref="A4:B4"/>
    <mergeCell ref="A5:B5"/>
  </mergeCells>
  <phoneticPr fontId="65" type="noConversion"/>
  <pageMargins left="0.40583333300000002" right="0.12833333333333299" top="0.75" bottom="0.75" header="0.3" footer="0.3"/>
  <pageSetup scale="83" orientation="portrait" r:id="rId1"/>
  <headerFooter>
    <oddHeader>&amp;LAKIS A 2012</oddHeader>
    <oddFooter>&amp;LAmerican Indian Higher Education Consortium</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Y71"/>
  <sheetViews>
    <sheetView zoomScaleNormal="100" workbookViewId="0">
      <selection activeCell="C28" sqref="C28"/>
    </sheetView>
  </sheetViews>
  <sheetFormatPr defaultRowHeight="15" x14ac:dyDescent="0.25"/>
  <cols>
    <col min="1" max="1" width="4.7109375" customWidth="1"/>
    <col min="2" max="2" width="25.42578125" customWidth="1"/>
    <col min="3" max="3" width="83.5703125" customWidth="1"/>
    <col min="4" max="4" width="4.140625" style="340" customWidth="1"/>
    <col min="11" max="51" width="9.140625" style="340" customWidth="1"/>
  </cols>
  <sheetData>
    <row r="1" spans="1:51" ht="15.75" thickTop="1" x14ac:dyDescent="0.25">
      <c r="A1" s="314"/>
      <c r="B1" s="908" t="s">
        <v>823</v>
      </c>
      <c r="C1" s="206" t="str">
        <f>'1.1a Overall Instit. Profile'!$B$1</f>
        <v>Oglala Lakota College</v>
      </c>
      <c r="E1" s="1663" t="s">
        <v>121</v>
      </c>
      <c r="F1" s="1663"/>
      <c r="G1" s="1663"/>
      <c r="H1" s="1663"/>
      <c r="I1" s="1663"/>
      <c r="J1" s="580"/>
    </row>
    <row r="2" spans="1:51" x14ac:dyDescent="0.25">
      <c r="A2" s="313" t="s">
        <v>819</v>
      </c>
      <c r="B2" s="325"/>
      <c r="C2" s="351"/>
      <c r="E2" s="558" t="s">
        <v>107</v>
      </c>
      <c r="F2" s="558"/>
      <c r="G2" s="163"/>
      <c r="H2" s="163"/>
      <c r="I2" s="163"/>
      <c r="J2" s="159"/>
    </row>
    <row r="3" spans="1:51" x14ac:dyDescent="0.25">
      <c r="A3" s="316" t="s">
        <v>105</v>
      </c>
      <c r="B3" s="326"/>
      <c r="C3" s="71"/>
      <c r="E3" s="558" t="s">
        <v>108</v>
      </c>
      <c r="F3" s="558"/>
      <c r="G3" s="170"/>
      <c r="H3" s="170"/>
      <c r="I3" s="170"/>
      <c r="J3" s="159"/>
    </row>
    <row r="4" spans="1:51" x14ac:dyDescent="0.25">
      <c r="A4" s="922" t="s">
        <v>345</v>
      </c>
      <c r="B4" s="326"/>
      <c r="C4" s="327"/>
      <c r="E4" s="558" t="s">
        <v>109</v>
      </c>
      <c r="F4" s="558"/>
      <c r="G4" s="170"/>
      <c r="H4" s="170"/>
      <c r="I4" s="170"/>
      <c r="J4" s="159"/>
    </row>
    <row r="5" spans="1:51" x14ac:dyDescent="0.25">
      <c r="A5" s="2" t="s">
        <v>106</v>
      </c>
      <c r="B5" s="326"/>
      <c r="C5" s="327"/>
      <c r="E5" s="558" t="s">
        <v>110</v>
      </c>
      <c r="F5" s="559"/>
      <c r="G5" s="560"/>
      <c r="H5" s="170"/>
      <c r="I5" s="170"/>
      <c r="J5" s="159"/>
    </row>
    <row r="6" spans="1:51" x14ac:dyDescent="0.25">
      <c r="A6" s="1125" t="s">
        <v>314</v>
      </c>
      <c r="B6" s="352" t="s">
        <v>106</v>
      </c>
      <c r="C6" s="24" t="s">
        <v>315</v>
      </c>
      <c r="E6" s="558" t="s">
        <v>122</v>
      </c>
      <c r="F6" s="559"/>
      <c r="G6" s="561"/>
      <c r="H6" s="562"/>
      <c r="I6" s="562"/>
      <c r="J6" s="159"/>
    </row>
    <row r="7" spans="1:51" s="568" customFormat="1" ht="29.25" customHeight="1" x14ac:dyDescent="0.25">
      <c r="A7" s="1113" t="s">
        <v>680</v>
      </c>
      <c r="B7" s="1114" t="s">
        <v>681</v>
      </c>
      <c r="C7" s="1115" t="s">
        <v>736</v>
      </c>
      <c r="D7" s="564"/>
      <c r="E7" s="565" t="s">
        <v>123</v>
      </c>
      <c r="F7" s="565"/>
      <c r="G7" s="566"/>
      <c r="H7" s="566"/>
      <c r="I7" s="566"/>
      <c r="J7" s="567"/>
      <c r="K7" s="564"/>
      <c r="L7" s="564"/>
      <c r="M7" s="564"/>
      <c r="N7" s="564"/>
      <c r="O7" s="564"/>
      <c r="P7" s="564"/>
      <c r="Q7" s="564"/>
      <c r="R7" s="564"/>
      <c r="S7" s="564"/>
      <c r="T7" s="564"/>
      <c r="U7" s="564"/>
      <c r="V7" s="564"/>
      <c r="W7" s="564"/>
      <c r="X7" s="564"/>
      <c r="Y7" s="564"/>
      <c r="Z7" s="564"/>
      <c r="AA7" s="564"/>
      <c r="AB7" s="564"/>
      <c r="AC7" s="564"/>
      <c r="AD7" s="564"/>
      <c r="AE7" s="564"/>
      <c r="AF7" s="564"/>
      <c r="AG7" s="564"/>
      <c r="AH7" s="564"/>
      <c r="AI7" s="564"/>
      <c r="AJ7" s="564"/>
      <c r="AK7" s="564"/>
      <c r="AL7" s="564"/>
      <c r="AM7" s="564"/>
      <c r="AN7" s="564"/>
      <c r="AO7" s="564"/>
      <c r="AP7" s="564"/>
      <c r="AQ7" s="564"/>
      <c r="AR7" s="564"/>
      <c r="AS7" s="564"/>
      <c r="AT7" s="564"/>
      <c r="AU7" s="564"/>
      <c r="AV7" s="564"/>
      <c r="AW7" s="564"/>
      <c r="AX7" s="564"/>
      <c r="AY7" s="564"/>
    </row>
    <row r="8" spans="1:51" s="568" customFormat="1" ht="29.25" customHeight="1" x14ac:dyDescent="0.25">
      <c r="A8" s="1116" t="s">
        <v>682</v>
      </c>
      <c r="B8" s="1178" t="s">
        <v>683</v>
      </c>
      <c r="C8" s="1118" t="s">
        <v>684</v>
      </c>
      <c r="D8" s="564"/>
      <c r="E8" s="565" t="s">
        <v>124</v>
      </c>
      <c r="F8" s="565"/>
      <c r="G8" s="569"/>
      <c r="H8" s="569"/>
      <c r="I8" s="569"/>
      <c r="J8" s="567"/>
      <c r="K8" s="564"/>
      <c r="L8" s="564"/>
      <c r="M8" s="564"/>
      <c r="N8" s="564"/>
      <c r="O8" s="564"/>
      <c r="P8" s="564"/>
      <c r="Q8" s="564"/>
      <c r="R8" s="564"/>
      <c r="S8" s="564"/>
      <c r="T8" s="564"/>
      <c r="U8" s="564"/>
      <c r="V8" s="564"/>
      <c r="W8" s="564"/>
      <c r="X8" s="564"/>
      <c r="Y8" s="564"/>
      <c r="Z8" s="564"/>
      <c r="AA8" s="564"/>
      <c r="AB8" s="564"/>
      <c r="AC8" s="564"/>
      <c r="AD8" s="564"/>
      <c r="AE8" s="564"/>
      <c r="AF8" s="564"/>
      <c r="AG8" s="564"/>
      <c r="AH8" s="564"/>
      <c r="AI8" s="564"/>
      <c r="AJ8" s="564"/>
      <c r="AK8" s="564"/>
      <c r="AL8" s="564"/>
      <c r="AM8" s="564"/>
      <c r="AN8" s="564"/>
      <c r="AO8" s="564"/>
      <c r="AP8" s="564"/>
      <c r="AQ8" s="564"/>
      <c r="AR8" s="564"/>
      <c r="AS8" s="564"/>
      <c r="AT8" s="564"/>
      <c r="AU8" s="564"/>
      <c r="AV8" s="564"/>
      <c r="AW8" s="564"/>
      <c r="AX8" s="564"/>
      <c r="AY8" s="564"/>
    </row>
    <row r="9" spans="1:51" s="568" customFormat="1" ht="29.25" customHeight="1" x14ac:dyDescent="0.25">
      <c r="A9" s="1116" t="s">
        <v>685</v>
      </c>
      <c r="B9" s="1178" t="s">
        <v>686</v>
      </c>
      <c r="C9" s="1118" t="s">
        <v>687</v>
      </c>
      <c r="D9" s="564"/>
      <c r="E9" s="565" t="s">
        <v>111</v>
      </c>
      <c r="F9" s="565"/>
      <c r="G9" s="569"/>
      <c r="H9" s="569"/>
      <c r="I9" s="569"/>
      <c r="J9" s="567"/>
      <c r="K9" s="564"/>
      <c r="L9" s="564"/>
      <c r="M9" s="564"/>
      <c r="N9" s="564"/>
      <c r="O9" s="564"/>
      <c r="P9" s="564"/>
      <c r="Q9" s="564"/>
      <c r="R9" s="564"/>
      <c r="S9" s="564"/>
      <c r="T9" s="564"/>
      <c r="U9" s="564"/>
      <c r="V9" s="564"/>
      <c r="W9" s="564"/>
      <c r="X9" s="564"/>
      <c r="Y9" s="564"/>
      <c r="Z9" s="564"/>
      <c r="AA9" s="564"/>
      <c r="AB9" s="564"/>
      <c r="AC9" s="564"/>
      <c r="AD9" s="564"/>
      <c r="AE9" s="564"/>
      <c r="AF9" s="564"/>
      <c r="AG9" s="564"/>
      <c r="AH9" s="564"/>
      <c r="AI9" s="564"/>
      <c r="AJ9" s="564"/>
      <c r="AK9" s="564"/>
      <c r="AL9" s="564"/>
      <c r="AM9" s="564"/>
      <c r="AN9" s="564"/>
      <c r="AO9" s="564"/>
      <c r="AP9" s="564"/>
      <c r="AQ9" s="564"/>
      <c r="AR9" s="564"/>
      <c r="AS9" s="564"/>
      <c r="AT9" s="564"/>
      <c r="AU9" s="564"/>
      <c r="AV9" s="564"/>
      <c r="AW9" s="564"/>
      <c r="AX9" s="564"/>
      <c r="AY9" s="564"/>
    </row>
    <row r="10" spans="1:51" s="568" customFormat="1" ht="29.25" customHeight="1" x14ac:dyDescent="0.25">
      <c r="A10" s="1116" t="s">
        <v>688</v>
      </c>
      <c r="B10" s="1178" t="s">
        <v>689</v>
      </c>
      <c r="C10" s="1118" t="s">
        <v>690</v>
      </c>
      <c r="D10" s="564"/>
      <c r="E10" s="565" t="s">
        <v>112</v>
      </c>
      <c r="F10" s="565"/>
      <c r="G10" s="569"/>
      <c r="H10" s="569"/>
      <c r="I10" s="569"/>
      <c r="J10" s="567"/>
      <c r="K10" s="564"/>
      <c r="L10" s="564"/>
      <c r="M10" s="564"/>
      <c r="N10" s="564"/>
      <c r="O10" s="564"/>
      <c r="P10" s="564"/>
      <c r="Q10" s="564"/>
      <c r="R10" s="564"/>
      <c r="S10" s="564"/>
      <c r="T10" s="564"/>
      <c r="U10" s="564"/>
      <c r="V10" s="564"/>
      <c r="W10" s="564"/>
      <c r="X10" s="564"/>
      <c r="Y10" s="564"/>
      <c r="Z10" s="564"/>
      <c r="AA10" s="564"/>
      <c r="AB10" s="564"/>
      <c r="AC10" s="564"/>
      <c r="AD10" s="564"/>
      <c r="AE10" s="564"/>
      <c r="AF10" s="564"/>
      <c r="AG10" s="564"/>
      <c r="AH10" s="564"/>
      <c r="AI10" s="564"/>
      <c r="AJ10" s="564"/>
      <c r="AK10" s="564"/>
      <c r="AL10" s="564"/>
      <c r="AM10" s="564"/>
      <c r="AN10" s="564"/>
      <c r="AO10" s="564"/>
      <c r="AP10" s="564"/>
      <c r="AQ10" s="564"/>
      <c r="AR10" s="564"/>
      <c r="AS10" s="564"/>
      <c r="AT10" s="564"/>
      <c r="AU10" s="564"/>
      <c r="AV10" s="564"/>
      <c r="AW10" s="564"/>
      <c r="AX10" s="564"/>
      <c r="AY10" s="564"/>
    </row>
    <row r="11" spans="1:51" s="568" customFormat="1" ht="29.25" customHeight="1" x14ac:dyDescent="0.25">
      <c r="A11" s="1116" t="s">
        <v>691</v>
      </c>
      <c r="B11" s="1178" t="s">
        <v>692</v>
      </c>
      <c r="C11" s="1118" t="s">
        <v>737</v>
      </c>
      <c r="D11" s="564"/>
      <c r="E11" s="565" t="s">
        <v>125</v>
      </c>
      <c r="F11" s="565"/>
      <c r="G11" s="569"/>
      <c r="H11" s="569"/>
      <c r="I11" s="569"/>
      <c r="J11" s="567"/>
      <c r="K11" s="564"/>
      <c r="L11" s="564"/>
      <c r="M11" s="564"/>
      <c r="N11" s="564"/>
      <c r="O11" s="564"/>
      <c r="P11" s="564"/>
      <c r="Q11" s="564"/>
      <c r="R11" s="564"/>
      <c r="S11" s="564"/>
      <c r="T11" s="564"/>
      <c r="U11" s="564"/>
      <c r="V11" s="564"/>
      <c r="W11" s="564"/>
      <c r="X11" s="564"/>
      <c r="Y11" s="564"/>
      <c r="Z11" s="564"/>
      <c r="AA11" s="564"/>
      <c r="AB11" s="564"/>
      <c r="AC11" s="564"/>
      <c r="AD11" s="564"/>
      <c r="AE11" s="564"/>
      <c r="AF11" s="564"/>
      <c r="AG11" s="564"/>
      <c r="AH11" s="564"/>
      <c r="AI11" s="564"/>
      <c r="AJ11" s="564"/>
      <c r="AK11" s="564"/>
      <c r="AL11" s="564"/>
      <c r="AM11" s="564"/>
      <c r="AN11" s="564"/>
      <c r="AO11" s="564"/>
      <c r="AP11" s="564"/>
      <c r="AQ11" s="564"/>
      <c r="AR11" s="564"/>
      <c r="AS11" s="564"/>
      <c r="AT11" s="564"/>
      <c r="AU11" s="564"/>
      <c r="AV11" s="564"/>
      <c r="AW11" s="564"/>
      <c r="AX11" s="564"/>
      <c r="AY11" s="564"/>
    </row>
    <row r="12" spans="1:51" s="568" customFormat="1" ht="29.25" customHeight="1" x14ac:dyDescent="0.25">
      <c r="A12" s="1116" t="s">
        <v>693</v>
      </c>
      <c r="B12" s="1178" t="s">
        <v>694</v>
      </c>
      <c r="C12" s="1118" t="s">
        <v>695</v>
      </c>
      <c r="D12" s="564"/>
      <c r="E12" s="565" t="s">
        <v>126</v>
      </c>
      <c r="F12" s="565"/>
      <c r="G12" s="569"/>
      <c r="H12" s="569"/>
      <c r="I12" s="569"/>
      <c r="J12" s="567"/>
      <c r="K12" s="564"/>
      <c r="L12" s="564"/>
      <c r="M12" s="564"/>
      <c r="N12" s="564"/>
      <c r="O12" s="564"/>
      <c r="P12" s="564"/>
      <c r="Q12" s="564"/>
      <c r="R12" s="564"/>
      <c r="S12" s="564"/>
      <c r="T12" s="564"/>
      <c r="U12" s="564"/>
      <c r="V12" s="564"/>
      <c r="W12" s="564"/>
      <c r="X12" s="564"/>
      <c r="Y12" s="564"/>
      <c r="Z12" s="564"/>
      <c r="AA12" s="564"/>
      <c r="AB12" s="564"/>
      <c r="AC12" s="564"/>
      <c r="AD12" s="564"/>
      <c r="AE12" s="564"/>
      <c r="AF12" s="564"/>
      <c r="AG12" s="564"/>
      <c r="AH12" s="564"/>
      <c r="AI12" s="564"/>
      <c r="AJ12" s="564"/>
      <c r="AK12" s="564"/>
      <c r="AL12" s="564"/>
      <c r="AM12" s="564"/>
      <c r="AN12" s="564"/>
      <c r="AO12" s="564"/>
      <c r="AP12" s="564"/>
      <c r="AQ12" s="564"/>
      <c r="AR12" s="564"/>
      <c r="AS12" s="564"/>
      <c r="AT12" s="564"/>
      <c r="AU12" s="564"/>
      <c r="AV12" s="564"/>
      <c r="AW12" s="564"/>
      <c r="AX12" s="564"/>
      <c r="AY12" s="564"/>
    </row>
    <row r="13" spans="1:51" s="568" customFormat="1" ht="29.25" customHeight="1" x14ac:dyDescent="0.25">
      <c r="A13" s="1116" t="s">
        <v>696</v>
      </c>
      <c r="B13" s="1178" t="s">
        <v>697</v>
      </c>
      <c r="C13" s="1118" t="s">
        <v>608</v>
      </c>
      <c r="D13" s="564"/>
      <c r="E13" s="565" t="s">
        <v>113</v>
      </c>
      <c r="F13" s="565"/>
      <c r="G13" s="569"/>
      <c r="H13" s="569"/>
      <c r="I13" s="569"/>
      <c r="J13" s="567"/>
      <c r="K13" s="564"/>
      <c r="L13" s="564"/>
      <c r="M13" s="564"/>
      <c r="N13" s="564"/>
      <c r="O13" s="564"/>
      <c r="P13" s="564"/>
      <c r="Q13" s="564"/>
      <c r="R13" s="564"/>
      <c r="S13" s="564"/>
      <c r="T13" s="564"/>
      <c r="U13" s="564"/>
      <c r="V13" s="564"/>
      <c r="W13" s="564"/>
      <c r="X13" s="564"/>
      <c r="Y13" s="564"/>
      <c r="Z13" s="564"/>
      <c r="AA13" s="564"/>
      <c r="AB13" s="564"/>
      <c r="AC13" s="564"/>
      <c r="AD13" s="564"/>
      <c r="AE13" s="564"/>
      <c r="AF13" s="564"/>
      <c r="AG13" s="564"/>
      <c r="AH13" s="564"/>
      <c r="AI13" s="564"/>
      <c r="AJ13" s="564"/>
      <c r="AK13" s="564"/>
      <c r="AL13" s="564"/>
      <c r="AM13" s="564"/>
      <c r="AN13" s="564"/>
      <c r="AO13" s="564"/>
      <c r="AP13" s="564"/>
      <c r="AQ13" s="564"/>
      <c r="AR13" s="564"/>
      <c r="AS13" s="564"/>
      <c r="AT13" s="564"/>
      <c r="AU13" s="564"/>
      <c r="AV13" s="564"/>
      <c r="AW13" s="564"/>
      <c r="AX13" s="564"/>
      <c r="AY13" s="564"/>
    </row>
    <row r="14" spans="1:51" s="568" customFormat="1" ht="29.25" customHeight="1" x14ac:dyDescent="0.25">
      <c r="A14" s="1116" t="s">
        <v>698</v>
      </c>
      <c r="B14" s="1178" t="s">
        <v>699</v>
      </c>
      <c r="C14" s="1118" t="s">
        <v>738</v>
      </c>
      <c r="D14" s="564"/>
      <c r="E14" s="565" t="s">
        <v>114</v>
      </c>
      <c r="F14" s="565"/>
      <c r="G14" s="569"/>
      <c r="H14" s="569"/>
      <c r="I14" s="569"/>
      <c r="J14" s="567"/>
      <c r="K14" s="564"/>
      <c r="L14" s="564"/>
      <c r="M14" s="564"/>
      <c r="N14" s="564"/>
      <c r="O14" s="564"/>
      <c r="P14" s="564"/>
      <c r="Q14" s="564"/>
      <c r="R14" s="564"/>
      <c r="S14" s="564"/>
      <c r="T14" s="564"/>
      <c r="U14" s="564"/>
      <c r="V14" s="564"/>
      <c r="W14" s="564"/>
      <c r="X14" s="564"/>
      <c r="Y14" s="564"/>
      <c r="Z14" s="564"/>
      <c r="AA14" s="564"/>
      <c r="AB14" s="564"/>
      <c r="AC14" s="564"/>
      <c r="AD14" s="564"/>
      <c r="AE14" s="564"/>
      <c r="AF14" s="564"/>
      <c r="AG14" s="564"/>
      <c r="AH14" s="564"/>
      <c r="AI14" s="564"/>
      <c r="AJ14" s="564"/>
      <c r="AK14" s="564"/>
      <c r="AL14" s="564"/>
      <c r="AM14" s="564"/>
      <c r="AN14" s="564"/>
      <c r="AO14" s="564"/>
      <c r="AP14" s="564"/>
      <c r="AQ14" s="564"/>
      <c r="AR14" s="564"/>
      <c r="AS14" s="564"/>
      <c r="AT14" s="564"/>
      <c r="AU14" s="564"/>
      <c r="AV14" s="564"/>
      <c r="AW14" s="564"/>
      <c r="AX14" s="564"/>
      <c r="AY14" s="564"/>
    </row>
    <row r="15" spans="1:51" s="568" customFormat="1" ht="29.25" customHeight="1" x14ac:dyDescent="0.25">
      <c r="A15" s="1116" t="s">
        <v>700</v>
      </c>
      <c r="B15" s="1178" t="s">
        <v>701</v>
      </c>
      <c r="C15" s="1118" t="s">
        <v>739</v>
      </c>
      <c r="D15" s="564"/>
      <c r="E15" s="565" t="s">
        <v>115</v>
      </c>
      <c r="F15" s="565"/>
      <c r="G15" s="567"/>
      <c r="H15" s="567"/>
      <c r="I15" s="567"/>
      <c r="J15" s="567"/>
      <c r="K15" s="564"/>
      <c r="L15" s="564"/>
      <c r="M15" s="564"/>
      <c r="N15" s="564"/>
      <c r="O15" s="564"/>
      <c r="P15" s="564"/>
      <c r="Q15" s="564"/>
      <c r="R15" s="564"/>
      <c r="S15" s="564"/>
      <c r="T15" s="564"/>
      <c r="U15" s="564"/>
      <c r="V15" s="564"/>
      <c r="W15" s="564"/>
      <c r="X15" s="564"/>
      <c r="Y15" s="564"/>
      <c r="Z15" s="564"/>
      <c r="AA15" s="564"/>
      <c r="AB15" s="564"/>
      <c r="AC15" s="564"/>
      <c r="AD15" s="564"/>
      <c r="AE15" s="564"/>
      <c r="AF15" s="564"/>
      <c r="AG15" s="564"/>
      <c r="AH15" s="564"/>
      <c r="AI15" s="564"/>
      <c r="AJ15" s="564"/>
      <c r="AK15" s="564"/>
      <c r="AL15" s="564"/>
      <c r="AM15" s="564"/>
      <c r="AN15" s="564"/>
      <c r="AO15" s="564"/>
      <c r="AP15" s="564"/>
      <c r="AQ15" s="564"/>
      <c r="AR15" s="564"/>
      <c r="AS15" s="564"/>
      <c r="AT15" s="564"/>
      <c r="AU15" s="564"/>
      <c r="AV15" s="564"/>
      <c r="AW15" s="564"/>
      <c r="AX15" s="564"/>
      <c r="AY15" s="564"/>
    </row>
    <row r="16" spans="1:51" s="568" customFormat="1" ht="29.25" customHeight="1" x14ac:dyDescent="0.25">
      <c r="A16" s="1116" t="s">
        <v>702</v>
      </c>
      <c r="B16" s="1178" t="s">
        <v>703</v>
      </c>
      <c r="C16" s="1118" t="s">
        <v>741</v>
      </c>
      <c r="D16" s="564"/>
      <c r="E16" s="565" t="s">
        <v>116</v>
      </c>
      <c r="F16" s="570"/>
      <c r="G16" s="570"/>
      <c r="H16" s="571"/>
      <c r="I16" s="571"/>
      <c r="J16" s="572"/>
      <c r="K16" s="564"/>
      <c r="L16" s="564"/>
      <c r="M16" s="564"/>
      <c r="N16" s="564"/>
      <c r="O16" s="564"/>
      <c r="P16" s="564"/>
      <c r="Q16" s="564"/>
      <c r="R16" s="564"/>
      <c r="S16" s="564"/>
      <c r="T16" s="564"/>
      <c r="U16" s="564"/>
      <c r="V16" s="564"/>
      <c r="W16" s="564"/>
      <c r="X16" s="564"/>
      <c r="Y16" s="564"/>
      <c r="Z16" s="564"/>
      <c r="AA16" s="564"/>
      <c r="AB16" s="564"/>
      <c r="AC16" s="564"/>
      <c r="AD16" s="564"/>
      <c r="AE16" s="564"/>
      <c r="AF16" s="564"/>
      <c r="AG16" s="564"/>
      <c r="AH16" s="564"/>
      <c r="AI16" s="564"/>
      <c r="AJ16" s="564"/>
      <c r="AK16" s="564"/>
      <c r="AL16" s="564"/>
      <c r="AM16" s="564"/>
      <c r="AN16" s="564"/>
      <c r="AO16" s="564"/>
      <c r="AP16" s="564"/>
      <c r="AQ16" s="564"/>
      <c r="AR16" s="564"/>
      <c r="AS16" s="564"/>
      <c r="AT16" s="564"/>
      <c r="AU16" s="564"/>
      <c r="AV16" s="564"/>
      <c r="AW16" s="564"/>
      <c r="AX16" s="564"/>
      <c r="AY16" s="564"/>
    </row>
    <row r="17" spans="1:51" s="568" customFormat="1" ht="29.25" customHeight="1" x14ac:dyDescent="0.25">
      <c r="A17" s="1116" t="s">
        <v>704</v>
      </c>
      <c r="B17" s="1178" t="s">
        <v>705</v>
      </c>
      <c r="C17" s="1118" t="s">
        <v>706</v>
      </c>
      <c r="D17" s="564"/>
      <c r="E17" s="565" t="s">
        <v>127</v>
      </c>
      <c r="F17" s="570"/>
      <c r="G17" s="570"/>
      <c r="H17" s="571"/>
      <c r="I17" s="571"/>
      <c r="J17" s="572"/>
      <c r="K17" s="564"/>
      <c r="L17" s="564"/>
      <c r="M17" s="564"/>
      <c r="N17" s="564"/>
      <c r="O17" s="564"/>
      <c r="P17" s="564"/>
      <c r="Q17" s="564"/>
      <c r="R17" s="564"/>
      <c r="S17" s="564"/>
      <c r="T17" s="564"/>
      <c r="U17" s="564"/>
      <c r="V17" s="564"/>
      <c r="W17" s="564"/>
      <c r="X17" s="564"/>
      <c r="Y17" s="564"/>
      <c r="Z17" s="564"/>
      <c r="AA17" s="564"/>
      <c r="AB17" s="564"/>
      <c r="AC17" s="564"/>
      <c r="AD17" s="564"/>
      <c r="AE17" s="564"/>
      <c r="AF17" s="564"/>
      <c r="AG17" s="564"/>
      <c r="AH17" s="564"/>
      <c r="AI17" s="564"/>
      <c r="AJ17" s="564"/>
      <c r="AK17" s="564"/>
      <c r="AL17" s="564"/>
      <c r="AM17" s="564"/>
      <c r="AN17" s="564"/>
      <c r="AO17" s="564"/>
      <c r="AP17" s="564"/>
      <c r="AQ17" s="564"/>
      <c r="AR17" s="564"/>
      <c r="AS17" s="564"/>
      <c r="AT17" s="564"/>
      <c r="AU17" s="564"/>
      <c r="AV17" s="564"/>
      <c r="AW17" s="564"/>
      <c r="AX17" s="564"/>
      <c r="AY17" s="564"/>
    </row>
    <row r="18" spans="1:51" s="568" customFormat="1" ht="29.25" customHeight="1" x14ac:dyDescent="0.25">
      <c r="A18" s="1116" t="s">
        <v>707</v>
      </c>
      <c r="B18" s="1178" t="s">
        <v>708</v>
      </c>
      <c r="C18" s="1118" t="s">
        <v>709</v>
      </c>
      <c r="D18" s="564"/>
      <c r="E18" s="565" t="s">
        <v>265</v>
      </c>
      <c r="F18" s="567"/>
      <c r="G18" s="567"/>
      <c r="H18" s="571"/>
      <c r="I18" s="571"/>
      <c r="J18" s="572"/>
      <c r="K18" s="564"/>
      <c r="L18" s="564"/>
      <c r="M18" s="564"/>
      <c r="N18" s="564"/>
      <c r="O18" s="564"/>
      <c r="P18" s="564"/>
      <c r="Q18" s="564"/>
      <c r="R18" s="564"/>
      <c r="S18" s="564"/>
      <c r="T18" s="564"/>
      <c r="U18" s="564"/>
      <c r="V18" s="564"/>
      <c r="W18" s="564"/>
      <c r="X18" s="564"/>
      <c r="Y18" s="564"/>
      <c r="Z18" s="564"/>
      <c r="AA18" s="564"/>
      <c r="AB18" s="564"/>
      <c r="AC18" s="564"/>
      <c r="AD18" s="564"/>
      <c r="AE18" s="564"/>
      <c r="AF18" s="564"/>
      <c r="AG18" s="564"/>
      <c r="AH18" s="564"/>
      <c r="AI18" s="564"/>
      <c r="AJ18" s="564"/>
      <c r="AK18" s="564"/>
      <c r="AL18" s="564"/>
      <c r="AM18" s="564"/>
      <c r="AN18" s="564"/>
      <c r="AO18" s="564"/>
      <c r="AP18" s="564"/>
      <c r="AQ18" s="564"/>
      <c r="AR18" s="564"/>
      <c r="AS18" s="564"/>
      <c r="AT18" s="564"/>
      <c r="AU18" s="564"/>
      <c r="AV18" s="564"/>
      <c r="AW18" s="564"/>
      <c r="AX18" s="564"/>
      <c r="AY18" s="564"/>
    </row>
    <row r="19" spans="1:51" s="568" customFormat="1" ht="29.25" customHeight="1" x14ac:dyDescent="0.25">
      <c r="A19" s="1116" t="s">
        <v>710</v>
      </c>
      <c r="B19" s="1178" t="s">
        <v>711</v>
      </c>
      <c r="C19" s="1118" t="s">
        <v>740</v>
      </c>
      <c r="D19" s="564"/>
      <c r="E19" s="565" t="s">
        <v>128</v>
      </c>
      <c r="F19" s="567"/>
      <c r="G19" s="567"/>
      <c r="H19" s="567"/>
      <c r="I19" s="567"/>
      <c r="J19" s="572"/>
      <c r="K19" s="564"/>
      <c r="L19" s="564"/>
      <c r="M19" s="564"/>
      <c r="N19" s="564"/>
      <c r="O19" s="564"/>
      <c r="P19" s="564"/>
      <c r="Q19" s="564"/>
      <c r="R19" s="564"/>
      <c r="S19" s="564"/>
      <c r="T19" s="564"/>
      <c r="U19" s="564"/>
      <c r="V19" s="564"/>
      <c r="W19" s="564"/>
      <c r="X19" s="564"/>
      <c r="Y19" s="564"/>
      <c r="Z19" s="564"/>
      <c r="AA19" s="564"/>
      <c r="AB19" s="564"/>
      <c r="AC19" s="564"/>
      <c r="AD19" s="564"/>
      <c r="AE19" s="564"/>
      <c r="AF19" s="564"/>
      <c r="AG19" s="564"/>
      <c r="AH19" s="564"/>
      <c r="AI19" s="564"/>
      <c r="AJ19" s="564"/>
      <c r="AK19" s="564"/>
      <c r="AL19" s="564"/>
      <c r="AM19" s="564"/>
      <c r="AN19" s="564"/>
      <c r="AO19" s="564"/>
      <c r="AP19" s="564"/>
      <c r="AQ19" s="564"/>
      <c r="AR19" s="564"/>
      <c r="AS19" s="564"/>
      <c r="AT19" s="564"/>
      <c r="AU19" s="564"/>
      <c r="AV19" s="564"/>
      <c r="AW19" s="564"/>
      <c r="AX19" s="564"/>
      <c r="AY19" s="564"/>
    </row>
    <row r="20" spans="1:51" s="568" customFormat="1" ht="29.25" customHeight="1" x14ac:dyDescent="0.25">
      <c r="A20" s="1116" t="s">
        <v>712</v>
      </c>
      <c r="B20" s="1178" t="s">
        <v>713</v>
      </c>
      <c r="C20" s="1118" t="s">
        <v>609</v>
      </c>
      <c r="D20" s="564"/>
      <c r="E20" s="565" t="s">
        <v>275</v>
      </c>
      <c r="F20" s="570"/>
      <c r="G20" s="570"/>
      <c r="H20" s="570"/>
      <c r="I20" s="570"/>
      <c r="J20" s="572"/>
      <c r="K20" s="564"/>
      <c r="L20" s="564"/>
      <c r="M20" s="564"/>
      <c r="N20" s="564"/>
      <c r="O20" s="564"/>
      <c r="P20" s="564"/>
      <c r="Q20" s="564"/>
      <c r="R20" s="564"/>
      <c r="S20" s="564"/>
      <c r="T20" s="564"/>
      <c r="U20" s="564"/>
      <c r="V20" s="564"/>
      <c r="W20" s="564"/>
      <c r="X20" s="564"/>
      <c r="Y20" s="564"/>
      <c r="Z20" s="564"/>
      <c r="AA20" s="564"/>
      <c r="AB20" s="564"/>
      <c r="AC20" s="564"/>
      <c r="AD20" s="564"/>
      <c r="AE20" s="564"/>
      <c r="AF20" s="564"/>
      <c r="AG20" s="564"/>
      <c r="AH20" s="564"/>
      <c r="AI20" s="564"/>
      <c r="AJ20" s="564"/>
      <c r="AK20" s="564"/>
      <c r="AL20" s="564"/>
      <c r="AM20" s="564"/>
      <c r="AN20" s="564"/>
      <c r="AO20" s="564"/>
      <c r="AP20" s="564"/>
      <c r="AQ20" s="564"/>
      <c r="AR20" s="564"/>
      <c r="AS20" s="564"/>
      <c r="AT20" s="564"/>
      <c r="AU20" s="564"/>
      <c r="AV20" s="564"/>
      <c r="AW20" s="564"/>
      <c r="AX20" s="564"/>
      <c r="AY20" s="564"/>
    </row>
    <row r="21" spans="1:51" s="568" customFormat="1" ht="29.25" customHeight="1" x14ac:dyDescent="0.25">
      <c r="A21" s="1116" t="s">
        <v>714</v>
      </c>
      <c r="B21" s="1178" t="s">
        <v>715</v>
      </c>
      <c r="C21" s="1118" t="s">
        <v>716</v>
      </c>
      <c r="D21" s="564"/>
      <c r="E21" s="565" t="s">
        <v>129</v>
      </c>
      <c r="F21" s="567"/>
      <c r="G21" s="567"/>
      <c r="H21" s="567"/>
      <c r="I21" s="567"/>
      <c r="J21" s="572"/>
      <c r="K21" s="564"/>
      <c r="L21" s="564"/>
      <c r="M21" s="564"/>
      <c r="N21" s="564"/>
      <c r="O21" s="564"/>
      <c r="P21" s="564"/>
      <c r="Q21" s="564"/>
      <c r="R21" s="564"/>
      <c r="S21" s="564"/>
      <c r="T21" s="564"/>
      <c r="U21" s="564"/>
      <c r="V21" s="564"/>
      <c r="W21" s="564"/>
      <c r="X21" s="564"/>
      <c r="Y21" s="564"/>
      <c r="Z21" s="564"/>
      <c r="AA21" s="564"/>
      <c r="AB21" s="564"/>
      <c r="AC21" s="564"/>
      <c r="AD21" s="564"/>
      <c r="AE21" s="564"/>
      <c r="AF21" s="564"/>
      <c r="AG21" s="564"/>
      <c r="AH21" s="564"/>
      <c r="AI21" s="564"/>
      <c r="AJ21" s="564"/>
      <c r="AK21" s="564"/>
      <c r="AL21" s="564"/>
      <c r="AM21" s="564"/>
      <c r="AN21" s="564"/>
      <c r="AO21" s="564"/>
      <c r="AP21" s="564"/>
      <c r="AQ21" s="564"/>
      <c r="AR21" s="564"/>
      <c r="AS21" s="564"/>
      <c r="AT21" s="564"/>
      <c r="AU21" s="564"/>
      <c r="AV21" s="564"/>
      <c r="AW21" s="564"/>
      <c r="AX21" s="564"/>
      <c r="AY21" s="564"/>
    </row>
    <row r="22" spans="1:51" s="568" customFormat="1" ht="29.25" customHeight="1" x14ac:dyDescent="0.25">
      <c r="A22" s="1116" t="s">
        <v>717</v>
      </c>
      <c r="B22" s="1178" t="s">
        <v>718</v>
      </c>
      <c r="C22" s="1118" t="s">
        <v>719</v>
      </c>
      <c r="D22" s="564"/>
      <c r="E22" s="565" t="s">
        <v>117</v>
      </c>
      <c r="F22" s="565"/>
      <c r="G22" s="573"/>
      <c r="H22" s="574"/>
      <c r="I22" s="574"/>
      <c r="J22" s="572"/>
      <c r="K22" s="564"/>
      <c r="L22" s="564"/>
      <c r="M22" s="564"/>
      <c r="N22" s="564"/>
      <c r="O22" s="564"/>
      <c r="P22" s="564"/>
      <c r="Q22" s="564"/>
      <c r="R22" s="564"/>
      <c r="S22" s="564"/>
      <c r="T22" s="564"/>
      <c r="U22" s="564"/>
      <c r="V22" s="564"/>
      <c r="W22" s="564"/>
      <c r="X22" s="564"/>
      <c r="Y22" s="564"/>
      <c r="Z22" s="564"/>
      <c r="AA22" s="564"/>
      <c r="AB22" s="564"/>
      <c r="AC22" s="564"/>
      <c r="AD22" s="564"/>
      <c r="AE22" s="564"/>
      <c r="AF22" s="564"/>
      <c r="AG22" s="564"/>
      <c r="AH22" s="564"/>
      <c r="AI22" s="564"/>
      <c r="AJ22" s="564"/>
      <c r="AK22" s="564"/>
      <c r="AL22" s="564"/>
      <c r="AM22" s="564"/>
      <c r="AN22" s="564"/>
      <c r="AO22" s="564"/>
      <c r="AP22" s="564"/>
      <c r="AQ22" s="564"/>
      <c r="AR22" s="564"/>
      <c r="AS22" s="564"/>
      <c r="AT22" s="564"/>
      <c r="AU22" s="564"/>
      <c r="AV22" s="564"/>
      <c r="AW22" s="564"/>
      <c r="AX22" s="564"/>
      <c r="AY22" s="564"/>
    </row>
    <row r="23" spans="1:51" s="568" customFormat="1" ht="29.25" customHeight="1" x14ac:dyDescent="0.25">
      <c r="A23" s="1116" t="s">
        <v>720</v>
      </c>
      <c r="B23" s="1178" t="s">
        <v>721</v>
      </c>
      <c r="C23" s="1118" t="s">
        <v>722</v>
      </c>
      <c r="D23" s="564"/>
      <c r="E23" s="565" t="s">
        <v>130</v>
      </c>
      <c r="F23" s="565"/>
      <c r="G23" s="575"/>
      <c r="H23" s="575"/>
      <c r="I23" s="575"/>
      <c r="J23" s="572"/>
      <c r="K23" s="564"/>
      <c r="L23" s="564"/>
      <c r="M23" s="564"/>
      <c r="N23" s="564"/>
      <c r="O23" s="564"/>
      <c r="P23" s="564"/>
      <c r="Q23" s="564"/>
      <c r="R23" s="564"/>
      <c r="S23" s="564"/>
      <c r="T23" s="564"/>
      <c r="U23" s="564"/>
      <c r="V23" s="564"/>
      <c r="W23" s="564"/>
      <c r="X23" s="564"/>
      <c r="Y23" s="564"/>
      <c r="Z23" s="564"/>
      <c r="AA23" s="564"/>
      <c r="AB23" s="564"/>
      <c r="AC23" s="564"/>
      <c r="AD23" s="564"/>
      <c r="AE23" s="564"/>
      <c r="AF23" s="564"/>
      <c r="AG23" s="564"/>
      <c r="AH23" s="564"/>
      <c r="AI23" s="564"/>
      <c r="AJ23" s="564"/>
      <c r="AK23" s="564"/>
      <c r="AL23" s="564"/>
      <c r="AM23" s="564"/>
      <c r="AN23" s="564"/>
      <c r="AO23" s="564"/>
      <c r="AP23" s="564"/>
      <c r="AQ23" s="564"/>
      <c r="AR23" s="564"/>
      <c r="AS23" s="564"/>
      <c r="AT23" s="564"/>
      <c r="AU23" s="564"/>
      <c r="AV23" s="564"/>
      <c r="AW23" s="564"/>
      <c r="AX23" s="564"/>
      <c r="AY23" s="564"/>
    </row>
    <row r="24" spans="1:51" s="577" customFormat="1" ht="29.25" customHeight="1" x14ac:dyDescent="0.25">
      <c r="A24" s="1116" t="s">
        <v>723</v>
      </c>
      <c r="B24" s="1178" t="s">
        <v>17</v>
      </c>
      <c r="C24" s="1177" t="s">
        <v>724</v>
      </c>
      <c r="D24" s="576"/>
      <c r="E24" s="565" t="s">
        <v>118</v>
      </c>
      <c r="F24" s="565"/>
      <c r="G24" s="566"/>
      <c r="H24" s="566"/>
      <c r="I24" s="566"/>
      <c r="J24" s="572"/>
      <c r="K24" s="576"/>
      <c r="L24" s="576"/>
      <c r="M24" s="576"/>
      <c r="N24" s="576"/>
      <c r="O24" s="576"/>
      <c r="P24" s="576"/>
      <c r="Q24" s="576"/>
      <c r="R24" s="576"/>
      <c r="S24" s="576"/>
      <c r="T24" s="576"/>
      <c r="U24" s="576"/>
      <c r="V24" s="576"/>
      <c r="W24" s="576"/>
      <c r="X24" s="576"/>
      <c r="Y24" s="576"/>
      <c r="Z24" s="576"/>
      <c r="AA24" s="576"/>
      <c r="AB24" s="576"/>
      <c r="AC24" s="576"/>
      <c r="AD24" s="576"/>
      <c r="AE24" s="576"/>
      <c r="AF24" s="576"/>
      <c r="AG24" s="576"/>
      <c r="AH24" s="576"/>
      <c r="AI24" s="576"/>
      <c r="AJ24" s="576"/>
      <c r="AK24" s="576"/>
      <c r="AL24" s="576"/>
      <c r="AM24" s="576"/>
      <c r="AN24" s="576"/>
      <c r="AO24" s="576"/>
      <c r="AP24" s="576"/>
      <c r="AQ24" s="576"/>
      <c r="AR24" s="576"/>
      <c r="AS24" s="576"/>
      <c r="AT24" s="576"/>
      <c r="AU24" s="576"/>
      <c r="AV24" s="576"/>
      <c r="AW24" s="576"/>
      <c r="AX24" s="576"/>
      <c r="AY24" s="576"/>
    </row>
    <row r="25" spans="1:51" s="577" customFormat="1" ht="29.25" customHeight="1" x14ac:dyDescent="0.25">
      <c r="A25" s="1116" t="s">
        <v>725</v>
      </c>
      <c r="B25" s="1178" t="s">
        <v>726</v>
      </c>
      <c r="C25" s="1177" t="s">
        <v>727</v>
      </c>
      <c r="D25" s="576"/>
      <c r="E25" s="565" t="s">
        <v>131</v>
      </c>
      <c r="F25" s="565"/>
      <c r="G25" s="569"/>
      <c r="H25" s="569"/>
      <c r="I25" s="569"/>
      <c r="J25" s="572"/>
      <c r="K25" s="576"/>
      <c r="L25" s="576"/>
      <c r="M25" s="576"/>
      <c r="N25" s="576"/>
      <c r="O25" s="576"/>
      <c r="P25" s="576"/>
      <c r="Q25" s="576"/>
      <c r="R25" s="576"/>
      <c r="S25" s="576"/>
      <c r="T25" s="576"/>
      <c r="U25" s="576"/>
      <c r="V25" s="576"/>
      <c r="W25" s="576"/>
      <c r="X25" s="576"/>
      <c r="Y25" s="576"/>
      <c r="Z25" s="576"/>
      <c r="AA25" s="576"/>
      <c r="AB25" s="576"/>
      <c r="AC25" s="576"/>
      <c r="AD25" s="576"/>
      <c r="AE25" s="576"/>
      <c r="AF25" s="576"/>
      <c r="AG25" s="576"/>
      <c r="AH25" s="576"/>
      <c r="AI25" s="576"/>
      <c r="AJ25" s="576"/>
      <c r="AK25" s="576"/>
      <c r="AL25" s="576"/>
      <c r="AM25" s="576"/>
      <c r="AN25" s="576"/>
      <c r="AO25" s="576"/>
      <c r="AP25" s="576"/>
      <c r="AQ25" s="576"/>
      <c r="AR25" s="576"/>
      <c r="AS25" s="576"/>
      <c r="AT25" s="576"/>
      <c r="AU25" s="576"/>
      <c r="AV25" s="576"/>
      <c r="AW25" s="576"/>
      <c r="AX25" s="576"/>
      <c r="AY25" s="576"/>
    </row>
    <row r="26" spans="1:51" s="577" customFormat="1" ht="29.25" customHeight="1" x14ac:dyDescent="0.25">
      <c r="A26" s="1116" t="s">
        <v>728</v>
      </c>
      <c r="B26" s="1178" t="s">
        <v>729</v>
      </c>
      <c r="C26" s="1177" t="s">
        <v>730</v>
      </c>
      <c r="D26" s="576"/>
      <c r="E26" s="565" t="s">
        <v>132</v>
      </c>
      <c r="F26" s="565"/>
      <c r="G26" s="569"/>
      <c r="H26" s="569"/>
      <c r="I26" s="569"/>
      <c r="J26" s="572"/>
      <c r="K26" s="576"/>
      <c r="L26" s="576"/>
      <c r="M26" s="576"/>
      <c r="N26" s="576"/>
      <c r="O26" s="576"/>
      <c r="P26" s="576"/>
      <c r="Q26" s="576"/>
      <c r="R26" s="576"/>
      <c r="S26" s="576"/>
      <c r="T26" s="576"/>
      <c r="U26" s="576"/>
      <c r="V26" s="576"/>
      <c r="W26" s="576"/>
      <c r="X26" s="576"/>
      <c r="Y26" s="576"/>
      <c r="Z26" s="576"/>
      <c r="AA26" s="576"/>
      <c r="AB26" s="576"/>
      <c r="AC26" s="576"/>
      <c r="AD26" s="576"/>
      <c r="AE26" s="576"/>
      <c r="AF26" s="576"/>
      <c r="AG26" s="576"/>
      <c r="AH26" s="576"/>
      <c r="AI26" s="576"/>
      <c r="AJ26" s="576"/>
      <c r="AK26" s="576"/>
      <c r="AL26" s="576"/>
      <c r="AM26" s="576"/>
      <c r="AN26" s="576"/>
      <c r="AO26" s="576"/>
      <c r="AP26" s="576"/>
      <c r="AQ26" s="576"/>
      <c r="AR26" s="576"/>
      <c r="AS26" s="576"/>
      <c r="AT26" s="576"/>
      <c r="AU26" s="576"/>
      <c r="AV26" s="576"/>
      <c r="AW26" s="576"/>
      <c r="AX26" s="576"/>
      <c r="AY26" s="576"/>
    </row>
    <row r="27" spans="1:51" s="577" customFormat="1" ht="29.25" customHeight="1" x14ac:dyDescent="0.25">
      <c r="A27" s="1116" t="s">
        <v>731</v>
      </c>
      <c r="B27" s="1178" t="s">
        <v>732</v>
      </c>
      <c r="C27" s="1177" t="s">
        <v>733</v>
      </c>
      <c r="D27" s="576"/>
      <c r="E27" s="565" t="s">
        <v>133</v>
      </c>
      <c r="F27" s="565"/>
      <c r="G27" s="569"/>
      <c r="H27" s="569"/>
      <c r="I27" s="569"/>
      <c r="J27" s="572"/>
      <c r="K27" s="576"/>
      <c r="L27" s="576"/>
      <c r="M27" s="576"/>
      <c r="N27" s="576"/>
      <c r="O27" s="576"/>
      <c r="P27" s="576"/>
      <c r="Q27" s="576"/>
      <c r="R27" s="576"/>
      <c r="S27" s="576"/>
      <c r="T27" s="576"/>
      <c r="U27" s="576"/>
      <c r="V27" s="576"/>
      <c r="W27" s="576"/>
      <c r="X27" s="576"/>
      <c r="Y27" s="576"/>
      <c r="Z27" s="576"/>
      <c r="AA27" s="576"/>
      <c r="AB27" s="576"/>
      <c r="AC27" s="576"/>
      <c r="AD27" s="576"/>
      <c r="AE27" s="576"/>
      <c r="AF27" s="576"/>
      <c r="AG27" s="576"/>
      <c r="AH27" s="576"/>
      <c r="AI27" s="576"/>
      <c r="AJ27" s="576"/>
      <c r="AK27" s="576"/>
      <c r="AL27" s="576"/>
      <c r="AM27" s="576"/>
      <c r="AN27" s="576"/>
      <c r="AO27" s="576"/>
      <c r="AP27" s="576"/>
      <c r="AQ27" s="576"/>
      <c r="AR27" s="576"/>
      <c r="AS27" s="576"/>
      <c r="AT27" s="576"/>
      <c r="AU27" s="576"/>
      <c r="AV27" s="576"/>
      <c r="AW27" s="576"/>
      <c r="AX27" s="576"/>
      <c r="AY27" s="576"/>
    </row>
    <row r="28" spans="1:51" s="577" customFormat="1" ht="29.25" customHeight="1" x14ac:dyDescent="0.25">
      <c r="A28" s="1116" t="s">
        <v>734</v>
      </c>
      <c r="B28" s="1117" t="s">
        <v>735</v>
      </c>
      <c r="C28" s="1177" t="s">
        <v>610</v>
      </c>
      <c r="D28" s="576"/>
      <c r="E28" s="565" t="s">
        <v>119</v>
      </c>
      <c r="F28" s="565"/>
      <c r="G28" s="569"/>
      <c r="H28" s="569"/>
      <c r="I28" s="569"/>
      <c r="J28" s="571"/>
      <c r="K28" s="576"/>
      <c r="L28" s="576"/>
      <c r="M28" s="576"/>
      <c r="N28" s="576"/>
      <c r="O28" s="576"/>
      <c r="P28" s="576"/>
      <c r="Q28" s="576"/>
      <c r="R28" s="576"/>
      <c r="S28" s="576"/>
      <c r="T28" s="576"/>
      <c r="U28" s="576"/>
      <c r="V28" s="576"/>
      <c r="W28" s="576"/>
      <c r="X28" s="576"/>
      <c r="Y28" s="576"/>
      <c r="Z28" s="576"/>
      <c r="AA28" s="576"/>
      <c r="AB28" s="576"/>
      <c r="AC28" s="576"/>
      <c r="AD28" s="576"/>
      <c r="AE28" s="576"/>
      <c r="AF28" s="576"/>
      <c r="AG28" s="576"/>
      <c r="AH28" s="576"/>
      <c r="AI28" s="576"/>
      <c r="AJ28" s="576"/>
      <c r="AK28" s="576"/>
      <c r="AL28" s="576"/>
      <c r="AM28" s="576"/>
      <c r="AN28" s="576"/>
      <c r="AO28" s="576"/>
      <c r="AP28" s="576"/>
      <c r="AQ28" s="576"/>
      <c r="AR28" s="576"/>
      <c r="AS28" s="576"/>
      <c r="AT28" s="576"/>
      <c r="AU28" s="576"/>
      <c r="AV28" s="576"/>
      <c r="AW28" s="576"/>
      <c r="AX28" s="576"/>
      <c r="AY28" s="576"/>
    </row>
    <row r="29" spans="1:51" s="577" customFormat="1" ht="29.25" customHeight="1" x14ac:dyDescent="0.25">
      <c r="A29" s="1119"/>
      <c r="B29" s="1120"/>
      <c r="C29" s="1121"/>
      <c r="D29" s="576"/>
      <c r="E29" s="565" t="s">
        <v>120</v>
      </c>
      <c r="F29" s="565"/>
      <c r="G29" s="569"/>
      <c r="H29" s="569"/>
      <c r="I29" s="569"/>
      <c r="J29" s="567"/>
      <c r="K29" s="576"/>
      <c r="L29" s="576"/>
      <c r="M29" s="576"/>
      <c r="N29" s="576"/>
      <c r="O29" s="576"/>
      <c r="P29" s="576"/>
      <c r="Q29" s="576"/>
      <c r="R29" s="576"/>
      <c r="S29" s="576"/>
      <c r="T29" s="576"/>
      <c r="U29" s="576"/>
      <c r="V29" s="576"/>
      <c r="W29" s="576"/>
      <c r="X29" s="576"/>
      <c r="Y29" s="576"/>
      <c r="Z29" s="576"/>
      <c r="AA29" s="576"/>
      <c r="AB29" s="576"/>
      <c r="AC29" s="576"/>
      <c r="AD29" s="576"/>
      <c r="AE29" s="576"/>
      <c r="AF29" s="576"/>
      <c r="AG29" s="576"/>
      <c r="AH29" s="576"/>
      <c r="AI29" s="576"/>
      <c r="AJ29" s="576"/>
      <c r="AK29" s="576"/>
      <c r="AL29" s="576"/>
      <c r="AM29" s="576"/>
      <c r="AN29" s="576"/>
      <c r="AO29" s="576"/>
      <c r="AP29" s="576"/>
      <c r="AQ29" s="576"/>
      <c r="AR29" s="576"/>
      <c r="AS29" s="576"/>
      <c r="AT29" s="576"/>
      <c r="AU29" s="576"/>
      <c r="AV29" s="576"/>
      <c r="AW29" s="576"/>
      <c r="AX29" s="576"/>
      <c r="AY29" s="576"/>
    </row>
    <row r="30" spans="1:51" s="577" customFormat="1" ht="29.25" customHeight="1" x14ac:dyDescent="0.25">
      <c r="A30" s="1119"/>
      <c r="B30" s="1120"/>
      <c r="C30" s="1121"/>
      <c r="D30" s="576"/>
      <c r="E30" s="565" t="s">
        <v>134</v>
      </c>
      <c r="F30" s="565"/>
      <c r="G30" s="569"/>
      <c r="H30" s="569"/>
      <c r="I30" s="569"/>
      <c r="J30" s="572"/>
      <c r="K30" s="576"/>
      <c r="L30" s="576"/>
      <c r="M30" s="576"/>
      <c r="N30" s="576"/>
      <c r="O30" s="576"/>
      <c r="P30" s="576"/>
      <c r="Q30" s="576"/>
      <c r="R30" s="576"/>
      <c r="S30" s="576"/>
      <c r="T30" s="576"/>
      <c r="U30" s="576"/>
      <c r="V30" s="576"/>
      <c r="W30" s="576"/>
      <c r="X30" s="576"/>
      <c r="Y30" s="576"/>
      <c r="Z30" s="576"/>
      <c r="AA30" s="576"/>
      <c r="AB30" s="576"/>
      <c r="AC30" s="576"/>
      <c r="AD30" s="576"/>
      <c r="AE30" s="576"/>
      <c r="AF30" s="576"/>
      <c r="AG30" s="576"/>
      <c r="AH30" s="576"/>
      <c r="AI30" s="576"/>
      <c r="AJ30" s="576"/>
      <c r="AK30" s="576"/>
      <c r="AL30" s="576"/>
      <c r="AM30" s="576"/>
      <c r="AN30" s="576"/>
      <c r="AO30" s="576"/>
      <c r="AP30" s="576"/>
      <c r="AQ30" s="576"/>
      <c r="AR30" s="576"/>
      <c r="AS30" s="576"/>
      <c r="AT30" s="576"/>
      <c r="AU30" s="576"/>
      <c r="AV30" s="576"/>
      <c r="AW30" s="576"/>
      <c r="AX30" s="576"/>
      <c r="AY30" s="576"/>
    </row>
    <row r="31" spans="1:51" s="577" customFormat="1" ht="29.25" customHeight="1" x14ac:dyDescent="0.25">
      <c r="A31" s="1119"/>
      <c r="B31" s="1120"/>
      <c r="C31" s="1121"/>
      <c r="D31" s="576"/>
      <c r="E31" s="565" t="s">
        <v>274</v>
      </c>
      <c r="F31" s="565"/>
      <c r="G31" s="569"/>
      <c r="H31" s="569"/>
      <c r="I31" s="569"/>
      <c r="J31" s="578"/>
      <c r="K31" s="576"/>
      <c r="L31" s="576"/>
      <c r="M31" s="576"/>
      <c r="N31" s="576"/>
      <c r="O31" s="576"/>
      <c r="P31" s="576"/>
      <c r="Q31" s="576"/>
      <c r="R31" s="576"/>
      <c r="S31" s="576"/>
      <c r="T31" s="576"/>
      <c r="U31" s="576"/>
      <c r="V31" s="576"/>
      <c r="W31" s="576"/>
      <c r="X31" s="576"/>
      <c r="Y31" s="576"/>
      <c r="Z31" s="576"/>
      <c r="AA31" s="576"/>
      <c r="AB31" s="576"/>
      <c r="AC31" s="576"/>
      <c r="AD31" s="576"/>
      <c r="AE31" s="576"/>
      <c r="AF31" s="576"/>
      <c r="AG31" s="576"/>
      <c r="AH31" s="576"/>
      <c r="AI31" s="576"/>
      <c r="AJ31" s="576"/>
      <c r="AK31" s="576"/>
      <c r="AL31" s="576"/>
      <c r="AM31" s="576"/>
      <c r="AN31" s="576"/>
      <c r="AO31" s="576"/>
      <c r="AP31" s="576"/>
      <c r="AQ31" s="576"/>
      <c r="AR31" s="576"/>
      <c r="AS31" s="576"/>
      <c r="AT31" s="576"/>
      <c r="AU31" s="576"/>
      <c r="AV31" s="576"/>
      <c r="AW31" s="576"/>
      <c r="AX31" s="576"/>
      <c r="AY31" s="576"/>
    </row>
    <row r="32" spans="1:51" s="577" customFormat="1" ht="29.25" customHeight="1" x14ac:dyDescent="0.25">
      <c r="A32" s="1119"/>
      <c r="B32" s="1120"/>
      <c r="C32" s="1121"/>
      <c r="D32" s="576"/>
      <c r="E32" s="565" t="s">
        <v>136</v>
      </c>
      <c r="F32" s="565"/>
      <c r="G32" s="569"/>
      <c r="H32" s="569"/>
      <c r="I32" s="569"/>
      <c r="J32" s="578"/>
      <c r="K32" s="576"/>
      <c r="L32" s="576"/>
      <c r="M32" s="576"/>
      <c r="N32" s="576"/>
      <c r="O32" s="576"/>
      <c r="P32" s="576"/>
      <c r="Q32" s="576"/>
      <c r="R32" s="576"/>
      <c r="S32" s="576"/>
      <c r="T32" s="576"/>
      <c r="U32" s="576"/>
      <c r="V32" s="576"/>
      <c r="W32" s="576"/>
      <c r="X32" s="576"/>
      <c r="Y32" s="576"/>
      <c r="Z32" s="576"/>
      <c r="AA32" s="576"/>
      <c r="AB32" s="576"/>
      <c r="AC32" s="576"/>
      <c r="AD32" s="576"/>
      <c r="AE32" s="576"/>
      <c r="AF32" s="576"/>
      <c r="AG32" s="576"/>
      <c r="AH32" s="576"/>
      <c r="AI32" s="576"/>
      <c r="AJ32" s="576"/>
      <c r="AK32" s="576"/>
      <c r="AL32" s="576"/>
      <c r="AM32" s="576"/>
      <c r="AN32" s="576"/>
      <c r="AO32" s="576"/>
      <c r="AP32" s="576"/>
      <c r="AQ32" s="576"/>
      <c r="AR32" s="576"/>
      <c r="AS32" s="576"/>
      <c r="AT32" s="576"/>
      <c r="AU32" s="576"/>
      <c r="AV32" s="576"/>
      <c r="AW32" s="576"/>
      <c r="AX32" s="576"/>
      <c r="AY32" s="576"/>
    </row>
    <row r="33" spans="1:51" s="577" customFormat="1" ht="29.25" customHeight="1" x14ac:dyDescent="0.25">
      <c r="A33" s="1119"/>
      <c r="B33" s="1120"/>
      <c r="C33" s="1121"/>
      <c r="D33" s="576"/>
      <c r="E33" s="565" t="s">
        <v>137</v>
      </c>
      <c r="F33" s="565"/>
      <c r="G33" s="566"/>
      <c r="H33" s="565"/>
      <c r="I33" s="565"/>
      <c r="J33" s="572"/>
      <c r="K33" s="576"/>
      <c r="L33" s="576"/>
      <c r="M33" s="576"/>
      <c r="N33" s="576"/>
      <c r="O33" s="576"/>
      <c r="P33" s="576"/>
      <c r="Q33" s="576"/>
      <c r="R33" s="576"/>
      <c r="S33" s="576"/>
      <c r="T33" s="576"/>
      <c r="U33" s="576"/>
      <c r="V33" s="576"/>
      <c r="W33" s="576"/>
      <c r="X33" s="576"/>
      <c r="Y33" s="576"/>
      <c r="Z33" s="576"/>
      <c r="AA33" s="576"/>
      <c r="AB33" s="576"/>
      <c r="AC33" s="576"/>
      <c r="AD33" s="576"/>
      <c r="AE33" s="576"/>
      <c r="AF33" s="576"/>
      <c r="AG33" s="576"/>
      <c r="AH33" s="576"/>
      <c r="AI33" s="576"/>
      <c r="AJ33" s="576"/>
      <c r="AK33" s="576"/>
      <c r="AL33" s="576"/>
      <c r="AM33" s="576"/>
      <c r="AN33" s="576"/>
      <c r="AO33" s="576"/>
      <c r="AP33" s="576"/>
      <c r="AQ33" s="576"/>
      <c r="AR33" s="576"/>
      <c r="AS33" s="576"/>
      <c r="AT33" s="576"/>
      <c r="AU33" s="576"/>
      <c r="AV33" s="576"/>
      <c r="AW33" s="576"/>
      <c r="AX33" s="576"/>
      <c r="AY33" s="576"/>
    </row>
    <row r="34" spans="1:51" s="577" customFormat="1" ht="29.25" customHeight="1" x14ac:dyDescent="0.25">
      <c r="A34" s="1122"/>
      <c r="B34" s="1123"/>
      <c r="C34" s="1124"/>
      <c r="D34" s="576"/>
      <c r="E34" s="565" t="s">
        <v>138</v>
      </c>
      <c r="F34" s="565"/>
      <c r="G34" s="569"/>
      <c r="H34" s="565"/>
      <c r="I34" s="565"/>
      <c r="J34" s="572"/>
      <c r="K34" s="576"/>
      <c r="L34" s="576"/>
      <c r="M34" s="576"/>
      <c r="N34" s="576"/>
      <c r="O34" s="576"/>
      <c r="P34" s="576"/>
      <c r="Q34" s="576"/>
      <c r="R34" s="576"/>
      <c r="S34" s="576"/>
      <c r="T34" s="576"/>
      <c r="U34" s="576"/>
      <c r="V34" s="576"/>
      <c r="W34" s="576"/>
      <c r="X34" s="576"/>
      <c r="Y34" s="576"/>
      <c r="Z34" s="576"/>
      <c r="AA34" s="576"/>
      <c r="AB34" s="576"/>
      <c r="AC34" s="576"/>
      <c r="AD34" s="576"/>
      <c r="AE34" s="576"/>
      <c r="AF34" s="576"/>
      <c r="AG34" s="576"/>
      <c r="AH34" s="576"/>
      <c r="AI34" s="576"/>
      <c r="AJ34" s="576"/>
      <c r="AK34" s="576"/>
      <c r="AL34" s="576"/>
      <c r="AM34" s="576"/>
      <c r="AN34" s="576"/>
      <c r="AO34" s="576"/>
      <c r="AP34" s="576"/>
      <c r="AQ34" s="576"/>
      <c r="AR34" s="576"/>
      <c r="AS34" s="576"/>
      <c r="AT34" s="576"/>
      <c r="AU34" s="576"/>
      <c r="AV34" s="576"/>
      <c r="AW34" s="576"/>
      <c r="AX34" s="576"/>
      <c r="AY34" s="576"/>
    </row>
    <row r="35" spans="1:51" x14ac:dyDescent="0.25">
      <c r="A35" s="1558" t="s">
        <v>847</v>
      </c>
      <c r="B35" s="1559"/>
      <c r="C35" s="1560"/>
      <c r="E35" s="558" t="s">
        <v>139</v>
      </c>
      <c r="F35" s="558"/>
      <c r="G35" s="170"/>
      <c r="H35" s="558"/>
      <c r="I35" s="558"/>
      <c r="J35" s="72"/>
    </row>
    <row r="36" spans="1:51" ht="15.75" thickBot="1" x14ac:dyDescent="0.3">
      <c r="A36" s="1584"/>
      <c r="B36" s="1585"/>
      <c r="C36" s="1586"/>
      <c r="E36" s="558" t="s">
        <v>290</v>
      </c>
      <c r="F36" s="558"/>
      <c r="G36" s="560"/>
      <c r="H36" s="563"/>
      <c r="I36" s="563"/>
      <c r="J36" s="72"/>
    </row>
    <row r="37" spans="1:51" ht="15.75" thickTop="1" x14ac:dyDescent="0.25">
      <c r="A37" s="340"/>
      <c r="B37" s="340"/>
      <c r="C37" s="340"/>
      <c r="E37" s="558" t="s">
        <v>341</v>
      </c>
      <c r="F37" s="558"/>
      <c r="G37" s="560"/>
      <c r="H37" s="152"/>
      <c r="I37" s="152"/>
      <c r="J37" s="72"/>
    </row>
    <row r="38" spans="1:51" s="340" customFormat="1" x14ac:dyDescent="0.25">
      <c r="E38"/>
      <c r="F38"/>
      <c r="G38"/>
      <c r="H38"/>
      <c r="I38"/>
      <c r="J38"/>
    </row>
    <row r="39" spans="1:51" s="340" customFormat="1" x14ac:dyDescent="0.25">
      <c r="E39"/>
      <c r="F39"/>
      <c r="G39"/>
      <c r="H39"/>
      <c r="I39"/>
      <c r="J39"/>
    </row>
    <row r="40" spans="1:51" s="340" customFormat="1" x14ac:dyDescent="0.25">
      <c r="E40"/>
      <c r="F40"/>
      <c r="G40"/>
      <c r="H40"/>
      <c r="I40"/>
      <c r="J40"/>
    </row>
    <row r="41" spans="1:51" s="340" customFormat="1" x14ac:dyDescent="0.25">
      <c r="E41"/>
      <c r="F41"/>
      <c r="G41"/>
      <c r="H41"/>
      <c r="I41"/>
      <c r="J41"/>
    </row>
    <row r="42" spans="1:51" s="340" customFormat="1" x14ac:dyDescent="0.25">
      <c r="E42"/>
      <c r="F42"/>
      <c r="G42"/>
      <c r="H42"/>
      <c r="I42"/>
      <c r="J42"/>
    </row>
    <row r="43" spans="1:51" s="340" customFormat="1" x14ac:dyDescent="0.25">
      <c r="E43"/>
      <c r="F43"/>
      <c r="G43"/>
      <c r="H43"/>
      <c r="I43"/>
      <c r="J43"/>
    </row>
    <row r="44" spans="1:51" s="340" customFormat="1" x14ac:dyDescent="0.25">
      <c r="E44"/>
      <c r="F44"/>
      <c r="G44"/>
      <c r="H44"/>
      <c r="I44"/>
      <c r="J44"/>
    </row>
    <row r="45" spans="1:51" s="340" customFormat="1" x14ac:dyDescent="0.25">
      <c r="E45"/>
      <c r="F45"/>
      <c r="G45"/>
      <c r="H45"/>
      <c r="I45"/>
      <c r="J45"/>
    </row>
    <row r="46" spans="1:51" s="340" customFormat="1" x14ac:dyDescent="0.25">
      <c r="E46"/>
      <c r="F46"/>
      <c r="G46"/>
      <c r="H46"/>
      <c r="I46"/>
      <c r="J46"/>
    </row>
    <row r="47" spans="1:51" s="340" customFormat="1" x14ac:dyDescent="0.25">
      <c r="E47"/>
      <c r="F47"/>
      <c r="G47"/>
      <c r="H47"/>
      <c r="I47"/>
      <c r="J47"/>
    </row>
    <row r="48" spans="1:51" s="340" customFormat="1" x14ac:dyDescent="0.25">
      <c r="E48"/>
      <c r="F48"/>
      <c r="G48"/>
      <c r="H48"/>
      <c r="I48"/>
      <c r="J48"/>
    </row>
    <row r="49" spans="5:10" s="340" customFormat="1" x14ac:dyDescent="0.25">
      <c r="E49"/>
      <c r="F49"/>
      <c r="G49"/>
      <c r="H49"/>
      <c r="I49"/>
      <c r="J49"/>
    </row>
    <row r="50" spans="5:10" s="340" customFormat="1" x14ac:dyDescent="0.25">
      <c r="E50"/>
      <c r="F50"/>
      <c r="G50"/>
      <c r="H50"/>
      <c r="I50"/>
      <c r="J50"/>
    </row>
    <row r="51" spans="5:10" s="340" customFormat="1" x14ac:dyDescent="0.25">
      <c r="E51"/>
      <c r="F51"/>
      <c r="G51"/>
      <c r="H51"/>
      <c r="I51"/>
      <c r="J51"/>
    </row>
    <row r="52" spans="5:10" s="340" customFormat="1" x14ac:dyDescent="0.25">
      <c r="E52"/>
      <c r="F52"/>
      <c r="G52"/>
      <c r="H52"/>
      <c r="I52"/>
      <c r="J52"/>
    </row>
    <row r="53" spans="5:10" s="340" customFormat="1" x14ac:dyDescent="0.25">
      <c r="E53"/>
      <c r="F53"/>
      <c r="G53"/>
      <c r="H53"/>
      <c r="I53"/>
      <c r="J53"/>
    </row>
    <row r="54" spans="5:10" s="340" customFormat="1" x14ac:dyDescent="0.25">
      <c r="E54"/>
      <c r="F54"/>
      <c r="G54"/>
      <c r="H54"/>
      <c r="I54"/>
      <c r="J54"/>
    </row>
    <row r="55" spans="5:10" s="340" customFormat="1" x14ac:dyDescent="0.25">
      <c r="E55"/>
      <c r="F55"/>
      <c r="G55"/>
      <c r="H55"/>
      <c r="I55"/>
      <c r="J55"/>
    </row>
    <row r="56" spans="5:10" s="340" customFormat="1" x14ac:dyDescent="0.25">
      <c r="E56"/>
      <c r="F56"/>
      <c r="G56"/>
      <c r="H56"/>
      <c r="I56"/>
      <c r="J56"/>
    </row>
    <row r="57" spans="5:10" s="340" customFormat="1" x14ac:dyDescent="0.25">
      <c r="E57"/>
      <c r="F57"/>
      <c r="G57"/>
      <c r="H57"/>
      <c r="I57"/>
      <c r="J57"/>
    </row>
    <row r="58" spans="5:10" s="340" customFormat="1" x14ac:dyDescent="0.25">
      <c r="E58"/>
      <c r="F58"/>
      <c r="G58"/>
      <c r="H58"/>
      <c r="I58"/>
      <c r="J58"/>
    </row>
    <row r="59" spans="5:10" s="340" customFormat="1" x14ac:dyDescent="0.25">
      <c r="E59"/>
      <c r="F59"/>
      <c r="G59"/>
      <c r="H59"/>
      <c r="I59"/>
      <c r="J59"/>
    </row>
    <row r="60" spans="5:10" s="340" customFormat="1" x14ac:dyDescent="0.25">
      <c r="E60"/>
      <c r="F60"/>
      <c r="G60"/>
      <c r="H60"/>
      <c r="I60"/>
      <c r="J60"/>
    </row>
    <row r="61" spans="5:10" s="340" customFormat="1" x14ac:dyDescent="0.25">
      <c r="E61"/>
      <c r="F61"/>
      <c r="G61"/>
      <c r="H61"/>
      <c r="I61"/>
      <c r="J61"/>
    </row>
    <row r="62" spans="5:10" s="340" customFormat="1" x14ac:dyDescent="0.25">
      <c r="E62"/>
      <c r="F62"/>
      <c r="G62"/>
      <c r="H62"/>
      <c r="I62"/>
      <c r="J62"/>
    </row>
    <row r="63" spans="5:10" s="340" customFormat="1" x14ac:dyDescent="0.25">
      <c r="E63"/>
      <c r="F63"/>
      <c r="G63"/>
      <c r="H63"/>
      <c r="I63"/>
      <c r="J63"/>
    </row>
    <row r="64" spans="5:10" s="340" customFormat="1" x14ac:dyDescent="0.25">
      <c r="E64"/>
      <c r="F64"/>
      <c r="G64"/>
      <c r="H64"/>
      <c r="I64"/>
      <c r="J64"/>
    </row>
    <row r="65" spans="1:3" x14ac:dyDescent="0.25">
      <c r="A65" s="340"/>
      <c r="B65" s="340"/>
      <c r="C65" s="340"/>
    </row>
    <row r="66" spans="1:3" x14ac:dyDescent="0.25">
      <c r="A66" s="340"/>
      <c r="B66" s="340"/>
      <c r="C66" s="340"/>
    </row>
    <row r="67" spans="1:3" x14ac:dyDescent="0.25">
      <c r="A67" s="340"/>
      <c r="B67" s="340"/>
      <c r="C67" s="340"/>
    </row>
    <row r="68" spans="1:3" x14ac:dyDescent="0.25">
      <c r="A68" s="340"/>
      <c r="B68" s="340"/>
      <c r="C68" s="340"/>
    </row>
    <row r="69" spans="1:3" x14ac:dyDescent="0.25">
      <c r="A69" s="340"/>
      <c r="B69" s="340"/>
      <c r="C69" s="340"/>
    </row>
    <row r="70" spans="1:3" x14ac:dyDescent="0.25">
      <c r="A70" s="340"/>
      <c r="B70" s="340"/>
      <c r="C70" s="340"/>
    </row>
    <row r="71" spans="1:3" x14ac:dyDescent="0.25">
      <c r="A71" s="340"/>
      <c r="B71" s="340"/>
      <c r="C71" s="340"/>
    </row>
  </sheetData>
  <mergeCells count="3">
    <mergeCell ref="A35:C35"/>
    <mergeCell ref="A36:C36"/>
    <mergeCell ref="E1:I1"/>
  </mergeCells>
  <phoneticPr fontId="65" type="noConversion"/>
  <pageMargins left="0.65583333300000002" right="0.12833333333333299" top="0.5" bottom="0.5" header="0.3" footer="0.3"/>
  <pageSetup scale="79" orientation="portrait" r:id="rId1"/>
  <headerFooter>
    <oddHeader>&amp;LAKIS A 2012</oddHeader>
    <oddFooter>&amp;LAmerican Indian Higher Education Consortium</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topLeftCell="A16" zoomScaleNormal="100" workbookViewId="0">
      <selection activeCell="A32" sqref="A32:H35"/>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774</v>
      </c>
      <c r="B3" s="1673"/>
      <c r="C3" s="1673"/>
      <c r="D3" s="1673"/>
      <c r="E3" s="1673"/>
      <c r="F3" s="1673"/>
      <c r="G3" s="1673"/>
      <c r="H3" s="1674"/>
    </row>
    <row r="4" spans="1:38" ht="15" customHeight="1" x14ac:dyDescent="0.2">
      <c r="A4" s="995"/>
      <c r="B4" s="363" t="s">
        <v>141</v>
      </c>
      <c r="C4" s="364" t="s">
        <v>107</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0</v>
      </c>
      <c r="E9" s="514">
        <v>0</v>
      </c>
      <c r="F9" s="514">
        <v>0</v>
      </c>
      <c r="G9" s="515">
        <v>0</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0</v>
      </c>
      <c r="E10" s="1000">
        <v>1</v>
      </c>
      <c r="F10" s="1000">
        <v>0</v>
      </c>
      <c r="G10" s="1001">
        <v>0</v>
      </c>
      <c r="H10" s="1002">
        <f>SUM(D10:G10)</f>
        <v>1</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0</v>
      </c>
      <c r="E11" s="502">
        <f>SUM(E9:E10)</f>
        <v>1</v>
      </c>
      <c r="F11" s="503">
        <f>SUM(F9:F10)</f>
        <v>0</v>
      </c>
      <c r="G11" s="504">
        <f>SUM(G9:G10)</f>
        <v>0</v>
      </c>
      <c r="H11" s="505">
        <f>SUM(D11:G11)</f>
        <v>1</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v>1</v>
      </c>
      <c r="E22" s="1000">
        <v>3</v>
      </c>
      <c r="F22" s="1000">
        <v>0</v>
      </c>
      <c r="G22" s="1001">
        <v>0</v>
      </c>
      <c r="H22" s="444">
        <f t="shared" si="0"/>
        <v>4</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v>0</v>
      </c>
      <c r="E23" s="1000">
        <v>0</v>
      </c>
      <c r="F23" s="1000">
        <v>0</v>
      </c>
      <c r="G23" s="1001">
        <v>0</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646</v>
      </c>
      <c r="E27" s="1000" t="s">
        <v>646</v>
      </c>
      <c r="F27" s="1000" t="s">
        <v>646</v>
      </c>
      <c r="G27" s="1001"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964</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5" thickTop="1" x14ac:dyDescent="0.2">
      <c r="A36" s="19"/>
      <c r="B36" s="19"/>
      <c r="C36" s="19"/>
      <c r="D36" s="19"/>
      <c r="E36" s="19"/>
      <c r="F36" s="19"/>
      <c r="G36" s="19"/>
      <c r="H36" s="19"/>
    </row>
    <row r="37" spans="1:19" x14ac:dyDescent="0.2">
      <c r="A37" s="19"/>
      <c r="B37" s="19"/>
      <c r="C37" s="19"/>
      <c r="D37" s="19"/>
      <c r="E37" s="19"/>
      <c r="F37" s="19"/>
      <c r="G37" s="19"/>
      <c r="H37" s="19"/>
    </row>
    <row r="38" spans="1:19" x14ac:dyDescent="0.2">
      <c r="A38" s="19"/>
      <c r="B38" s="19"/>
      <c r="C38" s="19"/>
      <c r="D38" s="19"/>
      <c r="E38" s="19"/>
      <c r="F38" s="19"/>
      <c r="G38" s="19"/>
      <c r="H38" s="19"/>
    </row>
    <row r="39" spans="1:19" x14ac:dyDescent="0.2">
      <c r="A39" s="19"/>
      <c r="B39" s="19"/>
      <c r="C39" s="19"/>
      <c r="D39" s="19"/>
      <c r="E39" s="19"/>
      <c r="F39" s="19"/>
      <c r="G39" s="19"/>
      <c r="H39" s="19"/>
    </row>
    <row r="40" spans="1:19" x14ac:dyDescent="0.2">
      <c r="A40" s="19"/>
      <c r="B40" s="19"/>
      <c r="C40" s="19"/>
      <c r="D40" s="19"/>
      <c r="E40" s="19"/>
      <c r="F40" s="19"/>
      <c r="G40" s="19"/>
      <c r="H40" s="19"/>
    </row>
    <row r="41" spans="1:19" x14ac:dyDescent="0.2">
      <c r="A41" s="19"/>
      <c r="B41" s="19"/>
      <c r="C41" s="19"/>
      <c r="D41" s="19"/>
      <c r="E41" s="19"/>
      <c r="F41" s="19"/>
      <c r="G41" s="19"/>
      <c r="H41" s="19"/>
    </row>
    <row r="42" spans="1:19" x14ac:dyDescent="0.2">
      <c r="A42" s="19"/>
      <c r="B42" s="19"/>
      <c r="C42" s="19"/>
      <c r="D42" s="19"/>
      <c r="E42" s="19"/>
      <c r="F42" s="19"/>
      <c r="G42" s="19"/>
      <c r="H42" s="19"/>
    </row>
    <row r="43" spans="1:19" x14ac:dyDescent="0.2">
      <c r="A43" s="19"/>
      <c r="B43" s="19"/>
      <c r="C43" s="19"/>
      <c r="D43" s="19"/>
      <c r="E43" s="19"/>
      <c r="F43" s="19"/>
      <c r="G43" s="19"/>
      <c r="H43" s="19"/>
    </row>
    <row r="44" spans="1:19" x14ac:dyDescent="0.2">
      <c r="A44" s="19"/>
      <c r="B44" s="19"/>
      <c r="C44" s="19"/>
      <c r="D44" s="19"/>
      <c r="E44" s="19"/>
      <c r="F44" s="19"/>
      <c r="G44" s="19"/>
      <c r="H44" s="19"/>
    </row>
    <row r="45" spans="1:19" x14ac:dyDescent="0.2">
      <c r="A45" s="19"/>
      <c r="B45" s="19"/>
      <c r="C45" s="19"/>
      <c r="D45" s="19"/>
      <c r="E45" s="19"/>
      <c r="F45" s="19"/>
      <c r="G45" s="19"/>
      <c r="H45" s="19"/>
    </row>
    <row r="46" spans="1:19" x14ac:dyDescent="0.2">
      <c r="A46" s="19"/>
      <c r="B46" s="19"/>
      <c r="C46" s="19"/>
      <c r="D46" s="19"/>
      <c r="E46" s="19"/>
      <c r="F46" s="19"/>
      <c r="G46" s="19"/>
      <c r="H46" s="19"/>
    </row>
    <row r="47" spans="1:19" x14ac:dyDescent="0.2">
      <c r="A47" s="19"/>
      <c r="B47" s="19"/>
      <c r="C47" s="19"/>
      <c r="D47" s="19"/>
      <c r="E47" s="19"/>
      <c r="F47" s="19"/>
      <c r="G47" s="19"/>
      <c r="H47" s="19"/>
    </row>
    <row r="48" spans="1:19" x14ac:dyDescent="0.2">
      <c r="A48" s="19"/>
      <c r="B48" s="19"/>
      <c r="C48" s="19"/>
      <c r="D48" s="19"/>
      <c r="E48" s="19"/>
      <c r="F48" s="19"/>
      <c r="G48" s="19"/>
      <c r="H48" s="19"/>
    </row>
    <row r="49" s="19" customFormat="1" x14ac:dyDescent="0.2"/>
    <row r="50" s="19" customFormat="1" x14ac:dyDescent="0.2"/>
    <row r="51" s="19" customFormat="1" x14ac:dyDescent="0.2"/>
    <row r="52" s="19" customFormat="1" x14ac:dyDescent="0.2"/>
    <row r="53" s="19" customFormat="1" x14ac:dyDescent="0.2"/>
    <row r="54" s="19" customFormat="1" x14ac:dyDescent="0.2"/>
    <row r="55" s="19" customFormat="1" x14ac:dyDescent="0.2"/>
    <row r="56" s="19" customFormat="1" x14ac:dyDescent="0.2"/>
    <row r="57" s="19" customForma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A1:C1"/>
    <mergeCell ref="D1:H1"/>
    <mergeCell ref="A3:H3"/>
    <mergeCell ref="D7:E7"/>
    <mergeCell ref="F7:G7"/>
    <mergeCell ref="B12:H12"/>
    <mergeCell ref="B23:C23"/>
    <mergeCell ref="D14:E14"/>
    <mergeCell ref="F14:G14"/>
    <mergeCell ref="B17:C17"/>
    <mergeCell ref="B19:C19"/>
    <mergeCell ref="B21:C21"/>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zoomScaleNormal="100" workbookViewId="0">
      <selection activeCell="A28" sqref="A28:C28"/>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317</v>
      </c>
      <c r="B3" s="1673"/>
      <c r="C3" s="1673"/>
      <c r="D3" s="1673"/>
      <c r="E3" s="1673"/>
      <c r="F3" s="1673"/>
      <c r="G3" s="1673"/>
      <c r="H3" s="1674"/>
    </row>
    <row r="4" spans="1:38" ht="15" customHeight="1" x14ac:dyDescent="0.2">
      <c r="A4" s="995"/>
      <c r="B4" s="363" t="s">
        <v>141</v>
      </c>
      <c r="C4" s="364" t="s">
        <v>108</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t="s">
        <v>605</v>
      </c>
      <c r="E9" s="514" t="s">
        <v>605</v>
      </c>
      <c r="F9" s="514" t="s">
        <v>605</v>
      </c>
      <c r="G9" s="515" t="s">
        <v>605</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t="s">
        <v>605</v>
      </c>
      <c r="E10" s="1000" t="s">
        <v>605</v>
      </c>
      <c r="F10" s="1000" t="s">
        <v>605</v>
      </c>
      <c r="G10" s="1001" t="s">
        <v>605</v>
      </c>
      <c r="H10" s="1002">
        <f>SUM(D10:G10)</f>
        <v>0</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0</v>
      </c>
      <c r="E11" s="502">
        <f>SUM(E9:E10)</f>
        <v>0</v>
      </c>
      <c r="F11" s="503">
        <f>SUM(F9:F10)</f>
        <v>0</v>
      </c>
      <c r="G11" s="504">
        <f>SUM(G9:G10)</f>
        <v>0</v>
      </c>
      <c r="H11" s="505">
        <f>SUM(D11:G11)</f>
        <v>0</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t="s">
        <v>605</v>
      </c>
      <c r="E23" s="1000" t="s">
        <v>605</v>
      </c>
      <c r="F23" s="1000" t="s">
        <v>605</v>
      </c>
      <c r="G23" s="1001"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605</v>
      </c>
      <c r="E27" s="1000" t="s">
        <v>605</v>
      </c>
      <c r="F27" s="1000" t="s">
        <v>605</v>
      </c>
      <c r="G27" s="1001" t="s">
        <v>605</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605</v>
      </c>
      <c r="E28" s="1000" t="s">
        <v>605</v>
      </c>
      <c r="F28" s="1000" t="s">
        <v>605</v>
      </c>
      <c r="G28" s="1001" t="s">
        <v>605</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605</v>
      </c>
      <c r="E29" s="1007" t="s">
        <v>605</v>
      </c>
      <c r="F29" s="1007" t="s">
        <v>605</v>
      </c>
      <c r="G29" s="1008" t="s">
        <v>605</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5" thickTop="1" x14ac:dyDescent="0.2">
      <c r="A36" s="19"/>
      <c r="B36" s="19"/>
      <c r="C36" s="19"/>
      <c r="D36" s="19"/>
      <c r="E36" s="19"/>
      <c r="F36" s="19"/>
      <c r="G36" s="19"/>
      <c r="H36" s="19"/>
    </row>
    <row r="37" spans="1:19" x14ac:dyDescent="0.2">
      <c r="A37" s="19"/>
      <c r="B37" s="19"/>
      <c r="C37" s="19"/>
      <c r="D37" s="19"/>
      <c r="E37" s="19"/>
      <c r="F37" s="19"/>
      <c r="G37" s="19"/>
      <c r="H37" s="19"/>
    </row>
    <row r="38" spans="1:19" x14ac:dyDescent="0.2">
      <c r="A38" s="19"/>
      <c r="B38" s="19"/>
      <c r="C38" s="19"/>
      <c r="D38" s="19"/>
      <c r="E38" s="19"/>
      <c r="F38" s="19"/>
      <c r="G38" s="19"/>
      <c r="H38" s="19"/>
    </row>
    <row r="39" spans="1:19" x14ac:dyDescent="0.2">
      <c r="A39" s="19"/>
      <c r="B39" s="19"/>
      <c r="C39" s="19"/>
      <c r="D39" s="19"/>
      <c r="E39" s="19"/>
      <c r="F39" s="19"/>
      <c r="G39" s="19"/>
      <c r="H39" s="19"/>
    </row>
    <row r="40" spans="1:19" x14ac:dyDescent="0.2">
      <c r="A40" s="19"/>
      <c r="B40" s="19"/>
      <c r="C40" s="19"/>
      <c r="D40" s="19"/>
      <c r="E40" s="19"/>
      <c r="F40" s="19"/>
      <c r="G40" s="19"/>
      <c r="H40" s="19"/>
    </row>
    <row r="41" spans="1:19" x14ac:dyDescent="0.2">
      <c r="A41" s="19"/>
      <c r="B41" s="19"/>
      <c r="C41" s="19"/>
      <c r="D41" s="19"/>
      <c r="E41" s="19"/>
      <c r="F41" s="19"/>
      <c r="G41" s="19"/>
      <c r="H41" s="19"/>
    </row>
    <row r="42" spans="1:19" x14ac:dyDescent="0.2">
      <c r="A42" s="19"/>
      <c r="B42" s="19"/>
      <c r="C42" s="19"/>
      <c r="D42" s="19"/>
      <c r="E42" s="19"/>
      <c r="F42" s="19"/>
      <c r="G42" s="19"/>
      <c r="H42" s="19"/>
    </row>
    <row r="43" spans="1:19" x14ac:dyDescent="0.2">
      <c r="A43" s="19"/>
      <c r="B43" s="19"/>
      <c r="C43" s="19"/>
      <c r="D43" s="19"/>
      <c r="E43" s="19"/>
      <c r="F43" s="19"/>
      <c r="G43" s="19"/>
      <c r="H43" s="19"/>
    </row>
    <row r="44" spans="1:19" x14ac:dyDescent="0.2">
      <c r="A44" s="19"/>
      <c r="B44" s="19"/>
      <c r="C44" s="19"/>
      <c r="D44" s="19"/>
      <c r="E44" s="19"/>
      <c r="F44" s="19"/>
      <c r="G44" s="19"/>
      <c r="H44" s="19"/>
    </row>
    <row r="45" spans="1:19" x14ac:dyDescent="0.2">
      <c r="A45" s="19"/>
      <c r="B45" s="19"/>
      <c r="C45" s="19"/>
      <c r="D45" s="19"/>
      <c r="E45" s="19"/>
      <c r="F45" s="19"/>
      <c r="G45" s="19"/>
      <c r="H45" s="19"/>
    </row>
    <row r="46" spans="1:19" x14ac:dyDescent="0.2">
      <c r="A46" s="19"/>
      <c r="B46" s="19"/>
      <c r="C46" s="19"/>
      <c r="D46" s="19"/>
      <c r="E46" s="19"/>
      <c r="F46" s="19"/>
      <c r="G46" s="19"/>
      <c r="H46" s="19"/>
    </row>
    <row r="47" spans="1:19" x14ac:dyDescent="0.2">
      <c r="A47" s="19"/>
      <c r="B47" s="19"/>
      <c r="C47" s="19"/>
      <c r="D47" s="19"/>
      <c r="E47" s="19"/>
      <c r="F47" s="19"/>
      <c r="G47" s="19"/>
      <c r="H47" s="19"/>
    </row>
    <row r="48" spans="1:19" x14ac:dyDescent="0.2">
      <c r="A48" s="19"/>
      <c r="B48" s="19"/>
      <c r="C48" s="19"/>
      <c r="D48" s="19"/>
      <c r="E48" s="19"/>
      <c r="F48" s="19"/>
      <c r="G48" s="19"/>
      <c r="H48" s="19"/>
    </row>
    <row r="49" s="19" customFormat="1" x14ac:dyDescent="0.2"/>
    <row r="50" s="19" customFormat="1" x14ac:dyDescent="0.2"/>
    <row r="51" s="19" customFormat="1" x14ac:dyDescent="0.2"/>
    <row r="52" s="19" customFormat="1" x14ac:dyDescent="0.2"/>
    <row r="53" s="19" customFormat="1" x14ac:dyDescent="0.2"/>
    <row r="54" s="19" customFormat="1" x14ac:dyDescent="0.2"/>
    <row r="55" s="19" customFormat="1" x14ac:dyDescent="0.2"/>
    <row r="56" s="19" customFormat="1" x14ac:dyDescent="0.2"/>
    <row r="57" s="19" customForma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B23:C23"/>
    <mergeCell ref="B21:C21"/>
    <mergeCell ref="A32:H35"/>
    <mergeCell ref="B25:C25"/>
    <mergeCell ref="A28:C28"/>
    <mergeCell ref="A29:C29"/>
    <mergeCell ref="A30:H30"/>
    <mergeCell ref="A31:H31"/>
    <mergeCell ref="B17:C17"/>
    <mergeCell ref="B19:C19"/>
    <mergeCell ref="D14:E14"/>
    <mergeCell ref="F14:G14"/>
    <mergeCell ref="A1:C1"/>
    <mergeCell ref="D7:E7"/>
    <mergeCell ref="F7:G7"/>
    <mergeCell ref="B12:H12"/>
    <mergeCell ref="D1:H1"/>
    <mergeCell ref="A3:H3"/>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60"/>
  <sheetViews>
    <sheetView topLeftCell="A18" zoomScaleNormal="100" workbookViewId="0">
      <selection activeCell="G29" sqref="G29"/>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440</v>
      </c>
      <c r="B3" s="1673"/>
      <c r="C3" s="1673"/>
      <c r="D3" s="1673"/>
      <c r="E3" s="1673"/>
      <c r="F3" s="1673"/>
      <c r="G3" s="1673"/>
      <c r="H3" s="1674"/>
    </row>
    <row r="4" spans="1:38" ht="15" customHeight="1" x14ac:dyDescent="0.2">
      <c r="A4" s="995"/>
      <c r="B4" s="363" t="s">
        <v>141</v>
      </c>
      <c r="C4" s="364" t="s">
        <v>109</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0</v>
      </c>
      <c r="E9" s="514">
        <v>0</v>
      </c>
      <c r="F9" s="514">
        <v>0</v>
      </c>
      <c r="G9" s="515">
        <v>0</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1</v>
      </c>
      <c r="E10" s="1000">
        <v>0</v>
      </c>
      <c r="F10" s="1000">
        <v>0</v>
      </c>
      <c r="G10" s="1001">
        <v>0</v>
      </c>
      <c r="H10" s="1002">
        <f>SUM(D10:G10)</f>
        <v>1</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1</v>
      </c>
      <c r="E11" s="502">
        <f>SUM(E9:E10)</f>
        <v>0</v>
      </c>
      <c r="F11" s="503">
        <f>SUM(F9:F10)</f>
        <v>0</v>
      </c>
      <c r="G11" s="504">
        <f>SUM(G9:G10)</f>
        <v>0</v>
      </c>
      <c r="H11" s="505">
        <f>SUM(D11:G11)</f>
        <v>1</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7"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SUM(D17:G17)</f>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v>1</v>
      </c>
      <c r="E20" s="1000">
        <v>0</v>
      </c>
      <c r="F20" s="1000">
        <v>0</v>
      </c>
      <c r="G20" s="1001">
        <v>0</v>
      </c>
      <c r="H20" s="444">
        <f t="shared" si="0"/>
        <v>1</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v>0</v>
      </c>
      <c r="E21" s="1000">
        <v>0</v>
      </c>
      <c r="F21" s="1000">
        <v>0</v>
      </c>
      <c r="G21" s="1001">
        <v>0</v>
      </c>
      <c r="H21" s="444">
        <f>SUM(D21:G21)</f>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t="s">
        <v>605</v>
      </c>
      <c r="E23" s="1000" t="s">
        <v>605</v>
      </c>
      <c r="F23" s="1000" t="s">
        <v>605</v>
      </c>
      <c r="G23" s="1001"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646</v>
      </c>
      <c r="E27" s="1000" t="s">
        <v>646</v>
      </c>
      <c r="F27" s="1000" t="s">
        <v>646</v>
      </c>
      <c r="G27" s="1001"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SUM(D28:G28)</f>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SUM(D29:G29)</f>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965</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5" thickTop="1" x14ac:dyDescent="0.2">
      <c r="A36" s="19"/>
      <c r="B36" s="19"/>
      <c r="C36" s="19"/>
      <c r="D36" s="19"/>
      <c r="E36" s="19"/>
      <c r="F36" s="19"/>
      <c r="G36" s="19"/>
      <c r="H36" s="19"/>
    </row>
    <row r="37" spans="1:19" x14ac:dyDescent="0.2">
      <c r="A37" s="19"/>
      <c r="B37" s="19"/>
      <c r="C37" s="19"/>
      <c r="D37" s="19"/>
      <c r="E37" s="19"/>
      <c r="F37" s="19"/>
      <c r="G37" s="19"/>
      <c r="H37" s="19"/>
    </row>
    <row r="38" spans="1:19" x14ac:dyDescent="0.2">
      <c r="A38" s="19"/>
      <c r="B38" s="19"/>
      <c r="C38" s="19"/>
      <c r="D38" s="19"/>
      <c r="E38" s="19"/>
      <c r="F38" s="19"/>
      <c r="G38" s="19"/>
      <c r="H38" s="19"/>
    </row>
    <row r="39" spans="1:19" x14ac:dyDescent="0.2">
      <c r="A39" s="19"/>
      <c r="B39" s="19"/>
      <c r="C39" s="19"/>
      <c r="D39" s="19"/>
      <c r="E39" s="19"/>
      <c r="F39" s="19"/>
      <c r="G39" s="19"/>
      <c r="H39" s="19"/>
    </row>
    <row r="40" spans="1:19" x14ac:dyDescent="0.2">
      <c r="A40" s="19"/>
      <c r="B40" s="19"/>
      <c r="C40" s="19"/>
      <c r="D40" s="19"/>
      <c r="E40" s="19"/>
      <c r="F40" s="19"/>
      <c r="G40" s="19"/>
      <c r="H40" s="19"/>
    </row>
    <row r="41" spans="1:19" x14ac:dyDescent="0.2">
      <c r="A41" s="19"/>
      <c r="B41" s="19"/>
      <c r="C41" s="19"/>
      <c r="D41" s="19"/>
      <c r="E41" s="19"/>
      <c r="F41" s="19"/>
      <c r="G41" s="19"/>
      <c r="H41" s="19"/>
    </row>
    <row r="42" spans="1:19" x14ac:dyDescent="0.2">
      <c r="A42" s="19"/>
      <c r="B42" s="19"/>
      <c r="C42" s="19"/>
      <c r="D42" s="19"/>
      <c r="E42" s="19"/>
      <c r="F42" s="19"/>
      <c r="G42" s="19"/>
      <c r="H42" s="19"/>
    </row>
    <row r="43" spans="1:19" x14ac:dyDescent="0.2">
      <c r="A43" s="19"/>
      <c r="B43" s="19"/>
      <c r="C43" s="19"/>
      <c r="D43" s="19"/>
      <c r="E43" s="19"/>
      <c r="F43" s="19"/>
      <c r="G43" s="19"/>
      <c r="H43" s="19"/>
    </row>
    <row r="44" spans="1:19" x14ac:dyDescent="0.2">
      <c r="A44" s="19"/>
      <c r="B44" s="19"/>
      <c r="C44" s="19"/>
      <c r="D44" s="19"/>
      <c r="E44" s="19"/>
      <c r="F44" s="19"/>
      <c r="G44" s="19"/>
      <c r="H44" s="19"/>
    </row>
    <row r="45" spans="1:19" x14ac:dyDescent="0.2">
      <c r="A45" s="19"/>
      <c r="B45" s="19"/>
      <c r="C45" s="19"/>
      <c r="D45" s="19"/>
      <c r="E45" s="19"/>
      <c r="F45" s="19"/>
      <c r="G45" s="19"/>
      <c r="H45" s="19"/>
    </row>
    <row r="46" spans="1:19" x14ac:dyDescent="0.2">
      <c r="A46" s="19"/>
      <c r="B46" s="19"/>
      <c r="C46" s="19"/>
      <c r="D46" s="19"/>
      <c r="E46" s="19"/>
      <c r="F46" s="19"/>
      <c r="G46" s="19"/>
      <c r="H46" s="19"/>
    </row>
    <row r="47" spans="1:19" x14ac:dyDescent="0.2">
      <c r="A47" s="19"/>
      <c r="B47" s="19"/>
      <c r="C47" s="19"/>
      <c r="D47" s="19"/>
      <c r="E47" s="19"/>
      <c r="F47" s="19"/>
      <c r="G47" s="19"/>
      <c r="H47" s="19"/>
    </row>
    <row r="48" spans="1:19" x14ac:dyDescent="0.2">
      <c r="A48" s="19"/>
      <c r="B48" s="19"/>
      <c r="C48" s="19"/>
      <c r="D48" s="19"/>
      <c r="E48" s="19"/>
      <c r="F48" s="19"/>
      <c r="G48" s="19"/>
      <c r="H48" s="19"/>
    </row>
    <row r="49" s="19" customFormat="1" x14ac:dyDescent="0.2"/>
    <row r="50" s="19" customFormat="1" x14ac:dyDescent="0.2"/>
    <row r="51" s="19" customFormat="1" x14ac:dyDescent="0.2"/>
    <row r="52" s="19" customFormat="1" x14ac:dyDescent="0.2"/>
    <row r="53" s="19" customFormat="1" x14ac:dyDescent="0.2"/>
    <row r="54" s="19" customFormat="1" x14ac:dyDescent="0.2"/>
    <row r="55" s="19" customFormat="1" x14ac:dyDescent="0.2"/>
    <row r="56" s="19" customFormat="1" x14ac:dyDescent="0.2"/>
    <row r="57" s="19" customForma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row r="158" s="19" customFormat="1" x14ac:dyDescent="0.2"/>
    <row r="159" s="19" customFormat="1" x14ac:dyDescent="0.2"/>
    <row r="160" s="19" customFormat="1" x14ac:dyDescent="0.2"/>
  </sheetData>
  <mergeCells count="18">
    <mergeCell ref="A31:H31"/>
    <mergeCell ref="A32:H35"/>
    <mergeCell ref="D14:E14"/>
    <mergeCell ref="F14:G14"/>
    <mergeCell ref="B25:C25"/>
    <mergeCell ref="A29:C29"/>
    <mergeCell ref="B21:C21"/>
    <mergeCell ref="B19:C19"/>
    <mergeCell ref="B17:C17"/>
    <mergeCell ref="A28:C28"/>
    <mergeCell ref="D1:H1"/>
    <mergeCell ref="A3:H3"/>
    <mergeCell ref="A30:H30"/>
    <mergeCell ref="A1:C1"/>
    <mergeCell ref="D7:E7"/>
    <mergeCell ref="F7:G7"/>
    <mergeCell ref="B12:H12"/>
    <mergeCell ref="B23:C23"/>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AL160"/>
  <sheetViews>
    <sheetView topLeftCell="A11" zoomScaleNormal="100" workbookViewId="0">
      <selection activeCell="G27" sqref="G27"/>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439</v>
      </c>
      <c r="B3" s="1673"/>
      <c r="C3" s="1673"/>
      <c r="D3" s="1673"/>
      <c r="E3" s="1673"/>
      <c r="F3" s="1673"/>
      <c r="G3" s="1673"/>
      <c r="H3" s="1674"/>
    </row>
    <row r="4" spans="1:38" ht="15" customHeight="1" x14ac:dyDescent="0.2">
      <c r="A4" s="995"/>
      <c r="B4" s="363" t="s">
        <v>141</v>
      </c>
      <c r="C4" s="364" t="s">
        <v>110</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33</v>
      </c>
      <c r="E9" s="514">
        <v>40</v>
      </c>
      <c r="F9" s="514">
        <v>0</v>
      </c>
      <c r="G9" s="515">
        <v>0</v>
      </c>
      <c r="H9" s="500">
        <f>SUM(D9:G9)</f>
        <v>73</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15</v>
      </c>
      <c r="E10" s="1000">
        <v>24</v>
      </c>
      <c r="F10" s="1000">
        <v>1</v>
      </c>
      <c r="G10" s="1001">
        <v>1</v>
      </c>
      <c r="H10" s="1002">
        <f>SUM(D10:G10)</f>
        <v>41</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48</v>
      </c>
      <c r="E11" s="502">
        <f>SUM(E9:E10)</f>
        <v>64</v>
      </c>
      <c r="F11" s="503">
        <f>SUM(F9:F10)</f>
        <v>1</v>
      </c>
      <c r="G11" s="504">
        <f>SUM(G9:G10)</f>
        <v>1</v>
      </c>
      <c r="H11" s="505">
        <f>SUM(D11:G11)</f>
        <v>114</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1156" t="s">
        <v>876</v>
      </c>
      <c r="F15" s="1156" t="s">
        <v>875</v>
      </c>
      <c r="G15" s="1156"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1163"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1160" t="s">
        <v>605</v>
      </c>
      <c r="E20" s="1161" t="s">
        <v>605</v>
      </c>
      <c r="F20" s="1161" t="s">
        <v>605</v>
      </c>
      <c r="G20" s="1162"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v>7</v>
      </c>
      <c r="E22" s="1000">
        <v>14</v>
      </c>
      <c r="F22" s="1000">
        <v>0</v>
      </c>
      <c r="G22" s="1001">
        <v>1</v>
      </c>
      <c r="H22" s="444">
        <f t="shared" si="0"/>
        <v>22</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1157">
        <v>0</v>
      </c>
      <c r="E23" s="1158">
        <v>0</v>
      </c>
      <c r="F23" s="1158">
        <v>0</v>
      </c>
      <c r="G23" s="1159">
        <v>0</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v>4</v>
      </c>
      <c r="E24" s="1000">
        <v>3</v>
      </c>
      <c r="F24" s="1000">
        <v>0</v>
      </c>
      <c r="G24" s="1001">
        <v>1</v>
      </c>
      <c r="H24" s="444">
        <f t="shared" si="0"/>
        <v>8</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v>0</v>
      </c>
      <c r="E25" s="1000">
        <v>0</v>
      </c>
      <c r="F25" s="1000">
        <v>0</v>
      </c>
      <c r="G25" s="1001">
        <v>0</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1160" t="s">
        <v>646</v>
      </c>
      <c r="E27" s="1161" t="s">
        <v>646</v>
      </c>
      <c r="F27" s="1161" t="s">
        <v>646</v>
      </c>
      <c r="G27" s="1162"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966</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5" thickTop="1" x14ac:dyDescent="0.2">
      <c r="A36" s="19"/>
      <c r="B36" s="19"/>
      <c r="C36" s="19"/>
      <c r="D36" s="19"/>
      <c r="E36" s="19"/>
      <c r="F36" s="19"/>
      <c r="G36" s="19"/>
      <c r="H36" s="19"/>
    </row>
    <row r="37" spans="1:19" x14ac:dyDescent="0.2">
      <c r="A37" s="19"/>
      <c r="B37" s="19"/>
      <c r="C37" s="19"/>
      <c r="D37" s="19"/>
      <c r="E37" s="19"/>
      <c r="F37" s="19"/>
      <c r="G37" s="19"/>
      <c r="H37" s="19"/>
    </row>
    <row r="38" spans="1:19" x14ac:dyDescent="0.2">
      <c r="A38" s="19"/>
      <c r="B38" s="19"/>
      <c r="C38" s="19"/>
      <c r="D38" s="19"/>
      <c r="E38" s="19"/>
      <c r="F38" s="19"/>
      <c r="G38" s="19"/>
      <c r="H38" s="19"/>
    </row>
    <row r="39" spans="1:19" x14ac:dyDescent="0.2">
      <c r="A39" s="19"/>
      <c r="B39" s="19"/>
      <c r="C39" s="19"/>
      <c r="D39" s="19"/>
      <c r="E39" s="19"/>
      <c r="F39" s="19"/>
      <c r="G39" s="19"/>
      <c r="H39" s="19"/>
    </row>
    <row r="40" spans="1:19" x14ac:dyDescent="0.2">
      <c r="A40" s="19"/>
      <c r="B40" s="19"/>
      <c r="C40" s="19"/>
      <c r="D40" s="19"/>
      <c r="E40" s="19"/>
      <c r="F40" s="19"/>
      <c r="G40" s="19"/>
      <c r="H40" s="19"/>
    </row>
    <row r="41" spans="1:19" x14ac:dyDescent="0.2">
      <c r="A41" s="19"/>
      <c r="B41" s="19"/>
      <c r="C41" s="19"/>
      <c r="D41" s="19"/>
      <c r="E41" s="19"/>
      <c r="F41" s="19"/>
      <c r="G41" s="19"/>
      <c r="H41" s="19"/>
    </row>
    <row r="42" spans="1:19" x14ac:dyDescent="0.2">
      <c r="A42" s="19"/>
      <c r="B42" s="19"/>
      <c r="C42" s="19"/>
      <c r="D42" s="19"/>
      <c r="E42" s="19"/>
      <c r="F42" s="19"/>
      <c r="G42" s="19"/>
      <c r="H42" s="19"/>
    </row>
    <row r="43" spans="1:19" x14ac:dyDescent="0.2">
      <c r="A43" s="19"/>
      <c r="B43" s="19"/>
      <c r="C43" s="19"/>
      <c r="D43" s="19"/>
      <c r="E43" s="19"/>
      <c r="F43" s="19"/>
      <c r="G43" s="19"/>
      <c r="H43" s="19"/>
    </row>
    <row r="44" spans="1:19" x14ac:dyDescent="0.2">
      <c r="A44" s="19"/>
      <c r="B44" s="19"/>
      <c r="C44" s="19"/>
      <c r="D44" s="19"/>
      <c r="E44" s="19"/>
      <c r="F44" s="19"/>
      <c r="G44" s="19"/>
      <c r="H44" s="19"/>
    </row>
    <row r="45" spans="1:19" x14ac:dyDescent="0.2">
      <c r="A45" s="19"/>
      <c r="B45" s="19"/>
      <c r="C45" s="19"/>
      <c r="D45" s="19"/>
      <c r="E45" s="19"/>
      <c r="F45" s="19"/>
      <c r="G45" s="19"/>
      <c r="H45" s="19"/>
    </row>
    <row r="46" spans="1:19" x14ac:dyDescent="0.2">
      <c r="A46" s="19"/>
      <c r="B46" s="19"/>
      <c r="C46" s="19"/>
      <c r="D46" s="19"/>
      <c r="E46" s="19"/>
      <c r="F46" s="19"/>
      <c r="G46" s="19"/>
      <c r="H46" s="19"/>
    </row>
    <row r="47" spans="1:19" x14ac:dyDescent="0.2">
      <c r="A47" s="19"/>
      <c r="B47" s="19"/>
      <c r="C47" s="19"/>
      <c r="D47" s="19"/>
      <c r="E47" s="19"/>
      <c r="F47" s="19"/>
      <c r="G47" s="19"/>
      <c r="H47" s="19"/>
    </row>
    <row r="48" spans="1:19" x14ac:dyDescent="0.2">
      <c r="A48" s="19"/>
      <c r="B48" s="19"/>
      <c r="C48" s="19"/>
      <c r="D48" s="19"/>
      <c r="E48" s="19"/>
      <c r="F48" s="19"/>
      <c r="G48" s="19"/>
      <c r="H48" s="19"/>
    </row>
    <row r="49" s="19" customFormat="1" x14ac:dyDescent="0.2"/>
    <row r="50" s="19" customFormat="1" x14ac:dyDescent="0.2"/>
    <row r="51" s="19" customFormat="1" x14ac:dyDescent="0.2"/>
    <row r="52" s="19" customFormat="1" x14ac:dyDescent="0.2"/>
    <row r="53" s="19" customFormat="1" x14ac:dyDescent="0.2"/>
    <row r="54" s="19" customFormat="1" x14ac:dyDescent="0.2"/>
    <row r="55" s="19" customFormat="1" x14ac:dyDescent="0.2"/>
    <row r="56" s="19" customFormat="1" x14ac:dyDescent="0.2"/>
    <row r="57" s="19" customForma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row r="158" s="19" customFormat="1" x14ac:dyDescent="0.2"/>
    <row r="159" s="19" customFormat="1" x14ac:dyDescent="0.2"/>
    <row r="160" s="19" customFormat="1" x14ac:dyDescent="0.2"/>
  </sheetData>
  <mergeCells count="18">
    <mergeCell ref="A32:H35"/>
    <mergeCell ref="A29:C29"/>
    <mergeCell ref="B23:C23"/>
    <mergeCell ref="B25:C25"/>
    <mergeCell ref="A28:C28"/>
    <mergeCell ref="A30:H30"/>
    <mergeCell ref="A31:H31"/>
    <mergeCell ref="A1:C1"/>
    <mergeCell ref="D7:E7"/>
    <mergeCell ref="F7:G7"/>
    <mergeCell ref="D1:H1"/>
    <mergeCell ref="A3:H3"/>
    <mergeCell ref="B12:H12"/>
    <mergeCell ref="D14:E14"/>
    <mergeCell ref="F14:G14"/>
    <mergeCell ref="B21:C21"/>
    <mergeCell ref="B19:C19"/>
    <mergeCell ref="B17:C17"/>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topLeftCell="A11" zoomScaleNormal="100" workbookViewId="0">
      <selection activeCell="G27" sqref="G27"/>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787</v>
      </c>
      <c r="B3" s="1673"/>
      <c r="C3" s="1673"/>
      <c r="D3" s="1673"/>
      <c r="E3" s="1673"/>
      <c r="F3" s="1673"/>
      <c r="G3" s="1673"/>
      <c r="H3" s="1674"/>
    </row>
    <row r="4" spans="1:38" ht="15" customHeight="1" x14ac:dyDescent="0.2">
      <c r="A4" s="995"/>
      <c r="B4" s="363" t="s">
        <v>141</v>
      </c>
      <c r="C4" s="364" t="s">
        <v>122</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9</v>
      </c>
      <c r="E9" s="514">
        <v>12</v>
      </c>
      <c r="F9" s="514">
        <v>0</v>
      </c>
      <c r="G9" s="515">
        <v>0</v>
      </c>
      <c r="H9" s="500">
        <f>SUM(D9:G9)</f>
        <v>21</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4</v>
      </c>
      <c r="E10" s="1000">
        <v>0</v>
      </c>
      <c r="F10" s="1000">
        <v>0</v>
      </c>
      <c r="G10" s="1001">
        <v>0</v>
      </c>
      <c r="H10" s="1002">
        <f>SUM(D10:G10)</f>
        <v>4</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13</v>
      </c>
      <c r="E11" s="502">
        <f>SUM(E9:E10)</f>
        <v>12</v>
      </c>
      <c r="F11" s="503">
        <f>SUM(F9:F10)</f>
        <v>0</v>
      </c>
      <c r="G11" s="504">
        <f>SUM(G9:G10)</f>
        <v>0</v>
      </c>
      <c r="H11" s="505">
        <f>SUM(D11:G11)</f>
        <v>25</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v>0</v>
      </c>
      <c r="E22" s="1000">
        <v>1</v>
      </c>
      <c r="F22" s="1000">
        <v>0</v>
      </c>
      <c r="G22" s="1001">
        <v>0</v>
      </c>
      <c r="H22" s="444">
        <f t="shared" si="0"/>
        <v>1</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v>0</v>
      </c>
      <c r="E23" s="1000">
        <v>0</v>
      </c>
      <c r="F23" s="1000">
        <v>0</v>
      </c>
      <c r="G23" s="1001">
        <v>0</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646</v>
      </c>
      <c r="E27" s="1000" t="s">
        <v>646</v>
      </c>
      <c r="F27" s="1000" t="s">
        <v>646</v>
      </c>
      <c r="G27" s="1001"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967</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5" thickTop="1" x14ac:dyDescent="0.2">
      <c r="A36" s="19"/>
      <c r="B36" s="19"/>
      <c r="C36" s="19"/>
      <c r="D36" s="19"/>
      <c r="E36" s="19"/>
      <c r="F36" s="19"/>
      <c r="G36" s="19"/>
      <c r="H36" s="19"/>
    </row>
    <row r="37" spans="1:19" x14ac:dyDescent="0.2">
      <c r="A37" s="19"/>
      <c r="B37" s="19"/>
      <c r="C37" s="19"/>
      <c r="D37" s="19"/>
      <c r="E37" s="19"/>
      <c r="F37" s="19"/>
      <c r="G37" s="19"/>
      <c r="H37" s="19"/>
    </row>
    <row r="38" spans="1:19" x14ac:dyDescent="0.2">
      <c r="A38" s="19"/>
      <c r="B38" s="19"/>
      <c r="C38" s="19"/>
      <c r="D38" s="19"/>
      <c r="E38" s="19"/>
      <c r="F38" s="19"/>
      <c r="G38" s="19"/>
      <c r="H38" s="19"/>
    </row>
    <row r="39" spans="1:19" x14ac:dyDescent="0.2">
      <c r="A39" s="19"/>
      <c r="B39" s="19"/>
      <c r="C39" s="19"/>
      <c r="D39" s="19"/>
      <c r="E39" s="19"/>
      <c r="F39" s="19"/>
      <c r="G39" s="19"/>
      <c r="H39" s="19"/>
    </row>
    <row r="40" spans="1:19" x14ac:dyDescent="0.2">
      <c r="A40" s="19"/>
      <c r="B40" s="19"/>
      <c r="C40" s="19"/>
      <c r="D40" s="19"/>
      <c r="E40" s="19"/>
      <c r="F40" s="19"/>
      <c r="G40" s="19"/>
      <c r="H40" s="19"/>
    </row>
    <row r="41" spans="1:19" x14ac:dyDescent="0.2">
      <c r="A41" s="19"/>
      <c r="B41" s="19"/>
      <c r="C41" s="19"/>
      <c r="D41" s="19"/>
      <c r="E41" s="19"/>
      <c r="F41" s="19"/>
      <c r="G41" s="19"/>
      <c r="H41" s="19"/>
    </row>
    <row r="42" spans="1:19" x14ac:dyDescent="0.2">
      <c r="A42" s="19"/>
      <c r="B42" s="19"/>
      <c r="C42" s="19"/>
      <c r="D42" s="19"/>
      <c r="E42" s="19"/>
      <c r="F42" s="19"/>
      <c r="G42" s="19"/>
      <c r="H42" s="19"/>
    </row>
    <row r="43" spans="1:19" x14ac:dyDescent="0.2">
      <c r="A43" s="19"/>
      <c r="B43" s="19"/>
      <c r="C43" s="19"/>
      <c r="D43" s="19"/>
      <c r="E43" s="19"/>
      <c r="F43" s="19"/>
      <c r="G43" s="19"/>
      <c r="H43" s="19"/>
    </row>
    <row r="44" spans="1:19" x14ac:dyDescent="0.2">
      <c r="A44" s="19"/>
      <c r="B44" s="19"/>
      <c r="C44" s="19"/>
      <c r="D44" s="19"/>
      <c r="E44" s="19"/>
      <c r="F44" s="19"/>
      <c r="G44" s="19"/>
      <c r="H44" s="19"/>
    </row>
    <row r="45" spans="1:19" x14ac:dyDescent="0.2">
      <c r="A45" s="19"/>
      <c r="B45" s="19"/>
      <c r="C45" s="19"/>
      <c r="D45" s="19"/>
      <c r="E45" s="19"/>
      <c r="F45" s="19"/>
      <c r="G45" s="19"/>
      <c r="H45" s="19"/>
    </row>
    <row r="46" spans="1:19" x14ac:dyDescent="0.2">
      <c r="A46" s="19"/>
      <c r="B46" s="19"/>
      <c r="C46" s="19"/>
      <c r="D46" s="19"/>
      <c r="E46" s="19"/>
      <c r="F46" s="19"/>
      <c r="G46" s="19"/>
      <c r="H46" s="19"/>
    </row>
    <row r="47" spans="1:19" x14ac:dyDescent="0.2">
      <c r="A47" s="19"/>
      <c r="B47" s="19"/>
      <c r="C47" s="19"/>
      <c r="D47" s="19"/>
      <c r="E47" s="19"/>
      <c r="F47" s="19"/>
      <c r="G47" s="19"/>
      <c r="H47" s="19"/>
    </row>
    <row r="48" spans="1:19" x14ac:dyDescent="0.2">
      <c r="A48" s="19"/>
      <c r="B48" s="19"/>
      <c r="C48" s="19"/>
      <c r="D48" s="19"/>
      <c r="E48" s="19"/>
      <c r="F48" s="19"/>
      <c r="G48" s="19"/>
      <c r="H48" s="19"/>
    </row>
    <row r="49" s="19" customFormat="1" x14ac:dyDescent="0.2"/>
    <row r="50" s="19" customFormat="1" x14ac:dyDescent="0.2"/>
    <row r="51" s="19" customFormat="1" x14ac:dyDescent="0.2"/>
    <row r="52" s="19" customFormat="1" x14ac:dyDescent="0.2"/>
    <row r="53" s="19" customFormat="1" x14ac:dyDescent="0.2"/>
    <row r="54" s="19" customFormat="1" x14ac:dyDescent="0.2"/>
    <row r="55" s="19" customFormat="1" x14ac:dyDescent="0.2"/>
    <row r="56" s="19" customFormat="1" x14ac:dyDescent="0.2"/>
    <row r="57" s="19" customForma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B23:C23"/>
    <mergeCell ref="B21:C21"/>
    <mergeCell ref="A32:H35"/>
    <mergeCell ref="B25:C25"/>
    <mergeCell ref="A28:C28"/>
    <mergeCell ref="A29:C29"/>
    <mergeCell ref="A30:H30"/>
    <mergeCell ref="A31:H31"/>
    <mergeCell ref="B17:C17"/>
    <mergeCell ref="B19:C19"/>
    <mergeCell ref="D14:E14"/>
    <mergeCell ref="F14:G14"/>
    <mergeCell ref="A1:C1"/>
    <mergeCell ref="D7:E7"/>
    <mergeCell ref="F7:G7"/>
    <mergeCell ref="B12:H12"/>
    <mergeCell ref="D1:H1"/>
    <mergeCell ref="A3:H3"/>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zoomScaleNormal="100" workbookViewId="0">
      <selection activeCell="A28" sqref="A28:C28"/>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318</v>
      </c>
      <c r="B3" s="1673"/>
      <c r="C3" s="1673"/>
      <c r="D3" s="1673"/>
      <c r="E3" s="1673"/>
      <c r="F3" s="1673"/>
      <c r="G3" s="1673"/>
      <c r="H3" s="1674"/>
    </row>
    <row r="4" spans="1:38" ht="15" customHeight="1" x14ac:dyDescent="0.2">
      <c r="A4" s="995"/>
      <c r="B4" s="363" t="s">
        <v>141</v>
      </c>
      <c r="C4" s="364" t="s">
        <v>306</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t="s">
        <v>605</v>
      </c>
      <c r="E9" s="514" t="s">
        <v>605</v>
      </c>
      <c r="F9" s="514" t="s">
        <v>605</v>
      </c>
      <c r="G9" s="515" t="s">
        <v>605</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t="s">
        <v>605</v>
      </c>
      <c r="E10" s="1000" t="s">
        <v>605</v>
      </c>
      <c r="F10" s="1000" t="s">
        <v>605</v>
      </c>
      <c r="G10" s="1001" t="s">
        <v>605</v>
      </c>
      <c r="H10" s="1002">
        <f>SUM(D10:G10)</f>
        <v>0</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0</v>
      </c>
      <c r="E11" s="502">
        <f>SUM(E9:E10)</f>
        <v>0</v>
      </c>
      <c r="F11" s="503">
        <f>SUM(F9:F10)</f>
        <v>0</v>
      </c>
      <c r="G11" s="504">
        <f>SUM(G9:G10)</f>
        <v>0</v>
      </c>
      <c r="H11" s="505">
        <f>SUM(D11:G11)</f>
        <v>0</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t="s">
        <v>605</v>
      </c>
      <c r="E23" s="1000" t="s">
        <v>605</v>
      </c>
      <c r="F23" s="1000" t="s">
        <v>605</v>
      </c>
      <c r="G23" s="1001"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605</v>
      </c>
      <c r="E27" s="1000" t="s">
        <v>605</v>
      </c>
      <c r="F27" s="1000" t="s">
        <v>605</v>
      </c>
      <c r="G27" s="1001" t="s">
        <v>605</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605</v>
      </c>
      <c r="E28" s="1000" t="s">
        <v>605</v>
      </c>
      <c r="F28" s="1000" t="s">
        <v>605</v>
      </c>
      <c r="G28" s="1001" t="s">
        <v>605</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605</v>
      </c>
      <c r="E29" s="1007" t="s">
        <v>605</v>
      </c>
      <c r="F29" s="1007" t="s">
        <v>605</v>
      </c>
      <c r="G29" s="1008" t="s">
        <v>605</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5" thickTop="1" x14ac:dyDescent="0.2">
      <c r="A36" s="19"/>
      <c r="B36" s="19"/>
      <c r="C36" s="19"/>
      <c r="D36" s="19"/>
      <c r="E36" s="19"/>
      <c r="F36" s="19"/>
      <c r="G36" s="19"/>
      <c r="H36" s="19"/>
    </row>
    <row r="37" spans="1:19" x14ac:dyDescent="0.2">
      <c r="A37" s="19"/>
      <c r="B37" s="19"/>
      <c r="C37" s="19"/>
      <c r="D37" s="19"/>
      <c r="E37" s="19"/>
      <c r="F37" s="19"/>
      <c r="G37" s="19"/>
      <c r="H37" s="19"/>
    </row>
    <row r="38" spans="1:19" x14ac:dyDescent="0.2">
      <c r="A38" s="19"/>
      <c r="B38" s="19"/>
      <c r="C38" s="19"/>
      <c r="D38" s="19"/>
      <c r="E38" s="19"/>
      <c r="F38" s="19"/>
      <c r="G38" s="19"/>
      <c r="H38" s="19"/>
    </row>
    <row r="39" spans="1:19" x14ac:dyDescent="0.2">
      <c r="A39" s="19"/>
      <c r="B39" s="19"/>
      <c r="C39" s="19"/>
      <c r="D39" s="19"/>
      <c r="E39" s="19"/>
      <c r="F39" s="19"/>
      <c r="G39" s="19"/>
      <c r="H39" s="19"/>
    </row>
    <row r="40" spans="1:19" x14ac:dyDescent="0.2">
      <c r="A40" s="19"/>
      <c r="B40" s="19"/>
      <c r="C40" s="19"/>
      <c r="D40" s="19"/>
      <c r="E40" s="19"/>
      <c r="F40" s="19"/>
      <c r="G40" s="19"/>
      <c r="H40" s="19"/>
    </row>
    <row r="41" spans="1:19" x14ac:dyDescent="0.2">
      <c r="A41" s="19"/>
      <c r="B41" s="19"/>
      <c r="C41" s="19"/>
      <c r="D41" s="19"/>
      <c r="E41" s="19"/>
      <c r="F41" s="19"/>
      <c r="G41" s="19"/>
      <c r="H41" s="19"/>
    </row>
    <row r="42" spans="1:19" x14ac:dyDescent="0.2">
      <c r="A42" s="19"/>
      <c r="B42" s="19"/>
      <c r="C42" s="19"/>
      <c r="D42" s="19"/>
      <c r="E42" s="19"/>
      <c r="F42" s="19"/>
      <c r="G42" s="19"/>
      <c r="H42" s="19"/>
    </row>
    <row r="43" spans="1:19" x14ac:dyDescent="0.2">
      <c r="A43" s="19"/>
      <c r="B43" s="19"/>
      <c r="C43" s="19"/>
      <c r="D43" s="19"/>
      <c r="E43" s="19"/>
      <c r="F43" s="19"/>
      <c r="G43" s="19"/>
      <c r="H43" s="19"/>
    </row>
    <row r="44" spans="1:19" x14ac:dyDescent="0.2">
      <c r="A44" s="19"/>
      <c r="B44" s="19"/>
      <c r="C44" s="19"/>
      <c r="D44" s="19"/>
      <c r="E44" s="19"/>
      <c r="F44" s="19"/>
      <c r="G44" s="19"/>
      <c r="H44" s="19"/>
    </row>
    <row r="45" spans="1:19" x14ac:dyDescent="0.2">
      <c r="A45" s="19"/>
      <c r="B45" s="19"/>
      <c r="C45" s="19"/>
      <c r="D45" s="19"/>
      <c r="E45" s="19"/>
      <c r="F45" s="19"/>
      <c r="G45" s="19"/>
      <c r="H45" s="19"/>
    </row>
    <row r="46" spans="1:19" x14ac:dyDescent="0.2">
      <c r="A46" s="19"/>
      <c r="B46" s="19"/>
      <c r="C46" s="19"/>
      <c r="D46" s="19"/>
      <c r="E46" s="19"/>
      <c r="F46" s="19"/>
      <c r="G46" s="19"/>
      <c r="H46" s="19"/>
    </row>
    <row r="47" spans="1:19" x14ac:dyDescent="0.2">
      <c r="A47" s="19"/>
      <c r="B47" s="19"/>
      <c r="C47" s="19"/>
      <c r="D47" s="19"/>
      <c r="E47" s="19"/>
      <c r="F47" s="19"/>
      <c r="G47" s="19"/>
      <c r="H47" s="19"/>
    </row>
    <row r="48" spans="1:19" x14ac:dyDescent="0.2">
      <c r="A48" s="19"/>
      <c r="B48" s="19"/>
      <c r="C48" s="19"/>
      <c r="D48" s="19"/>
      <c r="E48" s="19"/>
      <c r="F48" s="19"/>
      <c r="G48" s="19"/>
      <c r="H48" s="19"/>
    </row>
    <row r="49" s="19" customFormat="1" x14ac:dyDescent="0.2"/>
    <row r="50" s="19" customFormat="1" x14ac:dyDescent="0.2"/>
    <row r="51" s="19" customFormat="1" x14ac:dyDescent="0.2"/>
    <row r="52" s="19" customFormat="1" x14ac:dyDescent="0.2"/>
    <row r="53" s="19" customFormat="1" x14ac:dyDescent="0.2"/>
    <row r="54" s="19" customFormat="1" x14ac:dyDescent="0.2"/>
    <row r="55" s="19" customFormat="1" x14ac:dyDescent="0.2"/>
    <row r="56" s="19" customFormat="1" x14ac:dyDescent="0.2"/>
    <row r="57" s="19" customForma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B23:C23"/>
    <mergeCell ref="B21:C21"/>
    <mergeCell ref="A32:H35"/>
    <mergeCell ref="B25:C25"/>
    <mergeCell ref="A28:C28"/>
    <mergeCell ref="A29:C29"/>
    <mergeCell ref="A30:H30"/>
    <mergeCell ref="A31:H31"/>
    <mergeCell ref="B17:C17"/>
    <mergeCell ref="B19:C19"/>
    <mergeCell ref="D14:E14"/>
    <mergeCell ref="F14:G14"/>
    <mergeCell ref="A1:C1"/>
    <mergeCell ref="D7:E7"/>
    <mergeCell ref="F7:G7"/>
    <mergeCell ref="B12:H12"/>
    <mergeCell ref="D1:H1"/>
    <mergeCell ref="A3:H3"/>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zoomScaleNormal="100" workbookViewId="0">
      <selection activeCell="D16" activeCellId="1" sqref="D9:G10 D16:G29"/>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319</v>
      </c>
      <c r="B3" s="1673"/>
      <c r="C3" s="1673"/>
      <c r="D3" s="1673"/>
      <c r="E3" s="1673"/>
      <c r="F3" s="1673"/>
      <c r="G3" s="1673"/>
      <c r="H3" s="1674"/>
    </row>
    <row r="4" spans="1:38" ht="15" customHeight="1" x14ac:dyDescent="0.2">
      <c r="A4" s="995"/>
      <c r="B4" s="363" t="s">
        <v>141</v>
      </c>
      <c r="C4" s="364" t="s">
        <v>124</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t="s">
        <v>605</v>
      </c>
      <c r="E9" s="514" t="s">
        <v>605</v>
      </c>
      <c r="F9" s="514" t="s">
        <v>605</v>
      </c>
      <c r="G9" s="515" t="s">
        <v>605</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t="s">
        <v>605</v>
      </c>
      <c r="E10" s="1000" t="s">
        <v>605</v>
      </c>
      <c r="F10" s="1000" t="s">
        <v>605</v>
      </c>
      <c r="G10" s="1001" t="s">
        <v>605</v>
      </c>
      <c r="H10" s="1002">
        <f>SUM(D10:G10)</f>
        <v>0</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0</v>
      </c>
      <c r="E11" s="502">
        <f>SUM(E9:E10)</f>
        <v>0</v>
      </c>
      <c r="F11" s="503">
        <f>SUM(F9:F10)</f>
        <v>0</v>
      </c>
      <c r="G11" s="504">
        <f>SUM(G9:G10)</f>
        <v>0</v>
      </c>
      <c r="H11" s="505">
        <f>SUM(D11:G11)</f>
        <v>0</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t="s">
        <v>605</v>
      </c>
      <c r="E23" s="1000" t="s">
        <v>605</v>
      </c>
      <c r="F23" s="1000" t="s">
        <v>605</v>
      </c>
      <c r="G23" s="1001"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605</v>
      </c>
      <c r="E27" s="1000" t="s">
        <v>605</v>
      </c>
      <c r="F27" s="1000" t="s">
        <v>605</v>
      </c>
      <c r="G27" s="1001" t="s">
        <v>605</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605</v>
      </c>
      <c r="E28" s="1000" t="s">
        <v>605</v>
      </c>
      <c r="F28" s="1000" t="s">
        <v>605</v>
      </c>
      <c r="G28" s="1001" t="s">
        <v>605</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605</v>
      </c>
      <c r="E29" s="1007" t="s">
        <v>605</v>
      </c>
      <c r="F29" s="1007" t="s">
        <v>605</v>
      </c>
      <c r="G29" s="1008" t="s">
        <v>605</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5" thickTop="1" x14ac:dyDescent="0.2">
      <c r="A36" s="19"/>
      <c r="B36" s="19"/>
      <c r="C36" s="19"/>
      <c r="D36" s="19"/>
      <c r="E36" s="19"/>
      <c r="F36" s="19"/>
      <c r="G36" s="19"/>
      <c r="H36" s="19"/>
    </row>
    <row r="37" spans="1:19" x14ac:dyDescent="0.2">
      <c r="A37" s="19"/>
      <c r="B37" s="19"/>
      <c r="C37" s="19"/>
      <c r="D37" s="19"/>
      <c r="E37" s="19"/>
      <c r="F37" s="19"/>
      <c r="G37" s="19"/>
      <c r="H37" s="19"/>
    </row>
    <row r="38" spans="1:19" x14ac:dyDescent="0.2">
      <c r="A38" s="19"/>
      <c r="B38" s="19"/>
      <c r="C38" s="19"/>
      <c r="D38" s="19"/>
      <c r="E38" s="19"/>
      <c r="F38" s="19"/>
      <c r="G38" s="19"/>
      <c r="H38" s="19"/>
    </row>
    <row r="39" spans="1:19" x14ac:dyDescent="0.2">
      <c r="A39" s="19"/>
      <c r="B39" s="19"/>
      <c r="C39" s="19"/>
      <c r="D39" s="19"/>
      <c r="E39" s="19"/>
      <c r="F39" s="19"/>
      <c r="G39" s="19"/>
      <c r="H39" s="19"/>
    </row>
    <row r="40" spans="1:19" x14ac:dyDescent="0.2">
      <c r="A40" s="19"/>
      <c r="B40" s="19"/>
      <c r="C40" s="19"/>
      <c r="D40" s="19"/>
      <c r="E40" s="19"/>
      <c r="F40" s="19"/>
      <c r="G40" s="19"/>
      <c r="H40" s="19"/>
    </row>
    <row r="41" spans="1:19" x14ac:dyDescent="0.2">
      <c r="A41" s="19"/>
      <c r="B41" s="19"/>
      <c r="C41" s="19"/>
      <c r="D41" s="19"/>
      <c r="E41" s="19"/>
      <c r="F41" s="19"/>
      <c r="G41" s="19"/>
      <c r="H41" s="19"/>
    </row>
    <row r="42" spans="1:19" x14ac:dyDescent="0.2">
      <c r="A42" s="19"/>
      <c r="B42" s="19"/>
      <c r="C42" s="19"/>
      <c r="D42" s="19"/>
      <c r="E42" s="19"/>
      <c r="F42" s="19"/>
      <c r="G42" s="19"/>
      <c r="H42" s="19"/>
    </row>
    <row r="43" spans="1:19" x14ac:dyDescent="0.2">
      <c r="A43" s="19"/>
      <c r="B43" s="19"/>
      <c r="C43" s="19"/>
      <c r="D43" s="19"/>
      <c r="E43" s="19"/>
      <c r="F43" s="19"/>
      <c r="G43" s="19"/>
      <c r="H43" s="19"/>
    </row>
    <row r="44" spans="1:19" x14ac:dyDescent="0.2">
      <c r="A44" s="19"/>
      <c r="B44" s="19"/>
      <c r="C44" s="19"/>
      <c r="D44" s="19"/>
      <c r="E44" s="19"/>
      <c r="F44" s="19"/>
      <c r="G44" s="19"/>
      <c r="H44" s="19"/>
    </row>
    <row r="45" spans="1:19" x14ac:dyDescent="0.2">
      <c r="A45" s="19"/>
      <c r="B45" s="19"/>
      <c r="C45" s="19"/>
      <c r="D45" s="19"/>
      <c r="E45" s="19"/>
      <c r="F45" s="19"/>
      <c r="G45" s="19"/>
      <c r="H45" s="19"/>
    </row>
    <row r="46" spans="1:19" x14ac:dyDescent="0.2">
      <c r="A46" s="19"/>
      <c r="B46" s="19"/>
      <c r="C46" s="19"/>
      <c r="D46" s="19"/>
      <c r="E46" s="19"/>
      <c r="F46" s="19"/>
      <c r="G46" s="19"/>
      <c r="H46" s="19"/>
    </row>
    <row r="47" spans="1:19" x14ac:dyDescent="0.2">
      <c r="A47" s="19"/>
      <c r="B47" s="19"/>
      <c r="C47" s="19"/>
      <c r="D47" s="19"/>
      <c r="E47" s="19"/>
      <c r="F47" s="19"/>
      <c r="G47" s="19"/>
      <c r="H47" s="19"/>
    </row>
    <row r="48" spans="1:19" x14ac:dyDescent="0.2">
      <c r="A48" s="19"/>
      <c r="B48" s="19"/>
      <c r="C48" s="19"/>
      <c r="D48" s="19"/>
      <c r="E48" s="19"/>
      <c r="F48" s="19"/>
      <c r="G48" s="19"/>
      <c r="H48" s="19"/>
    </row>
    <row r="49" s="19" customFormat="1" x14ac:dyDescent="0.2"/>
    <row r="50" s="19" customFormat="1" x14ac:dyDescent="0.2"/>
    <row r="51" s="19" customFormat="1" x14ac:dyDescent="0.2"/>
    <row r="52" s="19" customFormat="1" x14ac:dyDescent="0.2"/>
    <row r="53" s="19" customFormat="1" x14ac:dyDescent="0.2"/>
    <row r="54" s="19" customFormat="1" x14ac:dyDescent="0.2"/>
    <row r="55" s="19" customFormat="1" x14ac:dyDescent="0.2"/>
    <row r="56" s="19" customFormat="1" x14ac:dyDescent="0.2"/>
    <row r="57" s="19" customForma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B23:C23"/>
    <mergeCell ref="B21:C21"/>
    <mergeCell ref="A32:H35"/>
    <mergeCell ref="B25:C25"/>
    <mergeCell ref="A28:C28"/>
    <mergeCell ref="A29:C29"/>
    <mergeCell ref="A30:H30"/>
    <mergeCell ref="A31:H31"/>
    <mergeCell ref="B17:C17"/>
    <mergeCell ref="B19:C19"/>
    <mergeCell ref="D14:E14"/>
    <mergeCell ref="F14:G14"/>
    <mergeCell ref="A1:C1"/>
    <mergeCell ref="D7:E7"/>
    <mergeCell ref="F7:G7"/>
    <mergeCell ref="B12:H12"/>
    <mergeCell ref="D1:H1"/>
    <mergeCell ref="A3:H3"/>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60"/>
  <sheetViews>
    <sheetView topLeftCell="A8" zoomScaleNormal="100" workbookViewId="0">
      <selection activeCell="G27" sqref="G27"/>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438</v>
      </c>
      <c r="B3" s="1673"/>
      <c r="C3" s="1673"/>
      <c r="D3" s="1673"/>
      <c r="E3" s="1673"/>
      <c r="F3" s="1673"/>
      <c r="G3" s="1673"/>
      <c r="H3" s="1674"/>
    </row>
    <row r="4" spans="1:38" ht="15" customHeight="1" x14ac:dyDescent="0.2">
      <c r="A4" s="995"/>
      <c r="B4" s="363" t="s">
        <v>141</v>
      </c>
      <c r="C4" s="364" t="s">
        <v>111</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25</v>
      </c>
      <c r="E9" s="514">
        <v>0</v>
      </c>
      <c r="F9" s="514">
        <v>0</v>
      </c>
      <c r="G9" s="515">
        <v>0</v>
      </c>
      <c r="H9" s="500">
        <f>SUM(D9:G9)</f>
        <v>25</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17</v>
      </c>
      <c r="E10" s="1000">
        <v>4</v>
      </c>
      <c r="F10" s="1000">
        <v>0</v>
      </c>
      <c r="G10" s="1001"/>
      <c r="H10" s="1002">
        <f>SUM(D10:G10)</f>
        <v>21</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42</v>
      </c>
      <c r="E11" s="502">
        <f>SUM(E9:E10)</f>
        <v>4</v>
      </c>
      <c r="F11" s="503">
        <f>SUM(F9:F10)</f>
        <v>0</v>
      </c>
      <c r="G11" s="504">
        <f>SUM(G9:G10)</f>
        <v>0</v>
      </c>
      <c r="H11" s="505">
        <f>SUM(D11:G11)</f>
        <v>46</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1156" t="s">
        <v>876</v>
      </c>
      <c r="F15" s="1156" t="s">
        <v>875</v>
      </c>
      <c r="G15" s="1156"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1163"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1160">
        <v>3</v>
      </c>
      <c r="E20" s="1161">
        <v>0</v>
      </c>
      <c r="F20" s="1161">
        <v>0</v>
      </c>
      <c r="G20" s="1162">
        <v>0</v>
      </c>
      <c r="H20" s="444">
        <f t="shared" si="0"/>
        <v>3</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v>0</v>
      </c>
      <c r="E21" s="1000">
        <v>0</v>
      </c>
      <c r="F21" s="1000">
        <v>0</v>
      </c>
      <c r="G21" s="1001">
        <v>0</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v>4</v>
      </c>
      <c r="E22" s="1000">
        <v>0</v>
      </c>
      <c r="F22" s="1000">
        <v>0</v>
      </c>
      <c r="G22" s="1001">
        <v>0</v>
      </c>
      <c r="H22" s="444">
        <f t="shared" si="0"/>
        <v>4</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1157">
        <v>0</v>
      </c>
      <c r="E23" s="1158">
        <v>0</v>
      </c>
      <c r="F23" s="1158">
        <v>0</v>
      </c>
      <c r="G23" s="1159">
        <v>0</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1160" t="s">
        <v>646</v>
      </c>
      <c r="E27" s="1161" t="s">
        <v>646</v>
      </c>
      <c r="F27" s="1161" t="s">
        <v>646</v>
      </c>
      <c r="G27" s="1162"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968</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5" thickTop="1" x14ac:dyDescent="0.2">
      <c r="A36" s="19"/>
      <c r="B36" s="19"/>
      <c r="C36" s="19"/>
      <c r="D36" s="19"/>
      <c r="E36" s="19"/>
      <c r="F36" s="19"/>
      <c r="G36" s="19"/>
      <c r="H36" s="19"/>
    </row>
    <row r="37" spans="1:19" x14ac:dyDescent="0.2">
      <c r="A37" s="19"/>
      <c r="B37" s="19"/>
      <c r="C37" s="19"/>
      <c r="D37" s="19"/>
      <c r="E37" s="19"/>
      <c r="F37" s="19"/>
      <c r="G37" s="19"/>
      <c r="H37" s="19"/>
    </row>
    <row r="38" spans="1:19" x14ac:dyDescent="0.2">
      <c r="A38" s="19"/>
      <c r="B38" s="19"/>
      <c r="C38" s="19"/>
      <c r="D38" s="19"/>
      <c r="E38" s="19"/>
      <c r="F38" s="19"/>
      <c r="G38" s="19"/>
      <c r="H38" s="19"/>
    </row>
    <row r="39" spans="1:19" x14ac:dyDescent="0.2">
      <c r="A39" s="19"/>
      <c r="B39" s="19"/>
      <c r="C39" s="19"/>
      <c r="D39" s="19"/>
      <c r="E39" s="19"/>
      <c r="F39" s="19"/>
      <c r="G39" s="19"/>
      <c r="H39" s="19"/>
    </row>
    <row r="40" spans="1:19" x14ac:dyDescent="0.2">
      <c r="A40" s="19"/>
      <c r="B40" s="19"/>
      <c r="C40" s="19"/>
      <c r="D40" s="19"/>
      <c r="E40" s="19"/>
      <c r="F40" s="19"/>
      <c r="G40" s="19"/>
      <c r="H40" s="19"/>
    </row>
    <row r="41" spans="1:19" x14ac:dyDescent="0.2">
      <c r="A41" s="19"/>
      <c r="B41" s="19"/>
      <c r="C41" s="19"/>
      <c r="D41" s="19"/>
      <c r="E41" s="19"/>
      <c r="F41" s="19"/>
      <c r="G41" s="19"/>
      <c r="H41" s="19"/>
    </row>
    <row r="42" spans="1:19" x14ac:dyDescent="0.2">
      <c r="A42" s="19"/>
      <c r="B42" s="19"/>
      <c r="C42" s="19"/>
      <c r="D42" s="19"/>
      <c r="E42" s="19"/>
      <c r="F42" s="19"/>
      <c r="G42" s="19"/>
      <c r="H42" s="19"/>
    </row>
    <row r="43" spans="1:19" x14ac:dyDescent="0.2">
      <c r="A43" s="19"/>
      <c r="B43" s="19"/>
      <c r="C43" s="19"/>
      <c r="D43" s="19"/>
      <c r="E43" s="19"/>
      <c r="F43" s="19"/>
      <c r="G43" s="19"/>
      <c r="H43" s="19"/>
    </row>
    <row r="44" spans="1:19" x14ac:dyDescent="0.2">
      <c r="A44" s="19"/>
      <c r="B44" s="19"/>
      <c r="C44" s="19"/>
      <c r="D44" s="19"/>
      <c r="E44" s="19"/>
      <c r="F44" s="19"/>
      <c r="G44" s="19"/>
      <c r="H44" s="19"/>
    </row>
    <row r="45" spans="1:19" x14ac:dyDescent="0.2">
      <c r="A45" s="19"/>
      <c r="B45" s="19"/>
      <c r="C45" s="19"/>
      <c r="D45" s="19"/>
      <c r="E45" s="19"/>
      <c r="F45" s="19"/>
      <c r="G45" s="19"/>
      <c r="H45" s="19"/>
    </row>
    <row r="46" spans="1:19" x14ac:dyDescent="0.2">
      <c r="A46" s="19"/>
      <c r="B46" s="19"/>
      <c r="C46" s="19"/>
      <c r="D46" s="19"/>
      <c r="E46" s="19"/>
      <c r="F46" s="19"/>
      <c r="G46" s="19"/>
      <c r="H46" s="19"/>
    </row>
    <row r="47" spans="1:19" x14ac:dyDescent="0.2">
      <c r="A47" s="19"/>
      <c r="B47" s="19"/>
      <c r="C47" s="19"/>
      <c r="D47" s="19"/>
      <c r="E47" s="19"/>
      <c r="F47" s="19"/>
      <c r="G47" s="19"/>
      <c r="H47" s="19"/>
    </row>
    <row r="48" spans="1:19" x14ac:dyDescent="0.2">
      <c r="A48" s="19"/>
      <c r="B48" s="19"/>
      <c r="C48" s="19"/>
      <c r="D48" s="19"/>
      <c r="E48" s="19"/>
      <c r="F48" s="19"/>
      <c r="G48" s="19"/>
      <c r="H48" s="19"/>
    </row>
    <row r="49" s="19" customFormat="1" x14ac:dyDescent="0.2"/>
    <row r="50" s="19" customFormat="1" x14ac:dyDescent="0.2"/>
    <row r="51" s="19" customFormat="1" x14ac:dyDescent="0.2"/>
    <row r="52" s="19" customFormat="1" x14ac:dyDescent="0.2"/>
    <row r="53" s="19" customFormat="1" x14ac:dyDescent="0.2"/>
    <row r="54" s="19" customFormat="1" x14ac:dyDescent="0.2"/>
    <row r="55" s="19" customFormat="1" x14ac:dyDescent="0.2"/>
    <row r="56" s="19" customFormat="1" x14ac:dyDescent="0.2"/>
    <row r="57" s="19" customForma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row r="158" s="19" customFormat="1" x14ac:dyDescent="0.2"/>
    <row r="159" s="19" customFormat="1" x14ac:dyDescent="0.2"/>
    <row r="160" s="19" customFormat="1" x14ac:dyDescent="0.2"/>
  </sheetData>
  <mergeCells count="18">
    <mergeCell ref="A31:H31"/>
    <mergeCell ref="A32:H35"/>
    <mergeCell ref="D14:E14"/>
    <mergeCell ref="F14:G14"/>
    <mergeCell ref="B25:C25"/>
    <mergeCell ref="A29:C29"/>
    <mergeCell ref="B21:C21"/>
    <mergeCell ref="B19:C19"/>
    <mergeCell ref="B17:C17"/>
    <mergeCell ref="A28:C28"/>
    <mergeCell ref="D1:H1"/>
    <mergeCell ref="A3:H3"/>
    <mergeCell ref="A30:H30"/>
    <mergeCell ref="A1:C1"/>
    <mergeCell ref="D7:E7"/>
    <mergeCell ref="F7:G7"/>
    <mergeCell ref="B12:H12"/>
    <mergeCell ref="B23:C23"/>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AL160"/>
  <sheetViews>
    <sheetView topLeftCell="A6" zoomScaleNormal="100" workbookViewId="0">
      <selection activeCell="G27" sqref="G27"/>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437</v>
      </c>
      <c r="B3" s="1673"/>
      <c r="C3" s="1673"/>
      <c r="D3" s="1673"/>
      <c r="E3" s="1673"/>
      <c r="F3" s="1673"/>
      <c r="G3" s="1673"/>
      <c r="H3" s="1674"/>
    </row>
    <row r="4" spans="1:38" ht="15" customHeight="1" x14ac:dyDescent="0.2">
      <c r="A4" s="995"/>
      <c r="B4" s="363" t="s">
        <v>141</v>
      </c>
      <c r="C4" s="364" t="s">
        <v>112</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101</v>
      </c>
      <c r="E9" s="514">
        <v>134</v>
      </c>
      <c r="F9" s="514">
        <v>0</v>
      </c>
      <c r="G9" s="515">
        <v>2</v>
      </c>
      <c r="H9" s="500">
        <f>SUM(D9:G9)</f>
        <v>237</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32</v>
      </c>
      <c r="E10" s="1000">
        <v>69</v>
      </c>
      <c r="F10" s="1000">
        <v>1</v>
      </c>
      <c r="G10" s="1001">
        <v>2</v>
      </c>
      <c r="H10" s="1002">
        <f>SUM(D10:G10)</f>
        <v>104</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133</v>
      </c>
      <c r="E11" s="502">
        <f>SUM(E9:E10)</f>
        <v>203</v>
      </c>
      <c r="F11" s="503">
        <f>SUM(F9:F10)</f>
        <v>1</v>
      </c>
      <c r="G11" s="504">
        <f>SUM(G9:G10)</f>
        <v>4</v>
      </c>
      <c r="H11" s="505">
        <f>SUM(D11:G11)</f>
        <v>341</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1156" t="s">
        <v>876</v>
      </c>
      <c r="F15" s="1156" t="s">
        <v>875</v>
      </c>
      <c r="G15" s="1156"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1163"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1160" t="s">
        <v>605</v>
      </c>
      <c r="E20" s="1161" t="s">
        <v>605</v>
      </c>
      <c r="F20" s="1161" t="s">
        <v>605</v>
      </c>
      <c r="G20" s="1162"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v>7</v>
      </c>
      <c r="E22" s="1000">
        <v>11</v>
      </c>
      <c r="F22" s="1000">
        <v>0</v>
      </c>
      <c r="G22" s="1001">
        <v>0</v>
      </c>
      <c r="H22" s="444">
        <f t="shared" si="0"/>
        <v>18</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1157">
        <v>0</v>
      </c>
      <c r="E23" s="1158">
        <v>0</v>
      </c>
      <c r="F23" s="1158">
        <v>0</v>
      </c>
      <c r="G23" s="1159">
        <v>0</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v>2</v>
      </c>
      <c r="E24" s="1000">
        <v>3</v>
      </c>
      <c r="F24" s="1000">
        <v>1</v>
      </c>
      <c r="G24" s="1001"/>
      <c r="H24" s="444">
        <f t="shared" si="0"/>
        <v>6</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v>0</v>
      </c>
      <c r="E25" s="1000">
        <v>0</v>
      </c>
      <c r="F25" s="1000">
        <v>0</v>
      </c>
      <c r="G25" s="1001">
        <v>0</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1160" t="s">
        <v>646</v>
      </c>
      <c r="E27" s="1161" t="s">
        <v>646</v>
      </c>
      <c r="F27" s="1161" t="s">
        <v>646</v>
      </c>
      <c r="G27" s="1162"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972</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5" thickTop="1" x14ac:dyDescent="0.2">
      <c r="A36" s="19"/>
      <c r="B36" s="19"/>
      <c r="C36" s="19"/>
      <c r="D36" s="19"/>
      <c r="E36" s="19"/>
      <c r="F36" s="19"/>
      <c r="G36" s="19"/>
      <c r="H36" s="19"/>
    </row>
    <row r="37" spans="1:19" x14ac:dyDescent="0.2">
      <c r="A37" s="19"/>
      <c r="B37" s="19"/>
      <c r="C37" s="19"/>
      <c r="D37" s="19"/>
      <c r="E37" s="19"/>
      <c r="F37" s="19"/>
      <c r="G37" s="19"/>
      <c r="H37" s="19"/>
    </row>
    <row r="38" spans="1:19" x14ac:dyDescent="0.2">
      <c r="A38" s="19"/>
      <c r="B38" s="19"/>
      <c r="C38" s="19"/>
      <c r="D38" s="19"/>
      <c r="E38" s="19"/>
      <c r="F38" s="19"/>
      <c r="G38" s="19"/>
      <c r="H38" s="19"/>
    </row>
    <row r="39" spans="1:19" x14ac:dyDescent="0.2">
      <c r="A39" s="19"/>
      <c r="B39" s="19"/>
      <c r="C39" s="19"/>
      <c r="D39" s="19"/>
      <c r="E39" s="19"/>
      <c r="F39" s="19"/>
      <c r="G39" s="19"/>
      <c r="H39" s="19"/>
    </row>
    <row r="40" spans="1:19" x14ac:dyDescent="0.2">
      <c r="A40" s="19"/>
      <c r="B40" s="19"/>
      <c r="C40" s="19"/>
      <c r="D40" s="19"/>
      <c r="E40" s="19"/>
      <c r="F40" s="19"/>
      <c r="G40" s="19"/>
      <c r="H40" s="19"/>
    </row>
    <row r="41" spans="1:19" x14ac:dyDescent="0.2">
      <c r="A41" s="19"/>
      <c r="B41" s="19"/>
      <c r="C41" s="19"/>
      <c r="D41" s="19"/>
      <c r="E41" s="19"/>
      <c r="F41" s="19"/>
      <c r="G41" s="19"/>
      <c r="H41" s="19"/>
    </row>
    <row r="42" spans="1:19" x14ac:dyDescent="0.2">
      <c r="A42" s="19"/>
      <c r="B42" s="19"/>
      <c r="C42" s="19"/>
      <c r="D42" s="19"/>
      <c r="E42" s="19"/>
      <c r="F42" s="19"/>
      <c r="G42" s="19"/>
      <c r="H42" s="19"/>
    </row>
    <row r="43" spans="1:19" x14ac:dyDescent="0.2">
      <c r="A43" s="19"/>
      <c r="B43" s="19"/>
      <c r="C43" s="19"/>
      <c r="D43" s="19"/>
      <c r="E43" s="19"/>
      <c r="F43" s="19"/>
      <c r="G43" s="19"/>
      <c r="H43" s="19"/>
    </row>
    <row r="44" spans="1:19" x14ac:dyDescent="0.2">
      <c r="A44" s="19"/>
      <c r="B44" s="19"/>
      <c r="C44" s="19"/>
      <c r="D44" s="19"/>
      <c r="E44" s="19"/>
      <c r="F44" s="19"/>
      <c r="G44" s="19"/>
      <c r="H44" s="19"/>
    </row>
    <row r="45" spans="1:19" x14ac:dyDescent="0.2">
      <c r="A45" s="19"/>
      <c r="B45" s="19"/>
      <c r="C45" s="19"/>
      <c r="D45" s="19"/>
      <c r="E45" s="19"/>
      <c r="F45" s="19"/>
      <c r="G45" s="19"/>
      <c r="H45" s="19"/>
    </row>
    <row r="46" spans="1:19" x14ac:dyDescent="0.2">
      <c r="A46" s="19"/>
      <c r="B46" s="19"/>
      <c r="C46" s="19"/>
      <c r="D46" s="19"/>
      <c r="E46" s="19"/>
      <c r="F46" s="19"/>
      <c r="G46" s="19"/>
      <c r="H46" s="19"/>
    </row>
    <row r="47" spans="1:19" x14ac:dyDescent="0.2">
      <c r="A47" s="19"/>
      <c r="B47" s="19"/>
      <c r="C47" s="19"/>
      <c r="D47" s="19"/>
      <c r="E47" s="19"/>
      <c r="F47" s="19"/>
      <c r="G47" s="19"/>
      <c r="H47" s="19"/>
    </row>
    <row r="48" spans="1:19" x14ac:dyDescent="0.2">
      <c r="A48" s="19"/>
      <c r="B48" s="19"/>
      <c r="C48" s="19"/>
      <c r="D48" s="19"/>
      <c r="E48" s="19"/>
      <c r="F48" s="19"/>
      <c r="G48" s="19"/>
      <c r="H48" s="19"/>
    </row>
    <row r="49" s="19" customFormat="1" x14ac:dyDescent="0.2"/>
    <row r="50" s="19" customFormat="1" x14ac:dyDescent="0.2"/>
    <row r="51" s="19" customFormat="1" x14ac:dyDescent="0.2"/>
    <row r="52" s="19" customFormat="1" x14ac:dyDescent="0.2"/>
    <row r="53" s="19" customFormat="1" x14ac:dyDescent="0.2"/>
    <row r="54" s="19" customFormat="1" x14ac:dyDescent="0.2"/>
    <row r="55" s="19" customFormat="1" x14ac:dyDescent="0.2"/>
    <row r="56" s="19" customFormat="1" x14ac:dyDescent="0.2"/>
    <row r="57" s="19" customForma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row r="158" s="19" customFormat="1" x14ac:dyDescent="0.2"/>
    <row r="159" s="19" customFormat="1" x14ac:dyDescent="0.2"/>
    <row r="160" s="19" customFormat="1" x14ac:dyDescent="0.2"/>
  </sheetData>
  <mergeCells count="18">
    <mergeCell ref="A1:C1"/>
    <mergeCell ref="A30:H30"/>
    <mergeCell ref="A31:H31"/>
    <mergeCell ref="D1:H1"/>
    <mergeCell ref="A3:H3"/>
    <mergeCell ref="B12:H12"/>
    <mergeCell ref="B21:C21"/>
    <mergeCell ref="B19:C19"/>
    <mergeCell ref="B17:C17"/>
    <mergeCell ref="D7:E7"/>
    <mergeCell ref="F7:G7"/>
    <mergeCell ref="D14:E14"/>
    <mergeCell ref="F14:G14"/>
    <mergeCell ref="A32:H35"/>
    <mergeCell ref="B23:C23"/>
    <mergeCell ref="B25:C25"/>
    <mergeCell ref="A29:C29"/>
    <mergeCell ref="A28:C28"/>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zoomScaleNormal="100" workbookViewId="0">
      <selection activeCell="A28" sqref="A28:C28"/>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320</v>
      </c>
      <c r="B3" s="1673"/>
      <c r="C3" s="1673"/>
      <c r="D3" s="1673"/>
      <c r="E3" s="1673"/>
      <c r="F3" s="1673"/>
      <c r="G3" s="1673"/>
      <c r="H3" s="1674"/>
    </row>
    <row r="4" spans="1:38" ht="15" customHeight="1" x14ac:dyDescent="0.2">
      <c r="A4" s="995"/>
      <c r="B4" s="363" t="s">
        <v>141</v>
      </c>
      <c r="C4" s="364" t="s">
        <v>125</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t="s">
        <v>605</v>
      </c>
      <c r="E9" s="514" t="s">
        <v>605</v>
      </c>
      <c r="F9" s="514" t="s">
        <v>605</v>
      </c>
      <c r="G9" s="515" t="s">
        <v>605</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t="s">
        <v>605</v>
      </c>
      <c r="E10" s="1000" t="s">
        <v>605</v>
      </c>
      <c r="F10" s="1000" t="s">
        <v>605</v>
      </c>
      <c r="G10" s="1001" t="s">
        <v>605</v>
      </c>
      <c r="H10" s="1002">
        <f>SUM(D10:G10)</f>
        <v>0</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0</v>
      </c>
      <c r="E11" s="502">
        <f>SUM(E9:E10)</f>
        <v>0</v>
      </c>
      <c r="F11" s="503">
        <f>SUM(F9:F10)</f>
        <v>0</v>
      </c>
      <c r="G11" s="504">
        <f>SUM(G9:G10)</f>
        <v>0</v>
      </c>
      <c r="H11" s="505">
        <f>SUM(D11:G11)</f>
        <v>0</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t="s">
        <v>605</v>
      </c>
      <c r="E23" s="1000" t="s">
        <v>605</v>
      </c>
      <c r="F23" s="1000" t="s">
        <v>605</v>
      </c>
      <c r="G23" s="1001"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605</v>
      </c>
      <c r="E27" s="1000" t="s">
        <v>605</v>
      </c>
      <c r="F27" s="1000" t="s">
        <v>605</v>
      </c>
      <c r="G27" s="1001" t="s">
        <v>605</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605</v>
      </c>
      <c r="E28" s="1000" t="s">
        <v>605</v>
      </c>
      <c r="F28" s="1000" t="s">
        <v>605</v>
      </c>
      <c r="G28" s="1001" t="s">
        <v>605</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605</v>
      </c>
      <c r="E29" s="1007" t="s">
        <v>605</v>
      </c>
      <c r="F29" s="1007" t="s">
        <v>605</v>
      </c>
      <c r="G29" s="1008" t="s">
        <v>605</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5" thickTop="1" x14ac:dyDescent="0.2">
      <c r="A36" s="19"/>
      <c r="B36" s="19"/>
      <c r="C36" s="19"/>
      <c r="D36" s="19"/>
      <c r="E36" s="19"/>
      <c r="F36" s="19"/>
      <c r="G36" s="19"/>
      <c r="H36" s="19"/>
    </row>
    <row r="37" spans="1:19" x14ac:dyDescent="0.2">
      <c r="A37" s="19"/>
      <c r="B37" s="19"/>
      <c r="C37" s="19"/>
      <c r="D37" s="19"/>
      <c r="E37" s="19"/>
      <c r="F37" s="19"/>
      <c r="G37" s="19"/>
      <c r="H37" s="19"/>
    </row>
    <row r="38" spans="1:19" x14ac:dyDescent="0.2">
      <c r="A38" s="19"/>
      <c r="B38" s="19"/>
      <c r="C38" s="19"/>
      <c r="D38" s="19"/>
      <c r="E38" s="19"/>
      <c r="F38" s="19"/>
      <c r="G38" s="19"/>
      <c r="H38" s="19"/>
    </row>
    <row r="39" spans="1:19" x14ac:dyDescent="0.2">
      <c r="A39" s="19"/>
      <c r="B39" s="19"/>
      <c r="C39" s="19"/>
      <c r="D39" s="19"/>
      <c r="E39" s="19"/>
      <c r="F39" s="19"/>
      <c r="G39" s="19"/>
      <c r="H39" s="19"/>
    </row>
    <row r="40" spans="1:19" x14ac:dyDescent="0.2">
      <c r="A40" s="19"/>
      <c r="B40" s="19"/>
      <c r="C40" s="19"/>
      <c r="D40" s="19"/>
      <c r="E40" s="19"/>
      <c r="F40" s="19"/>
      <c r="G40" s="19"/>
      <c r="H40" s="19"/>
    </row>
    <row r="41" spans="1:19" x14ac:dyDescent="0.2">
      <c r="A41" s="19"/>
      <c r="B41" s="19"/>
      <c r="C41" s="19"/>
      <c r="D41" s="19"/>
      <c r="E41" s="19"/>
      <c r="F41" s="19"/>
      <c r="G41" s="19"/>
      <c r="H41" s="19"/>
    </row>
    <row r="42" spans="1:19" x14ac:dyDescent="0.2">
      <c r="A42" s="19"/>
      <c r="B42" s="19"/>
      <c r="C42" s="19"/>
      <c r="D42" s="19"/>
      <c r="E42" s="19"/>
      <c r="F42" s="19"/>
      <c r="G42" s="19"/>
      <c r="H42" s="19"/>
    </row>
    <row r="43" spans="1:19" x14ac:dyDescent="0.2">
      <c r="A43" s="19"/>
      <c r="B43" s="19"/>
      <c r="C43" s="19"/>
      <c r="D43" s="19"/>
      <c r="E43" s="19"/>
      <c r="F43" s="19"/>
      <c r="G43" s="19"/>
      <c r="H43" s="19"/>
    </row>
    <row r="44" spans="1:19" x14ac:dyDescent="0.2">
      <c r="A44" s="19"/>
      <c r="B44" s="19"/>
      <c r="C44" s="19"/>
      <c r="D44" s="19"/>
      <c r="E44" s="19"/>
      <c r="F44" s="19"/>
      <c r="G44" s="19"/>
      <c r="H44" s="19"/>
    </row>
    <row r="45" spans="1:19" x14ac:dyDescent="0.2">
      <c r="A45" s="19"/>
      <c r="B45" s="19"/>
      <c r="C45" s="19"/>
      <c r="D45" s="19"/>
      <c r="E45" s="19"/>
      <c r="F45" s="19"/>
      <c r="G45" s="19"/>
      <c r="H45" s="19"/>
    </row>
    <row r="46" spans="1:19" x14ac:dyDescent="0.2">
      <c r="A46" s="19"/>
      <c r="B46" s="19"/>
      <c r="C46" s="19"/>
      <c r="D46" s="19"/>
      <c r="E46" s="19"/>
      <c r="F46" s="19"/>
      <c r="G46" s="19"/>
      <c r="H46" s="19"/>
    </row>
    <row r="47" spans="1:19" x14ac:dyDescent="0.2">
      <c r="A47" s="19"/>
      <c r="B47" s="19"/>
      <c r="C47" s="19"/>
      <c r="D47" s="19"/>
      <c r="E47" s="19"/>
      <c r="F47" s="19"/>
      <c r="G47" s="19"/>
      <c r="H47" s="19"/>
    </row>
    <row r="48" spans="1:19" x14ac:dyDescent="0.2">
      <c r="A48" s="19"/>
      <c r="B48" s="19"/>
      <c r="C48" s="19"/>
      <c r="D48" s="19"/>
      <c r="E48" s="19"/>
      <c r="F48" s="19"/>
      <c r="G48" s="19"/>
      <c r="H48" s="19"/>
    </row>
    <row r="49" s="19" customFormat="1" x14ac:dyDescent="0.2"/>
    <row r="50" s="19" customFormat="1" x14ac:dyDescent="0.2"/>
    <row r="51" s="19" customFormat="1" x14ac:dyDescent="0.2"/>
    <row r="52" s="19" customFormat="1" x14ac:dyDescent="0.2"/>
    <row r="53" s="19" customFormat="1" x14ac:dyDescent="0.2"/>
    <row r="54" s="19" customFormat="1" x14ac:dyDescent="0.2"/>
    <row r="55" s="19" customFormat="1" x14ac:dyDescent="0.2"/>
    <row r="56" s="19" customFormat="1" x14ac:dyDescent="0.2"/>
    <row r="57" s="19" customForma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B23:C23"/>
    <mergeCell ref="B21:C21"/>
    <mergeCell ref="A32:H35"/>
    <mergeCell ref="B25:C25"/>
    <mergeCell ref="A28:C28"/>
    <mergeCell ref="A29:C29"/>
    <mergeCell ref="A30:H30"/>
    <mergeCell ref="A31:H31"/>
    <mergeCell ref="B17:C17"/>
    <mergeCell ref="B19:C19"/>
    <mergeCell ref="D14:E14"/>
    <mergeCell ref="F14:G14"/>
    <mergeCell ref="A1:C1"/>
    <mergeCell ref="D7:E7"/>
    <mergeCell ref="F7:G7"/>
    <mergeCell ref="B12:H12"/>
    <mergeCell ref="D1:H1"/>
    <mergeCell ref="A3:H3"/>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topLeftCell="A9" zoomScaleNormal="100" workbookViewId="0">
      <selection activeCell="A32" sqref="A32:H35"/>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783</v>
      </c>
      <c r="B3" s="1673"/>
      <c r="C3" s="1673"/>
      <c r="D3" s="1673"/>
      <c r="E3" s="1673"/>
      <c r="F3" s="1673"/>
      <c r="G3" s="1673"/>
      <c r="H3" s="1674"/>
    </row>
    <row r="4" spans="1:38" ht="15" customHeight="1" x14ac:dyDescent="0.2">
      <c r="A4" s="995"/>
      <c r="B4" s="363" t="s">
        <v>141</v>
      </c>
      <c r="C4" s="364" t="s">
        <v>126</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21</v>
      </c>
      <c r="E9" s="514">
        <v>19</v>
      </c>
      <c r="F9" s="514">
        <v>2</v>
      </c>
      <c r="G9" s="515">
        <v>0</v>
      </c>
      <c r="H9" s="500">
        <f>SUM(D9:G9)</f>
        <v>42</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14</v>
      </c>
      <c r="E10" s="1000">
        <v>9</v>
      </c>
      <c r="F10" s="1000">
        <v>0</v>
      </c>
      <c r="G10" s="1001">
        <v>0</v>
      </c>
      <c r="H10" s="1002">
        <f>SUM(D10:G10)</f>
        <v>23</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35</v>
      </c>
      <c r="E11" s="502">
        <f>SUM(E9:E10)</f>
        <v>28</v>
      </c>
      <c r="F11" s="503">
        <f>SUM(F9:F10)</f>
        <v>2</v>
      </c>
      <c r="G11" s="504">
        <f>SUM(G9:G10)</f>
        <v>0</v>
      </c>
      <c r="H11" s="505">
        <f>SUM(D11:G11)</f>
        <v>65</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v>0</v>
      </c>
      <c r="E22" s="1000">
        <v>0</v>
      </c>
      <c r="F22" s="1000">
        <v>0</v>
      </c>
      <c r="G22" s="1001">
        <v>0</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v>0</v>
      </c>
      <c r="E23" s="1000">
        <v>0</v>
      </c>
      <c r="F23" s="1000">
        <v>0</v>
      </c>
      <c r="G23" s="1001">
        <v>0</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v>2</v>
      </c>
      <c r="E24" s="1000">
        <v>0</v>
      </c>
      <c r="F24" s="1000">
        <v>0</v>
      </c>
      <c r="G24" s="1001">
        <v>0</v>
      </c>
      <c r="H24" s="444">
        <f t="shared" si="0"/>
        <v>2</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v>0</v>
      </c>
      <c r="E25" s="1000">
        <v>0</v>
      </c>
      <c r="F25" s="1000">
        <v>0</v>
      </c>
      <c r="G25" s="1001">
        <v>0</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646</v>
      </c>
      <c r="E27" s="1000" t="s">
        <v>646</v>
      </c>
      <c r="F27" s="1000" t="s">
        <v>646</v>
      </c>
      <c r="G27" s="1001"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973</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5" thickTop="1" x14ac:dyDescent="0.2">
      <c r="A36" s="19"/>
      <c r="B36" s="19"/>
      <c r="C36" s="19"/>
      <c r="D36" s="19"/>
      <c r="E36" s="19"/>
      <c r="F36" s="19"/>
      <c r="G36" s="19"/>
      <c r="H36" s="19"/>
    </row>
    <row r="37" spans="1:19" x14ac:dyDescent="0.2">
      <c r="A37" s="19"/>
      <c r="B37" s="19"/>
      <c r="C37" s="19"/>
      <c r="D37" s="19"/>
      <c r="E37" s="19"/>
      <c r="F37" s="19"/>
      <c r="G37" s="19"/>
      <c r="H37" s="19"/>
    </row>
    <row r="38" spans="1:19" x14ac:dyDescent="0.2">
      <c r="A38" s="19"/>
      <c r="B38" s="19"/>
      <c r="C38" s="19"/>
      <c r="D38" s="19"/>
      <c r="E38" s="19"/>
      <c r="F38" s="19"/>
      <c r="G38" s="19"/>
      <c r="H38" s="19"/>
    </row>
    <row r="39" spans="1:19" x14ac:dyDescent="0.2">
      <c r="A39" s="19"/>
      <c r="B39" s="19"/>
      <c r="C39" s="19"/>
      <c r="D39" s="19"/>
      <c r="E39" s="19"/>
      <c r="F39" s="19"/>
      <c r="G39" s="19"/>
      <c r="H39" s="19"/>
    </row>
    <row r="40" spans="1:19" x14ac:dyDescent="0.2">
      <c r="A40" s="19"/>
      <c r="B40" s="19"/>
      <c r="C40" s="19"/>
      <c r="D40" s="19"/>
      <c r="E40" s="19"/>
      <c r="F40" s="19"/>
      <c r="G40" s="19"/>
      <c r="H40" s="19"/>
    </row>
    <row r="41" spans="1:19" x14ac:dyDescent="0.2">
      <c r="A41" s="19"/>
      <c r="B41" s="19"/>
      <c r="C41" s="19"/>
      <c r="D41" s="19"/>
      <c r="E41" s="19"/>
      <c r="F41" s="19"/>
      <c r="G41" s="19"/>
      <c r="H41" s="19"/>
    </row>
    <row r="42" spans="1:19" x14ac:dyDescent="0.2">
      <c r="A42" s="19"/>
      <c r="B42" s="19"/>
      <c r="C42" s="19"/>
      <c r="D42" s="19"/>
      <c r="E42" s="19"/>
      <c r="F42" s="19"/>
      <c r="G42" s="19"/>
      <c r="H42" s="19"/>
    </row>
    <row r="43" spans="1:19" x14ac:dyDescent="0.2">
      <c r="A43" s="19"/>
      <c r="B43" s="19"/>
      <c r="C43" s="19"/>
      <c r="D43" s="19"/>
      <c r="E43" s="19"/>
      <c r="F43" s="19"/>
      <c r="G43" s="19"/>
      <c r="H43" s="19"/>
    </row>
    <row r="44" spans="1:19" x14ac:dyDescent="0.2">
      <c r="A44" s="19"/>
      <c r="B44" s="19"/>
      <c r="C44" s="19"/>
      <c r="D44" s="19"/>
      <c r="E44" s="19"/>
      <c r="F44" s="19"/>
      <c r="G44" s="19"/>
      <c r="H44" s="19"/>
    </row>
    <row r="45" spans="1:19" x14ac:dyDescent="0.2">
      <c r="A45" s="19"/>
      <c r="B45" s="19"/>
      <c r="C45" s="19"/>
      <c r="D45" s="19"/>
      <c r="E45" s="19"/>
      <c r="F45" s="19"/>
      <c r="G45" s="19"/>
      <c r="H45" s="19"/>
    </row>
    <row r="46" spans="1:19" x14ac:dyDescent="0.2">
      <c r="A46" s="19"/>
      <c r="B46" s="19"/>
      <c r="C46" s="19"/>
      <c r="D46" s="19"/>
      <c r="E46" s="19"/>
      <c r="F46" s="19"/>
      <c r="G46" s="19"/>
      <c r="H46" s="19"/>
    </row>
    <row r="47" spans="1:19" x14ac:dyDescent="0.2">
      <c r="A47" s="19"/>
      <c r="B47" s="19"/>
      <c r="C47" s="19"/>
      <c r="D47" s="19"/>
      <c r="E47" s="19"/>
      <c r="F47" s="19"/>
      <c r="G47" s="19"/>
      <c r="H47" s="19"/>
    </row>
    <row r="48" spans="1:19" x14ac:dyDescent="0.2">
      <c r="A48" s="19"/>
      <c r="B48" s="19"/>
      <c r="C48" s="19"/>
      <c r="D48" s="19"/>
      <c r="E48" s="19"/>
      <c r="F48" s="19"/>
      <c r="G48" s="19"/>
      <c r="H48" s="19"/>
    </row>
    <row r="49" s="19" customFormat="1" x14ac:dyDescent="0.2"/>
    <row r="50" s="19" customFormat="1" x14ac:dyDescent="0.2"/>
    <row r="51" s="19" customFormat="1" x14ac:dyDescent="0.2"/>
    <row r="52" s="19" customFormat="1" x14ac:dyDescent="0.2"/>
    <row r="53" s="19" customFormat="1" x14ac:dyDescent="0.2"/>
    <row r="54" s="19" customFormat="1" x14ac:dyDescent="0.2"/>
    <row r="55" s="19" customFormat="1" x14ac:dyDescent="0.2"/>
    <row r="56" s="19" customFormat="1" x14ac:dyDescent="0.2"/>
    <row r="57" s="19" customForma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B23:C23"/>
    <mergeCell ref="B21:C21"/>
    <mergeCell ref="A32:H35"/>
    <mergeCell ref="B25:C25"/>
    <mergeCell ref="A28:C28"/>
    <mergeCell ref="A29:C29"/>
    <mergeCell ref="A30:H30"/>
    <mergeCell ref="A31:H31"/>
    <mergeCell ref="B17:C17"/>
    <mergeCell ref="B19:C19"/>
    <mergeCell ref="D14:E14"/>
    <mergeCell ref="F14:G14"/>
    <mergeCell ref="A1:C1"/>
    <mergeCell ref="D7:E7"/>
    <mergeCell ref="F7:G7"/>
    <mergeCell ref="B12:H12"/>
    <mergeCell ref="D1:H1"/>
    <mergeCell ref="A3:H3"/>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AL157"/>
  <sheetViews>
    <sheetView zoomScaleNormal="100" workbookViewId="0">
      <selection activeCell="D16" activeCellId="1" sqref="D9:G10 D16:G29"/>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344</v>
      </c>
      <c r="B3" s="1673"/>
      <c r="C3" s="1673"/>
      <c r="D3" s="1673"/>
      <c r="E3" s="1673"/>
      <c r="F3" s="1673"/>
      <c r="G3" s="1673"/>
      <c r="H3" s="1674"/>
    </row>
    <row r="4" spans="1:38" ht="15" customHeight="1" x14ac:dyDescent="0.2">
      <c r="A4" s="995"/>
      <c r="B4" s="363" t="s">
        <v>141</v>
      </c>
      <c r="C4" s="364" t="s">
        <v>113</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t="s">
        <v>605</v>
      </c>
      <c r="E9" s="514" t="s">
        <v>605</v>
      </c>
      <c r="F9" s="514" t="s">
        <v>605</v>
      </c>
      <c r="G9" s="515" t="s">
        <v>605</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t="s">
        <v>605</v>
      </c>
      <c r="E10" s="1000" t="s">
        <v>605</v>
      </c>
      <c r="F10" s="1000" t="s">
        <v>605</v>
      </c>
      <c r="G10" s="1001" t="s">
        <v>605</v>
      </c>
      <c r="H10" s="1002">
        <f>SUM(D10:G10)</f>
        <v>0</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0</v>
      </c>
      <c r="E11" s="502">
        <f>SUM(E9:E10)</f>
        <v>0</v>
      </c>
      <c r="F11" s="503">
        <f>SUM(F9:F10)</f>
        <v>0</v>
      </c>
      <c r="G11" s="504">
        <f>SUM(G9:G10)</f>
        <v>0</v>
      </c>
      <c r="H11" s="505">
        <f>SUM(D11:G11)</f>
        <v>0</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1156" t="s">
        <v>876</v>
      </c>
      <c r="F15" s="1156" t="s">
        <v>875</v>
      </c>
      <c r="G15" s="1156"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1163"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1160" t="s">
        <v>605</v>
      </c>
      <c r="E20" s="1161" t="s">
        <v>605</v>
      </c>
      <c r="F20" s="1161" t="s">
        <v>605</v>
      </c>
      <c r="G20" s="1162"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1157" t="s">
        <v>605</v>
      </c>
      <c r="E23" s="1158" t="s">
        <v>605</v>
      </c>
      <c r="F23" s="1158" t="s">
        <v>605</v>
      </c>
      <c r="G23" s="1159"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1160" t="s">
        <v>605</v>
      </c>
      <c r="E27" s="1161" t="s">
        <v>605</v>
      </c>
      <c r="F27" s="1161" t="s">
        <v>605</v>
      </c>
      <c r="G27" s="1162" t="s">
        <v>605</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605</v>
      </c>
      <c r="E28" s="1000" t="s">
        <v>605</v>
      </c>
      <c r="F28" s="1000" t="s">
        <v>605</v>
      </c>
      <c r="G28" s="1001" t="s">
        <v>605</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605</v>
      </c>
      <c r="E29" s="1007" t="s">
        <v>605</v>
      </c>
      <c r="F29" s="1007" t="s">
        <v>605</v>
      </c>
      <c r="G29" s="1008" t="s">
        <v>605</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5" thickTop="1" x14ac:dyDescent="0.2">
      <c r="A36" s="19"/>
      <c r="B36" s="19"/>
      <c r="C36" s="19"/>
      <c r="D36" s="19"/>
      <c r="E36" s="19"/>
      <c r="F36" s="19"/>
      <c r="G36" s="19"/>
      <c r="H36" s="19"/>
    </row>
    <row r="37" spans="1:19" x14ac:dyDescent="0.2">
      <c r="A37" s="19"/>
      <c r="B37" s="19"/>
      <c r="C37" s="19"/>
      <c r="D37" s="19"/>
      <c r="E37" s="19"/>
      <c r="F37" s="19"/>
      <c r="G37" s="19"/>
      <c r="H37" s="19"/>
    </row>
    <row r="38" spans="1:19" x14ac:dyDescent="0.2">
      <c r="A38" s="19"/>
      <c r="B38" s="19"/>
      <c r="C38" s="19"/>
      <c r="D38" s="19"/>
      <c r="E38" s="19"/>
      <c r="F38" s="19"/>
      <c r="G38" s="19"/>
      <c r="H38" s="19"/>
    </row>
    <row r="39" spans="1:19" x14ac:dyDescent="0.2">
      <c r="A39" s="19"/>
      <c r="B39" s="19"/>
      <c r="C39" s="19"/>
      <c r="D39" s="19"/>
      <c r="E39" s="19"/>
      <c r="F39" s="19"/>
      <c r="G39" s="19"/>
      <c r="H39" s="19"/>
    </row>
    <row r="40" spans="1:19" x14ac:dyDescent="0.2">
      <c r="A40" s="19"/>
      <c r="B40" s="19"/>
      <c r="C40" s="19"/>
      <c r="D40" s="19"/>
      <c r="E40" s="19"/>
      <c r="F40" s="19"/>
      <c r="G40" s="19"/>
      <c r="H40" s="19"/>
    </row>
    <row r="41" spans="1:19" x14ac:dyDescent="0.2">
      <c r="A41" s="19"/>
      <c r="B41" s="19"/>
      <c r="C41" s="19"/>
      <c r="D41" s="19"/>
      <c r="E41" s="19"/>
      <c r="F41" s="19"/>
      <c r="G41" s="19"/>
      <c r="H41" s="19"/>
    </row>
    <row r="42" spans="1:19" x14ac:dyDescent="0.2">
      <c r="A42" s="19"/>
      <c r="B42" s="19"/>
      <c r="C42" s="19"/>
      <c r="D42" s="19"/>
      <c r="E42" s="19"/>
      <c r="F42" s="19"/>
      <c r="G42" s="19"/>
      <c r="H42" s="19"/>
    </row>
    <row r="43" spans="1:19" x14ac:dyDescent="0.2">
      <c r="A43" s="19"/>
      <c r="B43" s="19"/>
      <c r="C43" s="19"/>
      <c r="D43" s="19"/>
      <c r="E43" s="19"/>
      <c r="F43" s="19"/>
      <c r="G43" s="19"/>
      <c r="H43" s="19"/>
    </row>
    <row r="44" spans="1:19" x14ac:dyDescent="0.2">
      <c r="A44" s="19"/>
      <c r="B44" s="19"/>
      <c r="C44" s="19"/>
      <c r="D44" s="19"/>
      <c r="E44" s="19"/>
      <c r="F44" s="19"/>
      <c r="G44" s="19"/>
      <c r="H44" s="19"/>
    </row>
    <row r="45" spans="1:19" x14ac:dyDescent="0.2">
      <c r="A45" s="19"/>
      <c r="B45" s="19"/>
      <c r="C45" s="19"/>
      <c r="D45" s="19"/>
      <c r="E45" s="19"/>
      <c r="F45" s="19"/>
      <c r="G45" s="19"/>
      <c r="H45" s="19"/>
    </row>
    <row r="46" spans="1:19" x14ac:dyDescent="0.2">
      <c r="A46" s="19"/>
      <c r="B46" s="19"/>
      <c r="C46" s="19"/>
      <c r="D46" s="19"/>
      <c r="E46" s="19"/>
      <c r="F46" s="19"/>
      <c r="G46" s="19"/>
      <c r="H46" s="19"/>
    </row>
    <row r="47" spans="1:19" x14ac:dyDescent="0.2">
      <c r="A47" s="19"/>
      <c r="B47" s="19"/>
      <c r="C47" s="19"/>
      <c r="D47" s="19"/>
      <c r="E47" s="19"/>
      <c r="F47" s="19"/>
      <c r="G47" s="19"/>
      <c r="H47" s="19"/>
    </row>
    <row r="48" spans="1:19" x14ac:dyDescent="0.2">
      <c r="A48" s="19"/>
      <c r="B48" s="19"/>
      <c r="C48" s="19"/>
      <c r="D48" s="19"/>
      <c r="E48" s="19"/>
      <c r="F48" s="19"/>
      <c r="G48" s="19"/>
      <c r="H48" s="19"/>
    </row>
    <row r="49" s="19" customFormat="1" x14ac:dyDescent="0.2"/>
    <row r="50" s="19" customFormat="1" x14ac:dyDescent="0.2"/>
    <row r="51" s="19" customFormat="1" x14ac:dyDescent="0.2"/>
    <row r="52" s="19" customFormat="1" x14ac:dyDescent="0.2"/>
    <row r="53" s="19" customFormat="1" x14ac:dyDescent="0.2"/>
    <row r="54" s="19" customFormat="1" x14ac:dyDescent="0.2"/>
    <row r="55" s="19" customFormat="1" x14ac:dyDescent="0.2"/>
    <row r="56" s="19" customFormat="1" x14ac:dyDescent="0.2"/>
    <row r="57" s="19" customForma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B23:C23"/>
    <mergeCell ref="B21:C21"/>
    <mergeCell ref="A32:H35"/>
    <mergeCell ref="B25:C25"/>
    <mergeCell ref="A28:C28"/>
    <mergeCell ref="A29:C29"/>
    <mergeCell ref="A30:H30"/>
    <mergeCell ref="A31:H31"/>
    <mergeCell ref="B17:C17"/>
    <mergeCell ref="B19:C19"/>
    <mergeCell ref="D14:E14"/>
    <mergeCell ref="F14:G14"/>
    <mergeCell ref="A1:C1"/>
    <mergeCell ref="D7:E7"/>
    <mergeCell ref="F7:G7"/>
    <mergeCell ref="B12:H12"/>
    <mergeCell ref="D1:H1"/>
    <mergeCell ref="A3:H3"/>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zoomScaleNormal="100" workbookViewId="0">
      <selection activeCell="A28" sqref="A28:C28"/>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343</v>
      </c>
      <c r="B3" s="1673"/>
      <c r="C3" s="1673"/>
      <c r="D3" s="1673"/>
      <c r="E3" s="1673"/>
      <c r="F3" s="1673"/>
      <c r="G3" s="1673"/>
      <c r="H3" s="1674"/>
    </row>
    <row r="4" spans="1:38" ht="15" customHeight="1" x14ac:dyDescent="0.2">
      <c r="A4" s="995"/>
      <c r="B4" s="363" t="s">
        <v>141</v>
      </c>
      <c r="C4" s="364" t="s">
        <v>114</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t="s">
        <v>605</v>
      </c>
      <c r="E9" s="514" t="s">
        <v>605</v>
      </c>
      <c r="F9" s="514" t="s">
        <v>605</v>
      </c>
      <c r="G9" s="515" t="s">
        <v>605</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t="s">
        <v>605</v>
      </c>
      <c r="E10" s="1000" t="s">
        <v>605</v>
      </c>
      <c r="F10" s="1000" t="s">
        <v>605</v>
      </c>
      <c r="G10" s="1001" t="s">
        <v>605</v>
      </c>
      <c r="H10" s="1002">
        <f>SUM(D10:G10)</f>
        <v>0</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0</v>
      </c>
      <c r="E11" s="502">
        <f>SUM(E9:E10)</f>
        <v>0</v>
      </c>
      <c r="F11" s="503">
        <f>SUM(F9:F10)</f>
        <v>0</v>
      </c>
      <c r="G11" s="504">
        <f>SUM(G9:G10)</f>
        <v>0</v>
      </c>
      <c r="H11" s="505">
        <f>SUM(D11:G11)</f>
        <v>0</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t="s">
        <v>605</v>
      </c>
      <c r="E23" s="1000" t="s">
        <v>605</v>
      </c>
      <c r="F23" s="1000" t="s">
        <v>605</v>
      </c>
      <c r="G23" s="1001"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605</v>
      </c>
      <c r="E27" s="1000" t="s">
        <v>605</v>
      </c>
      <c r="F27" s="1000" t="s">
        <v>605</v>
      </c>
      <c r="G27" s="1001" t="s">
        <v>605</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605</v>
      </c>
      <c r="E28" s="1000" t="s">
        <v>605</v>
      </c>
      <c r="F28" s="1000" t="s">
        <v>605</v>
      </c>
      <c r="G28" s="1001" t="s">
        <v>605</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605</v>
      </c>
      <c r="E29" s="1007" t="s">
        <v>605</v>
      </c>
      <c r="F29" s="1007" t="s">
        <v>605</v>
      </c>
      <c r="G29" s="1008" t="s">
        <v>605</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5" thickTop="1" x14ac:dyDescent="0.2">
      <c r="A36" s="19"/>
      <c r="B36" s="19"/>
      <c r="C36" s="19"/>
      <c r="D36" s="19"/>
      <c r="E36" s="19"/>
      <c r="F36" s="19"/>
      <c r="G36" s="19"/>
      <c r="H36" s="19"/>
    </row>
    <row r="37" spans="1:19" x14ac:dyDescent="0.2">
      <c r="A37" s="19"/>
      <c r="B37" s="19"/>
      <c r="C37" s="19"/>
      <c r="D37" s="19"/>
      <c r="E37" s="19"/>
      <c r="F37" s="19"/>
      <c r="G37" s="19"/>
      <c r="H37" s="19"/>
    </row>
    <row r="38" spans="1:19" x14ac:dyDescent="0.2">
      <c r="A38" s="19"/>
      <c r="B38" s="19"/>
      <c r="C38" s="19"/>
      <c r="D38" s="19"/>
      <c r="E38" s="19"/>
      <c r="F38" s="19"/>
      <c r="G38" s="19"/>
      <c r="H38" s="19"/>
    </row>
    <row r="39" spans="1:19" x14ac:dyDescent="0.2">
      <c r="A39" s="19"/>
      <c r="B39" s="19"/>
      <c r="C39" s="19"/>
      <c r="D39" s="19"/>
      <c r="E39" s="19"/>
      <c r="F39" s="19"/>
      <c r="G39" s="19"/>
      <c r="H39" s="19"/>
    </row>
    <row r="40" spans="1:19" x14ac:dyDescent="0.2">
      <c r="A40" s="19"/>
      <c r="B40" s="19"/>
      <c r="C40" s="19"/>
      <c r="D40" s="19"/>
      <c r="E40" s="19"/>
      <c r="F40" s="19"/>
      <c r="G40" s="19"/>
      <c r="H40" s="19"/>
    </row>
    <row r="41" spans="1:19" x14ac:dyDescent="0.2">
      <c r="A41" s="19"/>
      <c r="B41" s="19"/>
      <c r="C41" s="19"/>
      <c r="D41" s="19"/>
      <c r="E41" s="19"/>
      <c r="F41" s="19"/>
      <c r="G41" s="19"/>
      <c r="H41" s="19"/>
    </row>
    <row r="42" spans="1:19" x14ac:dyDescent="0.2">
      <c r="A42" s="19"/>
      <c r="B42" s="19"/>
      <c r="C42" s="19"/>
      <c r="D42" s="19"/>
      <c r="E42" s="19"/>
      <c r="F42" s="19"/>
      <c r="G42" s="19"/>
      <c r="H42" s="19"/>
    </row>
    <row r="43" spans="1:19" x14ac:dyDescent="0.2">
      <c r="A43" s="19"/>
      <c r="B43" s="19"/>
      <c r="C43" s="19"/>
      <c r="D43" s="19"/>
      <c r="E43" s="19"/>
      <c r="F43" s="19"/>
      <c r="G43" s="19"/>
      <c r="H43" s="19"/>
    </row>
    <row r="44" spans="1:19" x14ac:dyDescent="0.2">
      <c r="A44" s="19"/>
      <c r="B44" s="19"/>
      <c r="C44" s="19"/>
      <c r="D44" s="19"/>
      <c r="E44" s="19"/>
      <c r="F44" s="19"/>
      <c r="G44" s="19"/>
      <c r="H44" s="19"/>
    </row>
    <row r="45" spans="1:19" x14ac:dyDescent="0.2">
      <c r="A45" s="19"/>
      <c r="B45" s="19"/>
      <c r="C45" s="19"/>
      <c r="D45" s="19"/>
      <c r="E45" s="19"/>
      <c r="F45" s="19"/>
      <c r="G45" s="19"/>
      <c r="H45" s="19"/>
    </row>
    <row r="46" spans="1:19" x14ac:dyDescent="0.2">
      <c r="A46" s="19"/>
      <c r="B46" s="19"/>
      <c r="C46" s="19"/>
      <c r="D46" s="19"/>
      <c r="E46" s="19"/>
      <c r="F46" s="19"/>
      <c r="G46" s="19"/>
      <c r="H46" s="19"/>
    </row>
    <row r="47" spans="1:19" x14ac:dyDescent="0.2">
      <c r="A47" s="19"/>
      <c r="B47" s="19"/>
      <c r="C47" s="19"/>
      <c r="D47" s="19"/>
      <c r="E47" s="19"/>
      <c r="F47" s="19"/>
      <c r="G47" s="19"/>
      <c r="H47" s="19"/>
    </row>
    <row r="48" spans="1:19" x14ac:dyDescent="0.2">
      <c r="A48" s="19"/>
      <c r="B48" s="19"/>
      <c r="C48" s="19"/>
      <c r="D48" s="19"/>
      <c r="E48" s="19"/>
      <c r="F48" s="19"/>
      <c r="G48" s="19"/>
      <c r="H48" s="19"/>
    </row>
    <row r="49" s="19" customFormat="1" x14ac:dyDescent="0.2"/>
    <row r="50" s="19" customFormat="1" x14ac:dyDescent="0.2"/>
    <row r="51" s="19" customFormat="1" x14ac:dyDescent="0.2"/>
    <row r="52" s="19" customFormat="1" x14ac:dyDescent="0.2"/>
    <row r="53" s="19" customFormat="1" x14ac:dyDescent="0.2"/>
    <row r="54" s="19" customFormat="1" x14ac:dyDescent="0.2"/>
    <row r="55" s="19" customFormat="1" x14ac:dyDescent="0.2"/>
    <row r="56" s="19" customFormat="1" x14ac:dyDescent="0.2"/>
    <row r="57" s="19" customForma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B23:C23"/>
    <mergeCell ref="B21:C21"/>
    <mergeCell ref="A32:H35"/>
    <mergeCell ref="B25:C25"/>
    <mergeCell ref="A28:C28"/>
    <mergeCell ref="A29:C29"/>
    <mergeCell ref="A30:H30"/>
    <mergeCell ref="A31:H31"/>
    <mergeCell ref="B17:C17"/>
    <mergeCell ref="B19:C19"/>
    <mergeCell ref="D14:E14"/>
    <mergeCell ref="F14:G14"/>
    <mergeCell ref="A1:C1"/>
    <mergeCell ref="D7:E7"/>
    <mergeCell ref="F7:G7"/>
    <mergeCell ref="B12:H12"/>
    <mergeCell ref="D1:H1"/>
    <mergeCell ref="A3:H3"/>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AL157"/>
  <sheetViews>
    <sheetView topLeftCell="A7" zoomScaleNormal="100" workbookViewId="0">
      <selection activeCell="G27" sqref="G27"/>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782</v>
      </c>
      <c r="B3" s="1673"/>
      <c r="C3" s="1673"/>
      <c r="D3" s="1673"/>
      <c r="E3" s="1673"/>
      <c r="F3" s="1673"/>
      <c r="G3" s="1673"/>
      <c r="H3" s="1674"/>
    </row>
    <row r="4" spans="1:38" ht="15" customHeight="1" x14ac:dyDescent="0.2">
      <c r="A4" s="995"/>
      <c r="B4" s="363" t="s">
        <v>141</v>
      </c>
      <c r="C4" s="364" t="s">
        <v>307</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6</v>
      </c>
      <c r="E9" s="514">
        <v>20</v>
      </c>
      <c r="F9" s="514">
        <v>0</v>
      </c>
      <c r="G9" s="515">
        <v>0</v>
      </c>
      <c r="H9" s="500">
        <f>SUM(D9:G9)</f>
        <v>26</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10</v>
      </c>
      <c r="E10" s="1000">
        <v>27</v>
      </c>
      <c r="F10" s="1000">
        <v>1</v>
      </c>
      <c r="G10" s="1001">
        <v>1</v>
      </c>
      <c r="H10" s="1002">
        <f>SUM(D10:G10)</f>
        <v>39</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16</v>
      </c>
      <c r="E11" s="502">
        <f>SUM(E9:E10)</f>
        <v>47</v>
      </c>
      <c r="F11" s="503">
        <f>SUM(F9:F10)</f>
        <v>1</v>
      </c>
      <c r="G11" s="504">
        <f>SUM(G9:G10)</f>
        <v>1</v>
      </c>
      <c r="H11" s="505">
        <f>SUM(D11:G11)</f>
        <v>65</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1156" t="s">
        <v>876</v>
      </c>
      <c r="F15" s="1156" t="s">
        <v>875</v>
      </c>
      <c r="G15" s="1156"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1163"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1160">
        <v>0</v>
      </c>
      <c r="E20" s="1161">
        <v>0</v>
      </c>
      <c r="F20" s="1161">
        <v>0</v>
      </c>
      <c r="G20" s="1162">
        <v>0</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v>0</v>
      </c>
      <c r="E21" s="1000">
        <v>0</v>
      </c>
      <c r="F21" s="1000">
        <v>0</v>
      </c>
      <c r="G21" s="1001">
        <v>0</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v>3</v>
      </c>
      <c r="E22" s="1000">
        <v>19</v>
      </c>
      <c r="F22" s="1000">
        <v>0</v>
      </c>
      <c r="G22" s="1001">
        <v>1</v>
      </c>
      <c r="H22" s="444">
        <f t="shared" si="0"/>
        <v>23</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1157">
        <v>0</v>
      </c>
      <c r="E23" s="1158">
        <v>0</v>
      </c>
      <c r="F23" s="1158">
        <v>0</v>
      </c>
      <c r="G23" s="1159">
        <v>0</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1160" t="s">
        <v>646</v>
      </c>
      <c r="E27" s="1161" t="s">
        <v>646</v>
      </c>
      <c r="F27" s="1161" t="s">
        <v>646</v>
      </c>
      <c r="G27" s="1162"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974</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5" thickTop="1" x14ac:dyDescent="0.2">
      <c r="A36" s="19"/>
      <c r="B36" s="19"/>
      <c r="C36" s="19"/>
      <c r="D36" s="19"/>
      <c r="E36" s="19"/>
      <c r="F36" s="19"/>
      <c r="G36" s="19"/>
      <c r="H36" s="19"/>
    </row>
    <row r="37" spans="1:19" x14ac:dyDescent="0.2">
      <c r="A37" s="19"/>
      <c r="B37" s="19"/>
      <c r="C37" s="19"/>
      <c r="D37" s="19"/>
      <c r="E37" s="19"/>
      <c r="F37" s="19"/>
      <c r="G37" s="19"/>
      <c r="H37" s="19"/>
    </row>
    <row r="38" spans="1:19" x14ac:dyDescent="0.2">
      <c r="A38" s="19"/>
      <c r="B38" s="19"/>
      <c r="C38" s="19"/>
      <c r="D38" s="19"/>
      <c r="E38" s="19"/>
      <c r="F38" s="19"/>
      <c r="G38" s="19"/>
      <c r="H38" s="19"/>
    </row>
    <row r="39" spans="1:19" x14ac:dyDescent="0.2">
      <c r="A39" s="19"/>
      <c r="B39" s="19"/>
      <c r="C39" s="19"/>
      <c r="D39" s="19"/>
      <c r="E39" s="19"/>
      <c r="F39" s="19"/>
      <c r="G39" s="19"/>
      <c r="H39" s="19"/>
    </row>
    <row r="40" spans="1:19" x14ac:dyDescent="0.2">
      <c r="A40" s="19"/>
      <c r="B40" s="19"/>
      <c r="C40" s="19"/>
      <c r="D40" s="19"/>
      <c r="E40" s="19"/>
      <c r="F40" s="19"/>
      <c r="G40" s="19"/>
      <c r="H40" s="19"/>
    </row>
    <row r="41" spans="1:19" x14ac:dyDescent="0.2">
      <c r="A41" s="19"/>
      <c r="B41" s="19"/>
      <c r="C41" s="19"/>
      <c r="D41" s="19"/>
      <c r="E41" s="19"/>
      <c r="F41" s="19"/>
      <c r="G41" s="19"/>
      <c r="H41" s="19"/>
    </row>
    <row r="42" spans="1:19" x14ac:dyDescent="0.2">
      <c r="A42" s="19"/>
      <c r="B42" s="19"/>
      <c r="C42" s="19"/>
      <c r="D42" s="19"/>
      <c r="E42" s="19"/>
      <c r="F42" s="19"/>
      <c r="G42" s="19"/>
      <c r="H42" s="19"/>
    </row>
    <row r="43" spans="1:19" x14ac:dyDescent="0.2">
      <c r="A43" s="19"/>
      <c r="B43" s="19"/>
      <c r="C43" s="19"/>
      <c r="D43" s="19"/>
      <c r="E43" s="19"/>
      <c r="F43" s="19"/>
      <c r="G43" s="19"/>
      <c r="H43" s="19"/>
    </row>
    <row r="44" spans="1:19" x14ac:dyDescent="0.2">
      <c r="A44" s="19"/>
      <c r="B44" s="19"/>
      <c r="C44" s="19"/>
      <c r="D44" s="19"/>
      <c r="E44" s="19"/>
      <c r="F44" s="19"/>
      <c r="G44" s="19"/>
      <c r="H44" s="19"/>
    </row>
    <row r="45" spans="1:19" x14ac:dyDescent="0.2">
      <c r="A45" s="19"/>
      <c r="B45" s="19"/>
      <c r="C45" s="19"/>
      <c r="D45" s="19"/>
      <c r="E45" s="19"/>
      <c r="F45" s="19"/>
      <c r="G45" s="19"/>
      <c r="H45" s="19"/>
    </row>
    <row r="46" spans="1:19" x14ac:dyDescent="0.2">
      <c r="A46" s="19"/>
      <c r="B46" s="19"/>
      <c r="C46" s="19"/>
      <c r="D46" s="19"/>
      <c r="E46" s="19"/>
      <c r="F46" s="19"/>
      <c r="G46" s="19"/>
      <c r="H46" s="19"/>
    </row>
    <row r="47" spans="1:19" x14ac:dyDescent="0.2">
      <c r="A47" s="19"/>
      <c r="B47" s="19"/>
      <c r="C47" s="19"/>
      <c r="D47" s="19"/>
      <c r="E47" s="19"/>
      <c r="F47" s="19"/>
      <c r="G47" s="19"/>
      <c r="H47" s="19"/>
    </row>
    <row r="48" spans="1:19" x14ac:dyDescent="0.2">
      <c r="A48" s="19"/>
      <c r="B48" s="19"/>
      <c r="C48" s="19"/>
      <c r="D48" s="19"/>
      <c r="E48" s="19"/>
      <c r="F48" s="19"/>
      <c r="G48" s="19"/>
      <c r="H48" s="19"/>
    </row>
    <row r="49" s="19" customFormat="1" x14ac:dyDescent="0.2"/>
    <row r="50" s="19" customFormat="1" x14ac:dyDescent="0.2"/>
    <row r="51" s="19" customFormat="1" x14ac:dyDescent="0.2"/>
    <row r="52" s="19" customFormat="1" x14ac:dyDescent="0.2"/>
    <row r="53" s="19" customFormat="1" x14ac:dyDescent="0.2"/>
    <row r="54" s="19" customFormat="1" x14ac:dyDescent="0.2"/>
    <row r="55" s="19" customFormat="1" x14ac:dyDescent="0.2"/>
    <row r="56" s="19" customFormat="1" x14ac:dyDescent="0.2"/>
    <row r="57" s="19" customForma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B23:C23"/>
    <mergeCell ref="B21:C21"/>
    <mergeCell ref="A32:H35"/>
    <mergeCell ref="B25:C25"/>
    <mergeCell ref="A28:C28"/>
    <mergeCell ref="A29:C29"/>
    <mergeCell ref="A30:H30"/>
    <mergeCell ref="A31:H31"/>
    <mergeCell ref="B17:C17"/>
    <mergeCell ref="B19:C19"/>
    <mergeCell ref="D14:E14"/>
    <mergeCell ref="F14:G14"/>
    <mergeCell ref="A1:C1"/>
    <mergeCell ref="D7:E7"/>
    <mergeCell ref="F7:G7"/>
    <mergeCell ref="B12:H12"/>
    <mergeCell ref="D1:H1"/>
    <mergeCell ref="A3:H3"/>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topLeftCell="A9" zoomScaleNormal="100" workbookViewId="0">
      <selection activeCell="G27" sqref="G27"/>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v>19</v>
      </c>
      <c r="B3" s="1673"/>
      <c r="C3" s="1673"/>
      <c r="D3" s="1673"/>
      <c r="E3" s="1673"/>
      <c r="F3" s="1673"/>
      <c r="G3" s="1673"/>
      <c r="H3" s="1674"/>
    </row>
    <row r="4" spans="1:38" ht="15" customHeight="1" x14ac:dyDescent="0.2">
      <c r="A4" s="995"/>
      <c r="B4" s="363" t="s">
        <v>141</v>
      </c>
      <c r="C4" s="364" t="s">
        <v>308</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19</v>
      </c>
      <c r="E9" s="514">
        <v>75</v>
      </c>
      <c r="F9" s="514">
        <v>0</v>
      </c>
      <c r="G9" s="515">
        <v>4</v>
      </c>
      <c r="H9" s="500">
        <f>SUM(D9:G9)</f>
        <v>98</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10</v>
      </c>
      <c r="E10" s="1000">
        <v>74</v>
      </c>
      <c r="F10" s="1000">
        <v>1</v>
      </c>
      <c r="G10" s="1001">
        <v>5</v>
      </c>
      <c r="H10" s="1002">
        <f>SUM(D10:G10)</f>
        <v>90</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29</v>
      </c>
      <c r="E11" s="502">
        <f>SUM(E9:E10)</f>
        <v>149</v>
      </c>
      <c r="F11" s="503">
        <f>SUM(F9:F10)</f>
        <v>1</v>
      </c>
      <c r="G11" s="504">
        <f>SUM(G9:G10)</f>
        <v>9</v>
      </c>
      <c r="H11" s="505">
        <f>SUM(D11:G11)</f>
        <v>188</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t="s">
        <v>605</v>
      </c>
      <c r="E23" s="1000" t="s">
        <v>605</v>
      </c>
      <c r="F23" s="1000" t="s">
        <v>605</v>
      </c>
      <c r="G23" s="1001"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v>3</v>
      </c>
      <c r="E24" s="1000">
        <v>13</v>
      </c>
      <c r="F24" s="1000">
        <v>0</v>
      </c>
      <c r="G24" s="1001">
        <v>0</v>
      </c>
      <c r="H24" s="444">
        <f t="shared" si="0"/>
        <v>16</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v>0</v>
      </c>
      <c r="E25" s="1000">
        <v>0</v>
      </c>
      <c r="F25" s="1000">
        <v>0</v>
      </c>
      <c r="G25" s="1001">
        <v>0</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646</v>
      </c>
      <c r="E27" s="1000" t="s">
        <v>646</v>
      </c>
      <c r="F27" s="1000" t="s">
        <v>646</v>
      </c>
      <c r="G27" s="1001"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975</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5" thickTop="1" x14ac:dyDescent="0.2">
      <c r="A36" s="19"/>
      <c r="B36" s="19"/>
      <c r="C36" s="19"/>
      <c r="D36" s="19"/>
      <c r="E36" s="19"/>
      <c r="F36" s="19"/>
      <c r="G36" s="19"/>
      <c r="H36" s="19"/>
    </row>
    <row r="37" spans="1:19" x14ac:dyDescent="0.2">
      <c r="A37" s="19"/>
      <c r="B37" s="19"/>
      <c r="C37" s="19"/>
      <c r="D37" s="19"/>
      <c r="E37" s="19"/>
      <c r="F37" s="19"/>
      <c r="G37" s="19"/>
      <c r="H37" s="19"/>
    </row>
    <row r="38" spans="1:19" x14ac:dyDescent="0.2">
      <c r="A38" s="19"/>
      <c r="B38" s="19"/>
      <c r="C38" s="19"/>
      <c r="D38" s="19"/>
      <c r="E38" s="19"/>
      <c r="F38" s="19"/>
      <c r="G38" s="19"/>
      <c r="H38" s="19"/>
    </row>
    <row r="39" spans="1:19" x14ac:dyDescent="0.2">
      <c r="A39" s="19"/>
      <c r="B39" s="19"/>
      <c r="C39" s="19"/>
      <c r="D39" s="19"/>
      <c r="E39" s="19"/>
      <c r="F39" s="19"/>
      <c r="G39" s="19"/>
      <c r="H39" s="19"/>
    </row>
    <row r="40" spans="1:19" x14ac:dyDescent="0.2">
      <c r="A40" s="19"/>
      <c r="B40" s="19"/>
      <c r="C40" s="19"/>
      <c r="D40" s="19"/>
      <c r="E40" s="19"/>
      <c r="F40" s="19"/>
      <c r="G40" s="19"/>
      <c r="H40" s="19"/>
    </row>
    <row r="41" spans="1:19" x14ac:dyDescent="0.2">
      <c r="A41" s="19"/>
      <c r="B41" s="19"/>
      <c r="C41" s="19"/>
      <c r="D41" s="19"/>
      <c r="E41" s="19"/>
      <c r="F41" s="19"/>
      <c r="G41" s="19"/>
      <c r="H41" s="19"/>
    </row>
    <row r="42" spans="1:19" x14ac:dyDescent="0.2">
      <c r="A42" s="19"/>
      <c r="B42" s="19"/>
      <c r="C42" s="19"/>
      <c r="D42" s="19"/>
      <c r="E42" s="19"/>
      <c r="F42" s="19"/>
      <c r="G42" s="19"/>
      <c r="H42" s="19"/>
    </row>
    <row r="43" spans="1:19" x14ac:dyDescent="0.2">
      <c r="A43" s="19"/>
      <c r="B43" s="19"/>
      <c r="C43" s="19"/>
      <c r="D43" s="19"/>
      <c r="E43" s="19"/>
      <c r="F43" s="19"/>
      <c r="G43" s="19"/>
      <c r="H43" s="19"/>
    </row>
    <row r="44" spans="1:19" x14ac:dyDescent="0.2">
      <c r="A44" s="19"/>
      <c r="B44" s="19"/>
      <c r="C44" s="19"/>
      <c r="D44" s="19"/>
      <c r="E44" s="19"/>
      <c r="F44" s="19"/>
      <c r="G44" s="19"/>
      <c r="H44" s="19"/>
    </row>
    <row r="45" spans="1:19" x14ac:dyDescent="0.2">
      <c r="A45" s="19"/>
      <c r="B45" s="19"/>
      <c r="C45" s="19"/>
      <c r="D45" s="19"/>
      <c r="E45" s="19"/>
      <c r="F45" s="19"/>
      <c r="G45" s="19"/>
      <c r="H45" s="19"/>
    </row>
    <row r="46" spans="1:19" x14ac:dyDescent="0.2">
      <c r="A46" s="19"/>
      <c r="B46" s="19"/>
      <c r="C46" s="19"/>
      <c r="D46" s="19"/>
      <c r="E46" s="19"/>
      <c r="F46" s="19"/>
      <c r="G46" s="19"/>
      <c r="H46" s="19"/>
    </row>
    <row r="47" spans="1:19" x14ac:dyDescent="0.2">
      <c r="A47" s="19"/>
      <c r="B47" s="19"/>
      <c r="C47" s="19"/>
      <c r="D47" s="19"/>
      <c r="E47" s="19"/>
      <c r="F47" s="19"/>
      <c r="G47" s="19"/>
      <c r="H47" s="19"/>
    </row>
    <row r="48" spans="1:19" x14ac:dyDescent="0.2">
      <c r="A48" s="19"/>
      <c r="B48" s="19"/>
      <c r="C48" s="19"/>
      <c r="D48" s="19"/>
      <c r="E48" s="19"/>
      <c r="F48" s="19"/>
      <c r="G48" s="19"/>
      <c r="H48" s="19"/>
    </row>
    <row r="49" s="19" customFormat="1" x14ac:dyDescent="0.2"/>
    <row r="50" s="19" customFormat="1" x14ac:dyDescent="0.2"/>
    <row r="51" s="19" customFormat="1" x14ac:dyDescent="0.2"/>
    <row r="52" s="19" customFormat="1" x14ac:dyDescent="0.2"/>
    <row r="53" s="19" customFormat="1" x14ac:dyDescent="0.2"/>
    <row r="54" s="19" customFormat="1" x14ac:dyDescent="0.2"/>
    <row r="55" s="19" customFormat="1" x14ac:dyDescent="0.2"/>
    <row r="56" s="19" customFormat="1" x14ac:dyDescent="0.2"/>
    <row r="57" s="19" customForma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B23:C23"/>
    <mergeCell ref="B21:C21"/>
    <mergeCell ref="A32:H35"/>
    <mergeCell ref="B25:C25"/>
    <mergeCell ref="A28:C28"/>
    <mergeCell ref="A29:C29"/>
    <mergeCell ref="A30:H30"/>
    <mergeCell ref="A31:H31"/>
    <mergeCell ref="B17:C17"/>
    <mergeCell ref="B19:C19"/>
    <mergeCell ref="D14:E14"/>
    <mergeCell ref="F14:G14"/>
    <mergeCell ref="A1:C1"/>
    <mergeCell ref="D7:E7"/>
    <mergeCell ref="F7:G7"/>
    <mergeCell ref="B12:H12"/>
    <mergeCell ref="D1:H1"/>
    <mergeCell ref="A3:H3"/>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zoomScaleNormal="100" workbookViewId="0">
      <selection activeCell="A28" sqref="A28:C28"/>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321</v>
      </c>
      <c r="B3" s="1673"/>
      <c r="C3" s="1673"/>
      <c r="D3" s="1673"/>
      <c r="E3" s="1673"/>
      <c r="F3" s="1673"/>
      <c r="G3" s="1673"/>
      <c r="H3" s="1674"/>
    </row>
    <row r="4" spans="1:38" ht="15" customHeight="1" x14ac:dyDescent="0.2">
      <c r="A4" s="995"/>
      <c r="B4" s="363" t="s">
        <v>141</v>
      </c>
      <c r="C4" s="364" t="s">
        <v>127</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t="s">
        <v>605</v>
      </c>
      <c r="E9" s="514" t="s">
        <v>605</v>
      </c>
      <c r="F9" s="514" t="s">
        <v>605</v>
      </c>
      <c r="G9" s="515" t="s">
        <v>605</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t="s">
        <v>605</v>
      </c>
      <c r="E10" s="1000" t="s">
        <v>605</v>
      </c>
      <c r="F10" s="1000" t="s">
        <v>605</v>
      </c>
      <c r="G10" s="1001" t="s">
        <v>605</v>
      </c>
      <c r="H10" s="1002">
        <f>SUM(D10:G10)</f>
        <v>0</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0</v>
      </c>
      <c r="E11" s="502">
        <f>SUM(E9:E10)</f>
        <v>0</v>
      </c>
      <c r="F11" s="503">
        <f>SUM(F9:F10)</f>
        <v>0</v>
      </c>
      <c r="G11" s="504">
        <f>SUM(G9:G10)</f>
        <v>0</v>
      </c>
      <c r="H11" s="505">
        <f>SUM(D11:G11)</f>
        <v>0</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t="s">
        <v>605</v>
      </c>
      <c r="E23" s="1000" t="s">
        <v>605</v>
      </c>
      <c r="F23" s="1000" t="s">
        <v>605</v>
      </c>
      <c r="G23" s="1001"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605</v>
      </c>
      <c r="E27" s="1000" t="s">
        <v>605</v>
      </c>
      <c r="F27" s="1000" t="s">
        <v>605</v>
      </c>
      <c r="G27" s="1001" t="s">
        <v>605</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605</v>
      </c>
      <c r="E28" s="1000" t="s">
        <v>605</v>
      </c>
      <c r="F28" s="1000" t="s">
        <v>605</v>
      </c>
      <c r="G28" s="1001" t="s">
        <v>605</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605</v>
      </c>
      <c r="E29" s="1007" t="s">
        <v>605</v>
      </c>
      <c r="F29" s="1007" t="s">
        <v>605</v>
      </c>
      <c r="G29" s="1008" t="s">
        <v>605</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5" thickTop="1" x14ac:dyDescent="0.2">
      <c r="A36" s="19"/>
      <c r="B36" s="19"/>
      <c r="C36" s="19"/>
      <c r="D36" s="19"/>
      <c r="E36" s="19"/>
      <c r="F36" s="19"/>
      <c r="G36" s="19"/>
      <c r="H36" s="19"/>
    </row>
    <row r="37" spans="1:19" x14ac:dyDescent="0.2">
      <c r="A37" s="19"/>
      <c r="B37" s="19"/>
      <c r="C37" s="19"/>
      <c r="D37" s="19"/>
      <c r="E37" s="19"/>
      <c r="F37" s="19"/>
      <c r="G37" s="19"/>
      <c r="H37" s="19"/>
    </row>
    <row r="38" spans="1:19" x14ac:dyDescent="0.2">
      <c r="A38" s="19"/>
      <c r="B38" s="19"/>
      <c r="C38" s="19"/>
      <c r="D38" s="19"/>
      <c r="E38" s="19"/>
      <c r="F38" s="19"/>
      <c r="G38" s="19"/>
      <c r="H38" s="19"/>
    </row>
    <row r="39" spans="1:19" x14ac:dyDescent="0.2">
      <c r="A39" s="19"/>
      <c r="B39" s="19"/>
      <c r="C39" s="19"/>
      <c r="D39" s="19"/>
      <c r="E39" s="19"/>
      <c r="F39" s="19"/>
      <c r="G39" s="19"/>
      <c r="H39" s="19"/>
    </row>
    <row r="40" spans="1:19" x14ac:dyDescent="0.2">
      <c r="A40" s="19"/>
      <c r="B40" s="19"/>
      <c r="C40" s="19"/>
      <c r="D40" s="19"/>
      <c r="E40" s="19"/>
      <c r="F40" s="19"/>
      <c r="G40" s="19"/>
      <c r="H40" s="19"/>
    </row>
    <row r="41" spans="1:19" x14ac:dyDescent="0.2">
      <c r="A41" s="19"/>
      <c r="B41" s="19"/>
      <c r="C41" s="19"/>
      <c r="D41" s="19"/>
      <c r="E41" s="19"/>
      <c r="F41" s="19"/>
      <c r="G41" s="19"/>
      <c r="H41" s="19"/>
    </row>
    <row r="42" spans="1:19" x14ac:dyDescent="0.2">
      <c r="A42" s="19"/>
      <c r="B42" s="19"/>
      <c r="C42" s="19"/>
      <c r="D42" s="19"/>
      <c r="E42" s="19"/>
      <c r="F42" s="19"/>
      <c r="G42" s="19"/>
      <c r="H42" s="19"/>
    </row>
    <row r="43" spans="1:19" x14ac:dyDescent="0.2">
      <c r="A43" s="19"/>
      <c r="B43" s="19"/>
      <c r="C43" s="19"/>
      <c r="D43" s="19"/>
      <c r="E43" s="19"/>
      <c r="F43" s="19"/>
      <c r="G43" s="19"/>
      <c r="H43" s="19"/>
    </row>
    <row r="44" spans="1:19" x14ac:dyDescent="0.2">
      <c r="A44" s="19"/>
      <c r="B44" s="19"/>
      <c r="C44" s="19"/>
      <c r="D44" s="19"/>
      <c r="E44" s="19"/>
      <c r="F44" s="19"/>
      <c r="G44" s="19"/>
      <c r="H44" s="19"/>
    </row>
    <row r="45" spans="1:19" x14ac:dyDescent="0.2">
      <c r="A45" s="19"/>
      <c r="B45" s="19"/>
      <c r="C45" s="19"/>
      <c r="D45" s="19"/>
      <c r="E45" s="19"/>
      <c r="F45" s="19"/>
      <c r="G45" s="19"/>
      <c r="H45" s="19"/>
    </row>
    <row r="46" spans="1:19" x14ac:dyDescent="0.2">
      <c r="A46" s="19"/>
      <c r="B46" s="19"/>
      <c r="C46" s="19"/>
      <c r="D46" s="19"/>
      <c r="E46" s="19"/>
      <c r="F46" s="19"/>
      <c r="G46" s="19"/>
      <c r="H46" s="19"/>
    </row>
    <row r="47" spans="1:19" x14ac:dyDescent="0.2">
      <c r="A47" s="19"/>
      <c r="B47" s="19"/>
      <c r="C47" s="19"/>
      <c r="D47" s="19"/>
      <c r="E47" s="19"/>
      <c r="F47" s="19"/>
      <c r="G47" s="19"/>
      <c r="H47" s="19"/>
    </row>
    <row r="48" spans="1:19" x14ac:dyDescent="0.2">
      <c r="A48" s="19"/>
      <c r="B48" s="19"/>
      <c r="C48" s="19"/>
      <c r="D48" s="19"/>
      <c r="E48" s="19"/>
      <c r="F48" s="19"/>
      <c r="G48" s="19"/>
      <c r="H48" s="19"/>
    </row>
    <row r="49" s="19" customFormat="1" x14ac:dyDescent="0.2"/>
    <row r="50" s="19" customFormat="1" x14ac:dyDescent="0.2"/>
    <row r="51" s="19" customFormat="1" x14ac:dyDescent="0.2"/>
    <row r="52" s="19" customFormat="1" x14ac:dyDescent="0.2"/>
    <row r="53" s="19" customFormat="1" x14ac:dyDescent="0.2"/>
    <row r="54" s="19" customFormat="1" x14ac:dyDescent="0.2"/>
    <row r="55" s="19" customFormat="1" x14ac:dyDescent="0.2"/>
    <row r="56" s="19" customFormat="1" x14ac:dyDescent="0.2"/>
    <row r="57" s="19" customForma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B23:C23"/>
    <mergeCell ref="B21:C21"/>
    <mergeCell ref="A32:H35"/>
    <mergeCell ref="B25:C25"/>
    <mergeCell ref="A28:C28"/>
    <mergeCell ref="A29:C29"/>
    <mergeCell ref="A30:H30"/>
    <mergeCell ref="A31:H31"/>
    <mergeCell ref="B17:C17"/>
    <mergeCell ref="B19:C19"/>
    <mergeCell ref="D14:E14"/>
    <mergeCell ref="F14:G14"/>
    <mergeCell ref="A1:C1"/>
    <mergeCell ref="D7:E7"/>
    <mergeCell ref="F7:G7"/>
    <mergeCell ref="B12:H12"/>
    <mergeCell ref="D1:H1"/>
    <mergeCell ref="A3:H3"/>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AL157"/>
  <sheetViews>
    <sheetView topLeftCell="A5" zoomScaleNormal="100" workbookViewId="0">
      <selection activeCell="G29" sqref="G29"/>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781</v>
      </c>
      <c r="B3" s="1673"/>
      <c r="C3" s="1673"/>
      <c r="D3" s="1673"/>
      <c r="E3" s="1673"/>
      <c r="F3" s="1673"/>
      <c r="G3" s="1673"/>
      <c r="H3" s="1674"/>
    </row>
    <row r="4" spans="1:38" ht="15" customHeight="1" x14ac:dyDescent="0.2">
      <c r="A4" s="995"/>
      <c r="B4" s="363" t="s">
        <v>141</v>
      </c>
      <c r="C4" s="364" t="s">
        <v>265</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28</v>
      </c>
      <c r="E9" s="514">
        <v>21</v>
      </c>
      <c r="F9" s="514">
        <v>1</v>
      </c>
      <c r="G9" s="515">
        <v>2</v>
      </c>
      <c r="H9" s="500">
        <f>SUM(D9:G9)</f>
        <v>52</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11</v>
      </c>
      <c r="E10" s="1000">
        <v>3</v>
      </c>
      <c r="F10" s="1000">
        <v>1</v>
      </c>
      <c r="G10" s="1001">
        <v>1</v>
      </c>
      <c r="H10" s="1002">
        <f>SUM(D10:G10)</f>
        <v>16</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39</v>
      </c>
      <c r="E11" s="502">
        <f>SUM(E9:E10)</f>
        <v>24</v>
      </c>
      <c r="F11" s="503">
        <f>SUM(F9:F10)</f>
        <v>2</v>
      </c>
      <c r="G11" s="504">
        <f>SUM(G9:G10)</f>
        <v>3</v>
      </c>
      <c r="H11" s="505">
        <f>SUM(D11:G11)</f>
        <v>68</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1156" t="s">
        <v>876</v>
      </c>
      <c r="F15" s="1156" t="s">
        <v>875</v>
      </c>
      <c r="G15" s="1156"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1163"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1160" t="s">
        <v>605</v>
      </c>
      <c r="E20" s="1161" t="s">
        <v>605</v>
      </c>
      <c r="F20" s="1161" t="s">
        <v>605</v>
      </c>
      <c r="G20" s="1162"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v>1</v>
      </c>
      <c r="E22" s="1000">
        <v>1</v>
      </c>
      <c r="F22" s="1000">
        <v>0</v>
      </c>
      <c r="G22" s="1001">
        <v>0</v>
      </c>
      <c r="H22" s="444">
        <f t="shared" si="0"/>
        <v>2</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1157">
        <v>0</v>
      </c>
      <c r="E23" s="1158">
        <v>0</v>
      </c>
      <c r="F23" s="1158">
        <v>0</v>
      </c>
      <c r="G23" s="1159">
        <v>0</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v>1</v>
      </c>
      <c r="E24" s="1000">
        <v>1</v>
      </c>
      <c r="F24" s="1000">
        <v>1</v>
      </c>
      <c r="G24" s="1001">
        <v>2</v>
      </c>
      <c r="H24" s="444">
        <f t="shared" si="0"/>
        <v>5</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v>0</v>
      </c>
      <c r="E25" s="1000">
        <v>0</v>
      </c>
      <c r="F25" s="1000">
        <v>0</v>
      </c>
      <c r="G25" s="1001">
        <v>0</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1160" t="s">
        <v>646</v>
      </c>
      <c r="E27" s="1161" t="s">
        <v>646</v>
      </c>
      <c r="F27" s="1161" t="s">
        <v>646</v>
      </c>
      <c r="G27" s="1162"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976</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5" thickTop="1" x14ac:dyDescent="0.2">
      <c r="A36" s="19"/>
      <c r="B36" s="19"/>
      <c r="C36" s="19"/>
      <c r="D36" s="19"/>
      <c r="E36" s="19"/>
      <c r="F36" s="19"/>
      <c r="G36" s="19"/>
      <c r="H36" s="19"/>
    </row>
    <row r="37" spans="1:19" x14ac:dyDescent="0.2">
      <c r="A37" s="19"/>
      <c r="B37" s="19"/>
      <c r="C37" s="19"/>
      <c r="D37" s="19"/>
      <c r="E37" s="19"/>
      <c r="F37" s="19"/>
      <c r="G37" s="19"/>
      <c r="H37" s="19"/>
    </row>
    <row r="38" spans="1:19" x14ac:dyDescent="0.2">
      <c r="A38" s="19"/>
      <c r="B38" s="19"/>
      <c r="C38" s="19"/>
      <c r="D38" s="19"/>
      <c r="E38" s="19"/>
      <c r="F38" s="19"/>
      <c r="G38" s="19"/>
      <c r="H38" s="19"/>
    </row>
    <row r="39" spans="1:19" x14ac:dyDescent="0.2">
      <c r="A39" s="19"/>
      <c r="B39" s="19"/>
      <c r="C39" s="19"/>
      <c r="D39" s="19"/>
      <c r="E39" s="19"/>
      <c r="F39" s="19"/>
      <c r="G39" s="19"/>
      <c r="H39" s="19"/>
    </row>
    <row r="40" spans="1:19" x14ac:dyDescent="0.2">
      <c r="A40" s="19"/>
      <c r="B40" s="19"/>
      <c r="C40" s="19"/>
      <c r="D40" s="19"/>
      <c r="E40" s="19"/>
      <c r="F40" s="19"/>
      <c r="G40" s="19"/>
      <c r="H40" s="19"/>
    </row>
    <row r="41" spans="1:19" x14ac:dyDescent="0.2">
      <c r="A41" s="19"/>
      <c r="B41" s="19"/>
      <c r="C41" s="19"/>
      <c r="D41" s="19"/>
      <c r="E41" s="19"/>
      <c r="F41" s="19"/>
      <c r="G41" s="19"/>
      <c r="H41" s="19"/>
    </row>
    <row r="42" spans="1:19" x14ac:dyDescent="0.2">
      <c r="A42" s="19"/>
      <c r="B42" s="19"/>
      <c r="C42" s="19"/>
      <c r="D42" s="19"/>
      <c r="E42" s="19"/>
      <c r="F42" s="19"/>
      <c r="G42" s="19"/>
      <c r="H42" s="19"/>
    </row>
    <row r="43" spans="1:19" x14ac:dyDescent="0.2">
      <c r="A43" s="19"/>
      <c r="B43" s="19"/>
      <c r="C43" s="19"/>
      <c r="D43" s="19"/>
      <c r="E43" s="19"/>
      <c r="F43" s="19"/>
      <c r="G43" s="19"/>
      <c r="H43" s="19"/>
    </row>
    <row r="44" spans="1:19" x14ac:dyDescent="0.2">
      <c r="A44" s="19"/>
      <c r="B44" s="19"/>
      <c r="C44" s="19"/>
      <c r="D44" s="19"/>
      <c r="E44" s="19"/>
      <c r="F44" s="19"/>
      <c r="G44" s="19"/>
      <c r="H44" s="19"/>
    </row>
    <row r="45" spans="1:19" x14ac:dyDescent="0.2">
      <c r="A45" s="19"/>
      <c r="B45" s="19"/>
      <c r="C45" s="19"/>
      <c r="D45" s="19"/>
      <c r="E45" s="19"/>
      <c r="F45" s="19"/>
      <c r="G45" s="19"/>
      <c r="H45" s="19"/>
    </row>
    <row r="46" spans="1:19" x14ac:dyDescent="0.2">
      <c r="A46" s="19"/>
      <c r="B46" s="19"/>
      <c r="C46" s="19"/>
      <c r="D46" s="19"/>
      <c r="E46" s="19"/>
      <c r="F46" s="19"/>
      <c r="G46" s="19"/>
      <c r="H46" s="19"/>
    </row>
    <row r="47" spans="1:19" x14ac:dyDescent="0.2">
      <c r="A47" s="19"/>
      <c r="B47" s="19"/>
      <c r="C47" s="19"/>
      <c r="D47" s="19"/>
      <c r="E47" s="19"/>
      <c r="F47" s="19"/>
      <c r="G47" s="19"/>
      <c r="H47" s="19"/>
    </row>
    <row r="48" spans="1:19" x14ac:dyDescent="0.2">
      <c r="A48" s="19"/>
      <c r="B48" s="19"/>
      <c r="C48" s="19"/>
      <c r="D48" s="19"/>
      <c r="E48" s="19"/>
      <c r="F48" s="19"/>
      <c r="G48" s="19"/>
      <c r="H48" s="19"/>
    </row>
    <row r="49" s="19" customFormat="1" x14ac:dyDescent="0.2"/>
    <row r="50" s="19" customFormat="1" x14ac:dyDescent="0.2"/>
    <row r="51" s="19" customFormat="1" x14ac:dyDescent="0.2"/>
    <row r="52" s="19" customFormat="1" x14ac:dyDescent="0.2"/>
    <row r="53" s="19" customFormat="1" x14ac:dyDescent="0.2"/>
    <row r="54" s="19" customFormat="1" x14ac:dyDescent="0.2"/>
    <row r="55" s="19" customFormat="1" x14ac:dyDescent="0.2"/>
    <row r="56" s="19" customFormat="1" x14ac:dyDescent="0.2"/>
    <row r="57" s="19" customForma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D14:E14"/>
    <mergeCell ref="F14:G14"/>
    <mergeCell ref="A31:H31"/>
    <mergeCell ref="B25:C25"/>
    <mergeCell ref="B21:C21"/>
    <mergeCell ref="A30:H30"/>
    <mergeCell ref="A29:C29"/>
    <mergeCell ref="B23:C23"/>
    <mergeCell ref="B17:C17"/>
    <mergeCell ref="B19:C19"/>
    <mergeCell ref="B12:H12"/>
    <mergeCell ref="A28:C28"/>
    <mergeCell ref="D1:H1"/>
    <mergeCell ref="A3:H3"/>
    <mergeCell ref="A1:C1"/>
    <mergeCell ref="D7:E7"/>
    <mergeCell ref="F7:G7"/>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zoomScaleNormal="100" workbookViewId="0">
      <selection activeCell="A28" sqref="A28:C28"/>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322</v>
      </c>
      <c r="B3" s="1673"/>
      <c r="C3" s="1673"/>
      <c r="D3" s="1673"/>
      <c r="E3" s="1673"/>
      <c r="F3" s="1673"/>
      <c r="G3" s="1673"/>
      <c r="H3" s="1674"/>
    </row>
    <row r="4" spans="1:38" ht="15" x14ac:dyDescent="0.2">
      <c r="A4" s="995"/>
      <c r="B4" s="363" t="s">
        <v>141</v>
      </c>
      <c r="C4" s="364" t="s">
        <v>128</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t="s">
        <v>605</v>
      </c>
      <c r="E9" s="514" t="s">
        <v>605</v>
      </c>
      <c r="F9" s="514" t="s">
        <v>605</v>
      </c>
      <c r="G9" s="515" t="s">
        <v>605</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t="s">
        <v>605</v>
      </c>
      <c r="E10" s="1000" t="s">
        <v>605</v>
      </c>
      <c r="F10" s="1000" t="s">
        <v>605</v>
      </c>
      <c r="G10" s="1001" t="s">
        <v>605</v>
      </c>
      <c r="H10" s="1002">
        <f>SUM(D10:G10)</f>
        <v>0</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0</v>
      </c>
      <c r="E11" s="502">
        <f>SUM(E9:E10)</f>
        <v>0</v>
      </c>
      <c r="F11" s="503">
        <f>SUM(F9:F10)</f>
        <v>0</v>
      </c>
      <c r="G11" s="504">
        <f>SUM(G9:G10)</f>
        <v>0</v>
      </c>
      <c r="H11" s="505">
        <f>SUM(D11:G11)</f>
        <v>0</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t="s">
        <v>605</v>
      </c>
      <c r="E23" s="1000" t="s">
        <v>605</v>
      </c>
      <c r="F23" s="1000" t="s">
        <v>605</v>
      </c>
      <c r="G23" s="1001"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605</v>
      </c>
      <c r="E27" s="1000" t="s">
        <v>605</v>
      </c>
      <c r="F27" s="1000" t="s">
        <v>605</v>
      </c>
      <c r="G27" s="1001" t="s">
        <v>605</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605</v>
      </c>
      <c r="E28" s="1000" t="s">
        <v>605</v>
      </c>
      <c r="F28" s="1000" t="s">
        <v>605</v>
      </c>
      <c r="G28" s="1001" t="s">
        <v>605</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605</v>
      </c>
      <c r="E29" s="1007" t="s">
        <v>605</v>
      </c>
      <c r="F29" s="1007" t="s">
        <v>605</v>
      </c>
      <c r="G29" s="1008" t="s">
        <v>605</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D1:H1"/>
    <mergeCell ref="A3:H3"/>
    <mergeCell ref="A1:C1"/>
    <mergeCell ref="D7:E7"/>
    <mergeCell ref="F7:G7"/>
    <mergeCell ref="B12:H12"/>
    <mergeCell ref="B23:C23"/>
    <mergeCell ref="D14:E14"/>
    <mergeCell ref="F14:G14"/>
    <mergeCell ref="B17:C17"/>
    <mergeCell ref="B19:C19"/>
    <mergeCell ref="B21:C21"/>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AL157"/>
  <sheetViews>
    <sheetView zoomScaleNormal="100" workbookViewId="0">
      <selection activeCell="D16" activeCellId="1" sqref="D9:G10 D16:G29"/>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342</v>
      </c>
      <c r="B3" s="1673"/>
      <c r="C3" s="1673"/>
      <c r="D3" s="1673"/>
      <c r="E3" s="1673"/>
      <c r="F3" s="1673"/>
      <c r="G3" s="1673"/>
      <c r="H3" s="1674"/>
    </row>
    <row r="4" spans="1:38" ht="15" x14ac:dyDescent="0.2">
      <c r="A4" s="995"/>
      <c r="B4" s="363" t="s">
        <v>141</v>
      </c>
      <c r="C4" s="364" t="s">
        <v>275</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t="s">
        <v>605</v>
      </c>
      <c r="E9" s="514" t="s">
        <v>605</v>
      </c>
      <c r="F9" s="514" t="s">
        <v>605</v>
      </c>
      <c r="G9" s="515" t="s">
        <v>605</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t="s">
        <v>605</v>
      </c>
      <c r="E10" s="1000" t="s">
        <v>605</v>
      </c>
      <c r="F10" s="1000" t="s">
        <v>605</v>
      </c>
      <c r="G10" s="1001" t="s">
        <v>605</v>
      </c>
      <c r="H10" s="1002">
        <f>SUM(D10:G10)</f>
        <v>0</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0</v>
      </c>
      <c r="E11" s="502">
        <f>SUM(E9:E10)</f>
        <v>0</v>
      </c>
      <c r="F11" s="503">
        <f>SUM(F9:F10)</f>
        <v>0</v>
      </c>
      <c r="G11" s="504">
        <f>SUM(G9:G10)</f>
        <v>0</v>
      </c>
      <c r="H11" s="505">
        <f>SUM(D11:G11)</f>
        <v>0</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1156" t="s">
        <v>876</v>
      </c>
      <c r="F15" s="1156" t="s">
        <v>875</v>
      </c>
      <c r="G15" s="1156"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1163"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1160" t="s">
        <v>605</v>
      </c>
      <c r="E20" s="1161" t="s">
        <v>605</v>
      </c>
      <c r="F20" s="1161" t="s">
        <v>605</v>
      </c>
      <c r="G20" s="1162"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1157" t="s">
        <v>605</v>
      </c>
      <c r="E23" s="1158" t="s">
        <v>605</v>
      </c>
      <c r="F23" s="1158" t="s">
        <v>605</v>
      </c>
      <c r="G23" s="1159"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1160" t="s">
        <v>605</v>
      </c>
      <c r="E27" s="1161" t="s">
        <v>605</v>
      </c>
      <c r="F27" s="1161" t="s">
        <v>605</v>
      </c>
      <c r="G27" s="1162" t="s">
        <v>605</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605</v>
      </c>
      <c r="E28" s="1000" t="s">
        <v>605</v>
      </c>
      <c r="F28" s="1000" t="s">
        <v>605</v>
      </c>
      <c r="G28" s="1001" t="s">
        <v>605</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605</v>
      </c>
      <c r="E29" s="1007" t="s">
        <v>605</v>
      </c>
      <c r="F29" s="1007" t="s">
        <v>605</v>
      </c>
      <c r="G29" s="1008" t="s">
        <v>605</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D1:H1"/>
    <mergeCell ref="A3:H3"/>
    <mergeCell ref="D7:E7"/>
    <mergeCell ref="F7:G7"/>
    <mergeCell ref="A1:C1"/>
    <mergeCell ref="B12:H12"/>
    <mergeCell ref="B23:C23"/>
    <mergeCell ref="D14:E14"/>
    <mergeCell ref="F14:G14"/>
    <mergeCell ref="B17:C17"/>
    <mergeCell ref="B19:C19"/>
    <mergeCell ref="B21:C21"/>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topLeftCell="A11" zoomScaleNormal="100" workbookViewId="0">
      <selection activeCell="G27" sqref="G27"/>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780</v>
      </c>
      <c r="B3" s="1673"/>
      <c r="C3" s="1673"/>
      <c r="D3" s="1673"/>
      <c r="E3" s="1673"/>
      <c r="F3" s="1673"/>
      <c r="G3" s="1673"/>
      <c r="H3" s="1674"/>
    </row>
    <row r="4" spans="1:38" ht="15" x14ac:dyDescent="0.2">
      <c r="A4" s="995"/>
      <c r="B4" s="363" t="s">
        <v>141</v>
      </c>
      <c r="C4" s="364" t="s">
        <v>129</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1</v>
      </c>
      <c r="E9" s="514">
        <v>0</v>
      </c>
      <c r="F9" s="514">
        <v>0</v>
      </c>
      <c r="G9" s="515">
        <v>0</v>
      </c>
      <c r="H9" s="500">
        <f>SUM(D9:G9)</f>
        <v>1</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1</v>
      </c>
      <c r="E10" s="1000">
        <v>4</v>
      </c>
      <c r="F10" s="1000">
        <v>0</v>
      </c>
      <c r="G10" s="1001">
        <v>0</v>
      </c>
      <c r="H10" s="1002">
        <f>SUM(D10:G10)</f>
        <v>5</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2</v>
      </c>
      <c r="E11" s="502">
        <f>SUM(E9:E10)</f>
        <v>4</v>
      </c>
      <c r="F11" s="503">
        <f>SUM(F9:F10)</f>
        <v>0</v>
      </c>
      <c r="G11" s="504">
        <f>SUM(G9:G10)</f>
        <v>0</v>
      </c>
      <c r="H11" s="505">
        <f>SUM(D11:G11)</f>
        <v>6</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v>0</v>
      </c>
      <c r="E20" s="1000">
        <v>0</v>
      </c>
      <c r="F20" s="1000">
        <v>0</v>
      </c>
      <c r="G20" s="1001">
        <v>0</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v>0</v>
      </c>
      <c r="E21" s="1000">
        <v>0</v>
      </c>
      <c r="F21" s="1000">
        <v>0</v>
      </c>
      <c r="G21" s="1001">
        <v>0</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v>0</v>
      </c>
      <c r="E22" s="1000">
        <v>1</v>
      </c>
      <c r="F22" s="1000">
        <v>0</v>
      </c>
      <c r="G22" s="1001">
        <v>0</v>
      </c>
      <c r="H22" s="444">
        <f t="shared" si="0"/>
        <v>1</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v>0</v>
      </c>
      <c r="E23" s="1000">
        <v>0</v>
      </c>
      <c r="F23" s="1000">
        <v>0</v>
      </c>
      <c r="G23" s="1001">
        <v>0</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646</v>
      </c>
      <c r="E27" s="1000" t="s">
        <v>646</v>
      </c>
      <c r="F27" s="1000" t="s">
        <v>646</v>
      </c>
      <c r="G27" s="1001"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976</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D1:H1"/>
    <mergeCell ref="A3:H3"/>
    <mergeCell ref="A1:C1"/>
    <mergeCell ref="D7:E7"/>
    <mergeCell ref="F7:G7"/>
    <mergeCell ref="B12:H12"/>
    <mergeCell ref="B23:C23"/>
    <mergeCell ref="D14:E14"/>
    <mergeCell ref="F14:G14"/>
    <mergeCell ref="B17:C17"/>
    <mergeCell ref="B19:C19"/>
    <mergeCell ref="B21:C21"/>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AL157"/>
  <sheetViews>
    <sheetView topLeftCell="A9" zoomScaleNormal="100" workbookViewId="0">
      <selection activeCell="G27" sqref="G27"/>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779</v>
      </c>
      <c r="B3" s="1673"/>
      <c r="C3" s="1673"/>
      <c r="D3" s="1673"/>
      <c r="E3" s="1673"/>
      <c r="F3" s="1673"/>
      <c r="G3" s="1673"/>
      <c r="H3" s="1674"/>
    </row>
    <row r="4" spans="1:38" ht="15" x14ac:dyDescent="0.2">
      <c r="A4" s="995"/>
      <c r="B4" s="363" t="s">
        <v>141</v>
      </c>
      <c r="C4" s="364" t="s">
        <v>117</v>
      </c>
      <c r="D4" s="370"/>
      <c r="E4" s="365" t="s">
        <v>611</v>
      </c>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24</v>
      </c>
      <c r="E9" s="514">
        <v>71</v>
      </c>
      <c r="F9" s="514">
        <v>6</v>
      </c>
      <c r="G9" s="515">
        <v>7</v>
      </c>
      <c r="H9" s="500">
        <f>SUM(D9:G9)</f>
        <v>108</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13</v>
      </c>
      <c r="E10" s="1000">
        <v>39</v>
      </c>
      <c r="F10" s="1000">
        <v>0</v>
      </c>
      <c r="G10" s="1001">
        <v>3</v>
      </c>
      <c r="H10" s="1002">
        <f>SUM(D10:G10)</f>
        <v>55</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37</v>
      </c>
      <c r="E11" s="502">
        <f>SUM(E9:E10)</f>
        <v>110</v>
      </c>
      <c r="F11" s="503">
        <f>SUM(F9:F10)</f>
        <v>6</v>
      </c>
      <c r="G11" s="504">
        <f>SUM(G9:G10)</f>
        <v>10</v>
      </c>
      <c r="H11" s="505">
        <f>SUM(D11:G11)</f>
        <v>163</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1156" t="s">
        <v>876</v>
      </c>
      <c r="F15" s="1156" t="s">
        <v>875</v>
      </c>
      <c r="G15" s="1156"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1163"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1160" t="s">
        <v>605</v>
      </c>
      <c r="E20" s="1161" t="s">
        <v>605</v>
      </c>
      <c r="F20" s="1161" t="s">
        <v>605</v>
      </c>
      <c r="G20" s="1162"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v>1</v>
      </c>
      <c r="E22" s="1000">
        <v>4</v>
      </c>
      <c r="F22" s="1000">
        <v>0</v>
      </c>
      <c r="G22" s="1001">
        <v>1</v>
      </c>
      <c r="H22" s="444">
        <f t="shared" si="0"/>
        <v>6</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1157">
        <v>0</v>
      </c>
      <c r="E23" s="1158">
        <v>0</v>
      </c>
      <c r="F23" s="1158">
        <v>0</v>
      </c>
      <c r="G23" s="1159">
        <v>0</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v>2</v>
      </c>
      <c r="E24" s="1000">
        <v>3</v>
      </c>
      <c r="F24" s="1000">
        <v>1</v>
      </c>
      <c r="G24" s="1001">
        <v>0</v>
      </c>
      <c r="H24" s="444">
        <f t="shared" si="0"/>
        <v>6</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v>0</v>
      </c>
      <c r="E25" s="1000">
        <v>0</v>
      </c>
      <c r="F25" s="1000">
        <v>0</v>
      </c>
      <c r="G25" s="1001">
        <v>0</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1160" t="s">
        <v>646</v>
      </c>
      <c r="E27" s="1161" t="s">
        <v>646</v>
      </c>
      <c r="F27" s="1161" t="s">
        <v>646</v>
      </c>
      <c r="G27" s="1162"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977</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D1:H1"/>
    <mergeCell ref="A3:H3"/>
    <mergeCell ref="D7:E7"/>
    <mergeCell ref="F7:G7"/>
    <mergeCell ref="A1:C1"/>
    <mergeCell ref="B12:H12"/>
    <mergeCell ref="B23:C23"/>
    <mergeCell ref="D14:E14"/>
    <mergeCell ref="F14:G14"/>
    <mergeCell ref="B17:C17"/>
    <mergeCell ref="B19:C19"/>
    <mergeCell ref="B21:C21"/>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zoomScaleNormal="100" workbookViewId="0">
      <selection activeCell="A28" sqref="A28:C28"/>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323</v>
      </c>
      <c r="B3" s="1673"/>
      <c r="C3" s="1673"/>
      <c r="D3" s="1673"/>
      <c r="E3" s="1673"/>
      <c r="F3" s="1673"/>
      <c r="G3" s="1673"/>
      <c r="H3" s="1674"/>
    </row>
    <row r="4" spans="1:38" ht="15" x14ac:dyDescent="0.2">
      <c r="A4" s="995"/>
      <c r="B4" s="363" t="s">
        <v>141</v>
      </c>
      <c r="C4" s="364" t="s">
        <v>130</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t="s">
        <v>605</v>
      </c>
      <c r="E9" s="514" t="s">
        <v>605</v>
      </c>
      <c r="F9" s="514" t="s">
        <v>605</v>
      </c>
      <c r="G9" s="515" t="s">
        <v>605</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t="s">
        <v>605</v>
      </c>
      <c r="E10" s="1000" t="s">
        <v>605</v>
      </c>
      <c r="F10" s="1000" t="s">
        <v>605</v>
      </c>
      <c r="G10" s="1001" t="s">
        <v>605</v>
      </c>
      <c r="H10" s="1002">
        <f>SUM(D10:G10)</f>
        <v>0</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0</v>
      </c>
      <c r="E11" s="502">
        <f>SUM(E9:E10)</f>
        <v>0</v>
      </c>
      <c r="F11" s="503">
        <f>SUM(F9:F10)</f>
        <v>0</v>
      </c>
      <c r="G11" s="504">
        <f>SUM(G9:G10)</f>
        <v>0</v>
      </c>
      <c r="H11" s="505">
        <f>SUM(D11:G11)</f>
        <v>0</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t="s">
        <v>605</v>
      </c>
      <c r="E23" s="1000" t="s">
        <v>605</v>
      </c>
      <c r="F23" s="1000" t="s">
        <v>605</v>
      </c>
      <c r="G23" s="1001"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605</v>
      </c>
      <c r="E27" s="1000" t="s">
        <v>605</v>
      </c>
      <c r="F27" s="1000" t="s">
        <v>605</v>
      </c>
      <c r="G27" s="1001" t="s">
        <v>605</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605</v>
      </c>
      <c r="E28" s="1000" t="s">
        <v>605</v>
      </c>
      <c r="F28" s="1000" t="s">
        <v>605</v>
      </c>
      <c r="G28" s="1001" t="s">
        <v>605</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605</v>
      </c>
      <c r="E29" s="1007" t="s">
        <v>605</v>
      </c>
      <c r="F29" s="1007" t="s">
        <v>605</v>
      </c>
      <c r="G29" s="1008" t="s">
        <v>605</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D1:H1"/>
    <mergeCell ref="A3:H3"/>
    <mergeCell ref="A1:C1"/>
    <mergeCell ref="D7:E7"/>
    <mergeCell ref="F7:G7"/>
    <mergeCell ref="B12:H12"/>
    <mergeCell ref="B23:C23"/>
    <mergeCell ref="D14:E14"/>
    <mergeCell ref="F14:G14"/>
    <mergeCell ref="B17:C17"/>
    <mergeCell ref="B19:C19"/>
    <mergeCell ref="B21:C21"/>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AL157"/>
  <sheetViews>
    <sheetView topLeftCell="A10" zoomScaleNormal="100" workbookViewId="0">
      <selection activeCell="K23" sqref="K23:K24"/>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778</v>
      </c>
      <c r="B3" s="1673"/>
      <c r="C3" s="1673"/>
      <c r="D3" s="1673"/>
      <c r="E3" s="1673"/>
      <c r="F3" s="1673"/>
      <c r="G3" s="1673"/>
      <c r="H3" s="1674"/>
    </row>
    <row r="4" spans="1:38" ht="15" x14ac:dyDescent="0.2">
      <c r="A4" s="995"/>
      <c r="B4" s="363" t="s">
        <v>141</v>
      </c>
      <c r="C4" s="364" t="s">
        <v>612</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7</v>
      </c>
      <c r="E9" s="514">
        <v>7</v>
      </c>
      <c r="F9" s="514">
        <v>0</v>
      </c>
      <c r="G9" s="515">
        <v>0</v>
      </c>
      <c r="H9" s="500">
        <f>SUM(D9:G9)</f>
        <v>14</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2</v>
      </c>
      <c r="E10" s="1000">
        <v>5</v>
      </c>
      <c r="F10" s="1000">
        <v>0</v>
      </c>
      <c r="G10" s="1001">
        <v>0</v>
      </c>
      <c r="H10" s="1002">
        <f>SUM(D10:G10)</f>
        <v>7</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9</v>
      </c>
      <c r="E11" s="502">
        <f>SUM(E9:E10)</f>
        <v>12</v>
      </c>
      <c r="F11" s="503">
        <f>SUM(F9:F10)</f>
        <v>0</v>
      </c>
      <c r="G11" s="504">
        <f>SUM(G9:G10)</f>
        <v>0</v>
      </c>
      <c r="H11" s="505">
        <f>SUM(D11:G11)</f>
        <v>21</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1156" t="s">
        <v>876</v>
      </c>
      <c r="F15" s="1156" t="s">
        <v>875</v>
      </c>
      <c r="G15" s="1156"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1163" t="s">
        <v>605</v>
      </c>
      <c r="E16" s="514" t="s">
        <v>605</v>
      </c>
      <c r="F16" s="514" t="s">
        <v>605</v>
      </c>
      <c r="G16" s="515" t="s">
        <v>605</v>
      </c>
      <c r="H16" s="499">
        <f t="shared" ref="H16:H28"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1160" t="s">
        <v>605</v>
      </c>
      <c r="E20" s="1161" t="s">
        <v>605</v>
      </c>
      <c r="F20" s="1161" t="s">
        <v>605</v>
      </c>
      <c r="G20" s="1162"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v>6</v>
      </c>
      <c r="E22" s="1000">
        <v>18</v>
      </c>
      <c r="F22" s="1000">
        <v>0</v>
      </c>
      <c r="G22" s="1001">
        <v>2</v>
      </c>
      <c r="H22" s="444">
        <f t="shared" si="0"/>
        <v>26</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1157">
        <v>0</v>
      </c>
      <c r="E23" s="1158">
        <v>0</v>
      </c>
      <c r="F23" s="1158">
        <v>0</v>
      </c>
      <c r="G23" s="1159">
        <v>0</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v>0</v>
      </c>
      <c r="E24" s="1000">
        <v>0</v>
      </c>
      <c r="F24" s="1000">
        <v>0</v>
      </c>
      <c r="G24" s="1001">
        <v>0</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v>0</v>
      </c>
      <c r="E25" s="1000">
        <v>0</v>
      </c>
      <c r="F25" s="1000">
        <v>0</v>
      </c>
      <c r="G25" s="1001">
        <v>0</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1160" t="s">
        <v>646</v>
      </c>
      <c r="E27" s="1161" t="s">
        <v>646</v>
      </c>
      <c r="F27" s="1161" t="s">
        <v>646</v>
      </c>
      <c r="G27" s="1162"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218"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1" t="s">
        <v>646</v>
      </c>
      <c r="H29" s="505">
        <f>SUM(D29:G29)</f>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978</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D1:H1"/>
    <mergeCell ref="A3:H3"/>
    <mergeCell ref="D7:E7"/>
    <mergeCell ref="F7:G7"/>
    <mergeCell ref="A1:C1"/>
    <mergeCell ref="B12:H12"/>
    <mergeCell ref="B23:C23"/>
    <mergeCell ref="D14:E14"/>
    <mergeCell ref="F14:G14"/>
    <mergeCell ref="B17:C17"/>
    <mergeCell ref="B19:C19"/>
    <mergeCell ref="B21:C21"/>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topLeftCell="A14" zoomScaleNormal="100" workbookViewId="0">
      <selection activeCell="G27" sqref="G27"/>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786</v>
      </c>
      <c r="B3" s="1673"/>
      <c r="C3" s="1673"/>
      <c r="D3" s="1673"/>
      <c r="E3" s="1673"/>
      <c r="F3" s="1673"/>
      <c r="G3" s="1673"/>
      <c r="H3" s="1674"/>
    </row>
    <row r="4" spans="1:38" ht="15" x14ac:dyDescent="0.2">
      <c r="A4" s="995"/>
      <c r="B4" s="363" t="s">
        <v>141</v>
      </c>
      <c r="C4" s="364" t="s">
        <v>131</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1</v>
      </c>
      <c r="E9" s="514">
        <v>1</v>
      </c>
      <c r="F9" s="514">
        <v>0</v>
      </c>
      <c r="G9" s="515">
        <v>1</v>
      </c>
      <c r="H9" s="500">
        <f>SUM(D9:G9)</f>
        <v>3</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2</v>
      </c>
      <c r="E10" s="1000">
        <v>1</v>
      </c>
      <c r="F10" s="1000">
        <v>0</v>
      </c>
      <c r="G10" s="1001">
        <v>0</v>
      </c>
      <c r="H10" s="1002">
        <f>SUM(D10:G10)</f>
        <v>3</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3</v>
      </c>
      <c r="E11" s="502">
        <f>SUM(E9:E10)</f>
        <v>2</v>
      </c>
      <c r="F11" s="503">
        <f>SUM(F9:F10)</f>
        <v>0</v>
      </c>
      <c r="G11" s="504">
        <f>SUM(G9:G10)</f>
        <v>1</v>
      </c>
      <c r="H11" s="505">
        <f>SUM(D11:G11)</f>
        <v>6</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v>0</v>
      </c>
      <c r="E22" s="1000">
        <v>0</v>
      </c>
      <c r="F22" s="1000">
        <v>0</v>
      </c>
      <c r="G22" s="1001">
        <v>0</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v>0</v>
      </c>
      <c r="E23" s="1000">
        <v>0</v>
      </c>
      <c r="F23" s="1000">
        <v>0</v>
      </c>
      <c r="G23" s="1001">
        <v>0</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646</v>
      </c>
      <c r="E27" s="1000" t="s">
        <v>646</v>
      </c>
      <c r="F27" s="1000" t="s">
        <v>646</v>
      </c>
      <c r="G27" s="1001"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978</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D1:H1"/>
    <mergeCell ref="A3:H3"/>
    <mergeCell ref="A1:C1"/>
    <mergeCell ref="D7:E7"/>
    <mergeCell ref="F7:G7"/>
    <mergeCell ref="B12:H12"/>
    <mergeCell ref="B23:C23"/>
    <mergeCell ref="D14:E14"/>
    <mergeCell ref="F14:G14"/>
    <mergeCell ref="B17:C17"/>
    <mergeCell ref="B19:C19"/>
    <mergeCell ref="B21:C21"/>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zoomScaleNormal="100" workbookViewId="0">
      <selection activeCell="D16" activeCellId="1" sqref="D9:G10 D16:G29"/>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324</v>
      </c>
      <c r="B3" s="1673"/>
      <c r="C3" s="1673"/>
      <c r="D3" s="1673"/>
      <c r="E3" s="1673"/>
      <c r="F3" s="1673"/>
      <c r="G3" s="1673"/>
      <c r="H3" s="1674"/>
    </row>
    <row r="4" spans="1:38" ht="15" x14ac:dyDescent="0.2">
      <c r="A4" s="995"/>
      <c r="B4" s="363" t="s">
        <v>141</v>
      </c>
      <c r="C4" s="364" t="s">
        <v>132</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t="s">
        <v>605</v>
      </c>
      <c r="E9" s="514" t="s">
        <v>605</v>
      </c>
      <c r="F9" s="514" t="s">
        <v>605</v>
      </c>
      <c r="G9" s="515" t="s">
        <v>605</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t="s">
        <v>605</v>
      </c>
      <c r="E10" s="1000" t="s">
        <v>605</v>
      </c>
      <c r="F10" s="1000" t="s">
        <v>605</v>
      </c>
      <c r="G10" s="1001" t="s">
        <v>605</v>
      </c>
      <c r="H10" s="1002">
        <f>SUM(D10:G10)</f>
        <v>0</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0</v>
      </c>
      <c r="E11" s="502">
        <f>SUM(E9:E10)</f>
        <v>0</v>
      </c>
      <c r="F11" s="503">
        <f>SUM(F9:F10)</f>
        <v>0</v>
      </c>
      <c r="G11" s="504">
        <f>SUM(G9:G10)</f>
        <v>0</v>
      </c>
      <c r="H11" s="505">
        <f>SUM(D11:G11)</f>
        <v>0</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t="s">
        <v>605</v>
      </c>
      <c r="E23" s="1000" t="s">
        <v>605</v>
      </c>
      <c r="F23" s="1000" t="s">
        <v>605</v>
      </c>
      <c r="G23" s="1001"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605</v>
      </c>
      <c r="E27" s="1000" t="s">
        <v>605</v>
      </c>
      <c r="F27" s="1000" t="s">
        <v>605</v>
      </c>
      <c r="G27" s="1001" t="s">
        <v>605</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605</v>
      </c>
      <c r="E28" s="1000" t="s">
        <v>605</v>
      </c>
      <c r="F28" s="1000" t="s">
        <v>605</v>
      </c>
      <c r="G28" s="1001" t="s">
        <v>605</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605</v>
      </c>
      <c r="E29" s="1007" t="s">
        <v>605</v>
      </c>
      <c r="F29" s="1007" t="s">
        <v>605</v>
      </c>
      <c r="G29" s="1008" t="s">
        <v>605</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D1:H1"/>
    <mergeCell ref="A3:H3"/>
    <mergeCell ref="A1:C1"/>
    <mergeCell ref="D7:E7"/>
    <mergeCell ref="F7:G7"/>
    <mergeCell ref="B12:H12"/>
    <mergeCell ref="B23:C23"/>
    <mergeCell ref="D14:E14"/>
    <mergeCell ref="F14:G14"/>
    <mergeCell ref="B17:C17"/>
    <mergeCell ref="B19:C19"/>
    <mergeCell ref="B21:C21"/>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zoomScaleNormal="100" workbookViewId="0">
      <selection activeCell="A28" sqref="A28:C28"/>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325</v>
      </c>
      <c r="B3" s="1673"/>
      <c r="C3" s="1673"/>
      <c r="D3" s="1673"/>
      <c r="E3" s="1673"/>
      <c r="F3" s="1673"/>
      <c r="G3" s="1673"/>
      <c r="H3" s="1674"/>
    </row>
    <row r="4" spans="1:38" ht="15" x14ac:dyDescent="0.2">
      <c r="A4" s="995"/>
      <c r="B4" s="363" t="s">
        <v>141</v>
      </c>
      <c r="C4" s="364" t="s">
        <v>133</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t="s">
        <v>605</v>
      </c>
      <c r="E9" s="514" t="s">
        <v>605</v>
      </c>
      <c r="F9" s="514" t="s">
        <v>605</v>
      </c>
      <c r="G9" s="515" t="s">
        <v>605</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t="s">
        <v>605</v>
      </c>
      <c r="E10" s="1000" t="s">
        <v>605</v>
      </c>
      <c r="F10" s="1000" t="s">
        <v>605</v>
      </c>
      <c r="G10" s="1001" t="s">
        <v>605</v>
      </c>
      <c r="H10" s="1002">
        <f>SUM(D10:G10)</f>
        <v>0</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0</v>
      </c>
      <c r="E11" s="502">
        <f>SUM(E9:E10)</f>
        <v>0</v>
      </c>
      <c r="F11" s="503">
        <f>SUM(F9:F10)</f>
        <v>0</v>
      </c>
      <c r="G11" s="504">
        <f>SUM(G9:G10)</f>
        <v>0</v>
      </c>
      <c r="H11" s="505">
        <f>SUM(D11:G11)</f>
        <v>0</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t="s">
        <v>605</v>
      </c>
      <c r="E23" s="1000" t="s">
        <v>605</v>
      </c>
      <c r="F23" s="1000" t="s">
        <v>605</v>
      </c>
      <c r="G23" s="1001"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605</v>
      </c>
      <c r="E27" s="1000" t="s">
        <v>605</v>
      </c>
      <c r="F27" s="1000" t="s">
        <v>605</v>
      </c>
      <c r="G27" s="1001" t="s">
        <v>605</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605</v>
      </c>
      <c r="E28" s="1000" t="s">
        <v>605</v>
      </c>
      <c r="F28" s="1000" t="s">
        <v>605</v>
      </c>
      <c r="G28" s="1001" t="s">
        <v>605</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605</v>
      </c>
      <c r="E29" s="1007" t="s">
        <v>605</v>
      </c>
      <c r="F29" s="1007" t="s">
        <v>605</v>
      </c>
      <c r="G29" s="1008" t="s">
        <v>605</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D1:H1"/>
    <mergeCell ref="A3:H3"/>
    <mergeCell ref="A1:C1"/>
    <mergeCell ref="D7:E7"/>
    <mergeCell ref="F7:G7"/>
    <mergeCell ref="B12:H12"/>
    <mergeCell ref="B23:C23"/>
    <mergeCell ref="D14:E14"/>
    <mergeCell ref="F14:G14"/>
    <mergeCell ref="B17:C17"/>
    <mergeCell ref="B19:C19"/>
    <mergeCell ref="B21:C21"/>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topLeftCell="A7" zoomScaleNormal="100" workbookViewId="0">
      <selection activeCell="G27" sqref="G27"/>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777</v>
      </c>
      <c r="B3" s="1673"/>
      <c r="C3" s="1673"/>
      <c r="D3" s="1673"/>
      <c r="E3" s="1673"/>
      <c r="F3" s="1673"/>
      <c r="G3" s="1673"/>
      <c r="H3" s="1674"/>
    </row>
    <row r="4" spans="1:38" ht="15" x14ac:dyDescent="0.2">
      <c r="A4" s="995"/>
      <c r="B4" s="363" t="s">
        <v>141</v>
      </c>
      <c r="C4" s="364" t="s">
        <v>119</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9</v>
      </c>
      <c r="E9" s="514">
        <v>139</v>
      </c>
      <c r="F9" s="514">
        <v>2</v>
      </c>
      <c r="G9" s="515">
        <v>5</v>
      </c>
      <c r="H9" s="500">
        <f>SUM(D9:G9)</f>
        <v>155</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2</v>
      </c>
      <c r="E10" s="1000">
        <v>62</v>
      </c>
      <c r="F10" s="1000">
        <v>2</v>
      </c>
      <c r="G10" s="1001">
        <v>2</v>
      </c>
      <c r="H10" s="1002">
        <f>SUM(D10:G10)</f>
        <v>68</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11</v>
      </c>
      <c r="E11" s="502">
        <f>SUM(E9:E10)</f>
        <v>201</v>
      </c>
      <c r="F11" s="503">
        <f>SUM(F9:F10)</f>
        <v>4</v>
      </c>
      <c r="G11" s="504">
        <f>SUM(G9:G10)</f>
        <v>7</v>
      </c>
      <c r="H11" s="505">
        <f>SUM(D11:G11)</f>
        <v>223</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v>0</v>
      </c>
      <c r="E22" s="1000">
        <v>9</v>
      </c>
      <c r="F22" s="1000">
        <v>0</v>
      </c>
      <c r="G22" s="1001">
        <v>2</v>
      </c>
      <c r="H22" s="444">
        <f t="shared" si="0"/>
        <v>11</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v>0</v>
      </c>
      <c r="E23" s="1000">
        <v>0</v>
      </c>
      <c r="F23" s="1000">
        <v>0</v>
      </c>
      <c r="G23" s="1001">
        <v>0</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646</v>
      </c>
      <c r="E27" s="1000" t="s">
        <v>646</v>
      </c>
      <c r="F27" s="1000" t="s">
        <v>646</v>
      </c>
      <c r="G27" s="1001"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978</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D1:H1"/>
    <mergeCell ref="A3:H3"/>
    <mergeCell ref="A1:C1"/>
    <mergeCell ref="D7:E7"/>
    <mergeCell ref="F7:G7"/>
    <mergeCell ref="B12:H12"/>
    <mergeCell ref="B23:C23"/>
    <mergeCell ref="D14:E14"/>
    <mergeCell ref="F14:G14"/>
    <mergeCell ref="B17:C17"/>
    <mergeCell ref="B19:C19"/>
    <mergeCell ref="B21:C21"/>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topLeftCell="A8" zoomScaleNormal="100" workbookViewId="0">
      <selection activeCell="A32" sqref="A32:H35"/>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776</v>
      </c>
      <c r="B3" s="1673"/>
      <c r="C3" s="1673"/>
      <c r="D3" s="1673"/>
      <c r="E3" s="1673"/>
      <c r="F3" s="1673"/>
      <c r="G3" s="1673"/>
      <c r="H3" s="1674"/>
    </row>
    <row r="4" spans="1:38" ht="15" x14ac:dyDescent="0.2">
      <c r="A4" s="995"/>
      <c r="B4" s="363" t="s">
        <v>141</v>
      </c>
      <c r="C4" s="364" t="s">
        <v>309</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2</v>
      </c>
      <c r="E9" s="514">
        <v>21</v>
      </c>
      <c r="F9" s="514">
        <v>0</v>
      </c>
      <c r="G9" s="515">
        <v>0</v>
      </c>
      <c r="H9" s="500">
        <f>SUM(D9:G9)</f>
        <v>23</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5</v>
      </c>
      <c r="E10" s="1000">
        <v>16</v>
      </c>
      <c r="F10" s="1000">
        <v>0</v>
      </c>
      <c r="G10" s="1001">
        <v>0</v>
      </c>
      <c r="H10" s="1002">
        <f>SUM(D10:G10)</f>
        <v>21</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7</v>
      </c>
      <c r="E11" s="502">
        <f>SUM(E9:E10)</f>
        <v>37</v>
      </c>
      <c r="F11" s="503">
        <f>SUM(F9:F10)</f>
        <v>0</v>
      </c>
      <c r="G11" s="504">
        <f>SUM(G9:G10)</f>
        <v>0</v>
      </c>
      <c r="H11" s="505">
        <f>SUM(D11:G11)</f>
        <v>44</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v>1</v>
      </c>
      <c r="E20" s="1000">
        <v>3</v>
      </c>
      <c r="F20" s="1000">
        <v>0</v>
      </c>
      <c r="G20" s="1001">
        <v>0</v>
      </c>
      <c r="H20" s="444">
        <f t="shared" si="0"/>
        <v>4</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v>0</v>
      </c>
      <c r="E21" s="1000">
        <v>0</v>
      </c>
      <c r="F21" s="1000">
        <v>0</v>
      </c>
      <c r="G21" s="1001">
        <v>0</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v>0</v>
      </c>
      <c r="E22" s="1000">
        <v>1</v>
      </c>
      <c r="F22" s="1000">
        <v>0</v>
      </c>
      <c r="G22" s="1001">
        <v>0</v>
      </c>
      <c r="H22" s="444">
        <f t="shared" si="0"/>
        <v>1</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v>0</v>
      </c>
      <c r="E23" s="1000">
        <v>0</v>
      </c>
      <c r="F23" s="1000">
        <v>0</v>
      </c>
      <c r="G23" s="1001">
        <v>0</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v>0</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646</v>
      </c>
      <c r="E27" s="1000" t="s">
        <v>646</v>
      </c>
      <c r="F27" s="1000" t="s">
        <v>646</v>
      </c>
      <c r="G27" s="1001"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978</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D1:H1"/>
    <mergeCell ref="A3:H3"/>
    <mergeCell ref="A1:C1"/>
    <mergeCell ref="D7:E7"/>
    <mergeCell ref="F7:G7"/>
    <mergeCell ref="B12:H12"/>
    <mergeCell ref="B23:C23"/>
    <mergeCell ref="D14:E14"/>
    <mergeCell ref="F14:G14"/>
    <mergeCell ref="B17:C17"/>
    <mergeCell ref="B19:C19"/>
    <mergeCell ref="B21:C21"/>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zoomScaleNormal="100" workbookViewId="0">
      <selection activeCell="A28" sqref="A28:C28"/>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326</v>
      </c>
      <c r="B3" s="1673"/>
      <c r="C3" s="1673"/>
      <c r="D3" s="1673"/>
      <c r="E3" s="1673"/>
      <c r="F3" s="1673"/>
      <c r="G3" s="1673"/>
      <c r="H3" s="1674"/>
    </row>
    <row r="4" spans="1:38" ht="15" x14ac:dyDescent="0.2">
      <c r="A4" s="995"/>
      <c r="B4" s="363" t="s">
        <v>141</v>
      </c>
      <c r="C4" s="364" t="s">
        <v>134</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t="s">
        <v>605</v>
      </c>
      <c r="E9" s="514" t="s">
        <v>605</v>
      </c>
      <c r="F9" s="514" t="s">
        <v>605</v>
      </c>
      <c r="G9" s="515" t="s">
        <v>605</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t="s">
        <v>605</v>
      </c>
      <c r="E10" s="1000" t="s">
        <v>605</v>
      </c>
      <c r="F10" s="1000" t="s">
        <v>605</v>
      </c>
      <c r="G10" s="1001" t="s">
        <v>605</v>
      </c>
      <c r="H10" s="1002">
        <f>SUM(D10:G10)</f>
        <v>0</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0</v>
      </c>
      <c r="E11" s="502">
        <f>SUM(E9:E10)</f>
        <v>0</v>
      </c>
      <c r="F11" s="503">
        <f>SUM(F9:F10)</f>
        <v>0</v>
      </c>
      <c r="G11" s="504">
        <f>SUM(G9:G10)</f>
        <v>0</v>
      </c>
      <c r="H11" s="505">
        <f>SUM(D11:G11)</f>
        <v>0</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t="s">
        <v>605</v>
      </c>
      <c r="E23" s="1000" t="s">
        <v>605</v>
      </c>
      <c r="F23" s="1000" t="s">
        <v>605</v>
      </c>
      <c r="G23" s="1001"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605</v>
      </c>
      <c r="E27" s="1000" t="s">
        <v>605</v>
      </c>
      <c r="F27" s="1000" t="s">
        <v>605</v>
      </c>
      <c r="G27" s="1001" t="s">
        <v>605</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605</v>
      </c>
      <c r="E28" s="1000" t="s">
        <v>605</v>
      </c>
      <c r="F28" s="1000" t="s">
        <v>605</v>
      </c>
      <c r="G28" s="1001" t="s">
        <v>605</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605</v>
      </c>
      <c r="E29" s="1007" t="s">
        <v>605</v>
      </c>
      <c r="F29" s="1007" t="s">
        <v>605</v>
      </c>
      <c r="G29" s="1008" t="s">
        <v>605</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D1:H1"/>
    <mergeCell ref="A3:H3"/>
    <mergeCell ref="A1:C1"/>
    <mergeCell ref="D7:E7"/>
    <mergeCell ref="F7:G7"/>
    <mergeCell ref="B12:H12"/>
    <mergeCell ref="B23:C23"/>
    <mergeCell ref="D14:E14"/>
    <mergeCell ref="F14:G14"/>
    <mergeCell ref="B17:C17"/>
    <mergeCell ref="B19:C19"/>
    <mergeCell ref="B21:C21"/>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zoomScaleNormal="100" workbookViewId="0">
      <selection activeCell="A28" sqref="A28:C28"/>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327</v>
      </c>
      <c r="B3" s="1673"/>
      <c r="C3" s="1673"/>
      <c r="D3" s="1673"/>
      <c r="E3" s="1673"/>
      <c r="F3" s="1673"/>
      <c r="G3" s="1673"/>
      <c r="H3" s="1674"/>
    </row>
    <row r="4" spans="1:38" ht="15" x14ac:dyDescent="0.2">
      <c r="A4" s="995"/>
      <c r="B4" s="363" t="s">
        <v>141</v>
      </c>
      <c r="C4" s="364" t="s">
        <v>274</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t="s">
        <v>605</v>
      </c>
      <c r="E9" s="514" t="s">
        <v>605</v>
      </c>
      <c r="F9" s="514" t="s">
        <v>605</v>
      </c>
      <c r="G9" s="515" t="s">
        <v>605</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t="s">
        <v>605</v>
      </c>
      <c r="E10" s="1000" t="s">
        <v>605</v>
      </c>
      <c r="F10" s="1000" t="s">
        <v>605</v>
      </c>
      <c r="G10" s="1001" t="s">
        <v>605</v>
      </c>
      <c r="H10" s="1002">
        <f>SUM(D10:G10)</f>
        <v>0</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0</v>
      </c>
      <c r="E11" s="502">
        <f>SUM(E9:E10)</f>
        <v>0</v>
      </c>
      <c r="F11" s="503">
        <f>SUM(F9:F10)</f>
        <v>0</v>
      </c>
      <c r="G11" s="504">
        <f>SUM(G9:G10)</f>
        <v>0</v>
      </c>
      <c r="H11" s="505">
        <f>SUM(D11:G11)</f>
        <v>0</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t="s">
        <v>605</v>
      </c>
      <c r="E23" s="1000" t="s">
        <v>605</v>
      </c>
      <c r="F23" s="1000" t="s">
        <v>605</v>
      </c>
      <c r="G23" s="1001"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605</v>
      </c>
      <c r="E27" s="1000" t="s">
        <v>605</v>
      </c>
      <c r="F27" s="1000" t="s">
        <v>605</v>
      </c>
      <c r="G27" s="1001" t="s">
        <v>605</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605</v>
      </c>
      <c r="E28" s="1000" t="s">
        <v>605</v>
      </c>
      <c r="F28" s="1000" t="s">
        <v>605</v>
      </c>
      <c r="G28" s="1001" t="s">
        <v>605</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605</v>
      </c>
      <c r="E29" s="1007" t="s">
        <v>605</v>
      </c>
      <c r="F29" s="1007" t="s">
        <v>605</v>
      </c>
      <c r="G29" s="1008" t="s">
        <v>605</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D1:H1"/>
    <mergeCell ref="A3:H3"/>
    <mergeCell ref="A1:C1"/>
    <mergeCell ref="D7:E7"/>
    <mergeCell ref="F7:G7"/>
    <mergeCell ref="B12:H12"/>
    <mergeCell ref="B23:C23"/>
    <mergeCell ref="D14:E14"/>
    <mergeCell ref="F14:G14"/>
    <mergeCell ref="B17:C17"/>
    <mergeCell ref="B19:C19"/>
    <mergeCell ref="B21:C21"/>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zoomScaleNormal="100" workbookViewId="0">
      <selection activeCell="A28" sqref="A28:C28"/>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328</v>
      </c>
      <c r="B3" s="1673"/>
      <c r="C3" s="1673"/>
      <c r="D3" s="1673"/>
      <c r="E3" s="1673"/>
      <c r="F3" s="1673"/>
      <c r="G3" s="1673"/>
      <c r="H3" s="1674"/>
    </row>
    <row r="4" spans="1:38" ht="15" x14ac:dyDescent="0.2">
      <c r="A4" s="995"/>
      <c r="B4" s="363" t="s">
        <v>141</v>
      </c>
      <c r="C4" s="364" t="s">
        <v>329</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t="s">
        <v>605</v>
      </c>
      <c r="E9" s="514" t="s">
        <v>605</v>
      </c>
      <c r="F9" s="514" t="s">
        <v>605</v>
      </c>
      <c r="G9" s="515" t="s">
        <v>605</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t="s">
        <v>605</v>
      </c>
      <c r="E10" s="1000" t="s">
        <v>605</v>
      </c>
      <c r="F10" s="1000" t="s">
        <v>605</v>
      </c>
      <c r="G10" s="1001" t="s">
        <v>605</v>
      </c>
      <c r="H10" s="1002">
        <f>SUM(D10:G10)</f>
        <v>0</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0</v>
      </c>
      <c r="E11" s="502">
        <f>SUM(E9:E10)</f>
        <v>0</v>
      </c>
      <c r="F11" s="503">
        <f>SUM(F9:F10)</f>
        <v>0</v>
      </c>
      <c r="G11" s="504">
        <f>SUM(G9:G10)</f>
        <v>0</v>
      </c>
      <c r="H11" s="505">
        <f>SUM(D11:G11)</f>
        <v>0</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t="s">
        <v>605</v>
      </c>
      <c r="E23" s="1000" t="s">
        <v>605</v>
      </c>
      <c r="F23" s="1000" t="s">
        <v>605</v>
      </c>
      <c r="G23" s="1001"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605</v>
      </c>
      <c r="E27" s="1000" t="s">
        <v>605</v>
      </c>
      <c r="F27" s="1000" t="s">
        <v>605</v>
      </c>
      <c r="G27" s="1001" t="s">
        <v>605</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605</v>
      </c>
      <c r="E28" s="1000" t="s">
        <v>605</v>
      </c>
      <c r="F28" s="1000" t="s">
        <v>605</v>
      </c>
      <c r="G28" s="1001" t="s">
        <v>605</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605</v>
      </c>
      <c r="E29" s="1007" t="s">
        <v>605</v>
      </c>
      <c r="F29" s="1007" t="s">
        <v>605</v>
      </c>
      <c r="G29" s="1008" t="s">
        <v>605</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D1:H1"/>
    <mergeCell ref="A3:H3"/>
    <mergeCell ref="A1:C1"/>
    <mergeCell ref="D7:E7"/>
    <mergeCell ref="F7:G7"/>
    <mergeCell ref="B12:H12"/>
    <mergeCell ref="B23:C23"/>
    <mergeCell ref="D14:E14"/>
    <mergeCell ref="F14:G14"/>
    <mergeCell ref="B17:C17"/>
    <mergeCell ref="B19:C19"/>
    <mergeCell ref="B21:C21"/>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topLeftCell="A13" zoomScaleNormal="100" workbookViewId="0">
      <selection activeCell="G29" sqref="G29"/>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775</v>
      </c>
      <c r="B3" s="1673"/>
      <c r="C3" s="1673"/>
      <c r="D3" s="1673"/>
      <c r="E3" s="1673"/>
      <c r="F3" s="1673"/>
      <c r="G3" s="1673"/>
      <c r="H3" s="1674"/>
    </row>
    <row r="4" spans="1:38" ht="15" x14ac:dyDescent="0.2">
      <c r="A4" s="995"/>
      <c r="B4" s="363" t="s">
        <v>141</v>
      </c>
      <c r="C4" s="364" t="s">
        <v>137</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0</v>
      </c>
      <c r="E9" s="514">
        <v>0</v>
      </c>
      <c r="F9" s="514">
        <v>0</v>
      </c>
      <c r="G9" s="515">
        <v>0</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0</v>
      </c>
      <c r="E10" s="1000">
        <v>0</v>
      </c>
      <c r="F10" s="1000">
        <v>0</v>
      </c>
      <c r="G10" s="1001">
        <v>0</v>
      </c>
      <c r="H10" s="1002">
        <f>SUM(D10:G10)</f>
        <v>0</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0</v>
      </c>
      <c r="E11" s="502">
        <f>SUM(E9:E10)</f>
        <v>0</v>
      </c>
      <c r="F11" s="503">
        <f>SUM(F9:F10)</f>
        <v>0</v>
      </c>
      <c r="G11" s="504">
        <f>SUM(G9:G10)</f>
        <v>0</v>
      </c>
      <c r="H11" s="505">
        <f>SUM(D11:G11)</f>
        <v>0</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v>0</v>
      </c>
      <c r="E22" s="1000">
        <v>0</v>
      </c>
      <c r="F22" s="1000">
        <v>0</v>
      </c>
      <c r="G22" s="1001">
        <v>0</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v>0</v>
      </c>
      <c r="E23" s="1000">
        <v>0</v>
      </c>
      <c r="F23" s="1000">
        <v>0</v>
      </c>
      <c r="G23" s="1001">
        <v>0</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v>0</v>
      </c>
      <c r="E24" s="1000">
        <v>0</v>
      </c>
      <c r="F24" s="1000">
        <v>0</v>
      </c>
      <c r="G24" s="1001">
        <v>0</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v>0</v>
      </c>
      <c r="E25" s="1000">
        <v>0</v>
      </c>
      <c r="F25" s="1000">
        <v>0</v>
      </c>
      <c r="G25" s="1001">
        <v>0</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646</v>
      </c>
      <c r="E27" s="1000" t="s">
        <v>646</v>
      </c>
      <c r="F27" s="1000" t="s">
        <v>646</v>
      </c>
      <c r="G27" s="1001"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969</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D1:H1"/>
    <mergeCell ref="A3:H3"/>
    <mergeCell ref="A1:C1"/>
    <mergeCell ref="D7:E7"/>
    <mergeCell ref="F7:G7"/>
    <mergeCell ref="B12:H12"/>
    <mergeCell ref="B23:C23"/>
    <mergeCell ref="D14:E14"/>
    <mergeCell ref="F14:G14"/>
    <mergeCell ref="B17:C17"/>
    <mergeCell ref="B19:C19"/>
    <mergeCell ref="B21:C21"/>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topLeftCell="A12" zoomScaleNormal="100" workbookViewId="0">
      <selection activeCell="A32" sqref="A32:H35"/>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785</v>
      </c>
      <c r="B3" s="1673"/>
      <c r="C3" s="1673"/>
      <c r="D3" s="1673"/>
      <c r="E3" s="1673"/>
      <c r="F3" s="1673"/>
      <c r="G3" s="1673"/>
      <c r="H3" s="1674"/>
    </row>
    <row r="4" spans="1:38" ht="15" x14ac:dyDescent="0.2">
      <c r="A4" s="995"/>
      <c r="B4" s="363" t="s">
        <v>141</v>
      </c>
      <c r="C4" s="364" t="s">
        <v>138</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30</v>
      </c>
      <c r="E9" s="514">
        <v>41</v>
      </c>
      <c r="F9" s="514">
        <v>1</v>
      </c>
      <c r="G9" s="515">
        <v>2</v>
      </c>
      <c r="H9" s="500">
        <f>SUM(D9:G9)</f>
        <v>74</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11</v>
      </c>
      <c r="E10" s="1000">
        <v>23</v>
      </c>
      <c r="F10" s="1000">
        <v>1</v>
      </c>
      <c r="G10" s="1001">
        <v>3</v>
      </c>
      <c r="H10" s="1002">
        <f>SUM(D10:G10)</f>
        <v>38</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41</v>
      </c>
      <c r="E11" s="502">
        <f>SUM(E9:E10)</f>
        <v>64</v>
      </c>
      <c r="F11" s="503">
        <f>SUM(F9:F10)</f>
        <v>2</v>
      </c>
      <c r="G11" s="504">
        <f>SUM(G9:G10)</f>
        <v>5</v>
      </c>
      <c r="H11" s="505">
        <f>SUM(D11:G11)</f>
        <v>112</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1156" t="s">
        <v>876</v>
      </c>
      <c r="F15" s="1156" t="s">
        <v>875</v>
      </c>
      <c r="G15" s="1156"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1163"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1160" t="s">
        <v>605</v>
      </c>
      <c r="E20" s="1161" t="s">
        <v>605</v>
      </c>
      <c r="F20" s="1161" t="s">
        <v>605</v>
      </c>
      <c r="G20" s="1162"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v>0</v>
      </c>
      <c r="E22" s="1000">
        <v>1</v>
      </c>
      <c r="F22" s="1000">
        <v>0</v>
      </c>
      <c r="G22" s="1001">
        <v>0</v>
      </c>
      <c r="H22" s="444">
        <f t="shared" si="0"/>
        <v>1</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1157">
        <v>0</v>
      </c>
      <c r="E23" s="1158">
        <v>0</v>
      </c>
      <c r="F23" s="1158">
        <v>0</v>
      </c>
      <c r="G23" s="1159">
        <v>0</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v>0</v>
      </c>
      <c r="E24" s="1000">
        <v>6</v>
      </c>
      <c r="F24" s="1000">
        <v>1</v>
      </c>
      <c r="G24" s="1001">
        <v>0</v>
      </c>
      <c r="H24" s="444">
        <f t="shared" si="0"/>
        <v>7</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v>0</v>
      </c>
      <c r="E25" s="1000">
        <v>0</v>
      </c>
      <c r="F25" s="1000">
        <v>0</v>
      </c>
      <c r="G25" s="1001">
        <v>0</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1160" t="s">
        <v>646</v>
      </c>
      <c r="E27" s="1161" t="s">
        <v>646</v>
      </c>
      <c r="F27" s="1161" t="s">
        <v>646</v>
      </c>
      <c r="G27" s="1162"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979</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D1:H1"/>
    <mergeCell ref="A3:H3"/>
    <mergeCell ref="A1:C1"/>
    <mergeCell ref="D7:E7"/>
    <mergeCell ref="F7:G7"/>
    <mergeCell ref="B12:H12"/>
    <mergeCell ref="B23:C23"/>
    <mergeCell ref="D14:E14"/>
    <mergeCell ref="F14:G14"/>
    <mergeCell ref="B17:C17"/>
    <mergeCell ref="B19:C19"/>
    <mergeCell ref="B21:C21"/>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topLeftCell="A7" zoomScaleNormal="100" workbookViewId="0">
      <selection activeCell="A32" sqref="A32:H35"/>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784</v>
      </c>
      <c r="B3" s="1673"/>
      <c r="C3" s="1673"/>
      <c r="D3" s="1673"/>
      <c r="E3" s="1673"/>
      <c r="F3" s="1673"/>
      <c r="G3" s="1673"/>
      <c r="H3" s="1674"/>
    </row>
    <row r="4" spans="1:38" ht="15" x14ac:dyDescent="0.2">
      <c r="A4" s="995"/>
      <c r="B4" s="363" t="s">
        <v>141</v>
      </c>
      <c r="C4" s="364" t="s">
        <v>310</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12</v>
      </c>
      <c r="E9" s="514">
        <v>2</v>
      </c>
      <c r="F9" s="514">
        <v>0</v>
      </c>
      <c r="G9" s="515">
        <v>0</v>
      </c>
      <c r="H9" s="500">
        <f>SUM(D9:G9)</f>
        <v>14</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4</v>
      </c>
      <c r="E10" s="1000">
        <v>2</v>
      </c>
      <c r="F10" s="1000">
        <v>0</v>
      </c>
      <c r="G10" s="1001">
        <v>0</v>
      </c>
      <c r="H10" s="1002">
        <f>SUM(D10:G10)</f>
        <v>6</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16</v>
      </c>
      <c r="E11" s="502">
        <f>SUM(E9:E10)</f>
        <v>4</v>
      </c>
      <c r="F11" s="503">
        <f>SUM(F9:F10)</f>
        <v>0</v>
      </c>
      <c r="G11" s="504">
        <f>SUM(G9:G10)</f>
        <v>0</v>
      </c>
      <c r="H11" s="505">
        <f>SUM(D11:G11)</f>
        <v>20</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58" t="s">
        <v>147</v>
      </c>
      <c r="B20" s="507"/>
      <c r="C20" s="484"/>
      <c r="D20" s="999">
        <v>0</v>
      </c>
      <c r="E20" s="1000">
        <v>0</v>
      </c>
      <c r="F20" s="1000">
        <v>0</v>
      </c>
      <c r="G20" s="1001">
        <v>0</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60"/>
      <c r="B21" s="1666" t="s">
        <v>470</v>
      </c>
      <c r="C21" s="1667"/>
      <c r="D21" s="999">
        <v>0</v>
      </c>
      <c r="E21" s="1000">
        <v>0</v>
      </c>
      <c r="F21" s="1000">
        <v>0</v>
      </c>
      <c r="G21" s="1001">
        <v>0</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59" t="s">
        <v>148</v>
      </c>
      <c r="B22" s="445"/>
      <c r="C22" s="900"/>
      <c r="D22" s="999">
        <v>0</v>
      </c>
      <c r="E22" s="1000">
        <v>0</v>
      </c>
      <c r="F22" s="1000">
        <v>0</v>
      </c>
      <c r="G22" s="1001">
        <v>0</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60"/>
      <c r="B23" s="1666" t="s">
        <v>330</v>
      </c>
      <c r="C23" s="1667"/>
      <c r="D23" s="999">
        <v>0</v>
      </c>
      <c r="E23" s="1000">
        <v>0</v>
      </c>
      <c r="F23" s="1000">
        <v>0</v>
      </c>
      <c r="G23" s="1001">
        <v>0</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646</v>
      </c>
      <c r="E27" s="1000" t="s">
        <v>646</v>
      </c>
      <c r="F27" s="1000" t="s">
        <v>646</v>
      </c>
      <c r="G27" s="1001"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977</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D1:H1"/>
    <mergeCell ref="A3:H3"/>
    <mergeCell ref="A1:C1"/>
    <mergeCell ref="D7:E7"/>
    <mergeCell ref="F7:G7"/>
    <mergeCell ref="B12:H12"/>
    <mergeCell ref="B23:C23"/>
    <mergeCell ref="D14:E14"/>
    <mergeCell ref="F14:G14"/>
    <mergeCell ref="B17:C17"/>
    <mergeCell ref="B19:C19"/>
    <mergeCell ref="B21:C21"/>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zoomScaleNormal="100" workbookViewId="0">
      <selection activeCell="A28" sqref="A28:C28"/>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333</v>
      </c>
      <c r="B3" s="1673"/>
      <c r="C3" s="1673"/>
      <c r="D3" s="1673"/>
      <c r="E3" s="1673"/>
      <c r="F3" s="1673"/>
      <c r="G3" s="1673"/>
      <c r="H3" s="1674"/>
    </row>
    <row r="4" spans="1:38" ht="15" x14ac:dyDescent="0.2">
      <c r="A4" s="995"/>
      <c r="B4" s="363" t="s">
        <v>141</v>
      </c>
      <c r="C4" s="364" t="s">
        <v>334</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t="s">
        <v>605</v>
      </c>
      <c r="E9" s="514" t="s">
        <v>605</v>
      </c>
      <c r="F9" s="514" t="s">
        <v>605</v>
      </c>
      <c r="G9" s="515" t="s">
        <v>605</v>
      </c>
      <c r="H9" s="500">
        <f>SUM(D9:G9)</f>
        <v>0</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t="s">
        <v>605</v>
      </c>
      <c r="E10" s="1000" t="s">
        <v>605</v>
      </c>
      <c r="F10" s="1000" t="s">
        <v>605</v>
      </c>
      <c r="G10" s="1001" t="s">
        <v>605</v>
      </c>
      <c r="H10" s="1002">
        <f>SUM(D10:G10)</f>
        <v>0</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0</v>
      </c>
      <c r="E11" s="502">
        <f>SUM(E9:E10)</f>
        <v>0</v>
      </c>
      <c r="F11" s="503">
        <f>SUM(F9:F10)</f>
        <v>0</v>
      </c>
      <c r="G11" s="504">
        <f>SUM(G9:G10)</f>
        <v>0</v>
      </c>
      <c r="H11" s="505">
        <f>SUM(D11:G11)</f>
        <v>0</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hidden="1"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hidden="1"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hidden="1"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hidden="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hidden="1"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hidden="1"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hidden="1"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hidden="1"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hidden="1"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hidden="1"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hidden="1"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hidden="1" customHeight="1" x14ac:dyDescent="0.2">
      <c r="A23" s="360"/>
      <c r="B23" s="1666" t="s">
        <v>330</v>
      </c>
      <c r="C23" s="1667"/>
      <c r="D23" s="999" t="s">
        <v>605</v>
      </c>
      <c r="E23" s="1000" t="s">
        <v>605</v>
      </c>
      <c r="F23" s="1000" t="s">
        <v>605</v>
      </c>
      <c r="G23" s="1001"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hidden="1"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hidden="1"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hidden="1"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hidden="1" customHeight="1" x14ac:dyDescent="0.2">
      <c r="A27" s="1004" t="s">
        <v>468</v>
      </c>
      <c r="B27" s="660"/>
      <c r="C27" s="661"/>
      <c r="D27" s="999" t="s">
        <v>605</v>
      </c>
      <c r="E27" s="1000" t="s">
        <v>605</v>
      </c>
      <c r="F27" s="1000" t="s">
        <v>605</v>
      </c>
      <c r="G27" s="1001" t="s">
        <v>605</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hidden="1" customHeight="1" x14ac:dyDescent="0.2">
      <c r="A28" s="1682" t="s">
        <v>478</v>
      </c>
      <c r="B28" s="1683"/>
      <c r="C28" s="1684"/>
      <c r="D28" s="999" t="s">
        <v>605</v>
      </c>
      <c r="E28" s="1000" t="s">
        <v>605</v>
      </c>
      <c r="F28" s="1000" t="s">
        <v>605</v>
      </c>
      <c r="G28" s="1001" t="s">
        <v>605</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hidden="1" customHeight="1" thickBot="1" x14ac:dyDescent="0.25">
      <c r="A29" s="1685" t="s">
        <v>600</v>
      </c>
      <c r="B29" s="1686"/>
      <c r="C29" s="1687"/>
      <c r="D29" s="1006" t="s">
        <v>605</v>
      </c>
      <c r="E29" s="1007" t="s">
        <v>605</v>
      </c>
      <c r="F29" s="1007" t="s">
        <v>605</v>
      </c>
      <c r="G29" s="1008" t="s">
        <v>605</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2:H35"/>
    <mergeCell ref="B25:C25"/>
    <mergeCell ref="A28:C28"/>
    <mergeCell ref="A29:C29"/>
    <mergeCell ref="A30:H30"/>
    <mergeCell ref="A31:H31"/>
    <mergeCell ref="D14:E14"/>
    <mergeCell ref="F14:G14"/>
    <mergeCell ref="B23:C23"/>
    <mergeCell ref="B17:C17"/>
    <mergeCell ref="B19:C19"/>
    <mergeCell ref="B21:C21"/>
    <mergeCell ref="B12:H12"/>
    <mergeCell ref="A1:C1"/>
    <mergeCell ref="D1:H1"/>
    <mergeCell ref="A3:H3"/>
    <mergeCell ref="D7:E7"/>
    <mergeCell ref="F7:G7"/>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AL157"/>
  <sheetViews>
    <sheetView zoomScaleNormal="100" workbookViewId="0">
      <selection activeCell="A32" sqref="A32:H35"/>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436</v>
      </c>
      <c r="B3" s="1673"/>
      <c r="C3" s="1673"/>
      <c r="D3" s="1673"/>
      <c r="E3" s="1673"/>
      <c r="F3" s="1673"/>
      <c r="G3" s="1673"/>
      <c r="H3" s="1674"/>
    </row>
    <row r="4" spans="1:38" ht="15" x14ac:dyDescent="0.2">
      <c r="A4" s="995"/>
      <c r="B4" s="363" t="s">
        <v>141</v>
      </c>
      <c r="C4" s="364" t="s">
        <v>290</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11</v>
      </c>
      <c r="E9" s="514">
        <v>17</v>
      </c>
      <c r="F9" s="514">
        <v>10</v>
      </c>
      <c r="G9" s="515">
        <v>1</v>
      </c>
      <c r="H9" s="500">
        <f>SUM(D9:G9)</f>
        <v>39</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25</v>
      </c>
      <c r="E10" s="1000">
        <v>38</v>
      </c>
      <c r="F10" s="1000">
        <v>0</v>
      </c>
      <c r="G10" s="1001">
        <v>22</v>
      </c>
      <c r="H10" s="1002">
        <f>SUM(D10:G10)</f>
        <v>85</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36</v>
      </c>
      <c r="E11" s="502">
        <f>SUM(E9:E10)</f>
        <v>55</v>
      </c>
      <c r="F11" s="503">
        <f>SUM(F9:F10)</f>
        <v>10</v>
      </c>
      <c r="G11" s="504">
        <f>SUM(G9:G10)</f>
        <v>23</v>
      </c>
      <c r="H11" s="505">
        <f>SUM(D11:G11)</f>
        <v>124</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hidden="1"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hidden="1"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hidden="1"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hidden="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hidden="1"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hidden="1"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hidden="1"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hidden="1"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hidden="1"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hidden="1"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hidden="1"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hidden="1" customHeight="1" x14ac:dyDescent="0.2">
      <c r="A23" s="360"/>
      <c r="B23" s="1666" t="s">
        <v>330</v>
      </c>
      <c r="C23" s="1667"/>
      <c r="D23" s="999" t="s">
        <v>605</v>
      </c>
      <c r="E23" s="1000" t="s">
        <v>605</v>
      </c>
      <c r="F23" s="1000" t="s">
        <v>605</v>
      </c>
      <c r="G23" s="1001"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hidden="1"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hidden="1"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hidden="1" customHeight="1" x14ac:dyDescent="0.2">
      <c r="A26" s="361" t="s">
        <v>150</v>
      </c>
      <c r="B26" s="443"/>
      <c r="C26" s="446"/>
      <c r="D26" s="999" t="s">
        <v>605</v>
      </c>
      <c r="E26" s="1000" t="s">
        <v>605</v>
      </c>
      <c r="F26" s="1000" t="s">
        <v>605</v>
      </c>
      <c r="G26" s="1001" t="s">
        <v>605</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hidden="1" customHeight="1" x14ac:dyDescent="0.2">
      <c r="A27" s="1004" t="s">
        <v>468</v>
      </c>
      <c r="B27" s="660"/>
      <c r="C27" s="661"/>
      <c r="D27" s="999" t="s">
        <v>605</v>
      </c>
      <c r="E27" s="1000" t="s">
        <v>605</v>
      </c>
      <c r="F27" s="1000" t="s">
        <v>605</v>
      </c>
      <c r="G27" s="1001" t="s">
        <v>605</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hidden="1" customHeight="1" x14ac:dyDescent="0.2">
      <c r="A28" s="1682" t="s">
        <v>478</v>
      </c>
      <c r="B28" s="1683"/>
      <c r="C28" s="1684"/>
      <c r="D28" s="999" t="s">
        <v>605</v>
      </c>
      <c r="E28" s="1000" t="s">
        <v>605</v>
      </c>
      <c r="F28" s="1000" t="s">
        <v>605</v>
      </c>
      <c r="G28" s="1001" t="s">
        <v>605</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hidden="1" customHeight="1" x14ac:dyDescent="0.2">
      <c r="A29" s="1685" t="s">
        <v>600</v>
      </c>
      <c r="B29" s="1686"/>
      <c r="C29" s="1687"/>
      <c r="D29" s="1006" t="s">
        <v>605</v>
      </c>
      <c r="E29" s="1007" t="s">
        <v>605</v>
      </c>
      <c r="F29" s="1007" t="s">
        <v>605</v>
      </c>
      <c r="G29" s="1008" t="s">
        <v>605</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613</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D1:H1"/>
    <mergeCell ref="A3:H3"/>
    <mergeCell ref="D7:E7"/>
    <mergeCell ref="F7:G7"/>
    <mergeCell ref="A1:C1"/>
    <mergeCell ref="A32:H35"/>
    <mergeCell ref="A28:C28"/>
    <mergeCell ref="A29:C29"/>
    <mergeCell ref="A30:H30"/>
    <mergeCell ref="A31:H31"/>
    <mergeCell ref="B21:C21"/>
    <mergeCell ref="B25:C25"/>
    <mergeCell ref="B23:C23"/>
    <mergeCell ref="B12:H12"/>
    <mergeCell ref="D14:E14"/>
    <mergeCell ref="F14:G14"/>
    <mergeCell ref="B17:C17"/>
    <mergeCell ref="B19:C19"/>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7"/>
  <sheetViews>
    <sheetView zoomScaleNormal="100" workbookViewId="0">
      <selection activeCell="A32" sqref="A32:H35"/>
    </sheetView>
  </sheetViews>
  <sheetFormatPr defaultColWidth="9.140625" defaultRowHeight="14.25" x14ac:dyDescent="0.2"/>
  <cols>
    <col min="1" max="1" width="2.7109375" style="246" customWidth="1"/>
    <col min="2" max="2" width="27.7109375" style="246" customWidth="1"/>
    <col min="3" max="3" width="16.28515625" style="246" customWidth="1"/>
    <col min="4" max="7" width="7.140625" style="246" customWidth="1"/>
    <col min="8" max="8" width="12.42578125" style="246" customWidth="1"/>
    <col min="9" max="38" width="9.140625" style="19"/>
    <col min="39" max="16384" width="9.140625" style="246"/>
  </cols>
  <sheetData>
    <row r="1" spans="1:38"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5" x14ac:dyDescent="0.2">
      <c r="A3" s="1672" t="s">
        <v>331</v>
      </c>
      <c r="B3" s="1673"/>
      <c r="C3" s="1673"/>
      <c r="D3" s="1673"/>
      <c r="E3" s="1673"/>
      <c r="F3" s="1673"/>
      <c r="G3" s="1673"/>
      <c r="H3" s="1674"/>
    </row>
    <row r="4" spans="1:38" ht="15" x14ac:dyDescent="0.2">
      <c r="A4" s="995"/>
      <c r="B4" s="363" t="s">
        <v>141</v>
      </c>
      <c r="C4" s="364" t="s">
        <v>332</v>
      </c>
      <c r="D4" s="370"/>
      <c r="E4" s="365"/>
      <c r="F4" s="365"/>
      <c r="G4" s="365"/>
      <c r="H4" s="996"/>
    </row>
    <row r="5" spans="1:38" ht="17.25" customHeight="1" x14ac:dyDescent="0.2">
      <c r="A5" s="997"/>
      <c r="B5" s="372" t="s">
        <v>140</v>
      </c>
      <c r="C5" s="366"/>
      <c r="D5" s="367"/>
      <c r="E5" s="368"/>
      <c r="F5" s="368"/>
      <c r="G5" s="368"/>
      <c r="H5" s="998"/>
    </row>
    <row r="6" spans="1:38" s="347" customFormat="1" x14ac:dyDescent="0.2">
      <c r="A6" s="489"/>
      <c r="B6" s="455"/>
      <c r="C6" s="490"/>
      <c r="D6" s="456"/>
      <c r="E6" s="457"/>
      <c r="F6" s="458" t="s">
        <v>535</v>
      </c>
      <c r="G6" s="457"/>
      <c r="H6" s="459"/>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s="347" customFormat="1" ht="14.25" customHeight="1" x14ac:dyDescent="0.2">
      <c r="A7" s="491"/>
      <c r="B7" s="460" t="s">
        <v>142</v>
      </c>
      <c r="C7" s="492"/>
      <c r="D7" s="1675" t="s">
        <v>873</v>
      </c>
      <c r="E7" s="1669"/>
      <c r="F7" s="1670" t="s">
        <v>874</v>
      </c>
      <c r="G7" s="1671"/>
      <c r="H7" s="46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s="347" customFormat="1" x14ac:dyDescent="0.2">
      <c r="A8" s="493"/>
      <c r="B8" s="494"/>
      <c r="C8" s="495"/>
      <c r="D8" s="462" t="s">
        <v>875</v>
      </c>
      <c r="E8" s="463" t="s">
        <v>876</v>
      </c>
      <c r="F8" s="464" t="s">
        <v>875</v>
      </c>
      <c r="G8" s="465" t="s">
        <v>876</v>
      </c>
      <c r="H8" s="466" t="s">
        <v>872</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s="347" customFormat="1" x14ac:dyDescent="0.2">
      <c r="A9" s="496"/>
      <c r="B9" s="497"/>
      <c r="C9" s="469" t="s">
        <v>884</v>
      </c>
      <c r="D9" s="498">
        <v>2</v>
      </c>
      <c r="E9" s="514">
        <v>12</v>
      </c>
      <c r="F9" s="514">
        <v>0</v>
      </c>
      <c r="G9" s="515">
        <v>1</v>
      </c>
      <c r="H9" s="500">
        <f>SUM(D9:G9)</f>
        <v>15</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s="347" customFormat="1" x14ac:dyDescent="0.2">
      <c r="A10" s="489"/>
      <c r="B10" s="501"/>
      <c r="C10" s="470" t="s">
        <v>886</v>
      </c>
      <c r="D10" s="999">
        <v>14</v>
      </c>
      <c r="E10" s="1000">
        <v>35</v>
      </c>
      <c r="F10" s="1000">
        <v>1</v>
      </c>
      <c r="G10" s="1001">
        <v>2</v>
      </c>
      <c r="H10" s="1002">
        <f>SUM(D10:G10)</f>
        <v>52</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s="347" customFormat="1" x14ac:dyDescent="0.2">
      <c r="A11" s="468"/>
      <c r="B11" s="467"/>
      <c r="C11" s="471" t="s">
        <v>872</v>
      </c>
      <c r="D11" s="1003">
        <f>SUM(D9:D10)</f>
        <v>16</v>
      </c>
      <c r="E11" s="502">
        <f>SUM(E9:E10)</f>
        <v>47</v>
      </c>
      <c r="F11" s="503">
        <f>SUM(F9:F10)</f>
        <v>1</v>
      </c>
      <c r="G11" s="504">
        <f>SUM(G9:G10)</f>
        <v>3</v>
      </c>
      <c r="H11" s="505">
        <f>SUM(D11:G11)</f>
        <v>67</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s="347" customFormat="1" ht="73.5" customHeight="1" x14ac:dyDescent="0.2">
      <c r="A12" s="369"/>
      <c r="B12" s="1664" t="s">
        <v>536</v>
      </c>
      <c r="C12" s="1664"/>
      <c r="D12" s="1664"/>
      <c r="E12" s="1664"/>
      <c r="F12" s="1664"/>
      <c r="G12" s="1664"/>
      <c r="H12" s="1665"/>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s="347" customFormat="1" ht="22.5" customHeight="1" x14ac:dyDescent="0.2">
      <c r="A13" s="353"/>
      <c r="B13" s="479"/>
      <c r="C13" s="480"/>
      <c r="D13" s="481"/>
      <c r="E13" s="457"/>
      <c r="F13" s="458" t="s">
        <v>555</v>
      </c>
      <c r="G13" s="457"/>
      <c r="H13" s="45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s="347" customFormat="1" ht="14.25" customHeight="1" x14ac:dyDescent="0.2">
      <c r="A14" s="354"/>
      <c r="B14" s="371" t="s">
        <v>144</v>
      </c>
      <c r="C14" s="473"/>
      <c r="D14" s="1668" t="s">
        <v>873</v>
      </c>
      <c r="E14" s="1669"/>
      <c r="F14" s="1670" t="s">
        <v>874</v>
      </c>
      <c r="G14" s="1671"/>
      <c r="H14" s="474"/>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s="347" customFormat="1" x14ac:dyDescent="0.2">
      <c r="A15" s="355"/>
      <c r="B15" s="475"/>
      <c r="C15" s="476"/>
      <c r="D15" s="477" t="s">
        <v>875</v>
      </c>
      <c r="E15" s="477" t="s">
        <v>876</v>
      </c>
      <c r="F15" s="477" t="s">
        <v>875</v>
      </c>
      <c r="G15" s="477" t="s">
        <v>876</v>
      </c>
      <c r="H15" s="478" t="s">
        <v>872</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hidden="1" customHeight="1" x14ac:dyDescent="0.2">
      <c r="A16" s="356" t="s">
        <v>145</v>
      </c>
      <c r="B16" s="482"/>
      <c r="C16" s="483"/>
      <c r="D16" s="498" t="s">
        <v>605</v>
      </c>
      <c r="E16" s="514" t="s">
        <v>605</v>
      </c>
      <c r="F16" s="514" t="s">
        <v>605</v>
      </c>
      <c r="G16" s="515" t="s">
        <v>605</v>
      </c>
      <c r="H16" s="499">
        <f t="shared" ref="H16:H29" si="0">SUM(D16:G16)</f>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hidden="1" customHeight="1" x14ac:dyDescent="0.2">
      <c r="A17" s="360"/>
      <c r="B17" s="1666" t="s">
        <v>472</v>
      </c>
      <c r="C17" s="1667"/>
      <c r="D17" s="999" t="s">
        <v>605</v>
      </c>
      <c r="E17" s="1000" t="s">
        <v>605</v>
      </c>
      <c r="F17" s="1000" t="s">
        <v>605</v>
      </c>
      <c r="G17" s="1001" t="s">
        <v>605</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hidden="1" customHeight="1" x14ac:dyDescent="0.2">
      <c r="A18" s="357" t="s">
        <v>146</v>
      </c>
      <c r="B18" s="441"/>
      <c r="C18" s="442"/>
      <c r="D18" s="999" t="s">
        <v>605</v>
      </c>
      <c r="E18" s="1000" t="s">
        <v>605</v>
      </c>
      <c r="F18" s="1000" t="s">
        <v>605</v>
      </c>
      <c r="G18" s="1001" t="s">
        <v>605</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hidden="1" customHeight="1" x14ac:dyDescent="0.2">
      <c r="A19" s="360"/>
      <c r="B19" s="1666" t="s">
        <v>471</v>
      </c>
      <c r="C19" s="1667"/>
      <c r="D19" s="999" t="s">
        <v>605</v>
      </c>
      <c r="E19" s="1000" t="s">
        <v>605</v>
      </c>
      <c r="F19" s="1000" t="s">
        <v>605</v>
      </c>
      <c r="G19" s="1001" t="s">
        <v>605</v>
      </c>
      <c r="H19" s="444">
        <f t="shared" si="0"/>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hidden="1" customHeight="1" x14ac:dyDescent="0.2">
      <c r="A20" s="358" t="s">
        <v>147</v>
      </c>
      <c r="B20" s="507"/>
      <c r="C20" s="484"/>
      <c r="D20" s="999" t="s">
        <v>605</v>
      </c>
      <c r="E20" s="1000" t="s">
        <v>605</v>
      </c>
      <c r="F20" s="1000" t="s">
        <v>605</v>
      </c>
      <c r="G20" s="1001" t="s">
        <v>605</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hidden="1" customHeight="1" x14ac:dyDescent="0.2">
      <c r="A21" s="360"/>
      <c r="B21" s="1666" t="s">
        <v>470</v>
      </c>
      <c r="C21" s="1667"/>
      <c r="D21" s="999" t="s">
        <v>605</v>
      </c>
      <c r="E21" s="1000" t="s">
        <v>605</v>
      </c>
      <c r="F21" s="1000" t="s">
        <v>605</v>
      </c>
      <c r="G21" s="1001" t="s">
        <v>605</v>
      </c>
      <c r="H21" s="444">
        <f t="shared" si="0"/>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hidden="1" customHeight="1" x14ac:dyDescent="0.2">
      <c r="A22" s="359" t="s">
        <v>148</v>
      </c>
      <c r="B22" s="445"/>
      <c r="C22" s="900"/>
      <c r="D22" s="999" t="s">
        <v>605</v>
      </c>
      <c r="E22" s="1000" t="s">
        <v>605</v>
      </c>
      <c r="F22" s="1000" t="s">
        <v>605</v>
      </c>
      <c r="G22" s="1001" t="s">
        <v>605</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hidden="1" customHeight="1" x14ac:dyDescent="0.2">
      <c r="A23" s="360"/>
      <c r="B23" s="1666" t="s">
        <v>330</v>
      </c>
      <c r="C23" s="1667"/>
      <c r="D23" s="999" t="s">
        <v>605</v>
      </c>
      <c r="E23" s="1000" t="s">
        <v>605</v>
      </c>
      <c r="F23" s="1000" t="s">
        <v>605</v>
      </c>
      <c r="G23" s="1001" t="s">
        <v>605</v>
      </c>
      <c r="H23" s="444">
        <f t="shared" si="0"/>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hidden="1" customHeight="1" x14ac:dyDescent="0.2">
      <c r="A24" s="359" t="s">
        <v>149</v>
      </c>
      <c r="B24" s="445"/>
      <c r="C24" s="446"/>
      <c r="D24" s="999" t="s">
        <v>605</v>
      </c>
      <c r="E24" s="1000" t="s">
        <v>605</v>
      </c>
      <c r="F24" s="1000" t="s">
        <v>605</v>
      </c>
      <c r="G24" s="1001" t="s">
        <v>605</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hidden="1" customHeight="1" x14ac:dyDescent="0.2">
      <c r="A25" s="360"/>
      <c r="B25" s="1666" t="s">
        <v>316</v>
      </c>
      <c r="C25" s="1667"/>
      <c r="D25" s="999" t="s">
        <v>605</v>
      </c>
      <c r="E25" s="1000" t="s">
        <v>605</v>
      </c>
      <c r="F25" s="1000" t="s">
        <v>605</v>
      </c>
      <c r="G25" s="1001" t="s">
        <v>605</v>
      </c>
      <c r="H25" s="444">
        <f t="shared" si="0"/>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361" t="s">
        <v>150</v>
      </c>
      <c r="B26" s="443"/>
      <c r="C26" s="446"/>
      <c r="D26" s="999">
        <v>5</v>
      </c>
      <c r="E26" s="1000">
        <v>8</v>
      </c>
      <c r="F26" s="1000">
        <v>0</v>
      </c>
      <c r="G26" s="1001">
        <v>1</v>
      </c>
      <c r="H26" s="444">
        <f t="shared" si="0"/>
        <v>14</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14.25" customHeight="1" x14ac:dyDescent="0.2">
      <c r="A27" s="1004" t="s">
        <v>468</v>
      </c>
      <c r="B27" s="660"/>
      <c r="C27" s="661"/>
      <c r="D27" s="999" t="s">
        <v>646</v>
      </c>
      <c r="E27" s="1000" t="s">
        <v>646</v>
      </c>
      <c r="F27" s="1000" t="s">
        <v>646</v>
      </c>
      <c r="G27" s="1001" t="s">
        <v>646</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2.5" customHeight="1" x14ac:dyDescent="0.2">
      <c r="A28" s="1682" t="s">
        <v>478</v>
      </c>
      <c r="B28" s="1683"/>
      <c r="C28" s="1684"/>
      <c r="D28" s="999" t="s">
        <v>646</v>
      </c>
      <c r="E28" s="1000" t="s">
        <v>646</v>
      </c>
      <c r="F28" s="1000" t="s">
        <v>646</v>
      </c>
      <c r="G28" s="1001" t="s">
        <v>646</v>
      </c>
      <c r="H28" s="444">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s="347" customFormat="1" ht="26.25" customHeight="1" x14ac:dyDescent="0.2">
      <c r="A29" s="1685" t="s">
        <v>600</v>
      </c>
      <c r="B29" s="1686"/>
      <c r="C29" s="1687"/>
      <c r="D29" s="1006" t="s">
        <v>646</v>
      </c>
      <c r="E29" s="1007" t="s">
        <v>646</v>
      </c>
      <c r="F29" s="1007" t="s">
        <v>646</v>
      </c>
      <c r="G29" s="1008" t="s">
        <v>646</v>
      </c>
      <c r="H29" s="505">
        <f t="shared" si="0"/>
        <v>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s="19" customFormat="1" ht="14.25" customHeight="1" x14ac:dyDescent="0.2">
      <c r="A30" s="1688"/>
      <c r="B30" s="1689"/>
      <c r="C30" s="1689"/>
      <c r="D30" s="1689"/>
      <c r="E30" s="1689"/>
      <c r="F30" s="1689"/>
      <c r="G30" s="1689"/>
      <c r="H30" s="1690"/>
      <c r="I30" s="376"/>
      <c r="J30" s="376"/>
      <c r="K30" s="376"/>
      <c r="L30" s="376"/>
      <c r="M30" s="373"/>
      <c r="N30" s="377"/>
      <c r="O30" s="377"/>
      <c r="P30" s="377"/>
      <c r="Q30" s="377"/>
      <c r="R30" s="373"/>
      <c r="S30" s="21"/>
    </row>
    <row r="31" spans="1:38" s="19" customFormat="1" ht="14.25" customHeight="1" x14ac:dyDescent="0.2">
      <c r="A31" s="1691" t="s">
        <v>847</v>
      </c>
      <c r="B31" s="1692"/>
      <c r="C31" s="1692"/>
      <c r="D31" s="1692"/>
      <c r="E31" s="1692"/>
      <c r="F31" s="1692"/>
      <c r="G31" s="1692"/>
      <c r="H31" s="1693"/>
      <c r="I31" s="374"/>
      <c r="J31" s="374"/>
      <c r="K31" s="374"/>
      <c r="L31" s="374"/>
      <c r="M31" s="374"/>
      <c r="N31" s="374"/>
      <c r="O31" s="374"/>
      <c r="P31" s="374"/>
      <c r="Q31" s="374"/>
      <c r="R31" s="374"/>
      <c r="S31" s="21"/>
    </row>
    <row r="32" spans="1:38" s="19" customFormat="1" ht="14.25" customHeight="1" x14ac:dyDescent="0.2">
      <c r="A32" s="1676" t="s">
        <v>980</v>
      </c>
      <c r="B32" s="1677"/>
      <c r="C32" s="1677"/>
      <c r="D32" s="1677"/>
      <c r="E32" s="1677"/>
      <c r="F32" s="1677"/>
      <c r="G32" s="1677"/>
      <c r="H32" s="1678"/>
      <c r="I32" s="375"/>
      <c r="J32" s="375"/>
      <c r="K32" s="375"/>
      <c r="L32" s="375"/>
      <c r="M32" s="375"/>
      <c r="N32" s="375"/>
      <c r="O32" s="375"/>
      <c r="P32" s="375"/>
      <c r="Q32" s="375"/>
      <c r="R32" s="375"/>
      <c r="S32" s="21"/>
    </row>
    <row r="33" spans="1:19" ht="14.25" customHeight="1" x14ac:dyDescent="0.2">
      <c r="A33" s="1676"/>
      <c r="B33" s="1677"/>
      <c r="C33" s="1677"/>
      <c r="D33" s="1677"/>
      <c r="E33" s="1677"/>
      <c r="F33" s="1677"/>
      <c r="G33" s="1677"/>
      <c r="H33" s="1678"/>
      <c r="I33" s="375"/>
      <c r="J33" s="375"/>
      <c r="K33" s="375"/>
      <c r="L33" s="375"/>
      <c r="M33" s="375"/>
      <c r="N33" s="375"/>
      <c r="O33" s="375"/>
      <c r="P33" s="375"/>
      <c r="Q33" s="375"/>
      <c r="R33" s="375"/>
      <c r="S33" s="21"/>
    </row>
    <row r="34" spans="1:19" ht="14.25" customHeight="1" x14ac:dyDescent="0.2">
      <c r="A34" s="1676"/>
      <c r="B34" s="1677"/>
      <c r="C34" s="1677"/>
      <c r="D34" s="1677"/>
      <c r="E34" s="1677"/>
      <c r="F34" s="1677"/>
      <c r="G34" s="1677"/>
      <c r="H34" s="1678"/>
      <c r="I34" s="375"/>
      <c r="J34" s="375"/>
      <c r="K34" s="375"/>
      <c r="L34" s="375"/>
      <c r="M34" s="375"/>
      <c r="N34" s="375"/>
      <c r="O34" s="375"/>
      <c r="P34" s="375"/>
      <c r="Q34" s="375"/>
      <c r="R34" s="375"/>
      <c r="S34" s="21"/>
    </row>
    <row r="35" spans="1:19" ht="14.25" customHeight="1" thickBot="1" x14ac:dyDescent="0.25">
      <c r="A35" s="1679"/>
      <c r="B35" s="1680"/>
      <c r="C35" s="1680"/>
      <c r="D35" s="1680"/>
      <c r="E35" s="1680"/>
      <c r="F35" s="1680"/>
      <c r="G35" s="1680"/>
      <c r="H35" s="1681"/>
      <c r="I35" s="375"/>
      <c r="J35" s="375"/>
      <c r="K35" s="375"/>
      <c r="L35" s="375"/>
      <c r="M35" s="375"/>
      <c r="N35" s="375"/>
      <c r="O35" s="375"/>
      <c r="P35" s="375"/>
      <c r="Q35" s="375"/>
      <c r="R35" s="375"/>
      <c r="S35" s="21"/>
    </row>
    <row r="36" spans="1:19" ht="14.25" customHeight="1" thickTop="1" x14ac:dyDescent="0.2">
      <c r="A36" s="19"/>
      <c r="B36" s="19"/>
      <c r="C36" s="19"/>
      <c r="D36" s="19"/>
      <c r="E36" s="19"/>
      <c r="F36" s="19"/>
      <c r="G36" s="19"/>
      <c r="H36" s="19"/>
    </row>
    <row r="37" spans="1:19" ht="14.25" customHeight="1" x14ac:dyDescent="0.2">
      <c r="A37" s="19"/>
      <c r="B37" s="19"/>
      <c r="C37" s="19"/>
      <c r="D37" s="19"/>
      <c r="E37" s="19"/>
      <c r="F37" s="19"/>
      <c r="G37" s="19"/>
      <c r="H37" s="19"/>
    </row>
    <row r="38" spans="1:19" ht="14.25" customHeight="1" x14ac:dyDescent="0.2">
      <c r="A38" s="19"/>
      <c r="B38" s="19"/>
      <c r="C38" s="19"/>
      <c r="D38" s="19"/>
      <c r="E38" s="19"/>
      <c r="F38" s="19"/>
      <c r="G38" s="19"/>
      <c r="H38" s="19"/>
    </row>
    <row r="39" spans="1:19" ht="14.25" customHeight="1" x14ac:dyDescent="0.2">
      <c r="A39" s="19"/>
      <c r="B39" s="19"/>
      <c r="C39" s="19"/>
      <c r="D39" s="19"/>
      <c r="E39" s="19"/>
      <c r="F39" s="19"/>
      <c r="G39" s="19"/>
      <c r="H39" s="19"/>
    </row>
    <row r="40" spans="1:19" ht="14.25" customHeight="1" x14ac:dyDescent="0.2">
      <c r="A40" s="19"/>
      <c r="B40" s="19"/>
      <c r="C40" s="19"/>
      <c r="D40" s="19"/>
      <c r="E40" s="19"/>
      <c r="F40" s="19"/>
      <c r="G40" s="19"/>
      <c r="H40" s="19"/>
    </row>
    <row r="41" spans="1:19" ht="14.25" customHeight="1" x14ac:dyDescent="0.2">
      <c r="A41" s="19"/>
      <c r="B41" s="19"/>
      <c r="C41" s="19"/>
      <c r="D41" s="19"/>
      <c r="E41" s="19"/>
      <c r="F41" s="19"/>
      <c r="G41" s="19"/>
      <c r="H41" s="19"/>
    </row>
    <row r="42" spans="1:19" ht="14.25" customHeight="1" x14ac:dyDescent="0.2">
      <c r="A42" s="19"/>
      <c r="B42" s="19"/>
      <c r="C42" s="19"/>
      <c r="D42" s="19"/>
      <c r="E42" s="19"/>
      <c r="F42" s="19"/>
      <c r="G42" s="19"/>
      <c r="H42" s="19"/>
    </row>
    <row r="43" spans="1:19" ht="14.25" customHeight="1" x14ac:dyDescent="0.2">
      <c r="A43" s="19"/>
      <c r="B43" s="19"/>
      <c r="C43" s="19"/>
      <c r="D43" s="19"/>
      <c r="E43" s="19"/>
      <c r="F43" s="19"/>
      <c r="G43" s="19"/>
      <c r="H43" s="19"/>
    </row>
    <row r="44" spans="1:19" ht="14.25" customHeight="1" x14ac:dyDescent="0.2">
      <c r="A44" s="19"/>
      <c r="B44" s="19"/>
      <c r="C44" s="19"/>
      <c r="D44" s="19"/>
      <c r="E44" s="19"/>
      <c r="F44" s="19"/>
      <c r="G44" s="19"/>
      <c r="H44" s="19"/>
    </row>
    <row r="45" spans="1:19" ht="14.25" customHeight="1" x14ac:dyDescent="0.2">
      <c r="A45" s="19"/>
      <c r="B45" s="19"/>
      <c r="C45" s="19"/>
      <c r="D45" s="19"/>
      <c r="E45" s="19"/>
      <c r="F45" s="19"/>
      <c r="G45" s="19"/>
      <c r="H45" s="19"/>
    </row>
    <row r="46" spans="1:19" ht="14.25" customHeight="1" x14ac:dyDescent="0.2">
      <c r="A46" s="19"/>
      <c r="B46" s="19"/>
      <c r="C46" s="19"/>
      <c r="D46" s="19"/>
      <c r="E46" s="19"/>
      <c r="F46" s="19"/>
      <c r="G46" s="19"/>
      <c r="H46" s="19"/>
    </row>
    <row r="47" spans="1:19" ht="14.25" customHeight="1" x14ac:dyDescent="0.2">
      <c r="A47" s="19"/>
      <c r="B47" s="19"/>
      <c r="C47" s="19"/>
      <c r="D47" s="19"/>
      <c r="E47" s="19"/>
      <c r="F47" s="19"/>
      <c r="G47" s="19"/>
      <c r="H47" s="19"/>
    </row>
    <row r="48" spans="1:19" ht="14.25" customHeight="1" x14ac:dyDescent="0.2">
      <c r="A48" s="19"/>
      <c r="B48" s="19"/>
      <c r="C48" s="19"/>
      <c r="D48" s="19"/>
      <c r="E48" s="19"/>
      <c r="F48" s="19"/>
      <c r="G48" s="19"/>
      <c r="H48" s="19"/>
    </row>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sheetData>
  <mergeCells count="18">
    <mergeCell ref="A30:H30"/>
    <mergeCell ref="A31:H31"/>
    <mergeCell ref="A32:H35"/>
    <mergeCell ref="A28:C28"/>
    <mergeCell ref="B12:H12"/>
    <mergeCell ref="D14:E14"/>
    <mergeCell ref="F14:G14"/>
    <mergeCell ref="A29:C29"/>
    <mergeCell ref="B25:C25"/>
    <mergeCell ref="B23:C23"/>
    <mergeCell ref="B17:C17"/>
    <mergeCell ref="B19:C19"/>
    <mergeCell ref="B21:C21"/>
    <mergeCell ref="A1:C1"/>
    <mergeCell ref="D7:E7"/>
    <mergeCell ref="D1:H1"/>
    <mergeCell ref="A3:H3"/>
    <mergeCell ref="F7:G7"/>
  </mergeCells>
  <phoneticPr fontId="65" type="noConversion"/>
  <pageMargins left="0.4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AL37"/>
  <sheetViews>
    <sheetView topLeftCell="A8" zoomScaleNormal="100" workbookViewId="0">
      <selection activeCell="A31" sqref="A31:H31"/>
    </sheetView>
  </sheetViews>
  <sheetFormatPr defaultColWidth="9.140625" defaultRowHeight="14.25" x14ac:dyDescent="0.2"/>
  <cols>
    <col min="1" max="1" width="2.7109375" style="21" customWidth="1"/>
    <col min="2" max="2" width="27.7109375" style="21" customWidth="1"/>
    <col min="3" max="3" width="16.28515625" style="21" customWidth="1"/>
    <col min="4" max="8" width="9.28515625" style="21" customWidth="1"/>
    <col min="9" max="16384" width="9.140625" style="21"/>
  </cols>
  <sheetData>
    <row r="1" spans="1:38" s="20" customFormat="1" ht="15.75" thickTop="1" x14ac:dyDescent="0.25">
      <c r="A1" s="1315" t="s">
        <v>823</v>
      </c>
      <c r="B1" s="1316"/>
      <c r="C1" s="1317"/>
      <c r="D1" s="1266" t="str">
        <f>'1.1a Overall Instit. Profile'!B1</f>
        <v>Oglala Lakota College</v>
      </c>
      <c r="E1" s="1370"/>
      <c r="F1" s="1370"/>
      <c r="G1" s="1370"/>
      <c r="H1" s="1629"/>
    </row>
    <row r="2" spans="1:38" ht="15" x14ac:dyDescent="0.2">
      <c r="A2" s="486" t="s">
        <v>819</v>
      </c>
      <c r="B2" s="487"/>
      <c r="C2" s="488"/>
      <c r="D2" s="488"/>
      <c r="E2" s="488"/>
      <c r="F2" s="488"/>
      <c r="G2" s="488"/>
      <c r="H2" s="362"/>
    </row>
    <row r="3" spans="1:38" ht="16.5" customHeight="1" x14ac:dyDescent="0.2">
      <c r="A3" s="1672" t="s">
        <v>435</v>
      </c>
      <c r="B3" s="1673"/>
      <c r="C3" s="1673"/>
      <c r="D3" s="1673"/>
      <c r="E3" s="1673"/>
      <c r="F3" s="1673"/>
      <c r="G3" s="1673"/>
      <c r="H3" s="1674"/>
    </row>
    <row r="4" spans="1:38" ht="29.25" customHeight="1" x14ac:dyDescent="0.2">
      <c r="A4" s="1703" t="s">
        <v>337</v>
      </c>
      <c r="B4" s="1704"/>
      <c r="C4" s="1704"/>
      <c r="D4" s="1704"/>
      <c r="E4" s="1704"/>
      <c r="F4" s="1704"/>
      <c r="G4" s="1704"/>
      <c r="H4" s="1705"/>
    </row>
    <row r="5" spans="1:38" x14ac:dyDescent="0.2">
      <c r="A5" s="489"/>
      <c r="B5" s="455"/>
      <c r="C5" s="490"/>
      <c r="D5" s="456"/>
      <c r="E5" s="457"/>
      <c r="F5" s="458" t="s">
        <v>535</v>
      </c>
      <c r="G5" s="457"/>
      <c r="H5" s="459"/>
    </row>
    <row r="6" spans="1:38" ht="14.25" customHeight="1" x14ac:dyDescent="0.2">
      <c r="A6" s="491"/>
      <c r="B6" s="460" t="s">
        <v>142</v>
      </c>
      <c r="C6" s="492"/>
      <c r="D6" s="1706" t="s">
        <v>873</v>
      </c>
      <c r="E6" s="1669"/>
      <c r="F6" s="1706" t="s">
        <v>874</v>
      </c>
      <c r="G6" s="1671"/>
      <c r="H6" s="461"/>
    </row>
    <row r="7" spans="1:38" x14ac:dyDescent="0.2">
      <c r="A7" s="493"/>
      <c r="B7" s="494"/>
      <c r="C7" s="495"/>
      <c r="D7" s="462" t="s">
        <v>875</v>
      </c>
      <c r="E7" s="463" t="s">
        <v>876</v>
      </c>
      <c r="F7" s="464" t="s">
        <v>875</v>
      </c>
      <c r="G7" s="465" t="s">
        <v>876</v>
      </c>
      <c r="H7" s="466" t="s">
        <v>872</v>
      </c>
    </row>
    <row r="8" spans="1:38" x14ac:dyDescent="0.2">
      <c r="A8" s="496"/>
      <c r="B8" s="497"/>
      <c r="C8" s="469" t="s">
        <v>884</v>
      </c>
      <c r="D8" s="510">
        <f>SUM('4.2(AC) Major Group Enroll-Grad:4.2(MS) Major Group Enroll-Grad'!D9)</f>
        <v>341</v>
      </c>
      <c r="E8" s="511">
        <f>SUM('4.2(AC) Major Group Enroll-Grad:4.2(MS) Major Group Enroll-Grad'!E9)</f>
        <v>632</v>
      </c>
      <c r="F8" s="511">
        <f>SUM('4.2(AC) Major Group Enroll-Grad:4.2(MS) Major Group Enroll-Grad'!F9)</f>
        <v>22</v>
      </c>
      <c r="G8" s="512">
        <f>SUM('4.2(AC) Major Group Enroll-Grad:4.2(MS) Major Group Enroll-Grad'!G9)</f>
        <v>25</v>
      </c>
      <c r="H8" s="499">
        <f>SUM(D8:G8)</f>
        <v>1020</v>
      </c>
    </row>
    <row r="9" spans="1:38" x14ac:dyDescent="0.2">
      <c r="A9" s="489"/>
      <c r="B9" s="501"/>
      <c r="C9" s="470" t="s">
        <v>886</v>
      </c>
      <c r="D9" s="513">
        <f>SUM('4.2(AC) Major Group Enroll-Grad:4.2(MS) Major Group Enroll-Grad'!D10)</f>
        <v>193</v>
      </c>
      <c r="E9" s="516">
        <f>SUM('4.2(AC) Major Group Enroll-Grad:4.2(MS) Major Group Enroll-Grad'!E10)</f>
        <v>436</v>
      </c>
      <c r="F9" s="516">
        <f>SUM('4.2(AC) Major Group Enroll-Grad:4.2(MS) Major Group Enroll-Grad'!F10)</f>
        <v>9</v>
      </c>
      <c r="G9" s="517">
        <f>SUM('4.2(AC) Major Group Enroll-Grad:4.2(MS) Major Group Enroll-Grad'!G10)</f>
        <v>42</v>
      </c>
      <c r="H9" s="444">
        <f>SUM(D9:G9)</f>
        <v>680</v>
      </c>
    </row>
    <row r="10" spans="1:38" x14ac:dyDescent="0.2">
      <c r="A10" s="468"/>
      <c r="B10" s="467"/>
      <c r="C10" s="471" t="s">
        <v>872</v>
      </c>
      <c r="D10" s="506">
        <f>SUM(D8:D9)</f>
        <v>534</v>
      </c>
      <c r="E10" s="518">
        <f>SUM(E8:E9)</f>
        <v>1068</v>
      </c>
      <c r="F10" s="518">
        <f>SUM(F8:F9)</f>
        <v>31</v>
      </c>
      <c r="G10" s="519">
        <f>SUM(G8:G9)</f>
        <v>67</v>
      </c>
      <c r="H10" s="505">
        <f>SUM(D10:G10)</f>
        <v>1700</v>
      </c>
    </row>
    <row r="11" spans="1:38" ht="48.75" customHeight="1" x14ac:dyDescent="0.2">
      <c r="A11" s="1707" t="s">
        <v>143</v>
      </c>
      <c r="B11" s="1708"/>
      <c r="C11" s="1708"/>
      <c r="D11" s="1708"/>
      <c r="E11" s="1708"/>
      <c r="F11" s="1708"/>
      <c r="G11" s="1708"/>
      <c r="H11" s="1709"/>
    </row>
    <row r="12" spans="1:38" x14ac:dyDescent="0.2">
      <c r="A12" s="353"/>
      <c r="B12" s="479"/>
      <c r="C12" s="480"/>
      <c r="D12" s="481"/>
      <c r="E12" s="457"/>
      <c r="F12" s="458" t="s">
        <v>556</v>
      </c>
      <c r="G12" s="457"/>
      <c r="H12" s="459"/>
    </row>
    <row r="13" spans="1:38" ht="14.25" customHeight="1" x14ac:dyDescent="0.2">
      <c r="A13" s="354"/>
      <c r="B13" s="472" t="s">
        <v>144</v>
      </c>
      <c r="C13" s="473"/>
      <c r="D13" s="1668" t="s">
        <v>873</v>
      </c>
      <c r="E13" s="1669"/>
      <c r="F13" s="1670" t="s">
        <v>874</v>
      </c>
      <c r="G13" s="1671"/>
      <c r="H13" s="474"/>
    </row>
    <row r="14" spans="1:38" x14ac:dyDescent="0.2">
      <c r="A14" s="355"/>
      <c r="B14" s="475"/>
      <c r="C14" s="476"/>
      <c r="D14" s="477" t="s">
        <v>875</v>
      </c>
      <c r="E14" s="477" t="s">
        <v>876</v>
      </c>
      <c r="F14" s="477" t="s">
        <v>875</v>
      </c>
      <c r="G14" s="477" t="s">
        <v>876</v>
      </c>
      <c r="H14" s="478" t="s">
        <v>872</v>
      </c>
    </row>
    <row r="15" spans="1:38" s="347" customFormat="1" ht="14.25" customHeight="1" x14ac:dyDescent="0.2">
      <c r="A15" s="356" t="s">
        <v>145</v>
      </c>
      <c r="B15" s="482"/>
      <c r="C15" s="483"/>
      <c r="D15" s="510">
        <f>SUM('4.2(AC) Major Group Enroll-Grad:4.2(MS) Major Group Enroll-Grad'!D16)</f>
        <v>0</v>
      </c>
      <c r="E15" s="511">
        <f>SUM('4.2(AC) Major Group Enroll-Grad:4.2(MS) Major Group Enroll-Grad'!E16)</f>
        <v>0</v>
      </c>
      <c r="F15" s="511">
        <f>SUM('4.2(AC) Major Group Enroll-Grad:4.2(MS) Major Group Enroll-Grad'!F16)</f>
        <v>0</v>
      </c>
      <c r="G15" s="512">
        <f>SUM('4.2(AC) Major Group Enroll-Grad:4.2(MS) Major Group Enroll-Grad'!G16)</f>
        <v>0</v>
      </c>
      <c r="H15" s="499">
        <f t="shared" ref="H15:H28" si="0">SUM(D15:G15)</f>
        <v>0</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s="347" customFormat="1" ht="14.25" customHeight="1" x14ac:dyDescent="0.2">
      <c r="A16" s="360"/>
      <c r="B16" s="1666" t="s">
        <v>472</v>
      </c>
      <c r="C16" s="1667"/>
      <c r="D16" s="513">
        <f>SUM('4.2(AC) Major Group Enroll-Grad:4.2(MS) Major Group Enroll-Grad'!D17)</f>
        <v>0</v>
      </c>
      <c r="E16" s="516">
        <f>SUM('4.2(AC) Major Group Enroll-Grad:4.2(MS) Major Group Enroll-Grad'!E17)</f>
        <v>0</v>
      </c>
      <c r="F16" s="516">
        <f>SUM('4.2(AC) Major Group Enroll-Grad:4.2(MS) Major Group Enroll-Grad'!F17)</f>
        <v>0</v>
      </c>
      <c r="G16" s="517">
        <f>SUM('4.2(AC) Major Group Enroll-Grad:4.2(MS) Major Group Enroll-Grad'!G17)</f>
        <v>0</v>
      </c>
      <c r="H16" s="444">
        <f t="shared" si="0"/>
        <v>0</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s="347" customFormat="1" ht="14.25" customHeight="1" x14ac:dyDescent="0.2">
      <c r="A17" s="357" t="s">
        <v>146</v>
      </c>
      <c r="B17" s="441"/>
      <c r="C17" s="442"/>
      <c r="D17" s="513">
        <f>SUM('4.2(AC) Major Group Enroll-Grad:4.2(MS) Major Group Enroll-Grad'!D18)</f>
        <v>0</v>
      </c>
      <c r="E17" s="516">
        <f>SUM('4.2(AC) Major Group Enroll-Grad:4.2(MS) Major Group Enroll-Grad'!E18)</f>
        <v>0</v>
      </c>
      <c r="F17" s="516">
        <f>SUM('4.2(AC) Major Group Enroll-Grad:4.2(MS) Major Group Enroll-Grad'!F18)</f>
        <v>0</v>
      </c>
      <c r="G17" s="517">
        <f>SUM('4.2(AC) Major Group Enroll-Grad:4.2(MS) Major Group Enroll-Grad'!G18)</f>
        <v>0</v>
      </c>
      <c r="H17" s="444">
        <f t="shared" si="0"/>
        <v>0</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s="347" customFormat="1" ht="14.25" customHeight="1" x14ac:dyDescent="0.2">
      <c r="A18" s="360"/>
      <c r="B18" s="1666" t="s">
        <v>471</v>
      </c>
      <c r="C18" s="1667"/>
      <c r="D18" s="513">
        <f>SUM('4.2(AC) Major Group Enroll-Grad:4.2(MS) Major Group Enroll-Grad'!D19)</f>
        <v>0</v>
      </c>
      <c r="E18" s="516">
        <f>SUM('4.2(AC) Major Group Enroll-Grad:4.2(MS) Major Group Enroll-Grad'!E19)</f>
        <v>0</v>
      </c>
      <c r="F18" s="516">
        <f>SUM('4.2(AC) Major Group Enroll-Grad:4.2(MS) Major Group Enroll-Grad'!F19)</f>
        <v>0</v>
      </c>
      <c r="G18" s="517">
        <f>SUM('4.2(AC) Major Group Enroll-Grad:4.2(MS) Major Group Enroll-Grad'!G19)</f>
        <v>0</v>
      </c>
      <c r="H18" s="444">
        <f t="shared" si="0"/>
        <v>0</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s="347" customFormat="1" ht="14.25" customHeight="1" x14ac:dyDescent="0.2">
      <c r="A19" s="358" t="s">
        <v>147</v>
      </c>
      <c r="B19" s="507"/>
      <c r="C19" s="484"/>
      <c r="D19" s="513">
        <f>SUM('4.2(AC) Major Group Enroll-Grad:4.2(MS) Major Group Enroll-Grad'!D20)</f>
        <v>5</v>
      </c>
      <c r="E19" s="516">
        <f>SUM('4.2(AC) Major Group Enroll-Grad:4.2(MS) Major Group Enroll-Grad'!E20)</f>
        <v>3</v>
      </c>
      <c r="F19" s="516">
        <f>SUM('4.2(AC) Major Group Enroll-Grad:4.2(MS) Major Group Enroll-Grad'!F20)</f>
        <v>0</v>
      </c>
      <c r="G19" s="517">
        <f>SUM('4.2(AC) Major Group Enroll-Grad:4.2(MS) Major Group Enroll-Grad'!G20)</f>
        <v>0</v>
      </c>
      <c r="H19" s="444">
        <f t="shared" si="0"/>
        <v>8</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s="347" customFormat="1" ht="14.25" customHeight="1" x14ac:dyDescent="0.2">
      <c r="A20" s="360"/>
      <c r="B20" s="1666" t="s">
        <v>470</v>
      </c>
      <c r="C20" s="1667"/>
      <c r="D20" s="513">
        <f>SUM('4.2(AC) Major Group Enroll-Grad:4.2(MS) Major Group Enroll-Grad'!D21)</f>
        <v>0</v>
      </c>
      <c r="E20" s="516">
        <f>SUM('4.2(AC) Major Group Enroll-Grad:4.2(MS) Major Group Enroll-Grad'!E21)</f>
        <v>0</v>
      </c>
      <c r="F20" s="516">
        <f>SUM('4.2(AC) Major Group Enroll-Grad:4.2(MS) Major Group Enroll-Grad'!F21)</f>
        <v>0</v>
      </c>
      <c r="G20" s="517">
        <f>SUM('4.2(AC) Major Group Enroll-Grad:4.2(MS) Major Group Enroll-Grad'!G21)</f>
        <v>0</v>
      </c>
      <c r="H20" s="444">
        <f t="shared" si="0"/>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s="347" customFormat="1" ht="14.25" customHeight="1" x14ac:dyDescent="0.2">
      <c r="A21" s="359" t="s">
        <v>148</v>
      </c>
      <c r="B21" s="445"/>
      <c r="C21" s="900"/>
      <c r="D21" s="513">
        <f>SUM('4.2(AC) Major Group Enroll-Grad:4.2(MS) Major Group Enroll-Grad'!D22)</f>
        <v>30</v>
      </c>
      <c r="E21" s="516">
        <f>SUM('4.2(AC) Major Group Enroll-Grad:4.2(MS) Major Group Enroll-Grad'!E22)</f>
        <v>83</v>
      </c>
      <c r="F21" s="516">
        <f>SUM('4.2(AC) Major Group Enroll-Grad:4.2(MS) Major Group Enroll-Grad'!F22)</f>
        <v>0</v>
      </c>
      <c r="G21" s="517">
        <f>SUM('4.2(AC) Major Group Enroll-Grad:4.2(MS) Major Group Enroll-Grad'!G22)</f>
        <v>7</v>
      </c>
      <c r="H21" s="444">
        <f t="shared" si="0"/>
        <v>120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s="347" customFormat="1" ht="14.25" customHeight="1" x14ac:dyDescent="0.2">
      <c r="A22" s="360"/>
      <c r="B22" s="1666" t="s">
        <v>330</v>
      </c>
      <c r="C22" s="1667"/>
      <c r="D22" s="513">
        <f>SUM('4.2(AC) Major Group Enroll-Grad:4.2(MS) Major Group Enroll-Grad'!D23)</f>
        <v>0</v>
      </c>
      <c r="E22" s="516">
        <f>SUM('4.2(AC) Major Group Enroll-Grad:4.2(MS) Major Group Enroll-Grad'!E23)</f>
        <v>0</v>
      </c>
      <c r="F22" s="516">
        <f>SUM('4.2(AC) Major Group Enroll-Grad:4.2(MS) Major Group Enroll-Grad'!F23)</f>
        <v>0</v>
      </c>
      <c r="G22" s="517">
        <f>SUM('4.2(AC) Major Group Enroll-Grad:4.2(MS) Major Group Enroll-Grad'!G23)</f>
        <v>0</v>
      </c>
      <c r="H22" s="444">
        <f t="shared" si="0"/>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s="347" customFormat="1" ht="14.25" customHeight="1" x14ac:dyDescent="0.2">
      <c r="A23" s="359" t="s">
        <v>149</v>
      </c>
      <c r="B23" s="445"/>
      <c r="C23" s="446"/>
      <c r="D23" s="513">
        <f>SUM('4.2(AC) Major Group Enroll-Grad:4.2(MS) Major Group Enroll-Grad'!D24)</f>
        <v>14</v>
      </c>
      <c r="E23" s="516">
        <f>SUM('4.2(AC) Major Group Enroll-Grad:4.2(MS) Major Group Enroll-Grad'!E24)</f>
        <v>29</v>
      </c>
      <c r="F23" s="516">
        <f>SUM('4.2(AC) Major Group Enroll-Grad:4.2(MS) Major Group Enroll-Grad'!F24)</f>
        <v>4</v>
      </c>
      <c r="G23" s="517">
        <f>SUM('4.2(AC) Major Group Enroll-Grad:4.2(MS) Major Group Enroll-Grad'!G24)</f>
        <v>3</v>
      </c>
      <c r="H23" s="444">
        <f t="shared" si="0"/>
        <v>50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s="347" customFormat="1" ht="14.25" customHeight="1" x14ac:dyDescent="0.2">
      <c r="A24" s="360"/>
      <c r="B24" s="1666" t="s">
        <v>316</v>
      </c>
      <c r="C24" s="1667"/>
      <c r="D24" s="513">
        <f>SUM('4.2(AC) Major Group Enroll-Grad:4.2(MS) Major Group Enroll-Grad'!D25)</f>
        <v>0</v>
      </c>
      <c r="E24" s="516">
        <f>SUM('4.2(AC) Major Group Enroll-Grad:4.2(MS) Major Group Enroll-Grad'!E25)</f>
        <v>0</v>
      </c>
      <c r="F24" s="516">
        <f>SUM('4.2(AC) Major Group Enroll-Grad:4.2(MS) Major Group Enroll-Grad'!F25)</f>
        <v>0</v>
      </c>
      <c r="G24" s="517">
        <f>SUM('4.2(AC) Major Group Enroll-Grad:4.2(MS) Major Group Enroll-Grad'!G25)</f>
        <v>0</v>
      </c>
      <c r="H24" s="444">
        <f t="shared" si="0"/>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s="347" customFormat="1" ht="14.25" customHeight="1" x14ac:dyDescent="0.2">
      <c r="A25" s="361" t="s">
        <v>150</v>
      </c>
      <c r="B25" s="443"/>
      <c r="C25" s="446"/>
      <c r="D25" s="513">
        <f>SUM('4.2(AC) Major Group Enroll-Grad:4.2(MS) Major Group Enroll-Grad'!D26)</f>
        <v>5</v>
      </c>
      <c r="E25" s="516">
        <f>SUM('4.2(AC) Major Group Enroll-Grad:4.2(MS) Major Group Enroll-Grad'!E26)</f>
        <v>8</v>
      </c>
      <c r="F25" s="516">
        <f>SUM('4.2(AC) Major Group Enroll-Grad:4.2(MS) Major Group Enroll-Grad'!F26)</f>
        <v>0</v>
      </c>
      <c r="G25" s="517">
        <f>SUM('4.2(AC) Major Group Enroll-Grad:4.2(MS) Major Group Enroll-Grad'!G26)</f>
        <v>1</v>
      </c>
      <c r="H25" s="444">
        <f t="shared" si="0"/>
        <v>14</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s="347" customFormat="1" ht="14.25" customHeight="1" x14ac:dyDescent="0.2">
      <c r="A26" s="659" t="s">
        <v>469</v>
      </c>
      <c r="B26" s="660"/>
      <c r="C26" s="661"/>
      <c r="D26" s="513">
        <f>SUM('4.2(AC) Major Group Enroll-Grad:4.2(MS) Major Group Enroll-Grad'!D27)</f>
        <v>0</v>
      </c>
      <c r="E26" s="516">
        <f>SUM('4.2(AC) Major Group Enroll-Grad:4.2(MS) Major Group Enroll-Grad'!E27)</f>
        <v>0</v>
      </c>
      <c r="F26" s="516">
        <f>SUM('4.2(AC) Major Group Enroll-Grad:4.2(MS) Major Group Enroll-Grad'!F27)</f>
        <v>0</v>
      </c>
      <c r="G26" s="517">
        <f>SUM('4.2(AC) Major Group Enroll-Grad:4.2(MS) Major Group Enroll-Grad'!G27)</f>
        <v>0</v>
      </c>
      <c r="H26" s="444">
        <f t="shared" si="0"/>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s="347" customFormat="1" ht="22.5" customHeight="1" x14ac:dyDescent="0.2">
      <c r="A27" s="1682" t="s">
        <v>478</v>
      </c>
      <c r="B27" s="1683"/>
      <c r="C27" s="1684"/>
      <c r="D27" s="513">
        <f>SUM('4.2(AC) Major Group Enroll-Grad:4.2(MS) Major Group Enroll-Grad'!D28)</f>
        <v>0</v>
      </c>
      <c r="E27" s="516">
        <f>SUM('4.2(AC) Major Group Enroll-Grad:4.2(MS) Major Group Enroll-Grad'!E28)</f>
        <v>0</v>
      </c>
      <c r="F27" s="516">
        <f>SUM('4.2(AC) Major Group Enroll-Grad:4.2(MS) Major Group Enroll-Grad'!F28)</f>
        <v>0</v>
      </c>
      <c r="G27" s="517">
        <f>SUM('4.2(AC) Major Group Enroll-Grad:4.2(MS) Major Group Enroll-Grad'!G28)</f>
        <v>0</v>
      </c>
      <c r="H27" s="444">
        <f t="shared" si="0"/>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s="347" customFormat="1" ht="26.25" customHeight="1" thickBot="1" x14ac:dyDescent="0.25">
      <c r="A28" s="1713" t="s">
        <v>600</v>
      </c>
      <c r="B28" s="1714"/>
      <c r="C28" s="1715"/>
      <c r="D28" s="771">
        <f>SUM('4.2(AC) Major Group Enroll-Grad:4.2(MS) Major Group Enroll-Grad'!D29)</f>
        <v>0</v>
      </c>
      <c r="E28" s="772">
        <f>SUM('4.2(AC) Major Group Enroll-Grad:4.2(MS) Major Group Enroll-Grad'!E29)</f>
        <v>0</v>
      </c>
      <c r="F28" s="772">
        <f>SUM('4.2(AC) Major Group Enroll-Grad:4.2(MS) Major Group Enroll-Grad'!F29)</f>
        <v>0</v>
      </c>
      <c r="G28" s="773">
        <f>SUM('4.2(AC) Major Group Enroll-Grad:4.2(MS) Major Group Enroll-Grad'!G29)</f>
        <v>0</v>
      </c>
      <c r="H28" s="647">
        <f t="shared" si="0"/>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ht="14.25" customHeight="1" thickTop="1" x14ac:dyDescent="0.2">
      <c r="A29" s="520"/>
      <c r="B29" s="508"/>
      <c r="C29" s="485"/>
      <c r="D29" s="521"/>
      <c r="E29" s="521"/>
      <c r="F29" s="521"/>
      <c r="G29" s="521"/>
      <c r="H29" s="509"/>
    </row>
    <row r="30" spans="1:38" ht="14.25" customHeight="1" x14ac:dyDescent="0.2">
      <c r="A30" s="1697" t="s">
        <v>516</v>
      </c>
      <c r="B30" s="1698"/>
      <c r="C30" s="1698"/>
      <c r="D30" s="1698"/>
      <c r="E30" s="1698"/>
      <c r="F30" s="1698"/>
      <c r="G30" s="1698"/>
      <c r="H30" s="1699"/>
    </row>
    <row r="31" spans="1:38" ht="86.25" customHeight="1" x14ac:dyDescent="0.2">
      <c r="A31" s="1700" t="s">
        <v>92</v>
      </c>
      <c r="B31" s="1701"/>
      <c r="C31" s="1701"/>
      <c r="D31" s="1701"/>
      <c r="E31" s="1701"/>
      <c r="F31" s="1701"/>
      <c r="G31" s="1701"/>
      <c r="H31" s="1702"/>
    </row>
    <row r="32" spans="1:38" ht="14.25" customHeight="1" x14ac:dyDescent="0.2">
      <c r="A32" s="719"/>
      <c r="B32" s="508"/>
      <c r="C32" s="485"/>
      <c r="D32" s="720"/>
      <c r="E32" s="720"/>
      <c r="F32" s="720"/>
      <c r="G32" s="720"/>
      <c r="H32" s="509"/>
    </row>
    <row r="33" spans="1:26" ht="14.25" customHeight="1" x14ac:dyDescent="0.2">
      <c r="A33" s="1710" t="s">
        <v>847</v>
      </c>
      <c r="B33" s="1711"/>
      <c r="C33" s="1711"/>
      <c r="D33" s="1711"/>
      <c r="E33" s="1711"/>
      <c r="F33" s="1711"/>
      <c r="G33" s="1711"/>
      <c r="H33" s="1712"/>
    </row>
    <row r="34" spans="1:26" ht="34.5" customHeight="1" thickBot="1" x14ac:dyDescent="0.25">
      <c r="A34" s="1694"/>
      <c r="B34" s="1695"/>
      <c r="C34" s="1695"/>
      <c r="D34" s="1695"/>
      <c r="E34" s="1695"/>
      <c r="F34" s="1695"/>
      <c r="G34" s="1695"/>
      <c r="H34" s="1696"/>
    </row>
    <row r="35" spans="1:26" s="722" customFormat="1" ht="15" thickTop="1" x14ac:dyDescent="0.2">
      <c r="A35" s="721"/>
      <c r="B35" s="721"/>
      <c r="C35" s="721"/>
      <c r="D35" s="721"/>
      <c r="E35" s="721"/>
      <c r="F35" s="721"/>
      <c r="G35" s="721"/>
      <c r="H35" s="721"/>
      <c r="I35" s="21"/>
      <c r="J35" s="21"/>
      <c r="K35" s="21"/>
      <c r="L35" s="21"/>
      <c r="M35" s="21"/>
      <c r="N35" s="21"/>
      <c r="O35" s="21"/>
      <c r="P35" s="21"/>
      <c r="Q35" s="21"/>
      <c r="R35" s="21"/>
      <c r="S35" s="21"/>
      <c r="T35" s="21"/>
      <c r="U35" s="21"/>
      <c r="V35" s="21"/>
      <c r="W35" s="21"/>
      <c r="X35" s="21"/>
      <c r="Y35" s="21"/>
      <c r="Z35" s="21"/>
    </row>
    <row r="36" spans="1:26" x14ac:dyDescent="0.2">
      <c r="A36" s="375"/>
      <c r="B36" s="375"/>
      <c r="C36" s="375"/>
      <c r="D36" s="375"/>
      <c r="E36" s="375"/>
      <c r="F36" s="375"/>
      <c r="G36" s="375"/>
      <c r="H36" s="375"/>
    </row>
    <row r="37" spans="1:26" x14ac:dyDescent="0.2">
      <c r="A37" s="375"/>
      <c r="B37" s="375"/>
      <c r="C37" s="375"/>
      <c r="D37" s="375"/>
      <c r="E37" s="375"/>
      <c r="F37" s="375"/>
      <c r="G37" s="375"/>
      <c r="H37" s="375"/>
    </row>
  </sheetData>
  <mergeCells count="20">
    <mergeCell ref="B22:C22"/>
    <mergeCell ref="B24:C24"/>
    <mergeCell ref="A27:C27"/>
    <mergeCell ref="A28:C28"/>
    <mergeCell ref="A34:H34"/>
    <mergeCell ref="A30:H30"/>
    <mergeCell ref="A31:H31"/>
    <mergeCell ref="A1:C1"/>
    <mergeCell ref="A3:H3"/>
    <mergeCell ref="A4:H4"/>
    <mergeCell ref="D6:E6"/>
    <mergeCell ref="F6:G6"/>
    <mergeCell ref="D1:H1"/>
    <mergeCell ref="A11:H11"/>
    <mergeCell ref="D13:E13"/>
    <mergeCell ref="F13:G13"/>
    <mergeCell ref="A33:H33"/>
    <mergeCell ref="B16:C16"/>
    <mergeCell ref="B18:C18"/>
    <mergeCell ref="B20:C20"/>
  </mergeCells>
  <phoneticPr fontId="65" type="noConversion"/>
  <pageMargins left="0.65583333300000002" right="0.12833333333333299" top="0.5" bottom="0.5" header="0.3" footer="0.3"/>
  <pageSetup orientation="portrait" r:id="rId1"/>
  <headerFooter>
    <oddHeader>&amp;LAKIS A 2012</oddHeader>
    <oddFooter>&amp;LAmerican Indian Higher Education Consortium</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AY74"/>
  <sheetViews>
    <sheetView zoomScaleNormal="100" workbookViewId="0">
      <selection activeCell="A18" sqref="A18:D18"/>
    </sheetView>
  </sheetViews>
  <sheetFormatPr defaultColWidth="9.140625" defaultRowHeight="12.75" x14ac:dyDescent="0.2"/>
  <cols>
    <col min="1" max="2" width="22.28515625" style="30" customWidth="1"/>
    <col min="3" max="3" width="60.7109375" style="30" customWidth="1"/>
    <col min="4" max="4" width="14.7109375" style="30" customWidth="1"/>
    <col min="5" max="15" width="9.140625" style="30"/>
    <col min="16" max="51" width="9.140625" style="37"/>
    <col min="52" max="16384" width="9.140625" style="30"/>
  </cols>
  <sheetData>
    <row r="1" spans="1:15" s="20" customFormat="1" ht="15.75" thickTop="1" x14ac:dyDescent="0.25">
      <c r="A1" s="314" t="s">
        <v>823</v>
      </c>
      <c r="B1" s="1266" t="str">
        <f>'1.1a Overall Instit. Profile'!B1</f>
        <v>Oglala Lakota College</v>
      </c>
      <c r="C1" s="1370"/>
      <c r="D1" s="1629"/>
    </row>
    <row r="2" spans="1:15" ht="18.75" customHeight="1" x14ac:dyDescent="0.2">
      <c r="A2" s="313" t="s">
        <v>846</v>
      </c>
      <c r="B2" s="325"/>
      <c r="C2" s="325"/>
      <c r="D2" s="319"/>
      <c r="E2" s="37"/>
      <c r="F2" s="37"/>
      <c r="G2" s="37"/>
      <c r="H2" s="37"/>
      <c r="I2" s="37"/>
      <c r="J2" s="37"/>
      <c r="K2" s="37"/>
      <c r="L2" s="37"/>
      <c r="M2" s="37"/>
      <c r="N2" s="37"/>
      <c r="O2" s="37"/>
    </row>
    <row r="3" spans="1:15" ht="18.75" customHeight="1" x14ac:dyDescent="0.2">
      <c r="A3" s="316" t="s">
        <v>151</v>
      </c>
      <c r="B3" s="326"/>
      <c r="C3" s="326"/>
      <c r="D3" s="327"/>
      <c r="E3" s="37"/>
      <c r="F3" s="37"/>
      <c r="G3" s="37"/>
      <c r="H3" s="37"/>
      <c r="I3" s="37"/>
      <c r="J3" s="37"/>
      <c r="K3" s="37"/>
      <c r="L3" s="37"/>
      <c r="M3" s="37"/>
      <c r="N3" s="37"/>
      <c r="O3" s="37"/>
    </row>
    <row r="4" spans="1:15" ht="24" customHeight="1" x14ac:dyDescent="0.2">
      <c r="A4" s="1716" t="s">
        <v>152</v>
      </c>
      <c r="B4" s="1717"/>
      <c r="C4" s="1717"/>
      <c r="D4" s="1718"/>
      <c r="E4" s="37"/>
      <c r="F4" s="37"/>
      <c r="G4" s="37"/>
      <c r="H4" s="37"/>
      <c r="I4" s="37"/>
      <c r="J4" s="37"/>
      <c r="K4" s="37"/>
      <c r="L4" s="37"/>
      <c r="M4" s="37"/>
      <c r="N4" s="37"/>
      <c r="O4" s="37"/>
    </row>
    <row r="5" spans="1:15" ht="18" customHeight="1" x14ac:dyDescent="0.2">
      <c r="A5" s="48" t="s">
        <v>153</v>
      </c>
      <c r="B5" s="23" t="s">
        <v>154</v>
      </c>
      <c r="C5" s="23" t="s">
        <v>155</v>
      </c>
      <c r="D5" s="49" t="s">
        <v>156</v>
      </c>
      <c r="E5" s="37"/>
      <c r="F5" s="37"/>
      <c r="G5" s="37"/>
      <c r="H5" s="37"/>
      <c r="I5" s="37"/>
      <c r="J5" s="37"/>
      <c r="K5" s="37"/>
      <c r="L5" s="37"/>
      <c r="M5" s="37"/>
      <c r="N5" s="37"/>
      <c r="O5" s="37"/>
    </row>
    <row r="6" spans="1:15" ht="20.25" customHeight="1" x14ac:dyDescent="0.2">
      <c r="A6" s="73" t="s">
        <v>283</v>
      </c>
      <c r="B6" s="523" t="s">
        <v>742</v>
      </c>
      <c r="C6" s="523" t="s">
        <v>743</v>
      </c>
      <c r="D6" s="350">
        <v>3</v>
      </c>
      <c r="E6" s="37"/>
      <c r="F6" s="37"/>
      <c r="G6" s="37"/>
      <c r="H6" s="37"/>
      <c r="I6" s="37"/>
      <c r="J6" s="37"/>
      <c r="K6" s="37"/>
      <c r="L6" s="37"/>
      <c r="M6" s="37"/>
      <c r="N6" s="37"/>
      <c r="O6" s="37"/>
    </row>
    <row r="7" spans="1:15" ht="20.25" customHeight="1" x14ac:dyDescent="0.2">
      <c r="A7" s="9" t="s">
        <v>284</v>
      </c>
      <c r="B7" s="525" t="s">
        <v>744</v>
      </c>
      <c r="C7" s="525" t="s">
        <v>745</v>
      </c>
      <c r="D7" s="416">
        <v>3</v>
      </c>
      <c r="E7" s="37"/>
      <c r="F7" s="37"/>
      <c r="G7" s="37"/>
      <c r="H7" s="37"/>
      <c r="I7" s="37"/>
      <c r="J7" s="37"/>
      <c r="K7" s="37"/>
      <c r="L7" s="37"/>
      <c r="M7" s="37"/>
      <c r="N7" s="37"/>
      <c r="O7" s="37"/>
    </row>
    <row r="8" spans="1:15" ht="20.25" customHeight="1" x14ac:dyDescent="0.2">
      <c r="A8" s="9" t="s">
        <v>285</v>
      </c>
      <c r="B8" s="525" t="s">
        <v>746</v>
      </c>
      <c r="C8" s="525" t="s">
        <v>747</v>
      </c>
      <c r="D8" s="416">
        <v>3</v>
      </c>
      <c r="E8" s="37"/>
      <c r="F8" s="37"/>
      <c r="G8" s="37"/>
      <c r="H8" s="37"/>
      <c r="I8" s="37"/>
      <c r="J8" s="37"/>
      <c r="K8" s="37"/>
      <c r="L8" s="37"/>
      <c r="M8" s="37"/>
      <c r="N8" s="37"/>
      <c r="O8" s="37"/>
    </row>
    <row r="9" spans="1:15" ht="20.25" customHeight="1" x14ac:dyDescent="0.2">
      <c r="A9" s="9" t="s">
        <v>537</v>
      </c>
      <c r="B9" s="525" t="s">
        <v>748</v>
      </c>
      <c r="C9" s="525" t="s">
        <v>749</v>
      </c>
      <c r="D9" s="416">
        <v>3</v>
      </c>
      <c r="E9" s="37"/>
      <c r="F9" s="37"/>
      <c r="G9" s="37"/>
      <c r="H9" s="37"/>
      <c r="I9" s="37"/>
      <c r="J9" s="37"/>
      <c r="K9" s="37"/>
      <c r="L9" s="37"/>
      <c r="M9" s="37"/>
      <c r="N9" s="37"/>
      <c r="O9" s="37"/>
    </row>
    <row r="10" spans="1:15" ht="20.25" customHeight="1" x14ac:dyDescent="0.2">
      <c r="A10" s="9" t="s">
        <v>286</v>
      </c>
      <c r="B10" s="525" t="s">
        <v>750</v>
      </c>
      <c r="C10" s="525" t="s">
        <v>751</v>
      </c>
      <c r="D10" s="416">
        <v>3</v>
      </c>
      <c r="E10" s="37"/>
      <c r="F10" s="37"/>
      <c r="G10" s="37"/>
      <c r="H10" s="37"/>
      <c r="I10" s="37"/>
      <c r="J10" s="37"/>
      <c r="K10" s="37"/>
      <c r="L10" s="37"/>
      <c r="M10" s="37"/>
      <c r="N10" s="37"/>
      <c r="O10" s="37"/>
    </row>
    <row r="11" spans="1:15" ht="20.25" customHeight="1" x14ac:dyDescent="0.2">
      <c r="A11" s="9" t="s">
        <v>287</v>
      </c>
      <c r="B11" s="1175" t="s">
        <v>752</v>
      </c>
      <c r="C11" s="1175" t="s">
        <v>753</v>
      </c>
      <c r="D11" s="416">
        <v>3</v>
      </c>
      <c r="E11" s="37"/>
      <c r="F11" s="37"/>
      <c r="G11" s="37"/>
      <c r="H11" s="37"/>
      <c r="I11" s="37"/>
      <c r="J11" s="37"/>
      <c r="K11" s="37"/>
      <c r="L11" s="37"/>
      <c r="M11" s="37"/>
      <c r="N11" s="37"/>
      <c r="O11" s="37"/>
    </row>
    <row r="12" spans="1:15" ht="20.25" customHeight="1" x14ac:dyDescent="0.2">
      <c r="A12" s="522" t="s">
        <v>755</v>
      </c>
      <c r="B12" s="525" t="s">
        <v>754</v>
      </c>
      <c r="C12" s="525" t="s">
        <v>755</v>
      </c>
      <c r="D12" s="416">
        <v>3</v>
      </c>
      <c r="E12" s="37"/>
      <c r="F12" s="37"/>
      <c r="G12" s="37"/>
      <c r="H12" s="37"/>
      <c r="I12" s="37"/>
      <c r="J12" s="37"/>
      <c r="K12" s="37"/>
      <c r="L12" s="37"/>
      <c r="M12" s="37"/>
      <c r="N12" s="37"/>
      <c r="O12" s="37"/>
    </row>
    <row r="13" spans="1:15" ht="20.25" customHeight="1" x14ac:dyDescent="0.2">
      <c r="A13" s="522" t="s">
        <v>760</v>
      </c>
      <c r="B13" s="525" t="s">
        <v>756</v>
      </c>
      <c r="C13" s="525" t="s">
        <v>757</v>
      </c>
      <c r="D13" s="416">
        <v>3</v>
      </c>
      <c r="E13" s="37"/>
      <c r="F13" s="37"/>
      <c r="G13" s="37"/>
      <c r="H13" s="37"/>
      <c r="I13" s="37"/>
      <c r="J13" s="37"/>
      <c r="K13" s="37"/>
      <c r="L13" s="37"/>
      <c r="M13" s="37"/>
      <c r="N13" s="37"/>
      <c r="O13" s="37"/>
    </row>
    <row r="14" spans="1:15" ht="20.25" customHeight="1" x14ac:dyDescent="0.2">
      <c r="A14" s="522" t="s">
        <v>761</v>
      </c>
      <c r="B14" s="525" t="s">
        <v>758</v>
      </c>
      <c r="C14" s="525" t="s">
        <v>759</v>
      </c>
      <c r="D14" s="416">
        <v>3</v>
      </c>
      <c r="E14" s="37"/>
      <c r="F14" s="37"/>
      <c r="G14" s="37"/>
      <c r="H14" s="37"/>
      <c r="I14" s="37"/>
      <c r="J14" s="37"/>
      <c r="K14" s="37"/>
      <c r="L14" s="37"/>
      <c r="M14" s="37"/>
      <c r="N14" s="37"/>
      <c r="O14" s="37"/>
    </row>
    <row r="15" spans="1:15" ht="20.25" customHeight="1" x14ac:dyDescent="0.2">
      <c r="A15" s="522"/>
      <c r="B15" s="525"/>
      <c r="C15" s="525"/>
      <c r="D15" s="416"/>
      <c r="E15" s="37"/>
      <c r="F15" s="37"/>
      <c r="G15" s="37"/>
      <c r="H15" s="37"/>
      <c r="I15" s="37"/>
      <c r="J15" s="37"/>
      <c r="K15" s="37"/>
      <c r="L15" s="37"/>
      <c r="M15" s="37"/>
      <c r="N15" s="37"/>
      <c r="O15" s="37"/>
    </row>
    <row r="16" spans="1:15" ht="20.25" customHeight="1" x14ac:dyDescent="0.2">
      <c r="A16" s="522"/>
      <c r="B16" s="525"/>
      <c r="C16" s="525"/>
      <c r="D16" s="416"/>
      <c r="E16" s="37"/>
      <c r="F16" s="37"/>
      <c r="G16" s="37"/>
      <c r="H16" s="37"/>
      <c r="I16" s="37"/>
      <c r="J16" s="37"/>
      <c r="K16" s="37"/>
      <c r="L16" s="37"/>
      <c r="M16" s="37"/>
      <c r="N16" s="37"/>
      <c r="O16" s="37"/>
    </row>
    <row r="17" spans="1:15" x14ac:dyDescent="0.2">
      <c r="A17" s="1719" t="s">
        <v>847</v>
      </c>
      <c r="B17" s="1243"/>
      <c r="C17" s="1243"/>
      <c r="D17" s="1244"/>
      <c r="E17" s="37"/>
      <c r="F17" s="37"/>
      <c r="G17" s="37"/>
      <c r="H17" s="37"/>
      <c r="I17" s="37"/>
      <c r="J17" s="37"/>
      <c r="K17" s="37"/>
      <c r="L17" s="37"/>
      <c r="M17" s="37"/>
      <c r="N17" s="37"/>
      <c r="O17" s="37"/>
    </row>
    <row r="18" spans="1:15" ht="78" customHeight="1" thickBot="1" x14ac:dyDescent="0.25">
      <c r="A18" s="1547"/>
      <c r="B18" s="1548"/>
      <c r="C18" s="1548"/>
      <c r="D18" s="1549"/>
      <c r="E18" s="37"/>
      <c r="F18" s="37"/>
      <c r="G18" s="37"/>
      <c r="H18" s="37"/>
      <c r="I18" s="37"/>
      <c r="J18" s="37"/>
      <c r="K18" s="37"/>
      <c r="L18" s="37"/>
      <c r="M18" s="37"/>
      <c r="N18" s="37"/>
      <c r="O18" s="37"/>
    </row>
    <row r="19" spans="1:15" ht="13.5" thickTop="1" x14ac:dyDescent="0.2">
      <c r="A19" s="29"/>
      <c r="B19" s="29"/>
      <c r="C19" s="29"/>
      <c r="D19" s="29"/>
      <c r="E19" s="37"/>
      <c r="F19" s="37"/>
      <c r="G19" s="37"/>
      <c r="H19" s="37"/>
      <c r="I19" s="37"/>
      <c r="J19" s="37"/>
      <c r="K19" s="37"/>
      <c r="L19" s="37"/>
      <c r="M19" s="37"/>
      <c r="N19" s="37"/>
      <c r="O19" s="37"/>
    </row>
    <row r="20" spans="1:15" x14ac:dyDescent="0.2">
      <c r="A20" s="29"/>
      <c r="B20" s="29"/>
      <c r="C20" s="29"/>
      <c r="D20" s="29"/>
      <c r="E20" s="37"/>
      <c r="F20" s="37"/>
      <c r="G20" s="37"/>
      <c r="H20" s="37"/>
      <c r="I20" s="37"/>
      <c r="J20" s="37"/>
      <c r="K20" s="37"/>
      <c r="L20" s="37"/>
      <c r="M20" s="37"/>
      <c r="N20" s="37"/>
      <c r="O20" s="37"/>
    </row>
    <row r="21" spans="1:15" x14ac:dyDescent="0.2">
      <c r="A21" s="29"/>
      <c r="B21" s="29"/>
      <c r="C21" s="29"/>
      <c r="D21" s="29"/>
      <c r="E21" s="37"/>
      <c r="F21" s="37"/>
      <c r="G21" s="37"/>
      <c r="H21" s="37"/>
      <c r="I21" s="37"/>
      <c r="J21" s="37"/>
      <c r="K21" s="37"/>
      <c r="L21" s="37"/>
      <c r="M21" s="37"/>
      <c r="N21" s="37"/>
      <c r="O21" s="37"/>
    </row>
    <row r="22" spans="1:15" x14ac:dyDescent="0.2">
      <c r="A22" s="29"/>
      <c r="B22" s="29"/>
      <c r="C22" s="29"/>
      <c r="D22" s="29"/>
      <c r="E22" s="37"/>
      <c r="F22" s="37"/>
      <c r="G22" s="37"/>
      <c r="H22" s="37"/>
      <c r="I22" s="37"/>
      <c r="J22" s="37"/>
      <c r="K22" s="37"/>
      <c r="L22" s="37"/>
      <c r="M22" s="37"/>
      <c r="N22" s="37"/>
      <c r="O22" s="37"/>
    </row>
    <row r="23" spans="1:15" x14ac:dyDescent="0.2">
      <c r="A23" s="29"/>
      <c r="B23" s="29"/>
      <c r="C23" s="29"/>
      <c r="D23" s="29"/>
      <c r="E23" s="37"/>
      <c r="F23" s="37"/>
      <c r="G23" s="37"/>
      <c r="H23" s="37"/>
      <c r="I23" s="37"/>
      <c r="J23" s="37"/>
      <c r="K23" s="37"/>
      <c r="L23" s="37"/>
      <c r="M23" s="37"/>
      <c r="N23" s="37"/>
      <c r="O23" s="37"/>
    </row>
    <row r="24" spans="1:15" x14ac:dyDescent="0.2">
      <c r="A24" s="29"/>
      <c r="B24" s="29"/>
      <c r="C24" s="29"/>
      <c r="D24" s="29"/>
      <c r="E24" s="37"/>
      <c r="F24" s="37"/>
      <c r="G24" s="37"/>
      <c r="H24" s="37"/>
      <c r="I24" s="37"/>
      <c r="J24" s="37"/>
      <c r="K24" s="37"/>
      <c r="L24" s="37"/>
      <c r="M24" s="37"/>
      <c r="N24" s="37"/>
      <c r="O24" s="37"/>
    </row>
    <row r="25" spans="1:15" x14ac:dyDescent="0.2">
      <c r="A25" s="29"/>
      <c r="B25" s="29"/>
      <c r="C25" s="29"/>
      <c r="D25" s="29"/>
      <c r="E25" s="37"/>
      <c r="F25" s="37"/>
      <c r="G25" s="37"/>
      <c r="H25" s="37"/>
      <c r="I25" s="37"/>
      <c r="J25" s="37"/>
      <c r="K25" s="37"/>
      <c r="L25" s="37"/>
      <c r="M25" s="37"/>
      <c r="N25" s="37"/>
      <c r="O25" s="37"/>
    </row>
    <row r="26" spans="1:15" x14ac:dyDescent="0.2">
      <c r="A26" s="29"/>
      <c r="B26" s="29"/>
      <c r="C26" s="29"/>
      <c r="D26" s="29"/>
      <c r="E26" s="37"/>
      <c r="F26" s="37"/>
      <c r="G26" s="37"/>
      <c r="H26" s="37"/>
      <c r="I26" s="37"/>
      <c r="J26" s="37"/>
      <c r="K26" s="37"/>
      <c r="L26" s="37"/>
      <c r="M26" s="37"/>
      <c r="N26" s="37"/>
      <c r="O26" s="37"/>
    </row>
    <row r="27" spans="1:15" x14ac:dyDescent="0.2">
      <c r="A27" s="29"/>
      <c r="B27" s="29"/>
      <c r="C27" s="29"/>
      <c r="D27" s="29"/>
      <c r="E27" s="37"/>
      <c r="F27" s="37"/>
      <c r="G27" s="37"/>
      <c r="H27" s="37"/>
      <c r="I27" s="37"/>
      <c r="J27" s="37"/>
      <c r="K27" s="37"/>
      <c r="L27" s="37"/>
      <c r="M27" s="37"/>
      <c r="N27" s="37"/>
      <c r="O27" s="37"/>
    </row>
    <row r="28" spans="1:15" x14ac:dyDescent="0.2">
      <c r="A28" s="29"/>
      <c r="B28" s="29"/>
      <c r="C28" s="29"/>
      <c r="D28" s="29"/>
      <c r="E28" s="37"/>
      <c r="F28" s="37"/>
      <c r="G28" s="37"/>
      <c r="H28" s="37"/>
      <c r="I28" s="37"/>
      <c r="J28" s="37"/>
      <c r="K28" s="37"/>
      <c r="L28" s="37"/>
      <c r="M28" s="37"/>
      <c r="N28" s="37"/>
      <c r="O28" s="37"/>
    </row>
    <row r="29" spans="1:15" x14ac:dyDescent="0.2">
      <c r="A29" s="29"/>
      <c r="B29" s="29"/>
      <c r="C29" s="29"/>
      <c r="D29" s="29"/>
      <c r="E29" s="37"/>
      <c r="F29" s="37"/>
      <c r="G29" s="37"/>
      <c r="H29" s="37"/>
      <c r="I29" s="37"/>
      <c r="J29" s="37"/>
      <c r="K29" s="37"/>
      <c r="L29" s="37"/>
      <c r="M29" s="37"/>
      <c r="N29" s="37"/>
      <c r="O29" s="37"/>
    </row>
    <row r="30" spans="1:15" x14ac:dyDescent="0.2">
      <c r="A30" s="29"/>
      <c r="B30" s="29"/>
      <c r="C30" s="29"/>
      <c r="D30" s="29"/>
      <c r="E30" s="37"/>
      <c r="F30" s="37"/>
      <c r="G30" s="37"/>
      <c r="H30" s="37"/>
      <c r="I30" s="37"/>
      <c r="J30" s="37"/>
      <c r="K30" s="37"/>
      <c r="L30" s="37"/>
      <c r="M30" s="37"/>
      <c r="N30" s="37"/>
      <c r="O30" s="37"/>
    </row>
    <row r="31" spans="1:15" x14ac:dyDescent="0.2">
      <c r="A31" s="29"/>
      <c r="B31" s="29"/>
      <c r="C31" s="29"/>
      <c r="D31" s="29"/>
      <c r="E31" s="37"/>
      <c r="F31" s="37"/>
      <c r="G31" s="37"/>
      <c r="H31" s="37"/>
      <c r="I31" s="37"/>
      <c r="J31" s="37"/>
      <c r="K31" s="37"/>
      <c r="L31" s="37"/>
      <c r="M31" s="37"/>
      <c r="N31" s="37"/>
      <c r="O31" s="37"/>
    </row>
    <row r="32" spans="1:15" x14ac:dyDescent="0.2">
      <c r="A32" s="29"/>
      <c r="B32" s="29"/>
      <c r="C32" s="29"/>
      <c r="D32" s="29"/>
      <c r="E32" s="37"/>
      <c r="F32" s="37"/>
      <c r="G32" s="37"/>
      <c r="H32" s="37"/>
      <c r="I32" s="37"/>
      <c r="J32" s="37"/>
      <c r="K32" s="37"/>
      <c r="L32" s="37"/>
      <c r="M32" s="37"/>
      <c r="N32" s="37"/>
      <c r="O32" s="37"/>
    </row>
    <row r="33" spans="1:15" x14ac:dyDescent="0.2">
      <c r="A33" s="29"/>
      <c r="B33" s="29"/>
      <c r="C33" s="29"/>
      <c r="D33" s="29"/>
      <c r="E33" s="37"/>
      <c r="F33" s="37"/>
      <c r="G33" s="37"/>
      <c r="H33" s="37"/>
      <c r="I33" s="37"/>
      <c r="J33" s="37"/>
      <c r="K33" s="37"/>
      <c r="L33" s="37"/>
      <c r="M33" s="37"/>
      <c r="N33" s="37"/>
      <c r="O33" s="37"/>
    </row>
    <row r="34" spans="1:15" x14ac:dyDescent="0.2">
      <c r="A34" s="29"/>
      <c r="B34" s="29"/>
      <c r="C34" s="29"/>
      <c r="D34" s="29"/>
      <c r="E34" s="37"/>
      <c r="F34" s="37"/>
      <c r="G34" s="37"/>
      <c r="H34" s="37"/>
      <c r="I34" s="37"/>
      <c r="J34" s="37"/>
      <c r="K34" s="37"/>
      <c r="L34" s="37"/>
      <c r="M34" s="37"/>
      <c r="N34" s="37"/>
      <c r="O34" s="37"/>
    </row>
    <row r="35" spans="1:15" x14ac:dyDescent="0.2">
      <c r="A35" s="29"/>
      <c r="B35" s="29"/>
      <c r="C35" s="29"/>
      <c r="D35" s="29"/>
      <c r="E35" s="37"/>
      <c r="F35" s="37"/>
      <c r="G35" s="37"/>
      <c r="H35" s="37"/>
      <c r="I35" s="37"/>
      <c r="J35" s="37"/>
      <c r="K35" s="37"/>
      <c r="L35" s="37"/>
      <c r="M35" s="37"/>
      <c r="N35" s="37"/>
      <c r="O35" s="37"/>
    </row>
    <row r="36" spans="1:15" x14ac:dyDescent="0.2">
      <c r="A36" s="29"/>
      <c r="B36" s="29"/>
      <c r="C36" s="29"/>
      <c r="D36" s="29"/>
      <c r="E36" s="37"/>
      <c r="F36" s="37"/>
      <c r="G36" s="37"/>
      <c r="H36" s="37"/>
      <c r="I36" s="37"/>
      <c r="J36" s="37"/>
      <c r="K36" s="37"/>
      <c r="L36" s="37"/>
      <c r="M36" s="37"/>
      <c r="N36" s="37"/>
      <c r="O36" s="37"/>
    </row>
    <row r="37" spans="1:15" x14ac:dyDescent="0.2">
      <c r="A37" s="29"/>
      <c r="B37" s="29"/>
      <c r="C37" s="29"/>
      <c r="D37" s="29"/>
      <c r="E37" s="37"/>
      <c r="F37" s="37"/>
      <c r="G37" s="37"/>
      <c r="H37" s="37"/>
      <c r="I37" s="37"/>
      <c r="J37" s="37"/>
      <c r="K37" s="37"/>
      <c r="L37" s="37"/>
      <c r="M37" s="37"/>
      <c r="N37" s="37"/>
      <c r="O37" s="37"/>
    </row>
    <row r="38" spans="1:15" x14ac:dyDescent="0.2">
      <c r="A38" s="29"/>
      <c r="B38" s="29"/>
      <c r="C38" s="29"/>
      <c r="D38" s="29"/>
      <c r="E38" s="37"/>
      <c r="F38" s="37"/>
      <c r="G38" s="37"/>
      <c r="H38" s="37"/>
      <c r="I38" s="37"/>
      <c r="J38" s="37"/>
      <c r="K38" s="37"/>
      <c r="L38" s="37"/>
      <c r="M38" s="37"/>
      <c r="N38" s="37"/>
      <c r="O38" s="37"/>
    </row>
    <row r="39" spans="1:15" x14ac:dyDescent="0.2">
      <c r="A39" s="29"/>
      <c r="B39" s="29"/>
      <c r="C39" s="29"/>
      <c r="D39" s="29"/>
      <c r="E39" s="37"/>
      <c r="F39" s="37"/>
      <c r="G39" s="37"/>
      <c r="H39" s="37"/>
      <c r="I39" s="37"/>
      <c r="J39" s="37"/>
      <c r="K39" s="37"/>
      <c r="L39" s="37"/>
      <c r="M39" s="37"/>
      <c r="N39" s="37"/>
      <c r="O39" s="37"/>
    </row>
    <row r="40" spans="1:15" x14ac:dyDescent="0.2">
      <c r="A40" s="29"/>
      <c r="B40" s="29"/>
      <c r="C40" s="29"/>
      <c r="D40" s="29"/>
      <c r="E40" s="37"/>
      <c r="F40" s="37"/>
      <c r="G40" s="37"/>
      <c r="H40" s="37"/>
      <c r="I40" s="37"/>
      <c r="J40" s="37"/>
      <c r="K40" s="37"/>
      <c r="L40" s="37"/>
      <c r="M40" s="37"/>
      <c r="N40" s="37"/>
      <c r="O40" s="37"/>
    </row>
    <row r="41" spans="1:15" x14ac:dyDescent="0.2">
      <c r="A41" s="37"/>
      <c r="B41" s="37"/>
      <c r="C41" s="37"/>
      <c r="D41" s="37"/>
      <c r="E41" s="37"/>
      <c r="F41" s="37"/>
      <c r="G41" s="37"/>
      <c r="H41" s="37"/>
      <c r="I41" s="37"/>
      <c r="J41" s="37"/>
      <c r="K41" s="37"/>
      <c r="L41" s="37"/>
      <c r="M41" s="37"/>
      <c r="N41" s="37"/>
      <c r="O41" s="37"/>
    </row>
    <row r="42" spans="1:15" x14ac:dyDescent="0.2">
      <c r="A42" s="37"/>
      <c r="B42" s="37"/>
      <c r="C42" s="37"/>
      <c r="D42" s="37"/>
      <c r="E42" s="37"/>
      <c r="F42" s="37"/>
      <c r="G42" s="37"/>
      <c r="H42" s="37"/>
      <c r="I42" s="37"/>
      <c r="J42" s="37"/>
      <c r="K42" s="37"/>
      <c r="L42" s="37"/>
      <c r="M42" s="37"/>
      <c r="N42" s="37"/>
      <c r="O42" s="37"/>
    </row>
    <row r="43" spans="1:15" x14ac:dyDescent="0.2">
      <c r="A43" s="37"/>
      <c r="B43" s="37"/>
      <c r="C43" s="37"/>
      <c r="D43" s="37"/>
      <c r="E43" s="37"/>
      <c r="F43" s="37"/>
      <c r="G43" s="37"/>
      <c r="H43" s="37"/>
      <c r="I43" s="37"/>
      <c r="J43" s="37"/>
      <c r="K43" s="37"/>
      <c r="L43" s="37"/>
      <c r="M43" s="37"/>
      <c r="N43" s="37"/>
      <c r="O43" s="37"/>
    </row>
    <row r="44" spans="1:15" x14ac:dyDescent="0.2">
      <c r="A44" s="37"/>
      <c r="B44" s="37"/>
      <c r="C44" s="37"/>
      <c r="D44" s="37"/>
      <c r="E44" s="37"/>
      <c r="F44" s="37"/>
      <c r="G44" s="37"/>
      <c r="H44" s="37"/>
      <c r="I44" s="37"/>
      <c r="J44" s="37"/>
      <c r="K44" s="37"/>
      <c r="L44" s="37"/>
      <c r="M44" s="37"/>
      <c r="N44" s="37"/>
      <c r="O44" s="37"/>
    </row>
    <row r="45" spans="1:15" x14ac:dyDescent="0.2">
      <c r="A45" s="37"/>
      <c r="B45" s="37"/>
      <c r="C45" s="37"/>
      <c r="D45" s="37"/>
      <c r="E45" s="37"/>
      <c r="F45" s="37"/>
      <c r="G45" s="37"/>
      <c r="H45" s="37"/>
      <c r="I45" s="37"/>
      <c r="J45" s="37"/>
      <c r="K45" s="37"/>
      <c r="L45" s="37"/>
      <c r="M45" s="37"/>
      <c r="N45" s="37"/>
      <c r="O45" s="37"/>
    </row>
    <row r="46" spans="1:15" x14ac:dyDescent="0.2">
      <c r="A46" s="37"/>
      <c r="B46" s="37"/>
      <c r="C46" s="37"/>
      <c r="D46" s="37"/>
      <c r="E46" s="37"/>
      <c r="F46" s="37"/>
      <c r="G46" s="37"/>
      <c r="H46" s="37"/>
      <c r="I46" s="37"/>
      <c r="J46" s="37"/>
      <c r="K46" s="37"/>
      <c r="L46" s="37"/>
      <c r="M46" s="37"/>
      <c r="N46" s="37"/>
      <c r="O46" s="37"/>
    </row>
    <row r="47" spans="1:15" x14ac:dyDescent="0.2">
      <c r="A47" s="37"/>
      <c r="B47" s="37"/>
      <c r="C47" s="37"/>
      <c r="D47" s="37"/>
      <c r="E47" s="37"/>
      <c r="F47" s="37"/>
      <c r="G47" s="37"/>
      <c r="H47" s="37"/>
      <c r="I47" s="37"/>
      <c r="J47" s="37"/>
      <c r="K47" s="37"/>
      <c r="L47" s="37"/>
      <c r="M47" s="37"/>
      <c r="N47" s="37"/>
      <c r="O47" s="37"/>
    </row>
    <row r="48" spans="1:15" x14ac:dyDescent="0.2">
      <c r="A48" s="37"/>
      <c r="B48" s="37"/>
      <c r="C48" s="37"/>
      <c r="D48" s="37"/>
      <c r="E48" s="37"/>
      <c r="F48" s="37"/>
      <c r="G48" s="37"/>
      <c r="H48" s="37"/>
      <c r="I48" s="37"/>
      <c r="J48" s="37"/>
      <c r="K48" s="37"/>
      <c r="L48" s="37"/>
      <c r="M48" s="37"/>
      <c r="N48" s="37"/>
      <c r="O48" s="37"/>
    </row>
    <row r="49" spans="1:15" x14ac:dyDescent="0.2">
      <c r="A49" s="37"/>
      <c r="B49" s="37"/>
      <c r="C49" s="37"/>
      <c r="D49" s="37"/>
      <c r="E49" s="37"/>
      <c r="F49" s="37"/>
      <c r="G49" s="37"/>
      <c r="H49" s="37"/>
      <c r="I49" s="37"/>
      <c r="J49" s="37"/>
      <c r="K49" s="37"/>
      <c r="L49" s="37"/>
      <c r="M49" s="37"/>
      <c r="N49" s="37"/>
      <c r="O49" s="37"/>
    </row>
    <row r="50" spans="1:15" x14ac:dyDescent="0.2">
      <c r="A50" s="37"/>
      <c r="B50" s="37"/>
      <c r="C50" s="37"/>
      <c r="D50" s="37"/>
      <c r="E50" s="37"/>
      <c r="F50" s="37"/>
      <c r="G50" s="37"/>
      <c r="H50" s="37"/>
      <c r="I50" s="37"/>
      <c r="J50" s="37"/>
      <c r="K50" s="37"/>
      <c r="L50" s="37"/>
      <c r="M50" s="37"/>
      <c r="N50" s="37"/>
      <c r="O50" s="37"/>
    </row>
    <row r="51" spans="1:15" x14ac:dyDescent="0.2">
      <c r="A51" s="37"/>
      <c r="B51" s="37"/>
      <c r="C51" s="37"/>
      <c r="D51" s="37"/>
      <c r="E51" s="37"/>
      <c r="F51" s="37"/>
      <c r="G51" s="37"/>
      <c r="H51" s="37"/>
      <c r="I51" s="37"/>
      <c r="J51" s="37"/>
      <c r="K51" s="37"/>
      <c r="L51" s="37"/>
      <c r="M51" s="37"/>
      <c r="N51" s="37"/>
      <c r="O51" s="37"/>
    </row>
    <row r="52" spans="1:15" x14ac:dyDescent="0.2">
      <c r="A52" s="37"/>
      <c r="B52" s="37"/>
      <c r="C52" s="37"/>
      <c r="D52" s="37"/>
      <c r="E52" s="37"/>
      <c r="F52" s="37"/>
      <c r="G52" s="37"/>
      <c r="H52" s="37"/>
      <c r="I52" s="37"/>
      <c r="J52" s="37"/>
      <c r="K52" s="37"/>
      <c r="L52" s="37"/>
      <c r="M52" s="37"/>
      <c r="N52" s="37"/>
      <c r="O52" s="37"/>
    </row>
    <row r="53" spans="1:15" x14ac:dyDescent="0.2">
      <c r="A53" s="37"/>
      <c r="B53" s="37"/>
      <c r="C53" s="37"/>
      <c r="D53" s="37"/>
      <c r="E53" s="37"/>
      <c r="F53" s="37"/>
      <c r="G53" s="37"/>
      <c r="H53" s="37"/>
      <c r="I53" s="37"/>
      <c r="J53" s="37"/>
      <c r="K53" s="37"/>
      <c r="L53" s="37"/>
      <c r="M53" s="37"/>
      <c r="N53" s="37"/>
      <c r="O53" s="37"/>
    </row>
    <row r="54" spans="1:15" x14ac:dyDescent="0.2">
      <c r="A54" s="37"/>
      <c r="B54" s="37"/>
      <c r="C54" s="37"/>
      <c r="D54" s="37"/>
      <c r="E54" s="37"/>
      <c r="F54" s="37"/>
      <c r="G54" s="37"/>
      <c r="H54" s="37"/>
      <c r="I54" s="37"/>
      <c r="J54" s="37"/>
      <c r="K54" s="37"/>
      <c r="L54" s="37"/>
      <c r="M54" s="37"/>
      <c r="N54" s="37"/>
      <c r="O54" s="37"/>
    </row>
    <row r="55" spans="1:15" x14ac:dyDescent="0.2">
      <c r="A55" s="37"/>
      <c r="B55" s="37"/>
      <c r="C55" s="37"/>
      <c r="D55" s="37"/>
      <c r="E55" s="37"/>
      <c r="F55" s="37"/>
      <c r="G55" s="37"/>
      <c r="H55" s="37"/>
      <c r="I55" s="37"/>
      <c r="J55" s="37"/>
      <c r="K55" s="37"/>
      <c r="L55" s="37"/>
      <c r="M55" s="37"/>
      <c r="N55" s="37"/>
      <c r="O55" s="37"/>
    </row>
    <row r="56" spans="1:15" x14ac:dyDescent="0.2">
      <c r="A56" s="37"/>
      <c r="B56" s="37"/>
      <c r="C56" s="37"/>
      <c r="D56" s="37"/>
      <c r="E56" s="37"/>
      <c r="F56" s="37"/>
      <c r="G56" s="37"/>
      <c r="H56" s="37"/>
      <c r="I56" s="37"/>
      <c r="J56" s="37"/>
      <c r="K56" s="37"/>
      <c r="L56" s="37"/>
      <c r="M56" s="37"/>
      <c r="N56" s="37"/>
      <c r="O56" s="37"/>
    </row>
    <row r="57" spans="1:15" x14ac:dyDescent="0.2">
      <c r="A57" s="37"/>
      <c r="B57" s="37"/>
      <c r="C57" s="37"/>
      <c r="D57" s="37"/>
      <c r="E57" s="37"/>
      <c r="F57" s="37"/>
      <c r="G57" s="37"/>
      <c r="H57" s="37"/>
      <c r="I57" s="37"/>
      <c r="J57" s="37"/>
      <c r="K57" s="37"/>
      <c r="L57" s="37"/>
      <c r="M57" s="37"/>
      <c r="N57" s="37"/>
      <c r="O57" s="37"/>
    </row>
    <row r="58" spans="1:15" x14ac:dyDescent="0.2">
      <c r="A58" s="37"/>
      <c r="B58" s="37"/>
      <c r="C58" s="37"/>
      <c r="D58" s="37"/>
      <c r="E58" s="37"/>
      <c r="F58" s="37"/>
      <c r="G58" s="37"/>
      <c r="H58" s="37"/>
      <c r="I58" s="37"/>
      <c r="J58" s="37"/>
      <c r="K58" s="37"/>
      <c r="L58" s="37"/>
      <c r="M58" s="37"/>
      <c r="N58" s="37"/>
      <c r="O58" s="37"/>
    </row>
    <row r="59" spans="1:15" x14ac:dyDescent="0.2">
      <c r="A59" s="37"/>
      <c r="B59" s="37"/>
      <c r="C59" s="37"/>
      <c r="D59" s="37"/>
      <c r="E59" s="37"/>
      <c r="F59" s="37"/>
      <c r="G59" s="37"/>
      <c r="H59" s="37"/>
      <c r="I59" s="37"/>
      <c r="J59" s="37"/>
      <c r="K59" s="37"/>
      <c r="L59" s="37"/>
      <c r="M59" s="37"/>
      <c r="N59" s="37"/>
      <c r="O59" s="37"/>
    </row>
    <row r="60" spans="1:15" x14ac:dyDescent="0.2">
      <c r="A60" s="37"/>
      <c r="B60" s="37"/>
      <c r="C60" s="37"/>
      <c r="D60" s="37"/>
      <c r="E60" s="37"/>
      <c r="F60" s="37"/>
      <c r="G60" s="37"/>
      <c r="H60" s="37"/>
      <c r="I60" s="37"/>
      <c r="J60" s="37"/>
      <c r="K60" s="37"/>
      <c r="L60" s="37"/>
      <c r="M60" s="37"/>
      <c r="N60" s="37"/>
      <c r="O60" s="37"/>
    </row>
    <row r="61" spans="1:15" x14ac:dyDescent="0.2">
      <c r="A61" s="37"/>
      <c r="B61" s="37"/>
      <c r="C61" s="37"/>
      <c r="D61" s="37"/>
      <c r="E61" s="37"/>
      <c r="F61" s="37"/>
      <c r="G61" s="37"/>
      <c r="H61" s="37"/>
      <c r="I61" s="37"/>
      <c r="J61" s="37"/>
      <c r="K61" s="37"/>
      <c r="L61" s="37"/>
      <c r="M61" s="37"/>
      <c r="N61" s="37"/>
      <c r="O61" s="37"/>
    </row>
    <row r="62" spans="1:15" x14ac:dyDescent="0.2">
      <c r="A62" s="37"/>
      <c r="B62" s="37"/>
      <c r="C62" s="37"/>
      <c r="D62" s="37"/>
      <c r="E62" s="37"/>
      <c r="F62" s="37"/>
      <c r="G62" s="37"/>
      <c r="H62" s="37"/>
      <c r="I62" s="37"/>
      <c r="J62" s="37"/>
      <c r="K62" s="37"/>
      <c r="L62" s="37"/>
      <c r="M62" s="37"/>
      <c r="N62" s="37"/>
      <c r="O62" s="37"/>
    </row>
    <row r="63" spans="1:15" x14ac:dyDescent="0.2">
      <c r="A63" s="37"/>
      <c r="B63" s="37"/>
      <c r="C63" s="37"/>
      <c r="D63" s="37"/>
      <c r="E63" s="37"/>
      <c r="F63" s="37"/>
      <c r="G63" s="37"/>
      <c r="H63" s="37"/>
      <c r="I63" s="37"/>
      <c r="J63" s="37"/>
      <c r="K63" s="37"/>
      <c r="L63" s="37"/>
      <c r="M63" s="37"/>
      <c r="N63" s="37"/>
      <c r="O63" s="37"/>
    </row>
    <row r="64" spans="1:15" x14ac:dyDescent="0.2">
      <c r="A64" s="37"/>
      <c r="B64" s="37"/>
      <c r="C64" s="37"/>
      <c r="D64" s="37"/>
      <c r="E64" s="37"/>
      <c r="F64" s="37"/>
      <c r="G64" s="37"/>
      <c r="H64" s="37"/>
      <c r="I64" s="37"/>
      <c r="J64" s="37"/>
      <c r="K64" s="37"/>
      <c r="L64" s="37"/>
      <c r="M64" s="37"/>
      <c r="N64" s="37"/>
      <c r="O64" s="37"/>
    </row>
    <row r="65" spans="1:15" x14ac:dyDescent="0.2">
      <c r="A65" s="37"/>
      <c r="B65" s="37"/>
      <c r="C65" s="37"/>
      <c r="D65" s="37"/>
      <c r="E65" s="37"/>
      <c r="F65" s="37"/>
      <c r="G65" s="37"/>
      <c r="H65" s="37"/>
      <c r="I65" s="37"/>
      <c r="J65" s="37"/>
      <c r="K65" s="37"/>
      <c r="L65" s="37"/>
      <c r="M65" s="37"/>
      <c r="N65" s="37"/>
      <c r="O65" s="37"/>
    </row>
    <row r="66" spans="1:15" x14ac:dyDescent="0.2">
      <c r="A66" s="37"/>
      <c r="B66" s="37"/>
      <c r="C66" s="37"/>
      <c r="D66" s="37"/>
      <c r="E66" s="37"/>
      <c r="F66" s="37"/>
      <c r="G66" s="37"/>
      <c r="H66" s="37"/>
      <c r="I66" s="37"/>
      <c r="J66" s="37"/>
      <c r="K66" s="37"/>
      <c r="L66" s="37"/>
      <c r="M66" s="37"/>
      <c r="N66" s="37"/>
      <c r="O66" s="37"/>
    </row>
    <row r="67" spans="1:15" x14ac:dyDescent="0.2">
      <c r="A67" s="37"/>
      <c r="B67" s="37"/>
      <c r="C67" s="37"/>
      <c r="D67" s="37"/>
      <c r="E67" s="37"/>
      <c r="F67" s="37"/>
      <c r="G67" s="37"/>
      <c r="H67" s="37"/>
      <c r="I67" s="37"/>
      <c r="J67" s="37"/>
      <c r="K67" s="37"/>
      <c r="L67" s="37"/>
      <c r="M67" s="37"/>
      <c r="N67" s="37"/>
      <c r="O67" s="37"/>
    </row>
    <row r="68" spans="1:15" x14ac:dyDescent="0.2">
      <c r="A68" s="37"/>
      <c r="B68" s="37"/>
      <c r="C68" s="37"/>
      <c r="D68" s="37"/>
      <c r="E68" s="37"/>
      <c r="F68" s="37"/>
      <c r="G68" s="37"/>
      <c r="H68" s="37"/>
      <c r="I68" s="37"/>
      <c r="J68" s="37"/>
      <c r="K68" s="37"/>
      <c r="L68" s="37"/>
      <c r="M68" s="37"/>
      <c r="N68" s="37"/>
      <c r="O68" s="37"/>
    </row>
    <row r="69" spans="1:15" x14ac:dyDescent="0.2">
      <c r="A69" s="37"/>
      <c r="B69" s="37"/>
      <c r="C69" s="37"/>
      <c r="D69" s="37"/>
      <c r="E69" s="37"/>
      <c r="F69" s="37"/>
      <c r="G69" s="37"/>
      <c r="H69" s="37"/>
      <c r="I69" s="37"/>
      <c r="J69" s="37"/>
      <c r="K69" s="37"/>
      <c r="L69" s="37"/>
      <c r="M69" s="37"/>
      <c r="N69" s="37"/>
      <c r="O69" s="37"/>
    </row>
    <row r="70" spans="1:15" x14ac:dyDescent="0.2">
      <c r="A70" s="37"/>
      <c r="B70" s="37"/>
      <c r="C70" s="37"/>
      <c r="D70" s="37"/>
      <c r="E70" s="37"/>
      <c r="F70" s="37"/>
      <c r="G70" s="37"/>
      <c r="H70" s="37"/>
      <c r="I70" s="37"/>
      <c r="J70" s="37"/>
      <c r="K70" s="37"/>
      <c r="L70" s="37"/>
      <c r="M70" s="37"/>
      <c r="N70" s="37"/>
      <c r="O70" s="37"/>
    </row>
    <row r="71" spans="1:15" x14ac:dyDescent="0.2">
      <c r="A71" s="37"/>
      <c r="B71" s="37"/>
      <c r="C71" s="37"/>
      <c r="D71" s="37"/>
      <c r="E71" s="37"/>
      <c r="F71" s="37"/>
      <c r="G71" s="37"/>
      <c r="H71" s="37"/>
      <c r="I71" s="37"/>
      <c r="J71" s="37"/>
      <c r="K71" s="37"/>
      <c r="L71" s="37"/>
      <c r="M71" s="37"/>
      <c r="N71" s="37"/>
      <c r="O71" s="37"/>
    </row>
    <row r="72" spans="1:15" x14ac:dyDescent="0.2">
      <c r="A72" s="37"/>
      <c r="B72" s="37"/>
      <c r="C72" s="37"/>
      <c r="D72" s="37"/>
      <c r="E72" s="37"/>
      <c r="F72" s="37"/>
      <c r="G72" s="37"/>
      <c r="H72" s="37"/>
      <c r="I72" s="37"/>
      <c r="J72" s="37"/>
      <c r="K72" s="37"/>
      <c r="L72" s="37"/>
      <c r="M72" s="37"/>
      <c r="N72" s="37"/>
      <c r="O72" s="37"/>
    </row>
    <row r="73" spans="1:15" x14ac:dyDescent="0.2">
      <c r="A73" s="37"/>
      <c r="B73" s="37"/>
      <c r="C73" s="37"/>
      <c r="D73" s="37"/>
      <c r="E73" s="37"/>
      <c r="F73" s="37"/>
      <c r="G73" s="37"/>
      <c r="H73" s="37"/>
      <c r="I73" s="37"/>
      <c r="J73" s="37"/>
      <c r="K73" s="37"/>
      <c r="L73" s="37"/>
      <c r="M73" s="37"/>
      <c r="N73" s="37"/>
      <c r="O73" s="37"/>
    </row>
    <row r="74" spans="1:15" x14ac:dyDescent="0.2">
      <c r="A74" s="37"/>
      <c r="B74" s="37"/>
      <c r="C74" s="37"/>
      <c r="D74" s="37"/>
      <c r="E74" s="37"/>
      <c r="F74" s="37"/>
      <c r="G74" s="37"/>
      <c r="H74" s="37"/>
      <c r="I74" s="37"/>
      <c r="J74" s="37"/>
      <c r="K74" s="37"/>
      <c r="L74" s="37"/>
      <c r="M74" s="37"/>
      <c r="N74" s="37"/>
      <c r="O74" s="37"/>
    </row>
  </sheetData>
  <mergeCells count="4">
    <mergeCell ref="B1:D1"/>
    <mergeCell ref="A4:D4"/>
    <mergeCell ref="A18:D18"/>
    <mergeCell ref="A17:D17"/>
  </mergeCells>
  <phoneticPr fontId="65" type="noConversion"/>
  <pageMargins left="0.40583333300000002" right="0.12833333333333299" top="0.75" bottom="0.75" header="0.3" footer="0.3"/>
  <pageSetup scale="83" orientation="landscape" r:id="rId1"/>
  <headerFooter>
    <oddHeader>&amp;LAKIS A 2012</oddHeader>
    <oddFooter>&amp;LAmerican Indian Higher Education Consortium</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AQ102"/>
  <sheetViews>
    <sheetView topLeftCell="A13" zoomScaleNormal="100" workbookViewId="0">
      <selection activeCell="A45" sqref="A45:R45"/>
    </sheetView>
  </sheetViews>
  <sheetFormatPr defaultColWidth="9.140625" defaultRowHeight="12.75" x14ac:dyDescent="0.2"/>
  <cols>
    <col min="1" max="1" width="21.7109375" style="30" customWidth="1"/>
    <col min="2" max="2" width="14.42578125" style="30" customWidth="1"/>
    <col min="3" max="14" width="7.7109375" style="30" customWidth="1"/>
    <col min="15" max="18" width="7.7109375" style="37" customWidth="1"/>
    <col min="19" max="41" width="9.140625" style="37"/>
    <col min="42" max="16384" width="9.140625" style="30"/>
  </cols>
  <sheetData>
    <row r="1" spans="1:43" s="20" customFormat="1" ht="15.75" thickTop="1" x14ac:dyDescent="0.25">
      <c r="A1" s="380" t="s">
        <v>823</v>
      </c>
      <c r="B1" s="1720" t="str">
        <f>'1.1a Overall Instit. Profile'!B1</f>
        <v>Oglala Lakota College</v>
      </c>
      <c r="C1" s="1533"/>
      <c r="D1" s="1533"/>
      <c r="E1" s="1533"/>
      <c r="F1" s="1533"/>
      <c r="G1" s="1533"/>
      <c r="H1" s="1533"/>
      <c r="I1" s="1533"/>
      <c r="J1" s="1533"/>
      <c r="K1" s="1533"/>
      <c r="L1" s="1533"/>
      <c r="M1" s="1533"/>
      <c r="N1" s="1533"/>
      <c r="O1" s="1533"/>
      <c r="P1" s="1533"/>
      <c r="Q1" s="1533"/>
      <c r="R1" s="1534"/>
    </row>
    <row r="2" spans="1:43" ht="18.75" customHeight="1" x14ac:dyDescent="0.2">
      <c r="A2" s="1730" t="s">
        <v>846</v>
      </c>
      <c r="B2" s="1731"/>
      <c r="C2" s="1731"/>
      <c r="D2" s="1731"/>
      <c r="E2" s="1731"/>
      <c r="F2" s="1731"/>
      <c r="G2" s="1731"/>
      <c r="H2" s="1731"/>
      <c r="I2" s="1731"/>
      <c r="J2" s="1731"/>
      <c r="K2" s="1731"/>
      <c r="L2" s="1731"/>
      <c r="M2" s="1731"/>
      <c r="N2" s="1731"/>
      <c r="O2" s="1731"/>
      <c r="P2" s="1731"/>
      <c r="Q2" s="1731"/>
      <c r="R2" s="1732"/>
    </row>
    <row r="3" spans="1:43" ht="27" customHeight="1" x14ac:dyDescent="0.2">
      <c r="A3" s="1602" t="s">
        <v>434</v>
      </c>
      <c r="B3" s="1603"/>
      <c r="C3" s="1603"/>
      <c r="D3" s="1603"/>
      <c r="E3" s="1603"/>
      <c r="F3" s="1603"/>
      <c r="G3" s="1603"/>
      <c r="H3" s="1603"/>
      <c r="I3" s="1603"/>
      <c r="J3" s="1603"/>
      <c r="K3" s="1603"/>
      <c r="L3" s="1603"/>
      <c r="M3" s="1603"/>
      <c r="N3" s="1603"/>
      <c r="O3" s="1603"/>
      <c r="P3" s="1603"/>
      <c r="Q3" s="1603"/>
      <c r="R3" s="1604"/>
    </row>
    <row r="4" spans="1:43" ht="36" customHeight="1" x14ac:dyDescent="0.2">
      <c r="A4" s="1634" t="s">
        <v>157</v>
      </c>
      <c r="B4" s="1635"/>
      <c r="C4" s="1635"/>
      <c r="D4" s="1635"/>
      <c r="E4" s="1635"/>
      <c r="F4" s="1635"/>
      <c r="G4" s="1635"/>
      <c r="H4" s="1635"/>
      <c r="I4" s="1635"/>
      <c r="J4" s="1635"/>
      <c r="K4" s="1635"/>
      <c r="L4" s="1635"/>
      <c r="M4" s="1635"/>
      <c r="N4" s="1635"/>
      <c r="O4" s="1635"/>
      <c r="P4" s="1635"/>
      <c r="Q4" s="1635"/>
      <c r="R4" s="1636"/>
    </row>
    <row r="5" spans="1:43" ht="17.25" customHeight="1" x14ac:dyDescent="0.2">
      <c r="A5" s="1727" t="s">
        <v>158</v>
      </c>
      <c r="B5" s="1728"/>
      <c r="C5" s="1728"/>
      <c r="D5" s="1728"/>
      <c r="E5" s="1728"/>
      <c r="F5" s="1728"/>
      <c r="G5" s="1728"/>
      <c r="H5" s="1728"/>
      <c r="I5" s="1728"/>
      <c r="J5" s="1728"/>
      <c r="K5" s="1728"/>
      <c r="L5" s="1728"/>
      <c r="M5" s="1728"/>
      <c r="N5" s="1728"/>
      <c r="O5" s="1728"/>
      <c r="P5" s="1728"/>
      <c r="Q5" s="1728"/>
      <c r="R5" s="1729"/>
    </row>
    <row r="6" spans="1:43" ht="13.5" customHeight="1" x14ac:dyDescent="0.2">
      <c r="A6" s="1734" t="s">
        <v>153</v>
      </c>
      <c r="B6" s="1737" t="s">
        <v>159</v>
      </c>
      <c r="C6" s="1721" t="s">
        <v>423</v>
      </c>
      <c r="D6" s="1722"/>
      <c r="E6" s="1722"/>
      <c r="F6" s="1722"/>
      <c r="G6" s="1722"/>
      <c r="H6" s="1722"/>
      <c r="I6" s="1722"/>
      <c r="J6" s="1722"/>
      <c r="K6" s="1722"/>
      <c r="L6" s="1722"/>
      <c r="M6" s="1722"/>
      <c r="N6" s="1722"/>
      <c r="O6" s="1722"/>
      <c r="P6" s="1722"/>
      <c r="Q6" s="1722"/>
      <c r="R6" s="1723"/>
    </row>
    <row r="7" spans="1:43" x14ac:dyDescent="0.2">
      <c r="A7" s="1735"/>
      <c r="B7" s="1738"/>
      <c r="C7" s="1747" t="s">
        <v>473</v>
      </c>
      <c r="D7" s="1304"/>
      <c r="E7" s="1304"/>
      <c r="F7" s="1748"/>
      <c r="G7" s="1749" t="s">
        <v>474</v>
      </c>
      <c r="H7" s="1749"/>
      <c r="I7" s="1749"/>
      <c r="J7" s="1749"/>
      <c r="K7" s="1749" t="s">
        <v>557</v>
      </c>
      <c r="L7" s="1749"/>
      <c r="M7" s="1749"/>
      <c r="N7" s="1749"/>
      <c r="O7" s="1750" t="s">
        <v>475</v>
      </c>
      <c r="P7" s="1304"/>
      <c r="Q7" s="1304"/>
      <c r="R7" s="1751"/>
      <c r="AP7" s="37"/>
      <c r="AQ7" s="37"/>
    </row>
    <row r="8" spans="1:43" x14ac:dyDescent="0.2">
      <c r="A8" s="1735"/>
      <c r="B8" s="1738"/>
      <c r="C8" s="1724" t="s">
        <v>873</v>
      </c>
      <c r="D8" s="1725"/>
      <c r="E8" s="1725" t="s">
        <v>874</v>
      </c>
      <c r="F8" s="1726"/>
      <c r="G8" s="1724" t="s">
        <v>873</v>
      </c>
      <c r="H8" s="1725"/>
      <c r="I8" s="1725" t="s">
        <v>874</v>
      </c>
      <c r="J8" s="1726"/>
      <c r="K8" s="1724" t="s">
        <v>873</v>
      </c>
      <c r="L8" s="1725"/>
      <c r="M8" s="1725" t="s">
        <v>874</v>
      </c>
      <c r="N8" s="1726"/>
      <c r="O8" s="1724" t="s">
        <v>873</v>
      </c>
      <c r="P8" s="1725"/>
      <c r="Q8" s="1725" t="s">
        <v>874</v>
      </c>
      <c r="R8" s="1733"/>
      <c r="AP8" s="37"/>
      <c r="AQ8" s="37"/>
    </row>
    <row r="9" spans="1:43" x14ac:dyDescent="0.2">
      <c r="A9" s="1736"/>
      <c r="B9" s="1739"/>
      <c r="C9" s="982" t="s">
        <v>875</v>
      </c>
      <c r="D9" s="983" t="s">
        <v>876</v>
      </c>
      <c r="E9" s="985" t="s">
        <v>875</v>
      </c>
      <c r="F9" s="984" t="s">
        <v>876</v>
      </c>
      <c r="G9" s="982" t="s">
        <v>875</v>
      </c>
      <c r="H9" s="983" t="s">
        <v>876</v>
      </c>
      <c r="I9" s="985" t="s">
        <v>875</v>
      </c>
      <c r="J9" s="984" t="s">
        <v>876</v>
      </c>
      <c r="K9" s="982" t="s">
        <v>875</v>
      </c>
      <c r="L9" s="983" t="s">
        <v>876</v>
      </c>
      <c r="M9" s="985" t="s">
        <v>875</v>
      </c>
      <c r="N9" s="984" t="s">
        <v>876</v>
      </c>
      <c r="O9" s="982" t="s">
        <v>875</v>
      </c>
      <c r="P9" s="983" t="s">
        <v>876</v>
      </c>
      <c r="Q9" s="985" t="s">
        <v>875</v>
      </c>
      <c r="R9" s="986" t="s">
        <v>876</v>
      </c>
      <c r="AP9" s="37"/>
      <c r="AQ9" s="37"/>
    </row>
    <row r="10" spans="1:43" x14ac:dyDescent="0.2">
      <c r="A10" s="76"/>
      <c r="B10" s="378" t="s">
        <v>160</v>
      </c>
      <c r="C10" s="84">
        <v>0</v>
      </c>
      <c r="D10" s="248">
        <v>0</v>
      </c>
      <c r="E10" s="248">
        <v>0</v>
      </c>
      <c r="F10" s="648">
        <v>0</v>
      </c>
      <c r="G10" s="84">
        <v>88</v>
      </c>
      <c r="H10" s="248">
        <v>144</v>
      </c>
      <c r="I10" s="248">
        <v>1</v>
      </c>
      <c r="J10" s="648">
        <v>3</v>
      </c>
      <c r="K10" s="84" t="s">
        <v>605</v>
      </c>
      <c r="L10" s="248" t="s">
        <v>605</v>
      </c>
      <c r="M10" s="248" t="s">
        <v>605</v>
      </c>
      <c r="N10" s="648" t="s">
        <v>605</v>
      </c>
      <c r="O10" s="84">
        <v>81</v>
      </c>
      <c r="P10" s="248">
        <v>122</v>
      </c>
      <c r="Q10" s="248">
        <v>1</v>
      </c>
      <c r="R10" s="987">
        <v>5</v>
      </c>
      <c r="AP10" s="37"/>
      <c r="AQ10" s="37"/>
    </row>
    <row r="11" spans="1:43" x14ac:dyDescent="0.2">
      <c r="A11" s="76" t="str">
        <f>'5.1 Academic Core Curriculum'!A6</f>
        <v>English Composition I</v>
      </c>
      <c r="B11" s="746" t="s">
        <v>161</v>
      </c>
      <c r="C11" s="85">
        <v>0</v>
      </c>
      <c r="D11" s="381">
        <v>0</v>
      </c>
      <c r="E11" s="381">
        <v>0</v>
      </c>
      <c r="F11" s="971">
        <v>0</v>
      </c>
      <c r="G11" s="85">
        <v>51</v>
      </c>
      <c r="H11" s="381">
        <v>95</v>
      </c>
      <c r="I11" s="381">
        <v>1</v>
      </c>
      <c r="J11" s="971">
        <v>1</v>
      </c>
      <c r="K11" s="85" t="s">
        <v>605</v>
      </c>
      <c r="L11" s="381" t="s">
        <v>605</v>
      </c>
      <c r="M11" s="381" t="s">
        <v>605</v>
      </c>
      <c r="N11" s="971" t="s">
        <v>605</v>
      </c>
      <c r="O11" s="85">
        <v>32</v>
      </c>
      <c r="P11" s="381">
        <v>73</v>
      </c>
      <c r="Q11" s="381">
        <v>1</v>
      </c>
      <c r="R11" s="988">
        <v>3</v>
      </c>
      <c r="AP11" s="37"/>
      <c r="AQ11" s="37"/>
    </row>
    <row r="12" spans="1:43" x14ac:dyDescent="0.2">
      <c r="A12" s="77"/>
      <c r="B12" s="379" t="s">
        <v>162</v>
      </c>
      <c r="C12" s="972">
        <v>0</v>
      </c>
      <c r="D12" s="973">
        <v>0</v>
      </c>
      <c r="E12" s="973">
        <v>0</v>
      </c>
      <c r="F12" s="974">
        <v>0</v>
      </c>
      <c r="G12" s="972">
        <v>37</v>
      </c>
      <c r="H12" s="973">
        <v>49</v>
      </c>
      <c r="I12" s="973">
        <v>0</v>
      </c>
      <c r="J12" s="974">
        <v>2</v>
      </c>
      <c r="K12" s="972" t="s">
        <v>605</v>
      </c>
      <c r="L12" s="973" t="s">
        <v>605</v>
      </c>
      <c r="M12" s="973" t="s">
        <v>605</v>
      </c>
      <c r="N12" s="974" t="s">
        <v>605</v>
      </c>
      <c r="O12" s="972">
        <v>49</v>
      </c>
      <c r="P12" s="973">
        <v>49</v>
      </c>
      <c r="Q12" s="973">
        <v>0</v>
      </c>
      <c r="R12" s="989">
        <v>2</v>
      </c>
      <c r="AP12" s="37"/>
      <c r="AQ12" s="37"/>
    </row>
    <row r="13" spans="1:43" x14ac:dyDescent="0.2">
      <c r="A13" s="76"/>
      <c r="B13" s="378" t="s">
        <v>160</v>
      </c>
      <c r="C13" s="656">
        <v>1</v>
      </c>
      <c r="D13" s="975">
        <v>4</v>
      </c>
      <c r="E13" s="975">
        <v>0</v>
      </c>
      <c r="F13" s="657">
        <v>1</v>
      </c>
      <c r="G13" s="656">
        <v>61</v>
      </c>
      <c r="H13" s="975">
        <v>100</v>
      </c>
      <c r="I13" s="975">
        <v>0</v>
      </c>
      <c r="J13" s="657">
        <v>5</v>
      </c>
      <c r="K13" s="656" t="s">
        <v>605</v>
      </c>
      <c r="L13" s="975" t="s">
        <v>605</v>
      </c>
      <c r="M13" s="975" t="s">
        <v>605</v>
      </c>
      <c r="N13" s="657" t="s">
        <v>605</v>
      </c>
      <c r="O13" s="656">
        <v>59</v>
      </c>
      <c r="P13" s="975">
        <v>149</v>
      </c>
      <c r="Q13" s="975">
        <v>2</v>
      </c>
      <c r="R13" s="658">
        <v>4</v>
      </c>
      <c r="AP13" s="37"/>
      <c r="AQ13" s="37"/>
    </row>
    <row r="14" spans="1:43" x14ac:dyDescent="0.2">
      <c r="A14" s="76" t="str">
        <f>'5.1 Academic Core Curriculum'!A7</f>
        <v>English Composition II</v>
      </c>
      <c r="B14" s="746" t="s">
        <v>161</v>
      </c>
      <c r="C14" s="976">
        <v>1</v>
      </c>
      <c r="D14" s="977">
        <v>3</v>
      </c>
      <c r="E14" s="977">
        <v>0</v>
      </c>
      <c r="F14" s="978">
        <v>1</v>
      </c>
      <c r="G14" s="976">
        <v>21</v>
      </c>
      <c r="H14" s="977">
        <v>51</v>
      </c>
      <c r="I14" s="977">
        <v>0</v>
      </c>
      <c r="J14" s="978">
        <v>5</v>
      </c>
      <c r="K14" s="976" t="s">
        <v>605</v>
      </c>
      <c r="L14" s="977" t="s">
        <v>605</v>
      </c>
      <c r="M14" s="977" t="s">
        <v>605</v>
      </c>
      <c r="N14" s="978" t="s">
        <v>605</v>
      </c>
      <c r="O14" s="976">
        <v>26</v>
      </c>
      <c r="P14" s="977">
        <v>81</v>
      </c>
      <c r="Q14" s="977">
        <v>1</v>
      </c>
      <c r="R14" s="990">
        <v>3</v>
      </c>
      <c r="AP14" s="37"/>
      <c r="AQ14" s="37"/>
    </row>
    <row r="15" spans="1:43" x14ac:dyDescent="0.2">
      <c r="A15" s="77"/>
      <c r="B15" s="379" t="s">
        <v>162</v>
      </c>
      <c r="C15" s="979">
        <v>0</v>
      </c>
      <c r="D15" s="980">
        <v>1</v>
      </c>
      <c r="E15" s="980">
        <v>9</v>
      </c>
      <c r="F15" s="981">
        <v>0</v>
      </c>
      <c r="G15" s="979">
        <v>40</v>
      </c>
      <c r="H15" s="980">
        <v>49</v>
      </c>
      <c r="I15" s="980">
        <v>0</v>
      </c>
      <c r="J15" s="981">
        <v>0</v>
      </c>
      <c r="K15" s="979" t="s">
        <v>605</v>
      </c>
      <c r="L15" s="980" t="s">
        <v>605</v>
      </c>
      <c r="M15" s="980" t="s">
        <v>605</v>
      </c>
      <c r="N15" s="981" t="s">
        <v>605</v>
      </c>
      <c r="O15" s="979">
        <v>33</v>
      </c>
      <c r="P15" s="980">
        <v>68</v>
      </c>
      <c r="Q15" s="980">
        <v>1</v>
      </c>
      <c r="R15" s="991">
        <v>1</v>
      </c>
      <c r="AP15" s="37"/>
      <c r="AQ15" s="37"/>
    </row>
    <row r="16" spans="1:43" x14ac:dyDescent="0.2">
      <c r="A16" s="76"/>
      <c r="B16" s="378" t="s">
        <v>160</v>
      </c>
      <c r="C16" s="656">
        <v>4</v>
      </c>
      <c r="D16" s="975">
        <v>4</v>
      </c>
      <c r="E16" s="975">
        <v>0</v>
      </c>
      <c r="F16" s="657">
        <v>1</v>
      </c>
      <c r="G16" s="656">
        <v>88</v>
      </c>
      <c r="H16" s="975">
        <v>156</v>
      </c>
      <c r="I16" s="975">
        <v>1</v>
      </c>
      <c r="J16" s="657">
        <v>4</v>
      </c>
      <c r="K16" s="656" t="s">
        <v>605</v>
      </c>
      <c r="L16" s="975" t="s">
        <v>605</v>
      </c>
      <c r="M16" s="975" t="s">
        <v>605</v>
      </c>
      <c r="N16" s="657" t="s">
        <v>605</v>
      </c>
      <c r="O16" s="656">
        <v>93</v>
      </c>
      <c r="P16" s="975">
        <v>152</v>
      </c>
      <c r="Q16" s="975">
        <v>2</v>
      </c>
      <c r="R16" s="658">
        <v>6</v>
      </c>
      <c r="AP16" s="37"/>
      <c r="AQ16" s="37"/>
    </row>
    <row r="17" spans="1:43" x14ac:dyDescent="0.2">
      <c r="A17" s="76" t="str">
        <f>'5.1 Academic Core Curriculum'!A8</f>
        <v>Communications</v>
      </c>
      <c r="B17" s="746" t="s">
        <v>161</v>
      </c>
      <c r="C17" s="976">
        <v>4</v>
      </c>
      <c r="D17" s="977">
        <v>4</v>
      </c>
      <c r="E17" s="977">
        <v>0</v>
      </c>
      <c r="F17" s="978">
        <v>1</v>
      </c>
      <c r="G17" s="976">
        <v>53</v>
      </c>
      <c r="H17" s="977">
        <v>46</v>
      </c>
      <c r="I17" s="977">
        <v>1</v>
      </c>
      <c r="J17" s="978">
        <v>4</v>
      </c>
      <c r="K17" s="976" t="s">
        <v>605</v>
      </c>
      <c r="L17" s="977" t="s">
        <v>605</v>
      </c>
      <c r="M17" s="977" t="s">
        <v>605</v>
      </c>
      <c r="N17" s="978" t="s">
        <v>605</v>
      </c>
      <c r="O17" s="976">
        <v>47</v>
      </c>
      <c r="P17" s="977">
        <v>91</v>
      </c>
      <c r="Q17" s="977">
        <v>2</v>
      </c>
      <c r="R17" s="990">
        <v>5</v>
      </c>
      <c r="AP17" s="37"/>
      <c r="AQ17" s="37"/>
    </row>
    <row r="18" spans="1:43" x14ac:dyDescent="0.2">
      <c r="A18" s="77"/>
      <c r="B18" s="379" t="s">
        <v>162</v>
      </c>
      <c r="C18" s="979">
        <v>0</v>
      </c>
      <c r="D18" s="980">
        <v>0</v>
      </c>
      <c r="E18" s="980">
        <v>0</v>
      </c>
      <c r="F18" s="981">
        <v>0</v>
      </c>
      <c r="G18" s="979">
        <v>35</v>
      </c>
      <c r="H18" s="980">
        <v>60</v>
      </c>
      <c r="I18" s="980">
        <v>0</v>
      </c>
      <c r="J18" s="981">
        <v>0</v>
      </c>
      <c r="K18" s="979" t="s">
        <v>605</v>
      </c>
      <c r="L18" s="980" t="s">
        <v>605</v>
      </c>
      <c r="M18" s="980" t="s">
        <v>605</v>
      </c>
      <c r="N18" s="981" t="s">
        <v>605</v>
      </c>
      <c r="O18" s="979">
        <v>46</v>
      </c>
      <c r="P18" s="980">
        <v>61</v>
      </c>
      <c r="Q18" s="980">
        <v>0</v>
      </c>
      <c r="R18" s="991">
        <v>1</v>
      </c>
      <c r="AP18" s="37"/>
      <c r="AQ18" s="37"/>
    </row>
    <row r="19" spans="1:43" x14ac:dyDescent="0.2">
      <c r="A19" s="76"/>
      <c r="B19" s="378" t="s">
        <v>160</v>
      </c>
      <c r="C19" s="656">
        <v>2</v>
      </c>
      <c r="D19" s="975">
        <v>8</v>
      </c>
      <c r="E19" s="975">
        <v>0</v>
      </c>
      <c r="F19" s="657">
        <v>0</v>
      </c>
      <c r="G19" s="656">
        <v>67</v>
      </c>
      <c r="H19" s="975">
        <v>128</v>
      </c>
      <c r="I19" s="975">
        <v>1</v>
      </c>
      <c r="J19" s="657">
        <v>4</v>
      </c>
      <c r="K19" s="656" t="s">
        <v>605</v>
      </c>
      <c r="L19" s="975" t="s">
        <v>605</v>
      </c>
      <c r="M19" s="975" t="s">
        <v>605</v>
      </c>
      <c r="N19" s="657" t="s">
        <v>605</v>
      </c>
      <c r="O19" s="656">
        <v>56</v>
      </c>
      <c r="P19" s="975">
        <v>132</v>
      </c>
      <c r="Q19" s="975">
        <v>1</v>
      </c>
      <c r="R19" s="658">
        <v>2</v>
      </c>
      <c r="AP19" s="37"/>
      <c r="AQ19" s="37"/>
    </row>
    <row r="20" spans="1:43" x14ac:dyDescent="0.2">
      <c r="A20" s="76" t="str">
        <f>'5.1 Academic Core Curriculum'!A9</f>
        <v>College Mathematics</v>
      </c>
      <c r="B20" s="746" t="s">
        <v>161</v>
      </c>
      <c r="C20" s="976">
        <v>2</v>
      </c>
      <c r="D20" s="977">
        <v>8</v>
      </c>
      <c r="E20" s="977">
        <v>0</v>
      </c>
      <c r="F20" s="978">
        <v>0</v>
      </c>
      <c r="G20" s="976">
        <v>29</v>
      </c>
      <c r="H20" s="977">
        <v>72</v>
      </c>
      <c r="I20" s="977">
        <v>0</v>
      </c>
      <c r="J20" s="978">
        <v>2</v>
      </c>
      <c r="K20" s="976" t="s">
        <v>605</v>
      </c>
      <c r="L20" s="977" t="s">
        <v>605</v>
      </c>
      <c r="M20" s="977" t="s">
        <v>605</v>
      </c>
      <c r="N20" s="978" t="s">
        <v>605</v>
      </c>
      <c r="O20" s="976">
        <v>18</v>
      </c>
      <c r="P20" s="977">
        <v>55</v>
      </c>
      <c r="Q20" s="977">
        <v>0</v>
      </c>
      <c r="R20" s="990">
        <v>1</v>
      </c>
      <c r="AP20" s="37"/>
      <c r="AQ20" s="37"/>
    </row>
    <row r="21" spans="1:43" x14ac:dyDescent="0.2">
      <c r="A21" s="77"/>
      <c r="B21" s="379" t="s">
        <v>162</v>
      </c>
      <c r="C21" s="979">
        <v>0</v>
      </c>
      <c r="D21" s="980">
        <v>0</v>
      </c>
      <c r="E21" s="980">
        <v>0</v>
      </c>
      <c r="F21" s="981">
        <v>0</v>
      </c>
      <c r="G21" s="979">
        <v>38</v>
      </c>
      <c r="H21" s="980">
        <v>56</v>
      </c>
      <c r="I21" s="980">
        <v>1</v>
      </c>
      <c r="J21" s="981">
        <v>2</v>
      </c>
      <c r="K21" s="979" t="s">
        <v>605</v>
      </c>
      <c r="L21" s="980" t="s">
        <v>605</v>
      </c>
      <c r="M21" s="980" t="s">
        <v>605</v>
      </c>
      <c r="N21" s="981" t="s">
        <v>605</v>
      </c>
      <c r="O21" s="979">
        <v>38</v>
      </c>
      <c r="P21" s="980">
        <v>77</v>
      </c>
      <c r="Q21" s="980">
        <v>1</v>
      </c>
      <c r="R21" s="991">
        <v>1</v>
      </c>
      <c r="AP21" s="37"/>
      <c r="AQ21" s="37"/>
    </row>
    <row r="22" spans="1:43" x14ac:dyDescent="0.2">
      <c r="A22" s="76"/>
      <c r="B22" s="378" t="s">
        <v>160</v>
      </c>
      <c r="C22" s="742">
        <v>5</v>
      </c>
      <c r="D22" s="94">
        <v>11</v>
      </c>
      <c r="E22" s="94">
        <v>0</v>
      </c>
      <c r="F22" s="743">
        <v>0</v>
      </c>
      <c r="G22" s="742">
        <v>78</v>
      </c>
      <c r="H22" s="94">
        <v>117</v>
      </c>
      <c r="I22" s="94">
        <v>0</v>
      </c>
      <c r="J22" s="743">
        <v>1</v>
      </c>
      <c r="K22" s="742" t="s">
        <v>605</v>
      </c>
      <c r="L22" s="94" t="s">
        <v>605</v>
      </c>
      <c r="M22" s="94" t="s">
        <v>605</v>
      </c>
      <c r="N22" s="743" t="s">
        <v>605</v>
      </c>
      <c r="O22" s="742">
        <v>87</v>
      </c>
      <c r="P22" s="94">
        <v>140</v>
      </c>
      <c r="Q22" s="94">
        <v>0</v>
      </c>
      <c r="R22" s="992">
        <v>5</v>
      </c>
      <c r="AP22" s="37"/>
      <c r="AQ22" s="37"/>
    </row>
    <row r="23" spans="1:43" x14ac:dyDescent="0.2">
      <c r="A23" s="76" t="str">
        <f>'5.1 Academic Core Curriculum'!A10</f>
        <v>Introduction to Computers</v>
      </c>
      <c r="B23" s="746" t="s">
        <v>161</v>
      </c>
      <c r="C23" s="85">
        <v>3</v>
      </c>
      <c r="D23" s="381">
        <v>10</v>
      </c>
      <c r="E23" s="381">
        <v>0</v>
      </c>
      <c r="F23" s="971">
        <v>0</v>
      </c>
      <c r="G23" s="85">
        <v>42</v>
      </c>
      <c r="H23" s="381">
        <v>61</v>
      </c>
      <c r="I23" s="381">
        <v>0</v>
      </c>
      <c r="J23" s="971">
        <v>0</v>
      </c>
      <c r="K23" s="85" t="s">
        <v>605</v>
      </c>
      <c r="L23" s="381" t="s">
        <v>605</v>
      </c>
      <c r="M23" s="381" t="s">
        <v>605</v>
      </c>
      <c r="N23" s="971" t="s">
        <v>605</v>
      </c>
      <c r="O23" s="85">
        <v>38</v>
      </c>
      <c r="P23" s="381">
        <v>71</v>
      </c>
      <c r="Q23" s="381">
        <v>0</v>
      </c>
      <c r="R23" s="988">
        <v>4</v>
      </c>
      <c r="AP23" s="37"/>
      <c r="AQ23" s="37"/>
    </row>
    <row r="24" spans="1:43" x14ac:dyDescent="0.2">
      <c r="A24" s="77"/>
      <c r="B24" s="379" t="s">
        <v>162</v>
      </c>
      <c r="C24" s="972">
        <v>2</v>
      </c>
      <c r="D24" s="973">
        <v>1</v>
      </c>
      <c r="E24" s="973">
        <v>0</v>
      </c>
      <c r="F24" s="974">
        <v>0</v>
      </c>
      <c r="G24" s="972">
        <v>36</v>
      </c>
      <c r="H24" s="973">
        <v>56</v>
      </c>
      <c r="I24" s="973">
        <v>0</v>
      </c>
      <c r="J24" s="974">
        <v>1</v>
      </c>
      <c r="K24" s="972" t="s">
        <v>605</v>
      </c>
      <c r="L24" s="973" t="s">
        <v>605</v>
      </c>
      <c r="M24" s="973" t="s">
        <v>605</v>
      </c>
      <c r="N24" s="974" t="s">
        <v>605</v>
      </c>
      <c r="O24" s="972">
        <v>49</v>
      </c>
      <c r="P24" s="973">
        <v>69</v>
      </c>
      <c r="Q24" s="973">
        <v>0</v>
      </c>
      <c r="R24" s="989">
        <v>1</v>
      </c>
      <c r="AP24" s="37"/>
      <c r="AQ24" s="37"/>
    </row>
    <row r="25" spans="1:43" x14ac:dyDescent="0.2">
      <c r="A25" s="76"/>
      <c r="B25" s="378" t="s">
        <v>160</v>
      </c>
      <c r="C25" s="742">
        <v>5</v>
      </c>
      <c r="D25" s="94">
        <v>10</v>
      </c>
      <c r="E25" s="94">
        <v>0</v>
      </c>
      <c r="F25" s="743">
        <v>0</v>
      </c>
      <c r="G25" s="742">
        <v>140</v>
      </c>
      <c r="H25" s="94">
        <v>212</v>
      </c>
      <c r="I25" s="94">
        <v>4</v>
      </c>
      <c r="J25" s="743">
        <v>8</v>
      </c>
      <c r="K25" s="742" t="s">
        <v>605</v>
      </c>
      <c r="L25" s="94" t="s">
        <v>605</v>
      </c>
      <c r="M25" s="94" t="s">
        <v>605</v>
      </c>
      <c r="N25" s="743" t="s">
        <v>605</v>
      </c>
      <c r="O25" s="742">
        <v>97</v>
      </c>
      <c r="P25" s="94">
        <v>125</v>
      </c>
      <c r="Q25" s="94">
        <v>2</v>
      </c>
      <c r="R25" s="992">
        <v>10</v>
      </c>
      <c r="AP25" s="37"/>
      <c r="AQ25" s="37"/>
    </row>
    <row r="26" spans="1:43" x14ac:dyDescent="0.2">
      <c r="A26" s="76" t="str">
        <f>'5.1 Academic Core Curriculum'!A11</f>
        <v>Native American Studies</v>
      </c>
      <c r="B26" s="746" t="s">
        <v>161</v>
      </c>
      <c r="C26" s="85">
        <v>5</v>
      </c>
      <c r="D26" s="381">
        <v>10</v>
      </c>
      <c r="E26" s="381">
        <v>0</v>
      </c>
      <c r="F26" s="383">
        <v>0</v>
      </c>
      <c r="G26" s="85">
        <v>75</v>
      </c>
      <c r="H26" s="381">
        <v>133</v>
      </c>
      <c r="I26" s="381">
        <v>2</v>
      </c>
      <c r="J26" s="971">
        <v>6</v>
      </c>
      <c r="K26" s="85" t="s">
        <v>605</v>
      </c>
      <c r="L26" s="381" t="s">
        <v>605</v>
      </c>
      <c r="M26" s="381" t="s">
        <v>605</v>
      </c>
      <c r="N26" s="971" t="s">
        <v>605</v>
      </c>
      <c r="O26" s="85">
        <v>43</v>
      </c>
      <c r="P26" s="381">
        <v>74</v>
      </c>
      <c r="Q26" s="381">
        <v>2</v>
      </c>
      <c r="R26" s="988">
        <v>10</v>
      </c>
      <c r="AP26" s="37"/>
      <c r="AQ26" s="37"/>
    </row>
    <row r="27" spans="1:43" x14ac:dyDescent="0.2">
      <c r="A27" s="77"/>
      <c r="B27" s="379" t="s">
        <v>162</v>
      </c>
      <c r="C27" s="972">
        <v>0</v>
      </c>
      <c r="D27" s="973">
        <v>0</v>
      </c>
      <c r="E27" s="973">
        <v>0</v>
      </c>
      <c r="F27" s="974">
        <v>0</v>
      </c>
      <c r="G27" s="972">
        <v>65</v>
      </c>
      <c r="H27" s="973">
        <v>79</v>
      </c>
      <c r="I27" s="973">
        <v>2</v>
      </c>
      <c r="J27" s="974">
        <v>2</v>
      </c>
      <c r="K27" s="972" t="s">
        <v>605</v>
      </c>
      <c r="L27" s="973" t="s">
        <v>605</v>
      </c>
      <c r="M27" s="973" t="s">
        <v>605</v>
      </c>
      <c r="N27" s="974" t="s">
        <v>605</v>
      </c>
      <c r="O27" s="972">
        <v>54</v>
      </c>
      <c r="P27" s="973">
        <v>51</v>
      </c>
      <c r="Q27" s="973">
        <v>0</v>
      </c>
      <c r="R27" s="989">
        <v>0</v>
      </c>
      <c r="AP27" s="37"/>
      <c r="AQ27" s="37"/>
    </row>
    <row r="28" spans="1:43" x14ac:dyDescent="0.2">
      <c r="A28" s="74"/>
      <c r="B28" s="378" t="s">
        <v>160</v>
      </c>
      <c r="C28" s="84">
        <v>1</v>
      </c>
      <c r="D28" s="248">
        <v>7</v>
      </c>
      <c r="E28" s="248">
        <v>0</v>
      </c>
      <c r="F28" s="971">
        <v>0</v>
      </c>
      <c r="G28" s="84">
        <v>31</v>
      </c>
      <c r="H28" s="248">
        <v>71</v>
      </c>
      <c r="I28" s="248">
        <v>0</v>
      </c>
      <c r="J28" s="648">
        <v>3</v>
      </c>
      <c r="K28" s="84" t="s">
        <v>605</v>
      </c>
      <c r="L28" s="248" t="s">
        <v>605</v>
      </c>
      <c r="M28" s="248" t="s">
        <v>605</v>
      </c>
      <c r="N28" s="648" t="s">
        <v>605</v>
      </c>
      <c r="O28" s="84">
        <v>49</v>
      </c>
      <c r="P28" s="248">
        <v>100</v>
      </c>
      <c r="Q28" s="248">
        <v>1</v>
      </c>
      <c r="R28" s="987">
        <v>3</v>
      </c>
      <c r="AP28" s="37"/>
      <c r="AQ28" s="37"/>
    </row>
    <row r="29" spans="1:43" x14ac:dyDescent="0.2">
      <c r="A29" s="74" t="str">
        <f>IF('5.1 Academic Core Curriculum'!A12=0,"",'5.1 Academic Core Curriculum'!A12)</f>
        <v>Lakota Language II</v>
      </c>
      <c r="B29" s="746" t="s">
        <v>161</v>
      </c>
      <c r="C29" s="85">
        <v>1</v>
      </c>
      <c r="D29" s="381">
        <v>7</v>
      </c>
      <c r="E29" s="381">
        <v>0</v>
      </c>
      <c r="F29" s="971">
        <v>0</v>
      </c>
      <c r="G29" s="85">
        <v>19</v>
      </c>
      <c r="H29" s="381">
        <v>51</v>
      </c>
      <c r="I29" s="381">
        <v>0</v>
      </c>
      <c r="J29" s="971">
        <v>3</v>
      </c>
      <c r="K29" s="85" t="s">
        <v>605</v>
      </c>
      <c r="L29" s="381" t="s">
        <v>605</v>
      </c>
      <c r="M29" s="381" t="s">
        <v>605</v>
      </c>
      <c r="N29" s="971" t="s">
        <v>605</v>
      </c>
      <c r="O29" s="85">
        <v>34</v>
      </c>
      <c r="P29" s="381">
        <v>70</v>
      </c>
      <c r="Q29" s="381">
        <v>1</v>
      </c>
      <c r="R29" s="988">
        <v>1</v>
      </c>
      <c r="AP29" s="37"/>
      <c r="AQ29" s="37"/>
    </row>
    <row r="30" spans="1:43" x14ac:dyDescent="0.2">
      <c r="A30" s="75"/>
      <c r="B30" s="379" t="s">
        <v>162</v>
      </c>
      <c r="C30" s="86">
        <v>0</v>
      </c>
      <c r="D30" s="82">
        <v>0</v>
      </c>
      <c r="E30" s="82">
        <v>0</v>
      </c>
      <c r="F30" s="649">
        <v>0</v>
      </c>
      <c r="G30" s="86">
        <v>12</v>
      </c>
      <c r="H30" s="82">
        <v>20</v>
      </c>
      <c r="I30" s="82">
        <v>0</v>
      </c>
      <c r="J30" s="649">
        <v>0</v>
      </c>
      <c r="K30" s="86" t="s">
        <v>605</v>
      </c>
      <c r="L30" s="82" t="s">
        <v>605</v>
      </c>
      <c r="M30" s="82" t="s">
        <v>605</v>
      </c>
      <c r="N30" s="649" t="s">
        <v>605</v>
      </c>
      <c r="O30" s="86">
        <v>15</v>
      </c>
      <c r="P30" s="82">
        <v>30</v>
      </c>
      <c r="Q30" s="82">
        <v>0</v>
      </c>
      <c r="R30" s="993">
        <v>2</v>
      </c>
      <c r="AP30" s="37"/>
      <c r="AQ30" s="37"/>
    </row>
    <row r="31" spans="1:43" x14ac:dyDescent="0.2">
      <c r="A31" s="74"/>
      <c r="B31" s="378" t="s">
        <v>160</v>
      </c>
      <c r="C31" s="84">
        <v>5</v>
      </c>
      <c r="D31" s="248">
        <v>13</v>
      </c>
      <c r="E31" s="248">
        <v>0</v>
      </c>
      <c r="F31" s="648">
        <v>0</v>
      </c>
      <c r="G31" s="84">
        <v>97</v>
      </c>
      <c r="H31" s="248">
        <v>167</v>
      </c>
      <c r="I31" s="248">
        <v>10</v>
      </c>
      <c r="J31" s="648">
        <v>10</v>
      </c>
      <c r="K31" s="84" t="s">
        <v>605</v>
      </c>
      <c r="L31" s="248" t="s">
        <v>605</v>
      </c>
      <c r="M31" s="248" t="s">
        <v>605</v>
      </c>
      <c r="N31" s="648" t="s">
        <v>605</v>
      </c>
      <c r="O31" s="84">
        <v>94</v>
      </c>
      <c r="P31" s="248">
        <v>133</v>
      </c>
      <c r="Q31" s="248">
        <v>1</v>
      </c>
      <c r="R31" s="987">
        <v>2</v>
      </c>
      <c r="AP31" s="37"/>
      <c r="AQ31" s="37"/>
    </row>
    <row r="32" spans="1:43" x14ac:dyDescent="0.2">
      <c r="A32" s="74" t="str">
        <f>IF('5.1 Academic Core Curriculum'!A13=0,"",'5.1 Academic Core Curriculum'!A13)</f>
        <v xml:space="preserve">Lakota Culture </v>
      </c>
      <c r="B32" s="746" t="s">
        <v>161</v>
      </c>
      <c r="C32" s="85">
        <v>5</v>
      </c>
      <c r="D32" s="381">
        <v>13</v>
      </c>
      <c r="E32" s="381">
        <v>0</v>
      </c>
      <c r="F32" s="971">
        <v>0</v>
      </c>
      <c r="G32" s="85">
        <v>55</v>
      </c>
      <c r="H32" s="381">
        <v>111</v>
      </c>
      <c r="I32" s="381">
        <v>8</v>
      </c>
      <c r="J32" s="971">
        <v>10</v>
      </c>
      <c r="K32" s="85" t="s">
        <v>605</v>
      </c>
      <c r="L32" s="381" t="s">
        <v>605</v>
      </c>
      <c r="M32" s="381" t="s">
        <v>605</v>
      </c>
      <c r="N32" s="971" t="s">
        <v>605</v>
      </c>
      <c r="O32" s="85">
        <v>34</v>
      </c>
      <c r="P32" s="381">
        <v>66</v>
      </c>
      <c r="Q32" s="381">
        <v>1</v>
      </c>
      <c r="R32" s="988">
        <v>1</v>
      </c>
      <c r="AP32" s="37"/>
      <c r="AQ32" s="37"/>
    </row>
    <row r="33" spans="1:43" x14ac:dyDescent="0.2">
      <c r="A33" s="75"/>
      <c r="B33" s="379" t="s">
        <v>162</v>
      </c>
      <c r="C33" s="86">
        <v>0</v>
      </c>
      <c r="D33" s="82">
        <v>0</v>
      </c>
      <c r="E33" s="82">
        <v>0</v>
      </c>
      <c r="F33" s="649">
        <v>0</v>
      </c>
      <c r="G33" s="86">
        <v>42</v>
      </c>
      <c r="H33" s="82">
        <v>56</v>
      </c>
      <c r="I33" s="82">
        <v>2</v>
      </c>
      <c r="J33" s="649">
        <v>0</v>
      </c>
      <c r="K33" s="86" t="s">
        <v>605</v>
      </c>
      <c r="L33" s="82" t="s">
        <v>605</v>
      </c>
      <c r="M33" s="82" t="s">
        <v>605</v>
      </c>
      <c r="N33" s="649" t="s">
        <v>605</v>
      </c>
      <c r="O33" s="86">
        <v>60</v>
      </c>
      <c r="P33" s="82">
        <v>67</v>
      </c>
      <c r="Q33" s="82">
        <v>0</v>
      </c>
      <c r="R33" s="993">
        <v>1</v>
      </c>
      <c r="AP33" s="37"/>
      <c r="AQ33" s="37"/>
    </row>
    <row r="34" spans="1:43" x14ac:dyDescent="0.2">
      <c r="A34" s="74"/>
      <c r="B34" s="378" t="s">
        <v>160</v>
      </c>
      <c r="C34" s="84">
        <v>0</v>
      </c>
      <c r="D34" s="248">
        <v>0</v>
      </c>
      <c r="E34" s="248">
        <v>0</v>
      </c>
      <c r="F34" s="648">
        <v>0</v>
      </c>
      <c r="G34" s="84">
        <v>0</v>
      </c>
      <c r="H34" s="248">
        <v>0</v>
      </c>
      <c r="I34" s="248">
        <v>0</v>
      </c>
      <c r="J34" s="648">
        <v>0</v>
      </c>
      <c r="K34" s="84" t="s">
        <v>605</v>
      </c>
      <c r="L34" s="248" t="s">
        <v>605</v>
      </c>
      <c r="M34" s="248" t="s">
        <v>605</v>
      </c>
      <c r="N34" s="648" t="s">
        <v>605</v>
      </c>
      <c r="O34" s="84">
        <v>0</v>
      </c>
      <c r="P34" s="382">
        <v>0</v>
      </c>
      <c r="Q34" s="248">
        <v>0</v>
      </c>
      <c r="R34" s="987">
        <v>0</v>
      </c>
      <c r="AP34" s="37"/>
      <c r="AQ34" s="37"/>
    </row>
    <row r="35" spans="1:43" x14ac:dyDescent="0.2">
      <c r="A35" s="74" t="str">
        <f>IF('5.1 Academic Core Curriculum'!A14=0,"",'5.1 Academic Core Curriculum'!A14)</f>
        <v>College Success</v>
      </c>
      <c r="B35" s="746" t="s">
        <v>161</v>
      </c>
      <c r="C35" s="85">
        <v>0</v>
      </c>
      <c r="D35" s="381">
        <v>0</v>
      </c>
      <c r="E35" s="381">
        <v>0</v>
      </c>
      <c r="F35" s="971">
        <v>0</v>
      </c>
      <c r="G35" s="85">
        <v>0</v>
      </c>
      <c r="H35" s="381">
        <v>0</v>
      </c>
      <c r="I35" s="381">
        <v>0</v>
      </c>
      <c r="J35" s="971">
        <v>0</v>
      </c>
      <c r="K35" s="85" t="s">
        <v>605</v>
      </c>
      <c r="L35" s="381" t="s">
        <v>605</v>
      </c>
      <c r="M35" s="381" t="s">
        <v>605</v>
      </c>
      <c r="N35" s="971" t="s">
        <v>605</v>
      </c>
      <c r="O35" s="85">
        <v>0</v>
      </c>
      <c r="P35" s="381">
        <v>0</v>
      </c>
      <c r="Q35" s="381">
        <v>0</v>
      </c>
      <c r="R35" s="988">
        <v>0</v>
      </c>
      <c r="AP35" s="37"/>
      <c r="AQ35" s="37"/>
    </row>
    <row r="36" spans="1:43" x14ac:dyDescent="0.2">
      <c r="A36" s="75"/>
      <c r="B36" s="379" t="s">
        <v>162</v>
      </c>
      <c r="C36" s="86">
        <v>0</v>
      </c>
      <c r="D36" s="82">
        <v>0</v>
      </c>
      <c r="E36" s="82">
        <v>0</v>
      </c>
      <c r="F36" s="649">
        <v>0</v>
      </c>
      <c r="G36" s="86">
        <v>0</v>
      </c>
      <c r="H36" s="82">
        <v>0</v>
      </c>
      <c r="I36" s="82">
        <v>0</v>
      </c>
      <c r="J36" s="649">
        <v>0</v>
      </c>
      <c r="K36" s="86" t="s">
        <v>605</v>
      </c>
      <c r="L36" s="82" t="s">
        <v>605</v>
      </c>
      <c r="M36" s="82" t="s">
        <v>605</v>
      </c>
      <c r="N36" s="649" t="s">
        <v>605</v>
      </c>
      <c r="O36" s="86">
        <v>0</v>
      </c>
      <c r="P36" s="248">
        <v>0</v>
      </c>
      <c r="Q36" s="82">
        <v>0</v>
      </c>
      <c r="R36" s="993">
        <v>0</v>
      </c>
      <c r="AP36" s="37"/>
      <c r="AQ36" s="37"/>
    </row>
    <row r="37" spans="1:43" x14ac:dyDescent="0.2">
      <c r="A37" s="74"/>
      <c r="B37" s="378" t="s">
        <v>160</v>
      </c>
      <c r="C37" s="84"/>
      <c r="D37" s="248"/>
      <c r="E37" s="248"/>
      <c r="F37" s="648"/>
      <c r="G37" s="84"/>
      <c r="H37" s="248"/>
      <c r="I37" s="248"/>
      <c r="J37" s="648"/>
      <c r="K37" s="84" t="s">
        <v>605</v>
      </c>
      <c r="L37" s="248" t="s">
        <v>605</v>
      </c>
      <c r="M37" s="248" t="s">
        <v>605</v>
      </c>
      <c r="N37" s="648" t="s">
        <v>605</v>
      </c>
      <c r="O37" s="84"/>
      <c r="P37" s="248"/>
      <c r="Q37" s="248"/>
      <c r="R37" s="987"/>
      <c r="AP37" s="37"/>
      <c r="AQ37" s="37"/>
    </row>
    <row r="38" spans="1:43" x14ac:dyDescent="0.2">
      <c r="A38" s="74" t="str">
        <f>IF('5.1 Academic Core Curriculum'!A15=0,"",'5.1 Academic Core Curriculum'!A15)</f>
        <v/>
      </c>
      <c r="B38" s="746" t="s">
        <v>161</v>
      </c>
      <c r="C38" s="85"/>
      <c r="D38" s="381"/>
      <c r="E38" s="381"/>
      <c r="F38" s="971"/>
      <c r="G38" s="85"/>
      <c r="H38" s="381"/>
      <c r="I38" s="381"/>
      <c r="J38" s="971"/>
      <c r="K38" s="85" t="s">
        <v>605</v>
      </c>
      <c r="L38" s="381" t="s">
        <v>605</v>
      </c>
      <c r="M38" s="381" t="s">
        <v>605</v>
      </c>
      <c r="N38" s="971" t="s">
        <v>605</v>
      </c>
      <c r="O38" s="85"/>
      <c r="P38" s="381"/>
      <c r="Q38" s="381"/>
      <c r="R38" s="988"/>
      <c r="AP38" s="37"/>
      <c r="AQ38" s="37"/>
    </row>
    <row r="39" spans="1:43" x14ac:dyDescent="0.2">
      <c r="A39" s="75"/>
      <c r="B39" s="379" t="s">
        <v>162</v>
      </c>
      <c r="C39" s="86"/>
      <c r="D39" s="82"/>
      <c r="E39" s="82"/>
      <c r="F39" s="649"/>
      <c r="G39" s="86"/>
      <c r="H39" s="82"/>
      <c r="I39" s="82"/>
      <c r="J39" s="649"/>
      <c r="K39" s="86" t="s">
        <v>605</v>
      </c>
      <c r="L39" s="82" t="s">
        <v>605</v>
      </c>
      <c r="M39" s="82" t="s">
        <v>605</v>
      </c>
      <c r="N39" s="649" t="s">
        <v>605</v>
      </c>
      <c r="O39" s="86"/>
      <c r="P39" s="82"/>
      <c r="Q39" s="82"/>
      <c r="R39" s="993"/>
      <c r="AP39" s="37"/>
      <c r="AQ39" s="37"/>
    </row>
    <row r="40" spans="1:43" x14ac:dyDescent="0.2">
      <c r="A40" s="650"/>
      <c r="B40" s="378" t="s">
        <v>160</v>
      </c>
      <c r="C40" s="84"/>
      <c r="D40" s="248"/>
      <c r="E40" s="248"/>
      <c r="F40" s="648"/>
      <c r="G40" s="84"/>
      <c r="H40" s="248"/>
      <c r="I40" s="248"/>
      <c r="J40" s="648"/>
      <c r="K40" s="84" t="s">
        <v>605</v>
      </c>
      <c r="L40" s="248" t="s">
        <v>605</v>
      </c>
      <c r="M40" s="248" t="s">
        <v>605</v>
      </c>
      <c r="N40" s="648" t="s">
        <v>605</v>
      </c>
      <c r="O40" s="84"/>
      <c r="P40" s="248"/>
      <c r="Q40" s="248"/>
      <c r="R40" s="987"/>
      <c r="AP40" s="37"/>
      <c r="AQ40" s="37"/>
    </row>
    <row r="41" spans="1:43" x14ac:dyDescent="0.2">
      <c r="A41" s="74" t="str">
        <f>IF('5.1 Academic Core Curriculum'!A16=0,"",'5.1 Academic Core Curriculum'!A16)</f>
        <v/>
      </c>
      <c r="B41" s="746" t="s">
        <v>161</v>
      </c>
      <c r="C41" s="85"/>
      <c r="D41" s="381"/>
      <c r="E41" s="381"/>
      <c r="F41" s="971"/>
      <c r="G41" s="85"/>
      <c r="H41" s="381"/>
      <c r="I41" s="381"/>
      <c r="J41" s="971"/>
      <c r="K41" s="85" t="s">
        <v>605</v>
      </c>
      <c r="L41" s="381" t="s">
        <v>605</v>
      </c>
      <c r="M41" s="381" t="s">
        <v>605</v>
      </c>
      <c r="N41" s="971" t="s">
        <v>605</v>
      </c>
      <c r="O41" s="85"/>
      <c r="P41" s="381"/>
      <c r="Q41" s="381"/>
      <c r="R41" s="988"/>
      <c r="AP41" s="37"/>
      <c r="AQ41" s="37"/>
    </row>
    <row r="42" spans="1:43" x14ac:dyDescent="0.2">
      <c r="A42" s="75"/>
      <c r="B42" s="379" t="s">
        <v>162</v>
      </c>
      <c r="C42" s="86"/>
      <c r="D42" s="82"/>
      <c r="E42" s="82"/>
      <c r="F42" s="649"/>
      <c r="G42" s="86"/>
      <c r="H42" s="82"/>
      <c r="I42" s="82"/>
      <c r="J42" s="649"/>
      <c r="K42" s="86" t="s">
        <v>605</v>
      </c>
      <c r="L42" s="82" t="s">
        <v>605</v>
      </c>
      <c r="M42" s="82" t="s">
        <v>605</v>
      </c>
      <c r="N42" s="649" t="s">
        <v>605</v>
      </c>
      <c r="O42" s="86"/>
      <c r="P42" s="82"/>
      <c r="Q42" s="82"/>
      <c r="R42" s="993"/>
      <c r="AP42" s="37"/>
      <c r="AQ42" s="37"/>
    </row>
    <row r="43" spans="1:43" ht="14.25" customHeight="1" x14ac:dyDescent="0.2">
      <c r="A43" s="744"/>
      <c r="B43" s="745"/>
      <c r="C43" s="745"/>
      <c r="D43" s="745"/>
      <c r="E43" s="745"/>
      <c r="F43" s="745"/>
      <c r="G43" s="745"/>
      <c r="H43" s="745"/>
      <c r="I43" s="745"/>
      <c r="J43" s="745"/>
      <c r="K43" s="745"/>
      <c r="L43" s="745"/>
      <c r="M43" s="745"/>
      <c r="N43" s="1740"/>
      <c r="O43" s="1740"/>
      <c r="P43" s="1740"/>
      <c r="Q43" s="1740"/>
      <c r="R43" s="1741"/>
    </row>
    <row r="44" spans="1:43" x14ac:dyDescent="0.2">
      <c r="A44" s="315" t="s">
        <v>847</v>
      </c>
      <c r="B44" s="321"/>
      <c r="C44" s="321"/>
      <c r="D44" s="321"/>
      <c r="E44" s="321"/>
      <c r="F44" s="321"/>
      <c r="G44" s="1742"/>
      <c r="H44" s="1742"/>
      <c r="I44" s="1742"/>
      <c r="J44" s="1742"/>
      <c r="K44" s="1742"/>
      <c r="L44" s="1742"/>
      <c r="M44" s="1742"/>
      <c r="N44" s="1742"/>
      <c r="O44" s="1742"/>
      <c r="P44" s="1742"/>
      <c r="Q44" s="1742"/>
      <c r="R44" s="1743"/>
    </row>
    <row r="45" spans="1:43" ht="39" customHeight="1" thickBot="1" x14ac:dyDescent="0.25">
      <c r="A45" s="1744" t="s">
        <v>981</v>
      </c>
      <c r="B45" s="1745"/>
      <c r="C45" s="1745"/>
      <c r="D45" s="1745"/>
      <c r="E45" s="1745"/>
      <c r="F45" s="1745"/>
      <c r="G45" s="1745"/>
      <c r="H45" s="1745"/>
      <c r="I45" s="1745"/>
      <c r="J45" s="1745"/>
      <c r="K45" s="1745"/>
      <c r="L45" s="1745"/>
      <c r="M45" s="1745"/>
      <c r="N45" s="1745"/>
      <c r="O45" s="1745"/>
      <c r="P45" s="1745"/>
      <c r="Q45" s="1745"/>
      <c r="R45" s="1746"/>
    </row>
    <row r="46" spans="1:43" ht="13.5" thickTop="1" x14ac:dyDescent="0.2">
      <c r="A46" s="29"/>
      <c r="B46" s="29"/>
      <c r="C46" s="29"/>
      <c r="D46" s="29"/>
      <c r="E46" s="29"/>
      <c r="F46" s="29"/>
      <c r="G46" s="29"/>
      <c r="H46" s="29"/>
      <c r="I46" s="29"/>
      <c r="J46" s="29"/>
      <c r="K46" s="29"/>
      <c r="L46" s="29"/>
      <c r="M46" s="29"/>
      <c r="N46" s="29"/>
    </row>
    <row r="47" spans="1:43" x14ac:dyDescent="0.2">
      <c r="A47" s="29"/>
      <c r="B47" s="29"/>
      <c r="C47" s="29"/>
      <c r="D47" s="29"/>
      <c r="E47" s="29"/>
      <c r="F47" s="29"/>
      <c r="G47" s="29"/>
      <c r="H47" s="29"/>
      <c r="I47" s="29"/>
      <c r="J47" s="29"/>
      <c r="K47" s="29"/>
      <c r="L47" s="29"/>
      <c r="M47" s="29"/>
      <c r="N47" s="29"/>
    </row>
    <row r="48" spans="1:43" x14ac:dyDescent="0.2">
      <c r="A48" s="37"/>
      <c r="B48" s="37"/>
      <c r="C48" s="37"/>
      <c r="D48" s="37"/>
      <c r="E48" s="37"/>
      <c r="F48" s="37"/>
      <c r="G48" s="37"/>
      <c r="H48" s="37"/>
      <c r="I48" s="37"/>
      <c r="J48" s="37"/>
      <c r="K48" s="37"/>
      <c r="L48" s="37"/>
      <c r="M48" s="37"/>
      <c r="N48" s="37"/>
    </row>
    <row r="49" spans="1:14" x14ac:dyDescent="0.2">
      <c r="A49" s="37"/>
      <c r="B49" s="37"/>
      <c r="C49" s="37"/>
      <c r="D49" s="37"/>
      <c r="E49" s="37"/>
      <c r="F49" s="37"/>
      <c r="G49" s="37"/>
      <c r="H49" s="37"/>
      <c r="I49" s="37"/>
      <c r="J49" s="37"/>
      <c r="K49" s="37"/>
      <c r="L49" s="37"/>
      <c r="M49" s="37"/>
      <c r="N49" s="37"/>
    </row>
    <row r="50" spans="1:14" x14ac:dyDescent="0.2">
      <c r="A50" s="37"/>
      <c r="B50" s="37"/>
      <c r="C50" s="37"/>
      <c r="D50" s="37"/>
      <c r="E50" s="37"/>
      <c r="F50" s="37"/>
      <c r="G50" s="37"/>
      <c r="H50" s="37"/>
      <c r="I50" s="37"/>
      <c r="J50" s="37"/>
      <c r="K50" s="37"/>
      <c r="L50" s="37"/>
      <c r="M50" s="37"/>
      <c r="N50" s="37"/>
    </row>
    <row r="51" spans="1:14" x14ac:dyDescent="0.2">
      <c r="A51" s="37"/>
      <c r="B51" s="37"/>
      <c r="C51" s="37"/>
      <c r="D51" s="37"/>
      <c r="E51" s="37"/>
      <c r="F51" s="37"/>
      <c r="G51" s="37"/>
      <c r="H51" s="37"/>
      <c r="I51" s="37"/>
      <c r="J51" s="37"/>
      <c r="K51" s="37"/>
      <c r="L51" s="37"/>
      <c r="M51" s="37"/>
      <c r="N51" s="37"/>
    </row>
    <row r="52" spans="1:14" x14ac:dyDescent="0.2">
      <c r="A52" s="37"/>
      <c r="B52" s="37"/>
      <c r="C52" s="37"/>
      <c r="D52" s="37"/>
      <c r="E52" s="37"/>
      <c r="F52" s="37"/>
      <c r="G52" s="37"/>
      <c r="H52" s="37"/>
      <c r="I52" s="37"/>
      <c r="J52" s="37"/>
      <c r="K52" s="37"/>
      <c r="L52" s="37"/>
      <c r="M52" s="37"/>
      <c r="N52" s="37"/>
    </row>
    <row r="53" spans="1:14" x14ac:dyDescent="0.2">
      <c r="A53" s="37"/>
      <c r="B53" s="37"/>
      <c r="C53" s="37"/>
      <c r="D53" s="37"/>
      <c r="E53" s="37"/>
      <c r="F53" s="37"/>
      <c r="G53" s="37"/>
      <c r="H53" s="37"/>
      <c r="I53" s="37"/>
      <c r="J53" s="37"/>
      <c r="K53" s="37"/>
      <c r="L53" s="37"/>
      <c r="M53" s="37"/>
      <c r="N53" s="37"/>
    </row>
    <row r="54" spans="1:14" x14ac:dyDescent="0.2">
      <c r="A54" s="37"/>
      <c r="B54" s="37"/>
      <c r="C54" s="37"/>
      <c r="D54" s="37"/>
      <c r="E54" s="37"/>
      <c r="F54" s="37"/>
      <c r="G54" s="37"/>
      <c r="H54" s="37"/>
      <c r="I54" s="37"/>
      <c r="J54" s="37"/>
      <c r="K54" s="37"/>
      <c r="L54" s="37"/>
      <c r="M54" s="37"/>
      <c r="N54" s="37"/>
    </row>
    <row r="55" spans="1:14" x14ac:dyDescent="0.2">
      <c r="A55" s="37"/>
      <c r="B55" s="37"/>
      <c r="C55" s="37"/>
      <c r="D55" s="37"/>
      <c r="E55" s="37"/>
      <c r="F55" s="37"/>
      <c r="G55" s="37"/>
      <c r="H55" s="37"/>
      <c r="I55" s="37"/>
      <c r="J55" s="37"/>
      <c r="K55" s="37"/>
      <c r="L55" s="37"/>
      <c r="M55" s="37"/>
      <c r="N55" s="37"/>
    </row>
    <row r="56" spans="1:14" x14ac:dyDescent="0.2">
      <c r="A56" s="37"/>
      <c r="B56" s="37"/>
      <c r="C56" s="37"/>
      <c r="D56" s="37"/>
      <c r="E56" s="37"/>
      <c r="F56" s="37"/>
      <c r="G56" s="37"/>
      <c r="H56" s="37"/>
      <c r="I56" s="37"/>
      <c r="J56" s="37"/>
      <c r="K56" s="37"/>
      <c r="L56" s="37"/>
      <c r="M56" s="37"/>
      <c r="N56" s="37"/>
    </row>
    <row r="57" spans="1:14" x14ac:dyDescent="0.2">
      <c r="A57" s="37"/>
      <c r="B57" s="37"/>
      <c r="C57" s="37"/>
      <c r="D57" s="37"/>
      <c r="E57" s="37"/>
      <c r="F57" s="37"/>
      <c r="G57" s="37"/>
      <c r="H57" s="37"/>
      <c r="I57" s="37"/>
      <c r="J57" s="37"/>
      <c r="K57" s="37"/>
      <c r="L57" s="37"/>
      <c r="M57" s="37"/>
      <c r="N57" s="37"/>
    </row>
    <row r="58" spans="1:14" x14ac:dyDescent="0.2">
      <c r="A58" s="37"/>
      <c r="B58" s="37"/>
      <c r="C58" s="37"/>
      <c r="D58" s="37"/>
      <c r="E58" s="37"/>
      <c r="F58" s="37"/>
      <c r="G58" s="37"/>
      <c r="H58" s="37"/>
      <c r="I58" s="37"/>
      <c r="J58" s="37"/>
      <c r="K58" s="37"/>
      <c r="L58" s="37"/>
      <c r="M58" s="37"/>
      <c r="N58" s="37"/>
    </row>
    <row r="59" spans="1:14" x14ac:dyDescent="0.2">
      <c r="A59" s="37"/>
      <c r="B59" s="37"/>
      <c r="C59" s="37"/>
      <c r="D59" s="37"/>
      <c r="E59" s="37"/>
      <c r="F59" s="37"/>
      <c r="G59" s="37"/>
      <c r="H59" s="37"/>
      <c r="I59" s="37"/>
      <c r="J59" s="37"/>
      <c r="K59" s="37"/>
      <c r="L59" s="37"/>
      <c r="M59" s="37"/>
      <c r="N59" s="37"/>
    </row>
    <row r="60" spans="1:14" x14ac:dyDescent="0.2">
      <c r="A60" s="37"/>
      <c r="B60" s="37"/>
      <c r="C60" s="37"/>
      <c r="D60" s="37"/>
      <c r="E60" s="37"/>
      <c r="F60" s="37"/>
      <c r="G60" s="37"/>
      <c r="H60" s="37"/>
      <c r="I60" s="37"/>
      <c r="J60" s="37"/>
      <c r="K60" s="37"/>
      <c r="L60" s="37"/>
      <c r="M60" s="37"/>
      <c r="N60" s="37"/>
    </row>
    <row r="61" spans="1:14" x14ac:dyDescent="0.2">
      <c r="A61" s="37"/>
      <c r="B61" s="37"/>
      <c r="C61" s="37"/>
      <c r="D61" s="37"/>
      <c r="E61" s="37"/>
      <c r="F61" s="37"/>
      <c r="G61" s="37"/>
      <c r="H61" s="37"/>
      <c r="I61" s="37"/>
      <c r="J61" s="37"/>
      <c r="K61" s="37"/>
      <c r="L61" s="37"/>
      <c r="M61" s="37"/>
      <c r="N61" s="37"/>
    </row>
    <row r="62" spans="1:14" x14ac:dyDescent="0.2">
      <c r="A62" s="37"/>
      <c r="B62" s="37"/>
      <c r="C62" s="37"/>
      <c r="D62" s="37"/>
      <c r="E62" s="37"/>
      <c r="F62" s="37"/>
      <c r="G62" s="37"/>
      <c r="H62" s="37"/>
      <c r="I62" s="37"/>
      <c r="J62" s="37"/>
      <c r="K62" s="37"/>
      <c r="L62" s="37"/>
      <c r="M62" s="37"/>
      <c r="N62" s="37"/>
    </row>
    <row r="63" spans="1:14" x14ac:dyDescent="0.2">
      <c r="A63" s="37"/>
      <c r="B63" s="37"/>
      <c r="C63" s="37"/>
      <c r="D63" s="37"/>
      <c r="E63" s="37"/>
      <c r="F63" s="37"/>
      <c r="G63" s="37"/>
      <c r="H63" s="37"/>
      <c r="I63" s="37"/>
      <c r="J63" s="37"/>
      <c r="K63" s="37"/>
      <c r="L63" s="37"/>
      <c r="M63" s="37"/>
      <c r="N63" s="37"/>
    </row>
    <row r="64" spans="1:14" x14ac:dyDescent="0.2">
      <c r="A64" s="37"/>
      <c r="B64" s="37"/>
      <c r="C64" s="37"/>
      <c r="D64" s="37"/>
      <c r="E64" s="37"/>
      <c r="F64" s="37"/>
      <c r="G64" s="37"/>
      <c r="H64" s="37"/>
      <c r="I64" s="37"/>
      <c r="J64" s="37"/>
      <c r="K64" s="37"/>
      <c r="L64" s="37"/>
      <c r="M64" s="37"/>
      <c r="N64" s="37"/>
    </row>
    <row r="65" spans="1:14" x14ac:dyDescent="0.2">
      <c r="A65" s="37"/>
      <c r="B65" s="37"/>
      <c r="C65" s="37"/>
      <c r="D65" s="37"/>
      <c r="E65" s="37"/>
      <c r="F65" s="37"/>
      <c r="G65" s="37"/>
      <c r="H65" s="37"/>
      <c r="I65" s="37"/>
      <c r="J65" s="37"/>
      <c r="K65" s="37"/>
      <c r="L65" s="37"/>
      <c r="M65" s="37"/>
      <c r="N65" s="37"/>
    </row>
    <row r="66" spans="1:14" x14ac:dyDescent="0.2">
      <c r="A66" s="37"/>
      <c r="B66" s="37"/>
      <c r="C66" s="37"/>
      <c r="D66" s="37"/>
      <c r="E66" s="37"/>
      <c r="F66" s="37"/>
      <c r="G66" s="37"/>
      <c r="H66" s="37"/>
      <c r="I66" s="37"/>
      <c r="J66" s="37"/>
      <c r="K66" s="37"/>
      <c r="L66" s="37"/>
      <c r="M66" s="37"/>
      <c r="N66" s="37"/>
    </row>
    <row r="67" spans="1:14" x14ac:dyDescent="0.2">
      <c r="A67" s="37"/>
      <c r="B67" s="37"/>
      <c r="C67" s="37"/>
      <c r="D67" s="37"/>
      <c r="E67" s="37"/>
      <c r="F67" s="37"/>
      <c r="G67" s="37"/>
      <c r="H67" s="37"/>
      <c r="I67" s="37"/>
      <c r="J67" s="37"/>
      <c r="K67" s="37"/>
      <c r="L67" s="37"/>
      <c r="M67" s="37"/>
      <c r="N67" s="37"/>
    </row>
    <row r="68" spans="1:14" x14ac:dyDescent="0.2">
      <c r="A68" s="37"/>
      <c r="B68" s="37"/>
      <c r="C68" s="37"/>
      <c r="D68" s="37"/>
      <c r="E68" s="37"/>
      <c r="F68" s="37"/>
      <c r="G68" s="37"/>
      <c r="H68" s="37"/>
      <c r="I68" s="37"/>
      <c r="J68" s="37"/>
      <c r="K68" s="37"/>
      <c r="L68" s="37"/>
      <c r="M68" s="37"/>
      <c r="N68" s="37"/>
    </row>
    <row r="69" spans="1:14" x14ac:dyDescent="0.2">
      <c r="A69" s="37"/>
      <c r="B69" s="37"/>
      <c r="C69" s="37"/>
      <c r="D69" s="37"/>
      <c r="E69" s="37"/>
      <c r="F69" s="37"/>
      <c r="G69" s="37"/>
      <c r="H69" s="37"/>
      <c r="I69" s="37"/>
      <c r="J69" s="37"/>
      <c r="K69" s="37"/>
      <c r="L69" s="37"/>
      <c r="M69" s="37"/>
      <c r="N69" s="37"/>
    </row>
    <row r="70" spans="1:14" x14ac:dyDescent="0.2">
      <c r="A70" s="37"/>
      <c r="B70" s="37"/>
      <c r="C70" s="37"/>
      <c r="D70" s="37"/>
      <c r="E70" s="37"/>
      <c r="F70" s="37"/>
      <c r="G70" s="37"/>
      <c r="H70" s="37"/>
      <c r="I70" s="37"/>
      <c r="J70" s="37"/>
      <c r="K70" s="37"/>
      <c r="L70" s="37"/>
      <c r="M70" s="37"/>
      <c r="N70" s="37"/>
    </row>
    <row r="71" spans="1:14" x14ac:dyDescent="0.2">
      <c r="A71" s="37"/>
      <c r="B71" s="37"/>
      <c r="C71" s="37"/>
      <c r="D71" s="37"/>
      <c r="E71" s="37"/>
      <c r="F71" s="37"/>
      <c r="G71" s="37"/>
      <c r="H71" s="37"/>
      <c r="I71" s="37"/>
      <c r="J71" s="37"/>
      <c r="K71" s="37"/>
      <c r="L71" s="37"/>
      <c r="M71" s="37"/>
      <c r="N71" s="37"/>
    </row>
    <row r="72" spans="1:14" x14ac:dyDescent="0.2">
      <c r="A72" s="37"/>
      <c r="B72" s="37"/>
      <c r="C72" s="37"/>
      <c r="D72" s="37"/>
      <c r="E72" s="37"/>
      <c r="F72" s="37"/>
      <c r="G72" s="37"/>
      <c r="H72" s="37"/>
      <c r="I72" s="37"/>
      <c r="J72" s="37"/>
      <c r="K72" s="37"/>
      <c r="L72" s="37"/>
      <c r="M72" s="37"/>
      <c r="N72" s="37"/>
    </row>
    <row r="73" spans="1:14" x14ac:dyDescent="0.2">
      <c r="A73" s="37"/>
      <c r="B73" s="37"/>
      <c r="C73" s="37"/>
      <c r="D73" s="37"/>
      <c r="E73" s="37"/>
      <c r="F73" s="37"/>
      <c r="G73" s="37"/>
      <c r="H73" s="37"/>
      <c r="I73" s="37"/>
      <c r="J73" s="37"/>
      <c r="K73" s="37"/>
      <c r="L73" s="37"/>
      <c r="M73" s="37"/>
      <c r="N73" s="37"/>
    </row>
    <row r="74" spans="1:14" x14ac:dyDescent="0.2">
      <c r="A74" s="37"/>
      <c r="B74" s="37"/>
      <c r="C74" s="37"/>
      <c r="D74" s="37"/>
      <c r="E74" s="37"/>
      <c r="F74" s="37"/>
      <c r="G74" s="37"/>
      <c r="H74" s="37"/>
      <c r="I74" s="37"/>
      <c r="J74" s="37"/>
      <c r="K74" s="37"/>
      <c r="L74" s="37"/>
      <c r="M74" s="37"/>
      <c r="N74" s="37"/>
    </row>
    <row r="75" spans="1:14" x14ac:dyDescent="0.2">
      <c r="A75" s="37"/>
      <c r="B75" s="37"/>
      <c r="C75" s="37"/>
      <c r="D75" s="37"/>
      <c r="E75" s="37"/>
      <c r="F75" s="37"/>
      <c r="G75" s="37"/>
      <c r="H75" s="37"/>
      <c r="I75" s="37"/>
      <c r="J75" s="37"/>
      <c r="K75" s="37"/>
      <c r="L75" s="37"/>
      <c r="M75" s="37"/>
      <c r="N75" s="37"/>
    </row>
    <row r="76" spans="1:14" x14ac:dyDescent="0.2">
      <c r="A76" s="37"/>
      <c r="B76" s="37"/>
      <c r="C76" s="37"/>
      <c r="D76" s="37"/>
      <c r="E76" s="37"/>
      <c r="F76" s="37"/>
      <c r="G76" s="37"/>
      <c r="H76" s="37"/>
      <c r="I76" s="37"/>
      <c r="J76" s="37"/>
      <c r="K76" s="37"/>
      <c r="L76" s="37"/>
      <c r="M76" s="37"/>
      <c r="N76" s="37"/>
    </row>
    <row r="77" spans="1:14" x14ac:dyDescent="0.2">
      <c r="A77" s="37"/>
      <c r="B77" s="37"/>
      <c r="C77" s="37"/>
      <c r="D77" s="37"/>
      <c r="E77" s="37"/>
      <c r="F77" s="37"/>
      <c r="G77" s="37"/>
      <c r="H77" s="37"/>
      <c r="I77" s="37"/>
      <c r="J77" s="37"/>
      <c r="K77" s="37"/>
      <c r="L77" s="37"/>
      <c r="M77" s="37"/>
      <c r="N77" s="37"/>
    </row>
    <row r="78" spans="1:14" x14ac:dyDescent="0.2">
      <c r="A78" s="37"/>
      <c r="B78" s="37"/>
      <c r="C78" s="37"/>
      <c r="D78" s="37"/>
      <c r="E78" s="37"/>
      <c r="F78" s="37"/>
      <c r="G78" s="37"/>
      <c r="H78" s="37"/>
      <c r="I78" s="37"/>
      <c r="J78" s="37"/>
      <c r="K78" s="37"/>
      <c r="L78" s="37"/>
      <c r="M78" s="37"/>
      <c r="N78" s="37"/>
    </row>
    <row r="79" spans="1:14" x14ac:dyDescent="0.2">
      <c r="A79" s="37"/>
      <c r="B79" s="37"/>
      <c r="C79" s="37"/>
      <c r="D79" s="37"/>
      <c r="E79" s="37"/>
      <c r="F79" s="37"/>
      <c r="G79" s="37"/>
      <c r="H79" s="37"/>
      <c r="I79" s="37"/>
      <c r="J79" s="37"/>
      <c r="K79" s="37"/>
      <c r="L79" s="37"/>
      <c r="M79" s="37"/>
      <c r="N79" s="37"/>
    </row>
    <row r="80" spans="1:14" x14ac:dyDescent="0.2">
      <c r="A80" s="37"/>
      <c r="B80" s="37"/>
      <c r="C80" s="37"/>
      <c r="D80" s="37"/>
      <c r="E80" s="37"/>
      <c r="F80" s="37"/>
      <c r="G80" s="37"/>
      <c r="H80" s="37"/>
      <c r="I80" s="37"/>
      <c r="J80" s="37"/>
      <c r="K80" s="37"/>
      <c r="L80" s="37"/>
      <c r="M80" s="37"/>
      <c r="N80" s="37"/>
    </row>
    <row r="81" spans="1:14" x14ac:dyDescent="0.2">
      <c r="A81" s="37"/>
      <c r="B81" s="37"/>
      <c r="C81" s="37"/>
      <c r="D81" s="37"/>
      <c r="E81" s="37"/>
      <c r="F81" s="37"/>
      <c r="G81" s="37"/>
      <c r="H81" s="37"/>
      <c r="I81" s="37"/>
      <c r="J81" s="37"/>
      <c r="K81" s="37"/>
      <c r="L81" s="37"/>
      <c r="M81" s="37"/>
      <c r="N81" s="37"/>
    </row>
    <row r="82" spans="1:14" x14ac:dyDescent="0.2">
      <c r="A82" s="37"/>
      <c r="B82" s="37"/>
      <c r="C82" s="37"/>
      <c r="D82" s="37"/>
      <c r="E82" s="37"/>
      <c r="F82" s="37"/>
      <c r="G82" s="37"/>
      <c r="H82" s="37"/>
      <c r="I82" s="37"/>
      <c r="J82" s="37"/>
      <c r="K82" s="37"/>
      <c r="L82" s="37"/>
      <c r="M82" s="37"/>
      <c r="N82" s="37"/>
    </row>
    <row r="83" spans="1:14" x14ac:dyDescent="0.2">
      <c r="A83" s="37"/>
      <c r="B83" s="37"/>
      <c r="C83" s="37"/>
      <c r="D83" s="37"/>
      <c r="E83" s="37"/>
      <c r="F83" s="37"/>
      <c r="G83" s="37"/>
      <c r="H83" s="37"/>
      <c r="I83" s="37"/>
      <c r="J83" s="37"/>
      <c r="K83" s="37"/>
      <c r="L83" s="37"/>
      <c r="M83" s="37"/>
      <c r="N83" s="37"/>
    </row>
    <row r="84" spans="1:14" x14ac:dyDescent="0.2">
      <c r="A84" s="37"/>
      <c r="B84" s="37"/>
      <c r="C84" s="37"/>
      <c r="D84" s="37"/>
      <c r="E84" s="37"/>
      <c r="F84" s="37"/>
      <c r="G84" s="37"/>
      <c r="H84" s="37"/>
      <c r="I84" s="37"/>
      <c r="J84" s="37"/>
      <c r="K84" s="37"/>
      <c r="L84" s="37"/>
      <c r="M84" s="37"/>
      <c r="N84" s="37"/>
    </row>
    <row r="85" spans="1:14" x14ac:dyDescent="0.2">
      <c r="A85" s="37"/>
      <c r="B85" s="37"/>
      <c r="C85" s="37"/>
      <c r="D85" s="37"/>
      <c r="E85" s="37"/>
      <c r="F85" s="37"/>
      <c r="G85" s="37"/>
      <c r="H85" s="37"/>
      <c r="I85" s="37"/>
      <c r="J85" s="37"/>
      <c r="K85" s="37"/>
      <c r="L85" s="37"/>
      <c r="M85" s="37"/>
      <c r="N85" s="37"/>
    </row>
    <row r="86" spans="1:14" x14ac:dyDescent="0.2">
      <c r="A86" s="37"/>
      <c r="B86" s="37"/>
      <c r="C86" s="37"/>
      <c r="D86" s="37"/>
      <c r="E86" s="37"/>
      <c r="F86" s="37"/>
      <c r="G86" s="37"/>
      <c r="H86" s="37"/>
      <c r="I86" s="37"/>
      <c r="J86" s="37"/>
      <c r="K86" s="37"/>
      <c r="L86" s="37"/>
      <c r="M86" s="37"/>
      <c r="N86" s="37"/>
    </row>
    <row r="87" spans="1:14" x14ac:dyDescent="0.2">
      <c r="A87" s="37"/>
      <c r="B87" s="37"/>
      <c r="C87" s="37"/>
      <c r="D87" s="37"/>
      <c r="E87" s="37"/>
      <c r="F87" s="37"/>
      <c r="G87" s="37"/>
      <c r="H87" s="37"/>
      <c r="I87" s="37"/>
      <c r="J87" s="37"/>
      <c r="K87" s="37"/>
      <c r="L87" s="37"/>
      <c r="M87" s="37"/>
      <c r="N87" s="37"/>
    </row>
    <row r="88" spans="1:14" x14ac:dyDescent="0.2">
      <c r="A88" s="37"/>
      <c r="B88" s="37"/>
      <c r="C88" s="37"/>
      <c r="D88" s="37"/>
      <c r="E88" s="37"/>
      <c r="F88" s="37"/>
      <c r="G88" s="37"/>
      <c r="H88" s="37"/>
      <c r="I88" s="37"/>
      <c r="J88" s="37"/>
      <c r="K88" s="37"/>
      <c r="L88" s="37"/>
      <c r="M88" s="37"/>
      <c r="N88" s="37"/>
    </row>
    <row r="89" spans="1:14" x14ac:dyDescent="0.2">
      <c r="A89" s="37"/>
      <c r="B89" s="37"/>
      <c r="C89" s="37"/>
      <c r="D89" s="37"/>
      <c r="E89" s="37"/>
      <c r="F89" s="37"/>
      <c r="G89" s="37"/>
      <c r="H89" s="37"/>
      <c r="I89" s="37"/>
      <c r="J89" s="37"/>
      <c r="K89" s="37"/>
      <c r="L89" s="37"/>
      <c r="M89" s="37"/>
      <c r="N89" s="37"/>
    </row>
    <row r="90" spans="1:14" x14ac:dyDescent="0.2">
      <c r="A90" s="37"/>
      <c r="B90" s="37"/>
      <c r="C90" s="37"/>
      <c r="D90" s="37"/>
      <c r="E90" s="37"/>
      <c r="F90" s="37"/>
      <c r="G90" s="37"/>
      <c r="H90" s="37"/>
      <c r="I90" s="37"/>
      <c r="J90" s="37"/>
      <c r="K90" s="37"/>
      <c r="L90" s="37"/>
      <c r="M90" s="37"/>
      <c r="N90" s="37"/>
    </row>
    <row r="91" spans="1:14" x14ac:dyDescent="0.2">
      <c r="A91" s="37"/>
      <c r="B91" s="37"/>
      <c r="C91" s="37"/>
      <c r="D91" s="37"/>
      <c r="E91" s="37"/>
      <c r="F91" s="37"/>
      <c r="G91" s="37"/>
      <c r="H91" s="37"/>
      <c r="I91" s="37"/>
      <c r="J91" s="37"/>
      <c r="K91" s="37"/>
      <c r="L91" s="37"/>
      <c r="M91" s="37"/>
      <c r="N91" s="37"/>
    </row>
    <row r="92" spans="1:14" x14ac:dyDescent="0.2">
      <c r="A92" s="37"/>
      <c r="B92" s="37"/>
      <c r="C92" s="37"/>
      <c r="D92" s="37"/>
      <c r="E92" s="37"/>
      <c r="F92" s="37"/>
      <c r="G92" s="37"/>
      <c r="H92" s="37"/>
      <c r="I92" s="37"/>
      <c r="J92" s="37"/>
      <c r="K92" s="37"/>
      <c r="L92" s="37"/>
      <c r="M92" s="37"/>
      <c r="N92" s="37"/>
    </row>
    <row r="93" spans="1:14" x14ac:dyDescent="0.2">
      <c r="A93" s="37"/>
      <c r="B93" s="37"/>
      <c r="C93" s="37"/>
      <c r="D93" s="37"/>
      <c r="E93" s="37"/>
      <c r="F93" s="37"/>
      <c r="G93" s="37"/>
      <c r="H93" s="37"/>
      <c r="I93" s="37"/>
      <c r="J93" s="37"/>
      <c r="K93" s="37"/>
      <c r="L93" s="37"/>
      <c r="M93" s="37"/>
      <c r="N93" s="37"/>
    </row>
    <row r="94" spans="1:14" x14ac:dyDescent="0.2">
      <c r="A94" s="37"/>
      <c r="B94" s="37"/>
      <c r="C94" s="37"/>
      <c r="D94" s="37"/>
      <c r="E94" s="37"/>
      <c r="F94" s="37"/>
      <c r="G94" s="37"/>
      <c r="H94" s="37"/>
      <c r="I94" s="37"/>
      <c r="J94" s="37"/>
      <c r="K94" s="37"/>
      <c r="L94" s="37"/>
      <c r="M94" s="37"/>
      <c r="N94" s="37"/>
    </row>
    <row r="95" spans="1:14" x14ac:dyDescent="0.2">
      <c r="A95" s="37"/>
      <c r="B95" s="37"/>
      <c r="C95" s="37"/>
      <c r="D95" s="37"/>
      <c r="E95" s="37"/>
      <c r="F95" s="37"/>
      <c r="G95" s="37"/>
      <c r="H95" s="37"/>
      <c r="I95" s="37"/>
      <c r="J95" s="37"/>
      <c r="K95" s="37"/>
      <c r="L95" s="37"/>
      <c r="M95" s="37"/>
      <c r="N95" s="37"/>
    </row>
    <row r="96" spans="1:14" x14ac:dyDescent="0.2">
      <c r="A96" s="37"/>
      <c r="B96" s="37"/>
      <c r="C96" s="37"/>
      <c r="D96" s="37"/>
      <c r="E96" s="37"/>
      <c r="F96" s="37"/>
      <c r="G96" s="37"/>
      <c r="H96" s="37"/>
      <c r="I96" s="37"/>
      <c r="J96" s="37"/>
      <c r="K96" s="37"/>
      <c r="L96" s="37"/>
      <c r="M96" s="37"/>
      <c r="N96" s="37"/>
    </row>
    <row r="97" spans="1:14" x14ac:dyDescent="0.2">
      <c r="A97" s="37"/>
      <c r="B97" s="37"/>
      <c r="C97" s="37"/>
      <c r="D97" s="37"/>
      <c r="E97" s="37"/>
      <c r="F97" s="37"/>
      <c r="G97" s="37"/>
      <c r="H97" s="37"/>
      <c r="I97" s="37"/>
      <c r="J97" s="37"/>
      <c r="K97" s="37"/>
      <c r="L97" s="37"/>
      <c r="M97" s="37"/>
      <c r="N97" s="37"/>
    </row>
    <row r="98" spans="1:14" x14ac:dyDescent="0.2">
      <c r="A98" s="37"/>
      <c r="B98" s="37"/>
      <c r="C98" s="37"/>
      <c r="D98" s="37"/>
      <c r="E98" s="37"/>
      <c r="F98" s="37"/>
      <c r="G98" s="37"/>
      <c r="H98" s="37"/>
      <c r="I98" s="37"/>
      <c r="J98" s="37"/>
      <c r="K98" s="37"/>
      <c r="L98" s="37"/>
      <c r="M98" s="37"/>
      <c r="N98" s="37"/>
    </row>
    <row r="99" spans="1:14" x14ac:dyDescent="0.2">
      <c r="A99" s="37"/>
      <c r="B99" s="37"/>
      <c r="C99" s="37"/>
      <c r="D99" s="37"/>
      <c r="E99" s="37"/>
      <c r="F99" s="37"/>
      <c r="G99" s="37"/>
      <c r="H99" s="37"/>
      <c r="I99" s="37"/>
      <c r="J99" s="37"/>
      <c r="K99" s="37"/>
      <c r="L99" s="37"/>
      <c r="M99" s="37"/>
      <c r="N99" s="37"/>
    </row>
    <row r="100" spans="1:14" x14ac:dyDescent="0.2">
      <c r="A100" s="37"/>
      <c r="B100" s="37"/>
      <c r="C100" s="37"/>
      <c r="D100" s="37"/>
      <c r="E100" s="37"/>
      <c r="F100" s="37"/>
      <c r="G100" s="37"/>
      <c r="H100" s="37"/>
      <c r="I100" s="37"/>
      <c r="J100" s="37"/>
      <c r="K100" s="37"/>
      <c r="L100" s="37"/>
      <c r="M100" s="37"/>
      <c r="N100" s="37"/>
    </row>
    <row r="101" spans="1:14" x14ac:dyDescent="0.2">
      <c r="A101" s="37"/>
      <c r="B101" s="37"/>
      <c r="C101" s="37"/>
      <c r="D101" s="37"/>
      <c r="E101" s="37"/>
      <c r="F101" s="37"/>
      <c r="G101" s="37"/>
      <c r="H101" s="37"/>
      <c r="I101" s="37"/>
      <c r="J101" s="37"/>
      <c r="K101" s="37"/>
      <c r="L101" s="37"/>
      <c r="M101" s="37"/>
      <c r="N101" s="37"/>
    </row>
    <row r="102" spans="1:14" x14ac:dyDescent="0.2">
      <c r="A102" s="37"/>
      <c r="B102" s="37"/>
      <c r="C102" s="37"/>
      <c r="D102" s="37"/>
      <c r="E102" s="37"/>
      <c r="F102" s="37"/>
      <c r="G102" s="37"/>
      <c r="H102" s="37"/>
      <c r="I102" s="37"/>
      <c r="J102" s="37"/>
      <c r="K102" s="37"/>
      <c r="L102" s="37"/>
      <c r="M102" s="37"/>
      <c r="N102" s="37"/>
    </row>
  </sheetData>
  <mergeCells count="23">
    <mergeCell ref="N43:R43"/>
    <mergeCell ref="G44:R44"/>
    <mergeCell ref="A45:R45"/>
    <mergeCell ref="C7:F7"/>
    <mergeCell ref="G7:J7"/>
    <mergeCell ref="O7:R7"/>
    <mergeCell ref="K7:N7"/>
    <mergeCell ref="B1:R1"/>
    <mergeCell ref="C6:R6"/>
    <mergeCell ref="C8:D8"/>
    <mergeCell ref="E8:F8"/>
    <mergeCell ref="A5:R5"/>
    <mergeCell ref="A4:R4"/>
    <mergeCell ref="A2:R2"/>
    <mergeCell ref="A3:R3"/>
    <mergeCell ref="Q8:R8"/>
    <mergeCell ref="A6:A9"/>
    <mergeCell ref="K8:L8"/>
    <mergeCell ref="M8:N8"/>
    <mergeCell ref="O8:P8"/>
    <mergeCell ref="B6:B9"/>
    <mergeCell ref="G8:H8"/>
    <mergeCell ref="I8:J8"/>
  </mergeCells>
  <phoneticPr fontId="65" type="noConversion"/>
  <pageMargins left="0.40583333300000002" right="0.12833333333333299" top="0.5" bottom="0.5" header="0.3" footer="0.3"/>
  <pageSetup scale="83" orientation="landscape" r:id="rId1"/>
  <headerFooter>
    <oddHeader>&amp;LAKIS A 2012</oddHeader>
    <oddFooter>&amp;LAmerican Indian Higher Education Consortium</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U74"/>
  <sheetViews>
    <sheetView zoomScaleNormal="100" workbookViewId="0">
      <selection activeCell="C9" sqref="C9"/>
    </sheetView>
  </sheetViews>
  <sheetFormatPr defaultColWidth="9.140625" defaultRowHeight="12.75" x14ac:dyDescent="0.2"/>
  <cols>
    <col min="1" max="2" width="22.28515625" style="30" customWidth="1"/>
    <col min="3" max="3" width="60.7109375" style="30" customWidth="1"/>
    <col min="4" max="4" width="14.7109375" style="30" customWidth="1"/>
    <col min="5" max="21" width="9.140625" style="37"/>
    <col min="22" max="16384" width="9.140625" style="30"/>
  </cols>
  <sheetData>
    <row r="1" spans="1:4" s="20" customFormat="1" ht="15.75" thickTop="1" x14ac:dyDescent="0.25">
      <c r="A1" s="314" t="s">
        <v>823</v>
      </c>
      <c r="B1" s="1266" t="str">
        <f>'1.1a Overall Instit. Profile'!B1</f>
        <v>Oglala Lakota College</v>
      </c>
      <c r="C1" s="1370"/>
      <c r="D1" s="1629"/>
    </row>
    <row r="2" spans="1:4" ht="18.75" customHeight="1" x14ac:dyDescent="0.2">
      <c r="A2" s="313" t="s">
        <v>846</v>
      </c>
      <c r="B2" s="325"/>
      <c r="C2" s="325"/>
      <c r="D2" s="319"/>
    </row>
    <row r="3" spans="1:4" ht="18.75" customHeight="1" x14ac:dyDescent="0.2">
      <c r="A3" s="316" t="s">
        <v>163</v>
      </c>
      <c r="B3" s="326"/>
      <c r="C3" s="326"/>
      <c r="D3" s="327"/>
    </row>
    <row r="4" spans="1:4" ht="23.25" customHeight="1" x14ac:dyDescent="0.2">
      <c r="A4" s="1752" t="s">
        <v>164</v>
      </c>
      <c r="B4" s="1753"/>
      <c r="C4" s="1753"/>
      <c r="D4" s="1754"/>
    </row>
    <row r="5" spans="1:4" ht="18" customHeight="1" x14ac:dyDescent="0.2">
      <c r="A5" s="48" t="s">
        <v>153</v>
      </c>
      <c r="B5" s="1126" t="s">
        <v>154</v>
      </c>
      <c r="C5" s="1126" t="s">
        <v>155</v>
      </c>
      <c r="D5" s="49" t="s">
        <v>156</v>
      </c>
    </row>
    <row r="6" spans="1:4" ht="20.25" customHeight="1" x14ac:dyDescent="0.2">
      <c r="A6" s="73" t="s">
        <v>283</v>
      </c>
      <c r="B6" s="524" t="s">
        <v>742</v>
      </c>
      <c r="C6" s="524" t="s">
        <v>743</v>
      </c>
      <c r="D6" s="350">
        <v>3</v>
      </c>
    </row>
    <row r="7" spans="1:4" ht="20.25" customHeight="1" x14ac:dyDescent="0.2">
      <c r="A7" s="9" t="s">
        <v>284</v>
      </c>
      <c r="B7" s="525" t="s">
        <v>744</v>
      </c>
      <c r="C7" s="525" t="s">
        <v>773</v>
      </c>
      <c r="D7" s="416">
        <v>3</v>
      </c>
    </row>
    <row r="8" spans="1:4" ht="20.25" customHeight="1" x14ac:dyDescent="0.2">
      <c r="A8" s="9" t="s">
        <v>285</v>
      </c>
      <c r="B8" s="1127" t="s">
        <v>746</v>
      </c>
      <c r="C8" s="1127" t="s">
        <v>747</v>
      </c>
      <c r="D8" s="416">
        <v>3</v>
      </c>
    </row>
    <row r="9" spans="1:4" ht="24" customHeight="1" x14ac:dyDescent="0.2">
      <c r="A9" s="9" t="s">
        <v>288</v>
      </c>
      <c r="B9" s="1127" t="s">
        <v>762</v>
      </c>
      <c r="C9" s="1127" t="s">
        <v>763</v>
      </c>
      <c r="D9" s="416">
        <v>3</v>
      </c>
    </row>
    <row r="10" spans="1:4" ht="20.25" customHeight="1" x14ac:dyDescent="0.2">
      <c r="A10" s="9" t="s">
        <v>286</v>
      </c>
      <c r="B10" s="1127" t="s">
        <v>605</v>
      </c>
      <c r="C10" s="1127" t="s">
        <v>605</v>
      </c>
      <c r="D10" s="416" t="s">
        <v>605</v>
      </c>
    </row>
    <row r="11" spans="1:4" ht="20.25" customHeight="1" x14ac:dyDescent="0.2">
      <c r="A11" s="9" t="s">
        <v>287</v>
      </c>
      <c r="B11" s="1127" t="s">
        <v>752</v>
      </c>
      <c r="C11" s="1127" t="s">
        <v>753</v>
      </c>
      <c r="D11" s="416">
        <v>3</v>
      </c>
    </row>
    <row r="12" spans="1:4" ht="20.25" customHeight="1" x14ac:dyDescent="0.2">
      <c r="A12" s="522" t="s">
        <v>761</v>
      </c>
      <c r="B12" s="1127" t="s">
        <v>764</v>
      </c>
      <c r="C12" s="1127" t="s">
        <v>765</v>
      </c>
      <c r="D12" s="416">
        <v>3</v>
      </c>
    </row>
    <row r="13" spans="1:4" ht="20.25" customHeight="1" x14ac:dyDescent="0.2">
      <c r="A13" s="522"/>
      <c r="B13" s="1127"/>
      <c r="C13" s="1127"/>
      <c r="D13" s="416"/>
    </row>
    <row r="14" spans="1:4" ht="20.25" customHeight="1" x14ac:dyDescent="0.2">
      <c r="A14" s="522"/>
      <c r="B14" s="1127"/>
      <c r="C14" s="1127"/>
      <c r="D14" s="416"/>
    </row>
    <row r="15" spans="1:4" ht="20.25" customHeight="1" x14ac:dyDescent="0.2">
      <c r="A15" s="1128"/>
      <c r="B15" s="1127"/>
      <c r="C15" s="1127"/>
      <c r="D15" s="416"/>
    </row>
    <row r="16" spans="1:4" ht="20.25" customHeight="1" x14ac:dyDescent="0.2">
      <c r="A16" s="1129"/>
      <c r="B16" s="80"/>
      <c r="C16" s="80"/>
      <c r="D16" s="45"/>
    </row>
    <row r="17" spans="1:4" x14ac:dyDescent="0.2">
      <c r="A17" s="1719" t="s">
        <v>847</v>
      </c>
      <c r="B17" s="1243"/>
      <c r="C17" s="1243"/>
      <c r="D17" s="1244"/>
    </row>
    <row r="18" spans="1:4" ht="78" customHeight="1" thickBot="1" x14ac:dyDescent="0.25">
      <c r="A18" s="1547" t="s">
        <v>766</v>
      </c>
      <c r="B18" s="1548"/>
      <c r="C18" s="1548"/>
      <c r="D18" s="1549"/>
    </row>
    <row r="19" spans="1:4" ht="13.5" thickTop="1" x14ac:dyDescent="0.2">
      <c r="A19" s="29"/>
      <c r="B19" s="29"/>
      <c r="C19" s="29"/>
      <c r="D19" s="29"/>
    </row>
    <row r="20" spans="1:4" x14ac:dyDescent="0.2">
      <c r="A20" s="29"/>
      <c r="B20" s="29"/>
      <c r="C20" s="29"/>
      <c r="D20" s="29"/>
    </row>
    <row r="21" spans="1:4" x14ac:dyDescent="0.2">
      <c r="A21" s="29"/>
      <c r="B21" s="29"/>
      <c r="C21" s="29"/>
      <c r="D21" s="29"/>
    </row>
    <row r="22" spans="1:4" x14ac:dyDescent="0.2">
      <c r="A22" s="29"/>
      <c r="B22" s="29"/>
      <c r="C22" s="29"/>
      <c r="D22" s="29"/>
    </row>
    <row r="23" spans="1:4" x14ac:dyDescent="0.2">
      <c r="A23" s="29"/>
      <c r="B23" s="29"/>
      <c r="C23" s="29"/>
      <c r="D23" s="29"/>
    </row>
    <row r="24" spans="1:4" x14ac:dyDescent="0.2">
      <c r="A24" s="29"/>
      <c r="B24" s="29"/>
      <c r="C24" s="29"/>
      <c r="D24" s="29"/>
    </row>
    <row r="25" spans="1:4" x14ac:dyDescent="0.2">
      <c r="A25" s="29"/>
      <c r="B25" s="29"/>
      <c r="C25" s="29"/>
      <c r="D25" s="29"/>
    </row>
    <row r="26" spans="1:4" x14ac:dyDescent="0.2">
      <c r="A26" s="29"/>
      <c r="B26" s="29"/>
      <c r="C26" s="29"/>
      <c r="D26" s="29"/>
    </row>
    <row r="27" spans="1:4" x14ac:dyDescent="0.2">
      <c r="A27" s="29"/>
      <c r="B27" s="29"/>
      <c r="C27" s="29"/>
      <c r="D27" s="29"/>
    </row>
    <row r="28" spans="1:4" x14ac:dyDescent="0.2">
      <c r="A28" s="29"/>
      <c r="B28" s="29"/>
      <c r="C28" s="29"/>
      <c r="D28" s="29"/>
    </row>
    <row r="29" spans="1:4" x14ac:dyDescent="0.2">
      <c r="A29" s="29"/>
      <c r="B29" s="29"/>
      <c r="C29" s="29"/>
      <c r="D29" s="29"/>
    </row>
    <row r="30" spans="1:4" x14ac:dyDescent="0.2">
      <c r="A30" s="29"/>
      <c r="B30" s="29"/>
      <c r="C30" s="29"/>
      <c r="D30" s="29"/>
    </row>
    <row r="31" spans="1:4" x14ac:dyDescent="0.2">
      <c r="A31" s="29"/>
      <c r="B31" s="29"/>
      <c r="C31" s="29"/>
      <c r="D31" s="29"/>
    </row>
    <row r="32" spans="1:4" x14ac:dyDescent="0.2">
      <c r="A32" s="29"/>
      <c r="B32" s="29"/>
      <c r="C32" s="29"/>
      <c r="D32" s="29"/>
    </row>
    <row r="33" spans="1:4" x14ac:dyDescent="0.2">
      <c r="A33" s="29"/>
      <c r="B33" s="29"/>
      <c r="C33" s="29"/>
      <c r="D33" s="29"/>
    </row>
    <row r="34" spans="1:4" x14ac:dyDescent="0.2">
      <c r="A34" s="29"/>
      <c r="B34" s="29"/>
      <c r="C34" s="29"/>
      <c r="D34" s="29"/>
    </row>
    <row r="35" spans="1:4" x14ac:dyDescent="0.2">
      <c r="A35" s="29"/>
      <c r="B35" s="29"/>
      <c r="C35" s="29"/>
      <c r="D35" s="29"/>
    </row>
    <row r="36" spans="1:4" x14ac:dyDescent="0.2">
      <c r="A36" s="29"/>
      <c r="B36" s="29"/>
      <c r="C36" s="29"/>
      <c r="D36" s="29"/>
    </row>
    <row r="37" spans="1:4" x14ac:dyDescent="0.2">
      <c r="A37" s="29"/>
      <c r="B37" s="29"/>
      <c r="C37" s="29"/>
      <c r="D37" s="29"/>
    </row>
    <row r="38" spans="1:4" x14ac:dyDescent="0.2">
      <c r="A38" s="29"/>
      <c r="B38" s="29"/>
      <c r="C38" s="29"/>
      <c r="D38" s="29"/>
    </row>
    <row r="39" spans="1:4" x14ac:dyDescent="0.2">
      <c r="A39" s="29"/>
      <c r="B39" s="29"/>
      <c r="C39" s="29"/>
      <c r="D39" s="29"/>
    </row>
    <row r="40" spans="1:4" x14ac:dyDescent="0.2">
      <c r="A40" s="29"/>
      <c r="B40" s="29"/>
      <c r="C40" s="29"/>
      <c r="D40" s="29"/>
    </row>
    <row r="41" spans="1:4" x14ac:dyDescent="0.2">
      <c r="A41" s="37"/>
      <c r="B41" s="37"/>
      <c r="C41" s="37"/>
      <c r="D41" s="37"/>
    </row>
    <row r="42" spans="1:4" x14ac:dyDescent="0.2">
      <c r="A42" s="37"/>
      <c r="B42" s="37"/>
      <c r="C42" s="37"/>
      <c r="D42" s="37"/>
    </row>
    <row r="43" spans="1:4" x14ac:dyDescent="0.2">
      <c r="A43" s="37"/>
      <c r="B43" s="37"/>
      <c r="C43" s="37"/>
      <c r="D43" s="37"/>
    </row>
    <row r="44" spans="1:4" x14ac:dyDescent="0.2">
      <c r="A44" s="37"/>
      <c r="B44" s="37"/>
      <c r="C44" s="37"/>
      <c r="D44" s="37"/>
    </row>
    <row r="45" spans="1:4" x14ac:dyDescent="0.2">
      <c r="A45" s="37"/>
      <c r="B45" s="37"/>
      <c r="C45" s="37"/>
      <c r="D45" s="37"/>
    </row>
    <row r="46" spans="1:4" x14ac:dyDescent="0.2">
      <c r="A46" s="37"/>
      <c r="B46" s="37"/>
      <c r="C46" s="37"/>
      <c r="D46" s="37"/>
    </row>
    <row r="47" spans="1:4" x14ac:dyDescent="0.2">
      <c r="A47" s="37"/>
      <c r="B47" s="37"/>
      <c r="C47" s="37"/>
      <c r="D47" s="37"/>
    </row>
    <row r="48" spans="1:4" x14ac:dyDescent="0.2">
      <c r="A48" s="37"/>
      <c r="B48" s="37"/>
      <c r="C48" s="37"/>
      <c r="D48" s="37"/>
    </row>
    <row r="49" spans="1:4" x14ac:dyDescent="0.2">
      <c r="A49" s="37"/>
      <c r="B49" s="37"/>
      <c r="C49" s="37"/>
      <c r="D49" s="37"/>
    </row>
    <row r="50" spans="1:4" x14ac:dyDescent="0.2">
      <c r="A50" s="37"/>
      <c r="B50" s="37"/>
      <c r="C50" s="37"/>
      <c r="D50" s="37"/>
    </row>
    <row r="51" spans="1:4" x14ac:dyDescent="0.2">
      <c r="A51" s="37"/>
      <c r="B51" s="37"/>
      <c r="C51" s="37"/>
      <c r="D51" s="37"/>
    </row>
    <row r="52" spans="1:4" x14ac:dyDescent="0.2">
      <c r="A52" s="37"/>
      <c r="B52" s="37"/>
      <c r="C52" s="37"/>
      <c r="D52" s="37"/>
    </row>
    <row r="53" spans="1:4" x14ac:dyDescent="0.2">
      <c r="A53" s="37"/>
      <c r="B53" s="37"/>
      <c r="C53" s="37"/>
      <c r="D53" s="37"/>
    </row>
    <row r="54" spans="1:4" x14ac:dyDescent="0.2">
      <c r="A54" s="37"/>
      <c r="B54" s="37"/>
      <c r="C54" s="37"/>
      <c r="D54" s="37"/>
    </row>
    <row r="55" spans="1:4" x14ac:dyDescent="0.2">
      <c r="A55" s="37"/>
      <c r="B55" s="37"/>
      <c r="C55" s="37"/>
      <c r="D55" s="37"/>
    </row>
    <row r="56" spans="1:4" x14ac:dyDescent="0.2">
      <c r="A56" s="37"/>
      <c r="B56" s="37"/>
      <c r="C56" s="37"/>
      <c r="D56" s="37"/>
    </row>
    <row r="57" spans="1:4" x14ac:dyDescent="0.2">
      <c r="A57" s="37"/>
      <c r="B57" s="37"/>
      <c r="C57" s="37"/>
      <c r="D57" s="37"/>
    </row>
    <row r="58" spans="1:4" x14ac:dyDescent="0.2">
      <c r="A58" s="37"/>
      <c r="B58" s="37"/>
      <c r="C58" s="37"/>
      <c r="D58" s="37"/>
    </row>
    <row r="59" spans="1:4" x14ac:dyDescent="0.2">
      <c r="A59" s="37"/>
      <c r="B59" s="37"/>
      <c r="C59" s="37"/>
      <c r="D59" s="37"/>
    </row>
    <row r="60" spans="1:4" x14ac:dyDescent="0.2">
      <c r="A60" s="37"/>
      <c r="B60" s="37"/>
      <c r="C60" s="37"/>
      <c r="D60" s="37"/>
    </row>
    <row r="61" spans="1:4" x14ac:dyDescent="0.2">
      <c r="A61" s="37"/>
      <c r="B61" s="37"/>
      <c r="C61" s="37"/>
      <c r="D61" s="37"/>
    </row>
    <row r="62" spans="1:4" x14ac:dyDescent="0.2">
      <c r="A62" s="37"/>
      <c r="B62" s="37"/>
      <c r="C62" s="37"/>
      <c r="D62" s="37"/>
    </row>
    <row r="63" spans="1:4" x14ac:dyDescent="0.2">
      <c r="A63" s="37"/>
      <c r="B63" s="37"/>
      <c r="C63" s="37"/>
      <c r="D63" s="37"/>
    </row>
    <row r="64" spans="1:4" x14ac:dyDescent="0.2">
      <c r="A64" s="37"/>
      <c r="B64" s="37"/>
      <c r="C64" s="37"/>
      <c r="D64" s="37"/>
    </row>
    <row r="65" spans="1:4" x14ac:dyDescent="0.2">
      <c r="A65" s="37"/>
      <c r="B65" s="37"/>
      <c r="C65" s="37"/>
      <c r="D65" s="37"/>
    </row>
    <row r="66" spans="1:4" x14ac:dyDescent="0.2">
      <c r="A66" s="37"/>
      <c r="B66" s="37"/>
      <c r="C66" s="37"/>
      <c r="D66" s="37"/>
    </row>
    <row r="67" spans="1:4" x14ac:dyDescent="0.2">
      <c r="A67" s="37"/>
      <c r="B67" s="37"/>
      <c r="C67" s="37"/>
      <c r="D67" s="37"/>
    </row>
    <row r="68" spans="1:4" x14ac:dyDescent="0.2">
      <c r="A68" s="37"/>
      <c r="B68" s="37"/>
      <c r="C68" s="37"/>
      <c r="D68" s="37"/>
    </row>
    <row r="69" spans="1:4" x14ac:dyDescent="0.2">
      <c r="A69" s="37"/>
      <c r="B69" s="37"/>
      <c r="C69" s="37"/>
      <c r="D69" s="37"/>
    </row>
    <row r="70" spans="1:4" x14ac:dyDescent="0.2">
      <c r="A70" s="37"/>
      <c r="B70" s="37"/>
      <c r="C70" s="37"/>
      <c r="D70" s="37"/>
    </row>
    <row r="71" spans="1:4" x14ac:dyDescent="0.2">
      <c r="A71" s="37"/>
      <c r="B71" s="37"/>
      <c r="C71" s="37"/>
      <c r="D71" s="37"/>
    </row>
    <row r="72" spans="1:4" x14ac:dyDescent="0.2">
      <c r="A72" s="37"/>
      <c r="B72" s="37"/>
      <c r="C72" s="37"/>
      <c r="D72" s="37"/>
    </row>
    <row r="73" spans="1:4" x14ac:dyDescent="0.2">
      <c r="A73" s="37"/>
      <c r="B73" s="37"/>
      <c r="C73" s="37"/>
      <c r="D73" s="37"/>
    </row>
    <row r="74" spans="1:4" x14ac:dyDescent="0.2">
      <c r="A74" s="37"/>
      <c r="B74" s="37"/>
      <c r="C74" s="37"/>
      <c r="D74" s="37"/>
    </row>
  </sheetData>
  <mergeCells count="4">
    <mergeCell ref="A4:D4"/>
    <mergeCell ref="A18:D18"/>
    <mergeCell ref="A17:D17"/>
    <mergeCell ref="B1:D1"/>
  </mergeCells>
  <phoneticPr fontId="65" type="noConversion"/>
  <pageMargins left="0.40583333300000002" right="0.12833333333333299" top="0.75" bottom="0.75" header="0.3" footer="0.3"/>
  <pageSetup scale="83" orientation="landscape" r:id="rId1"/>
  <headerFooter>
    <oddHeader>&amp;LAKIS A 2012</oddHeader>
    <oddFooter>&amp;LAmerican Indian Higher Education Consortium</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dimension ref="A1:AG102"/>
  <sheetViews>
    <sheetView topLeftCell="A13" zoomScaleNormal="100" workbookViewId="0">
      <selection activeCell="C10" sqref="C10"/>
    </sheetView>
  </sheetViews>
  <sheetFormatPr defaultColWidth="9.140625" defaultRowHeight="12.75" x14ac:dyDescent="0.2"/>
  <cols>
    <col min="1" max="1" width="21.7109375" style="30" customWidth="1"/>
    <col min="2" max="2" width="14.42578125" style="30" customWidth="1"/>
    <col min="3" max="13" width="7.7109375" style="30" customWidth="1"/>
    <col min="14" max="18" width="7.7109375" style="37" customWidth="1"/>
    <col min="19" max="30" width="9.140625" style="37"/>
    <col min="31" max="16384" width="9.140625" style="30"/>
  </cols>
  <sheetData>
    <row r="1" spans="1:30" s="20" customFormat="1" ht="15" x14ac:dyDescent="0.25">
      <c r="A1" s="994" t="s">
        <v>823</v>
      </c>
      <c r="B1" s="1755" t="str">
        <f>'1.1a Overall Instit. Profile'!B1</f>
        <v>Oglala Lakota College</v>
      </c>
      <c r="C1" s="1755"/>
      <c r="D1" s="1755"/>
      <c r="E1" s="1755"/>
      <c r="F1" s="1755"/>
      <c r="G1" s="1755"/>
      <c r="H1" s="1755"/>
      <c r="I1" s="1755"/>
      <c r="J1" s="1755"/>
      <c r="K1" s="1755"/>
      <c r="L1" s="1755"/>
      <c r="M1" s="1755"/>
      <c r="N1" s="1755"/>
      <c r="O1" s="1755"/>
      <c r="P1" s="1755"/>
      <c r="Q1" s="1755"/>
      <c r="R1" s="1756"/>
    </row>
    <row r="2" spans="1:30" ht="18.75" customHeight="1" x14ac:dyDescent="0.2">
      <c r="A2" s="1730" t="s">
        <v>846</v>
      </c>
      <c r="B2" s="1731"/>
      <c r="C2" s="1731"/>
      <c r="D2" s="1731"/>
      <c r="E2" s="1731"/>
      <c r="F2" s="1731"/>
      <c r="G2" s="1731"/>
      <c r="H2" s="1731"/>
      <c r="I2" s="1731"/>
      <c r="J2" s="1731"/>
      <c r="K2" s="1731"/>
      <c r="L2" s="1731"/>
      <c r="M2" s="1731"/>
      <c r="N2" s="1731"/>
      <c r="O2" s="1731"/>
      <c r="P2" s="1731"/>
      <c r="Q2" s="1731"/>
      <c r="R2" s="1732"/>
    </row>
    <row r="3" spans="1:30" ht="31.5" customHeight="1" x14ac:dyDescent="0.2">
      <c r="A3" s="1602" t="s">
        <v>433</v>
      </c>
      <c r="B3" s="1603"/>
      <c r="C3" s="1603"/>
      <c r="D3" s="1603"/>
      <c r="E3" s="1603"/>
      <c r="F3" s="1603"/>
      <c r="G3" s="1603"/>
      <c r="H3" s="1603"/>
      <c r="I3" s="1603"/>
      <c r="J3" s="1603"/>
      <c r="K3" s="1603"/>
      <c r="L3" s="1603"/>
      <c r="M3" s="1603"/>
      <c r="N3" s="1603"/>
      <c r="O3" s="1603"/>
      <c r="P3" s="1603"/>
      <c r="Q3" s="1603"/>
      <c r="R3" s="1604"/>
    </row>
    <row r="4" spans="1:30" ht="27" customHeight="1" x14ac:dyDescent="0.2">
      <c r="A4" s="1716" t="s">
        <v>165</v>
      </c>
      <c r="B4" s="1717"/>
      <c r="C4" s="1717"/>
      <c r="D4" s="1717"/>
      <c r="E4" s="1717"/>
      <c r="F4" s="1717"/>
      <c r="G4" s="1717"/>
      <c r="H4" s="1717"/>
      <c r="I4" s="1717"/>
      <c r="J4" s="1717"/>
      <c r="K4" s="1717"/>
      <c r="L4" s="1717"/>
      <c r="M4" s="1717"/>
      <c r="N4" s="1717"/>
      <c r="O4" s="1717"/>
      <c r="P4" s="1717"/>
      <c r="Q4" s="1717"/>
      <c r="R4" s="1718"/>
    </row>
    <row r="5" spans="1:30" s="83" customFormat="1" ht="17.25" customHeight="1" x14ac:dyDescent="0.2">
      <c r="A5" s="1757" t="s">
        <v>166</v>
      </c>
      <c r="B5" s="1758"/>
      <c r="C5" s="1758"/>
      <c r="D5" s="1758"/>
      <c r="E5" s="1758"/>
      <c r="F5" s="1758"/>
      <c r="G5" s="1758"/>
      <c r="H5" s="1758"/>
      <c r="I5" s="1758"/>
      <c r="J5" s="1758"/>
      <c r="K5" s="1758"/>
      <c r="L5" s="1758"/>
      <c r="M5" s="1758"/>
      <c r="N5" s="1758"/>
      <c r="O5" s="1758"/>
      <c r="P5" s="1758"/>
      <c r="Q5" s="1758"/>
      <c r="R5" s="1759"/>
      <c r="S5" s="37"/>
      <c r="T5" s="37"/>
      <c r="U5" s="37"/>
      <c r="V5" s="37"/>
      <c r="W5" s="37"/>
      <c r="X5" s="37"/>
      <c r="Y5" s="37"/>
      <c r="Z5" s="37"/>
      <c r="AA5" s="37"/>
      <c r="AB5" s="37"/>
      <c r="AC5" s="37"/>
      <c r="AD5" s="37"/>
    </row>
    <row r="6" spans="1:30" ht="13.5" customHeight="1" x14ac:dyDescent="0.2">
      <c r="A6" s="1734" t="s">
        <v>153</v>
      </c>
      <c r="B6" s="1737" t="s">
        <v>159</v>
      </c>
      <c r="C6" s="1721" t="s">
        <v>423</v>
      </c>
      <c r="D6" s="1722"/>
      <c r="E6" s="1722"/>
      <c r="F6" s="1722"/>
      <c r="G6" s="1722"/>
      <c r="H6" s="1722"/>
      <c r="I6" s="1722"/>
      <c r="J6" s="1722"/>
      <c r="K6" s="1722"/>
      <c r="L6" s="1722"/>
      <c r="M6" s="1722"/>
      <c r="N6" s="1722"/>
      <c r="O6" s="1722"/>
      <c r="P6" s="1722"/>
      <c r="Q6" s="1722"/>
      <c r="R6" s="1723"/>
    </row>
    <row r="7" spans="1:30" ht="24" customHeight="1" x14ac:dyDescent="0.2">
      <c r="A7" s="1735"/>
      <c r="B7" s="1738"/>
      <c r="C7" s="1747" t="s">
        <v>473</v>
      </c>
      <c r="D7" s="1304"/>
      <c r="E7" s="1304"/>
      <c r="F7" s="1748"/>
      <c r="G7" s="1749" t="s">
        <v>474</v>
      </c>
      <c r="H7" s="1749"/>
      <c r="I7" s="1749"/>
      <c r="J7" s="1749"/>
      <c r="K7" s="1749" t="s">
        <v>557</v>
      </c>
      <c r="L7" s="1749"/>
      <c r="M7" s="1749"/>
      <c r="N7" s="1749"/>
      <c r="O7" s="1750" t="s">
        <v>475</v>
      </c>
      <c r="P7" s="1304"/>
      <c r="Q7" s="1304"/>
      <c r="R7" s="1751"/>
    </row>
    <row r="8" spans="1:30" ht="12.75" customHeight="1" x14ac:dyDescent="0.2">
      <c r="A8" s="1735"/>
      <c r="B8" s="1738"/>
      <c r="C8" s="1724" t="s">
        <v>873</v>
      </c>
      <c r="D8" s="1725"/>
      <c r="E8" s="1725" t="s">
        <v>874</v>
      </c>
      <c r="F8" s="1726"/>
      <c r="G8" s="1724" t="s">
        <v>873</v>
      </c>
      <c r="H8" s="1725"/>
      <c r="I8" s="1725" t="s">
        <v>874</v>
      </c>
      <c r="J8" s="1726"/>
      <c r="K8" s="1724" t="s">
        <v>873</v>
      </c>
      <c r="L8" s="1725"/>
      <c r="M8" s="1725" t="s">
        <v>874</v>
      </c>
      <c r="N8" s="1726"/>
      <c r="O8" s="1724" t="s">
        <v>873</v>
      </c>
      <c r="P8" s="1725"/>
      <c r="Q8" s="1725" t="s">
        <v>874</v>
      </c>
      <c r="R8" s="1733"/>
    </row>
    <row r="9" spans="1:30" ht="12.75" customHeight="1" x14ac:dyDescent="0.2">
      <c r="A9" s="1736"/>
      <c r="B9" s="1739"/>
      <c r="C9" s="982" t="s">
        <v>875</v>
      </c>
      <c r="D9" s="983" t="s">
        <v>876</v>
      </c>
      <c r="E9" s="985" t="s">
        <v>875</v>
      </c>
      <c r="F9" s="984" t="s">
        <v>876</v>
      </c>
      <c r="G9" s="982" t="s">
        <v>875</v>
      </c>
      <c r="H9" s="983" t="s">
        <v>876</v>
      </c>
      <c r="I9" s="985" t="s">
        <v>875</v>
      </c>
      <c r="J9" s="984" t="s">
        <v>876</v>
      </c>
      <c r="K9" s="982" t="s">
        <v>875</v>
      </c>
      <c r="L9" s="983" t="s">
        <v>876</v>
      </c>
      <c r="M9" s="985" t="s">
        <v>875</v>
      </c>
      <c r="N9" s="984" t="s">
        <v>876</v>
      </c>
      <c r="O9" s="982" t="s">
        <v>875</v>
      </c>
      <c r="P9" s="983" t="s">
        <v>876</v>
      </c>
      <c r="Q9" s="985" t="s">
        <v>875</v>
      </c>
      <c r="R9" s="986" t="s">
        <v>876</v>
      </c>
    </row>
    <row r="10" spans="1:30" x14ac:dyDescent="0.2">
      <c r="A10" s="76"/>
      <c r="B10" s="378" t="s">
        <v>160</v>
      </c>
      <c r="C10" s="84" t="s">
        <v>605</v>
      </c>
      <c r="D10" s="248" t="s">
        <v>605</v>
      </c>
      <c r="E10" s="248" t="s">
        <v>605</v>
      </c>
      <c r="F10" s="648" t="s">
        <v>605</v>
      </c>
      <c r="G10" s="84" t="s">
        <v>605</v>
      </c>
      <c r="H10" s="248" t="s">
        <v>605</v>
      </c>
      <c r="I10" s="248" t="s">
        <v>605</v>
      </c>
      <c r="J10" s="648" t="s">
        <v>605</v>
      </c>
      <c r="K10" s="84" t="s">
        <v>605</v>
      </c>
      <c r="L10" s="248" t="s">
        <v>605</v>
      </c>
      <c r="M10" s="248" t="s">
        <v>605</v>
      </c>
      <c r="N10" s="648" t="s">
        <v>605</v>
      </c>
      <c r="O10" s="84" t="s">
        <v>605</v>
      </c>
      <c r="P10" s="248" t="s">
        <v>605</v>
      </c>
      <c r="Q10" s="248" t="s">
        <v>605</v>
      </c>
      <c r="R10" s="987" t="s">
        <v>605</v>
      </c>
    </row>
    <row r="11" spans="1:30" x14ac:dyDescent="0.2">
      <c r="A11" s="76" t="str">
        <f>'5.3 Vocational Core Curriculum'!A6</f>
        <v>English Composition I</v>
      </c>
      <c r="B11" s="746" t="s">
        <v>161</v>
      </c>
      <c r="C11" s="85" t="s">
        <v>605</v>
      </c>
      <c r="D11" s="381" t="s">
        <v>605</v>
      </c>
      <c r="E11" s="381" t="s">
        <v>605</v>
      </c>
      <c r="F11" s="971" t="s">
        <v>605</v>
      </c>
      <c r="G11" s="85" t="s">
        <v>605</v>
      </c>
      <c r="H11" s="381" t="s">
        <v>605</v>
      </c>
      <c r="I11" s="381" t="s">
        <v>605</v>
      </c>
      <c r="J11" s="971" t="s">
        <v>605</v>
      </c>
      <c r="K11" s="85" t="s">
        <v>605</v>
      </c>
      <c r="L11" s="381" t="s">
        <v>605</v>
      </c>
      <c r="M11" s="381" t="s">
        <v>605</v>
      </c>
      <c r="N11" s="971" t="s">
        <v>605</v>
      </c>
      <c r="O11" s="85" t="s">
        <v>605</v>
      </c>
      <c r="P11" s="381" t="s">
        <v>605</v>
      </c>
      <c r="Q11" s="381" t="s">
        <v>605</v>
      </c>
      <c r="R11" s="988" t="s">
        <v>605</v>
      </c>
    </row>
    <row r="12" spans="1:30" x14ac:dyDescent="0.2">
      <c r="A12" s="77"/>
      <c r="B12" s="379" t="s">
        <v>162</v>
      </c>
      <c r="C12" s="972" t="s">
        <v>605</v>
      </c>
      <c r="D12" s="973" t="s">
        <v>605</v>
      </c>
      <c r="E12" s="973" t="s">
        <v>605</v>
      </c>
      <c r="F12" s="974" t="s">
        <v>605</v>
      </c>
      <c r="G12" s="972" t="s">
        <v>605</v>
      </c>
      <c r="H12" s="973" t="s">
        <v>605</v>
      </c>
      <c r="I12" s="973" t="s">
        <v>605</v>
      </c>
      <c r="J12" s="974" t="s">
        <v>605</v>
      </c>
      <c r="K12" s="972" t="s">
        <v>605</v>
      </c>
      <c r="L12" s="973" t="s">
        <v>605</v>
      </c>
      <c r="M12" s="973" t="s">
        <v>605</v>
      </c>
      <c r="N12" s="974" t="s">
        <v>605</v>
      </c>
      <c r="O12" s="972" t="s">
        <v>605</v>
      </c>
      <c r="P12" s="973" t="s">
        <v>605</v>
      </c>
      <c r="Q12" s="973" t="s">
        <v>605</v>
      </c>
      <c r="R12" s="989" t="s">
        <v>605</v>
      </c>
    </row>
    <row r="13" spans="1:30" x14ac:dyDescent="0.2">
      <c r="A13" s="76"/>
      <c r="B13" s="378" t="s">
        <v>160</v>
      </c>
      <c r="C13" s="656" t="s">
        <v>605</v>
      </c>
      <c r="D13" s="975" t="s">
        <v>605</v>
      </c>
      <c r="E13" s="975" t="s">
        <v>605</v>
      </c>
      <c r="F13" s="657" t="s">
        <v>605</v>
      </c>
      <c r="G13" s="656" t="s">
        <v>605</v>
      </c>
      <c r="H13" s="975" t="s">
        <v>605</v>
      </c>
      <c r="I13" s="975" t="s">
        <v>605</v>
      </c>
      <c r="J13" s="657" t="s">
        <v>605</v>
      </c>
      <c r="K13" s="656" t="s">
        <v>605</v>
      </c>
      <c r="L13" s="975" t="s">
        <v>605</v>
      </c>
      <c r="M13" s="975" t="s">
        <v>605</v>
      </c>
      <c r="N13" s="657" t="s">
        <v>605</v>
      </c>
      <c r="O13" s="656" t="s">
        <v>605</v>
      </c>
      <c r="P13" s="975" t="s">
        <v>605</v>
      </c>
      <c r="Q13" s="975" t="s">
        <v>605</v>
      </c>
      <c r="R13" s="658" t="s">
        <v>605</v>
      </c>
    </row>
    <row r="14" spans="1:30" x14ac:dyDescent="0.2">
      <c r="A14" s="76" t="str">
        <f>'5.3 Vocational Core Curriculum'!A7</f>
        <v>English Composition II</v>
      </c>
      <c r="B14" s="746" t="s">
        <v>161</v>
      </c>
      <c r="C14" s="976" t="s">
        <v>605</v>
      </c>
      <c r="D14" s="977" t="s">
        <v>605</v>
      </c>
      <c r="E14" s="977" t="s">
        <v>605</v>
      </c>
      <c r="F14" s="978" t="s">
        <v>605</v>
      </c>
      <c r="G14" s="976" t="s">
        <v>605</v>
      </c>
      <c r="H14" s="977" t="s">
        <v>605</v>
      </c>
      <c r="I14" s="977" t="s">
        <v>605</v>
      </c>
      <c r="J14" s="978" t="s">
        <v>605</v>
      </c>
      <c r="K14" s="976" t="s">
        <v>605</v>
      </c>
      <c r="L14" s="977" t="s">
        <v>605</v>
      </c>
      <c r="M14" s="977" t="s">
        <v>605</v>
      </c>
      <c r="N14" s="978" t="s">
        <v>605</v>
      </c>
      <c r="O14" s="976" t="s">
        <v>605</v>
      </c>
      <c r="P14" s="977" t="s">
        <v>605</v>
      </c>
      <c r="Q14" s="977" t="s">
        <v>605</v>
      </c>
      <c r="R14" s="990" t="s">
        <v>605</v>
      </c>
    </row>
    <row r="15" spans="1:30" x14ac:dyDescent="0.2">
      <c r="A15" s="77"/>
      <c r="B15" s="379" t="s">
        <v>162</v>
      </c>
      <c r="C15" s="979" t="s">
        <v>605</v>
      </c>
      <c r="D15" s="980" t="s">
        <v>605</v>
      </c>
      <c r="E15" s="980" t="s">
        <v>605</v>
      </c>
      <c r="F15" s="981" t="s">
        <v>605</v>
      </c>
      <c r="G15" s="979" t="s">
        <v>605</v>
      </c>
      <c r="H15" s="980" t="s">
        <v>605</v>
      </c>
      <c r="I15" s="980" t="s">
        <v>605</v>
      </c>
      <c r="J15" s="981" t="s">
        <v>605</v>
      </c>
      <c r="K15" s="979" t="s">
        <v>605</v>
      </c>
      <c r="L15" s="980" t="s">
        <v>605</v>
      </c>
      <c r="M15" s="980" t="s">
        <v>605</v>
      </c>
      <c r="N15" s="981" t="s">
        <v>605</v>
      </c>
      <c r="O15" s="979" t="s">
        <v>605</v>
      </c>
      <c r="P15" s="980" t="s">
        <v>605</v>
      </c>
      <c r="Q15" s="980" t="s">
        <v>605</v>
      </c>
      <c r="R15" s="991" t="s">
        <v>605</v>
      </c>
    </row>
    <row r="16" spans="1:30" x14ac:dyDescent="0.2">
      <c r="A16" s="76"/>
      <c r="B16" s="378" t="s">
        <v>160</v>
      </c>
      <c r="C16" s="656" t="s">
        <v>605</v>
      </c>
      <c r="D16" s="975" t="s">
        <v>605</v>
      </c>
      <c r="E16" s="975" t="s">
        <v>605</v>
      </c>
      <c r="F16" s="657" t="s">
        <v>605</v>
      </c>
      <c r="G16" s="656" t="s">
        <v>605</v>
      </c>
      <c r="H16" s="975" t="s">
        <v>605</v>
      </c>
      <c r="I16" s="975" t="s">
        <v>605</v>
      </c>
      <c r="J16" s="657" t="s">
        <v>605</v>
      </c>
      <c r="K16" s="656" t="s">
        <v>605</v>
      </c>
      <c r="L16" s="975" t="s">
        <v>605</v>
      </c>
      <c r="M16" s="975" t="s">
        <v>605</v>
      </c>
      <c r="N16" s="657" t="s">
        <v>605</v>
      </c>
      <c r="O16" s="656" t="s">
        <v>605</v>
      </c>
      <c r="P16" s="975" t="s">
        <v>605</v>
      </c>
      <c r="Q16" s="975" t="s">
        <v>605</v>
      </c>
      <c r="R16" s="658" t="s">
        <v>605</v>
      </c>
    </row>
    <row r="17" spans="1:18" x14ac:dyDescent="0.2">
      <c r="A17" s="76" t="str">
        <f>'5.3 Vocational Core Curriculum'!A8</f>
        <v>Communications</v>
      </c>
      <c r="B17" s="746" t="s">
        <v>161</v>
      </c>
      <c r="C17" s="976" t="s">
        <v>605</v>
      </c>
      <c r="D17" s="977" t="s">
        <v>605</v>
      </c>
      <c r="E17" s="977" t="s">
        <v>605</v>
      </c>
      <c r="F17" s="978" t="s">
        <v>605</v>
      </c>
      <c r="G17" s="976" t="s">
        <v>605</v>
      </c>
      <c r="H17" s="977" t="s">
        <v>605</v>
      </c>
      <c r="I17" s="977" t="s">
        <v>605</v>
      </c>
      <c r="J17" s="978" t="s">
        <v>605</v>
      </c>
      <c r="K17" s="976" t="s">
        <v>605</v>
      </c>
      <c r="L17" s="977" t="s">
        <v>605</v>
      </c>
      <c r="M17" s="977" t="s">
        <v>605</v>
      </c>
      <c r="N17" s="978" t="s">
        <v>605</v>
      </c>
      <c r="O17" s="976" t="s">
        <v>605</v>
      </c>
      <c r="P17" s="977" t="s">
        <v>605</v>
      </c>
      <c r="Q17" s="977" t="s">
        <v>605</v>
      </c>
      <c r="R17" s="990" t="s">
        <v>605</v>
      </c>
    </row>
    <row r="18" spans="1:18" x14ac:dyDescent="0.2">
      <c r="A18" s="77"/>
      <c r="B18" s="379" t="s">
        <v>162</v>
      </c>
      <c r="C18" s="979" t="s">
        <v>605</v>
      </c>
      <c r="D18" s="980" t="s">
        <v>605</v>
      </c>
      <c r="E18" s="980" t="s">
        <v>605</v>
      </c>
      <c r="F18" s="981" t="s">
        <v>605</v>
      </c>
      <c r="G18" s="979" t="s">
        <v>605</v>
      </c>
      <c r="H18" s="980" t="s">
        <v>605</v>
      </c>
      <c r="I18" s="980" t="s">
        <v>605</v>
      </c>
      <c r="J18" s="981" t="s">
        <v>605</v>
      </c>
      <c r="K18" s="979" t="s">
        <v>605</v>
      </c>
      <c r="L18" s="980" t="s">
        <v>605</v>
      </c>
      <c r="M18" s="980" t="s">
        <v>605</v>
      </c>
      <c r="N18" s="981" t="s">
        <v>605</v>
      </c>
      <c r="O18" s="979" t="s">
        <v>605</v>
      </c>
      <c r="P18" s="980" t="s">
        <v>605</v>
      </c>
      <c r="Q18" s="980" t="s">
        <v>605</v>
      </c>
      <c r="R18" s="991" t="s">
        <v>605</v>
      </c>
    </row>
    <row r="19" spans="1:18" x14ac:dyDescent="0.2">
      <c r="A19" s="76"/>
      <c r="B19" s="378" t="s">
        <v>160</v>
      </c>
      <c r="C19" s="656" t="s">
        <v>605</v>
      </c>
      <c r="D19" s="975" t="s">
        <v>605</v>
      </c>
      <c r="E19" s="975" t="s">
        <v>605</v>
      </c>
      <c r="F19" s="657" t="s">
        <v>605</v>
      </c>
      <c r="G19" s="656" t="s">
        <v>605</v>
      </c>
      <c r="H19" s="975" t="s">
        <v>605</v>
      </c>
      <c r="I19" s="975" t="s">
        <v>605</v>
      </c>
      <c r="J19" s="657" t="s">
        <v>605</v>
      </c>
      <c r="K19" s="656" t="s">
        <v>605</v>
      </c>
      <c r="L19" s="975" t="s">
        <v>605</v>
      </c>
      <c r="M19" s="975" t="s">
        <v>605</v>
      </c>
      <c r="N19" s="657" t="s">
        <v>605</v>
      </c>
      <c r="O19" s="656" t="s">
        <v>605</v>
      </c>
      <c r="P19" s="975" t="s">
        <v>605</v>
      </c>
      <c r="Q19" s="975" t="s">
        <v>605</v>
      </c>
      <c r="R19" s="658" t="s">
        <v>605</v>
      </c>
    </row>
    <row r="20" spans="1:18" x14ac:dyDescent="0.2">
      <c r="A20" s="76" t="str">
        <f>'5.3 Vocational Core Curriculum'!A9</f>
        <v>General Mathematics</v>
      </c>
      <c r="B20" s="746" t="s">
        <v>161</v>
      </c>
      <c r="C20" s="976" t="s">
        <v>605</v>
      </c>
      <c r="D20" s="977" t="s">
        <v>605</v>
      </c>
      <c r="E20" s="977" t="s">
        <v>605</v>
      </c>
      <c r="F20" s="978" t="s">
        <v>605</v>
      </c>
      <c r="G20" s="976" t="s">
        <v>605</v>
      </c>
      <c r="H20" s="977" t="s">
        <v>605</v>
      </c>
      <c r="I20" s="977" t="s">
        <v>605</v>
      </c>
      <c r="J20" s="978" t="s">
        <v>605</v>
      </c>
      <c r="K20" s="976" t="s">
        <v>605</v>
      </c>
      <c r="L20" s="977" t="s">
        <v>605</v>
      </c>
      <c r="M20" s="977" t="s">
        <v>605</v>
      </c>
      <c r="N20" s="978" t="s">
        <v>605</v>
      </c>
      <c r="O20" s="976" t="s">
        <v>605</v>
      </c>
      <c r="P20" s="977" t="s">
        <v>605</v>
      </c>
      <c r="Q20" s="977" t="s">
        <v>605</v>
      </c>
      <c r="R20" s="990" t="s">
        <v>605</v>
      </c>
    </row>
    <row r="21" spans="1:18" x14ac:dyDescent="0.2">
      <c r="A21" s="77"/>
      <c r="B21" s="379" t="s">
        <v>162</v>
      </c>
      <c r="C21" s="979" t="s">
        <v>605</v>
      </c>
      <c r="D21" s="980" t="s">
        <v>605</v>
      </c>
      <c r="E21" s="980" t="s">
        <v>605</v>
      </c>
      <c r="F21" s="981" t="s">
        <v>605</v>
      </c>
      <c r="G21" s="979" t="s">
        <v>605</v>
      </c>
      <c r="H21" s="980" t="s">
        <v>605</v>
      </c>
      <c r="I21" s="980" t="s">
        <v>605</v>
      </c>
      <c r="J21" s="981" t="s">
        <v>605</v>
      </c>
      <c r="K21" s="979" t="s">
        <v>605</v>
      </c>
      <c r="L21" s="980" t="s">
        <v>605</v>
      </c>
      <c r="M21" s="980" t="s">
        <v>605</v>
      </c>
      <c r="N21" s="981" t="s">
        <v>605</v>
      </c>
      <c r="O21" s="979" t="s">
        <v>605</v>
      </c>
      <c r="P21" s="980" t="s">
        <v>605</v>
      </c>
      <c r="Q21" s="980" t="s">
        <v>605</v>
      </c>
      <c r="R21" s="991" t="s">
        <v>605</v>
      </c>
    </row>
    <row r="22" spans="1:18" x14ac:dyDescent="0.2">
      <c r="A22" s="76"/>
      <c r="B22" s="378" t="s">
        <v>160</v>
      </c>
      <c r="C22" s="742" t="s">
        <v>605</v>
      </c>
      <c r="D22" s="94" t="s">
        <v>605</v>
      </c>
      <c r="E22" s="94" t="s">
        <v>605</v>
      </c>
      <c r="F22" s="743" t="s">
        <v>605</v>
      </c>
      <c r="G22" s="742" t="s">
        <v>605</v>
      </c>
      <c r="H22" s="94" t="s">
        <v>605</v>
      </c>
      <c r="I22" s="94" t="s">
        <v>605</v>
      </c>
      <c r="J22" s="743" t="s">
        <v>605</v>
      </c>
      <c r="K22" s="742" t="s">
        <v>605</v>
      </c>
      <c r="L22" s="94" t="s">
        <v>605</v>
      </c>
      <c r="M22" s="94" t="s">
        <v>605</v>
      </c>
      <c r="N22" s="743" t="s">
        <v>605</v>
      </c>
      <c r="O22" s="742" t="s">
        <v>605</v>
      </c>
      <c r="P22" s="94" t="s">
        <v>605</v>
      </c>
      <c r="Q22" s="94" t="s">
        <v>605</v>
      </c>
      <c r="R22" s="992" t="s">
        <v>605</v>
      </c>
    </row>
    <row r="23" spans="1:18" x14ac:dyDescent="0.2">
      <c r="A23" s="76" t="str">
        <f>'5.3 Vocational Core Curriculum'!A10</f>
        <v>Introduction to Computers</v>
      </c>
      <c r="B23" s="746" t="s">
        <v>161</v>
      </c>
      <c r="C23" s="85" t="s">
        <v>605</v>
      </c>
      <c r="D23" s="381" t="s">
        <v>605</v>
      </c>
      <c r="E23" s="381" t="s">
        <v>605</v>
      </c>
      <c r="F23" s="971" t="s">
        <v>605</v>
      </c>
      <c r="G23" s="85" t="s">
        <v>605</v>
      </c>
      <c r="H23" s="381" t="s">
        <v>605</v>
      </c>
      <c r="I23" s="381" t="s">
        <v>605</v>
      </c>
      <c r="J23" s="971" t="s">
        <v>605</v>
      </c>
      <c r="K23" s="85" t="s">
        <v>605</v>
      </c>
      <c r="L23" s="381" t="s">
        <v>605</v>
      </c>
      <c r="M23" s="381" t="s">
        <v>605</v>
      </c>
      <c r="N23" s="971" t="s">
        <v>605</v>
      </c>
      <c r="O23" s="85" t="s">
        <v>605</v>
      </c>
      <c r="P23" s="381" t="s">
        <v>605</v>
      </c>
      <c r="Q23" s="381" t="s">
        <v>605</v>
      </c>
      <c r="R23" s="988" t="s">
        <v>605</v>
      </c>
    </row>
    <row r="24" spans="1:18" x14ac:dyDescent="0.2">
      <c r="A24" s="77"/>
      <c r="B24" s="379" t="s">
        <v>162</v>
      </c>
      <c r="C24" s="972" t="s">
        <v>605</v>
      </c>
      <c r="D24" s="973" t="s">
        <v>605</v>
      </c>
      <c r="E24" s="973" t="s">
        <v>605</v>
      </c>
      <c r="F24" s="974" t="s">
        <v>605</v>
      </c>
      <c r="G24" s="972" t="s">
        <v>605</v>
      </c>
      <c r="H24" s="973" t="s">
        <v>605</v>
      </c>
      <c r="I24" s="973" t="s">
        <v>605</v>
      </c>
      <c r="J24" s="974" t="s">
        <v>605</v>
      </c>
      <c r="K24" s="972" t="s">
        <v>605</v>
      </c>
      <c r="L24" s="973" t="s">
        <v>605</v>
      </c>
      <c r="M24" s="973" t="s">
        <v>605</v>
      </c>
      <c r="N24" s="974" t="s">
        <v>605</v>
      </c>
      <c r="O24" s="972" t="s">
        <v>605</v>
      </c>
      <c r="P24" s="973" t="s">
        <v>605</v>
      </c>
      <c r="Q24" s="973" t="s">
        <v>605</v>
      </c>
      <c r="R24" s="989" t="s">
        <v>605</v>
      </c>
    </row>
    <row r="25" spans="1:18" x14ac:dyDescent="0.2">
      <c r="A25" s="76"/>
      <c r="B25" s="378" t="s">
        <v>160</v>
      </c>
      <c r="C25" s="742" t="s">
        <v>605</v>
      </c>
      <c r="D25" s="94" t="s">
        <v>605</v>
      </c>
      <c r="E25" s="94" t="s">
        <v>605</v>
      </c>
      <c r="F25" s="743" t="s">
        <v>605</v>
      </c>
      <c r="G25" s="742" t="s">
        <v>605</v>
      </c>
      <c r="H25" s="94" t="s">
        <v>605</v>
      </c>
      <c r="I25" s="94" t="s">
        <v>605</v>
      </c>
      <c r="J25" s="743" t="s">
        <v>605</v>
      </c>
      <c r="K25" s="742" t="s">
        <v>605</v>
      </c>
      <c r="L25" s="94" t="s">
        <v>605</v>
      </c>
      <c r="M25" s="94" t="s">
        <v>605</v>
      </c>
      <c r="N25" s="743" t="s">
        <v>605</v>
      </c>
      <c r="O25" s="742" t="s">
        <v>605</v>
      </c>
      <c r="P25" s="94" t="s">
        <v>605</v>
      </c>
      <c r="Q25" s="94" t="s">
        <v>605</v>
      </c>
      <c r="R25" s="992" t="s">
        <v>605</v>
      </c>
    </row>
    <row r="26" spans="1:18" x14ac:dyDescent="0.2">
      <c r="A26" s="76" t="str">
        <f>'5.3 Vocational Core Curriculum'!A11</f>
        <v>Native American Studies</v>
      </c>
      <c r="B26" s="746" t="s">
        <v>161</v>
      </c>
      <c r="C26" s="85" t="s">
        <v>605</v>
      </c>
      <c r="D26" s="381" t="s">
        <v>605</v>
      </c>
      <c r="E26" s="381" t="s">
        <v>605</v>
      </c>
      <c r="F26" s="971" t="s">
        <v>605</v>
      </c>
      <c r="G26" s="85" t="s">
        <v>605</v>
      </c>
      <c r="H26" s="381" t="s">
        <v>605</v>
      </c>
      <c r="I26" s="381" t="s">
        <v>605</v>
      </c>
      <c r="J26" s="971" t="s">
        <v>605</v>
      </c>
      <c r="K26" s="85" t="s">
        <v>605</v>
      </c>
      <c r="L26" s="381" t="s">
        <v>605</v>
      </c>
      <c r="M26" s="381" t="s">
        <v>605</v>
      </c>
      <c r="N26" s="971" t="s">
        <v>605</v>
      </c>
      <c r="O26" s="85" t="s">
        <v>605</v>
      </c>
      <c r="P26" s="381" t="s">
        <v>605</v>
      </c>
      <c r="Q26" s="381" t="s">
        <v>605</v>
      </c>
      <c r="R26" s="988" t="s">
        <v>605</v>
      </c>
    </row>
    <row r="27" spans="1:18" x14ac:dyDescent="0.2">
      <c r="A27" s="77"/>
      <c r="B27" s="379" t="s">
        <v>162</v>
      </c>
      <c r="C27" s="972" t="s">
        <v>605</v>
      </c>
      <c r="D27" s="973" t="s">
        <v>605</v>
      </c>
      <c r="E27" s="973" t="s">
        <v>605</v>
      </c>
      <c r="F27" s="974" t="s">
        <v>605</v>
      </c>
      <c r="G27" s="972" t="s">
        <v>605</v>
      </c>
      <c r="H27" s="973" t="s">
        <v>605</v>
      </c>
      <c r="I27" s="973" t="s">
        <v>605</v>
      </c>
      <c r="J27" s="974" t="s">
        <v>605</v>
      </c>
      <c r="K27" s="972" t="s">
        <v>605</v>
      </c>
      <c r="L27" s="973" t="s">
        <v>605</v>
      </c>
      <c r="M27" s="973" t="s">
        <v>605</v>
      </c>
      <c r="N27" s="974" t="s">
        <v>605</v>
      </c>
      <c r="O27" s="972" t="s">
        <v>605</v>
      </c>
      <c r="P27" s="973" t="s">
        <v>605</v>
      </c>
      <c r="Q27" s="973" t="s">
        <v>605</v>
      </c>
      <c r="R27" s="989" t="s">
        <v>605</v>
      </c>
    </row>
    <row r="28" spans="1:18" x14ac:dyDescent="0.2">
      <c r="A28" s="74"/>
      <c r="B28" s="378" t="s">
        <v>160</v>
      </c>
      <c r="C28" s="84" t="s">
        <v>605</v>
      </c>
      <c r="D28" s="248" t="s">
        <v>605</v>
      </c>
      <c r="E28" s="248" t="s">
        <v>605</v>
      </c>
      <c r="F28" s="648" t="s">
        <v>605</v>
      </c>
      <c r="G28" s="84" t="s">
        <v>605</v>
      </c>
      <c r="H28" s="248" t="s">
        <v>605</v>
      </c>
      <c r="I28" s="248" t="s">
        <v>605</v>
      </c>
      <c r="J28" s="648" t="s">
        <v>605</v>
      </c>
      <c r="K28" s="84" t="s">
        <v>605</v>
      </c>
      <c r="L28" s="248" t="s">
        <v>605</v>
      </c>
      <c r="M28" s="248" t="s">
        <v>605</v>
      </c>
      <c r="N28" s="648" t="s">
        <v>605</v>
      </c>
      <c r="O28" s="84" t="s">
        <v>605</v>
      </c>
      <c r="P28" s="248" t="s">
        <v>605</v>
      </c>
      <c r="Q28" s="248" t="s">
        <v>605</v>
      </c>
      <c r="R28" s="987" t="s">
        <v>605</v>
      </c>
    </row>
    <row r="29" spans="1:18" x14ac:dyDescent="0.2">
      <c r="A29" s="74" t="str">
        <f>IF('5.3 Vocational Core Curriculum'!A12=0,"",'5.3 Vocational Core Curriculum'!A12)</f>
        <v>College Success</v>
      </c>
      <c r="B29" s="746" t="s">
        <v>161</v>
      </c>
      <c r="C29" s="85" t="s">
        <v>605</v>
      </c>
      <c r="D29" s="381" t="s">
        <v>605</v>
      </c>
      <c r="E29" s="381" t="s">
        <v>605</v>
      </c>
      <c r="F29" s="971" t="s">
        <v>605</v>
      </c>
      <c r="G29" s="85" t="s">
        <v>605</v>
      </c>
      <c r="H29" s="381" t="s">
        <v>605</v>
      </c>
      <c r="I29" s="381" t="s">
        <v>605</v>
      </c>
      <c r="J29" s="971" t="s">
        <v>605</v>
      </c>
      <c r="K29" s="85" t="s">
        <v>605</v>
      </c>
      <c r="L29" s="381" t="s">
        <v>605</v>
      </c>
      <c r="M29" s="381" t="s">
        <v>605</v>
      </c>
      <c r="N29" s="971" t="s">
        <v>605</v>
      </c>
      <c r="O29" s="85" t="s">
        <v>605</v>
      </c>
      <c r="P29" s="381" t="s">
        <v>605</v>
      </c>
      <c r="Q29" s="381" t="s">
        <v>605</v>
      </c>
      <c r="R29" s="988" t="s">
        <v>605</v>
      </c>
    </row>
    <row r="30" spans="1:18" x14ac:dyDescent="0.2">
      <c r="A30" s="75"/>
      <c r="B30" s="379" t="s">
        <v>162</v>
      </c>
      <c r="C30" s="86" t="s">
        <v>605</v>
      </c>
      <c r="D30" s="82" t="s">
        <v>605</v>
      </c>
      <c r="E30" s="82" t="s">
        <v>605</v>
      </c>
      <c r="F30" s="649" t="s">
        <v>605</v>
      </c>
      <c r="G30" s="86" t="s">
        <v>605</v>
      </c>
      <c r="H30" s="82" t="s">
        <v>605</v>
      </c>
      <c r="I30" s="82" t="s">
        <v>605</v>
      </c>
      <c r="J30" s="649" t="s">
        <v>605</v>
      </c>
      <c r="K30" s="86" t="s">
        <v>605</v>
      </c>
      <c r="L30" s="82" t="s">
        <v>605</v>
      </c>
      <c r="M30" s="82" t="s">
        <v>605</v>
      </c>
      <c r="N30" s="649" t="s">
        <v>605</v>
      </c>
      <c r="O30" s="86" t="s">
        <v>605</v>
      </c>
      <c r="P30" s="82" t="s">
        <v>605</v>
      </c>
      <c r="Q30" s="82" t="s">
        <v>605</v>
      </c>
      <c r="R30" s="993" t="s">
        <v>605</v>
      </c>
    </row>
    <row r="31" spans="1:18" x14ac:dyDescent="0.2">
      <c r="A31" s="74"/>
      <c r="B31" s="378" t="s">
        <v>160</v>
      </c>
      <c r="C31" s="84" t="s">
        <v>605</v>
      </c>
      <c r="D31" s="248" t="s">
        <v>605</v>
      </c>
      <c r="E31" s="248" t="s">
        <v>605</v>
      </c>
      <c r="F31" s="648" t="s">
        <v>605</v>
      </c>
      <c r="G31" s="84" t="s">
        <v>605</v>
      </c>
      <c r="H31" s="248" t="s">
        <v>605</v>
      </c>
      <c r="I31" s="248" t="s">
        <v>605</v>
      </c>
      <c r="J31" s="648" t="s">
        <v>605</v>
      </c>
      <c r="K31" s="84" t="s">
        <v>605</v>
      </c>
      <c r="L31" s="248" t="s">
        <v>605</v>
      </c>
      <c r="M31" s="248" t="s">
        <v>605</v>
      </c>
      <c r="N31" s="648" t="s">
        <v>605</v>
      </c>
      <c r="O31" s="84" t="s">
        <v>605</v>
      </c>
      <c r="P31" s="248" t="s">
        <v>605</v>
      </c>
      <c r="Q31" s="248" t="s">
        <v>605</v>
      </c>
      <c r="R31" s="987" t="s">
        <v>605</v>
      </c>
    </row>
    <row r="32" spans="1:18" x14ac:dyDescent="0.2">
      <c r="A32" s="74" t="str">
        <f>IF('5.3 Vocational Core Curriculum'!A13=0,"",'5.3 Vocational Core Curriculum'!A13)</f>
        <v/>
      </c>
      <c r="B32" s="746" t="s">
        <v>161</v>
      </c>
      <c r="C32" s="85" t="s">
        <v>605</v>
      </c>
      <c r="D32" s="381" t="s">
        <v>605</v>
      </c>
      <c r="E32" s="381" t="s">
        <v>605</v>
      </c>
      <c r="F32" s="971" t="s">
        <v>605</v>
      </c>
      <c r="G32" s="85" t="s">
        <v>605</v>
      </c>
      <c r="H32" s="381" t="s">
        <v>605</v>
      </c>
      <c r="I32" s="381" t="s">
        <v>605</v>
      </c>
      <c r="J32" s="971" t="s">
        <v>605</v>
      </c>
      <c r="K32" s="85" t="s">
        <v>605</v>
      </c>
      <c r="L32" s="381" t="s">
        <v>605</v>
      </c>
      <c r="M32" s="381" t="s">
        <v>605</v>
      </c>
      <c r="N32" s="971" t="s">
        <v>605</v>
      </c>
      <c r="O32" s="85" t="s">
        <v>605</v>
      </c>
      <c r="P32" s="381" t="s">
        <v>605</v>
      </c>
      <c r="Q32" s="381" t="s">
        <v>605</v>
      </c>
      <c r="R32" s="988" t="s">
        <v>605</v>
      </c>
    </row>
    <row r="33" spans="1:33" x14ac:dyDescent="0.2">
      <c r="A33" s="75"/>
      <c r="B33" s="379" t="s">
        <v>162</v>
      </c>
      <c r="C33" s="86" t="s">
        <v>605</v>
      </c>
      <c r="D33" s="82" t="s">
        <v>605</v>
      </c>
      <c r="E33" s="82" t="s">
        <v>605</v>
      </c>
      <c r="F33" s="649" t="s">
        <v>605</v>
      </c>
      <c r="G33" s="86" t="s">
        <v>605</v>
      </c>
      <c r="H33" s="82" t="s">
        <v>605</v>
      </c>
      <c r="I33" s="82" t="s">
        <v>605</v>
      </c>
      <c r="J33" s="649" t="s">
        <v>605</v>
      </c>
      <c r="K33" s="86" t="s">
        <v>605</v>
      </c>
      <c r="L33" s="82" t="s">
        <v>605</v>
      </c>
      <c r="M33" s="82" t="s">
        <v>605</v>
      </c>
      <c r="N33" s="649" t="s">
        <v>605</v>
      </c>
      <c r="O33" s="86" t="s">
        <v>605</v>
      </c>
      <c r="P33" s="82" t="s">
        <v>605</v>
      </c>
      <c r="Q33" s="82" t="s">
        <v>605</v>
      </c>
      <c r="R33" s="993" t="s">
        <v>605</v>
      </c>
    </row>
    <row r="34" spans="1:33" x14ac:dyDescent="0.2">
      <c r="A34" s="74"/>
      <c r="B34" s="378" t="s">
        <v>160</v>
      </c>
      <c r="C34" s="84" t="s">
        <v>605</v>
      </c>
      <c r="D34" s="248" t="s">
        <v>605</v>
      </c>
      <c r="E34" s="248" t="s">
        <v>605</v>
      </c>
      <c r="F34" s="648" t="s">
        <v>605</v>
      </c>
      <c r="G34" s="84" t="s">
        <v>605</v>
      </c>
      <c r="H34" s="248" t="s">
        <v>605</v>
      </c>
      <c r="I34" s="248" t="s">
        <v>605</v>
      </c>
      <c r="J34" s="648" t="s">
        <v>605</v>
      </c>
      <c r="K34" s="84" t="s">
        <v>605</v>
      </c>
      <c r="L34" s="248" t="s">
        <v>605</v>
      </c>
      <c r="M34" s="248" t="s">
        <v>605</v>
      </c>
      <c r="N34" s="648" t="s">
        <v>605</v>
      </c>
      <c r="O34" s="84" t="s">
        <v>605</v>
      </c>
      <c r="P34" s="248" t="s">
        <v>605</v>
      </c>
      <c r="Q34" s="248" t="s">
        <v>605</v>
      </c>
      <c r="R34" s="987" t="s">
        <v>605</v>
      </c>
    </row>
    <row r="35" spans="1:33" x14ac:dyDescent="0.2">
      <c r="A35" s="74" t="str">
        <f>IF('5.3 Vocational Core Curriculum'!A14=0,"",'5.3 Vocational Core Curriculum'!A14)</f>
        <v/>
      </c>
      <c r="B35" s="746" t="s">
        <v>161</v>
      </c>
      <c r="C35" s="85" t="s">
        <v>605</v>
      </c>
      <c r="D35" s="381" t="s">
        <v>605</v>
      </c>
      <c r="E35" s="381" t="s">
        <v>605</v>
      </c>
      <c r="F35" s="971" t="s">
        <v>605</v>
      </c>
      <c r="G35" s="85" t="s">
        <v>605</v>
      </c>
      <c r="H35" s="381" t="s">
        <v>605</v>
      </c>
      <c r="I35" s="381" t="s">
        <v>605</v>
      </c>
      <c r="J35" s="971" t="s">
        <v>605</v>
      </c>
      <c r="K35" s="85" t="s">
        <v>605</v>
      </c>
      <c r="L35" s="381" t="s">
        <v>605</v>
      </c>
      <c r="M35" s="381" t="s">
        <v>605</v>
      </c>
      <c r="N35" s="971" t="s">
        <v>605</v>
      </c>
      <c r="O35" s="85" t="s">
        <v>605</v>
      </c>
      <c r="P35" s="381" t="s">
        <v>605</v>
      </c>
      <c r="Q35" s="381" t="s">
        <v>605</v>
      </c>
      <c r="R35" s="988" t="s">
        <v>605</v>
      </c>
    </row>
    <row r="36" spans="1:33" x14ac:dyDescent="0.2">
      <c r="A36" s="75"/>
      <c r="B36" s="379" t="s">
        <v>162</v>
      </c>
      <c r="C36" s="86" t="s">
        <v>605</v>
      </c>
      <c r="D36" s="82" t="s">
        <v>605</v>
      </c>
      <c r="E36" s="82" t="s">
        <v>605</v>
      </c>
      <c r="F36" s="649" t="s">
        <v>605</v>
      </c>
      <c r="G36" s="86" t="s">
        <v>605</v>
      </c>
      <c r="H36" s="82" t="s">
        <v>605</v>
      </c>
      <c r="I36" s="82" t="s">
        <v>605</v>
      </c>
      <c r="J36" s="649" t="s">
        <v>605</v>
      </c>
      <c r="K36" s="86" t="s">
        <v>605</v>
      </c>
      <c r="L36" s="82" t="s">
        <v>605</v>
      </c>
      <c r="M36" s="82" t="s">
        <v>605</v>
      </c>
      <c r="N36" s="649" t="s">
        <v>605</v>
      </c>
      <c r="O36" s="86" t="s">
        <v>605</v>
      </c>
      <c r="P36" s="82" t="s">
        <v>605</v>
      </c>
      <c r="Q36" s="82" t="s">
        <v>605</v>
      </c>
      <c r="R36" s="993" t="s">
        <v>605</v>
      </c>
    </row>
    <row r="37" spans="1:33" x14ac:dyDescent="0.2">
      <c r="A37" s="74"/>
      <c r="B37" s="378" t="s">
        <v>160</v>
      </c>
      <c r="C37" s="84" t="s">
        <v>605</v>
      </c>
      <c r="D37" s="248" t="s">
        <v>605</v>
      </c>
      <c r="E37" s="248" t="s">
        <v>605</v>
      </c>
      <c r="F37" s="648" t="s">
        <v>605</v>
      </c>
      <c r="G37" s="84" t="s">
        <v>605</v>
      </c>
      <c r="H37" s="248" t="s">
        <v>605</v>
      </c>
      <c r="I37" s="248" t="s">
        <v>605</v>
      </c>
      <c r="J37" s="648" t="s">
        <v>605</v>
      </c>
      <c r="K37" s="84" t="s">
        <v>605</v>
      </c>
      <c r="L37" s="248" t="s">
        <v>605</v>
      </c>
      <c r="M37" s="248" t="s">
        <v>605</v>
      </c>
      <c r="N37" s="648" t="s">
        <v>605</v>
      </c>
      <c r="O37" s="84" t="s">
        <v>605</v>
      </c>
      <c r="P37" s="248" t="s">
        <v>605</v>
      </c>
      <c r="Q37" s="248" t="s">
        <v>605</v>
      </c>
      <c r="R37" s="987" t="s">
        <v>605</v>
      </c>
    </row>
    <row r="38" spans="1:33" x14ac:dyDescent="0.2">
      <c r="A38" s="74" t="str">
        <f>IF('5.3 Vocational Core Curriculum'!A15=0,"",'5.3 Vocational Core Curriculum'!A15)</f>
        <v/>
      </c>
      <c r="B38" s="746" t="s">
        <v>161</v>
      </c>
      <c r="C38" s="85" t="s">
        <v>605</v>
      </c>
      <c r="D38" s="381" t="s">
        <v>605</v>
      </c>
      <c r="E38" s="381" t="s">
        <v>605</v>
      </c>
      <c r="F38" s="971" t="s">
        <v>605</v>
      </c>
      <c r="G38" s="85" t="s">
        <v>605</v>
      </c>
      <c r="H38" s="381" t="s">
        <v>605</v>
      </c>
      <c r="I38" s="381" t="s">
        <v>605</v>
      </c>
      <c r="J38" s="971" t="s">
        <v>605</v>
      </c>
      <c r="K38" s="85" t="s">
        <v>605</v>
      </c>
      <c r="L38" s="381" t="s">
        <v>605</v>
      </c>
      <c r="M38" s="381" t="s">
        <v>605</v>
      </c>
      <c r="N38" s="971" t="s">
        <v>605</v>
      </c>
      <c r="O38" s="85" t="s">
        <v>605</v>
      </c>
      <c r="P38" s="381" t="s">
        <v>605</v>
      </c>
      <c r="Q38" s="381" t="s">
        <v>605</v>
      </c>
      <c r="R38" s="988" t="s">
        <v>605</v>
      </c>
    </row>
    <row r="39" spans="1:33" x14ac:dyDescent="0.2">
      <c r="A39" s="75"/>
      <c r="B39" s="379" t="s">
        <v>162</v>
      </c>
      <c r="C39" s="86" t="s">
        <v>605</v>
      </c>
      <c r="D39" s="82" t="s">
        <v>605</v>
      </c>
      <c r="E39" s="82" t="s">
        <v>605</v>
      </c>
      <c r="F39" s="649" t="s">
        <v>605</v>
      </c>
      <c r="G39" s="86" t="s">
        <v>605</v>
      </c>
      <c r="H39" s="82" t="s">
        <v>605</v>
      </c>
      <c r="I39" s="82" t="s">
        <v>605</v>
      </c>
      <c r="J39" s="649" t="s">
        <v>605</v>
      </c>
      <c r="K39" s="86" t="s">
        <v>605</v>
      </c>
      <c r="L39" s="82" t="s">
        <v>605</v>
      </c>
      <c r="M39" s="82" t="s">
        <v>605</v>
      </c>
      <c r="N39" s="649" t="s">
        <v>605</v>
      </c>
      <c r="O39" s="86" t="s">
        <v>605</v>
      </c>
      <c r="P39" s="82" t="s">
        <v>605</v>
      </c>
      <c r="Q39" s="82" t="s">
        <v>605</v>
      </c>
      <c r="R39" s="993" t="s">
        <v>605</v>
      </c>
    </row>
    <row r="40" spans="1:33" x14ac:dyDescent="0.2">
      <c r="A40" s="74"/>
      <c r="B40" s="378" t="s">
        <v>160</v>
      </c>
      <c r="C40" s="84" t="s">
        <v>605</v>
      </c>
      <c r="D40" s="248" t="s">
        <v>605</v>
      </c>
      <c r="E40" s="248" t="s">
        <v>605</v>
      </c>
      <c r="F40" s="648" t="s">
        <v>605</v>
      </c>
      <c r="G40" s="84" t="s">
        <v>605</v>
      </c>
      <c r="H40" s="248" t="s">
        <v>605</v>
      </c>
      <c r="I40" s="248" t="s">
        <v>605</v>
      </c>
      <c r="J40" s="648" t="s">
        <v>605</v>
      </c>
      <c r="K40" s="84" t="s">
        <v>605</v>
      </c>
      <c r="L40" s="248" t="s">
        <v>605</v>
      </c>
      <c r="M40" s="248" t="s">
        <v>605</v>
      </c>
      <c r="N40" s="648" t="s">
        <v>605</v>
      </c>
      <c r="O40" s="84" t="s">
        <v>605</v>
      </c>
      <c r="P40" s="248" t="s">
        <v>605</v>
      </c>
      <c r="Q40" s="248" t="s">
        <v>605</v>
      </c>
      <c r="R40" s="987" t="s">
        <v>605</v>
      </c>
    </row>
    <row r="41" spans="1:33" x14ac:dyDescent="0.2">
      <c r="A41" s="74" t="str">
        <f>IF('5.3 Vocational Core Curriculum'!A16=0,"",'5.3 Vocational Core Curriculum'!A16)</f>
        <v/>
      </c>
      <c r="B41" s="746" t="s">
        <v>161</v>
      </c>
      <c r="C41" s="85" t="s">
        <v>605</v>
      </c>
      <c r="D41" s="381" t="s">
        <v>605</v>
      </c>
      <c r="E41" s="381" t="s">
        <v>605</v>
      </c>
      <c r="F41" s="971" t="s">
        <v>605</v>
      </c>
      <c r="G41" s="85" t="s">
        <v>605</v>
      </c>
      <c r="H41" s="381" t="s">
        <v>605</v>
      </c>
      <c r="I41" s="381" t="s">
        <v>605</v>
      </c>
      <c r="J41" s="971" t="s">
        <v>605</v>
      </c>
      <c r="K41" s="85" t="s">
        <v>605</v>
      </c>
      <c r="L41" s="381" t="s">
        <v>605</v>
      </c>
      <c r="M41" s="381" t="s">
        <v>605</v>
      </c>
      <c r="N41" s="971" t="s">
        <v>605</v>
      </c>
      <c r="O41" s="85" t="s">
        <v>605</v>
      </c>
      <c r="P41" s="381" t="s">
        <v>605</v>
      </c>
      <c r="Q41" s="381" t="s">
        <v>605</v>
      </c>
      <c r="R41" s="988" t="s">
        <v>605</v>
      </c>
    </row>
    <row r="42" spans="1:33" x14ac:dyDescent="0.2">
      <c r="A42" s="75"/>
      <c r="B42" s="379" t="s">
        <v>162</v>
      </c>
      <c r="C42" s="86" t="s">
        <v>605</v>
      </c>
      <c r="D42" s="82" t="s">
        <v>605</v>
      </c>
      <c r="E42" s="82" t="s">
        <v>605</v>
      </c>
      <c r="F42" s="649" t="s">
        <v>605</v>
      </c>
      <c r="G42" s="86" t="s">
        <v>605</v>
      </c>
      <c r="H42" s="82" t="s">
        <v>605</v>
      </c>
      <c r="I42" s="82" t="s">
        <v>605</v>
      </c>
      <c r="J42" s="649" t="s">
        <v>605</v>
      </c>
      <c r="K42" s="86" t="s">
        <v>605</v>
      </c>
      <c r="L42" s="82" t="s">
        <v>605</v>
      </c>
      <c r="M42" s="82" t="s">
        <v>605</v>
      </c>
      <c r="N42" s="649" t="s">
        <v>605</v>
      </c>
      <c r="O42" s="86" t="s">
        <v>605</v>
      </c>
      <c r="P42" s="82" t="s">
        <v>605</v>
      </c>
      <c r="Q42" s="82" t="s">
        <v>605</v>
      </c>
      <c r="R42" s="993" t="s">
        <v>605</v>
      </c>
    </row>
    <row r="43" spans="1:33" ht="14.25" customHeight="1" x14ac:dyDescent="0.2">
      <c r="A43" s="744"/>
      <c r="B43" s="745"/>
      <c r="C43" s="745"/>
      <c r="D43" s="745"/>
      <c r="E43" s="745"/>
      <c r="F43" s="745"/>
      <c r="G43" s="745"/>
      <c r="H43" s="1740"/>
      <c r="I43" s="1740"/>
      <c r="J43" s="1740"/>
      <c r="K43" s="1740"/>
      <c r="L43" s="1740"/>
      <c r="M43" s="1740"/>
      <c r="N43" s="1740"/>
      <c r="O43" s="1740"/>
      <c r="P43" s="1740"/>
      <c r="Q43" s="1740"/>
      <c r="R43" s="1741"/>
      <c r="AE43" s="37"/>
      <c r="AF43" s="37"/>
      <c r="AG43" s="37"/>
    </row>
    <row r="44" spans="1:33" x14ac:dyDescent="0.2">
      <c r="A44" s="315" t="s">
        <v>847</v>
      </c>
      <c r="B44" s="321"/>
      <c r="C44" s="321"/>
      <c r="D44" s="321"/>
      <c r="E44" s="1742"/>
      <c r="F44" s="1742"/>
      <c r="G44" s="1742"/>
      <c r="H44" s="1742"/>
      <c r="I44" s="1742"/>
      <c r="J44" s="1742"/>
      <c r="K44" s="1742"/>
      <c r="L44" s="1742"/>
      <c r="M44" s="1742"/>
      <c r="N44" s="1742"/>
      <c r="O44" s="1742"/>
      <c r="P44" s="1742"/>
      <c r="Q44" s="1742"/>
      <c r="R44" s="1743"/>
      <c r="AE44" s="37"/>
      <c r="AF44" s="37"/>
      <c r="AG44" s="37"/>
    </row>
    <row r="45" spans="1:33" ht="39" customHeight="1" thickBot="1" x14ac:dyDescent="0.25">
      <c r="A45" s="1547" t="s">
        <v>766</v>
      </c>
      <c r="B45" s="1548"/>
      <c r="C45" s="1548"/>
      <c r="D45" s="1548"/>
      <c r="E45" s="1548"/>
      <c r="F45" s="1548"/>
      <c r="G45" s="1548"/>
      <c r="H45" s="1548"/>
      <c r="I45" s="1548"/>
      <c r="J45" s="1548"/>
      <c r="K45" s="1548"/>
      <c r="L45" s="1548"/>
      <c r="M45" s="1548"/>
      <c r="N45" s="1548"/>
      <c r="O45" s="1548"/>
      <c r="P45" s="1548"/>
      <c r="Q45" s="1548"/>
      <c r="R45" s="1549"/>
      <c r="AE45" s="37"/>
      <c r="AF45" s="37"/>
      <c r="AG45" s="37"/>
    </row>
    <row r="46" spans="1:33" ht="13.5" thickTop="1" x14ac:dyDescent="0.2">
      <c r="A46" s="29"/>
      <c r="B46" s="29"/>
      <c r="C46" s="29"/>
      <c r="D46" s="29"/>
      <c r="E46" s="29"/>
      <c r="F46" s="29"/>
      <c r="G46" s="29"/>
      <c r="H46" s="29"/>
      <c r="I46" s="37"/>
      <c r="J46" s="37"/>
      <c r="K46" s="37"/>
      <c r="L46" s="37"/>
      <c r="M46" s="37"/>
    </row>
    <row r="47" spans="1:33" x14ac:dyDescent="0.2">
      <c r="A47" s="37"/>
      <c r="B47" s="37"/>
      <c r="C47" s="29"/>
      <c r="D47" s="29"/>
      <c r="E47" s="29"/>
      <c r="F47" s="29"/>
      <c r="G47" s="29"/>
      <c r="H47" s="29"/>
      <c r="I47" s="37"/>
      <c r="J47" s="37"/>
      <c r="K47" s="37"/>
      <c r="L47" s="37"/>
      <c r="M47" s="37"/>
    </row>
    <row r="48" spans="1:33" x14ac:dyDescent="0.2">
      <c r="A48" s="37"/>
      <c r="B48" s="37"/>
      <c r="C48" s="37"/>
      <c r="D48" s="37"/>
      <c r="E48" s="37"/>
      <c r="F48" s="37"/>
      <c r="G48" s="37"/>
      <c r="H48" s="37"/>
      <c r="I48" s="37"/>
      <c r="J48" s="37"/>
      <c r="K48" s="37"/>
      <c r="L48" s="37"/>
      <c r="M48" s="37"/>
    </row>
    <row r="49" spans="1:13" x14ac:dyDescent="0.2">
      <c r="A49" s="37"/>
      <c r="B49" s="37"/>
      <c r="C49" s="37"/>
      <c r="D49" s="37"/>
      <c r="E49" s="37"/>
      <c r="F49" s="37"/>
      <c r="G49" s="37"/>
      <c r="H49" s="37"/>
      <c r="I49" s="37"/>
      <c r="J49" s="37"/>
      <c r="K49" s="37"/>
      <c r="L49" s="37"/>
      <c r="M49" s="37"/>
    </row>
    <row r="50" spans="1:13" x14ac:dyDescent="0.2">
      <c r="A50" s="37"/>
      <c r="B50" s="37"/>
      <c r="C50" s="37"/>
      <c r="D50" s="37"/>
      <c r="E50" s="37"/>
      <c r="F50" s="37"/>
      <c r="G50" s="37"/>
      <c r="H50" s="37"/>
      <c r="I50" s="37"/>
      <c r="J50" s="37"/>
      <c r="K50" s="37"/>
      <c r="L50" s="37"/>
      <c r="M50" s="37"/>
    </row>
    <row r="51" spans="1:13" x14ac:dyDescent="0.2">
      <c r="A51" s="37"/>
      <c r="B51" s="37"/>
      <c r="C51" s="37"/>
      <c r="D51" s="37"/>
      <c r="E51" s="37"/>
      <c r="F51" s="37"/>
      <c r="G51" s="37"/>
      <c r="H51" s="37"/>
      <c r="I51" s="37"/>
      <c r="J51" s="37"/>
      <c r="K51" s="37"/>
      <c r="L51" s="37"/>
      <c r="M51" s="37"/>
    </row>
    <row r="52" spans="1:13" x14ac:dyDescent="0.2">
      <c r="A52" s="37"/>
      <c r="B52" s="37"/>
      <c r="C52" s="37"/>
      <c r="D52" s="37"/>
      <c r="E52" s="37"/>
      <c r="F52" s="37"/>
      <c r="G52" s="37"/>
      <c r="H52" s="37"/>
      <c r="I52" s="37"/>
      <c r="J52" s="37"/>
      <c r="K52" s="37"/>
      <c r="L52" s="37"/>
      <c r="M52" s="37"/>
    </row>
    <row r="53" spans="1:13" x14ac:dyDescent="0.2">
      <c r="A53" s="37"/>
      <c r="B53" s="37"/>
      <c r="C53" s="37"/>
      <c r="D53" s="37"/>
      <c r="E53" s="37"/>
      <c r="F53" s="37"/>
      <c r="G53" s="37"/>
      <c r="H53" s="37"/>
      <c r="I53" s="37"/>
      <c r="J53" s="37"/>
      <c r="K53" s="37"/>
      <c r="L53" s="37"/>
      <c r="M53" s="37"/>
    </row>
    <row r="54" spans="1:13" x14ac:dyDescent="0.2">
      <c r="A54" s="37"/>
      <c r="B54" s="37"/>
      <c r="C54" s="37"/>
      <c r="D54" s="37"/>
      <c r="E54" s="37"/>
      <c r="F54" s="37"/>
      <c r="G54" s="37"/>
      <c r="H54" s="37"/>
      <c r="I54" s="37"/>
      <c r="J54" s="37"/>
      <c r="K54" s="37"/>
      <c r="L54" s="37"/>
      <c r="M54" s="37"/>
    </row>
    <row r="55" spans="1:13" x14ac:dyDescent="0.2">
      <c r="A55" s="37"/>
      <c r="B55" s="37"/>
      <c r="C55" s="37"/>
      <c r="D55" s="37"/>
      <c r="E55" s="37"/>
      <c r="F55" s="37"/>
      <c r="G55" s="37"/>
      <c r="H55" s="37"/>
      <c r="I55" s="37"/>
      <c r="J55" s="37"/>
      <c r="K55" s="37"/>
      <c r="L55" s="37"/>
      <c r="M55" s="37"/>
    </row>
    <row r="56" spans="1:13" x14ac:dyDescent="0.2">
      <c r="A56" s="37"/>
      <c r="B56" s="37"/>
      <c r="C56" s="37"/>
      <c r="D56" s="37"/>
      <c r="E56" s="37"/>
      <c r="F56" s="37"/>
      <c r="G56" s="37"/>
      <c r="H56" s="37"/>
      <c r="I56" s="37"/>
      <c r="J56" s="37"/>
      <c r="K56" s="37"/>
      <c r="L56" s="37"/>
      <c r="M56" s="37"/>
    </row>
    <row r="57" spans="1:13" x14ac:dyDescent="0.2">
      <c r="A57" s="37"/>
      <c r="B57" s="37"/>
      <c r="C57" s="37"/>
      <c r="D57" s="37"/>
      <c r="E57" s="37"/>
      <c r="F57" s="37"/>
      <c r="G57" s="37"/>
      <c r="H57" s="37"/>
      <c r="I57" s="37"/>
      <c r="J57" s="37"/>
      <c r="K57" s="37"/>
      <c r="L57" s="37"/>
      <c r="M57" s="37"/>
    </row>
    <row r="58" spans="1:13" x14ac:dyDescent="0.2">
      <c r="A58" s="37"/>
      <c r="B58" s="37"/>
      <c r="C58" s="37"/>
      <c r="D58" s="37"/>
      <c r="E58" s="37"/>
      <c r="F58" s="37"/>
      <c r="G58" s="37"/>
      <c r="H58" s="37"/>
      <c r="I58" s="37"/>
      <c r="J58" s="37"/>
      <c r="K58" s="37"/>
      <c r="L58" s="37"/>
      <c r="M58" s="37"/>
    </row>
    <row r="59" spans="1:13" x14ac:dyDescent="0.2">
      <c r="A59" s="37"/>
      <c r="B59" s="37"/>
      <c r="C59" s="37"/>
      <c r="D59" s="37"/>
      <c r="E59" s="37"/>
      <c r="F59" s="37"/>
      <c r="G59" s="37"/>
      <c r="H59" s="37"/>
      <c r="I59" s="37"/>
      <c r="J59" s="37"/>
      <c r="K59" s="37"/>
      <c r="L59" s="37"/>
      <c r="M59" s="37"/>
    </row>
    <row r="60" spans="1:13" x14ac:dyDescent="0.2">
      <c r="A60" s="37"/>
      <c r="B60" s="37"/>
      <c r="C60" s="37"/>
      <c r="D60" s="37"/>
      <c r="E60" s="37"/>
      <c r="F60" s="37"/>
      <c r="G60" s="37"/>
      <c r="H60" s="37"/>
      <c r="I60" s="37"/>
      <c r="J60" s="37"/>
      <c r="K60" s="37"/>
      <c r="L60" s="37"/>
      <c r="M60" s="37"/>
    </row>
    <row r="61" spans="1:13" x14ac:dyDescent="0.2">
      <c r="A61" s="37"/>
      <c r="B61" s="37"/>
      <c r="C61" s="37"/>
      <c r="D61" s="37"/>
      <c r="E61" s="37"/>
      <c r="F61" s="37"/>
      <c r="G61" s="37"/>
      <c r="H61" s="37"/>
      <c r="I61" s="37"/>
      <c r="J61" s="37"/>
      <c r="K61" s="37"/>
      <c r="L61" s="37"/>
      <c r="M61" s="37"/>
    </row>
    <row r="62" spans="1:13" x14ac:dyDescent="0.2">
      <c r="A62" s="37"/>
      <c r="B62" s="37"/>
      <c r="C62" s="37"/>
      <c r="D62" s="37"/>
      <c r="E62" s="37"/>
      <c r="F62" s="37"/>
      <c r="G62" s="37"/>
      <c r="H62" s="37"/>
      <c r="I62" s="37"/>
      <c r="J62" s="37"/>
      <c r="K62" s="37"/>
      <c r="L62" s="37"/>
      <c r="M62" s="37"/>
    </row>
    <row r="63" spans="1:13" x14ac:dyDescent="0.2">
      <c r="A63" s="37"/>
      <c r="B63" s="37"/>
      <c r="C63" s="37"/>
      <c r="D63" s="37"/>
      <c r="E63" s="37"/>
      <c r="F63" s="37"/>
      <c r="G63" s="37"/>
      <c r="H63" s="37"/>
      <c r="I63" s="37"/>
      <c r="J63" s="37"/>
      <c r="K63" s="37"/>
      <c r="L63" s="37"/>
      <c r="M63" s="37"/>
    </row>
    <row r="64" spans="1:13" x14ac:dyDescent="0.2">
      <c r="A64" s="37"/>
      <c r="B64" s="37"/>
      <c r="C64" s="37"/>
      <c r="D64" s="37"/>
      <c r="E64" s="37"/>
      <c r="F64" s="37"/>
      <c r="G64" s="37"/>
      <c r="H64" s="37"/>
      <c r="I64" s="37"/>
      <c r="J64" s="37"/>
      <c r="K64" s="37"/>
      <c r="L64" s="37"/>
      <c r="M64" s="37"/>
    </row>
    <row r="65" spans="1:13" x14ac:dyDescent="0.2">
      <c r="A65" s="37"/>
      <c r="B65" s="37"/>
      <c r="C65" s="37"/>
      <c r="D65" s="37"/>
      <c r="E65" s="37"/>
      <c r="F65" s="37"/>
      <c r="G65" s="37"/>
      <c r="H65" s="37"/>
      <c r="I65" s="37"/>
      <c r="J65" s="37"/>
      <c r="K65" s="37"/>
      <c r="L65" s="37"/>
      <c r="M65" s="37"/>
    </row>
    <row r="66" spans="1:13" x14ac:dyDescent="0.2">
      <c r="A66" s="37"/>
      <c r="B66" s="37"/>
      <c r="C66" s="37"/>
      <c r="D66" s="37"/>
      <c r="E66" s="37"/>
      <c r="F66" s="37"/>
      <c r="G66" s="37"/>
      <c r="H66" s="37"/>
      <c r="I66" s="37"/>
      <c r="J66" s="37"/>
      <c r="K66" s="37"/>
      <c r="L66" s="37"/>
      <c r="M66" s="37"/>
    </row>
    <row r="67" spans="1:13" x14ac:dyDescent="0.2">
      <c r="A67" s="37"/>
      <c r="B67" s="37"/>
      <c r="C67" s="37"/>
      <c r="D67" s="37"/>
      <c r="E67" s="37"/>
      <c r="F67" s="37"/>
      <c r="G67" s="37"/>
      <c r="H67" s="37"/>
      <c r="I67" s="37"/>
      <c r="J67" s="37"/>
      <c r="K67" s="37"/>
      <c r="L67" s="37"/>
      <c r="M67" s="37"/>
    </row>
    <row r="68" spans="1:13" x14ac:dyDescent="0.2">
      <c r="A68" s="37"/>
      <c r="B68" s="37"/>
      <c r="C68" s="37"/>
      <c r="D68" s="37"/>
      <c r="E68" s="37"/>
      <c r="F68" s="37"/>
      <c r="G68" s="37"/>
      <c r="H68" s="37"/>
      <c r="I68" s="37"/>
      <c r="J68" s="37"/>
      <c r="K68" s="37"/>
      <c r="L68" s="37"/>
      <c r="M68" s="37"/>
    </row>
    <row r="69" spans="1:13" x14ac:dyDescent="0.2">
      <c r="A69" s="37"/>
      <c r="B69" s="37"/>
      <c r="C69" s="37"/>
      <c r="D69" s="37"/>
      <c r="E69" s="37"/>
      <c r="F69" s="37"/>
      <c r="G69" s="37"/>
      <c r="H69" s="37"/>
      <c r="I69" s="37"/>
      <c r="J69" s="37"/>
      <c r="K69" s="37"/>
      <c r="L69" s="37"/>
      <c r="M69" s="37"/>
    </row>
    <row r="70" spans="1:13" x14ac:dyDescent="0.2">
      <c r="A70" s="37"/>
      <c r="B70" s="37"/>
      <c r="C70" s="37"/>
      <c r="D70" s="37"/>
      <c r="E70" s="37"/>
      <c r="F70" s="37"/>
      <c r="G70" s="37"/>
      <c r="H70" s="37"/>
      <c r="I70" s="37"/>
      <c r="J70" s="37"/>
      <c r="K70" s="37"/>
      <c r="L70" s="37"/>
      <c r="M70" s="37"/>
    </row>
    <row r="71" spans="1:13" x14ac:dyDescent="0.2">
      <c r="A71" s="37"/>
      <c r="B71" s="37"/>
      <c r="C71" s="37"/>
      <c r="D71" s="37"/>
      <c r="E71" s="37"/>
      <c r="F71" s="37"/>
      <c r="G71" s="37"/>
      <c r="H71" s="37"/>
      <c r="I71" s="37"/>
      <c r="J71" s="37"/>
      <c r="K71" s="37"/>
      <c r="L71" s="37"/>
      <c r="M71" s="37"/>
    </row>
    <row r="72" spans="1:13" x14ac:dyDescent="0.2">
      <c r="A72" s="37"/>
      <c r="B72" s="37"/>
      <c r="C72" s="37"/>
      <c r="D72" s="37"/>
      <c r="E72" s="37"/>
      <c r="F72" s="37"/>
      <c r="G72" s="37"/>
      <c r="H72" s="37"/>
      <c r="I72" s="37"/>
      <c r="J72" s="37"/>
      <c r="K72" s="37"/>
      <c r="L72" s="37"/>
      <c r="M72" s="37"/>
    </row>
    <row r="73" spans="1:13" x14ac:dyDescent="0.2">
      <c r="A73" s="37"/>
      <c r="B73" s="37"/>
      <c r="C73" s="37"/>
      <c r="D73" s="37"/>
      <c r="E73" s="37"/>
      <c r="F73" s="37"/>
      <c r="G73" s="37"/>
      <c r="H73" s="37"/>
      <c r="I73" s="37"/>
      <c r="J73" s="37"/>
      <c r="K73" s="37"/>
      <c r="L73" s="37"/>
      <c r="M73" s="37"/>
    </row>
    <row r="74" spans="1:13" x14ac:dyDescent="0.2">
      <c r="A74" s="37"/>
      <c r="B74" s="37"/>
      <c r="C74" s="37"/>
      <c r="D74" s="37"/>
      <c r="E74" s="37"/>
      <c r="F74" s="37"/>
      <c r="G74" s="37"/>
      <c r="H74" s="37"/>
      <c r="I74" s="37"/>
      <c r="J74" s="37"/>
      <c r="K74" s="37"/>
      <c r="L74" s="37"/>
      <c r="M74" s="37"/>
    </row>
    <row r="75" spans="1:13" x14ac:dyDescent="0.2">
      <c r="A75" s="37"/>
      <c r="B75" s="37"/>
      <c r="C75" s="37"/>
      <c r="D75" s="37"/>
      <c r="E75" s="37"/>
      <c r="F75" s="37"/>
      <c r="G75" s="37"/>
      <c r="H75" s="37"/>
      <c r="I75" s="37"/>
      <c r="J75" s="37"/>
      <c r="K75" s="37"/>
      <c r="L75" s="37"/>
      <c r="M75" s="37"/>
    </row>
    <row r="76" spans="1:13" x14ac:dyDescent="0.2">
      <c r="A76" s="37"/>
      <c r="B76" s="37"/>
      <c r="C76" s="37"/>
      <c r="D76" s="37"/>
      <c r="E76" s="37"/>
      <c r="F76" s="37"/>
      <c r="G76" s="37"/>
      <c r="H76" s="37"/>
      <c r="I76" s="37"/>
      <c r="J76" s="37"/>
      <c r="K76" s="37"/>
      <c r="L76" s="37"/>
      <c r="M76" s="37"/>
    </row>
    <row r="77" spans="1:13" x14ac:dyDescent="0.2">
      <c r="A77" s="37"/>
      <c r="B77" s="37"/>
      <c r="C77" s="37"/>
      <c r="D77" s="37"/>
      <c r="E77" s="37"/>
      <c r="F77" s="37"/>
      <c r="G77" s="37"/>
      <c r="H77" s="37"/>
      <c r="I77" s="37"/>
      <c r="J77" s="37"/>
      <c r="K77" s="37"/>
      <c r="L77" s="37"/>
      <c r="M77" s="37"/>
    </row>
    <row r="78" spans="1:13" x14ac:dyDescent="0.2">
      <c r="A78" s="37"/>
      <c r="B78" s="37"/>
      <c r="C78" s="37"/>
      <c r="D78" s="37"/>
      <c r="E78" s="37"/>
      <c r="F78" s="37"/>
      <c r="G78" s="37"/>
      <c r="H78" s="37"/>
      <c r="I78" s="37"/>
      <c r="J78" s="37"/>
      <c r="K78" s="37"/>
      <c r="L78" s="37"/>
      <c r="M78" s="37"/>
    </row>
    <row r="79" spans="1:13" x14ac:dyDescent="0.2">
      <c r="A79" s="37"/>
      <c r="B79" s="37"/>
      <c r="C79" s="37"/>
      <c r="D79" s="37"/>
      <c r="E79" s="37"/>
      <c r="F79" s="37"/>
      <c r="G79" s="37"/>
      <c r="H79" s="37"/>
      <c r="I79" s="37"/>
      <c r="J79" s="37"/>
      <c r="K79" s="37"/>
      <c r="L79" s="37"/>
      <c r="M79" s="37"/>
    </row>
    <row r="80" spans="1:13" x14ac:dyDescent="0.2">
      <c r="A80" s="37"/>
      <c r="B80" s="37"/>
      <c r="C80" s="37"/>
      <c r="D80" s="37"/>
      <c r="E80" s="37"/>
      <c r="F80" s="37"/>
      <c r="G80" s="37"/>
      <c r="H80" s="37"/>
      <c r="I80" s="37"/>
      <c r="J80" s="37"/>
      <c r="K80" s="37"/>
      <c r="L80" s="37"/>
      <c r="M80" s="37"/>
    </row>
    <row r="81" spans="1:13" x14ac:dyDescent="0.2">
      <c r="A81" s="37"/>
      <c r="B81" s="37"/>
      <c r="C81" s="37"/>
      <c r="D81" s="37"/>
      <c r="E81" s="37"/>
      <c r="F81" s="37"/>
      <c r="G81" s="37"/>
      <c r="H81" s="37"/>
      <c r="I81" s="37"/>
      <c r="J81" s="37"/>
      <c r="K81" s="37"/>
      <c r="L81" s="37"/>
      <c r="M81" s="37"/>
    </row>
    <row r="82" spans="1:13" x14ac:dyDescent="0.2">
      <c r="A82" s="37"/>
      <c r="B82" s="37"/>
      <c r="C82" s="37"/>
      <c r="D82" s="37"/>
      <c r="E82" s="37"/>
      <c r="F82" s="37"/>
      <c r="G82" s="37"/>
      <c r="H82" s="37"/>
      <c r="I82" s="37"/>
      <c r="J82" s="37"/>
      <c r="K82" s="37"/>
      <c r="L82" s="37"/>
      <c r="M82" s="37"/>
    </row>
    <row r="83" spans="1:13" x14ac:dyDescent="0.2">
      <c r="A83" s="37"/>
      <c r="B83" s="37"/>
      <c r="C83" s="37"/>
      <c r="D83" s="37"/>
      <c r="E83" s="37"/>
      <c r="F83" s="37"/>
      <c r="G83" s="37"/>
      <c r="H83" s="37"/>
      <c r="I83" s="37"/>
      <c r="J83" s="37"/>
      <c r="K83" s="37"/>
      <c r="L83" s="37"/>
      <c r="M83" s="37"/>
    </row>
    <row r="84" spans="1:13" x14ac:dyDescent="0.2">
      <c r="A84" s="37"/>
      <c r="B84" s="37"/>
      <c r="C84" s="37"/>
      <c r="D84" s="37"/>
      <c r="E84" s="37"/>
      <c r="F84" s="37"/>
      <c r="G84" s="37"/>
      <c r="H84" s="37"/>
      <c r="I84" s="37"/>
      <c r="J84" s="37"/>
      <c r="K84" s="37"/>
      <c r="L84" s="37"/>
      <c r="M84" s="37"/>
    </row>
    <row r="85" spans="1:13" x14ac:dyDescent="0.2">
      <c r="A85" s="37"/>
      <c r="B85" s="37"/>
      <c r="C85" s="37"/>
      <c r="D85" s="37"/>
      <c r="E85" s="37"/>
      <c r="F85" s="37"/>
      <c r="G85" s="37"/>
      <c r="H85" s="37"/>
      <c r="I85" s="37"/>
      <c r="J85" s="37"/>
      <c r="K85" s="37"/>
      <c r="L85" s="37"/>
      <c r="M85" s="37"/>
    </row>
    <row r="86" spans="1:13" x14ac:dyDescent="0.2">
      <c r="A86" s="37"/>
      <c r="B86" s="37"/>
      <c r="C86" s="37"/>
      <c r="D86" s="37"/>
      <c r="E86" s="37"/>
      <c r="F86" s="37"/>
      <c r="G86" s="37"/>
      <c r="H86" s="37"/>
      <c r="I86" s="37"/>
      <c r="J86" s="37"/>
      <c r="K86" s="37"/>
      <c r="L86" s="37"/>
      <c r="M86" s="37"/>
    </row>
    <row r="87" spans="1:13" x14ac:dyDescent="0.2">
      <c r="A87" s="37"/>
      <c r="B87" s="37"/>
      <c r="C87" s="37"/>
      <c r="D87" s="37"/>
      <c r="E87" s="37"/>
      <c r="F87" s="37"/>
      <c r="G87" s="37"/>
      <c r="H87" s="37"/>
      <c r="I87" s="37"/>
      <c r="J87" s="37"/>
      <c r="K87" s="37"/>
      <c r="L87" s="37"/>
      <c r="M87" s="37"/>
    </row>
    <row r="88" spans="1:13" x14ac:dyDescent="0.2">
      <c r="A88" s="37"/>
      <c r="B88" s="37"/>
      <c r="C88" s="37"/>
      <c r="D88" s="37"/>
      <c r="E88" s="37"/>
      <c r="F88" s="37"/>
      <c r="G88" s="37"/>
      <c r="H88" s="37"/>
      <c r="I88" s="37"/>
      <c r="J88" s="37"/>
      <c r="K88" s="37"/>
      <c r="L88" s="37"/>
      <c r="M88" s="37"/>
    </row>
    <row r="89" spans="1:13" x14ac:dyDescent="0.2">
      <c r="A89" s="37"/>
      <c r="B89" s="37"/>
      <c r="C89" s="37"/>
      <c r="D89" s="37"/>
      <c r="E89" s="37"/>
      <c r="F89" s="37"/>
      <c r="G89" s="37"/>
      <c r="H89" s="37"/>
      <c r="I89" s="37"/>
      <c r="J89" s="37"/>
      <c r="K89" s="37"/>
      <c r="L89" s="37"/>
      <c r="M89" s="37"/>
    </row>
    <row r="90" spans="1:13" x14ac:dyDescent="0.2">
      <c r="A90" s="37"/>
      <c r="B90" s="37"/>
      <c r="C90" s="37"/>
      <c r="D90" s="37"/>
      <c r="E90" s="37"/>
      <c r="F90" s="37"/>
      <c r="G90" s="37"/>
      <c r="H90" s="37"/>
      <c r="I90" s="37"/>
      <c r="J90" s="37"/>
      <c r="K90" s="37"/>
      <c r="L90" s="37"/>
      <c r="M90" s="37"/>
    </row>
    <row r="91" spans="1:13" x14ac:dyDescent="0.2">
      <c r="A91" s="37"/>
      <c r="B91" s="37"/>
      <c r="C91" s="37"/>
      <c r="D91" s="37"/>
      <c r="E91" s="37"/>
      <c r="F91" s="37"/>
      <c r="G91" s="37"/>
      <c r="H91" s="37"/>
      <c r="I91" s="37"/>
      <c r="J91" s="37"/>
      <c r="K91" s="37"/>
      <c r="L91" s="37"/>
      <c r="M91" s="37"/>
    </row>
    <row r="92" spans="1:13" x14ac:dyDescent="0.2">
      <c r="A92" s="37"/>
      <c r="B92" s="37"/>
      <c r="C92" s="37"/>
      <c r="D92" s="37"/>
      <c r="E92" s="37"/>
      <c r="F92" s="37"/>
      <c r="G92" s="37"/>
      <c r="H92" s="37"/>
      <c r="I92" s="37"/>
      <c r="J92" s="37"/>
      <c r="K92" s="37"/>
      <c r="L92" s="37"/>
      <c r="M92" s="37"/>
    </row>
    <row r="93" spans="1:13" x14ac:dyDescent="0.2">
      <c r="A93" s="37"/>
      <c r="B93" s="37"/>
      <c r="C93" s="37"/>
      <c r="D93" s="37"/>
      <c r="E93" s="37"/>
      <c r="F93" s="37"/>
      <c r="G93" s="37"/>
      <c r="H93" s="37"/>
      <c r="I93" s="37"/>
      <c r="J93" s="37"/>
      <c r="K93" s="37"/>
      <c r="L93" s="37"/>
      <c r="M93" s="37"/>
    </row>
    <row r="94" spans="1:13" x14ac:dyDescent="0.2">
      <c r="A94" s="37"/>
      <c r="B94" s="37"/>
      <c r="C94" s="37"/>
      <c r="D94" s="37"/>
      <c r="E94" s="37"/>
      <c r="F94" s="37"/>
      <c r="G94" s="37"/>
      <c r="H94" s="37"/>
      <c r="I94" s="37"/>
      <c r="J94" s="37"/>
      <c r="K94" s="37"/>
      <c r="L94" s="37"/>
      <c r="M94" s="37"/>
    </row>
    <row r="95" spans="1:13" x14ac:dyDescent="0.2">
      <c r="A95" s="37"/>
      <c r="B95" s="37"/>
      <c r="C95" s="37"/>
      <c r="D95" s="37"/>
      <c r="E95" s="37"/>
      <c r="F95" s="37"/>
      <c r="G95" s="37"/>
      <c r="H95" s="37"/>
      <c r="I95" s="37"/>
      <c r="J95" s="37"/>
      <c r="K95" s="37"/>
      <c r="L95" s="37"/>
      <c r="M95" s="37"/>
    </row>
    <row r="96" spans="1:13" x14ac:dyDescent="0.2">
      <c r="A96" s="37"/>
      <c r="B96" s="37"/>
      <c r="C96" s="37"/>
      <c r="D96" s="37"/>
      <c r="E96" s="37"/>
      <c r="F96" s="37"/>
      <c r="G96" s="37"/>
      <c r="H96" s="37"/>
      <c r="I96" s="37"/>
      <c r="J96" s="37"/>
      <c r="K96" s="37"/>
      <c r="L96" s="37"/>
      <c r="M96" s="37"/>
    </row>
    <row r="97" spans="1:13" x14ac:dyDescent="0.2">
      <c r="A97" s="37"/>
      <c r="B97" s="37"/>
      <c r="C97" s="37"/>
      <c r="D97" s="37"/>
      <c r="E97" s="37"/>
      <c r="F97" s="37"/>
      <c r="G97" s="37"/>
      <c r="H97" s="37"/>
      <c r="I97" s="37"/>
      <c r="J97" s="37"/>
      <c r="K97" s="37"/>
      <c r="L97" s="37"/>
      <c r="M97" s="37"/>
    </row>
    <row r="98" spans="1:13" x14ac:dyDescent="0.2">
      <c r="A98" s="37"/>
      <c r="B98" s="37"/>
      <c r="C98" s="37"/>
      <c r="D98" s="37"/>
      <c r="E98" s="37"/>
      <c r="F98" s="37"/>
      <c r="G98" s="37"/>
      <c r="H98" s="37"/>
      <c r="I98" s="37"/>
      <c r="J98" s="37"/>
      <c r="K98" s="37"/>
      <c r="L98" s="37"/>
      <c r="M98" s="37"/>
    </row>
    <row r="99" spans="1:13" x14ac:dyDescent="0.2">
      <c r="A99" s="37"/>
      <c r="B99" s="37"/>
      <c r="C99" s="37"/>
      <c r="D99" s="37"/>
      <c r="E99" s="37"/>
      <c r="F99" s="37"/>
      <c r="G99" s="37"/>
      <c r="H99" s="37"/>
      <c r="I99" s="37"/>
      <c r="J99" s="37"/>
      <c r="K99" s="37"/>
      <c r="L99" s="37"/>
      <c r="M99" s="37"/>
    </row>
    <row r="100" spans="1:13" x14ac:dyDescent="0.2">
      <c r="A100" s="37"/>
      <c r="B100" s="37"/>
      <c r="C100" s="37"/>
      <c r="D100" s="37"/>
      <c r="E100" s="37"/>
      <c r="F100" s="37"/>
      <c r="G100" s="37"/>
      <c r="H100" s="37"/>
      <c r="I100" s="37"/>
      <c r="J100" s="37"/>
      <c r="K100" s="37"/>
      <c r="L100" s="37"/>
      <c r="M100" s="37"/>
    </row>
    <row r="101" spans="1:13" x14ac:dyDescent="0.2">
      <c r="A101" s="37"/>
      <c r="B101" s="37"/>
      <c r="C101" s="37"/>
      <c r="D101" s="37"/>
      <c r="E101" s="37"/>
      <c r="F101" s="37"/>
      <c r="G101" s="37"/>
      <c r="H101" s="37"/>
    </row>
    <row r="102" spans="1:13" x14ac:dyDescent="0.2">
      <c r="C102" s="37"/>
      <c r="D102" s="37"/>
      <c r="E102" s="37"/>
      <c r="F102" s="37"/>
      <c r="G102" s="37"/>
      <c r="H102" s="37"/>
    </row>
  </sheetData>
  <mergeCells count="23">
    <mergeCell ref="B1:R1"/>
    <mergeCell ref="A2:R2"/>
    <mergeCell ref="A3:R3"/>
    <mergeCell ref="A4:R4"/>
    <mergeCell ref="H43:R43"/>
    <mergeCell ref="M8:N8"/>
    <mergeCell ref="A5:R5"/>
    <mergeCell ref="C8:D8"/>
    <mergeCell ref="E8:F8"/>
    <mergeCell ref="G8:H8"/>
    <mergeCell ref="I8:J8"/>
    <mergeCell ref="C7:F7"/>
    <mergeCell ref="G7:J7"/>
    <mergeCell ref="K8:L8"/>
    <mergeCell ref="A45:R45"/>
    <mergeCell ref="Q8:R8"/>
    <mergeCell ref="B6:B9"/>
    <mergeCell ref="A6:A9"/>
    <mergeCell ref="C6:R6"/>
    <mergeCell ref="O8:P8"/>
    <mergeCell ref="K7:N7"/>
    <mergeCell ref="O7:R7"/>
    <mergeCell ref="E44:R44"/>
  </mergeCells>
  <phoneticPr fontId="65" type="noConversion"/>
  <pageMargins left="0.40583333300000002" right="0.12833333333333299" top="0.5" bottom="0.5" header="0.3" footer="0.3"/>
  <pageSetup scale="83" orientation="landscape" r:id="rId1"/>
  <headerFooter>
    <oddHeader>&amp;LAKIS A 2012</oddHeader>
    <oddFooter>&amp;LAmerican Indian Higher Education Consortium</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AI85"/>
  <sheetViews>
    <sheetView topLeftCell="A5" zoomScaleNormal="100" workbookViewId="0">
      <selection activeCell="A31" sqref="A31:R31"/>
    </sheetView>
  </sheetViews>
  <sheetFormatPr defaultColWidth="9.140625" defaultRowHeight="12.75" x14ac:dyDescent="0.2"/>
  <cols>
    <col min="1" max="1" width="18.5703125" style="30" customWidth="1"/>
    <col min="2" max="2" width="17.85546875" style="30" customWidth="1"/>
    <col min="3" max="9" width="7.7109375" style="383" customWidth="1"/>
    <col min="10" max="18" width="7.7109375" style="30" customWidth="1"/>
    <col min="19" max="20" width="9.140625" style="30"/>
    <col min="21" max="33" width="9.140625" style="37"/>
    <col min="34" max="16384" width="9.140625" style="30"/>
  </cols>
  <sheetData>
    <row r="1" spans="1:35" s="20" customFormat="1" ht="15.75" thickTop="1" x14ac:dyDescent="0.25">
      <c r="A1" s="579" t="s">
        <v>823</v>
      </c>
      <c r="B1" s="1768" t="str">
        <f>'1.1a Overall Instit. Profile'!B1</f>
        <v>Oglala Lakota College</v>
      </c>
      <c r="C1" s="1768"/>
      <c r="D1" s="1768"/>
      <c r="E1" s="1768"/>
      <c r="F1" s="1768"/>
      <c r="G1" s="1768"/>
      <c r="H1" s="1768"/>
      <c r="I1" s="1768"/>
      <c r="J1" s="1768"/>
      <c r="K1" s="1768"/>
      <c r="L1" s="1768"/>
      <c r="M1" s="1768"/>
      <c r="N1" s="1768"/>
      <c r="O1" s="1768"/>
      <c r="P1" s="1768"/>
      <c r="Q1" s="1768"/>
      <c r="R1" s="1769"/>
    </row>
    <row r="2" spans="1:35" ht="18.75" customHeight="1" x14ac:dyDescent="0.2">
      <c r="A2" s="616" t="s">
        <v>846</v>
      </c>
      <c r="B2" s="623"/>
      <c r="C2" s="651"/>
      <c r="D2" s="651"/>
      <c r="E2" s="651"/>
      <c r="F2" s="651"/>
      <c r="G2" s="1772"/>
      <c r="H2" s="1772"/>
      <c r="I2" s="1772"/>
      <c r="J2" s="1772"/>
      <c r="K2" s="1772"/>
      <c r="L2" s="1772"/>
      <c r="M2" s="1772"/>
      <c r="N2" s="1772"/>
      <c r="O2" s="1772"/>
      <c r="P2" s="1772"/>
      <c r="Q2" s="1772"/>
      <c r="R2" s="1773"/>
      <c r="S2" s="37"/>
      <c r="T2" s="37"/>
    </row>
    <row r="3" spans="1:35" ht="18.75" customHeight="1" x14ac:dyDescent="0.2">
      <c r="A3" s="316" t="s">
        <v>167</v>
      </c>
      <c r="B3" s="326"/>
      <c r="C3" s="731"/>
      <c r="D3" s="731"/>
      <c r="E3" s="731"/>
      <c r="F3" s="731"/>
      <c r="G3" s="1770"/>
      <c r="H3" s="1770"/>
      <c r="I3" s="1770"/>
      <c r="J3" s="1770"/>
      <c r="K3" s="1770"/>
      <c r="L3" s="1770"/>
      <c r="M3" s="1770"/>
      <c r="N3" s="1770"/>
      <c r="O3" s="1770"/>
      <c r="P3" s="1770"/>
      <c r="Q3" s="1770"/>
      <c r="R3" s="1771"/>
      <c r="S3" s="37"/>
      <c r="T3" s="37"/>
    </row>
    <row r="4" spans="1:35" ht="29.25" customHeight="1" x14ac:dyDescent="0.2">
      <c r="A4" s="1329" t="s">
        <v>168</v>
      </c>
      <c r="B4" s="1330"/>
      <c r="C4" s="1330"/>
      <c r="D4" s="1330"/>
      <c r="E4" s="1330"/>
      <c r="F4" s="1330"/>
      <c r="G4" s="1330"/>
      <c r="H4" s="1330"/>
      <c r="I4" s="1330"/>
      <c r="J4" s="1330"/>
      <c r="K4" s="1330"/>
      <c r="L4" s="1330"/>
      <c r="M4" s="1330"/>
      <c r="N4" s="1330"/>
      <c r="O4" s="1330"/>
      <c r="P4" s="1330"/>
      <c r="Q4" s="1330"/>
      <c r="R4" s="1331"/>
      <c r="S4" s="37"/>
      <c r="T4" s="37"/>
    </row>
    <row r="5" spans="1:35" ht="19.5" customHeight="1" x14ac:dyDescent="0.2">
      <c r="A5" s="653" t="s">
        <v>153</v>
      </c>
      <c r="B5" s="1785" t="s">
        <v>154</v>
      </c>
      <c r="C5" s="1789"/>
      <c r="D5" s="1790"/>
      <c r="E5" s="1785" t="s">
        <v>155</v>
      </c>
      <c r="F5" s="1789"/>
      <c r="G5" s="1789"/>
      <c r="H5" s="1789"/>
      <c r="I5" s="1789"/>
      <c r="J5" s="1789"/>
      <c r="K5" s="1789"/>
      <c r="L5" s="1789"/>
      <c r="M5" s="1789"/>
      <c r="N5" s="1789"/>
      <c r="O5" s="1789"/>
      <c r="P5" s="1790"/>
      <c r="Q5" s="1785" t="s">
        <v>156</v>
      </c>
      <c r="R5" s="1786"/>
      <c r="S5" s="37"/>
      <c r="T5" s="37"/>
      <c r="AG5" s="30"/>
    </row>
    <row r="6" spans="1:35" ht="18" customHeight="1" x14ac:dyDescent="0.2">
      <c r="A6" s="654" t="s">
        <v>14</v>
      </c>
      <c r="B6" s="1791" t="s">
        <v>770</v>
      </c>
      <c r="C6" s="1792"/>
      <c r="D6" s="1793"/>
      <c r="E6" s="1794" t="s">
        <v>771</v>
      </c>
      <c r="F6" s="1795"/>
      <c r="G6" s="1795"/>
      <c r="H6" s="1795"/>
      <c r="I6" s="1795"/>
      <c r="J6" s="1795"/>
      <c r="K6" s="1795"/>
      <c r="L6" s="1795"/>
      <c r="M6" s="1795"/>
      <c r="N6" s="1795"/>
      <c r="O6" s="1795"/>
      <c r="P6" s="1796"/>
      <c r="Q6" s="1787">
        <v>3</v>
      </c>
      <c r="R6" s="1788"/>
      <c r="S6" s="37"/>
      <c r="T6" s="37"/>
      <c r="AG6" s="30"/>
    </row>
    <row r="7" spans="1:35" ht="18" customHeight="1" x14ac:dyDescent="0.2">
      <c r="A7" s="747" t="s">
        <v>289</v>
      </c>
      <c r="B7" s="1780" t="s">
        <v>769</v>
      </c>
      <c r="C7" s="1781"/>
      <c r="D7" s="1782"/>
      <c r="E7" s="1780" t="s">
        <v>772</v>
      </c>
      <c r="F7" s="1781"/>
      <c r="G7" s="1781"/>
      <c r="H7" s="1781"/>
      <c r="I7" s="1781"/>
      <c r="J7" s="1781"/>
      <c r="K7" s="1781"/>
      <c r="L7" s="1781"/>
      <c r="M7" s="1781"/>
      <c r="N7" s="1781"/>
      <c r="O7" s="1781"/>
      <c r="P7" s="1782"/>
      <c r="Q7" s="1783">
        <v>3</v>
      </c>
      <c r="R7" s="1784"/>
      <c r="S7" s="37"/>
      <c r="T7" s="37"/>
      <c r="AG7" s="30"/>
    </row>
    <row r="8" spans="1:35" ht="18" customHeight="1" x14ac:dyDescent="0.2">
      <c r="A8" s="747" t="s">
        <v>16</v>
      </c>
      <c r="B8" s="1780" t="s">
        <v>768</v>
      </c>
      <c r="C8" s="1781"/>
      <c r="D8" s="1782"/>
      <c r="E8" s="1780" t="s">
        <v>767</v>
      </c>
      <c r="F8" s="1781"/>
      <c r="G8" s="1781"/>
      <c r="H8" s="1781"/>
      <c r="I8" s="1781"/>
      <c r="J8" s="1781"/>
      <c r="K8" s="1781"/>
      <c r="L8" s="1781"/>
      <c r="M8" s="1781"/>
      <c r="N8" s="1781"/>
      <c r="O8" s="1781"/>
      <c r="P8" s="1782"/>
      <c r="Q8" s="1783">
        <v>6</v>
      </c>
      <c r="R8" s="1784"/>
      <c r="S8" s="37"/>
      <c r="T8" s="37"/>
      <c r="AG8" s="30"/>
    </row>
    <row r="9" spans="1:35" ht="18" customHeight="1" x14ac:dyDescent="0.2">
      <c r="A9" s="748" t="s">
        <v>17</v>
      </c>
      <c r="B9" s="1760" t="s">
        <v>605</v>
      </c>
      <c r="C9" s="1761"/>
      <c r="D9" s="1762"/>
      <c r="E9" s="1760" t="s">
        <v>605</v>
      </c>
      <c r="F9" s="1761"/>
      <c r="G9" s="1761"/>
      <c r="H9" s="1761"/>
      <c r="I9" s="1761"/>
      <c r="J9" s="1761"/>
      <c r="K9" s="1761"/>
      <c r="L9" s="1761"/>
      <c r="M9" s="1761"/>
      <c r="N9" s="1761"/>
      <c r="O9" s="1761"/>
      <c r="P9" s="1762"/>
      <c r="Q9" s="1763" t="s">
        <v>605</v>
      </c>
      <c r="R9" s="1764"/>
      <c r="S9" s="37"/>
      <c r="T9" s="37"/>
      <c r="AG9" s="30"/>
    </row>
    <row r="10" spans="1:35" ht="15" x14ac:dyDescent="0.2">
      <c r="A10" s="1777" t="s">
        <v>432</v>
      </c>
      <c r="B10" s="1778"/>
      <c r="C10" s="1778"/>
      <c r="D10" s="1778"/>
      <c r="E10" s="1778"/>
      <c r="F10" s="1778"/>
      <c r="G10" s="1778"/>
      <c r="H10" s="1778"/>
      <c r="I10" s="1778"/>
      <c r="J10" s="1778"/>
      <c r="K10" s="1778"/>
      <c r="L10" s="1778"/>
      <c r="M10" s="1778"/>
      <c r="N10" s="1778"/>
      <c r="O10" s="1778"/>
      <c r="P10" s="1778"/>
      <c r="Q10" s="1778"/>
      <c r="R10" s="1779"/>
      <c r="S10" s="37"/>
      <c r="T10" s="37"/>
    </row>
    <row r="11" spans="1:35" ht="32.25" customHeight="1" x14ac:dyDescent="0.2">
      <c r="A11" s="1765" t="s">
        <v>169</v>
      </c>
      <c r="B11" s="1766"/>
      <c r="C11" s="1766"/>
      <c r="D11" s="1766"/>
      <c r="E11" s="1766"/>
      <c r="F11" s="1766"/>
      <c r="G11" s="1766"/>
      <c r="H11" s="1766"/>
      <c r="I11" s="1766"/>
      <c r="J11" s="1766"/>
      <c r="K11" s="1766"/>
      <c r="L11" s="1766"/>
      <c r="M11" s="1766"/>
      <c r="N11" s="1766"/>
      <c r="O11" s="1766"/>
      <c r="P11" s="1766"/>
      <c r="Q11" s="1766"/>
      <c r="R11" s="1767"/>
      <c r="S11" s="37"/>
      <c r="T11" s="37"/>
    </row>
    <row r="12" spans="1:35" ht="17.25" customHeight="1" x14ac:dyDescent="0.2">
      <c r="A12" s="1774" t="s">
        <v>170</v>
      </c>
      <c r="B12" s="1775"/>
      <c r="C12" s="1775"/>
      <c r="D12" s="1775"/>
      <c r="E12" s="1775"/>
      <c r="F12" s="1775"/>
      <c r="G12" s="1775"/>
      <c r="H12" s="1775"/>
      <c r="I12" s="1775"/>
      <c r="J12" s="1775"/>
      <c r="K12" s="1775"/>
      <c r="L12" s="1775"/>
      <c r="M12" s="1775"/>
      <c r="N12" s="1775"/>
      <c r="O12" s="1775"/>
      <c r="P12" s="1775"/>
      <c r="Q12" s="1775"/>
      <c r="R12" s="1776"/>
      <c r="S12" s="37"/>
      <c r="T12" s="37"/>
    </row>
    <row r="13" spans="1:35" ht="13.5" customHeight="1" x14ac:dyDescent="0.2">
      <c r="A13" s="1734" t="s">
        <v>153</v>
      </c>
      <c r="B13" s="1737" t="s">
        <v>159</v>
      </c>
      <c r="C13" s="1721" t="s">
        <v>423</v>
      </c>
      <c r="D13" s="1722"/>
      <c r="E13" s="1722"/>
      <c r="F13" s="1722"/>
      <c r="G13" s="1722"/>
      <c r="H13" s="1722"/>
      <c r="I13" s="1722"/>
      <c r="J13" s="1722"/>
      <c r="K13" s="1722"/>
      <c r="L13" s="1722"/>
      <c r="M13" s="1722"/>
      <c r="N13" s="1722"/>
      <c r="O13" s="1722"/>
      <c r="P13" s="1722"/>
      <c r="Q13" s="1722"/>
      <c r="R13" s="1723"/>
      <c r="S13" s="37"/>
      <c r="T13" s="37"/>
    </row>
    <row r="14" spans="1:35" ht="18" customHeight="1" x14ac:dyDescent="0.2">
      <c r="A14" s="1735"/>
      <c r="B14" s="1738"/>
      <c r="C14" s="1747" t="s">
        <v>473</v>
      </c>
      <c r="D14" s="1304"/>
      <c r="E14" s="1304"/>
      <c r="F14" s="1748"/>
      <c r="G14" s="1749" t="s">
        <v>474</v>
      </c>
      <c r="H14" s="1749"/>
      <c r="I14" s="1749"/>
      <c r="J14" s="1749"/>
      <c r="K14" s="1749" t="s">
        <v>557</v>
      </c>
      <c r="L14" s="1749"/>
      <c r="M14" s="1749"/>
      <c r="N14" s="1749"/>
      <c r="O14" s="1750" t="s">
        <v>475</v>
      </c>
      <c r="P14" s="1304"/>
      <c r="Q14" s="1304"/>
      <c r="R14" s="1751"/>
      <c r="S14" s="37"/>
      <c r="T14" s="37"/>
      <c r="AH14" s="37"/>
      <c r="AI14" s="37"/>
    </row>
    <row r="15" spans="1:35" ht="12.75" customHeight="1" x14ac:dyDescent="0.2">
      <c r="A15" s="1735"/>
      <c r="B15" s="1738"/>
      <c r="C15" s="1724" t="s">
        <v>873</v>
      </c>
      <c r="D15" s="1725"/>
      <c r="E15" s="1725" t="s">
        <v>874</v>
      </c>
      <c r="F15" s="1726"/>
      <c r="G15" s="1724" t="s">
        <v>873</v>
      </c>
      <c r="H15" s="1725"/>
      <c r="I15" s="1725" t="s">
        <v>874</v>
      </c>
      <c r="J15" s="1726"/>
      <c r="K15" s="1724" t="s">
        <v>873</v>
      </c>
      <c r="L15" s="1725"/>
      <c r="M15" s="1725" t="s">
        <v>874</v>
      </c>
      <c r="N15" s="1726"/>
      <c r="O15" s="1724" t="s">
        <v>873</v>
      </c>
      <c r="P15" s="1725"/>
      <c r="Q15" s="1725" t="s">
        <v>874</v>
      </c>
      <c r="R15" s="1733"/>
      <c r="S15" s="37"/>
      <c r="T15" s="37"/>
      <c r="AH15" s="37"/>
      <c r="AI15" s="37"/>
    </row>
    <row r="16" spans="1:35" x14ac:dyDescent="0.2">
      <c r="A16" s="1736"/>
      <c r="B16" s="1739"/>
      <c r="C16" s="982" t="s">
        <v>875</v>
      </c>
      <c r="D16" s="983" t="s">
        <v>876</v>
      </c>
      <c r="E16" s="985" t="s">
        <v>875</v>
      </c>
      <c r="F16" s="984" t="s">
        <v>876</v>
      </c>
      <c r="G16" s="982" t="s">
        <v>875</v>
      </c>
      <c r="H16" s="983" t="s">
        <v>876</v>
      </c>
      <c r="I16" s="985" t="s">
        <v>875</v>
      </c>
      <c r="J16" s="984" t="s">
        <v>876</v>
      </c>
      <c r="K16" s="982" t="s">
        <v>875</v>
      </c>
      <c r="L16" s="983" t="s">
        <v>876</v>
      </c>
      <c r="M16" s="985" t="s">
        <v>875</v>
      </c>
      <c r="N16" s="984" t="s">
        <v>876</v>
      </c>
      <c r="O16" s="982" t="s">
        <v>875</v>
      </c>
      <c r="P16" s="983" t="s">
        <v>876</v>
      </c>
      <c r="Q16" s="985" t="s">
        <v>875</v>
      </c>
      <c r="R16" s="986" t="s">
        <v>876</v>
      </c>
      <c r="S16" s="37"/>
      <c r="T16" s="37"/>
      <c r="AH16" s="37"/>
      <c r="AI16" s="37"/>
    </row>
    <row r="17" spans="1:35" x14ac:dyDescent="0.2">
      <c r="A17" s="76"/>
      <c r="B17" s="378" t="s">
        <v>160</v>
      </c>
      <c r="C17" s="84">
        <v>5</v>
      </c>
      <c r="D17" s="248">
        <v>5</v>
      </c>
      <c r="E17" s="248">
        <v>0</v>
      </c>
      <c r="F17" s="648">
        <v>0</v>
      </c>
      <c r="G17" s="84">
        <v>34</v>
      </c>
      <c r="H17" s="248">
        <v>59</v>
      </c>
      <c r="I17" s="248">
        <v>1</v>
      </c>
      <c r="J17" s="648">
        <v>0</v>
      </c>
      <c r="K17" s="84" t="s">
        <v>605</v>
      </c>
      <c r="L17" s="248" t="s">
        <v>605</v>
      </c>
      <c r="M17" s="248" t="s">
        <v>605</v>
      </c>
      <c r="N17" s="648" t="s">
        <v>605</v>
      </c>
      <c r="O17" s="84">
        <v>66</v>
      </c>
      <c r="P17" s="248">
        <v>73</v>
      </c>
      <c r="Q17" s="248">
        <v>0</v>
      </c>
      <c r="R17" s="987">
        <v>0</v>
      </c>
      <c r="S17" s="37"/>
      <c r="T17" s="37"/>
      <c r="AH17" s="37"/>
      <c r="AI17" s="37"/>
    </row>
    <row r="18" spans="1:35" x14ac:dyDescent="0.2">
      <c r="A18" s="76" t="str">
        <f>A6</f>
        <v>Reading</v>
      </c>
      <c r="B18" s="746" t="s">
        <v>161</v>
      </c>
      <c r="C18" s="85">
        <v>2</v>
      </c>
      <c r="D18" s="381">
        <v>3</v>
      </c>
      <c r="E18" s="381">
        <v>0</v>
      </c>
      <c r="F18" s="971">
        <v>0</v>
      </c>
      <c r="G18" s="85">
        <v>13</v>
      </c>
      <c r="H18" s="381">
        <v>21</v>
      </c>
      <c r="I18" s="381">
        <v>1</v>
      </c>
      <c r="J18" s="971">
        <v>0</v>
      </c>
      <c r="K18" s="85" t="s">
        <v>605</v>
      </c>
      <c r="L18" s="381" t="s">
        <v>605</v>
      </c>
      <c r="M18" s="381" t="s">
        <v>605</v>
      </c>
      <c r="N18" s="971" t="s">
        <v>605</v>
      </c>
      <c r="O18" s="85">
        <v>23</v>
      </c>
      <c r="P18" s="381">
        <v>28</v>
      </c>
      <c r="Q18" s="381">
        <v>0</v>
      </c>
      <c r="R18" s="988">
        <v>0</v>
      </c>
      <c r="S18" s="37"/>
      <c r="T18" s="37"/>
      <c r="AH18" s="37"/>
      <c r="AI18" s="37"/>
    </row>
    <row r="19" spans="1:35" x14ac:dyDescent="0.2">
      <c r="A19" s="77"/>
      <c r="B19" s="749" t="s">
        <v>162</v>
      </c>
      <c r="C19" s="972">
        <v>3</v>
      </c>
      <c r="D19" s="973">
        <v>2</v>
      </c>
      <c r="E19" s="973">
        <v>0</v>
      </c>
      <c r="F19" s="974">
        <v>0</v>
      </c>
      <c r="G19" s="972">
        <v>21</v>
      </c>
      <c r="H19" s="973">
        <v>38</v>
      </c>
      <c r="I19" s="973">
        <v>0</v>
      </c>
      <c r="J19" s="974">
        <v>0</v>
      </c>
      <c r="K19" s="972" t="s">
        <v>605</v>
      </c>
      <c r="L19" s="973" t="s">
        <v>605</v>
      </c>
      <c r="M19" s="973" t="s">
        <v>605</v>
      </c>
      <c r="N19" s="974" t="s">
        <v>605</v>
      </c>
      <c r="O19" s="972">
        <v>43</v>
      </c>
      <c r="P19" s="973">
        <v>45</v>
      </c>
      <c r="Q19" s="973">
        <v>0</v>
      </c>
      <c r="R19" s="989">
        <v>0</v>
      </c>
      <c r="S19" s="37"/>
      <c r="T19" s="37"/>
      <c r="AH19" s="37"/>
      <c r="AI19" s="37"/>
    </row>
    <row r="20" spans="1:35" x14ac:dyDescent="0.2">
      <c r="A20" s="76"/>
      <c r="B20" s="655" t="s">
        <v>160</v>
      </c>
      <c r="C20" s="656">
        <v>0</v>
      </c>
      <c r="D20" s="975">
        <v>0</v>
      </c>
      <c r="E20" s="975">
        <v>0</v>
      </c>
      <c r="F20" s="657">
        <v>0</v>
      </c>
      <c r="G20" s="656">
        <v>33</v>
      </c>
      <c r="H20" s="975">
        <v>53</v>
      </c>
      <c r="I20" s="975">
        <v>0</v>
      </c>
      <c r="J20" s="657">
        <v>0</v>
      </c>
      <c r="K20" s="656" t="s">
        <v>605</v>
      </c>
      <c r="L20" s="975" t="s">
        <v>605</v>
      </c>
      <c r="M20" s="975" t="s">
        <v>605</v>
      </c>
      <c r="N20" s="657" t="s">
        <v>605</v>
      </c>
      <c r="O20" s="656">
        <v>41</v>
      </c>
      <c r="P20" s="975">
        <v>49</v>
      </c>
      <c r="Q20" s="975">
        <v>0</v>
      </c>
      <c r="R20" s="658">
        <v>0</v>
      </c>
      <c r="S20" s="37"/>
      <c r="T20" s="37"/>
      <c r="AH20" s="37"/>
      <c r="AI20" s="37"/>
    </row>
    <row r="21" spans="1:35" x14ac:dyDescent="0.2">
      <c r="A21" s="76" t="str">
        <f>A7</f>
        <v>Writing/Composition</v>
      </c>
      <c r="B21" s="746" t="s">
        <v>161</v>
      </c>
      <c r="C21" s="976">
        <v>0</v>
      </c>
      <c r="D21" s="977">
        <v>0</v>
      </c>
      <c r="E21" s="977">
        <v>0</v>
      </c>
      <c r="F21" s="978">
        <v>0</v>
      </c>
      <c r="G21" s="976">
        <v>9</v>
      </c>
      <c r="H21" s="977">
        <v>24</v>
      </c>
      <c r="I21" s="977">
        <v>0</v>
      </c>
      <c r="J21" s="978">
        <v>0</v>
      </c>
      <c r="K21" s="976" t="s">
        <v>605</v>
      </c>
      <c r="L21" s="977" t="s">
        <v>605</v>
      </c>
      <c r="M21" s="977" t="s">
        <v>605</v>
      </c>
      <c r="N21" s="978" t="s">
        <v>605</v>
      </c>
      <c r="O21" s="976">
        <v>9</v>
      </c>
      <c r="P21" s="977">
        <v>16</v>
      </c>
      <c r="Q21" s="977">
        <v>0</v>
      </c>
      <c r="R21" s="990">
        <v>0</v>
      </c>
      <c r="S21" s="37"/>
      <c r="T21" s="37"/>
      <c r="AH21" s="37"/>
      <c r="AI21" s="37"/>
    </row>
    <row r="22" spans="1:35" x14ac:dyDescent="0.2">
      <c r="A22" s="77"/>
      <c r="B22" s="749" t="s">
        <v>162</v>
      </c>
      <c r="C22" s="979">
        <v>0</v>
      </c>
      <c r="D22" s="980">
        <v>0</v>
      </c>
      <c r="E22" s="980">
        <v>0</v>
      </c>
      <c r="F22" s="981">
        <v>0</v>
      </c>
      <c r="G22" s="979">
        <v>24</v>
      </c>
      <c r="H22" s="980">
        <v>29</v>
      </c>
      <c r="I22" s="980">
        <v>0</v>
      </c>
      <c r="J22" s="981">
        <v>0</v>
      </c>
      <c r="K22" s="979" t="s">
        <v>605</v>
      </c>
      <c r="L22" s="980" t="s">
        <v>605</v>
      </c>
      <c r="M22" s="980" t="s">
        <v>605</v>
      </c>
      <c r="N22" s="981" t="s">
        <v>605</v>
      </c>
      <c r="O22" s="979">
        <v>32</v>
      </c>
      <c r="P22" s="980">
        <v>33</v>
      </c>
      <c r="Q22" s="980">
        <v>0</v>
      </c>
      <c r="R22" s="991">
        <v>0</v>
      </c>
      <c r="S22" s="37"/>
      <c r="T22" s="37"/>
      <c r="AH22" s="37"/>
      <c r="AI22" s="37"/>
    </row>
    <row r="23" spans="1:35" x14ac:dyDescent="0.2">
      <c r="A23" s="76"/>
      <c r="B23" s="655" t="s">
        <v>160</v>
      </c>
      <c r="C23" s="656">
        <v>6</v>
      </c>
      <c r="D23" s="975">
        <v>15</v>
      </c>
      <c r="E23" s="975">
        <v>0</v>
      </c>
      <c r="F23" s="657">
        <v>0</v>
      </c>
      <c r="G23" s="656">
        <v>139</v>
      </c>
      <c r="H23" s="975">
        <v>239</v>
      </c>
      <c r="I23" s="975">
        <v>3</v>
      </c>
      <c r="J23" s="657">
        <v>3</v>
      </c>
      <c r="K23" s="656" t="s">
        <v>605</v>
      </c>
      <c r="L23" s="975" t="s">
        <v>605</v>
      </c>
      <c r="M23" s="975" t="s">
        <v>605</v>
      </c>
      <c r="N23" s="657" t="s">
        <v>605</v>
      </c>
      <c r="O23" s="656">
        <v>152</v>
      </c>
      <c r="P23" s="975">
        <v>221</v>
      </c>
      <c r="Q23" s="975">
        <v>2</v>
      </c>
      <c r="R23" s="658">
        <v>8</v>
      </c>
      <c r="S23" s="37"/>
      <c r="T23" s="37"/>
      <c r="AH23" s="37"/>
      <c r="AI23" s="37"/>
    </row>
    <row r="24" spans="1:35" x14ac:dyDescent="0.2">
      <c r="A24" s="76" t="str">
        <f>A8</f>
        <v>Mathematics</v>
      </c>
      <c r="B24" s="746" t="s">
        <v>161</v>
      </c>
      <c r="C24" s="976">
        <v>4</v>
      </c>
      <c r="D24" s="977">
        <v>14</v>
      </c>
      <c r="E24" s="977">
        <v>0</v>
      </c>
      <c r="F24" s="978">
        <v>0</v>
      </c>
      <c r="G24" s="976">
        <v>32</v>
      </c>
      <c r="H24" s="977">
        <v>97</v>
      </c>
      <c r="I24" s="977">
        <v>1</v>
      </c>
      <c r="J24" s="978">
        <v>2</v>
      </c>
      <c r="K24" s="976" t="s">
        <v>605</v>
      </c>
      <c r="L24" s="977" t="s">
        <v>605</v>
      </c>
      <c r="M24" s="977" t="s">
        <v>605</v>
      </c>
      <c r="N24" s="978" t="s">
        <v>605</v>
      </c>
      <c r="O24" s="976">
        <v>45</v>
      </c>
      <c r="P24" s="977">
        <v>89</v>
      </c>
      <c r="Q24" s="977">
        <v>1</v>
      </c>
      <c r="R24" s="990">
        <v>7</v>
      </c>
      <c r="S24" s="37"/>
      <c r="T24" s="37"/>
      <c r="AH24" s="37"/>
      <c r="AI24" s="37"/>
    </row>
    <row r="25" spans="1:35" x14ac:dyDescent="0.2">
      <c r="A25" s="77"/>
      <c r="B25" s="749" t="s">
        <v>162</v>
      </c>
      <c r="C25" s="979">
        <v>4</v>
      </c>
      <c r="D25" s="980">
        <v>1</v>
      </c>
      <c r="E25" s="980">
        <v>0</v>
      </c>
      <c r="F25" s="981">
        <v>0</v>
      </c>
      <c r="G25" s="979">
        <v>107</v>
      </c>
      <c r="H25" s="980">
        <v>142</v>
      </c>
      <c r="I25" s="980">
        <v>2</v>
      </c>
      <c r="J25" s="981">
        <v>1</v>
      </c>
      <c r="K25" s="979" t="s">
        <v>605</v>
      </c>
      <c r="L25" s="980" t="s">
        <v>605</v>
      </c>
      <c r="M25" s="980" t="s">
        <v>605</v>
      </c>
      <c r="N25" s="981" t="s">
        <v>605</v>
      </c>
      <c r="O25" s="979">
        <v>107</v>
      </c>
      <c r="P25" s="980">
        <v>132</v>
      </c>
      <c r="Q25" s="980">
        <v>1</v>
      </c>
      <c r="R25" s="991">
        <v>1</v>
      </c>
      <c r="S25" s="37"/>
      <c r="T25" s="37"/>
      <c r="AH25" s="37"/>
      <c r="AI25" s="37"/>
    </row>
    <row r="26" spans="1:35" x14ac:dyDescent="0.2">
      <c r="A26" s="76"/>
      <c r="B26" s="655" t="s">
        <v>160</v>
      </c>
      <c r="C26" s="656" t="s">
        <v>605</v>
      </c>
      <c r="D26" s="975" t="s">
        <v>605</v>
      </c>
      <c r="E26" s="975" t="s">
        <v>605</v>
      </c>
      <c r="F26" s="657" t="s">
        <v>605</v>
      </c>
      <c r="G26" s="656" t="s">
        <v>605</v>
      </c>
      <c r="H26" s="975" t="s">
        <v>605</v>
      </c>
      <c r="I26" s="975" t="s">
        <v>605</v>
      </c>
      <c r="J26" s="657" t="s">
        <v>605</v>
      </c>
      <c r="K26" s="656" t="s">
        <v>605</v>
      </c>
      <c r="L26" s="975" t="s">
        <v>605</v>
      </c>
      <c r="M26" s="975" t="s">
        <v>605</v>
      </c>
      <c r="N26" s="657" t="s">
        <v>605</v>
      </c>
      <c r="O26" s="656" t="s">
        <v>605</v>
      </c>
      <c r="P26" s="975" t="s">
        <v>605</v>
      </c>
      <c r="Q26" s="975" t="s">
        <v>605</v>
      </c>
      <c r="R26" s="658" t="s">
        <v>605</v>
      </c>
      <c r="S26" s="37"/>
      <c r="T26" s="37"/>
      <c r="AH26" s="37"/>
      <c r="AI26" s="37"/>
    </row>
    <row r="27" spans="1:35" x14ac:dyDescent="0.2">
      <c r="A27" s="76" t="str">
        <f>A9</f>
        <v>Science</v>
      </c>
      <c r="B27" s="746" t="s">
        <v>161</v>
      </c>
      <c r="C27" s="976" t="s">
        <v>605</v>
      </c>
      <c r="D27" s="977" t="s">
        <v>605</v>
      </c>
      <c r="E27" s="977" t="s">
        <v>605</v>
      </c>
      <c r="F27" s="978" t="s">
        <v>605</v>
      </c>
      <c r="G27" s="976" t="s">
        <v>605</v>
      </c>
      <c r="H27" s="977" t="s">
        <v>605</v>
      </c>
      <c r="I27" s="977" t="s">
        <v>605</v>
      </c>
      <c r="J27" s="978" t="s">
        <v>605</v>
      </c>
      <c r="K27" s="976" t="s">
        <v>605</v>
      </c>
      <c r="L27" s="977" t="s">
        <v>605</v>
      </c>
      <c r="M27" s="977" t="s">
        <v>605</v>
      </c>
      <c r="N27" s="978" t="s">
        <v>605</v>
      </c>
      <c r="O27" s="976" t="s">
        <v>605</v>
      </c>
      <c r="P27" s="977" t="s">
        <v>605</v>
      </c>
      <c r="Q27" s="977" t="s">
        <v>605</v>
      </c>
      <c r="R27" s="990" t="s">
        <v>605</v>
      </c>
      <c r="S27" s="37"/>
      <c r="T27" s="37"/>
      <c r="AH27" s="37"/>
      <c r="AI27" s="37"/>
    </row>
    <row r="28" spans="1:35" x14ac:dyDescent="0.2">
      <c r="A28" s="77"/>
      <c r="B28" s="379" t="s">
        <v>162</v>
      </c>
      <c r="C28" s="979" t="s">
        <v>605</v>
      </c>
      <c r="D28" s="980" t="s">
        <v>605</v>
      </c>
      <c r="E28" s="980" t="s">
        <v>605</v>
      </c>
      <c r="F28" s="981" t="s">
        <v>605</v>
      </c>
      <c r="G28" s="979" t="s">
        <v>605</v>
      </c>
      <c r="H28" s="980" t="s">
        <v>605</v>
      </c>
      <c r="I28" s="980" t="s">
        <v>605</v>
      </c>
      <c r="J28" s="981" t="s">
        <v>605</v>
      </c>
      <c r="K28" s="979" t="s">
        <v>605</v>
      </c>
      <c r="L28" s="980" t="s">
        <v>605</v>
      </c>
      <c r="M28" s="980" t="s">
        <v>605</v>
      </c>
      <c r="N28" s="981" t="s">
        <v>605</v>
      </c>
      <c r="O28" s="979" t="s">
        <v>605</v>
      </c>
      <c r="P28" s="980" t="s">
        <v>605</v>
      </c>
      <c r="Q28" s="980" t="s">
        <v>605</v>
      </c>
      <c r="R28" s="991" t="s">
        <v>605</v>
      </c>
      <c r="S28" s="37"/>
      <c r="T28" s="37"/>
      <c r="AH28" s="37"/>
      <c r="AI28" s="37"/>
    </row>
    <row r="29" spans="1:35" ht="9" customHeight="1" x14ac:dyDescent="0.2">
      <c r="A29" s="744"/>
      <c r="B29" s="745"/>
      <c r="C29" s="745"/>
      <c r="D29" s="745"/>
      <c r="E29" s="745"/>
      <c r="F29" s="745"/>
      <c r="G29" s="745"/>
      <c r="H29" s="745"/>
      <c r="I29" s="745"/>
      <c r="J29" s="745"/>
      <c r="K29" s="745"/>
      <c r="L29" s="745"/>
      <c r="M29" s="745"/>
      <c r="N29" s="1740"/>
      <c r="O29" s="1740"/>
      <c r="P29" s="1740"/>
      <c r="Q29" s="1740"/>
      <c r="R29" s="1741"/>
      <c r="S29" s="37"/>
      <c r="T29" s="37"/>
    </row>
    <row r="30" spans="1:35" x14ac:dyDescent="0.2">
      <c r="A30" s="315" t="s">
        <v>847</v>
      </c>
      <c r="B30" s="321"/>
      <c r="C30" s="321"/>
      <c r="D30" s="321"/>
      <c r="E30" s="321"/>
      <c r="F30" s="321"/>
      <c r="G30" s="1742"/>
      <c r="H30" s="1742"/>
      <c r="I30" s="1742"/>
      <c r="J30" s="1742"/>
      <c r="K30" s="1742"/>
      <c r="L30" s="1742"/>
      <c r="M30" s="1742"/>
      <c r="N30" s="1742"/>
      <c r="O30" s="1742"/>
      <c r="P30" s="1742"/>
      <c r="Q30" s="1742"/>
      <c r="R30" s="1743"/>
      <c r="S30" s="37"/>
      <c r="T30" s="37"/>
    </row>
    <row r="31" spans="1:35" ht="46.5" customHeight="1" thickBot="1" x14ac:dyDescent="0.25">
      <c r="A31" s="1744" t="s">
        <v>982</v>
      </c>
      <c r="B31" s="1745"/>
      <c r="C31" s="1745"/>
      <c r="D31" s="1745"/>
      <c r="E31" s="1745"/>
      <c r="F31" s="1745"/>
      <c r="G31" s="1745"/>
      <c r="H31" s="1745"/>
      <c r="I31" s="1745"/>
      <c r="J31" s="1745"/>
      <c r="K31" s="1745"/>
      <c r="L31" s="1745"/>
      <c r="M31" s="1745"/>
      <c r="N31" s="1745"/>
      <c r="O31" s="1745"/>
      <c r="P31" s="1745"/>
      <c r="Q31" s="1745"/>
      <c r="R31" s="1746"/>
      <c r="S31" s="37"/>
      <c r="T31" s="37"/>
    </row>
    <row r="32" spans="1:35" ht="13.5" thickTop="1" x14ac:dyDescent="0.2">
      <c r="A32" s="37"/>
      <c r="B32" s="37"/>
      <c r="C32" s="382"/>
      <c r="D32" s="382"/>
      <c r="E32" s="382"/>
      <c r="F32" s="382"/>
      <c r="G32" s="382"/>
      <c r="H32" s="382"/>
      <c r="I32" s="382"/>
      <c r="J32" s="37"/>
      <c r="K32" s="37"/>
      <c r="L32" s="37"/>
      <c r="M32" s="37"/>
      <c r="N32" s="37"/>
      <c r="O32" s="37"/>
      <c r="P32" s="37"/>
      <c r="Q32" s="37"/>
      <c r="R32" s="37"/>
      <c r="S32" s="37"/>
      <c r="T32" s="37"/>
    </row>
    <row r="33" spans="1:20" x14ac:dyDescent="0.2">
      <c r="A33" s="37"/>
      <c r="B33" s="37"/>
      <c r="C33" s="382"/>
      <c r="D33" s="382"/>
      <c r="E33" s="382"/>
      <c r="F33" s="382"/>
      <c r="G33" s="382"/>
      <c r="H33" s="382"/>
      <c r="I33" s="382"/>
      <c r="J33" s="37"/>
      <c r="K33" s="37"/>
      <c r="L33" s="37"/>
      <c r="M33" s="37"/>
      <c r="N33" s="37"/>
      <c r="O33" s="37"/>
      <c r="P33" s="37"/>
      <c r="Q33" s="37"/>
      <c r="R33" s="37"/>
      <c r="S33" s="37"/>
      <c r="T33" s="37"/>
    </row>
    <row r="34" spans="1:20" x14ac:dyDescent="0.2">
      <c r="A34" s="37"/>
      <c r="B34" s="37"/>
      <c r="C34" s="382"/>
      <c r="D34" s="382"/>
      <c r="E34" s="382"/>
      <c r="F34" s="382"/>
      <c r="G34" s="382"/>
      <c r="H34" s="382"/>
      <c r="I34" s="382"/>
      <c r="J34" s="37"/>
      <c r="K34" s="37"/>
      <c r="L34" s="37"/>
      <c r="M34" s="37"/>
      <c r="N34" s="37"/>
      <c r="O34" s="37"/>
      <c r="P34" s="37"/>
      <c r="Q34" s="37"/>
      <c r="R34" s="37"/>
      <c r="S34" s="37"/>
      <c r="T34" s="37"/>
    </row>
    <row r="35" spans="1:20" x14ac:dyDescent="0.2">
      <c r="A35" s="37"/>
      <c r="B35" s="37"/>
      <c r="C35" s="382"/>
      <c r="D35" s="382"/>
      <c r="E35" s="382"/>
      <c r="F35" s="382"/>
      <c r="G35" s="382"/>
      <c r="H35" s="382"/>
      <c r="I35" s="382"/>
      <c r="J35" s="37"/>
      <c r="K35" s="37"/>
      <c r="L35" s="37"/>
      <c r="M35" s="37"/>
      <c r="N35" s="37"/>
      <c r="O35" s="37"/>
      <c r="P35" s="37"/>
      <c r="Q35" s="37"/>
      <c r="R35" s="37"/>
      <c r="S35" s="37"/>
      <c r="T35" s="37"/>
    </row>
    <row r="36" spans="1:20" x14ac:dyDescent="0.2">
      <c r="A36" s="37"/>
      <c r="B36" s="37"/>
      <c r="C36" s="382"/>
      <c r="D36" s="382"/>
      <c r="E36" s="382"/>
      <c r="F36" s="382"/>
      <c r="G36" s="382"/>
      <c r="H36" s="382"/>
      <c r="I36" s="382"/>
      <c r="J36" s="37"/>
      <c r="K36" s="37"/>
      <c r="L36" s="37"/>
      <c r="M36" s="37"/>
      <c r="N36" s="37"/>
      <c r="O36" s="37"/>
      <c r="P36" s="37"/>
      <c r="Q36" s="37"/>
      <c r="R36" s="37"/>
      <c r="S36" s="37"/>
      <c r="T36" s="37"/>
    </row>
    <row r="37" spans="1:20" x14ac:dyDescent="0.2">
      <c r="A37" s="37"/>
      <c r="B37" s="37"/>
      <c r="C37" s="382"/>
      <c r="D37" s="382"/>
      <c r="E37" s="382"/>
      <c r="F37" s="382"/>
      <c r="G37" s="382"/>
      <c r="H37" s="382"/>
      <c r="I37" s="382"/>
      <c r="J37" s="37"/>
      <c r="K37" s="37"/>
      <c r="L37" s="37"/>
      <c r="M37" s="37"/>
      <c r="N37" s="37"/>
      <c r="O37" s="37"/>
      <c r="P37" s="37"/>
      <c r="Q37" s="37"/>
      <c r="R37" s="37"/>
      <c r="S37" s="37"/>
      <c r="T37" s="37"/>
    </row>
    <row r="38" spans="1:20" x14ac:dyDescent="0.2">
      <c r="A38" s="37"/>
      <c r="B38" s="37"/>
      <c r="C38" s="382"/>
      <c r="D38" s="382"/>
      <c r="E38" s="382"/>
      <c r="F38" s="382"/>
      <c r="G38" s="382"/>
      <c r="H38" s="382"/>
      <c r="I38" s="382"/>
      <c r="J38" s="37"/>
      <c r="K38" s="37"/>
      <c r="L38" s="37"/>
      <c r="M38" s="37"/>
      <c r="N38" s="37"/>
      <c r="O38" s="37"/>
      <c r="P38" s="37"/>
      <c r="Q38" s="37"/>
      <c r="R38" s="37"/>
      <c r="S38" s="37"/>
      <c r="T38" s="37"/>
    </row>
    <row r="39" spans="1:20" x14ac:dyDescent="0.2">
      <c r="A39" s="37"/>
      <c r="B39" s="37"/>
      <c r="C39" s="382"/>
      <c r="D39" s="382"/>
      <c r="E39" s="382"/>
      <c r="F39" s="382"/>
      <c r="G39" s="382"/>
      <c r="H39" s="382"/>
      <c r="I39" s="382"/>
      <c r="J39" s="37"/>
      <c r="K39" s="37"/>
      <c r="L39" s="37"/>
      <c r="M39" s="37"/>
      <c r="N39" s="37"/>
      <c r="O39" s="37"/>
      <c r="P39" s="37"/>
      <c r="Q39" s="37"/>
      <c r="R39" s="37"/>
      <c r="S39" s="37"/>
      <c r="T39" s="37"/>
    </row>
    <row r="40" spans="1:20" x14ac:dyDescent="0.2">
      <c r="A40" s="37"/>
      <c r="B40" s="37"/>
      <c r="C40" s="382"/>
      <c r="D40" s="382"/>
      <c r="E40" s="382"/>
      <c r="F40" s="382"/>
      <c r="G40" s="382"/>
      <c r="H40" s="382"/>
      <c r="I40" s="382"/>
      <c r="J40" s="37"/>
      <c r="K40" s="37"/>
      <c r="L40" s="37"/>
      <c r="M40" s="37"/>
      <c r="N40" s="37"/>
      <c r="O40" s="37"/>
      <c r="P40" s="37"/>
      <c r="Q40" s="37"/>
      <c r="R40" s="37"/>
      <c r="S40" s="37"/>
      <c r="T40" s="37"/>
    </row>
    <row r="41" spans="1:20" x14ac:dyDescent="0.2">
      <c r="A41" s="37"/>
      <c r="B41" s="37"/>
      <c r="C41" s="382"/>
      <c r="D41" s="382"/>
      <c r="E41" s="382"/>
      <c r="F41" s="382"/>
      <c r="G41" s="382"/>
      <c r="H41" s="382"/>
      <c r="I41" s="382"/>
      <c r="J41" s="37"/>
      <c r="K41" s="37"/>
      <c r="L41" s="37"/>
      <c r="M41" s="37"/>
      <c r="N41" s="37"/>
      <c r="O41" s="37"/>
      <c r="P41" s="37"/>
      <c r="Q41" s="37"/>
      <c r="R41" s="37"/>
      <c r="S41" s="37"/>
      <c r="T41" s="37"/>
    </row>
    <row r="42" spans="1:20" x14ac:dyDescent="0.2">
      <c r="A42" s="37"/>
      <c r="B42" s="37"/>
      <c r="C42" s="382"/>
      <c r="D42" s="382"/>
      <c r="E42" s="382"/>
      <c r="F42" s="382"/>
      <c r="G42" s="382"/>
      <c r="H42" s="382"/>
      <c r="I42" s="382"/>
      <c r="J42" s="37"/>
      <c r="K42" s="37"/>
      <c r="L42" s="37"/>
      <c r="M42" s="37"/>
      <c r="N42" s="37"/>
      <c r="O42" s="37"/>
      <c r="P42" s="37"/>
      <c r="Q42" s="37"/>
      <c r="R42" s="37"/>
      <c r="S42" s="37"/>
      <c r="T42" s="37"/>
    </row>
    <row r="43" spans="1:20" x14ac:dyDescent="0.2">
      <c r="A43" s="37"/>
      <c r="B43" s="37"/>
      <c r="C43" s="382"/>
      <c r="D43" s="382"/>
      <c r="E43" s="382"/>
      <c r="F43" s="382"/>
      <c r="G43" s="382"/>
      <c r="H43" s="382"/>
      <c r="I43" s="382"/>
      <c r="J43" s="37"/>
      <c r="K43" s="37"/>
      <c r="L43" s="37"/>
      <c r="M43" s="37"/>
      <c r="N43" s="37"/>
      <c r="O43" s="37"/>
      <c r="P43" s="37"/>
      <c r="Q43" s="37"/>
      <c r="R43" s="37"/>
      <c r="S43" s="37"/>
      <c r="T43" s="37"/>
    </row>
    <row r="44" spans="1:20" x14ac:dyDescent="0.2">
      <c r="A44" s="37"/>
      <c r="B44" s="37"/>
      <c r="C44" s="382"/>
      <c r="D44" s="382"/>
      <c r="E44" s="382"/>
      <c r="F44" s="382"/>
      <c r="G44" s="382"/>
      <c r="H44" s="382"/>
      <c r="I44" s="382"/>
      <c r="J44" s="37"/>
      <c r="K44" s="37"/>
      <c r="L44" s="37"/>
      <c r="M44" s="37"/>
      <c r="N44" s="37"/>
      <c r="O44" s="37"/>
      <c r="P44" s="37"/>
      <c r="Q44" s="37"/>
      <c r="R44" s="37"/>
      <c r="S44" s="37"/>
      <c r="T44" s="37"/>
    </row>
    <row r="45" spans="1:20" x14ac:dyDescent="0.2">
      <c r="A45" s="37"/>
      <c r="B45" s="37"/>
      <c r="C45" s="382"/>
      <c r="D45" s="382"/>
      <c r="E45" s="382"/>
      <c r="F45" s="382"/>
      <c r="G45" s="382"/>
      <c r="H45" s="382"/>
      <c r="I45" s="382"/>
      <c r="J45" s="37"/>
      <c r="K45" s="37"/>
      <c r="L45" s="37"/>
      <c r="M45" s="37"/>
      <c r="N45" s="37"/>
      <c r="O45" s="37"/>
      <c r="P45" s="37"/>
      <c r="Q45" s="37"/>
      <c r="R45" s="37"/>
      <c r="S45" s="37"/>
      <c r="T45" s="37"/>
    </row>
    <row r="46" spans="1:20" x14ac:dyDescent="0.2">
      <c r="A46" s="37"/>
      <c r="B46" s="37"/>
      <c r="C46" s="382"/>
      <c r="D46" s="382"/>
      <c r="E46" s="382"/>
      <c r="F46" s="382"/>
      <c r="G46" s="382"/>
      <c r="H46" s="382"/>
      <c r="I46" s="382"/>
      <c r="J46" s="37"/>
      <c r="K46" s="37"/>
      <c r="L46" s="37"/>
      <c r="M46" s="37"/>
      <c r="N46" s="37"/>
      <c r="O46" s="37"/>
      <c r="P46" s="37"/>
      <c r="Q46" s="37"/>
      <c r="R46" s="37"/>
      <c r="S46" s="37"/>
      <c r="T46" s="37"/>
    </row>
    <row r="47" spans="1:20" x14ac:dyDescent="0.2">
      <c r="A47" s="37"/>
      <c r="B47" s="37"/>
      <c r="C47" s="382"/>
      <c r="D47" s="382"/>
      <c r="E47" s="382"/>
      <c r="F47" s="382"/>
      <c r="G47" s="382"/>
      <c r="H47" s="382"/>
      <c r="I47" s="382"/>
      <c r="J47" s="37"/>
      <c r="K47" s="37"/>
      <c r="L47" s="37"/>
      <c r="M47" s="37"/>
      <c r="N47" s="37"/>
      <c r="O47" s="37"/>
      <c r="P47" s="37"/>
      <c r="Q47" s="37"/>
      <c r="R47" s="37"/>
      <c r="S47" s="37"/>
      <c r="T47" s="37"/>
    </row>
    <row r="48" spans="1:20" x14ac:dyDescent="0.2">
      <c r="A48" s="37"/>
      <c r="B48" s="37"/>
      <c r="C48" s="382"/>
      <c r="D48" s="382"/>
      <c r="E48" s="382"/>
      <c r="F48" s="382"/>
      <c r="G48" s="382"/>
      <c r="H48" s="382"/>
      <c r="I48" s="382"/>
      <c r="J48" s="37"/>
      <c r="K48" s="37"/>
      <c r="L48" s="37"/>
      <c r="M48" s="37"/>
      <c r="N48" s="37"/>
      <c r="O48" s="37"/>
      <c r="P48" s="37"/>
      <c r="Q48" s="37"/>
      <c r="R48" s="37"/>
      <c r="S48" s="37"/>
      <c r="T48" s="37"/>
    </row>
    <row r="49" spans="1:20" x14ac:dyDescent="0.2">
      <c r="A49" s="37"/>
      <c r="B49" s="37"/>
      <c r="C49" s="382"/>
      <c r="D49" s="382"/>
      <c r="E49" s="382"/>
      <c r="F49" s="382"/>
      <c r="G49" s="382"/>
      <c r="H49" s="382"/>
      <c r="I49" s="382"/>
      <c r="J49" s="37"/>
      <c r="K49" s="37"/>
      <c r="L49" s="37"/>
      <c r="M49" s="37"/>
      <c r="N49" s="37"/>
      <c r="O49" s="37"/>
      <c r="P49" s="37"/>
      <c r="Q49" s="37"/>
      <c r="R49" s="37"/>
      <c r="S49" s="37"/>
      <c r="T49" s="37"/>
    </row>
    <row r="50" spans="1:20" x14ac:dyDescent="0.2">
      <c r="A50" s="37"/>
      <c r="B50" s="37"/>
      <c r="C50" s="382"/>
      <c r="D50" s="382"/>
      <c r="E50" s="382"/>
      <c r="F50" s="382"/>
      <c r="G50" s="382"/>
      <c r="H50" s="382"/>
      <c r="I50" s="382"/>
      <c r="J50" s="37"/>
      <c r="K50" s="37"/>
      <c r="L50" s="37"/>
      <c r="M50" s="37"/>
      <c r="N50" s="37"/>
      <c r="O50" s="37"/>
      <c r="P50" s="37"/>
      <c r="Q50" s="37"/>
      <c r="R50" s="37"/>
      <c r="S50" s="37"/>
      <c r="T50" s="37"/>
    </row>
    <row r="51" spans="1:20" x14ac:dyDescent="0.2">
      <c r="A51" s="37"/>
      <c r="B51" s="37"/>
      <c r="C51" s="382"/>
      <c r="D51" s="382"/>
      <c r="E51" s="382"/>
      <c r="F51" s="382"/>
      <c r="G51" s="382"/>
      <c r="H51" s="382"/>
      <c r="I51" s="382"/>
      <c r="J51" s="37"/>
      <c r="K51" s="37"/>
      <c r="L51" s="37"/>
      <c r="M51" s="37"/>
      <c r="N51" s="37"/>
      <c r="O51" s="37"/>
      <c r="P51" s="37"/>
      <c r="Q51" s="37"/>
      <c r="R51" s="37"/>
      <c r="S51" s="37"/>
      <c r="T51" s="37"/>
    </row>
    <row r="52" spans="1:20" x14ac:dyDescent="0.2">
      <c r="A52" s="37"/>
      <c r="B52" s="37"/>
      <c r="C52" s="382"/>
      <c r="D52" s="382"/>
      <c r="E52" s="382"/>
      <c r="F52" s="382"/>
      <c r="G52" s="382"/>
      <c r="H52" s="382"/>
      <c r="I52" s="382"/>
      <c r="J52" s="37"/>
      <c r="K52" s="37"/>
      <c r="L52" s="37"/>
      <c r="M52" s="37"/>
      <c r="N52" s="37"/>
      <c r="O52" s="37"/>
      <c r="P52" s="37"/>
      <c r="Q52" s="37"/>
      <c r="R52" s="37"/>
      <c r="S52" s="37"/>
      <c r="T52" s="37"/>
    </row>
    <row r="53" spans="1:20" x14ac:dyDescent="0.2">
      <c r="A53" s="37"/>
      <c r="B53" s="37"/>
      <c r="C53" s="382"/>
      <c r="D53" s="382"/>
      <c r="E53" s="382"/>
      <c r="F53" s="382"/>
      <c r="G53" s="382"/>
      <c r="H53" s="382"/>
      <c r="I53" s="382"/>
      <c r="J53" s="37"/>
      <c r="K53" s="37"/>
      <c r="L53" s="37"/>
      <c r="M53" s="37"/>
      <c r="N53" s="37"/>
      <c r="O53" s="37"/>
      <c r="P53" s="37"/>
      <c r="Q53" s="37"/>
      <c r="R53" s="37"/>
      <c r="S53" s="37"/>
      <c r="T53" s="37"/>
    </row>
    <row r="54" spans="1:20" x14ac:dyDescent="0.2">
      <c r="A54" s="37"/>
      <c r="B54" s="37"/>
      <c r="C54" s="382"/>
      <c r="D54" s="382"/>
      <c r="E54" s="382"/>
      <c r="F54" s="382"/>
      <c r="G54" s="382"/>
      <c r="H54" s="382"/>
      <c r="I54" s="382"/>
      <c r="J54" s="37"/>
      <c r="K54" s="37"/>
      <c r="L54" s="37"/>
      <c r="M54" s="37"/>
      <c r="N54" s="37"/>
      <c r="O54" s="37"/>
      <c r="P54" s="37"/>
      <c r="Q54" s="37"/>
      <c r="R54" s="37"/>
      <c r="S54" s="37"/>
      <c r="T54" s="37"/>
    </row>
    <row r="55" spans="1:20" x14ac:dyDescent="0.2">
      <c r="A55" s="37"/>
      <c r="B55" s="37"/>
      <c r="C55" s="382"/>
      <c r="D55" s="382"/>
      <c r="E55" s="382"/>
      <c r="F55" s="382"/>
      <c r="G55" s="382"/>
      <c r="H55" s="382"/>
      <c r="I55" s="382"/>
      <c r="J55" s="37"/>
      <c r="K55" s="37"/>
      <c r="L55" s="37"/>
      <c r="M55" s="37"/>
      <c r="N55" s="37"/>
      <c r="O55" s="37"/>
      <c r="P55" s="37"/>
      <c r="Q55" s="37"/>
      <c r="R55" s="37"/>
      <c r="S55" s="37"/>
      <c r="T55" s="37"/>
    </row>
    <row r="56" spans="1:20" x14ac:dyDescent="0.2">
      <c r="A56" s="37"/>
      <c r="B56" s="37"/>
      <c r="C56" s="382"/>
      <c r="D56" s="382"/>
      <c r="E56" s="382"/>
      <c r="F56" s="382"/>
      <c r="G56" s="382"/>
      <c r="H56" s="382"/>
      <c r="I56" s="382"/>
      <c r="J56" s="37"/>
      <c r="K56" s="37"/>
      <c r="L56" s="37"/>
      <c r="M56" s="37"/>
      <c r="N56" s="37"/>
      <c r="O56" s="37"/>
      <c r="P56" s="37"/>
      <c r="Q56" s="37"/>
      <c r="R56" s="37"/>
      <c r="S56" s="37"/>
      <c r="T56" s="37"/>
    </row>
    <row r="57" spans="1:20" x14ac:dyDescent="0.2">
      <c r="A57" s="37"/>
      <c r="B57" s="37"/>
      <c r="C57" s="382"/>
      <c r="D57" s="382"/>
      <c r="E57" s="382"/>
      <c r="F57" s="382"/>
      <c r="G57" s="382"/>
      <c r="H57" s="382"/>
      <c r="I57" s="382"/>
      <c r="J57" s="37"/>
      <c r="K57" s="37"/>
      <c r="L57" s="37"/>
      <c r="M57" s="37"/>
      <c r="N57" s="37"/>
      <c r="O57" s="37"/>
      <c r="P57" s="37"/>
      <c r="Q57" s="37"/>
      <c r="R57" s="37"/>
      <c r="S57" s="37"/>
      <c r="T57" s="37"/>
    </row>
    <row r="58" spans="1:20" x14ac:dyDescent="0.2">
      <c r="A58" s="37"/>
      <c r="B58" s="37"/>
      <c r="C58" s="382"/>
      <c r="D58" s="382"/>
      <c r="E58" s="382"/>
      <c r="F58" s="382"/>
      <c r="G58" s="382"/>
      <c r="H58" s="382"/>
      <c r="I58" s="382"/>
      <c r="J58" s="37"/>
      <c r="K58" s="37"/>
      <c r="L58" s="37"/>
      <c r="M58" s="37"/>
      <c r="N58" s="37"/>
      <c r="O58" s="37"/>
      <c r="P58" s="37"/>
      <c r="Q58" s="37"/>
      <c r="R58" s="37"/>
      <c r="S58" s="37"/>
      <c r="T58" s="37"/>
    </row>
    <row r="59" spans="1:20" x14ac:dyDescent="0.2">
      <c r="A59" s="37"/>
      <c r="B59" s="37"/>
      <c r="C59" s="382"/>
      <c r="D59" s="382"/>
      <c r="E59" s="382"/>
      <c r="F59" s="382"/>
      <c r="G59" s="382"/>
      <c r="H59" s="382"/>
      <c r="I59" s="382"/>
      <c r="J59" s="37"/>
      <c r="K59" s="37"/>
      <c r="L59" s="37"/>
      <c r="M59" s="37"/>
      <c r="N59" s="37"/>
      <c r="O59" s="37"/>
      <c r="P59" s="37"/>
      <c r="Q59" s="37"/>
      <c r="R59" s="37"/>
      <c r="S59" s="37"/>
      <c r="T59" s="37"/>
    </row>
    <row r="60" spans="1:20" x14ac:dyDescent="0.2">
      <c r="A60" s="37"/>
      <c r="B60" s="37"/>
      <c r="C60" s="382"/>
      <c r="D60" s="382"/>
      <c r="E60" s="382"/>
      <c r="F60" s="382"/>
      <c r="G60" s="382"/>
      <c r="H60" s="382"/>
      <c r="I60" s="382"/>
      <c r="J60" s="37"/>
      <c r="K60" s="37"/>
      <c r="L60" s="37"/>
      <c r="M60" s="37"/>
      <c r="N60" s="37"/>
      <c r="O60" s="37"/>
      <c r="P60" s="37"/>
      <c r="Q60" s="37"/>
      <c r="R60" s="37"/>
      <c r="S60" s="37"/>
      <c r="T60" s="37"/>
    </row>
    <row r="61" spans="1:20" x14ac:dyDescent="0.2">
      <c r="A61" s="37"/>
      <c r="B61" s="37"/>
      <c r="C61" s="382"/>
      <c r="D61" s="382"/>
      <c r="E61" s="382"/>
      <c r="F61" s="382"/>
      <c r="G61" s="382"/>
      <c r="H61" s="382"/>
      <c r="I61" s="382"/>
      <c r="J61" s="37"/>
      <c r="K61" s="37"/>
      <c r="L61" s="37"/>
      <c r="M61" s="37"/>
      <c r="N61" s="37"/>
      <c r="O61" s="37"/>
      <c r="P61" s="37"/>
      <c r="Q61" s="37"/>
      <c r="R61" s="37"/>
      <c r="S61" s="37"/>
      <c r="T61" s="37"/>
    </row>
    <row r="62" spans="1:20" x14ac:dyDescent="0.2">
      <c r="A62" s="37"/>
      <c r="B62" s="37"/>
      <c r="C62" s="382"/>
      <c r="D62" s="382"/>
      <c r="E62" s="382"/>
      <c r="F62" s="382"/>
      <c r="G62" s="382"/>
      <c r="H62" s="382"/>
      <c r="I62" s="382"/>
      <c r="J62" s="37"/>
      <c r="K62" s="37"/>
      <c r="L62" s="37"/>
      <c r="M62" s="37"/>
      <c r="N62" s="37"/>
      <c r="O62" s="37"/>
      <c r="P62" s="37"/>
      <c r="Q62" s="37"/>
      <c r="R62" s="37"/>
      <c r="S62" s="37"/>
      <c r="T62" s="37"/>
    </row>
    <row r="63" spans="1:20" x14ac:dyDescent="0.2">
      <c r="A63" s="37"/>
      <c r="B63" s="37"/>
      <c r="C63" s="382"/>
      <c r="D63" s="382"/>
      <c r="E63" s="382"/>
      <c r="F63" s="382"/>
      <c r="G63" s="382"/>
      <c r="H63" s="382"/>
      <c r="I63" s="382"/>
      <c r="J63" s="37"/>
      <c r="K63" s="37"/>
      <c r="L63" s="37"/>
      <c r="M63" s="37"/>
      <c r="N63" s="37"/>
      <c r="O63" s="37"/>
      <c r="P63" s="37"/>
      <c r="Q63" s="37"/>
      <c r="R63" s="37"/>
      <c r="S63" s="37"/>
      <c r="T63" s="37"/>
    </row>
    <row r="64" spans="1:20" x14ac:dyDescent="0.2">
      <c r="A64" s="37"/>
      <c r="B64" s="37"/>
      <c r="C64" s="382"/>
      <c r="D64" s="382"/>
      <c r="E64" s="382"/>
      <c r="F64" s="382"/>
      <c r="G64" s="382"/>
      <c r="H64" s="382"/>
      <c r="I64" s="382"/>
      <c r="J64" s="37"/>
      <c r="K64" s="37"/>
      <c r="L64" s="37"/>
      <c r="M64" s="37"/>
      <c r="N64" s="37"/>
      <c r="O64" s="37"/>
      <c r="P64" s="37"/>
      <c r="Q64" s="37"/>
      <c r="R64" s="37"/>
      <c r="S64" s="37"/>
      <c r="T64" s="37"/>
    </row>
    <row r="65" spans="1:20" x14ac:dyDescent="0.2">
      <c r="A65" s="37"/>
      <c r="B65" s="37"/>
      <c r="C65" s="382"/>
      <c r="D65" s="382"/>
      <c r="E65" s="382"/>
      <c r="F65" s="382"/>
      <c r="G65" s="382"/>
      <c r="H65" s="382"/>
      <c r="I65" s="382"/>
      <c r="J65" s="37"/>
      <c r="K65" s="37"/>
      <c r="L65" s="37"/>
      <c r="M65" s="37"/>
      <c r="N65" s="37"/>
      <c r="O65" s="37"/>
      <c r="P65" s="37"/>
      <c r="Q65" s="37"/>
      <c r="R65" s="37"/>
      <c r="S65" s="37"/>
      <c r="T65" s="37"/>
    </row>
    <row r="66" spans="1:20" x14ac:dyDescent="0.2">
      <c r="A66" s="37"/>
      <c r="B66" s="37"/>
      <c r="C66" s="382"/>
      <c r="D66" s="382"/>
      <c r="E66" s="382"/>
      <c r="F66" s="382"/>
      <c r="G66" s="382"/>
      <c r="H66" s="382"/>
      <c r="I66" s="382"/>
      <c r="J66" s="37"/>
      <c r="K66" s="37"/>
      <c r="L66" s="37"/>
      <c r="M66" s="37"/>
      <c r="N66" s="37"/>
      <c r="O66" s="37"/>
      <c r="P66" s="37"/>
      <c r="Q66" s="37"/>
      <c r="R66" s="37"/>
      <c r="S66" s="37"/>
      <c r="T66" s="37"/>
    </row>
    <row r="67" spans="1:20" x14ac:dyDescent="0.2">
      <c r="A67" s="37"/>
      <c r="B67" s="37"/>
      <c r="C67" s="382"/>
      <c r="D67" s="382"/>
      <c r="E67" s="382"/>
      <c r="F67" s="382"/>
      <c r="G67" s="382"/>
      <c r="H67" s="382"/>
      <c r="I67" s="382"/>
      <c r="J67" s="37"/>
      <c r="K67" s="37"/>
      <c r="L67" s="37"/>
      <c r="M67" s="37"/>
      <c r="N67" s="37"/>
      <c r="O67" s="37"/>
      <c r="P67" s="37"/>
      <c r="Q67" s="37"/>
      <c r="R67" s="37"/>
      <c r="S67" s="37"/>
      <c r="T67" s="37"/>
    </row>
    <row r="68" spans="1:20" x14ac:dyDescent="0.2">
      <c r="A68" s="37"/>
      <c r="B68" s="37"/>
      <c r="C68" s="382"/>
      <c r="D68" s="382"/>
      <c r="E68" s="382"/>
      <c r="F68" s="382"/>
      <c r="G68" s="382"/>
      <c r="H68" s="382"/>
      <c r="I68" s="382"/>
      <c r="J68" s="37"/>
      <c r="K68" s="37"/>
      <c r="L68" s="37"/>
      <c r="M68" s="37"/>
      <c r="N68" s="37"/>
      <c r="O68" s="37"/>
      <c r="P68" s="37"/>
      <c r="Q68" s="37"/>
      <c r="R68" s="37"/>
      <c r="S68" s="37"/>
      <c r="T68" s="37"/>
    </row>
    <row r="69" spans="1:20" x14ac:dyDescent="0.2">
      <c r="A69" s="37"/>
      <c r="B69" s="37"/>
      <c r="C69" s="382"/>
      <c r="D69" s="382"/>
      <c r="E69" s="382"/>
      <c r="F69" s="382"/>
      <c r="G69" s="382"/>
      <c r="H69" s="382"/>
      <c r="I69" s="382"/>
      <c r="J69" s="37"/>
      <c r="K69" s="37"/>
      <c r="L69" s="37"/>
      <c r="M69" s="37"/>
      <c r="N69" s="37"/>
      <c r="O69" s="37"/>
      <c r="P69" s="37"/>
      <c r="Q69" s="37"/>
      <c r="R69" s="37"/>
      <c r="S69" s="37"/>
      <c r="T69" s="37"/>
    </row>
    <row r="70" spans="1:20" x14ac:dyDescent="0.2">
      <c r="A70" s="37"/>
      <c r="B70" s="37"/>
      <c r="C70" s="382"/>
      <c r="D70" s="382"/>
      <c r="E70" s="382"/>
      <c r="F70" s="382"/>
      <c r="G70" s="382"/>
      <c r="H70" s="382"/>
      <c r="I70" s="382"/>
      <c r="J70" s="37"/>
      <c r="K70" s="37"/>
      <c r="L70" s="37"/>
      <c r="M70" s="37"/>
      <c r="N70" s="37"/>
      <c r="O70" s="37"/>
      <c r="P70" s="37"/>
      <c r="Q70" s="37"/>
      <c r="R70" s="37"/>
      <c r="S70" s="37"/>
      <c r="T70" s="37"/>
    </row>
    <row r="71" spans="1:20" x14ac:dyDescent="0.2">
      <c r="A71" s="37"/>
      <c r="B71" s="37"/>
      <c r="C71" s="382"/>
      <c r="D71" s="382"/>
      <c r="E71" s="382"/>
      <c r="F71" s="382"/>
      <c r="G71" s="382"/>
      <c r="H71" s="382"/>
      <c r="I71" s="382"/>
      <c r="J71" s="37"/>
      <c r="K71" s="37"/>
      <c r="L71" s="37"/>
      <c r="M71" s="37"/>
      <c r="N71" s="37"/>
      <c r="O71" s="37"/>
      <c r="P71" s="37"/>
      <c r="Q71" s="37"/>
      <c r="R71" s="37"/>
      <c r="S71" s="37"/>
      <c r="T71" s="37"/>
    </row>
    <row r="72" spans="1:20" x14ac:dyDescent="0.2">
      <c r="A72" s="37"/>
      <c r="B72" s="37"/>
      <c r="C72" s="382"/>
      <c r="D72" s="382"/>
      <c r="E72" s="382"/>
      <c r="F72" s="382"/>
      <c r="G72" s="382"/>
      <c r="H72" s="382"/>
      <c r="I72" s="382"/>
      <c r="J72" s="37"/>
      <c r="K72" s="37"/>
      <c r="L72" s="37"/>
      <c r="M72" s="37"/>
      <c r="N72" s="37"/>
      <c r="O72" s="37"/>
      <c r="P72" s="37"/>
      <c r="Q72" s="37"/>
      <c r="R72" s="37"/>
      <c r="S72" s="37"/>
      <c r="T72" s="37"/>
    </row>
    <row r="73" spans="1:20" x14ac:dyDescent="0.2">
      <c r="A73" s="37"/>
      <c r="B73" s="37"/>
      <c r="C73" s="382"/>
      <c r="D73" s="382"/>
      <c r="E73" s="382"/>
      <c r="F73" s="382"/>
      <c r="G73" s="382"/>
      <c r="H73" s="382"/>
      <c r="I73" s="382"/>
      <c r="J73" s="37"/>
      <c r="K73" s="37"/>
      <c r="L73" s="37"/>
      <c r="M73" s="37"/>
      <c r="N73" s="37"/>
      <c r="O73" s="37"/>
      <c r="P73" s="37"/>
      <c r="Q73" s="37"/>
      <c r="R73" s="37"/>
      <c r="S73" s="37"/>
      <c r="T73" s="37"/>
    </row>
    <row r="74" spans="1:20" x14ac:dyDescent="0.2">
      <c r="A74" s="37"/>
      <c r="B74" s="37"/>
      <c r="C74" s="382"/>
      <c r="D74" s="382"/>
      <c r="E74" s="382"/>
      <c r="F74" s="382"/>
      <c r="G74" s="382"/>
      <c r="H74" s="382"/>
      <c r="I74" s="382"/>
      <c r="J74" s="37"/>
      <c r="K74" s="37"/>
      <c r="L74" s="37"/>
      <c r="M74" s="37"/>
      <c r="N74" s="37"/>
      <c r="O74" s="37"/>
      <c r="P74" s="37"/>
      <c r="Q74" s="37"/>
      <c r="R74" s="37"/>
      <c r="S74" s="37"/>
      <c r="T74" s="37"/>
    </row>
    <row r="75" spans="1:20" x14ac:dyDescent="0.2">
      <c r="A75" s="37"/>
      <c r="B75" s="37"/>
      <c r="C75" s="382"/>
      <c r="D75" s="382"/>
      <c r="E75" s="382"/>
      <c r="F75" s="382"/>
      <c r="G75" s="382"/>
      <c r="H75" s="382"/>
      <c r="I75" s="382"/>
      <c r="J75" s="37"/>
      <c r="K75" s="37"/>
      <c r="L75" s="37"/>
      <c r="M75" s="37"/>
      <c r="N75" s="37"/>
      <c r="O75" s="37"/>
      <c r="P75" s="37"/>
      <c r="Q75" s="37"/>
      <c r="R75" s="37"/>
      <c r="S75" s="37"/>
      <c r="T75" s="37"/>
    </row>
    <row r="76" spans="1:20" x14ac:dyDescent="0.2">
      <c r="A76" s="37"/>
      <c r="B76" s="37"/>
      <c r="C76" s="382"/>
      <c r="D76" s="382"/>
      <c r="E76" s="382"/>
      <c r="F76" s="382"/>
      <c r="G76" s="382"/>
      <c r="H76" s="382"/>
      <c r="I76" s="382"/>
      <c r="J76" s="37"/>
      <c r="K76" s="37"/>
      <c r="L76" s="37"/>
      <c r="M76" s="37"/>
      <c r="N76" s="37"/>
      <c r="O76" s="37"/>
      <c r="P76" s="37"/>
      <c r="Q76" s="37"/>
      <c r="R76" s="37"/>
      <c r="S76" s="37"/>
      <c r="T76" s="37"/>
    </row>
    <row r="77" spans="1:20" x14ac:dyDescent="0.2">
      <c r="A77" s="37"/>
      <c r="B77" s="37"/>
      <c r="C77" s="382"/>
      <c r="D77" s="382"/>
      <c r="E77" s="382"/>
      <c r="F77" s="382"/>
      <c r="G77" s="382"/>
      <c r="H77" s="382"/>
      <c r="I77" s="382"/>
      <c r="J77" s="37"/>
      <c r="K77" s="37"/>
      <c r="L77" s="37"/>
      <c r="M77" s="37"/>
      <c r="N77" s="37"/>
      <c r="O77" s="37"/>
      <c r="P77" s="37"/>
      <c r="Q77" s="37"/>
      <c r="R77" s="37"/>
      <c r="S77" s="37"/>
      <c r="T77" s="37"/>
    </row>
    <row r="78" spans="1:20" x14ac:dyDescent="0.2">
      <c r="A78" s="37"/>
      <c r="B78" s="37"/>
      <c r="C78" s="382"/>
      <c r="D78" s="382"/>
      <c r="E78" s="382"/>
      <c r="F78" s="382"/>
      <c r="G78" s="382"/>
      <c r="H78" s="382"/>
      <c r="I78" s="382"/>
      <c r="N78" s="37"/>
      <c r="O78" s="37"/>
      <c r="P78" s="37"/>
      <c r="Q78" s="37"/>
      <c r="R78" s="37"/>
      <c r="S78" s="37"/>
      <c r="T78" s="37"/>
    </row>
    <row r="79" spans="1:20" x14ac:dyDescent="0.2">
      <c r="A79" s="37"/>
      <c r="B79" s="37"/>
      <c r="C79" s="382"/>
      <c r="D79" s="382"/>
      <c r="E79" s="382"/>
      <c r="F79" s="382"/>
      <c r="G79" s="382"/>
      <c r="H79" s="382"/>
      <c r="I79" s="382"/>
      <c r="N79" s="37"/>
      <c r="O79" s="37"/>
      <c r="P79" s="37"/>
      <c r="Q79" s="37"/>
      <c r="R79" s="37"/>
      <c r="S79" s="37"/>
      <c r="T79" s="37"/>
    </row>
    <row r="80" spans="1:20" x14ac:dyDescent="0.2">
      <c r="A80" s="37"/>
      <c r="B80" s="37"/>
      <c r="C80" s="382"/>
      <c r="D80" s="382"/>
      <c r="E80" s="382"/>
      <c r="F80" s="382"/>
      <c r="G80" s="382"/>
      <c r="H80" s="382"/>
      <c r="I80" s="382"/>
      <c r="N80" s="37"/>
      <c r="O80" s="37"/>
      <c r="P80" s="37"/>
      <c r="Q80" s="37"/>
      <c r="R80" s="37"/>
      <c r="S80" s="37"/>
      <c r="T80" s="37"/>
    </row>
    <row r="81" spans="1:20" x14ac:dyDescent="0.2">
      <c r="A81" s="37"/>
      <c r="B81" s="37"/>
      <c r="C81" s="382"/>
      <c r="D81" s="382"/>
      <c r="E81" s="382"/>
      <c r="F81" s="382"/>
      <c r="G81" s="382"/>
      <c r="H81" s="382"/>
      <c r="I81" s="382"/>
      <c r="N81" s="37"/>
      <c r="O81" s="37"/>
      <c r="P81" s="37"/>
      <c r="Q81" s="37"/>
      <c r="R81" s="37"/>
      <c r="S81" s="37"/>
      <c r="T81" s="37"/>
    </row>
    <row r="82" spans="1:20" x14ac:dyDescent="0.2">
      <c r="A82" s="37"/>
      <c r="B82" s="37"/>
      <c r="C82" s="382"/>
      <c r="D82" s="382"/>
      <c r="E82" s="382"/>
      <c r="F82" s="382"/>
      <c r="G82" s="382"/>
      <c r="H82" s="382"/>
      <c r="I82" s="382"/>
      <c r="N82" s="37"/>
      <c r="O82" s="37"/>
      <c r="P82" s="37"/>
      <c r="Q82" s="37"/>
      <c r="R82" s="37"/>
      <c r="S82" s="37"/>
      <c r="T82" s="37"/>
    </row>
    <row r="83" spans="1:20" x14ac:dyDescent="0.2">
      <c r="A83" s="37"/>
      <c r="B83" s="37"/>
      <c r="C83" s="382"/>
      <c r="D83" s="382"/>
      <c r="E83" s="382"/>
      <c r="F83" s="382"/>
      <c r="G83" s="382"/>
      <c r="H83" s="382"/>
      <c r="I83" s="382"/>
      <c r="N83" s="37"/>
      <c r="O83" s="37"/>
      <c r="P83" s="37"/>
      <c r="Q83" s="37"/>
      <c r="R83" s="37"/>
      <c r="S83" s="37"/>
      <c r="T83" s="37"/>
    </row>
    <row r="84" spans="1:20" x14ac:dyDescent="0.2">
      <c r="A84" s="37"/>
      <c r="B84" s="37"/>
      <c r="C84" s="382"/>
      <c r="D84" s="382"/>
      <c r="E84" s="382"/>
      <c r="F84" s="382"/>
      <c r="G84" s="382"/>
      <c r="H84" s="382"/>
      <c r="I84" s="382"/>
      <c r="N84" s="37"/>
      <c r="O84" s="37"/>
      <c r="P84" s="37"/>
      <c r="Q84" s="37"/>
      <c r="R84" s="37"/>
      <c r="S84" s="37"/>
      <c r="T84" s="37"/>
    </row>
    <row r="85" spans="1:20" x14ac:dyDescent="0.2">
      <c r="A85" s="37"/>
      <c r="B85" s="37"/>
    </row>
  </sheetData>
  <mergeCells count="40">
    <mergeCell ref="E8:P8"/>
    <mergeCell ref="B7:D7"/>
    <mergeCell ref="Q5:R5"/>
    <mergeCell ref="Q6:R6"/>
    <mergeCell ref="B5:D5"/>
    <mergeCell ref="B6:D6"/>
    <mergeCell ref="E5:P5"/>
    <mergeCell ref="E6:P6"/>
    <mergeCell ref="O15:P15"/>
    <mergeCell ref="N29:R29"/>
    <mergeCell ref="B1:R1"/>
    <mergeCell ref="G3:R3"/>
    <mergeCell ref="G2:R2"/>
    <mergeCell ref="A4:R4"/>
    <mergeCell ref="A12:R12"/>
    <mergeCell ref="B13:B16"/>
    <mergeCell ref="A13:A16"/>
    <mergeCell ref="A10:R10"/>
    <mergeCell ref="C14:F14"/>
    <mergeCell ref="G14:J14"/>
    <mergeCell ref="B8:D8"/>
    <mergeCell ref="Q7:R7"/>
    <mergeCell ref="Q8:R8"/>
    <mergeCell ref="E7:P7"/>
    <mergeCell ref="B9:D9"/>
    <mergeCell ref="Q9:R9"/>
    <mergeCell ref="E9:P9"/>
    <mergeCell ref="A31:R31"/>
    <mergeCell ref="C13:R13"/>
    <mergeCell ref="C15:D15"/>
    <mergeCell ref="E15:F15"/>
    <mergeCell ref="G15:H15"/>
    <mergeCell ref="I15:J15"/>
    <mergeCell ref="K15:L15"/>
    <mergeCell ref="Q15:R15"/>
    <mergeCell ref="O14:R14"/>
    <mergeCell ref="A11:R11"/>
    <mergeCell ref="K14:N14"/>
    <mergeCell ref="M15:N15"/>
    <mergeCell ref="G30:R30"/>
  </mergeCells>
  <phoneticPr fontId="65" type="noConversion"/>
  <pageMargins left="0.15583333299999999" right="0.12833333333333299" top="0.75" bottom="0.75" header="0.3" footer="0.3"/>
  <pageSetup scale="84" fitToHeight="0" orientation="landscape" r:id="rId1"/>
  <headerFooter>
    <oddHeader>&amp;LAKIS A 2012</oddHeader>
    <oddFooter>&amp;LAmerican Indian Higher Education Consortium</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M70"/>
  <sheetViews>
    <sheetView topLeftCell="A54" zoomScaleNormal="100" workbookViewId="0">
      <selection activeCell="E49" sqref="E49:F49"/>
    </sheetView>
  </sheetViews>
  <sheetFormatPr defaultColWidth="9.140625" defaultRowHeight="14.25" x14ac:dyDescent="0.2"/>
  <cols>
    <col min="1" max="1" width="29.7109375" style="19" customWidth="1"/>
    <col min="2" max="2" width="6.28515625" style="19" customWidth="1"/>
    <col min="3" max="7" width="15.5703125" style="19" customWidth="1"/>
    <col min="8" max="14" width="9.140625" style="19"/>
    <col min="15" max="15" width="9.140625" style="19" customWidth="1"/>
    <col min="16" max="16384" width="9.140625" style="19"/>
  </cols>
  <sheetData>
    <row r="1" spans="1:13" s="20" customFormat="1" ht="15.75" thickTop="1" x14ac:dyDescent="0.25">
      <c r="A1" s="314" t="s">
        <v>823</v>
      </c>
      <c r="B1" s="732"/>
      <c r="C1" s="1370" t="str">
        <f>'1.1a Overall Instit. Profile'!B1</f>
        <v>Oglala Lakota College</v>
      </c>
      <c r="D1" s="1370"/>
      <c r="E1" s="1370"/>
      <c r="F1" s="1629"/>
    </row>
    <row r="2" spans="1:13" s="37" customFormat="1" ht="18.75" customHeight="1" x14ac:dyDescent="0.2">
      <c r="A2" s="1655" t="s">
        <v>846</v>
      </c>
      <c r="B2" s="1806"/>
      <c r="C2" s="1806"/>
      <c r="D2" s="1806"/>
      <c r="E2" s="1806"/>
      <c r="F2" s="1656"/>
    </row>
    <row r="3" spans="1:13" s="37" customFormat="1" ht="32.25" customHeight="1" x14ac:dyDescent="0.2">
      <c r="A3" s="1807" t="s">
        <v>428</v>
      </c>
      <c r="B3" s="1808"/>
      <c r="C3" s="1808"/>
      <c r="D3" s="1808"/>
      <c r="E3" s="1808"/>
      <c r="F3" s="1809"/>
    </row>
    <row r="4" spans="1:13" s="37" customFormat="1" ht="15" customHeight="1" x14ac:dyDescent="0.2">
      <c r="A4" s="1803" t="s">
        <v>171</v>
      </c>
      <c r="B4" s="1804"/>
      <c r="C4" s="1804"/>
      <c r="D4" s="1804"/>
      <c r="E4" s="1804"/>
      <c r="F4" s="1805"/>
    </row>
    <row r="5" spans="1:13" s="37" customFormat="1" ht="15" customHeight="1" x14ac:dyDescent="0.2">
      <c r="A5" s="663" t="s">
        <v>538</v>
      </c>
      <c r="B5" s="664"/>
      <c r="C5" s="664"/>
      <c r="D5" s="664"/>
      <c r="E5" s="664"/>
      <c r="F5" s="665"/>
    </row>
    <row r="6" spans="1:13" s="37" customFormat="1" ht="15" customHeight="1" x14ac:dyDescent="0.2">
      <c r="A6" s="1797" t="s">
        <v>983</v>
      </c>
      <c r="B6" s="1798"/>
      <c r="C6" s="1798"/>
      <c r="D6" s="1798"/>
      <c r="E6" s="1798"/>
      <c r="F6" s="1799"/>
    </row>
    <row r="7" spans="1:13" s="37" customFormat="1" ht="15" customHeight="1" x14ac:dyDescent="0.2">
      <c r="A7" s="1800"/>
      <c r="B7" s="1801"/>
      <c r="C7" s="1801"/>
      <c r="D7" s="1801"/>
      <c r="E7" s="1801"/>
      <c r="F7" s="1802"/>
    </row>
    <row r="8" spans="1:13" s="37" customFormat="1" ht="15" customHeight="1" x14ac:dyDescent="0.2">
      <c r="A8" s="1800"/>
      <c r="B8" s="1801"/>
      <c r="C8" s="1801"/>
      <c r="D8" s="1801"/>
      <c r="E8" s="1801"/>
      <c r="F8" s="1802"/>
    </row>
    <row r="9" spans="1:13" s="37" customFormat="1" ht="15" customHeight="1" x14ac:dyDescent="0.2">
      <c r="A9" s="1800"/>
      <c r="B9" s="1801"/>
      <c r="C9" s="1801"/>
      <c r="D9" s="1801"/>
      <c r="E9" s="1801"/>
      <c r="F9" s="1802"/>
    </row>
    <row r="10" spans="1:13" s="37" customFormat="1" ht="15" customHeight="1" x14ac:dyDescent="0.2">
      <c r="A10" s="1800"/>
      <c r="B10" s="1801"/>
      <c r="C10" s="1801"/>
      <c r="D10" s="1801"/>
      <c r="E10" s="1801"/>
      <c r="F10" s="1802"/>
    </row>
    <row r="11" spans="1:13" s="37" customFormat="1" ht="30" customHeight="1" x14ac:dyDescent="0.2">
      <c r="A11" s="1815" t="s">
        <v>479</v>
      </c>
      <c r="B11" s="1816"/>
      <c r="C11" s="1816"/>
      <c r="D11" s="1816"/>
      <c r="E11" s="1816"/>
      <c r="F11" s="1817"/>
    </row>
    <row r="12" spans="1:13" ht="15" x14ac:dyDescent="0.25">
      <c r="A12" s="1164" t="s">
        <v>429</v>
      </c>
      <c r="B12" s="1165"/>
      <c r="C12" s="1166"/>
      <c r="D12" s="1167"/>
      <c r="E12" s="1810"/>
      <c r="F12" s="1811"/>
      <c r="G12" s="662"/>
      <c r="H12" s="662"/>
      <c r="I12" s="662"/>
      <c r="J12" s="662"/>
      <c r="K12" s="662"/>
      <c r="L12" s="662"/>
      <c r="M12" s="662"/>
    </row>
    <row r="13" spans="1:13" s="37" customFormat="1" ht="14.25" customHeight="1" x14ac:dyDescent="0.2">
      <c r="A13" s="1819" t="s">
        <v>172</v>
      </c>
      <c r="B13" s="1820"/>
      <c r="C13" s="1812" t="s">
        <v>423</v>
      </c>
      <c r="D13" s="1813"/>
      <c r="E13" s="1813"/>
      <c r="F13" s="1814"/>
    </row>
    <row r="14" spans="1:13" s="37" customFormat="1" ht="15" customHeight="1" x14ac:dyDescent="0.2">
      <c r="A14" s="1821"/>
      <c r="B14" s="1822"/>
      <c r="C14" s="87" t="s">
        <v>473</v>
      </c>
      <c r="D14" s="88" t="s">
        <v>474</v>
      </c>
      <c r="E14" s="750" t="s">
        <v>557</v>
      </c>
      <c r="F14" s="49" t="s">
        <v>475</v>
      </c>
    </row>
    <row r="15" spans="1:13" s="37" customFormat="1" ht="13.5" customHeight="1" x14ac:dyDescent="0.2">
      <c r="A15" s="734" t="s">
        <v>173</v>
      </c>
      <c r="B15" s="247"/>
      <c r="C15" s="132">
        <v>0</v>
      </c>
      <c r="D15" s="310">
        <v>11</v>
      </c>
      <c r="E15" s="310" t="s">
        <v>605</v>
      </c>
      <c r="F15" s="384">
        <v>13</v>
      </c>
    </row>
    <row r="16" spans="1:13" s="37" customFormat="1" ht="13.5" customHeight="1" x14ac:dyDescent="0.2">
      <c r="A16" s="1818" t="s">
        <v>585</v>
      </c>
      <c r="B16" s="7" t="s">
        <v>875</v>
      </c>
      <c r="C16" s="133">
        <v>0</v>
      </c>
      <c r="D16" s="311">
        <v>28</v>
      </c>
      <c r="E16" s="311" t="s">
        <v>605</v>
      </c>
      <c r="F16" s="386">
        <v>41</v>
      </c>
    </row>
    <row r="17" spans="1:7" s="37" customFormat="1" ht="13.5" customHeight="1" x14ac:dyDescent="0.2">
      <c r="A17" s="1818"/>
      <c r="B17" s="7" t="s">
        <v>876</v>
      </c>
      <c r="C17" s="133">
        <v>0</v>
      </c>
      <c r="D17" s="311">
        <v>141</v>
      </c>
      <c r="E17" s="311" t="s">
        <v>605</v>
      </c>
      <c r="F17" s="386">
        <v>160</v>
      </c>
    </row>
    <row r="18" spans="1:7" s="37" customFormat="1" ht="13.5" customHeight="1" x14ac:dyDescent="0.2">
      <c r="A18" s="1818" t="s">
        <v>586</v>
      </c>
      <c r="B18" s="7" t="s">
        <v>875</v>
      </c>
      <c r="C18" s="133">
        <v>0</v>
      </c>
      <c r="D18" s="311">
        <v>4</v>
      </c>
      <c r="E18" s="311" t="s">
        <v>605</v>
      </c>
      <c r="F18" s="386">
        <v>2</v>
      </c>
    </row>
    <row r="19" spans="1:7" s="37" customFormat="1" ht="13.5" customHeight="1" x14ac:dyDescent="0.2">
      <c r="A19" s="1818"/>
      <c r="B19" s="7" t="s">
        <v>876</v>
      </c>
      <c r="C19" s="133">
        <v>0</v>
      </c>
      <c r="D19" s="311">
        <v>6</v>
      </c>
      <c r="E19" s="311" t="s">
        <v>605</v>
      </c>
      <c r="F19" s="386">
        <v>7</v>
      </c>
    </row>
    <row r="20" spans="1:7" s="37" customFormat="1" ht="13.5" customHeight="1" x14ac:dyDescent="0.2">
      <c r="A20" s="1818" t="s">
        <v>587</v>
      </c>
      <c r="B20" s="7" t="s">
        <v>875</v>
      </c>
      <c r="C20" s="133">
        <v>0</v>
      </c>
      <c r="D20" s="311">
        <v>11</v>
      </c>
      <c r="E20" s="311" t="s">
        <v>605</v>
      </c>
      <c r="F20" s="386">
        <v>17</v>
      </c>
    </row>
    <row r="21" spans="1:7" s="37" customFormat="1" ht="13.5" customHeight="1" x14ac:dyDescent="0.2">
      <c r="A21" s="1818"/>
      <c r="B21" s="7" t="s">
        <v>876</v>
      </c>
      <c r="C21" s="133">
        <v>0</v>
      </c>
      <c r="D21" s="311">
        <v>52</v>
      </c>
      <c r="E21" s="311" t="s">
        <v>605</v>
      </c>
      <c r="F21" s="386">
        <v>71</v>
      </c>
    </row>
    <row r="22" spans="1:7" s="37" customFormat="1" ht="13.5" customHeight="1" x14ac:dyDescent="0.2">
      <c r="A22" s="1818" t="s">
        <v>588</v>
      </c>
      <c r="B22" s="7" t="s">
        <v>875</v>
      </c>
      <c r="C22" s="133">
        <v>0</v>
      </c>
      <c r="D22" s="311">
        <v>2</v>
      </c>
      <c r="E22" s="311" t="s">
        <v>605</v>
      </c>
      <c r="F22" s="386">
        <v>2</v>
      </c>
    </row>
    <row r="23" spans="1:7" s="37" customFormat="1" ht="13.5" customHeight="1" x14ac:dyDescent="0.2">
      <c r="A23" s="1818"/>
      <c r="B23" s="7" t="s">
        <v>876</v>
      </c>
      <c r="C23" s="133">
        <v>0</v>
      </c>
      <c r="D23" s="311">
        <v>3</v>
      </c>
      <c r="E23" s="311" t="s">
        <v>605</v>
      </c>
      <c r="F23" s="386">
        <v>6</v>
      </c>
    </row>
    <row r="24" spans="1:7" s="37" customFormat="1" ht="13.5" customHeight="1" x14ac:dyDescent="0.2">
      <c r="A24" s="1818" t="s">
        <v>476</v>
      </c>
      <c r="B24" s="7" t="s">
        <v>875</v>
      </c>
      <c r="C24" s="133">
        <v>0</v>
      </c>
      <c r="D24" s="311">
        <v>17</v>
      </c>
      <c r="E24" s="311" t="s">
        <v>605</v>
      </c>
      <c r="F24" s="386">
        <v>24</v>
      </c>
    </row>
    <row r="25" spans="1:7" s="37" customFormat="1" ht="13.5" customHeight="1" x14ac:dyDescent="0.2">
      <c r="A25" s="1818"/>
      <c r="B25" s="7" t="s">
        <v>876</v>
      </c>
      <c r="C25" s="133">
        <v>0</v>
      </c>
      <c r="D25" s="311">
        <v>89</v>
      </c>
      <c r="E25" s="311" t="s">
        <v>605</v>
      </c>
      <c r="F25" s="386">
        <v>89</v>
      </c>
    </row>
    <row r="26" spans="1:7" s="37" customFormat="1" ht="13.5" customHeight="1" x14ac:dyDescent="0.2">
      <c r="A26" s="1818" t="s">
        <v>477</v>
      </c>
      <c r="B26" s="7" t="s">
        <v>875</v>
      </c>
      <c r="C26" s="133">
        <v>0</v>
      </c>
      <c r="D26" s="311">
        <v>2</v>
      </c>
      <c r="E26" s="311" t="s">
        <v>605</v>
      </c>
      <c r="F26" s="386">
        <v>0</v>
      </c>
    </row>
    <row r="27" spans="1:7" s="37" customFormat="1" ht="13.5" customHeight="1" x14ac:dyDescent="0.2">
      <c r="A27" s="1818"/>
      <c r="B27" s="7" t="s">
        <v>876</v>
      </c>
      <c r="C27" s="967">
        <v>0</v>
      </c>
      <c r="D27" s="968">
        <v>3</v>
      </c>
      <c r="E27" s="968" t="s">
        <v>605</v>
      </c>
      <c r="F27" s="969">
        <v>1</v>
      </c>
    </row>
    <row r="28" spans="1:7" s="37" customFormat="1" ht="13.5" customHeight="1" x14ac:dyDescent="0.2">
      <c r="A28" s="274" t="s">
        <v>276</v>
      </c>
      <c r="B28" s="11"/>
      <c r="C28" s="135">
        <v>0</v>
      </c>
      <c r="D28" s="134">
        <v>6</v>
      </c>
      <c r="E28" s="134" t="s">
        <v>605</v>
      </c>
      <c r="F28" s="385">
        <v>7</v>
      </c>
    </row>
    <row r="29" spans="1:7" s="37" customFormat="1" ht="40.5" customHeight="1" x14ac:dyDescent="0.2">
      <c r="A29" s="1823" t="s">
        <v>480</v>
      </c>
      <c r="B29" s="1824"/>
      <c r="C29" s="1824"/>
      <c r="D29" s="1824"/>
      <c r="E29" s="1824"/>
      <c r="F29" s="1825"/>
    </row>
    <row r="30" spans="1:7" ht="15" x14ac:dyDescent="0.25">
      <c r="A30" s="1164" t="s">
        <v>430</v>
      </c>
      <c r="B30" s="1165"/>
      <c r="C30" s="1166"/>
      <c r="D30" s="1167"/>
      <c r="E30" s="1810" t="s">
        <v>646</v>
      </c>
      <c r="F30" s="1811"/>
      <c r="G30" s="662"/>
    </row>
    <row r="31" spans="1:7" s="37" customFormat="1" ht="14.25" customHeight="1" x14ac:dyDescent="0.2">
      <c r="A31" s="1819" t="s">
        <v>172</v>
      </c>
      <c r="B31" s="1820"/>
      <c r="C31" s="1812" t="s">
        <v>423</v>
      </c>
      <c r="D31" s="1813"/>
      <c r="E31" s="1813"/>
      <c r="F31" s="1814"/>
    </row>
    <row r="32" spans="1:7" s="37" customFormat="1" ht="12.75" customHeight="1" x14ac:dyDescent="0.2">
      <c r="A32" s="1821"/>
      <c r="B32" s="1822"/>
      <c r="C32" s="87" t="s">
        <v>473</v>
      </c>
      <c r="D32" s="88" t="s">
        <v>474</v>
      </c>
      <c r="E32" s="750" t="s">
        <v>557</v>
      </c>
      <c r="F32" s="49" t="s">
        <v>475</v>
      </c>
    </row>
    <row r="33" spans="1:6" s="37" customFormat="1" ht="13.5" customHeight="1" x14ac:dyDescent="0.2">
      <c r="A33" s="734" t="s">
        <v>173</v>
      </c>
      <c r="B33" s="247"/>
      <c r="C33" s="132" t="s">
        <v>646</v>
      </c>
      <c r="D33" s="310" t="s">
        <v>646</v>
      </c>
      <c r="E33" s="966" t="s">
        <v>605</v>
      </c>
      <c r="F33" s="384" t="s">
        <v>646</v>
      </c>
    </row>
    <row r="34" spans="1:6" s="37" customFormat="1" ht="13.5" customHeight="1" x14ac:dyDescent="0.2">
      <c r="A34" s="1818" t="s">
        <v>585</v>
      </c>
      <c r="B34" s="7" t="s">
        <v>875</v>
      </c>
      <c r="C34" s="133" t="s">
        <v>646</v>
      </c>
      <c r="D34" s="311" t="s">
        <v>646</v>
      </c>
      <c r="E34" s="311" t="s">
        <v>605</v>
      </c>
      <c r="F34" s="386" t="s">
        <v>646</v>
      </c>
    </row>
    <row r="35" spans="1:6" s="37" customFormat="1" ht="13.5" customHeight="1" x14ac:dyDescent="0.2">
      <c r="A35" s="1818"/>
      <c r="B35" s="7" t="s">
        <v>876</v>
      </c>
      <c r="C35" s="133" t="s">
        <v>646</v>
      </c>
      <c r="D35" s="311" t="s">
        <v>646</v>
      </c>
      <c r="E35" s="311" t="s">
        <v>605</v>
      </c>
      <c r="F35" s="386" t="s">
        <v>646</v>
      </c>
    </row>
    <row r="36" spans="1:6" s="37" customFormat="1" ht="13.5" customHeight="1" x14ac:dyDescent="0.2">
      <c r="A36" s="1818" t="s">
        <v>586</v>
      </c>
      <c r="B36" s="7" t="s">
        <v>875</v>
      </c>
      <c r="C36" s="133" t="s">
        <v>646</v>
      </c>
      <c r="D36" s="311" t="s">
        <v>646</v>
      </c>
      <c r="E36" s="311" t="s">
        <v>605</v>
      </c>
      <c r="F36" s="386" t="s">
        <v>646</v>
      </c>
    </row>
    <row r="37" spans="1:6" s="37" customFormat="1" ht="13.5" customHeight="1" x14ac:dyDescent="0.2">
      <c r="A37" s="1818"/>
      <c r="B37" s="7" t="s">
        <v>876</v>
      </c>
      <c r="C37" s="133" t="s">
        <v>646</v>
      </c>
      <c r="D37" s="311" t="s">
        <v>646</v>
      </c>
      <c r="E37" s="311" t="s">
        <v>605</v>
      </c>
      <c r="F37" s="386" t="s">
        <v>646</v>
      </c>
    </row>
    <row r="38" spans="1:6" s="37" customFormat="1" ht="13.5" customHeight="1" x14ac:dyDescent="0.2">
      <c r="A38" s="1818" t="s">
        <v>587</v>
      </c>
      <c r="B38" s="7" t="s">
        <v>875</v>
      </c>
      <c r="C38" s="133" t="s">
        <v>646</v>
      </c>
      <c r="D38" s="311" t="s">
        <v>646</v>
      </c>
      <c r="E38" s="311" t="s">
        <v>605</v>
      </c>
      <c r="F38" s="386" t="s">
        <v>646</v>
      </c>
    </row>
    <row r="39" spans="1:6" s="37" customFormat="1" ht="13.5" customHeight="1" x14ac:dyDescent="0.2">
      <c r="A39" s="1818"/>
      <c r="B39" s="7" t="s">
        <v>876</v>
      </c>
      <c r="C39" s="133" t="s">
        <v>646</v>
      </c>
      <c r="D39" s="311" t="s">
        <v>646</v>
      </c>
      <c r="E39" s="311" t="s">
        <v>605</v>
      </c>
      <c r="F39" s="386" t="s">
        <v>646</v>
      </c>
    </row>
    <row r="40" spans="1:6" s="37" customFormat="1" ht="13.5" customHeight="1" x14ac:dyDescent="0.2">
      <c r="A40" s="1818" t="s">
        <v>588</v>
      </c>
      <c r="B40" s="7" t="s">
        <v>875</v>
      </c>
      <c r="C40" s="133" t="s">
        <v>646</v>
      </c>
      <c r="D40" s="311" t="s">
        <v>646</v>
      </c>
      <c r="E40" s="311" t="s">
        <v>605</v>
      </c>
      <c r="F40" s="386" t="s">
        <v>646</v>
      </c>
    </row>
    <row r="41" spans="1:6" s="37" customFormat="1" ht="13.5" customHeight="1" x14ac:dyDescent="0.2">
      <c r="A41" s="1818"/>
      <c r="B41" s="7" t="s">
        <v>876</v>
      </c>
      <c r="C41" s="133" t="s">
        <v>646</v>
      </c>
      <c r="D41" s="311" t="s">
        <v>646</v>
      </c>
      <c r="E41" s="311" t="s">
        <v>605</v>
      </c>
      <c r="F41" s="386" t="s">
        <v>646</v>
      </c>
    </row>
    <row r="42" spans="1:6" s="37" customFormat="1" ht="13.5" customHeight="1" x14ac:dyDescent="0.2">
      <c r="A42" s="1818" t="s">
        <v>476</v>
      </c>
      <c r="B42" s="7" t="s">
        <v>875</v>
      </c>
      <c r="C42" s="133" t="s">
        <v>646</v>
      </c>
      <c r="D42" s="311" t="s">
        <v>646</v>
      </c>
      <c r="E42" s="311" t="s">
        <v>605</v>
      </c>
      <c r="F42" s="386" t="s">
        <v>646</v>
      </c>
    </row>
    <row r="43" spans="1:6" s="37" customFormat="1" ht="13.5" customHeight="1" x14ac:dyDescent="0.2">
      <c r="A43" s="1818"/>
      <c r="B43" s="7" t="s">
        <v>876</v>
      </c>
      <c r="C43" s="133" t="s">
        <v>646</v>
      </c>
      <c r="D43" s="311" t="s">
        <v>646</v>
      </c>
      <c r="E43" s="311" t="s">
        <v>605</v>
      </c>
      <c r="F43" s="386" t="s">
        <v>646</v>
      </c>
    </row>
    <row r="44" spans="1:6" s="37" customFormat="1" ht="13.5" customHeight="1" x14ac:dyDescent="0.2">
      <c r="A44" s="1818" t="s">
        <v>477</v>
      </c>
      <c r="B44" s="7" t="s">
        <v>875</v>
      </c>
      <c r="C44" s="133" t="s">
        <v>646</v>
      </c>
      <c r="D44" s="311" t="s">
        <v>646</v>
      </c>
      <c r="E44" s="311" t="s">
        <v>605</v>
      </c>
      <c r="F44" s="386" t="s">
        <v>646</v>
      </c>
    </row>
    <row r="45" spans="1:6" s="37" customFormat="1" ht="13.5" customHeight="1" x14ac:dyDescent="0.2">
      <c r="A45" s="1818"/>
      <c r="B45" s="7" t="s">
        <v>876</v>
      </c>
      <c r="C45" s="967" t="s">
        <v>646</v>
      </c>
      <c r="D45" s="968" t="s">
        <v>646</v>
      </c>
      <c r="E45" s="968" t="s">
        <v>605</v>
      </c>
      <c r="F45" s="969" t="s">
        <v>646</v>
      </c>
    </row>
    <row r="46" spans="1:6" s="37" customFormat="1" ht="13.5" customHeight="1" x14ac:dyDescent="0.2">
      <c r="A46" s="6" t="s">
        <v>277</v>
      </c>
      <c r="B46" s="7"/>
      <c r="C46" s="133" t="s">
        <v>646</v>
      </c>
      <c r="D46" s="311" t="s">
        <v>646</v>
      </c>
      <c r="E46" s="311" t="s">
        <v>605</v>
      </c>
      <c r="F46" s="386" t="s">
        <v>646</v>
      </c>
    </row>
    <row r="47" spans="1:6" s="37" customFormat="1" ht="13.5" customHeight="1" x14ac:dyDescent="0.2">
      <c r="A47" s="10" t="s">
        <v>174</v>
      </c>
      <c r="B47" s="11"/>
      <c r="C47" s="135" t="s">
        <v>646</v>
      </c>
      <c r="D47" s="134" t="s">
        <v>646</v>
      </c>
      <c r="E47" s="134" t="s">
        <v>605</v>
      </c>
      <c r="F47" s="385" t="s">
        <v>646</v>
      </c>
    </row>
    <row r="48" spans="1:6" s="37" customFormat="1" ht="40.5" customHeight="1" x14ac:dyDescent="0.2">
      <c r="A48" s="1823" t="s">
        <v>481</v>
      </c>
      <c r="B48" s="1824"/>
      <c r="C48" s="1824"/>
      <c r="D48" s="1824"/>
      <c r="E48" s="1824"/>
      <c r="F48" s="1825"/>
    </row>
    <row r="49" spans="1:7" ht="15" x14ac:dyDescent="0.25">
      <c r="A49" s="1164" t="s">
        <v>431</v>
      </c>
      <c r="B49" s="1165"/>
      <c r="C49" s="1166"/>
      <c r="D49" s="1167"/>
      <c r="E49" s="1810" t="s">
        <v>937</v>
      </c>
      <c r="F49" s="1811"/>
      <c r="G49" s="662"/>
    </row>
    <row r="50" spans="1:7" s="37" customFormat="1" ht="14.25" customHeight="1" x14ac:dyDescent="0.2">
      <c r="A50" s="1819" t="s">
        <v>172</v>
      </c>
      <c r="B50" s="1820"/>
      <c r="C50" s="1812" t="s">
        <v>423</v>
      </c>
      <c r="D50" s="1813"/>
      <c r="E50" s="1813"/>
      <c r="F50" s="1814"/>
    </row>
    <row r="51" spans="1:7" s="37" customFormat="1" ht="12.75" customHeight="1" x14ac:dyDescent="0.2">
      <c r="A51" s="1821"/>
      <c r="B51" s="1822"/>
      <c r="C51" s="87" t="s">
        <v>473</v>
      </c>
      <c r="D51" s="88" t="s">
        <v>474</v>
      </c>
      <c r="E51" s="750" t="s">
        <v>557</v>
      </c>
      <c r="F51" s="49" t="s">
        <v>475</v>
      </c>
    </row>
    <row r="52" spans="1:7" s="37" customFormat="1" ht="13.5" customHeight="1" x14ac:dyDescent="0.2">
      <c r="A52" s="734" t="s">
        <v>173</v>
      </c>
      <c r="B52" s="247"/>
      <c r="C52" s="132">
        <v>0</v>
      </c>
      <c r="D52" s="310">
        <v>0</v>
      </c>
      <c r="E52" s="310" t="s">
        <v>605</v>
      </c>
      <c r="F52" s="384">
        <v>0</v>
      </c>
    </row>
    <row r="53" spans="1:7" s="37" customFormat="1" ht="13.5" customHeight="1" x14ac:dyDescent="0.2">
      <c r="A53" s="1818" t="s">
        <v>585</v>
      </c>
      <c r="B53" s="7" t="s">
        <v>875</v>
      </c>
      <c r="C53" s="133">
        <v>0</v>
      </c>
      <c r="D53" s="311">
        <v>0</v>
      </c>
      <c r="E53" s="311" t="s">
        <v>605</v>
      </c>
      <c r="F53" s="386">
        <v>0</v>
      </c>
    </row>
    <row r="54" spans="1:7" s="37" customFormat="1" ht="13.5" customHeight="1" x14ac:dyDescent="0.2">
      <c r="A54" s="1818"/>
      <c r="B54" s="7" t="s">
        <v>876</v>
      </c>
      <c r="C54" s="133">
        <v>0</v>
      </c>
      <c r="D54" s="311">
        <v>0</v>
      </c>
      <c r="E54" s="311" t="s">
        <v>605</v>
      </c>
      <c r="F54" s="386">
        <v>0</v>
      </c>
    </row>
    <row r="55" spans="1:7" s="37" customFormat="1" ht="13.5" customHeight="1" x14ac:dyDescent="0.2">
      <c r="A55" s="1818" t="s">
        <v>586</v>
      </c>
      <c r="B55" s="7" t="s">
        <v>875</v>
      </c>
      <c r="C55" s="133">
        <v>0</v>
      </c>
      <c r="D55" s="311">
        <v>0</v>
      </c>
      <c r="E55" s="311" t="s">
        <v>605</v>
      </c>
      <c r="F55" s="386">
        <v>0</v>
      </c>
    </row>
    <row r="56" spans="1:7" s="37" customFormat="1" ht="13.5" customHeight="1" x14ac:dyDescent="0.2">
      <c r="A56" s="1818"/>
      <c r="B56" s="7" t="s">
        <v>876</v>
      </c>
      <c r="C56" s="133">
        <v>0</v>
      </c>
      <c r="D56" s="311">
        <v>0</v>
      </c>
      <c r="E56" s="311" t="s">
        <v>605</v>
      </c>
      <c r="F56" s="386">
        <v>0</v>
      </c>
    </row>
    <row r="57" spans="1:7" s="37" customFormat="1" ht="13.5" customHeight="1" x14ac:dyDescent="0.2">
      <c r="A57" s="1818" t="s">
        <v>587</v>
      </c>
      <c r="B57" s="7" t="s">
        <v>875</v>
      </c>
      <c r="C57" s="133">
        <v>0</v>
      </c>
      <c r="D57" s="311">
        <v>0</v>
      </c>
      <c r="E57" s="311" t="s">
        <v>605</v>
      </c>
      <c r="F57" s="386">
        <v>0</v>
      </c>
    </row>
    <row r="58" spans="1:7" s="37" customFormat="1" ht="13.5" customHeight="1" x14ac:dyDescent="0.2">
      <c r="A58" s="1818"/>
      <c r="B58" s="7" t="s">
        <v>876</v>
      </c>
      <c r="C58" s="133">
        <v>0</v>
      </c>
      <c r="D58" s="311">
        <v>0</v>
      </c>
      <c r="E58" s="311" t="s">
        <v>605</v>
      </c>
      <c r="F58" s="386">
        <v>0</v>
      </c>
    </row>
    <row r="59" spans="1:7" s="37" customFormat="1" ht="13.5" customHeight="1" x14ac:dyDescent="0.2">
      <c r="A59" s="1818" t="s">
        <v>588</v>
      </c>
      <c r="B59" s="7" t="s">
        <v>875</v>
      </c>
      <c r="C59" s="133">
        <v>0</v>
      </c>
      <c r="D59" s="311">
        <v>0</v>
      </c>
      <c r="E59" s="311" t="s">
        <v>605</v>
      </c>
      <c r="F59" s="386">
        <v>0</v>
      </c>
    </row>
    <row r="60" spans="1:7" s="37" customFormat="1" ht="13.5" customHeight="1" x14ac:dyDescent="0.2">
      <c r="A60" s="1818"/>
      <c r="B60" s="7" t="s">
        <v>876</v>
      </c>
      <c r="C60" s="133">
        <v>0</v>
      </c>
      <c r="D60" s="311">
        <v>0</v>
      </c>
      <c r="E60" s="311" t="s">
        <v>605</v>
      </c>
      <c r="F60" s="386">
        <v>0</v>
      </c>
    </row>
    <row r="61" spans="1:7" s="37" customFormat="1" ht="13.5" customHeight="1" x14ac:dyDescent="0.2">
      <c r="A61" s="1818" t="s">
        <v>476</v>
      </c>
      <c r="B61" s="7" t="s">
        <v>875</v>
      </c>
      <c r="C61" s="133">
        <v>0</v>
      </c>
      <c r="D61" s="311">
        <v>0</v>
      </c>
      <c r="E61" s="311" t="s">
        <v>605</v>
      </c>
      <c r="F61" s="386">
        <v>0</v>
      </c>
    </row>
    <row r="62" spans="1:7" s="37" customFormat="1" ht="13.5" customHeight="1" x14ac:dyDescent="0.2">
      <c r="A62" s="1818"/>
      <c r="B62" s="7" t="s">
        <v>876</v>
      </c>
      <c r="C62" s="133">
        <v>0</v>
      </c>
      <c r="D62" s="311">
        <v>0</v>
      </c>
      <c r="E62" s="311" t="s">
        <v>605</v>
      </c>
      <c r="F62" s="386">
        <v>0</v>
      </c>
    </row>
    <row r="63" spans="1:7" s="37" customFormat="1" ht="13.5" customHeight="1" x14ac:dyDescent="0.2">
      <c r="A63" s="1818" t="s">
        <v>477</v>
      </c>
      <c r="B63" s="7" t="s">
        <v>875</v>
      </c>
      <c r="C63" s="133">
        <v>0</v>
      </c>
      <c r="D63" s="311">
        <v>0</v>
      </c>
      <c r="E63" s="311" t="s">
        <v>605</v>
      </c>
      <c r="F63" s="386">
        <v>0</v>
      </c>
    </row>
    <row r="64" spans="1:7" s="37" customFormat="1" ht="13.5" customHeight="1" x14ac:dyDescent="0.2">
      <c r="A64" s="1818"/>
      <c r="B64" s="7" t="s">
        <v>876</v>
      </c>
      <c r="C64" s="967">
        <v>0</v>
      </c>
      <c r="D64" s="968">
        <v>0</v>
      </c>
      <c r="E64" s="968" t="s">
        <v>605</v>
      </c>
      <c r="F64" s="969">
        <v>0</v>
      </c>
    </row>
    <row r="65" spans="1:6" s="37" customFormat="1" ht="13.5" x14ac:dyDescent="0.2">
      <c r="A65" s="1829" t="s">
        <v>338</v>
      </c>
      <c r="B65" s="1830"/>
      <c r="C65" s="1830"/>
      <c r="D65" s="1830"/>
      <c r="E65" s="1830"/>
      <c r="F65" s="1831"/>
    </row>
    <row r="66" spans="1:6" s="37" customFormat="1" ht="13.5" x14ac:dyDescent="0.2">
      <c r="A66" s="1826" t="s">
        <v>339</v>
      </c>
      <c r="B66" s="1827"/>
      <c r="C66" s="1827"/>
      <c r="D66" s="1827"/>
      <c r="E66" s="1827"/>
      <c r="F66" s="1828"/>
    </row>
    <row r="67" spans="1:6" s="37" customFormat="1" ht="13.5" x14ac:dyDescent="0.2">
      <c r="A67" s="1826" t="s">
        <v>340</v>
      </c>
      <c r="B67" s="1827"/>
      <c r="C67" s="1827"/>
      <c r="D67" s="1827"/>
      <c r="E67" s="1827"/>
      <c r="F67" s="1828"/>
    </row>
    <row r="68" spans="1:6" s="37" customFormat="1" ht="12.75" x14ac:dyDescent="0.2">
      <c r="A68" s="1558" t="s">
        <v>847</v>
      </c>
      <c r="B68" s="1559"/>
      <c r="C68" s="1559"/>
      <c r="D68" s="1559"/>
      <c r="E68" s="1559"/>
      <c r="F68" s="1560"/>
    </row>
    <row r="69" spans="1:6" s="37" customFormat="1" ht="25.5" customHeight="1" thickBot="1" x14ac:dyDescent="0.25">
      <c r="A69" s="1584" t="s">
        <v>987</v>
      </c>
      <c r="B69" s="1585"/>
      <c r="C69" s="1585"/>
      <c r="D69" s="1585"/>
      <c r="E69" s="1585"/>
      <c r="F69" s="1586"/>
    </row>
    <row r="70" spans="1:6" ht="15" thickTop="1" x14ac:dyDescent="0.2"/>
  </sheetData>
  <mergeCells count="44">
    <mergeCell ref="A61:A62"/>
    <mergeCell ref="A34:A35"/>
    <mergeCell ref="A44:A45"/>
    <mergeCell ref="A69:F69"/>
    <mergeCell ref="A67:F67"/>
    <mergeCell ref="A68:F68"/>
    <mergeCell ref="A36:A37"/>
    <mergeCell ref="A53:A54"/>
    <mergeCell ref="A55:A56"/>
    <mergeCell ref="A42:A43"/>
    <mergeCell ref="A65:F65"/>
    <mergeCell ref="A63:A64"/>
    <mergeCell ref="A57:A58"/>
    <mergeCell ref="A66:F66"/>
    <mergeCell ref="A59:A60"/>
    <mergeCell ref="C31:F31"/>
    <mergeCell ref="C50:F50"/>
    <mergeCell ref="A31:B32"/>
    <mergeCell ref="A50:B51"/>
    <mergeCell ref="A48:F48"/>
    <mergeCell ref="E49:F49"/>
    <mergeCell ref="A38:A39"/>
    <mergeCell ref="A40:A41"/>
    <mergeCell ref="A10:F10"/>
    <mergeCell ref="E30:F30"/>
    <mergeCell ref="C13:F13"/>
    <mergeCell ref="A11:F11"/>
    <mergeCell ref="E12:F12"/>
    <mergeCell ref="A18:A19"/>
    <mergeCell ref="A20:A21"/>
    <mergeCell ref="A16:A17"/>
    <mergeCell ref="A13:B14"/>
    <mergeCell ref="A29:F29"/>
    <mergeCell ref="A22:A23"/>
    <mergeCell ref="A24:A25"/>
    <mergeCell ref="A26:A27"/>
    <mergeCell ref="A6:F6"/>
    <mergeCell ref="A7:F7"/>
    <mergeCell ref="A8:F8"/>
    <mergeCell ref="A9:F9"/>
    <mergeCell ref="C1:F1"/>
    <mergeCell ref="A4:F4"/>
    <mergeCell ref="A2:F2"/>
    <mergeCell ref="A3:F3"/>
  </mergeCells>
  <phoneticPr fontId="65" type="noConversion"/>
  <pageMargins left="0.90583333300000002" right="0.12833333333333299" top="0.5" bottom="0.5" header="0.3" footer="0.3"/>
  <pageSetup scale="70" orientation="portrait" r:id="rId1"/>
  <headerFooter>
    <oddHeader>&amp;LAKIS A 2012</oddHeader>
    <oddFooter>&amp;LAmerican Indian Higher Education Consortium</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2"/>
  <sheetViews>
    <sheetView zoomScaleNormal="100" workbookViewId="0">
      <selection activeCell="C39" sqref="C39"/>
    </sheetView>
  </sheetViews>
  <sheetFormatPr defaultColWidth="9.140625" defaultRowHeight="14.25" x14ac:dyDescent="0.2"/>
  <cols>
    <col min="1" max="1" width="16.7109375" style="90" customWidth="1"/>
    <col min="2" max="2" width="45.140625" style="90" customWidth="1"/>
    <col min="3" max="3" width="26.28515625" style="90" customWidth="1"/>
    <col min="4" max="16384" width="9.140625" style="19"/>
  </cols>
  <sheetData>
    <row r="1" spans="1:9" s="20" customFormat="1" ht="15.75" thickTop="1" x14ac:dyDescent="0.25">
      <c r="A1" s="314" t="s">
        <v>823</v>
      </c>
      <c r="B1" s="1266" t="str">
        <f>'1.1a Overall Instit. Profile'!B1</f>
        <v>Oglala Lakota College</v>
      </c>
      <c r="C1" s="1835"/>
      <c r="D1" s="19"/>
      <c r="E1" s="19"/>
      <c r="F1" s="19"/>
      <c r="G1" s="19"/>
      <c r="H1" s="19"/>
      <c r="I1" s="19"/>
    </row>
    <row r="2" spans="1:9" ht="15" x14ac:dyDescent="0.2">
      <c r="A2" s="313" t="s">
        <v>820</v>
      </c>
      <c r="B2" s="91"/>
      <c r="C2" s="674"/>
    </row>
    <row r="3" spans="1:9" ht="15" x14ac:dyDescent="0.2">
      <c r="A3" s="1550" t="s">
        <v>558</v>
      </c>
      <c r="B3" s="1551"/>
      <c r="C3" s="1552"/>
    </row>
    <row r="4" spans="1:9" ht="51.75" customHeight="1" x14ac:dyDescent="0.2">
      <c r="A4" s="1836" t="s">
        <v>559</v>
      </c>
      <c r="B4" s="1837"/>
      <c r="C4" s="1838"/>
    </row>
    <row r="5" spans="1:9" ht="14.25" customHeight="1" x14ac:dyDescent="0.2">
      <c r="A5" s="213" t="s">
        <v>175</v>
      </c>
      <c r="B5" s="214"/>
      <c r="C5" s="675"/>
    </row>
    <row r="6" spans="1:9" s="437" customFormat="1" ht="14.25" customHeight="1" x14ac:dyDescent="0.2">
      <c r="A6" s="1839" t="s">
        <v>279</v>
      </c>
      <c r="B6" s="1840"/>
      <c r="C6" s="667" t="s">
        <v>278</v>
      </c>
    </row>
    <row r="7" spans="1:9" s="437" customFormat="1" ht="14.25" customHeight="1" x14ac:dyDescent="0.2">
      <c r="A7" s="668" t="s">
        <v>482</v>
      </c>
      <c r="B7" s="669"/>
      <c r="C7" s="676">
        <v>359</v>
      </c>
    </row>
    <row r="8" spans="1:9" s="437" customFormat="1" ht="14.25" customHeight="1" x14ac:dyDescent="0.2">
      <c r="A8" s="668" t="s">
        <v>483</v>
      </c>
      <c r="B8" s="669"/>
      <c r="C8" s="676">
        <v>0</v>
      </c>
    </row>
    <row r="9" spans="1:9" s="437" customFormat="1" ht="14.25" customHeight="1" x14ac:dyDescent="0.2">
      <c r="A9" s="668" t="s">
        <v>484</v>
      </c>
      <c r="B9" s="669"/>
      <c r="C9" s="676">
        <v>3</v>
      </c>
    </row>
    <row r="10" spans="1:9" s="437" customFormat="1" ht="14.25" customHeight="1" x14ac:dyDescent="0.2">
      <c r="A10" s="668" t="s">
        <v>485</v>
      </c>
      <c r="B10" s="669"/>
      <c r="C10" s="676">
        <v>57</v>
      </c>
    </row>
    <row r="11" spans="1:9" ht="14.25" customHeight="1" x14ac:dyDescent="0.2">
      <c r="A11" s="668" t="s">
        <v>486</v>
      </c>
      <c r="B11" s="669"/>
      <c r="C11" s="676">
        <v>22</v>
      </c>
    </row>
    <row r="12" spans="1:9" ht="14.25" customHeight="1" x14ac:dyDescent="0.2">
      <c r="A12" s="672" t="s">
        <v>487</v>
      </c>
      <c r="B12" s="673"/>
      <c r="C12" s="677">
        <v>235</v>
      </c>
    </row>
    <row r="13" spans="1:9" ht="14.25" customHeight="1" x14ac:dyDescent="0.2">
      <c r="A13" s="681" t="s">
        <v>181</v>
      </c>
      <c r="B13" s="682"/>
      <c r="C13" s="675"/>
    </row>
    <row r="14" spans="1:9" ht="14.25" customHeight="1" x14ac:dyDescent="0.2">
      <c r="A14" s="687" t="s">
        <v>279</v>
      </c>
      <c r="B14" s="688"/>
      <c r="C14" s="667" t="s">
        <v>278</v>
      </c>
    </row>
    <row r="15" spans="1:9" ht="14.25" customHeight="1" x14ac:dyDescent="0.2">
      <c r="A15" s="668" t="s">
        <v>488</v>
      </c>
      <c r="B15" s="669"/>
      <c r="C15" s="676">
        <v>3066</v>
      </c>
    </row>
    <row r="16" spans="1:9" ht="14.25" customHeight="1" x14ac:dyDescent="0.2">
      <c r="A16" s="672" t="s">
        <v>489</v>
      </c>
      <c r="B16" s="673"/>
      <c r="C16" s="677">
        <v>146</v>
      </c>
    </row>
    <row r="17" spans="1:3" ht="14.25" customHeight="1" x14ac:dyDescent="0.2">
      <c r="A17" s="681" t="s">
        <v>182</v>
      </c>
      <c r="B17" s="682"/>
      <c r="C17" s="675"/>
    </row>
    <row r="18" spans="1:3" ht="14.25" customHeight="1" x14ac:dyDescent="0.2">
      <c r="A18" s="687" t="s">
        <v>279</v>
      </c>
      <c r="B18" s="688"/>
      <c r="C18" s="667" t="s">
        <v>278</v>
      </c>
    </row>
    <row r="19" spans="1:3" ht="14.25" customHeight="1" x14ac:dyDescent="0.2">
      <c r="A19" s="668" t="s">
        <v>184</v>
      </c>
      <c r="B19" s="669"/>
      <c r="C19" s="676">
        <v>62</v>
      </c>
    </row>
    <row r="20" spans="1:3" ht="14.25" customHeight="1" x14ac:dyDescent="0.2">
      <c r="A20" s="668" t="s">
        <v>185</v>
      </c>
      <c r="B20" s="669"/>
      <c r="C20" s="676">
        <v>36</v>
      </c>
    </row>
    <row r="21" spans="1:3" ht="14.25" customHeight="1" x14ac:dyDescent="0.2">
      <c r="A21" s="668" t="s">
        <v>490</v>
      </c>
      <c r="B21" s="669"/>
      <c r="C21" s="676">
        <v>36</v>
      </c>
    </row>
    <row r="22" spans="1:3" ht="14.25" customHeight="1" x14ac:dyDescent="0.2">
      <c r="A22" s="668" t="s">
        <v>186</v>
      </c>
      <c r="B22" s="669"/>
      <c r="C22" s="676">
        <v>3</v>
      </c>
    </row>
    <row r="23" spans="1:3" ht="14.25" customHeight="1" x14ac:dyDescent="0.2">
      <c r="A23" s="672" t="s">
        <v>187</v>
      </c>
      <c r="B23" s="673"/>
      <c r="C23" s="677">
        <v>35</v>
      </c>
    </row>
    <row r="24" spans="1:3" ht="14.25" customHeight="1" x14ac:dyDescent="0.2">
      <c r="A24" s="681" t="s">
        <v>176</v>
      </c>
      <c r="B24" s="683"/>
      <c r="C24" s="678"/>
    </row>
    <row r="25" spans="1:3" ht="14.25" customHeight="1" x14ac:dyDescent="0.2">
      <c r="A25" s="687" t="s">
        <v>279</v>
      </c>
      <c r="B25" s="689"/>
      <c r="C25" s="667" t="s">
        <v>278</v>
      </c>
    </row>
    <row r="26" spans="1:3" ht="14.25" customHeight="1" x14ac:dyDescent="0.2">
      <c r="A26" s="668" t="s">
        <v>491</v>
      </c>
      <c r="B26" s="669"/>
      <c r="C26" s="386">
        <v>1594</v>
      </c>
    </row>
    <row r="27" spans="1:3" ht="14.25" customHeight="1" x14ac:dyDescent="0.2">
      <c r="A27" s="668" t="s">
        <v>177</v>
      </c>
      <c r="B27" s="669"/>
      <c r="C27" s="386">
        <v>3071</v>
      </c>
    </row>
    <row r="28" spans="1:3" x14ac:dyDescent="0.2">
      <c r="A28" s="668" t="s">
        <v>178</v>
      </c>
      <c r="B28" s="669"/>
      <c r="C28" s="386">
        <v>2</v>
      </c>
    </row>
    <row r="29" spans="1:3" x14ac:dyDescent="0.2">
      <c r="A29" s="672" t="s">
        <v>179</v>
      </c>
      <c r="B29" s="673"/>
      <c r="C29" s="385">
        <v>90</v>
      </c>
    </row>
    <row r="30" spans="1:3" x14ac:dyDescent="0.2">
      <c r="A30" s="681" t="s">
        <v>180</v>
      </c>
      <c r="B30" s="684"/>
      <c r="C30" s="92"/>
    </row>
    <row r="31" spans="1:3" x14ac:dyDescent="0.2">
      <c r="A31" s="687" t="s">
        <v>279</v>
      </c>
      <c r="B31" s="688"/>
      <c r="C31" s="667" t="s">
        <v>278</v>
      </c>
    </row>
    <row r="32" spans="1:3" x14ac:dyDescent="0.2">
      <c r="A32" s="668" t="s">
        <v>492</v>
      </c>
      <c r="B32" s="669"/>
      <c r="C32" s="386">
        <v>14</v>
      </c>
    </row>
    <row r="33" spans="1:3" x14ac:dyDescent="0.2">
      <c r="A33" s="668" t="s">
        <v>493</v>
      </c>
      <c r="B33" s="669"/>
      <c r="C33" s="386">
        <v>6</v>
      </c>
    </row>
    <row r="34" spans="1:3" x14ac:dyDescent="0.2">
      <c r="A34" s="668" t="s">
        <v>494</v>
      </c>
      <c r="B34" s="669"/>
      <c r="C34" s="386">
        <v>19</v>
      </c>
    </row>
    <row r="35" spans="1:3" x14ac:dyDescent="0.2">
      <c r="A35" s="685" t="s">
        <v>495</v>
      </c>
      <c r="B35" s="686"/>
      <c r="C35" s="385">
        <v>45</v>
      </c>
    </row>
    <row r="36" spans="1:3" x14ac:dyDescent="0.2">
      <c r="A36" s="690" t="s">
        <v>183</v>
      </c>
      <c r="B36" s="691"/>
      <c r="C36" s="92"/>
    </row>
    <row r="37" spans="1:3" x14ac:dyDescent="0.2">
      <c r="A37" s="670" t="s">
        <v>279</v>
      </c>
      <c r="B37" s="671"/>
      <c r="C37" s="667" t="s">
        <v>278</v>
      </c>
    </row>
    <row r="38" spans="1:3" x14ac:dyDescent="0.2">
      <c r="A38" s="668" t="s">
        <v>542</v>
      </c>
      <c r="B38" s="669"/>
      <c r="C38" s="416">
        <v>335</v>
      </c>
    </row>
    <row r="39" spans="1:3" x14ac:dyDescent="0.2">
      <c r="A39" s="672" t="s">
        <v>496</v>
      </c>
      <c r="B39" s="673"/>
      <c r="C39" s="416">
        <v>76</v>
      </c>
    </row>
    <row r="40" spans="1:3" x14ac:dyDescent="0.2">
      <c r="A40" s="679" t="s">
        <v>847</v>
      </c>
      <c r="B40" s="666"/>
      <c r="C40" s="680"/>
    </row>
    <row r="41" spans="1:3" ht="48.75" customHeight="1" thickBot="1" x14ac:dyDescent="0.25">
      <c r="A41" s="1832"/>
      <c r="B41" s="1833"/>
      <c r="C41" s="1834"/>
    </row>
    <row r="42" spans="1:3" ht="15" thickTop="1" x14ac:dyDescent="0.2"/>
  </sheetData>
  <mergeCells count="5">
    <mergeCell ref="A41:C41"/>
    <mergeCell ref="B1:C1"/>
    <mergeCell ref="A3:C3"/>
    <mergeCell ref="A4:C4"/>
    <mergeCell ref="A6:B6"/>
  </mergeCells>
  <phoneticPr fontId="65" type="noConversion"/>
  <pageMargins left="0.65583333300000002" right="0.12833333333333299" top="0.5" bottom="0.5" header="0.3" footer="0.3"/>
  <pageSetup orientation="portrait" r:id="rId1"/>
  <headerFooter>
    <oddHeader>&amp;LAKIS A 2012</oddHeader>
    <oddFooter>&amp;LAmerican Indian Higher Education Consortium</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zoomScaleNormal="100" workbookViewId="0">
      <selection activeCell="D9" sqref="D9"/>
    </sheetView>
  </sheetViews>
  <sheetFormatPr defaultColWidth="9.140625" defaultRowHeight="14.25" x14ac:dyDescent="0.2"/>
  <cols>
    <col min="1" max="1" width="3.7109375" style="37" customWidth="1"/>
    <col min="2" max="2" width="13.7109375" style="37" customWidth="1"/>
    <col min="3" max="3" width="62.5703125" style="37" customWidth="1"/>
    <col min="4" max="4" width="10.42578125" style="37" customWidth="1"/>
    <col min="5" max="16384" width="9.140625" style="19"/>
  </cols>
  <sheetData>
    <row r="1" spans="1:4" s="20" customFormat="1" ht="15.75" thickTop="1" x14ac:dyDescent="0.25">
      <c r="A1" s="1315" t="s">
        <v>823</v>
      </c>
      <c r="B1" s="1317"/>
      <c r="C1" s="349" t="str">
        <f>'1.1a Overall Instit. Profile'!B1</f>
        <v>Oglala Lakota College</v>
      </c>
      <c r="D1" s="341"/>
    </row>
    <row r="2" spans="1:4" ht="15" x14ac:dyDescent="0.2">
      <c r="A2" s="313" t="s">
        <v>820</v>
      </c>
      <c r="B2" s="325"/>
      <c r="C2" s="325"/>
      <c r="D2" s="351"/>
    </row>
    <row r="3" spans="1:4" ht="36.75" customHeight="1" x14ac:dyDescent="0.2">
      <c r="A3" s="1807" t="s">
        <v>427</v>
      </c>
      <c r="B3" s="1808"/>
      <c r="C3" s="1808"/>
      <c r="D3" s="1809"/>
    </row>
    <row r="4" spans="1:4" ht="46.5" customHeight="1" x14ac:dyDescent="0.2">
      <c r="A4" s="1836" t="s">
        <v>560</v>
      </c>
      <c r="B4" s="1837"/>
      <c r="C4" s="1837"/>
      <c r="D4" s="1838"/>
    </row>
    <row r="5" spans="1:4" s="215" customFormat="1" ht="15" customHeight="1" x14ac:dyDescent="0.25">
      <c r="A5" s="699" t="s">
        <v>188</v>
      </c>
      <c r="B5" s="693"/>
      <c r="C5" s="693"/>
      <c r="D5" s="694"/>
    </row>
    <row r="6" spans="1:4" x14ac:dyDescent="0.2">
      <c r="A6" s="687" t="s">
        <v>279</v>
      </c>
      <c r="B6" s="708"/>
      <c r="C6" s="709"/>
      <c r="D6" s="700" t="s">
        <v>280</v>
      </c>
    </row>
    <row r="7" spans="1:4" x14ac:dyDescent="0.2">
      <c r="A7" s="6" t="s">
        <v>497</v>
      </c>
      <c r="B7" s="710"/>
      <c r="C7" s="711"/>
      <c r="D7" s="701">
        <v>146</v>
      </c>
    </row>
    <row r="8" spans="1:4" ht="14.25" customHeight="1" x14ac:dyDescent="0.2">
      <c r="A8" s="702" t="s">
        <v>498</v>
      </c>
      <c r="B8" s="712"/>
      <c r="C8" s="713"/>
      <c r="D8" s="701">
        <v>40</v>
      </c>
    </row>
    <row r="9" spans="1:4" x14ac:dyDescent="0.2">
      <c r="A9" s="6" t="s">
        <v>499</v>
      </c>
      <c r="B9" s="710"/>
      <c r="C9" s="711"/>
      <c r="D9" s="701">
        <v>214</v>
      </c>
    </row>
    <row r="10" spans="1:4" x14ac:dyDescent="0.2">
      <c r="A10" s="6" t="s">
        <v>500</v>
      </c>
      <c r="B10" s="710"/>
      <c r="C10" s="711"/>
      <c r="D10" s="701">
        <v>199</v>
      </c>
    </row>
    <row r="11" spans="1:4" ht="14.25" customHeight="1" x14ac:dyDescent="0.2">
      <c r="A11" s="703" t="s">
        <v>189</v>
      </c>
      <c r="B11" s="696"/>
      <c r="C11" s="696"/>
      <c r="D11" s="704"/>
    </row>
    <row r="12" spans="1:4" x14ac:dyDescent="0.2">
      <c r="A12" s="705" t="s">
        <v>281</v>
      </c>
      <c r="B12" s="697"/>
      <c r="C12" s="695"/>
      <c r="D12" s="706" t="s">
        <v>280</v>
      </c>
    </row>
    <row r="13" spans="1:4" x14ac:dyDescent="0.2">
      <c r="A13" s="6" t="s">
        <v>501</v>
      </c>
      <c r="B13" s="7"/>
      <c r="C13" s="8"/>
      <c r="D13" s="386">
        <v>9</v>
      </c>
    </row>
    <row r="14" spans="1:4" x14ac:dyDescent="0.2">
      <c r="A14" s="6" t="s">
        <v>503</v>
      </c>
      <c r="B14" s="7"/>
      <c r="C14" s="8"/>
      <c r="D14" s="386">
        <v>25</v>
      </c>
    </row>
    <row r="15" spans="1:4" x14ac:dyDescent="0.2">
      <c r="A15" s="6" t="s">
        <v>504</v>
      </c>
      <c r="B15" s="7"/>
      <c r="C15" s="8"/>
      <c r="D15" s="386">
        <v>6</v>
      </c>
    </row>
    <row r="16" spans="1:4" x14ac:dyDescent="0.2">
      <c r="A16" s="6" t="s">
        <v>505</v>
      </c>
      <c r="B16" s="7"/>
      <c r="C16" s="8"/>
      <c r="D16" s="386">
        <v>298</v>
      </c>
    </row>
    <row r="17" spans="1:4" x14ac:dyDescent="0.2">
      <c r="A17" s="6" t="s">
        <v>506</v>
      </c>
      <c r="B17" s="7"/>
      <c r="C17" s="8"/>
      <c r="D17" s="386">
        <v>322</v>
      </c>
    </row>
    <row r="18" spans="1:4" x14ac:dyDescent="0.2">
      <c r="A18" s="3" t="s">
        <v>502</v>
      </c>
      <c r="B18" s="4"/>
      <c r="C18" s="5"/>
      <c r="D18" s="715">
        <v>50</v>
      </c>
    </row>
    <row r="19" spans="1:4" ht="27" customHeight="1" x14ac:dyDescent="0.2">
      <c r="A19" s="1844" t="s">
        <v>507</v>
      </c>
      <c r="B19" s="1845"/>
      <c r="C19" s="1845"/>
      <c r="D19" s="1846"/>
    </row>
    <row r="20" spans="1:4" ht="75.75" customHeight="1" x14ac:dyDescent="0.2">
      <c r="A20" s="1841" t="s">
        <v>390</v>
      </c>
      <c r="B20" s="1842"/>
      <c r="C20" s="1842"/>
      <c r="D20" s="1843"/>
    </row>
    <row r="21" spans="1:4" x14ac:dyDescent="0.2">
      <c r="A21" s="315" t="s">
        <v>847</v>
      </c>
      <c r="B21" s="347"/>
      <c r="C21" s="347"/>
      <c r="D21" s="714"/>
    </row>
    <row r="22" spans="1:4" ht="36.75" customHeight="1" thickBot="1" x14ac:dyDescent="0.25">
      <c r="A22" s="692"/>
      <c r="B22" s="698"/>
      <c r="C22" s="698"/>
      <c r="D22" s="707"/>
    </row>
    <row r="23" spans="1:4" ht="15" thickTop="1" x14ac:dyDescent="0.2"/>
    <row r="24" spans="1:4" x14ac:dyDescent="0.2">
      <c r="A24" s="29"/>
      <c r="B24" s="29"/>
      <c r="C24" s="29"/>
      <c r="D24" s="29"/>
    </row>
    <row r="25" spans="1:4" x14ac:dyDescent="0.2">
      <c r="A25" s="29"/>
      <c r="B25" s="29"/>
      <c r="C25" s="29"/>
      <c r="D25" s="29"/>
    </row>
    <row r="26" spans="1:4" x14ac:dyDescent="0.2">
      <c r="A26" s="29"/>
      <c r="B26" s="29"/>
      <c r="C26" s="29"/>
      <c r="D26" s="29"/>
    </row>
    <row r="27" spans="1:4" x14ac:dyDescent="0.2">
      <c r="A27" s="29"/>
      <c r="B27" s="29"/>
      <c r="C27" s="29"/>
      <c r="D27" s="29"/>
    </row>
    <row r="28" spans="1:4" x14ac:dyDescent="0.2">
      <c r="A28" s="29"/>
      <c r="B28" s="29"/>
      <c r="C28" s="29"/>
      <c r="D28" s="29"/>
    </row>
    <row r="29" spans="1:4" x14ac:dyDescent="0.2">
      <c r="A29" s="29"/>
      <c r="B29" s="29"/>
      <c r="C29" s="29"/>
      <c r="D29" s="29"/>
    </row>
    <row r="30" spans="1:4" x14ac:dyDescent="0.2">
      <c r="A30" s="29"/>
      <c r="B30" s="29"/>
      <c r="C30" s="29"/>
      <c r="D30" s="29"/>
    </row>
    <row r="31" spans="1:4" x14ac:dyDescent="0.2">
      <c r="A31" s="29"/>
      <c r="B31" s="29"/>
      <c r="C31" s="29"/>
      <c r="D31" s="29"/>
    </row>
    <row r="32" spans="1:4" x14ac:dyDescent="0.2">
      <c r="A32" s="29"/>
      <c r="B32" s="29"/>
      <c r="C32" s="29"/>
      <c r="D32" s="29"/>
    </row>
    <row r="33" spans="1:4" x14ac:dyDescent="0.2">
      <c r="A33" s="29"/>
      <c r="B33" s="29"/>
      <c r="C33" s="29"/>
      <c r="D33" s="29"/>
    </row>
    <row r="34" spans="1:4" x14ac:dyDescent="0.2">
      <c r="A34" s="29"/>
      <c r="B34" s="29"/>
      <c r="C34" s="29"/>
      <c r="D34" s="29"/>
    </row>
    <row r="35" spans="1:4" x14ac:dyDescent="0.2">
      <c r="A35" s="29"/>
      <c r="B35" s="29"/>
      <c r="C35" s="29"/>
      <c r="D35" s="29"/>
    </row>
    <row r="36" spans="1:4" x14ac:dyDescent="0.2">
      <c r="A36" s="29"/>
      <c r="B36" s="29"/>
      <c r="C36" s="29"/>
      <c r="D36" s="29"/>
    </row>
    <row r="37" spans="1:4" x14ac:dyDescent="0.2">
      <c r="A37" s="29"/>
      <c r="B37" s="29"/>
      <c r="C37" s="29"/>
      <c r="D37" s="29"/>
    </row>
    <row r="38" spans="1:4" x14ac:dyDescent="0.2">
      <c r="A38" s="29"/>
      <c r="B38" s="29"/>
      <c r="C38" s="29"/>
      <c r="D38" s="29"/>
    </row>
  </sheetData>
  <mergeCells count="5">
    <mergeCell ref="A1:B1"/>
    <mergeCell ref="A20:D20"/>
    <mergeCell ref="A3:D3"/>
    <mergeCell ref="A4:D4"/>
    <mergeCell ref="A19:D19"/>
  </mergeCells>
  <phoneticPr fontId="65" type="noConversion"/>
  <pageMargins left="0.65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zoomScaleNormal="100" workbookViewId="0">
      <selection activeCell="A15" sqref="A15:D15"/>
    </sheetView>
  </sheetViews>
  <sheetFormatPr defaultColWidth="9.140625" defaultRowHeight="14.25" x14ac:dyDescent="0.2"/>
  <cols>
    <col min="1" max="1" width="3.7109375" style="37" customWidth="1"/>
    <col min="2" max="2" width="13.7109375" style="37" customWidth="1"/>
    <col min="3" max="3" width="62.5703125" style="37" customWidth="1"/>
    <col min="4" max="4" width="10.42578125" style="37" customWidth="1"/>
    <col min="5" max="16384" width="9.140625" style="19"/>
  </cols>
  <sheetData>
    <row r="1" spans="1:4" s="20" customFormat="1" ht="15.75" thickTop="1" x14ac:dyDescent="0.25">
      <c r="A1" s="1315" t="s">
        <v>823</v>
      </c>
      <c r="B1" s="1317"/>
      <c r="C1" s="349" t="str">
        <f>'1.1a Overall Instit. Profile'!B1</f>
        <v>Oglala Lakota College</v>
      </c>
      <c r="D1" s="341"/>
    </row>
    <row r="2" spans="1:4" ht="15" x14ac:dyDescent="0.2">
      <c r="A2" s="313" t="s">
        <v>820</v>
      </c>
      <c r="B2" s="325"/>
      <c r="C2" s="325"/>
      <c r="D2" s="351"/>
    </row>
    <row r="3" spans="1:4" ht="36.75" customHeight="1" x14ac:dyDescent="0.2">
      <c r="A3" s="1807" t="s">
        <v>508</v>
      </c>
      <c r="B3" s="1808"/>
      <c r="C3" s="1808"/>
      <c r="D3" s="1809"/>
    </row>
    <row r="4" spans="1:4" x14ac:dyDescent="0.2">
      <c r="A4" s="1836" t="s">
        <v>788</v>
      </c>
      <c r="B4" s="1837"/>
      <c r="C4" s="1837"/>
      <c r="D4" s="1838"/>
    </row>
    <row r="5" spans="1:4" s="215" customFormat="1" ht="15" customHeight="1" x14ac:dyDescent="0.25">
      <c r="A5" s="699" t="s">
        <v>509</v>
      </c>
      <c r="B5" s="693"/>
      <c r="C5" s="693"/>
      <c r="D5" s="694"/>
    </row>
    <row r="6" spans="1:4" x14ac:dyDescent="0.2">
      <c r="A6" s="687" t="s">
        <v>510</v>
      </c>
      <c r="B6" s="708"/>
      <c r="C6" s="709"/>
      <c r="D6" s="717" t="s">
        <v>865</v>
      </c>
    </row>
    <row r="7" spans="1:4" x14ac:dyDescent="0.2">
      <c r="A7" s="6" t="s">
        <v>878</v>
      </c>
      <c r="B7" s="710"/>
      <c r="C7" s="710"/>
      <c r="D7" s="718"/>
    </row>
    <row r="8" spans="1:4" ht="14.25" customHeight="1" x14ac:dyDescent="0.2">
      <c r="A8" s="702"/>
      <c r="B8" s="712" t="s">
        <v>511</v>
      </c>
      <c r="C8" s="713"/>
      <c r="D8" s="701" t="s">
        <v>865</v>
      </c>
    </row>
    <row r="9" spans="1:4" x14ac:dyDescent="0.2">
      <c r="A9" s="6"/>
      <c r="B9" s="710" t="s">
        <v>512</v>
      </c>
      <c r="C9" s="711"/>
      <c r="D9" s="701" t="s">
        <v>865</v>
      </c>
    </row>
    <row r="10" spans="1:4" x14ac:dyDescent="0.2">
      <c r="A10" s="6" t="s">
        <v>543</v>
      </c>
      <c r="B10" s="710"/>
      <c r="C10" s="711"/>
      <c r="D10" s="716" t="s">
        <v>865</v>
      </c>
    </row>
    <row r="11" spans="1:4" x14ac:dyDescent="0.2">
      <c r="A11" s="6" t="s">
        <v>541</v>
      </c>
      <c r="B11" s="710"/>
      <c r="C11" s="710"/>
      <c r="D11" s="718"/>
    </row>
    <row r="12" spans="1:4" ht="14.25" customHeight="1" x14ac:dyDescent="0.2">
      <c r="A12" s="702"/>
      <c r="B12" s="712" t="s">
        <v>513</v>
      </c>
      <c r="C12" s="713"/>
      <c r="D12" s="701" t="s">
        <v>865</v>
      </c>
    </row>
    <row r="13" spans="1:4" x14ac:dyDescent="0.2">
      <c r="A13" s="6"/>
      <c r="B13" s="710" t="s">
        <v>514</v>
      </c>
      <c r="C13" s="711"/>
      <c r="D13" s="716" t="s">
        <v>865</v>
      </c>
    </row>
    <row r="14" spans="1:4" x14ac:dyDescent="0.2">
      <c r="A14" s="6" t="s">
        <v>601</v>
      </c>
      <c r="B14" s="710"/>
      <c r="C14" s="710"/>
      <c r="D14" s="718"/>
    </row>
    <row r="15" spans="1:4" ht="45" customHeight="1" x14ac:dyDescent="0.2">
      <c r="A15" s="1847" t="s">
        <v>988</v>
      </c>
      <c r="B15" s="1848"/>
      <c r="C15" s="1848"/>
      <c r="D15" s="1849"/>
    </row>
    <row r="16" spans="1:4" x14ac:dyDescent="0.2">
      <c r="A16" s="6" t="s">
        <v>515</v>
      </c>
      <c r="B16" s="710"/>
      <c r="C16" s="710"/>
      <c r="D16" s="718"/>
    </row>
    <row r="17" spans="1:4" ht="45" customHeight="1" x14ac:dyDescent="0.2">
      <c r="A17" s="1847" t="s">
        <v>919</v>
      </c>
      <c r="B17" s="1848"/>
      <c r="C17" s="1848"/>
      <c r="D17" s="1850"/>
    </row>
    <row r="18" spans="1:4" x14ac:dyDescent="0.2">
      <c r="A18" s="315" t="s">
        <v>847</v>
      </c>
      <c r="B18" s="347"/>
      <c r="C18" s="347"/>
      <c r="D18" s="714"/>
    </row>
    <row r="19" spans="1:4" ht="36.75" customHeight="1" thickBot="1" x14ac:dyDescent="0.25">
      <c r="A19" s="1501"/>
      <c r="B19" s="1502"/>
      <c r="C19" s="1502"/>
      <c r="D19" s="1503"/>
    </row>
    <row r="20" spans="1:4" ht="15" thickTop="1" x14ac:dyDescent="0.2"/>
    <row r="21" spans="1:4" x14ac:dyDescent="0.2">
      <c r="A21" s="29"/>
      <c r="B21" s="29"/>
      <c r="C21" s="29"/>
      <c r="D21" s="29"/>
    </row>
    <row r="22" spans="1:4" x14ac:dyDescent="0.2">
      <c r="A22" s="29"/>
      <c r="B22" s="29"/>
      <c r="C22" s="29"/>
      <c r="D22" s="29"/>
    </row>
    <row r="23" spans="1:4" x14ac:dyDescent="0.2">
      <c r="A23" s="29"/>
      <c r="B23" s="29"/>
      <c r="C23" s="29"/>
      <c r="D23" s="29"/>
    </row>
    <row r="24" spans="1:4" x14ac:dyDescent="0.2">
      <c r="A24" s="29"/>
      <c r="B24" s="29"/>
      <c r="C24" s="29"/>
      <c r="D24" s="29"/>
    </row>
    <row r="25" spans="1:4" x14ac:dyDescent="0.2">
      <c r="A25" s="29"/>
      <c r="B25" s="29"/>
      <c r="C25" s="29"/>
      <c r="D25" s="29"/>
    </row>
    <row r="26" spans="1:4" x14ac:dyDescent="0.2">
      <c r="A26" s="29"/>
      <c r="B26" s="29"/>
      <c r="C26" s="29"/>
      <c r="D26" s="29"/>
    </row>
    <row r="27" spans="1:4" x14ac:dyDescent="0.2">
      <c r="A27" s="29"/>
      <c r="B27" s="29"/>
      <c r="C27" s="29"/>
      <c r="D27" s="29"/>
    </row>
    <row r="28" spans="1:4" x14ac:dyDescent="0.2">
      <c r="A28" s="29"/>
      <c r="B28" s="29"/>
      <c r="C28" s="29"/>
      <c r="D28" s="29"/>
    </row>
    <row r="29" spans="1:4" x14ac:dyDescent="0.2">
      <c r="A29" s="29"/>
      <c r="B29" s="29"/>
      <c r="C29" s="29"/>
      <c r="D29" s="29"/>
    </row>
    <row r="30" spans="1:4" x14ac:dyDescent="0.2">
      <c r="A30" s="29"/>
      <c r="B30" s="29"/>
      <c r="C30" s="29"/>
      <c r="D30" s="29"/>
    </row>
    <row r="31" spans="1:4" x14ac:dyDescent="0.2">
      <c r="A31" s="29"/>
      <c r="B31" s="29"/>
      <c r="C31" s="29"/>
      <c r="D31" s="29"/>
    </row>
    <row r="32" spans="1:4" x14ac:dyDescent="0.2">
      <c r="A32" s="29"/>
      <c r="B32" s="29"/>
      <c r="C32" s="29"/>
      <c r="D32" s="29"/>
    </row>
    <row r="33" spans="1:4" x14ac:dyDescent="0.2">
      <c r="A33" s="29"/>
      <c r="B33" s="29"/>
      <c r="C33" s="29"/>
      <c r="D33" s="29"/>
    </row>
    <row r="34" spans="1:4" x14ac:dyDescent="0.2">
      <c r="A34" s="29"/>
      <c r="B34" s="29"/>
      <c r="C34" s="29"/>
      <c r="D34" s="29"/>
    </row>
    <row r="35" spans="1:4" x14ac:dyDescent="0.2">
      <c r="A35" s="29"/>
      <c r="B35" s="29"/>
      <c r="C35" s="29"/>
      <c r="D35" s="29"/>
    </row>
  </sheetData>
  <mergeCells count="6">
    <mergeCell ref="A19:D19"/>
    <mergeCell ref="A1:B1"/>
    <mergeCell ref="A3:D3"/>
    <mergeCell ref="A4:D4"/>
    <mergeCell ref="A15:D15"/>
    <mergeCell ref="A17:D17"/>
  </mergeCells>
  <phoneticPr fontId="65" type="noConversion"/>
  <pageMargins left="0.65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98"/>
  <sheetViews>
    <sheetView topLeftCell="A6" zoomScaleNormal="100" workbookViewId="0">
      <selection activeCell="A35" sqref="A35:F35"/>
    </sheetView>
  </sheetViews>
  <sheetFormatPr defaultColWidth="9.140625" defaultRowHeight="12.75" x14ac:dyDescent="0.2"/>
  <cols>
    <col min="1" max="1" width="24.28515625" style="30" customWidth="1"/>
    <col min="2" max="6" width="9.140625" style="30" customWidth="1"/>
    <col min="7" max="39" width="9.140625" style="37"/>
    <col min="40" max="16384" width="9.140625" style="30"/>
  </cols>
  <sheetData>
    <row r="1" spans="1:6" s="20" customFormat="1" ht="15.75" thickTop="1" x14ac:dyDescent="0.25">
      <c r="A1" s="380" t="s">
        <v>823</v>
      </c>
      <c r="B1" s="1370" t="str">
        <f>'1.1a Overall Instit. Profile'!B1</f>
        <v>Oglala Lakota College</v>
      </c>
      <c r="C1" s="1370"/>
      <c r="D1" s="1370"/>
      <c r="E1" s="1370"/>
      <c r="F1" s="1629"/>
    </row>
    <row r="2" spans="1:6" ht="34.5" customHeight="1" x14ac:dyDescent="0.2">
      <c r="A2" s="1856" t="s">
        <v>821</v>
      </c>
      <c r="B2" s="1857"/>
      <c r="C2" s="1857"/>
      <c r="D2" s="1857"/>
      <c r="E2" s="1857"/>
      <c r="F2" s="1858"/>
    </row>
    <row r="3" spans="1:6" ht="18.75" customHeight="1" x14ac:dyDescent="0.2">
      <c r="A3" s="1730" t="s">
        <v>426</v>
      </c>
      <c r="B3" s="1731"/>
      <c r="C3" s="1731"/>
      <c r="D3" s="1731"/>
      <c r="E3" s="1731"/>
      <c r="F3" s="1732"/>
    </row>
    <row r="4" spans="1:6" ht="18.75" customHeight="1" x14ac:dyDescent="0.2">
      <c r="A4" s="1859" t="s">
        <v>190</v>
      </c>
      <c r="B4" s="1860"/>
      <c r="C4" s="1860"/>
      <c r="D4" s="1860"/>
      <c r="E4" s="1860"/>
      <c r="F4" s="1861"/>
    </row>
    <row r="5" spans="1:6" ht="15" customHeight="1" x14ac:dyDescent="0.2">
      <c r="A5" s="1851" t="s">
        <v>191</v>
      </c>
      <c r="B5" s="38"/>
      <c r="C5" s="247"/>
      <c r="D5" s="389" t="s">
        <v>423</v>
      </c>
      <c r="E5" s="247"/>
      <c r="F5" s="22"/>
    </row>
    <row r="6" spans="1:6" ht="14.25" customHeight="1" x14ac:dyDescent="0.2">
      <c r="A6" s="1852"/>
      <c r="B6" s="396" t="s">
        <v>873</v>
      </c>
      <c r="C6" s="395"/>
      <c r="D6" s="396" t="s">
        <v>874</v>
      </c>
      <c r="E6" s="395"/>
      <c r="F6" s="1854" t="s">
        <v>872</v>
      </c>
    </row>
    <row r="7" spans="1:6" ht="14.25" customHeight="1" x14ac:dyDescent="0.2">
      <c r="A7" s="1853"/>
      <c r="B7" s="397" t="s">
        <v>875</v>
      </c>
      <c r="C7" s="398" t="s">
        <v>876</v>
      </c>
      <c r="D7" s="398" t="s">
        <v>875</v>
      </c>
      <c r="E7" s="398" t="s">
        <v>876</v>
      </c>
      <c r="F7" s="1855"/>
    </row>
    <row r="8" spans="1:6" ht="14.25" customHeight="1" x14ac:dyDescent="0.2">
      <c r="A8" s="387" t="s">
        <v>192</v>
      </c>
      <c r="B8" s="304">
        <v>14</v>
      </c>
      <c r="C8" s="305">
        <v>16</v>
      </c>
      <c r="D8" s="305">
        <v>18</v>
      </c>
      <c r="E8" s="305">
        <v>21</v>
      </c>
      <c r="F8" s="390">
        <f>SUM(B8:E8)</f>
        <v>69</v>
      </c>
    </row>
    <row r="9" spans="1:6" ht="14.25" customHeight="1" x14ac:dyDescent="0.2">
      <c r="A9" s="387" t="s">
        <v>193</v>
      </c>
      <c r="B9" s="306">
        <v>13</v>
      </c>
      <c r="C9" s="391">
        <v>31</v>
      </c>
      <c r="D9" s="391">
        <v>15</v>
      </c>
      <c r="E9" s="393">
        <v>37</v>
      </c>
      <c r="F9" s="390">
        <f>SUM(B9:E9)</f>
        <v>96</v>
      </c>
    </row>
    <row r="10" spans="1:6" ht="14.25" customHeight="1" x14ac:dyDescent="0.2">
      <c r="A10" s="387" t="s">
        <v>194</v>
      </c>
      <c r="B10" s="306">
        <v>0</v>
      </c>
      <c r="C10" s="391">
        <v>0</v>
      </c>
      <c r="D10" s="391">
        <v>0</v>
      </c>
      <c r="E10" s="393">
        <v>0</v>
      </c>
      <c r="F10" s="390">
        <f>SUM(B10:E10)</f>
        <v>0</v>
      </c>
    </row>
    <row r="11" spans="1:6" ht="14.25" customHeight="1" x14ac:dyDescent="0.2">
      <c r="A11" s="388" t="s">
        <v>195</v>
      </c>
      <c r="B11" s="307">
        <f>SUM(B8:B10)</f>
        <v>27</v>
      </c>
      <c r="C11" s="308">
        <f>SUM(C8:C10)</f>
        <v>47</v>
      </c>
      <c r="D11" s="308">
        <f>SUM(D8:D10)</f>
        <v>33</v>
      </c>
      <c r="E11" s="308">
        <f>SUM(E8:E10)</f>
        <v>58</v>
      </c>
      <c r="F11" s="392">
        <f>SUM(F8:F10)</f>
        <v>165</v>
      </c>
    </row>
    <row r="12" spans="1:6" ht="7.5" customHeight="1" x14ac:dyDescent="0.2">
      <c r="A12" s="1862"/>
      <c r="B12" s="1863"/>
      <c r="C12" s="1863"/>
      <c r="D12" s="1863"/>
      <c r="E12" s="1863"/>
      <c r="F12" s="1864"/>
    </row>
    <row r="13" spans="1:6" ht="15" customHeight="1" x14ac:dyDescent="0.2">
      <c r="A13" s="1851" t="s">
        <v>196</v>
      </c>
      <c r="B13" s="38"/>
      <c r="C13" s="247"/>
      <c r="D13" s="389" t="s">
        <v>423</v>
      </c>
      <c r="E13" s="247"/>
      <c r="F13" s="22"/>
    </row>
    <row r="14" spans="1:6" ht="14.25" customHeight="1" x14ac:dyDescent="0.2">
      <c r="A14" s="1852"/>
      <c r="B14" s="396" t="s">
        <v>873</v>
      </c>
      <c r="C14" s="395"/>
      <c r="D14" s="396" t="s">
        <v>874</v>
      </c>
      <c r="E14" s="395"/>
      <c r="F14" s="1854" t="s">
        <v>872</v>
      </c>
    </row>
    <row r="15" spans="1:6" ht="14.25" customHeight="1" x14ac:dyDescent="0.2">
      <c r="A15" s="1853"/>
      <c r="B15" s="397" t="s">
        <v>875</v>
      </c>
      <c r="C15" s="398" t="s">
        <v>876</v>
      </c>
      <c r="D15" s="398" t="s">
        <v>875</v>
      </c>
      <c r="E15" s="398" t="s">
        <v>876</v>
      </c>
      <c r="F15" s="1855"/>
    </row>
    <row r="16" spans="1:6" ht="14.25" customHeight="1" x14ac:dyDescent="0.2">
      <c r="A16" s="387" t="s">
        <v>884</v>
      </c>
      <c r="B16" s="84">
        <v>2</v>
      </c>
      <c r="C16" s="248">
        <v>15</v>
      </c>
      <c r="D16" s="248">
        <v>1</v>
      </c>
      <c r="E16" s="248">
        <v>2</v>
      </c>
      <c r="F16" s="390">
        <f>SUM(B16:E16)</f>
        <v>20</v>
      </c>
    </row>
    <row r="17" spans="1:6" ht="14.25" customHeight="1" x14ac:dyDescent="0.2">
      <c r="A17" s="387" t="s">
        <v>886</v>
      </c>
      <c r="B17" s="85">
        <v>0</v>
      </c>
      <c r="C17" s="381">
        <v>0</v>
      </c>
      <c r="D17" s="381">
        <v>0</v>
      </c>
      <c r="E17" s="381">
        <v>0</v>
      </c>
      <c r="F17" s="390">
        <f>SUM(B17:E17)</f>
        <v>0</v>
      </c>
    </row>
    <row r="18" spans="1:6" ht="14.25" customHeight="1" x14ac:dyDescent="0.2">
      <c r="A18" s="388" t="s">
        <v>195</v>
      </c>
      <c r="B18" s="95">
        <f>SUM(B15:B17)</f>
        <v>2</v>
      </c>
      <c r="C18" s="96">
        <f>SUM(C15:C17)</f>
        <v>15</v>
      </c>
      <c r="D18" s="96">
        <f>SUM(D15:D17)</f>
        <v>1</v>
      </c>
      <c r="E18" s="96">
        <f>SUM(E15:E17)</f>
        <v>2</v>
      </c>
      <c r="F18" s="24">
        <f>SUM(F15:F17)</f>
        <v>20</v>
      </c>
    </row>
    <row r="19" spans="1:6" ht="7.5" customHeight="1" x14ac:dyDescent="0.2">
      <c r="A19" s="1862"/>
      <c r="B19" s="1863"/>
      <c r="C19" s="1863"/>
      <c r="D19" s="1863"/>
      <c r="E19" s="1863"/>
      <c r="F19" s="1864"/>
    </row>
    <row r="20" spans="1:6" ht="15" customHeight="1" x14ac:dyDescent="0.2">
      <c r="A20" s="1851" t="s">
        <v>197</v>
      </c>
      <c r="B20" s="38"/>
      <c r="C20" s="247"/>
      <c r="D20" s="389" t="s">
        <v>423</v>
      </c>
      <c r="E20" s="247"/>
      <c r="F20" s="22"/>
    </row>
    <row r="21" spans="1:6" ht="14.25" customHeight="1" x14ac:dyDescent="0.2">
      <c r="A21" s="1852"/>
      <c r="B21" s="396" t="s">
        <v>873</v>
      </c>
      <c r="C21" s="395"/>
      <c r="D21" s="396" t="s">
        <v>874</v>
      </c>
      <c r="E21" s="395"/>
      <c r="F21" s="1854" t="s">
        <v>872</v>
      </c>
    </row>
    <row r="22" spans="1:6" ht="14.25" customHeight="1" x14ac:dyDescent="0.2">
      <c r="A22" s="1853"/>
      <c r="B22" s="397" t="s">
        <v>875</v>
      </c>
      <c r="C22" s="398" t="s">
        <v>876</v>
      </c>
      <c r="D22" s="398" t="s">
        <v>875</v>
      </c>
      <c r="E22" s="398" t="s">
        <v>876</v>
      </c>
      <c r="F22" s="1855"/>
    </row>
    <row r="23" spans="1:6" ht="14.25" customHeight="1" x14ac:dyDescent="0.2">
      <c r="A23" s="387" t="s">
        <v>884</v>
      </c>
      <c r="B23" s="84">
        <v>17</v>
      </c>
      <c r="C23" s="248">
        <v>68</v>
      </c>
      <c r="D23" s="248">
        <v>4</v>
      </c>
      <c r="E23" s="248">
        <v>9</v>
      </c>
      <c r="F23" s="390">
        <f>SUM(B23:E23)</f>
        <v>98</v>
      </c>
    </row>
    <row r="24" spans="1:6" ht="14.25" customHeight="1" x14ac:dyDescent="0.2">
      <c r="A24" s="387" t="s">
        <v>886</v>
      </c>
      <c r="B24" s="85">
        <v>29</v>
      </c>
      <c r="C24" s="381">
        <v>27</v>
      </c>
      <c r="D24" s="381">
        <v>6</v>
      </c>
      <c r="E24" s="381">
        <v>4</v>
      </c>
      <c r="F24" s="390">
        <f>SUM(B24:E24)</f>
        <v>66</v>
      </c>
    </row>
    <row r="25" spans="1:6" ht="14.25" customHeight="1" x14ac:dyDescent="0.2">
      <c r="A25" s="388" t="s">
        <v>195</v>
      </c>
      <c r="B25" s="95">
        <f>SUM(B22:B24)</f>
        <v>46</v>
      </c>
      <c r="C25" s="96">
        <f>SUM(C22:C24)</f>
        <v>95</v>
      </c>
      <c r="D25" s="96">
        <f>SUM(D22:D24)</f>
        <v>10</v>
      </c>
      <c r="E25" s="96">
        <f>SUM(E22:E24)</f>
        <v>13</v>
      </c>
      <c r="F25" s="24">
        <f>SUM(F22:F24)</f>
        <v>164</v>
      </c>
    </row>
    <row r="26" spans="1:6" ht="7.5" customHeight="1" x14ac:dyDescent="0.2">
      <c r="A26" s="1862"/>
      <c r="B26" s="1863"/>
      <c r="C26" s="1863"/>
      <c r="D26" s="1863"/>
      <c r="E26" s="1863"/>
      <c r="F26" s="1864"/>
    </row>
    <row r="27" spans="1:6" ht="15" customHeight="1" x14ac:dyDescent="0.2">
      <c r="A27" s="1851" t="s">
        <v>198</v>
      </c>
      <c r="B27" s="38"/>
      <c r="C27" s="247"/>
      <c r="D27" s="389" t="s">
        <v>423</v>
      </c>
      <c r="E27" s="247"/>
      <c r="F27" s="22"/>
    </row>
    <row r="28" spans="1:6" ht="14.25" customHeight="1" x14ac:dyDescent="0.2">
      <c r="A28" s="1852"/>
      <c r="B28" s="396" t="s">
        <v>873</v>
      </c>
      <c r="C28" s="395"/>
      <c r="D28" s="396" t="s">
        <v>874</v>
      </c>
      <c r="E28" s="395"/>
      <c r="F28" s="1854" t="s">
        <v>872</v>
      </c>
    </row>
    <row r="29" spans="1:6" ht="14.25" customHeight="1" x14ac:dyDescent="0.2">
      <c r="A29" s="1853"/>
      <c r="B29" s="397" t="s">
        <v>875</v>
      </c>
      <c r="C29" s="398" t="s">
        <v>876</v>
      </c>
      <c r="D29" s="398" t="s">
        <v>875</v>
      </c>
      <c r="E29" s="398" t="s">
        <v>876</v>
      </c>
      <c r="F29" s="1855"/>
    </row>
    <row r="30" spans="1:6" ht="14.25" customHeight="1" x14ac:dyDescent="0.2">
      <c r="A30" s="387" t="s">
        <v>884</v>
      </c>
      <c r="B30" s="84">
        <v>0</v>
      </c>
      <c r="C30" s="248">
        <v>0</v>
      </c>
      <c r="D30" s="248">
        <v>0</v>
      </c>
      <c r="E30" s="248">
        <v>0</v>
      </c>
      <c r="F30" s="390">
        <f>SUM(B30:E30)</f>
        <v>0</v>
      </c>
    </row>
    <row r="31" spans="1:6" ht="14.25" customHeight="1" x14ac:dyDescent="0.2">
      <c r="A31" s="387" t="s">
        <v>199</v>
      </c>
      <c r="B31" s="85">
        <v>0</v>
      </c>
      <c r="C31" s="381">
        <v>0</v>
      </c>
      <c r="D31" s="381">
        <v>0</v>
      </c>
      <c r="E31" s="381">
        <v>0</v>
      </c>
      <c r="F31" s="390">
        <f>SUM(B31:E31)</f>
        <v>0</v>
      </c>
    </row>
    <row r="32" spans="1:6" ht="14.25" customHeight="1" x14ac:dyDescent="0.2">
      <c r="A32" s="387" t="s">
        <v>200</v>
      </c>
      <c r="B32" s="85">
        <v>0</v>
      </c>
      <c r="C32" s="381">
        <v>0</v>
      </c>
      <c r="D32" s="381">
        <v>0</v>
      </c>
      <c r="E32" s="381">
        <v>0</v>
      </c>
      <c r="F32" s="390">
        <f>SUM(B32:E32)</f>
        <v>0</v>
      </c>
    </row>
    <row r="33" spans="1:6" ht="14.25" customHeight="1" x14ac:dyDescent="0.2">
      <c r="A33" s="388" t="s">
        <v>195</v>
      </c>
      <c r="B33" s="95">
        <f>SUM(B30:B32)</f>
        <v>0</v>
      </c>
      <c r="C33" s="96">
        <f>SUM(C30:C32)</f>
        <v>0</v>
      </c>
      <c r="D33" s="96">
        <f>SUM(D30:D32)</f>
        <v>0</v>
      </c>
      <c r="E33" s="96">
        <f>SUM(E30:E32)</f>
        <v>0</v>
      </c>
      <c r="F33" s="24">
        <f>SUM(F30:F32)</f>
        <v>0</v>
      </c>
    </row>
    <row r="34" spans="1:6" x14ac:dyDescent="0.2">
      <c r="A34" s="1719"/>
      <c r="B34" s="1243"/>
      <c r="C34" s="1243"/>
      <c r="D34" s="1243"/>
      <c r="E34" s="1243"/>
      <c r="F34" s="1244"/>
    </row>
    <row r="35" spans="1:6" ht="37.5" customHeight="1" thickBot="1" x14ac:dyDescent="0.25">
      <c r="A35" s="1547" t="s">
        <v>970</v>
      </c>
      <c r="B35" s="1548"/>
      <c r="C35" s="1548"/>
      <c r="D35" s="1548"/>
      <c r="E35" s="1548"/>
      <c r="F35" s="1549"/>
    </row>
    <row r="36" spans="1:6" ht="13.5" thickTop="1" x14ac:dyDescent="0.2">
      <c r="A36" s="29"/>
      <c r="B36" s="29"/>
      <c r="C36" s="29"/>
      <c r="D36" s="29"/>
      <c r="E36" s="29"/>
      <c r="F36" s="29"/>
    </row>
    <row r="37" spans="1:6" x14ac:dyDescent="0.2">
      <c r="A37" s="29"/>
      <c r="B37" s="29"/>
      <c r="C37" s="29"/>
      <c r="D37" s="29"/>
      <c r="E37" s="29"/>
      <c r="F37" s="29"/>
    </row>
    <row r="38" spans="1:6" x14ac:dyDescent="0.2">
      <c r="A38" s="29"/>
      <c r="B38" s="29"/>
      <c r="C38" s="29"/>
      <c r="D38" s="29"/>
      <c r="E38" s="29"/>
      <c r="F38" s="29"/>
    </row>
    <row r="39" spans="1:6" x14ac:dyDescent="0.2">
      <c r="A39" s="29"/>
      <c r="B39" s="29"/>
      <c r="C39" s="29"/>
      <c r="D39" s="29"/>
      <c r="E39" s="29"/>
      <c r="F39" s="29"/>
    </row>
    <row r="40" spans="1:6" x14ac:dyDescent="0.2">
      <c r="A40" s="37"/>
      <c r="B40" s="37"/>
      <c r="C40" s="37"/>
      <c r="D40" s="37"/>
      <c r="E40" s="37"/>
      <c r="F40" s="37"/>
    </row>
    <row r="41" spans="1:6" x14ac:dyDescent="0.2">
      <c r="A41" s="37"/>
      <c r="B41" s="37"/>
      <c r="C41" s="37"/>
      <c r="D41" s="37"/>
      <c r="E41" s="37"/>
      <c r="F41" s="37"/>
    </row>
    <row r="42" spans="1:6" x14ac:dyDescent="0.2">
      <c r="A42" s="37"/>
      <c r="B42" s="37"/>
      <c r="C42" s="37"/>
      <c r="D42" s="37"/>
      <c r="E42" s="37"/>
      <c r="F42" s="37"/>
    </row>
    <row r="43" spans="1:6" x14ac:dyDescent="0.2">
      <c r="A43" s="37"/>
      <c r="B43" s="37"/>
      <c r="C43" s="37"/>
      <c r="D43" s="37"/>
      <c r="E43" s="37"/>
      <c r="F43" s="37"/>
    </row>
    <row r="44" spans="1:6" x14ac:dyDescent="0.2">
      <c r="A44" s="37"/>
      <c r="B44" s="37"/>
      <c r="C44" s="37"/>
      <c r="D44" s="37"/>
      <c r="E44" s="37"/>
      <c r="F44" s="37"/>
    </row>
    <row r="45" spans="1:6" x14ac:dyDescent="0.2">
      <c r="A45" s="37"/>
      <c r="B45" s="37"/>
      <c r="C45" s="37"/>
      <c r="D45" s="37"/>
      <c r="E45" s="37"/>
      <c r="F45" s="37"/>
    </row>
    <row r="46" spans="1:6" x14ac:dyDescent="0.2">
      <c r="A46" s="37"/>
      <c r="B46" s="37"/>
      <c r="C46" s="37"/>
      <c r="D46" s="37"/>
      <c r="E46" s="37"/>
      <c r="F46" s="37"/>
    </row>
    <row r="47" spans="1:6" x14ac:dyDescent="0.2">
      <c r="A47" s="37"/>
      <c r="B47" s="37"/>
      <c r="C47" s="37"/>
      <c r="D47" s="37"/>
      <c r="E47" s="37"/>
      <c r="F47" s="37"/>
    </row>
    <row r="48" spans="1:6" x14ac:dyDescent="0.2">
      <c r="A48" s="37"/>
      <c r="B48" s="37"/>
      <c r="C48" s="37"/>
      <c r="D48" s="37"/>
      <c r="E48" s="37"/>
      <c r="F48" s="37"/>
    </row>
    <row r="49" spans="1:6" x14ac:dyDescent="0.2">
      <c r="A49" s="37"/>
      <c r="B49" s="37"/>
      <c r="C49" s="37"/>
      <c r="D49" s="37"/>
      <c r="E49" s="37"/>
      <c r="F49" s="37"/>
    </row>
    <row r="50" spans="1:6" x14ac:dyDescent="0.2">
      <c r="A50" s="37"/>
      <c r="B50" s="37"/>
      <c r="C50" s="37"/>
      <c r="D50" s="37"/>
      <c r="E50" s="37"/>
      <c r="F50" s="37"/>
    </row>
    <row r="51" spans="1:6" x14ac:dyDescent="0.2">
      <c r="A51" s="37"/>
      <c r="B51" s="37"/>
      <c r="C51" s="37"/>
      <c r="D51" s="37"/>
      <c r="E51" s="37"/>
      <c r="F51" s="37"/>
    </row>
    <row r="52" spans="1:6" x14ac:dyDescent="0.2">
      <c r="A52" s="37"/>
      <c r="B52" s="37"/>
      <c r="C52" s="37"/>
      <c r="D52" s="37"/>
      <c r="E52" s="37"/>
      <c r="F52" s="37"/>
    </row>
    <row r="53" spans="1:6" x14ac:dyDescent="0.2">
      <c r="A53" s="37"/>
      <c r="B53" s="37"/>
      <c r="C53" s="37"/>
      <c r="D53" s="37"/>
      <c r="E53" s="37"/>
      <c r="F53" s="37"/>
    </row>
    <row r="54" spans="1:6" x14ac:dyDescent="0.2">
      <c r="A54" s="37"/>
      <c r="B54" s="37"/>
      <c r="C54" s="37"/>
      <c r="D54" s="37"/>
      <c r="E54" s="37"/>
      <c r="F54" s="37"/>
    </row>
    <row r="55" spans="1:6" x14ac:dyDescent="0.2">
      <c r="A55" s="37"/>
      <c r="B55" s="37"/>
      <c r="C55" s="37"/>
      <c r="D55" s="37"/>
      <c r="E55" s="37"/>
      <c r="F55" s="37"/>
    </row>
    <row r="56" spans="1:6" x14ac:dyDescent="0.2">
      <c r="A56" s="37"/>
      <c r="B56" s="37"/>
      <c r="C56" s="37"/>
      <c r="D56" s="37"/>
      <c r="E56" s="37"/>
      <c r="F56" s="37"/>
    </row>
    <row r="57" spans="1:6" x14ac:dyDescent="0.2">
      <c r="A57" s="37"/>
      <c r="B57" s="37"/>
      <c r="C57" s="37"/>
      <c r="D57" s="37"/>
      <c r="E57" s="37"/>
      <c r="F57" s="37"/>
    </row>
    <row r="58" spans="1:6" x14ac:dyDescent="0.2">
      <c r="A58" s="37"/>
      <c r="B58" s="37"/>
      <c r="C58" s="37"/>
      <c r="D58" s="37"/>
      <c r="E58" s="37"/>
      <c r="F58" s="37"/>
    </row>
    <row r="59" spans="1:6" x14ac:dyDescent="0.2">
      <c r="A59" s="37"/>
      <c r="B59" s="37"/>
      <c r="C59" s="37"/>
      <c r="D59" s="37"/>
      <c r="E59" s="37"/>
      <c r="F59" s="37"/>
    </row>
    <row r="60" spans="1:6" x14ac:dyDescent="0.2">
      <c r="A60" s="37"/>
      <c r="B60" s="37"/>
      <c r="C60" s="37"/>
      <c r="D60" s="37"/>
      <c r="E60" s="37"/>
      <c r="F60" s="37"/>
    </row>
    <row r="61" spans="1:6" x14ac:dyDescent="0.2">
      <c r="A61" s="37"/>
      <c r="B61" s="37"/>
      <c r="C61" s="37"/>
      <c r="D61" s="37"/>
      <c r="E61" s="37"/>
      <c r="F61" s="37"/>
    </row>
    <row r="62" spans="1:6" x14ac:dyDescent="0.2">
      <c r="A62" s="37"/>
      <c r="B62" s="37"/>
      <c r="C62" s="37"/>
      <c r="D62" s="37"/>
      <c r="E62" s="37"/>
      <c r="F62" s="37"/>
    </row>
    <row r="63" spans="1:6" x14ac:dyDescent="0.2">
      <c r="A63" s="37"/>
      <c r="B63" s="37"/>
      <c r="C63" s="37"/>
      <c r="D63" s="37"/>
      <c r="E63" s="37"/>
      <c r="F63" s="37"/>
    </row>
    <row r="64" spans="1:6" x14ac:dyDescent="0.2">
      <c r="A64" s="37"/>
      <c r="B64" s="37"/>
      <c r="C64" s="37"/>
      <c r="D64" s="37"/>
      <c r="E64" s="37"/>
      <c r="F64" s="37"/>
    </row>
    <row r="65" spans="1:6" x14ac:dyDescent="0.2">
      <c r="A65" s="37"/>
      <c r="B65" s="37"/>
      <c r="C65" s="37"/>
      <c r="D65" s="37"/>
      <c r="E65" s="37"/>
      <c r="F65" s="37"/>
    </row>
    <row r="66" spans="1:6" x14ac:dyDescent="0.2">
      <c r="A66" s="37"/>
      <c r="B66" s="37"/>
      <c r="C66" s="37"/>
      <c r="D66" s="37"/>
      <c r="E66" s="37"/>
      <c r="F66" s="37"/>
    </row>
    <row r="67" spans="1:6" x14ac:dyDescent="0.2">
      <c r="A67" s="37"/>
      <c r="B67" s="37"/>
      <c r="C67" s="37"/>
      <c r="D67" s="37"/>
      <c r="E67" s="37"/>
      <c r="F67" s="37"/>
    </row>
    <row r="68" spans="1:6" x14ac:dyDescent="0.2">
      <c r="A68" s="37"/>
      <c r="B68" s="37"/>
      <c r="C68" s="37"/>
      <c r="D68" s="37"/>
      <c r="E68" s="37"/>
      <c r="F68" s="37"/>
    </row>
    <row r="69" spans="1:6" x14ac:dyDescent="0.2">
      <c r="A69" s="37"/>
      <c r="B69" s="37"/>
      <c r="C69" s="37"/>
      <c r="D69" s="37"/>
      <c r="E69" s="37"/>
      <c r="F69" s="37"/>
    </row>
    <row r="70" spans="1:6" x14ac:dyDescent="0.2">
      <c r="A70" s="37"/>
      <c r="B70" s="37"/>
      <c r="C70" s="37"/>
      <c r="D70" s="37"/>
      <c r="E70" s="37"/>
      <c r="F70" s="37"/>
    </row>
    <row r="71" spans="1:6" x14ac:dyDescent="0.2">
      <c r="A71" s="37"/>
      <c r="B71" s="37"/>
      <c r="C71" s="37"/>
      <c r="D71" s="37"/>
      <c r="E71" s="37"/>
      <c r="F71" s="37"/>
    </row>
    <row r="72" spans="1:6" x14ac:dyDescent="0.2">
      <c r="A72" s="37"/>
      <c r="B72" s="37"/>
      <c r="C72" s="37"/>
      <c r="D72" s="37"/>
      <c r="E72" s="37"/>
      <c r="F72" s="37"/>
    </row>
    <row r="73" spans="1:6" x14ac:dyDescent="0.2">
      <c r="A73" s="37"/>
      <c r="B73" s="37"/>
      <c r="C73" s="37"/>
      <c r="D73" s="37"/>
      <c r="E73" s="37"/>
      <c r="F73" s="37"/>
    </row>
    <row r="74" spans="1:6" x14ac:dyDescent="0.2">
      <c r="A74" s="37"/>
      <c r="B74" s="37"/>
      <c r="C74" s="37"/>
      <c r="D74" s="37"/>
      <c r="E74" s="37"/>
      <c r="F74" s="37"/>
    </row>
    <row r="75" spans="1:6" x14ac:dyDescent="0.2">
      <c r="A75" s="37"/>
      <c r="B75" s="37"/>
      <c r="C75" s="37"/>
      <c r="D75" s="37"/>
      <c r="E75" s="37"/>
      <c r="F75" s="37"/>
    </row>
    <row r="76" spans="1:6" x14ac:dyDescent="0.2">
      <c r="A76" s="37"/>
      <c r="B76" s="37"/>
      <c r="C76" s="37"/>
      <c r="D76" s="37"/>
      <c r="E76" s="37"/>
      <c r="F76" s="37"/>
    </row>
    <row r="77" spans="1:6" x14ac:dyDescent="0.2">
      <c r="A77" s="37"/>
      <c r="B77" s="37"/>
      <c r="C77" s="37"/>
      <c r="D77" s="37"/>
      <c r="E77" s="37"/>
      <c r="F77" s="37"/>
    </row>
    <row r="78" spans="1:6" x14ac:dyDescent="0.2">
      <c r="A78" s="37"/>
      <c r="B78" s="37"/>
      <c r="C78" s="37"/>
      <c r="D78" s="37"/>
      <c r="E78" s="37"/>
      <c r="F78" s="37"/>
    </row>
    <row r="79" spans="1:6" x14ac:dyDescent="0.2">
      <c r="A79" s="37"/>
      <c r="B79" s="37"/>
      <c r="C79" s="37"/>
      <c r="D79" s="37"/>
      <c r="E79" s="37"/>
      <c r="F79" s="37"/>
    </row>
    <row r="80" spans="1:6" x14ac:dyDescent="0.2">
      <c r="A80" s="37"/>
      <c r="B80" s="37"/>
      <c r="C80" s="37"/>
      <c r="D80" s="37"/>
      <c r="E80" s="37"/>
      <c r="F80" s="37"/>
    </row>
    <row r="81" spans="1:6" x14ac:dyDescent="0.2">
      <c r="A81" s="37"/>
      <c r="B81" s="37"/>
      <c r="C81" s="37"/>
      <c r="D81" s="37"/>
      <c r="E81" s="37"/>
      <c r="F81" s="37"/>
    </row>
    <row r="82" spans="1:6" x14ac:dyDescent="0.2">
      <c r="A82" s="37"/>
      <c r="B82" s="37"/>
      <c r="C82" s="37"/>
      <c r="D82" s="37"/>
      <c r="E82" s="37"/>
      <c r="F82" s="37"/>
    </row>
    <row r="83" spans="1:6" x14ac:dyDescent="0.2">
      <c r="A83" s="37"/>
      <c r="B83" s="37"/>
      <c r="C83" s="37"/>
      <c r="D83" s="37"/>
      <c r="E83" s="37"/>
      <c r="F83" s="37"/>
    </row>
    <row r="84" spans="1:6" x14ac:dyDescent="0.2">
      <c r="A84" s="37"/>
      <c r="B84" s="37"/>
      <c r="C84" s="37"/>
      <c r="D84" s="37"/>
      <c r="E84" s="37"/>
      <c r="F84" s="37"/>
    </row>
    <row r="85" spans="1:6" x14ac:dyDescent="0.2">
      <c r="A85" s="37"/>
      <c r="B85" s="37"/>
      <c r="C85" s="37"/>
      <c r="D85" s="37"/>
      <c r="E85" s="37"/>
      <c r="F85" s="37"/>
    </row>
    <row r="86" spans="1:6" x14ac:dyDescent="0.2">
      <c r="A86" s="37"/>
      <c r="B86" s="37"/>
      <c r="C86" s="37"/>
      <c r="D86" s="37"/>
      <c r="E86" s="37"/>
      <c r="F86" s="37"/>
    </row>
    <row r="87" spans="1:6" x14ac:dyDescent="0.2">
      <c r="A87" s="37"/>
      <c r="B87" s="37"/>
      <c r="C87" s="37"/>
      <c r="D87" s="37"/>
      <c r="E87" s="37"/>
      <c r="F87" s="37"/>
    </row>
    <row r="88" spans="1:6" x14ac:dyDescent="0.2">
      <c r="A88" s="37"/>
      <c r="B88" s="37"/>
      <c r="C88" s="37"/>
      <c r="D88" s="37"/>
      <c r="E88" s="37"/>
      <c r="F88" s="37"/>
    </row>
    <row r="89" spans="1:6" x14ac:dyDescent="0.2">
      <c r="A89" s="37"/>
      <c r="B89" s="37"/>
      <c r="C89" s="37"/>
      <c r="D89" s="37"/>
      <c r="E89" s="37"/>
      <c r="F89" s="37"/>
    </row>
    <row r="90" spans="1:6" x14ac:dyDescent="0.2">
      <c r="A90" s="37"/>
      <c r="B90" s="37"/>
      <c r="C90" s="37"/>
      <c r="D90" s="37"/>
      <c r="E90" s="37"/>
      <c r="F90" s="37"/>
    </row>
    <row r="91" spans="1:6" x14ac:dyDescent="0.2">
      <c r="A91" s="37"/>
      <c r="B91" s="37"/>
      <c r="C91" s="37"/>
      <c r="D91" s="37"/>
      <c r="E91" s="37"/>
      <c r="F91" s="37"/>
    </row>
    <row r="92" spans="1:6" x14ac:dyDescent="0.2">
      <c r="A92" s="37"/>
      <c r="B92" s="37"/>
      <c r="C92" s="37"/>
      <c r="D92" s="37"/>
      <c r="E92" s="37"/>
      <c r="F92" s="37"/>
    </row>
    <row r="93" spans="1:6" x14ac:dyDescent="0.2">
      <c r="A93" s="37"/>
      <c r="B93" s="37"/>
      <c r="C93" s="37"/>
      <c r="D93" s="37"/>
      <c r="E93" s="37"/>
      <c r="F93" s="37"/>
    </row>
    <row r="94" spans="1:6" x14ac:dyDescent="0.2">
      <c r="A94" s="37"/>
      <c r="B94" s="37"/>
      <c r="C94" s="37"/>
      <c r="D94" s="37"/>
      <c r="E94" s="37"/>
      <c r="F94" s="37"/>
    </row>
    <row r="95" spans="1:6" x14ac:dyDescent="0.2">
      <c r="A95" s="37"/>
      <c r="B95" s="37"/>
      <c r="C95" s="37"/>
      <c r="D95" s="37"/>
      <c r="E95" s="37"/>
      <c r="F95" s="37"/>
    </row>
    <row r="96" spans="1:6" x14ac:dyDescent="0.2">
      <c r="A96" s="37"/>
      <c r="B96" s="37"/>
      <c r="C96" s="37"/>
      <c r="D96" s="37"/>
      <c r="E96" s="37"/>
      <c r="F96" s="37"/>
    </row>
    <row r="97" spans="1:6" x14ac:dyDescent="0.2">
      <c r="A97" s="37"/>
      <c r="B97" s="37"/>
      <c r="C97" s="37"/>
      <c r="D97" s="37"/>
      <c r="E97" s="37"/>
      <c r="F97" s="37"/>
    </row>
    <row r="98" spans="1:6" x14ac:dyDescent="0.2">
      <c r="A98" s="37"/>
      <c r="B98" s="37"/>
      <c r="C98" s="37"/>
      <c r="D98" s="37"/>
      <c r="E98" s="37"/>
      <c r="F98" s="37"/>
    </row>
  </sheetData>
  <mergeCells count="17">
    <mergeCell ref="A34:F34"/>
    <mergeCell ref="A35:F35"/>
    <mergeCell ref="A26:F26"/>
    <mergeCell ref="A19:F19"/>
    <mergeCell ref="B1:F1"/>
    <mergeCell ref="A27:A29"/>
    <mergeCell ref="F28:F29"/>
    <mergeCell ref="A13:A15"/>
    <mergeCell ref="F14:F15"/>
    <mergeCell ref="F6:F7"/>
    <mergeCell ref="A5:A7"/>
    <mergeCell ref="A2:F2"/>
    <mergeCell ref="A3:F3"/>
    <mergeCell ref="A4:F4"/>
    <mergeCell ref="A12:F12"/>
    <mergeCell ref="A20:A22"/>
    <mergeCell ref="F21:F22"/>
  </mergeCells>
  <phoneticPr fontId="65" type="noConversion"/>
  <pageMargins left="0.65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28"/>
  <sheetViews>
    <sheetView topLeftCell="A90" zoomScaleNormal="100" workbookViewId="0">
      <selection activeCell="G130" sqref="G130"/>
    </sheetView>
  </sheetViews>
  <sheetFormatPr defaultColWidth="9.140625" defaultRowHeight="14.25" x14ac:dyDescent="0.2"/>
  <cols>
    <col min="1" max="1" width="4.28515625" style="97" customWidth="1"/>
    <col min="2" max="2" width="33.140625" style="97" customWidth="1"/>
    <col min="3" max="7" width="11.85546875" style="97" customWidth="1"/>
    <col min="8" max="16384" width="9.140625" style="97"/>
  </cols>
  <sheetData>
    <row r="1" spans="1:7" s="20" customFormat="1" ht="15.75" thickTop="1" x14ac:dyDescent="0.25">
      <c r="A1" s="1315" t="s">
        <v>823</v>
      </c>
      <c r="B1" s="1316"/>
      <c r="C1" s="1317"/>
      <c r="D1" s="1266" t="str">
        <f>'1.1a Overall Instit. Profile'!B1</f>
        <v>Oglala Lakota College</v>
      </c>
      <c r="E1" s="1370"/>
      <c r="F1" s="1370"/>
      <c r="G1" s="1629"/>
    </row>
    <row r="2" spans="1:7" ht="15" x14ac:dyDescent="0.2">
      <c r="A2" s="313" t="s">
        <v>821</v>
      </c>
      <c r="B2" s="325"/>
      <c r="C2" s="325"/>
      <c r="D2" s="325"/>
      <c r="E2" s="325"/>
      <c r="F2" s="325"/>
      <c r="G2" s="351"/>
    </row>
    <row r="3" spans="1:7" ht="15" x14ac:dyDescent="0.2">
      <c r="A3" s="1730" t="s">
        <v>425</v>
      </c>
      <c r="B3" s="1731"/>
      <c r="C3" s="1731"/>
      <c r="D3" s="1731"/>
      <c r="E3" s="1731"/>
      <c r="F3" s="1731"/>
      <c r="G3" s="1732"/>
    </row>
    <row r="4" spans="1:7" x14ac:dyDescent="0.2">
      <c r="A4" s="320" t="s">
        <v>201</v>
      </c>
      <c r="B4" s="326"/>
      <c r="C4" s="326"/>
      <c r="D4" s="326"/>
      <c r="E4" s="326"/>
      <c r="F4" s="326"/>
      <c r="G4" s="327"/>
    </row>
    <row r="5" spans="1:7" s="774" customFormat="1" ht="15" customHeight="1" x14ac:dyDescent="0.2">
      <c r="A5" s="1870" t="s">
        <v>517</v>
      </c>
      <c r="B5" s="1871"/>
      <c r="C5" s="38"/>
      <c r="D5" s="247"/>
      <c r="E5" s="389" t="s">
        <v>423</v>
      </c>
      <c r="F5" s="247"/>
      <c r="G5" s="22"/>
    </row>
    <row r="6" spans="1:7" s="774" customFormat="1" ht="12" x14ac:dyDescent="0.2">
      <c r="A6" s="1870"/>
      <c r="B6" s="1871"/>
      <c r="C6" s="394" t="s">
        <v>873</v>
      </c>
      <c r="D6" s="395"/>
      <c r="E6" s="396" t="s">
        <v>874</v>
      </c>
      <c r="F6" s="395"/>
      <c r="G6" s="1865" t="s">
        <v>872</v>
      </c>
    </row>
    <row r="7" spans="1:7" s="774" customFormat="1" ht="12" x14ac:dyDescent="0.2">
      <c r="A7" s="1872"/>
      <c r="B7" s="1873"/>
      <c r="C7" s="397" t="s">
        <v>875</v>
      </c>
      <c r="D7" s="398" t="s">
        <v>876</v>
      </c>
      <c r="E7" s="398" t="s">
        <v>875</v>
      </c>
      <c r="F7" s="398" t="s">
        <v>876</v>
      </c>
      <c r="G7" s="1866"/>
    </row>
    <row r="8" spans="1:7" s="774" customFormat="1" ht="12" x14ac:dyDescent="0.2">
      <c r="A8" s="734" t="s">
        <v>202</v>
      </c>
      <c r="B8" s="735"/>
      <c r="C8" s="84">
        <v>3</v>
      </c>
      <c r="D8" s="248">
        <v>0</v>
      </c>
      <c r="E8" s="248">
        <v>0</v>
      </c>
      <c r="F8" s="248">
        <v>0</v>
      </c>
      <c r="G8" s="726">
        <f t="shared" ref="G8:G13" si="0">SUM(C8:F8)</f>
        <v>3</v>
      </c>
    </row>
    <row r="9" spans="1:7" s="774" customFormat="1" ht="12" x14ac:dyDescent="0.2">
      <c r="A9" s="6" t="s">
        <v>203</v>
      </c>
      <c r="B9" s="401"/>
      <c r="C9" s="85">
        <v>1</v>
      </c>
      <c r="D9" s="381">
        <v>0</v>
      </c>
      <c r="E9" s="381">
        <v>0</v>
      </c>
      <c r="F9" s="381">
        <v>0</v>
      </c>
      <c r="G9" s="402">
        <f t="shared" si="0"/>
        <v>1</v>
      </c>
    </row>
    <row r="10" spans="1:7" s="774" customFormat="1" ht="12" x14ac:dyDescent="0.2">
      <c r="A10" s="6" t="s">
        <v>204</v>
      </c>
      <c r="B10" s="401"/>
      <c r="C10" s="85">
        <v>4</v>
      </c>
      <c r="D10" s="381">
        <v>3</v>
      </c>
      <c r="E10" s="381">
        <v>2</v>
      </c>
      <c r="F10" s="381">
        <v>0</v>
      </c>
      <c r="G10" s="402">
        <f t="shared" si="0"/>
        <v>9</v>
      </c>
    </row>
    <row r="11" spans="1:7" s="774" customFormat="1" ht="12" x14ac:dyDescent="0.2">
      <c r="A11" s="6" t="s">
        <v>205</v>
      </c>
      <c r="B11" s="401"/>
      <c r="C11" s="85">
        <v>4</v>
      </c>
      <c r="D11" s="381">
        <v>11</v>
      </c>
      <c r="E11" s="381">
        <v>9</v>
      </c>
      <c r="F11" s="381">
        <v>18</v>
      </c>
      <c r="G11" s="402">
        <f t="shared" si="0"/>
        <v>42</v>
      </c>
    </row>
    <row r="12" spans="1:7" s="774" customFormat="1" ht="12" x14ac:dyDescent="0.2">
      <c r="A12" s="6" t="s">
        <v>206</v>
      </c>
      <c r="B12" s="401"/>
      <c r="C12" s="85">
        <v>1</v>
      </c>
      <c r="D12" s="381">
        <v>2</v>
      </c>
      <c r="E12" s="381">
        <v>6</v>
      </c>
      <c r="F12" s="381">
        <v>3</v>
      </c>
      <c r="G12" s="402">
        <f t="shared" si="0"/>
        <v>12</v>
      </c>
    </row>
    <row r="13" spans="1:7" s="774" customFormat="1" ht="12" x14ac:dyDescent="0.2">
      <c r="A13" s="6" t="s">
        <v>207</v>
      </c>
      <c r="B13" s="401"/>
      <c r="C13" s="85">
        <v>1</v>
      </c>
      <c r="D13" s="381">
        <v>0</v>
      </c>
      <c r="E13" s="381">
        <v>1</v>
      </c>
      <c r="F13" s="381">
        <v>0</v>
      </c>
      <c r="G13" s="402">
        <f t="shared" si="0"/>
        <v>2</v>
      </c>
    </row>
    <row r="14" spans="1:7" s="774" customFormat="1" ht="12" x14ac:dyDescent="0.2">
      <c r="A14" s="281" t="s">
        <v>208</v>
      </c>
      <c r="B14" s="399"/>
      <c r="C14" s="95">
        <f>SUM(C8:C13)</f>
        <v>14</v>
      </c>
      <c r="D14" s="96">
        <f>SUM(D8:D13)</f>
        <v>16</v>
      </c>
      <c r="E14" s="96">
        <f>SUM(E8:E13)</f>
        <v>18</v>
      </c>
      <c r="F14" s="96">
        <f>SUM(F8:F13)</f>
        <v>21</v>
      </c>
      <c r="G14" s="24">
        <f>SUM(G8:G13)</f>
        <v>69</v>
      </c>
    </row>
    <row r="15" spans="1:7" s="774" customFormat="1" ht="12" x14ac:dyDescent="0.2">
      <c r="A15" s="281" t="s">
        <v>539</v>
      </c>
      <c r="B15" s="11"/>
      <c r="C15" s="85" t="s">
        <v>646</v>
      </c>
      <c r="D15" s="381" t="s">
        <v>646</v>
      </c>
      <c r="E15" s="381" t="s">
        <v>646</v>
      </c>
      <c r="F15" s="381" t="s">
        <v>646</v>
      </c>
      <c r="G15" s="402">
        <f>SUM(C15:F15)</f>
        <v>0</v>
      </c>
    </row>
    <row r="16" spans="1:7" s="774" customFormat="1" ht="7.5" customHeight="1" x14ac:dyDescent="0.2">
      <c r="A16" s="1867"/>
      <c r="B16" s="1868"/>
      <c r="C16" s="1868"/>
      <c r="D16" s="1868"/>
      <c r="E16" s="1868"/>
      <c r="F16" s="1868"/>
      <c r="G16" s="1869"/>
    </row>
    <row r="17" spans="1:7" s="774" customFormat="1" ht="15" customHeight="1" x14ac:dyDescent="0.2">
      <c r="A17" s="1870" t="s">
        <v>518</v>
      </c>
      <c r="B17" s="1871"/>
      <c r="C17" s="38"/>
      <c r="D17" s="247"/>
      <c r="E17" s="389" t="s">
        <v>423</v>
      </c>
      <c r="F17" s="247"/>
      <c r="G17" s="22"/>
    </row>
    <row r="18" spans="1:7" s="774" customFormat="1" ht="12" x14ac:dyDescent="0.2">
      <c r="A18" s="1870"/>
      <c r="B18" s="1871"/>
      <c r="C18" s="394" t="s">
        <v>873</v>
      </c>
      <c r="D18" s="395"/>
      <c r="E18" s="396" t="s">
        <v>874</v>
      </c>
      <c r="F18" s="395"/>
      <c r="G18" s="1865" t="s">
        <v>872</v>
      </c>
    </row>
    <row r="19" spans="1:7" s="774" customFormat="1" ht="12" x14ac:dyDescent="0.2">
      <c r="A19" s="1872"/>
      <c r="B19" s="1873"/>
      <c r="C19" s="397" t="s">
        <v>875</v>
      </c>
      <c r="D19" s="398" t="s">
        <v>876</v>
      </c>
      <c r="E19" s="398" t="s">
        <v>875</v>
      </c>
      <c r="F19" s="398" t="s">
        <v>876</v>
      </c>
      <c r="G19" s="1866"/>
    </row>
    <row r="20" spans="1:7" s="774" customFormat="1" ht="12" x14ac:dyDescent="0.2">
      <c r="A20" s="734" t="s">
        <v>202</v>
      </c>
      <c r="B20" s="735"/>
      <c r="C20" s="84">
        <v>1</v>
      </c>
      <c r="D20" s="248">
        <v>4</v>
      </c>
      <c r="E20" s="248">
        <v>0</v>
      </c>
      <c r="F20" s="248">
        <v>0</v>
      </c>
      <c r="G20" s="726">
        <f t="shared" ref="G20:G25" si="1">SUM(C20:F20)</f>
        <v>5</v>
      </c>
    </row>
    <row r="21" spans="1:7" s="774" customFormat="1" ht="12" x14ac:dyDescent="0.2">
      <c r="A21" s="6" t="s">
        <v>203</v>
      </c>
      <c r="B21" s="401"/>
      <c r="C21" s="85">
        <v>1</v>
      </c>
      <c r="D21" s="381">
        <v>2</v>
      </c>
      <c r="E21" s="381">
        <v>0</v>
      </c>
      <c r="F21" s="381">
        <v>0</v>
      </c>
      <c r="G21" s="402">
        <f t="shared" si="1"/>
        <v>3</v>
      </c>
    </row>
    <row r="22" spans="1:7" s="774" customFormat="1" ht="12" x14ac:dyDescent="0.2">
      <c r="A22" s="6" t="s">
        <v>204</v>
      </c>
      <c r="B22" s="401"/>
      <c r="C22" s="85">
        <v>10</v>
      </c>
      <c r="D22" s="381">
        <v>25</v>
      </c>
      <c r="E22" s="381">
        <v>4</v>
      </c>
      <c r="F22" s="381">
        <v>5</v>
      </c>
      <c r="G22" s="402">
        <f t="shared" si="1"/>
        <v>44</v>
      </c>
    </row>
    <row r="23" spans="1:7" s="774" customFormat="1" ht="12" x14ac:dyDescent="0.2">
      <c r="A23" s="6" t="s">
        <v>205</v>
      </c>
      <c r="B23" s="401"/>
      <c r="C23" s="85">
        <v>9</v>
      </c>
      <c r="D23" s="381">
        <v>10</v>
      </c>
      <c r="E23" s="381">
        <v>11</v>
      </c>
      <c r="F23" s="381">
        <v>16</v>
      </c>
      <c r="G23" s="402">
        <f t="shared" si="1"/>
        <v>46</v>
      </c>
    </row>
    <row r="24" spans="1:7" s="774" customFormat="1" ht="12" x14ac:dyDescent="0.2">
      <c r="A24" s="6" t="s">
        <v>206</v>
      </c>
      <c r="B24" s="401"/>
      <c r="C24" s="85">
        <v>2</v>
      </c>
      <c r="D24" s="381">
        <v>4</v>
      </c>
      <c r="E24" s="381">
        <v>8</v>
      </c>
      <c r="F24" s="381">
        <v>2</v>
      </c>
      <c r="G24" s="402">
        <f t="shared" si="1"/>
        <v>16</v>
      </c>
    </row>
    <row r="25" spans="1:7" s="774" customFormat="1" ht="12" x14ac:dyDescent="0.2">
      <c r="A25" s="6" t="s">
        <v>207</v>
      </c>
      <c r="B25" s="401"/>
      <c r="C25" s="85">
        <v>0</v>
      </c>
      <c r="D25" s="381">
        <v>0</v>
      </c>
      <c r="E25" s="381">
        <v>0</v>
      </c>
      <c r="F25" s="381">
        <v>0</v>
      </c>
      <c r="G25" s="402">
        <f t="shared" si="1"/>
        <v>0</v>
      </c>
    </row>
    <row r="26" spans="1:7" s="774" customFormat="1" ht="12" x14ac:dyDescent="0.2">
      <c r="A26" s="281" t="s">
        <v>208</v>
      </c>
      <c r="B26" s="399"/>
      <c r="C26" s="95">
        <f>SUM(C20:C25)</f>
        <v>23</v>
      </c>
      <c r="D26" s="96">
        <f>SUM(D20:D25)</f>
        <v>45</v>
      </c>
      <c r="E26" s="96">
        <f>SUM(E20:E25)</f>
        <v>23</v>
      </c>
      <c r="F26" s="96">
        <f>SUM(F20:F25)</f>
        <v>23</v>
      </c>
      <c r="G26" s="24">
        <f>SUM(G20:G25)</f>
        <v>114</v>
      </c>
    </row>
    <row r="27" spans="1:7" s="774" customFormat="1" ht="12" x14ac:dyDescent="0.2">
      <c r="A27" s="281" t="s">
        <v>539</v>
      </c>
      <c r="B27" s="11"/>
      <c r="C27" s="85" t="s">
        <v>646</v>
      </c>
      <c r="D27" s="381" t="s">
        <v>646</v>
      </c>
      <c r="E27" s="381" t="s">
        <v>646</v>
      </c>
      <c r="F27" s="381" t="s">
        <v>646</v>
      </c>
      <c r="G27" s="402">
        <f>SUM(C27:F27)</f>
        <v>0</v>
      </c>
    </row>
    <row r="28" spans="1:7" s="774" customFormat="1" ht="7.5" customHeight="1" x14ac:dyDescent="0.2">
      <c r="A28" s="1867"/>
      <c r="B28" s="1868"/>
      <c r="C28" s="1868"/>
      <c r="D28" s="1868"/>
      <c r="E28" s="1868"/>
      <c r="F28" s="1868"/>
      <c r="G28" s="1869"/>
    </row>
    <row r="29" spans="1:7" s="774" customFormat="1" ht="12" x14ac:dyDescent="0.2">
      <c r="A29" s="1870" t="s">
        <v>540</v>
      </c>
      <c r="B29" s="1871"/>
      <c r="C29" s="38"/>
      <c r="D29" s="247"/>
      <c r="E29" s="389" t="s">
        <v>423</v>
      </c>
      <c r="F29" s="247"/>
      <c r="G29" s="22"/>
    </row>
    <row r="30" spans="1:7" s="774" customFormat="1" ht="12" x14ac:dyDescent="0.2">
      <c r="A30" s="1870"/>
      <c r="B30" s="1871"/>
      <c r="C30" s="394" t="s">
        <v>873</v>
      </c>
      <c r="D30" s="395"/>
      <c r="E30" s="396" t="s">
        <v>874</v>
      </c>
      <c r="F30" s="395"/>
      <c r="G30" s="1865" t="s">
        <v>872</v>
      </c>
    </row>
    <row r="31" spans="1:7" s="774" customFormat="1" ht="12" x14ac:dyDescent="0.2">
      <c r="A31" s="1872"/>
      <c r="B31" s="1873"/>
      <c r="C31" s="397" t="s">
        <v>875</v>
      </c>
      <c r="D31" s="398" t="s">
        <v>876</v>
      </c>
      <c r="E31" s="398" t="s">
        <v>875</v>
      </c>
      <c r="F31" s="398" t="s">
        <v>876</v>
      </c>
      <c r="G31" s="1866"/>
    </row>
    <row r="32" spans="1:7" s="774" customFormat="1" ht="12" x14ac:dyDescent="0.2">
      <c r="A32" s="734" t="s">
        <v>202</v>
      </c>
      <c r="B32" s="735"/>
      <c r="C32" s="84">
        <v>0</v>
      </c>
      <c r="D32" s="248">
        <v>0</v>
      </c>
      <c r="E32" s="248">
        <v>0</v>
      </c>
      <c r="F32" s="248">
        <v>0</v>
      </c>
      <c r="G32" s="726">
        <f t="shared" ref="G32:G37" si="2">SUM(C32:F32)</f>
        <v>0</v>
      </c>
    </row>
    <row r="33" spans="1:7" s="774" customFormat="1" ht="12" x14ac:dyDescent="0.2">
      <c r="A33" s="6" t="s">
        <v>203</v>
      </c>
      <c r="B33" s="401"/>
      <c r="C33" s="85">
        <v>0</v>
      </c>
      <c r="D33" s="381">
        <v>0</v>
      </c>
      <c r="E33" s="381">
        <v>0</v>
      </c>
      <c r="F33" s="381">
        <v>0</v>
      </c>
      <c r="G33" s="402">
        <f t="shared" si="2"/>
        <v>0</v>
      </c>
    </row>
    <row r="34" spans="1:7" s="774" customFormat="1" ht="12" x14ac:dyDescent="0.2">
      <c r="A34" s="6" t="s">
        <v>204</v>
      </c>
      <c r="B34" s="401"/>
      <c r="C34" s="85">
        <v>0</v>
      </c>
      <c r="D34" s="381">
        <v>0</v>
      </c>
      <c r="E34" s="381">
        <v>0</v>
      </c>
      <c r="F34" s="381">
        <v>0</v>
      </c>
      <c r="G34" s="402">
        <f t="shared" si="2"/>
        <v>0</v>
      </c>
    </row>
    <row r="35" spans="1:7" s="774" customFormat="1" ht="12" x14ac:dyDescent="0.2">
      <c r="A35" s="6" t="s">
        <v>205</v>
      </c>
      <c r="B35" s="401"/>
      <c r="C35" s="85">
        <v>0</v>
      </c>
      <c r="D35" s="381">
        <v>0</v>
      </c>
      <c r="E35" s="381">
        <v>0</v>
      </c>
      <c r="F35" s="381">
        <v>0</v>
      </c>
      <c r="G35" s="402">
        <f t="shared" si="2"/>
        <v>0</v>
      </c>
    </row>
    <row r="36" spans="1:7" s="774" customFormat="1" ht="12" x14ac:dyDescent="0.2">
      <c r="A36" s="6" t="s">
        <v>206</v>
      </c>
      <c r="B36" s="401"/>
      <c r="C36" s="85">
        <v>0</v>
      </c>
      <c r="D36" s="381">
        <v>0</v>
      </c>
      <c r="E36" s="381">
        <v>0</v>
      </c>
      <c r="F36" s="381">
        <v>0</v>
      </c>
      <c r="G36" s="402">
        <f t="shared" si="2"/>
        <v>0</v>
      </c>
    </row>
    <row r="37" spans="1:7" s="774" customFormat="1" ht="12" x14ac:dyDescent="0.2">
      <c r="A37" s="6" t="s">
        <v>207</v>
      </c>
      <c r="B37" s="401"/>
      <c r="C37" s="85">
        <v>0</v>
      </c>
      <c r="D37" s="381">
        <v>0</v>
      </c>
      <c r="E37" s="381">
        <v>0</v>
      </c>
      <c r="F37" s="381">
        <v>0</v>
      </c>
      <c r="G37" s="402">
        <f t="shared" si="2"/>
        <v>0</v>
      </c>
    </row>
    <row r="38" spans="1:7" s="774" customFormat="1" ht="12" x14ac:dyDescent="0.2">
      <c r="A38" s="281" t="s">
        <v>208</v>
      </c>
      <c r="B38" s="399"/>
      <c r="C38" s="95">
        <f>SUM(C32:C37)</f>
        <v>0</v>
      </c>
      <c r="D38" s="96">
        <f>SUM(D32:D37)</f>
        <v>0</v>
      </c>
      <c r="E38" s="96">
        <f>SUM(E32:E37)</f>
        <v>0</v>
      </c>
      <c r="F38" s="96">
        <f>SUM(F32:F37)</f>
        <v>0</v>
      </c>
      <c r="G38" s="24">
        <f>SUM(G32:G37)</f>
        <v>0</v>
      </c>
    </row>
    <row r="39" spans="1:7" s="774" customFormat="1" ht="12" x14ac:dyDescent="0.2">
      <c r="A39" s="281" t="s">
        <v>539</v>
      </c>
      <c r="B39" s="11"/>
      <c r="C39" s="85"/>
      <c r="D39" s="381"/>
      <c r="E39" s="381">
        <v>0</v>
      </c>
      <c r="F39" s="381">
        <v>0</v>
      </c>
      <c r="G39" s="402">
        <f>SUM(C39:F39)</f>
        <v>0</v>
      </c>
    </row>
    <row r="40" spans="1:7" s="774" customFormat="1" ht="7.5" customHeight="1" x14ac:dyDescent="0.2">
      <c r="A40" s="1867"/>
      <c r="B40" s="1868"/>
      <c r="C40" s="1868"/>
      <c r="D40" s="1868"/>
      <c r="E40" s="1868"/>
      <c r="F40" s="1868"/>
      <c r="G40" s="1869"/>
    </row>
    <row r="41" spans="1:7" s="774" customFormat="1" ht="12" x14ac:dyDescent="0.2">
      <c r="A41" s="1870" t="s">
        <v>519</v>
      </c>
      <c r="B41" s="1871"/>
      <c r="C41" s="38"/>
      <c r="D41" s="247"/>
      <c r="E41" s="389" t="s">
        <v>423</v>
      </c>
      <c r="F41" s="247"/>
      <c r="G41" s="22"/>
    </row>
    <row r="42" spans="1:7" s="774" customFormat="1" ht="12" x14ac:dyDescent="0.2">
      <c r="A42" s="1870"/>
      <c r="B42" s="1871"/>
      <c r="C42" s="394" t="s">
        <v>873</v>
      </c>
      <c r="D42" s="395"/>
      <c r="E42" s="396" t="s">
        <v>874</v>
      </c>
      <c r="F42" s="395"/>
      <c r="G42" s="1865" t="s">
        <v>872</v>
      </c>
    </row>
    <row r="43" spans="1:7" s="774" customFormat="1" ht="12" x14ac:dyDescent="0.2">
      <c r="A43" s="1872"/>
      <c r="B43" s="1873"/>
      <c r="C43" s="397" t="s">
        <v>875</v>
      </c>
      <c r="D43" s="398" t="s">
        <v>876</v>
      </c>
      <c r="E43" s="398" t="s">
        <v>875</v>
      </c>
      <c r="F43" s="398" t="s">
        <v>876</v>
      </c>
      <c r="G43" s="1866"/>
    </row>
    <row r="44" spans="1:7" s="774" customFormat="1" ht="12" x14ac:dyDescent="0.2">
      <c r="A44" s="734" t="s">
        <v>202</v>
      </c>
      <c r="B44" s="735"/>
      <c r="C44" s="84">
        <v>0</v>
      </c>
      <c r="D44" s="248">
        <v>1</v>
      </c>
      <c r="E44" s="248">
        <v>0</v>
      </c>
      <c r="F44" s="248">
        <v>0</v>
      </c>
      <c r="G44" s="726">
        <f t="shared" ref="G44:G49" si="3">SUM(C44:F44)</f>
        <v>1</v>
      </c>
    </row>
    <row r="45" spans="1:7" s="774" customFormat="1" ht="12" x14ac:dyDescent="0.2">
      <c r="A45" s="6" t="s">
        <v>203</v>
      </c>
      <c r="B45" s="401"/>
      <c r="C45" s="85">
        <v>1</v>
      </c>
      <c r="D45" s="381">
        <v>2</v>
      </c>
      <c r="E45" s="381">
        <v>0</v>
      </c>
      <c r="F45" s="381">
        <v>0</v>
      </c>
      <c r="G45" s="402">
        <f t="shared" si="3"/>
        <v>3</v>
      </c>
    </row>
    <row r="46" spans="1:7" s="774" customFormat="1" ht="12" x14ac:dyDescent="0.2">
      <c r="A46" s="6" t="s">
        <v>204</v>
      </c>
      <c r="B46" s="401"/>
      <c r="C46" s="85">
        <v>0</v>
      </c>
      <c r="D46" s="381">
        <v>9</v>
      </c>
      <c r="E46" s="381">
        <v>0</v>
      </c>
      <c r="F46" s="381">
        <v>0</v>
      </c>
      <c r="G46" s="402">
        <f t="shared" si="3"/>
        <v>9</v>
      </c>
    </row>
    <row r="47" spans="1:7" s="774" customFormat="1" ht="12" x14ac:dyDescent="0.2">
      <c r="A47" s="6" t="s">
        <v>205</v>
      </c>
      <c r="B47" s="401"/>
      <c r="C47" s="85">
        <v>1</v>
      </c>
      <c r="D47" s="381">
        <v>2</v>
      </c>
      <c r="E47" s="381">
        <v>1</v>
      </c>
      <c r="F47" s="381">
        <v>1</v>
      </c>
      <c r="G47" s="402">
        <f t="shared" si="3"/>
        <v>5</v>
      </c>
    </row>
    <row r="48" spans="1:7" s="774" customFormat="1" ht="12" x14ac:dyDescent="0.2">
      <c r="A48" s="6" t="s">
        <v>206</v>
      </c>
      <c r="B48" s="401"/>
      <c r="C48" s="85">
        <v>0</v>
      </c>
      <c r="D48" s="381">
        <v>1</v>
      </c>
      <c r="E48" s="381">
        <v>0</v>
      </c>
      <c r="F48" s="381">
        <v>1</v>
      </c>
      <c r="G48" s="402">
        <f t="shared" si="3"/>
        <v>2</v>
      </c>
    </row>
    <row r="49" spans="1:7" s="774" customFormat="1" ht="12" x14ac:dyDescent="0.2">
      <c r="A49" s="6" t="s">
        <v>207</v>
      </c>
      <c r="B49" s="401"/>
      <c r="C49" s="85">
        <v>0</v>
      </c>
      <c r="D49" s="381">
        <v>0</v>
      </c>
      <c r="E49" s="381">
        <v>0</v>
      </c>
      <c r="F49" s="381">
        <v>0</v>
      </c>
      <c r="G49" s="402">
        <f t="shared" si="3"/>
        <v>0</v>
      </c>
    </row>
    <row r="50" spans="1:7" s="774" customFormat="1" ht="12" x14ac:dyDescent="0.2">
      <c r="A50" s="281" t="s">
        <v>208</v>
      </c>
      <c r="B50" s="399"/>
      <c r="C50" s="95">
        <f>SUM(C44:C49)</f>
        <v>2</v>
      </c>
      <c r="D50" s="96">
        <v>15</v>
      </c>
      <c r="E50" s="96">
        <f>SUM(E44:E49)</f>
        <v>1</v>
      </c>
      <c r="F50" s="96">
        <f>SUM(F44:F49)</f>
        <v>2</v>
      </c>
      <c r="G50" s="24">
        <f>SUM(G44:G49)</f>
        <v>20</v>
      </c>
    </row>
    <row r="51" spans="1:7" s="774" customFormat="1" ht="12" x14ac:dyDescent="0.2">
      <c r="A51" s="281" t="s">
        <v>539</v>
      </c>
      <c r="B51" s="11"/>
      <c r="C51" s="85">
        <v>0</v>
      </c>
      <c r="D51" s="381">
        <v>14</v>
      </c>
      <c r="E51" s="381">
        <v>0</v>
      </c>
      <c r="F51" s="381">
        <v>0</v>
      </c>
      <c r="G51" s="402">
        <f>SUM(C51:F51)</f>
        <v>14</v>
      </c>
    </row>
    <row r="52" spans="1:7" s="774" customFormat="1" ht="7.5" customHeight="1" x14ac:dyDescent="0.2">
      <c r="A52" s="1867"/>
      <c r="B52" s="1868"/>
      <c r="C52" s="1868"/>
      <c r="D52" s="1868"/>
      <c r="E52" s="1868"/>
      <c r="F52" s="1868"/>
      <c r="G52" s="1869"/>
    </row>
    <row r="53" spans="1:7" s="774" customFormat="1" ht="12" x14ac:dyDescent="0.2">
      <c r="A53" s="1870" t="s">
        <v>520</v>
      </c>
      <c r="B53" s="1871"/>
      <c r="C53" s="38"/>
      <c r="D53" s="247"/>
      <c r="E53" s="389" t="s">
        <v>423</v>
      </c>
      <c r="F53" s="247"/>
      <c r="G53" s="22"/>
    </row>
    <row r="54" spans="1:7" s="774" customFormat="1" ht="12" x14ac:dyDescent="0.2">
      <c r="A54" s="1870"/>
      <c r="B54" s="1871"/>
      <c r="C54" s="394" t="s">
        <v>873</v>
      </c>
      <c r="D54" s="395"/>
      <c r="E54" s="396" t="s">
        <v>874</v>
      </c>
      <c r="F54" s="395"/>
      <c r="G54" s="1865" t="s">
        <v>872</v>
      </c>
    </row>
    <row r="55" spans="1:7" s="774" customFormat="1" ht="12" x14ac:dyDescent="0.2">
      <c r="A55" s="1872"/>
      <c r="B55" s="1873"/>
      <c r="C55" s="397" t="s">
        <v>875</v>
      </c>
      <c r="D55" s="398" t="s">
        <v>876</v>
      </c>
      <c r="E55" s="398" t="s">
        <v>875</v>
      </c>
      <c r="F55" s="398" t="s">
        <v>876</v>
      </c>
      <c r="G55" s="1866"/>
    </row>
    <row r="56" spans="1:7" s="774" customFormat="1" ht="12" x14ac:dyDescent="0.2">
      <c r="A56" s="734" t="s">
        <v>202</v>
      </c>
      <c r="B56" s="735"/>
      <c r="C56" s="84">
        <v>0</v>
      </c>
      <c r="D56" s="248">
        <v>0</v>
      </c>
      <c r="E56" s="248">
        <v>0</v>
      </c>
      <c r="F56" s="248">
        <v>0</v>
      </c>
      <c r="G56" s="726">
        <f t="shared" ref="G56:G61" si="4">SUM(C56:F56)</f>
        <v>0</v>
      </c>
    </row>
    <row r="57" spans="1:7" s="774" customFormat="1" ht="12" x14ac:dyDescent="0.2">
      <c r="A57" s="6" t="s">
        <v>203</v>
      </c>
      <c r="B57" s="401"/>
      <c r="C57" s="85">
        <v>0</v>
      </c>
      <c r="D57" s="381">
        <v>0</v>
      </c>
      <c r="E57" s="381">
        <v>0</v>
      </c>
      <c r="F57" s="381">
        <v>0</v>
      </c>
      <c r="G57" s="402">
        <f t="shared" si="4"/>
        <v>0</v>
      </c>
    </row>
    <row r="58" spans="1:7" s="774" customFormat="1" ht="12" x14ac:dyDescent="0.2">
      <c r="A58" s="6" t="s">
        <v>204</v>
      </c>
      <c r="B58" s="401"/>
      <c r="C58" s="85">
        <v>0</v>
      </c>
      <c r="D58" s="381">
        <v>0</v>
      </c>
      <c r="E58" s="381">
        <v>0</v>
      </c>
      <c r="F58" s="381">
        <v>0</v>
      </c>
      <c r="G58" s="402">
        <f t="shared" si="4"/>
        <v>0</v>
      </c>
    </row>
    <row r="59" spans="1:7" s="774" customFormat="1" ht="12" x14ac:dyDescent="0.2">
      <c r="A59" s="6" t="s">
        <v>205</v>
      </c>
      <c r="B59" s="401"/>
      <c r="C59" s="85">
        <v>0</v>
      </c>
      <c r="D59" s="381">
        <v>0</v>
      </c>
      <c r="E59" s="381">
        <v>0</v>
      </c>
      <c r="F59" s="381">
        <v>0</v>
      </c>
      <c r="G59" s="402">
        <f t="shared" si="4"/>
        <v>0</v>
      </c>
    </row>
    <row r="60" spans="1:7" s="774" customFormat="1" ht="12" x14ac:dyDescent="0.2">
      <c r="A60" s="6" t="s">
        <v>206</v>
      </c>
      <c r="B60" s="401"/>
      <c r="C60" s="85">
        <v>0</v>
      </c>
      <c r="D60" s="381">
        <v>0</v>
      </c>
      <c r="E60" s="381">
        <v>0</v>
      </c>
      <c r="F60" s="381">
        <v>0</v>
      </c>
      <c r="G60" s="402">
        <f t="shared" si="4"/>
        <v>0</v>
      </c>
    </row>
    <row r="61" spans="1:7" s="774" customFormat="1" ht="12" x14ac:dyDescent="0.2">
      <c r="A61" s="6" t="s">
        <v>207</v>
      </c>
      <c r="B61" s="401"/>
      <c r="C61" s="85">
        <v>0</v>
      </c>
      <c r="D61" s="381">
        <v>0</v>
      </c>
      <c r="E61" s="381">
        <v>0</v>
      </c>
      <c r="F61" s="381">
        <v>0</v>
      </c>
      <c r="G61" s="402">
        <f t="shared" si="4"/>
        <v>0</v>
      </c>
    </row>
    <row r="62" spans="1:7" s="774" customFormat="1" ht="12" x14ac:dyDescent="0.2">
      <c r="A62" s="281" t="s">
        <v>208</v>
      </c>
      <c r="B62" s="399"/>
      <c r="C62" s="95">
        <f>SUM(C56:C61)</f>
        <v>0</v>
      </c>
      <c r="D62" s="96">
        <f>SUM(D56:D61)</f>
        <v>0</v>
      </c>
      <c r="E62" s="96">
        <f>SUM(E56:E61)</f>
        <v>0</v>
      </c>
      <c r="F62" s="96">
        <f>SUM(F56:F61)</f>
        <v>0</v>
      </c>
      <c r="G62" s="24">
        <f>SUM(G56:G61)</f>
        <v>0</v>
      </c>
    </row>
    <row r="63" spans="1:7" s="774" customFormat="1" ht="12" x14ac:dyDescent="0.2">
      <c r="A63" s="281" t="s">
        <v>539</v>
      </c>
      <c r="B63" s="11"/>
      <c r="C63" s="85">
        <v>0</v>
      </c>
      <c r="D63" s="381">
        <v>0</v>
      </c>
      <c r="E63" s="381">
        <v>0</v>
      </c>
      <c r="F63" s="381">
        <v>0</v>
      </c>
      <c r="G63" s="402">
        <f>SUM(C63:F63)</f>
        <v>0</v>
      </c>
    </row>
    <row r="64" spans="1:7" s="774" customFormat="1" ht="7.5" customHeight="1" x14ac:dyDescent="0.2">
      <c r="A64" s="1867"/>
      <c r="B64" s="1868"/>
      <c r="C64" s="1868"/>
      <c r="D64" s="1868"/>
      <c r="E64" s="1868"/>
      <c r="F64" s="1868"/>
      <c r="G64" s="1869"/>
    </row>
    <row r="65" spans="1:7" s="774" customFormat="1" ht="12" x14ac:dyDescent="0.2">
      <c r="A65" s="1870" t="s">
        <v>524</v>
      </c>
      <c r="B65" s="1871"/>
      <c r="C65" s="38"/>
      <c r="D65" s="247"/>
      <c r="E65" s="389" t="s">
        <v>423</v>
      </c>
      <c r="F65" s="247"/>
      <c r="G65" s="22"/>
    </row>
    <row r="66" spans="1:7" s="774" customFormat="1" ht="12" x14ac:dyDescent="0.2">
      <c r="A66" s="1870"/>
      <c r="B66" s="1871"/>
      <c r="C66" s="394" t="s">
        <v>873</v>
      </c>
      <c r="D66" s="395"/>
      <c r="E66" s="396" t="s">
        <v>874</v>
      </c>
      <c r="F66" s="395"/>
      <c r="G66" s="1865" t="s">
        <v>872</v>
      </c>
    </row>
    <row r="67" spans="1:7" s="774" customFormat="1" ht="12" x14ac:dyDescent="0.2">
      <c r="A67" s="1872"/>
      <c r="B67" s="1873"/>
      <c r="C67" s="397" t="s">
        <v>875</v>
      </c>
      <c r="D67" s="398" t="s">
        <v>876</v>
      </c>
      <c r="E67" s="398" t="s">
        <v>875</v>
      </c>
      <c r="F67" s="398" t="s">
        <v>876</v>
      </c>
      <c r="G67" s="1866"/>
    </row>
    <row r="68" spans="1:7" s="774" customFormat="1" ht="12" x14ac:dyDescent="0.2">
      <c r="A68" s="734" t="s">
        <v>202</v>
      </c>
      <c r="B68" s="735"/>
      <c r="C68" s="84">
        <v>7</v>
      </c>
      <c r="D68" s="248">
        <v>9</v>
      </c>
      <c r="E68" s="248">
        <v>0</v>
      </c>
      <c r="F68" s="248">
        <v>0</v>
      </c>
      <c r="G68" s="726">
        <f t="shared" ref="G68:G73" si="5">SUM(C68:F68)</f>
        <v>16</v>
      </c>
    </row>
    <row r="69" spans="1:7" s="774" customFormat="1" ht="12" x14ac:dyDescent="0.2">
      <c r="A69" s="6" t="s">
        <v>203</v>
      </c>
      <c r="B69" s="401"/>
      <c r="C69" s="85">
        <v>5</v>
      </c>
      <c r="D69" s="381">
        <v>26</v>
      </c>
      <c r="E69" s="381">
        <v>0</v>
      </c>
      <c r="F69" s="381">
        <v>0</v>
      </c>
      <c r="G69" s="402">
        <f t="shared" si="5"/>
        <v>31</v>
      </c>
    </row>
    <row r="70" spans="1:7" s="774" customFormat="1" ht="12" x14ac:dyDescent="0.2">
      <c r="A70" s="6" t="s">
        <v>204</v>
      </c>
      <c r="B70" s="401"/>
      <c r="C70" s="85">
        <v>5</v>
      </c>
      <c r="D70" s="381">
        <v>34</v>
      </c>
      <c r="E70" s="381">
        <v>1</v>
      </c>
      <c r="F70" s="381">
        <v>1</v>
      </c>
      <c r="G70" s="402">
        <f t="shared" si="5"/>
        <v>41</v>
      </c>
    </row>
    <row r="71" spans="1:7" s="774" customFormat="1" ht="12" x14ac:dyDescent="0.2">
      <c r="A71" s="6" t="s">
        <v>205</v>
      </c>
      <c r="B71" s="401"/>
      <c r="C71" s="85">
        <v>1</v>
      </c>
      <c r="D71" s="381">
        <v>4</v>
      </c>
      <c r="E71" s="381">
        <v>3</v>
      </c>
      <c r="F71" s="381">
        <v>5</v>
      </c>
      <c r="G71" s="402">
        <f t="shared" si="5"/>
        <v>13</v>
      </c>
    </row>
    <row r="72" spans="1:7" s="774" customFormat="1" ht="12" x14ac:dyDescent="0.2">
      <c r="A72" s="6" t="s">
        <v>206</v>
      </c>
      <c r="B72" s="401"/>
      <c r="C72" s="85">
        <v>0</v>
      </c>
      <c r="D72" s="381">
        <v>0</v>
      </c>
      <c r="E72" s="381">
        <v>0</v>
      </c>
      <c r="F72" s="381">
        <v>0</v>
      </c>
      <c r="G72" s="402">
        <f t="shared" si="5"/>
        <v>0</v>
      </c>
    </row>
    <row r="73" spans="1:7" s="774" customFormat="1" ht="12" x14ac:dyDescent="0.2">
      <c r="A73" s="6" t="s">
        <v>207</v>
      </c>
      <c r="B73" s="401"/>
      <c r="C73" s="85">
        <v>0</v>
      </c>
      <c r="D73" s="381">
        <v>0</v>
      </c>
      <c r="E73" s="381">
        <v>0</v>
      </c>
      <c r="F73" s="381">
        <v>0</v>
      </c>
      <c r="G73" s="402">
        <f t="shared" si="5"/>
        <v>0</v>
      </c>
    </row>
    <row r="74" spans="1:7" s="774" customFormat="1" ht="12" x14ac:dyDescent="0.2">
      <c r="A74" s="281" t="s">
        <v>208</v>
      </c>
      <c r="B74" s="399"/>
      <c r="C74" s="95">
        <f>SUM(C68:C73)</f>
        <v>18</v>
      </c>
      <c r="D74" s="96">
        <f>SUM(D68:D73)</f>
        <v>73</v>
      </c>
      <c r="E74" s="96">
        <f>SUM(E68:E73)</f>
        <v>4</v>
      </c>
      <c r="F74" s="96">
        <f>SUM(F68:F73)</f>
        <v>6</v>
      </c>
      <c r="G74" s="24">
        <f>SUM(G68:G73)</f>
        <v>101</v>
      </c>
    </row>
    <row r="75" spans="1:7" s="774" customFormat="1" ht="12" x14ac:dyDescent="0.2">
      <c r="A75" s="281" t="s">
        <v>539</v>
      </c>
      <c r="B75" s="11"/>
      <c r="C75" s="85" t="s">
        <v>646</v>
      </c>
      <c r="D75" s="381" t="s">
        <v>646</v>
      </c>
      <c r="E75" s="381" t="s">
        <v>646</v>
      </c>
      <c r="F75" s="381" t="s">
        <v>646</v>
      </c>
      <c r="G75" s="402">
        <f>SUM(C75:F75)</f>
        <v>0</v>
      </c>
    </row>
    <row r="76" spans="1:7" s="774" customFormat="1" ht="7.5" customHeight="1" x14ac:dyDescent="0.2">
      <c r="A76" s="1867"/>
      <c r="B76" s="1868"/>
      <c r="C76" s="1868"/>
      <c r="D76" s="1868"/>
      <c r="E76" s="1868"/>
      <c r="F76" s="1868"/>
      <c r="G76" s="1869"/>
    </row>
    <row r="77" spans="1:7" s="774" customFormat="1" ht="12" x14ac:dyDescent="0.2">
      <c r="A77" s="1870" t="s">
        <v>523</v>
      </c>
      <c r="B77" s="1871"/>
      <c r="C77" s="38"/>
      <c r="D77" s="247"/>
      <c r="E77" s="389" t="s">
        <v>423</v>
      </c>
      <c r="F77" s="247"/>
      <c r="G77" s="22"/>
    </row>
    <row r="78" spans="1:7" s="774" customFormat="1" ht="12" x14ac:dyDescent="0.2">
      <c r="A78" s="1870"/>
      <c r="B78" s="1871"/>
      <c r="C78" s="394" t="s">
        <v>873</v>
      </c>
      <c r="D78" s="395"/>
      <c r="E78" s="396" t="s">
        <v>874</v>
      </c>
      <c r="F78" s="395"/>
      <c r="G78" s="1865" t="s">
        <v>872</v>
      </c>
    </row>
    <row r="79" spans="1:7" s="774" customFormat="1" ht="12" x14ac:dyDescent="0.2">
      <c r="A79" s="1872"/>
      <c r="B79" s="1873"/>
      <c r="C79" s="397" t="s">
        <v>875</v>
      </c>
      <c r="D79" s="398" t="s">
        <v>876</v>
      </c>
      <c r="E79" s="398" t="s">
        <v>875</v>
      </c>
      <c r="F79" s="398" t="s">
        <v>876</v>
      </c>
      <c r="G79" s="1866"/>
    </row>
    <row r="80" spans="1:7" s="774" customFormat="1" ht="12" x14ac:dyDescent="0.2">
      <c r="A80" s="734" t="s">
        <v>202</v>
      </c>
      <c r="B80" s="735"/>
      <c r="C80" s="84">
        <v>0</v>
      </c>
      <c r="D80" s="248">
        <v>0</v>
      </c>
      <c r="E80" s="248">
        <v>0</v>
      </c>
      <c r="F80" s="248">
        <v>0</v>
      </c>
      <c r="G80" s="726">
        <f t="shared" ref="G80:G85" si="6">SUM(C80:F80)</f>
        <v>0</v>
      </c>
    </row>
    <row r="81" spans="1:7" s="774" customFormat="1" ht="12" x14ac:dyDescent="0.2">
      <c r="A81" s="6" t="s">
        <v>203</v>
      </c>
      <c r="B81" s="401"/>
      <c r="C81" s="85">
        <v>0</v>
      </c>
      <c r="D81" s="381">
        <v>0</v>
      </c>
      <c r="E81" s="381">
        <v>0</v>
      </c>
      <c r="F81" s="381">
        <v>0</v>
      </c>
      <c r="G81" s="402">
        <f t="shared" si="6"/>
        <v>0</v>
      </c>
    </row>
    <row r="82" spans="1:7" s="774" customFormat="1" ht="12" x14ac:dyDescent="0.2">
      <c r="A82" s="6" t="s">
        <v>204</v>
      </c>
      <c r="B82" s="401"/>
      <c r="C82" s="85">
        <v>0</v>
      </c>
      <c r="D82" s="381">
        <v>0</v>
      </c>
      <c r="E82" s="381">
        <v>0</v>
      </c>
      <c r="F82" s="381">
        <v>0</v>
      </c>
      <c r="G82" s="402">
        <f t="shared" si="6"/>
        <v>0</v>
      </c>
    </row>
    <row r="83" spans="1:7" s="774" customFormat="1" ht="12" x14ac:dyDescent="0.2">
      <c r="A83" s="6" t="s">
        <v>205</v>
      </c>
      <c r="B83" s="401"/>
      <c r="C83" s="85">
        <v>0</v>
      </c>
      <c r="D83" s="381">
        <v>0</v>
      </c>
      <c r="E83" s="381">
        <v>0</v>
      </c>
      <c r="F83" s="381">
        <v>0</v>
      </c>
      <c r="G83" s="402">
        <f t="shared" si="6"/>
        <v>0</v>
      </c>
    </row>
    <row r="84" spans="1:7" s="774" customFormat="1" ht="12" x14ac:dyDescent="0.2">
      <c r="A84" s="6" t="s">
        <v>206</v>
      </c>
      <c r="B84" s="401"/>
      <c r="C84" s="85">
        <v>0</v>
      </c>
      <c r="D84" s="381">
        <v>0</v>
      </c>
      <c r="E84" s="381">
        <v>0</v>
      </c>
      <c r="F84" s="381">
        <v>0</v>
      </c>
      <c r="G84" s="402">
        <f t="shared" si="6"/>
        <v>0</v>
      </c>
    </row>
    <row r="85" spans="1:7" s="774" customFormat="1" ht="12" x14ac:dyDescent="0.2">
      <c r="A85" s="6" t="s">
        <v>207</v>
      </c>
      <c r="B85" s="401"/>
      <c r="C85" s="85">
        <v>0</v>
      </c>
      <c r="D85" s="381">
        <v>0</v>
      </c>
      <c r="E85" s="381">
        <v>0</v>
      </c>
      <c r="F85" s="381">
        <v>0</v>
      </c>
      <c r="G85" s="402">
        <f t="shared" si="6"/>
        <v>0</v>
      </c>
    </row>
    <row r="86" spans="1:7" s="774" customFormat="1" ht="12" x14ac:dyDescent="0.2">
      <c r="A86" s="281" t="s">
        <v>208</v>
      </c>
      <c r="B86" s="399"/>
      <c r="C86" s="95">
        <f>SUM(C80:C85)</f>
        <v>0</v>
      </c>
      <c r="D86" s="96">
        <f>SUM(D80:D85)</f>
        <v>0</v>
      </c>
      <c r="E86" s="96">
        <f>SUM(E80:E85)</f>
        <v>0</v>
      </c>
      <c r="F86" s="96">
        <f>SUM(F80:F85)</f>
        <v>0</v>
      </c>
      <c r="G86" s="24">
        <f>SUM(G80:G85)</f>
        <v>0</v>
      </c>
    </row>
    <row r="87" spans="1:7" s="774" customFormat="1" ht="12" x14ac:dyDescent="0.2">
      <c r="A87" s="281" t="s">
        <v>539</v>
      </c>
      <c r="B87" s="11"/>
      <c r="C87" s="85">
        <v>0</v>
      </c>
      <c r="D87" s="381">
        <v>0</v>
      </c>
      <c r="E87" s="381">
        <v>0</v>
      </c>
      <c r="F87" s="381">
        <v>0</v>
      </c>
      <c r="G87" s="402">
        <f>SUM(C87:F87)</f>
        <v>0</v>
      </c>
    </row>
    <row r="88" spans="1:7" s="774" customFormat="1" ht="7.5" customHeight="1" x14ac:dyDescent="0.2">
      <c r="A88" s="1867"/>
      <c r="B88" s="1868"/>
      <c r="C88" s="1868"/>
      <c r="D88" s="1868"/>
      <c r="E88" s="1868"/>
      <c r="F88" s="1868"/>
      <c r="G88" s="1869"/>
    </row>
    <row r="89" spans="1:7" s="774" customFormat="1" ht="14.25" customHeight="1" x14ac:dyDescent="0.2">
      <c r="A89" s="1876" t="s">
        <v>522</v>
      </c>
      <c r="B89" s="1877"/>
      <c r="C89" s="38"/>
      <c r="D89" s="247"/>
      <c r="E89" s="389" t="s">
        <v>423</v>
      </c>
      <c r="F89" s="247"/>
      <c r="G89" s="22"/>
    </row>
    <row r="90" spans="1:7" s="774" customFormat="1" ht="12" x14ac:dyDescent="0.2">
      <c r="A90" s="1870"/>
      <c r="B90" s="1871"/>
      <c r="C90" s="394" t="s">
        <v>873</v>
      </c>
      <c r="D90" s="395"/>
      <c r="E90" s="396" t="s">
        <v>874</v>
      </c>
      <c r="F90" s="395"/>
      <c r="G90" s="1874" t="s">
        <v>872</v>
      </c>
    </row>
    <row r="91" spans="1:7" s="774" customFormat="1" ht="12" x14ac:dyDescent="0.2">
      <c r="A91" s="1872"/>
      <c r="B91" s="1873"/>
      <c r="C91" s="397" t="s">
        <v>875</v>
      </c>
      <c r="D91" s="398" t="s">
        <v>876</v>
      </c>
      <c r="E91" s="398" t="s">
        <v>875</v>
      </c>
      <c r="F91" s="398" t="s">
        <v>876</v>
      </c>
      <c r="G91" s="1875"/>
    </row>
    <row r="92" spans="1:7" s="774" customFormat="1" ht="12" x14ac:dyDescent="0.2">
      <c r="A92" s="734" t="s">
        <v>202</v>
      </c>
      <c r="B92" s="735"/>
      <c r="C92" s="84">
        <v>0</v>
      </c>
      <c r="D92" s="248">
        <v>0</v>
      </c>
      <c r="E92" s="248">
        <v>0</v>
      </c>
      <c r="F92" s="248">
        <v>0</v>
      </c>
      <c r="G92" s="726">
        <f t="shared" ref="G92:G97" si="7">SUM(C92:F92)</f>
        <v>0</v>
      </c>
    </row>
    <row r="93" spans="1:7" s="774" customFormat="1" ht="12" x14ac:dyDescent="0.2">
      <c r="A93" s="6" t="s">
        <v>203</v>
      </c>
      <c r="B93" s="401"/>
      <c r="C93" s="85">
        <v>0</v>
      </c>
      <c r="D93" s="381">
        <v>0</v>
      </c>
      <c r="E93" s="381">
        <v>0</v>
      </c>
      <c r="F93" s="381">
        <v>0</v>
      </c>
      <c r="G93" s="402">
        <f t="shared" si="7"/>
        <v>0</v>
      </c>
    </row>
    <row r="94" spans="1:7" s="774" customFormat="1" ht="12" x14ac:dyDescent="0.2">
      <c r="A94" s="6" t="s">
        <v>204</v>
      </c>
      <c r="B94" s="401"/>
      <c r="C94" s="85">
        <v>0</v>
      </c>
      <c r="D94" s="381">
        <v>0</v>
      </c>
      <c r="E94" s="381">
        <v>0</v>
      </c>
      <c r="F94" s="381">
        <v>0</v>
      </c>
      <c r="G94" s="402">
        <f t="shared" si="7"/>
        <v>0</v>
      </c>
    </row>
    <row r="95" spans="1:7" s="774" customFormat="1" ht="12" x14ac:dyDescent="0.2">
      <c r="A95" s="6" t="s">
        <v>205</v>
      </c>
      <c r="B95" s="401"/>
      <c r="C95" s="85">
        <v>0</v>
      </c>
      <c r="D95" s="381">
        <v>0</v>
      </c>
      <c r="E95" s="381">
        <v>0</v>
      </c>
      <c r="F95" s="381">
        <v>0</v>
      </c>
      <c r="G95" s="402">
        <f t="shared" si="7"/>
        <v>0</v>
      </c>
    </row>
    <row r="96" spans="1:7" s="774" customFormat="1" ht="12" x14ac:dyDescent="0.2">
      <c r="A96" s="6" t="s">
        <v>206</v>
      </c>
      <c r="B96" s="401"/>
      <c r="C96" s="85">
        <v>0</v>
      </c>
      <c r="D96" s="381">
        <v>0</v>
      </c>
      <c r="E96" s="381">
        <v>0</v>
      </c>
      <c r="F96" s="381">
        <v>0</v>
      </c>
      <c r="G96" s="402">
        <f t="shared" si="7"/>
        <v>0</v>
      </c>
    </row>
    <row r="97" spans="1:7" s="774" customFormat="1" ht="12" x14ac:dyDescent="0.2">
      <c r="A97" s="6" t="s">
        <v>207</v>
      </c>
      <c r="B97" s="401"/>
      <c r="C97" s="85">
        <v>0</v>
      </c>
      <c r="D97" s="381">
        <v>0</v>
      </c>
      <c r="E97" s="381">
        <v>0</v>
      </c>
      <c r="F97" s="381">
        <v>0</v>
      </c>
      <c r="G97" s="402">
        <f t="shared" si="7"/>
        <v>0</v>
      </c>
    </row>
    <row r="98" spans="1:7" s="774" customFormat="1" ht="12" x14ac:dyDescent="0.2">
      <c r="A98" s="281" t="s">
        <v>208</v>
      </c>
      <c r="B98" s="399"/>
      <c r="C98" s="95">
        <f>SUM(C92:C97)</f>
        <v>0</v>
      </c>
      <c r="D98" s="96">
        <f>SUM(D92:D97)</f>
        <v>0</v>
      </c>
      <c r="E98" s="96">
        <f>SUM(E92:E97)</f>
        <v>0</v>
      </c>
      <c r="F98" s="96">
        <f>SUM(F92:F97)</f>
        <v>0</v>
      </c>
      <c r="G98" s="24">
        <f>SUM(G92:G97)</f>
        <v>0</v>
      </c>
    </row>
    <row r="99" spans="1:7" s="774" customFormat="1" ht="12" x14ac:dyDescent="0.2">
      <c r="A99" s="281" t="s">
        <v>539</v>
      </c>
      <c r="B99" s="11"/>
      <c r="C99" s="85">
        <v>0</v>
      </c>
      <c r="D99" s="381">
        <v>0</v>
      </c>
      <c r="E99" s="381">
        <v>0</v>
      </c>
      <c r="F99" s="381">
        <v>0</v>
      </c>
      <c r="G99" s="402">
        <f>SUM(C99:F99)</f>
        <v>0</v>
      </c>
    </row>
    <row r="100" spans="1:7" s="774" customFormat="1" ht="7.5" customHeight="1" x14ac:dyDescent="0.2">
      <c r="A100" s="1867"/>
      <c r="B100" s="1868"/>
      <c r="C100" s="1868"/>
      <c r="D100" s="1868"/>
      <c r="E100" s="1868"/>
      <c r="F100" s="1868"/>
      <c r="G100" s="1869"/>
    </row>
    <row r="101" spans="1:7" s="774" customFormat="1" ht="14.25" customHeight="1" x14ac:dyDescent="0.2">
      <c r="A101" s="1876" t="s">
        <v>521</v>
      </c>
      <c r="B101" s="1877"/>
      <c r="C101" s="38"/>
      <c r="D101" s="247"/>
      <c r="E101" s="389" t="s">
        <v>423</v>
      </c>
      <c r="F101" s="247"/>
      <c r="G101" s="22"/>
    </row>
    <row r="102" spans="1:7" s="774" customFormat="1" ht="12" x14ac:dyDescent="0.2">
      <c r="A102" s="1870"/>
      <c r="B102" s="1871"/>
      <c r="C102" s="394" t="s">
        <v>873</v>
      </c>
      <c r="D102" s="395"/>
      <c r="E102" s="396" t="s">
        <v>874</v>
      </c>
      <c r="F102" s="395"/>
      <c r="G102" s="1874" t="s">
        <v>872</v>
      </c>
    </row>
    <row r="103" spans="1:7" s="774" customFormat="1" ht="12" x14ac:dyDescent="0.2">
      <c r="A103" s="1872"/>
      <c r="B103" s="1873"/>
      <c r="C103" s="397" t="s">
        <v>875</v>
      </c>
      <c r="D103" s="398" t="s">
        <v>876</v>
      </c>
      <c r="E103" s="398" t="s">
        <v>875</v>
      </c>
      <c r="F103" s="398" t="s">
        <v>876</v>
      </c>
      <c r="G103" s="1875"/>
    </row>
    <row r="104" spans="1:7" s="774" customFormat="1" ht="12" x14ac:dyDescent="0.2">
      <c r="A104" s="734" t="s">
        <v>202</v>
      </c>
      <c r="B104" s="735"/>
      <c r="C104" s="84">
        <v>0</v>
      </c>
      <c r="D104" s="248">
        <v>0</v>
      </c>
      <c r="E104" s="248">
        <v>0</v>
      </c>
      <c r="F104" s="248">
        <v>0</v>
      </c>
      <c r="G104" s="726">
        <f t="shared" ref="G104:G109" si="8">SUM(C104:F104)</f>
        <v>0</v>
      </c>
    </row>
    <row r="105" spans="1:7" s="774" customFormat="1" ht="12" x14ac:dyDescent="0.2">
      <c r="A105" s="6" t="s">
        <v>203</v>
      </c>
      <c r="B105" s="401"/>
      <c r="C105" s="85">
        <v>0</v>
      </c>
      <c r="D105" s="381">
        <v>0</v>
      </c>
      <c r="E105" s="381">
        <v>0</v>
      </c>
      <c r="F105" s="381">
        <v>0</v>
      </c>
      <c r="G105" s="402">
        <f t="shared" si="8"/>
        <v>0</v>
      </c>
    </row>
    <row r="106" spans="1:7" s="774" customFormat="1" ht="12" x14ac:dyDescent="0.2">
      <c r="A106" s="6" t="s">
        <v>204</v>
      </c>
      <c r="B106" s="401"/>
      <c r="C106" s="85">
        <v>0</v>
      </c>
      <c r="D106" s="381">
        <v>0</v>
      </c>
      <c r="E106" s="381">
        <v>0</v>
      </c>
      <c r="F106" s="381">
        <v>0</v>
      </c>
      <c r="G106" s="402">
        <f t="shared" si="8"/>
        <v>0</v>
      </c>
    </row>
    <row r="107" spans="1:7" s="774" customFormat="1" ht="12" x14ac:dyDescent="0.2">
      <c r="A107" s="6" t="s">
        <v>205</v>
      </c>
      <c r="B107" s="401"/>
      <c r="C107" s="85">
        <v>0</v>
      </c>
      <c r="D107" s="381">
        <v>0</v>
      </c>
      <c r="E107" s="381">
        <v>0</v>
      </c>
      <c r="F107" s="381">
        <v>0</v>
      </c>
      <c r="G107" s="402">
        <f t="shared" si="8"/>
        <v>0</v>
      </c>
    </row>
    <row r="108" spans="1:7" s="774" customFormat="1" ht="12" x14ac:dyDescent="0.2">
      <c r="A108" s="6" t="s">
        <v>206</v>
      </c>
      <c r="B108" s="401"/>
      <c r="C108" s="85">
        <v>0</v>
      </c>
      <c r="D108" s="381">
        <v>0</v>
      </c>
      <c r="E108" s="381">
        <v>0</v>
      </c>
      <c r="F108" s="381">
        <v>0</v>
      </c>
      <c r="G108" s="402">
        <f t="shared" si="8"/>
        <v>0</v>
      </c>
    </row>
    <row r="109" spans="1:7" s="774" customFormat="1" ht="12" x14ac:dyDescent="0.2">
      <c r="A109" s="6" t="s">
        <v>207</v>
      </c>
      <c r="B109" s="401"/>
      <c r="C109" s="85">
        <v>0</v>
      </c>
      <c r="D109" s="381">
        <v>0</v>
      </c>
      <c r="E109" s="381">
        <v>0</v>
      </c>
      <c r="F109" s="381">
        <v>0</v>
      </c>
      <c r="G109" s="402">
        <f t="shared" si="8"/>
        <v>0</v>
      </c>
    </row>
    <row r="110" spans="1:7" s="774" customFormat="1" ht="12" x14ac:dyDescent="0.2">
      <c r="A110" s="281" t="s">
        <v>208</v>
      </c>
      <c r="B110" s="399"/>
      <c r="C110" s="95">
        <f>SUM(C104:C109)</f>
        <v>0</v>
      </c>
      <c r="D110" s="96">
        <f>SUM(D104:D109)</f>
        <v>0</v>
      </c>
      <c r="E110" s="96">
        <f>SUM(E104:E109)</f>
        <v>0</v>
      </c>
      <c r="F110" s="96">
        <f>SUM(F104:F109)</f>
        <v>0</v>
      </c>
      <c r="G110" s="24">
        <f>SUM(G104:G109)</f>
        <v>0</v>
      </c>
    </row>
    <row r="111" spans="1:7" s="774" customFormat="1" ht="12" x14ac:dyDescent="0.2">
      <c r="A111" s="281" t="s">
        <v>539</v>
      </c>
      <c r="B111" s="11"/>
      <c r="C111" s="85">
        <v>0</v>
      </c>
      <c r="D111" s="381">
        <v>0</v>
      </c>
      <c r="E111" s="381">
        <v>0</v>
      </c>
      <c r="F111" s="381">
        <v>0</v>
      </c>
      <c r="G111" s="402">
        <f>SUM(C111:F111)</f>
        <v>0</v>
      </c>
    </row>
    <row r="112" spans="1:7" s="774" customFormat="1" ht="7.5" customHeight="1" x14ac:dyDescent="0.2">
      <c r="A112" s="1867"/>
      <c r="B112" s="1868"/>
      <c r="C112" s="1868"/>
      <c r="D112" s="1868"/>
      <c r="E112" s="1868"/>
      <c r="F112" s="1868"/>
      <c r="G112" s="1869"/>
    </row>
    <row r="113" spans="1:7" s="774" customFormat="1" ht="12" x14ac:dyDescent="0.2">
      <c r="A113" s="1878" t="s">
        <v>213</v>
      </c>
      <c r="B113" s="1879"/>
      <c r="C113" s="38"/>
      <c r="D113" s="247"/>
      <c r="E113" s="389" t="s">
        <v>423</v>
      </c>
      <c r="F113" s="247"/>
      <c r="G113" s="22"/>
    </row>
    <row r="114" spans="1:7" s="774" customFormat="1" ht="14.25" customHeight="1" x14ac:dyDescent="0.2">
      <c r="A114" s="1880"/>
      <c r="B114" s="1881"/>
      <c r="C114" s="394" t="s">
        <v>873</v>
      </c>
      <c r="D114" s="395"/>
      <c r="E114" s="396" t="s">
        <v>874</v>
      </c>
      <c r="F114" s="395"/>
      <c r="G114" s="1889" t="s">
        <v>209</v>
      </c>
    </row>
    <row r="115" spans="1:7" s="774" customFormat="1" ht="12" x14ac:dyDescent="0.2">
      <c r="A115" s="1882"/>
      <c r="B115" s="1883"/>
      <c r="C115" s="397" t="s">
        <v>875</v>
      </c>
      <c r="D115" s="398" t="s">
        <v>876</v>
      </c>
      <c r="E115" s="398" t="s">
        <v>875</v>
      </c>
      <c r="F115" s="398" t="s">
        <v>876</v>
      </c>
      <c r="G115" s="1890"/>
    </row>
    <row r="116" spans="1:7" s="774" customFormat="1" ht="14.25" customHeight="1" x14ac:dyDescent="0.2">
      <c r="A116" s="1884" t="s">
        <v>884</v>
      </c>
      <c r="B116" s="735" t="s">
        <v>214</v>
      </c>
      <c r="C116" s="98">
        <v>43400</v>
      </c>
      <c r="D116" s="403">
        <v>44493</v>
      </c>
      <c r="E116" s="403">
        <v>45781</v>
      </c>
      <c r="F116" s="403">
        <v>43920</v>
      </c>
      <c r="G116" s="102">
        <f t="shared" ref="G116:G121" si="9">IF(SUM(C116:F116)=0,0,AVERAGE(C116:F116))</f>
        <v>44398.5</v>
      </c>
    </row>
    <row r="117" spans="1:7" s="774" customFormat="1" ht="14.25" customHeight="1" x14ac:dyDescent="0.2">
      <c r="A117" s="1885"/>
      <c r="B117" s="401" t="s">
        <v>210</v>
      </c>
      <c r="C117" s="85">
        <v>9</v>
      </c>
      <c r="D117" s="381">
        <v>9</v>
      </c>
      <c r="E117" s="381">
        <v>9</v>
      </c>
      <c r="F117" s="381">
        <v>9</v>
      </c>
      <c r="G117" s="404">
        <f t="shared" si="9"/>
        <v>9</v>
      </c>
    </row>
    <row r="118" spans="1:7" s="774" customFormat="1" ht="14.25" customHeight="1" x14ac:dyDescent="0.2">
      <c r="A118" s="1886"/>
      <c r="B118" s="399" t="s">
        <v>211</v>
      </c>
      <c r="C118" s="86">
        <v>11</v>
      </c>
      <c r="D118" s="82">
        <v>11</v>
      </c>
      <c r="E118" s="82">
        <v>11</v>
      </c>
      <c r="F118" s="82">
        <v>11</v>
      </c>
      <c r="G118" s="211">
        <f t="shared" si="9"/>
        <v>11</v>
      </c>
    </row>
    <row r="119" spans="1:7" s="774" customFormat="1" ht="14.25" customHeight="1" x14ac:dyDescent="0.2">
      <c r="A119" s="1885" t="s">
        <v>886</v>
      </c>
      <c r="B119" s="735" t="s">
        <v>212</v>
      </c>
      <c r="C119" s="98">
        <v>482</v>
      </c>
      <c r="D119" s="403">
        <v>550</v>
      </c>
      <c r="E119" s="403">
        <v>550</v>
      </c>
      <c r="F119" s="403">
        <v>482</v>
      </c>
      <c r="G119" s="102">
        <f t="shared" si="9"/>
        <v>516</v>
      </c>
    </row>
    <row r="120" spans="1:7" s="774" customFormat="1" ht="14.25" customHeight="1" x14ac:dyDescent="0.2">
      <c r="A120" s="1885"/>
      <c r="B120" s="401" t="s">
        <v>210</v>
      </c>
      <c r="C120" s="85">
        <v>2</v>
      </c>
      <c r="D120" s="381">
        <v>2</v>
      </c>
      <c r="E120" s="381">
        <v>2</v>
      </c>
      <c r="F120" s="381">
        <v>2</v>
      </c>
      <c r="G120" s="404">
        <f t="shared" si="9"/>
        <v>2</v>
      </c>
    </row>
    <row r="121" spans="1:7" s="774" customFormat="1" ht="14.25" customHeight="1" x14ac:dyDescent="0.2">
      <c r="A121" s="1886"/>
      <c r="B121" s="399" t="s">
        <v>211</v>
      </c>
      <c r="C121" s="99">
        <v>11</v>
      </c>
      <c r="D121" s="100">
        <v>11</v>
      </c>
      <c r="E121" s="100">
        <v>11</v>
      </c>
      <c r="F121" s="100">
        <v>11</v>
      </c>
      <c r="G121" s="211">
        <f t="shared" si="9"/>
        <v>11</v>
      </c>
    </row>
    <row r="122" spans="1:7" s="774" customFormat="1" ht="7.5" customHeight="1" thickBot="1" x14ac:dyDescent="0.25">
      <c r="A122" s="775"/>
      <c r="B122" s="776"/>
      <c r="C122" s="400"/>
      <c r="D122" s="101"/>
      <c r="E122" s="101"/>
      <c r="F122" s="101"/>
      <c r="G122" s="405"/>
    </row>
    <row r="123" spans="1:7" s="774" customFormat="1" ht="12.75" thickBot="1" x14ac:dyDescent="0.25">
      <c r="A123" s="1887" t="s">
        <v>261</v>
      </c>
      <c r="B123" s="1888"/>
      <c r="C123" s="777">
        <v>9</v>
      </c>
      <c r="D123" s="778" t="s">
        <v>335</v>
      </c>
      <c r="E123" s="1577"/>
      <c r="F123" s="1577"/>
      <c r="G123" s="1578"/>
    </row>
    <row r="124" spans="1:7" s="774" customFormat="1" ht="12" x14ac:dyDescent="0.2">
      <c r="A124" s="779"/>
      <c r="B124" s="780"/>
      <c r="C124" s="780"/>
      <c r="D124" s="780"/>
      <c r="E124" s="780"/>
      <c r="F124" s="664"/>
      <c r="G124" s="781"/>
    </row>
    <row r="125" spans="1:7" s="774" customFormat="1" ht="12" x14ac:dyDescent="0.2">
      <c r="A125" s="315" t="s">
        <v>847</v>
      </c>
      <c r="B125" s="36"/>
      <c r="C125" s="36"/>
      <c r="D125" s="36"/>
      <c r="E125" s="36"/>
      <c r="F125" s="36"/>
      <c r="G125" s="782"/>
    </row>
    <row r="126" spans="1:7" s="774" customFormat="1" ht="31.5" customHeight="1" thickBot="1" x14ac:dyDescent="0.25">
      <c r="A126" s="1547"/>
      <c r="B126" s="1548"/>
      <c r="C126" s="1548"/>
      <c r="D126" s="1548"/>
      <c r="E126" s="1548"/>
      <c r="F126" s="1548"/>
      <c r="G126" s="1549"/>
    </row>
    <row r="127" spans="1:7" s="774" customFormat="1" ht="12.75" thickTop="1" x14ac:dyDescent="0.2"/>
    <row r="128" spans="1:7" s="774" customFormat="1" ht="12" x14ac:dyDescent="0.2"/>
  </sheetData>
  <mergeCells count="37">
    <mergeCell ref="A76:G76"/>
    <mergeCell ref="A64:G64"/>
    <mergeCell ref="G66:G67"/>
    <mergeCell ref="A65:B67"/>
    <mergeCell ref="G30:G31"/>
    <mergeCell ref="A41:B43"/>
    <mergeCell ref="G42:G43"/>
    <mergeCell ref="A52:G52"/>
    <mergeCell ref="A53:B55"/>
    <mergeCell ref="G54:G55"/>
    <mergeCell ref="A126:G126"/>
    <mergeCell ref="A113:B115"/>
    <mergeCell ref="A116:A118"/>
    <mergeCell ref="A119:A121"/>
    <mergeCell ref="A123:B123"/>
    <mergeCell ref="E123:G123"/>
    <mergeCell ref="G114:G115"/>
    <mergeCell ref="G90:G91"/>
    <mergeCell ref="A89:B91"/>
    <mergeCell ref="A112:G112"/>
    <mergeCell ref="A77:B79"/>
    <mergeCell ref="G78:G79"/>
    <mergeCell ref="A88:G88"/>
    <mergeCell ref="A100:G100"/>
    <mergeCell ref="A101:B103"/>
    <mergeCell ref="G102:G103"/>
    <mergeCell ref="G18:G19"/>
    <mergeCell ref="A1:C1"/>
    <mergeCell ref="D1:G1"/>
    <mergeCell ref="A40:G40"/>
    <mergeCell ref="A5:B7"/>
    <mergeCell ref="G6:G7"/>
    <mergeCell ref="A16:G16"/>
    <mergeCell ref="A17:B19"/>
    <mergeCell ref="A3:G3"/>
    <mergeCell ref="A28:G28"/>
    <mergeCell ref="A29:B31"/>
  </mergeCells>
  <phoneticPr fontId="65" type="noConversion"/>
  <pageMargins left="0.40583333300000002" right="0.12833333333333299" top="0.5" bottom="0.5" header="0.05" footer="0.05"/>
  <pageSetup scale="98" fitToHeight="2" orientation="portrait" r:id="rId1"/>
  <headerFooter>
    <oddHeader>&amp;LAKIS A 2012</oddHeader>
    <oddFooter>&amp;LAmerican Indian Higher Education Consortium</oddFooter>
  </headerFooter>
  <rowBreaks count="1" manualBreakCount="1">
    <brk id="64" max="6" man="1"/>
  </rowBreak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
  <sheetViews>
    <sheetView topLeftCell="A9" zoomScaleNormal="100" workbookViewId="0">
      <selection activeCell="D11" sqref="D11"/>
    </sheetView>
  </sheetViews>
  <sheetFormatPr defaultColWidth="9.140625" defaultRowHeight="12.75" x14ac:dyDescent="0.2"/>
  <cols>
    <col min="1" max="1" width="16.7109375" style="30" customWidth="1"/>
    <col min="2" max="2" width="26" style="30" customWidth="1"/>
    <col min="3" max="4" width="18.7109375" style="30" customWidth="1"/>
    <col min="5" max="23" width="9.140625" style="37"/>
    <col min="24" max="16384" width="9.140625" style="30"/>
  </cols>
  <sheetData>
    <row r="1" spans="1:4" s="20" customFormat="1" ht="15.75" thickTop="1" x14ac:dyDescent="0.25">
      <c r="A1" s="380" t="s">
        <v>823</v>
      </c>
      <c r="B1" s="1370" t="str">
        <f>'1.1a Overall Instit. Profile'!B1</f>
        <v>Oglala Lakota College</v>
      </c>
      <c r="C1" s="1370"/>
      <c r="D1" s="1629"/>
    </row>
    <row r="2" spans="1:4" ht="34.5" customHeight="1" x14ac:dyDescent="0.2">
      <c r="A2" s="1856" t="s">
        <v>821</v>
      </c>
      <c r="B2" s="1857"/>
      <c r="C2" s="1857"/>
      <c r="D2" s="1858"/>
    </row>
    <row r="3" spans="1:4" ht="31.5" customHeight="1" x14ac:dyDescent="0.2">
      <c r="A3" s="1807" t="s">
        <v>424</v>
      </c>
      <c r="B3" s="1808"/>
      <c r="C3" s="1808"/>
      <c r="D3" s="1809"/>
    </row>
    <row r="4" spans="1:4" ht="68.25" customHeight="1" x14ac:dyDescent="0.2">
      <c r="A4" s="1716" t="s">
        <v>215</v>
      </c>
      <c r="B4" s="1717"/>
      <c r="C4" s="1717"/>
      <c r="D4" s="1718"/>
    </row>
    <row r="5" spans="1:4" ht="17.25" customHeight="1" x14ac:dyDescent="0.2">
      <c r="A5" s="2" t="s">
        <v>293</v>
      </c>
      <c r="B5" s="326"/>
      <c r="C5" s="326"/>
      <c r="D5" s="327"/>
    </row>
    <row r="6" spans="1:4" ht="17.25" customHeight="1" x14ac:dyDescent="0.2">
      <c r="A6" s="407"/>
      <c r="B6" s="408"/>
      <c r="C6" s="107" t="s">
        <v>423</v>
      </c>
      <c r="D6" s="415"/>
    </row>
    <row r="7" spans="1:4" ht="24" customHeight="1" x14ac:dyDescent="0.2">
      <c r="A7" s="409"/>
      <c r="B7" s="410"/>
      <c r="C7" s="411" t="s">
        <v>216</v>
      </c>
      <c r="D7" s="49" t="s">
        <v>217</v>
      </c>
    </row>
    <row r="8" spans="1:4" ht="22.5" customHeight="1" x14ac:dyDescent="0.2">
      <c r="A8" s="412" t="s">
        <v>218</v>
      </c>
      <c r="B8" s="413"/>
      <c r="C8" s="41">
        <v>14</v>
      </c>
      <c r="D8" s="350">
        <v>14</v>
      </c>
    </row>
    <row r="9" spans="1:4" ht="22.5" customHeight="1" x14ac:dyDescent="0.2">
      <c r="A9" s="412" t="s">
        <v>219</v>
      </c>
      <c r="B9" s="413"/>
      <c r="C9" s="42">
        <v>70</v>
      </c>
      <c r="D9" s="416">
        <v>140</v>
      </c>
    </row>
    <row r="10" spans="1:4" ht="22.5" customHeight="1" x14ac:dyDescent="0.2">
      <c r="A10" s="412" t="s">
        <v>220</v>
      </c>
      <c r="B10" s="413"/>
      <c r="C10" s="42">
        <v>4</v>
      </c>
      <c r="D10" s="416" t="s">
        <v>646</v>
      </c>
    </row>
    <row r="11" spans="1:4" ht="22.5" customHeight="1" x14ac:dyDescent="0.2">
      <c r="A11" s="414" t="s">
        <v>221</v>
      </c>
      <c r="B11" s="406"/>
      <c r="C11" s="44">
        <v>0</v>
      </c>
      <c r="D11" s="45">
        <v>0</v>
      </c>
    </row>
    <row r="12" spans="1:4" ht="17.25" customHeight="1" x14ac:dyDescent="0.2">
      <c r="A12" s="1891" t="s">
        <v>222</v>
      </c>
      <c r="B12" s="1892"/>
      <c r="C12" s="1892"/>
      <c r="D12" s="1893"/>
    </row>
    <row r="13" spans="1:4" ht="17.25" customHeight="1" x14ac:dyDescent="0.2">
      <c r="A13" s="407"/>
      <c r="B13" s="408"/>
      <c r="C13" s="107" t="s">
        <v>423</v>
      </c>
      <c r="D13" s="415"/>
    </row>
    <row r="14" spans="1:4" ht="26.25" customHeight="1" x14ac:dyDescent="0.2">
      <c r="A14" s="409"/>
      <c r="B14" s="410"/>
      <c r="C14" s="411" t="s">
        <v>216</v>
      </c>
      <c r="D14" s="49" t="s">
        <v>223</v>
      </c>
    </row>
    <row r="15" spans="1:4" ht="22.5" customHeight="1" x14ac:dyDescent="0.2">
      <c r="A15" s="412" t="s">
        <v>224</v>
      </c>
      <c r="B15" s="413"/>
      <c r="C15" s="41" t="s">
        <v>646</v>
      </c>
      <c r="D15" s="350" t="s">
        <v>646</v>
      </c>
    </row>
    <row r="16" spans="1:4" ht="22.5" customHeight="1" x14ac:dyDescent="0.2">
      <c r="A16" s="412" t="s">
        <v>225</v>
      </c>
      <c r="B16" s="413"/>
      <c r="C16" s="42" t="s">
        <v>646</v>
      </c>
      <c r="D16" s="416" t="s">
        <v>646</v>
      </c>
    </row>
    <row r="17" spans="1:4" ht="22.5" customHeight="1" x14ac:dyDescent="0.2">
      <c r="A17" s="412" t="s">
        <v>226</v>
      </c>
      <c r="B17" s="413"/>
      <c r="C17" s="42" t="s">
        <v>646</v>
      </c>
      <c r="D17" s="416" t="s">
        <v>646</v>
      </c>
    </row>
    <row r="18" spans="1:4" ht="22.5" customHeight="1" x14ac:dyDescent="0.2">
      <c r="A18" s="412" t="s">
        <v>227</v>
      </c>
      <c r="B18" s="413"/>
      <c r="C18" s="42" t="s">
        <v>646</v>
      </c>
      <c r="D18" s="416" t="s">
        <v>646</v>
      </c>
    </row>
    <row r="19" spans="1:4" ht="25.5" customHeight="1" x14ac:dyDescent="0.2">
      <c r="A19" s="1574" t="s">
        <v>228</v>
      </c>
      <c r="B19" s="1894"/>
      <c r="C19" s="44" t="s">
        <v>646</v>
      </c>
      <c r="D19" s="45" t="s">
        <v>646</v>
      </c>
    </row>
    <row r="20" spans="1:4" x14ac:dyDescent="0.2">
      <c r="A20" s="1719" t="s">
        <v>847</v>
      </c>
      <c r="B20" s="1243"/>
      <c r="C20" s="1243"/>
      <c r="D20" s="1244"/>
    </row>
    <row r="21" spans="1:4" ht="39" customHeight="1" thickBot="1" x14ac:dyDescent="0.25">
      <c r="A21" s="1547" t="s">
        <v>984</v>
      </c>
      <c r="B21" s="1548"/>
      <c r="C21" s="1548"/>
      <c r="D21" s="1549"/>
    </row>
    <row r="22" spans="1:4" ht="13.5" thickTop="1" x14ac:dyDescent="0.2">
      <c r="A22" s="29"/>
      <c r="B22" s="29"/>
      <c r="C22" s="29"/>
      <c r="D22" s="29"/>
    </row>
    <row r="23" spans="1:4" x14ac:dyDescent="0.2">
      <c r="A23" s="29"/>
      <c r="B23" s="29"/>
      <c r="C23" s="29"/>
      <c r="D23" s="29"/>
    </row>
    <row r="24" spans="1:4" x14ac:dyDescent="0.2">
      <c r="A24" s="29"/>
      <c r="B24" s="29"/>
      <c r="C24" s="29"/>
      <c r="D24" s="29"/>
    </row>
    <row r="25" spans="1:4" x14ac:dyDescent="0.2">
      <c r="A25" s="29"/>
      <c r="B25" s="29"/>
      <c r="C25" s="29"/>
      <c r="D25" s="29"/>
    </row>
    <row r="26" spans="1:4" x14ac:dyDescent="0.2">
      <c r="A26" s="29"/>
      <c r="B26" s="29"/>
      <c r="C26" s="29"/>
      <c r="D26" s="29"/>
    </row>
    <row r="27" spans="1:4" x14ac:dyDescent="0.2">
      <c r="A27" s="29"/>
      <c r="B27" s="29"/>
      <c r="C27" s="29"/>
      <c r="D27" s="29"/>
    </row>
    <row r="28" spans="1:4" x14ac:dyDescent="0.2">
      <c r="A28" s="29"/>
      <c r="B28" s="29"/>
      <c r="C28" s="29"/>
      <c r="D28" s="29"/>
    </row>
    <row r="29" spans="1:4" x14ac:dyDescent="0.2">
      <c r="A29" s="29"/>
      <c r="B29" s="29"/>
      <c r="C29" s="29"/>
      <c r="D29" s="29"/>
    </row>
    <row r="30" spans="1:4" x14ac:dyDescent="0.2">
      <c r="A30" s="29"/>
      <c r="B30" s="29"/>
      <c r="C30" s="29"/>
      <c r="D30" s="29"/>
    </row>
    <row r="31" spans="1:4" x14ac:dyDescent="0.2">
      <c r="A31" s="29"/>
      <c r="B31" s="29"/>
      <c r="C31" s="29"/>
      <c r="D31" s="29"/>
    </row>
    <row r="32" spans="1:4" x14ac:dyDescent="0.2">
      <c r="A32" s="29"/>
      <c r="B32" s="29"/>
      <c r="C32" s="29"/>
      <c r="D32" s="29"/>
    </row>
    <row r="33" spans="1:4" x14ac:dyDescent="0.2">
      <c r="A33" s="29"/>
      <c r="B33" s="29"/>
      <c r="C33" s="29"/>
      <c r="D33" s="29"/>
    </row>
    <row r="34" spans="1:4" x14ac:dyDescent="0.2">
      <c r="A34" s="29"/>
      <c r="B34" s="29"/>
      <c r="C34" s="29"/>
      <c r="D34" s="29"/>
    </row>
    <row r="35" spans="1:4" x14ac:dyDescent="0.2">
      <c r="A35" s="29"/>
      <c r="B35" s="29"/>
      <c r="C35" s="29"/>
      <c r="D35" s="29"/>
    </row>
    <row r="36" spans="1:4" x14ac:dyDescent="0.2">
      <c r="A36" s="29"/>
      <c r="B36" s="29"/>
      <c r="C36" s="29"/>
      <c r="D36" s="29"/>
    </row>
    <row r="37" spans="1:4" x14ac:dyDescent="0.2">
      <c r="A37" s="29"/>
      <c r="B37" s="29"/>
      <c r="C37" s="29"/>
      <c r="D37" s="29"/>
    </row>
    <row r="38" spans="1:4" x14ac:dyDescent="0.2">
      <c r="A38" s="29"/>
      <c r="B38" s="29"/>
      <c r="C38" s="29"/>
      <c r="D38" s="29"/>
    </row>
    <row r="39" spans="1:4" x14ac:dyDescent="0.2">
      <c r="A39" s="29"/>
      <c r="B39" s="29"/>
      <c r="C39" s="29"/>
      <c r="D39" s="29"/>
    </row>
    <row r="40" spans="1:4" x14ac:dyDescent="0.2">
      <c r="A40" s="29"/>
      <c r="B40" s="29"/>
      <c r="C40" s="29"/>
      <c r="D40" s="29"/>
    </row>
    <row r="41" spans="1:4" x14ac:dyDescent="0.2">
      <c r="A41" s="37"/>
      <c r="B41" s="37"/>
      <c r="C41" s="37"/>
      <c r="D41" s="37"/>
    </row>
    <row r="42" spans="1:4" x14ac:dyDescent="0.2">
      <c r="A42" s="37"/>
      <c r="B42" s="37"/>
      <c r="C42" s="37"/>
      <c r="D42" s="37"/>
    </row>
    <row r="43" spans="1:4" x14ac:dyDescent="0.2">
      <c r="A43" s="37"/>
      <c r="B43" s="37"/>
      <c r="C43" s="37"/>
      <c r="D43" s="37"/>
    </row>
    <row r="44" spans="1:4" x14ac:dyDescent="0.2">
      <c r="A44" s="37"/>
      <c r="B44" s="37"/>
      <c r="C44" s="37"/>
      <c r="D44" s="37"/>
    </row>
    <row r="45" spans="1:4" x14ac:dyDescent="0.2">
      <c r="A45" s="37"/>
      <c r="B45" s="37"/>
      <c r="C45" s="37"/>
      <c r="D45" s="37"/>
    </row>
    <row r="46" spans="1:4" x14ac:dyDescent="0.2">
      <c r="A46" s="37"/>
      <c r="B46" s="37"/>
      <c r="C46" s="37"/>
      <c r="D46" s="37"/>
    </row>
    <row r="47" spans="1:4" x14ac:dyDescent="0.2">
      <c r="A47" s="37"/>
      <c r="B47" s="37"/>
      <c r="C47" s="37"/>
      <c r="D47" s="37"/>
    </row>
    <row r="48" spans="1:4" x14ac:dyDescent="0.2">
      <c r="A48" s="37"/>
      <c r="B48" s="37"/>
      <c r="C48" s="37"/>
      <c r="D48" s="37"/>
    </row>
    <row r="49" spans="1:4" x14ac:dyDescent="0.2">
      <c r="A49" s="37"/>
      <c r="B49" s="37"/>
      <c r="C49" s="37"/>
      <c r="D49" s="37"/>
    </row>
    <row r="50" spans="1:4" x14ac:dyDescent="0.2">
      <c r="A50" s="37"/>
      <c r="B50" s="37"/>
      <c r="C50" s="37"/>
      <c r="D50" s="37"/>
    </row>
    <row r="51" spans="1:4" x14ac:dyDescent="0.2">
      <c r="A51" s="37"/>
      <c r="B51" s="37"/>
      <c r="C51" s="37"/>
      <c r="D51" s="37"/>
    </row>
    <row r="52" spans="1:4" x14ac:dyDescent="0.2">
      <c r="A52" s="37"/>
      <c r="B52" s="37"/>
      <c r="C52" s="37"/>
      <c r="D52" s="37"/>
    </row>
    <row r="53" spans="1:4" x14ac:dyDescent="0.2">
      <c r="A53" s="37"/>
      <c r="B53" s="37"/>
      <c r="C53" s="37"/>
      <c r="D53" s="37"/>
    </row>
    <row r="54" spans="1:4" x14ac:dyDescent="0.2">
      <c r="A54" s="37"/>
      <c r="B54" s="37"/>
      <c r="C54" s="37"/>
      <c r="D54" s="37"/>
    </row>
    <row r="55" spans="1:4" x14ac:dyDescent="0.2">
      <c r="A55" s="37"/>
      <c r="B55" s="37"/>
      <c r="C55" s="37"/>
      <c r="D55" s="37"/>
    </row>
    <row r="56" spans="1:4" x14ac:dyDescent="0.2">
      <c r="A56" s="37"/>
      <c r="B56" s="37"/>
      <c r="C56" s="37"/>
      <c r="D56" s="37"/>
    </row>
    <row r="57" spans="1:4" x14ac:dyDescent="0.2">
      <c r="A57" s="37"/>
      <c r="B57" s="37"/>
      <c r="C57" s="37"/>
      <c r="D57" s="37"/>
    </row>
    <row r="58" spans="1:4" x14ac:dyDescent="0.2">
      <c r="A58" s="37"/>
      <c r="B58" s="37"/>
      <c r="C58" s="37"/>
      <c r="D58" s="37"/>
    </row>
    <row r="59" spans="1:4" x14ac:dyDescent="0.2">
      <c r="A59" s="37"/>
      <c r="B59" s="37"/>
      <c r="C59" s="37"/>
      <c r="D59" s="37"/>
    </row>
    <row r="60" spans="1:4" x14ac:dyDescent="0.2">
      <c r="A60" s="37"/>
      <c r="B60" s="37"/>
      <c r="C60" s="37"/>
      <c r="D60" s="37"/>
    </row>
    <row r="61" spans="1:4" x14ac:dyDescent="0.2">
      <c r="A61" s="37"/>
      <c r="B61" s="37"/>
      <c r="C61" s="37"/>
      <c r="D61" s="37"/>
    </row>
    <row r="62" spans="1:4" x14ac:dyDescent="0.2">
      <c r="A62" s="37"/>
      <c r="B62" s="37"/>
      <c r="C62" s="37"/>
      <c r="D62" s="37"/>
    </row>
    <row r="63" spans="1:4" x14ac:dyDescent="0.2">
      <c r="A63" s="37"/>
      <c r="B63" s="37"/>
      <c r="C63" s="37"/>
      <c r="D63" s="37"/>
    </row>
    <row r="64" spans="1:4" x14ac:dyDescent="0.2">
      <c r="A64" s="37"/>
      <c r="B64" s="37"/>
      <c r="C64" s="37"/>
      <c r="D64" s="37"/>
    </row>
    <row r="65" spans="1:4" x14ac:dyDescent="0.2">
      <c r="A65" s="37"/>
      <c r="B65" s="37"/>
      <c r="C65" s="37"/>
      <c r="D65" s="37"/>
    </row>
    <row r="66" spans="1:4" x14ac:dyDescent="0.2">
      <c r="A66" s="37"/>
      <c r="B66" s="37"/>
      <c r="C66" s="37"/>
      <c r="D66" s="37"/>
    </row>
    <row r="67" spans="1:4" x14ac:dyDescent="0.2">
      <c r="A67" s="37"/>
      <c r="B67" s="37"/>
      <c r="C67" s="37"/>
      <c r="D67" s="37"/>
    </row>
    <row r="68" spans="1:4" x14ac:dyDescent="0.2">
      <c r="A68" s="37"/>
      <c r="B68" s="37"/>
      <c r="C68" s="37"/>
      <c r="D68" s="37"/>
    </row>
    <row r="69" spans="1:4" x14ac:dyDescent="0.2">
      <c r="A69" s="37"/>
      <c r="B69" s="37"/>
      <c r="C69" s="37"/>
      <c r="D69" s="37"/>
    </row>
    <row r="70" spans="1:4" x14ac:dyDescent="0.2">
      <c r="A70" s="37"/>
      <c r="B70" s="37"/>
      <c r="C70" s="37"/>
      <c r="D70" s="37"/>
    </row>
    <row r="71" spans="1:4" x14ac:dyDescent="0.2">
      <c r="A71" s="37"/>
      <c r="B71" s="37"/>
      <c r="C71" s="37"/>
      <c r="D71" s="37"/>
    </row>
    <row r="72" spans="1:4" x14ac:dyDescent="0.2">
      <c r="A72" s="37"/>
      <c r="B72" s="37"/>
      <c r="C72" s="37"/>
      <c r="D72" s="37"/>
    </row>
    <row r="73" spans="1:4" x14ac:dyDescent="0.2">
      <c r="A73" s="37"/>
      <c r="B73" s="37"/>
      <c r="C73" s="37"/>
      <c r="D73" s="37"/>
    </row>
    <row r="74" spans="1:4" x14ac:dyDescent="0.2">
      <c r="A74" s="37"/>
      <c r="B74" s="37"/>
      <c r="C74" s="37"/>
      <c r="D74" s="37"/>
    </row>
    <row r="75" spans="1:4" x14ac:dyDescent="0.2">
      <c r="A75" s="37"/>
      <c r="B75" s="37"/>
      <c r="C75" s="37"/>
      <c r="D75" s="37"/>
    </row>
    <row r="76" spans="1:4" x14ac:dyDescent="0.2">
      <c r="A76" s="37"/>
      <c r="B76" s="37"/>
      <c r="C76" s="37"/>
      <c r="D76" s="37"/>
    </row>
    <row r="77" spans="1:4" x14ac:dyDescent="0.2">
      <c r="A77" s="37"/>
      <c r="B77" s="37"/>
      <c r="C77" s="37"/>
      <c r="D77" s="37"/>
    </row>
    <row r="78" spans="1:4" x14ac:dyDescent="0.2">
      <c r="A78" s="37"/>
      <c r="B78" s="37"/>
      <c r="C78" s="37"/>
      <c r="D78" s="37"/>
    </row>
    <row r="79" spans="1:4" x14ac:dyDescent="0.2">
      <c r="A79" s="37"/>
      <c r="B79" s="37"/>
      <c r="C79" s="37"/>
      <c r="D79" s="37"/>
    </row>
    <row r="80" spans="1:4" x14ac:dyDescent="0.2">
      <c r="A80" s="37"/>
      <c r="B80" s="37"/>
      <c r="C80" s="37"/>
      <c r="D80" s="37"/>
    </row>
    <row r="81" spans="1:4" x14ac:dyDescent="0.2">
      <c r="A81" s="37"/>
      <c r="B81" s="37"/>
      <c r="C81" s="37"/>
      <c r="D81" s="37"/>
    </row>
    <row r="82" spans="1:4" x14ac:dyDescent="0.2">
      <c r="A82" s="37"/>
      <c r="B82" s="37"/>
      <c r="C82" s="37"/>
      <c r="D82" s="37"/>
    </row>
    <row r="83" spans="1:4" x14ac:dyDescent="0.2">
      <c r="A83" s="37"/>
      <c r="B83" s="37"/>
      <c r="C83" s="37"/>
      <c r="D83" s="37"/>
    </row>
    <row r="84" spans="1:4" x14ac:dyDescent="0.2">
      <c r="A84" s="37"/>
      <c r="B84" s="37"/>
      <c r="C84" s="37"/>
      <c r="D84" s="37"/>
    </row>
    <row r="85" spans="1:4" x14ac:dyDescent="0.2">
      <c r="A85" s="37"/>
      <c r="B85" s="37"/>
      <c r="C85" s="37"/>
      <c r="D85" s="37"/>
    </row>
    <row r="86" spans="1:4" x14ac:dyDescent="0.2">
      <c r="A86" s="37"/>
      <c r="B86" s="37"/>
      <c r="C86" s="37"/>
      <c r="D86" s="37"/>
    </row>
    <row r="87" spans="1:4" x14ac:dyDescent="0.2">
      <c r="A87" s="37"/>
      <c r="B87" s="37"/>
      <c r="C87" s="37"/>
      <c r="D87" s="37"/>
    </row>
    <row r="88" spans="1:4" x14ac:dyDescent="0.2">
      <c r="A88" s="37"/>
      <c r="B88" s="37"/>
      <c r="C88" s="37"/>
      <c r="D88" s="37"/>
    </row>
    <row r="89" spans="1:4" x14ac:dyDescent="0.2">
      <c r="A89" s="37"/>
      <c r="B89" s="37"/>
      <c r="C89" s="37"/>
      <c r="D89" s="37"/>
    </row>
    <row r="90" spans="1:4" x14ac:dyDescent="0.2">
      <c r="A90" s="37"/>
      <c r="B90" s="37"/>
      <c r="C90" s="37"/>
      <c r="D90" s="37"/>
    </row>
    <row r="91" spans="1:4" x14ac:dyDescent="0.2">
      <c r="A91" s="37"/>
      <c r="B91" s="37"/>
      <c r="C91" s="37"/>
      <c r="D91" s="37"/>
    </row>
    <row r="92" spans="1:4" x14ac:dyDescent="0.2">
      <c r="A92" s="37"/>
      <c r="B92" s="37"/>
      <c r="C92" s="37"/>
      <c r="D92" s="37"/>
    </row>
    <row r="93" spans="1:4" x14ac:dyDescent="0.2">
      <c r="A93" s="37"/>
      <c r="B93" s="37"/>
      <c r="C93" s="37"/>
      <c r="D93" s="37"/>
    </row>
    <row r="94" spans="1:4" x14ac:dyDescent="0.2">
      <c r="A94" s="37"/>
      <c r="B94" s="37"/>
      <c r="C94" s="37"/>
      <c r="D94" s="37"/>
    </row>
    <row r="95" spans="1:4" x14ac:dyDescent="0.2">
      <c r="A95" s="37"/>
      <c r="B95" s="37"/>
      <c r="C95" s="37"/>
      <c r="D95" s="37"/>
    </row>
    <row r="96" spans="1:4" x14ac:dyDescent="0.2">
      <c r="A96" s="37"/>
      <c r="B96" s="37"/>
      <c r="C96" s="37"/>
      <c r="D96" s="37"/>
    </row>
    <row r="97" spans="1:4" x14ac:dyDescent="0.2">
      <c r="A97" s="37"/>
      <c r="B97" s="37"/>
      <c r="C97" s="37"/>
      <c r="D97" s="37"/>
    </row>
    <row r="98" spans="1:4" x14ac:dyDescent="0.2">
      <c r="A98" s="37"/>
      <c r="B98" s="37"/>
      <c r="C98" s="37"/>
      <c r="D98" s="37"/>
    </row>
    <row r="99" spans="1:4" x14ac:dyDescent="0.2">
      <c r="A99" s="37"/>
      <c r="B99" s="37"/>
      <c r="C99" s="37"/>
      <c r="D99" s="37"/>
    </row>
  </sheetData>
  <mergeCells count="8">
    <mergeCell ref="B1:D1"/>
    <mergeCell ref="A21:D21"/>
    <mergeCell ref="A12:D12"/>
    <mergeCell ref="A2:D2"/>
    <mergeCell ref="A3:D3"/>
    <mergeCell ref="A4:D4"/>
    <mergeCell ref="A19:B19"/>
    <mergeCell ref="A20:D20"/>
  </mergeCells>
  <phoneticPr fontId="65" type="noConversion"/>
  <pageMargins left="0.9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opLeftCell="A16" zoomScaleNormal="100" workbookViewId="0">
      <selection activeCell="D26" sqref="D26"/>
    </sheetView>
  </sheetViews>
  <sheetFormatPr defaultColWidth="9.140625" defaultRowHeight="12.75" x14ac:dyDescent="0.2"/>
  <cols>
    <col min="1" max="1" width="16.7109375" style="37" customWidth="1"/>
    <col min="2" max="2" width="36" style="37" customWidth="1"/>
    <col min="3" max="3" width="17.85546875" style="37" customWidth="1"/>
    <col min="4" max="4" width="19.5703125" style="37" customWidth="1"/>
    <col min="5" max="16384" width="9.140625" style="37"/>
  </cols>
  <sheetData>
    <row r="1" spans="1:4" s="20" customFormat="1" ht="15.75" thickTop="1" x14ac:dyDescent="0.25">
      <c r="A1" s="314" t="s">
        <v>823</v>
      </c>
      <c r="B1" s="1533" t="str">
        <f>'1.1a Overall Instit. Profile'!B1</f>
        <v>Oglala Lakota College</v>
      </c>
      <c r="C1" s="1533"/>
      <c r="D1" s="1534"/>
    </row>
    <row r="2" spans="1:4" ht="37.5" customHeight="1" x14ac:dyDescent="0.2">
      <c r="A2" s="1856" t="s">
        <v>821</v>
      </c>
      <c r="B2" s="1857"/>
      <c r="C2" s="1857"/>
      <c r="D2" s="1858"/>
    </row>
    <row r="3" spans="1:4" ht="35.25" customHeight="1" x14ac:dyDescent="0.2">
      <c r="A3" s="1807" t="s">
        <v>422</v>
      </c>
      <c r="B3" s="1808"/>
      <c r="C3" s="1808"/>
      <c r="D3" s="1809"/>
    </row>
    <row r="4" spans="1:4" ht="16.5" customHeight="1" x14ac:dyDescent="0.2">
      <c r="A4" s="1895" t="s">
        <v>229</v>
      </c>
      <c r="B4" s="1896"/>
      <c r="C4" s="1896"/>
      <c r="D4" s="1897"/>
    </row>
    <row r="5" spans="1:4" ht="17.25" customHeight="1" x14ac:dyDescent="0.2">
      <c r="A5" s="1553" t="s">
        <v>230</v>
      </c>
      <c r="B5" s="1554"/>
      <c r="C5" s="1554"/>
      <c r="D5" s="1555"/>
    </row>
    <row r="6" spans="1:4" ht="17.25" customHeight="1" x14ac:dyDescent="0.2">
      <c r="A6" s="104"/>
      <c r="B6" s="105"/>
      <c r="C6" s="107" t="s">
        <v>423</v>
      </c>
      <c r="D6" s="108"/>
    </row>
    <row r="7" spans="1:4" ht="24" customHeight="1" x14ac:dyDescent="0.2">
      <c r="A7" s="10"/>
      <c r="B7" s="399"/>
      <c r="C7" s="78" t="s">
        <v>216</v>
      </c>
      <c r="D7" s="79" t="s">
        <v>231</v>
      </c>
    </row>
    <row r="8" spans="1:4" ht="15" customHeight="1" x14ac:dyDescent="0.2">
      <c r="A8" s="1910" t="s">
        <v>232</v>
      </c>
      <c r="B8" s="1911"/>
      <c r="C8" s="249">
        <v>11</v>
      </c>
      <c r="D8" s="384">
        <v>13</v>
      </c>
    </row>
    <row r="9" spans="1:4" ht="15" customHeight="1" x14ac:dyDescent="0.2">
      <c r="A9" s="1898" t="s">
        <v>233</v>
      </c>
      <c r="B9" s="1899"/>
      <c r="C9" s="417">
        <v>8</v>
      </c>
      <c r="D9" s="386">
        <v>7</v>
      </c>
    </row>
    <row r="10" spans="1:4" ht="15" customHeight="1" x14ac:dyDescent="0.2">
      <c r="A10" s="1898" t="s">
        <v>234</v>
      </c>
      <c r="B10" s="1899"/>
      <c r="C10" s="417">
        <v>11</v>
      </c>
      <c r="D10" s="386">
        <v>7</v>
      </c>
    </row>
    <row r="11" spans="1:4" ht="15" customHeight="1" x14ac:dyDescent="0.2">
      <c r="A11" s="1898" t="s">
        <v>235</v>
      </c>
      <c r="B11" s="1899"/>
      <c r="C11" s="417">
        <v>10</v>
      </c>
      <c r="D11" s="386">
        <v>12</v>
      </c>
    </row>
    <row r="12" spans="1:4" ht="15" customHeight="1" x14ac:dyDescent="0.2">
      <c r="A12" s="1898" t="s">
        <v>236</v>
      </c>
      <c r="B12" s="1899"/>
      <c r="C12" s="417">
        <v>15</v>
      </c>
      <c r="D12" s="386">
        <v>20</v>
      </c>
    </row>
    <row r="13" spans="1:4" ht="15" customHeight="1" x14ac:dyDescent="0.2">
      <c r="A13" s="1898" t="s">
        <v>237</v>
      </c>
      <c r="B13" s="1899"/>
      <c r="C13" s="417">
        <v>14</v>
      </c>
      <c r="D13" s="386">
        <v>26</v>
      </c>
    </row>
    <row r="14" spans="1:4" ht="15" customHeight="1" x14ac:dyDescent="0.2">
      <c r="A14" s="1898" t="s">
        <v>238</v>
      </c>
      <c r="B14" s="1899"/>
      <c r="C14" s="417">
        <v>11</v>
      </c>
      <c r="D14" s="386">
        <v>15</v>
      </c>
    </row>
    <row r="15" spans="1:4" ht="15" customHeight="1" x14ac:dyDescent="0.2">
      <c r="A15" s="1915" t="s">
        <v>239</v>
      </c>
      <c r="B15" s="1916"/>
      <c r="C15" s="109">
        <v>9</v>
      </c>
      <c r="D15" s="93">
        <v>22</v>
      </c>
    </row>
    <row r="16" spans="1:4" ht="17.25" customHeight="1" x14ac:dyDescent="0.2">
      <c r="A16" s="1553" t="s">
        <v>240</v>
      </c>
      <c r="B16" s="1554"/>
      <c r="C16" s="1554"/>
      <c r="D16" s="1555"/>
    </row>
    <row r="17" spans="1:4" ht="17.25" customHeight="1" x14ac:dyDescent="0.2">
      <c r="A17" s="104"/>
      <c r="B17" s="105"/>
      <c r="C17" s="107" t="s">
        <v>423</v>
      </c>
      <c r="D17" s="108"/>
    </row>
    <row r="18" spans="1:4" ht="24" customHeight="1" x14ac:dyDescent="0.2">
      <c r="A18" s="10"/>
      <c r="B18" s="399"/>
      <c r="C18" s="78" t="s">
        <v>216</v>
      </c>
      <c r="D18" s="79" t="s">
        <v>241</v>
      </c>
    </row>
    <row r="19" spans="1:4" ht="15" customHeight="1" x14ac:dyDescent="0.2">
      <c r="A19" s="1910" t="s">
        <v>242</v>
      </c>
      <c r="B19" s="1911"/>
      <c r="C19" s="249">
        <v>11</v>
      </c>
      <c r="D19" s="384">
        <v>14</v>
      </c>
    </row>
    <row r="20" spans="1:4" ht="15" customHeight="1" x14ac:dyDescent="0.2">
      <c r="A20" s="1898" t="s">
        <v>243</v>
      </c>
      <c r="B20" s="1899"/>
      <c r="C20" s="970">
        <v>1</v>
      </c>
      <c r="D20" s="386">
        <v>10</v>
      </c>
    </row>
    <row r="21" spans="1:4" ht="15" customHeight="1" x14ac:dyDescent="0.2">
      <c r="A21" s="1915" t="s">
        <v>244</v>
      </c>
      <c r="B21" s="1916"/>
      <c r="C21" s="1903">
        <v>305239</v>
      </c>
      <c r="D21" s="1904"/>
    </row>
    <row r="22" spans="1:4" ht="17.25" customHeight="1" x14ac:dyDescent="0.2">
      <c r="A22" s="1553" t="s">
        <v>245</v>
      </c>
      <c r="B22" s="1554"/>
      <c r="C22" s="1554"/>
      <c r="D22" s="1555"/>
    </row>
    <row r="23" spans="1:4" ht="17.25" customHeight="1" x14ac:dyDescent="0.2">
      <c r="A23" s="104"/>
      <c r="B23" s="105"/>
      <c r="C23" s="107" t="s">
        <v>423</v>
      </c>
      <c r="D23" s="108"/>
    </row>
    <row r="24" spans="1:4" ht="24" customHeight="1" x14ac:dyDescent="0.2">
      <c r="A24" s="10"/>
      <c r="B24" s="399"/>
      <c r="C24" s="78" t="s">
        <v>216</v>
      </c>
      <c r="D24" s="49" t="s">
        <v>223</v>
      </c>
    </row>
    <row r="25" spans="1:4" ht="15" customHeight="1" x14ac:dyDescent="0.2">
      <c r="A25" s="1910" t="s">
        <v>246</v>
      </c>
      <c r="B25" s="1911"/>
      <c r="C25" s="249">
        <v>6</v>
      </c>
      <c r="D25" s="384">
        <v>450</v>
      </c>
    </row>
    <row r="26" spans="1:4" ht="15" customHeight="1" x14ac:dyDescent="0.2">
      <c r="A26" s="1898" t="s">
        <v>247</v>
      </c>
      <c r="B26" s="1899"/>
      <c r="C26" s="417">
        <v>3</v>
      </c>
      <c r="D26" s="386">
        <v>783</v>
      </c>
    </row>
    <row r="27" spans="1:4" ht="15" customHeight="1" x14ac:dyDescent="0.2">
      <c r="A27" s="1915" t="s">
        <v>248</v>
      </c>
      <c r="B27" s="1916"/>
      <c r="C27" s="418">
        <v>27</v>
      </c>
      <c r="D27" s="385">
        <v>260</v>
      </c>
    </row>
    <row r="28" spans="1:4" ht="11.25" customHeight="1" x14ac:dyDescent="0.2">
      <c r="A28" s="1553"/>
      <c r="B28" s="1554"/>
      <c r="C28" s="1554"/>
      <c r="D28" s="1555"/>
    </row>
    <row r="29" spans="1:4" ht="15.75" customHeight="1" x14ac:dyDescent="0.2">
      <c r="A29" s="1905" t="s">
        <v>525</v>
      </c>
      <c r="B29" s="1906"/>
      <c r="C29" s="1906"/>
      <c r="D29" s="723" t="s">
        <v>865</v>
      </c>
    </row>
    <row r="30" spans="1:4" ht="42" customHeight="1" x14ac:dyDescent="0.2">
      <c r="A30" s="1907" t="s">
        <v>789</v>
      </c>
      <c r="B30" s="1908"/>
      <c r="C30" s="1908"/>
      <c r="D30" s="1909"/>
    </row>
    <row r="31" spans="1:4" ht="39" customHeight="1" x14ac:dyDescent="0.2">
      <c r="A31" s="1917" t="s">
        <v>920</v>
      </c>
      <c r="B31" s="1918"/>
      <c r="C31" s="1918"/>
      <c r="D31" s="1919"/>
    </row>
    <row r="32" spans="1:4" ht="12" customHeight="1" x14ac:dyDescent="0.2">
      <c r="A32" s="1553"/>
      <c r="B32" s="1554"/>
      <c r="C32" s="1554"/>
      <c r="D32" s="1555"/>
    </row>
    <row r="33" spans="1:4" ht="15.75" customHeight="1" x14ac:dyDescent="0.2">
      <c r="A33" s="1900" t="s">
        <v>847</v>
      </c>
      <c r="B33" s="1901"/>
      <c r="C33" s="1901"/>
      <c r="D33" s="1902"/>
    </row>
    <row r="34" spans="1:4" ht="39" customHeight="1" thickBot="1" x14ac:dyDescent="0.25">
      <c r="A34" s="1912"/>
      <c r="B34" s="1913"/>
      <c r="C34" s="1913"/>
      <c r="D34" s="1914"/>
    </row>
    <row r="35" spans="1:4" ht="13.5" thickTop="1" x14ac:dyDescent="0.2">
      <c r="A35" s="29"/>
      <c r="B35" s="29"/>
      <c r="C35" s="29"/>
      <c r="D35" s="29"/>
    </row>
    <row r="36" spans="1:4" x14ac:dyDescent="0.2">
      <c r="A36" s="29"/>
      <c r="B36" s="29"/>
      <c r="C36" s="29"/>
      <c r="D36" s="29"/>
    </row>
    <row r="37" spans="1:4" x14ac:dyDescent="0.2">
      <c r="A37" s="29"/>
      <c r="B37" s="29"/>
      <c r="C37" s="29"/>
      <c r="D37" s="29"/>
    </row>
    <row r="38" spans="1:4" x14ac:dyDescent="0.2">
      <c r="A38" s="29"/>
      <c r="B38" s="29"/>
      <c r="C38" s="29"/>
      <c r="D38" s="29"/>
    </row>
    <row r="39" spans="1:4" x14ac:dyDescent="0.2">
      <c r="A39" s="29"/>
      <c r="B39" s="29"/>
      <c r="C39" s="29"/>
      <c r="D39" s="29"/>
    </row>
    <row r="40" spans="1:4" x14ac:dyDescent="0.2">
      <c r="A40" s="29"/>
      <c r="B40" s="29"/>
      <c r="C40" s="29"/>
      <c r="D40" s="29"/>
    </row>
    <row r="41" spans="1:4" x14ac:dyDescent="0.2">
      <c r="A41" s="29"/>
      <c r="B41" s="29"/>
      <c r="C41" s="29"/>
      <c r="D41" s="29"/>
    </row>
    <row r="42" spans="1:4" x14ac:dyDescent="0.2">
      <c r="A42" s="29"/>
      <c r="B42" s="29"/>
      <c r="C42" s="29"/>
      <c r="D42" s="29"/>
    </row>
    <row r="43" spans="1:4" x14ac:dyDescent="0.2">
      <c r="A43" s="29"/>
      <c r="B43" s="29"/>
      <c r="C43" s="29"/>
      <c r="D43" s="29"/>
    </row>
    <row r="44" spans="1:4" x14ac:dyDescent="0.2">
      <c r="A44" s="29"/>
      <c r="B44" s="29"/>
      <c r="C44" s="29"/>
      <c r="D44" s="29"/>
    </row>
    <row r="45" spans="1:4" x14ac:dyDescent="0.2">
      <c r="A45" s="29"/>
      <c r="B45" s="29"/>
      <c r="C45" s="29"/>
      <c r="D45" s="29"/>
    </row>
  </sheetData>
  <mergeCells count="29">
    <mergeCell ref="A9:B9"/>
    <mergeCell ref="A12:B12"/>
    <mergeCell ref="A8:B8"/>
    <mergeCell ref="A34:D34"/>
    <mergeCell ref="A15:B15"/>
    <mergeCell ref="A19:B19"/>
    <mergeCell ref="A20:B20"/>
    <mergeCell ref="A21:B21"/>
    <mergeCell ref="A25:B25"/>
    <mergeCell ref="A26:B26"/>
    <mergeCell ref="A22:D22"/>
    <mergeCell ref="A27:B27"/>
    <mergeCell ref="A31:D31"/>
    <mergeCell ref="A13:B13"/>
    <mergeCell ref="A16:D16"/>
    <mergeCell ref="A14:B14"/>
    <mergeCell ref="A10:B10"/>
    <mergeCell ref="A11:B11"/>
    <mergeCell ref="A33:D33"/>
    <mergeCell ref="C21:D21"/>
    <mergeCell ref="A32:D32"/>
    <mergeCell ref="A28:D28"/>
    <mergeCell ref="A29:C29"/>
    <mergeCell ref="A30:D30"/>
    <mergeCell ref="B1:D1"/>
    <mergeCell ref="A2:D2"/>
    <mergeCell ref="A5:D5"/>
    <mergeCell ref="A4:D4"/>
    <mergeCell ref="A3:D3"/>
  </mergeCells>
  <phoneticPr fontId="65" type="noConversion"/>
  <pageMargins left="0.65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
  <sheetViews>
    <sheetView topLeftCell="A15" zoomScaleNormal="100" workbookViewId="0">
      <selection activeCell="E14" sqref="E14"/>
    </sheetView>
  </sheetViews>
  <sheetFormatPr defaultColWidth="9.140625" defaultRowHeight="12.75" x14ac:dyDescent="0.2"/>
  <cols>
    <col min="1" max="1" width="4.7109375" style="30" customWidth="1"/>
    <col min="2" max="2" width="27.7109375" style="30" customWidth="1"/>
    <col min="3" max="9" width="7.7109375" style="30" customWidth="1"/>
    <col min="10" max="16384" width="9.140625" style="30"/>
  </cols>
  <sheetData>
    <row r="1" spans="1:9" s="20" customFormat="1" ht="15.75" thickTop="1" x14ac:dyDescent="0.25">
      <c r="A1" s="380" t="s">
        <v>823</v>
      </c>
      <c r="B1" s="349"/>
      <c r="C1" s="1533" t="str">
        <f>'1.1a Overall Instit. Profile'!B1</f>
        <v>Oglala Lakota College</v>
      </c>
      <c r="D1" s="1533"/>
      <c r="E1" s="1533"/>
      <c r="F1" s="1533"/>
      <c r="G1" s="1533"/>
      <c r="H1" s="1533"/>
      <c r="I1" s="1534"/>
    </row>
    <row r="2" spans="1:9" ht="18.75" customHeight="1" x14ac:dyDescent="0.2">
      <c r="A2" s="1655" t="s">
        <v>822</v>
      </c>
      <c r="B2" s="1806"/>
      <c r="C2" s="1806"/>
      <c r="D2" s="1806"/>
      <c r="E2" s="1806"/>
      <c r="F2" s="1806"/>
      <c r="G2" s="1806"/>
      <c r="H2" s="1806"/>
      <c r="I2" s="1656"/>
    </row>
    <row r="3" spans="1:9" ht="18.75" customHeight="1" x14ac:dyDescent="0.2">
      <c r="A3" s="1550" t="s">
        <v>421</v>
      </c>
      <c r="B3" s="1551"/>
      <c r="C3" s="1551"/>
      <c r="D3" s="1551"/>
      <c r="E3" s="1551"/>
      <c r="F3" s="1551"/>
      <c r="G3" s="1551"/>
      <c r="H3" s="1551"/>
      <c r="I3" s="1552"/>
    </row>
    <row r="4" spans="1:9" ht="15" customHeight="1" x14ac:dyDescent="0.2">
      <c r="A4" s="1928" t="s">
        <v>249</v>
      </c>
      <c r="B4" s="1929"/>
      <c r="C4" s="1929"/>
      <c r="D4" s="1929"/>
      <c r="E4" s="1929"/>
      <c r="F4" s="1929"/>
      <c r="G4" s="1929"/>
      <c r="H4" s="1929"/>
      <c r="I4" s="1930"/>
    </row>
    <row r="5" spans="1:9" ht="17.25" customHeight="1" x14ac:dyDescent="0.2">
      <c r="A5" s="1553" t="s">
        <v>250</v>
      </c>
      <c r="B5" s="1554"/>
      <c r="C5" s="1554"/>
      <c r="D5" s="1554"/>
      <c r="E5" s="1554"/>
      <c r="F5" s="1554"/>
      <c r="G5" s="1554"/>
      <c r="H5" s="1554"/>
      <c r="I5" s="1555"/>
    </row>
    <row r="6" spans="1:9" ht="17.25" customHeight="1" x14ac:dyDescent="0.2">
      <c r="A6" s="104"/>
      <c r="B6" s="105"/>
      <c r="C6" s="113"/>
      <c r="D6" s="250"/>
      <c r="E6" s="250"/>
      <c r="F6" s="389" t="s">
        <v>292</v>
      </c>
      <c r="G6" s="250"/>
      <c r="H6" s="250"/>
      <c r="I6" s="114"/>
    </row>
    <row r="7" spans="1:9" ht="15" customHeight="1" x14ac:dyDescent="0.2">
      <c r="A7" s="104"/>
      <c r="B7" s="105"/>
      <c r="C7" s="428" t="s">
        <v>873</v>
      </c>
      <c r="D7" s="116"/>
      <c r="E7" s="117" t="s">
        <v>874</v>
      </c>
      <c r="F7" s="118"/>
      <c r="G7" s="4"/>
      <c r="H7" s="119" t="s">
        <v>872</v>
      </c>
      <c r="I7" s="120"/>
    </row>
    <row r="8" spans="1:9" x14ac:dyDescent="0.2">
      <c r="A8" s="62"/>
      <c r="B8" s="103"/>
      <c r="C8" s="121" t="s">
        <v>875</v>
      </c>
      <c r="D8" s="122" t="s">
        <v>876</v>
      </c>
      <c r="E8" s="122" t="s">
        <v>875</v>
      </c>
      <c r="F8" s="122" t="s">
        <v>876</v>
      </c>
      <c r="G8" s="96" t="s">
        <v>875</v>
      </c>
      <c r="H8" s="96" t="s">
        <v>876</v>
      </c>
      <c r="I8" s="24" t="s">
        <v>872</v>
      </c>
    </row>
    <row r="9" spans="1:9" ht="20.25" customHeight="1" x14ac:dyDescent="0.2">
      <c r="A9" s="1885" t="s">
        <v>34</v>
      </c>
      <c r="B9" s="89" t="s">
        <v>251</v>
      </c>
      <c r="C9" s="33" t="s">
        <v>646</v>
      </c>
      <c r="D9" s="94" t="s">
        <v>646</v>
      </c>
      <c r="E9" s="94" t="s">
        <v>646</v>
      </c>
      <c r="F9" s="94" t="s">
        <v>646</v>
      </c>
      <c r="G9" s="125">
        <f>SUM(C9,E9)</f>
        <v>0</v>
      </c>
      <c r="H9" s="125">
        <f>SUM(D9,F9)</f>
        <v>0</v>
      </c>
      <c r="I9" s="419">
        <f>SUM(G9:H9)</f>
        <v>0</v>
      </c>
    </row>
    <row r="10" spans="1:9" ht="20.25" customHeight="1" x14ac:dyDescent="0.2">
      <c r="A10" s="1885"/>
      <c r="B10" s="401" t="s">
        <v>252</v>
      </c>
      <c r="C10" s="420" t="s">
        <v>646</v>
      </c>
      <c r="D10" s="381" t="s">
        <v>646</v>
      </c>
      <c r="E10" s="381" t="s">
        <v>646</v>
      </c>
      <c r="F10" s="381" t="s">
        <v>646</v>
      </c>
      <c r="G10" s="421">
        <f>SUM(C10,E10)</f>
        <v>0</v>
      </c>
      <c r="H10" s="421">
        <f>SUM(D10,F10)</f>
        <v>0</v>
      </c>
      <c r="I10" s="422">
        <f>SUM(G10:H10)</f>
        <v>0</v>
      </c>
    </row>
    <row r="11" spans="1:9" ht="20.25" customHeight="1" x14ac:dyDescent="0.2">
      <c r="A11" s="1931"/>
      <c r="B11" s="401" t="s">
        <v>253</v>
      </c>
      <c r="C11" s="423" t="s">
        <v>646</v>
      </c>
      <c r="D11" s="348" t="s">
        <v>646</v>
      </c>
      <c r="E11" s="348" t="s">
        <v>646</v>
      </c>
      <c r="F11" s="348" t="s">
        <v>646</v>
      </c>
      <c r="G11" s="421">
        <f t="shared" ref="G11:I11" si="0">SUM(G9:G10)</f>
        <v>0</v>
      </c>
      <c r="H11" s="421">
        <f t="shared" si="0"/>
        <v>0</v>
      </c>
      <c r="I11" s="422">
        <f t="shared" si="0"/>
        <v>0</v>
      </c>
    </row>
    <row r="12" spans="1:9" ht="20.25" customHeight="1" x14ac:dyDescent="0.2">
      <c r="A12" s="1885" t="s">
        <v>35</v>
      </c>
      <c r="B12" s="401" t="s">
        <v>251</v>
      </c>
      <c r="C12" s="420" t="s">
        <v>646</v>
      </c>
      <c r="D12" s="381" t="s">
        <v>646</v>
      </c>
      <c r="E12" s="381" t="s">
        <v>646</v>
      </c>
      <c r="F12" s="381" t="s">
        <v>646</v>
      </c>
      <c r="G12" s="421">
        <f>SUM(C12,E12)</f>
        <v>0</v>
      </c>
      <c r="H12" s="421">
        <f>SUM(D12,F12)</f>
        <v>0</v>
      </c>
      <c r="I12" s="422">
        <f>SUM(G12:H12)</f>
        <v>0</v>
      </c>
    </row>
    <row r="13" spans="1:9" ht="20.25" customHeight="1" x14ac:dyDescent="0.2">
      <c r="A13" s="1885"/>
      <c r="B13" s="401" t="s">
        <v>252</v>
      </c>
      <c r="C13" s="420" t="s">
        <v>646</v>
      </c>
      <c r="D13" s="381" t="s">
        <v>646</v>
      </c>
      <c r="E13" s="381" t="s">
        <v>646</v>
      </c>
      <c r="F13" s="381" t="s">
        <v>646</v>
      </c>
      <c r="G13" s="421">
        <f>SUM(C13,E13)</f>
        <v>0</v>
      </c>
      <c r="H13" s="421">
        <f>SUM(D13,F13)</f>
        <v>0</v>
      </c>
      <c r="I13" s="422">
        <f>SUM(G13:H13)</f>
        <v>0</v>
      </c>
    </row>
    <row r="14" spans="1:9" ht="20.25" customHeight="1" x14ac:dyDescent="0.2">
      <c r="A14" s="1931"/>
      <c r="B14" s="401" t="s">
        <v>254</v>
      </c>
      <c r="C14" s="423" t="s">
        <v>646</v>
      </c>
      <c r="D14" s="348" t="s">
        <v>646</v>
      </c>
      <c r="E14" s="348" t="s">
        <v>646</v>
      </c>
      <c r="F14" s="348" t="s">
        <v>646</v>
      </c>
      <c r="G14" s="421">
        <f t="shared" ref="G14:I14" si="1">SUM(G12:G13)</f>
        <v>0</v>
      </c>
      <c r="H14" s="421">
        <f t="shared" si="1"/>
        <v>0</v>
      </c>
      <c r="I14" s="422">
        <f t="shared" si="1"/>
        <v>0</v>
      </c>
    </row>
    <row r="15" spans="1:9" ht="19.5" customHeight="1" x14ac:dyDescent="0.2">
      <c r="A15" s="3" t="s">
        <v>195</v>
      </c>
      <c r="B15" s="106"/>
      <c r="C15" s="124" t="s">
        <v>646</v>
      </c>
      <c r="D15" s="123" t="s">
        <v>646</v>
      </c>
      <c r="E15" s="123" t="s">
        <v>646</v>
      </c>
      <c r="F15" s="123" t="s">
        <v>646</v>
      </c>
      <c r="G15" s="125">
        <f>SUM(G11,G14)</f>
        <v>0</v>
      </c>
      <c r="H15" s="125">
        <f>SUM(H11,H14)</f>
        <v>0</v>
      </c>
      <c r="I15" s="126">
        <f>SUM(I11,I14)</f>
        <v>0</v>
      </c>
    </row>
    <row r="16" spans="1:9" ht="19.5" customHeight="1" x14ac:dyDescent="0.2">
      <c r="A16" s="10" t="s">
        <v>255</v>
      </c>
      <c r="B16" s="103"/>
      <c r="C16" s="81" t="s">
        <v>646</v>
      </c>
      <c r="D16" s="81" t="s">
        <v>646</v>
      </c>
      <c r="E16" s="81" t="s">
        <v>646</v>
      </c>
      <c r="F16" s="81" t="s">
        <v>646</v>
      </c>
      <c r="G16" s="127">
        <f>SUM(C16,E16)</f>
        <v>0</v>
      </c>
      <c r="H16" s="127">
        <f>SUM(D16,F16)</f>
        <v>0</v>
      </c>
      <c r="I16" s="128">
        <f>SUM(G16:H16)</f>
        <v>0</v>
      </c>
    </row>
    <row r="17" spans="1:9" ht="17.25" customHeight="1" x14ac:dyDescent="0.2">
      <c r="A17" s="1553" t="s">
        <v>256</v>
      </c>
      <c r="B17" s="1554"/>
      <c r="C17" s="1554"/>
      <c r="D17" s="1554"/>
      <c r="E17" s="1554"/>
      <c r="F17" s="1554"/>
      <c r="G17" s="1554"/>
      <c r="H17" s="1554"/>
      <c r="I17" s="1555"/>
    </row>
    <row r="18" spans="1:9" ht="17.25" customHeight="1" x14ac:dyDescent="0.2">
      <c r="A18" s="110" t="s">
        <v>257</v>
      </c>
      <c r="B18" s="111"/>
      <c r="C18" s="113"/>
      <c r="D18" s="250"/>
      <c r="E18" s="250"/>
      <c r="F18" s="389" t="s">
        <v>297</v>
      </c>
      <c r="G18" s="250"/>
      <c r="H18" s="250"/>
      <c r="I18" s="114"/>
    </row>
    <row r="19" spans="1:9" x14ac:dyDescent="0.2">
      <c r="A19" s="112" t="s">
        <v>258</v>
      </c>
      <c r="B19" s="111"/>
      <c r="C19" s="115" t="s">
        <v>873</v>
      </c>
      <c r="D19" s="427"/>
      <c r="E19" s="117" t="s">
        <v>874</v>
      </c>
      <c r="F19" s="118"/>
      <c r="G19" s="4"/>
      <c r="H19" s="119" t="s">
        <v>872</v>
      </c>
      <c r="I19" s="120"/>
    </row>
    <row r="20" spans="1:9" x14ac:dyDescent="0.2">
      <c r="A20" s="62"/>
      <c r="B20" s="103"/>
      <c r="C20" s="121" t="s">
        <v>875</v>
      </c>
      <c r="D20" s="122" t="s">
        <v>876</v>
      </c>
      <c r="E20" s="122" t="s">
        <v>875</v>
      </c>
      <c r="F20" s="122" t="s">
        <v>876</v>
      </c>
      <c r="G20" s="96" t="s">
        <v>875</v>
      </c>
      <c r="H20" s="96" t="s">
        <v>876</v>
      </c>
      <c r="I20" s="24" t="s">
        <v>872</v>
      </c>
    </row>
    <row r="21" spans="1:9" ht="16.5" customHeight="1" x14ac:dyDescent="0.2">
      <c r="A21" s="3" t="s">
        <v>145</v>
      </c>
      <c r="B21" s="106"/>
      <c r="C21" s="33" t="s">
        <v>605</v>
      </c>
      <c r="D21" s="94" t="s">
        <v>605</v>
      </c>
      <c r="E21" s="94" t="s">
        <v>605</v>
      </c>
      <c r="F21" s="94" t="s">
        <v>605</v>
      </c>
      <c r="G21" s="123">
        <f t="shared" ref="G21:H26" si="2">SUM(C21,E21)</f>
        <v>0</v>
      </c>
      <c r="H21" s="123">
        <f t="shared" si="2"/>
        <v>0</v>
      </c>
      <c r="I21" s="424">
        <f t="shared" ref="I21:I26" si="3">SUM(G21:H21)</f>
        <v>0</v>
      </c>
    </row>
    <row r="22" spans="1:9" ht="16.5" customHeight="1" x14ac:dyDescent="0.2">
      <c r="A22" s="3" t="s">
        <v>146</v>
      </c>
      <c r="B22" s="106"/>
      <c r="C22" s="33" t="s">
        <v>605</v>
      </c>
      <c r="D22" s="94" t="s">
        <v>605</v>
      </c>
      <c r="E22" s="94" t="s">
        <v>605</v>
      </c>
      <c r="F22" s="94" t="s">
        <v>605</v>
      </c>
      <c r="G22" s="123">
        <f t="shared" si="2"/>
        <v>0</v>
      </c>
      <c r="H22" s="123">
        <f t="shared" si="2"/>
        <v>0</v>
      </c>
      <c r="I22" s="424">
        <f t="shared" si="3"/>
        <v>0</v>
      </c>
    </row>
    <row r="23" spans="1:9" ht="16.5" customHeight="1" x14ac:dyDescent="0.2">
      <c r="A23" s="6" t="s">
        <v>147</v>
      </c>
      <c r="B23" s="425"/>
      <c r="C23" s="33" t="s">
        <v>646</v>
      </c>
      <c r="D23" s="94" t="s">
        <v>646</v>
      </c>
      <c r="E23" s="94" t="s">
        <v>646</v>
      </c>
      <c r="F23" s="94" t="s">
        <v>646</v>
      </c>
      <c r="G23" s="348">
        <f t="shared" si="2"/>
        <v>0</v>
      </c>
      <c r="H23" s="348">
        <f t="shared" si="2"/>
        <v>0</v>
      </c>
      <c r="I23" s="426">
        <f t="shared" si="3"/>
        <v>0</v>
      </c>
    </row>
    <row r="24" spans="1:9" ht="16.5" customHeight="1" x14ac:dyDescent="0.2">
      <c r="A24" s="6" t="s">
        <v>148</v>
      </c>
      <c r="B24" s="425"/>
      <c r="C24" s="420" t="s">
        <v>646</v>
      </c>
      <c r="D24" s="381" t="s">
        <v>646</v>
      </c>
      <c r="E24" s="381" t="s">
        <v>646</v>
      </c>
      <c r="F24" s="381" t="s">
        <v>646</v>
      </c>
      <c r="G24" s="348">
        <f t="shared" si="2"/>
        <v>0</v>
      </c>
      <c r="H24" s="348">
        <f t="shared" si="2"/>
        <v>0</v>
      </c>
      <c r="I24" s="426">
        <f t="shared" si="3"/>
        <v>0</v>
      </c>
    </row>
    <row r="25" spans="1:9" ht="16.5" customHeight="1" x14ac:dyDescent="0.2">
      <c r="A25" s="6" t="s">
        <v>149</v>
      </c>
      <c r="B25" s="425"/>
      <c r="C25" s="420" t="s">
        <v>646</v>
      </c>
      <c r="D25" s="381" t="s">
        <v>646</v>
      </c>
      <c r="E25" s="381" t="s">
        <v>646</v>
      </c>
      <c r="F25" s="381" t="s">
        <v>646</v>
      </c>
      <c r="G25" s="348">
        <f t="shared" si="2"/>
        <v>0</v>
      </c>
      <c r="H25" s="348">
        <f t="shared" si="2"/>
        <v>0</v>
      </c>
      <c r="I25" s="426">
        <f t="shared" si="3"/>
        <v>0</v>
      </c>
    </row>
    <row r="26" spans="1:9" ht="16.5" customHeight="1" x14ac:dyDescent="0.2">
      <c r="A26" s="6" t="s">
        <v>150</v>
      </c>
      <c r="B26" s="425"/>
      <c r="C26" s="420" t="s">
        <v>646</v>
      </c>
      <c r="D26" s="381" t="s">
        <v>646</v>
      </c>
      <c r="E26" s="381" t="s">
        <v>646</v>
      </c>
      <c r="F26" s="381" t="s">
        <v>646</v>
      </c>
      <c r="G26" s="348">
        <f t="shared" si="2"/>
        <v>0</v>
      </c>
      <c r="H26" s="348">
        <f t="shared" si="2"/>
        <v>0</v>
      </c>
      <c r="I26" s="426">
        <f t="shared" si="3"/>
        <v>0</v>
      </c>
    </row>
    <row r="27" spans="1:9" ht="16.5" customHeight="1" x14ac:dyDescent="0.2">
      <c r="A27" s="6" t="s">
        <v>259</v>
      </c>
      <c r="B27" s="425"/>
      <c r="C27" s="423" t="s">
        <v>646</v>
      </c>
      <c r="D27" s="423" t="s">
        <v>646</v>
      </c>
      <c r="E27" s="423" t="s">
        <v>646</v>
      </c>
      <c r="F27" s="423" t="s">
        <v>646</v>
      </c>
      <c r="G27" s="348">
        <f t="shared" ref="G27:I27" si="4">SUM(G21:G26)</f>
        <v>0</v>
      </c>
      <c r="H27" s="348">
        <f t="shared" si="4"/>
        <v>0</v>
      </c>
      <c r="I27" s="426">
        <f t="shared" si="4"/>
        <v>0</v>
      </c>
    </row>
    <row r="28" spans="1:9" ht="24" customHeight="1" x14ac:dyDescent="0.2">
      <c r="A28" s="1272" t="s">
        <v>336</v>
      </c>
      <c r="B28" s="1932"/>
      <c r="C28" s="33" t="s">
        <v>646</v>
      </c>
      <c r="D28" s="94" t="s">
        <v>646</v>
      </c>
      <c r="E28" s="94" t="s">
        <v>646</v>
      </c>
      <c r="F28" s="94" t="s">
        <v>646</v>
      </c>
      <c r="G28" s="123">
        <f t="shared" ref="G28:H30" si="5">SUM(C28,E28)</f>
        <v>0</v>
      </c>
      <c r="H28" s="123">
        <f t="shared" si="5"/>
        <v>0</v>
      </c>
      <c r="I28" s="212">
        <f>SUM(G28:H28)</f>
        <v>0</v>
      </c>
    </row>
    <row r="29" spans="1:9" ht="24" customHeight="1" x14ac:dyDescent="0.2">
      <c r="A29" s="1272" t="s">
        <v>260</v>
      </c>
      <c r="B29" s="1932"/>
      <c r="C29" s="33" t="s">
        <v>646</v>
      </c>
      <c r="D29" s="94" t="s">
        <v>646</v>
      </c>
      <c r="E29" s="94" t="s">
        <v>646</v>
      </c>
      <c r="F29" s="94" t="s">
        <v>646</v>
      </c>
      <c r="G29" s="123">
        <f t="shared" si="5"/>
        <v>0</v>
      </c>
      <c r="H29" s="123">
        <f t="shared" si="5"/>
        <v>0</v>
      </c>
      <c r="I29" s="212">
        <f>SUM(G29:H29)</f>
        <v>0</v>
      </c>
    </row>
    <row r="30" spans="1:9" ht="24" customHeight="1" x14ac:dyDescent="0.2">
      <c r="A30" s="1920" t="s">
        <v>526</v>
      </c>
      <c r="B30" s="1921"/>
      <c r="C30" s="33" t="s">
        <v>646</v>
      </c>
      <c r="D30" s="94" t="s">
        <v>646</v>
      </c>
      <c r="E30" s="94" t="s">
        <v>646</v>
      </c>
      <c r="F30" s="94" t="s">
        <v>646</v>
      </c>
      <c r="G30" s="123">
        <f t="shared" si="5"/>
        <v>0</v>
      </c>
      <c r="H30" s="123">
        <f t="shared" si="5"/>
        <v>0</v>
      </c>
      <c r="I30" s="212">
        <f>SUM(G30:H30)</f>
        <v>0</v>
      </c>
    </row>
    <row r="31" spans="1:9" x14ac:dyDescent="0.2">
      <c r="A31" s="1922" t="s">
        <v>847</v>
      </c>
      <c r="B31" s="1647"/>
      <c r="C31" s="1647"/>
      <c r="D31" s="1647"/>
      <c r="E31" s="1647"/>
      <c r="F31" s="1647"/>
      <c r="G31" s="1647"/>
      <c r="H31" s="1647"/>
      <c r="I31" s="1648"/>
    </row>
    <row r="32" spans="1:9" x14ac:dyDescent="0.2">
      <c r="A32" s="1923" t="s">
        <v>989</v>
      </c>
      <c r="B32" s="1924"/>
      <c r="C32" s="1924"/>
      <c r="D32" s="1924"/>
      <c r="E32" s="1924"/>
      <c r="F32" s="1924"/>
      <c r="G32" s="1924"/>
      <c r="H32" s="1924"/>
      <c r="I32" s="1925"/>
    </row>
    <row r="33" spans="1:9" x14ac:dyDescent="0.2">
      <c r="A33" s="1926"/>
      <c r="B33" s="1924"/>
      <c r="C33" s="1924"/>
      <c r="D33" s="1924"/>
      <c r="E33" s="1924"/>
      <c r="F33" s="1924"/>
      <c r="G33" s="1924"/>
      <c r="H33" s="1924"/>
      <c r="I33" s="1925"/>
    </row>
    <row r="34" spans="1:9" ht="13.5" thickBot="1" x14ac:dyDescent="0.25">
      <c r="A34" s="1659"/>
      <c r="B34" s="1927"/>
      <c r="C34" s="1927"/>
      <c r="D34" s="1927"/>
      <c r="E34" s="1927"/>
      <c r="F34" s="1927"/>
      <c r="G34" s="1927"/>
      <c r="H34" s="1927"/>
      <c r="I34" s="1660"/>
    </row>
    <row r="35" spans="1:9" ht="13.5" thickTop="1" x14ac:dyDescent="0.2">
      <c r="A35" s="29"/>
      <c r="B35" s="29"/>
      <c r="C35" s="29"/>
      <c r="D35" s="29"/>
      <c r="E35" s="29"/>
      <c r="F35" s="29"/>
      <c r="G35" s="29"/>
      <c r="H35" s="29"/>
      <c r="I35" s="29"/>
    </row>
    <row r="36" spans="1:9" x14ac:dyDescent="0.2">
      <c r="A36" s="29"/>
      <c r="B36" s="29"/>
      <c r="C36" s="29"/>
      <c r="D36" s="29"/>
      <c r="E36" s="29"/>
      <c r="F36" s="29"/>
      <c r="G36" s="29"/>
      <c r="H36" s="29"/>
      <c r="I36" s="29"/>
    </row>
    <row r="37" spans="1:9" x14ac:dyDescent="0.2">
      <c r="A37" s="29"/>
      <c r="B37" s="29"/>
      <c r="C37" s="29"/>
      <c r="D37" s="29"/>
      <c r="E37" s="29"/>
      <c r="F37" s="29"/>
      <c r="G37" s="29"/>
      <c r="H37" s="29"/>
      <c r="I37" s="29"/>
    </row>
    <row r="38" spans="1:9" x14ac:dyDescent="0.2">
      <c r="A38" s="29"/>
      <c r="B38" s="29"/>
      <c r="C38" s="29"/>
      <c r="D38" s="29"/>
      <c r="E38" s="29"/>
      <c r="F38" s="29"/>
      <c r="G38" s="29"/>
      <c r="H38" s="29"/>
      <c r="I38" s="29"/>
    </row>
    <row r="39" spans="1:9" x14ac:dyDescent="0.2">
      <c r="A39" s="29"/>
      <c r="B39" s="29"/>
      <c r="C39" s="29"/>
      <c r="D39" s="29"/>
      <c r="E39" s="29"/>
      <c r="F39" s="29"/>
      <c r="G39" s="29"/>
      <c r="H39" s="29"/>
      <c r="I39" s="29"/>
    </row>
    <row r="40" spans="1:9" x14ac:dyDescent="0.2">
      <c r="A40" s="29"/>
      <c r="B40" s="29"/>
      <c r="C40" s="29"/>
      <c r="D40" s="29"/>
      <c r="E40" s="29"/>
      <c r="F40" s="29"/>
      <c r="G40" s="29"/>
      <c r="H40" s="29"/>
      <c r="I40" s="29"/>
    </row>
    <row r="41" spans="1:9" x14ac:dyDescent="0.2">
      <c r="A41" s="37"/>
      <c r="B41" s="37"/>
      <c r="C41" s="37"/>
      <c r="D41" s="37"/>
      <c r="E41" s="37"/>
      <c r="F41" s="37"/>
      <c r="G41" s="37"/>
      <c r="H41" s="37"/>
      <c r="I41" s="37"/>
    </row>
    <row r="42" spans="1:9" x14ac:dyDescent="0.2">
      <c r="A42" s="37"/>
      <c r="B42" s="37"/>
      <c r="C42" s="37"/>
      <c r="D42" s="37"/>
      <c r="E42" s="37"/>
      <c r="F42" s="37"/>
      <c r="G42" s="37"/>
      <c r="H42" s="37"/>
      <c r="I42" s="37"/>
    </row>
    <row r="43" spans="1:9" x14ac:dyDescent="0.2">
      <c r="A43" s="37"/>
      <c r="B43" s="37"/>
      <c r="C43" s="37"/>
      <c r="D43" s="37"/>
      <c r="E43" s="37"/>
      <c r="F43" s="37"/>
      <c r="G43" s="37"/>
      <c r="H43" s="37"/>
      <c r="I43" s="37"/>
    </row>
    <row r="44" spans="1:9" x14ac:dyDescent="0.2">
      <c r="A44" s="37"/>
      <c r="B44" s="37"/>
      <c r="C44" s="37"/>
      <c r="D44" s="37"/>
      <c r="E44" s="37"/>
      <c r="F44" s="37"/>
      <c r="G44" s="37"/>
      <c r="H44" s="37"/>
      <c r="I44" s="37"/>
    </row>
    <row r="45" spans="1:9" x14ac:dyDescent="0.2">
      <c r="A45" s="37"/>
      <c r="B45" s="37"/>
      <c r="C45" s="37"/>
      <c r="D45" s="37"/>
      <c r="E45" s="37"/>
      <c r="F45" s="37"/>
      <c r="G45" s="37"/>
      <c r="H45" s="37"/>
      <c r="I45" s="37"/>
    </row>
    <row r="46" spans="1:9" x14ac:dyDescent="0.2">
      <c r="A46" s="37"/>
      <c r="B46" s="37"/>
      <c r="C46" s="37"/>
      <c r="D46" s="37"/>
      <c r="E46" s="37"/>
      <c r="F46" s="37"/>
      <c r="G46" s="37"/>
      <c r="H46" s="37"/>
      <c r="I46" s="37"/>
    </row>
    <row r="47" spans="1:9" x14ac:dyDescent="0.2">
      <c r="A47" s="37"/>
      <c r="B47" s="37"/>
      <c r="C47" s="37"/>
      <c r="D47" s="37"/>
      <c r="E47" s="37"/>
      <c r="F47" s="37"/>
      <c r="G47" s="37"/>
      <c r="H47" s="37"/>
      <c r="I47" s="37"/>
    </row>
    <row r="48" spans="1:9" x14ac:dyDescent="0.2">
      <c r="A48" s="37"/>
      <c r="B48" s="37"/>
      <c r="C48" s="37"/>
      <c r="D48" s="37"/>
      <c r="E48" s="37"/>
      <c r="F48" s="37"/>
      <c r="G48" s="37"/>
      <c r="H48" s="37"/>
      <c r="I48" s="37"/>
    </row>
    <row r="49" spans="1:9" x14ac:dyDescent="0.2">
      <c r="A49" s="37"/>
      <c r="B49" s="37"/>
      <c r="C49" s="37"/>
      <c r="D49" s="37"/>
      <c r="E49" s="37"/>
      <c r="F49" s="37"/>
      <c r="G49" s="37"/>
      <c r="H49" s="37"/>
      <c r="I49" s="37"/>
    </row>
    <row r="50" spans="1:9" x14ac:dyDescent="0.2">
      <c r="A50" s="37"/>
      <c r="B50" s="37"/>
      <c r="C50" s="37"/>
      <c r="D50" s="37"/>
      <c r="E50" s="37"/>
      <c r="F50" s="37"/>
      <c r="G50" s="37"/>
      <c r="H50" s="37"/>
      <c r="I50" s="37"/>
    </row>
    <row r="51" spans="1:9" x14ac:dyDescent="0.2">
      <c r="A51" s="37"/>
      <c r="B51" s="37"/>
      <c r="C51" s="37"/>
      <c r="D51" s="37"/>
      <c r="E51" s="37"/>
      <c r="F51" s="37"/>
      <c r="G51" s="37"/>
      <c r="H51" s="37"/>
      <c r="I51" s="37"/>
    </row>
    <row r="52" spans="1:9" x14ac:dyDescent="0.2">
      <c r="A52" s="37"/>
      <c r="B52" s="37"/>
      <c r="C52" s="37"/>
      <c r="D52" s="37"/>
      <c r="E52" s="37"/>
      <c r="F52" s="37"/>
      <c r="G52" s="37"/>
      <c r="H52" s="37"/>
      <c r="I52" s="37"/>
    </row>
    <row r="53" spans="1:9" x14ac:dyDescent="0.2">
      <c r="A53" s="37"/>
      <c r="B53" s="37"/>
      <c r="C53" s="37"/>
      <c r="D53" s="37"/>
      <c r="E53" s="37"/>
      <c r="F53" s="37"/>
      <c r="G53" s="37"/>
      <c r="H53" s="37"/>
      <c r="I53" s="37"/>
    </row>
    <row r="54" spans="1:9" x14ac:dyDescent="0.2">
      <c r="A54" s="37"/>
      <c r="B54" s="37"/>
      <c r="C54" s="37"/>
      <c r="D54" s="37"/>
      <c r="E54" s="37"/>
      <c r="F54" s="37"/>
      <c r="G54" s="37"/>
      <c r="H54" s="37"/>
      <c r="I54" s="37"/>
    </row>
    <row r="55" spans="1:9" x14ac:dyDescent="0.2">
      <c r="A55" s="37"/>
      <c r="B55" s="37"/>
      <c r="C55" s="37"/>
      <c r="D55" s="37"/>
      <c r="E55" s="37"/>
      <c r="F55" s="37"/>
      <c r="G55" s="37"/>
      <c r="H55" s="37"/>
      <c r="I55" s="37"/>
    </row>
    <row r="56" spans="1:9" x14ac:dyDescent="0.2">
      <c r="A56" s="37"/>
      <c r="B56" s="37"/>
      <c r="C56" s="37"/>
      <c r="D56" s="37"/>
      <c r="E56" s="37"/>
      <c r="F56" s="37"/>
      <c r="G56" s="37"/>
      <c r="H56" s="37"/>
      <c r="I56" s="37"/>
    </row>
    <row r="57" spans="1:9" x14ac:dyDescent="0.2">
      <c r="A57" s="37"/>
      <c r="B57" s="37"/>
      <c r="C57" s="37"/>
      <c r="D57" s="37"/>
      <c r="E57" s="37"/>
      <c r="F57" s="37"/>
      <c r="G57" s="37"/>
      <c r="H57" s="37"/>
      <c r="I57" s="37"/>
    </row>
    <row r="58" spans="1:9" x14ac:dyDescent="0.2">
      <c r="A58" s="37"/>
      <c r="B58" s="37"/>
      <c r="C58" s="37"/>
      <c r="D58" s="37"/>
      <c r="E58" s="37"/>
      <c r="F58" s="37"/>
      <c r="G58" s="37"/>
      <c r="H58" s="37"/>
      <c r="I58" s="37"/>
    </row>
    <row r="59" spans="1:9" x14ac:dyDescent="0.2">
      <c r="A59" s="37"/>
      <c r="B59" s="37"/>
      <c r="C59" s="37"/>
      <c r="D59" s="37"/>
      <c r="E59" s="37"/>
      <c r="F59" s="37"/>
      <c r="G59" s="37"/>
      <c r="H59" s="37"/>
      <c r="I59" s="37"/>
    </row>
    <row r="60" spans="1:9" x14ac:dyDescent="0.2">
      <c r="A60" s="37"/>
      <c r="B60" s="37"/>
      <c r="C60" s="37"/>
      <c r="D60" s="37"/>
      <c r="E60" s="37"/>
      <c r="F60" s="37"/>
      <c r="G60" s="37"/>
      <c r="H60" s="37"/>
      <c r="I60" s="37"/>
    </row>
    <row r="61" spans="1:9" x14ac:dyDescent="0.2">
      <c r="A61" s="37"/>
      <c r="B61" s="37"/>
      <c r="C61" s="37"/>
      <c r="D61" s="37"/>
      <c r="E61" s="37"/>
      <c r="F61" s="37"/>
      <c r="G61" s="37"/>
      <c r="H61" s="37"/>
      <c r="I61" s="37"/>
    </row>
    <row r="62" spans="1:9" x14ac:dyDescent="0.2">
      <c r="A62" s="37"/>
      <c r="B62" s="37"/>
      <c r="C62" s="37"/>
      <c r="D62" s="37"/>
      <c r="E62" s="37"/>
      <c r="F62" s="37"/>
      <c r="G62" s="37"/>
      <c r="H62" s="37"/>
      <c r="I62" s="37"/>
    </row>
    <row r="63" spans="1:9" x14ac:dyDescent="0.2">
      <c r="A63" s="37"/>
      <c r="B63" s="37"/>
      <c r="C63" s="37"/>
      <c r="D63" s="37"/>
      <c r="E63" s="37"/>
      <c r="F63" s="37"/>
      <c r="G63" s="37"/>
      <c r="H63" s="37"/>
      <c r="I63" s="37"/>
    </row>
    <row r="64" spans="1:9" x14ac:dyDescent="0.2">
      <c r="A64" s="37"/>
      <c r="B64" s="37"/>
      <c r="C64" s="37"/>
      <c r="D64" s="37"/>
      <c r="E64" s="37"/>
      <c r="F64" s="37"/>
      <c r="G64" s="37"/>
      <c r="H64" s="37"/>
      <c r="I64" s="37"/>
    </row>
    <row r="65" spans="1:9" x14ac:dyDescent="0.2">
      <c r="A65" s="37"/>
      <c r="B65" s="37"/>
      <c r="C65" s="37"/>
      <c r="D65" s="37"/>
      <c r="E65" s="37"/>
      <c r="F65" s="37"/>
      <c r="G65" s="37"/>
      <c r="H65" s="37"/>
      <c r="I65" s="37"/>
    </row>
    <row r="66" spans="1:9" x14ac:dyDescent="0.2">
      <c r="A66" s="37"/>
      <c r="B66" s="37"/>
      <c r="C66" s="37"/>
      <c r="D66" s="37"/>
      <c r="E66" s="37"/>
      <c r="F66" s="37"/>
      <c r="G66" s="37"/>
      <c r="H66" s="37"/>
      <c r="I66" s="37"/>
    </row>
    <row r="67" spans="1:9" x14ac:dyDescent="0.2">
      <c r="A67" s="37"/>
      <c r="B67" s="37"/>
      <c r="C67" s="37"/>
      <c r="D67" s="37"/>
      <c r="E67" s="37"/>
      <c r="F67" s="37"/>
      <c r="G67" s="37"/>
      <c r="H67" s="37"/>
      <c r="I67" s="37"/>
    </row>
    <row r="68" spans="1:9" x14ac:dyDescent="0.2">
      <c r="A68" s="37"/>
      <c r="B68" s="37"/>
      <c r="C68" s="37"/>
      <c r="D68" s="37"/>
      <c r="E68" s="37"/>
      <c r="F68" s="37"/>
      <c r="G68" s="37"/>
      <c r="H68" s="37"/>
      <c r="I68" s="37"/>
    </row>
    <row r="69" spans="1:9" x14ac:dyDescent="0.2">
      <c r="A69" s="37"/>
      <c r="B69" s="37"/>
      <c r="C69" s="37"/>
      <c r="D69" s="37"/>
      <c r="E69" s="37"/>
      <c r="F69" s="37"/>
      <c r="G69" s="37"/>
      <c r="H69" s="37"/>
      <c r="I69" s="37"/>
    </row>
    <row r="70" spans="1:9" x14ac:dyDescent="0.2">
      <c r="A70" s="37"/>
      <c r="B70" s="37"/>
      <c r="C70" s="37"/>
      <c r="D70" s="37"/>
      <c r="E70" s="37"/>
      <c r="F70" s="37"/>
      <c r="G70" s="37"/>
      <c r="H70" s="37"/>
      <c r="I70" s="37"/>
    </row>
    <row r="71" spans="1:9" x14ac:dyDescent="0.2">
      <c r="A71" s="37"/>
      <c r="B71" s="37"/>
      <c r="C71" s="37"/>
      <c r="D71" s="37"/>
      <c r="E71" s="37"/>
      <c r="F71" s="37"/>
      <c r="G71" s="37"/>
      <c r="H71" s="37"/>
      <c r="I71" s="37"/>
    </row>
    <row r="72" spans="1:9" x14ac:dyDescent="0.2">
      <c r="A72" s="37"/>
      <c r="B72" s="37"/>
      <c r="C72" s="37"/>
      <c r="D72" s="37"/>
      <c r="E72" s="37"/>
      <c r="F72" s="37"/>
      <c r="G72" s="37"/>
      <c r="H72" s="37"/>
      <c r="I72" s="37"/>
    </row>
    <row r="73" spans="1:9" x14ac:dyDescent="0.2">
      <c r="A73" s="37"/>
      <c r="B73" s="37"/>
      <c r="C73" s="37"/>
      <c r="D73" s="37"/>
      <c r="E73" s="37"/>
      <c r="F73" s="37"/>
      <c r="G73" s="37"/>
      <c r="H73" s="37"/>
      <c r="I73" s="37"/>
    </row>
    <row r="74" spans="1:9" x14ac:dyDescent="0.2">
      <c r="A74" s="37"/>
      <c r="B74" s="37"/>
      <c r="C74" s="37"/>
      <c r="D74" s="37"/>
      <c r="E74" s="37"/>
      <c r="F74" s="37"/>
      <c r="G74" s="37"/>
      <c r="H74" s="37"/>
      <c r="I74" s="37"/>
    </row>
    <row r="75" spans="1:9" x14ac:dyDescent="0.2">
      <c r="A75" s="37"/>
      <c r="B75" s="37"/>
      <c r="C75" s="37"/>
      <c r="D75" s="37"/>
      <c r="E75" s="37"/>
      <c r="F75" s="37"/>
      <c r="G75" s="37"/>
      <c r="H75" s="37"/>
      <c r="I75" s="37"/>
    </row>
    <row r="76" spans="1:9" x14ac:dyDescent="0.2">
      <c r="A76" s="37"/>
      <c r="B76" s="37"/>
      <c r="C76" s="37"/>
      <c r="D76" s="37"/>
      <c r="E76" s="37"/>
      <c r="F76" s="37"/>
      <c r="G76" s="37"/>
      <c r="H76" s="37"/>
      <c r="I76" s="37"/>
    </row>
    <row r="77" spans="1:9" x14ac:dyDescent="0.2">
      <c r="A77" s="37"/>
      <c r="B77" s="37"/>
      <c r="C77" s="37"/>
      <c r="D77" s="37"/>
      <c r="E77" s="37"/>
      <c r="F77" s="37"/>
      <c r="G77" s="37"/>
      <c r="H77" s="37"/>
      <c r="I77" s="37"/>
    </row>
    <row r="78" spans="1:9" x14ac:dyDescent="0.2">
      <c r="A78" s="37"/>
      <c r="B78" s="37"/>
      <c r="C78" s="37"/>
      <c r="D78" s="37"/>
      <c r="E78" s="37"/>
      <c r="F78" s="37"/>
      <c r="G78" s="37"/>
      <c r="H78" s="37"/>
      <c r="I78" s="37"/>
    </row>
    <row r="79" spans="1:9" x14ac:dyDescent="0.2">
      <c r="A79" s="37"/>
      <c r="B79" s="37"/>
      <c r="C79" s="37"/>
      <c r="D79" s="37"/>
      <c r="E79" s="37"/>
      <c r="F79" s="37"/>
      <c r="G79" s="37"/>
      <c r="H79" s="37"/>
      <c r="I79" s="37"/>
    </row>
    <row r="80" spans="1:9" x14ac:dyDescent="0.2">
      <c r="A80" s="37"/>
      <c r="B80" s="37"/>
      <c r="C80" s="37"/>
      <c r="D80" s="37"/>
      <c r="E80" s="37"/>
      <c r="F80" s="37"/>
      <c r="G80" s="37"/>
      <c r="H80" s="37"/>
      <c r="I80" s="37"/>
    </row>
    <row r="81" spans="1:9" x14ac:dyDescent="0.2">
      <c r="A81" s="37"/>
      <c r="B81" s="37"/>
      <c r="C81" s="37"/>
      <c r="D81" s="37"/>
      <c r="E81" s="37"/>
      <c r="F81" s="37"/>
      <c r="G81" s="37"/>
      <c r="H81" s="37"/>
      <c r="I81" s="37"/>
    </row>
    <row r="82" spans="1:9" x14ac:dyDescent="0.2">
      <c r="A82" s="37"/>
      <c r="B82" s="37"/>
      <c r="C82" s="37"/>
      <c r="D82" s="37"/>
      <c r="E82" s="37"/>
      <c r="F82" s="37"/>
      <c r="G82" s="37"/>
      <c r="H82" s="37"/>
      <c r="I82" s="37"/>
    </row>
    <row r="83" spans="1:9" x14ac:dyDescent="0.2">
      <c r="A83" s="37"/>
      <c r="B83" s="37"/>
      <c r="C83" s="37"/>
      <c r="D83" s="37"/>
      <c r="E83" s="37"/>
      <c r="F83" s="37"/>
      <c r="G83" s="37"/>
      <c r="H83" s="37"/>
      <c r="I83" s="37"/>
    </row>
    <row r="84" spans="1:9" x14ac:dyDescent="0.2">
      <c r="A84" s="37"/>
      <c r="B84" s="37"/>
      <c r="C84" s="37"/>
      <c r="D84" s="37"/>
      <c r="E84" s="37"/>
      <c r="F84" s="37"/>
      <c r="G84" s="37"/>
      <c r="H84" s="37"/>
      <c r="I84" s="37"/>
    </row>
    <row r="85" spans="1:9" x14ac:dyDescent="0.2">
      <c r="A85" s="37"/>
      <c r="B85" s="37"/>
      <c r="C85" s="37"/>
      <c r="D85" s="37"/>
      <c r="E85" s="37"/>
      <c r="F85" s="37"/>
      <c r="G85" s="37"/>
      <c r="H85" s="37"/>
      <c r="I85" s="37"/>
    </row>
    <row r="86" spans="1:9" x14ac:dyDescent="0.2">
      <c r="A86" s="37"/>
      <c r="B86" s="37"/>
      <c r="C86" s="37"/>
      <c r="D86" s="37"/>
      <c r="E86" s="37"/>
      <c r="F86" s="37"/>
      <c r="G86" s="37"/>
      <c r="H86" s="37"/>
      <c r="I86" s="37"/>
    </row>
    <row r="87" spans="1:9" x14ac:dyDescent="0.2">
      <c r="A87" s="37"/>
      <c r="B87" s="37"/>
      <c r="C87" s="37"/>
      <c r="D87" s="37"/>
      <c r="E87" s="37"/>
      <c r="F87" s="37"/>
      <c r="G87" s="37"/>
      <c r="H87" s="37"/>
      <c r="I87" s="37"/>
    </row>
    <row r="88" spans="1:9" x14ac:dyDescent="0.2">
      <c r="A88" s="37"/>
      <c r="B88" s="37"/>
      <c r="C88" s="37"/>
      <c r="D88" s="37"/>
      <c r="E88" s="37"/>
      <c r="F88" s="37"/>
      <c r="G88" s="37"/>
      <c r="H88" s="37"/>
      <c r="I88" s="37"/>
    </row>
    <row r="89" spans="1:9" x14ac:dyDescent="0.2">
      <c r="A89" s="37"/>
      <c r="B89" s="37"/>
      <c r="C89" s="37"/>
      <c r="D89" s="37"/>
      <c r="E89" s="37"/>
      <c r="F89" s="37"/>
      <c r="G89" s="37"/>
      <c r="H89" s="37"/>
      <c r="I89" s="37"/>
    </row>
    <row r="90" spans="1:9" x14ac:dyDescent="0.2">
      <c r="A90" s="37"/>
      <c r="B90" s="37"/>
      <c r="C90" s="37"/>
      <c r="D90" s="37"/>
      <c r="E90" s="37"/>
      <c r="F90" s="37"/>
      <c r="G90" s="37"/>
      <c r="H90" s="37"/>
      <c r="I90" s="37"/>
    </row>
    <row r="91" spans="1:9" x14ac:dyDescent="0.2">
      <c r="A91" s="37"/>
      <c r="B91" s="37"/>
      <c r="C91" s="37"/>
      <c r="D91" s="37"/>
      <c r="E91" s="37"/>
      <c r="F91" s="37"/>
      <c r="G91" s="37"/>
      <c r="H91" s="37"/>
      <c r="I91" s="37"/>
    </row>
    <row r="92" spans="1:9" x14ac:dyDescent="0.2">
      <c r="A92" s="37"/>
      <c r="B92" s="37"/>
      <c r="C92" s="37"/>
      <c r="D92" s="37"/>
      <c r="E92" s="37"/>
      <c r="F92" s="37"/>
      <c r="G92" s="37"/>
      <c r="H92" s="37"/>
      <c r="I92" s="37"/>
    </row>
    <row r="93" spans="1:9" x14ac:dyDescent="0.2">
      <c r="A93" s="37"/>
      <c r="B93" s="37"/>
      <c r="C93" s="37"/>
      <c r="D93" s="37"/>
      <c r="E93" s="37"/>
      <c r="F93" s="37"/>
      <c r="G93" s="37"/>
      <c r="H93" s="37"/>
      <c r="I93" s="37"/>
    </row>
    <row r="94" spans="1:9" x14ac:dyDescent="0.2">
      <c r="A94" s="37"/>
      <c r="B94" s="37"/>
      <c r="C94" s="37"/>
      <c r="D94" s="37"/>
      <c r="E94" s="37"/>
      <c r="F94" s="37"/>
      <c r="G94" s="37"/>
      <c r="H94" s="37"/>
      <c r="I94" s="37"/>
    </row>
    <row r="95" spans="1:9" x14ac:dyDescent="0.2">
      <c r="A95" s="37"/>
      <c r="B95" s="37"/>
      <c r="C95" s="37"/>
      <c r="D95" s="37"/>
      <c r="E95" s="37"/>
      <c r="F95" s="37"/>
      <c r="G95" s="37"/>
      <c r="H95" s="37"/>
      <c r="I95" s="37"/>
    </row>
    <row r="96" spans="1:9" x14ac:dyDescent="0.2">
      <c r="A96" s="37"/>
      <c r="B96" s="37"/>
      <c r="C96" s="37"/>
      <c r="D96" s="37"/>
      <c r="E96" s="37"/>
      <c r="F96" s="37"/>
      <c r="G96" s="37"/>
      <c r="H96" s="37"/>
      <c r="I96" s="37"/>
    </row>
    <row r="97" spans="1:9" x14ac:dyDescent="0.2">
      <c r="A97" s="37"/>
      <c r="B97" s="37"/>
      <c r="C97" s="37"/>
      <c r="D97" s="37"/>
      <c r="E97" s="37"/>
      <c r="F97" s="37"/>
      <c r="G97" s="37"/>
      <c r="H97" s="37"/>
      <c r="I97" s="37"/>
    </row>
    <row r="98" spans="1:9" x14ac:dyDescent="0.2">
      <c r="A98" s="37"/>
      <c r="B98" s="37"/>
      <c r="C98" s="37"/>
      <c r="D98" s="37"/>
      <c r="E98" s="37"/>
      <c r="F98" s="37"/>
      <c r="G98" s="37"/>
      <c r="H98" s="37"/>
      <c r="I98" s="37"/>
    </row>
    <row r="99" spans="1:9" x14ac:dyDescent="0.2">
      <c r="A99" s="37"/>
      <c r="B99" s="37"/>
      <c r="C99" s="37"/>
      <c r="D99" s="37"/>
      <c r="E99" s="37"/>
      <c r="F99" s="37"/>
      <c r="G99" s="37"/>
      <c r="H99" s="37"/>
      <c r="I99" s="37"/>
    </row>
    <row r="100" spans="1:9" x14ac:dyDescent="0.2">
      <c r="A100" s="37"/>
      <c r="B100" s="37"/>
      <c r="C100" s="37"/>
      <c r="D100" s="37"/>
      <c r="E100" s="37"/>
      <c r="F100" s="37"/>
      <c r="G100" s="37"/>
      <c r="H100" s="37"/>
      <c r="I100" s="37"/>
    </row>
  </sheetData>
  <mergeCells count="13">
    <mergeCell ref="A30:B30"/>
    <mergeCell ref="C1:I1"/>
    <mergeCell ref="A31:I31"/>
    <mergeCell ref="A32:I34"/>
    <mergeCell ref="A2:I2"/>
    <mergeCell ref="A3:I3"/>
    <mergeCell ref="A4:I4"/>
    <mergeCell ref="A5:I5"/>
    <mergeCell ref="A17:I17"/>
    <mergeCell ref="A9:A11"/>
    <mergeCell ref="A12:A14"/>
    <mergeCell ref="A28:B28"/>
    <mergeCell ref="A29:B29"/>
  </mergeCells>
  <phoneticPr fontId="65" type="noConversion"/>
  <pageMargins left="0.90583333300000002" right="0.12833333333333299" top="0.75" bottom="0.75" header="0.3" footer="0.3"/>
  <pageSetup orientation="portrait" r:id="rId1"/>
  <headerFooter>
    <oddHeader>&amp;LAKIS A 2012</oddHeader>
    <oddFooter>&amp;LAmerican Indian Higher Education Consortium</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D64"/>
  <sheetViews>
    <sheetView topLeftCell="E1" zoomScaleNormal="100" workbookViewId="0">
      <selection activeCell="Q2" sqref="Q2"/>
    </sheetView>
  </sheetViews>
  <sheetFormatPr defaultColWidth="9.140625" defaultRowHeight="12.75" x14ac:dyDescent="0.2"/>
  <cols>
    <col min="1" max="1" width="2.7109375" style="72" customWidth="1"/>
    <col min="2" max="2" width="8.7109375" style="72" customWidth="1"/>
    <col min="3" max="3" width="6.7109375" style="72" customWidth="1"/>
    <col min="4" max="5" width="4.7109375" style="72" customWidth="1"/>
    <col min="6" max="6" width="2" style="72" customWidth="1"/>
    <col min="7" max="10" width="6.7109375" style="72" customWidth="1"/>
    <col min="11" max="11" width="2" style="72" customWidth="1"/>
    <col min="12" max="12" width="6.7109375" style="72" customWidth="1"/>
    <col min="13" max="13" width="10.140625" style="72" customWidth="1"/>
    <col min="14" max="14" width="6.7109375" style="72" customWidth="1"/>
    <col min="15" max="17" width="4.7109375" style="72" customWidth="1"/>
    <col min="18" max="18" width="2" style="72" customWidth="1"/>
    <col min="19" max="19" width="12.7109375" style="72" customWidth="1"/>
    <col min="20" max="20" width="5.7109375" style="72" customWidth="1"/>
    <col min="21" max="23" width="9.140625" style="72"/>
    <col min="24" max="24" width="5.42578125" style="72" customWidth="1"/>
    <col min="25" max="25" width="16.85546875" style="72" customWidth="1"/>
    <col min="26" max="16384" width="9.140625" style="72"/>
  </cols>
  <sheetData>
    <row r="1" spans="1:30" ht="18" customHeight="1" thickTop="1" x14ac:dyDescent="0.2">
      <c r="A1" s="1938" t="s">
        <v>607</v>
      </c>
      <c r="B1" s="1939"/>
      <c r="C1" s="1939"/>
      <c r="D1" s="1939"/>
      <c r="E1" s="1939"/>
      <c r="F1" s="1939"/>
      <c r="G1" s="1939"/>
      <c r="H1" s="1939"/>
      <c r="I1" s="1939"/>
      <c r="J1" s="1939"/>
      <c r="K1" s="1939"/>
      <c r="L1" s="1939"/>
      <c r="M1" s="1939"/>
      <c r="N1" s="1939"/>
      <c r="O1" s="1939"/>
      <c r="P1" s="1939"/>
      <c r="Q1" s="1939"/>
      <c r="R1" s="1940"/>
      <c r="S1" s="1936"/>
      <c r="T1" s="1937"/>
    </row>
    <row r="2" spans="1:30" ht="12" customHeight="1" x14ac:dyDescent="0.2">
      <c r="A2" s="193"/>
      <c r="B2" s="149"/>
      <c r="C2" s="150"/>
      <c r="D2" s="150"/>
      <c r="E2" s="150"/>
      <c r="F2" s="150"/>
      <c r="G2" s="150"/>
      <c r="H2" s="157"/>
      <c r="I2" s="150"/>
      <c r="J2" s="150"/>
      <c r="K2" s="157"/>
      <c r="L2" s="157"/>
      <c r="M2" s="157"/>
      <c r="N2" s="157"/>
      <c r="O2" s="157"/>
      <c r="P2" s="157"/>
      <c r="Q2" s="157"/>
      <c r="R2" s="194"/>
      <c r="S2" s="157"/>
      <c r="T2" s="153"/>
    </row>
    <row r="3" spans="1:30" ht="12" customHeight="1" x14ac:dyDescent="0.2">
      <c r="A3" s="195"/>
      <c r="B3" s="1933" t="s">
        <v>262</v>
      </c>
      <c r="C3" s="1933"/>
      <c r="D3" s="1933"/>
      <c r="E3" s="1933"/>
      <c r="F3" s="158"/>
      <c r="G3" s="1934" t="s">
        <v>263</v>
      </c>
      <c r="H3" s="1934"/>
      <c r="I3" s="1934"/>
      <c r="J3" s="1934"/>
      <c r="K3" s="159"/>
      <c r="L3" s="1934" t="s">
        <v>268</v>
      </c>
      <c r="M3" s="1934"/>
      <c r="N3" s="1934"/>
      <c r="O3" s="1934"/>
      <c r="P3" s="1934"/>
      <c r="Q3" s="1934"/>
      <c r="R3" s="200"/>
      <c r="S3" s="159"/>
    </row>
    <row r="4" spans="1:30" s="148" customFormat="1" ht="12" customHeight="1" x14ac:dyDescent="0.2">
      <c r="A4" s="195"/>
      <c r="B4" s="1933" t="s">
        <v>828</v>
      </c>
      <c r="C4" s="1933"/>
      <c r="D4" s="1933"/>
      <c r="E4" s="1933"/>
      <c r="F4" s="158"/>
      <c r="G4" s="1941" t="s">
        <v>51</v>
      </c>
      <c r="H4" s="1941"/>
      <c r="I4" s="1941"/>
      <c r="J4" s="1941"/>
      <c r="K4" s="152"/>
      <c r="L4" s="1934" t="s">
        <v>121</v>
      </c>
      <c r="M4" s="1934"/>
      <c r="N4" s="1934"/>
      <c r="O4" s="1934"/>
      <c r="P4" s="1934"/>
      <c r="Q4" s="1934"/>
      <c r="R4" s="200"/>
      <c r="S4" s="152"/>
      <c r="V4" s="72"/>
      <c r="X4" s="72"/>
      <c r="Y4" s="72"/>
      <c r="Z4" s="72"/>
      <c r="AA4" s="72"/>
      <c r="AB4" s="72"/>
      <c r="AC4" s="72"/>
      <c r="AD4" s="72"/>
    </row>
    <row r="5" spans="1:30" s="148" customFormat="1" ht="12" customHeight="1" x14ac:dyDescent="0.2">
      <c r="A5" s="195"/>
      <c r="B5" s="161" t="s">
        <v>852</v>
      </c>
      <c r="C5" s="155"/>
      <c r="D5" s="162"/>
      <c r="E5" s="162"/>
      <c r="F5" s="163"/>
      <c r="G5" s="166" t="s">
        <v>54</v>
      </c>
      <c r="H5" s="166"/>
      <c r="I5" s="166"/>
      <c r="J5" s="166"/>
      <c r="K5" s="152"/>
      <c r="L5" s="164" t="s">
        <v>107</v>
      </c>
      <c r="M5" s="164"/>
      <c r="N5" s="162"/>
      <c r="O5" s="162"/>
      <c r="P5" s="162"/>
      <c r="Q5" s="165"/>
      <c r="R5" s="200"/>
      <c r="S5" s="152"/>
      <c r="T5" s="154"/>
      <c r="V5" s="72"/>
      <c r="X5" s="72"/>
      <c r="Y5" s="72"/>
      <c r="Z5" s="72"/>
      <c r="AA5" s="72"/>
      <c r="AB5" s="72"/>
      <c r="AC5" s="72"/>
      <c r="AD5" s="72"/>
    </row>
    <row r="6" spans="1:30" s="148" customFormat="1" ht="12" customHeight="1" x14ac:dyDescent="0.2">
      <c r="A6" s="195"/>
      <c r="B6" s="166" t="s">
        <v>606</v>
      </c>
      <c r="C6" s="167"/>
      <c r="D6" s="167"/>
      <c r="E6" s="167"/>
      <c r="F6" s="168"/>
      <c r="G6" s="166" t="s">
        <v>56</v>
      </c>
      <c r="H6" s="166"/>
      <c r="I6" s="166"/>
      <c r="J6" s="166"/>
      <c r="K6" s="152"/>
      <c r="L6" s="164" t="s">
        <v>108</v>
      </c>
      <c r="M6" s="164"/>
      <c r="N6" s="169"/>
      <c r="O6" s="169"/>
      <c r="P6" s="169"/>
      <c r="Q6" s="165"/>
      <c r="R6" s="200"/>
      <c r="S6" s="152"/>
      <c r="T6" s="154"/>
      <c r="V6" s="72"/>
      <c r="X6" s="72"/>
      <c r="Y6" s="72"/>
      <c r="Z6" s="72"/>
      <c r="AA6" s="72"/>
      <c r="AB6" s="72"/>
      <c r="AC6" s="72"/>
      <c r="AD6" s="72"/>
    </row>
    <row r="7" spans="1:30" s="148" customFormat="1" ht="12" customHeight="1" x14ac:dyDescent="0.2">
      <c r="A7" s="195"/>
      <c r="B7" s="166" t="s">
        <v>854</v>
      </c>
      <c r="C7" s="169"/>
      <c r="D7" s="169"/>
      <c r="E7" s="169"/>
      <c r="F7" s="170"/>
      <c r="G7" s="166" t="s">
        <v>58</v>
      </c>
      <c r="H7" s="166"/>
      <c r="I7" s="166"/>
      <c r="J7" s="166"/>
      <c r="K7" s="152"/>
      <c r="L7" s="164" t="s">
        <v>109</v>
      </c>
      <c r="M7" s="164"/>
      <c r="N7" s="169"/>
      <c r="O7" s="169"/>
      <c r="P7" s="169"/>
      <c r="Q7" s="165"/>
      <c r="R7" s="200"/>
      <c r="S7" s="152"/>
      <c r="T7" s="171"/>
      <c r="V7" s="72"/>
      <c r="X7" s="72"/>
      <c r="Y7" s="72"/>
      <c r="Z7" s="72"/>
      <c r="AA7" s="72"/>
      <c r="AB7" s="72"/>
      <c r="AC7" s="72"/>
      <c r="AD7" s="72"/>
    </row>
    <row r="8" spans="1:30" s="148" customFormat="1" ht="12" customHeight="1" x14ac:dyDescent="0.2">
      <c r="A8" s="195"/>
      <c r="B8" s="166" t="s">
        <v>855</v>
      </c>
      <c r="C8" s="169"/>
      <c r="D8" s="169"/>
      <c r="E8" s="169"/>
      <c r="F8" s="170"/>
      <c r="G8" s="72"/>
      <c r="H8" s="72"/>
      <c r="I8" s="72"/>
      <c r="J8" s="72"/>
      <c r="K8" s="152"/>
      <c r="L8" s="164" t="s">
        <v>110</v>
      </c>
      <c r="M8" s="160"/>
      <c r="N8" s="172"/>
      <c r="O8" s="169"/>
      <c r="P8" s="169"/>
      <c r="Q8" s="165"/>
      <c r="R8" s="200"/>
      <c r="S8" s="152"/>
      <c r="T8" s="171"/>
      <c r="V8" s="72"/>
      <c r="X8" s="72"/>
      <c r="Y8" s="72"/>
      <c r="Z8" s="72"/>
      <c r="AA8" s="72"/>
      <c r="AB8" s="72"/>
      <c r="AC8" s="72"/>
      <c r="AD8" s="72"/>
    </row>
    <row r="9" spans="1:30" s="148" customFormat="1" ht="12" customHeight="1" x14ac:dyDescent="0.2">
      <c r="A9" s="195"/>
      <c r="B9" s="152"/>
      <c r="C9" s="170"/>
      <c r="D9" s="170"/>
      <c r="E9" s="170"/>
      <c r="F9" s="152"/>
      <c r="G9" s="1934" t="s">
        <v>263</v>
      </c>
      <c r="H9" s="1934"/>
      <c r="I9" s="1934"/>
      <c r="J9" s="1934"/>
      <c r="K9" s="152"/>
      <c r="L9" s="164" t="s">
        <v>122</v>
      </c>
      <c r="M9" s="160"/>
      <c r="N9" s="173"/>
      <c r="O9" s="174"/>
      <c r="P9" s="174"/>
      <c r="Q9" s="165"/>
      <c r="R9" s="200"/>
      <c r="S9" s="152"/>
      <c r="T9" s="175"/>
      <c r="V9" s="72"/>
      <c r="X9" s="72"/>
      <c r="Y9" s="72"/>
      <c r="Z9" s="72"/>
      <c r="AA9" s="72"/>
      <c r="AB9" s="72"/>
      <c r="AC9" s="72"/>
      <c r="AD9" s="72"/>
    </row>
    <row r="10" spans="1:30" s="148" customFormat="1" ht="12" customHeight="1" x14ac:dyDescent="0.2">
      <c r="A10" s="195"/>
      <c r="B10" s="1933" t="s">
        <v>262</v>
      </c>
      <c r="C10" s="1933"/>
      <c r="D10" s="1933"/>
      <c r="E10" s="1933"/>
      <c r="F10" s="158"/>
      <c r="G10" s="1934" t="s">
        <v>63</v>
      </c>
      <c r="H10" s="1934"/>
      <c r="I10" s="1934"/>
      <c r="J10" s="1934"/>
      <c r="K10" s="152"/>
      <c r="L10" s="164" t="s">
        <v>123</v>
      </c>
      <c r="M10" s="164"/>
      <c r="N10" s="162"/>
      <c r="O10" s="162"/>
      <c r="P10" s="162"/>
      <c r="Q10" s="165"/>
      <c r="R10" s="200"/>
      <c r="S10" s="152"/>
      <c r="T10" s="171"/>
      <c r="V10" s="72"/>
      <c r="X10" s="72"/>
      <c r="Y10" s="72"/>
      <c r="Z10" s="72"/>
      <c r="AA10" s="72"/>
      <c r="AB10" s="72"/>
      <c r="AC10" s="72"/>
      <c r="AD10" s="72"/>
    </row>
    <row r="11" spans="1:30" ht="12" customHeight="1" x14ac:dyDescent="0.2">
      <c r="A11" s="195"/>
      <c r="B11" s="1933" t="s">
        <v>829</v>
      </c>
      <c r="C11" s="1933"/>
      <c r="D11" s="1933"/>
      <c r="E11" s="1933"/>
      <c r="F11" s="158"/>
      <c r="G11" s="156" t="s">
        <v>70</v>
      </c>
      <c r="H11" s="169"/>
      <c r="I11" s="169"/>
      <c r="J11" s="169"/>
      <c r="K11" s="159"/>
      <c r="L11" s="164" t="s">
        <v>124</v>
      </c>
      <c r="M11" s="164"/>
      <c r="N11" s="169"/>
      <c r="O11" s="169"/>
      <c r="P11" s="169"/>
      <c r="Q11" s="165"/>
      <c r="R11" s="200"/>
      <c r="T11" s="176"/>
      <c r="U11" s="177"/>
      <c r="W11" s="177"/>
      <c r="X11" s="177"/>
      <c r="Y11" s="151"/>
      <c r="Z11" s="178"/>
      <c r="AA11" s="178"/>
      <c r="AB11" s="178"/>
      <c r="AC11" s="178"/>
    </row>
    <row r="12" spans="1:30" ht="12" customHeight="1" x14ac:dyDescent="0.2">
      <c r="A12" s="195"/>
      <c r="B12" s="161" t="s">
        <v>266</v>
      </c>
      <c r="C12" s="192"/>
      <c r="D12" s="162"/>
      <c r="E12" s="162"/>
      <c r="F12" s="163"/>
      <c r="G12" s="156" t="s">
        <v>72</v>
      </c>
      <c r="H12" s="169"/>
      <c r="I12" s="169"/>
      <c r="J12" s="169"/>
      <c r="K12" s="159"/>
      <c r="L12" s="164" t="s">
        <v>111</v>
      </c>
      <c r="M12" s="164"/>
      <c r="N12" s="169"/>
      <c r="O12" s="169"/>
      <c r="P12" s="169"/>
      <c r="Q12" s="165"/>
      <c r="R12" s="200"/>
      <c r="T12" s="179"/>
      <c r="U12" s="177"/>
      <c r="W12" s="177"/>
      <c r="X12" s="177"/>
      <c r="Y12" s="151"/>
      <c r="Z12" s="180"/>
      <c r="AA12" s="178"/>
      <c r="AB12" s="178"/>
      <c r="AC12" s="178"/>
    </row>
    <row r="13" spans="1:30" ht="12" customHeight="1" x14ac:dyDescent="0.2">
      <c r="A13" s="195"/>
      <c r="B13" s="161" t="s">
        <v>267</v>
      </c>
      <c r="C13" s="167"/>
      <c r="D13" s="167"/>
      <c r="E13" s="167"/>
      <c r="F13" s="168"/>
      <c r="G13" s="156" t="s">
        <v>69</v>
      </c>
      <c r="H13" s="172"/>
      <c r="I13" s="169"/>
      <c r="J13" s="169"/>
      <c r="K13" s="159"/>
      <c r="L13" s="164" t="s">
        <v>112</v>
      </c>
      <c r="M13" s="164"/>
      <c r="N13" s="169"/>
      <c r="O13" s="169"/>
      <c r="P13" s="169"/>
      <c r="Q13" s="165"/>
      <c r="R13" s="200"/>
      <c r="T13" s="179"/>
      <c r="U13" s="177"/>
      <c r="W13" s="177"/>
      <c r="X13" s="177"/>
      <c r="Y13" s="151"/>
      <c r="Z13" s="180"/>
      <c r="AA13" s="178"/>
      <c r="AB13" s="178"/>
      <c r="AC13" s="178"/>
    </row>
    <row r="14" spans="1:30" ht="12" customHeight="1" x14ac:dyDescent="0.2">
      <c r="A14" s="195"/>
      <c r="B14" s="161" t="s">
        <v>269</v>
      </c>
      <c r="C14" s="167"/>
      <c r="D14" s="167"/>
      <c r="E14" s="167"/>
      <c r="F14" s="168"/>
      <c r="G14" s="156" t="s">
        <v>73</v>
      </c>
      <c r="H14" s="172"/>
      <c r="I14" s="169"/>
      <c r="J14" s="169"/>
      <c r="K14" s="159"/>
      <c r="L14" s="164" t="s">
        <v>125</v>
      </c>
      <c r="M14" s="164"/>
      <c r="N14" s="169"/>
      <c r="O14" s="169"/>
      <c r="P14" s="169"/>
      <c r="Q14" s="165"/>
      <c r="R14" s="200"/>
      <c r="U14" s="177"/>
      <c r="W14" s="177"/>
      <c r="X14" s="177"/>
      <c r="Y14" s="177"/>
      <c r="Z14" s="177"/>
      <c r="AA14" s="177"/>
      <c r="AB14" s="177"/>
      <c r="AC14" s="177"/>
    </row>
    <row r="15" spans="1:30" ht="12" customHeight="1" x14ac:dyDescent="0.2">
      <c r="A15" s="195"/>
      <c r="B15" s="166" t="s">
        <v>207</v>
      </c>
      <c r="C15" s="167"/>
      <c r="D15" s="167"/>
      <c r="E15" s="167"/>
      <c r="F15" s="168"/>
      <c r="G15" s="156" t="s">
        <v>68</v>
      </c>
      <c r="H15" s="172"/>
      <c r="I15" s="169"/>
      <c r="J15" s="169"/>
      <c r="K15" s="159"/>
      <c r="L15" s="164" t="s">
        <v>126</v>
      </c>
      <c r="M15" s="164"/>
      <c r="N15" s="169"/>
      <c r="O15" s="169"/>
      <c r="P15" s="169"/>
      <c r="Q15" s="165"/>
      <c r="R15" s="200"/>
      <c r="T15" s="179"/>
    </row>
    <row r="16" spans="1:30" ht="12" customHeight="1" x14ac:dyDescent="0.2">
      <c r="A16" s="195"/>
      <c r="F16" s="170"/>
      <c r="G16" s="156" t="s">
        <v>74</v>
      </c>
      <c r="H16" s="172"/>
      <c r="I16" s="189"/>
      <c r="J16" s="189"/>
      <c r="K16" s="159"/>
      <c r="L16" s="164" t="s">
        <v>113</v>
      </c>
      <c r="M16" s="164"/>
      <c r="N16" s="169"/>
      <c r="O16" s="169"/>
      <c r="P16" s="169"/>
      <c r="Q16" s="165"/>
      <c r="R16" s="200"/>
      <c r="T16" s="181"/>
    </row>
    <row r="17" spans="1:20" ht="12" customHeight="1" x14ac:dyDescent="0.2">
      <c r="A17" s="195"/>
      <c r="B17" s="1933" t="s">
        <v>262</v>
      </c>
      <c r="C17" s="1933"/>
      <c r="D17" s="1933"/>
      <c r="E17" s="1933"/>
      <c r="F17" s="159"/>
      <c r="G17" s="156" t="s">
        <v>71</v>
      </c>
      <c r="H17" s="160"/>
      <c r="I17" s="190"/>
      <c r="J17" s="190"/>
      <c r="K17" s="159"/>
      <c r="L17" s="164" t="s">
        <v>114</v>
      </c>
      <c r="M17" s="164"/>
      <c r="N17" s="169"/>
      <c r="O17" s="169"/>
      <c r="P17" s="169"/>
      <c r="Q17" s="165"/>
      <c r="R17" s="200"/>
      <c r="T17" s="181"/>
    </row>
    <row r="18" spans="1:20" ht="12" customHeight="1" x14ac:dyDescent="0.2">
      <c r="A18" s="195"/>
      <c r="B18" s="1933" t="s">
        <v>270</v>
      </c>
      <c r="C18" s="1933"/>
      <c r="D18" s="1933"/>
      <c r="E18" s="1933"/>
      <c r="F18" s="158"/>
      <c r="G18" s="156" t="s">
        <v>75</v>
      </c>
      <c r="H18" s="156"/>
      <c r="I18" s="156"/>
      <c r="J18" s="156"/>
      <c r="K18" s="159"/>
      <c r="L18" s="164" t="s">
        <v>115</v>
      </c>
      <c r="M18" s="164"/>
      <c r="N18" s="165"/>
      <c r="O18" s="165"/>
      <c r="P18" s="165"/>
      <c r="Q18" s="165"/>
      <c r="R18" s="200"/>
      <c r="T18" s="182"/>
    </row>
    <row r="19" spans="1:20" ht="12" customHeight="1" x14ac:dyDescent="0.2">
      <c r="A19" s="195"/>
      <c r="B19" s="161" t="s">
        <v>86</v>
      </c>
      <c r="C19" s="155"/>
      <c r="D19" s="162"/>
      <c r="E19" s="162"/>
      <c r="F19" s="158"/>
      <c r="G19" s="156" t="s">
        <v>76</v>
      </c>
      <c r="H19" s="156"/>
      <c r="I19" s="169"/>
      <c r="J19" s="169"/>
      <c r="K19" s="159"/>
      <c r="L19" s="164" t="s">
        <v>116</v>
      </c>
      <c r="M19" s="156"/>
      <c r="N19" s="156"/>
      <c r="O19" s="183"/>
      <c r="P19" s="183"/>
      <c r="Q19" s="526"/>
      <c r="R19" s="200"/>
      <c r="T19" s="181"/>
    </row>
    <row r="20" spans="1:20" ht="12" customHeight="1" x14ac:dyDescent="0.2">
      <c r="A20" s="195"/>
      <c r="B20" s="166" t="s">
        <v>92</v>
      </c>
      <c r="C20" s="167"/>
      <c r="D20" s="167"/>
      <c r="E20" s="167"/>
      <c r="F20" s="163"/>
      <c r="G20" s="156" t="s">
        <v>66</v>
      </c>
      <c r="H20" s="156"/>
      <c r="I20" s="169"/>
      <c r="J20" s="169"/>
      <c r="K20" s="159"/>
      <c r="L20" s="164" t="s">
        <v>127</v>
      </c>
      <c r="M20" s="156"/>
      <c r="N20" s="156"/>
      <c r="O20" s="183"/>
      <c r="P20" s="183"/>
      <c r="Q20" s="526"/>
      <c r="R20" s="200"/>
      <c r="T20" s="181"/>
    </row>
    <row r="21" spans="1:20" ht="12" customHeight="1" x14ac:dyDescent="0.2">
      <c r="A21" s="195"/>
      <c r="F21" s="168"/>
      <c r="G21" s="148"/>
      <c r="H21" s="148"/>
      <c r="I21" s="148"/>
      <c r="J21" s="148"/>
      <c r="K21" s="159"/>
      <c r="L21" s="164" t="s">
        <v>265</v>
      </c>
      <c r="M21" s="165"/>
      <c r="N21" s="165"/>
      <c r="O21" s="183"/>
      <c r="P21" s="183"/>
      <c r="Q21" s="526"/>
      <c r="R21" s="200"/>
      <c r="T21" s="181"/>
    </row>
    <row r="22" spans="1:20" ht="12" customHeight="1" x14ac:dyDescent="0.2">
      <c r="A22" s="195"/>
      <c r="B22" s="1933" t="s">
        <v>262</v>
      </c>
      <c r="C22" s="1933"/>
      <c r="D22" s="1933"/>
      <c r="E22" s="1933"/>
      <c r="F22" s="170"/>
      <c r="G22" s="1933" t="s">
        <v>263</v>
      </c>
      <c r="H22" s="1933"/>
      <c r="I22" s="1933"/>
      <c r="J22" s="1933"/>
      <c r="K22" s="159"/>
      <c r="L22" s="164" t="s">
        <v>128</v>
      </c>
      <c r="M22" s="165"/>
      <c r="N22" s="165"/>
      <c r="O22" s="165"/>
      <c r="P22" s="165"/>
      <c r="Q22" s="526"/>
      <c r="R22" s="200"/>
      <c r="T22" s="181"/>
    </row>
    <row r="23" spans="1:20" ht="12" customHeight="1" x14ac:dyDescent="0.2">
      <c r="A23" s="195"/>
      <c r="B23" s="1933" t="s">
        <v>838</v>
      </c>
      <c r="C23" s="1933"/>
      <c r="D23" s="1933"/>
      <c r="E23" s="1933"/>
      <c r="F23" s="159"/>
      <c r="G23" s="1933" t="s">
        <v>77</v>
      </c>
      <c r="H23" s="1933"/>
      <c r="I23" s="1933"/>
      <c r="J23" s="1933"/>
      <c r="K23" s="159"/>
      <c r="L23" s="164" t="s">
        <v>275</v>
      </c>
      <c r="M23" s="156"/>
      <c r="N23" s="156"/>
      <c r="O23" s="156"/>
      <c r="P23" s="156"/>
      <c r="Q23" s="526"/>
      <c r="R23" s="200"/>
      <c r="T23" s="179"/>
    </row>
    <row r="24" spans="1:20" ht="12" customHeight="1" x14ac:dyDescent="0.2">
      <c r="A24" s="195"/>
      <c r="B24" s="161" t="s">
        <v>271</v>
      </c>
      <c r="C24" s="167"/>
      <c r="D24" s="162"/>
      <c r="E24" s="162"/>
      <c r="F24" s="152"/>
      <c r="G24" s="161" t="s">
        <v>78</v>
      </c>
      <c r="H24" s="155"/>
      <c r="I24" s="162"/>
      <c r="J24" s="162"/>
      <c r="K24" s="159"/>
      <c r="L24" s="164" t="s">
        <v>129</v>
      </c>
      <c r="M24" s="165"/>
      <c r="N24" s="165"/>
      <c r="O24" s="165"/>
      <c r="P24" s="165"/>
      <c r="Q24" s="526"/>
      <c r="R24" s="200"/>
      <c r="T24" s="179"/>
    </row>
    <row r="25" spans="1:20" ht="12" customHeight="1" x14ac:dyDescent="0.2">
      <c r="A25" s="195"/>
      <c r="B25" s="166" t="s">
        <v>272</v>
      </c>
      <c r="C25" s="169"/>
      <c r="D25" s="167"/>
      <c r="E25" s="167"/>
      <c r="F25" s="184"/>
      <c r="G25" s="161" t="s">
        <v>79</v>
      </c>
      <c r="H25" s="167"/>
      <c r="I25" s="167"/>
      <c r="J25" s="167"/>
      <c r="K25" s="159"/>
      <c r="L25" s="164" t="s">
        <v>117</v>
      </c>
      <c r="M25" s="164"/>
      <c r="N25" s="173"/>
      <c r="O25" s="174"/>
      <c r="P25" s="174"/>
      <c r="Q25" s="526"/>
      <c r="R25" s="200"/>
      <c r="T25" s="179"/>
    </row>
    <row r="26" spans="1:20" ht="12" customHeight="1" x14ac:dyDescent="0.2">
      <c r="A26" s="195"/>
      <c r="F26" s="163"/>
      <c r="G26" s="166" t="s">
        <v>80</v>
      </c>
      <c r="H26" s="167"/>
      <c r="I26" s="167"/>
      <c r="J26" s="167"/>
      <c r="K26" s="159"/>
      <c r="L26" s="164" t="s">
        <v>130</v>
      </c>
      <c r="M26" s="164"/>
      <c r="N26" s="160"/>
      <c r="O26" s="160"/>
      <c r="P26" s="160"/>
      <c r="Q26" s="526"/>
      <c r="R26" s="200"/>
      <c r="T26" s="179"/>
    </row>
    <row r="27" spans="1:20" ht="12" customHeight="1" x14ac:dyDescent="0.2">
      <c r="A27" s="197"/>
      <c r="F27" s="170"/>
      <c r="G27" s="161" t="s">
        <v>67</v>
      </c>
      <c r="H27" s="169"/>
      <c r="I27" s="169"/>
      <c r="J27" s="169"/>
      <c r="K27" s="159"/>
      <c r="L27" s="164" t="s">
        <v>118</v>
      </c>
      <c r="M27" s="164"/>
      <c r="N27" s="162"/>
      <c r="O27" s="162"/>
      <c r="P27" s="162"/>
      <c r="Q27" s="526"/>
      <c r="R27" s="528"/>
      <c r="T27" s="179"/>
    </row>
    <row r="28" spans="1:20" ht="12" customHeight="1" x14ac:dyDescent="0.2">
      <c r="A28" s="197"/>
      <c r="F28" s="170"/>
      <c r="G28" s="148"/>
      <c r="H28" s="148"/>
      <c r="I28" s="148"/>
      <c r="J28" s="148"/>
      <c r="K28" s="159"/>
      <c r="L28" s="164" t="s">
        <v>131</v>
      </c>
      <c r="M28" s="164"/>
      <c r="N28" s="169"/>
      <c r="O28" s="169"/>
      <c r="P28" s="169"/>
      <c r="Q28" s="526"/>
      <c r="R28" s="528"/>
      <c r="T28" s="179"/>
    </row>
    <row r="29" spans="1:20" ht="12" customHeight="1" x14ac:dyDescent="0.2">
      <c r="A29" s="197"/>
      <c r="F29" s="170"/>
      <c r="G29" s="1934" t="s">
        <v>264</v>
      </c>
      <c r="H29" s="1934"/>
      <c r="I29" s="1934"/>
      <c r="J29" s="1934"/>
      <c r="K29" s="159"/>
      <c r="L29" s="164" t="s">
        <v>132</v>
      </c>
      <c r="M29" s="164"/>
      <c r="N29" s="169"/>
      <c r="O29" s="169"/>
      <c r="P29" s="169"/>
      <c r="Q29" s="526"/>
      <c r="R29" s="528"/>
      <c r="T29" s="179"/>
    </row>
    <row r="30" spans="1:20" ht="12" customHeight="1" x14ac:dyDescent="0.2">
      <c r="A30" s="197"/>
      <c r="F30" s="159"/>
      <c r="G30" s="1935" t="s">
        <v>81</v>
      </c>
      <c r="H30" s="1935"/>
      <c r="I30" s="1935"/>
      <c r="J30" s="1935"/>
      <c r="K30" s="159"/>
      <c r="L30" s="164" t="s">
        <v>133</v>
      </c>
      <c r="M30" s="164"/>
      <c r="N30" s="169"/>
      <c r="O30" s="169"/>
      <c r="P30" s="169"/>
      <c r="Q30" s="526"/>
      <c r="R30" s="528"/>
      <c r="T30" s="179"/>
    </row>
    <row r="31" spans="1:20" ht="12" customHeight="1" x14ac:dyDescent="0.2">
      <c r="A31" s="198"/>
      <c r="F31" s="159"/>
      <c r="G31" s="1934" t="s">
        <v>82</v>
      </c>
      <c r="H31" s="1934"/>
      <c r="I31" s="1934"/>
      <c r="J31" s="1934"/>
      <c r="K31" s="159"/>
      <c r="L31" s="164" t="s">
        <v>119</v>
      </c>
      <c r="M31" s="164"/>
      <c r="N31" s="169"/>
      <c r="O31" s="169"/>
      <c r="P31" s="169"/>
      <c r="Q31" s="183"/>
      <c r="R31" s="200"/>
    </row>
    <row r="32" spans="1:20" ht="12" customHeight="1" x14ac:dyDescent="0.2">
      <c r="A32" s="199"/>
      <c r="F32" s="159"/>
      <c r="G32" s="1934" t="s">
        <v>83</v>
      </c>
      <c r="H32" s="1934"/>
      <c r="I32" s="1934"/>
      <c r="J32" s="1934"/>
      <c r="K32" s="159"/>
      <c r="L32" s="164" t="s">
        <v>120</v>
      </c>
      <c r="M32" s="164"/>
      <c r="N32" s="169"/>
      <c r="O32" s="169"/>
      <c r="P32" s="169"/>
      <c r="Q32" s="165"/>
      <c r="R32" s="529"/>
      <c r="T32" s="179"/>
    </row>
    <row r="33" spans="1:20" ht="12" customHeight="1" x14ac:dyDescent="0.2">
      <c r="A33" s="199"/>
      <c r="F33" s="159"/>
      <c r="G33" s="166" t="s">
        <v>86</v>
      </c>
      <c r="H33" s="162"/>
      <c r="I33" s="162"/>
      <c r="J33" s="162"/>
      <c r="K33" s="159"/>
      <c r="L33" s="164" t="s">
        <v>134</v>
      </c>
      <c r="M33" s="164"/>
      <c r="N33" s="169"/>
      <c r="O33" s="169"/>
      <c r="P33" s="169"/>
      <c r="Q33" s="186"/>
      <c r="R33" s="529"/>
      <c r="T33" s="179"/>
    </row>
    <row r="34" spans="1:20" ht="12" customHeight="1" x14ac:dyDescent="0.2">
      <c r="A34" s="199"/>
      <c r="F34" s="159"/>
      <c r="G34" s="166" t="s">
        <v>92</v>
      </c>
      <c r="H34" s="169"/>
      <c r="I34" s="169"/>
      <c r="J34" s="169"/>
      <c r="K34" s="159"/>
      <c r="L34" s="164" t="s">
        <v>135</v>
      </c>
      <c r="M34" s="164"/>
      <c r="N34" s="169"/>
      <c r="O34" s="169"/>
      <c r="P34" s="169"/>
      <c r="Q34" s="187"/>
      <c r="R34" s="529"/>
      <c r="S34" s="159"/>
      <c r="T34" s="179"/>
    </row>
    <row r="35" spans="1:20" ht="12" customHeight="1" x14ac:dyDescent="0.2">
      <c r="A35" s="199"/>
      <c r="F35" s="185"/>
      <c r="G35" s="159"/>
      <c r="H35" s="159"/>
      <c r="I35" s="159"/>
      <c r="J35" s="159"/>
      <c r="K35" s="185"/>
      <c r="L35" s="164" t="s">
        <v>136</v>
      </c>
      <c r="M35" s="164"/>
      <c r="N35" s="169"/>
      <c r="O35" s="169"/>
      <c r="P35" s="169"/>
      <c r="Q35" s="187"/>
      <c r="R35" s="201"/>
      <c r="S35" s="185"/>
      <c r="T35" s="179"/>
    </row>
    <row r="36" spans="1:20" ht="12" customHeight="1" x14ac:dyDescent="0.2">
      <c r="A36" s="199"/>
      <c r="F36" s="185"/>
      <c r="G36" s="1933" t="s">
        <v>264</v>
      </c>
      <c r="H36" s="1933"/>
      <c r="I36" s="1933"/>
      <c r="J36" s="1933"/>
      <c r="K36" s="185"/>
      <c r="L36" s="164" t="s">
        <v>137</v>
      </c>
      <c r="M36" s="164"/>
      <c r="N36" s="162"/>
      <c r="O36" s="164"/>
      <c r="P36" s="164"/>
      <c r="Q36" s="526"/>
      <c r="R36" s="201"/>
      <c r="S36" s="185"/>
      <c r="T36" s="179"/>
    </row>
    <row r="37" spans="1:20" ht="12" customHeight="1" x14ac:dyDescent="0.2">
      <c r="A37" s="199"/>
      <c r="G37" s="1933" t="s">
        <v>90</v>
      </c>
      <c r="H37" s="1933"/>
      <c r="I37" s="1933"/>
      <c r="J37" s="1933"/>
      <c r="K37" s="176"/>
      <c r="L37" s="164" t="s">
        <v>138</v>
      </c>
      <c r="M37" s="164"/>
      <c r="N37" s="169"/>
      <c r="O37" s="164"/>
      <c r="P37" s="164"/>
      <c r="Q37" s="526"/>
      <c r="R37" s="201"/>
      <c r="S37" s="179"/>
      <c r="T37" s="179"/>
    </row>
    <row r="38" spans="1:20" ht="12" customHeight="1" x14ac:dyDescent="0.2">
      <c r="A38" s="202"/>
      <c r="F38" s="188"/>
      <c r="G38" s="161" t="s">
        <v>95</v>
      </c>
      <c r="H38" s="155"/>
      <c r="I38" s="162"/>
      <c r="J38" s="162"/>
      <c r="K38" s="188"/>
      <c r="L38" s="164" t="s">
        <v>139</v>
      </c>
      <c r="M38" s="164"/>
      <c r="N38" s="169"/>
      <c r="O38" s="164"/>
      <c r="P38" s="164"/>
      <c r="Q38" s="526"/>
      <c r="R38" s="203"/>
      <c r="S38" s="188"/>
      <c r="T38" s="179"/>
    </row>
    <row r="39" spans="1:20" x14ac:dyDescent="0.2">
      <c r="A39" s="195"/>
      <c r="G39" s="166" t="s">
        <v>96</v>
      </c>
      <c r="H39" s="161"/>
      <c r="I39" s="167"/>
      <c r="J39" s="167"/>
      <c r="L39" s="164" t="s">
        <v>290</v>
      </c>
      <c r="M39" s="164"/>
      <c r="N39" s="172"/>
      <c r="O39" s="191"/>
      <c r="P39" s="191"/>
      <c r="Q39" s="526"/>
      <c r="R39" s="196"/>
    </row>
    <row r="40" spans="1:20" x14ac:dyDescent="0.2">
      <c r="A40" s="195"/>
      <c r="L40" s="164" t="s">
        <v>341</v>
      </c>
      <c r="M40" s="164"/>
      <c r="N40" s="172"/>
      <c r="O40" s="156"/>
      <c r="P40" s="156"/>
      <c r="Q40" s="526"/>
      <c r="R40" s="196"/>
    </row>
    <row r="41" spans="1:20" x14ac:dyDescent="0.2">
      <c r="A41" s="195"/>
      <c r="G41" s="1933" t="s">
        <v>264</v>
      </c>
      <c r="H41" s="1933"/>
      <c r="I41" s="1933"/>
      <c r="J41" s="1933"/>
      <c r="R41" s="196"/>
    </row>
    <row r="42" spans="1:20" x14ac:dyDescent="0.2">
      <c r="A42" s="195"/>
      <c r="G42" s="1933" t="s">
        <v>91</v>
      </c>
      <c r="H42" s="1933"/>
      <c r="I42" s="1933"/>
      <c r="J42" s="1933"/>
      <c r="R42" s="196"/>
    </row>
    <row r="43" spans="1:20" x14ac:dyDescent="0.2">
      <c r="A43" s="195"/>
      <c r="G43" s="161" t="s">
        <v>86</v>
      </c>
      <c r="H43" s="155"/>
      <c r="I43" s="162"/>
      <c r="J43" s="162"/>
      <c r="R43" s="196"/>
    </row>
    <row r="44" spans="1:20" ht="13.5" thickBot="1" x14ac:dyDescent="0.25">
      <c r="A44" s="204"/>
      <c r="B44" s="527"/>
      <c r="C44" s="527"/>
      <c r="D44" s="527"/>
      <c r="E44" s="527"/>
      <c r="F44" s="527"/>
      <c r="G44" s="530" t="s">
        <v>92</v>
      </c>
      <c r="H44" s="531"/>
      <c r="I44" s="532"/>
      <c r="J44" s="532"/>
      <c r="K44" s="527"/>
      <c r="L44" s="527"/>
      <c r="M44" s="527"/>
      <c r="N44" s="527"/>
      <c r="O44" s="527"/>
      <c r="P44" s="527"/>
      <c r="Q44" s="527"/>
      <c r="R44" s="205"/>
    </row>
    <row r="45" spans="1:20" ht="13.5" thickTop="1" x14ac:dyDescent="0.2"/>
    <row r="50" spans="7:10" x14ac:dyDescent="0.2">
      <c r="G50" s="159"/>
      <c r="H50" s="170"/>
      <c r="I50" s="170"/>
      <c r="J50" s="170"/>
    </row>
    <row r="55" spans="7:10" x14ac:dyDescent="0.2">
      <c r="G55" s="176"/>
      <c r="H55" s="185"/>
      <c r="I55" s="185"/>
      <c r="J55" s="185"/>
    </row>
    <row r="56" spans="7:10" x14ac:dyDescent="0.2">
      <c r="G56" s="176"/>
      <c r="H56" s="176"/>
      <c r="I56" s="176"/>
      <c r="J56" s="176"/>
    </row>
    <row r="57" spans="7:10" x14ac:dyDescent="0.2">
      <c r="G57" s="188"/>
      <c r="H57" s="188"/>
      <c r="I57" s="188"/>
      <c r="J57" s="188"/>
    </row>
    <row r="63" spans="7:10" ht="13.5" thickBot="1" x14ac:dyDescent="0.25">
      <c r="G63" s="527"/>
      <c r="H63" s="527"/>
      <c r="I63" s="527"/>
      <c r="J63" s="527"/>
    </row>
    <row r="64" spans="7:10" ht="13.5" thickTop="1" x14ac:dyDescent="0.2"/>
  </sheetData>
  <mergeCells count="26">
    <mergeCell ref="S1:T1"/>
    <mergeCell ref="G9:J9"/>
    <mergeCell ref="L3:Q3"/>
    <mergeCell ref="L4:Q4"/>
    <mergeCell ref="G22:J22"/>
    <mergeCell ref="G10:J10"/>
    <mergeCell ref="A1:R1"/>
    <mergeCell ref="G3:J3"/>
    <mergeCell ref="G4:J4"/>
    <mergeCell ref="B17:E17"/>
    <mergeCell ref="B11:E11"/>
    <mergeCell ref="B3:E3"/>
    <mergeCell ref="B4:E4"/>
    <mergeCell ref="B10:E10"/>
    <mergeCell ref="G23:J23"/>
    <mergeCell ref="B23:E23"/>
    <mergeCell ref="B22:E22"/>
    <mergeCell ref="B18:E18"/>
    <mergeCell ref="G42:J42"/>
    <mergeCell ref="G29:J29"/>
    <mergeCell ref="G30:J30"/>
    <mergeCell ref="G31:J31"/>
    <mergeCell ref="G32:J32"/>
    <mergeCell ref="G36:J36"/>
    <mergeCell ref="G37:J37"/>
    <mergeCell ref="G41:J41"/>
  </mergeCells>
  <phoneticPr fontId="65" type="noConversion"/>
  <pageMargins left="0.40583333300000002" right="0.12833333333333299" top="0.75" bottom="0.75" header="0.3" footer="0.3"/>
  <pageSetup scale="83" orientation="landscape" r:id="rId1"/>
  <headerFooter>
    <oddHeader>&amp;LAKIS A 2012</oddHeader>
    <oddFooter>&amp;LAmerican Indian Higher Education Consortium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8C97053C7B1BC4690799CB59B9FAFED" ma:contentTypeVersion="0" ma:contentTypeDescription="Create a new document." ma:contentTypeScope="" ma:versionID="74732e69f2be2850ec20a7b0b0554c68">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83F947-42E0-45FD-A10E-7A458CA3E2C0}">
  <ds:schemaRefs>
    <ds:schemaRef ds:uri="http://schemas.microsoft.com/sharepoint/v3/contenttype/forms"/>
  </ds:schemaRefs>
</ds:datastoreItem>
</file>

<file path=customXml/itemProps2.xml><?xml version="1.0" encoding="utf-8"?>
<ds:datastoreItem xmlns:ds="http://schemas.openxmlformats.org/officeDocument/2006/customXml" ds:itemID="{02211E21-5DE9-4A79-8F05-D28A8DACD5DD}">
  <ds:schemaRefs>
    <ds:schemaRef ds:uri="http://schemas.microsoft.com/office/infopath/2007/PartnerControls"/>
    <ds:schemaRef ds:uri="http://schemas.microsoft.com/office/2006/documentManagement/types"/>
    <ds:schemaRef ds:uri="http://purl.org/dc/elements/1.1/"/>
    <ds:schemaRef ds:uri="http://www.w3.org/XML/1998/namespace"/>
    <ds:schemaRef ds:uri="http://purl.org/dc/dcmitype/"/>
    <ds:schemaRef ds:uri="http://schemas.openxmlformats.org/package/2006/metadata/core-properti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9380AD3D-E522-4448-AA7D-804601E2B3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70</vt:i4>
      </vt:variant>
      <vt:variant>
        <vt:lpstr>Named Ranges</vt:lpstr>
      </vt:variant>
      <vt:variant>
        <vt:i4>67</vt:i4>
      </vt:variant>
    </vt:vector>
  </HeadingPairs>
  <TitlesOfParts>
    <vt:vector size="137" baseType="lpstr">
      <vt:lpstr>Cover</vt:lpstr>
      <vt:lpstr>Introduction</vt:lpstr>
      <vt:lpstr>INSTRUCTIONS</vt:lpstr>
      <vt:lpstr>1.1a Overall Instit. Profile</vt:lpstr>
      <vt:lpstr>1.1b Administration</vt:lpstr>
      <vt:lpstr>1.2a Institution Profile</vt:lpstr>
      <vt:lpstr>1.2b Institutionial Narrative</vt:lpstr>
      <vt:lpstr>1.3a First Time Students</vt:lpstr>
      <vt:lpstr>1.3b General Student Pop</vt:lpstr>
      <vt:lpstr>1.4 Institution Retention</vt:lpstr>
      <vt:lpstr>1.5 Community Education</vt:lpstr>
      <vt:lpstr>2.1 Student Tuition &amp; Costs</vt:lpstr>
      <vt:lpstr>2.2 Non-Fed Operational Funding</vt:lpstr>
      <vt:lpstr>3.1 Academic Building</vt:lpstr>
      <vt:lpstr>3.2 Library Fac &amp; Res Equipment</vt:lpstr>
      <vt:lpstr>3.3 Research Equipment</vt:lpstr>
      <vt:lpstr>4.1 Majors</vt:lpstr>
      <vt:lpstr>4.2(AC) Major Group Enroll-Grad</vt:lpstr>
      <vt:lpstr>4.2(AG) Major Group Enroll-Grad</vt:lpstr>
      <vt:lpstr>4.2(AL) Major Group Enroll-Grad</vt:lpstr>
      <vt:lpstr>4.2(AS) Major Group Enroll-Grad</vt:lpstr>
      <vt:lpstr>4.2(AR) Major Group Enroll-Grad</vt:lpstr>
      <vt:lpstr>4.2(AU) Major Group Enroll-Grad</vt:lpstr>
      <vt:lpstr>4.2(BI) Major Group Enroll-Grad</vt:lpstr>
      <vt:lpstr>4.2(BT) Major Group Enroll-Grad</vt:lpstr>
      <vt:lpstr>4.2(BU) Major Group Enroll-Grad</vt:lpstr>
      <vt:lpstr>4.2(CH) Major Group Enroll-Grad</vt:lpstr>
      <vt:lpstr>4.2(CS) Major Group Enroll-Grad</vt:lpstr>
      <vt:lpstr>4.2(CT) Major Group Enroll-Grad</vt:lpstr>
      <vt:lpstr>4.2(CL) Major Group Enroll-Grad</vt:lpstr>
      <vt:lpstr>4.2(EA) Major Group Enroll-Grad</vt:lpstr>
      <vt:lpstr>4.2(EO) Major Group Enroll-Grad</vt:lpstr>
      <vt:lpstr>4.2(EN) Major Group Enroll-Grad</vt:lpstr>
      <vt:lpstr>4.2(ES) Major Group Enroll-Grad</vt:lpstr>
      <vt:lpstr>4.2(GE) Major Group Enroll-Grad</vt:lpstr>
      <vt:lpstr>4.2(HC) Major Group Enroll-Grad</vt:lpstr>
      <vt:lpstr>4.2(HI) Major Group Enroll-Grad</vt:lpstr>
      <vt:lpstr>4.2(HS) Major Group Enroll-Grad</vt:lpstr>
      <vt:lpstr>4.2(IP) Major Group Enroll-Grad</vt:lpstr>
      <vt:lpstr>4.2(LA) Major Group Enroll-Grad</vt:lpstr>
      <vt:lpstr>4.2(LS) Major Group Enroll-Grad</vt:lpstr>
      <vt:lpstr>4.2(MA) Major Group Enroll-Grad</vt:lpstr>
      <vt:lpstr>4.2(NS) Major Group Enroll-Grad</vt:lpstr>
      <vt:lpstr>4.2(NU) Major Group Enroll-Grad</vt:lpstr>
      <vt:lpstr>4.2(OA) Major Group Enroll-Grad</vt:lpstr>
      <vt:lpstr>4.2(PA) Major Group Enroll-Grad</vt:lpstr>
      <vt:lpstr>4.2(PE) Major Group Enroll-Grad</vt:lpstr>
      <vt:lpstr>4.2(PV) Major Group Enroll-Grad</vt:lpstr>
      <vt:lpstr>4.2(SC) Major Group Enroll-Grad</vt:lpstr>
      <vt:lpstr>4.2(SS) Major Group Enroll-Grad</vt:lpstr>
      <vt:lpstr>4.2(VC) Major Group Enroll-Grad</vt:lpstr>
      <vt:lpstr>4.2(UK) Major Group Enroll-Grad</vt:lpstr>
      <vt:lpstr>4.2(UN) Major Group Enroll-Grad</vt:lpstr>
      <vt:lpstr>4.2(MS) Major Group Enroll-Grad</vt:lpstr>
      <vt:lpstr>4.2 Major Group Totals</vt:lpstr>
      <vt:lpstr>5.1 Academic Core Curriculum</vt:lpstr>
      <vt:lpstr>5.2 Acad Course Enroll &amp; Comp</vt:lpstr>
      <vt:lpstr>5.3 Vocational Core Curriculum</vt:lpstr>
      <vt:lpstr>5.4 Voc Course Enroll &amp; Comp</vt:lpstr>
      <vt:lpstr>5.5 &amp; 5.6 Remedial-Dev Courses</vt:lpstr>
      <vt:lpstr>5.7 Distance Learning</vt:lpstr>
      <vt:lpstr>6.1 Student Research</vt:lpstr>
      <vt:lpstr>6.2 Student Comm Act</vt:lpstr>
      <vt:lpstr>6.3 TCU Community Partnerships</vt:lpstr>
      <vt:lpstr>7.1 Personnel Demographics</vt:lpstr>
      <vt:lpstr>7.2 Fac Prof Demographics</vt:lpstr>
      <vt:lpstr>7.3 Fac Prof Dev Service</vt:lpstr>
      <vt:lpstr>7.4 Faculty Research</vt:lpstr>
      <vt:lpstr>8.1 Students with Disabilities </vt:lpstr>
      <vt:lpstr>MENU INFO</vt:lpstr>
      <vt:lpstr>'1.1a Overall Instit. Profile'!Print_Area</vt:lpstr>
      <vt:lpstr>'1.2a Institution Profile'!Print_Area</vt:lpstr>
      <vt:lpstr>'1.3a First Time Students'!Print_Area</vt:lpstr>
      <vt:lpstr>'1.3b General Student Pop'!Print_Area</vt:lpstr>
      <vt:lpstr>'1.4 Institution Retention'!Print_Area</vt:lpstr>
      <vt:lpstr>'1.5 Community Education'!Print_Area</vt:lpstr>
      <vt:lpstr>'2.1 Student Tuition &amp; Costs'!Print_Area</vt:lpstr>
      <vt:lpstr>'3.1 Academic Building'!Print_Area</vt:lpstr>
      <vt:lpstr>'3.2 Library Fac &amp; Res Equipment'!Print_Area</vt:lpstr>
      <vt:lpstr>'3.3 Research Equipment'!Print_Area</vt:lpstr>
      <vt:lpstr>'4.1 Majors'!Print_Area</vt:lpstr>
      <vt:lpstr>'4.2 Major Group Totals'!Print_Area</vt:lpstr>
      <vt:lpstr>'4.2(AC) Major Group Enroll-Grad'!Print_Area</vt:lpstr>
      <vt:lpstr>'4.2(AG) Major Group Enroll-Grad'!Print_Area</vt:lpstr>
      <vt:lpstr>'4.2(AL) Major Group Enroll-Grad'!Print_Area</vt:lpstr>
      <vt:lpstr>'4.2(AR) Major Group Enroll-Grad'!Print_Area</vt:lpstr>
      <vt:lpstr>'4.2(AS) Major Group Enroll-Grad'!Print_Area</vt:lpstr>
      <vt:lpstr>'4.2(AU) Major Group Enroll-Grad'!Print_Area</vt:lpstr>
      <vt:lpstr>'4.2(BI) Major Group Enroll-Grad'!Print_Area</vt:lpstr>
      <vt:lpstr>'4.2(BT) Major Group Enroll-Grad'!Print_Area</vt:lpstr>
      <vt:lpstr>'4.2(BU) Major Group Enroll-Grad'!Print_Area</vt:lpstr>
      <vt:lpstr>'4.2(CH) Major Group Enroll-Grad'!Print_Area</vt:lpstr>
      <vt:lpstr>'4.2(CL) Major Group Enroll-Grad'!Print_Area</vt:lpstr>
      <vt:lpstr>'4.2(CS) Major Group Enroll-Grad'!Print_Area</vt:lpstr>
      <vt:lpstr>'4.2(CT) Major Group Enroll-Grad'!Print_Area</vt:lpstr>
      <vt:lpstr>'4.2(EA) Major Group Enroll-Grad'!Print_Area</vt:lpstr>
      <vt:lpstr>'4.2(EN) Major Group Enroll-Grad'!Print_Area</vt:lpstr>
      <vt:lpstr>'4.2(EO) Major Group Enroll-Grad'!Print_Area</vt:lpstr>
      <vt:lpstr>'4.2(ES) Major Group Enroll-Grad'!Print_Area</vt:lpstr>
      <vt:lpstr>'4.2(GE) Major Group Enroll-Grad'!Print_Area</vt:lpstr>
      <vt:lpstr>'4.2(HC) Major Group Enroll-Grad'!Print_Area</vt:lpstr>
      <vt:lpstr>'4.2(HI) Major Group Enroll-Grad'!Print_Area</vt:lpstr>
      <vt:lpstr>'4.2(HS) Major Group Enroll-Grad'!Print_Area</vt:lpstr>
      <vt:lpstr>'4.2(IP) Major Group Enroll-Grad'!Print_Area</vt:lpstr>
      <vt:lpstr>'4.2(LA) Major Group Enroll-Grad'!Print_Area</vt:lpstr>
      <vt:lpstr>'4.2(LS) Major Group Enroll-Grad'!Print_Area</vt:lpstr>
      <vt:lpstr>'4.2(MA) Major Group Enroll-Grad'!Print_Area</vt:lpstr>
      <vt:lpstr>'4.2(MS) Major Group Enroll-Grad'!Print_Area</vt:lpstr>
      <vt:lpstr>'4.2(NS) Major Group Enroll-Grad'!Print_Area</vt:lpstr>
      <vt:lpstr>'4.2(NU) Major Group Enroll-Grad'!Print_Area</vt:lpstr>
      <vt:lpstr>'4.2(OA) Major Group Enroll-Grad'!Print_Area</vt:lpstr>
      <vt:lpstr>'4.2(PA) Major Group Enroll-Grad'!Print_Area</vt:lpstr>
      <vt:lpstr>'4.2(PE) Major Group Enroll-Grad'!Print_Area</vt:lpstr>
      <vt:lpstr>'4.2(PV) Major Group Enroll-Grad'!Print_Area</vt:lpstr>
      <vt:lpstr>'4.2(SC) Major Group Enroll-Grad'!Print_Area</vt:lpstr>
      <vt:lpstr>'4.2(SS) Major Group Enroll-Grad'!Print_Area</vt:lpstr>
      <vt:lpstr>'4.2(UK) Major Group Enroll-Grad'!Print_Area</vt:lpstr>
      <vt:lpstr>'4.2(UN) Major Group Enroll-Grad'!Print_Area</vt:lpstr>
      <vt:lpstr>'4.2(VC) Major Group Enroll-Grad'!Print_Area</vt:lpstr>
      <vt:lpstr>'5.1 Academic Core Curriculum'!Print_Area</vt:lpstr>
      <vt:lpstr>'5.2 Acad Course Enroll &amp; Comp'!Print_Area</vt:lpstr>
      <vt:lpstr>'5.3 Vocational Core Curriculum'!Print_Area</vt:lpstr>
      <vt:lpstr>'5.4 Voc Course Enroll &amp; Comp'!Print_Area</vt:lpstr>
      <vt:lpstr>'5.5 &amp; 5.6 Remedial-Dev Courses'!Print_Area</vt:lpstr>
      <vt:lpstr>'5.7 Distance Learning'!Print_Area</vt:lpstr>
      <vt:lpstr>'6.1 Student Research'!Print_Area</vt:lpstr>
      <vt:lpstr>'6.2 Student Comm Act'!Print_Area</vt:lpstr>
      <vt:lpstr>'6.3 TCU Community Partnerships'!Print_Area</vt:lpstr>
      <vt:lpstr>'7.1 Personnel Demographics'!Print_Area</vt:lpstr>
      <vt:lpstr>'7.2 Fac Prof Demographics'!Print_Area</vt:lpstr>
      <vt:lpstr>'7.3 Fac Prof Dev Service'!Print_Area</vt:lpstr>
      <vt:lpstr>'7.4 Faculty Research'!Print_Area</vt:lpstr>
      <vt:lpstr>'8.1 Students with Disabilities '!Print_Area</vt:lpstr>
      <vt:lpstr>Cover!Print_Area</vt:lpstr>
      <vt:lpstr>INSTRUCTIONS!Print_Area</vt:lpstr>
      <vt:lpstr>Introduction!Print_Area</vt:lpstr>
      <vt:lpstr>'MENU INFO'!Print_Area</vt:lpstr>
    </vt:vector>
  </TitlesOfParts>
  <Company>AIHEC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Kpage</dc:creator>
  <cp:lastModifiedBy>Ursula R.. Gaertner</cp:lastModifiedBy>
  <cp:lastPrinted>2012-11-24T02:01:11Z</cp:lastPrinted>
  <dcterms:created xsi:type="dcterms:W3CDTF">2009-07-17T20:32:06Z</dcterms:created>
  <dcterms:modified xsi:type="dcterms:W3CDTF">2012-12-12T20:33:15Z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0x01010078C97053C7B1BC4690799CB59B9FAFED</vt:lpwstr>
  </property>
  <property fmtid="{D5CDD505-2E9C-101B-9397-08002B2CF9AE}" pid="3" name="Order">
    <vt:r8>3500</vt:r8>
  </property>
  <property fmtid="{D5CDD505-2E9C-101B-9397-08002B2CF9AE}" pid="4" name="TemplateUrl">
    <vt:lpwstr/>
  </property>
  <property fmtid="{D5CDD505-2E9C-101B-9397-08002B2CF9AE}" pid="5" name="_CopySource">
    <vt:lpwstr>http://aimsdev.ideatech.com/Shared Documents/Support Materials/AKIS A 2012 DRAFT.xlsx</vt:lpwstr>
  </property>
  <property fmtid="{D5CDD505-2E9C-101B-9397-08002B2CF9AE}" pid="6" name="xd_ProgID">
    <vt:lpwstr/>
  </property>
</Properties>
</file>