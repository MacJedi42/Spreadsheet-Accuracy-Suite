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 activeTab="1"/>
  </bookViews>
  <sheets>
    <sheet name="Quarterly ProForma Results" sheetId="2" r:id="rId1"/>
    <sheet name="EPS Contribution" sheetId="3" r:id="rId2"/>
  </sheets>
  <definedNames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39828.5487152778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_xlnm.Print_Titles" localSheetId="0">'Quarterly ProForma Results'!$A:$A</definedName>
  </definedNames>
  <calcPr calcId="144525" calcMode="autoNoTable" iterate="1" concurrentCalc="0"/>
</workbook>
</file>

<file path=xl/calcChain.xml><?xml version="1.0" encoding="utf-8"?>
<calcChain xmlns="http://schemas.openxmlformats.org/spreadsheetml/2006/main">
  <c r="I10" i="3" l="1"/>
  <c r="ED42" i="2"/>
  <c r="ED45" i="2"/>
  <c r="ED51" i="2"/>
  <c r="F10" i="3"/>
  <c r="U10" i="3"/>
  <c r="EH84" i="2"/>
  <c r="EH85" i="2"/>
  <c r="EF84" i="2"/>
  <c r="EF85" i="2"/>
  <c r="ED84" i="2"/>
  <c r="ED85" i="2"/>
  <c r="EB84" i="2"/>
  <c r="EB85" i="2"/>
  <c r="EH74" i="2"/>
  <c r="EF74" i="2"/>
  <c r="ED74" i="2"/>
  <c r="EB74" i="2"/>
  <c r="EH70" i="2"/>
  <c r="EF70" i="2"/>
  <c r="ED70" i="2"/>
  <c r="EB70" i="2"/>
  <c r="EH69" i="2"/>
  <c r="EF69" i="2"/>
  <c r="ED69" i="2"/>
  <c r="EB69" i="2"/>
  <c r="EJ67" i="2"/>
  <c r="EJ63" i="2"/>
  <c r="EH62" i="2"/>
  <c r="EF62" i="2"/>
  <c r="ED62" i="2"/>
  <c r="EB62" i="2"/>
  <c r="EH61" i="2"/>
  <c r="EF61" i="2"/>
  <c r="ED61" i="2"/>
  <c r="EB61" i="2"/>
  <c r="EJ58" i="2"/>
  <c r="EJ54" i="2"/>
  <c r="EJ53" i="2"/>
  <c r="EJ47" i="2"/>
  <c r="EJ44" i="2"/>
  <c r="EJ40" i="2"/>
  <c r="EJ39" i="2"/>
  <c r="EJ38" i="2"/>
  <c r="EH34" i="2"/>
  <c r="EF34" i="2"/>
  <c r="ED34" i="2"/>
  <c r="EB34" i="2"/>
  <c r="EJ32" i="2"/>
  <c r="EJ62" i="2"/>
  <c r="EJ31" i="2"/>
  <c r="EJ30" i="2"/>
  <c r="EJ28" i="2"/>
  <c r="EJ26" i="2"/>
  <c r="EJ25" i="2"/>
  <c r="EJ24" i="2"/>
  <c r="EJ23" i="2"/>
  <c r="EJ17" i="2"/>
  <c r="EJ16" i="2"/>
  <c r="EH13" i="2"/>
  <c r="EH72" i="2"/>
  <c r="EF13" i="2"/>
  <c r="EF19" i="2"/>
  <c r="ED13" i="2"/>
  <c r="ED75" i="2"/>
  <c r="EB13" i="2"/>
  <c r="EB76" i="2"/>
  <c r="EJ12" i="2"/>
  <c r="EJ11" i="2"/>
  <c r="EJ10" i="2"/>
  <c r="EJ9" i="2"/>
  <c r="EJ61" i="2"/>
  <c r="EB19" i="2"/>
  <c r="EB36" i="2"/>
  <c r="EB42" i="2"/>
  <c r="EB45" i="2"/>
  <c r="EB72" i="2"/>
  <c r="EH19" i="2"/>
  <c r="EH78" i="2"/>
  <c r="EJ13" i="2"/>
  <c r="EJ72" i="2"/>
  <c r="EJ69" i="2"/>
  <c r="ED72" i="2"/>
  <c r="EJ70" i="2"/>
  <c r="ED76" i="2"/>
  <c r="EF78" i="2"/>
  <c r="EF36" i="2"/>
  <c r="EF42" i="2"/>
  <c r="EF75" i="2"/>
  <c r="EJ74" i="2"/>
  <c r="EF76" i="2"/>
  <c r="ED19" i="2"/>
  <c r="EJ34" i="2"/>
  <c r="EF72" i="2"/>
  <c r="EB75" i="2"/>
  <c r="EH76" i="2"/>
  <c r="EH75" i="2"/>
  <c r="U7" i="3"/>
  <c r="U9" i="3"/>
  <c r="U8" i="3"/>
  <c r="EH36" i="2"/>
  <c r="EH42" i="2"/>
  <c r="EB60" i="2"/>
  <c r="EB64" i="2"/>
  <c r="EB65" i="2"/>
  <c r="EJ19" i="2"/>
  <c r="EJ78" i="2"/>
  <c r="EB78" i="2"/>
  <c r="EJ76" i="2"/>
  <c r="EJ75" i="2"/>
  <c r="EH60" i="2"/>
  <c r="EH64" i="2"/>
  <c r="EH65" i="2"/>
  <c r="EH45" i="2"/>
  <c r="ED36" i="2"/>
  <c r="ED78" i="2"/>
  <c r="EB48" i="2"/>
  <c r="EB50" i="2"/>
  <c r="EB51" i="2"/>
  <c r="C10" i="3"/>
  <c r="EF45" i="2"/>
  <c r="EF60" i="2"/>
  <c r="EF64" i="2"/>
  <c r="EF65" i="2"/>
  <c r="DX13" i="2"/>
  <c r="DX19" i="2"/>
  <c r="EJ36" i="2"/>
  <c r="EJ42" i="2"/>
  <c r="EJ60" i="2"/>
  <c r="EJ64" i="2"/>
  <c r="EJ65" i="2"/>
  <c r="EF51" i="2"/>
  <c r="EF48" i="2"/>
  <c r="EF50" i="2"/>
  <c r="ED60" i="2"/>
  <c r="ED64" i="2"/>
  <c r="ED65" i="2"/>
  <c r="EH51" i="2"/>
  <c r="EH48" i="2"/>
  <c r="EH50" i="2"/>
  <c r="DZ44" i="2"/>
  <c r="DX84" i="2"/>
  <c r="DX85" i="2"/>
  <c r="DV84" i="2"/>
  <c r="DV85" i="2"/>
  <c r="DT84" i="2"/>
  <c r="DT85" i="2"/>
  <c r="DR84" i="2"/>
  <c r="DR85" i="2"/>
  <c r="DX74" i="2"/>
  <c r="DV74" i="2"/>
  <c r="DT74" i="2"/>
  <c r="DR74" i="2"/>
  <c r="DX70" i="2"/>
  <c r="DV70" i="2"/>
  <c r="DT70" i="2"/>
  <c r="DR70" i="2"/>
  <c r="DX69" i="2"/>
  <c r="DV69" i="2"/>
  <c r="DT69" i="2"/>
  <c r="DR69" i="2"/>
  <c r="DZ67" i="2"/>
  <c r="DZ63" i="2"/>
  <c r="DX62" i="2"/>
  <c r="DV62" i="2"/>
  <c r="DT62" i="2"/>
  <c r="DR62" i="2"/>
  <c r="DX61" i="2"/>
  <c r="DV61" i="2"/>
  <c r="DT61" i="2"/>
  <c r="DR61" i="2"/>
  <c r="DZ58" i="2"/>
  <c r="DZ54" i="2"/>
  <c r="DZ53" i="2"/>
  <c r="DZ47" i="2"/>
  <c r="DZ40" i="2"/>
  <c r="DZ39" i="2"/>
  <c r="DZ38" i="2"/>
  <c r="DX34" i="2"/>
  <c r="DV34" i="2"/>
  <c r="DT34" i="2"/>
  <c r="DR34" i="2"/>
  <c r="DZ32" i="2"/>
  <c r="DZ62" i="2"/>
  <c r="DZ31" i="2"/>
  <c r="DZ30" i="2"/>
  <c r="DZ28" i="2"/>
  <c r="DZ26" i="2"/>
  <c r="DZ25" i="2"/>
  <c r="DZ24" i="2"/>
  <c r="DZ23" i="2"/>
  <c r="DZ17" i="2"/>
  <c r="DZ16" i="2"/>
  <c r="DX75" i="2"/>
  <c r="DV13" i="2"/>
  <c r="DV75" i="2"/>
  <c r="DT13" i="2"/>
  <c r="DT76" i="2"/>
  <c r="DR13" i="2"/>
  <c r="DR72" i="2"/>
  <c r="DZ12" i="2"/>
  <c r="DZ11" i="2"/>
  <c r="DZ10" i="2"/>
  <c r="DZ9" i="2"/>
  <c r="DN84" i="2"/>
  <c r="DN85" i="2"/>
  <c r="DL84" i="2"/>
  <c r="DL85" i="2"/>
  <c r="DJ84" i="2"/>
  <c r="DJ85" i="2"/>
  <c r="DH84" i="2"/>
  <c r="DH85" i="2"/>
  <c r="DN74" i="2"/>
  <c r="DL74" i="2"/>
  <c r="DJ74" i="2"/>
  <c r="DH74" i="2"/>
  <c r="DN70" i="2"/>
  <c r="DL70" i="2"/>
  <c r="DJ70" i="2"/>
  <c r="DH70" i="2"/>
  <c r="DN69" i="2"/>
  <c r="DL69" i="2"/>
  <c r="DJ69" i="2"/>
  <c r="DH69" i="2"/>
  <c r="DP67" i="2"/>
  <c r="DP63" i="2"/>
  <c r="DN62" i="2"/>
  <c r="DL62" i="2"/>
  <c r="DJ62" i="2"/>
  <c r="DH62" i="2"/>
  <c r="DN61" i="2"/>
  <c r="DL61" i="2"/>
  <c r="DJ61" i="2"/>
  <c r="DH61" i="2"/>
  <c r="DP58" i="2"/>
  <c r="DP54" i="2"/>
  <c r="DP53" i="2"/>
  <c r="DP47" i="2"/>
  <c r="DP44" i="2"/>
  <c r="DP40" i="2"/>
  <c r="DP39" i="2"/>
  <c r="DP38" i="2"/>
  <c r="DN34" i="2"/>
  <c r="DL34" i="2"/>
  <c r="DJ34" i="2"/>
  <c r="DH34" i="2"/>
  <c r="DP32" i="2"/>
  <c r="DP62" i="2"/>
  <c r="DP31" i="2"/>
  <c r="DP30" i="2"/>
  <c r="DP28" i="2"/>
  <c r="DP26" i="2"/>
  <c r="DP25" i="2"/>
  <c r="DP24" i="2"/>
  <c r="DP70" i="2"/>
  <c r="DP23" i="2"/>
  <c r="DP17" i="2"/>
  <c r="DP16" i="2"/>
  <c r="DN13" i="2"/>
  <c r="DN19" i="2"/>
  <c r="DN78" i="2"/>
  <c r="DL13" i="2"/>
  <c r="DJ13" i="2"/>
  <c r="DJ75" i="2"/>
  <c r="DH13" i="2"/>
  <c r="DH76" i="2"/>
  <c r="DP12" i="2"/>
  <c r="DP13" i="2"/>
  <c r="DP72" i="2"/>
  <c r="DP11" i="2"/>
  <c r="DP10" i="2"/>
  <c r="DP9" i="2"/>
  <c r="DD84" i="2"/>
  <c r="DD85" i="2"/>
  <c r="DB84" i="2"/>
  <c r="DB85" i="2"/>
  <c r="CZ84" i="2"/>
  <c r="CZ85" i="2"/>
  <c r="CX84" i="2"/>
  <c r="CX85" i="2"/>
  <c r="DD74" i="2"/>
  <c r="DB74" i="2"/>
  <c r="CZ74" i="2"/>
  <c r="CX74" i="2"/>
  <c r="DD70" i="2"/>
  <c r="DB70" i="2"/>
  <c r="CZ70" i="2"/>
  <c r="CX70" i="2"/>
  <c r="DD69" i="2"/>
  <c r="DB69" i="2"/>
  <c r="CZ69" i="2"/>
  <c r="CX69" i="2"/>
  <c r="DF67" i="2"/>
  <c r="DF63" i="2"/>
  <c r="DD62" i="2"/>
  <c r="DB62" i="2"/>
  <c r="CZ62" i="2"/>
  <c r="CX62" i="2"/>
  <c r="DD61" i="2"/>
  <c r="DB61" i="2"/>
  <c r="CZ61" i="2"/>
  <c r="CX61" i="2"/>
  <c r="DF58" i="2"/>
  <c r="DF54" i="2"/>
  <c r="DF53" i="2"/>
  <c r="DF47" i="2"/>
  <c r="DF44" i="2"/>
  <c r="DF40" i="2"/>
  <c r="DF39" i="2"/>
  <c r="DF38" i="2"/>
  <c r="DD34" i="2"/>
  <c r="DB34" i="2"/>
  <c r="CZ34" i="2"/>
  <c r="CX34" i="2"/>
  <c r="DF32" i="2"/>
  <c r="DF62" i="2"/>
  <c r="DF31" i="2"/>
  <c r="DF30" i="2"/>
  <c r="DF28" i="2"/>
  <c r="DF26" i="2"/>
  <c r="DF25" i="2"/>
  <c r="DF24" i="2"/>
  <c r="DF23" i="2"/>
  <c r="DF17" i="2"/>
  <c r="DF16" i="2"/>
  <c r="DD13" i="2"/>
  <c r="DD75" i="2"/>
  <c r="DB13" i="2"/>
  <c r="DB76" i="2"/>
  <c r="CZ13" i="2"/>
  <c r="CZ75" i="2"/>
  <c r="CX13" i="2"/>
  <c r="CX76" i="2"/>
  <c r="DF12" i="2"/>
  <c r="DF11" i="2"/>
  <c r="DF10" i="2"/>
  <c r="DF70" i="2"/>
  <c r="DF9" i="2"/>
  <c r="CV54" i="2"/>
  <c r="CN7" i="2"/>
  <c r="CP7" i="2"/>
  <c r="CT84" i="2"/>
  <c r="CT85" i="2"/>
  <c r="CR84" i="2"/>
  <c r="CR85" i="2"/>
  <c r="CP84" i="2"/>
  <c r="CP85" i="2"/>
  <c r="CN84" i="2"/>
  <c r="CN85" i="2"/>
  <c r="CV31" i="2"/>
  <c r="CV9" i="2"/>
  <c r="CV10" i="2"/>
  <c r="CV11" i="2"/>
  <c r="CV12" i="2"/>
  <c r="CV16" i="2"/>
  <c r="CV17" i="2"/>
  <c r="CT13" i="2"/>
  <c r="CT19" i="2"/>
  <c r="CR13" i="2"/>
  <c r="CR75" i="2"/>
  <c r="CP13" i="2"/>
  <c r="CN13" i="2"/>
  <c r="CN75" i="2"/>
  <c r="CV23" i="2"/>
  <c r="CV34" i="2"/>
  <c r="CV24" i="2"/>
  <c r="CV25" i="2"/>
  <c r="CV26" i="2"/>
  <c r="CT74" i="2"/>
  <c r="CR74" i="2"/>
  <c r="CP74" i="2"/>
  <c r="CN74" i="2"/>
  <c r="CP72" i="2"/>
  <c r="CT70" i="2"/>
  <c r="CR70" i="2"/>
  <c r="CP70" i="2"/>
  <c r="CN70" i="2"/>
  <c r="CT69" i="2"/>
  <c r="CR69" i="2"/>
  <c r="CP69" i="2"/>
  <c r="CN69" i="2"/>
  <c r="CV68" i="2"/>
  <c r="CV67" i="2"/>
  <c r="CV28" i="2"/>
  <c r="CV30" i="2"/>
  <c r="CV32" i="2"/>
  <c r="CV38" i="2"/>
  <c r="CV39" i="2"/>
  <c r="CV61" i="2"/>
  <c r="CV40" i="2"/>
  <c r="CV62" i="2"/>
  <c r="CV63" i="2"/>
  <c r="CT34" i="2"/>
  <c r="CT61" i="2"/>
  <c r="CT62" i="2"/>
  <c r="CR34" i="2"/>
  <c r="CR61" i="2"/>
  <c r="CR62" i="2"/>
  <c r="CP34" i="2"/>
  <c r="CP61" i="2"/>
  <c r="CP62" i="2"/>
  <c r="CN34" i="2"/>
  <c r="CN61" i="2"/>
  <c r="CN62" i="2"/>
  <c r="CV59" i="2"/>
  <c r="CV58" i="2"/>
  <c r="CV53" i="2"/>
  <c r="CV44" i="2"/>
  <c r="CV47" i="2"/>
  <c r="CL54" i="2"/>
  <c r="CH17" i="2"/>
  <c r="CL17" i="2"/>
  <c r="CF74" i="2"/>
  <c r="CF70" i="2"/>
  <c r="CF69" i="2"/>
  <c r="CL38" i="2"/>
  <c r="CL39" i="2"/>
  <c r="CL61" i="2"/>
  <c r="CL9" i="2"/>
  <c r="CL69" i="2"/>
  <c r="CL10" i="2"/>
  <c r="CL11" i="2"/>
  <c r="CL12" i="2"/>
  <c r="CL16" i="2"/>
  <c r="CL23" i="2"/>
  <c r="CL24" i="2"/>
  <c r="CL25" i="2"/>
  <c r="CL26" i="2"/>
  <c r="CL28" i="2"/>
  <c r="CL30" i="2"/>
  <c r="CL31" i="2"/>
  <c r="CL32" i="2"/>
  <c r="CL40" i="2"/>
  <c r="CJ61" i="2"/>
  <c r="CJ34" i="2"/>
  <c r="CJ36" i="2"/>
  <c r="CJ42" i="2"/>
  <c r="CJ45" i="2"/>
  <c r="CJ13" i="2"/>
  <c r="CH61" i="2"/>
  <c r="CH13" i="2"/>
  <c r="CH34" i="2"/>
  <c r="CF61" i="2"/>
  <c r="CD61" i="2"/>
  <c r="BZ61" i="2"/>
  <c r="BX61" i="2"/>
  <c r="BV61" i="2"/>
  <c r="BT61" i="2"/>
  <c r="BP61" i="2"/>
  <c r="BN61" i="2"/>
  <c r="BL61" i="2"/>
  <c r="BJ61" i="2"/>
  <c r="BF61" i="2"/>
  <c r="BD61" i="2"/>
  <c r="BB61" i="2"/>
  <c r="AZ61" i="2"/>
  <c r="AV61" i="2"/>
  <c r="AT61" i="2"/>
  <c r="AR61" i="2"/>
  <c r="AP61" i="2"/>
  <c r="AL61" i="2"/>
  <c r="AJ61" i="2"/>
  <c r="AH61" i="2"/>
  <c r="AF61" i="2"/>
  <c r="AB61" i="2"/>
  <c r="Z61" i="2"/>
  <c r="X61" i="2"/>
  <c r="V61" i="2"/>
  <c r="R61" i="2"/>
  <c r="P61" i="2"/>
  <c r="N61" i="2"/>
  <c r="L61" i="2"/>
  <c r="H61" i="2"/>
  <c r="F61" i="2"/>
  <c r="D61" i="2"/>
  <c r="B61" i="2"/>
  <c r="J9" i="2"/>
  <c r="T9" i="2"/>
  <c r="T74" i="2"/>
  <c r="AD9" i="2"/>
  <c r="AN9" i="2"/>
  <c r="AX9" i="2"/>
  <c r="BH9" i="2"/>
  <c r="BH74" i="2"/>
  <c r="BR9" i="2"/>
  <c r="CB9" i="2"/>
  <c r="J10" i="2"/>
  <c r="T10" i="2"/>
  <c r="T70" i="2"/>
  <c r="AD10" i="2"/>
  <c r="AN10" i="2"/>
  <c r="AX10" i="2"/>
  <c r="BH10" i="2"/>
  <c r="BH70" i="2"/>
  <c r="BR10" i="2"/>
  <c r="CB10" i="2"/>
  <c r="J11" i="2"/>
  <c r="T11" i="2"/>
  <c r="AD11" i="2"/>
  <c r="AN11" i="2"/>
  <c r="AX11" i="2"/>
  <c r="BH11" i="2"/>
  <c r="BH13" i="2"/>
  <c r="BR11" i="2"/>
  <c r="CB11" i="2"/>
  <c r="J12" i="2"/>
  <c r="T12" i="2"/>
  <c r="AD12" i="2"/>
  <c r="AN12" i="2"/>
  <c r="AX12" i="2"/>
  <c r="BH12" i="2"/>
  <c r="BR12" i="2"/>
  <c r="CB12" i="2"/>
  <c r="B13" i="2"/>
  <c r="D13" i="2"/>
  <c r="D19" i="2"/>
  <c r="D78" i="2"/>
  <c r="F13" i="2"/>
  <c r="H13" i="2"/>
  <c r="L13" i="2"/>
  <c r="N13" i="2"/>
  <c r="N72" i="2"/>
  <c r="P13" i="2"/>
  <c r="R13" i="2"/>
  <c r="V13" i="2"/>
  <c r="X13" i="2"/>
  <c r="X19" i="2"/>
  <c r="Z13" i="2"/>
  <c r="Z19" i="2"/>
  <c r="Z78" i="2"/>
  <c r="AB13" i="2"/>
  <c r="AB19" i="2"/>
  <c r="AF13" i="2"/>
  <c r="AH13" i="2"/>
  <c r="AH75" i="2"/>
  <c r="AJ13" i="2"/>
  <c r="AL13" i="2"/>
  <c r="AP13" i="2"/>
  <c r="AP19" i="2"/>
  <c r="AR13" i="2"/>
  <c r="AR19" i="2"/>
  <c r="AT13" i="2"/>
  <c r="AV13" i="2"/>
  <c r="AV19" i="2"/>
  <c r="AV78" i="2"/>
  <c r="AZ13" i="2"/>
  <c r="AZ19" i="2"/>
  <c r="BB13" i="2"/>
  <c r="BD13" i="2"/>
  <c r="BD19" i="2"/>
  <c r="BF13" i="2"/>
  <c r="BF19" i="2"/>
  <c r="BJ13" i="2"/>
  <c r="BL13" i="2"/>
  <c r="BL19" i="2"/>
  <c r="BN13" i="2"/>
  <c r="BP13" i="2"/>
  <c r="BT13" i="2"/>
  <c r="BV13" i="2"/>
  <c r="BV19" i="2"/>
  <c r="BX13" i="2"/>
  <c r="BX19" i="2"/>
  <c r="BZ13" i="2"/>
  <c r="CD13" i="2"/>
  <c r="CF13" i="2"/>
  <c r="CF72" i="2"/>
  <c r="J16" i="2"/>
  <c r="T16" i="2"/>
  <c r="AD16" i="2"/>
  <c r="AN16" i="2"/>
  <c r="AX16" i="2"/>
  <c r="BH16" i="2"/>
  <c r="BR16" i="2"/>
  <c r="CB16" i="2"/>
  <c r="J17" i="2"/>
  <c r="T17" i="2"/>
  <c r="AD17" i="2"/>
  <c r="AN17" i="2"/>
  <c r="AX17" i="2"/>
  <c r="BH17" i="2"/>
  <c r="BR17" i="2"/>
  <c r="CB17" i="2"/>
  <c r="F19" i="2"/>
  <c r="F78" i="2"/>
  <c r="L19" i="2"/>
  <c r="N19" i="2"/>
  <c r="AJ19" i="2"/>
  <c r="AJ78" i="2"/>
  <c r="AL19" i="2"/>
  <c r="BB19" i="2"/>
  <c r="BP19" i="2"/>
  <c r="BZ19" i="2"/>
  <c r="J23" i="2"/>
  <c r="J34" i="2"/>
  <c r="T23" i="2"/>
  <c r="AD23" i="2"/>
  <c r="AN23" i="2"/>
  <c r="AX23" i="2"/>
  <c r="AX69" i="2"/>
  <c r="BH23" i="2"/>
  <c r="BR23" i="2"/>
  <c r="CB23" i="2"/>
  <c r="CB69" i="2"/>
  <c r="J24" i="2"/>
  <c r="J70" i="2"/>
  <c r="T24" i="2"/>
  <c r="AD24" i="2"/>
  <c r="AN24" i="2"/>
  <c r="AN70" i="2"/>
  <c r="AX24" i="2"/>
  <c r="BH24" i="2"/>
  <c r="BR24" i="2"/>
  <c r="CB24" i="2"/>
  <c r="CB70" i="2"/>
  <c r="J25" i="2"/>
  <c r="T25" i="2"/>
  <c r="AD25" i="2"/>
  <c r="AN25" i="2"/>
  <c r="AX25" i="2"/>
  <c r="BH25" i="2"/>
  <c r="BR25" i="2"/>
  <c r="CB25" i="2"/>
  <c r="J26" i="2"/>
  <c r="J74" i="2"/>
  <c r="T26" i="2"/>
  <c r="AD26" i="2"/>
  <c r="AN26" i="2"/>
  <c r="AN74" i="2"/>
  <c r="AX26" i="2"/>
  <c r="BH26" i="2"/>
  <c r="BN26" i="2"/>
  <c r="BP26" i="2"/>
  <c r="CB26" i="2"/>
  <c r="J28" i="2"/>
  <c r="T28" i="2"/>
  <c r="AD28" i="2"/>
  <c r="AN28" i="2"/>
  <c r="AX28" i="2"/>
  <c r="BH28" i="2"/>
  <c r="BR28" i="2"/>
  <c r="CB28" i="2"/>
  <c r="J30" i="2"/>
  <c r="T30" i="2"/>
  <c r="AD30" i="2"/>
  <c r="AN30" i="2"/>
  <c r="AX30" i="2"/>
  <c r="BH30" i="2"/>
  <c r="BR30" i="2"/>
  <c r="CB30" i="2"/>
  <c r="J31" i="2"/>
  <c r="T31" i="2"/>
  <c r="AD31" i="2"/>
  <c r="AN31" i="2"/>
  <c r="AX31" i="2"/>
  <c r="BH31" i="2"/>
  <c r="BN31" i="2"/>
  <c r="BR31" i="2"/>
  <c r="CB31" i="2"/>
  <c r="J32" i="2"/>
  <c r="T32" i="2"/>
  <c r="T62" i="2"/>
  <c r="AD32" i="2"/>
  <c r="AD62" i="2"/>
  <c r="AN32" i="2"/>
  <c r="AN62" i="2"/>
  <c r="AX32" i="2"/>
  <c r="BH32" i="2"/>
  <c r="BP32" i="2"/>
  <c r="CB32" i="2"/>
  <c r="B34" i="2"/>
  <c r="D34" i="2"/>
  <c r="F34" i="2"/>
  <c r="F36" i="2"/>
  <c r="F42" i="2"/>
  <c r="F60" i="2"/>
  <c r="H34" i="2"/>
  <c r="L34" i="2"/>
  <c r="N34" i="2"/>
  <c r="N36" i="2"/>
  <c r="N42" i="2"/>
  <c r="P34" i="2"/>
  <c r="R34" i="2"/>
  <c r="V34" i="2"/>
  <c r="X34" i="2"/>
  <c r="Z34" i="2"/>
  <c r="AB34" i="2"/>
  <c r="AF34" i="2"/>
  <c r="AH34" i="2"/>
  <c r="AJ34" i="2"/>
  <c r="AL34" i="2"/>
  <c r="AP34" i="2"/>
  <c r="AR34" i="2"/>
  <c r="AT34" i="2"/>
  <c r="AV34" i="2"/>
  <c r="AZ34" i="2"/>
  <c r="BB34" i="2"/>
  <c r="BD34" i="2"/>
  <c r="BF34" i="2"/>
  <c r="BJ34" i="2"/>
  <c r="BL34" i="2"/>
  <c r="BN34" i="2"/>
  <c r="BT34" i="2"/>
  <c r="BV34" i="2"/>
  <c r="BX34" i="2"/>
  <c r="BZ34" i="2"/>
  <c r="BZ36" i="2"/>
  <c r="BZ42" i="2"/>
  <c r="BZ45" i="2"/>
  <c r="CD34" i="2"/>
  <c r="CF34" i="2"/>
  <c r="AJ36" i="2"/>
  <c r="AJ42" i="2"/>
  <c r="AL36" i="2"/>
  <c r="AL42" i="2"/>
  <c r="J38" i="2"/>
  <c r="T38" i="2"/>
  <c r="AD38" i="2"/>
  <c r="AN38" i="2"/>
  <c r="AX38" i="2"/>
  <c r="BH38" i="2"/>
  <c r="BR38" i="2"/>
  <c r="CB38" i="2"/>
  <c r="J39" i="2"/>
  <c r="T39" i="2"/>
  <c r="AD39" i="2"/>
  <c r="AN39" i="2"/>
  <c r="AX39" i="2"/>
  <c r="BH39" i="2"/>
  <c r="BR39" i="2"/>
  <c r="CB39" i="2"/>
  <c r="J40" i="2"/>
  <c r="T40" i="2"/>
  <c r="AD40" i="2"/>
  <c r="AN40" i="2"/>
  <c r="AX40" i="2"/>
  <c r="BH40" i="2"/>
  <c r="BR40" i="2"/>
  <c r="CB40" i="2"/>
  <c r="J44" i="2"/>
  <c r="T44" i="2"/>
  <c r="AD44" i="2"/>
  <c r="AN44" i="2"/>
  <c r="AX44" i="2"/>
  <c r="BH44" i="2"/>
  <c r="BL44" i="2"/>
  <c r="CB44" i="2"/>
  <c r="CL44" i="2"/>
  <c r="J47" i="2"/>
  <c r="T47" i="2"/>
  <c r="AD47" i="2"/>
  <c r="AN47" i="2"/>
  <c r="AX47" i="2"/>
  <c r="BH47" i="2"/>
  <c r="BR47" i="2"/>
  <c r="CB47" i="2"/>
  <c r="CL47" i="2"/>
  <c r="CL53" i="2"/>
  <c r="B53" i="2"/>
  <c r="D53" i="2"/>
  <c r="F53" i="2"/>
  <c r="H53" i="2"/>
  <c r="J53" i="2"/>
  <c r="L53" i="2"/>
  <c r="N53" i="2"/>
  <c r="P53" i="2"/>
  <c r="R53" i="2"/>
  <c r="T53" i="2"/>
  <c r="V53" i="2"/>
  <c r="X53" i="2"/>
  <c r="Z53" i="2"/>
  <c r="AB53" i="2"/>
  <c r="AD53" i="2"/>
  <c r="AF53" i="2"/>
  <c r="AH53" i="2"/>
  <c r="AL53" i="2"/>
  <c r="AN53" i="2"/>
  <c r="AP53" i="2"/>
  <c r="AR53" i="2"/>
  <c r="BR53" i="2"/>
  <c r="CB53" i="2"/>
  <c r="B54" i="2"/>
  <c r="D54" i="2"/>
  <c r="F54" i="2"/>
  <c r="H54" i="2"/>
  <c r="J54" i="2"/>
  <c r="L54" i="2"/>
  <c r="N54" i="2"/>
  <c r="P54" i="2"/>
  <c r="R54" i="2"/>
  <c r="T54" i="2"/>
  <c r="V54" i="2"/>
  <c r="X54" i="2"/>
  <c r="Z54" i="2"/>
  <c r="AB54" i="2"/>
  <c r="AD54" i="2"/>
  <c r="AF54" i="2"/>
  <c r="AH54" i="2"/>
  <c r="AJ54" i="2"/>
  <c r="AL54" i="2"/>
  <c r="AN54" i="2"/>
  <c r="AP54" i="2"/>
  <c r="AR54" i="2"/>
  <c r="BR54" i="2"/>
  <c r="BR58" i="2"/>
  <c r="CB58" i="2"/>
  <c r="CL58" i="2"/>
  <c r="BJ59" i="2"/>
  <c r="BL59" i="2"/>
  <c r="BN59" i="2"/>
  <c r="BP59" i="2"/>
  <c r="BR59" i="2"/>
  <c r="BT59" i="2"/>
  <c r="BV59" i="2"/>
  <c r="BX59" i="2"/>
  <c r="BZ59" i="2"/>
  <c r="CB59" i="2"/>
  <c r="CD59" i="2"/>
  <c r="CF59" i="2"/>
  <c r="CH59" i="2"/>
  <c r="CJ59" i="2"/>
  <c r="CL59" i="2"/>
  <c r="B62" i="2"/>
  <c r="D62" i="2"/>
  <c r="F62" i="2"/>
  <c r="H62" i="2"/>
  <c r="J62" i="2"/>
  <c r="L62" i="2"/>
  <c r="N62" i="2"/>
  <c r="P62" i="2"/>
  <c r="R62" i="2"/>
  <c r="V62" i="2"/>
  <c r="X62" i="2"/>
  <c r="Z62" i="2"/>
  <c r="AB62" i="2"/>
  <c r="AF62" i="2"/>
  <c r="AH62" i="2"/>
  <c r="AJ62" i="2"/>
  <c r="AL62" i="2"/>
  <c r="AP62" i="2"/>
  <c r="AR62" i="2"/>
  <c r="AT62" i="2"/>
  <c r="AV62" i="2"/>
  <c r="AX62" i="2"/>
  <c r="AZ62" i="2"/>
  <c r="BB62" i="2"/>
  <c r="BD62" i="2"/>
  <c r="BF62" i="2"/>
  <c r="BH62" i="2"/>
  <c r="BJ62" i="2"/>
  <c r="BL62" i="2"/>
  <c r="BN62" i="2"/>
  <c r="BT62" i="2"/>
  <c r="BV62" i="2"/>
  <c r="BX62" i="2"/>
  <c r="BZ62" i="2"/>
  <c r="CB62" i="2"/>
  <c r="CD62" i="2"/>
  <c r="CF62" i="2"/>
  <c r="CH62" i="2"/>
  <c r="CJ62" i="2"/>
  <c r="CL62" i="2"/>
  <c r="F63" i="2"/>
  <c r="J63" i="2"/>
  <c r="T63" i="2"/>
  <c r="AD63" i="2"/>
  <c r="AN63" i="2"/>
  <c r="AX63" i="2"/>
  <c r="BH63" i="2"/>
  <c r="BR63" i="2"/>
  <c r="CB63" i="2"/>
  <c r="CL63" i="2"/>
  <c r="BR67" i="2"/>
  <c r="CB67" i="2"/>
  <c r="CL67" i="2"/>
  <c r="BJ68" i="2"/>
  <c r="BL68" i="2"/>
  <c r="BN68" i="2"/>
  <c r="BP68" i="2"/>
  <c r="BR68" i="2"/>
  <c r="BT68" i="2"/>
  <c r="BV68" i="2"/>
  <c r="BX68" i="2"/>
  <c r="BZ68" i="2"/>
  <c r="CB68" i="2"/>
  <c r="CD68" i="2"/>
  <c r="CF68" i="2"/>
  <c r="CH68" i="2"/>
  <c r="CJ68" i="2"/>
  <c r="CL68" i="2"/>
  <c r="B69" i="2"/>
  <c r="D69" i="2"/>
  <c r="F69" i="2"/>
  <c r="H69" i="2"/>
  <c r="L69" i="2"/>
  <c r="N69" i="2"/>
  <c r="P69" i="2"/>
  <c r="R69" i="2"/>
  <c r="V69" i="2"/>
  <c r="X69" i="2"/>
  <c r="Z69" i="2"/>
  <c r="AB69" i="2"/>
  <c r="AD69" i="2"/>
  <c r="AF69" i="2"/>
  <c r="AH69" i="2"/>
  <c r="AJ69" i="2"/>
  <c r="AL69" i="2"/>
  <c r="AP69" i="2"/>
  <c r="AR69" i="2"/>
  <c r="AT69" i="2"/>
  <c r="AV69" i="2"/>
  <c r="AZ69" i="2"/>
  <c r="BB69" i="2"/>
  <c r="BD69" i="2"/>
  <c r="BF69" i="2"/>
  <c r="BH69" i="2"/>
  <c r="BJ69" i="2"/>
  <c r="BL69" i="2"/>
  <c r="BN69" i="2"/>
  <c r="BP69" i="2"/>
  <c r="BR69" i="2"/>
  <c r="BT69" i="2"/>
  <c r="BV69" i="2"/>
  <c r="BX69" i="2"/>
  <c r="BZ69" i="2"/>
  <c r="CD69" i="2"/>
  <c r="CH69" i="2"/>
  <c r="CJ69" i="2"/>
  <c r="B70" i="2"/>
  <c r="D70" i="2"/>
  <c r="F70" i="2"/>
  <c r="H70" i="2"/>
  <c r="L70" i="2"/>
  <c r="N70" i="2"/>
  <c r="P70" i="2"/>
  <c r="R70" i="2"/>
  <c r="V70" i="2"/>
  <c r="X70" i="2"/>
  <c r="Z70" i="2"/>
  <c r="AB70" i="2"/>
  <c r="AD70" i="2"/>
  <c r="AF70" i="2"/>
  <c r="AH70" i="2"/>
  <c r="AJ70" i="2"/>
  <c r="AL70" i="2"/>
  <c r="AP70" i="2"/>
  <c r="AR70" i="2"/>
  <c r="AT70" i="2"/>
  <c r="AV70" i="2"/>
  <c r="AX70" i="2"/>
  <c r="AZ70" i="2"/>
  <c r="BB70" i="2"/>
  <c r="BD70" i="2"/>
  <c r="BF70" i="2"/>
  <c r="BJ70" i="2"/>
  <c r="BL70" i="2"/>
  <c r="BN70" i="2"/>
  <c r="BP70" i="2"/>
  <c r="BR70" i="2"/>
  <c r="BT70" i="2"/>
  <c r="BV70" i="2"/>
  <c r="BX70" i="2"/>
  <c r="BZ70" i="2"/>
  <c r="CD70" i="2"/>
  <c r="CH70" i="2"/>
  <c r="CJ70" i="2"/>
  <c r="CL70" i="2"/>
  <c r="F72" i="2"/>
  <c r="L72" i="2"/>
  <c r="R72" i="2"/>
  <c r="X72" i="2"/>
  <c r="Z72" i="2"/>
  <c r="AB72" i="2"/>
  <c r="AJ72" i="2"/>
  <c r="AL72" i="2"/>
  <c r="AP72" i="2"/>
  <c r="AV72" i="2"/>
  <c r="AZ72" i="2"/>
  <c r="BD72" i="2"/>
  <c r="BF72" i="2"/>
  <c r="BL72" i="2"/>
  <c r="BN72" i="2"/>
  <c r="BP72" i="2"/>
  <c r="BX72" i="2"/>
  <c r="BZ72" i="2"/>
  <c r="B74" i="2"/>
  <c r="D74" i="2"/>
  <c r="F74" i="2"/>
  <c r="H74" i="2"/>
  <c r="L74" i="2"/>
  <c r="N74" i="2"/>
  <c r="P74" i="2"/>
  <c r="R74" i="2"/>
  <c r="V74" i="2"/>
  <c r="X74" i="2"/>
  <c r="Z74" i="2"/>
  <c r="AB74" i="2"/>
  <c r="AD74" i="2"/>
  <c r="AF74" i="2"/>
  <c r="AH74" i="2"/>
  <c r="AJ74" i="2"/>
  <c r="AL74" i="2"/>
  <c r="AP74" i="2"/>
  <c r="AR74" i="2"/>
  <c r="AT74" i="2"/>
  <c r="AV74" i="2"/>
  <c r="AX74" i="2"/>
  <c r="AZ74" i="2"/>
  <c r="BB74" i="2"/>
  <c r="BD74" i="2"/>
  <c r="BF74" i="2"/>
  <c r="BJ74" i="2"/>
  <c r="BL74" i="2"/>
  <c r="BN74" i="2"/>
  <c r="BT74" i="2"/>
  <c r="BV74" i="2"/>
  <c r="BX74" i="2"/>
  <c r="BZ74" i="2"/>
  <c r="CD74" i="2"/>
  <c r="CH74" i="2"/>
  <c r="CJ74" i="2"/>
  <c r="CL74" i="2"/>
  <c r="F75" i="2"/>
  <c r="L75" i="2"/>
  <c r="N75" i="2"/>
  <c r="Z75" i="2"/>
  <c r="AB75" i="2"/>
  <c r="AJ75" i="2"/>
  <c r="AL75" i="2"/>
  <c r="AP75" i="2"/>
  <c r="AT75" i="2"/>
  <c r="AV75" i="2"/>
  <c r="AZ75" i="2"/>
  <c r="BD75" i="2"/>
  <c r="BF75" i="2"/>
  <c r="BX75" i="2"/>
  <c r="BZ75" i="2"/>
  <c r="CH75" i="2"/>
  <c r="CJ75" i="2"/>
  <c r="D76" i="2"/>
  <c r="F76" i="2"/>
  <c r="H76" i="2"/>
  <c r="L76" i="2"/>
  <c r="N76" i="2"/>
  <c r="Z76" i="2"/>
  <c r="AB76" i="2"/>
  <c r="AJ76" i="2"/>
  <c r="AL76" i="2"/>
  <c r="AP76" i="2"/>
  <c r="AV76" i="2"/>
  <c r="AZ76" i="2"/>
  <c r="BD76" i="2"/>
  <c r="BF76" i="2"/>
  <c r="BL76" i="2"/>
  <c r="BP76" i="2"/>
  <c r="BX76" i="2"/>
  <c r="BZ76" i="2"/>
  <c r="CJ76" i="2"/>
  <c r="N78" i="2"/>
  <c r="AL78" i="2"/>
  <c r="BD78" i="2"/>
  <c r="BP78" i="2"/>
  <c r="BZ78" i="2"/>
  <c r="B84" i="2"/>
  <c r="B85" i="2"/>
  <c r="D84" i="2"/>
  <c r="D85" i="2"/>
  <c r="F84" i="2"/>
  <c r="F85" i="2"/>
  <c r="H84" i="2"/>
  <c r="H85" i="2"/>
  <c r="L84" i="2"/>
  <c r="N84" i="2"/>
  <c r="N85" i="2"/>
  <c r="P84" i="2"/>
  <c r="P85" i="2"/>
  <c r="R84" i="2"/>
  <c r="V84" i="2"/>
  <c r="V85" i="2"/>
  <c r="X84" i="2"/>
  <c r="X85" i="2"/>
  <c r="Z84" i="2"/>
  <c r="AB84" i="2"/>
  <c r="AB85" i="2"/>
  <c r="AF84" i="2"/>
  <c r="AF85" i="2"/>
  <c r="AH84" i="2"/>
  <c r="AJ84" i="2"/>
  <c r="AJ85" i="2"/>
  <c r="AL84" i="2"/>
  <c r="AL85" i="2"/>
  <c r="AP84" i="2"/>
  <c r="AP85" i="2"/>
  <c r="AR84" i="2"/>
  <c r="AR85" i="2"/>
  <c r="AT84" i="2"/>
  <c r="AT85" i="2"/>
  <c r="AV84" i="2"/>
  <c r="AV85" i="2"/>
  <c r="AZ84" i="2"/>
  <c r="BB84" i="2"/>
  <c r="BB85" i="2"/>
  <c r="BD84" i="2"/>
  <c r="BD85" i="2"/>
  <c r="BF84" i="2"/>
  <c r="BJ84" i="2"/>
  <c r="BJ85" i="2"/>
  <c r="BL84" i="2"/>
  <c r="BL85" i="2"/>
  <c r="BN84" i="2"/>
  <c r="BP84" i="2"/>
  <c r="BP85" i="2"/>
  <c r="BT84" i="2"/>
  <c r="BT85" i="2"/>
  <c r="BV84" i="2"/>
  <c r="BV85" i="2"/>
  <c r="BX84" i="2"/>
  <c r="BX85" i="2"/>
  <c r="BZ84" i="2"/>
  <c r="BZ85" i="2"/>
  <c r="CD84" i="2"/>
  <c r="CD85" i="2"/>
  <c r="CF84" i="2"/>
  <c r="CF85" i="2"/>
  <c r="CH84" i="2"/>
  <c r="CH85" i="2"/>
  <c r="CJ84" i="2"/>
  <c r="CJ85" i="2"/>
  <c r="L85" i="2"/>
  <c r="R85" i="2"/>
  <c r="Z85" i="2"/>
  <c r="AH85" i="2"/>
  <c r="AZ85" i="2"/>
  <c r="BF85" i="2"/>
  <c r="BN85" i="2"/>
  <c r="CT75" i="2"/>
  <c r="CR7" i="2"/>
  <c r="CR68" i="2"/>
  <c r="CN76" i="2"/>
  <c r="DD19" i="2"/>
  <c r="DD78" i="2"/>
  <c r="CX72" i="2"/>
  <c r="DB72" i="2"/>
  <c r="CX75" i="2"/>
  <c r="DB75" i="2"/>
  <c r="DD76" i="2"/>
  <c r="CX19" i="2"/>
  <c r="CX36" i="2"/>
  <c r="CX42" i="2"/>
  <c r="DB19" i="2"/>
  <c r="DD72" i="2"/>
  <c r="DF69" i="2"/>
  <c r="DH72" i="2"/>
  <c r="DH75" i="2"/>
  <c r="DH19" i="2"/>
  <c r="DJ76" i="2"/>
  <c r="DJ72" i="2"/>
  <c r="DJ19" i="2"/>
  <c r="DJ78" i="2"/>
  <c r="DP61" i="2"/>
  <c r="BF78" i="2"/>
  <c r="Z36" i="2"/>
  <c r="Z42" i="2"/>
  <c r="L36" i="2"/>
  <c r="L42" i="2"/>
  <c r="L60" i="2"/>
  <c r="L64" i="2"/>
  <c r="L65" i="2"/>
  <c r="L78" i="2"/>
  <c r="CJ19" i="2"/>
  <c r="CJ72" i="2"/>
  <c r="B75" i="2"/>
  <c r="B19" i="2"/>
  <c r="B36" i="2"/>
  <c r="B42" i="2"/>
  <c r="B76" i="2"/>
  <c r="J13" i="2"/>
  <c r="J19" i="2"/>
  <c r="BN75" i="2"/>
  <c r="BN19" i="2"/>
  <c r="BN36" i="2"/>
  <c r="BN42" i="2"/>
  <c r="BN76" i="2"/>
  <c r="AH76" i="2"/>
  <c r="R75" i="2"/>
  <c r="R19" i="2"/>
  <c r="R76" i="2"/>
  <c r="B72" i="2"/>
  <c r="T34" i="2"/>
  <c r="AB36" i="2"/>
  <c r="AB42" i="2"/>
  <c r="AB78" i="2"/>
  <c r="CD76" i="2"/>
  <c r="AL45" i="2"/>
  <c r="AL60" i="2"/>
  <c r="AL64" i="2"/>
  <c r="AL65" i="2"/>
  <c r="CN59" i="2"/>
  <c r="CN68" i="2"/>
  <c r="BZ60" i="2"/>
  <c r="BZ64" i="2"/>
  <c r="BZ65" i="2"/>
  <c r="L45" i="2"/>
  <c r="L51" i="2"/>
  <c r="Z45" i="2"/>
  <c r="Z51" i="2"/>
  <c r="Z60" i="2"/>
  <c r="CJ78" i="2"/>
  <c r="AL48" i="2"/>
  <c r="AL50" i="2"/>
  <c r="L48" i="2"/>
  <c r="L50" i="2"/>
  <c r="DP69" i="2"/>
  <c r="DP74" i="2"/>
  <c r="DN76" i="2"/>
  <c r="DR19" i="2"/>
  <c r="DR78" i="2"/>
  <c r="DV76" i="2"/>
  <c r="DR75" i="2"/>
  <c r="DX76" i="2"/>
  <c r="DV19" i="2"/>
  <c r="DV78" i="2"/>
  <c r="DX72" i="2"/>
  <c r="DX78" i="2"/>
  <c r="DR76" i="2"/>
  <c r="AR36" i="2"/>
  <c r="AR42" i="2"/>
  <c r="AR78" i="2"/>
  <c r="BN60" i="2"/>
  <c r="BN64" i="2"/>
  <c r="BN65" i="2"/>
  <c r="BN45" i="2"/>
  <c r="B60" i="2"/>
  <c r="B64" i="2"/>
  <c r="B65" i="2"/>
  <c r="B45" i="2"/>
  <c r="B51" i="2"/>
  <c r="DN72" i="2"/>
  <c r="B78" i="2"/>
  <c r="BN78" i="2"/>
  <c r="J69" i="2"/>
  <c r="F45" i="2"/>
  <c r="AH19" i="2"/>
  <c r="CZ19" i="2"/>
  <c r="AR76" i="2"/>
  <c r="AR75" i="2"/>
  <c r="BV72" i="2"/>
  <c r="AR72" i="2"/>
  <c r="AH72" i="2"/>
  <c r="D72" i="2"/>
  <c r="D36" i="2"/>
  <c r="D42" i="2"/>
  <c r="CF19" i="2"/>
  <c r="CF78" i="2"/>
  <c r="DN75" i="2"/>
  <c r="CR72" i="2"/>
  <c r="CZ72" i="2"/>
  <c r="CZ76" i="2"/>
  <c r="CR76" i="2"/>
  <c r="BV76" i="2"/>
  <c r="BV75" i="2"/>
  <c r="AX34" i="2"/>
  <c r="DP34" i="2"/>
  <c r="T13" i="2"/>
  <c r="Z64" i="2"/>
  <c r="Z65" i="2"/>
  <c r="CR19" i="2"/>
  <c r="CR78" i="2"/>
  <c r="CF76" i="2"/>
  <c r="X76" i="2"/>
  <c r="CF75" i="2"/>
  <c r="BL75" i="2"/>
  <c r="X75" i="2"/>
  <c r="D75" i="2"/>
  <c r="T69" i="2"/>
  <c r="CN72" i="2"/>
  <c r="EJ45" i="2"/>
  <c r="EJ51" i="2"/>
  <c r="ED48" i="2"/>
  <c r="ED50" i="2"/>
  <c r="BH75" i="2"/>
  <c r="BH72" i="2"/>
  <c r="BH76" i="2"/>
  <c r="T75" i="2"/>
  <c r="T72" i="2"/>
  <c r="T76" i="2"/>
  <c r="AP36" i="2"/>
  <c r="AP42" i="2"/>
  <c r="AP78" i="2"/>
  <c r="AL51" i="2"/>
  <c r="CN19" i="2"/>
  <c r="DN36" i="2"/>
  <c r="DN42" i="2"/>
  <c r="DN60" i="2"/>
  <c r="DN64" i="2"/>
  <c r="DN65" i="2"/>
  <c r="CR59" i="2"/>
  <c r="DD36" i="2"/>
  <c r="DD42" i="2"/>
  <c r="F64" i="2"/>
  <c r="F65" i="2"/>
  <c r="CV13" i="2"/>
  <c r="CV75" i="2"/>
  <c r="DF13" i="2"/>
  <c r="DF19" i="2"/>
  <c r="DF78" i="2"/>
  <c r="CR36" i="2"/>
  <c r="CR42" i="2"/>
  <c r="AN13" i="2"/>
  <c r="AN75" i="2"/>
  <c r="CT76" i="2"/>
  <c r="DZ61" i="2"/>
  <c r="J78" i="2"/>
  <c r="J36" i="2"/>
  <c r="J42" i="2"/>
  <c r="AN76" i="2"/>
  <c r="CX45" i="2"/>
  <c r="CX51" i="2"/>
  <c r="C7" i="3"/>
  <c r="CX60" i="2"/>
  <c r="CX64" i="2"/>
  <c r="CX65" i="2"/>
  <c r="P19" i="2"/>
  <c r="P75" i="2"/>
  <c r="P72" i="2"/>
  <c r="P76" i="2"/>
  <c r="DL76" i="2"/>
  <c r="DL72" i="2"/>
  <c r="DL19" i="2"/>
  <c r="DL75" i="2"/>
  <c r="DX36" i="2"/>
  <c r="DX42" i="2"/>
  <c r="DX45" i="2"/>
  <c r="DX51" i="2"/>
  <c r="L9" i="3"/>
  <c r="DP75" i="2"/>
  <c r="Z48" i="2"/>
  <c r="Z50" i="2"/>
  <c r="AB45" i="2"/>
  <c r="AB60" i="2"/>
  <c r="AB64" i="2"/>
  <c r="AB65" i="2"/>
  <c r="AJ45" i="2"/>
  <c r="AJ60" i="2"/>
  <c r="AJ64" i="2"/>
  <c r="AJ65" i="2"/>
  <c r="N60" i="2"/>
  <c r="N64" i="2"/>
  <c r="N65" i="2"/>
  <c r="N45" i="2"/>
  <c r="BR32" i="2"/>
  <c r="BR62" i="2"/>
  <c r="BP62" i="2"/>
  <c r="BH34" i="2"/>
  <c r="AD34" i="2"/>
  <c r="CD75" i="2"/>
  <c r="CD19" i="2"/>
  <c r="CD72" i="2"/>
  <c r="BT19" i="2"/>
  <c r="BT76" i="2"/>
  <c r="BT72" i="2"/>
  <c r="BT75" i="2"/>
  <c r="BJ19" i="2"/>
  <c r="BJ72" i="2"/>
  <c r="BJ76" i="2"/>
  <c r="BJ75" i="2"/>
  <c r="BB72" i="2"/>
  <c r="BB76" i="2"/>
  <c r="BB75" i="2"/>
  <c r="AT19" i="2"/>
  <c r="AT72" i="2"/>
  <c r="AT76" i="2"/>
  <c r="AF19" i="2"/>
  <c r="AF72" i="2"/>
  <c r="AF76" i="2"/>
  <c r="AF75" i="2"/>
  <c r="V72" i="2"/>
  <c r="V76" i="2"/>
  <c r="V19" i="2"/>
  <c r="V75" i="2"/>
  <c r="DF75" i="2"/>
  <c r="DF34" i="2"/>
  <c r="DF36" i="2"/>
  <c r="DF42" i="2"/>
  <c r="DF60" i="2"/>
  <c r="DD45" i="2"/>
  <c r="DD60" i="2"/>
  <c r="DD64" i="2"/>
  <c r="DD65" i="2"/>
  <c r="BP34" i="2"/>
  <c r="BP75" i="2"/>
  <c r="BP74" i="2"/>
  <c r="AN34" i="2"/>
  <c r="AN69" i="2"/>
  <c r="DP19" i="2"/>
  <c r="CJ60" i="2"/>
  <c r="CJ64" i="2"/>
  <c r="CJ65" i="2"/>
  <c r="R78" i="2"/>
  <c r="R36" i="2"/>
  <c r="R42" i="2"/>
  <c r="DH36" i="2"/>
  <c r="DH42" i="2"/>
  <c r="DH45" i="2"/>
  <c r="DH78" i="2"/>
  <c r="CH19" i="2"/>
  <c r="CH72" i="2"/>
  <c r="CH76" i="2"/>
  <c r="CP19" i="2"/>
  <c r="CP76" i="2"/>
  <c r="CP75" i="2"/>
  <c r="CV19" i="2"/>
  <c r="CV36" i="2"/>
  <c r="CV42" i="2"/>
  <c r="DF72" i="2"/>
  <c r="DF76" i="2"/>
  <c r="DP76" i="2"/>
  <c r="CR60" i="2"/>
  <c r="CR64" i="2"/>
  <c r="CR65" i="2"/>
  <c r="CR45" i="2"/>
  <c r="J72" i="2"/>
  <c r="J76" i="2"/>
  <c r="J75" i="2"/>
  <c r="AR45" i="2"/>
  <c r="AR60" i="2"/>
  <c r="AR64" i="2"/>
  <c r="AR65" i="2"/>
  <c r="AX61" i="2"/>
  <c r="J61" i="2"/>
  <c r="BB36" i="2"/>
  <c r="BB42" i="2"/>
  <c r="BB78" i="2"/>
  <c r="H19" i="2"/>
  <c r="H75" i="2"/>
  <c r="H72" i="2"/>
  <c r="CB13" i="2"/>
  <c r="CB74" i="2"/>
  <c r="CB61" i="2"/>
  <c r="AN61" i="2"/>
  <c r="CF36" i="2"/>
  <c r="CF42" i="2"/>
  <c r="BR26" i="2"/>
  <c r="BR74" i="2"/>
  <c r="BH19" i="2"/>
  <c r="T19" i="2"/>
  <c r="T36" i="2"/>
  <c r="T42" i="2"/>
  <c r="T60" i="2"/>
  <c r="AD13" i="2"/>
  <c r="BR13" i="2"/>
  <c r="BR76" i="2"/>
  <c r="CL34" i="2"/>
  <c r="CT72" i="2"/>
  <c r="CV69" i="2"/>
  <c r="DF74" i="2"/>
  <c r="DF61" i="2"/>
  <c r="BR61" i="2"/>
  <c r="AD61" i="2"/>
  <c r="BP36" i="2"/>
  <c r="BP42" i="2"/>
  <c r="BF36" i="2"/>
  <c r="BF42" i="2"/>
  <c r="AV36" i="2"/>
  <c r="AV42" i="2"/>
  <c r="CL13" i="2"/>
  <c r="CL75" i="2"/>
  <c r="BH61" i="2"/>
  <c r="T61" i="2"/>
  <c r="CB34" i="2"/>
  <c r="BD36" i="2"/>
  <c r="BD42" i="2"/>
  <c r="AX13" i="2"/>
  <c r="AX19" i="2"/>
  <c r="CV70" i="2"/>
  <c r="DZ70" i="2"/>
  <c r="DZ34" i="2"/>
  <c r="DV36" i="2"/>
  <c r="DV42" i="2"/>
  <c r="DV60" i="2"/>
  <c r="DV64" i="2"/>
  <c r="DV65" i="2"/>
  <c r="DV72" i="2"/>
  <c r="DZ13" i="2"/>
  <c r="DZ76" i="2"/>
  <c r="DZ74" i="2"/>
  <c r="DT72" i="2"/>
  <c r="DT19" i="2"/>
  <c r="DT78" i="2"/>
  <c r="DT75" i="2"/>
  <c r="DZ69" i="2"/>
  <c r="DR36" i="2"/>
  <c r="DR42" i="2"/>
  <c r="B48" i="2"/>
  <c r="B50" i="2"/>
  <c r="CJ48" i="2"/>
  <c r="CJ50" i="2"/>
  <c r="CJ51" i="2"/>
  <c r="DH60" i="2"/>
  <c r="DH64" i="2"/>
  <c r="DH65" i="2"/>
  <c r="CV76" i="2"/>
  <c r="CX48" i="2"/>
  <c r="CX50" i="2"/>
  <c r="CT7" i="2"/>
  <c r="BX36" i="2"/>
  <c r="BX42" i="2"/>
  <c r="BX78" i="2"/>
  <c r="CL76" i="2"/>
  <c r="BZ48" i="2"/>
  <c r="BZ50" i="2"/>
  <c r="BZ51" i="2"/>
  <c r="BV36" i="2"/>
  <c r="BV42" i="2"/>
  <c r="BV78" i="2"/>
  <c r="BL36" i="2"/>
  <c r="BL42" i="2"/>
  <c r="BL78" i="2"/>
  <c r="X36" i="2"/>
  <c r="X42" i="2"/>
  <c r="X78" i="2"/>
  <c r="AX72" i="2"/>
  <c r="AX75" i="2"/>
  <c r="CT78" i="2"/>
  <c r="CT36" i="2"/>
  <c r="CT42" i="2"/>
  <c r="CP68" i="2"/>
  <c r="CP59" i="2"/>
  <c r="DB36" i="2"/>
  <c r="DB42" i="2"/>
  <c r="DB78" i="2"/>
  <c r="CB76" i="2"/>
  <c r="CB72" i="2"/>
  <c r="CB19" i="2"/>
  <c r="CB75" i="2"/>
  <c r="DF45" i="2"/>
  <c r="CF45" i="2"/>
  <c r="CF60" i="2"/>
  <c r="CF64" i="2"/>
  <c r="CF65" i="2"/>
  <c r="AZ36" i="2"/>
  <c r="AZ42" i="2"/>
  <c r="AZ78" i="2"/>
  <c r="AD19" i="2"/>
  <c r="AD72" i="2"/>
  <c r="AD75" i="2"/>
  <c r="AD76" i="2"/>
  <c r="DJ36" i="2"/>
  <c r="DJ42" i="2"/>
  <c r="CX78" i="2"/>
  <c r="CV74" i="2"/>
  <c r="T45" i="2"/>
  <c r="AN19" i="2"/>
  <c r="AN72" i="2"/>
  <c r="F51" i="2"/>
  <c r="F48" i="2"/>
  <c r="F50" i="2"/>
  <c r="D60" i="2"/>
  <c r="D64" i="2"/>
  <c r="D65" i="2"/>
  <c r="D45" i="2"/>
  <c r="AH78" i="2"/>
  <c r="AH36" i="2"/>
  <c r="AH42" i="2"/>
  <c r="BN51" i="2"/>
  <c r="BN48" i="2"/>
  <c r="BN50" i="2"/>
  <c r="AX76" i="2"/>
  <c r="CZ78" i="2"/>
  <c r="CZ36" i="2"/>
  <c r="CZ42" i="2"/>
  <c r="EJ48" i="2"/>
  <c r="EJ50" i="2"/>
  <c r="CV72" i="2"/>
  <c r="AP60" i="2"/>
  <c r="AP64" i="2"/>
  <c r="AP65" i="2"/>
  <c r="AP45" i="2"/>
  <c r="BR34" i="2"/>
  <c r="CL72" i="2"/>
  <c r="CV78" i="2"/>
  <c r="DF64" i="2"/>
  <c r="DF65" i="2"/>
  <c r="DN45" i="2"/>
  <c r="CN78" i="2"/>
  <c r="CN36" i="2"/>
  <c r="CN42" i="2"/>
  <c r="BR75" i="2"/>
  <c r="CL19" i="2"/>
  <c r="T64" i="2"/>
  <c r="T65" i="2"/>
  <c r="DX48" i="2"/>
  <c r="DX50" i="2"/>
  <c r="DX60" i="2"/>
  <c r="DX64" i="2"/>
  <c r="DX65" i="2"/>
  <c r="AR51" i="2"/>
  <c r="AR48" i="2"/>
  <c r="AR50" i="2"/>
  <c r="AT36" i="2"/>
  <c r="AT42" i="2"/>
  <c r="AT78" i="2"/>
  <c r="AJ48" i="2"/>
  <c r="AJ50" i="2"/>
  <c r="AJ51" i="2"/>
  <c r="AX78" i="2"/>
  <c r="AX36" i="2"/>
  <c r="AX42" i="2"/>
  <c r="AN78" i="2"/>
  <c r="AN36" i="2"/>
  <c r="AN42" i="2"/>
  <c r="BH36" i="2"/>
  <c r="BH42" i="2"/>
  <c r="CH78" i="2"/>
  <c r="CH36" i="2"/>
  <c r="CH42" i="2"/>
  <c r="R60" i="2"/>
  <c r="R64" i="2"/>
  <c r="R65" i="2"/>
  <c r="R45" i="2"/>
  <c r="AF36" i="2"/>
  <c r="AF42" i="2"/>
  <c r="AF78" i="2"/>
  <c r="CD36" i="2"/>
  <c r="CD42" i="2"/>
  <c r="CD78" i="2"/>
  <c r="T78" i="2"/>
  <c r="N51" i="2"/>
  <c r="N48" i="2"/>
  <c r="N50" i="2"/>
  <c r="P36" i="2"/>
  <c r="P42" i="2"/>
  <c r="P78" i="2"/>
  <c r="BB60" i="2"/>
  <c r="BB64" i="2"/>
  <c r="BB65" i="2"/>
  <c r="BB45" i="2"/>
  <c r="CR48" i="2"/>
  <c r="CR50" i="2"/>
  <c r="CR51" i="2"/>
  <c r="DP78" i="2"/>
  <c r="DP36" i="2"/>
  <c r="DP42" i="2"/>
  <c r="BD60" i="2"/>
  <c r="BD64" i="2"/>
  <c r="BD65" i="2"/>
  <c r="BD45" i="2"/>
  <c r="BP60" i="2"/>
  <c r="BP64" i="2"/>
  <c r="BP65" i="2"/>
  <c r="BP45" i="2"/>
  <c r="BR19" i="2"/>
  <c r="BR78" i="2"/>
  <c r="BR72" i="2"/>
  <c r="H36" i="2"/>
  <c r="H42" i="2"/>
  <c r="H78" i="2"/>
  <c r="CP78" i="2"/>
  <c r="CP36" i="2"/>
  <c r="CP42" i="2"/>
  <c r="BH78" i="2"/>
  <c r="AB48" i="2"/>
  <c r="AB50" i="2"/>
  <c r="AB51" i="2"/>
  <c r="J60" i="2"/>
  <c r="J64" i="2"/>
  <c r="J65" i="2"/>
  <c r="J45" i="2"/>
  <c r="BF60" i="2"/>
  <c r="BF64" i="2"/>
  <c r="BF65" i="2"/>
  <c r="BF45" i="2"/>
  <c r="AV60" i="2"/>
  <c r="AV64" i="2"/>
  <c r="AV65" i="2"/>
  <c r="AV45" i="2"/>
  <c r="DD48" i="2"/>
  <c r="DD50" i="2"/>
  <c r="DD51" i="2"/>
  <c r="L7" i="3"/>
  <c r="V36" i="2"/>
  <c r="V42" i="2"/>
  <c r="V78" i="2"/>
  <c r="BJ78" i="2"/>
  <c r="BJ36" i="2"/>
  <c r="BJ42" i="2"/>
  <c r="BT36" i="2"/>
  <c r="BT42" i="2"/>
  <c r="BT78" i="2"/>
  <c r="DL36" i="2"/>
  <c r="DL42" i="2"/>
  <c r="DL78" i="2"/>
  <c r="DV45" i="2"/>
  <c r="DZ72" i="2"/>
  <c r="DZ19" i="2"/>
  <c r="DZ78" i="2"/>
  <c r="DT36" i="2"/>
  <c r="DT42" i="2"/>
  <c r="DT60" i="2"/>
  <c r="DT64" i="2"/>
  <c r="DT65" i="2"/>
  <c r="DZ75" i="2"/>
  <c r="AZ60" i="2"/>
  <c r="AZ64" i="2"/>
  <c r="AZ65" i="2"/>
  <c r="AZ45" i="2"/>
  <c r="DF51" i="2"/>
  <c r="O7" i="3"/>
  <c r="D7" i="3"/>
  <c r="DF48" i="2"/>
  <c r="DF50" i="2"/>
  <c r="BX45" i="2"/>
  <c r="BX60" i="2"/>
  <c r="BX64" i="2"/>
  <c r="BX65" i="2"/>
  <c r="DH51" i="2"/>
  <c r="C8" i="3"/>
  <c r="DH48" i="2"/>
  <c r="DH50" i="2"/>
  <c r="T48" i="2"/>
  <c r="T50" i="2"/>
  <c r="T51" i="2"/>
  <c r="DJ60" i="2"/>
  <c r="DJ64" i="2"/>
  <c r="DJ65" i="2"/>
  <c r="DJ45" i="2"/>
  <c r="CT45" i="2"/>
  <c r="CT60" i="2"/>
  <c r="CT64" i="2"/>
  <c r="CT65" i="2"/>
  <c r="BL45" i="2"/>
  <c r="BL60" i="2"/>
  <c r="BL64" i="2"/>
  <c r="BL65" i="2"/>
  <c r="DB45" i="2"/>
  <c r="DB60" i="2"/>
  <c r="DB64" i="2"/>
  <c r="DB65" i="2"/>
  <c r="AD78" i="2"/>
  <c r="AD36" i="2"/>
  <c r="AD42" i="2"/>
  <c r="CF51" i="2"/>
  <c r="CF48" i="2"/>
  <c r="CF50" i="2"/>
  <c r="CB78" i="2"/>
  <c r="CB36" i="2"/>
  <c r="CB42" i="2"/>
  <c r="CL36" i="2"/>
  <c r="CL42" i="2"/>
  <c r="CL78" i="2"/>
  <c r="X60" i="2"/>
  <c r="X64" i="2"/>
  <c r="X65" i="2"/>
  <c r="X45" i="2"/>
  <c r="BV60" i="2"/>
  <c r="BV64" i="2"/>
  <c r="BV65" i="2"/>
  <c r="BV45" i="2"/>
  <c r="CX7" i="2"/>
  <c r="CT59" i="2"/>
  <c r="CT68" i="2"/>
  <c r="CV60" i="2"/>
  <c r="CV64" i="2"/>
  <c r="CV65" i="2"/>
  <c r="CV45" i="2"/>
  <c r="DR45" i="2"/>
  <c r="DR60" i="2"/>
  <c r="DR64" i="2"/>
  <c r="DR65" i="2"/>
  <c r="D48" i="2"/>
  <c r="D50" i="2"/>
  <c r="D51" i="2"/>
  <c r="CZ45" i="2"/>
  <c r="CZ60" i="2"/>
  <c r="CZ64" i="2"/>
  <c r="CZ65" i="2"/>
  <c r="AH45" i="2"/>
  <c r="AH60" i="2"/>
  <c r="AH64" i="2"/>
  <c r="AH65" i="2"/>
  <c r="AP51" i="2"/>
  <c r="AP48" i="2"/>
  <c r="AP50" i="2"/>
  <c r="CN45" i="2"/>
  <c r="CN60" i="2"/>
  <c r="CN64" i="2"/>
  <c r="CN65" i="2"/>
  <c r="DN51" i="2"/>
  <c r="L8" i="3"/>
  <c r="DN48" i="2"/>
  <c r="DN50" i="2"/>
  <c r="CP45" i="2"/>
  <c r="CP60" i="2"/>
  <c r="CP64" i="2"/>
  <c r="CP65" i="2"/>
  <c r="AX60" i="2"/>
  <c r="AX64" i="2"/>
  <c r="AX65" i="2"/>
  <c r="AX45" i="2"/>
  <c r="AV48" i="2"/>
  <c r="AV50" i="2"/>
  <c r="AV51" i="2"/>
  <c r="P60" i="2"/>
  <c r="P64" i="2"/>
  <c r="P65" i="2"/>
  <c r="P45" i="2"/>
  <c r="R48" i="2"/>
  <c r="R50" i="2"/>
  <c r="R51" i="2"/>
  <c r="BH60" i="2"/>
  <c r="BH64" i="2"/>
  <c r="BH65" i="2"/>
  <c r="BH45" i="2"/>
  <c r="AT45" i="2"/>
  <c r="AT60" i="2"/>
  <c r="AT64" i="2"/>
  <c r="AT65" i="2"/>
  <c r="BF48" i="2"/>
  <c r="BF50" i="2"/>
  <c r="BF51" i="2"/>
  <c r="BD51" i="2"/>
  <c r="BD48" i="2"/>
  <c r="BD50" i="2"/>
  <c r="BT45" i="2"/>
  <c r="BT60" i="2"/>
  <c r="BT64" i="2"/>
  <c r="BT65" i="2"/>
  <c r="V45" i="2"/>
  <c r="V60" i="2"/>
  <c r="V64" i="2"/>
  <c r="V65" i="2"/>
  <c r="BP48" i="2"/>
  <c r="BP50" i="2"/>
  <c r="BP51" i="2"/>
  <c r="DP60" i="2"/>
  <c r="DP64" i="2"/>
  <c r="DP65" i="2"/>
  <c r="DP45" i="2"/>
  <c r="BB51" i="2"/>
  <c r="BB48" i="2"/>
  <c r="BB50" i="2"/>
  <c r="CD45" i="2"/>
  <c r="CD60" i="2"/>
  <c r="CD64" i="2"/>
  <c r="CD65" i="2"/>
  <c r="AN60" i="2"/>
  <c r="AN64" i="2"/>
  <c r="AN65" i="2"/>
  <c r="AN45" i="2"/>
  <c r="DL45" i="2"/>
  <c r="DL60" i="2"/>
  <c r="DL64" i="2"/>
  <c r="DL65" i="2"/>
  <c r="AF60" i="2"/>
  <c r="AF64" i="2"/>
  <c r="AF65" i="2"/>
  <c r="AF45" i="2"/>
  <c r="BJ60" i="2"/>
  <c r="BJ64" i="2"/>
  <c r="BJ65" i="2"/>
  <c r="BJ44" i="2"/>
  <c r="BR44" i="2"/>
  <c r="M7" i="3"/>
  <c r="BR36" i="2"/>
  <c r="BR42" i="2"/>
  <c r="J51" i="2"/>
  <c r="J48" i="2"/>
  <c r="J50" i="2"/>
  <c r="H45" i="2"/>
  <c r="H60" i="2"/>
  <c r="H64" i="2"/>
  <c r="H65" i="2"/>
  <c r="CH60" i="2"/>
  <c r="CH64" i="2"/>
  <c r="CH65" i="2"/>
  <c r="CH45" i="2"/>
  <c r="DV48" i="2"/>
  <c r="DV50" i="2"/>
  <c r="DV51" i="2"/>
  <c r="I9" i="3"/>
  <c r="DT45" i="2"/>
  <c r="DT51" i="2"/>
  <c r="F9" i="3"/>
  <c r="DZ36" i="2"/>
  <c r="DZ42" i="2"/>
  <c r="DZ45" i="2"/>
  <c r="X51" i="2"/>
  <c r="X48" i="2"/>
  <c r="X50" i="2"/>
  <c r="AD60" i="2"/>
  <c r="AD64" i="2"/>
  <c r="AD65" i="2"/>
  <c r="AD45" i="2"/>
  <c r="CZ7" i="2"/>
  <c r="CX68" i="2"/>
  <c r="CX59" i="2"/>
  <c r="BL51" i="2"/>
  <c r="BL48" i="2"/>
  <c r="BL50" i="2"/>
  <c r="CT51" i="2"/>
  <c r="CT48" i="2"/>
  <c r="CT50" i="2"/>
  <c r="CV48" i="2"/>
  <c r="CV50" i="2"/>
  <c r="CV51" i="2"/>
  <c r="DR48" i="2"/>
  <c r="DR50" i="2"/>
  <c r="DR51" i="2"/>
  <c r="C9" i="3"/>
  <c r="BV51" i="2"/>
  <c r="BV48" i="2"/>
  <c r="BV50" i="2"/>
  <c r="CB45" i="2"/>
  <c r="CB60" i="2"/>
  <c r="CB64" i="2"/>
  <c r="CB65" i="2"/>
  <c r="DJ48" i="2"/>
  <c r="DJ50" i="2"/>
  <c r="DJ51" i="2"/>
  <c r="F8" i="3"/>
  <c r="AZ51" i="2"/>
  <c r="AZ48" i="2"/>
  <c r="AZ50" i="2"/>
  <c r="CL60" i="2"/>
  <c r="CL64" i="2"/>
  <c r="CL65" i="2"/>
  <c r="CL45" i="2"/>
  <c r="DB48" i="2"/>
  <c r="DB50" i="2"/>
  <c r="DB51" i="2"/>
  <c r="I7" i="3"/>
  <c r="J7" i="3"/>
  <c r="BX51" i="2"/>
  <c r="BX48" i="2"/>
  <c r="BX50" i="2"/>
  <c r="CZ51" i="2"/>
  <c r="F7" i="3"/>
  <c r="G7" i="3"/>
  <c r="CZ48" i="2"/>
  <c r="CZ50" i="2"/>
  <c r="AH48" i="2"/>
  <c r="AH50" i="2"/>
  <c r="AH51" i="2"/>
  <c r="CN48" i="2"/>
  <c r="CN50" i="2"/>
  <c r="CN51" i="2"/>
  <c r="BR45" i="2"/>
  <c r="BR60" i="2"/>
  <c r="BR64" i="2"/>
  <c r="BR65" i="2"/>
  <c r="DL48" i="2"/>
  <c r="DL50" i="2"/>
  <c r="DL51" i="2"/>
  <c r="I8" i="3"/>
  <c r="CD51" i="2"/>
  <c r="CD48" i="2"/>
  <c r="CD50" i="2"/>
  <c r="V51" i="2"/>
  <c r="V48" i="2"/>
  <c r="V50" i="2"/>
  <c r="DP48" i="2"/>
  <c r="DP50" i="2"/>
  <c r="DP51" i="2"/>
  <c r="O8" i="3"/>
  <c r="G8" i="3"/>
  <c r="H51" i="2"/>
  <c r="H48" i="2"/>
  <c r="H50" i="2"/>
  <c r="AF48" i="2"/>
  <c r="AF50" i="2"/>
  <c r="AF51" i="2"/>
  <c r="AN51" i="2"/>
  <c r="AN48" i="2"/>
  <c r="AN50" i="2"/>
  <c r="AT48" i="2"/>
  <c r="AT50" i="2"/>
  <c r="AT51" i="2"/>
  <c r="CH51" i="2"/>
  <c r="CH48" i="2"/>
  <c r="CH50" i="2"/>
  <c r="BJ45" i="2"/>
  <c r="BT51" i="2"/>
  <c r="BT48" i="2"/>
  <c r="BT50" i="2"/>
  <c r="BH48" i="2"/>
  <c r="BH50" i="2"/>
  <c r="BH51" i="2"/>
  <c r="P48" i="2"/>
  <c r="P50" i="2"/>
  <c r="P51" i="2"/>
  <c r="AX48" i="2"/>
  <c r="AX50" i="2"/>
  <c r="AX51" i="2"/>
  <c r="CP51" i="2"/>
  <c r="CP48" i="2"/>
  <c r="CP50" i="2"/>
  <c r="DT48" i="2"/>
  <c r="DT50" i="2"/>
  <c r="DZ60" i="2"/>
  <c r="DZ64" i="2"/>
  <c r="DZ65" i="2"/>
  <c r="DZ51" i="2"/>
  <c r="O9" i="3"/>
  <c r="M9" i="3"/>
  <c r="DZ48" i="2"/>
  <c r="DZ50" i="2"/>
  <c r="CB48" i="2"/>
  <c r="CB50" i="2"/>
  <c r="CB51" i="2"/>
  <c r="AD51" i="2"/>
  <c r="AD48" i="2"/>
  <c r="AD50" i="2"/>
  <c r="CL51" i="2"/>
  <c r="CL48" i="2"/>
  <c r="CL50" i="2"/>
  <c r="CZ59" i="2"/>
  <c r="DB7" i="2"/>
  <c r="CZ68" i="2"/>
  <c r="G9" i="3"/>
  <c r="J9" i="3"/>
  <c r="D9" i="3"/>
  <c r="J8" i="3"/>
  <c r="BJ51" i="2"/>
  <c r="BJ48" i="2"/>
  <c r="BJ50" i="2"/>
  <c r="M8" i="3"/>
  <c r="D8" i="3"/>
  <c r="BR51" i="2"/>
  <c r="BR48" i="2"/>
  <c r="BR50" i="2"/>
  <c r="DB68" i="2"/>
  <c r="DD7" i="2"/>
  <c r="DB59" i="2"/>
  <c r="DH7" i="2"/>
  <c r="DD68" i="2"/>
  <c r="DF7" i="2"/>
  <c r="DD59" i="2"/>
  <c r="DF59" i="2"/>
  <c r="DF68" i="2"/>
  <c r="DH68" i="2"/>
  <c r="DH59" i="2"/>
  <c r="DJ7" i="2"/>
  <c r="DJ59" i="2"/>
  <c r="DJ68" i="2"/>
  <c r="DL7" i="2"/>
  <c r="DN7" i="2"/>
  <c r="DL59" i="2"/>
  <c r="DL68" i="2"/>
  <c r="DR7" i="2"/>
  <c r="DP7" i="2"/>
  <c r="DN68" i="2"/>
  <c r="DN59" i="2"/>
  <c r="DP59" i="2"/>
  <c r="DP68" i="2"/>
  <c r="DT7" i="2"/>
  <c r="DR59" i="2"/>
  <c r="DR68" i="2"/>
  <c r="DT59" i="2"/>
  <c r="DV7" i="2"/>
  <c r="DT68" i="2"/>
  <c r="DV68" i="2"/>
  <c r="DV59" i="2"/>
  <c r="DX7" i="2"/>
  <c r="EB7" i="2"/>
  <c r="ED7" i="2"/>
  <c r="EB68" i="2"/>
  <c r="EB59" i="2"/>
  <c r="DZ7" i="2"/>
  <c r="DX68" i="2"/>
  <c r="DX59" i="2"/>
  <c r="ED68" i="2"/>
  <c r="ED59" i="2"/>
  <c r="EF7" i="2"/>
  <c r="DZ68" i="2"/>
  <c r="DZ59" i="2"/>
  <c r="EF68" i="2"/>
  <c r="EH7" i="2"/>
  <c r="EF59" i="2"/>
  <c r="EH59" i="2"/>
  <c r="EH68" i="2"/>
  <c r="EJ7" i="2"/>
  <c r="EJ59" i="2"/>
  <c r="EJ68" i="2"/>
</calcChain>
</file>

<file path=xl/comments1.xml><?xml version="1.0" encoding="utf-8"?>
<comments xmlns="http://schemas.openxmlformats.org/spreadsheetml/2006/main">
  <authors>
    <author>David Carpenter</author>
  </authors>
  <commentList>
    <comment ref="H26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See 1999 annual report</t>
        </r>
      </text>
    </comment>
    <comment ref="H32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See 1999 Annual Report</t>
        </r>
      </text>
    </comment>
    <comment ref="V47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See second quarter 2001 10-Q</t>
        </r>
      </text>
    </comment>
    <comment ref="V51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FirstCall at $0.28 due to rounding</t>
        </r>
      </text>
    </comment>
    <comment ref="AL51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FirstCall at $0.51 due to rounding</t>
        </r>
      </text>
    </comment>
    <comment ref="AN51" authorId="0">
      <text>
        <r>
          <rPr>
            <b/>
            <sz val="8"/>
            <color indexed="81"/>
            <rFont val="Tahoma"/>
            <family val="2"/>
          </rPr>
          <t>David Carpenter:</t>
        </r>
        <r>
          <rPr>
            <sz val="8"/>
            <color indexed="81"/>
            <rFont val="Tahoma"/>
            <family val="2"/>
          </rPr>
          <t xml:space="preserve">
FirstCall at $1.94 due to rounding</t>
        </r>
      </text>
    </comment>
  </commentList>
</comments>
</file>

<file path=xl/sharedStrings.xml><?xml version="1.0" encoding="utf-8"?>
<sst xmlns="http://schemas.openxmlformats.org/spreadsheetml/2006/main" count="315" uniqueCount="200">
  <si>
    <t>Rent-A-Center, Inc.</t>
  </si>
  <si>
    <t>(dollars in thousands, except per share data)</t>
  </si>
  <si>
    <t>Quarter Ended</t>
  </si>
  <si>
    <t>FYE</t>
  </si>
  <si>
    <t>1999</t>
  </si>
  <si>
    <t>2000</t>
  </si>
  <si>
    <t>2001</t>
  </si>
  <si>
    <t>Store Revenue:</t>
  </si>
  <si>
    <t>Rentals &amp; Fees</t>
  </si>
  <si>
    <t>Merchandise Sales</t>
  </si>
  <si>
    <t>Other</t>
  </si>
  <si>
    <t>Total Store Revenue</t>
  </si>
  <si>
    <t>Franchise Revenue:</t>
  </si>
  <si>
    <t>Royalty Income and Fees</t>
  </si>
  <si>
    <t>Total Revenue</t>
  </si>
  <si>
    <t>Operating Expenses:</t>
  </si>
  <si>
    <t>Direct Store Expenses</t>
  </si>
  <si>
    <t>Cost of Merchandise Sold</t>
  </si>
  <si>
    <t>Salaries and Other Expenses</t>
  </si>
  <si>
    <t>(1)</t>
  </si>
  <si>
    <t>Franchise Operating Expenses</t>
  </si>
  <si>
    <t>General &amp; Administrative Expenses</t>
  </si>
  <si>
    <t>Total Operating Expenses</t>
  </si>
  <si>
    <t>Operating Profit</t>
  </si>
  <si>
    <t>Interest Income</t>
  </si>
  <si>
    <t>Interest Expense</t>
  </si>
  <si>
    <t>(2)</t>
  </si>
  <si>
    <t>Earnings Before Income Taxes</t>
  </si>
  <si>
    <t>Net Earnings</t>
  </si>
  <si>
    <t>Preferred Dividends</t>
  </si>
  <si>
    <t>Net Earnings to Common</t>
  </si>
  <si>
    <t>Basic EPS</t>
  </si>
  <si>
    <t>Diluted EPS</t>
  </si>
  <si>
    <t>Basic Shares Outstanding</t>
  </si>
  <si>
    <t>Diluted Shares Outstanding</t>
  </si>
  <si>
    <t>EBIT</t>
  </si>
  <si>
    <t>Plus: Amortization</t>
  </si>
  <si>
    <t>Plus: Depreciation</t>
  </si>
  <si>
    <t>EBITDA</t>
  </si>
  <si>
    <t>EBITDA Margin</t>
  </si>
  <si>
    <t>Margin Data:</t>
  </si>
  <si>
    <t>Cost of merchandise sold / Merchandise sales</t>
  </si>
  <si>
    <t>Store Gross Profit Margin</t>
  </si>
  <si>
    <t>Salaries &amp; other expenses / Store revenue</t>
  </si>
  <si>
    <t>Balance Sheet Statistics:</t>
  </si>
  <si>
    <t>Rental Merchandise - On Rent</t>
  </si>
  <si>
    <t>Rental Merchandise - Idle</t>
  </si>
  <si>
    <t>Total Rental Merchandise</t>
  </si>
  <si>
    <t>Idle as % of Total Merchandise</t>
  </si>
  <si>
    <t>ProForma Quarterly Financials (10Q Format)</t>
  </si>
  <si>
    <t>Installment Sales</t>
  </si>
  <si>
    <t>Cost of Installment Sales</t>
  </si>
  <si>
    <t>2002</t>
  </si>
  <si>
    <t xml:space="preserve">    5-for-2 stock split that took effect on September 2, 2003.</t>
  </si>
  <si>
    <t xml:space="preserve">    associated with the recapitalization of the Company.</t>
  </si>
  <si>
    <t xml:space="preserve">(2) Basic and Diluted EPS is adjusted through 1998 to reflect the         </t>
  </si>
  <si>
    <t>2001 Notes</t>
  </si>
  <si>
    <t>2002 Notes</t>
  </si>
  <si>
    <t>2003 Notes</t>
  </si>
  <si>
    <t xml:space="preserve">(1) 3Q'03 &amp; FY 2003 excludes the effects of a pre-tax finance charge of $7.512 million </t>
  </si>
  <si>
    <t>(1)(2)</t>
  </si>
  <si>
    <t>2003</t>
  </si>
  <si>
    <t>2000 Notes</t>
  </si>
  <si>
    <t>2004 Notes</t>
  </si>
  <si>
    <t>(1) 2Q00 &amp; FY200 xxcludes non-recurring legal reversion of $22.4 million associated</t>
  </si>
  <si>
    <t xml:space="preserve"> with the 1999 settlement of three class action lawsuits in the State of New Jersey</t>
  </si>
  <si>
    <t>(1) 3Q01 &amp; FY2001 excludes $16.0 million non-recurring litigation charge associated</t>
  </si>
  <si>
    <t xml:space="preserve"> with the settlement in principle of an asserted class action lawsuit pending in the  </t>
  </si>
  <si>
    <t xml:space="preserve"> state of Missouri.</t>
  </si>
  <si>
    <t>(2) 4Q01 &amp; FY2001 excludes $36.0 million non-recurring litigation charge associated</t>
  </si>
  <si>
    <t xml:space="preserve"> with the settlement in principle of all remaining asserted class action lawsuits </t>
  </si>
  <si>
    <t xml:space="preserve"> pending in the state of Missouri.</t>
  </si>
  <si>
    <t>(1) 2Q02 &amp; FY2002 excludes $2.0 million pre-tax legal charge associated with the</t>
  </si>
  <si>
    <t xml:space="preserve"> settlement of class action gender discrimination lawsuits.</t>
  </si>
  <si>
    <t xml:space="preserve">(2) 2Q02 &amp; FY2002 excludes $2.909 million pre-tax charge associated with the early </t>
  </si>
  <si>
    <t xml:space="preserve"> retirement of debt.</t>
  </si>
  <si>
    <t>2004</t>
  </si>
  <si>
    <t xml:space="preserve"> refinancing of the Company's senior credit facility.</t>
  </si>
  <si>
    <t>Cost of Rental and Fees</t>
  </si>
  <si>
    <t>Income Tax Expense</t>
  </si>
  <si>
    <t xml:space="preserve"> with the Griego/Carrillo litigation and $4.2 million in pre-tax charges associated with</t>
  </si>
  <si>
    <t xml:space="preserve">(2) 4Q'04 and FY 2004 excludes the effects of $7.9 million in one-time other income </t>
  </si>
  <si>
    <t xml:space="preserve"> associated with the sale of charged-off accounts.</t>
  </si>
  <si>
    <t xml:space="preserve">(1) 3Q'04 and FY 2004 excludes the effects of $47.0 million in pre-tax charges associated </t>
  </si>
  <si>
    <t>2005</t>
  </si>
  <si>
    <t>2005 Notes</t>
  </si>
  <si>
    <t>(1) 1Q'05 excludes the effects of an $8.0 million pre-tax credit associated with the</t>
  </si>
  <si>
    <t xml:space="preserve">      litigation reversion.</t>
  </si>
  <si>
    <t>Cost of rental &amp; fees / Rental &amp; Fee Revenue</t>
  </si>
  <si>
    <t>Salaries &amp; other expenses / Rental &amp; Fee Revenue</t>
  </si>
  <si>
    <t>General &amp; Administrative / Total Revenue</t>
  </si>
  <si>
    <t>Store Margin</t>
  </si>
  <si>
    <t>Cost of Merchandise Sales</t>
  </si>
  <si>
    <t xml:space="preserve">      federal tax returns.</t>
  </si>
  <si>
    <t xml:space="preserve">(2) 2Q'05 excludes the effects of a $2.0 million tax audit reserve credit associated </t>
  </si>
  <si>
    <t xml:space="preserve">      with the examination and favorable resolution of the Company's 1998 and 1999 </t>
  </si>
  <si>
    <t xml:space="preserve">      of the store consolidation plan announced September 6, 2005. </t>
  </si>
  <si>
    <t>(4) 3Q'05 excludes the effects of a $13.0 million pre-tax restructuring expenses as part</t>
  </si>
  <si>
    <t xml:space="preserve">     caused by Hurricanes Katrina, Rita and Wilma.</t>
  </si>
  <si>
    <t xml:space="preserve">(6) 4Q'05 excludes the effects of a $2.1 million pre-tax restructuring expense as part of </t>
  </si>
  <si>
    <t xml:space="preserve">     the store consoldiation plan announced September 6, 2005.</t>
  </si>
  <si>
    <t>2006</t>
  </si>
  <si>
    <t>2006 Notes</t>
  </si>
  <si>
    <t>(1) (4) (6)</t>
  </si>
  <si>
    <t>(3) (5)</t>
  </si>
  <si>
    <t>(2) (7)</t>
  </si>
  <si>
    <t xml:space="preserve">     damage caused by Hurricanes Katrina &amp; Rita.</t>
  </si>
  <si>
    <t xml:space="preserve">(3) 3Q'05 excludes the effects of a $7.7 million in pre-tax expense related to the </t>
  </si>
  <si>
    <t>(5) 4Q05 excludes the effects of a $1.1 million in pre-tax expense related to the damage</t>
  </si>
  <si>
    <t xml:space="preserve">(7) 4Q'05 excludes the effects of a $3.7 million state tax reserve credit for a reserve </t>
  </si>
  <si>
    <t xml:space="preserve">     adjustment due to a change in estimate related to potential loss exposures.</t>
  </si>
  <si>
    <t xml:space="preserve">(2) 3Q'06 excludes the effects of a $4.95 million pre-tax expense associated with the </t>
  </si>
  <si>
    <r>
      <t xml:space="preserve">      settlement of the </t>
    </r>
    <r>
      <rPr>
        <i/>
        <sz val="10"/>
        <rFont val="Times New Roman"/>
        <family val="1"/>
      </rPr>
      <t>Burdusis/French/Corso</t>
    </r>
    <r>
      <rPr>
        <sz val="10"/>
        <rFont val="Times New Roman"/>
        <family val="1"/>
      </rPr>
      <t xml:space="preserve"> litigation.</t>
    </r>
  </si>
  <si>
    <t xml:space="preserve">      settlement with the California Attorney General.</t>
  </si>
  <si>
    <t xml:space="preserve">      refinancing of the Company's senior credit facility.</t>
  </si>
  <si>
    <t>(1) (2)</t>
  </si>
  <si>
    <t xml:space="preserve">(1) 3Q'06 excludes the effects of a $10.4 million pre-tax expense associated with the </t>
  </si>
  <si>
    <t>(3) 3Q'06 excludes the effects of a $2.2 million pre-tax expense associated with the</t>
  </si>
  <si>
    <t/>
  </si>
  <si>
    <t>Same Store Sales</t>
  </si>
  <si>
    <t>n/a</t>
  </si>
  <si>
    <t xml:space="preserve">      Company's senior credit facility.</t>
  </si>
  <si>
    <t>(1) (2) (4)</t>
  </si>
  <si>
    <t xml:space="preserve">(4) 4Q'06 excludes the effects of a $58 million pre-tax associated with the litigation </t>
  </si>
  <si>
    <t>(5) 4Q'06 excludes the effects of a $2.6 million pre-tax expense for refinancing of the</t>
  </si>
  <si>
    <t>Significant Items</t>
  </si>
  <si>
    <t>2007</t>
  </si>
  <si>
    <t>2007 Notes</t>
  </si>
  <si>
    <t>(1) 1Q'07 excludes the effects of a $51.3 million pre-tax litigation expense associated with the</t>
  </si>
  <si>
    <t xml:space="preserve">      expense with respect to the Perez case.</t>
  </si>
  <si>
    <t>Plus: Interest Expense, net</t>
  </si>
  <si>
    <t>(2) 3Q'07 excludes the effects of a $3.9 million in franchise royalty income for the settlement</t>
  </si>
  <si>
    <t xml:space="preserve">      with five affiliated ColorTyme franchisees.</t>
  </si>
  <si>
    <t>(3)(4)</t>
  </si>
  <si>
    <t>(1)(3)(4)</t>
  </si>
  <si>
    <t xml:space="preserve">(3) 4Q'07 excludes the effects of a $38.7 million pre-tax restructuring expense as part of the </t>
  </si>
  <si>
    <t xml:space="preserve">     December 3, 2007 announced store consolidation plan and other restructuring items.</t>
  </si>
  <si>
    <t>(4) 4Q'07 excludes the effects of a $11.0 million pre-tax expense associated with the prospective</t>
  </si>
  <si>
    <r>
      <t xml:space="preserve">     settlement of the </t>
    </r>
    <r>
      <rPr>
        <i/>
        <sz val="10"/>
        <rFont val="Times New Roman"/>
        <family val="1"/>
      </rPr>
      <t>Shafer/Johnson</t>
    </r>
    <r>
      <rPr>
        <sz val="10"/>
        <rFont val="Times New Roman"/>
        <family val="1"/>
      </rPr>
      <t xml:space="preserve"> matter.</t>
    </r>
  </si>
  <si>
    <r>
      <t xml:space="preserve">      prospective settlement in the </t>
    </r>
    <r>
      <rPr>
        <i/>
        <sz val="10"/>
        <rFont val="Times New Roman"/>
        <family val="1"/>
      </rPr>
      <t>Perez</t>
    </r>
    <r>
      <rPr>
        <sz val="10"/>
        <rFont val="Times New Roman"/>
        <family val="1"/>
      </rPr>
      <t xml:space="preserve"> case.</t>
    </r>
  </si>
  <si>
    <t>(1) 1Q'08 excludes the effects of a $2.9 million pre-tax restructuring expense as part of the</t>
  </si>
  <si>
    <t>2008 Notes</t>
  </si>
  <si>
    <t xml:space="preserve">      December 3, 2007 announced restructuring plan.</t>
  </si>
  <si>
    <t>(2) 2Q'08 excludes the effects of a $0.015 million pre-tax restructuring credit as part of the</t>
  </si>
  <si>
    <t>(3)</t>
  </si>
  <si>
    <t xml:space="preserve">(3) 3Q'08 excludes the effects of a $0.213 million pre-tax restructuring expense as part of </t>
  </si>
  <si>
    <t xml:space="preserve">     the December 3, 2007 announced restructuring plan.</t>
  </si>
  <si>
    <t>(4) 4Q'08 excludes effects of a $4.6 million pre-tax litigation credit related to the Hilda Perez</t>
  </si>
  <si>
    <t xml:space="preserve">      and Shafer/Johnson matters.</t>
  </si>
  <si>
    <t>(5) 4Q'08 excludes the effects of a $1.4 million pre-tax restructuring expense as part of the</t>
  </si>
  <si>
    <t>(6) 4Q'08 excludes the effect of a $4.3 million pre-tax gain on the extinguishment of debt.</t>
  </si>
  <si>
    <t xml:space="preserve">     December 3, 2007 announced restructuring plan.</t>
  </si>
  <si>
    <t>(4)(5)</t>
  </si>
  <si>
    <t>(6)</t>
  </si>
  <si>
    <t>(1)(2)(3)(4)(5)</t>
  </si>
  <si>
    <t>Amortization &amp; Write-down of Intangibles</t>
  </si>
  <si>
    <t>(1) 1Q'08 excludes the effects of a $3.0 million pre-tax litigation credit related to the</t>
  </si>
  <si>
    <r>
      <t xml:space="preserve">      </t>
    </r>
    <r>
      <rPr>
        <i/>
        <sz val="10"/>
        <rFont val="Times New Roman"/>
        <family val="1"/>
      </rPr>
      <t>Hilda Perez</t>
    </r>
    <r>
      <rPr>
        <sz val="10"/>
        <rFont val="Times New Roman"/>
        <family val="1"/>
      </rPr>
      <t xml:space="preserve"> matter.</t>
    </r>
  </si>
  <si>
    <t>2009 Notes</t>
  </si>
  <si>
    <t>(2) 2Q'09 excludes the effects of a $1.9 million pre-tax litigation credit related to the</t>
  </si>
  <si>
    <t>2010 Notes</t>
  </si>
  <si>
    <t>(1) Q4'10 excludes the effects of an $18.9 million pre-tax impairment charge related to</t>
  </si>
  <si>
    <t>(2) Q4'10 excludes the effects of a $3.1 million pre-tax financing expense related to the</t>
  </si>
  <si>
    <t xml:space="preserve">      write-off of unamortized financing costs.</t>
  </si>
  <si>
    <t xml:space="preserve">      the discontinuation of the financial services business.</t>
  </si>
  <si>
    <t>2011 Notes</t>
  </si>
  <si>
    <t>(1) Q1'11 excludes the effects of an $7.3 million pre-tax impairment charge related to</t>
  </si>
  <si>
    <t>(2) Q1'11 excludes the effects of a $2.8 million pre-tax litigation expense related to the</t>
  </si>
  <si>
    <t xml:space="preserve">      prospective settlement of wage &amp; hour claims in California.</t>
  </si>
  <si>
    <t>(3) Q2'11 excludes the effects of a $4.9 million pre-tax restructuring charge related to</t>
  </si>
  <si>
    <t xml:space="preserve">      the lease terminations regarding The Rental Store acquisition.</t>
  </si>
  <si>
    <t>(4)</t>
  </si>
  <si>
    <t>(4) Q3'11 excludes the effects of a $7.6 million pre-tax restructuring charge related to</t>
  </si>
  <si>
    <t xml:space="preserve">      the closure of eight Home Choice and 24 RAC Limited stores.</t>
  </si>
  <si>
    <t>1Q</t>
  </si>
  <si>
    <t>2Q</t>
  </si>
  <si>
    <t>3Q</t>
  </si>
  <si>
    <t>4Q</t>
  </si>
  <si>
    <t>Annual</t>
  </si>
  <si>
    <t>2009</t>
  </si>
  <si>
    <t>2010</t>
  </si>
  <si>
    <t>2011</t>
  </si>
  <si>
    <t>Year</t>
  </si>
  <si>
    <t>(5)</t>
  </si>
  <si>
    <t>(5) Q4'11 excludes the effects of a $1.4 million pre-tax restructuring charge related to</t>
  </si>
  <si>
    <t xml:space="preserve">      the acquisition in November 2011 of 58 rent-to-own stores.</t>
  </si>
  <si>
    <t>(1,2,3,4,5)</t>
  </si>
  <si>
    <t>% of Total</t>
  </si>
  <si>
    <t>Diluted
EPS</t>
  </si>
  <si>
    <t>RACA</t>
  </si>
  <si>
    <t>MEX</t>
  </si>
  <si>
    <t>CAN</t>
  </si>
  <si>
    <t>TOTAL</t>
  </si>
  <si>
    <t>STORES BY SEGMENT</t>
  </si>
  <si>
    <t>(2) Exludes Financial Services (2009 - 353; 2010 - 111)</t>
  </si>
  <si>
    <r>
      <t xml:space="preserve">CORE US </t>
    </r>
    <r>
      <rPr>
        <b/>
        <vertAlign val="superscript"/>
        <sz val="10"/>
        <rFont val="Arial"/>
        <family val="2"/>
      </rPr>
      <t>(1)(2)</t>
    </r>
  </si>
  <si>
    <t>(1) Primarily includes rent-to-own stores in the U.S. &amp; Puerto Rico and GIN/Home Choice</t>
  </si>
  <si>
    <t>2012 Notes</t>
  </si>
  <si>
    <t>Proforma Diluted EPS Quarterly Contribution 2009 - Q3 2012</t>
  </si>
  <si>
    <t>Updated: September 30,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</si>
</sst>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%"/>
    <numFmt numFmtId="166" formatCode="_(&quot;$&quot;* #,##0_);_(&quot;$&quot;* \(#,##0\);_(&quot;$&quot;* &quot;-&quot;??_);_(@_)"/>
    <numFmt numFmtId="167" formatCode="_(* #,##0_);_(* \(#,##0\);_(* &quot;-&quot;??_);_(@_)"/>
    <numFmt numFmtId="168" formatCode="&quot;$&quot;#,##0.00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i/>
      <sz val="10"/>
      <name val="Times New Roman"/>
      <family val="1"/>
    </font>
    <font>
      <sz val="10"/>
      <color indexed="12"/>
      <name val="Times New Roman"/>
      <family val="1"/>
    </font>
    <font>
      <vertAlign val="superscript"/>
      <sz val="10"/>
      <color indexed="10"/>
      <name val="Times New Roman"/>
      <family val="1"/>
    </font>
    <font>
      <i/>
      <sz val="10"/>
      <name val="Times New Roman"/>
      <family val="1"/>
    </font>
    <font>
      <b/>
      <i/>
      <u/>
      <sz val="10"/>
      <name val="Times New Roman"/>
      <family val="1"/>
    </font>
    <font>
      <b/>
      <u/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 applyFill="1" applyAlignment="1">
      <alignment horizontal="centerContinuous"/>
    </xf>
    <xf numFmtId="0" fontId="4" fillId="0" borderId="0" xfId="0" applyFont="1" applyFill="1"/>
    <xf numFmtId="0" fontId="4" fillId="0" borderId="0" xfId="0" applyFont="1" applyFill="1" applyAlignment="1">
      <alignment horizontal="centerContinuous"/>
    </xf>
    <xf numFmtId="0" fontId="4" fillId="0" borderId="1" xfId="0" applyFont="1" applyFill="1" applyBorder="1" applyAlignment="1">
      <alignment horizontal="centerContinuous"/>
    </xf>
    <xf numFmtId="0" fontId="0" fillId="0" borderId="1" xfId="0" applyBorder="1"/>
    <xf numFmtId="0" fontId="3" fillId="0" borderId="0" xfId="0" applyFont="1" applyFill="1"/>
    <xf numFmtId="0" fontId="4" fillId="0" borderId="0" xfId="0" applyFont="1" applyFill="1" applyBorder="1"/>
    <xf numFmtId="0" fontId="3" fillId="0" borderId="2" xfId="0" applyFont="1" applyFill="1" applyBorder="1" applyAlignment="1">
      <alignment horizontal="centerContinuous"/>
    </xf>
    <xf numFmtId="0" fontId="3" fillId="0" borderId="0" xfId="0" applyFont="1" applyFill="1" applyAlignment="1">
      <alignment horizontal="center"/>
    </xf>
    <xf numFmtId="14" fontId="3" fillId="0" borderId="2" xfId="0" applyNumberFormat="1" applyFont="1" applyFill="1" applyBorder="1" applyAlignment="1">
      <alignment horizontal="center"/>
    </xf>
    <xf numFmtId="14" fontId="3" fillId="0" borderId="2" xfId="0" quotePrefix="1" applyNumberFormat="1" applyFont="1" applyFill="1" applyBorder="1" applyAlignment="1">
      <alignment horizontal="center"/>
    </xf>
    <xf numFmtId="0" fontId="6" fillId="0" borderId="0" xfId="0" applyFont="1" applyFill="1"/>
    <xf numFmtId="164" fontId="4" fillId="0" borderId="0" xfId="3" applyNumberFormat="1" applyFont="1" applyFill="1"/>
    <xf numFmtId="10" fontId="4" fillId="0" borderId="0" xfId="3" applyNumberFormat="1" applyFont="1" applyFill="1"/>
    <xf numFmtId="5" fontId="7" fillId="0" borderId="0" xfId="0" applyNumberFormat="1" applyFont="1" applyFill="1"/>
    <xf numFmtId="5" fontId="4" fillId="0" borderId="0" xfId="0" applyNumberFormat="1" applyFont="1" applyFill="1" applyBorder="1"/>
    <xf numFmtId="5" fontId="4" fillId="0" borderId="0" xfId="0" applyNumberFormat="1" applyFont="1" applyFill="1"/>
    <xf numFmtId="37" fontId="7" fillId="0" borderId="0" xfId="0" applyNumberFormat="1" applyFont="1" applyFill="1"/>
    <xf numFmtId="37" fontId="4" fillId="0" borderId="0" xfId="0" applyNumberFormat="1" applyFont="1" applyFill="1"/>
    <xf numFmtId="37" fontId="7" fillId="0" borderId="2" xfId="0" applyNumberFormat="1" applyFont="1" applyFill="1" applyBorder="1"/>
    <xf numFmtId="37" fontId="4" fillId="0" borderId="2" xfId="0" applyNumberFormat="1" applyFont="1" applyFill="1" applyBorder="1"/>
    <xf numFmtId="5" fontId="3" fillId="0" borderId="0" xfId="0" applyNumberFormat="1" applyFont="1" applyFill="1"/>
    <xf numFmtId="5" fontId="3" fillId="0" borderId="0" xfId="0" applyNumberFormat="1" applyFont="1" applyFill="1" applyBorder="1"/>
    <xf numFmtId="7" fontId="4" fillId="0" borderId="0" xfId="0" applyNumberFormat="1" applyFont="1" applyFill="1"/>
    <xf numFmtId="5" fontId="4" fillId="0" borderId="0" xfId="3" applyNumberFormat="1" applyFont="1" applyFill="1"/>
    <xf numFmtId="165" fontId="3" fillId="0" borderId="0" xfId="3" applyNumberFormat="1" applyFont="1" applyFill="1"/>
    <xf numFmtId="0" fontId="8" fillId="0" borderId="0" xfId="0" quotePrefix="1" applyFont="1" applyFill="1"/>
    <xf numFmtId="165" fontId="4" fillId="0" borderId="0" xfId="3" applyNumberFormat="1" applyFont="1" applyFill="1"/>
    <xf numFmtId="37" fontId="3" fillId="0" borderId="0" xfId="0" applyNumberFormat="1" applyFont="1" applyFill="1"/>
    <xf numFmtId="10" fontId="3" fillId="0" borderId="0" xfId="3" applyNumberFormat="1" applyFont="1" applyFill="1"/>
    <xf numFmtId="9" fontId="4" fillId="0" borderId="0" xfId="3" applyFont="1" applyFill="1"/>
    <xf numFmtId="0" fontId="9" fillId="0" borderId="0" xfId="0" applyFont="1" applyFill="1"/>
    <xf numFmtId="165" fontId="9" fillId="0" borderId="0" xfId="3" applyNumberFormat="1" applyFont="1" applyFill="1"/>
    <xf numFmtId="0" fontId="10" fillId="0" borderId="0" xfId="0" applyFont="1" applyFill="1"/>
    <xf numFmtId="165" fontId="4" fillId="0" borderId="2" xfId="3" applyNumberFormat="1" applyFont="1" applyFill="1" applyBorder="1"/>
    <xf numFmtId="10" fontId="9" fillId="0" borderId="0" xfId="3" applyNumberFormat="1" applyFont="1" applyFill="1"/>
    <xf numFmtId="0" fontId="11" fillId="0" borderId="0" xfId="0" applyFont="1" applyFill="1"/>
    <xf numFmtId="0" fontId="3" fillId="0" borderId="0" xfId="0" applyFont="1" applyFill="1" applyBorder="1"/>
    <xf numFmtId="166" fontId="7" fillId="0" borderId="0" xfId="2" applyNumberFormat="1" applyFont="1" applyFill="1"/>
    <xf numFmtId="0" fontId="4" fillId="0" borderId="0" xfId="0" quotePrefix="1" applyFont="1" applyFill="1"/>
    <xf numFmtId="14" fontId="3" fillId="0" borderId="0" xfId="0" applyNumberFormat="1" applyFont="1" applyFill="1" applyBorder="1" applyAlignment="1">
      <alignment horizontal="center"/>
    </xf>
    <xf numFmtId="37" fontId="7" fillId="0" borderId="0" xfId="0" applyNumberFormat="1" applyFont="1" applyFill="1" applyBorder="1"/>
    <xf numFmtId="165" fontId="3" fillId="0" borderId="0" xfId="3" applyNumberFormat="1" applyFont="1" applyFill="1" applyBorder="1"/>
    <xf numFmtId="165" fontId="4" fillId="0" borderId="0" xfId="3" applyNumberFormat="1" applyFont="1" applyFill="1" applyBorder="1"/>
    <xf numFmtId="0" fontId="0" fillId="0" borderId="2" xfId="0" applyBorder="1"/>
    <xf numFmtId="0" fontId="4" fillId="0" borderId="0" xfId="0" applyFont="1"/>
    <xf numFmtId="167" fontId="7" fillId="0" borderId="0" xfId="1" applyNumberFormat="1" applyFont="1" applyFill="1" applyBorder="1"/>
    <xf numFmtId="0" fontId="4" fillId="0" borderId="0" xfId="0" quotePrefix="1" applyFont="1"/>
    <xf numFmtId="0" fontId="13" fillId="0" borderId="0" xfId="0" quotePrefix="1" applyFont="1"/>
    <xf numFmtId="5" fontId="14" fillId="0" borderId="0" xfId="0" applyNumberFormat="1" applyFont="1" applyFill="1"/>
    <xf numFmtId="37" fontId="14" fillId="0" borderId="0" xfId="0" applyNumberFormat="1" applyFont="1" applyFill="1"/>
    <xf numFmtId="37" fontId="14" fillId="0" borderId="2" xfId="0" applyNumberFormat="1" applyFont="1" applyFill="1" applyBorder="1"/>
    <xf numFmtId="0" fontId="14" fillId="0" borderId="0" xfId="0" applyFont="1" applyFill="1"/>
    <xf numFmtId="5" fontId="15" fillId="0" borderId="0" xfId="0" applyNumberFormat="1" applyFont="1" applyFill="1"/>
    <xf numFmtId="165" fontId="15" fillId="0" borderId="0" xfId="3" applyNumberFormat="1" applyFont="1" applyFill="1"/>
    <xf numFmtId="7" fontId="14" fillId="0" borderId="0" xfId="0" applyNumberFormat="1" applyFont="1" applyFill="1"/>
    <xf numFmtId="165" fontId="14" fillId="0" borderId="0" xfId="3" applyNumberFormat="1" applyFont="1" applyFill="1"/>
    <xf numFmtId="37" fontId="15" fillId="0" borderId="0" xfId="0" applyNumberFormat="1" applyFont="1" applyFill="1"/>
    <xf numFmtId="10" fontId="14" fillId="0" borderId="0" xfId="3" applyNumberFormat="1" applyFont="1" applyFill="1"/>
    <xf numFmtId="10" fontId="15" fillId="0" borderId="0" xfId="3" applyNumberFormat="1" applyFont="1" applyFill="1"/>
    <xf numFmtId="9" fontId="14" fillId="0" borderId="0" xfId="3" applyFont="1" applyFill="1"/>
    <xf numFmtId="9" fontId="15" fillId="0" borderId="0" xfId="3" applyNumberFormat="1" applyFont="1" applyFill="1"/>
    <xf numFmtId="0" fontId="13" fillId="0" borderId="0" xfId="0" applyFont="1" applyAlignment="1">
      <alignment horizontal="left"/>
    </xf>
    <xf numFmtId="37" fontId="8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37" fontId="8" fillId="0" borderId="0" xfId="0" quotePrefix="1" applyNumberFormat="1" applyFont="1" applyFill="1" applyBorder="1" applyAlignment="1">
      <alignment horizontal="left"/>
    </xf>
    <xf numFmtId="0" fontId="4" fillId="0" borderId="0" xfId="0" applyFont="1" applyFill="1" applyAlignment="1">
      <alignment horizontal="left" indent="2"/>
    </xf>
    <xf numFmtId="0" fontId="4" fillId="0" borderId="0" xfId="0" applyFont="1" applyFill="1" applyAlignment="1">
      <alignment horizontal="left" indent="4"/>
    </xf>
    <xf numFmtId="0" fontId="3" fillId="0" borderId="0" xfId="0" applyFont="1" applyFill="1" applyAlignment="1">
      <alignment horizontal="left" indent="4"/>
    </xf>
    <xf numFmtId="165" fontId="7" fillId="0" borderId="0" xfId="3" applyNumberFormat="1" applyFont="1" applyFill="1"/>
    <xf numFmtId="165" fontId="18" fillId="0" borderId="0" xfId="3" applyNumberFormat="1" applyFont="1"/>
    <xf numFmtId="165" fontId="7" fillId="0" borderId="0" xfId="3" applyNumberFormat="1" applyFont="1" applyFill="1" applyAlignment="1">
      <alignment horizontal="right"/>
    </xf>
    <xf numFmtId="49" fontId="8" fillId="0" borderId="0" xfId="0" applyNumberFormat="1" applyFont="1" applyFill="1" applyBorder="1" applyAlignment="1">
      <alignment horizontal="left"/>
    </xf>
    <xf numFmtId="165" fontId="1" fillId="0" borderId="0" xfId="3" applyNumberFormat="1"/>
    <xf numFmtId="0" fontId="3" fillId="0" borderId="2" xfId="0" applyNumberFormat="1" applyFont="1" applyFill="1" applyBorder="1" applyAlignment="1">
      <alignment horizontal="center"/>
    </xf>
    <xf numFmtId="0" fontId="3" fillId="0" borderId="2" xfId="0" quotePrefix="1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Border="1"/>
    <xf numFmtId="2" fontId="0" fillId="0" borderId="0" xfId="0" applyNumberFormat="1" applyBorder="1"/>
    <xf numFmtId="9" fontId="0" fillId="0" borderId="0" xfId="0" applyNumberFormat="1" applyBorder="1"/>
    <xf numFmtId="0" fontId="19" fillId="0" borderId="0" xfId="0" applyFont="1" applyFill="1" applyBorder="1" applyAlignment="1">
      <alignment horizontal="right"/>
    </xf>
    <xf numFmtId="0" fontId="20" fillId="0" borderId="0" xfId="0" quotePrefix="1" applyFont="1" applyBorder="1"/>
    <xf numFmtId="0" fontId="19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0" xfId="0" applyFont="1" applyBorder="1"/>
    <xf numFmtId="9" fontId="13" fillId="0" borderId="0" xfId="0" applyNumberFormat="1" applyFont="1" applyBorder="1"/>
    <xf numFmtId="0" fontId="21" fillId="0" borderId="0" xfId="0" quotePrefix="1" applyFont="1" applyBorder="1"/>
    <xf numFmtId="0" fontId="20" fillId="0" borderId="0" xfId="0" applyFont="1" applyBorder="1" applyAlignment="1">
      <alignment horizontal="left"/>
    </xf>
    <xf numFmtId="0" fontId="0" fillId="0" borderId="0" xfId="0" quotePrefix="1" applyBorder="1"/>
    <xf numFmtId="8" fontId="0" fillId="0" borderId="0" xfId="0" applyNumberFormat="1" applyBorder="1"/>
    <xf numFmtId="168" fontId="0" fillId="0" borderId="0" xfId="0" applyNumberFormat="1" applyBorder="1"/>
    <xf numFmtId="9" fontId="0" fillId="0" borderId="4" xfId="0" applyNumberFormat="1" applyBorder="1"/>
    <xf numFmtId="9" fontId="0" fillId="0" borderId="5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13" fillId="3" borderId="11" xfId="0" quotePrefix="1" applyFont="1" applyFill="1" applyBorder="1" applyAlignment="1">
      <alignment horizontal="centerContinuous"/>
    </xf>
    <xf numFmtId="0" fontId="13" fillId="3" borderId="12" xfId="0" quotePrefix="1" applyFont="1" applyFill="1" applyBorder="1" applyAlignment="1">
      <alignment horizontal="centerContinuous"/>
    </xf>
    <xf numFmtId="0" fontId="13" fillId="0" borderId="8" xfId="0" applyFont="1" applyBorder="1" applyAlignment="1">
      <alignment horizontal="center"/>
    </xf>
    <xf numFmtId="0" fontId="13" fillId="3" borderId="12" xfId="0" applyFont="1" applyFill="1" applyBorder="1" applyAlignment="1">
      <alignment horizontal="centerContinuous"/>
    </xf>
    <xf numFmtId="0" fontId="22" fillId="2" borderId="3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9" xfId="0" quotePrefix="1" applyFont="1" applyBorder="1" applyAlignment="1">
      <alignment horizontal="center"/>
    </xf>
    <xf numFmtId="0" fontId="13" fillId="0" borderId="10" xfId="0" quotePrefix="1" applyFont="1" applyBorder="1" applyAlignment="1">
      <alignment horizontal="center"/>
    </xf>
    <xf numFmtId="7" fontId="0" fillId="0" borderId="4" xfId="0" applyNumberFormat="1" applyBorder="1" applyAlignment="1">
      <alignment horizontal="center"/>
    </xf>
    <xf numFmtId="7" fontId="0" fillId="0" borderId="6" xfId="0" applyNumberFormat="1" applyBorder="1" applyAlignment="1">
      <alignment horizontal="center"/>
    </xf>
    <xf numFmtId="7" fontId="13" fillId="0" borderId="4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37" fontId="13" fillId="0" borderId="9" xfId="0" applyNumberFormat="1" applyFont="1" applyBorder="1"/>
    <xf numFmtId="37" fontId="13" fillId="0" borderId="10" xfId="0" applyNumberFormat="1" applyFont="1" applyBorder="1"/>
    <xf numFmtId="0" fontId="22" fillId="2" borderId="10" xfId="0" applyFont="1" applyFill="1" applyBorder="1" applyAlignment="1">
      <alignment horizontal="center" wrapText="1"/>
    </xf>
    <xf numFmtId="37" fontId="0" fillId="0" borderId="4" xfId="0" applyNumberFormat="1" applyBorder="1" applyAlignment="1">
      <alignment horizontal="center"/>
    </xf>
    <xf numFmtId="37" fontId="0" fillId="0" borderId="0" xfId="0" applyNumberFormat="1" applyBorder="1" applyAlignment="1">
      <alignment horizontal="center"/>
    </xf>
    <xf numFmtId="37" fontId="0" fillId="0" borderId="6" xfId="0" applyNumberFormat="1" applyBorder="1" applyAlignment="1">
      <alignment horizontal="center"/>
    </xf>
    <xf numFmtId="37" fontId="0" fillId="0" borderId="2" xfId="0" applyNumberFormat="1" applyBorder="1" applyAlignment="1">
      <alignment horizontal="center"/>
    </xf>
    <xf numFmtId="0" fontId="13" fillId="4" borderId="11" xfId="0" applyFont="1" applyFill="1" applyBorder="1" applyAlignment="1">
      <alignment horizontal="centerContinuous"/>
    </xf>
    <xf numFmtId="0" fontId="22" fillId="4" borderId="13" xfId="0" applyFont="1" applyFill="1" applyBorder="1" applyAlignment="1">
      <alignment horizontal="centerContinuous"/>
    </xf>
    <xf numFmtId="0" fontId="22" fillId="4" borderId="12" xfId="0" applyFont="1" applyFill="1" applyBorder="1" applyAlignment="1">
      <alignment horizontal="centerContinuous"/>
    </xf>
    <xf numFmtId="0" fontId="1" fillId="0" borderId="0" xfId="0" applyFont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0" fontId="23" fillId="0" borderId="1" xfId="0" applyFont="1" applyBorder="1"/>
    <xf numFmtId="0" fontId="20" fillId="0" borderId="1" xfId="0" quotePrefix="1" applyFont="1" applyBorder="1"/>
    <xf numFmtId="9" fontId="0" fillId="0" borderId="1" xfId="0" applyNumberFormat="1" applyBorder="1"/>
    <xf numFmtId="0" fontId="25" fillId="0" borderId="0" xfId="0" applyFont="1"/>
    <xf numFmtId="0" fontId="26" fillId="0" borderId="0" xfId="0" applyFont="1"/>
    <xf numFmtId="7" fontId="13" fillId="0" borderId="10" xfId="0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102"/>
  <sheetViews>
    <sheetView zoomScale="85" zoomScaleNormal="85" workbookViewId="0">
      <pane xSplit="1" ySplit="7" topLeftCell="DM41" activePane="bottomRight" state="frozen"/>
      <selection pane="topRight" activeCell="D1" sqref="D1"/>
      <selection pane="bottomLeft" activeCell="A8" sqref="A8"/>
      <selection pane="bottomRight" activeCell="A4" sqref="A4"/>
    </sheetView>
  </sheetViews>
  <sheetFormatPr defaultRowHeight="12.75" x14ac:dyDescent="0.2"/>
  <cols>
    <col min="1" max="1" width="44.28515625" customWidth="1"/>
    <col min="2" max="2" width="10.7109375" customWidth="1"/>
    <col min="3" max="3" width="2.7109375" customWidth="1"/>
    <col min="4" max="4" width="10.7109375" customWidth="1"/>
    <col min="5" max="5" width="2.7109375" customWidth="1"/>
    <col min="6" max="6" width="10.7109375" customWidth="1"/>
    <col min="7" max="7" width="2.7109375" customWidth="1"/>
    <col min="8" max="8" width="10.7109375" customWidth="1"/>
    <col min="9" max="9" width="2.7109375" customWidth="1"/>
    <col min="10" max="10" width="10.7109375" customWidth="1"/>
    <col min="11" max="11" width="4.7109375" customWidth="1"/>
    <col min="12" max="12" width="10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2.7109375" customWidth="1"/>
    <col min="20" max="20" width="10.7109375" customWidth="1"/>
    <col min="21" max="21" width="4.7109375" customWidth="1"/>
    <col min="22" max="22" width="10.7109375" customWidth="1"/>
    <col min="23" max="23" width="2.7109375" customWidth="1"/>
    <col min="24" max="24" width="10.7109375" customWidth="1"/>
    <col min="25" max="25" width="2.7109375" customWidth="1"/>
    <col min="26" max="26" width="10.7109375" customWidth="1"/>
    <col min="27" max="27" width="2.7109375" customWidth="1"/>
    <col min="28" max="28" width="10.7109375" customWidth="1"/>
    <col min="29" max="29" width="2.7109375" customWidth="1"/>
    <col min="30" max="30" width="10.7109375" customWidth="1"/>
    <col min="31" max="31" width="4.7109375" customWidth="1"/>
    <col min="32" max="32" width="10.7109375" customWidth="1"/>
    <col min="33" max="33" width="2.7109375" customWidth="1"/>
    <col min="34" max="34" width="10.7109375" customWidth="1"/>
    <col min="35" max="35" width="2.7109375" customWidth="1"/>
    <col min="36" max="36" width="10.7109375" customWidth="1"/>
    <col min="37" max="37" width="2.7109375" customWidth="1"/>
    <col min="38" max="38" width="10.7109375" customWidth="1"/>
    <col min="39" max="39" width="2.7109375" customWidth="1"/>
    <col min="40" max="40" width="10.7109375" customWidth="1"/>
    <col min="41" max="41" width="4.7109375" customWidth="1"/>
    <col min="42" max="42" width="10.7109375" customWidth="1"/>
    <col min="43" max="43" width="2.7109375" customWidth="1"/>
    <col min="44" max="44" width="10.7109375" customWidth="1"/>
    <col min="45" max="45" width="2.7109375" customWidth="1"/>
    <col min="46" max="46" width="10.7109375" customWidth="1"/>
    <col min="47" max="47" width="2.7109375" customWidth="1"/>
    <col min="48" max="48" width="10.7109375" customWidth="1"/>
    <col min="49" max="49" width="2.7109375" customWidth="1"/>
    <col min="50" max="50" width="10.7109375" customWidth="1"/>
    <col min="51" max="51" width="4.5703125" customWidth="1"/>
    <col min="52" max="52" width="10.7109375" customWidth="1"/>
    <col min="53" max="53" width="2.7109375" customWidth="1"/>
    <col min="54" max="54" width="10.7109375" customWidth="1"/>
    <col min="55" max="55" width="2.7109375" customWidth="1"/>
    <col min="56" max="56" width="10.7109375" customWidth="1"/>
    <col min="57" max="57" width="2.7109375" customWidth="1"/>
    <col min="58" max="58" width="10.7109375" customWidth="1"/>
    <col min="59" max="59" width="2.7109375" customWidth="1"/>
    <col min="60" max="60" width="10.7109375" customWidth="1"/>
    <col min="61" max="61" width="4.7109375" customWidth="1"/>
    <col min="62" max="62" width="10.7109375" customWidth="1"/>
    <col min="63" max="63" width="2.7109375" customWidth="1"/>
    <col min="64" max="64" width="10.7109375" customWidth="1"/>
    <col min="65" max="65" width="2.7109375" customWidth="1"/>
    <col min="66" max="66" width="12.7109375" bestFit="1" customWidth="1"/>
    <col min="67" max="67" width="2.7109375" customWidth="1"/>
    <col min="68" max="68" width="12.7109375" bestFit="1" customWidth="1"/>
    <col min="69" max="69" width="3.85546875" customWidth="1"/>
    <col min="70" max="70" width="10.7109375" customWidth="1"/>
    <col min="71" max="71" width="6.28515625" bestFit="1" customWidth="1"/>
    <col min="72" max="72" width="13.140625" customWidth="1"/>
    <col min="73" max="73" width="2.7109375" customWidth="1"/>
    <col min="74" max="74" width="12.7109375" customWidth="1"/>
    <col min="75" max="75" width="2.7109375" customWidth="1"/>
    <col min="77" max="77" width="4.42578125" bestFit="1" customWidth="1"/>
    <col min="78" max="78" width="10.140625" customWidth="1"/>
    <col min="79" max="79" width="3.85546875" customWidth="1"/>
    <col min="80" max="80" width="12.7109375" customWidth="1"/>
    <col min="81" max="81" width="6.7109375" customWidth="1"/>
    <col min="82" max="82" width="13.140625" customWidth="1"/>
    <col min="83" max="83" width="2.7109375" customWidth="1"/>
    <col min="84" max="84" width="12.5703125" bestFit="1" customWidth="1"/>
    <col min="85" max="85" width="2.7109375" customWidth="1"/>
    <col min="86" max="86" width="12.5703125" bestFit="1" customWidth="1"/>
    <col min="87" max="87" width="2.7109375" customWidth="1"/>
    <col min="88" max="88" width="10.140625" customWidth="1"/>
    <col min="89" max="89" width="4.42578125" customWidth="1"/>
    <col min="90" max="90" width="12.7109375" customWidth="1"/>
    <col min="91" max="91" width="6.7109375" customWidth="1"/>
    <col min="92" max="92" width="13.140625" customWidth="1"/>
    <col min="93" max="93" width="2.7109375" customWidth="1"/>
    <col min="94" max="94" width="10.5703125" bestFit="1" customWidth="1"/>
    <col min="95" max="95" width="2.7109375" customWidth="1"/>
    <col min="96" max="96" width="9.28515625" bestFit="1" customWidth="1"/>
    <col min="97" max="97" width="2.7109375" customWidth="1"/>
    <col min="98" max="98" width="10.140625" customWidth="1"/>
    <col min="99" max="99" width="5.7109375" bestFit="1" customWidth="1"/>
    <col min="100" max="100" width="12.7109375" customWidth="1"/>
    <col min="101" max="101" width="5" customWidth="1"/>
    <col min="102" max="102" width="13.140625" customWidth="1"/>
    <col min="103" max="103" width="2.7109375" customWidth="1"/>
    <col min="104" max="104" width="10.5703125" bestFit="1" customWidth="1"/>
    <col min="105" max="105" width="2.7109375" customWidth="1"/>
    <col min="106" max="106" width="9.28515625" bestFit="1" customWidth="1"/>
    <col min="107" max="107" width="2.7109375" customWidth="1"/>
    <col min="108" max="108" width="10.140625" customWidth="1"/>
    <col min="109" max="109" width="2.7109375" customWidth="1"/>
    <col min="110" max="110" width="12.7109375" customWidth="1"/>
    <col min="111" max="111" width="4.140625" bestFit="1" customWidth="1"/>
    <col min="112" max="112" width="13.140625" customWidth="1"/>
    <col min="113" max="113" width="2.7109375" customWidth="1"/>
    <col min="114" max="114" width="10.5703125" bestFit="1" customWidth="1"/>
    <col min="115" max="115" width="2.7109375" customWidth="1"/>
    <col min="116" max="116" width="9.28515625" bestFit="1" customWidth="1"/>
    <col min="117" max="117" width="2.7109375" customWidth="1"/>
    <col min="118" max="118" width="10.140625" customWidth="1"/>
    <col min="119" max="119" width="2.5703125" bestFit="1" customWidth="1"/>
    <col min="120" max="120" width="12.7109375" customWidth="1"/>
    <col min="121" max="121" width="2.5703125" bestFit="1" customWidth="1"/>
    <col min="122" max="122" width="10.5703125" customWidth="1"/>
    <col min="123" max="123" width="2.5703125" customWidth="1"/>
    <col min="124" max="124" width="10.5703125" bestFit="1" customWidth="1"/>
    <col min="125" max="125" width="2.7109375" customWidth="1"/>
    <col min="126" max="126" width="9.28515625" bestFit="1" customWidth="1"/>
    <col min="127" max="127" width="2.7109375" customWidth="1"/>
    <col min="128" max="128" width="10.140625" customWidth="1"/>
    <col min="129" max="129" width="3.5703125" bestFit="1" customWidth="1"/>
    <col min="130" max="130" width="10.5703125" customWidth="1"/>
    <col min="131" max="131" width="4.140625" bestFit="1" customWidth="1"/>
    <col min="132" max="132" width="10.5703125" customWidth="1"/>
    <col min="133" max="133" width="2.5703125" customWidth="1"/>
    <col min="134" max="134" width="10.5703125" bestFit="1" customWidth="1"/>
    <col min="135" max="135" width="2.7109375" customWidth="1"/>
    <col min="136" max="136" width="9.28515625" bestFit="1" customWidth="1"/>
    <col min="137" max="137" width="2.7109375" customWidth="1"/>
    <col min="138" max="138" width="10.140625" customWidth="1"/>
    <col min="139" max="139" width="3.5703125" bestFit="1" customWidth="1"/>
    <col min="140" max="140" width="10.5703125" customWidth="1"/>
    <col min="141" max="141" width="4.140625" bestFit="1" customWidth="1"/>
  </cols>
  <sheetData>
    <row r="1" spans="1:141" ht="25.5" x14ac:dyDescent="0.35">
      <c r="A1" s="6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2"/>
      <c r="AF1" s="1"/>
      <c r="AG1" s="1"/>
      <c r="AH1" s="1"/>
      <c r="AI1" s="1"/>
      <c r="AJ1" s="1"/>
      <c r="AK1" s="1"/>
      <c r="AL1" s="1"/>
      <c r="AM1" s="1"/>
      <c r="AN1" s="1"/>
      <c r="AO1" s="2"/>
      <c r="AP1" s="1"/>
      <c r="AQ1" s="1"/>
      <c r="AR1" s="1"/>
      <c r="AS1" s="1"/>
      <c r="AT1" s="1"/>
      <c r="AU1" s="1"/>
      <c r="AV1" s="1"/>
      <c r="AX1" s="1"/>
      <c r="AZ1" s="1"/>
      <c r="BA1" s="1"/>
      <c r="BB1" s="1"/>
      <c r="BC1" s="1"/>
      <c r="BD1" s="1"/>
      <c r="BF1" s="1"/>
      <c r="BH1" s="1"/>
      <c r="BJ1" s="1"/>
      <c r="BK1" s="1"/>
      <c r="BL1" s="1"/>
      <c r="BM1" s="1"/>
      <c r="BN1" s="1"/>
      <c r="BP1" s="1"/>
      <c r="BR1" s="1"/>
      <c r="BT1" s="1"/>
      <c r="BU1" s="1"/>
      <c r="BV1" s="1"/>
      <c r="BW1" s="1"/>
      <c r="BX1" s="1"/>
      <c r="BZ1" s="1"/>
      <c r="CB1" s="1"/>
      <c r="CD1" s="1"/>
      <c r="CE1" s="1"/>
      <c r="CF1" s="1"/>
      <c r="CG1" s="1"/>
      <c r="CH1" s="1"/>
      <c r="CJ1" s="1"/>
      <c r="CL1" s="1"/>
      <c r="CN1" s="1"/>
      <c r="CO1" s="1"/>
      <c r="CP1" s="1"/>
      <c r="CQ1" s="1"/>
      <c r="CR1" s="1"/>
      <c r="CT1" s="1"/>
      <c r="CV1" s="1"/>
      <c r="CX1" s="1"/>
      <c r="CY1" s="1"/>
      <c r="CZ1" s="1"/>
      <c r="DA1" s="1"/>
      <c r="DB1" s="1"/>
      <c r="DD1" s="1"/>
      <c r="DF1" s="1"/>
      <c r="DH1" s="1"/>
      <c r="DI1" s="1"/>
      <c r="DJ1" s="1"/>
      <c r="DK1" s="1"/>
      <c r="DL1" s="1"/>
      <c r="DN1" s="1"/>
      <c r="DP1" s="1"/>
      <c r="DR1" s="1"/>
      <c r="DS1" s="1"/>
      <c r="DT1" s="1"/>
      <c r="DU1" s="1"/>
      <c r="DV1" s="1"/>
      <c r="DX1" s="1"/>
      <c r="DZ1" s="1"/>
      <c r="EA1" s="1"/>
      <c r="EB1" s="1"/>
      <c r="EC1" s="1"/>
      <c r="ED1" s="1"/>
      <c r="EE1" s="1"/>
      <c r="EF1" s="1"/>
      <c r="EH1" s="1"/>
      <c r="EJ1" s="1"/>
      <c r="EK1" s="1"/>
    </row>
    <row r="2" spans="1:141" ht="14.25" x14ac:dyDescent="0.2">
      <c r="A2" s="65" t="s">
        <v>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3"/>
      <c r="W2" s="3"/>
      <c r="X2" s="3"/>
      <c r="Y2" s="3"/>
      <c r="Z2" s="3"/>
      <c r="AA2" s="3"/>
      <c r="AB2" s="3"/>
      <c r="AC2" s="3"/>
      <c r="AD2" s="3"/>
      <c r="AE2" s="2"/>
      <c r="AF2" s="3"/>
      <c r="AG2" s="3"/>
      <c r="AH2" s="3"/>
      <c r="AI2" s="3"/>
      <c r="AJ2" s="3"/>
      <c r="AK2" s="3"/>
      <c r="AL2" s="3"/>
      <c r="AM2" s="3"/>
      <c r="AN2" s="3"/>
      <c r="AO2" s="2"/>
      <c r="AP2" s="3"/>
      <c r="AQ2" s="3"/>
      <c r="AR2" s="3"/>
      <c r="AS2" s="3"/>
      <c r="AT2" s="3"/>
      <c r="AU2" s="3"/>
      <c r="AV2" s="3"/>
      <c r="AX2" s="3"/>
      <c r="AZ2" s="3"/>
      <c r="BA2" s="3"/>
      <c r="BB2" s="3"/>
      <c r="BC2" s="3"/>
      <c r="BD2" s="3"/>
      <c r="BF2" s="3"/>
      <c r="BH2" s="3"/>
      <c r="BJ2" s="3"/>
      <c r="BK2" s="3"/>
      <c r="BL2" s="3"/>
      <c r="BM2" s="3"/>
      <c r="BN2" s="3"/>
      <c r="BP2" s="3"/>
      <c r="BR2" s="3"/>
      <c r="BT2" s="3"/>
      <c r="BU2" s="3"/>
      <c r="BV2" s="3"/>
      <c r="BW2" s="3"/>
      <c r="BX2" s="3"/>
      <c r="BZ2" s="3"/>
      <c r="CB2" s="3"/>
      <c r="CD2" s="3"/>
      <c r="CE2" s="3"/>
      <c r="CF2" s="3"/>
      <c r="CG2" s="3"/>
      <c r="CH2" s="3"/>
      <c r="CJ2" s="3"/>
      <c r="CL2" s="3"/>
      <c r="CN2" s="3"/>
      <c r="CO2" s="3"/>
      <c r="CP2" s="3"/>
      <c r="CQ2" s="3"/>
      <c r="CR2" s="3"/>
      <c r="CT2" s="3"/>
      <c r="CV2" s="3"/>
      <c r="CX2" s="3"/>
      <c r="CY2" s="3"/>
      <c r="CZ2" s="3"/>
      <c r="DA2" s="3"/>
      <c r="DB2" s="3"/>
      <c r="DD2" s="3"/>
      <c r="DF2" s="3"/>
      <c r="DH2" s="3"/>
      <c r="DI2" s="3"/>
      <c r="DJ2" s="3"/>
      <c r="DK2" s="3"/>
      <c r="DL2" s="3"/>
      <c r="DN2" s="3"/>
      <c r="DP2" s="3"/>
      <c r="DR2" s="3"/>
      <c r="DS2" s="3"/>
      <c r="DT2" s="3"/>
      <c r="DU2" s="3"/>
      <c r="DV2" s="3"/>
      <c r="DX2" s="3"/>
      <c r="DZ2" s="3"/>
      <c r="EA2" s="3"/>
      <c r="EB2" s="3"/>
      <c r="EC2" s="3"/>
      <c r="ED2" s="3"/>
      <c r="EE2" s="3"/>
      <c r="EF2" s="3"/>
      <c r="EH2" s="3"/>
      <c r="EJ2" s="3"/>
      <c r="EK2" s="3"/>
    </row>
    <row r="3" spans="1:141" ht="13.5" thickBot="1" x14ac:dyDescent="0.25">
      <c r="A3" s="67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5"/>
      <c r="AX3" s="4"/>
      <c r="AY3" s="5"/>
      <c r="AZ3" s="4"/>
      <c r="BA3" s="4"/>
      <c r="BB3" s="4"/>
      <c r="BC3" s="4"/>
      <c r="BD3" s="4"/>
      <c r="BE3" s="5"/>
      <c r="BF3" s="4"/>
      <c r="BG3" s="5"/>
      <c r="BH3" s="4"/>
      <c r="BI3" s="5"/>
      <c r="BJ3" s="4"/>
      <c r="BK3" s="4"/>
      <c r="BL3" s="4"/>
      <c r="BM3" s="4"/>
      <c r="BN3" s="4"/>
      <c r="BO3" s="5"/>
      <c r="BP3" s="4"/>
      <c r="BQ3" s="5"/>
      <c r="BR3" s="4"/>
      <c r="BS3" s="5"/>
      <c r="BT3" s="4"/>
      <c r="BU3" s="4"/>
      <c r="BV3" s="4"/>
      <c r="BW3" s="4"/>
      <c r="BX3" s="4"/>
      <c r="BY3" s="5"/>
      <c r="BZ3" s="4"/>
      <c r="CA3" s="5"/>
      <c r="CB3" s="4"/>
      <c r="CC3" s="5"/>
      <c r="CD3" s="4"/>
      <c r="CE3" s="4"/>
      <c r="CF3" s="4"/>
      <c r="CG3" s="4"/>
      <c r="CH3" s="4"/>
      <c r="CI3" s="5"/>
      <c r="CJ3" s="4"/>
      <c r="CK3" s="5"/>
      <c r="CL3" s="4"/>
      <c r="CM3" s="4"/>
      <c r="CN3" s="4"/>
      <c r="CO3" s="4"/>
      <c r="CP3" s="4"/>
      <c r="CQ3" s="4"/>
      <c r="CR3" s="4"/>
      <c r="CS3" s="5"/>
      <c r="CT3" s="4"/>
      <c r="CU3" s="5"/>
      <c r="CV3" s="4"/>
      <c r="CW3" s="4"/>
      <c r="CX3" s="4"/>
      <c r="CY3" s="4"/>
      <c r="CZ3" s="4"/>
      <c r="DA3" s="4"/>
      <c r="DB3" s="4"/>
      <c r="DC3" s="5"/>
      <c r="DD3" s="4"/>
      <c r="DE3" s="5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5"/>
      <c r="DX3" s="4"/>
      <c r="DY3" s="5"/>
      <c r="DZ3" s="4"/>
      <c r="EA3" s="4"/>
      <c r="EB3" s="4"/>
      <c r="EC3" s="4"/>
      <c r="ED3" s="4"/>
      <c r="EE3" s="4"/>
      <c r="EF3" s="4"/>
      <c r="EG3" s="5"/>
      <c r="EH3" s="4"/>
      <c r="EI3" s="5"/>
      <c r="EJ3" s="4"/>
      <c r="EK3" s="4"/>
    </row>
    <row r="4" spans="1:141" ht="13.5" thickTop="1" x14ac:dyDescent="0.2">
      <c r="A4" s="6" t="s">
        <v>199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X4" s="2"/>
      <c r="AZ4" s="2"/>
      <c r="BA4" s="2"/>
      <c r="BB4" s="2"/>
      <c r="BC4" s="2"/>
      <c r="BD4" s="2"/>
      <c r="BF4" s="2"/>
      <c r="BH4" s="2"/>
      <c r="BJ4" s="2"/>
      <c r="BK4" s="2"/>
      <c r="BL4" s="2"/>
      <c r="BM4" s="2"/>
      <c r="BN4" s="2"/>
      <c r="BP4" s="2"/>
      <c r="BR4" s="2"/>
      <c r="BT4" s="2"/>
      <c r="BU4" s="2"/>
      <c r="BV4" s="2"/>
      <c r="BW4" s="2"/>
      <c r="BX4" s="2"/>
      <c r="BZ4" s="2"/>
      <c r="CB4" s="2"/>
      <c r="CD4" s="2"/>
      <c r="CE4" s="2"/>
      <c r="CF4" s="2"/>
      <c r="CG4" s="2"/>
      <c r="CH4" s="2"/>
      <c r="CJ4" s="2"/>
      <c r="CL4" s="2"/>
      <c r="CM4" s="2"/>
      <c r="CN4" s="2"/>
      <c r="CO4" s="2"/>
      <c r="CP4" s="2"/>
      <c r="CQ4" s="2"/>
      <c r="CR4" s="2"/>
      <c r="CT4" s="2"/>
      <c r="CV4" s="2"/>
      <c r="CX4" s="2"/>
      <c r="CY4" s="2"/>
      <c r="CZ4" s="2"/>
      <c r="DA4" s="2"/>
      <c r="DB4" s="2"/>
      <c r="DD4" s="2"/>
      <c r="DF4" s="2"/>
      <c r="DH4" s="2"/>
      <c r="DI4" s="2"/>
      <c r="DJ4" s="2"/>
      <c r="DK4" s="2"/>
      <c r="DL4" s="2"/>
      <c r="DN4" s="2"/>
      <c r="DP4" s="2"/>
      <c r="DR4" s="2"/>
      <c r="DS4" s="2"/>
      <c r="DT4" s="2"/>
      <c r="DU4" s="2"/>
      <c r="DV4" s="2"/>
      <c r="DX4" s="2"/>
      <c r="DZ4" s="2"/>
      <c r="EA4" s="2"/>
      <c r="EB4" s="2"/>
      <c r="EC4" s="2"/>
      <c r="ED4" s="2"/>
      <c r="EE4" s="2"/>
      <c r="EF4" s="2"/>
      <c r="EH4" s="2"/>
      <c r="EJ4" s="2"/>
      <c r="EK4" s="2"/>
    </row>
    <row r="6" spans="1:141" x14ac:dyDescent="0.2">
      <c r="A6" s="2"/>
      <c r="B6" s="8" t="s">
        <v>2</v>
      </c>
      <c r="C6" s="8"/>
      <c r="D6" s="8"/>
      <c r="E6" s="8"/>
      <c r="F6" s="8"/>
      <c r="G6" s="8"/>
      <c r="H6" s="8"/>
      <c r="I6" s="2"/>
      <c r="J6" s="9" t="s">
        <v>3</v>
      </c>
      <c r="K6" s="2"/>
      <c r="L6" s="8" t="s">
        <v>2</v>
      </c>
      <c r="M6" s="8"/>
      <c r="N6" s="8"/>
      <c r="O6" s="8"/>
      <c r="P6" s="8"/>
      <c r="Q6" s="8"/>
      <c r="R6" s="8"/>
      <c r="S6" s="2"/>
      <c r="T6" s="9" t="s">
        <v>3</v>
      </c>
      <c r="U6" s="2"/>
      <c r="V6" s="8" t="s">
        <v>2</v>
      </c>
      <c r="W6" s="8"/>
      <c r="X6" s="8"/>
      <c r="Y6" s="8"/>
      <c r="Z6" s="8"/>
      <c r="AA6" s="8"/>
      <c r="AB6" s="8"/>
      <c r="AC6" s="2"/>
      <c r="AD6" s="9" t="s">
        <v>3</v>
      </c>
      <c r="AE6" s="2"/>
      <c r="AF6" s="8" t="s">
        <v>2</v>
      </c>
      <c r="AG6" s="8"/>
      <c r="AH6" s="8"/>
      <c r="AI6" s="8"/>
      <c r="AJ6" s="8"/>
      <c r="AK6" s="8"/>
      <c r="AL6" s="8"/>
      <c r="AM6" s="2"/>
      <c r="AN6" s="9" t="s">
        <v>3</v>
      </c>
      <c r="AO6" s="2"/>
      <c r="AP6" s="8" t="s">
        <v>2</v>
      </c>
      <c r="AQ6" s="8"/>
      <c r="AR6" s="8"/>
      <c r="AS6" s="8"/>
      <c r="AT6" s="8"/>
      <c r="AU6" s="8"/>
      <c r="AV6" s="8"/>
      <c r="AX6" s="9" t="s">
        <v>3</v>
      </c>
      <c r="AZ6" s="133" t="s">
        <v>2</v>
      </c>
      <c r="BA6" s="135"/>
      <c r="BB6" s="135"/>
      <c r="BC6" s="135"/>
      <c r="BD6" s="135"/>
      <c r="BE6" s="135"/>
      <c r="BF6" s="135"/>
      <c r="BH6" s="9" t="s">
        <v>3</v>
      </c>
      <c r="BJ6" s="133" t="s">
        <v>2</v>
      </c>
      <c r="BK6" s="135"/>
      <c r="BL6" s="135"/>
      <c r="BM6" s="135"/>
      <c r="BN6" s="135"/>
      <c r="BO6" s="135"/>
      <c r="BP6" s="135"/>
      <c r="BR6" s="9" t="s">
        <v>3</v>
      </c>
      <c r="BT6" s="133" t="s">
        <v>2</v>
      </c>
      <c r="BU6" s="134"/>
      <c r="BV6" s="134"/>
      <c r="BW6" s="134"/>
      <c r="BX6" s="134"/>
      <c r="BY6" s="134"/>
      <c r="BZ6" s="134"/>
      <c r="CB6" s="9" t="s">
        <v>3</v>
      </c>
      <c r="CD6" s="133" t="s">
        <v>2</v>
      </c>
      <c r="CE6" s="134"/>
      <c r="CF6" s="134"/>
      <c r="CG6" s="134"/>
      <c r="CH6" s="134"/>
      <c r="CI6" s="134"/>
      <c r="CJ6" s="134"/>
      <c r="CL6" s="9" t="s">
        <v>3</v>
      </c>
      <c r="CN6" s="133" t="s">
        <v>2</v>
      </c>
      <c r="CO6" s="134"/>
      <c r="CP6" s="134"/>
      <c r="CQ6" s="134"/>
      <c r="CR6" s="134"/>
      <c r="CS6" s="134"/>
      <c r="CT6" s="134"/>
      <c r="CV6" s="9" t="s">
        <v>3</v>
      </c>
      <c r="CX6" s="133" t="s">
        <v>2</v>
      </c>
      <c r="CY6" s="134"/>
      <c r="CZ6" s="134"/>
      <c r="DA6" s="134"/>
      <c r="DB6" s="134"/>
      <c r="DC6" s="134"/>
      <c r="DD6" s="134"/>
      <c r="DF6" s="9" t="s">
        <v>3</v>
      </c>
      <c r="DH6" s="133" t="s">
        <v>2</v>
      </c>
      <c r="DI6" s="134"/>
      <c r="DJ6" s="134"/>
      <c r="DK6" s="134"/>
      <c r="DL6" s="134"/>
      <c r="DM6" s="134"/>
      <c r="DN6" s="134"/>
      <c r="DP6" s="9" t="s">
        <v>3</v>
      </c>
      <c r="DR6" s="133" t="s">
        <v>2</v>
      </c>
      <c r="DS6" s="134"/>
      <c r="DT6" s="134"/>
      <c r="DU6" s="134"/>
      <c r="DV6" s="134"/>
      <c r="DW6" s="134"/>
      <c r="DX6" s="134"/>
      <c r="DZ6" s="9" t="s">
        <v>3</v>
      </c>
      <c r="EB6" s="133" t="s">
        <v>2</v>
      </c>
      <c r="EC6" s="134"/>
      <c r="ED6" s="134"/>
      <c r="EE6" s="134"/>
      <c r="EF6" s="134"/>
      <c r="EG6" s="134"/>
      <c r="EH6" s="134"/>
      <c r="EJ6" s="9" t="s">
        <v>3</v>
      </c>
    </row>
    <row r="7" spans="1:141" x14ac:dyDescent="0.2">
      <c r="A7" s="2"/>
      <c r="B7" s="10">
        <v>36250</v>
      </c>
      <c r="C7" s="2"/>
      <c r="D7" s="10">
        <v>36341</v>
      </c>
      <c r="E7" s="2"/>
      <c r="F7" s="10">
        <v>36433</v>
      </c>
      <c r="G7" s="2"/>
      <c r="H7" s="10">
        <v>36525</v>
      </c>
      <c r="I7" s="2"/>
      <c r="J7" s="11" t="s">
        <v>4</v>
      </c>
      <c r="K7" s="2"/>
      <c r="L7" s="10">
        <v>36616</v>
      </c>
      <c r="M7" s="2"/>
      <c r="N7" s="10">
        <v>36707</v>
      </c>
      <c r="O7" s="2"/>
      <c r="P7" s="10">
        <v>36799</v>
      </c>
      <c r="Q7" s="2"/>
      <c r="R7" s="10">
        <v>36891</v>
      </c>
      <c r="S7" s="2"/>
      <c r="T7" s="11" t="s">
        <v>5</v>
      </c>
      <c r="U7" s="2"/>
      <c r="V7" s="10">
        <v>36981</v>
      </c>
      <c r="W7" s="2"/>
      <c r="X7" s="10">
        <v>37072</v>
      </c>
      <c r="Y7" s="2"/>
      <c r="Z7" s="10">
        <v>37164</v>
      </c>
      <c r="AA7" s="2"/>
      <c r="AB7" s="10">
        <v>37256</v>
      </c>
      <c r="AC7" s="2"/>
      <c r="AD7" s="11" t="s">
        <v>6</v>
      </c>
      <c r="AE7" s="2"/>
      <c r="AF7" s="10">
        <v>37346</v>
      </c>
      <c r="AG7" s="2"/>
      <c r="AH7" s="10">
        <v>37437</v>
      </c>
      <c r="AI7" s="2"/>
      <c r="AJ7" s="10">
        <v>37529</v>
      </c>
      <c r="AK7" s="2"/>
      <c r="AL7" s="10">
        <v>37621</v>
      </c>
      <c r="AM7" s="2"/>
      <c r="AN7" s="11" t="s">
        <v>52</v>
      </c>
      <c r="AO7" s="2"/>
      <c r="AP7" s="10">
        <v>37711</v>
      </c>
      <c r="AQ7" s="2"/>
      <c r="AR7" s="10">
        <v>37802</v>
      </c>
      <c r="AS7" s="2"/>
      <c r="AT7" s="10">
        <v>37894</v>
      </c>
      <c r="AU7" s="41"/>
      <c r="AV7" s="10">
        <v>37986</v>
      </c>
      <c r="AX7" s="11" t="s">
        <v>61</v>
      </c>
      <c r="AZ7" s="10">
        <v>38077</v>
      </c>
      <c r="BA7" s="2"/>
      <c r="BB7" s="10">
        <v>38168</v>
      </c>
      <c r="BC7" s="2"/>
      <c r="BD7" s="10">
        <v>38260</v>
      </c>
      <c r="BF7" s="10">
        <v>38352</v>
      </c>
      <c r="BH7" s="11" t="s">
        <v>76</v>
      </c>
      <c r="BJ7" s="10">
        <v>38442</v>
      </c>
      <c r="BK7" s="2"/>
      <c r="BL7" s="10">
        <v>38533</v>
      </c>
      <c r="BM7" s="2"/>
      <c r="BN7" s="10">
        <v>38625</v>
      </c>
      <c r="BP7" s="10">
        <v>38717</v>
      </c>
      <c r="BR7" s="11" t="s">
        <v>84</v>
      </c>
      <c r="BT7" s="10">
        <v>38807</v>
      </c>
      <c r="BU7" s="2"/>
      <c r="BV7" s="10">
        <v>38898</v>
      </c>
      <c r="BW7" s="2"/>
      <c r="BX7" s="10">
        <v>38990</v>
      </c>
      <c r="BZ7" s="10">
        <v>39082</v>
      </c>
      <c r="CB7" s="11" t="s">
        <v>101</v>
      </c>
      <c r="CD7" s="10">
        <v>39172</v>
      </c>
      <c r="CE7" s="2"/>
      <c r="CF7" s="10">
        <v>39263</v>
      </c>
      <c r="CG7" s="2"/>
      <c r="CH7" s="10">
        <v>39355</v>
      </c>
      <c r="CJ7" s="10">
        <v>39447</v>
      </c>
      <c r="CL7" s="11" t="s">
        <v>126</v>
      </c>
      <c r="CN7" s="10">
        <f>EOMONTH(CJ7,3)</f>
        <v>39538</v>
      </c>
      <c r="CO7" s="2"/>
      <c r="CP7" s="10">
        <f>EOMONTH(CN7,3)</f>
        <v>39629</v>
      </c>
      <c r="CQ7" s="2"/>
      <c r="CR7" s="10">
        <f>EOMONTH(CP7,3)</f>
        <v>39721</v>
      </c>
      <c r="CT7" s="10">
        <f>EOMONTH(CR7,3)</f>
        <v>39813</v>
      </c>
      <c r="CV7" s="77">
        <v>2008</v>
      </c>
      <c r="CX7" s="10">
        <f>EOMONTH(CT7,3)</f>
        <v>39903</v>
      </c>
      <c r="CY7" s="2"/>
      <c r="CZ7" s="10">
        <f>EOMONTH(CX7,3)</f>
        <v>39994</v>
      </c>
      <c r="DA7" s="2"/>
      <c r="DB7" s="10">
        <f>EOMONTH(CZ7,3)</f>
        <v>40086</v>
      </c>
      <c r="DD7" s="10">
        <f>EOMONTH(DB7,3)</f>
        <v>40178</v>
      </c>
      <c r="DF7" s="77">
        <f>YEAR(DD7)</f>
        <v>2009</v>
      </c>
      <c r="DH7" s="10">
        <f>EOMONTH(DD7,3)</f>
        <v>40268</v>
      </c>
      <c r="DI7" s="2"/>
      <c r="DJ7" s="10">
        <f>EOMONTH(DH7,3)</f>
        <v>40359</v>
      </c>
      <c r="DK7" s="2"/>
      <c r="DL7" s="10">
        <f>EOMONTH(DJ7,3)</f>
        <v>40451</v>
      </c>
      <c r="DN7" s="10">
        <f>EOMONTH(DL7,3)</f>
        <v>40543</v>
      </c>
      <c r="DP7" s="77">
        <f>YEAR(DN7)</f>
        <v>2010</v>
      </c>
      <c r="DR7" s="10">
        <f>EOMONTH(DN7,3)</f>
        <v>40633</v>
      </c>
      <c r="DS7" s="2"/>
      <c r="DT7" s="10">
        <f>EOMONTH(DR7,3)</f>
        <v>40724</v>
      </c>
      <c r="DU7" s="2"/>
      <c r="DV7" s="10">
        <f>EOMONTH(DT7,3)</f>
        <v>40816</v>
      </c>
      <c r="DX7" s="10">
        <f>EOMONTH(DV7,3)</f>
        <v>40908</v>
      </c>
      <c r="DZ7" s="77">
        <f>YEAR(DX7)</f>
        <v>2011</v>
      </c>
      <c r="EA7" s="2"/>
      <c r="EB7" s="10">
        <f>EOMONTH(DX7,3)</f>
        <v>40999</v>
      </c>
      <c r="EC7" s="2"/>
      <c r="ED7" s="10">
        <f>EOMONTH(EB7,3)</f>
        <v>41090</v>
      </c>
      <c r="EE7" s="2"/>
      <c r="EF7" s="10">
        <f>EOMONTH(ED7,3)</f>
        <v>41182</v>
      </c>
      <c r="EH7" s="10">
        <f>EOMONTH(EF7,3)</f>
        <v>41274</v>
      </c>
      <c r="EJ7" s="77">
        <f>YEAR(EH7)</f>
        <v>2012</v>
      </c>
      <c r="EK7" s="2"/>
    </row>
    <row r="8" spans="1:141" ht="13.5" x14ac:dyDescent="0.25">
      <c r="A8" s="12" t="s">
        <v>7</v>
      </c>
      <c r="B8" s="2"/>
      <c r="C8" s="2"/>
      <c r="D8" s="2"/>
      <c r="E8" s="2"/>
      <c r="F8" s="2"/>
      <c r="G8" s="2"/>
      <c r="H8" s="1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X8" s="2"/>
      <c r="AZ8" s="2"/>
      <c r="BA8" s="2"/>
      <c r="BB8" s="2"/>
      <c r="BC8" s="2"/>
      <c r="BD8" s="2"/>
      <c r="BF8" s="2"/>
      <c r="BH8" s="2"/>
      <c r="BJ8" s="2"/>
      <c r="BK8" s="2"/>
      <c r="BL8" s="2"/>
      <c r="BM8" s="2"/>
      <c r="BN8" s="2"/>
      <c r="BP8" s="2"/>
      <c r="BR8" s="2"/>
      <c r="BT8" s="2"/>
      <c r="BU8" s="2"/>
      <c r="BV8" s="2"/>
      <c r="BW8" s="2"/>
      <c r="BX8" s="2"/>
      <c r="BZ8" s="2"/>
      <c r="CB8" s="2"/>
      <c r="CD8" s="2"/>
      <c r="CE8" s="2"/>
      <c r="CF8" s="2"/>
      <c r="CG8" s="2"/>
      <c r="CH8" s="2"/>
      <c r="CJ8" s="2"/>
      <c r="CL8" s="2"/>
      <c r="CN8" s="2"/>
      <c r="CO8" s="2"/>
      <c r="CP8" s="2"/>
      <c r="CQ8" s="2"/>
      <c r="CR8" s="2"/>
      <c r="CT8" s="2"/>
      <c r="CV8" s="2"/>
      <c r="CX8" s="2"/>
      <c r="CY8" s="2"/>
      <c r="CZ8" s="2"/>
      <c r="DA8" s="2"/>
      <c r="DB8" s="2"/>
      <c r="DD8" s="2"/>
      <c r="DF8" s="2"/>
      <c r="DH8" s="2"/>
      <c r="DI8" s="2"/>
      <c r="DJ8" s="2"/>
      <c r="DK8" s="2"/>
      <c r="DL8" s="2"/>
      <c r="DN8" s="2"/>
      <c r="DP8" s="2"/>
      <c r="DR8" s="2"/>
      <c r="DS8" s="2"/>
      <c r="DT8" s="2"/>
      <c r="DU8" s="2"/>
      <c r="DV8" s="2"/>
      <c r="DX8" s="2"/>
      <c r="DZ8" s="2"/>
      <c r="EA8" s="2"/>
      <c r="EB8" s="2"/>
      <c r="EC8" s="2"/>
      <c r="ED8" s="2"/>
      <c r="EE8" s="2"/>
      <c r="EF8" s="2"/>
      <c r="EH8" s="2"/>
      <c r="EJ8" s="2"/>
      <c r="EK8" s="2"/>
    </row>
    <row r="9" spans="1:141" x14ac:dyDescent="0.2">
      <c r="A9" s="69" t="s">
        <v>8</v>
      </c>
      <c r="B9" s="15">
        <v>301707</v>
      </c>
      <c r="C9" s="2"/>
      <c r="D9" s="15">
        <v>316159</v>
      </c>
      <c r="E9" s="2"/>
      <c r="F9" s="15">
        <v>318119.098</v>
      </c>
      <c r="G9" s="2"/>
      <c r="H9" s="17">
        <v>334899.59899999993</v>
      </c>
      <c r="I9" s="2"/>
      <c r="J9" s="50">
        <f>B9+D9+F9+H9</f>
        <v>1270884.6969999999</v>
      </c>
      <c r="K9" s="28"/>
      <c r="L9" s="15">
        <v>350320.39489</v>
      </c>
      <c r="M9" s="2"/>
      <c r="N9" s="15">
        <v>360227</v>
      </c>
      <c r="O9" s="2"/>
      <c r="P9" s="15">
        <v>372402</v>
      </c>
      <c r="Q9" s="2"/>
      <c r="R9" s="15">
        <v>376715</v>
      </c>
      <c r="S9" s="2"/>
      <c r="T9" s="50">
        <f>L9+N9+P9+R9-0.4</f>
        <v>1459663.9948900002</v>
      </c>
      <c r="U9" s="2"/>
      <c r="V9" s="15">
        <v>393122.90740000003</v>
      </c>
      <c r="W9" s="2"/>
      <c r="X9" s="15">
        <v>409023.4</v>
      </c>
      <c r="Y9" s="2"/>
      <c r="Z9" s="15">
        <v>411241</v>
      </c>
      <c r="AA9" s="2"/>
      <c r="AB9" s="15">
        <v>437464</v>
      </c>
      <c r="AC9" s="2"/>
      <c r="AD9" s="50">
        <f>V9+X9+Z9+AB9-0.5</f>
        <v>1650850.8074</v>
      </c>
      <c r="AE9" s="2"/>
      <c r="AF9" s="15">
        <v>443705</v>
      </c>
      <c r="AG9" s="2"/>
      <c r="AH9" s="15">
        <v>456149</v>
      </c>
      <c r="AI9" s="2"/>
      <c r="AJ9" s="15">
        <v>456208</v>
      </c>
      <c r="AK9" s="2"/>
      <c r="AL9" s="15">
        <v>472472</v>
      </c>
      <c r="AM9" s="2"/>
      <c r="AN9" s="50">
        <f>AF9+AH9+AJ9+AL9</f>
        <v>1828534</v>
      </c>
      <c r="AO9" s="17"/>
      <c r="AP9" s="15">
        <v>493419</v>
      </c>
      <c r="AQ9" s="2"/>
      <c r="AR9" s="15">
        <v>504352</v>
      </c>
      <c r="AS9" s="2"/>
      <c r="AT9" s="15">
        <v>497881</v>
      </c>
      <c r="AU9" s="15"/>
      <c r="AV9" s="15">
        <v>503300</v>
      </c>
      <c r="AX9" s="50">
        <f>AP9+AR9+AT9+AV9</f>
        <v>1998952</v>
      </c>
      <c r="AZ9" s="15">
        <v>504290</v>
      </c>
      <c r="BA9" s="2"/>
      <c r="BB9" s="15">
        <v>520593</v>
      </c>
      <c r="BC9" s="2"/>
      <c r="BD9" s="15">
        <v>516576</v>
      </c>
      <c r="BF9" s="15">
        <v>530407</v>
      </c>
      <c r="BH9" s="50">
        <f>AZ9+BB9+BD9+BF9</f>
        <v>2071866</v>
      </c>
      <c r="BJ9" s="15">
        <v>518622</v>
      </c>
      <c r="BK9" s="2"/>
      <c r="BL9" s="15">
        <v>526639</v>
      </c>
      <c r="BM9" s="2"/>
      <c r="BN9" s="15">
        <v>516433</v>
      </c>
      <c r="BP9" s="15">
        <v>523063</v>
      </c>
      <c r="BR9" s="50">
        <f>BJ9+BL9+BN9+BP9</f>
        <v>2084757</v>
      </c>
      <c r="BT9" s="15">
        <v>520383</v>
      </c>
      <c r="BU9" s="2"/>
      <c r="BV9" s="15">
        <v>527076</v>
      </c>
      <c r="BW9" s="2"/>
      <c r="BX9" s="15">
        <v>532260</v>
      </c>
      <c r="BZ9" s="15">
        <v>594520</v>
      </c>
      <c r="CB9" s="50">
        <f>BT9+BV9+BX9+BZ9</f>
        <v>2174239</v>
      </c>
      <c r="CD9" s="15">
        <v>660113</v>
      </c>
      <c r="CE9" s="2"/>
      <c r="CF9" s="15">
        <v>662096</v>
      </c>
      <c r="CG9" s="2"/>
      <c r="CH9" s="15">
        <v>631132</v>
      </c>
      <c r="CJ9" s="15">
        <v>640720</v>
      </c>
      <c r="CL9" s="50">
        <f>CD9+CF9+CH9+CJ9</f>
        <v>2594061</v>
      </c>
      <c r="CN9" s="15">
        <v>640686</v>
      </c>
      <c r="CO9" s="2"/>
      <c r="CP9" s="15">
        <v>634618</v>
      </c>
      <c r="CQ9" s="2"/>
      <c r="CR9" s="15">
        <v>621290</v>
      </c>
      <c r="CT9" s="15">
        <v>608674</v>
      </c>
      <c r="CV9" s="50">
        <f>CN9+CP9+CR9+CT9</f>
        <v>2505268</v>
      </c>
      <c r="CX9" s="15">
        <v>597607</v>
      </c>
      <c r="CY9" s="2"/>
      <c r="CZ9" s="15">
        <v>589468</v>
      </c>
      <c r="DA9" s="2"/>
      <c r="DB9" s="15">
        <v>576124</v>
      </c>
      <c r="DD9" s="15">
        <v>583650</v>
      </c>
      <c r="DF9" s="50">
        <f>CX9+CZ9+DB9+DD9</f>
        <v>2346849</v>
      </c>
      <c r="DH9" s="15">
        <v>583848</v>
      </c>
      <c r="DI9" s="2"/>
      <c r="DJ9" s="15">
        <v>586523</v>
      </c>
      <c r="DK9" s="2"/>
      <c r="DL9" s="15">
        <v>576019</v>
      </c>
      <c r="DN9" s="15">
        <v>589106</v>
      </c>
      <c r="DP9" s="50">
        <f>DH9+DJ9+DL9+DN9</f>
        <v>2335496</v>
      </c>
      <c r="DR9" s="15">
        <v>610428</v>
      </c>
      <c r="DS9" s="2"/>
      <c r="DT9" s="15">
        <v>617796</v>
      </c>
      <c r="DU9" s="2"/>
      <c r="DV9" s="15">
        <v>622474</v>
      </c>
      <c r="DX9" s="15">
        <v>646165</v>
      </c>
      <c r="DZ9" s="50">
        <f>DR9+DT9+DV9+DX9</f>
        <v>2496863</v>
      </c>
      <c r="EA9" s="2"/>
      <c r="EB9" s="15">
        <v>677981</v>
      </c>
      <c r="EC9" s="2"/>
      <c r="ED9" s="15">
        <v>658987</v>
      </c>
      <c r="EE9" s="2"/>
      <c r="EF9" s="15">
        <v>652059</v>
      </c>
      <c r="EH9" s="15"/>
      <c r="EJ9" s="50">
        <f>EB9+ED9+EF9+EH9</f>
        <v>1989027</v>
      </c>
      <c r="EK9" s="2"/>
    </row>
    <row r="10" spans="1:141" x14ac:dyDescent="0.2">
      <c r="A10" s="69" t="s">
        <v>9</v>
      </c>
      <c r="B10" s="18">
        <v>31886</v>
      </c>
      <c r="C10" s="2"/>
      <c r="D10" s="18">
        <v>20293</v>
      </c>
      <c r="E10" s="2"/>
      <c r="F10" s="18">
        <v>18662.050999999999</v>
      </c>
      <c r="G10" s="2"/>
      <c r="H10" s="19">
        <v>17675.282999999996</v>
      </c>
      <c r="I10" s="28"/>
      <c r="J10" s="51">
        <f>B10+D10+F10+H10</f>
        <v>88516.334000000003</v>
      </c>
      <c r="K10" s="2"/>
      <c r="L10" s="18">
        <v>27339.01439</v>
      </c>
      <c r="M10" s="2"/>
      <c r="N10" s="18">
        <v>17680</v>
      </c>
      <c r="O10" s="2"/>
      <c r="P10" s="18">
        <v>18887</v>
      </c>
      <c r="Q10" s="2"/>
      <c r="R10" s="18">
        <v>17260</v>
      </c>
      <c r="S10" s="2"/>
      <c r="T10" s="51">
        <f>L10+N10+P10+R10</f>
        <v>81166.014389999997</v>
      </c>
      <c r="U10" s="2"/>
      <c r="V10" s="18">
        <v>30759.440289999999</v>
      </c>
      <c r="W10" s="2"/>
      <c r="X10" s="18">
        <v>20111.783080000001</v>
      </c>
      <c r="Y10" s="2"/>
      <c r="Z10" s="18">
        <v>21569</v>
      </c>
      <c r="AA10" s="2"/>
      <c r="AB10" s="18">
        <v>22293</v>
      </c>
      <c r="AC10" s="2"/>
      <c r="AD10" s="51">
        <f>V10+X10+Z10+AB10</f>
        <v>94733.223369999992</v>
      </c>
      <c r="AE10" s="2"/>
      <c r="AF10" s="18">
        <v>39605</v>
      </c>
      <c r="AG10" s="2"/>
      <c r="AH10" s="18">
        <v>23994</v>
      </c>
      <c r="AI10" s="2"/>
      <c r="AJ10" s="18">
        <v>24710</v>
      </c>
      <c r="AK10" s="2"/>
      <c r="AL10" s="18">
        <v>27169</v>
      </c>
      <c r="AM10" s="2"/>
      <c r="AN10" s="51">
        <f>AF10+AH10+AJ10+AL10</f>
        <v>115478</v>
      </c>
      <c r="AO10" s="2"/>
      <c r="AP10" s="18">
        <v>52664</v>
      </c>
      <c r="AQ10" s="2"/>
      <c r="AR10" s="18">
        <v>32528</v>
      </c>
      <c r="AS10" s="2"/>
      <c r="AT10" s="18">
        <v>34453</v>
      </c>
      <c r="AU10" s="18"/>
      <c r="AV10" s="18">
        <v>33339</v>
      </c>
      <c r="AX10" s="51">
        <f>AP10+AR10+AT10+AV10</f>
        <v>152984</v>
      </c>
      <c r="AZ10" s="18">
        <v>59423</v>
      </c>
      <c r="BA10" s="2"/>
      <c r="BB10" s="18">
        <v>34599</v>
      </c>
      <c r="BC10" s="2"/>
      <c r="BD10" s="18">
        <v>36265</v>
      </c>
      <c r="BF10" s="18">
        <v>36307</v>
      </c>
      <c r="BH10" s="51">
        <f>AZ10+BB10+BD10+BF10</f>
        <v>166594</v>
      </c>
      <c r="BJ10" s="18">
        <v>62770</v>
      </c>
      <c r="BK10" s="2"/>
      <c r="BL10" s="18">
        <v>37498</v>
      </c>
      <c r="BM10" s="2"/>
      <c r="BN10" s="18">
        <v>39212</v>
      </c>
      <c r="BP10" s="18">
        <v>37812</v>
      </c>
      <c r="BR10" s="51">
        <f>BJ10+BL10+BN10+BP10</f>
        <v>177292</v>
      </c>
      <c r="BT10" s="18">
        <v>64163</v>
      </c>
      <c r="BU10" s="2"/>
      <c r="BV10" s="18">
        <v>38428</v>
      </c>
      <c r="BW10" s="2"/>
      <c r="BX10" s="18">
        <v>36343</v>
      </c>
      <c r="BZ10" s="18">
        <v>37020</v>
      </c>
      <c r="CB10" s="51">
        <f>BT10+BV10+BX10+BZ10</f>
        <v>175954</v>
      </c>
      <c r="CD10" s="18">
        <v>68337</v>
      </c>
      <c r="CE10" s="2"/>
      <c r="CF10" s="18">
        <v>39584</v>
      </c>
      <c r="CG10" s="2"/>
      <c r="CH10" s="18">
        <v>53574</v>
      </c>
      <c r="CJ10" s="18">
        <v>47494</v>
      </c>
      <c r="CL10" s="51">
        <f>CD10+CF10+CH10+CJ10</f>
        <v>208989</v>
      </c>
      <c r="CN10" s="18">
        <v>85339</v>
      </c>
      <c r="CO10" s="2"/>
      <c r="CP10" s="18">
        <v>55703</v>
      </c>
      <c r="CQ10" s="2"/>
      <c r="CR10" s="18">
        <v>57062</v>
      </c>
      <c r="CT10" s="18">
        <v>58627</v>
      </c>
      <c r="CV10" s="51">
        <f>CN10+CP10+CR10+CT10</f>
        <v>256731</v>
      </c>
      <c r="CX10" s="18">
        <v>95782</v>
      </c>
      <c r="CY10" s="2"/>
      <c r="CZ10" s="18">
        <v>56959</v>
      </c>
      <c r="DA10" s="2"/>
      <c r="DB10" s="18">
        <v>59085</v>
      </c>
      <c r="DD10" s="18">
        <v>49805</v>
      </c>
      <c r="DF10" s="51">
        <f>CX10+CZ10+DB10+DD10</f>
        <v>261631</v>
      </c>
      <c r="DH10" s="18">
        <v>89397</v>
      </c>
      <c r="DI10" s="2"/>
      <c r="DJ10" s="18">
        <v>43031</v>
      </c>
      <c r="DK10" s="2"/>
      <c r="DL10" s="18">
        <v>44352</v>
      </c>
      <c r="DN10" s="18">
        <v>43549</v>
      </c>
      <c r="DP10" s="51">
        <f>DH10+DJ10+DL10+DN10</f>
        <v>220329</v>
      </c>
      <c r="DR10" s="18">
        <v>99266</v>
      </c>
      <c r="DS10" s="2"/>
      <c r="DT10" s="18">
        <v>50973</v>
      </c>
      <c r="DU10" s="2"/>
      <c r="DV10" s="18">
        <v>52802</v>
      </c>
      <c r="DX10" s="18">
        <v>56755</v>
      </c>
      <c r="DZ10" s="51">
        <f>DR10+DT10+DV10+DX10</f>
        <v>259796</v>
      </c>
      <c r="EA10" s="2"/>
      <c r="EB10" s="18">
        <v>122859</v>
      </c>
      <c r="EC10" s="2"/>
      <c r="ED10" s="18">
        <v>60622</v>
      </c>
      <c r="EE10" s="2"/>
      <c r="EF10" s="18">
        <v>58854</v>
      </c>
      <c r="EH10" s="18"/>
      <c r="EJ10" s="51">
        <f>EB10+ED10+EF10+EH10</f>
        <v>242335</v>
      </c>
      <c r="EK10" s="2"/>
    </row>
    <row r="11" spans="1:141" x14ac:dyDescent="0.2">
      <c r="A11" s="69" t="s">
        <v>50</v>
      </c>
      <c r="B11" s="18"/>
      <c r="C11" s="2"/>
      <c r="D11" s="18"/>
      <c r="E11" s="2"/>
      <c r="F11" s="18"/>
      <c r="G11" s="2"/>
      <c r="H11" s="19"/>
      <c r="I11" s="2"/>
      <c r="J11" s="51">
        <f>B11+D11+F11+H11</f>
        <v>0</v>
      </c>
      <c r="K11" s="2"/>
      <c r="L11" s="18"/>
      <c r="M11" s="2"/>
      <c r="N11" s="18"/>
      <c r="O11" s="2"/>
      <c r="P11" s="18"/>
      <c r="Q11" s="2"/>
      <c r="R11" s="18"/>
      <c r="S11" s="2"/>
      <c r="T11" s="51">
        <f>L11+N11+P11+R11</f>
        <v>0</v>
      </c>
      <c r="U11" s="2"/>
      <c r="V11" s="18"/>
      <c r="W11" s="2"/>
      <c r="X11" s="18"/>
      <c r="Y11" s="2"/>
      <c r="Z11" s="18"/>
      <c r="AA11" s="2"/>
      <c r="AB11" s="18"/>
      <c r="AC11" s="2"/>
      <c r="AD11" s="51">
        <f>V11+X11+Z11+AB11</f>
        <v>0</v>
      </c>
      <c r="AE11" s="2"/>
      <c r="AF11" s="18"/>
      <c r="AG11" s="2"/>
      <c r="AH11" s="18"/>
      <c r="AI11" s="2"/>
      <c r="AJ11" s="18"/>
      <c r="AK11" s="2"/>
      <c r="AL11" s="18">
        <v>6137</v>
      </c>
      <c r="AM11" s="2"/>
      <c r="AN11" s="51">
        <f>AF11+AH11+AJ11+AL11</f>
        <v>6137</v>
      </c>
      <c r="AO11" s="2"/>
      <c r="AP11" s="18">
        <v>6045</v>
      </c>
      <c r="AQ11" s="2"/>
      <c r="AR11" s="18">
        <v>4745</v>
      </c>
      <c r="AS11" s="2"/>
      <c r="AT11" s="18">
        <v>4633</v>
      </c>
      <c r="AU11" s="18"/>
      <c r="AV11" s="18">
        <v>6780</v>
      </c>
      <c r="AX11" s="51">
        <f>AP11+AR11+AT11+AV11</f>
        <v>22203</v>
      </c>
      <c r="AZ11" s="18">
        <v>6698</v>
      </c>
      <c r="BA11" s="2"/>
      <c r="BB11" s="18">
        <v>5801</v>
      </c>
      <c r="BC11" s="2"/>
      <c r="BD11" s="18">
        <v>5469</v>
      </c>
      <c r="BF11" s="18">
        <v>6336</v>
      </c>
      <c r="BH11" s="51">
        <f>AZ11+BB11+BD11+BF11</f>
        <v>24304</v>
      </c>
      <c r="BJ11" s="18">
        <v>6584</v>
      </c>
      <c r="BK11" s="2"/>
      <c r="BL11" s="18">
        <v>6618</v>
      </c>
      <c r="BM11" s="2"/>
      <c r="BN11" s="18">
        <v>6372</v>
      </c>
      <c r="BP11" s="18">
        <v>6566</v>
      </c>
      <c r="BR11" s="51">
        <f>BJ11+BL11+BN11+BP11</f>
        <v>26140</v>
      </c>
      <c r="BT11" s="18">
        <v>5851</v>
      </c>
      <c r="BU11" s="2"/>
      <c r="BV11" s="18">
        <v>5728</v>
      </c>
      <c r="BW11" s="2"/>
      <c r="BX11" s="18">
        <v>6798</v>
      </c>
      <c r="BZ11" s="18">
        <v>8500</v>
      </c>
      <c r="CB11" s="51">
        <f>BT11+BV11+BX11+BZ11</f>
        <v>26877</v>
      </c>
      <c r="CD11" s="18">
        <v>8410</v>
      </c>
      <c r="CE11" s="2"/>
      <c r="CF11" s="18">
        <v>7646</v>
      </c>
      <c r="CG11" s="2"/>
      <c r="CH11" s="18">
        <v>8593</v>
      </c>
      <c r="CJ11" s="18">
        <v>9927</v>
      </c>
      <c r="CL11" s="51">
        <f>CD11+CF11+CH11+CJ11</f>
        <v>34576</v>
      </c>
      <c r="CN11" s="18">
        <v>9885</v>
      </c>
      <c r="CO11" s="2"/>
      <c r="CP11" s="18">
        <v>9246</v>
      </c>
      <c r="CQ11" s="2"/>
      <c r="CR11" s="18">
        <v>10554</v>
      </c>
      <c r="CT11" s="18">
        <v>11508</v>
      </c>
      <c r="CV11" s="51">
        <f>CN11+CP11+CR11+CT11</f>
        <v>41193</v>
      </c>
      <c r="CX11" s="18">
        <v>12426</v>
      </c>
      <c r="CY11" s="2"/>
      <c r="CZ11" s="18">
        <v>12290</v>
      </c>
      <c r="DA11" s="2"/>
      <c r="DB11" s="18">
        <v>12983</v>
      </c>
      <c r="DD11" s="18">
        <v>15336</v>
      </c>
      <c r="DF11" s="51">
        <f>CX11+CZ11+DB11+DD11</f>
        <v>53035</v>
      </c>
      <c r="DH11" s="18">
        <v>15137</v>
      </c>
      <c r="DI11" s="2"/>
      <c r="DJ11" s="18">
        <v>14503</v>
      </c>
      <c r="DK11" s="2"/>
      <c r="DL11" s="18">
        <v>15599</v>
      </c>
      <c r="DN11" s="18">
        <v>18594</v>
      </c>
      <c r="DP11" s="51">
        <f>DH11+DJ11+DL11+DN11</f>
        <v>63833</v>
      </c>
      <c r="DR11" s="18">
        <v>16687</v>
      </c>
      <c r="DS11" s="2"/>
      <c r="DT11" s="18">
        <v>16571</v>
      </c>
      <c r="DU11" s="2"/>
      <c r="DV11" s="18">
        <v>16348</v>
      </c>
      <c r="DX11" s="18">
        <v>19011</v>
      </c>
      <c r="DZ11" s="51">
        <f>DR11+DT11+DV11+DX11</f>
        <v>68617</v>
      </c>
      <c r="EA11" s="2"/>
      <c r="EB11" s="18">
        <v>17495</v>
      </c>
      <c r="EC11" s="2"/>
      <c r="ED11" s="18">
        <v>16170</v>
      </c>
      <c r="EE11" s="2"/>
      <c r="EF11" s="18">
        <v>15560</v>
      </c>
      <c r="EH11" s="18"/>
      <c r="EJ11" s="51">
        <f>EB11+ED11+EF11+EH11</f>
        <v>49225</v>
      </c>
      <c r="EK11" s="2"/>
    </row>
    <row r="12" spans="1:141" x14ac:dyDescent="0.2">
      <c r="A12" s="69" t="s">
        <v>10</v>
      </c>
      <c r="B12" s="20">
        <v>858</v>
      </c>
      <c r="C12" s="2"/>
      <c r="D12" s="20">
        <v>462</v>
      </c>
      <c r="E12" s="2"/>
      <c r="F12" s="20">
        <v>404.18799999999999</v>
      </c>
      <c r="G12" s="2"/>
      <c r="H12" s="21">
        <v>452.93199999999979</v>
      </c>
      <c r="I12" s="2"/>
      <c r="J12" s="52">
        <f>B12+D12+F12+H12</f>
        <v>2177.12</v>
      </c>
      <c r="K12" s="2"/>
      <c r="L12" s="20">
        <v>492.11491000000001</v>
      </c>
      <c r="M12" s="2"/>
      <c r="N12" s="20">
        <v>502</v>
      </c>
      <c r="O12" s="2"/>
      <c r="P12" s="20">
        <v>922</v>
      </c>
      <c r="Q12" s="2"/>
      <c r="R12" s="20">
        <v>1102</v>
      </c>
      <c r="S12" s="2"/>
      <c r="T12" s="52">
        <f>L12+N12+P12+R12</f>
        <v>3018.1149100000002</v>
      </c>
      <c r="U12" s="2"/>
      <c r="V12" s="20">
        <v>1329.9977899999999</v>
      </c>
      <c r="W12" s="2"/>
      <c r="X12" s="20">
        <v>908.14399000000003</v>
      </c>
      <c r="Y12" s="2"/>
      <c r="Z12" s="20">
        <v>640</v>
      </c>
      <c r="AA12" s="2"/>
      <c r="AB12" s="20">
        <v>598</v>
      </c>
      <c r="AC12" s="2"/>
      <c r="AD12" s="52">
        <f>V12+X12+Z12+AB12</f>
        <v>3476.1417799999999</v>
      </c>
      <c r="AE12" s="2"/>
      <c r="AF12" s="20">
        <v>614</v>
      </c>
      <c r="AG12" s="2"/>
      <c r="AH12" s="20">
        <v>567</v>
      </c>
      <c r="AI12" s="2"/>
      <c r="AJ12" s="20">
        <v>561</v>
      </c>
      <c r="AK12" s="2"/>
      <c r="AL12" s="20">
        <v>847</v>
      </c>
      <c r="AM12" s="2"/>
      <c r="AN12" s="52">
        <f>AF12+AH12+AJ12+AL12</f>
        <v>2589</v>
      </c>
      <c r="AO12" s="2"/>
      <c r="AP12" s="20">
        <v>715</v>
      </c>
      <c r="AQ12" s="2"/>
      <c r="AR12" s="20">
        <v>812</v>
      </c>
      <c r="AS12" s="2"/>
      <c r="AT12" s="20">
        <v>697</v>
      </c>
      <c r="AU12" s="42"/>
      <c r="AV12" s="20">
        <v>859</v>
      </c>
      <c r="AX12" s="52">
        <f>AP12+AR12+AT12+AV12</f>
        <v>3083</v>
      </c>
      <c r="AZ12" s="20">
        <v>1080</v>
      </c>
      <c r="BA12" s="2"/>
      <c r="BB12" s="20">
        <v>967</v>
      </c>
      <c r="BC12" s="2"/>
      <c r="BD12" s="20">
        <v>919</v>
      </c>
      <c r="BF12" s="20">
        <v>602</v>
      </c>
      <c r="BH12" s="52">
        <f>AZ12+BB12+BD12+BF12</f>
        <v>3568</v>
      </c>
      <c r="BJ12" s="20">
        <v>1078</v>
      </c>
      <c r="BK12" s="2"/>
      <c r="BL12" s="20">
        <v>997</v>
      </c>
      <c r="BM12" s="2"/>
      <c r="BN12" s="20">
        <v>2938</v>
      </c>
      <c r="BP12" s="20">
        <v>2889</v>
      </c>
      <c r="BR12" s="52">
        <f>BJ12+BL12+BN12+BP12</f>
        <v>7902</v>
      </c>
      <c r="BT12" s="20">
        <v>3286</v>
      </c>
      <c r="BU12" s="2"/>
      <c r="BV12" s="20">
        <v>3254</v>
      </c>
      <c r="BW12" s="2"/>
      <c r="BX12" s="20">
        <v>3723</v>
      </c>
      <c r="BZ12" s="20">
        <v>5344</v>
      </c>
      <c r="CB12" s="52">
        <f>BT12+BV12+BX12+BZ12</f>
        <v>15607</v>
      </c>
      <c r="CD12" s="20">
        <v>7176</v>
      </c>
      <c r="CE12" s="2"/>
      <c r="CF12" s="20">
        <v>6570</v>
      </c>
      <c r="CG12" s="2"/>
      <c r="CH12" s="20">
        <v>3940</v>
      </c>
      <c r="CJ12" s="20">
        <v>7796</v>
      </c>
      <c r="CL12" s="52">
        <f>CD12+CF12+CH12+CJ12</f>
        <v>25482</v>
      </c>
      <c r="CN12" s="20">
        <v>9619</v>
      </c>
      <c r="CO12" s="2"/>
      <c r="CP12" s="20">
        <v>10589</v>
      </c>
      <c r="CQ12" s="2"/>
      <c r="CR12" s="20">
        <v>10704</v>
      </c>
      <c r="CT12" s="20">
        <v>11847</v>
      </c>
      <c r="CV12" s="52">
        <f>CN12+CP12+CR12+CT12</f>
        <v>42759</v>
      </c>
      <c r="CX12" s="20">
        <v>13139</v>
      </c>
      <c r="CY12" s="2"/>
      <c r="CZ12" s="20">
        <v>13443</v>
      </c>
      <c r="DA12" s="2"/>
      <c r="DB12" s="20">
        <v>15236</v>
      </c>
      <c r="DD12" s="20">
        <v>15783</v>
      </c>
      <c r="DF12" s="52">
        <f>CX12+CZ12+DB12+DD12</f>
        <v>57601</v>
      </c>
      <c r="DH12" s="20">
        <v>20336</v>
      </c>
      <c r="DI12" s="2"/>
      <c r="DJ12" s="20">
        <v>19523</v>
      </c>
      <c r="DK12" s="2"/>
      <c r="DL12" s="20">
        <v>20413</v>
      </c>
      <c r="DN12" s="20">
        <v>16270</v>
      </c>
      <c r="DP12" s="52">
        <f>DH12+DJ12+DL12+DN12</f>
        <v>76542</v>
      </c>
      <c r="DR12" s="20">
        <v>5339</v>
      </c>
      <c r="DS12" s="2"/>
      <c r="DT12" s="20">
        <v>4143</v>
      </c>
      <c r="DU12" s="2"/>
      <c r="DV12" s="20">
        <v>4147</v>
      </c>
      <c r="DX12" s="20">
        <v>4296</v>
      </c>
      <c r="DZ12" s="52">
        <f>DR12+DT12+DV12+DX12</f>
        <v>17925</v>
      </c>
      <c r="EA12" s="2"/>
      <c r="EB12" s="20">
        <v>4932</v>
      </c>
      <c r="EC12" s="2"/>
      <c r="ED12" s="20">
        <v>4537</v>
      </c>
      <c r="EE12" s="2"/>
      <c r="EF12" s="20">
        <v>2811</v>
      </c>
      <c r="EH12" s="20"/>
      <c r="EJ12" s="52">
        <f>EB12+ED12+EF12+EH12</f>
        <v>12280</v>
      </c>
      <c r="EK12" s="2"/>
    </row>
    <row r="13" spans="1:141" x14ac:dyDescent="0.2">
      <c r="A13" s="2" t="s">
        <v>11</v>
      </c>
      <c r="B13" s="17">
        <f>SUM(B9:B12)</f>
        <v>334451</v>
      </c>
      <c r="C13" s="17"/>
      <c r="D13" s="17">
        <f>SUM(D9:D12)</f>
        <v>336914</v>
      </c>
      <c r="E13" s="17"/>
      <c r="F13" s="17">
        <f>SUM(F9:F12)</f>
        <v>337185.337</v>
      </c>
      <c r="G13" s="17"/>
      <c r="H13" s="17">
        <f>SUM(H9:H12)</f>
        <v>353027.8139999999</v>
      </c>
      <c r="I13" s="17"/>
      <c r="J13" s="50">
        <f>SUM(J9:J12)</f>
        <v>1361578.1510000001</v>
      </c>
      <c r="K13" s="2"/>
      <c r="L13" s="17">
        <f>SUM(L9:L12)</f>
        <v>378151.52419000003</v>
      </c>
      <c r="M13" s="17"/>
      <c r="N13" s="17">
        <f>SUM(N9:N12)</f>
        <v>378409</v>
      </c>
      <c r="O13" s="17"/>
      <c r="P13" s="17">
        <f>SUM(P9:P12)</f>
        <v>392211</v>
      </c>
      <c r="Q13" s="17"/>
      <c r="R13" s="17">
        <f>SUM(R9:R12)</f>
        <v>395077</v>
      </c>
      <c r="S13" s="17"/>
      <c r="T13" s="50">
        <f>SUM(T9:T12)</f>
        <v>1543848.1241900001</v>
      </c>
      <c r="U13" s="2"/>
      <c r="V13" s="17">
        <f>SUM(V9:V12)</f>
        <v>425212.34548000002</v>
      </c>
      <c r="W13" s="17"/>
      <c r="X13" s="17">
        <f>SUM(X9:X12)</f>
        <v>430043.32707000006</v>
      </c>
      <c r="Y13" s="17"/>
      <c r="Z13" s="17">
        <f>SUM(Z9:Z12)</f>
        <v>433450</v>
      </c>
      <c r="AA13" s="17"/>
      <c r="AB13" s="17">
        <f>SUM(AB9:AB12)</f>
        <v>460355</v>
      </c>
      <c r="AC13" s="17"/>
      <c r="AD13" s="50">
        <f>SUM(AD9:AD12)</f>
        <v>1749060.17255</v>
      </c>
      <c r="AE13" s="2"/>
      <c r="AF13" s="17">
        <f>SUM(AF9:AF12)</f>
        <v>483924</v>
      </c>
      <c r="AG13" s="17"/>
      <c r="AH13" s="17">
        <f>SUM(AH9:AH12)</f>
        <v>480710</v>
      </c>
      <c r="AI13" s="17"/>
      <c r="AJ13" s="17">
        <f>SUM(AJ9:AJ12)</f>
        <v>481479</v>
      </c>
      <c r="AK13" s="17"/>
      <c r="AL13" s="17">
        <f>SUM(AL9:AL12)</f>
        <v>506625</v>
      </c>
      <c r="AM13" s="17"/>
      <c r="AN13" s="50">
        <f>SUM(AN9:AN12)</f>
        <v>1952738</v>
      </c>
      <c r="AO13" s="2"/>
      <c r="AP13" s="17">
        <f>SUM(AP9:AP12)</f>
        <v>552843</v>
      </c>
      <c r="AQ13" s="17"/>
      <c r="AR13" s="17">
        <f>SUM(AR9:AR12)</f>
        <v>542437</v>
      </c>
      <c r="AS13" s="17"/>
      <c r="AT13" s="17">
        <f>SUM(AT9:AT12)</f>
        <v>537664</v>
      </c>
      <c r="AU13" s="17"/>
      <c r="AV13" s="17">
        <f>SUM(AV9:AV12)</f>
        <v>544278</v>
      </c>
      <c r="AW13" s="17"/>
      <c r="AX13" s="50">
        <f>SUM(AX9:AX12)</f>
        <v>2177222</v>
      </c>
      <c r="AZ13" s="17">
        <f>SUM(AZ9:AZ12)</f>
        <v>571491</v>
      </c>
      <c r="BA13" s="17"/>
      <c r="BB13" s="17">
        <f>SUM(BB9:BB12)</f>
        <v>561960</v>
      </c>
      <c r="BC13" s="17"/>
      <c r="BD13" s="17">
        <f>SUM(BD9:BD12)</f>
        <v>559229</v>
      </c>
      <c r="BF13" s="17">
        <f>SUM(BF9:BF12)</f>
        <v>573652</v>
      </c>
      <c r="BH13" s="50">
        <f>SUM(BH9:BH12)</f>
        <v>2266332</v>
      </c>
      <c r="BJ13" s="17">
        <f>SUM(BJ9:BJ12)</f>
        <v>589054</v>
      </c>
      <c r="BK13" s="17"/>
      <c r="BL13" s="17">
        <f>SUM(BL9:BL12)</f>
        <v>571752</v>
      </c>
      <c r="BM13" s="17"/>
      <c r="BN13" s="17">
        <f>SUM(BN9:BN12)</f>
        <v>564955</v>
      </c>
      <c r="BP13" s="17">
        <f>SUM(BP9:BP12)</f>
        <v>570330</v>
      </c>
      <c r="BR13" s="50">
        <f>SUM(BR9:BR12)</f>
        <v>2296091</v>
      </c>
      <c r="BT13" s="17">
        <f>SUM(BT9:BT12)</f>
        <v>593683</v>
      </c>
      <c r="BU13" s="17"/>
      <c r="BV13" s="17">
        <f>SUM(BV9:BV12)</f>
        <v>574486</v>
      </c>
      <c r="BW13" s="17"/>
      <c r="BX13" s="17">
        <f>SUM(BX9:BX12)</f>
        <v>579124</v>
      </c>
      <c r="BZ13" s="17">
        <f>SUM(BZ9:BZ12)</f>
        <v>645384</v>
      </c>
      <c r="CB13" s="50">
        <f>SUM(CB9:CB12)</f>
        <v>2392677</v>
      </c>
      <c r="CD13" s="17">
        <f>SUM(CD9:CD12)</f>
        <v>744036</v>
      </c>
      <c r="CE13" s="17"/>
      <c r="CF13" s="17">
        <f>SUM(CF9:CF12)</f>
        <v>715896</v>
      </c>
      <c r="CG13" s="17"/>
      <c r="CH13" s="17">
        <f>SUM(CH9:CH12)</f>
        <v>697239</v>
      </c>
      <c r="CJ13" s="17">
        <f>SUM(CJ9:CJ12)</f>
        <v>705937</v>
      </c>
      <c r="CL13" s="50">
        <f>SUM(CL9:CL12)</f>
        <v>2863108</v>
      </c>
      <c r="CN13" s="17">
        <f>SUM(CN9:CN12)</f>
        <v>745529</v>
      </c>
      <c r="CO13" s="17"/>
      <c r="CP13" s="17">
        <f>SUM(CP9:CP12)</f>
        <v>710156</v>
      </c>
      <c r="CQ13" s="17"/>
      <c r="CR13" s="17">
        <f>SUM(CR9:CR12)</f>
        <v>699610</v>
      </c>
      <c r="CT13" s="17">
        <f>SUM(CT9:CT12)</f>
        <v>690656</v>
      </c>
      <c r="CV13" s="50">
        <f>SUM(CV9:CV12)</f>
        <v>2845951</v>
      </c>
      <c r="CX13" s="17">
        <f>SUM(CX9:CX12)</f>
        <v>718954</v>
      </c>
      <c r="CY13" s="17"/>
      <c r="CZ13" s="17">
        <f>SUM(CZ9:CZ12)</f>
        <v>672160</v>
      </c>
      <c r="DA13" s="17"/>
      <c r="DB13" s="17">
        <f>SUM(DB9:DB12)</f>
        <v>663428</v>
      </c>
      <c r="DD13" s="17">
        <f>SUM(DD9:DD12)</f>
        <v>664574</v>
      </c>
      <c r="DF13" s="50">
        <f>SUM(DF9:DF12)</f>
        <v>2719116</v>
      </c>
      <c r="DH13" s="17">
        <f>SUM(DH9:DH12)</f>
        <v>708718</v>
      </c>
      <c r="DI13" s="17"/>
      <c r="DJ13" s="17">
        <f>SUM(DJ9:DJ12)</f>
        <v>663580</v>
      </c>
      <c r="DK13" s="17"/>
      <c r="DL13" s="17">
        <f>SUM(DL9:DL12)</f>
        <v>656383</v>
      </c>
      <c r="DN13" s="17">
        <f>SUM(DN9:DN12)</f>
        <v>667519</v>
      </c>
      <c r="DP13" s="50">
        <f>SUM(DP9:DP12)</f>
        <v>2696200</v>
      </c>
      <c r="DR13" s="17">
        <f>SUM(DR9:DR12)</f>
        <v>731720</v>
      </c>
      <c r="DS13" s="17"/>
      <c r="DT13" s="17">
        <f>SUM(DT9:DT12)</f>
        <v>689483</v>
      </c>
      <c r="DU13" s="17"/>
      <c r="DV13" s="17">
        <f>SUM(DV9:DV12)</f>
        <v>695771</v>
      </c>
      <c r="DX13" s="17">
        <f>SUM(DX9:DX12)</f>
        <v>726227</v>
      </c>
      <c r="DZ13" s="50">
        <f>SUM(DZ9:DZ12)</f>
        <v>2843201</v>
      </c>
      <c r="EA13" s="17"/>
      <c r="EB13" s="17">
        <f>SUM(EB9:EB12)</f>
        <v>823267</v>
      </c>
      <c r="EC13" s="17"/>
      <c r="ED13" s="17">
        <f>SUM(ED9:ED12)</f>
        <v>740316</v>
      </c>
      <c r="EE13" s="17"/>
      <c r="EF13" s="17">
        <f>SUM(EF9:EF12)</f>
        <v>729284</v>
      </c>
      <c r="EH13" s="17">
        <f>SUM(EH9:EH12)</f>
        <v>0</v>
      </c>
      <c r="EJ13" s="50">
        <f>SUM(EJ9:EJ12)</f>
        <v>2292867</v>
      </c>
      <c r="EK13" s="17"/>
    </row>
    <row r="14" spans="1:141" x14ac:dyDescent="0.2">
      <c r="A14" s="2"/>
      <c r="B14" s="14"/>
      <c r="C14" s="14"/>
      <c r="D14" s="14"/>
      <c r="E14" s="14"/>
      <c r="F14" s="14"/>
      <c r="G14" s="14"/>
      <c r="H14" s="14"/>
      <c r="I14" s="2"/>
      <c r="J14" s="51"/>
      <c r="K14" s="2"/>
      <c r="L14" s="14"/>
      <c r="M14" s="2"/>
      <c r="N14" s="14"/>
      <c r="O14" s="2"/>
      <c r="P14" s="14"/>
      <c r="Q14" s="2"/>
      <c r="R14" s="14"/>
      <c r="S14" s="2"/>
      <c r="T14" s="51"/>
      <c r="U14" s="2"/>
      <c r="V14" s="14"/>
      <c r="W14" s="2"/>
      <c r="X14" s="14"/>
      <c r="Y14" s="2"/>
      <c r="Z14" s="18"/>
      <c r="AA14" s="2"/>
      <c r="AB14" s="18"/>
      <c r="AC14" s="2"/>
      <c r="AD14" s="51"/>
      <c r="AE14" s="2"/>
      <c r="AF14" s="25"/>
      <c r="AG14" s="2"/>
      <c r="AH14" s="14"/>
      <c r="AI14" s="2"/>
      <c r="AJ14" s="18"/>
      <c r="AK14" s="2"/>
      <c r="AL14" s="18"/>
      <c r="AM14" s="2"/>
      <c r="AN14" s="51"/>
      <c r="AO14" s="2"/>
      <c r="AP14" s="25"/>
      <c r="AQ14" s="2"/>
      <c r="AR14" s="14"/>
      <c r="AS14" s="2"/>
      <c r="AT14" s="18"/>
      <c r="AU14" s="18"/>
      <c r="AV14" s="18"/>
      <c r="AX14" s="51"/>
      <c r="AZ14" s="25"/>
      <c r="BA14" s="2"/>
      <c r="BB14" s="14"/>
      <c r="BC14" s="2"/>
      <c r="BD14" s="14"/>
      <c r="BF14" s="14"/>
      <c r="BH14" s="51"/>
      <c r="BJ14" s="25"/>
      <c r="BK14" s="2"/>
      <c r="BL14" s="14"/>
      <c r="BM14" s="2"/>
      <c r="BN14" s="14"/>
      <c r="BP14" s="14"/>
      <c r="BR14" s="51"/>
      <c r="BT14" s="25"/>
      <c r="BU14" s="2"/>
      <c r="BV14" s="14"/>
      <c r="BW14" s="2"/>
      <c r="BX14" s="14"/>
      <c r="BZ14" s="14"/>
      <c r="CB14" s="51"/>
      <c r="CD14" s="25"/>
      <c r="CE14" s="2"/>
      <c r="CF14" s="14"/>
      <c r="CG14" s="2"/>
      <c r="CH14" s="14"/>
      <c r="CJ14" s="14"/>
      <c r="CL14" s="51"/>
      <c r="CN14" s="25"/>
      <c r="CO14" s="2"/>
      <c r="CP14" s="14"/>
      <c r="CQ14" s="2"/>
      <c r="CR14" s="14"/>
      <c r="CT14" s="14"/>
      <c r="CV14" s="51"/>
      <c r="CX14" s="25"/>
      <c r="CY14" s="2"/>
      <c r="CZ14" s="14"/>
      <c r="DA14" s="2"/>
      <c r="DB14" s="14"/>
      <c r="DD14" s="14"/>
      <c r="DF14" s="51"/>
      <c r="DH14" s="25"/>
      <c r="DI14" s="2"/>
      <c r="DJ14" s="14"/>
      <c r="DK14" s="2"/>
      <c r="DL14" s="14"/>
      <c r="DN14" s="14"/>
      <c r="DP14" s="51"/>
      <c r="DR14" s="25"/>
      <c r="DS14" s="2"/>
      <c r="DT14" s="14"/>
      <c r="DU14" s="2"/>
      <c r="DV14" s="14"/>
      <c r="DX14" s="14"/>
      <c r="DZ14" s="51"/>
      <c r="EA14" s="2"/>
      <c r="EB14" s="25"/>
      <c r="EC14" s="2"/>
      <c r="ED14" s="14"/>
      <c r="EE14" s="2"/>
      <c r="EF14" s="14"/>
      <c r="EH14" s="14"/>
      <c r="EJ14" s="51"/>
      <c r="EK14" s="2"/>
    </row>
    <row r="15" spans="1:141" ht="13.5" x14ac:dyDescent="0.25">
      <c r="A15" s="12" t="s">
        <v>12</v>
      </c>
      <c r="B15" s="2"/>
      <c r="C15" s="2"/>
      <c r="D15" s="2"/>
      <c r="E15" s="2"/>
      <c r="F15" s="2"/>
      <c r="G15" s="2"/>
      <c r="H15" s="2"/>
      <c r="I15" s="2"/>
      <c r="J15" s="53"/>
      <c r="K15" s="2"/>
      <c r="L15" s="2"/>
      <c r="M15" s="2"/>
      <c r="N15" s="2"/>
      <c r="O15" s="2"/>
      <c r="P15" s="2"/>
      <c r="Q15" s="2"/>
      <c r="R15" s="2"/>
      <c r="S15" s="2"/>
      <c r="T15" s="53"/>
      <c r="U15" s="2"/>
      <c r="V15" s="2"/>
      <c r="W15" s="2"/>
      <c r="X15" s="2"/>
      <c r="Y15" s="2"/>
      <c r="Z15" s="2"/>
      <c r="AA15" s="2"/>
      <c r="AB15" s="2"/>
      <c r="AC15" s="2"/>
      <c r="AD15" s="53"/>
      <c r="AE15" s="2"/>
      <c r="AF15" s="2"/>
      <c r="AG15" s="2"/>
      <c r="AH15" s="2"/>
      <c r="AI15" s="2"/>
      <c r="AJ15" s="2"/>
      <c r="AK15" s="2"/>
      <c r="AL15" s="2"/>
      <c r="AM15" s="2"/>
      <c r="AN15" s="53"/>
      <c r="AO15" s="2"/>
      <c r="AP15" s="2"/>
      <c r="AQ15" s="2"/>
      <c r="AR15" s="2"/>
      <c r="AS15" s="2"/>
      <c r="AT15" s="2"/>
      <c r="AU15" s="2"/>
      <c r="AV15" s="2"/>
      <c r="AX15" s="53"/>
      <c r="AZ15" s="2"/>
      <c r="BA15" s="2"/>
      <c r="BB15" s="2"/>
      <c r="BC15" s="2"/>
      <c r="BD15" s="2"/>
      <c r="BF15" s="2"/>
      <c r="BH15" s="53"/>
      <c r="BJ15" s="2"/>
      <c r="BK15" s="2"/>
      <c r="BL15" s="2"/>
      <c r="BM15" s="2"/>
      <c r="BN15" s="2"/>
      <c r="BP15" s="2"/>
      <c r="BR15" s="53"/>
      <c r="BT15" s="2"/>
      <c r="BU15" s="2"/>
      <c r="BV15" s="2"/>
      <c r="BW15" s="2"/>
      <c r="BX15" s="2"/>
      <c r="BZ15" s="2"/>
      <c r="CB15" s="53"/>
      <c r="CD15" s="2"/>
      <c r="CE15" s="2"/>
      <c r="CF15" s="2"/>
      <c r="CG15" s="2"/>
      <c r="CH15" s="2"/>
      <c r="CJ15" s="2"/>
      <c r="CL15" s="53"/>
      <c r="CN15" s="2"/>
      <c r="CO15" s="2"/>
      <c r="CP15" s="2"/>
      <c r="CQ15" s="2"/>
      <c r="CR15" s="2"/>
      <c r="CT15" s="2"/>
      <c r="CV15" s="53"/>
      <c r="CX15" s="2"/>
      <c r="CY15" s="2"/>
      <c r="CZ15" s="2"/>
      <c r="DA15" s="2"/>
      <c r="DB15" s="2"/>
      <c r="DD15" s="2"/>
      <c r="DF15" s="53"/>
      <c r="DH15" s="2"/>
      <c r="DI15" s="2"/>
      <c r="DJ15" s="2"/>
      <c r="DK15" s="2"/>
      <c r="DL15" s="2"/>
      <c r="DN15" s="2"/>
      <c r="DP15" s="53"/>
      <c r="DR15" s="2"/>
      <c r="DS15" s="2"/>
      <c r="DT15" s="2"/>
      <c r="DU15" s="2"/>
      <c r="DV15" s="2"/>
      <c r="DX15" s="2"/>
      <c r="DZ15" s="53"/>
      <c r="EA15" s="2"/>
      <c r="EB15" s="2"/>
      <c r="EC15" s="2"/>
      <c r="ED15" s="2"/>
      <c r="EE15" s="2"/>
      <c r="EF15" s="2"/>
      <c r="EH15" s="2"/>
      <c r="EJ15" s="53"/>
      <c r="EK15" s="2"/>
    </row>
    <row r="16" spans="1:141" x14ac:dyDescent="0.2">
      <c r="A16" s="69" t="s">
        <v>9</v>
      </c>
      <c r="B16" s="18">
        <v>8821</v>
      </c>
      <c r="C16" s="2"/>
      <c r="D16" s="18">
        <v>13000</v>
      </c>
      <c r="E16" s="2"/>
      <c r="F16" s="18">
        <v>11678.597</v>
      </c>
      <c r="G16" s="2"/>
      <c r="H16" s="19">
        <v>16195.563999999998</v>
      </c>
      <c r="I16" s="2"/>
      <c r="J16" s="51">
        <f>B16+D16+F16+H16+0.5</f>
        <v>49695.661</v>
      </c>
      <c r="K16" s="2"/>
      <c r="L16" s="18">
        <v>12890.63004</v>
      </c>
      <c r="M16" s="2"/>
      <c r="N16" s="18">
        <v>12321</v>
      </c>
      <c r="O16" s="2"/>
      <c r="P16" s="18">
        <v>11143</v>
      </c>
      <c r="Q16" s="2"/>
      <c r="R16" s="18">
        <v>15414</v>
      </c>
      <c r="S16" s="2"/>
      <c r="T16" s="51">
        <f>L16+N16+P16+R16</f>
        <v>51768.630040000004</v>
      </c>
      <c r="U16" s="2"/>
      <c r="V16" s="18">
        <v>13026.887489999999</v>
      </c>
      <c r="W16" s="2"/>
      <c r="X16" s="18">
        <v>11231.708510000002</v>
      </c>
      <c r="Y16" s="2"/>
      <c r="Z16" s="18">
        <v>12087</v>
      </c>
      <c r="AA16" s="2"/>
      <c r="AB16" s="18">
        <v>17238</v>
      </c>
      <c r="AC16" s="2"/>
      <c r="AD16" s="51">
        <f>V16+X16+Z16+AB16</f>
        <v>53583.596000000005</v>
      </c>
      <c r="AE16" s="2"/>
      <c r="AF16" s="18">
        <v>13253</v>
      </c>
      <c r="AG16" s="2"/>
      <c r="AH16" s="18">
        <v>12486</v>
      </c>
      <c r="AI16" s="2"/>
      <c r="AJ16" s="18">
        <v>11566</v>
      </c>
      <c r="AK16" s="2"/>
      <c r="AL16" s="18">
        <v>14209</v>
      </c>
      <c r="AM16" s="2"/>
      <c r="AN16" s="51">
        <f>AF16+AH16+AJ16+AL16</f>
        <v>51514</v>
      </c>
      <c r="AO16" s="2"/>
      <c r="AP16" s="18">
        <v>12072</v>
      </c>
      <c r="AQ16" s="2"/>
      <c r="AR16" s="18">
        <v>9261</v>
      </c>
      <c r="AS16" s="2"/>
      <c r="AT16" s="18">
        <v>10754</v>
      </c>
      <c r="AU16" s="18"/>
      <c r="AV16" s="18">
        <v>12970</v>
      </c>
      <c r="AX16" s="51">
        <f>AP16+AR16+AT16+AV16</f>
        <v>45057</v>
      </c>
      <c r="AZ16" s="18">
        <v>12464</v>
      </c>
      <c r="BA16" s="2"/>
      <c r="BB16" s="18">
        <v>9668</v>
      </c>
      <c r="BC16" s="2"/>
      <c r="BD16" s="18">
        <v>8967</v>
      </c>
      <c r="BF16" s="18">
        <v>10299</v>
      </c>
      <c r="BH16" s="51">
        <f>AZ16+BB16+BD16+BF16</f>
        <v>41398</v>
      </c>
      <c r="BJ16" s="18">
        <v>11344</v>
      </c>
      <c r="BK16" s="2"/>
      <c r="BL16" s="18">
        <v>7443</v>
      </c>
      <c r="BM16" s="2"/>
      <c r="BN16" s="18">
        <v>7245</v>
      </c>
      <c r="BP16" s="18">
        <v>11762</v>
      </c>
      <c r="BR16" s="51">
        <f>BJ16+BL16+BN16+BP16</f>
        <v>37794</v>
      </c>
      <c r="BT16" s="18">
        <v>12081</v>
      </c>
      <c r="BU16" s="2"/>
      <c r="BV16" s="18">
        <v>7892</v>
      </c>
      <c r="BW16" s="2"/>
      <c r="BX16" s="18">
        <v>6779</v>
      </c>
      <c r="BZ16" s="18">
        <v>9625</v>
      </c>
      <c r="CB16" s="51">
        <f>BT16+BV16+BX16+BZ16</f>
        <v>36377</v>
      </c>
      <c r="CD16" s="18">
        <v>9925</v>
      </c>
      <c r="CE16" s="2"/>
      <c r="CF16" s="18">
        <v>6955</v>
      </c>
      <c r="CG16" s="2"/>
      <c r="CH16" s="18">
        <v>7376</v>
      </c>
      <c r="CJ16" s="18">
        <v>9973</v>
      </c>
      <c r="CL16" s="51">
        <f>CD16+CF16+CH16+CJ16</f>
        <v>34229</v>
      </c>
      <c r="CN16" s="18">
        <v>9767</v>
      </c>
      <c r="CO16" s="2"/>
      <c r="CP16" s="18">
        <v>7650</v>
      </c>
      <c r="CQ16" s="2"/>
      <c r="CR16" s="18">
        <v>7969</v>
      </c>
      <c r="CT16" s="18">
        <v>7897</v>
      </c>
      <c r="CV16" s="51">
        <f>CN16+CP16+CR16+CT16</f>
        <v>33283</v>
      </c>
      <c r="CX16" s="18">
        <v>7958</v>
      </c>
      <c r="CY16" s="2"/>
      <c r="CZ16" s="18">
        <v>6251</v>
      </c>
      <c r="DA16" s="2"/>
      <c r="DB16" s="18">
        <v>6663</v>
      </c>
      <c r="DD16" s="18">
        <v>7193</v>
      </c>
      <c r="DF16" s="51">
        <f>CX16+CZ16+DB16+DD16</f>
        <v>28065</v>
      </c>
      <c r="DH16" s="18">
        <v>8425</v>
      </c>
      <c r="DI16" s="2"/>
      <c r="DJ16" s="18">
        <v>6755</v>
      </c>
      <c r="DK16" s="2"/>
      <c r="DL16" s="18">
        <v>6975</v>
      </c>
      <c r="DN16" s="18">
        <v>8420</v>
      </c>
      <c r="DP16" s="51">
        <f>DH16+DJ16+DL16+DN16</f>
        <v>30575</v>
      </c>
      <c r="DR16" s="18">
        <v>9146</v>
      </c>
      <c r="DS16" s="2"/>
      <c r="DT16" s="18">
        <v>7525</v>
      </c>
      <c r="DU16" s="2"/>
      <c r="DV16" s="18">
        <v>7250</v>
      </c>
      <c r="DX16" s="18">
        <v>10051</v>
      </c>
      <c r="DZ16" s="51">
        <f>DR16+DT16+DV16+DX16</f>
        <v>33972</v>
      </c>
      <c r="EA16" s="2"/>
      <c r="EB16" s="18">
        <v>10613</v>
      </c>
      <c r="EC16" s="2"/>
      <c r="ED16" s="18">
        <v>8022</v>
      </c>
      <c r="EE16" s="2"/>
      <c r="EF16" s="18">
        <v>8697</v>
      </c>
      <c r="EH16" s="18"/>
      <c r="EJ16" s="51">
        <f>EB16+ED16+EF16+EH16</f>
        <v>27332</v>
      </c>
      <c r="EK16" s="2"/>
    </row>
    <row r="17" spans="1:141" ht="15.75" x14ac:dyDescent="0.2">
      <c r="A17" s="69" t="s">
        <v>13</v>
      </c>
      <c r="B17" s="20">
        <v>1425</v>
      </c>
      <c r="C17" s="2"/>
      <c r="D17" s="20">
        <v>1507</v>
      </c>
      <c r="E17" s="2"/>
      <c r="F17" s="20">
        <v>1555.673</v>
      </c>
      <c r="G17" s="2"/>
      <c r="H17" s="21">
        <v>1405.3270000000002</v>
      </c>
      <c r="I17" s="2"/>
      <c r="J17" s="52">
        <f>B17+D17+F17+H17</f>
        <v>5893</v>
      </c>
      <c r="K17" s="2"/>
      <c r="L17" s="20">
        <v>1484.0533399999999</v>
      </c>
      <c r="M17" s="2"/>
      <c r="N17" s="20">
        <v>1515</v>
      </c>
      <c r="O17" s="2"/>
      <c r="P17" s="20">
        <v>1614</v>
      </c>
      <c r="Q17" s="2"/>
      <c r="R17" s="20">
        <v>1384</v>
      </c>
      <c r="S17" s="2"/>
      <c r="T17" s="52">
        <f>L17+N17+P17+R17</f>
        <v>5997.0533400000004</v>
      </c>
      <c r="U17" s="2"/>
      <c r="V17" s="20">
        <v>1463.1120100000001</v>
      </c>
      <c r="W17" s="2"/>
      <c r="X17" s="20">
        <v>1483.7179899999999</v>
      </c>
      <c r="Y17" s="2"/>
      <c r="Z17" s="20">
        <v>1537</v>
      </c>
      <c r="AA17" s="2"/>
      <c r="AB17" s="20">
        <v>1400</v>
      </c>
      <c r="AC17" s="2"/>
      <c r="AD17" s="52">
        <f>V17+X17+Z17+AB17</f>
        <v>5883.83</v>
      </c>
      <c r="AE17" s="2"/>
      <c r="AF17" s="20">
        <v>1433</v>
      </c>
      <c r="AG17" s="2"/>
      <c r="AH17" s="20">
        <v>1464</v>
      </c>
      <c r="AI17" s="2"/>
      <c r="AJ17" s="20">
        <v>1516</v>
      </c>
      <c r="AK17" s="2"/>
      <c r="AL17" s="20">
        <v>1379</v>
      </c>
      <c r="AM17" s="2"/>
      <c r="AN17" s="52">
        <f>AF17+AH17+AJ17+AL17</f>
        <v>5792</v>
      </c>
      <c r="AO17" s="2"/>
      <c r="AP17" s="20">
        <v>1491</v>
      </c>
      <c r="AQ17" s="2"/>
      <c r="AR17" s="20">
        <v>1562</v>
      </c>
      <c r="AS17" s="2"/>
      <c r="AT17" s="20">
        <v>1407</v>
      </c>
      <c r="AU17" s="42"/>
      <c r="AV17" s="20">
        <v>1411</v>
      </c>
      <c r="AX17" s="52">
        <f>AP17+AR17+AT17+AV17</f>
        <v>5871</v>
      </c>
      <c r="AZ17" s="20">
        <v>1425</v>
      </c>
      <c r="BA17" s="2"/>
      <c r="BB17" s="20">
        <v>1357</v>
      </c>
      <c r="BC17" s="2"/>
      <c r="BD17" s="20">
        <v>1411</v>
      </c>
      <c r="BF17" s="20">
        <v>1332</v>
      </c>
      <c r="BH17" s="52">
        <f>AZ17+BB17+BD17+BF17</f>
        <v>5525</v>
      </c>
      <c r="BJ17" s="20">
        <v>1411</v>
      </c>
      <c r="BK17" s="2"/>
      <c r="BL17" s="20">
        <v>1383</v>
      </c>
      <c r="BM17" s="2"/>
      <c r="BN17" s="20">
        <v>1307</v>
      </c>
      <c r="BP17" s="20">
        <v>1121</v>
      </c>
      <c r="BR17" s="52">
        <f>BJ17+BL17+BN17+BP17</f>
        <v>5222</v>
      </c>
      <c r="BT17" s="20">
        <v>1211</v>
      </c>
      <c r="BU17" s="2"/>
      <c r="BV17" s="20">
        <v>1245</v>
      </c>
      <c r="BW17" s="2"/>
      <c r="BX17" s="20">
        <v>1281</v>
      </c>
      <c r="BZ17" s="20">
        <v>1117</v>
      </c>
      <c r="CB17" s="52">
        <f>BT17+BV17+BX17+BZ17</f>
        <v>4854</v>
      </c>
      <c r="CD17" s="20">
        <v>1338</v>
      </c>
      <c r="CE17" s="2"/>
      <c r="CF17" s="20">
        <v>1307</v>
      </c>
      <c r="CG17" s="2"/>
      <c r="CH17" s="20">
        <f>5086-3900</f>
        <v>1186</v>
      </c>
      <c r="CI17" s="27" t="s">
        <v>26</v>
      </c>
      <c r="CJ17" s="20">
        <v>1053</v>
      </c>
      <c r="CL17" s="52">
        <f>CD17+CF17+CH17+CJ17</f>
        <v>4884</v>
      </c>
      <c r="CM17" s="27" t="s">
        <v>26</v>
      </c>
      <c r="CN17" s="20">
        <v>1340</v>
      </c>
      <c r="CO17" s="2"/>
      <c r="CP17" s="20">
        <v>1225</v>
      </c>
      <c r="CQ17" s="2"/>
      <c r="CR17" s="20">
        <v>1176</v>
      </c>
      <c r="CS17" s="27"/>
      <c r="CT17" s="20">
        <v>1197</v>
      </c>
      <c r="CV17" s="52">
        <f>CN17+CP17+CR17+CT17</f>
        <v>4938</v>
      </c>
      <c r="CX17" s="20">
        <v>1271</v>
      </c>
      <c r="CY17" s="2"/>
      <c r="CZ17" s="20">
        <v>1198</v>
      </c>
      <c r="DA17" s="2"/>
      <c r="DB17" s="20">
        <v>1160</v>
      </c>
      <c r="DC17" s="27"/>
      <c r="DD17" s="20">
        <v>1146</v>
      </c>
      <c r="DF17" s="52">
        <f>CX17+CZ17+DB17+DD17</f>
        <v>4775</v>
      </c>
      <c r="DH17" s="20">
        <v>1276</v>
      </c>
      <c r="DI17" s="2"/>
      <c r="DJ17" s="20">
        <v>1208</v>
      </c>
      <c r="DK17" s="2"/>
      <c r="DL17" s="20">
        <v>1222</v>
      </c>
      <c r="DM17" s="27"/>
      <c r="DN17" s="20">
        <v>1151</v>
      </c>
      <c r="DP17" s="52">
        <f>DH17+DJ17+DL17+DN17</f>
        <v>4857</v>
      </c>
      <c r="DR17" s="20">
        <v>1312</v>
      </c>
      <c r="DS17" s="2"/>
      <c r="DT17" s="20">
        <v>1245</v>
      </c>
      <c r="DU17" s="2"/>
      <c r="DV17" s="20">
        <v>1250</v>
      </c>
      <c r="DW17" s="27"/>
      <c r="DX17" s="20">
        <v>1204</v>
      </c>
      <c r="DZ17" s="52">
        <f>DR17+DT17+DV17+DX17</f>
        <v>5011</v>
      </c>
      <c r="EA17" s="2"/>
      <c r="EB17" s="20">
        <v>1374</v>
      </c>
      <c r="EC17" s="2"/>
      <c r="ED17" s="20">
        <v>1360</v>
      </c>
      <c r="EE17" s="2"/>
      <c r="EF17" s="20">
        <v>1333</v>
      </c>
      <c r="EG17" s="27"/>
      <c r="EH17" s="20"/>
      <c r="EJ17" s="52">
        <f>EB17+ED17+EF17+EH17</f>
        <v>4067</v>
      </c>
      <c r="EK17" s="2"/>
    </row>
    <row r="18" spans="1:141" x14ac:dyDescent="0.2">
      <c r="A18" s="2"/>
      <c r="B18" s="2"/>
      <c r="C18" s="2"/>
      <c r="D18" s="2"/>
      <c r="E18" s="2"/>
      <c r="F18" s="2"/>
      <c r="G18" s="2"/>
      <c r="H18" s="2"/>
      <c r="I18" s="2"/>
      <c r="J18" s="53"/>
      <c r="K18" s="2"/>
      <c r="L18" s="2"/>
      <c r="M18" s="2"/>
      <c r="N18" s="2"/>
      <c r="O18" s="2"/>
      <c r="P18" s="2"/>
      <c r="Q18" s="2"/>
      <c r="R18" s="2"/>
      <c r="S18" s="2"/>
      <c r="T18" s="53"/>
      <c r="U18" s="2"/>
      <c r="V18" s="2"/>
      <c r="W18" s="2"/>
      <c r="X18" s="2"/>
      <c r="Y18" s="2"/>
      <c r="Z18" s="2"/>
      <c r="AA18" s="2"/>
      <c r="AB18" s="2"/>
      <c r="AC18" s="2"/>
      <c r="AD18" s="53"/>
      <c r="AE18" s="2"/>
      <c r="AF18" s="2"/>
      <c r="AG18" s="2"/>
      <c r="AH18" s="2"/>
      <c r="AI18" s="2"/>
      <c r="AJ18" s="2"/>
      <c r="AK18" s="2"/>
      <c r="AL18" s="2"/>
      <c r="AM18" s="2"/>
      <c r="AN18" s="53"/>
      <c r="AO18" s="2"/>
      <c r="AP18" s="2"/>
      <c r="AQ18" s="2"/>
      <c r="AR18" s="2"/>
      <c r="AS18" s="2"/>
      <c r="AT18" s="2"/>
      <c r="AU18" s="2"/>
      <c r="AV18" s="2"/>
      <c r="AX18" s="53"/>
      <c r="AZ18" s="2"/>
      <c r="BA18" s="2"/>
      <c r="BB18" s="2"/>
      <c r="BC18" s="2"/>
      <c r="BD18" s="2"/>
      <c r="BF18" s="2"/>
      <c r="BH18" s="53"/>
      <c r="BJ18" s="2"/>
      <c r="BK18" s="2"/>
      <c r="BL18" s="2"/>
      <c r="BM18" s="2"/>
      <c r="BN18" s="2"/>
      <c r="BP18" s="2"/>
      <c r="BR18" s="53"/>
      <c r="BT18" s="2"/>
      <c r="BU18" s="2"/>
      <c r="BV18" s="2"/>
      <c r="BW18" s="2"/>
      <c r="BX18" s="2"/>
      <c r="BZ18" s="2"/>
      <c r="CB18" s="53"/>
      <c r="CD18" s="2"/>
      <c r="CE18" s="2"/>
      <c r="CF18" s="2"/>
      <c r="CG18" s="2"/>
      <c r="CH18" s="2"/>
      <c r="CJ18" s="2"/>
      <c r="CL18" s="53"/>
      <c r="CN18" s="2"/>
      <c r="CO18" s="2"/>
      <c r="CP18" s="2"/>
      <c r="CQ18" s="2"/>
      <c r="CR18" s="2"/>
      <c r="CT18" s="2"/>
      <c r="CV18" s="53"/>
      <c r="CX18" s="2"/>
      <c r="CY18" s="2"/>
      <c r="CZ18" s="2"/>
      <c r="DA18" s="2"/>
      <c r="DB18" s="2"/>
      <c r="DD18" s="2"/>
      <c r="DF18" s="53"/>
      <c r="DH18" s="2"/>
      <c r="DI18" s="2"/>
      <c r="DJ18" s="2"/>
      <c r="DK18" s="2"/>
      <c r="DL18" s="2"/>
      <c r="DN18" s="2"/>
      <c r="DP18" s="53"/>
      <c r="DR18" s="2"/>
      <c r="DS18" s="2"/>
      <c r="DT18" s="2"/>
      <c r="DU18" s="2"/>
      <c r="DV18" s="2"/>
      <c r="DX18" s="2"/>
      <c r="DZ18" s="53"/>
      <c r="EA18" s="2"/>
      <c r="EB18" s="2"/>
      <c r="EC18" s="2"/>
      <c r="ED18" s="2"/>
      <c r="EE18" s="2"/>
      <c r="EF18" s="2"/>
      <c r="EH18" s="2"/>
      <c r="EJ18" s="53"/>
      <c r="EK18" s="2"/>
    </row>
    <row r="19" spans="1:141" x14ac:dyDescent="0.2">
      <c r="A19" s="6" t="s">
        <v>14</v>
      </c>
      <c r="B19" s="22">
        <f>B13+B16+B17</f>
        <v>344697</v>
      </c>
      <c r="C19" s="22"/>
      <c r="D19" s="22">
        <f>D13+D16+D17</f>
        <v>351421</v>
      </c>
      <c r="E19" s="22"/>
      <c r="F19" s="22">
        <f>F13+F16+F17</f>
        <v>350419.60700000002</v>
      </c>
      <c r="G19" s="22"/>
      <c r="H19" s="22">
        <f>H13+H16+H17</f>
        <v>370628.7049999999</v>
      </c>
      <c r="I19" s="22"/>
      <c r="J19" s="54">
        <f>J13+J16+J17</f>
        <v>1417166.8120000002</v>
      </c>
      <c r="K19" s="2"/>
      <c r="L19" s="22">
        <f>L13+L16+L17</f>
        <v>392526.20757000003</v>
      </c>
      <c r="M19" s="22"/>
      <c r="N19" s="22">
        <f>N13+N16+N17</f>
        <v>392245</v>
      </c>
      <c r="O19" s="22"/>
      <c r="P19" s="22">
        <f>P13+P16+P17</f>
        <v>404968</v>
      </c>
      <c r="Q19" s="22"/>
      <c r="R19" s="22">
        <f>R13+R16+R17</f>
        <v>411875</v>
      </c>
      <c r="S19" s="22"/>
      <c r="T19" s="54">
        <f>T13+T16+T17</f>
        <v>1601613.8075700002</v>
      </c>
      <c r="U19" s="2"/>
      <c r="V19" s="22">
        <f>V13+V16+V17</f>
        <v>439702.34497999999</v>
      </c>
      <c r="W19" s="22"/>
      <c r="X19" s="22">
        <f>X13+X16+X17</f>
        <v>442758.75357000006</v>
      </c>
      <c r="Y19" s="22"/>
      <c r="Z19" s="22">
        <f>Z13+Z16+Z17</f>
        <v>447074</v>
      </c>
      <c r="AA19" s="22"/>
      <c r="AB19" s="22">
        <f>AB13+AB16+AB17</f>
        <v>478993</v>
      </c>
      <c r="AC19" s="22"/>
      <c r="AD19" s="54">
        <f>AD13+AD16+AD17</f>
        <v>1808527.59855</v>
      </c>
      <c r="AE19" s="2"/>
      <c r="AF19" s="22">
        <f>AF13+AF16+AF17</f>
        <v>498610</v>
      </c>
      <c r="AG19" s="22"/>
      <c r="AH19" s="22">
        <f>AH13+AH16+AH17</f>
        <v>494660</v>
      </c>
      <c r="AI19" s="22"/>
      <c r="AJ19" s="22">
        <f>AJ13+AJ16+AJ17</f>
        <v>494561</v>
      </c>
      <c r="AK19" s="22"/>
      <c r="AL19" s="22">
        <f>AL13+AL16+AL17</f>
        <v>522213</v>
      </c>
      <c r="AM19" s="22"/>
      <c r="AN19" s="54">
        <f>AN13+AN16+AN17</f>
        <v>2010044</v>
      </c>
      <c r="AO19" s="2"/>
      <c r="AP19" s="22">
        <f>AP13+AP16+AP17</f>
        <v>566406</v>
      </c>
      <c r="AQ19" s="22"/>
      <c r="AR19" s="22">
        <f>AR13+AR16+AR17</f>
        <v>553260</v>
      </c>
      <c r="AS19" s="22"/>
      <c r="AT19" s="22">
        <f>AT13+AT16+AT17</f>
        <v>549825</v>
      </c>
      <c r="AU19" s="22"/>
      <c r="AV19" s="22">
        <f>AV13+AV16+AV17</f>
        <v>558659</v>
      </c>
      <c r="AW19" s="22"/>
      <c r="AX19" s="54">
        <f>AX13+AX16+AX17</f>
        <v>2228150</v>
      </c>
      <c r="AZ19" s="22">
        <f>AZ13+AZ16+AZ17</f>
        <v>585380</v>
      </c>
      <c r="BA19" s="22"/>
      <c r="BB19" s="22">
        <f>BB13+BB16+BB17</f>
        <v>572985</v>
      </c>
      <c r="BC19" s="22"/>
      <c r="BD19" s="22">
        <f>BD13+BD16+BD17</f>
        <v>569607</v>
      </c>
      <c r="BF19" s="22">
        <f>BF13+BF16+BF17</f>
        <v>585283</v>
      </c>
      <c r="BH19" s="54">
        <f>BH13+BH16+BH17</f>
        <v>2313255</v>
      </c>
      <c r="BJ19" s="22">
        <f>BJ13+BJ16+BJ17</f>
        <v>601809</v>
      </c>
      <c r="BK19" s="22"/>
      <c r="BL19" s="22">
        <f>BL13+BL16+BL17</f>
        <v>580578</v>
      </c>
      <c r="BM19" s="22"/>
      <c r="BN19" s="22">
        <f>BN13+BN16+BN17</f>
        <v>573507</v>
      </c>
      <c r="BP19" s="22">
        <f>BP13+BP16+BP17</f>
        <v>583213</v>
      </c>
      <c r="BR19" s="54">
        <f>BR13+BR16+BR17</f>
        <v>2339107</v>
      </c>
      <c r="BT19" s="22">
        <f>BT13+BT16+BT17</f>
        <v>606975</v>
      </c>
      <c r="BU19" s="22"/>
      <c r="BV19" s="22">
        <f>BV13+BV16+BV17</f>
        <v>583623</v>
      </c>
      <c r="BW19" s="22"/>
      <c r="BX19" s="22">
        <f>BX13+BX16+BX17</f>
        <v>587184</v>
      </c>
      <c r="BZ19" s="22">
        <f>BZ13+BZ16+BZ17</f>
        <v>656126</v>
      </c>
      <c r="CB19" s="54">
        <f>CB13+CB16+CB17</f>
        <v>2433908</v>
      </c>
      <c r="CD19" s="22">
        <f>CD13+CD16+CD17</f>
        <v>755299</v>
      </c>
      <c r="CE19" s="22"/>
      <c r="CF19" s="22">
        <f>CF13+CF16+CF17</f>
        <v>724158</v>
      </c>
      <c r="CG19" s="22"/>
      <c r="CH19" s="22">
        <f>CH13+CH16+CH17</f>
        <v>705801</v>
      </c>
      <c r="CJ19" s="22">
        <f>CJ13+CJ16+CJ17</f>
        <v>716963</v>
      </c>
      <c r="CL19" s="54">
        <f>CL13+CL16+CL17</f>
        <v>2902221</v>
      </c>
      <c r="CN19" s="22">
        <f>CN13+CN16+CN17</f>
        <v>756636</v>
      </c>
      <c r="CO19" s="22"/>
      <c r="CP19" s="22">
        <f>CP13+CP16+CP17</f>
        <v>719031</v>
      </c>
      <c r="CQ19" s="22"/>
      <c r="CR19" s="22">
        <f>CR13+CR16+CR17</f>
        <v>708755</v>
      </c>
      <c r="CT19" s="22">
        <f>CT13+CT16+CT17</f>
        <v>699750</v>
      </c>
      <c r="CV19" s="54">
        <f>CV13+CV16+CV17</f>
        <v>2884172</v>
      </c>
      <c r="CX19" s="22">
        <f>CX13+CX16+CX17</f>
        <v>728183</v>
      </c>
      <c r="CY19" s="22"/>
      <c r="CZ19" s="22">
        <f>CZ13+CZ16+CZ17</f>
        <v>679609</v>
      </c>
      <c r="DA19" s="22"/>
      <c r="DB19" s="22">
        <f>DB13+DB16+DB17</f>
        <v>671251</v>
      </c>
      <c r="DD19" s="22">
        <f>DD13+DD16+DD17</f>
        <v>672913</v>
      </c>
      <c r="DF19" s="54">
        <f>DF13+DF16+DF17</f>
        <v>2751956</v>
      </c>
      <c r="DH19" s="22">
        <f>DH13+DH16+DH17</f>
        <v>718419</v>
      </c>
      <c r="DI19" s="22"/>
      <c r="DJ19" s="22">
        <f>DJ13+DJ16+DJ17</f>
        <v>671543</v>
      </c>
      <c r="DK19" s="22"/>
      <c r="DL19" s="22">
        <f>DL13+DL16+DL17</f>
        <v>664580</v>
      </c>
      <c r="DN19" s="22">
        <f>DN13+DN16+DN17</f>
        <v>677090</v>
      </c>
      <c r="DP19" s="54">
        <f>DP13+DP16+DP17</f>
        <v>2731632</v>
      </c>
      <c r="DR19" s="22">
        <f>DR13+DR16+DR17</f>
        <v>742178</v>
      </c>
      <c r="DS19" s="22"/>
      <c r="DT19" s="22">
        <f>DT13+DT16+DT17</f>
        <v>698253</v>
      </c>
      <c r="DU19" s="22"/>
      <c r="DV19" s="22">
        <f>DV13+DV16+DV17</f>
        <v>704271</v>
      </c>
      <c r="DX19" s="22">
        <f>DX13+DX16+DX17</f>
        <v>737482</v>
      </c>
      <c r="DZ19" s="54">
        <f>DZ13+DZ16+DZ17</f>
        <v>2882184</v>
      </c>
      <c r="EA19" s="22"/>
      <c r="EB19" s="22">
        <f>EB13+EB16+EB17</f>
        <v>835254</v>
      </c>
      <c r="EC19" s="22"/>
      <c r="ED19" s="22">
        <f>ED13+ED16+ED17</f>
        <v>749698</v>
      </c>
      <c r="EE19" s="22"/>
      <c r="EF19" s="22">
        <f>EF13+EF16+EF17</f>
        <v>739314</v>
      </c>
      <c r="EH19" s="22">
        <f>EH13+EH16+EH17</f>
        <v>0</v>
      </c>
      <c r="EJ19" s="54">
        <f>EJ13+EJ16+EJ17</f>
        <v>2324266</v>
      </c>
      <c r="EK19" s="22"/>
    </row>
    <row r="20" spans="1:141" x14ac:dyDescent="0.2">
      <c r="A20" s="2"/>
      <c r="B20" s="2"/>
      <c r="C20" s="2"/>
      <c r="D20" s="2"/>
      <c r="E20" s="2"/>
      <c r="F20" s="2"/>
      <c r="G20" s="2"/>
      <c r="H20" s="2"/>
      <c r="I20" s="2"/>
      <c r="J20" s="55"/>
      <c r="K20" s="2"/>
      <c r="L20" s="2"/>
      <c r="M20" s="2"/>
      <c r="N20" s="2"/>
      <c r="O20" s="2"/>
      <c r="P20" s="2"/>
      <c r="Q20" s="2"/>
      <c r="R20" s="2"/>
      <c r="S20" s="2"/>
      <c r="T20" s="55"/>
      <c r="U20" s="2"/>
      <c r="V20" s="2"/>
      <c r="W20" s="2"/>
      <c r="X20" s="2"/>
      <c r="Y20" s="2"/>
      <c r="Z20" s="26"/>
      <c r="AA20" s="2"/>
      <c r="AB20" s="2"/>
      <c r="AC20" s="2"/>
      <c r="AD20" s="55"/>
      <c r="AE20" s="2"/>
      <c r="AF20" s="17"/>
      <c r="AG20" s="2"/>
      <c r="AH20" s="2"/>
      <c r="AI20" s="2"/>
      <c r="AJ20" s="26"/>
      <c r="AK20" s="2"/>
      <c r="AL20" s="26"/>
      <c r="AM20" s="2"/>
      <c r="AN20" s="55"/>
      <c r="AO20" s="2"/>
      <c r="AP20" s="17"/>
      <c r="AQ20" s="2"/>
      <c r="AR20" s="2"/>
      <c r="AS20" s="2"/>
      <c r="AT20" s="26"/>
      <c r="AU20" s="26"/>
      <c r="AV20" s="26"/>
      <c r="AX20" s="55"/>
      <c r="AZ20" s="17"/>
      <c r="BA20" s="2"/>
      <c r="BB20" s="2"/>
      <c r="BC20" s="2"/>
      <c r="BD20" s="2"/>
      <c r="BF20" s="2"/>
      <c r="BH20" s="55"/>
      <c r="BJ20" s="17"/>
      <c r="BK20" s="2"/>
      <c r="BL20" s="2"/>
      <c r="BM20" s="2"/>
      <c r="BN20" s="2"/>
      <c r="BP20" s="2"/>
      <c r="BR20" s="55"/>
      <c r="BT20" s="17"/>
      <c r="BU20" s="2"/>
      <c r="BV20" s="2"/>
      <c r="BW20" s="2"/>
      <c r="BX20" s="2"/>
      <c r="BZ20" s="2"/>
      <c r="CB20" s="55"/>
      <c r="CD20" s="17"/>
      <c r="CE20" s="2"/>
      <c r="CF20" s="2"/>
      <c r="CG20" s="2"/>
      <c r="CH20" s="2"/>
      <c r="CJ20" s="2"/>
      <c r="CL20" s="55"/>
      <c r="CN20" s="17"/>
      <c r="CO20" s="2"/>
      <c r="CP20" s="2"/>
      <c r="CQ20" s="2"/>
      <c r="CR20" s="2"/>
      <c r="CT20" s="2"/>
      <c r="CV20" s="55"/>
      <c r="CX20" s="17"/>
      <c r="CY20" s="2"/>
      <c r="CZ20" s="2"/>
      <c r="DA20" s="2"/>
      <c r="DB20" s="2"/>
      <c r="DD20" s="2"/>
      <c r="DF20" s="55"/>
      <c r="DH20" s="17"/>
      <c r="DI20" s="2"/>
      <c r="DJ20" s="2"/>
      <c r="DK20" s="2"/>
      <c r="DL20" s="2"/>
      <c r="DN20" s="2"/>
      <c r="DP20" s="55"/>
      <c r="DR20" s="17"/>
      <c r="DS20" s="2"/>
      <c r="DT20" s="2"/>
      <c r="DU20" s="2"/>
      <c r="DV20" s="2"/>
      <c r="DX20" s="2"/>
      <c r="DZ20" s="55"/>
      <c r="EA20" s="2"/>
      <c r="EB20" s="17"/>
      <c r="EC20" s="2"/>
      <c r="ED20" s="2"/>
      <c r="EE20" s="2"/>
      <c r="EF20" s="2"/>
      <c r="EH20" s="2"/>
      <c r="EJ20" s="55"/>
      <c r="EK20" s="2"/>
    </row>
    <row r="21" spans="1:141" ht="13.5" x14ac:dyDescent="0.25">
      <c r="A21" s="12" t="s">
        <v>15</v>
      </c>
      <c r="B21" s="2"/>
      <c r="C21" s="2"/>
      <c r="D21" s="17"/>
      <c r="E21" s="2"/>
      <c r="F21" s="17"/>
      <c r="G21" s="2"/>
      <c r="H21" s="17"/>
      <c r="I21" s="2"/>
      <c r="J21" s="56"/>
      <c r="K21" s="2"/>
      <c r="L21" s="14"/>
      <c r="M21" s="2"/>
      <c r="N21" s="17"/>
      <c r="O21" s="2"/>
      <c r="P21" s="17"/>
      <c r="Q21" s="2"/>
      <c r="R21" s="17"/>
      <c r="S21" s="2"/>
      <c r="T21" s="56"/>
      <c r="U21" s="2"/>
      <c r="V21" s="17"/>
      <c r="W21" s="2"/>
      <c r="X21" s="13"/>
      <c r="Y21" s="2"/>
      <c r="Z21" s="24"/>
      <c r="AA21" s="2"/>
      <c r="AB21" s="17"/>
      <c r="AC21" s="2"/>
      <c r="AD21" s="56"/>
      <c r="AE21" s="2"/>
      <c r="AF21" s="17"/>
      <c r="AG21" s="2"/>
      <c r="AH21" s="13"/>
      <c r="AI21" s="2"/>
      <c r="AJ21" s="24"/>
      <c r="AK21" s="2"/>
      <c r="AL21" s="24"/>
      <c r="AM21" s="2"/>
      <c r="AN21" s="56"/>
      <c r="AO21" s="2"/>
      <c r="AP21" s="17"/>
      <c r="AQ21" s="2"/>
      <c r="AR21" s="13"/>
      <c r="AS21" s="2"/>
      <c r="AT21" s="24"/>
      <c r="AU21" s="24"/>
      <c r="AV21" s="24"/>
      <c r="AX21" s="56"/>
      <c r="AZ21" s="17"/>
      <c r="BA21" s="2"/>
      <c r="BB21" s="13"/>
      <c r="BC21" s="2"/>
      <c r="BD21" s="13"/>
      <c r="BF21" s="13"/>
      <c r="BH21" s="56"/>
      <c r="BJ21" s="17"/>
      <c r="BK21" s="2"/>
      <c r="BL21" s="13"/>
      <c r="BM21" s="2"/>
      <c r="BN21" s="13"/>
      <c r="BP21" s="13"/>
      <c r="BR21" s="56"/>
      <c r="BT21" s="17"/>
      <c r="BU21" s="2"/>
      <c r="BV21" s="13"/>
      <c r="BW21" s="2"/>
      <c r="BX21" s="13"/>
      <c r="BZ21" s="13"/>
      <c r="CB21" s="56"/>
      <c r="CD21" s="17"/>
      <c r="CE21" s="2"/>
      <c r="CF21" s="13"/>
      <c r="CG21" s="2"/>
      <c r="CH21" s="13"/>
      <c r="CJ21" s="13"/>
      <c r="CL21" s="56"/>
      <c r="CN21" s="17"/>
      <c r="CO21" s="2"/>
      <c r="CP21" s="13"/>
      <c r="CQ21" s="2"/>
      <c r="CR21" s="13"/>
      <c r="CT21" s="13"/>
      <c r="CV21" s="56"/>
      <c r="CX21" s="17"/>
      <c r="CY21" s="2"/>
      <c r="CZ21" s="13"/>
      <c r="DA21" s="2"/>
      <c r="DB21" s="13"/>
      <c r="DD21" s="13"/>
      <c r="DF21" s="56"/>
      <c r="DH21" s="17"/>
      <c r="DI21" s="2"/>
      <c r="DJ21" s="13"/>
      <c r="DK21" s="2"/>
      <c r="DL21" s="13"/>
      <c r="DN21" s="13"/>
      <c r="DP21" s="56"/>
      <c r="DR21" s="17"/>
      <c r="DS21" s="2"/>
      <c r="DT21" s="13"/>
      <c r="DU21" s="2"/>
      <c r="DV21" s="13"/>
      <c r="DX21" s="13"/>
      <c r="DZ21" s="56"/>
      <c r="EA21" s="2"/>
      <c r="EB21" s="17"/>
      <c r="EC21" s="2"/>
      <c r="ED21" s="13"/>
      <c r="EE21" s="2"/>
      <c r="EF21" s="13"/>
      <c r="EH21" s="13"/>
      <c r="EJ21" s="56"/>
      <c r="EK21" s="2"/>
    </row>
    <row r="22" spans="1:141" x14ac:dyDescent="0.2">
      <c r="A22" s="69" t="s">
        <v>16</v>
      </c>
      <c r="B22" s="2"/>
      <c r="C22" s="2"/>
      <c r="D22" s="2"/>
      <c r="E22" s="2"/>
      <c r="F22" s="2"/>
      <c r="G22" s="2"/>
      <c r="H22" s="2"/>
      <c r="I22" s="2"/>
      <c r="J22" s="51"/>
      <c r="K22" s="2"/>
      <c r="L22" s="17"/>
      <c r="M22" s="2"/>
      <c r="N22" s="2"/>
      <c r="O22" s="2"/>
      <c r="P22" s="2"/>
      <c r="Q22" s="2"/>
      <c r="R22" s="2"/>
      <c r="S22" s="2"/>
      <c r="T22" s="51"/>
      <c r="U22" s="2"/>
      <c r="V22" s="17"/>
      <c r="W22" s="2"/>
      <c r="X22" s="2"/>
      <c r="Y22" s="2"/>
      <c r="Z22" s="19"/>
      <c r="AA22" s="2"/>
      <c r="AB22" s="2"/>
      <c r="AC22" s="2"/>
      <c r="AD22" s="51"/>
      <c r="AE22" s="2"/>
      <c r="AF22" s="17"/>
      <c r="AG22" s="2"/>
      <c r="AH22" s="2"/>
      <c r="AI22" s="2"/>
      <c r="AJ22" s="19"/>
      <c r="AK22" s="2"/>
      <c r="AL22" s="19"/>
      <c r="AM22" s="2"/>
      <c r="AN22" s="51"/>
      <c r="AO22" s="2"/>
      <c r="AP22" s="17"/>
      <c r="AQ22" s="2"/>
      <c r="AR22" s="2"/>
      <c r="AS22" s="2"/>
      <c r="AT22" s="19"/>
      <c r="AU22" s="19"/>
      <c r="AV22" s="19"/>
      <c r="AX22" s="51"/>
      <c r="AZ22" s="17"/>
      <c r="BA22" s="2"/>
      <c r="BB22" s="2"/>
      <c r="BC22" s="2"/>
      <c r="BD22" s="2"/>
      <c r="BF22" s="2"/>
      <c r="BH22" s="51"/>
      <c r="BJ22" s="17"/>
      <c r="BK22" s="2"/>
      <c r="BL22" s="2"/>
      <c r="BM22" s="2"/>
      <c r="BN22" s="2"/>
      <c r="BP22" s="2"/>
      <c r="BR22" s="51"/>
      <c r="BT22" s="17"/>
      <c r="BU22" s="2"/>
      <c r="BV22" s="2"/>
      <c r="BW22" s="2"/>
      <c r="BX22" s="2"/>
      <c r="BZ22" s="2"/>
      <c r="CB22" s="51"/>
      <c r="CD22" s="17"/>
      <c r="CE22" s="2"/>
      <c r="CF22" s="2"/>
      <c r="CG22" s="2"/>
      <c r="CH22" s="2"/>
      <c r="CJ22" s="2"/>
      <c r="CL22" s="51"/>
      <c r="CN22" s="17"/>
      <c r="CO22" s="2"/>
      <c r="CP22" s="2"/>
      <c r="CQ22" s="2"/>
      <c r="CR22" s="2"/>
      <c r="CT22" s="2"/>
      <c r="CV22" s="51"/>
      <c r="CX22" s="17"/>
      <c r="CY22" s="2"/>
      <c r="CZ22" s="2"/>
      <c r="DA22" s="2"/>
      <c r="DB22" s="2"/>
      <c r="DD22" s="2"/>
      <c r="DF22" s="51"/>
      <c r="DH22" s="17"/>
      <c r="DI22" s="2"/>
      <c r="DJ22" s="2"/>
      <c r="DK22" s="2"/>
      <c r="DL22" s="2"/>
      <c r="DN22" s="2"/>
      <c r="DP22" s="51"/>
      <c r="DR22" s="17"/>
      <c r="DS22" s="2"/>
      <c r="DT22" s="2"/>
      <c r="DU22" s="2"/>
      <c r="DV22" s="2"/>
      <c r="DX22" s="2"/>
      <c r="DZ22" s="51"/>
      <c r="EA22" s="2"/>
      <c r="EB22" s="17"/>
      <c r="EC22" s="2"/>
      <c r="ED22" s="2"/>
      <c r="EE22" s="2"/>
      <c r="EF22" s="2"/>
      <c r="EH22" s="2"/>
      <c r="EJ22" s="51"/>
      <c r="EK22" s="2"/>
    </row>
    <row r="23" spans="1:141" x14ac:dyDescent="0.2">
      <c r="A23" s="70" t="s">
        <v>78</v>
      </c>
      <c r="B23" s="18">
        <v>64466</v>
      </c>
      <c r="C23" s="2"/>
      <c r="D23" s="18">
        <v>66438</v>
      </c>
      <c r="E23" s="2"/>
      <c r="F23" s="18">
        <v>65910.653000000006</v>
      </c>
      <c r="G23" s="2"/>
      <c r="H23" s="19">
        <v>68671.347000000009</v>
      </c>
      <c r="I23" s="2"/>
      <c r="J23" s="51">
        <f>B23+D23+F23+H23</f>
        <v>265486</v>
      </c>
      <c r="K23" s="2"/>
      <c r="L23" s="18">
        <v>71728.337920000005</v>
      </c>
      <c r="M23" s="2"/>
      <c r="N23" s="18">
        <v>73803</v>
      </c>
      <c r="O23" s="2"/>
      <c r="P23" s="18">
        <v>77014</v>
      </c>
      <c r="Q23" s="2"/>
      <c r="R23" s="18">
        <v>76753</v>
      </c>
      <c r="S23" s="2"/>
      <c r="T23" s="51">
        <f>L23+N23+P23+R23-0.4</f>
        <v>299297.93792</v>
      </c>
      <c r="U23" s="2"/>
      <c r="V23" s="18">
        <v>80812.116689999995</v>
      </c>
      <c r="W23" s="2"/>
      <c r="X23" s="18">
        <v>84276.018310000014</v>
      </c>
      <c r="Y23" s="2"/>
      <c r="Z23" s="18">
        <v>86198</v>
      </c>
      <c r="AA23" s="2"/>
      <c r="AB23" s="18">
        <v>91911</v>
      </c>
      <c r="AC23" s="2"/>
      <c r="AD23" s="51">
        <f>V23+X23+Z23+AB23</f>
        <v>343197.13500000001</v>
      </c>
      <c r="AE23" s="2"/>
      <c r="AF23" s="18">
        <v>92223</v>
      </c>
      <c r="AG23" s="2"/>
      <c r="AH23" s="18">
        <v>94354</v>
      </c>
      <c r="AI23" s="2"/>
      <c r="AJ23" s="18">
        <v>95508</v>
      </c>
      <c r="AK23" s="2"/>
      <c r="AL23" s="18">
        <v>101315</v>
      </c>
      <c r="AM23" s="2"/>
      <c r="AN23" s="51">
        <f>AF23+AH23+AJ23+AL23</f>
        <v>383400</v>
      </c>
      <c r="AO23" s="2"/>
      <c r="AP23" s="18">
        <v>106660</v>
      </c>
      <c r="AQ23" s="2"/>
      <c r="AR23" s="18">
        <v>109341</v>
      </c>
      <c r="AS23" s="2"/>
      <c r="AT23" s="18">
        <v>107777</v>
      </c>
      <c r="AU23" s="18"/>
      <c r="AV23" s="18">
        <v>108918</v>
      </c>
      <c r="AX23" s="51">
        <f>AP23+AR23+AT23+AV23</f>
        <v>432696</v>
      </c>
      <c r="AZ23" s="18">
        <v>108543</v>
      </c>
      <c r="BA23" s="2"/>
      <c r="BB23" s="18">
        <v>112743</v>
      </c>
      <c r="BC23" s="2"/>
      <c r="BD23" s="18">
        <v>112582</v>
      </c>
      <c r="BF23" s="18">
        <v>116167</v>
      </c>
      <c r="BH23" s="51">
        <f>AZ23+BB23+BD23+BF23</f>
        <v>450035</v>
      </c>
      <c r="BJ23" s="18">
        <v>112468</v>
      </c>
      <c r="BK23" s="2"/>
      <c r="BL23" s="18">
        <v>114068</v>
      </c>
      <c r="BM23" s="2"/>
      <c r="BN23" s="18">
        <v>112174</v>
      </c>
      <c r="BP23" s="18">
        <v>113873</v>
      </c>
      <c r="BR23" s="51">
        <f>BJ23+BL23+BN23+BP23</f>
        <v>452583</v>
      </c>
      <c r="BT23" s="18">
        <v>112767</v>
      </c>
      <c r="BU23" s="2"/>
      <c r="BV23" s="18">
        <v>114733</v>
      </c>
      <c r="BW23" s="2"/>
      <c r="BX23" s="18">
        <v>117018</v>
      </c>
      <c r="BZ23" s="18">
        <v>131944</v>
      </c>
      <c r="CB23" s="51">
        <f>BT23+BV23+BX23+BZ23</f>
        <v>476462</v>
      </c>
      <c r="CD23" s="18">
        <v>143069</v>
      </c>
      <c r="CE23" s="2"/>
      <c r="CF23" s="18">
        <v>145927</v>
      </c>
      <c r="CG23" s="2"/>
      <c r="CH23" s="18">
        <v>140219</v>
      </c>
      <c r="CJ23" s="18">
        <v>144798</v>
      </c>
      <c r="CL23" s="51">
        <f>CD23+CF23+CH23+CJ23</f>
        <v>574013</v>
      </c>
      <c r="CN23" s="18">
        <v>146162</v>
      </c>
      <c r="CO23" s="2"/>
      <c r="CP23" s="18">
        <v>145511</v>
      </c>
      <c r="CQ23" s="2"/>
      <c r="CR23" s="18">
        <v>142314</v>
      </c>
      <c r="CT23" s="18">
        <v>138913</v>
      </c>
      <c r="CV23" s="51">
        <f>CN23+CP23+CR23+CT23</f>
        <v>572900</v>
      </c>
      <c r="CX23" s="18">
        <v>135139</v>
      </c>
      <c r="CY23" s="2"/>
      <c r="CZ23" s="18">
        <v>132956</v>
      </c>
      <c r="DA23" s="2"/>
      <c r="DB23" s="18">
        <v>130183</v>
      </c>
      <c r="DD23" s="18">
        <v>131740</v>
      </c>
      <c r="DF23" s="51">
        <f>CX23+CZ23+DB23+DD23</f>
        <v>530018</v>
      </c>
      <c r="DH23" s="18">
        <v>130114</v>
      </c>
      <c r="DI23" s="2"/>
      <c r="DJ23" s="18">
        <v>129818</v>
      </c>
      <c r="DK23" s="2"/>
      <c r="DL23" s="18">
        <v>127573</v>
      </c>
      <c r="DN23" s="18">
        <v>131777</v>
      </c>
      <c r="DP23" s="51">
        <f>DH23+DJ23+DL23+DN23</f>
        <v>519282</v>
      </c>
      <c r="DR23" s="18">
        <v>135649</v>
      </c>
      <c r="DS23" s="2"/>
      <c r="DT23" s="18">
        <v>139295</v>
      </c>
      <c r="DU23" s="2"/>
      <c r="DV23" s="18">
        <v>142796</v>
      </c>
      <c r="DX23" s="18">
        <v>152753</v>
      </c>
      <c r="DZ23" s="51">
        <f>DR23+DT23+DV23+DX23</f>
        <v>570493</v>
      </c>
      <c r="EA23" s="2"/>
      <c r="EB23" s="18">
        <v>163359</v>
      </c>
      <c r="EC23" s="2"/>
      <c r="ED23" s="18">
        <v>159790</v>
      </c>
      <c r="EE23" s="2"/>
      <c r="EF23" s="18">
        <v>158805</v>
      </c>
      <c r="EH23" s="18"/>
      <c r="EJ23" s="51">
        <f>EB23+ED23+EF23+EH23</f>
        <v>481954</v>
      </c>
      <c r="EK23" s="2"/>
    </row>
    <row r="24" spans="1:141" x14ac:dyDescent="0.2">
      <c r="A24" s="70" t="s">
        <v>17</v>
      </c>
      <c r="B24" s="18">
        <v>25916</v>
      </c>
      <c r="C24" s="2"/>
      <c r="D24" s="18">
        <v>17422</v>
      </c>
      <c r="E24" s="2"/>
      <c r="F24" s="18">
        <v>15664.141</v>
      </c>
      <c r="G24" s="2"/>
      <c r="H24" s="19">
        <v>15025.125</v>
      </c>
      <c r="I24" s="2"/>
      <c r="J24" s="51">
        <f>B24+D24+F24+H24</f>
        <v>74027.266000000003</v>
      </c>
      <c r="K24" s="2"/>
      <c r="L24" s="18">
        <v>22830.329030000001</v>
      </c>
      <c r="M24" s="2"/>
      <c r="N24" s="18">
        <v>14566</v>
      </c>
      <c r="O24" s="2"/>
      <c r="P24" s="18">
        <v>14348</v>
      </c>
      <c r="Q24" s="2"/>
      <c r="R24" s="18">
        <v>13588</v>
      </c>
      <c r="S24" s="2"/>
      <c r="T24" s="51">
        <f>L24+N24+P24+R24</f>
        <v>65332.329030000001</v>
      </c>
      <c r="U24" s="2"/>
      <c r="V24" s="18">
        <v>21555.25</v>
      </c>
      <c r="W24" s="2"/>
      <c r="X24" s="18">
        <v>15444.748780000002</v>
      </c>
      <c r="Y24" s="2"/>
      <c r="Z24" s="18">
        <v>17176</v>
      </c>
      <c r="AA24" s="2"/>
      <c r="AB24" s="18">
        <v>18363</v>
      </c>
      <c r="AC24" s="2"/>
      <c r="AD24" s="51">
        <f>V24+X24+Z24+AB24</f>
        <v>72538.998779999994</v>
      </c>
      <c r="AE24" s="2"/>
      <c r="AF24" s="18">
        <v>26982</v>
      </c>
      <c r="AG24" s="2"/>
      <c r="AH24" s="18">
        <v>17497</v>
      </c>
      <c r="AI24" s="2"/>
      <c r="AJ24" s="18">
        <v>18471</v>
      </c>
      <c r="AK24" s="2"/>
      <c r="AL24" s="18">
        <v>21678</v>
      </c>
      <c r="AM24" s="2"/>
      <c r="AN24" s="51">
        <f>AF24+AH24+AJ24+AL24</f>
        <v>84628</v>
      </c>
      <c r="AO24" s="2"/>
      <c r="AP24" s="18">
        <v>36548</v>
      </c>
      <c r="AQ24" s="2"/>
      <c r="AR24" s="18">
        <v>24235</v>
      </c>
      <c r="AS24" s="2"/>
      <c r="AT24" s="18">
        <v>25901</v>
      </c>
      <c r="AU24" s="18"/>
      <c r="AV24" s="18">
        <v>25599</v>
      </c>
      <c r="AX24" s="51">
        <f>AP24+AR24+AT24+AV24</f>
        <v>112283</v>
      </c>
      <c r="AZ24" s="18">
        <v>39383</v>
      </c>
      <c r="BA24" s="2"/>
      <c r="BB24" s="18">
        <v>24720</v>
      </c>
      <c r="BC24" s="2"/>
      <c r="BD24" s="18">
        <v>26978</v>
      </c>
      <c r="BF24" s="18">
        <v>28017</v>
      </c>
      <c r="BH24" s="51">
        <f>AZ24+BB24+BD24+BF24</f>
        <v>119098</v>
      </c>
      <c r="BJ24" s="18">
        <v>42067</v>
      </c>
      <c r="BK24" s="2"/>
      <c r="BL24" s="18">
        <v>28225</v>
      </c>
      <c r="BM24" s="2"/>
      <c r="BN24" s="18">
        <v>30314</v>
      </c>
      <c r="BP24" s="18">
        <v>29018</v>
      </c>
      <c r="BR24" s="51">
        <f>BJ24+BL24+BN24+BP24</f>
        <v>129624</v>
      </c>
      <c r="BT24" s="18">
        <v>44130</v>
      </c>
      <c r="BU24" s="2"/>
      <c r="BV24" s="18">
        <v>28403</v>
      </c>
      <c r="BW24" s="2"/>
      <c r="BX24" s="18">
        <v>28422</v>
      </c>
      <c r="BZ24" s="18">
        <v>30473</v>
      </c>
      <c r="CB24" s="51">
        <f>BT24+BV24+BX24+BZ24</f>
        <v>131428</v>
      </c>
      <c r="CD24" s="18">
        <v>46030</v>
      </c>
      <c r="CE24" s="2"/>
      <c r="CF24" s="18">
        <v>29948</v>
      </c>
      <c r="CG24" s="2"/>
      <c r="CH24" s="18">
        <v>41065</v>
      </c>
      <c r="CJ24" s="18">
        <v>39460</v>
      </c>
      <c r="CL24" s="51">
        <f>CD24+CF24+CH24+CJ24</f>
        <v>156503</v>
      </c>
      <c r="CN24" s="18">
        <v>63325</v>
      </c>
      <c r="CO24" s="2"/>
      <c r="CP24" s="18">
        <v>45167</v>
      </c>
      <c r="CQ24" s="2"/>
      <c r="CR24" s="18">
        <v>44714</v>
      </c>
      <c r="CT24" s="18">
        <v>41389</v>
      </c>
      <c r="CV24" s="51">
        <f>CN24+CP24+CR24+CT24</f>
        <v>194595</v>
      </c>
      <c r="CX24" s="18">
        <v>65767</v>
      </c>
      <c r="CY24" s="2"/>
      <c r="CZ24" s="18">
        <v>41997</v>
      </c>
      <c r="DA24" s="2"/>
      <c r="DB24" s="18">
        <v>42940</v>
      </c>
      <c r="DD24" s="18">
        <v>37729</v>
      </c>
      <c r="DF24" s="51">
        <f>CX24+CZ24+DB24+DD24</f>
        <v>188433</v>
      </c>
      <c r="DH24" s="18">
        <v>61811</v>
      </c>
      <c r="DI24" s="2"/>
      <c r="DJ24" s="18">
        <v>32603</v>
      </c>
      <c r="DK24" s="2"/>
      <c r="DL24" s="18">
        <v>34807</v>
      </c>
      <c r="DN24" s="18">
        <v>34912</v>
      </c>
      <c r="DP24" s="51">
        <f>DH24+DJ24+DL24+DN24</f>
        <v>164133</v>
      </c>
      <c r="DR24" s="18">
        <v>68579</v>
      </c>
      <c r="DS24" s="2"/>
      <c r="DT24" s="18">
        <v>39510</v>
      </c>
      <c r="DU24" s="2"/>
      <c r="DV24" s="18">
        <v>43170</v>
      </c>
      <c r="DX24" s="18">
        <v>50595</v>
      </c>
      <c r="DZ24" s="51">
        <f>DR24+DT24+DV24+DX24</f>
        <v>201854</v>
      </c>
      <c r="EA24" s="2"/>
      <c r="EB24" s="18">
        <v>95016</v>
      </c>
      <c r="EC24" s="2"/>
      <c r="ED24" s="18">
        <v>49525</v>
      </c>
      <c r="EE24" s="2"/>
      <c r="EF24" s="18">
        <v>47497</v>
      </c>
      <c r="EH24" s="18"/>
      <c r="EJ24" s="51">
        <f>EB24+ED24+EF24+EH24</f>
        <v>192038</v>
      </c>
      <c r="EK24" s="2"/>
    </row>
    <row r="25" spans="1:141" x14ac:dyDescent="0.2">
      <c r="A25" s="70" t="s">
        <v>51</v>
      </c>
      <c r="B25" s="18"/>
      <c r="C25" s="2"/>
      <c r="D25" s="18"/>
      <c r="E25" s="2"/>
      <c r="F25" s="18"/>
      <c r="G25" s="2"/>
      <c r="H25" s="19"/>
      <c r="I25" s="2"/>
      <c r="J25" s="51">
        <f>B25+D25+F25+H25</f>
        <v>0</v>
      </c>
      <c r="K25" s="2"/>
      <c r="L25" s="18"/>
      <c r="M25" s="2"/>
      <c r="N25" s="18"/>
      <c r="O25" s="2"/>
      <c r="P25" s="18"/>
      <c r="Q25" s="2"/>
      <c r="R25" s="18"/>
      <c r="S25" s="2"/>
      <c r="T25" s="51">
        <f>L25+N25+P25+R25</f>
        <v>0</v>
      </c>
      <c r="U25" s="2"/>
      <c r="V25" s="18"/>
      <c r="W25" s="2"/>
      <c r="X25" s="18"/>
      <c r="Y25" s="2"/>
      <c r="Z25" s="18"/>
      <c r="AA25" s="2"/>
      <c r="AB25" s="18"/>
      <c r="AC25" s="2"/>
      <c r="AD25" s="51">
        <f>V25+X25+Z25+AB25</f>
        <v>0</v>
      </c>
      <c r="AE25" s="2"/>
      <c r="AF25" s="18"/>
      <c r="AG25" s="2"/>
      <c r="AH25" s="18"/>
      <c r="AI25" s="2"/>
      <c r="AJ25" s="18"/>
      <c r="AK25" s="2"/>
      <c r="AL25" s="18">
        <v>3776</v>
      </c>
      <c r="AM25" s="2"/>
      <c r="AN25" s="51">
        <f>AF25+AH25+AJ25+AL25</f>
        <v>3776</v>
      </c>
      <c r="AO25" s="2"/>
      <c r="AP25" s="18">
        <v>3231</v>
      </c>
      <c r="AQ25" s="2"/>
      <c r="AR25" s="18">
        <v>2090</v>
      </c>
      <c r="AS25" s="2"/>
      <c r="AT25" s="18">
        <v>2120</v>
      </c>
      <c r="AU25" s="18"/>
      <c r="AV25" s="18">
        <v>3198</v>
      </c>
      <c r="AX25" s="51">
        <f>AP25+AR25+AT25+AV25</f>
        <v>10639</v>
      </c>
      <c r="AZ25" s="18">
        <v>3145</v>
      </c>
      <c r="BA25" s="2"/>
      <c r="BB25" s="18">
        <v>2477</v>
      </c>
      <c r="BC25" s="2"/>
      <c r="BD25" s="18">
        <v>2180</v>
      </c>
      <c r="BF25" s="18">
        <v>2710</v>
      </c>
      <c r="BH25" s="51">
        <f>AZ25+BB25+BD25+BF25</f>
        <v>10512</v>
      </c>
      <c r="BJ25" s="18">
        <v>2863</v>
      </c>
      <c r="BK25" s="2"/>
      <c r="BL25" s="18">
        <v>2750</v>
      </c>
      <c r="BM25" s="2"/>
      <c r="BN25" s="18">
        <v>2556</v>
      </c>
      <c r="BP25" s="18">
        <v>2720</v>
      </c>
      <c r="BR25" s="51">
        <f>BJ25+BL25+BN25+BP25</f>
        <v>10889</v>
      </c>
      <c r="BT25" s="18">
        <v>2423</v>
      </c>
      <c r="BU25" s="2"/>
      <c r="BV25" s="18">
        <v>2398</v>
      </c>
      <c r="BW25" s="2"/>
      <c r="BX25" s="18">
        <v>2856</v>
      </c>
      <c r="BZ25" s="18">
        <v>3669</v>
      </c>
      <c r="CB25" s="51">
        <f>BT25+BV25+BX25+BZ25</f>
        <v>11346</v>
      </c>
      <c r="CD25" s="18">
        <v>3545</v>
      </c>
      <c r="CE25" s="2"/>
      <c r="CF25" s="18">
        <v>3129</v>
      </c>
      <c r="CG25" s="2"/>
      <c r="CH25" s="18">
        <v>2822</v>
      </c>
      <c r="CJ25" s="18">
        <v>3774</v>
      </c>
      <c r="CL25" s="51">
        <f>CD25+CF25+CH25+CJ25</f>
        <v>13270</v>
      </c>
      <c r="CN25" s="18">
        <v>4020</v>
      </c>
      <c r="CO25" s="2"/>
      <c r="CP25" s="18">
        <v>3790</v>
      </c>
      <c r="CQ25" s="2"/>
      <c r="CR25" s="18">
        <v>4065</v>
      </c>
      <c r="CT25" s="18">
        <v>4745</v>
      </c>
      <c r="CV25" s="51">
        <f>CN25+CP25+CR25+CT25</f>
        <v>16620</v>
      </c>
      <c r="CX25" s="18">
        <v>4431</v>
      </c>
      <c r="CY25" s="2"/>
      <c r="CZ25" s="18">
        <v>4259</v>
      </c>
      <c r="DA25" s="2"/>
      <c r="DB25" s="18">
        <v>4511</v>
      </c>
      <c r="DD25" s="18">
        <v>5486</v>
      </c>
      <c r="DF25" s="51">
        <f>CX25+CZ25+DB25+DD25</f>
        <v>18687</v>
      </c>
      <c r="DH25" s="18">
        <v>5426</v>
      </c>
      <c r="DI25" s="2"/>
      <c r="DJ25" s="18">
        <v>5003</v>
      </c>
      <c r="DK25" s="2"/>
      <c r="DL25" s="18">
        <v>5507</v>
      </c>
      <c r="DN25" s="18">
        <v>7367</v>
      </c>
      <c r="DP25" s="51">
        <f>DH25+DJ25+DL25+DN25</f>
        <v>23303</v>
      </c>
      <c r="DR25" s="18">
        <v>6048</v>
      </c>
      <c r="DS25" s="2"/>
      <c r="DT25" s="18">
        <v>5898</v>
      </c>
      <c r="DU25" s="2"/>
      <c r="DV25" s="18">
        <v>5655</v>
      </c>
      <c r="DX25" s="18">
        <v>7233</v>
      </c>
      <c r="DZ25" s="51">
        <f>DR25+DT25+DV25+DX25</f>
        <v>24834</v>
      </c>
      <c r="EA25" s="2"/>
      <c r="EB25" s="18">
        <v>6298</v>
      </c>
      <c r="EC25" s="2"/>
      <c r="ED25" s="18">
        <v>5728</v>
      </c>
      <c r="EE25" s="2"/>
      <c r="EF25" s="18">
        <v>5376</v>
      </c>
      <c r="EH25" s="18"/>
      <c r="EJ25" s="51">
        <f>EB25+ED25+EF25+EH25</f>
        <v>17402</v>
      </c>
      <c r="EK25" s="2"/>
    </row>
    <row r="26" spans="1:141" ht="15.75" x14ac:dyDescent="0.2">
      <c r="A26" s="70" t="s">
        <v>18</v>
      </c>
      <c r="B26" s="18">
        <v>186430</v>
      </c>
      <c r="C26" s="2"/>
      <c r="D26" s="18">
        <v>191682</v>
      </c>
      <c r="E26" s="2"/>
      <c r="F26" s="18">
        <v>191803.95</v>
      </c>
      <c r="G26" s="2"/>
      <c r="H26" s="19">
        <v>200657.05</v>
      </c>
      <c r="I26" s="2"/>
      <c r="J26" s="51">
        <f>B26+D26+F26+H26-0.6</f>
        <v>770572.4</v>
      </c>
      <c r="K26" s="2"/>
      <c r="L26" s="18">
        <v>208524.90234999999</v>
      </c>
      <c r="M26" s="2"/>
      <c r="N26" s="18">
        <v>211321</v>
      </c>
      <c r="O26" s="2"/>
      <c r="P26" s="18">
        <v>219195</v>
      </c>
      <c r="Q26" s="2"/>
      <c r="R26" s="18">
        <v>227193</v>
      </c>
      <c r="S26" s="2"/>
      <c r="T26" s="51">
        <f>L26+N26+P26+R26</f>
        <v>866233.90234999999</v>
      </c>
      <c r="U26" s="2"/>
      <c r="V26" s="18">
        <v>242218.5</v>
      </c>
      <c r="W26" s="2"/>
      <c r="X26" s="18">
        <v>244365</v>
      </c>
      <c r="Y26" s="2"/>
      <c r="Z26" s="18">
        <v>261992</v>
      </c>
      <c r="AA26" s="2"/>
      <c r="AB26" s="18">
        <v>270826</v>
      </c>
      <c r="AC26" s="2"/>
      <c r="AD26" s="51">
        <f>V26+X26+Z26+AB26-0.5</f>
        <v>1019401</v>
      </c>
      <c r="AE26" s="2"/>
      <c r="AF26" s="18">
        <v>262619</v>
      </c>
      <c r="AG26" s="2"/>
      <c r="AH26" s="18">
        <v>264478</v>
      </c>
      <c r="AI26" s="2"/>
      <c r="AJ26" s="18">
        <v>268552</v>
      </c>
      <c r="AK26" s="2"/>
      <c r="AL26" s="18">
        <v>274616</v>
      </c>
      <c r="AM26" s="2"/>
      <c r="AN26" s="51">
        <f>AF26+AH26+AJ26+AL26</f>
        <v>1070265</v>
      </c>
      <c r="AO26" s="2"/>
      <c r="AP26" s="18">
        <v>292496</v>
      </c>
      <c r="AQ26" s="2"/>
      <c r="AR26" s="18">
        <v>291726</v>
      </c>
      <c r="AS26" s="2"/>
      <c r="AT26" s="18">
        <v>296427</v>
      </c>
      <c r="AU26" s="18"/>
      <c r="AV26" s="18">
        <v>299466</v>
      </c>
      <c r="AX26" s="51">
        <f>AP26+AR26+AT26+AV26</f>
        <v>1180115</v>
      </c>
      <c r="AZ26" s="18">
        <v>309084</v>
      </c>
      <c r="BA26" s="2"/>
      <c r="BB26" s="18">
        <v>311058</v>
      </c>
      <c r="BC26" s="2"/>
      <c r="BD26" s="18">
        <v>326410</v>
      </c>
      <c r="BF26" s="18">
        <v>331374</v>
      </c>
      <c r="BH26" s="51">
        <f>AZ26+BB26+BD26+BF26</f>
        <v>1277926</v>
      </c>
      <c r="BJ26" s="18">
        <v>334041</v>
      </c>
      <c r="BK26" s="2"/>
      <c r="BL26" s="18">
        <v>332939</v>
      </c>
      <c r="BM26" s="2"/>
      <c r="BN26" s="18">
        <f>350389-4075</f>
        <v>346314</v>
      </c>
      <c r="BO26" s="64">
        <v>-3</v>
      </c>
      <c r="BP26" s="18">
        <f>341391-1124</f>
        <v>340267</v>
      </c>
      <c r="BQ26" s="64">
        <v>-5</v>
      </c>
      <c r="BR26" s="51">
        <f>BJ26+BL26+BN26+BP26</f>
        <v>1353561</v>
      </c>
      <c r="BS26" s="27" t="s">
        <v>104</v>
      </c>
      <c r="BT26" s="18">
        <v>338771</v>
      </c>
      <c r="BU26" s="2"/>
      <c r="BV26" s="18">
        <v>333113</v>
      </c>
      <c r="BW26" s="2"/>
      <c r="BX26" s="18">
        <v>340379</v>
      </c>
      <c r="BY26" s="64"/>
      <c r="BZ26" s="18">
        <v>373174</v>
      </c>
      <c r="CA26" s="64"/>
      <c r="CB26" s="51">
        <f>BT26+BV26+BX26+BZ26</f>
        <v>1385437</v>
      </c>
      <c r="CD26" s="18">
        <v>420727</v>
      </c>
      <c r="CE26" s="2"/>
      <c r="CF26" s="18">
        <v>417114</v>
      </c>
      <c r="CG26" s="2"/>
      <c r="CH26" s="18">
        <v>422294</v>
      </c>
      <c r="CI26" s="64"/>
      <c r="CJ26" s="18">
        <v>424830</v>
      </c>
      <c r="CK26" s="64"/>
      <c r="CL26" s="51">
        <f>CD26+CF26+CH26+CJ26</f>
        <v>1684965</v>
      </c>
      <c r="CN26" s="18">
        <v>417414</v>
      </c>
      <c r="CO26" s="2"/>
      <c r="CP26" s="18">
        <v>406572</v>
      </c>
      <c r="CQ26" s="2"/>
      <c r="CR26" s="18">
        <v>417354</v>
      </c>
      <c r="CS26" s="64"/>
      <c r="CT26" s="18">
        <v>410465</v>
      </c>
      <c r="CU26" s="64"/>
      <c r="CV26" s="51">
        <f>CN26+CP26+CR26+CT26</f>
        <v>1651805</v>
      </c>
      <c r="CX26" s="18">
        <v>401508</v>
      </c>
      <c r="CY26" s="2"/>
      <c r="CZ26" s="18">
        <v>384910</v>
      </c>
      <c r="DA26" s="2"/>
      <c r="DB26" s="18">
        <v>389573</v>
      </c>
      <c r="DC26" s="64"/>
      <c r="DD26" s="18">
        <v>380083</v>
      </c>
      <c r="DE26" s="64"/>
      <c r="DF26" s="51">
        <f>CX26+CZ26+DB26+DD26</f>
        <v>1556074</v>
      </c>
      <c r="DH26" s="18">
        <v>391471</v>
      </c>
      <c r="DI26" s="2"/>
      <c r="DJ26" s="18">
        <v>381121</v>
      </c>
      <c r="DK26" s="2"/>
      <c r="DL26" s="18">
        <v>389295</v>
      </c>
      <c r="DM26" s="64"/>
      <c r="DN26" s="18">
        <v>381504</v>
      </c>
      <c r="DO26" s="64"/>
      <c r="DP26" s="51">
        <f>DH26+DJ26+DL26+DN26</f>
        <v>1543391</v>
      </c>
      <c r="DR26" s="18">
        <v>397198</v>
      </c>
      <c r="DS26" s="2"/>
      <c r="DT26" s="18">
        <v>395091</v>
      </c>
      <c r="DU26" s="2"/>
      <c r="DV26" s="18">
        <v>405633</v>
      </c>
      <c r="DW26" s="64"/>
      <c r="DX26" s="18">
        <v>396558</v>
      </c>
      <c r="DY26" s="64"/>
      <c r="DZ26" s="51">
        <f>DR26+DT26+DV26+DX26</f>
        <v>1594480</v>
      </c>
      <c r="EA26" s="2"/>
      <c r="EB26" s="18">
        <v>430803</v>
      </c>
      <c r="EC26" s="2"/>
      <c r="ED26" s="18">
        <v>412035</v>
      </c>
      <c r="EE26" s="2"/>
      <c r="EF26" s="18">
        <v>412567</v>
      </c>
      <c r="EG26" s="64"/>
      <c r="EH26" s="18"/>
      <c r="EI26" s="64"/>
      <c r="EJ26" s="51">
        <f>EB26+ED26+EF26+EH26</f>
        <v>1255405</v>
      </c>
      <c r="EK26" s="2"/>
    </row>
    <row r="27" spans="1:141" x14ac:dyDescent="0.2">
      <c r="A27" s="69" t="s">
        <v>20</v>
      </c>
      <c r="B27" s="2"/>
      <c r="C27" s="2"/>
      <c r="D27" s="17"/>
      <c r="E27" s="2"/>
      <c r="F27" s="17"/>
      <c r="G27" s="2"/>
      <c r="H27" s="17"/>
      <c r="I27" s="2"/>
      <c r="J27" s="57"/>
      <c r="K27" s="2"/>
      <c r="L27" s="17"/>
      <c r="M27" s="2"/>
      <c r="N27" s="17"/>
      <c r="O27" s="2"/>
      <c r="P27" s="17"/>
      <c r="Q27" s="2"/>
      <c r="R27" s="17"/>
      <c r="S27" s="2"/>
      <c r="T27" s="57"/>
      <c r="U27" s="2"/>
      <c r="V27" s="17"/>
      <c r="W27" s="2"/>
      <c r="X27" s="28"/>
      <c r="Y27" s="2"/>
      <c r="Z27" s="28"/>
      <c r="AA27" s="2"/>
      <c r="AB27" s="17"/>
      <c r="AC27" s="2"/>
      <c r="AD27" s="57"/>
      <c r="AE27" s="2"/>
      <c r="AF27" s="28"/>
      <c r="AG27" s="2"/>
      <c r="AH27" s="28"/>
      <c r="AI27" s="2"/>
      <c r="AJ27" s="28"/>
      <c r="AK27" s="2"/>
      <c r="AL27" s="28"/>
      <c r="AM27" s="2"/>
      <c r="AN27" s="57"/>
      <c r="AO27" s="2"/>
      <c r="AP27" s="28"/>
      <c r="AQ27" s="2"/>
      <c r="AR27" s="28"/>
      <c r="AS27" s="2"/>
      <c r="AT27" s="28"/>
      <c r="AU27" s="28"/>
      <c r="AV27" s="28"/>
      <c r="AX27" s="57"/>
      <c r="AZ27" s="28"/>
      <c r="BA27" s="2"/>
      <c r="BB27" s="28"/>
      <c r="BC27" s="2"/>
      <c r="BD27" s="28"/>
      <c r="BF27" s="28"/>
      <c r="BH27" s="57"/>
      <c r="BJ27" s="28"/>
      <c r="BK27" s="2"/>
      <c r="BL27" s="28"/>
      <c r="BM27" s="2"/>
      <c r="BN27" s="28"/>
      <c r="BP27" s="28"/>
      <c r="BR27" s="57"/>
      <c r="BT27" s="28"/>
      <c r="BU27" s="2"/>
      <c r="BV27" s="28"/>
      <c r="BW27" s="2"/>
      <c r="BX27" s="28"/>
      <c r="BZ27" s="28"/>
      <c r="CB27" s="57"/>
      <c r="CD27" s="28"/>
      <c r="CE27" s="2"/>
      <c r="CF27" s="28"/>
      <c r="CG27" s="2"/>
      <c r="CH27" s="28"/>
      <c r="CJ27" s="28"/>
      <c r="CL27" s="57"/>
      <c r="CN27" s="28"/>
      <c r="CO27" s="2"/>
      <c r="CP27" s="28"/>
      <c r="CQ27" s="2"/>
      <c r="CR27" s="28"/>
      <c r="CT27" s="28"/>
      <c r="CV27" s="57"/>
      <c r="CX27" s="28"/>
      <c r="CY27" s="2"/>
      <c r="CZ27" s="28"/>
      <c r="DA27" s="2"/>
      <c r="DB27" s="28"/>
      <c r="DD27" s="28"/>
      <c r="DF27" s="57"/>
      <c r="DH27" s="28"/>
      <c r="DI27" s="2"/>
      <c r="DJ27" s="28"/>
      <c r="DK27" s="2"/>
      <c r="DL27" s="28"/>
      <c r="DN27" s="28"/>
      <c r="DP27" s="57"/>
      <c r="DR27" s="28"/>
      <c r="DS27" s="2"/>
      <c r="DT27" s="28"/>
      <c r="DU27" s="2"/>
      <c r="DV27" s="28"/>
      <c r="DX27" s="28"/>
      <c r="DZ27" s="57"/>
      <c r="EA27" s="2"/>
      <c r="EB27" s="28"/>
      <c r="EC27" s="2"/>
      <c r="ED27" s="28"/>
      <c r="EE27" s="2"/>
      <c r="EF27" s="28"/>
      <c r="EH27" s="28"/>
      <c r="EJ27" s="57"/>
      <c r="EK27" s="2"/>
    </row>
    <row r="28" spans="1:141" x14ac:dyDescent="0.2">
      <c r="A28" s="70" t="s">
        <v>92</v>
      </c>
      <c r="B28" s="20">
        <v>8542</v>
      </c>
      <c r="C28" s="2"/>
      <c r="D28" s="20">
        <v>12635</v>
      </c>
      <c r="E28" s="2"/>
      <c r="F28" s="20">
        <v>11316</v>
      </c>
      <c r="G28" s="2"/>
      <c r="H28" s="21">
        <v>15420</v>
      </c>
      <c r="I28" s="2"/>
      <c r="J28" s="52">
        <f>B28+D28+F28+H28+0.5</f>
        <v>47913.5</v>
      </c>
      <c r="K28" s="2"/>
      <c r="L28" s="20">
        <v>12441.32156</v>
      </c>
      <c r="M28" s="2"/>
      <c r="N28" s="20">
        <v>11793</v>
      </c>
      <c r="O28" s="2"/>
      <c r="P28" s="20">
        <v>10815</v>
      </c>
      <c r="Q28" s="2"/>
      <c r="R28" s="20">
        <v>14675</v>
      </c>
      <c r="S28" s="2"/>
      <c r="T28" s="52">
        <f>L28+N28+P28+R28</f>
        <v>49724.321559999997</v>
      </c>
      <c r="U28" s="2"/>
      <c r="V28" s="20">
        <v>12494.065850000001</v>
      </c>
      <c r="W28" s="2"/>
      <c r="X28" s="20">
        <v>10703.138349999999</v>
      </c>
      <c r="Y28" s="2"/>
      <c r="Z28" s="20">
        <v>11624</v>
      </c>
      <c r="AA28" s="2"/>
      <c r="AB28" s="20">
        <v>16430</v>
      </c>
      <c r="AC28" s="2"/>
      <c r="AD28" s="52">
        <f>V28+X28+Z28+AB28</f>
        <v>51251.2042</v>
      </c>
      <c r="AE28" s="2"/>
      <c r="AF28" s="20">
        <v>12653</v>
      </c>
      <c r="AG28" s="2"/>
      <c r="AH28" s="20">
        <v>11884</v>
      </c>
      <c r="AI28" s="2"/>
      <c r="AJ28" s="20">
        <v>11061</v>
      </c>
      <c r="AK28" s="2"/>
      <c r="AL28" s="20">
        <v>13587</v>
      </c>
      <c r="AM28" s="2"/>
      <c r="AN28" s="52">
        <f>AF28+AH28+AJ28+AL28</f>
        <v>49185</v>
      </c>
      <c r="AO28" s="2"/>
      <c r="AP28" s="20">
        <v>11551</v>
      </c>
      <c r="AQ28" s="2"/>
      <c r="AR28" s="20">
        <v>8946</v>
      </c>
      <c r="AS28" s="2"/>
      <c r="AT28" s="20">
        <v>10298</v>
      </c>
      <c r="AU28" s="42"/>
      <c r="AV28" s="20">
        <v>12453</v>
      </c>
      <c r="AX28" s="52">
        <f>AP28+AR28+AT28+AV28</f>
        <v>43248</v>
      </c>
      <c r="AZ28" s="20">
        <v>11892</v>
      </c>
      <c r="BA28" s="2"/>
      <c r="BB28" s="20">
        <v>9214</v>
      </c>
      <c r="BC28" s="2"/>
      <c r="BD28" s="20">
        <v>8585</v>
      </c>
      <c r="BF28" s="20">
        <v>9781</v>
      </c>
      <c r="BH28" s="52">
        <f>AZ28+BB28+BD28+BF28</f>
        <v>39472</v>
      </c>
      <c r="BJ28" s="20">
        <v>10866</v>
      </c>
      <c r="BK28" s="2"/>
      <c r="BL28" s="20">
        <v>7163</v>
      </c>
      <c r="BM28" s="2"/>
      <c r="BN28" s="20">
        <v>6964</v>
      </c>
      <c r="BP28" s="20">
        <v>11326</v>
      </c>
      <c r="BR28" s="52">
        <f>BJ28+BL28+BN28+BP28</f>
        <v>36319</v>
      </c>
      <c r="BT28" s="20">
        <v>11556</v>
      </c>
      <c r="BU28" s="2"/>
      <c r="BV28" s="20">
        <v>7580</v>
      </c>
      <c r="BW28" s="2"/>
      <c r="BX28" s="20">
        <v>6523</v>
      </c>
      <c r="BZ28" s="20">
        <v>9203</v>
      </c>
      <c r="CB28" s="52">
        <f>BT28+BV28+BX28+BZ28</f>
        <v>34862</v>
      </c>
      <c r="CD28" s="20">
        <v>9487</v>
      </c>
      <c r="CE28" s="2"/>
      <c r="CF28" s="20">
        <v>6663</v>
      </c>
      <c r="CG28" s="2"/>
      <c r="CH28" s="20">
        <v>7072</v>
      </c>
      <c r="CJ28" s="20">
        <v>9511</v>
      </c>
      <c r="CL28" s="52">
        <f>CD28+CF28+CH28+CJ28</f>
        <v>32733</v>
      </c>
      <c r="CN28" s="20">
        <v>9396</v>
      </c>
      <c r="CO28" s="2"/>
      <c r="CP28" s="20">
        <v>7234</v>
      </c>
      <c r="CQ28" s="2"/>
      <c r="CR28" s="20">
        <v>7640</v>
      </c>
      <c r="CT28" s="20">
        <v>7435</v>
      </c>
      <c r="CV28" s="52">
        <f>CN28+CP28+CR28+CT28</f>
        <v>31705</v>
      </c>
      <c r="CX28" s="20">
        <v>7634</v>
      </c>
      <c r="CY28" s="2"/>
      <c r="CZ28" s="20">
        <v>5975</v>
      </c>
      <c r="DA28" s="2"/>
      <c r="DB28" s="20">
        <v>6378</v>
      </c>
      <c r="DD28" s="20">
        <v>6833</v>
      </c>
      <c r="DF28" s="52">
        <f>CX28+CZ28+DB28+DD28</f>
        <v>26820</v>
      </c>
      <c r="DH28" s="20">
        <v>8068</v>
      </c>
      <c r="DI28" s="2"/>
      <c r="DJ28" s="20">
        <v>6454</v>
      </c>
      <c r="DK28" s="2"/>
      <c r="DL28" s="20">
        <v>6680</v>
      </c>
      <c r="DN28" s="20">
        <v>8040</v>
      </c>
      <c r="DP28" s="52">
        <f>DH28+DJ28+DL28+DN28</f>
        <v>29242</v>
      </c>
      <c r="DR28" s="20">
        <v>8754</v>
      </c>
      <c r="DS28" s="2"/>
      <c r="DT28" s="20">
        <v>7195</v>
      </c>
      <c r="DU28" s="2"/>
      <c r="DV28" s="20">
        <v>6926</v>
      </c>
      <c r="DX28" s="20">
        <v>9612</v>
      </c>
      <c r="DZ28" s="52">
        <f>DR28+DT28+DV28+DX28</f>
        <v>32487</v>
      </c>
      <c r="EA28" s="2"/>
      <c r="EB28" s="20">
        <v>10164</v>
      </c>
      <c r="EC28" s="2"/>
      <c r="ED28" s="20">
        <v>7682</v>
      </c>
      <c r="EE28" s="2"/>
      <c r="EF28" s="20">
        <v>8295</v>
      </c>
      <c r="EH28" s="20"/>
      <c r="EJ28" s="52">
        <f>EB28+ED28+EF28+EH28</f>
        <v>26141</v>
      </c>
      <c r="EK28" s="2"/>
    </row>
    <row r="29" spans="1:141" x14ac:dyDescent="0.2">
      <c r="A29" s="2"/>
      <c r="B29" s="2"/>
      <c r="C29" s="2"/>
      <c r="D29" s="2"/>
      <c r="E29" s="2"/>
      <c r="F29" s="19"/>
      <c r="G29" s="2"/>
      <c r="H29" s="2"/>
      <c r="I29" s="2"/>
      <c r="J29" s="51"/>
      <c r="K29" s="2"/>
      <c r="L29" s="19"/>
      <c r="M29" s="2"/>
      <c r="N29" s="19"/>
      <c r="O29" s="2"/>
      <c r="P29" s="19"/>
      <c r="Q29" s="2"/>
      <c r="R29" s="14"/>
      <c r="S29" s="2"/>
      <c r="T29" s="51"/>
      <c r="U29" s="2"/>
      <c r="V29" s="19"/>
      <c r="W29" s="2"/>
      <c r="X29" s="19"/>
      <c r="Y29" s="2"/>
      <c r="Z29" s="19"/>
      <c r="AA29" s="2"/>
      <c r="AB29" s="19"/>
      <c r="AC29" s="2"/>
      <c r="AD29" s="51"/>
      <c r="AE29" s="2"/>
      <c r="AF29" s="19"/>
      <c r="AG29" s="2"/>
      <c r="AH29" s="19"/>
      <c r="AI29" s="2"/>
      <c r="AJ29" s="19"/>
      <c r="AK29" s="2"/>
      <c r="AL29" s="19"/>
      <c r="AM29" s="2"/>
      <c r="AN29" s="51"/>
      <c r="AO29" s="2"/>
      <c r="AP29" s="19"/>
      <c r="AQ29" s="2"/>
      <c r="AR29" s="19"/>
      <c r="AS29" s="2"/>
      <c r="AT29" s="19"/>
      <c r="AU29" s="19"/>
      <c r="AV29" s="19"/>
      <c r="AX29" s="51"/>
      <c r="AZ29" s="19"/>
      <c r="BA29" s="2"/>
      <c r="BB29" s="19"/>
      <c r="BC29" s="2"/>
      <c r="BD29" s="19"/>
      <c r="BF29" s="19"/>
      <c r="BH29" s="51"/>
      <c r="BJ29" s="19"/>
      <c r="BK29" s="2"/>
      <c r="BL29" s="19"/>
      <c r="BM29" s="2"/>
      <c r="BN29" s="19"/>
      <c r="BP29" s="19"/>
      <c r="BR29" s="51"/>
      <c r="BT29" s="19"/>
      <c r="BU29" s="2"/>
      <c r="BV29" s="19"/>
      <c r="BW29" s="2"/>
      <c r="BX29" s="19"/>
      <c r="BZ29" s="19"/>
      <c r="CB29" s="51"/>
      <c r="CD29" s="19"/>
      <c r="CE29" s="2"/>
      <c r="CF29" s="19"/>
      <c r="CG29" s="2"/>
      <c r="CH29" s="19"/>
      <c r="CJ29" s="19"/>
      <c r="CL29" s="51"/>
      <c r="CN29" s="19"/>
      <c r="CO29" s="2"/>
      <c r="CP29" s="19"/>
      <c r="CQ29" s="2"/>
      <c r="CR29" s="19"/>
      <c r="CT29" s="19"/>
      <c r="CV29" s="51"/>
      <c r="CX29" s="19"/>
      <c r="CY29" s="2"/>
      <c r="CZ29" s="19"/>
      <c r="DA29" s="2"/>
      <c r="DB29" s="19"/>
      <c r="DD29" s="19"/>
      <c r="DF29" s="51"/>
      <c r="DH29" s="19"/>
      <c r="DI29" s="2"/>
      <c r="DJ29" s="19"/>
      <c r="DK29" s="2"/>
      <c r="DL29" s="19"/>
      <c r="DN29" s="19"/>
      <c r="DP29" s="51"/>
      <c r="DR29" s="19"/>
      <c r="DS29" s="2"/>
      <c r="DT29" s="19"/>
      <c r="DU29" s="2"/>
      <c r="DV29" s="19"/>
      <c r="DX29" s="19"/>
      <c r="DZ29" s="51"/>
      <c r="EA29" s="2"/>
      <c r="EB29" s="19"/>
      <c r="EC29" s="2"/>
      <c r="ED29" s="19"/>
      <c r="EE29" s="2"/>
      <c r="EF29" s="19"/>
      <c r="EH29" s="19"/>
      <c r="EJ29" s="51"/>
      <c r="EK29" s="2"/>
    </row>
    <row r="30" spans="1:141" ht="15.75" x14ac:dyDescent="0.2">
      <c r="A30" s="69" t="s">
        <v>125</v>
      </c>
      <c r="B30" s="18">
        <v>0</v>
      </c>
      <c r="C30" s="2"/>
      <c r="D30" s="18">
        <v>0</v>
      </c>
      <c r="E30" s="2"/>
      <c r="F30" s="18">
        <v>0</v>
      </c>
      <c r="G30" s="2"/>
      <c r="H30" s="19">
        <v>0</v>
      </c>
      <c r="I30" s="2"/>
      <c r="J30" s="51">
        <f>B30+D30+F30+H30</f>
        <v>0</v>
      </c>
      <c r="K30" s="2"/>
      <c r="L30" s="18">
        <v>0</v>
      </c>
      <c r="M30" s="2"/>
      <c r="N30" s="18">
        <v>0</v>
      </c>
      <c r="O30" s="27" t="s">
        <v>19</v>
      </c>
      <c r="P30" s="18">
        <v>0</v>
      </c>
      <c r="Q30" s="2"/>
      <c r="R30" s="18">
        <v>0</v>
      </c>
      <c r="S30" s="2"/>
      <c r="T30" s="51">
        <f>L30+N30+P30+R30</f>
        <v>0</v>
      </c>
      <c r="U30" s="27" t="s">
        <v>19</v>
      </c>
      <c r="V30" s="18">
        <v>0</v>
      </c>
      <c r="W30" s="2"/>
      <c r="X30" s="18">
        <v>0</v>
      </c>
      <c r="Y30" s="2"/>
      <c r="Z30" s="18">
        <v>0</v>
      </c>
      <c r="AA30" s="27" t="s">
        <v>19</v>
      </c>
      <c r="AB30" s="18">
        <v>0</v>
      </c>
      <c r="AC30" s="27" t="s">
        <v>26</v>
      </c>
      <c r="AD30" s="51">
        <f>V30+X30+Z30+AB30</f>
        <v>0</v>
      </c>
      <c r="AE30" s="27" t="s">
        <v>60</v>
      </c>
      <c r="AF30" s="18">
        <v>0</v>
      </c>
      <c r="AG30" s="2"/>
      <c r="AH30" s="18">
        <v>0</v>
      </c>
      <c r="AI30" s="2"/>
      <c r="AJ30" s="18">
        <v>0</v>
      </c>
      <c r="AK30" s="27"/>
      <c r="AL30" s="18">
        <v>0</v>
      </c>
      <c r="AM30" s="27"/>
      <c r="AN30" s="51">
        <f>AF30+AH30+AJ30+AL30</f>
        <v>0</v>
      </c>
      <c r="AO30" s="2"/>
      <c r="AP30" s="18">
        <v>0</v>
      </c>
      <c r="AQ30" s="2"/>
      <c r="AR30" s="18">
        <v>0</v>
      </c>
      <c r="AS30" s="2"/>
      <c r="AT30" s="18">
        <v>0</v>
      </c>
      <c r="AU30" s="18"/>
      <c r="AV30" s="18">
        <v>0</v>
      </c>
      <c r="AX30" s="51">
        <f>AP30+AR30+AT30+AV30</f>
        <v>0</v>
      </c>
      <c r="AZ30" s="18">
        <v>0</v>
      </c>
      <c r="BA30" s="2"/>
      <c r="BB30" s="18">
        <v>0</v>
      </c>
      <c r="BC30" s="2"/>
      <c r="BD30" s="18">
        <v>0</v>
      </c>
      <c r="BF30" s="18">
        <v>0</v>
      </c>
      <c r="BH30" s="51">
        <f>AZ30+BB30+BD30+BF30</f>
        <v>0</v>
      </c>
      <c r="BJ30" s="18">
        <v>0</v>
      </c>
      <c r="BK30" s="64">
        <v>-1</v>
      </c>
      <c r="BL30" s="18">
        <v>0</v>
      </c>
      <c r="BM30" s="2"/>
      <c r="BN30" s="18">
        <v>0</v>
      </c>
      <c r="BO30" s="64">
        <v>-4</v>
      </c>
      <c r="BP30" s="18">
        <v>0</v>
      </c>
      <c r="BQ30" s="64">
        <v>-6</v>
      </c>
      <c r="BR30" s="51">
        <f>BJ30+BL30+BN30+BP30</f>
        <v>0</v>
      </c>
      <c r="BS30" s="27" t="s">
        <v>103</v>
      </c>
      <c r="BT30" s="18">
        <v>0</v>
      </c>
      <c r="BU30" s="64"/>
      <c r="BV30" s="18">
        <v>0</v>
      </c>
      <c r="BW30" s="2"/>
      <c r="BX30" s="18">
        <v>0</v>
      </c>
      <c r="BY30" s="27" t="s">
        <v>115</v>
      </c>
      <c r="BZ30" s="18"/>
      <c r="CA30" s="64">
        <v>-4</v>
      </c>
      <c r="CB30" s="51">
        <f>BT30+BV30+BX30+BZ30</f>
        <v>0</v>
      </c>
      <c r="CC30" s="27" t="s">
        <v>122</v>
      </c>
      <c r="CD30" s="18">
        <v>0</v>
      </c>
      <c r="CE30" s="68">
        <v>-1</v>
      </c>
      <c r="CF30" s="18">
        <v>0</v>
      </c>
      <c r="CG30" s="2"/>
      <c r="CH30" s="18">
        <v>0</v>
      </c>
      <c r="CI30" s="64"/>
      <c r="CJ30" s="18">
        <v>0</v>
      </c>
      <c r="CK30" s="68" t="s">
        <v>133</v>
      </c>
      <c r="CL30" s="51">
        <f>CD30+CF30+CH30+CJ30</f>
        <v>0</v>
      </c>
      <c r="CM30" s="68" t="s">
        <v>134</v>
      </c>
      <c r="CN30" s="18">
        <v>0</v>
      </c>
      <c r="CO30" s="27" t="s">
        <v>19</v>
      </c>
      <c r="CP30" s="18">
        <v>0</v>
      </c>
      <c r="CQ30" s="27" t="s">
        <v>26</v>
      </c>
      <c r="CR30" s="18">
        <v>0</v>
      </c>
      <c r="CS30" s="27" t="s">
        <v>144</v>
      </c>
      <c r="CT30" s="18"/>
      <c r="CU30" s="27" t="s">
        <v>152</v>
      </c>
      <c r="CV30" s="51">
        <f>CN30+CP30+CR30+CT30</f>
        <v>0</v>
      </c>
      <c r="CW30" s="27" t="s">
        <v>154</v>
      </c>
      <c r="CX30" s="18">
        <v>0</v>
      </c>
      <c r="CY30" s="27" t="s">
        <v>19</v>
      </c>
      <c r="CZ30" s="18">
        <v>0</v>
      </c>
      <c r="DA30" s="27" t="s">
        <v>26</v>
      </c>
      <c r="DB30" s="18">
        <v>0</v>
      </c>
      <c r="DC30" s="27"/>
      <c r="DD30" s="18">
        <v>0</v>
      </c>
      <c r="DE30" s="27"/>
      <c r="DF30" s="51">
        <f>CX30+CZ30+DB30+DD30</f>
        <v>0</v>
      </c>
      <c r="DG30" s="27" t="s">
        <v>60</v>
      </c>
      <c r="DH30" s="18">
        <v>0</v>
      </c>
      <c r="DI30" s="27"/>
      <c r="DJ30" s="18">
        <v>0</v>
      </c>
      <c r="DK30" s="27"/>
      <c r="DL30" s="18">
        <v>0</v>
      </c>
      <c r="DM30" s="27"/>
      <c r="DN30" s="18">
        <v>0</v>
      </c>
      <c r="DO30" s="27" t="s">
        <v>19</v>
      </c>
      <c r="DP30" s="51">
        <f>DH30+DJ30+DL30+DN30</f>
        <v>0</v>
      </c>
      <c r="DQ30" s="27" t="s">
        <v>19</v>
      </c>
      <c r="DR30" s="18">
        <v>0</v>
      </c>
      <c r="DS30" s="27" t="s">
        <v>60</v>
      </c>
      <c r="DT30" s="18">
        <v>0</v>
      </c>
      <c r="DU30" s="27" t="s">
        <v>144</v>
      </c>
      <c r="DV30" s="18">
        <v>0</v>
      </c>
      <c r="DW30" s="27" t="s">
        <v>171</v>
      </c>
      <c r="DX30" s="18">
        <v>0</v>
      </c>
      <c r="DY30" s="27" t="s">
        <v>183</v>
      </c>
      <c r="DZ30" s="51">
        <f>DR30+DT30+DV30+DX30</f>
        <v>0</v>
      </c>
      <c r="EA30" s="27" t="s">
        <v>186</v>
      </c>
      <c r="EB30" s="18">
        <v>0</v>
      </c>
      <c r="EC30" s="27"/>
      <c r="ED30" s="18"/>
      <c r="EE30" s="27"/>
      <c r="EF30" s="18"/>
      <c r="EG30" s="27"/>
      <c r="EH30" s="18"/>
      <c r="EI30" s="27"/>
      <c r="EJ30" s="51">
        <f>EB30+ED30+EF30+EH30</f>
        <v>0</v>
      </c>
      <c r="EK30" s="27"/>
    </row>
    <row r="31" spans="1:141" ht="15.75" x14ac:dyDescent="0.2">
      <c r="A31" s="69" t="s">
        <v>21</v>
      </c>
      <c r="B31" s="18">
        <v>11251</v>
      </c>
      <c r="C31" s="2"/>
      <c r="D31" s="18">
        <v>10600</v>
      </c>
      <c r="E31" s="2"/>
      <c r="F31" s="18">
        <v>9920</v>
      </c>
      <c r="G31" s="2"/>
      <c r="H31" s="19">
        <v>10257.629999999999</v>
      </c>
      <c r="I31" s="2"/>
      <c r="J31" s="51">
        <f>B31+D31+F31+H31</f>
        <v>42028.63</v>
      </c>
      <c r="K31" s="2"/>
      <c r="L31" s="18">
        <v>11475.057940000001</v>
      </c>
      <c r="M31" s="2"/>
      <c r="N31" s="18">
        <v>12006</v>
      </c>
      <c r="O31" s="2"/>
      <c r="P31" s="18">
        <v>12708</v>
      </c>
      <c r="Q31" s="2"/>
      <c r="R31" s="18">
        <v>11904</v>
      </c>
      <c r="S31" s="2"/>
      <c r="T31" s="51">
        <f>L31+N31+P31+R31</f>
        <v>48093.057939999999</v>
      </c>
      <c r="U31" s="2"/>
      <c r="V31" s="18">
        <v>12869.114320000001</v>
      </c>
      <c r="W31" s="2"/>
      <c r="X31" s="18">
        <v>13934.133040000001</v>
      </c>
      <c r="Y31" s="2"/>
      <c r="Z31" s="18">
        <v>13974</v>
      </c>
      <c r="AA31" s="2"/>
      <c r="AB31" s="18">
        <v>14582</v>
      </c>
      <c r="AC31" s="2"/>
      <c r="AD31" s="51">
        <f>V31+X31+Z31+AB31</f>
        <v>55359.247360000001</v>
      </c>
      <c r="AE31" s="2"/>
      <c r="AF31" s="18">
        <v>15117</v>
      </c>
      <c r="AG31" s="2"/>
      <c r="AH31" s="18">
        <v>15285</v>
      </c>
      <c r="AI31" s="27" t="s">
        <v>19</v>
      </c>
      <c r="AJ31" s="18">
        <v>15325</v>
      </c>
      <c r="AK31" s="2"/>
      <c r="AL31" s="18">
        <v>15569</v>
      </c>
      <c r="AM31" s="2"/>
      <c r="AN31" s="51">
        <f>AF31+AH31+AJ31+AL31</f>
        <v>61296</v>
      </c>
      <c r="AO31" s="27" t="s">
        <v>19</v>
      </c>
      <c r="AP31" s="18">
        <v>16756</v>
      </c>
      <c r="AQ31" s="2"/>
      <c r="AR31" s="18">
        <v>16388</v>
      </c>
      <c r="AS31" s="27"/>
      <c r="AT31" s="18">
        <v>16617</v>
      </c>
      <c r="AU31" s="18"/>
      <c r="AV31" s="18">
        <v>16874</v>
      </c>
      <c r="AX31" s="51">
        <f>AP31+AR31+AT31+AV31</f>
        <v>66635</v>
      </c>
      <c r="AZ31" s="18">
        <v>18186</v>
      </c>
      <c r="BA31" s="2"/>
      <c r="BB31" s="18">
        <v>19392</v>
      </c>
      <c r="BC31" s="27"/>
      <c r="BD31" s="18">
        <v>18772</v>
      </c>
      <c r="BF31" s="18">
        <v>19131</v>
      </c>
      <c r="BH31" s="51">
        <f>AZ31+BB31+BD31+BF31</f>
        <v>75481</v>
      </c>
      <c r="BJ31" s="18">
        <v>19215</v>
      </c>
      <c r="BK31" s="2"/>
      <c r="BL31" s="18">
        <v>20290</v>
      </c>
      <c r="BM31" s="27"/>
      <c r="BN31" s="18">
        <f>21176</f>
        <v>21176</v>
      </c>
      <c r="BO31" s="64"/>
      <c r="BP31" s="18">
        <v>21609</v>
      </c>
      <c r="BR31" s="51">
        <f>BJ31+BL31+BN31+BP31</f>
        <v>82290</v>
      </c>
      <c r="BT31" s="18">
        <v>20958</v>
      </c>
      <c r="BU31" s="2"/>
      <c r="BV31" s="18">
        <v>21253</v>
      </c>
      <c r="BW31" s="27"/>
      <c r="BX31" s="18">
        <v>23806</v>
      </c>
      <c r="BY31" s="27" t="s">
        <v>118</v>
      </c>
      <c r="BZ31" s="18">
        <v>27539</v>
      </c>
      <c r="CB31" s="51">
        <f>BT31+BV31+BX31+BZ31</f>
        <v>93556</v>
      </c>
      <c r="CD31" s="18">
        <v>30998</v>
      </c>
      <c r="CE31" s="2"/>
      <c r="CF31" s="18">
        <v>30419</v>
      </c>
      <c r="CG31" s="27"/>
      <c r="CH31" s="18">
        <v>31701</v>
      </c>
      <c r="CI31" s="27"/>
      <c r="CJ31" s="18">
        <v>30585</v>
      </c>
      <c r="CL31" s="51">
        <f>CD31+CF31+CH31+CJ31</f>
        <v>123703</v>
      </c>
      <c r="CN31" s="18">
        <v>30949</v>
      </c>
      <c r="CO31" s="2"/>
      <c r="CP31" s="18">
        <v>32676</v>
      </c>
      <c r="CQ31" s="27"/>
      <c r="CR31" s="18">
        <v>30361</v>
      </c>
      <c r="CS31" s="27"/>
      <c r="CT31" s="18">
        <v>31646</v>
      </c>
      <c r="CV31" s="51">
        <f>CN31+CP31+CR31+CT31</f>
        <v>125632</v>
      </c>
      <c r="CX31" s="18">
        <v>34275</v>
      </c>
      <c r="CY31" s="2"/>
      <c r="CZ31" s="18">
        <v>34592</v>
      </c>
      <c r="DA31" s="27"/>
      <c r="DB31" s="18">
        <v>32714</v>
      </c>
      <c r="DC31" s="27"/>
      <c r="DD31" s="18">
        <v>36045</v>
      </c>
      <c r="DF31" s="51">
        <f>CX31+CZ31+DB31+DD31</f>
        <v>137626</v>
      </c>
      <c r="DH31" s="18">
        <v>31775</v>
      </c>
      <c r="DI31" s="2"/>
      <c r="DJ31" s="18">
        <v>32173</v>
      </c>
      <c r="DK31" s="27"/>
      <c r="DL31" s="18">
        <v>30796</v>
      </c>
      <c r="DM31" s="27"/>
      <c r="DN31" s="18">
        <v>31575</v>
      </c>
      <c r="DP31" s="51">
        <f>DH31+DJ31+DL31+DN31</f>
        <v>126319</v>
      </c>
      <c r="DR31" s="18">
        <v>34553</v>
      </c>
      <c r="DS31" s="2"/>
      <c r="DT31" s="18">
        <v>32047</v>
      </c>
      <c r="DU31" s="27"/>
      <c r="DV31" s="18">
        <v>33448</v>
      </c>
      <c r="DW31" s="27"/>
      <c r="DX31" s="18">
        <v>36093</v>
      </c>
      <c r="DZ31" s="51">
        <f>DR31+DT31+DV31+DX31</f>
        <v>136141</v>
      </c>
      <c r="EA31" s="2"/>
      <c r="EB31" s="18">
        <v>36245</v>
      </c>
      <c r="EC31" s="2"/>
      <c r="ED31" s="18">
        <v>34430</v>
      </c>
      <c r="EE31" s="27"/>
      <c r="EF31" s="18">
        <v>36214</v>
      </c>
      <c r="EG31" s="27"/>
      <c r="EH31" s="18"/>
      <c r="EJ31" s="51">
        <f>EB31+ED31+EF31+EH31</f>
        <v>106889</v>
      </c>
      <c r="EK31" s="2"/>
    </row>
    <row r="32" spans="1:141" ht="15.75" x14ac:dyDescent="0.2">
      <c r="A32" s="69" t="s">
        <v>155</v>
      </c>
      <c r="B32" s="20">
        <v>6390</v>
      </c>
      <c r="C32" s="2"/>
      <c r="D32" s="20">
        <v>6856</v>
      </c>
      <c r="E32" s="2"/>
      <c r="F32" s="20">
        <v>6845.3490000000002</v>
      </c>
      <c r="G32" s="2"/>
      <c r="H32" s="21">
        <v>7024.650999999998</v>
      </c>
      <c r="I32" s="2"/>
      <c r="J32" s="52">
        <f>B32+D32+F32+H32</f>
        <v>27116</v>
      </c>
      <c r="K32" s="2"/>
      <c r="L32" s="20">
        <v>6974.53017</v>
      </c>
      <c r="M32" s="2"/>
      <c r="N32" s="20">
        <v>6955</v>
      </c>
      <c r="O32" s="2"/>
      <c r="P32" s="20">
        <v>7168</v>
      </c>
      <c r="Q32" s="2"/>
      <c r="R32" s="20">
        <v>7205</v>
      </c>
      <c r="S32" s="2"/>
      <c r="T32" s="52">
        <f>L32+N32+P32+R32</f>
        <v>28302.530169999998</v>
      </c>
      <c r="U32" s="2"/>
      <c r="V32" s="20">
        <v>7268</v>
      </c>
      <c r="W32" s="2"/>
      <c r="X32" s="20">
        <v>7396.1364300000005</v>
      </c>
      <c r="Y32" s="2"/>
      <c r="Z32" s="20">
        <v>7738</v>
      </c>
      <c r="AA32" s="2"/>
      <c r="AB32" s="20">
        <v>7792</v>
      </c>
      <c r="AC32" s="2"/>
      <c r="AD32" s="52">
        <f>V32+X32+Z32+AB32</f>
        <v>30194.136429999999</v>
      </c>
      <c r="AE32" s="2"/>
      <c r="AF32" s="20">
        <v>720</v>
      </c>
      <c r="AG32" s="2"/>
      <c r="AH32" s="20">
        <v>922</v>
      </c>
      <c r="AI32" s="2"/>
      <c r="AJ32" s="20">
        <v>1557</v>
      </c>
      <c r="AK32" s="2"/>
      <c r="AL32" s="20">
        <v>1846</v>
      </c>
      <c r="AM32" s="2"/>
      <c r="AN32" s="52">
        <f>AF32+AH32+AJ32+AL32</f>
        <v>5045</v>
      </c>
      <c r="AO32" s="2"/>
      <c r="AP32" s="20">
        <v>2873</v>
      </c>
      <c r="AQ32" s="2"/>
      <c r="AR32" s="20">
        <v>3296</v>
      </c>
      <c r="AS32" s="2"/>
      <c r="AT32" s="20">
        <v>3183</v>
      </c>
      <c r="AU32" s="42"/>
      <c r="AV32" s="20">
        <v>3160</v>
      </c>
      <c r="AX32" s="52">
        <f>AP32+AR32+AT32+AV32</f>
        <v>12512</v>
      </c>
      <c r="AZ32" s="20">
        <v>2488</v>
      </c>
      <c r="BA32" s="2"/>
      <c r="BB32" s="20">
        <v>3158</v>
      </c>
      <c r="BC32" s="2"/>
      <c r="BD32" s="20">
        <v>2756</v>
      </c>
      <c r="BF32" s="20">
        <v>2378</v>
      </c>
      <c r="BH32" s="52">
        <f>AZ32+BB32+BD32+BF32</f>
        <v>10780</v>
      </c>
      <c r="BJ32" s="20">
        <v>2297</v>
      </c>
      <c r="BK32" s="2"/>
      <c r="BL32" s="20">
        <v>2155</v>
      </c>
      <c r="BM32" s="2"/>
      <c r="BN32" s="20">
        <v>2259</v>
      </c>
      <c r="BO32" s="64">
        <v>-3</v>
      </c>
      <c r="BP32" s="20">
        <f>1327</f>
        <v>1327</v>
      </c>
      <c r="BR32" s="52">
        <f>BJ32+BL32+BN32+BP32</f>
        <v>8038</v>
      </c>
      <c r="BS32" s="64">
        <v>-3</v>
      </c>
      <c r="BT32" s="20">
        <v>886</v>
      </c>
      <c r="BU32" s="2"/>
      <c r="BV32" s="20">
        <v>950</v>
      </c>
      <c r="BW32" s="2"/>
      <c r="BX32" s="20">
        <v>1009</v>
      </c>
      <c r="BY32" s="64"/>
      <c r="BZ32" s="20">
        <v>2728</v>
      </c>
      <c r="CB32" s="52">
        <f>BT32+BV32+BX32+BZ32</f>
        <v>5573</v>
      </c>
      <c r="CD32" s="20">
        <v>4038</v>
      </c>
      <c r="CE32" s="2"/>
      <c r="CF32" s="20">
        <v>3934</v>
      </c>
      <c r="CG32" s="2"/>
      <c r="CH32" s="20">
        <v>3953</v>
      </c>
      <c r="CI32" s="64"/>
      <c r="CJ32" s="20">
        <v>3809</v>
      </c>
      <c r="CL32" s="52">
        <f>CD32+CF32+CH32+CJ32</f>
        <v>15734</v>
      </c>
      <c r="CN32" s="20">
        <v>4930</v>
      </c>
      <c r="CO32" s="2"/>
      <c r="CP32" s="20">
        <v>3662</v>
      </c>
      <c r="CQ32" s="2"/>
      <c r="CR32" s="20">
        <v>3545</v>
      </c>
      <c r="CS32" s="64"/>
      <c r="CT32" s="20">
        <v>4500</v>
      </c>
      <c r="CV32" s="52">
        <f>CN32+CP32+CR32+CT32</f>
        <v>16637</v>
      </c>
      <c r="CX32" s="20">
        <v>337</v>
      </c>
      <c r="CY32" s="2"/>
      <c r="CZ32" s="20">
        <v>1506</v>
      </c>
      <c r="DA32" s="2"/>
      <c r="DB32" s="20">
        <v>585</v>
      </c>
      <c r="DC32" s="64"/>
      <c r="DD32" s="20">
        <v>415</v>
      </c>
      <c r="DF32" s="52">
        <f>CX32+CZ32+DB32+DD32</f>
        <v>2843</v>
      </c>
      <c r="DH32" s="20">
        <v>1051</v>
      </c>
      <c r="DI32" s="2"/>
      <c r="DJ32" s="20">
        <v>1540</v>
      </c>
      <c r="DK32" s="2"/>
      <c r="DL32" s="20">
        <v>529</v>
      </c>
      <c r="DM32" s="64"/>
      <c r="DN32" s="20">
        <v>134</v>
      </c>
      <c r="DP32" s="52">
        <f>DH32+DJ32+DL32+DN32</f>
        <v>3254</v>
      </c>
      <c r="DR32" s="20">
        <v>858</v>
      </c>
      <c r="DS32" s="2"/>
      <c r="DT32" s="20">
        <v>1132</v>
      </c>
      <c r="DU32" s="2"/>
      <c r="DV32" s="20">
        <v>1261</v>
      </c>
      <c r="DW32" s="64"/>
      <c r="DX32" s="20">
        <v>1424</v>
      </c>
      <c r="DZ32" s="52">
        <f>DR32+DT32+DV32+DX32</f>
        <v>4675</v>
      </c>
      <c r="EA32" s="2"/>
      <c r="EB32" s="20">
        <v>1335</v>
      </c>
      <c r="EC32" s="2"/>
      <c r="ED32" s="20">
        <v>1481</v>
      </c>
      <c r="EE32" s="2"/>
      <c r="EF32" s="20">
        <v>2447</v>
      </c>
      <c r="EG32" s="64"/>
      <c r="EH32" s="20"/>
      <c r="EJ32" s="52">
        <f>EB32+ED32+EF32+EH32</f>
        <v>5263</v>
      </c>
      <c r="EK32" s="2"/>
    </row>
    <row r="33" spans="1:141" x14ac:dyDescent="0.2">
      <c r="A33" s="2"/>
      <c r="B33" s="2"/>
      <c r="C33" s="2"/>
      <c r="D33" s="2"/>
      <c r="E33" s="2"/>
      <c r="F33" s="2"/>
      <c r="G33" s="2"/>
      <c r="H33" s="2"/>
      <c r="I33" s="2"/>
      <c r="J33" s="53"/>
      <c r="K33" s="2"/>
      <c r="L33" s="2"/>
      <c r="M33" s="2"/>
      <c r="N33" s="2"/>
      <c r="O33" s="2"/>
      <c r="P33" s="2"/>
      <c r="Q33" s="2"/>
      <c r="R33" s="14"/>
      <c r="S33" s="2"/>
      <c r="T33" s="53"/>
      <c r="U33" s="2"/>
      <c r="V33" s="2"/>
      <c r="W33" s="2"/>
      <c r="X33" s="2"/>
      <c r="Y33" s="2"/>
      <c r="Z33" s="2"/>
      <c r="AA33" s="2"/>
      <c r="AB33" s="14"/>
      <c r="AC33" s="2"/>
      <c r="AD33" s="53"/>
      <c r="AE33" s="2"/>
      <c r="AF33" s="2"/>
      <c r="AG33" s="2"/>
      <c r="AH33" s="2"/>
      <c r="AI33" s="2"/>
      <c r="AJ33" s="2"/>
      <c r="AK33" s="2"/>
      <c r="AL33" s="2"/>
      <c r="AM33" s="2"/>
      <c r="AN33" s="53"/>
      <c r="AO33" s="2"/>
      <c r="AP33" s="2"/>
      <c r="AQ33" s="2"/>
      <c r="AR33" s="2"/>
      <c r="AS33" s="2"/>
      <c r="AT33" s="2"/>
      <c r="AU33" s="2"/>
      <c r="AV33" s="2"/>
      <c r="AX33" s="53"/>
      <c r="AZ33" s="2"/>
      <c r="BA33" s="2"/>
      <c r="BB33" s="2"/>
      <c r="BC33" s="2"/>
      <c r="BD33" s="2"/>
      <c r="BF33" s="2"/>
      <c r="BH33" s="53"/>
      <c r="BJ33" s="2"/>
      <c r="BK33" s="2"/>
      <c r="BL33" s="2"/>
      <c r="BM33" s="2"/>
      <c r="BN33" s="2"/>
      <c r="BP33" s="2"/>
      <c r="BR33" s="53"/>
      <c r="BT33" s="2"/>
      <c r="BU33" s="2"/>
      <c r="BV33" s="2"/>
      <c r="BW33" s="2"/>
      <c r="BX33" s="2"/>
      <c r="BZ33" s="2"/>
      <c r="CB33" s="53"/>
      <c r="CD33" s="2"/>
      <c r="CE33" s="2"/>
      <c r="CF33" s="2"/>
      <c r="CG33" s="2"/>
      <c r="CH33" s="2"/>
      <c r="CJ33" s="2"/>
      <c r="CL33" s="53"/>
      <c r="CN33" s="2"/>
      <c r="CO33" s="2"/>
      <c r="CP33" s="2"/>
      <c r="CQ33" s="2"/>
      <c r="CR33" s="2"/>
      <c r="CT33" s="2"/>
      <c r="CV33" s="53"/>
      <c r="CX33" s="2"/>
      <c r="CY33" s="2"/>
      <c r="CZ33" s="2"/>
      <c r="DA33" s="2"/>
      <c r="DB33" s="2"/>
      <c r="DD33" s="2"/>
      <c r="DF33" s="53"/>
      <c r="DH33" s="2"/>
      <c r="DI33" s="2"/>
      <c r="DJ33" s="2"/>
      <c r="DK33" s="2"/>
      <c r="DL33" s="2"/>
      <c r="DN33" s="2"/>
      <c r="DP33" s="53"/>
      <c r="DR33" s="2"/>
      <c r="DS33" s="2"/>
      <c r="DT33" s="2"/>
      <c r="DU33" s="2"/>
      <c r="DV33" s="2"/>
      <c r="DX33" s="2"/>
      <c r="DZ33" s="53"/>
      <c r="EA33" s="2"/>
      <c r="EB33" s="2"/>
      <c r="EC33" s="2"/>
      <c r="ED33" s="2"/>
      <c r="EE33" s="2"/>
      <c r="EF33" s="2"/>
      <c r="EH33" s="2"/>
      <c r="EJ33" s="53"/>
      <c r="EK33" s="2"/>
    </row>
    <row r="34" spans="1:141" ht="15.75" x14ac:dyDescent="0.2">
      <c r="A34" s="71" t="s">
        <v>22</v>
      </c>
      <c r="B34" s="29">
        <f>SUM(B23:B32)</f>
        <v>302995</v>
      </c>
      <c r="C34" s="29"/>
      <c r="D34" s="29">
        <f>SUM(D23:D32)</f>
        <v>305633</v>
      </c>
      <c r="E34" s="29"/>
      <c r="F34" s="29">
        <f>SUM(F23:F32)</f>
        <v>301460.09299999999</v>
      </c>
      <c r="G34" s="29"/>
      <c r="H34" s="29">
        <f>SUM(H23:H32)</f>
        <v>317055.80300000001</v>
      </c>
      <c r="I34" s="29"/>
      <c r="J34" s="58">
        <f>SUM(J23:J32)</f>
        <v>1227143.7959999999</v>
      </c>
      <c r="K34" s="2"/>
      <c r="L34" s="29">
        <f>SUM(L23:L32)</f>
        <v>333974.47897</v>
      </c>
      <c r="M34" s="29"/>
      <c r="N34" s="29">
        <f>SUM(N23:N32)</f>
        <v>330444</v>
      </c>
      <c r="O34" s="29"/>
      <c r="P34" s="29">
        <f>SUM(P23:P32)</f>
        <v>341248</v>
      </c>
      <c r="Q34" s="29"/>
      <c r="R34" s="29">
        <f>SUM(R23:R32)</f>
        <v>351318</v>
      </c>
      <c r="S34" s="29"/>
      <c r="T34" s="58">
        <f>SUM(T23:T32)</f>
        <v>1356984.0789699999</v>
      </c>
      <c r="U34" s="2"/>
      <c r="V34" s="29">
        <f>SUM(V23:V32)</f>
        <v>377217.04686</v>
      </c>
      <c r="W34" s="29"/>
      <c r="X34" s="29">
        <f>SUM(X23:X32)</f>
        <v>376119.17491</v>
      </c>
      <c r="Y34" s="29"/>
      <c r="Z34" s="29">
        <f>SUM(Z23:Z32)</f>
        <v>398702</v>
      </c>
      <c r="AA34" s="29"/>
      <c r="AB34" s="29">
        <f>SUM(AB23:AB32)</f>
        <v>419904</v>
      </c>
      <c r="AC34" s="29"/>
      <c r="AD34" s="58">
        <f>SUM(AD23:AD32)</f>
        <v>1571941.7217699999</v>
      </c>
      <c r="AE34" s="2"/>
      <c r="AF34" s="29">
        <f>SUM(AF23:AF32)</f>
        <v>410314</v>
      </c>
      <c r="AG34" s="29"/>
      <c r="AH34" s="29">
        <f>SUM(AH23:AH32)</f>
        <v>404420</v>
      </c>
      <c r="AI34" s="29"/>
      <c r="AJ34" s="29">
        <f>SUM(AJ23:AJ32)</f>
        <v>410474</v>
      </c>
      <c r="AK34" s="29"/>
      <c r="AL34" s="29">
        <f>SUM(AL23:AL32)</f>
        <v>432387</v>
      </c>
      <c r="AM34" s="29"/>
      <c r="AN34" s="58">
        <f>SUM(AN23:AN32)</f>
        <v>1657595</v>
      </c>
      <c r="AO34" s="2"/>
      <c r="AP34" s="29">
        <f>SUM(AP23:AP32)</f>
        <v>470115</v>
      </c>
      <c r="AQ34" s="29"/>
      <c r="AR34" s="29">
        <f>SUM(AR23:AR32)</f>
        <v>456022</v>
      </c>
      <c r="AS34" s="29"/>
      <c r="AT34" s="29">
        <f>SUM(AT23:AT32)</f>
        <v>462323</v>
      </c>
      <c r="AU34" s="29"/>
      <c r="AV34" s="29">
        <f>SUM(AV23:AV32)</f>
        <v>469668</v>
      </c>
      <c r="AW34" s="29"/>
      <c r="AX34" s="58">
        <f>SUM(AX23:AX32)</f>
        <v>1858128</v>
      </c>
      <c r="AZ34" s="29">
        <f>SUM(AZ23:AZ32)</f>
        <v>492721</v>
      </c>
      <c r="BA34" s="29"/>
      <c r="BB34" s="29">
        <f>SUM(BB23:BB32)</f>
        <v>482762</v>
      </c>
      <c r="BC34" s="29"/>
      <c r="BD34" s="29">
        <f>SUM(BD23:BD32)</f>
        <v>498263</v>
      </c>
      <c r="BE34" s="27" t="s">
        <v>19</v>
      </c>
      <c r="BF34" s="29">
        <f>SUM(BF23:BF32)</f>
        <v>509558</v>
      </c>
      <c r="BH34" s="58">
        <f>SUM(BH23:BH32)</f>
        <v>1983304</v>
      </c>
      <c r="BI34" s="27" t="s">
        <v>19</v>
      </c>
      <c r="BJ34" s="29">
        <f>SUM(BJ23:BJ32)</f>
        <v>523817</v>
      </c>
      <c r="BK34" s="29"/>
      <c r="BL34" s="29">
        <f>SUM(BL23:BL32)</f>
        <v>507590</v>
      </c>
      <c r="BM34" s="29"/>
      <c r="BN34" s="29">
        <f>SUM(BN23:BN32)</f>
        <v>521757</v>
      </c>
      <c r="BO34" s="27"/>
      <c r="BP34" s="29">
        <f>SUM(BP23:BP32)</f>
        <v>520140</v>
      </c>
      <c r="BR34" s="58">
        <f>SUM(BR23:BR32)</f>
        <v>2073304</v>
      </c>
      <c r="BT34" s="29">
        <f>SUM(BT23:BT32)</f>
        <v>531491</v>
      </c>
      <c r="BU34" s="29"/>
      <c r="BV34" s="29">
        <f>SUM(BV23:BV32)</f>
        <v>508430</v>
      </c>
      <c r="BW34" s="29"/>
      <c r="BX34" s="29">
        <f>SUM(BX23:BX32)</f>
        <v>520013</v>
      </c>
      <c r="BZ34" s="29">
        <f>SUM(BZ23:BZ32)</f>
        <v>578730</v>
      </c>
      <c r="CB34" s="58">
        <f>SUM(CB23:CB32)</f>
        <v>2138664</v>
      </c>
      <c r="CD34" s="29">
        <f>SUM(CD23:CD32)</f>
        <v>657894</v>
      </c>
      <c r="CE34" s="29"/>
      <c r="CF34" s="29">
        <f>SUM(CF23:CF32)</f>
        <v>637134</v>
      </c>
      <c r="CG34" s="29"/>
      <c r="CH34" s="29">
        <f>SUM(CH23:CH32)</f>
        <v>649126</v>
      </c>
      <c r="CJ34" s="29">
        <f>SUM(CJ23:CJ32)</f>
        <v>656767</v>
      </c>
      <c r="CL34" s="58">
        <f>SUM(CL23:CL32)</f>
        <v>2600921</v>
      </c>
      <c r="CN34" s="29">
        <f>SUM(CN23:CN32)</f>
        <v>676196</v>
      </c>
      <c r="CO34" s="29"/>
      <c r="CP34" s="29">
        <f>SUM(CP23:CP32)</f>
        <v>644612</v>
      </c>
      <c r="CQ34" s="29"/>
      <c r="CR34" s="29">
        <f>SUM(CR23:CR32)</f>
        <v>649993</v>
      </c>
      <c r="CT34" s="29">
        <f>SUM(CT23:CT32)</f>
        <v>639093</v>
      </c>
      <c r="CV34" s="58">
        <f>SUM(CV23:CV32)</f>
        <v>2609894</v>
      </c>
      <c r="CX34" s="29">
        <f>SUM(CX23:CX32)</f>
        <v>649091</v>
      </c>
      <c r="CY34" s="29"/>
      <c r="CZ34" s="29">
        <f>SUM(CZ23:CZ32)</f>
        <v>606195</v>
      </c>
      <c r="DA34" s="29"/>
      <c r="DB34" s="29">
        <f>SUM(DB23:DB32)</f>
        <v>606884</v>
      </c>
      <c r="DD34" s="29">
        <f>SUM(DD23:DD32)</f>
        <v>598331</v>
      </c>
      <c r="DF34" s="58">
        <f>SUM(DF23:DF32)</f>
        <v>2460501</v>
      </c>
      <c r="DH34" s="29">
        <f>SUM(DH23:DH32)</f>
        <v>629716</v>
      </c>
      <c r="DI34" s="29"/>
      <c r="DJ34" s="29">
        <f>SUM(DJ23:DJ32)</f>
        <v>588712</v>
      </c>
      <c r="DK34" s="29"/>
      <c r="DL34" s="29">
        <f>SUM(DL23:DL32)</f>
        <v>595187</v>
      </c>
      <c r="DN34" s="29">
        <f>SUM(DN23:DN32)</f>
        <v>595309</v>
      </c>
      <c r="DP34" s="58">
        <f>SUM(DP23:DP32)</f>
        <v>2408924</v>
      </c>
      <c r="DR34" s="29">
        <f>SUM(DR23:DR32)</f>
        <v>651639</v>
      </c>
      <c r="DS34" s="29"/>
      <c r="DT34" s="29">
        <f>SUM(DT23:DT32)</f>
        <v>620168</v>
      </c>
      <c r="DU34" s="29"/>
      <c r="DV34" s="29">
        <f>SUM(DV23:DV32)</f>
        <v>638889</v>
      </c>
      <c r="DX34" s="29">
        <f>SUM(DX23:DX32)</f>
        <v>654268</v>
      </c>
      <c r="DZ34" s="58">
        <f>SUM(DZ23:DZ32)</f>
        <v>2564964</v>
      </c>
      <c r="EA34" s="29"/>
      <c r="EB34" s="29">
        <f>SUM(EB23:EB32)</f>
        <v>743220</v>
      </c>
      <c r="EC34" s="29"/>
      <c r="ED34" s="29">
        <f>SUM(ED23:ED32)</f>
        <v>670671</v>
      </c>
      <c r="EE34" s="29"/>
      <c r="EF34" s="29">
        <f>SUM(EF23:EF32)</f>
        <v>671201</v>
      </c>
      <c r="EH34" s="29">
        <f>SUM(EH23:EH32)</f>
        <v>0</v>
      </c>
      <c r="EJ34" s="58">
        <f>SUM(EJ23:EJ32)</f>
        <v>2085092</v>
      </c>
      <c r="EK34" s="29"/>
    </row>
    <row r="35" spans="1:141" x14ac:dyDescent="0.2">
      <c r="A35" s="2"/>
      <c r="B35" s="2"/>
      <c r="C35" s="2"/>
      <c r="D35" s="2"/>
      <c r="E35" s="2"/>
      <c r="F35" s="2"/>
      <c r="G35" s="2"/>
      <c r="H35" s="28"/>
      <c r="I35" s="2"/>
      <c r="J35" s="53"/>
      <c r="K35" s="2"/>
      <c r="L35" s="2"/>
      <c r="M35" s="2"/>
      <c r="N35" s="2"/>
      <c r="O35" s="2"/>
      <c r="P35" s="2"/>
      <c r="Q35" s="2"/>
      <c r="R35" s="2"/>
      <c r="S35" s="2"/>
      <c r="T35" s="53"/>
      <c r="U35" s="2"/>
      <c r="V35" s="2"/>
      <c r="W35" s="2"/>
      <c r="X35" s="2"/>
      <c r="Y35" s="2"/>
      <c r="Z35" s="2"/>
      <c r="AA35" s="2"/>
      <c r="AB35" s="2"/>
      <c r="AC35" s="2"/>
      <c r="AD35" s="53"/>
      <c r="AE35" s="2"/>
      <c r="AF35" s="2"/>
      <c r="AG35" s="2"/>
      <c r="AH35" s="2"/>
      <c r="AI35" s="2"/>
      <c r="AJ35" s="2"/>
      <c r="AK35" s="2"/>
      <c r="AL35" s="2"/>
      <c r="AM35" s="2"/>
      <c r="AN35" s="53"/>
      <c r="AO35" s="2"/>
      <c r="AP35" s="2"/>
      <c r="AQ35" s="2"/>
      <c r="AR35" s="2"/>
      <c r="AS35" s="2"/>
      <c r="AT35" s="2"/>
      <c r="AU35" s="2"/>
      <c r="AV35" s="2"/>
      <c r="AX35" s="53"/>
      <c r="AZ35" s="2"/>
      <c r="BA35" s="2"/>
      <c r="BB35" s="2"/>
      <c r="BC35" s="2"/>
      <c r="BD35" s="2"/>
      <c r="BF35" s="2"/>
      <c r="BH35" s="53"/>
      <c r="BJ35" s="2"/>
      <c r="BK35" s="2"/>
      <c r="BL35" s="2"/>
      <c r="BM35" s="2"/>
      <c r="BN35" s="2"/>
      <c r="BP35" s="2"/>
      <c r="BR35" s="53"/>
      <c r="BT35" s="2"/>
      <c r="BU35" s="2"/>
      <c r="BV35" s="2"/>
      <c r="BW35" s="2"/>
      <c r="BX35" s="2"/>
      <c r="BZ35" s="2"/>
      <c r="CB35" s="53"/>
      <c r="CD35" s="2"/>
      <c r="CE35" s="2"/>
      <c r="CF35" s="2"/>
      <c r="CG35" s="2"/>
      <c r="CH35" s="2"/>
      <c r="CJ35" s="2"/>
      <c r="CL35" s="53"/>
      <c r="CN35" s="2"/>
      <c r="CO35" s="2"/>
      <c r="CP35" s="2"/>
      <c r="CQ35" s="2"/>
      <c r="CR35" s="2"/>
      <c r="CT35" s="2"/>
      <c r="CV35" s="53"/>
      <c r="CX35" s="2"/>
      <c r="CY35" s="2"/>
      <c r="CZ35" s="2"/>
      <c r="DA35" s="2"/>
      <c r="DB35" s="2"/>
      <c r="DD35" s="2"/>
      <c r="DF35" s="53"/>
      <c r="DH35" s="2"/>
      <c r="DI35" s="2"/>
      <c r="DJ35" s="2"/>
      <c r="DK35" s="2"/>
      <c r="DL35" s="2"/>
      <c r="DN35" s="2"/>
      <c r="DP35" s="53"/>
      <c r="DR35" s="2"/>
      <c r="DS35" s="2"/>
      <c r="DT35" s="2"/>
      <c r="DU35" s="2"/>
      <c r="DV35" s="2"/>
      <c r="DX35" s="2"/>
      <c r="DZ35" s="53"/>
      <c r="EA35" s="2"/>
      <c r="EB35" s="2"/>
      <c r="EC35" s="2"/>
      <c r="ED35" s="2"/>
      <c r="EE35" s="2"/>
      <c r="EF35" s="2"/>
      <c r="EH35" s="2"/>
      <c r="EJ35" s="53"/>
      <c r="EK35" s="2"/>
    </row>
    <row r="36" spans="1:141" x14ac:dyDescent="0.2">
      <c r="A36" s="6" t="s">
        <v>23</v>
      </c>
      <c r="B36" s="22">
        <f>B19-B34</f>
        <v>41702</v>
      </c>
      <c r="C36" s="22"/>
      <c r="D36" s="22">
        <f>D19-D34</f>
        <v>45788</v>
      </c>
      <c r="E36" s="22"/>
      <c r="F36" s="22">
        <f>F19-F34</f>
        <v>48959.514000000025</v>
      </c>
      <c r="G36" s="22"/>
      <c r="H36" s="22">
        <f>H19-H34</f>
        <v>53572.901999999885</v>
      </c>
      <c r="I36" s="22"/>
      <c r="J36" s="54">
        <f>J19-J34</f>
        <v>190023.01600000029</v>
      </c>
      <c r="K36" s="6"/>
      <c r="L36" s="22">
        <f>L19-L34</f>
        <v>58551.728600000031</v>
      </c>
      <c r="M36" s="22"/>
      <c r="N36" s="22">
        <f>N19-N34</f>
        <v>61801</v>
      </c>
      <c r="O36" s="22"/>
      <c r="P36" s="22">
        <f>P19-P34</f>
        <v>63720</v>
      </c>
      <c r="Q36" s="22"/>
      <c r="R36" s="22">
        <f>R19-R34</f>
        <v>60557</v>
      </c>
      <c r="S36" s="22"/>
      <c r="T36" s="54">
        <f>T19-T34</f>
        <v>244629.72860000026</v>
      </c>
      <c r="U36" s="6"/>
      <c r="V36" s="22">
        <f>V19-V34</f>
        <v>62485.298119999992</v>
      </c>
      <c r="W36" s="22"/>
      <c r="X36" s="22">
        <f>X19-X34</f>
        <v>66639.578660000057</v>
      </c>
      <c r="Y36" s="22"/>
      <c r="Z36" s="22">
        <f>Z19-Z34</f>
        <v>48372</v>
      </c>
      <c r="AA36" s="22"/>
      <c r="AB36" s="22">
        <f>AB19-AB34</f>
        <v>59089</v>
      </c>
      <c r="AC36" s="22"/>
      <c r="AD36" s="54">
        <f>AD19-AD34</f>
        <v>236585.87678000005</v>
      </c>
      <c r="AE36" s="6"/>
      <c r="AF36" s="22">
        <f>AF19-AF34</f>
        <v>88296</v>
      </c>
      <c r="AG36" s="22"/>
      <c r="AH36" s="22">
        <f>AH19-AH34</f>
        <v>90240</v>
      </c>
      <c r="AI36" s="22"/>
      <c r="AJ36" s="22">
        <f>AJ19-AJ34</f>
        <v>84087</v>
      </c>
      <c r="AK36" s="22"/>
      <c r="AL36" s="22">
        <f>AL19-AL34</f>
        <v>89826</v>
      </c>
      <c r="AM36" s="22"/>
      <c r="AN36" s="54">
        <f>AN19-AN34</f>
        <v>352449</v>
      </c>
      <c r="AO36" s="6"/>
      <c r="AP36" s="22">
        <f>AP19-AP34</f>
        <v>96291</v>
      </c>
      <c r="AQ36" s="22"/>
      <c r="AR36" s="22">
        <f>AR19-AR34</f>
        <v>97238</v>
      </c>
      <c r="AS36" s="22"/>
      <c r="AT36" s="22">
        <f>AT19-AT34</f>
        <v>87502</v>
      </c>
      <c r="AU36" s="22"/>
      <c r="AV36" s="22">
        <f>AV19-AV34</f>
        <v>88991</v>
      </c>
      <c r="AW36" s="22"/>
      <c r="AX36" s="54">
        <f>AX19-AX34</f>
        <v>370022</v>
      </c>
      <c r="AZ36" s="22">
        <f>AZ19-AZ34</f>
        <v>92659</v>
      </c>
      <c r="BA36" s="22"/>
      <c r="BB36" s="22">
        <f>BB19-BB34</f>
        <v>90223</v>
      </c>
      <c r="BC36" s="22"/>
      <c r="BD36" s="22">
        <f>BD19-BD34</f>
        <v>71344</v>
      </c>
      <c r="BF36" s="22">
        <f>BF19-BF34</f>
        <v>75725</v>
      </c>
      <c r="BH36" s="54">
        <f>BH19-BH34</f>
        <v>329951</v>
      </c>
      <c r="BJ36" s="22">
        <f>BJ19-BJ34</f>
        <v>77992</v>
      </c>
      <c r="BK36" s="22"/>
      <c r="BL36" s="22">
        <f>BL19-BL34</f>
        <v>72988</v>
      </c>
      <c r="BM36" s="22"/>
      <c r="BN36" s="22">
        <f>BN19-BN34</f>
        <v>51750</v>
      </c>
      <c r="BP36" s="22">
        <f>BP19-BP34</f>
        <v>63073</v>
      </c>
      <c r="BR36" s="54">
        <f>BR19-BR34</f>
        <v>265803</v>
      </c>
      <c r="BT36" s="22">
        <f>BT19-BT34</f>
        <v>75484</v>
      </c>
      <c r="BU36" s="22"/>
      <c r="BV36" s="22">
        <f>BV19-BV34</f>
        <v>75193</v>
      </c>
      <c r="BW36" s="22"/>
      <c r="BX36" s="22">
        <f>BX19-BX34</f>
        <v>67171</v>
      </c>
      <c r="BZ36" s="22">
        <f>BZ19-BZ34</f>
        <v>77396</v>
      </c>
      <c r="CB36" s="54">
        <f>CB19-CB34</f>
        <v>295244</v>
      </c>
      <c r="CD36" s="22">
        <f>CD19-CD34</f>
        <v>97405</v>
      </c>
      <c r="CE36" s="22"/>
      <c r="CF36" s="22">
        <f>CF19-CF34</f>
        <v>87024</v>
      </c>
      <c r="CG36" s="22"/>
      <c r="CH36" s="22">
        <f>CH19-CH34</f>
        <v>56675</v>
      </c>
      <c r="CJ36" s="22">
        <f>CJ19-CJ34</f>
        <v>60196</v>
      </c>
      <c r="CL36" s="54">
        <f>CL19-CL34</f>
        <v>301300</v>
      </c>
      <c r="CN36" s="22">
        <f>CN19-CN34</f>
        <v>80440</v>
      </c>
      <c r="CO36" s="22"/>
      <c r="CP36" s="22">
        <f>CP19-CP34</f>
        <v>74419</v>
      </c>
      <c r="CQ36" s="22"/>
      <c r="CR36" s="22">
        <f>CR19-CR34</f>
        <v>58762</v>
      </c>
      <c r="CT36" s="22">
        <f>CT19-CT34</f>
        <v>60657</v>
      </c>
      <c r="CV36" s="54">
        <f>CV19-CV34</f>
        <v>274278</v>
      </c>
      <c r="CX36" s="22">
        <f>CX19-CX34</f>
        <v>79092</v>
      </c>
      <c r="CY36" s="22"/>
      <c r="CZ36" s="22">
        <f>CZ19-CZ34</f>
        <v>73414</v>
      </c>
      <c r="DA36" s="22"/>
      <c r="DB36" s="22">
        <f>DB19-DB34</f>
        <v>64367</v>
      </c>
      <c r="DD36" s="22">
        <f>DD19-DD34</f>
        <v>74582</v>
      </c>
      <c r="DF36" s="54">
        <f>DF19-DF34</f>
        <v>291455</v>
      </c>
      <c r="DH36" s="22">
        <f>DH19-DH34</f>
        <v>88703</v>
      </c>
      <c r="DI36" s="22"/>
      <c r="DJ36" s="22">
        <f>DJ19-DJ34</f>
        <v>82831</v>
      </c>
      <c r="DK36" s="22"/>
      <c r="DL36" s="22">
        <f>DL19-DL34</f>
        <v>69393</v>
      </c>
      <c r="DN36" s="22">
        <f>DN19-DN34</f>
        <v>81781</v>
      </c>
      <c r="DP36" s="54">
        <f>DP19-DP34</f>
        <v>322708</v>
      </c>
      <c r="DR36" s="22">
        <f>DR19-DR34</f>
        <v>90539</v>
      </c>
      <c r="DS36" s="22"/>
      <c r="DT36" s="22">
        <f>DT19-DT34</f>
        <v>78085</v>
      </c>
      <c r="DU36" s="22"/>
      <c r="DV36" s="22">
        <f>DV19-DV34</f>
        <v>65382</v>
      </c>
      <c r="DX36" s="22">
        <f>DX19-DX34</f>
        <v>83214</v>
      </c>
      <c r="DZ36" s="54">
        <f>DZ19-DZ34</f>
        <v>317220</v>
      </c>
      <c r="EA36" s="22"/>
      <c r="EB36" s="22">
        <f>EB19-EB34</f>
        <v>92034</v>
      </c>
      <c r="EC36" s="22"/>
      <c r="ED36" s="22">
        <f>ED19-ED34</f>
        <v>79027</v>
      </c>
      <c r="EE36" s="22"/>
      <c r="EF36" s="22">
        <f>EF19-EF34</f>
        <v>68113</v>
      </c>
      <c r="EH36" s="22">
        <f>EH19-EH34</f>
        <v>0</v>
      </c>
      <c r="EJ36" s="54">
        <f>EJ19-EJ34</f>
        <v>239174</v>
      </c>
      <c r="EK36" s="22"/>
    </row>
    <row r="37" spans="1:141" x14ac:dyDescent="0.2">
      <c r="A37" s="2"/>
      <c r="B37" s="14"/>
      <c r="C37" s="2"/>
      <c r="D37" s="14"/>
      <c r="E37" s="2"/>
      <c r="F37" s="14"/>
      <c r="G37" s="2"/>
      <c r="H37" s="14"/>
      <c r="I37" s="2"/>
      <c r="J37" s="59"/>
      <c r="K37" s="2"/>
      <c r="L37" s="14"/>
      <c r="M37" s="2"/>
      <c r="N37" s="14"/>
      <c r="O37" s="2"/>
      <c r="P37" s="14"/>
      <c r="Q37" s="2"/>
      <c r="R37" s="14"/>
      <c r="S37" s="2"/>
      <c r="T37" s="59"/>
      <c r="U37" s="2"/>
      <c r="V37" s="14"/>
      <c r="W37" s="2"/>
      <c r="X37" s="14"/>
      <c r="Y37" s="2"/>
      <c r="Z37" s="14"/>
      <c r="AA37" s="2"/>
      <c r="AB37" s="14"/>
      <c r="AC37" s="2"/>
      <c r="AD37" s="59"/>
      <c r="AE37" s="2"/>
      <c r="AF37" s="14"/>
      <c r="AG37" s="2"/>
      <c r="AH37" s="14"/>
      <c r="AI37" s="2"/>
      <c r="AJ37" s="14"/>
      <c r="AK37" s="2"/>
      <c r="AL37" s="14"/>
      <c r="AM37" s="2"/>
      <c r="AN37" s="59"/>
      <c r="AO37" s="2"/>
      <c r="AP37" s="14"/>
      <c r="AQ37" s="2"/>
      <c r="AR37" s="14"/>
      <c r="AS37" s="2"/>
      <c r="AT37" s="14"/>
      <c r="AU37" s="14"/>
      <c r="AV37" s="14"/>
      <c r="AX37" s="59"/>
      <c r="AZ37" s="14"/>
      <c r="BA37" s="2"/>
      <c r="BB37" s="14"/>
      <c r="BC37" s="2"/>
      <c r="BD37" s="14"/>
      <c r="BF37" s="14"/>
      <c r="BH37" s="59"/>
      <c r="BJ37" s="14"/>
      <c r="BK37" s="2"/>
      <c r="BL37" s="14"/>
      <c r="BM37" s="2"/>
      <c r="BN37" s="14"/>
      <c r="BP37" s="14"/>
      <c r="BR37" s="59"/>
      <c r="BT37" s="14"/>
      <c r="BU37" s="2"/>
      <c r="BV37" s="14"/>
      <c r="BW37" s="2"/>
      <c r="BX37" s="14"/>
      <c r="BZ37" s="14"/>
      <c r="CB37" s="59"/>
      <c r="CD37" s="14"/>
      <c r="CE37" s="2"/>
      <c r="CF37" s="14"/>
      <c r="CG37" s="2"/>
      <c r="CH37" s="14"/>
      <c r="CJ37" s="14"/>
      <c r="CL37" s="59"/>
      <c r="CN37" s="14"/>
      <c r="CO37" s="2"/>
      <c r="CP37" s="14"/>
      <c r="CQ37" s="2"/>
      <c r="CR37" s="14"/>
      <c r="CT37" s="14"/>
      <c r="CV37" s="59"/>
      <c r="CX37" s="14"/>
      <c r="CY37" s="2"/>
      <c r="CZ37" s="14"/>
      <c r="DA37" s="2"/>
      <c r="DB37" s="14"/>
      <c r="DD37" s="14"/>
      <c r="DF37" s="59"/>
      <c r="DH37" s="14"/>
      <c r="DI37" s="2"/>
      <c r="DJ37" s="14"/>
      <c r="DK37" s="2"/>
      <c r="DL37" s="14"/>
      <c r="DN37" s="14"/>
      <c r="DP37" s="59"/>
      <c r="DR37" s="14"/>
      <c r="DS37" s="2"/>
      <c r="DT37" s="14"/>
      <c r="DU37" s="2"/>
      <c r="DV37" s="14"/>
      <c r="DX37" s="14"/>
      <c r="DZ37" s="59"/>
      <c r="EA37" s="2"/>
      <c r="EB37" s="14"/>
      <c r="EC37" s="2"/>
      <c r="ED37" s="14"/>
      <c r="EE37" s="2"/>
      <c r="EF37" s="14"/>
      <c r="EH37" s="14"/>
      <c r="EJ37" s="59"/>
      <c r="EK37" s="2"/>
    </row>
    <row r="38" spans="1:141" x14ac:dyDescent="0.2">
      <c r="A38" s="69" t="s">
        <v>24</v>
      </c>
      <c r="B38" s="18">
        <v>-286</v>
      </c>
      <c r="C38" s="2"/>
      <c r="D38" s="18">
        <v>-50</v>
      </c>
      <c r="E38" s="2"/>
      <c r="F38" s="18">
        <v>-54.183999999999997</v>
      </c>
      <c r="G38" s="2"/>
      <c r="H38" s="19">
        <v>-513.38300000000004</v>
      </c>
      <c r="I38" s="2"/>
      <c r="J38" s="51">
        <f>B38+D38+F38+H38</f>
        <v>-903.56700000000001</v>
      </c>
      <c r="K38" s="2"/>
      <c r="L38" s="18">
        <v>-256.96935999999999</v>
      </c>
      <c r="M38" s="2"/>
      <c r="N38" s="18">
        <v>-117</v>
      </c>
      <c r="O38" s="2"/>
      <c r="P38" s="18">
        <v>-720</v>
      </c>
      <c r="Q38" s="2"/>
      <c r="R38" s="18">
        <v>-612</v>
      </c>
      <c r="S38" s="2"/>
      <c r="T38" s="51">
        <f>L38+N38+P38+R38</f>
        <v>-1705.9693600000001</v>
      </c>
      <c r="U38" s="2"/>
      <c r="V38" s="18">
        <v>-361.49</v>
      </c>
      <c r="W38" s="2"/>
      <c r="X38" s="18">
        <v>-226.98482999999999</v>
      </c>
      <c r="Y38" s="2"/>
      <c r="Z38" s="18">
        <v>-282</v>
      </c>
      <c r="AA38" s="2"/>
      <c r="AB38" s="18">
        <v>-223.5396199999999</v>
      </c>
      <c r="AC38" s="2"/>
      <c r="AD38" s="51">
        <f>V38+X38+Z38+AB38</f>
        <v>-1094.0144499999999</v>
      </c>
      <c r="AE38" s="2"/>
      <c r="AF38" s="18">
        <v>-723</v>
      </c>
      <c r="AG38" s="2"/>
      <c r="AH38" s="18">
        <v>-705</v>
      </c>
      <c r="AI38" s="2"/>
      <c r="AJ38" s="18">
        <v>-588</v>
      </c>
      <c r="AK38" s="2"/>
      <c r="AL38" s="18">
        <v>-660</v>
      </c>
      <c r="AM38" s="2"/>
      <c r="AN38" s="51">
        <f>AF38+AH38+AJ38+AL38</f>
        <v>-2676</v>
      </c>
      <c r="AO38" s="2"/>
      <c r="AP38" s="18">
        <v>-771</v>
      </c>
      <c r="AQ38" s="2"/>
      <c r="AR38" s="18">
        <v>-1208</v>
      </c>
      <c r="AS38" s="2"/>
      <c r="AT38" s="18">
        <v>-1305</v>
      </c>
      <c r="AU38" s="18"/>
      <c r="AV38" s="18">
        <v>-1361</v>
      </c>
      <c r="AX38" s="51">
        <f>AP38+AR38+AT38+AV38</f>
        <v>-4645</v>
      </c>
      <c r="AZ38" s="18">
        <v>-1503</v>
      </c>
      <c r="BA38" s="2"/>
      <c r="BB38" s="18">
        <v>-1488</v>
      </c>
      <c r="BC38" s="2"/>
      <c r="BD38" s="18">
        <v>-1391</v>
      </c>
      <c r="BF38" s="18">
        <v>-1255</v>
      </c>
      <c r="BH38" s="51">
        <f>AZ38+BB38+BD38+BF38</f>
        <v>-5637</v>
      </c>
      <c r="BJ38" s="18">
        <v>-1402</v>
      </c>
      <c r="BK38" s="2"/>
      <c r="BL38" s="18">
        <v>-1351</v>
      </c>
      <c r="BM38" s="2"/>
      <c r="BN38" s="18">
        <v>-1331</v>
      </c>
      <c r="BP38" s="18">
        <v>-1408</v>
      </c>
      <c r="BR38" s="51">
        <f>BJ38+BL38+BN38+BP38</f>
        <v>-5492</v>
      </c>
      <c r="BT38" s="18">
        <v>-1460</v>
      </c>
      <c r="BU38" s="2"/>
      <c r="BV38" s="18">
        <v>-1399</v>
      </c>
      <c r="BW38" s="2"/>
      <c r="BX38" s="18">
        <v>-1335</v>
      </c>
      <c r="BZ38" s="18">
        <v>-1362</v>
      </c>
      <c r="CB38" s="51">
        <f>BT38+BV38+BX38+BZ38</f>
        <v>-5556</v>
      </c>
      <c r="CD38" s="18">
        <v>-1761</v>
      </c>
      <c r="CE38" s="2"/>
      <c r="CF38" s="18">
        <v>-1473</v>
      </c>
      <c r="CG38" s="2"/>
      <c r="CH38" s="18">
        <v>-1703</v>
      </c>
      <c r="CJ38" s="18">
        <v>-1890</v>
      </c>
      <c r="CL38" s="51">
        <f>CD38+CF38+CH38+CJ38</f>
        <v>-6827</v>
      </c>
      <c r="CN38" s="18">
        <v>-1864</v>
      </c>
      <c r="CO38" s="2"/>
      <c r="CP38" s="18">
        <v>-2289</v>
      </c>
      <c r="CQ38" s="2"/>
      <c r="CR38" s="18">
        <v>-2073</v>
      </c>
      <c r="CT38" s="18">
        <v>-2634</v>
      </c>
      <c r="CV38" s="51">
        <f>CN38+CP38+CR38+CT38</f>
        <v>-8860</v>
      </c>
      <c r="CX38" s="18">
        <v>-269</v>
      </c>
      <c r="CY38" s="2"/>
      <c r="CZ38" s="18">
        <v>-267</v>
      </c>
      <c r="DA38" s="2"/>
      <c r="DB38" s="18">
        <v>-153</v>
      </c>
      <c r="DD38" s="18">
        <v>-148</v>
      </c>
      <c r="DF38" s="51">
        <f>CX38+CZ38+DB38+DD38</f>
        <v>-837</v>
      </c>
      <c r="DH38" s="18">
        <v>-168</v>
      </c>
      <c r="DI38" s="2"/>
      <c r="DJ38" s="18">
        <v>-156</v>
      </c>
      <c r="DK38" s="2"/>
      <c r="DL38" s="18">
        <v>-282</v>
      </c>
      <c r="DN38" s="18">
        <v>-248</v>
      </c>
      <c r="DP38" s="51">
        <f>DH38+DJ38+DL38+DN38</f>
        <v>-854</v>
      </c>
      <c r="DR38" s="18">
        <v>-154</v>
      </c>
      <c r="DS38" s="2"/>
      <c r="DT38" s="18">
        <v>-237</v>
      </c>
      <c r="DU38" s="2"/>
      <c r="DV38" s="18">
        <v>-91</v>
      </c>
      <c r="DX38" s="18">
        <v>-145</v>
      </c>
      <c r="DZ38" s="51">
        <f>DR38+DT38+DV38+DX38</f>
        <v>-627</v>
      </c>
      <c r="EA38" s="2"/>
      <c r="EB38" s="18">
        <v>-181</v>
      </c>
      <c r="EC38" s="2"/>
      <c r="ED38" s="18">
        <v>-122</v>
      </c>
      <c r="EE38" s="2"/>
      <c r="EF38" s="18">
        <v>-167</v>
      </c>
      <c r="EH38" s="18"/>
      <c r="EJ38" s="51">
        <f>EB38+ED38+EF38+EH38</f>
        <v>-470</v>
      </c>
      <c r="EK38" s="2"/>
    </row>
    <row r="39" spans="1:141" x14ac:dyDescent="0.2">
      <c r="A39" s="69" t="s">
        <v>25</v>
      </c>
      <c r="B39" s="18">
        <v>18642</v>
      </c>
      <c r="C39" s="2"/>
      <c r="D39" s="18">
        <v>18865</v>
      </c>
      <c r="E39" s="2"/>
      <c r="F39" s="18">
        <v>18717.044999999998</v>
      </c>
      <c r="G39" s="2"/>
      <c r="H39" s="19">
        <v>19448.752000000008</v>
      </c>
      <c r="I39" s="2"/>
      <c r="J39" s="51">
        <f>B39+D39+F39+H39</f>
        <v>75672.797000000006</v>
      </c>
      <c r="K39" s="2"/>
      <c r="L39" s="18">
        <v>19008</v>
      </c>
      <c r="M39" s="2"/>
      <c r="N39" s="18">
        <v>18361</v>
      </c>
      <c r="O39" s="2"/>
      <c r="P39" s="18">
        <v>18915</v>
      </c>
      <c r="Q39" s="2"/>
      <c r="R39" s="18">
        <v>18040</v>
      </c>
      <c r="S39" s="2"/>
      <c r="T39" s="51">
        <f>L39+N39+P39+R39</f>
        <v>74324</v>
      </c>
      <c r="U39" s="2"/>
      <c r="V39" s="18">
        <v>16510.442869999999</v>
      </c>
      <c r="W39" s="2"/>
      <c r="X39" s="18">
        <v>15868</v>
      </c>
      <c r="Y39" s="2"/>
      <c r="Z39" s="18">
        <v>14837</v>
      </c>
      <c r="AA39" s="2"/>
      <c r="AB39" s="18">
        <v>13659</v>
      </c>
      <c r="AC39" s="2"/>
      <c r="AD39" s="51">
        <f>V39+X39+Z39+AB39</f>
        <v>60874.442869999999</v>
      </c>
      <c r="AE39" s="2"/>
      <c r="AF39" s="18">
        <v>15798</v>
      </c>
      <c r="AG39" s="2"/>
      <c r="AH39" s="18">
        <v>15557</v>
      </c>
      <c r="AI39" s="2"/>
      <c r="AJ39" s="18">
        <v>15301</v>
      </c>
      <c r="AK39" s="2"/>
      <c r="AL39" s="18">
        <v>15117</v>
      </c>
      <c r="AM39" s="2"/>
      <c r="AN39" s="51">
        <f>AF39+AH39+AJ39+AL39</f>
        <v>61773</v>
      </c>
      <c r="AO39" s="2"/>
      <c r="AP39" s="18">
        <v>13523</v>
      </c>
      <c r="AQ39" s="2"/>
      <c r="AR39" s="18">
        <v>13070</v>
      </c>
      <c r="AS39" s="2"/>
      <c r="AT39" s="18">
        <v>11565</v>
      </c>
      <c r="AU39" s="18"/>
      <c r="AV39" s="18">
        <v>10419</v>
      </c>
      <c r="AX39" s="51">
        <f>AP39+AR39+AT39+AV39</f>
        <v>48577</v>
      </c>
      <c r="AZ39" s="18">
        <v>10359</v>
      </c>
      <c r="BA39" s="2"/>
      <c r="BB39" s="18">
        <v>10252</v>
      </c>
      <c r="BC39" s="2"/>
      <c r="BD39" s="18">
        <v>9914</v>
      </c>
      <c r="BF39" s="18">
        <v>10435</v>
      </c>
      <c r="BH39" s="51">
        <f>AZ39+BB39+BD39+BF39</f>
        <v>40960</v>
      </c>
      <c r="BJ39" s="18">
        <v>10868</v>
      </c>
      <c r="BK39" s="2"/>
      <c r="BL39" s="18">
        <v>10786</v>
      </c>
      <c r="BM39" s="2"/>
      <c r="BN39" s="18">
        <v>11802</v>
      </c>
      <c r="BP39" s="18">
        <v>12739</v>
      </c>
      <c r="BR39" s="51">
        <f>BJ39+BL39+BN39+BP39</f>
        <v>46195</v>
      </c>
      <c r="BT39" s="18">
        <v>13023</v>
      </c>
      <c r="BU39" s="2"/>
      <c r="BV39" s="18">
        <v>13301</v>
      </c>
      <c r="BW39" s="2"/>
      <c r="BX39" s="18">
        <v>13322</v>
      </c>
      <c r="BZ39" s="18">
        <v>18913</v>
      </c>
      <c r="CB39" s="51">
        <f>BT39+BV39+BX39+BZ39</f>
        <v>58559</v>
      </c>
      <c r="CD39" s="18">
        <v>24096</v>
      </c>
      <c r="CE39" s="2"/>
      <c r="CF39" s="18">
        <v>23431</v>
      </c>
      <c r="CG39" s="2"/>
      <c r="CH39" s="18">
        <v>23419</v>
      </c>
      <c r="CJ39" s="18">
        <v>23832</v>
      </c>
      <c r="CL39" s="51">
        <f>CD39+CF39+CH39+CJ39</f>
        <v>94778</v>
      </c>
      <c r="CN39" s="18">
        <v>20927</v>
      </c>
      <c r="CO39" s="2"/>
      <c r="CP39" s="18">
        <v>16739</v>
      </c>
      <c r="CQ39" s="2"/>
      <c r="CR39" s="18">
        <v>15040</v>
      </c>
      <c r="CT39" s="18">
        <v>13535</v>
      </c>
      <c r="CV39" s="51">
        <f>CN39+CP39+CR39+CT39</f>
        <v>66241</v>
      </c>
      <c r="CX39" s="18">
        <v>9232</v>
      </c>
      <c r="CY39" s="2"/>
      <c r="CZ39" s="18">
        <v>8045</v>
      </c>
      <c r="DA39" s="2"/>
      <c r="DB39" s="18">
        <v>4866</v>
      </c>
      <c r="DD39" s="18">
        <v>4648</v>
      </c>
      <c r="DF39" s="51">
        <f>CX39+CZ39+DB39+DD39</f>
        <v>26791</v>
      </c>
      <c r="DH39" s="18">
        <v>6083</v>
      </c>
      <c r="DI39" s="2"/>
      <c r="DJ39" s="18">
        <v>6051</v>
      </c>
      <c r="DK39" s="2"/>
      <c r="DL39" s="18">
        <v>6085</v>
      </c>
      <c r="DN39" s="18">
        <v>8547</v>
      </c>
      <c r="DP39" s="51">
        <f>DH39+DJ39+DL39+DN39</f>
        <v>26766</v>
      </c>
      <c r="DR39" s="18">
        <v>9760</v>
      </c>
      <c r="DS39" s="2"/>
      <c r="DT39" s="18">
        <v>9613</v>
      </c>
      <c r="DU39" s="2"/>
      <c r="DV39" s="18">
        <v>8811</v>
      </c>
      <c r="DX39" s="18">
        <v>9050</v>
      </c>
      <c r="DZ39" s="51">
        <f>DR39+DT39+DV39+DX39</f>
        <v>37234</v>
      </c>
      <c r="EA39" s="2"/>
      <c r="EB39" s="18">
        <v>8977</v>
      </c>
      <c r="EC39" s="2"/>
      <c r="ED39" s="18">
        <v>8343</v>
      </c>
      <c r="EE39" s="2"/>
      <c r="EF39" s="18">
        <v>8096</v>
      </c>
      <c r="EH39" s="18"/>
      <c r="EJ39" s="51">
        <f>EB39+ED39+EF39+EH39</f>
        <v>25416</v>
      </c>
      <c r="EK39" s="2"/>
    </row>
    <row r="40" spans="1:141" ht="15.75" x14ac:dyDescent="0.2">
      <c r="A40" s="69" t="s">
        <v>125</v>
      </c>
      <c r="B40" s="20">
        <v>0</v>
      </c>
      <c r="C40" s="2"/>
      <c r="D40" s="20">
        <v>0</v>
      </c>
      <c r="E40" s="2"/>
      <c r="F40" s="20">
        <v>0</v>
      </c>
      <c r="G40" s="2"/>
      <c r="H40" s="21">
        <v>0</v>
      </c>
      <c r="I40" s="2"/>
      <c r="J40" s="52">
        <f>B40+D40+F40+H40</f>
        <v>0</v>
      </c>
      <c r="K40" s="2"/>
      <c r="L40" s="20">
        <v>0</v>
      </c>
      <c r="M40" s="2"/>
      <c r="N40" s="20">
        <v>0</v>
      </c>
      <c r="O40" s="2"/>
      <c r="P40" s="20">
        <v>0</v>
      </c>
      <c r="Q40" s="2"/>
      <c r="R40" s="20">
        <v>0</v>
      </c>
      <c r="S40" s="2"/>
      <c r="T40" s="52">
        <f>L40+N40+P40+R40</f>
        <v>0</v>
      </c>
      <c r="U40" s="2"/>
      <c r="V40" s="20">
        <v>0</v>
      </c>
      <c r="W40" s="2"/>
      <c r="X40" s="20">
        <v>0</v>
      </c>
      <c r="Y40" s="2"/>
      <c r="Z40" s="20">
        <v>0</v>
      </c>
      <c r="AA40" s="2"/>
      <c r="AB40" s="20">
        <v>0</v>
      </c>
      <c r="AC40" s="2"/>
      <c r="AD40" s="52">
        <f>V40+X40+Z40+AB40</f>
        <v>0</v>
      </c>
      <c r="AE40" s="2"/>
      <c r="AF40" s="20">
        <v>0</v>
      </c>
      <c r="AG40" s="2"/>
      <c r="AH40" s="20">
        <v>0</v>
      </c>
      <c r="AI40" s="27" t="s">
        <v>26</v>
      </c>
      <c r="AJ40" s="20">
        <v>0</v>
      </c>
      <c r="AK40" s="2"/>
      <c r="AL40" s="20">
        <v>0</v>
      </c>
      <c r="AM40" s="2"/>
      <c r="AN40" s="52">
        <f>AF40+AH40+AJ40+AL40</f>
        <v>0</v>
      </c>
      <c r="AO40" s="27" t="s">
        <v>26</v>
      </c>
      <c r="AP40" s="20">
        <v>0</v>
      </c>
      <c r="AQ40" s="2"/>
      <c r="AR40" s="20">
        <v>0</v>
      </c>
      <c r="AS40" s="27"/>
      <c r="AT40" s="20">
        <v>0</v>
      </c>
      <c r="AU40" s="27" t="s">
        <v>19</v>
      </c>
      <c r="AV40" s="20">
        <v>0</v>
      </c>
      <c r="AX40" s="52">
        <f>AP40+AR40+AT40+AV40</f>
        <v>0</v>
      </c>
      <c r="AY40" s="27" t="s">
        <v>19</v>
      </c>
      <c r="AZ40" s="20">
        <v>0</v>
      </c>
      <c r="BA40" s="2"/>
      <c r="BB40" s="20">
        <v>0</v>
      </c>
      <c r="BC40" s="27"/>
      <c r="BD40" s="20">
        <v>0</v>
      </c>
      <c r="BF40" s="20">
        <v>0</v>
      </c>
      <c r="BG40" s="64">
        <v>-2</v>
      </c>
      <c r="BH40" s="52">
        <f>AZ40+BB40+BD40+BF40</f>
        <v>0</v>
      </c>
      <c r="BI40" s="64">
        <v>-2</v>
      </c>
      <c r="BJ40" s="20">
        <v>0</v>
      </c>
      <c r="BL40" s="20">
        <v>0</v>
      </c>
      <c r="BN40" s="20">
        <v>0</v>
      </c>
      <c r="BP40" s="20">
        <v>0</v>
      </c>
      <c r="BQ40" s="64"/>
      <c r="BR40" s="52">
        <f>BJ40+BL40+BN40+BP40</f>
        <v>0</v>
      </c>
      <c r="BS40" s="64"/>
      <c r="BT40" s="20">
        <v>0</v>
      </c>
      <c r="BV40" s="20">
        <v>0</v>
      </c>
      <c r="BX40" s="20">
        <v>0</v>
      </c>
      <c r="BY40" s="64">
        <v>-3</v>
      </c>
      <c r="BZ40" s="20">
        <v>0</v>
      </c>
      <c r="CA40" s="64">
        <v>-5</v>
      </c>
      <c r="CB40" s="52">
        <f>BT40+BV40+BX40+BZ40</f>
        <v>0</v>
      </c>
      <c r="CC40" s="75" t="s">
        <v>104</v>
      </c>
      <c r="CD40" s="20">
        <v>0</v>
      </c>
      <c r="CF40" s="20">
        <v>0</v>
      </c>
      <c r="CH40" s="20">
        <v>0</v>
      </c>
      <c r="CI40" s="64"/>
      <c r="CJ40" s="20">
        <v>0</v>
      </c>
      <c r="CK40" s="64"/>
      <c r="CL40" s="52">
        <f>CD40+CF40+CH40+CJ40</f>
        <v>0</v>
      </c>
      <c r="CN40" s="20">
        <v>0</v>
      </c>
      <c r="CP40" s="20">
        <v>0</v>
      </c>
      <c r="CR40" s="20">
        <v>0</v>
      </c>
      <c r="CS40" s="64"/>
      <c r="CT40" s="20">
        <v>0</v>
      </c>
      <c r="CU40" s="68" t="s">
        <v>153</v>
      </c>
      <c r="CV40" s="52">
        <f>CN40+CP40+CR40+CT40</f>
        <v>0</v>
      </c>
      <c r="CW40" s="68" t="s">
        <v>153</v>
      </c>
      <c r="CX40" s="20">
        <v>0</v>
      </c>
      <c r="CZ40" s="20">
        <v>0</v>
      </c>
      <c r="DB40" s="20">
        <v>0</v>
      </c>
      <c r="DC40" s="64"/>
      <c r="DD40" s="20">
        <v>0</v>
      </c>
      <c r="DE40" s="68"/>
      <c r="DF40" s="52">
        <f>CX40+CZ40+DB40+DD40</f>
        <v>0</v>
      </c>
      <c r="DH40" s="20">
        <v>0</v>
      </c>
      <c r="DJ40" s="20">
        <v>0</v>
      </c>
      <c r="DL40" s="20">
        <v>0</v>
      </c>
      <c r="DM40" s="64"/>
      <c r="DN40" s="20">
        <v>0</v>
      </c>
      <c r="DO40" s="27" t="s">
        <v>26</v>
      </c>
      <c r="DP40" s="52">
        <f>DH40+DJ40+DL40+DN40</f>
        <v>0</v>
      </c>
      <c r="DQ40" s="27" t="s">
        <v>26</v>
      </c>
      <c r="DR40" s="20">
        <v>0</v>
      </c>
      <c r="DT40" s="20">
        <v>0</v>
      </c>
      <c r="DV40" s="20">
        <v>0</v>
      </c>
      <c r="DW40" s="64"/>
      <c r="DX40" s="20">
        <v>0</v>
      </c>
      <c r="DY40" s="27"/>
      <c r="DZ40" s="52">
        <f>DR40+DT40+DV40+DX40</f>
        <v>0</v>
      </c>
      <c r="EB40" s="20">
        <v>0</v>
      </c>
      <c r="ED40" s="20">
        <v>0</v>
      </c>
      <c r="EF40" s="20">
        <v>0</v>
      </c>
      <c r="EG40" s="64"/>
      <c r="EH40" s="20"/>
      <c r="EI40" s="27"/>
      <c r="EJ40" s="52">
        <f>EB40+ED40+EF40+EH40</f>
        <v>0</v>
      </c>
    </row>
    <row r="41" spans="1:141" x14ac:dyDescent="0.2">
      <c r="A41" s="2"/>
      <c r="B41" s="2"/>
      <c r="C41" s="2"/>
      <c r="D41" s="2"/>
      <c r="E41" s="2"/>
      <c r="F41" s="2"/>
      <c r="G41" s="2"/>
      <c r="H41" s="2"/>
      <c r="I41" s="2"/>
      <c r="J41" s="53"/>
      <c r="K41" s="2"/>
      <c r="L41" s="2"/>
      <c r="M41" s="2"/>
      <c r="N41" s="2"/>
      <c r="O41" s="2"/>
      <c r="P41" s="2"/>
      <c r="Q41" s="2"/>
      <c r="R41" s="2"/>
      <c r="S41" s="2"/>
      <c r="T41" s="53"/>
      <c r="U41" s="2"/>
      <c r="V41" s="2"/>
      <c r="W41" s="2"/>
      <c r="X41" s="2"/>
      <c r="Y41" s="2"/>
      <c r="Z41" s="2"/>
      <c r="AA41" s="2"/>
      <c r="AB41" s="2"/>
      <c r="AC41" s="2"/>
      <c r="AD41" s="53"/>
      <c r="AE41" s="2"/>
      <c r="AF41" s="2"/>
      <c r="AG41" s="2"/>
      <c r="AH41" s="2"/>
      <c r="AI41" s="2"/>
      <c r="AJ41" s="2"/>
      <c r="AK41" s="2"/>
      <c r="AL41" s="2"/>
      <c r="AM41" s="2"/>
      <c r="AN41" s="53"/>
      <c r="AO41" s="2"/>
      <c r="AP41" s="2"/>
      <c r="AQ41" s="2"/>
      <c r="AR41" s="2"/>
      <c r="AS41" s="2"/>
      <c r="AT41" s="2"/>
      <c r="AU41" s="2"/>
      <c r="AV41" s="2"/>
      <c r="AX41" s="53"/>
      <c r="AZ41" s="2"/>
      <c r="BA41" s="2"/>
      <c r="BB41" s="2"/>
      <c r="BC41" s="2"/>
      <c r="BD41" s="2"/>
      <c r="BF41" s="2"/>
      <c r="BH41" s="53"/>
      <c r="BJ41" s="2"/>
      <c r="BK41" s="2"/>
      <c r="BL41" s="2"/>
      <c r="BM41" s="2"/>
      <c r="BN41" s="2"/>
      <c r="BP41" s="2"/>
      <c r="BR41" s="53"/>
      <c r="BT41" s="2"/>
      <c r="BU41" s="2"/>
      <c r="BV41" s="2"/>
      <c r="BW41" s="2"/>
      <c r="BX41" s="2"/>
      <c r="BZ41" s="2"/>
      <c r="CB41" s="53"/>
      <c r="CD41" s="2"/>
      <c r="CE41" s="2"/>
      <c r="CF41" s="2"/>
      <c r="CG41" s="2"/>
      <c r="CH41" s="2"/>
      <c r="CJ41" s="2"/>
      <c r="CL41" s="53"/>
      <c r="CN41" s="2"/>
      <c r="CO41" s="2"/>
      <c r="CP41" s="2"/>
      <c r="CQ41" s="2"/>
      <c r="CR41" s="2"/>
      <c r="CT41" s="2"/>
      <c r="CV41" s="53"/>
      <c r="CX41" s="2"/>
      <c r="CY41" s="2"/>
      <c r="CZ41" s="2"/>
      <c r="DA41" s="2"/>
      <c r="DB41" s="2"/>
      <c r="DD41" s="2"/>
      <c r="DF41" s="53"/>
      <c r="DH41" s="2"/>
      <c r="DI41" s="2"/>
      <c r="DJ41" s="2"/>
      <c r="DK41" s="2"/>
      <c r="DL41" s="2"/>
      <c r="DN41" s="2"/>
      <c r="DP41" s="53"/>
      <c r="DR41" s="2"/>
      <c r="DS41" s="2"/>
      <c r="DT41" s="2"/>
      <c r="DU41" s="2"/>
      <c r="DV41" s="2"/>
      <c r="DX41" s="2"/>
      <c r="DZ41" s="53"/>
      <c r="EA41" s="2"/>
      <c r="EB41" s="2"/>
      <c r="EC41" s="2"/>
      <c r="ED41" s="2"/>
      <c r="EE41" s="2"/>
      <c r="EF41" s="2"/>
      <c r="EH41" s="2"/>
      <c r="EJ41" s="53"/>
      <c r="EK41" s="2"/>
    </row>
    <row r="42" spans="1:141" x14ac:dyDescent="0.2">
      <c r="A42" s="6" t="s">
        <v>27</v>
      </c>
      <c r="B42" s="22">
        <f>B36-B38-B39-B40</f>
        <v>23346</v>
      </c>
      <c r="C42" s="22"/>
      <c r="D42" s="22">
        <f>D36-D38-D39-D40</f>
        <v>26973</v>
      </c>
      <c r="E42" s="22"/>
      <c r="F42" s="22">
        <f>F36-F38-F39-F40</f>
        <v>30296.653000000028</v>
      </c>
      <c r="G42" s="22"/>
      <c r="H42" s="22">
        <f>H36-H38-H39-H40</f>
        <v>34637.532999999879</v>
      </c>
      <c r="I42" s="22"/>
      <c r="J42" s="54">
        <f>J36-J38-J39-J40</f>
        <v>115253.7860000003</v>
      </c>
      <c r="K42" s="6"/>
      <c r="L42" s="22">
        <f>L36-L38-L39-L40</f>
        <v>39800.697960000034</v>
      </c>
      <c r="M42" s="22"/>
      <c r="N42" s="22">
        <f>N36-N38-N39-N40</f>
        <v>43557</v>
      </c>
      <c r="O42" s="22"/>
      <c r="P42" s="22">
        <f>P36-P38-P39-P40</f>
        <v>45525</v>
      </c>
      <c r="Q42" s="22"/>
      <c r="R42" s="22">
        <f>R36-R38-R39-R40</f>
        <v>43129</v>
      </c>
      <c r="S42" s="22"/>
      <c r="T42" s="54">
        <f>T36-T38-T39-T40</f>
        <v>172011.69796000025</v>
      </c>
      <c r="U42" s="6"/>
      <c r="V42" s="22">
        <f>V36-V38-V39-V40</f>
        <v>46336.345249999991</v>
      </c>
      <c r="W42" s="22"/>
      <c r="X42" s="22">
        <f>X36-X38-X39-X40</f>
        <v>50998.563490000059</v>
      </c>
      <c r="Y42" s="22"/>
      <c r="Z42" s="22">
        <f>Z36-Z38-Z39-Z40</f>
        <v>33817</v>
      </c>
      <c r="AA42" s="22"/>
      <c r="AB42" s="22">
        <f>AB36-AB38-AB39-AB40</f>
        <v>45653.539620000003</v>
      </c>
      <c r="AC42" s="22"/>
      <c r="AD42" s="54">
        <f>AD36-AD38-AD39-AD40</f>
        <v>176805.44836000004</v>
      </c>
      <c r="AE42" s="6"/>
      <c r="AF42" s="22">
        <f>AF36-AF38-AF39-AF40</f>
        <v>73221</v>
      </c>
      <c r="AG42" s="22"/>
      <c r="AH42" s="22">
        <f>AH36-AH38-AH39-AH40</f>
        <v>75388</v>
      </c>
      <c r="AI42" s="22"/>
      <c r="AJ42" s="22">
        <f>AJ36-AJ38-AJ39-AJ40</f>
        <v>69374</v>
      </c>
      <c r="AK42" s="22"/>
      <c r="AL42" s="22">
        <f>AL36-AL38-AL39-AL40</f>
        <v>75369</v>
      </c>
      <c r="AM42" s="22"/>
      <c r="AN42" s="54">
        <f>AN36-AN38-AN39-AN40</f>
        <v>293352</v>
      </c>
      <c r="AO42" s="6"/>
      <c r="AP42" s="22">
        <f>AP36-AP38-AP39-AP40</f>
        <v>83539</v>
      </c>
      <c r="AQ42" s="22"/>
      <c r="AR42" s="22">
        <f>AR36-AR38-AR39-AR40</f>
        <v>85376</v>
      </c>
      <c r="AS42" s="22"/>
      <c r="AT42" s="22">
        <f>AT36-AT38-AT39-AT40</f>
        <v>77242</v>
      </c>
      <c r="AU42" s="22"/>
      <c r="AV42" s="22">
        <f>AV36-AV38-AV39-AV40</f>
        <v>79933</v>
      </c>
      <c r="AW42" s="22"/>
      <c r="AX42" s="54">
        <f>AX36-AX38-AX39-AX40</f>
        <v>326090</v>
      </c>
      <c r="AZ42" s="22">
        <f>AZ36-AZ38-AZ39-AZ40</f>
        <v>83803</v>
      </c>
      <c r="BA42" s="22"/>
      <c r="BB42" s="22">
        <f>BB36-BB38-BB39-BB40</f>
        <v>81459</v>
      </c>
      <c r="BC42" s="22"/>
      <c r="BD42" s="22">
        <f>BD36-BD38-BD39-BD40</f>
        <v>62821</v>
      </c>
      <c r="BF42" s="22">
        <f>BF36-BF38-BF39-BF40</f>
        <v>66545</v>
      </c>
      <c r="BH42" s="54">
        <f>BH36-BH38-BH39-BH40</f>
        <v>294628</v>
      </c>
      <c r="BJ42" s="22">
        <f>BJ36-BJ38-BJ39-BJ40</f>
        <v>68526</v>
      </c>
      <c r="BK42" s="22"/>
      <c r="BL42" s="22">
        <f>BL36-BL38-BL39-BL40</f>
        <v>63553</v>
      </c>
      <c r="BM42" s="22"/>
      <c r="BN42" s="22">
        <f>BN36-BN38-BN39-BN40</f>
        <v>41279</v>
      </c>
      <c r="BP42" s="22">
        <f>BP36-BP38-BP39-BP40</f>
        <v>51742</v>
      </c>
      <c r="BR42" s="54">
        <f>BR36-BR38-BR39-BR40</f>
        <v>225100</v>
      </c>
      <c r="BT42" s="22">
        <f>BT36-BT38-BT39-BT40</f>
        <v>63921</v>
      </c>
      <c r="BU42" s="22"/>
      <c r="BV42" s="22">
        <f>BV36-BV38-BV39-BV40</f>
        <v>63291</v>
      </c>
      <c r="BW42" s="22"/>
      <c r="BX42" s="22">
        <f>BX36-BX38-BX39-BX40</f>
        <v>55184</v>
      </c>
      <c r="BZ42" s="22">
        <f>BZ36-BZ38-BZ39-BZ40</f>
        <v>59845</v>
      </c>
      <c r="CB42" s="54">
        <f>CB36-CB38-CB39-CB40</f>
        <v>242241</v>
      </c>
      <c r="CD42" s="22">
        <f>CD36-CD38-CD39-CD40</f>
        <v>75070</v>
      </c>
      <c r="CE42" s="22"/>
      <c r="CF42" s="22">
        <f>CF36-CF38-CF39-CF40</f>
        <v>65066</v>
      </c>
      <c r="CG42" s="22"/>
      <c r="CH42" s="22">
        <f>CH36-CH38-CH39-CH40</f>
        <v>34959</v>
      </c>
      <c r="CJ42" s="22">
        <f>CJ36-CJ38-CJ39-CJ40</f>
        <v>38254</v>
      </c>
      <c r="CL42" s="54">
        <f>CL36-CL38-CL39-CL40</f>
        <v>213349</v>
      </c>
      <c r="CN42" s="22">
        <f>CN36-CN38-CN39-CN40</f>
        <v>61377</v>
      </c>
      <c r="CO42" s="22"/>
      <c r="CP42" s="22">
        <f>CP36-CP38-CP39-CP40</f>
        <v>59969</v>
      </c>
      <c r="CQ42" s="22"/>
      <c r="CR42" s="22">
        <f>CR36-CR38-CR39-CR40</f>
        <v>45795</v>
      </c>
      <c r="CT42" s="22">
        <f>CT36-CT38-CT39-CT40</f>
        <v>49756</v>
      </c>
      <c r="CV42" s="54">
        <f>CV36-CV38-CV39-CV40</f>
        <v>216897</v>
      </c>
      <c r="CX42" s="22">
        <f>CX36-CX38-CX39-CX40</f>
        <v>70129</v>
      </c>
      <c r="CY42" s="22"/>
      <c r="CZ42" s="22">
        <f>CZ36-CZ38-CZ39-CZ40</f>
        <v>65636</v>
      </c>
      <c r="DA42" s="22"/>
      <c r="DB42" s="22">
        <f>DB36-DB38-DB39-DB40</f>
        <v>59654</v>
      </c>
      <c r="DD42" s="22">
        <f>DD36-DD38-DD39-DD40</f>
        <v>70082</v>
      </c>
      <c r="DF42" s="54">
        <f>DF36-DF38-DF39-DF40</f>
        <v>265501</v>
      </c>
      <c r="DH42" s="22">
        <f>DH36-DH38-DH39-DH40</f>
        <v>82788</v>
      </c>
      <c r="DI42" s="22"/>
      <c r="DJ42" s="22">
        <f>DJ36-DJ38-DJ39-DJ40</f>
        <v>76936</v>
      </c>
      <c r="DK42" s="22"/>
      <c r="DL42" s="22">
        <f>DL36-DL38-DL39-DL40</f>
        <v>63590</v>
      </c>
      <c r="DN42" s="22">
        <f>DN36-DN38-DN39-DN40</f>
        <v>73482</v>
      </c>
      <c r="DP42" s="54">
        <f>DP36-DP38-DP39-DP40</f>
        <v>296796</v>
      </c>
      <c r="DR42" s="22">
        <f>DR36-DR38-DR39-DR40</f>
        <v>80933</v>
      </c>
      <c r="DS42" s="22"/>
      <c r="DT42" s="22">
        <f>DT36-DT38-DT39-DT40</f>
        <v>68709</v>
      </c>
      <c r="DU42" s="22"/>
      <c r="DV42" s="22">
        <f>DV36-DV38-DV39-DV40</f>
        <v>56662</v>
      </c>
      <c r="DX42" s="22">
        <f>DX36-DX38-DX39-DX40</f>
        <v>74309</v>
      </c>
      <c r="DZ42" s="54">
        <f>DZ36-DZ38-DZ39-DZ40</f>
        <v>280613</v>
      </c>
      <c r="EA42" s="22"/>
      <c r="EB42" s="22">
        <f>EB36-EB38-EB39-EB40</f>
        <v>83238</v>
      </c>
      <c r="EC42" s="22"/>
      <c r="ED42" s="22">
        <f>ED36-ED38-ED39-ED40</f>
        <v>70806</v>
      </c>
      <c r="EE42" s="22"/>
      <c r="EF42" s="22">
        <f>EF36-EF38-EF39-EF40</f>
        <v>60184</v>
      </c>
      <c r="EH42" s="22">
        <f>EH36-EH38-EH39-EH40</f>
        <v>0</v>
      </c>
      <c r="EJ42" s="54">
        <f>EJ36-EJ38-EJ39-EJ40</f>
        <v>214228</v>
      </c>
      <c r="EK42" s="22"/>
    </row>
    <row r="43" spans="1:141" x14ac:dyDescent="0.2">
      <c r="A43" s="2"/>
      <c r="B43" s="2"/>
      <c r="C43" s="2"/>
      <c r="D43" s="2"/>
      <c r="E43" s="2"/>
      <c r="F43" s="2"/>
      <c r="G43" s="2"/>
      <c r="H43" s="2"/>
      <c r="I43" s="2"/>
      <c r="J43" s="57"/>
      <c r="K43" s="2"/>
      <c r="L43" s="2"/>
      <c r="M43" s="2"/>
      <c r="N43" s="2"/>
      <c r="O43" s="2"/>
      <c r="P43" s="2"/>
      <c r="Q43" s="2"/>
      <c r="R43" s="2"/>
      <c r="S43" s="2"/>
      <c r="T43" s="57"/>
      <c r="U43" s="2"/>
      <c r="V43" s="2"/>
      <c r="W43" s="2"/>
      <c r="X43" s="28"/>
      <c r="Y43" s="2"/>
      <c r="Z43" s="28"/>
      <c r="AA43" s="2"/>
      <c r="AB43" s="24"/>
      <c r="AC43" s="2"/>
      <c r="AD43" s="57"/>
      <c r="AE43" s="2"/>
      <c r="AF43" s="2"/>
      <c r="AG43" s="2"/>
      <c r="AH43" s="28"/>
      <c r="AI43" s="2"/>
      <c r="AJ43" s="28"/>
      <c r="AK43" s="2"/>
      <c r="AL43" s="28"/>
      <c r="AM43" s="2"/>
      <c r="AN43" s="57"/>
      <c r="AO43" s="2"/>
      <c r="AP43" s="2"/>
      <c r="AQ43" s="2"/>
      <c r="AR43" s="28"/>
      <c r="AS43" s="2"/>
      <c r="AT43" s="28"/>
      <c r="AU43" s="28"/>
      <c r="AV43" s="28"/>
      <c r="AX43" s="57"/>
      <c r="AZ43" s="2"/>
      <c r="BA43" s="2"/>
      <c r="BB43" s="28"/>
      <c r="BC43" s="2"/>
      <c r="BD43" s="28"/>
      <c r="BF43" s="28"/>
      <c r="BH43" s="57"/>
      <c r="BJ43" s="2"/>
      <c r="BK43" s="2"/>
      <c r="BL43" s="28"/>
      <c r="BM43" s="2"/>
      <c r="BN43" s="28"/>
      <c r="BP43" s="28"/>
      <c r="BR43" s="57"/>
      <c r="BT43" s="2"/>
      <c r="BU43" s="2"/>
      <c r="BV43" s="28"/>
      <c r="BW43" s="2"/>
      <c r="BX43" s="28"/>
      <c r="BZ43" s="28"/>
      <c r="CB43" s="57"/>
      <c r="CD43" s="2"/>
      <c r="CE43" s="2"/>
      <c r="CF43" s="28"/>
      <c r="CG43" s="2"/>
      <c r="CH43" s="28"/>
      <c r="CJ43" s="28"/>
      <c r="CL43" s="57"/>
      <c r="CN43" s="2"/>
      <c r="CO43" s="2"/>
      <c r="CP43" s="28"/>
      <c r="CQ43" s="2"/>
      <c r="CR43" s="28"/>
      <c r="CT43" s="28"/>
      <c r="CV43" s="57"/>
      <c r="CX43" s="2"/>
      <c r="CY43" s="2"/>
      <c r="CZ43" s="28"/>
      <c r="DA43" s="2"/>
      <c r="DB43" s="28"/>
      <c r="DD43" s="28"/>
      <c r="DF43" s="57"/>
      <c r="DH43" s="2"/>
      <c r="DI43" s="2"/>
      <c r="DJ43" s="28"/>
      <c r="DK43" s="2"/>
      <c r="DL43" s="28"/>
      <c r="DN43" s="28"/>
      <c r="DP43" s="57"/>
      <c r="DR43" s="2"/>
      <c r="DS43" s="2"/>
      <c r="DT43" s="28"/>
      <c r="DU43" s="2"/>
      <c r="DV43" s="28"/>
      <c r="DX43" s="28"/>
      <c r="DZ43" s="57"/>
      <c r="EA43" s="2"/>
      <c r="EB43" s="2"/>
      <c r="EC43" s="2"/>
      <c r="ED43" s="28"/>
      <c r="EE43" s="2"/>
      <c r="EF43" s="28"/>
      <c r="EH43" s="28"/>
      <c r="EJ43" s="57"/>
      <c r="EK43" s="2"/>
    </row>
    <row r="44" spans="1:141" ht="15.75" x14ac:dyDescent="0.2">
      <c r="A44" s="69" t="s">
        <v>79</v>
      </c>
      <c r="B44" s="20">
        <v>11319</v>
      </c>
      <c r="C44" s="2"/>
      <c r="D44" s="20">
        <v>13082</v>
      </c>
      <c r="E44" s="2"/>
      <c r="F44" s="20">
        <v>14700</v>
      </c>
      <c r="G44" s="2"/>
      <c r="H44" s="21">
        <v>16798.095000000001</v>
      </c>
      <c r="I44" s="2"/>
      <c r="J44" s="52">
        <f>B44+D44+F44+H44</f>
        <v>55899.095000000001</v>
      </c>
      <c r="K44" s="2"/>
      <c r="L44" s="20">
        <v>18912</v>
      </c>
      <c r="M44" s="2"/>
      <c r="N44" s="20">
        <v>20687</v>
      </c>
      <c r="O44" s="2"/>
      <c r="P44" s="20">
        <v>21624.375</v>
      </c>
      <c r="Q44" s="2"/>
      <c r="R44" s="20">
        <v>19513</v>
      </c>
      <c r="S44" s="2"/>
      <c r="T44" s="52">
        <f>L44+N44+P44+R44+109</f>
        <v>80845.375</v>
      </c>
      <c r="U44" s="2"/>
      <c r="V44" s="20">
        <v>21338</v>
      </c>
      <c r="W44" s="2"/>
      <c r="X44" s="20">
        <v>23454</v>
      </c>
      <c r="Y44" s="2"/>
      <c r="Z44" s="20">
        <v>14883</v>
      </c>
      <c r="AA44" s="2"/>
      <c r="AB44" s="20">
        <v>19634</v>
      </c>
      <c r="AC44" s="2"/>
      <c r="AD44" s="52">
        <f>V44+X44+Z44+AB44-0.5</f>
        <v>79308.5</v>
      </c>
      <c r="AE44" s="2"/>
      <c r="AF44" s="20">
        <v>29658</v>
      </c>
      <c r="AG44" s="2"/>
      <c r="AH44" s="20">
        <v>30524</v>
      </c>
      <c r="AI44" s="2"/>
      <c r="AJ44" s="20">
        <v>27925</v>
      </c>
      <c r="AK44" s="2"/>
      <c r="AL44" s="20">
        <v>30151</v>
      </c>
      <c r="AM44" s="2"/>
      <c r="AN44" s="52">
        <f>AF44+AH44+AJ44+AL44</f>
        <v>118258</v>
      </c>
      <c r="AO44" s="2"/>
      <c r="AP44" s="20">
        <v>32580</v>
      </c>
      <c r="AQ44" s="2"/>
      <c r="AR44" s="20">
        <v>33083</v>
      </c>
      <c r="AS44" s="2"/>
      <c r="AT44" s="20">
        <v>28773</v>
      </c>
      <c r="AU44" s="42"/>
      <c r="AV44" s="20">
        <v>28434</v>
      </c>
      <c r="AX44" s="52">
        <f>AP44+AR44+AT44+AV44</f>
        <v>122870</v>
      </c>
      <c r="AZ44" s="20">
        <v>31594</v>
      </c>
      <c r="BA44" s="2"/>
      <c r="BB44" s="20">
        <v>30265</v>
      </c>
      <c r="BC44" s="2"/>
      <c r="BD44" s="20">
        <v>25269</v>
      </c>
      <c r="BF44" s="20">
        <v>24831</v>
      </c>
      <c r="BH44" s="52">
        <f>AZ44+BB44+BD44+BF44</f>
        <v>111959</v>
      </c>
      <c r="BJ44" s="20">
        <f>BJ42*(28857/76526)+1</f>
        <v>25841.299793534221</v>
      </c>
      <c r="BK44" s="2"/>
      <c r="BL44" s="20">
        <f>21811+2122</f>
        <v>23933</v>
      </c>
      <c r="BM44" s="64">
        <v>-2</v>
      </c>
      <c r="BN44" s="20">
        <v>15294</v>
      </c>
      <c r="BP44" s="20">
        <v>18146</v>
      </c>
      <c r="BQ44" s="64">
        <v>-7</v>
      </c>
      <c r="BR44" s="52">
        <f>BJ44+BL44+BN44+BP44</f>
        <v>83214.299793534214</v>
      </c>
      <c r="BS44" s="68" t="s">
        <v>105</v>
      </c>
      <c r="BT44" s="20">
        <v>23593</v>
      </c>
      <c r="BU44" s="2"/>
      <c r="BV44" s="20">
        <v>23448</v>
      </c>
      <c r="BW44" s="64"/>
      <c r="BX44" s="20">
        <v>18804</v>
      </c>
      <c r="BZ44" s="20">
        <v>24249</v>
      </c>
      <c r="CB44" s="52">
        <f>BT44+BV44+BX44+BZ44</f>
        <v>90094</v>
      </c>
      <c r="CD44" s="20">
        <v>27158</v>
      </c>
      <c r="CE44" s="2"/>
      <c r="CF44" s="20">
        <v>23815</v>
      </c>
      <c r="CG44" s="64"/>
      <c r="CH44" s="20">
        <v>12236</v>
      </c>
      <c r="CJ44" s="20">
        <v>10183</v>
      </c>
      <c r="CL44" s="52">
        <f>CD44+CF44+CH44+CJ44</f>
        <v>73392</v>
      </c>
      <c r="CN44" s="20">
        <v>23216</v>
      </c>
      <c r="CO44" s="2"/>
      <c r="CP44" s="20">
        <v>22228</v>
      </c>
      <c r="CQ44" s="64"/>
      <c r="CR44" s="20">
        <v>16264</v>
      </c>
      <c r="CT44" s="20">
        <v>18370</v>
      </c>
      <c r="CV44" s="52">
        <f>CN44+CP44+CR44+CT44</f>
        <v>80078</v>
      </c>
      <c r="CX44" s="20">
        <v>26614</v>
      </c>
      <c r="CY44" s="2"/>
      <c r="CZ44" s="20">
        <v>24841</v>
      </c>
      <c r="DA44" s="64"/>
      <c r="DB44" s="20">
        <v>22824</v>
      </c>
      <c r="DD44" s="20">
        <v>26399</v>
      </c>
      <c r="DF44" s="52">
        <f>CX44+CZ44+DB44+DD44</f>
        <v>100678</v>
      </c>
      <c r="DH44" s="20">
        <v>31327</v>
      </c>
      <c r="DI44" s="2"/>
      <c r="DJ44" s="20">
        <v>29106</v>
      </c>
      <c r="DK44" s="64"/>
      <c r="DL44" s="20">
        <v>23093</v>
      </c>
      <c r="DN44" s="20">
        <v>27862</v>
      </c>
      <c r="DP44" s="52">
        <f>DH44+DJ44+DL44+DN44</f>
        <v>111388</v>
      </c>
      <c r="DR44" s="20">
        <v>30382</v>
      </c>
      <c r="DS44" s="2"/>
      <c r="DT44" s="20">
        <v>25734</v>
      </c>
      <c r="DU44" s="64"/>
      <c r="DV44" s="20">
        <v>20629</v>
      </c>
      <c r="DX44" s="20">
        <v>23799</v>
      </c>
      <c r="DZ44" s="52">
        <f>DR44+DT44+DV44+DX44</f>
        <v>100544</v>
      </c>
      <c r="EA44" s="2"/>
      <c r="EB44" s="20">
        <v>31297</v>
      </c>
      <c r="EC44" s="2"/>
      <c r="ED44" s="20">
        <v>26624</v>
      </c>
      <c r="EE44" s="64"/>
      <c r="EF44" s="20">
        <v>20274</v>
      </c>
      <c r="EH44" s="20"/>
      <c r="EJ44" s="52">
        <f>EB44+ED44+EF44+EH44</f>
        <v>78195</v>
      </c>
      <c r="EK44" s="2"/>
    </row>
    <row r="45" spans="1:141" x14ac:dyDescent="0.2">
      <c r="A45" s="6" t="s">
        <v>28</v>
      </c>
      <c r="B45" s="22">
        <f>B42-B44</f>
        <v>12027</v>
      </c>
      <c r="C45" s="22"/>
      <c r="D45" s="22">
        <f>D42-D44</f>
        <v>13891</v>
      </c>
      <c r="E45" s="22"/>
      <c r="F45" s="22">
        <f>F42-F44</f>
        <v>15596.653000000028</v>
      </c>
      <c r="G45" s="22"/>
      <c r="H45" s="22">
        <f>H42-H44</f>
        <v>17839.437999999878</v>
      </c>
      <c r="I45" s="22"/>
      <c r="J45" s="54">
        <f>J42-J44</f>
        <v>59354.691000000297</v>
      </c>
      <c r="K45" s="6"/>
      <c r="L45" s="22">
        <f>L42-L44</f>
        <v>20888.697960000034</v>
      </c>
      <c r="M45" s="22"/>
      <c r="N45" s="22">
        <f>N42-N44</f>
        <v>22870</v>
      </c>
      <c r="O45" s="22"/>
      <c r="P45" s="22">
        <f>P42-P44</f>
        <v>23900.625</v>
      </c>
      <c r="Q45" s="22"/>
      <c r="R45" s="22">
        <f>R42-R44</f>
        <v>23616</v>
      </c>
      <c r="S45" s="22"/>
      <c r="T45" s="54">
        <f>T42-T44</f>
        <v>91166.322960000252</v>
      </c>
      <c r="U45" s="6"/>
      <c r="V45" s="22">
        <f>V42-V44</f>
        <v>24998.345249999991</v>
      </c>
      <c r="W45" s="22"/>
      <c r="X45" s="22">
        <f>X42-X44</f>
        <v>27544.563490000059</v>
      </c>
      <c r="Y45" s="22"/>
      <c r="Z45" s="22">
        <f>Z42-Z44</f>
        <v>18934</v>
      </c>
      <c r="AA45" s="22"/>
      <c r="AB45" s="22">
        <f>AB42-AB44</f>
        <v>26019.539620000003</v>
      </c>
      <c r="AC45" s="22"/>
      <c r="AD45" s="54">
        <f>AD42-AD44</f>
        <v>97496.948360000039</v>
      </c>
      <c r="AE45" s="6"/>
      <c r="AF45" s="22">
        <f>AF42-AF44</f>
        <v>43563</v>
      </c>
      <c r="AG45" s="22"/>
      <c r="AH45" s="22">
        <f>AH42-AH44</f>
        <v>44864</v>
      </c>
      <c r="AI45" s="22"/>
      <c r="AJ45" s="22">
        <f>AJ42-AJ44</f>
        <v>41449</v>
      </c>
      <c r="AK45" s="22"/>
      <c r="AL45" s="22">
        <f>AL42-AL44</f>
        <v>45218</v>
      </c>
      <c r="AM45" s="22"/>
      <c r="AN45" s="54">
        <f>AN42-AN44</f>
        <v>175094</v>
      </c>
      <c r="AO45" s="6"/>
      <c r="AP45" s="22">
        <f>AP42-AP44</f>
        <v>50959</v>
      </c>
      <c r="AQ45" s="22"/>
      <c r="AR45" s="22">
        <f>AR42-AR44</f>
        <v>52293</v>
      </c>
      <c r="AS45" s="22"/>
      <c r="AT45" s="22">
        <f>AT42-AT44</f>
        <v>48469</v>
      </c>
      <c r="AU45" s="22"/>
      <c r="AV45" s="22">
        <f>AV42-AV44</f>
        <v>51499</v>
      </c>
      <c r="AW45" s="22"/>
      <c r="AX45" s="54">
        <f>AX42-AX44</f>
        <v>203220</v>
      </c>
      <c r="AZ45" s="22">
        <f>AZ42-AZ44</f>
        <v>52209</v>
      </c>
      <c r="BA45" s="22"/>
      <c r="BB45" s="22">
        <f>BB42-BB44</f>
        <v>51194</v>
      </c>
      <c r="BC45" s="22"/>
      <c r="BD45" s="22">
        <f>BD42-BD44</f>
        <v>37552</v>
      </c>
      <c r="BF45" s="22">
        <f>BF42-BF44</f>
        <v>41714</v>
      </c>
      <c r="BH45" s="54">
        <f>BH42-BH44</f>
        <v>182669</v>
      </c>
      <c r="BJ45" s="22">
        <f>BJ42-BJ44</f>
        <v>42684.700206465779</v>
      </c>
      <c r="BK45" s="22"/>
      <c r="BL45" s="22">
        <f>BL42-BL44</f>
        <v>39620</v>
      </c>
      <c r="BM45" s="22"/>
      <c r="BN45" s="22">
        <f>BN42-BN44</f>
        <v>25985</v>
      </c>
      <c r="BP45" s="22">
        <f>BP42-BP44</f>
        <v>33596</v>
      </c>
      <c r="BR45" s="54">
        <f>BR42-BR44</f>
        <v>141885.70020646579</v>
      </c>
      <c r="BT45" s="22">
        <f>BT42-BT44</f>
        <v>40328</v>
      </c>
      <c r="BU45" s="22"/>
      <c r="BV45" s="22">
        <f>BV42-BV44</f>
        <v>39843</v>
      </c>
      <c r="BW45" s="22"/>
      <c r="BX45" s="22">
        <f>BX42-BX44</f>
        <v>36380</v>
      </c>
      <c r="BZ45" s="22">
        <f>BZ42-BZ44</f>
        <v>35596</v>
      </c>
      <c r="CB45" s="54">
        <f>CB42-CB44</f>
        <v>152147</v>
      </c>
      <c r="CD45" s="22">
        <f>CD42-CD44</f>
        <v>47912</v>
      </c>
      <c r="CE45" s="22"/>
      <c r="CF45" s="22">
        <f>CF42-CF44</f>
        <v>41251</v>
      </c>
      <c r="CG45" s="22"/>
      <c r="CH45" s="22">
        <f>CH42-CH44</f>
        <v>22723</v>
      </c>
      <c r="CJ45" s="22">
        <f>CJ42-CJ44</f>
        <v>28071</v>
      </c>
      <c r="CL45" s="54">
        <f>CL42-CL44</f>
        <v>139957</v>
      </c>
      <c r="CN45" s="22">
        <f>CN42-CN44</f>
        <v>38161</v>
      </c>
      <c r="CO45" s="22"/>
      <c r="CP45" s="22">
        <f>CP42-CP44</f>
        <v>37741</v>
      </c>
      <c r="CQ45" s="22"/>
      <c r="CR45" s="22">
        <f>CR42-CR44</f>
        <v>29531</v>
      </c>
      <c r="CT45" s="22">
        <f>CT42-CT44</f>
        <v>31386</v>
      </c>
      <c r="CV45" s="54">
        <f>CV42-CV44</f>
        <v>136819</v>
      </c>
      <c r="CX45" s="22">
        <f>CX42-CX44</f>
        <v>43515</v>
      </c>
      <c r="CY45" s="22"/>
      <c r="CZ45" s="22">
        <f>CZ42-CZ44</f>
        <v>40795</v>
      </c>
      <c r="DA45" s="22"/>
      <c r="DB45" s="22">
        <f>DB42-DB44</f>
        <v>36830</v>
      </c>
      <c r="DD45" s="22">
        <f>DD42-DD44</f>
        <v>43683</v>
      </c>
      <c r="DF45" s="54">
        <f>DF42-DF44</f>
        <v>164823</v>
      </c>
      <c r="DH45" s="22">
        <f>DH42-DH44</f>
        <v>51461</v>
      </c>
      <c r="DI45" s="22"/>
      <c r="DJ45" s="22">
        <f>DJ42-DJ44</f>
        <v>47830</v>
      </c>
      <c r="DK45" s="22"/>
      <c r="DL45" s="22">
        <f>DL42-DL44</f>
        <v>40497</v>
      </c>
      <c r="DN45" s="22">
        <f>DN42-DN44</f>
        <v>45620</v>
      </c>
      <c r="DP45" s="54">
        <f>DP42-DP44</f>
        <v>185408</v>
      </c>
      <c r="DR45" s="22">
        <f>DR42-DR44</f>
        <v>50551</v>
      </c>
      <c r="DS45" s="22"/>
      <c r="DT45" s="22">
        <f>DT42-DT44</f>
        <v>42975</v>
      </c>
      <c r="DU45" s="22"/>
      <c r="DV45" s="22">
        <f>DV42-DV44</f>
        <v>36033</v>
      </c>
      <c r="DX45" s="22">
        <f>DX42-DX44</f>
        <v>50510</v>
      </c>
      <c r="DZ45" s="54">
        <f>DZ42-DZ44</f>
        <v>180069</v>
      </c>
      <c r="EA45" s="22"/>
      <c r="EB45" s="22">
        <f>EB42-EB44</f>
        <v>51941</v>
      </c>
      <c r="EC45" s="22"/>
      <c r="ED45" s="22">
        <f>ED42-ED44</f>
        <v>44182</v>
      </c>
      <c r="EE45" s="22"/>
      <c r="EF45" s="22">
        <f>EF42-EF44</f>
        <v>39910</v>
      </c>
      <c r="EH45" s="22">
        <f>EH42-EH44</f>
        <v>0</v>
      </c>
      <c r="EJ45" s="54">
        <f>EJ42-EJ44</f>
        <v>136033</v>
      </c>
      <c r="EK45" s="22"/>
    </row>
    <row r="46" spans="1:141" x14ac:dyDescent="0.2">
      <c r="A46" s="6"/>
      <c r="B46" s="22"/>
      <c r="C46" s="6"/>
      <c r="D46" s="22"/>
      <c r="E46" s="6"/>
      <c r="F46" s="22"/>
      <c r="G46" s="6"/>
      <c r="H46" s="22"/>
      <c r="I46" s="6"/>
      <c r="J46" s="60"/>
      <c r="K46" s="6"/>
      <c r="L46" s="26"/>
      <c r="M46" s="6"/>
      <c r="N46" s="22"/>
      <c r="O46" s="6"/>
      <c r="P46" s="22"/>
      <c r="Q46" s="6"/>
      <c r="R46" s="22"/>
      <c r="S46" s="6"/>
      <c r="T46" s="60"/>
      <c r="U46" s="6"/>
      <c r="V46" s="26"/>
      <c r="W46" s="6"/>
      <c r="X46" s="30"/>
      <c r="Y46" s="6"/>
      <c r="Z46" s="30"/>
      <c r="AA46" s="6"/>
      <c r="AB46" s="22"/>
      <c r="AC46" s="6"/>
      <c r="AD46" s="62"/>
      <c r="AE46" s="6"/>
      <c r="AF46" s="26"/>
      <c r="AG46" s="6"/>
      <c r="AH46" s="30"/>
      <c r="AI46" s="6"/>
      <c r="AJ46" s="30"/>
      <c r="AK46" s="6"/>
      <c r="AL46" s="30"/>
      <c r="AM46" s="6"/>
      <c r="AN46" s="60"/>
      <c r="AO46" s="6"/>
      <c r="AP46" s="26"/>
      <c r="AQ46" s="6"/>
      <c r="AR46" s="30"/>
      <c r="AS46" s="6"/>
      <c r="AT46" s="30"/>
      <c r="AU46" s="30"/>
      <c r="AV46" s="30"/>
      <c r="AW46" s="6"/>
      <c r="AX46" s="60"/>
      <c r="AZ46" s="26"/>
      <c r="BA46" s="6"/>
      <c r="BB46" s="30"/>
      <c r="BC46" s="6"/>
      <c r="BD46" s="30"/>
      <c r="BF46" s="30"/>
      <c r="BH46" s="60"/>
      <c r="BJ46" s="26"/>
      <c r="BK46" s="6"/>
      <c r="BL46" s="30"/>
      <c r="BM46" s="6"/>
      <c r="BN46" s="30"/>
      <c r="BP46" s="30"/>
      <c r="BR46" s="60"/>
      <c r="BT46" s="26"/>
      <c r="BU46" s="6"/>
      <c r="BV46" s="30"/>
      <c r="BW46" s="6"/>
      <c r="BX46" s="30"/>
      <c r="BZ46" s="30"/>
      <c r="CB46" s="60"/>
      <c r="CD46" s="26"/>
      <c r="CE46" s="6"/>
      <c r="CF46" s="30"/>
      <c r="CG46" s="6"/>
      <c r="CH46" s="30"/>
      <c r="CJ46" s="30"/>
      <c r="CL46" s="60"/>
      <c r="CN46" s="26"/>
      <c r="CO46" s="6"/>
      <c r="CP46" s="30"/>
      <c r="CQ46" s="6"/>
      <c r="CR46" s="30"/>
      <c r="CT46" s="30"/>
      <c r="CV46" s="60"/>
      <c r="CX46" s="26"/>
      <c r="CY46" s="6"/>
      <c r="CZ46" s="30"/>
      <c r="DA46" s="6"/>
      <c r="DB46" s="30"/>
      <c r="DD46" s="30"/>
      <c r="DF46" s="60"/>
      <c r="DH46" s="26"/>
      <c r="DI46" s="6"/>
      <c r="DJ46" s="30"/>
      <c r="DK46" s="6"/>
      <c r="DL46" s="30"/>
      <c r="DN46" s="30"/>
      <c r="DP46" s="60"/>
      <c r="DR46" s="26"/>
      <c r="DS46" s="6"/>
      <c r="DT46" s="30"/>
      <c r="DU46" s="6"/>
      <c r="DV46" s="30"/>
      <c r="DX46" s="30"/>
      <c r="DZ46" s="60"/>
      <c r="EA46" s="6"/>
      <c r="EB46" s="26"/>
      <c r="EC46" s="6"/>
      <c r="ED46" s="30"/>
      <c r="EE46" s="6"/>
      <c r="EF46" s="30"/>
      <c r="EH46" s="30"/>
      <c r="EJ46" s="60"/>
      <c r="EK46" s="6"/>
    </row>
    <row r="47" spans="1:141" x14ac:dyDescent="0.2">
      <c r="A47" s="2" t="s">
        <v>29</v>
      </c>
      <c r="B47" s="20">
        <v>2441</v>
      </c>
      <c r="C47" s="6"/>
      <c r="D47" s="20">
        <v>2490</v>
      </c>
      <c r="E47" s="6"/>
      <c r="F47" s="20">
        <v>2541.5189999999998</v>
      </c>
      <c r="G47" s="6"/>
      <c r="H47" s="21">
        <v>2566.4809999999998</v>
      </c>
      <c r="I47" s="6"/>
      <c r="J47" s="52">
        <f>B47+D47+F47+H47</f>
        <v>10039</v>
      </c>
      <c r="K47" s="6"/>
      <c r="L47" s="20">
        <v>2554</v>
      </c>
      <c r="M47" s="6"/>
      <c r="N47" s="20">
        <v>2579</v>
      </c>
      <c r="O47" s="6"/>
      <c r="P47" s="20">
        <v>2631</v>
      </c>
      <c r="Q47" s="6"/>
      <c r="R47" s="20">
        <v>2656</v>
      </c>
      <c r="S47" s="6"/>
      <c r="T47" s="52">
        <f>L47+N47+P47+R47</f>
        <v>10420</v>
      </c>
      <c r="U47" s="6"/>
      <c r="V47" s="20">
        <v>4325</v>
      </c>
      <c r="W47" s="6"/>
      <c r="X47" s="20">
        <v>5053</v>
      </c>
      <c r="Y47" s="6"/>
      <c r="Z47" s="20">
        <v>2709</v>
      </c>
      <c r="AA47" s="6"/>
      <c r="AB47" s="20">
        <v>3321</v>
      </c>
      <c r="AC47" s="6"/>
      <c r="AD47" s="52">
        <f>V47+X47+Z47+AB47</f>
        <v>15408</v>
      </c>
      <c r="AE47" s="6"/>
      <c r="AF47" s="20">
        <v>4992</v>
      </c>
      <c r="AG47" s="6"/>
      <c r="AH47" s="20">
        <v>3898</v>
      </c>
      <c r="AI47" s="6"/>
      <c r="AJ47" s="20">
        <v>1321</v>
      </c>
      <c r="AK47" s="6"/>
      <c r="AL47" s="20">
        <v>1</v>
      </c>
      <c r="AM47" s="6"/>
      <c r="AN47" s="52">
        <f>AF47+AH47+AJ47+AL47</f>
        <v>10212</v>
      </c>
      <c r="AO47" s="6"/>
      <c r="AP47" s="20">
        <v>0</v>
      </c>
      <c r="AQ47" s="6"/>
      <c r="AR47" s="20">
        <v>0</v>
      </c>
      <c r="AS47" s="6"/>
      <c r="AT47" s="20">
        <v>0</v>
      </c>
      <c r="AU47" s="42"/>
      <c r="AV47" s="20">
        <v>0</v>
      </c>
      <c r="AW47" s="6"/>
      <c r="AX47" s="52">
        <f>AP47+AR47+AT47+AV47</f>
        <v>0</v>
      </c>
      <c r="AZ47" s="20">
        <v>0</v>
      </c>
      <c r="BA47" s="6"/>
      <c r="BB47" s="20">
        <v>0</v>
      </c>
      <c r="BC47" s="6"/>
      <c r="BD47" s="20">
        <v>0</v>
      </c>
      <c r="BF47" s="20">
        <v>0</v>
      </c>
      <c r="BH47" s="52">
        <f>AZ47+BB47+BD47+BF47</f>
        <v>0</v>
      </c>
      <c r="BJ47" s="20">
        <v>0</v>
      </c>
      <c r="BK47" s="6"/>
      <c r="BL47" s="20">
        <v>0</v>
      </c>
      <c r="BM47" s="6"/>
      <c r="BN47" s="20">
        <v>0</v>
      </c>
      <c r="BP47" s="20">
        <v>0</v>
      </c>
      <c r="BR47" s="52">
        <f>BJ47+BL47+BN47+BP47</f>
        <v>0</v>
      </c>
      <c r="BT47" s="20">
        <v>0</v>
      </c>
      <c r="BU47" s="6"/>
      <c r="BV47" s="20">
        <v>0</v>
      </c>
      <c r="BW47" s="6"/>
      <c r="BX47" s="20">
        <v>0</v>
      </c>
      <c r="BZ47" s="20">
        <v>0</v>
      </c>
      <c r="CB47" s="52">
        <f>BT47+BV47+BX47+BZ47</f>
        <v>0</v>
      </c>
      <c r="CD47" s="20">
        <v>0</v>
      </c>
      <c r="CE47" s="6"/>
      <c r="CF47" s="20">
        <v>0</v>
      </c>
      <c r="CG47" s="6"/>
      <c r="CH47" s="20">
        <v>0</v>
      </c>
      <c r="CJ47" s="20">
        <v>0</v>
      </c>
      <c r="CL47" s="52">
        <f>CD47+CF47+CH47+CJ47</f>
        <v>0</v>
      </c>
      <c r="CN47" s="20">
        <v>0</v>
      </c>
      <c r="CO47" s="6"/>
      <c r="CP47" s="20">
        <v>0</v>
      </c>
      <c r="CQ47" s="6"/>
      <c r="CR47" s="20">
        <v>0</v>
      </c>
      <c r="CT47" s="20">
        <v>0</v>
      </c>
      <c r="CV47" s="52">
        <f>CN47+CP47+CR47+CT47</f>
        <v>0</v>
      </c>
      <c r="CX47" s="20">
        <v>0</v>
      </c>
      <c r="CY47" s="6"/>
      <c r="CZ47" s="20">
        <v>0</v>
      </c>
      <c r="DA47" s="6"/>
      <c r="DB47" s="20">
        <v>0</v>
      </c>
      <c r="DD47" s="20">
        <v>0</v>
      </c>
      <c r="DF47" s="52">
        <f>CX47+CZ47+DB47+DD47</f>
        <v>0</v>
      </c>
      <c r="DH47" s="20">
        <v>0</v>
      </c>
      <c r="DI47" s="6"/>
      <c r="DJ47" s="20">
        <v>0</v>
      </c>
      <c r="DK47" s="6"/>
      <c r="DL47" s="20">
        <v>0</v>
      </c>
      <c r="DN47" s="20">
        <v>0</v>
      </c>
      <c r="DP47" s="52">
        <f>DH47+DJ47+DL47+DN47</f>
        <v>0</v>
      </c>
      <c r="DR47" s="20">
        <v>0</v>
      </c>
      <c r="DS47" s="6"/>
      <c r="DT47" s="20">
        <v>0</v>
      </c>
      <c r="DU47" s="6"/>
      <c r="DV47" s="20"/>
      <c r="DX47" s="20"/>
      <c r="DZ47" s="52">
        <f>DR47+DT47+DV47+DX47</f>
        <v>0</v>
      </c>
      <c r="EA47" s="6"/>
      <c r="EB47" s="20">
        <v>0</v>
      </c>
      <c r="EC47" s="6"/>
      <c r="ED47" s="20"/>
      <c r="EE47" s="6"/>
      <c r="EF47" s="20"/>
      <c r="EH47" s="20"/>
      <c r="EJ47" s="52">
        <f>EB47+ED47+EF47+EH47</f>
        <v>0</v>
      </c>
      <c r="EK47" s="6"/>
    </row>
    <row r="48" spans="1:141" x14ac:dyDescent="0.2">
      <c r="A48" s="6" t="s">
        <v>30</v>
      </c>
      <c r="B48" s="22">
        <f>B45-B47</f>
        <v>9586</v>
      </c>
      <c r="C48" s="22"/>
      <c r="D48" s="22">
        <f>D45-D47</f>
        <v>11401</v>
      </c>
      <c r="E48" s="22"/>
      <c r="F48" s="22">
        <f>F45-F47</f>
        <v>13055.134000000027</v>
      </c>
      <c r="G48" s="22"/>
      <c r="H48" s="22">
        <f>H45-H47</f>
        <v>15272.956999999878</v>
      </c>
      <c r="I48" s="22"/>
      <c r="J48" s="54">
        <f>J45-J47</f>
        <v>49315.691000000297</v>
      </c>
      <c r="K48" s="6"/>
      <c r="L48" s="22">
        <f>L45-L47</f>
        <v>18334.697960000034</v>
      </c>
      <c r="M48" s="22"/>
      <c r="N48" s="22">
        <f>N45-N47</f>
        <v>20291</v>
      </c>
      <c r="O48" s="22"/>
      <c r="P48" s="22">
        <f>P45-P47</f>
        <v>21269.625</v>
      </c>
      <c r="Q48" s="22"/>
      <c r="R48" s="22">
        <f>R45-R47</f>
        <v>20960</v>
      </c>
      <c r="S48" s="22"/>
      <c r="T48" s="54">
        <f>T45-T47</f>
        <v>80746.322960000252</v>
      </c>
      <c r="U48" s="6"/>
      <c r="V48" s="22">
        <f>V45-V47</f>
        <v>20673.345249999991</v>
      </c>
      <c r="W48" s="22"/>
      <c r="X48" s="22">
        <f>X45-X47</f>
        <v>22491.563490000059</v>
      </c>
      <c r="Y48" s="22"/>
      <c r="Z48" s="22">
        <f>Z45-Z47</f>
        <v>16225</v>
      </c>
      <c r="AA48" s="22"/>
      <c r="AB48" s="22">
        <f>AB45-AB47</f>
        <v>22698.539620000003</v>
      </c>
      <c r="AC48" s="22"/>
      <c r="AD48" s="54">
        <f>AD45-AD47</f>
        <v>82088.948360000039</v>
      </c>
      <c r="AE48" s="6"/>
      <c r="AF48" s="22">
        <f>AF45-AF47</f>
        <v>38571</v>
      </c>
      <c r="AG48" s="22"/>
      <c r="AH48" s="22">
        <f>AH45-AH47</f>
        <v>40966</v>
      </c>
      <c r="AI48" s="22"/>
      <c r="AJ48" s="22">
        <f>AJ45-AJ47</f>
        <v>40128</v>
      </c>
      <c r="AK48" s="22"/>
      <c r="AL48" s="22">
        <f>AL45-AL47</f>
        <v>45217</v>
      </c>
      <c r="AM48" s="22"/>
      <c r="AN48" s="54">
        <f>AN45-AN47</f>
        <v>164882</v>
      </c>
      <c r="AO48" s="6"/>
      <c r="AP48" s="22">
        <f>AP45-AP47</f>
        <v>50959</v>
      </c>
      <c r="AQ48" s="22"/>
      <c r="AR48" s="22">
        <f>AR45-AR47</f>
        <v>52293</v>
      </c>
      <c r="AS48" s="22"/>
      <c r="AT48" s="22">
        <f>AT45-AT47</f>
        <v>48469</v>
      </c>
      <c r="AU48" s="22"/>
      <c r="AV48" s="22">
        <f>AV45-AV47</f>
        <v>51499</v>
      </c>
      <c r="AW48" s="22"/>
      <c r="AX48" s="54">
        <f>AX45-AX47</f>
        <v>203220</v>
      </c>
      <c r="AZ48" s="22">
        <f>AZ45-AZ47</f>
        <v>52209</v>
      </c>
      <c r="BA48" s="22"/>
      <c r="BB48" s="22">
        <f>BB45-BB47</f>
        <v>51194</v>
      </c>
      <c r="BC48" s="22"/>
      <c r="BD48" s="22">
        <f>BD45-BD47</f>
        <v>37552</v>
      </c>
      <c r="BF48" s="22">
        <f>BF45-BF47</f>
        <v>41714</v>
      </c>
      <c r="BH48" s="54">
        <f>BH45-BH47</f>
        <v>182669</v>
      </c>
      <c r="BJ48" s="22">
        <f>BJ45-BJ47</f>
        <v>42684.700206465779</v>
      </c>
      <c r="BK48" s="22"/>
      <c r="BL48" s="22">
        <f>BL45-BL47</f>
        <v>39620</v>
      </c>
      <c r="BM48" s="22"/>
      <c r="BN48" s="22">
        <f>BN45-BN47</f>
        <v>25985</v>
      </c>
      <c r="BP48" s="22">
        <f>BP45-BP47</f>
        <v>33596</v>
      </c>
      <c r="BR48" s="54">
        <f>BR45-BR47</f>
        <v>141885.70020646579</v>
      </c>
      <c r="BT48" s="22">
        <f>BT45-BT47</f>
        <v>40328</v>
      </c>
      <c r="BU48" s="22"/>
      <c r="BV48" s="22">
        <f>BV45-BV47</f>
        <v>39843</v>
      </c>
      <c r="BW48" s="22"/>
      <c r="BX48" s="22">
        <f>BX45-BX47</f>
        <v>36380</v>
      </c>
      <c r="BZ48" s="22">
        <f>BZ45-BZ47</f>
        <v>35596</v>
      </c>
      <c r="CB48" s="54">
        <f>CB45-CB47</f>
        <v>152147</v>
      </c>
      <c r="CD48" s="22">
        <f>CD45-CD47</f>
        <v>47912</v>
      </c>
      <c r="CE48" s="22"/>
      <c r="CF48" s="22">
        <f>CF45-CF47</f>
        <v>41251</v>
      </c>
      <c r="CG48" s="22"/>
      <c r="CH48" s="22">
        <f>CH45-CH47</f>
        <v>22723</v>
      </c>
      <c r="CJ48" s="22">
        <f>CJ45-CJ47</f>
        <v>28071</v>
      </c>
      <c r="CL48" s="54">
        <f>CL45-CL47</f>
        <v>139957</v>
      </c>
      <c r="CN48" s="22">
        <f>CN45-CN47</f>
        <v>38161</v>
      </c>
      <c r="CO48" s="22"/>
      <c r="CP48" s="22">
        <f>CP45-CP47</f>
        <v>37741</v>
      </c>
      <c r="CQ48" s="22"/>
      <c r="CR48" s="22">
        <f>CR45-CR47</f>
        <v>29531</v>
      </c>
      <c r="CT48" s="22">
        <f>CT45-CT47</f>
        <v>31386</v>
      </c>
      <c r="CV48" s="54">
        <f>CV45-CV47</f>
        <v>136819</v>
      </c>
      <c r="CX48" s="22">
        <f>CX45-CX47</f>
        <v>43515</v>
      </c>
      <c r="CY48" s="22"/>
      <c r="CZ48" s="22">
        <f>CZ45-CZ47</f>
        <v>40795</v>
      </c>
      <c r="DA48" s="22"/>
      <c r="DB48" s="22">
        <f>DB45-DB47</f>
        <v>36830</v>
      </c>
      <c r="DD48" s="22">
        <f>DD45-DD47</f>
        <v>43683</v>
      </c>
      <c r="DF48" s="54">
        <f>DF45-DF47</f>
        <v>164823</v>
      </c>
      <c r="DH48" s="22">
        <f>DH45-DH47</f>
        <v>51461</v>
      </c>
      <c r="DI48" s="22"/>
      <c r="DJ48" s="22">
        <f>DJ45-DJ47</f>
        <v>47830</v>
      </c>
      <c r="DK48" s="22"/>
      <c r="DL48" s="22">
        <f>DL45-DL47</f>
        <v>40497</v>
      </c>
      <c r="DN48" s="22">
        <f>DN45-DN47</f>
        <v>45620</v>
      </c>
      <c r="DP48" s="54">
        <f>DP45-DP47</f>
        <v>185408</v>
      </c>
      <c r="DR48" s="22">
        <f>DR45-DR47</f>
        <v>50551</v>
      </c>
      <c r="DS48" s="22"/>
      <c r="DT48" s="22">
        <f>DT45-DT47</f>
        <v>42975</v>
      </c>
      <c r="DU48" s="22"/>
      <c r="DV48" s="22">
        <f>DV45-DV47</f>
        <v>36033</v>
      </c>
      <c r="DX48" s="22">
        <f>DX45-DX47</f>
        <v>50510</v>
      </c>
      <c r="DZ48" s="54">
        <f>DZ45-DZ47</f>
        <v>180069</v>
      </c>
      <c r="EA48" s="22"/>
      <c r="EB48" s="22">
        <f>EB45-EB47</f>
        <v>51941</v>
      </c>
      <c r="EC48" s="22"/>
      <c r="ED48" s="22">
        <f>ED45-ED47</f>
        <v>44182</v>
      </c>
      <c r="EE48" s="22"/>
      <c r="EF48" s="22">
        <f>EF45-EF47</f>
        <v>39910</v>
      </c>
      <c r="EH48" s="22">
        <f>EH45-EH47</f>
        <v>0</v>
      </c>
      <c r="EJ48" s="54">
        <f>EJ45-EJ47</f>
        <v>136033</v>
      </c>
      <c r="EK48" s="22"/>
    </row>
    <row r="49" spans="1:141" x14ac:dyDescent="0.2">
      <c r="A49" s="2"/>
      <c r="B49" s="2"/>
      <c r="C49" s="2"/>
      <c r="D49" s="2"/>
      <c r="E49" s="2"/>
      <c r="F49" s="2"/>
      <c r="G49" s="2"/>
      <c r="H49" s="2"/>
      <c r="I49" s="2"/>
      <c r="J49" s="53"/>
      <c r="K49" s="2"/>
      <c r="L49" s="2"/>
      <c r="M49" s="2"/>
      <c r="N49" s="2"/>
      <c r="O49" s="2"/>
      <c r="P49" s="2"/>
      <c r="Q49" s="2"/>
      <c r="R49" s="2"/>
      <c r="S49" s="2"/>
      <c r="T49" s="53"/>
      <c r="U49" s="2"/>
      <c r="V49" s="2"/>
      <c r="W49" s="2"/>
      <c r="X49" s="2"/>
      <c r="Y49" s="2"/>
      <c r="Z49" s="2"/>
      <c r="AA49" s="2"/>
      <c r="AB49" s="2"/>
      <c r="AC49" s="2"/>
      <c r="AD49" s="53"/>
      <c r="AE49" s="2"/>
      <c r="AF49" s="2"/>
      <c r="AG49" s="2"/>
      <c r="AH49" s="2"/>
      <c r="AI49" s="2"/>
      <c r="AJ49" s="2"/>
      <c r="AK49" s="2"/>
      <c r="AL49" s="2"/>
      <c r="AM49" s="2"/>
      <c r="AN49" s="53"/>
      <c r="AO49" s="2"/>
      <c r="AP49" s="2"/>
      <c r="AQ49" s="2"/>
      <c r="AR49" s="2"/>
      <c r="AS49" s="2"/>
      <c r="AT49" s="2"/>
      <c r="AU49" s="2"/>
      <c r="AV49" s="2"/>
      <c r="AX49" s="53"/>
      <c r="AZ49" s="2"/>
      <c r="BA49" s="2"/>
      <c r="BB49" s="2"/>
      <c r="BC49" s="2"/>
      <c r="BD49" s="2"/>
      <c r="BF49" s="2"/>
      <c r="BH49" s="53"/>
      <c r="BJ49" s="2"/>
      <c r="BK49" s="2"/>
      <c r="BL49" s="2"/>
      <c r="BM49" s="2"/>
      <c r="BN49" s="2"/>
      <c r="BP49" s="2"/>
      <c r="BR49" s="53"/>
      <c r="BT49" s="2"/>
      <c r="BU49" s="2"/>
      <c r="BV49" s="2"/>
      <c r="BW49" s="2"/>
      <c r="BX49" s="2"/>
      <c r="BZ49" s="2"/>
      <c r="CB49" s="53"/>
      <c r="CD49" s="2"/>
      <c r="CE49" s="2"/>
      <c r="CF49" s="2"/>
      <c r="CG49" s="2"/>
      <c r="CH49" s="2"/>
      <c r="CJ49" s="2"/>
      <c r="CL49" s="53"/>
      <c r="CN49" s="2"/>
      <c r="CO49" s="2"/>
      <c r="CP49" s="2"/>
      <c r="CQ49" s="2"/>
      <c r="CR49" s="2"/>
      <c r="CT49" s="2"/>
      <c r="CV49" s="53"/>
      <c r="CX49" s="2"/>
      <c r="CY49" s="2"/>
      <c r="CZ49" s="2"/>
      <c r="DA49" s="2"/>
      <c r="DB49" s="2"/>
      <c r="DD49" s="2"/>
      <c r="DF49" s="53"/>
      <c r="DH49" s="2"/>
      <c r="DI49" s="2"/>
      <c r="DJ49" s="2"/>
      <c r="DK49" s="2"/>
      <c r="DL49" s="2"/>
      <c r="DN49" s="2"/>
      <c r="DP49" s="53"/>
      <c r="DR49" s="2"/>
      <c r="DS49" s="2"/>
      <c r="DT49" s="2"/>
      <c r="DU49" s="2"/>
      <c r="DV49" s="2"/>
      <c r="DX49" s="2"/>
      <c r="DZ49" s="53"/>
      <c r="EA49" s="2"/>
      <c r="EB49" s="2"/>
      <c r="EC49" s="2"/>
      <c r="ED49" s="2"/>
      <c r="EE49" s="2"/>
      <c r="EF49" s="2"/>
      <c r="EH49" s="2"/>
      <c r="EJ49" s="53"/>
      <c r="EK49" s="2"/>
    </row>
    <row r="50" spans="1:141" x14ac:dyDescent="0.2">
      <c r="A50" s="2" t="s">
        <v>31</v>
      </c>
      <c r="B50" s="24">
        <f>B48/B53</f>
        <v>0.15900476881608958</v>
      </c>
      <c r="C50" s="24"/>
      <c r="D50" s="24">
        <f>D48/D53</f>
        <v>0.18844628099173555</v>
      </c>
      <c r="E50" s="24"/>
      <c r="F50" s="24">
        <f>F48/F53</f>
        <v>0.2149435521712291</v>
      </c>
      <c r="G50" s="24"/>
      <c r="H50" s="24">
        <f>H48/H53</f>
        <v>0.25136532258064315</v>
      </c>
      <c r="I50" s="24"/>
      <c r="J50" s="24">
        <f>J48/J53</f>
        <v>0.81415974245739064</v>
      </c>
      <c r="K50" s="24"/>
      <c r="L50" s="24">
        <f>L48/L53</f>
        <v>0.30166916967627877</v>
      </c>
      <c r="M50" s="24"/>
      <c r="N50" s="24">
        <f>N48/N53</f>
        <v>0.33365123735920416</v>
      </c>
      <c r="O50" s="24"/>
      <c r="P50" s="24">
        <f>P48/P53</f>
        <v>0.3486252253728897</v>
      </c>
      <c r="Q50" s="24"/>
      <c r="R50" s="24">
        <f>R48/R53</f>
        <v>0.33959818535320802</v>
      </c>
      <c r="S50" s="24"/>
      <c r="T50" s="24">
        <f>T48/T53</f>
        <v>1.3330525066655703</v>
      </c>
      <c r="U50" s="24"/>
      <c r="V50" s="24">
        <f>V48/V53</f>
        <v>0.33132186168108207</v>
      </c>
      <c r="W50" s="24"/>
      <c r="X50" s="24">
        <f>X48/X53</f>
        <v>0.35044505282019411</v>
      </c>
      <c r="Y50" s="24"/>
      <c r="Z50" s="24">
        <f>Z48/Z53</f>
        <v>0.24337841946679348</v>
      </c>
      <c r="AA50" s="24"/>
      <c r="AB50" s="24">
        <f>AB48/AB53</f>
        <v>0.34804369410050989</v>
      </c>
      <c r="AC50" s="24"/>
      <c r="AD50" s="24">
        <f>AD48/AD53</f>
        <v>1.2704317629033512</v>
      </c>
      <c r="AE50" s="24"/>
      <c r="AF50" s="24">
        <f>AF48/AF53</f>
        <v>0.62934529879665513</v>
      </c>
      <c r="AG50" s="24"/>
      <c r="AH50" s="24">
        <f>AH48/AH53</f>
        <v>0.63740469892640428</v>
      </c>
      <c r="AI50" s="24"/>
      <c r="AJ50" s="24">
        <f>AJ48/AJ53</f>
        <v>0.5216170544650981</v>
      </c>
      <c r="AK50" s="24"/>
      <c r="AL50" s="24">
        <f>AL48/AL53</f>
        <v>0.51743098269203258</v>
      </c>
      <c r="AM50" s="24"/>
      <c r="AN50" s="24">
        <f>AN48/AN53</f>
        <v>2.2445904094204132</v>
      </c>
      <c r="AO50" s="24"/>
      <c r="AP50" s="24">
        <f>AP48/AP53</f>
        <v>0.58412425492893172</v>
      </c>
      <c r="AQ50" s="24"/>
      <c r="AR50" s="24">
        <f>AR48/AR53</f>
        <v>0.59765136146747055</v>
      </c>
      <c r="AS50" s="24"/>
      <c r="AT50" s="24">
        <f>AT48/AT53</f>
        <v>0.5965195131256692</v>
      </c>
      <c r="AU50" s="24"/>
      <c r="AV50" s="24">
        <f>AV48/AV53</f>
        <v>0.63924679129117945</v>
      </c>
      <c r="AW50" s="24"/>
      <c r="AX50" s="24">
        <f>AX48/AX53</f>
        <v>2.4152889860825537</v>
      </c>
      <c r="AY50" s="24"/>
      <c r="AZ50" s="24">
        <f>AZ48/AZ53</f>
        <v>0.65029582113719875</v>
      </c>
      <c r="BA50" s="24"/>
      <c r="BB50" s="24">
        <f>BB48/BB53</f>
        <v>0.64424141749723141</v>
      </c>
      <c r="BC50" s="24"/>
      <c r="BD50" s="24">
        <f>BD48/BD53</f>
        <v>0.48150380181820512</v>
      </c>
      <c r="BF50" s="24">
        <f>BF48/BF53</f>
        <v>0.55720449354153589</v>
      </c>
      <c r="BH50" s="24">
        <f>BH48/BH53</f>
        <v>2.3374152271273192</v>
      </c>
      <c r="BJ50" s="24">
        <f>BJ48/BJ53</f>
        <v>0.57250328880154755</v>
      </c>
      <c r="BK50" s="24"/>
      <c r="BL50" s="24">
        <f>BL48/BL53</f>
        <v>0.53005471791510028</v>
      </c>
      <c r="BM50" s="24"/>
      <c r="BN50" s="24">
        <f>BN48/BN53</f>
        <v>0.35680938126493283</v>
      </c>
      <c r="BP50" s="24">
        <f>BP48/BP53</f>
        <v>0.48034085385033315</v>
      </c>
      <c r="BR50" s="24">
        <f>BR48/BR53</f>
        <v>1.9431539403706031</v>
      </c>
      <c r="BT50" s="24">
        <f>BT48/BT53</f>
        <v>0.58230333833891645</v>
      </c>
      <c r="BU50" s="24"/>
      <c r="BV50" s="24">
        <f>BV48/BV53</f>
        <v>0.57290962686030633</v>
      </c>
      <c r="BW50" s="24"/>
      <c r="BX50" s="24">
        <f>BX48/BX53</f>
        <v>0.52114370845748337</v>
      </c>
      <c r="BZ50" s="24">
        <f>BZ48/BZ53</f>
        <v>0.50782509451458735</v>
      </c>
      <c r="CB50" s="24">
        <f>CB48/CB53</f>
        <v>2.1836356851713647</v>
      </c>
      <c r="CD50" s="24">
        <f>CD48/CD53</f>
        <v>0.68167202572347263</v>
      </c>
      <c r="CE50" s="24"/>
      <c r="CF50" s="24">
        <f>IF(ISERROR(CF48/CF53),0,(CF48/CF53))</f>
        <v>0.59080232591446824</v>
      </c>
      <c r="CG50" s="24"/>
      <c r="CH50" s="24">
        <f>IF(ISERROR(CH48/CH53),0,(CH48/CH53))</f>
        <v>0.33446179661166636</v>
      </c>
      <c r="CJ50" s="24">
        <f>IF(ISERROR(CJ48/CJ53),0,(CJ48/CJ53))</f>
        <v>0.42035669896224859</v>
      </c>
      <c r="CL50" s="24">
        <f>CL48/CL53</f>
        <v>2.0370270643971096</v>
      </c>
      <c r="CN50" s="24">
        <f>CN48/CN53</f>
        <v>0.57204317193824017</v>
      </c>
      <c r="CO50" s="24"/>
      <c r="CP50" s="24">
        <f>IF(ISERROR(CP48/CP53),0,(CP48/CP53))</f>
        <v>0.5659678483594266</v>
      </c>
      <c r="CQ50" s="24"/>
      <c r="CR50" s="24">
        <f>IF(ISERROR(CR48/CR53),0,(CR48/CR53))</f>
        <v>0.44277018112030708</v>
      </c>
      <c r="CT50" s="24">
        <f>IF(ISERROR(CT48/CT53),0,(CT48/CT53))</f>
        <v>0.47316528975456795</v>
      </c>
      <c r="CV50" s="24">
        <f>CV48/CV53</f>
        <v>2.0541697007003927</v>
      </c>
      <c r="CX50" s="24">
        <f>CX48/CX53</f>
        <v>0.65936813394954163</v>
      </c>
      <c r="CY50" s="24"/>
      <c r="CZ50" s="24">
        <f>IF(ISERROR(CZ48/CZ53),0,(CZ48/CZ53))</f>
        <v>0.6178439449930333</v>
      </c>
      <c r="DA50" s="24"/>
      <c r="DB50" s="24">
        <f>IF(ISERROR(DB48/DB53),0,(DB48/DB53))</f>
        <v>0.55738002633291461</v>
      </c>
      <c r="DD50" s="24">
        <f>IF(ISERROR(DD48/DD53),0,(DD48/DD53))</f>
        <v>0.66343174776745029</v>
      </c>
      <c r="DF50" s="24">
        <f>DF48/DF53</f>
        <v>2.497848028369654</v>
      </c>
      <c r="DH50" s="24">
        <f>DH48/DH53</f>
        <v>0.78328437266929485</v>
      </c>
      <c r="DI50" s="24"/>
      <c r="DJ50" s="24">
        <f>IF(ISERROR(DJ48/DJ53),0,(DJ48/DJ53))</f>
        <v>0.72530138751990292</v>
      </c>
      <c r="DK50" s="24"/>
      <c r="DL50" s="24">
        <f>IF(ISERROR(DL48/DL53),0,(DL48/DL53))</f>
        <v>0.62213107198820172</v>
      </c>
      <c r="DN50" s="24">
        <f>IF(ISERROR(DN48/DN53),0,(DN48/DN53))</f>
        <v>0.71641697289487738</v>
      </c>
      <c r="DP50" s="24">
        <f>DP48/DP53</f>
        <v>2.8478741705578767</v>
      </c>
      <c r="DR50" s="24">
        <f>DR48/DR53</f>
        <v>0.79792590721828482</v>
      </c>
      <c r="DS50" s="24"/>
      <c r="DT50" s="24">
        <f>IF(ISERROR(DT48/DT53),0,(DT48/DT53))</f>
        <v>0.68815052041633307</v>
      </c>
      <c r="DU50" s="24"/>
      <c r="DV50" s="24">
        <f>IF(ISERROR(DV48/DV53),0,(DV48/DV53))</f>
        <v>0.60024987506246874</v>
      </c>
      <c r="DX50" s="24">
        <f>IF(ISERROR(DX48/DX53),0,(DX48/DX53))</f>
        <v>0.85730773800431115</v>
      </c>
      <c r="DZ50" s="24">
        <f>DZ48/DZ53</f>
        <v>2.9429050051072525</v>
      </c>
      <c r="EA50" s="24"/>
      <c r="EB50" s="24">
        <f>EB48/EB53</f>
        <v>0.87661175994059271</v>
      </c>
      <c r="EC50" s="24"/>
      <c r="ED50" s="24">
        <f>IF(ISERROR(ED48/ED53),0,(ED48/ED53))</f>
        <v>0.74682217714672072</v>
      </c>
      <c r="EE50" s="24"/>
      <c r="EF50" s="24">
        <f>IF(ISERROR(EF48/EF53),0,(EF48/EF53))</f>
        <v>0.67779627050711588</v>
      </c>
      <c r="EH50" s="24">
        <f>IF(ISERROR(EH48/EH53),0,(EH48/EH53))</f>
        <v>0</v>
      </c>
      <c r="EJ50" s="24">
        <f>EJ48/EJ53</f>
        <v>2.3018207045923722</v>
      </c>
      <c r="EK50" s="24"/>
    </row>
    <row r="51" spans="1:141" x14ac:dyDescent="0.2">
      <c r="A51" s="2" t="s">
        <v>32</v>
      </c>
      <c r="B51" s="24">
        <f>B45/B54</f>
        <v>0.1410550175261768</v>
      </c>
      <c r="C51" s="24"/>
      <c r="D51" s="24">
        <f>D45/D54</f>
        <v>0.16275336848271821</v>
      </c>
      <c r="E51" s="24"/>
      <c r="F51" s="24">
        <f>F45/F54</f>
        <v>0.18287026644698012</v>
      </c>
      <c r="G51" s="24"/>
      <c r="H51" s="24">
        <f>H45/H54</f>
        <v>0.20888660168027726</v>
      </c>
      <c r="I51" s="24"/>
      <c r="J51" s="24">
        <f>J45/J54</f>
        <v>0.69562016532843596</v>
      </c>
      <c r="K51" s="24"/>
      <c r="L51" s="24">
        <f>L45/L54</f>
        <v>0.24405535646687737</v>
      </c>
      <c r="M51" s="24"/>
      <c r="N51" s="24">
        <f>N45/N54</f>
        <v>0.26481401071066724</v>
      </c>
      <c r="O51" s="24"/>
      <c r="P51" s="24">
        <f>P45/P54</f>
        <v>0.27227095377780308</v>
      </c>
      <c r="Q51" s="24"/>
      <c r="R51" s="24">
        <f>R45/R54</f>
        <v>0.26720977596741347</v>
      </c>
      <c r="S51" s="24"/>
      <c r="T51" s="24">
        <f>T45/T54</f>
        <v>1.0482293538305707</v>
      </c>
      <c r="U51" s="24"/>
      <c r="V51" s="24">
        <f>V45/V54</f>
        <v>0.2748961648456888</v>
      </c>
      <c r="W51" s="24"/>
      <c r="X51" s="24">
        <f>X45/X54</f>
        <v>0.2962179162790704</v>
      </c>
      <c r="Y51" s="24"/>
      <c r="Z51" s="24">
        <f>Z45/Z54</f>
        <v>0.20047058282925626</v>
      </c>
      <c r="AA51" s="24"/>
      <c r="AB51" s="24">
        <f>AB45/AB54</f>
        <v>0.28155865948870556</v>
      </c>
      <c r="AC51" s="24"/>
      <c r="AD51" s="24">
        <f>AD45/AD54</f>
        <v>1.0517753807815748</v>
      </c>
      <c r="AE51" s="24"/>
      <c r="AF51" s="24">
        <f>AF45/AF54</f>
        <v>0.47975551333939043</v>
      </c>
      <c r="AG51" s="24"/>
      <c r="AH51" s="24">
        <f>AH45/AH54</f>
        <v>0.4887811521176631</v>
      </c>
      <c r="AI51" s="24"/>
      <c r="AJ51" s="24">
        <f>AJ45/AJ54</f>
        <v>0.45509593478081856</v>
      </c>
      <c r="AK51" s="24"/>
      <c r="AL51" s="24">
        <f>AL45/AL54</f>
        <v>0.50358326140824683</v>
      </c>
      <c r="AM51" s="24"/>
      <c r="AN51" s="24">
        <f>AN45/AN54</f>
        <v>1.9269685797611842</v>
      </c>
      <c r="AO51" s="24"/>
      <c r="AP51" s="24">
        <f>AP45/AP54</f>
        <v>0.56721950133570798</v>
      </c>
      <c r="AQ51" s="24"/>
      <c r="AR51" s="24">
        <f>AR45/AR54</f>
        <v>0.57612030737874242</v>
      </c>
      <c r="AS51" s="24"/>
      <c r="AT51" s="24">
        <f>AT45/AT54</f>
        <v>0.57423642868990354</v>
      </c>
      <c r="AU51" s="24"/>
      <c r="AV51" s="24">
        <f>AV45/AV54</f>
        <v>0.61684313913376776</v>
      </c>
      <c r="AW51" s="24"/>
      <c r="AX51" s="24">
        <f>AX45/AX54</f>
        <v>2.3302907990092652</v>
      </c>
      <c r="AY51" s="24"/>
      <c r="AZ51" s="24">
        <f>AZ45/AZ54</f>
        <v>0.62988164609649278</v>
      </c>
      <c r="BA51" s="24"/>
      <c r="BB51" s="24">
        <f>BB45/BB54</f>
        <v>0.62446938277628694</v>
      </c>
      <c r="BC51" s="24"/>
      <c r="BD51" s="24">
        <f>BD45/BD54</f>
        <v>0.46982284055650086</v>
      </c>
      <c r="BF51" s="24">
        <f>BF45/BF54</f>
        <v>0.54580187630026034</v>
      </c>
      <c r="BH51" s="24">
        <f>BH45/BH54</f>
        <v>2.2763343177938116</v>
      </c>
      <c r="BJ51" s="24">
        <f>BJ45/BJ54</f>
        <v>0.56110921503924938</v>
      </c>
      <c r="BK51" s="24"/>
      <c r="BL51" s="24">
        <f>BL45/BL54</f>
        <v>0.52130893014565594</v>
      </c>
      <c r="BM51" s="24"/>
      <c r="BN51" s="24">
        <f>BN45/BN54</f>
        <v>0.3525158384545467</v>
      </c>
      <c r="BP51" s="24">
        <f>BP45/BP54</f>
        <v>0.47554744008945887</v>
      </c>
      <c r="BR51" s="24">
        <f>BR45/BR54</f>
        <v>1.9145736163850284</v>
      </c>
      <c r="BT51" s="24">
        <f>BT45/BT54</f>
        <v>0.5740640569395018</v>
      </c>
      <c r="BU51" s="24"/>
      <c r="BV51" s="24">
        <f>BV45/BV54</f>
        <v>0.5640288788221971</v>
      </c>
      <c r="BW51" s="24"/>
      <c r="BX51" s="24">
        <f>BX45/BX54</f>
        <v>0.5134574400519385</v>
      </c>
      <c r="BZ51" s="24">
        <f>BZ45/BZ54</f>
        <v>0.50000702335969438</v>
      </c>
      <c r="CB51" s="24">
        <f>CB45/CB54</f>
        <v>2.1510044816422322</v>
      </c>
      <c r="CD51" s="24">
        <f>CD45/CD54</f>
        <v>0.67161961367013367</v>
      </c>
      <c r="CE51" s="24"/>
      <c r="CF51" s="24">
        <f>IF(ISERROR(CF45/CF54),0,(CF45/CF54))</f>
        <v>0.5829376519134023</v>
      </c>
      <c r="CG51" s="24"/>
      <c r="CH51" s="24">
        <f>IF(ISERROR(CH45/CH54),0,(CH45/CH54))</f>
        <v>0.33130185020484931</v>
      </c>
      <c r="CJ51" s="24">
        <f>IF(ISERROR(CJ45/CJ54),0,(CJ45/CJ54))</f>
        <v>0.41764242036510796</v>
      </c>
      <c r="CL51" s="24">
        <f>CL45/CL54</f>
        <v>2.0145089205391908</v>
      </c>
      <c r="CN51" s="24">
        <f>CN45/CN54</f>
        <v>0.56808336434685525</v>
      </c>
      <c r="CO51" s="24"/>
      <c r="CP51" s="24">
        <f>IF(ISERROR(CP45/CP54),0,(CP45/CP54))</f>
        <v>0.56028800475059382</v>
      </c>
      <c r="CQ51" s="24"/>
      <c r="CR51" s="24">
        <f>IF(ISERROR(CR45/CR54),0,(CR45/CR54))</f>
        <v>0.43767136484223318</v>
      </c>
      <c r="CT51" s="24">
        <f>IF(ISERROR(CT45/CT54),0,(CT45/CT54))</f>
        <v>0.47016702868698973</v>
      </c>
      <c r="CV51" s="24">
        <f>CV45/CV54</f>
        <v>2.036277314957788</v>
      </c>
      <c r="CX51" s="24">
        <f>CX45/CX54</f>
        <v>0.6544101060230092</v>
      </c>
      <c r="CY51" s="24"/>
      <c r="CZ51" s="24">
        <f>IF(ISERROR(CZ45/CZ54),0,(CZ45/CZ54))</f>
        <v>0.61210557114348729</v>
      </c>
      <c r="DA51" s="24"/>
      <c r="DB51" s="24">
        <f>IF(ISERROR(DB45/DB54),0,(DB45/DB54))</f>
        <v>0.55223186841197724</v>
      </c>
      <c r="DD51" s="24">
        <f>IF(ISERROR(DD45/DD54),0,(DD45/DD54))</f>
        <v>0.65754971173964749</v>
      </c>
      <c r="DF51" s="24">
        <f>DF45/DF54</f>
        <v>2.4760466898012528</v>
      </c>
      <c r="DH51" s="24">
        <f>DH45/DH54</f>
        <v>0.77365184839965728</v>
      </c>
      <c r="DI51" s="24"/>
      <c r="DJ51" s="24">
        <f>IF(ISERROR(DJ45/DJ54),0,(DJ45/DJ54))</f>
        <v>0.71630748955416113</v>
      </c>
      <c r="DK51" s="24"/>
      <c r="DL51" s="24">
        <f>IF(ISERROR(DL45/DL54),0,(DL45/DL54))</f>
        <v>0.61596142731116721</v>
      </c>
      <c r="DN51" s="24">
        <f>IF(ISERROR(DN45/DN54),0,(DN45/DN54))</f>
        <v>0.70646535036778935</v>
      </c>
      <c r="DP51" s="24">
        <f>DP45/DP54</f>
        <v>2.8133575609515535</v>
      </c>
      <c r="DR51" s="24">
        <f>DR45/DR54</f>
        <v>0.78627200895912397</v>
      </c>
      <c r="DS51" s="24"/>
      <c r="DT51" s="24">
        <f>IF(ISERROR(DT45/DT54),0,(DT45/DT54))</f>
        <v>0.68054411857857733</v>
      </c>
      <c r="DU51" s="24"/>
      <c r="DV51" s="24">
        <f>IF(ISERROR(DV45/DV54),0,(DV45/DV54))</f>
        <v>0.5955474018246727</v>
      </c>
      <c r="DX51" s="24">
        <f>IF(ISERROR(DX45/DX54),0,(DX45/DX54))</f>
        <v>0.8473268356511382</v>
      </c>
      <c r="DZ51" s="24">
        <f>DZ45/DZ54</f>
        <v>2.9095594918300982</v>
      </c>
      <c r="EA51" s="24"/>
      <c r="EB51" s="24">
        <f>EB45/EB54</f>
        <v>0.86662217402185704</v>
      </c>
      <c r="EC51" s="24"/>
      <c r="ED51" s="24">
        <f>IF(ISERROR(ED45/ED54),0,(ED45/ED54))</f>
        <v>0.74158246332538857</v>
      </c>
      <c r="EE51" s="24"/>
      <c r="EF51" s="24">
        <f>IF(ISERROR(EF45/EF54),0,(EF45/EF54))</f>
        <v>0.67288238467763695</v>
      </c>
      <c r="EH51" s="24">
        <f>IF(ISERROR(EH45/EH54),0,(EH45/EH54))</f>
        <v>0</v>
      </c>
      <c r="EJ51" s="24">
        <f>EJ45/EJ54</f>
        <v>2.2821137984062632</v>
      </c>
      <c r="EK51" s="24"/>
    </row>
    <row r="52" spans="1:141" x14ac:dyDescent="0.2">
      <c r="A52" s="2"/>
      <c r="B52" s="2"/>
      <c r="C52" s="2"/>
      <c r="D52" s="2"/>
      <c r="E52" s="2"/>
      <c r="F52" s="2"/>
      <c r="G52" s="2"/>
      <c r="H52" s="2"/>
      <c r="I52" s="2"/>
      <c r="J52" s="61"/>
      <c r="K52" s="2"/>
      <c r="L52" s="2"/>
      <c r="M52" s="2"/>
      <c r="N52" s="2"/>
      <c r="O52" s="2"/>
      <c r="P52" s="2"/>
      <c r="Q52" s="2"/>
      <c r="R52" s="2"/>
      <c r="S52" s="2"/>
      <c r="T52" s="61"/>
      <c r="U52" s="2"/>
      <c r="V52" s="2"/>
      <c r="W52" s="2"/>
      <c r="X52" s="31"/>
      <c r="Y52" s="2"/>
      <c r="Z52" s="31"/>
      <c r="AA52" s="2"/>
      <c r="AB52" s="2"/>
      <c r="AC52" s="2"/>
      <c r="AD52" s="61"/>
      <c r="AE52" s="2"/>
      <c r="AF52" s="2"/>
      <c r="AG52" s="2"/>
      <c r="AH52" s="31"/>
      <c r="AI52" s="2"/>
      <c r="AJ52" s="31"/>
      <c r="AK52" s="2"/>
      <c r="AL52" s="31"/>
      <c r="AM52" s="2"/>
      <c r="AN52" s="61"/>
      <c r="AO52" s="2"/>
      <c r="AP52" s="2"/>
      <c r="AQ52" s="2"/>
      <c r="AR52" s="31"/>
      <c r="AS52" s="2"/>
      <c r="AT52" s="31"/>
      <c r="AU52" s="31"/>
      <c r="AV52" s="31"/>
      <c r="AX52" s="61"/>
      <c r="AZ52" s="2"/>
      <c r="BA52" s="2"/>
      <c r="BB52" s="31"/>
      <c r="BC52" s="2"/>
      <c r="BD52" s="31"/>
      <c r="BF52" s="31"/>
      <c r="BH52" s="61"/>
      <c r="BJ52" s="2"/>
      <c r="BK52" s="2"/>
      <c r="BL52" s="31"/>
      <c r="BM52" s="2"/>
      <c r="BN52" s="31"/>
      <c r="BP52" s="31"/>
      <c r="BR52" s="61"/>
      <c r="BT52" s="2"/>
      <c r="BU52" s="2"/>
      <c r="BV52" s="31"/>
      <c r="BW52" s="2"/>
      <c r="BX52" s="31"/>
      <c r="BZ52" s="31"/>
      <c r="CB52" s="61"/>
      <c r="CD52" s="2"/>
      <c r="CE52" s="2"/>
      <c r="CF52" s="31"/>
      <c r="CG52" s="2"/>
      <c r="CH52" s="31"/>
      <c r="CJ52" s="31"/>
      <c r="CL52" s="61"/>
      <c r="CN52" s="2"/>
      <c r="CO52" s="2"/>
      <c r="CP52" s="31"/>
      <c r="CQ52" s="2"/>
      <c r="CR52" s="31"/>
      <c r="CT52" s="31"/>
      <c r="CV52" s="61"/>
      <c r="CX52" s="2"/>
      <c r="CY52" s="2"/>
      <c r="CZ52" s="31"/>
      <c r="DA52" s="2"/>
      <c r="DB52" s="31"/>
      <c r="DD52" s="31"/>
      <c r="DF52" s="61"/>
      <c r="DH52" s="2"/>
      <c r="DI52" s="2"/>
      <c r="DJ52" s="31"/>
      <c r="DK52" s="2"/>
      <c r="DL52" s="31"/>
      <c r="DN52" s="31"/>
      <c r="DP52" s="61"/>
      <c r="DR52" s="2"/>
      <c r="DS52" s="2"/>
      <c r="DT52" s="31"/>
      <c r="DU52" s="2"/>
      <c r="DV52" s="31"/>
      <c r="DX52" s="31"/>
      <c r="DZ52" s="61"/>
      <c r="EA52" s="2"/>
      <c r="EB52" s="2"/>
      <c r="EC52" s="2"/>
      <c r="ED52" s="31"/>
      <c r="EE52" s="2"/>
      <c r="EF52" s="31"/>
      <c r="EH52" s="31"/>
      <c r="EJ52" s="61"/>
      <c r="EK52" s="2"/>
    </row>
    <row r="53" spans="1:141" x14ac:dyDescent="0.2">
      <c r="A53" s="2" t="s">
        <v>33</v>
      </c>
      <c r="B53" s="18">
        <f>24115*5/2</f>
        <v>60287.5</v>
      </c>
      <c r="C53" s="2"/>
      <c r="D53" s="18">
        <f>24200*5/2</f>
        <v>60500</v>
      </c>
      <c r="E53" s="2"/>
      <c r="F53" s="18">
        <f>24295*5/2</f>
        <v>60737.5</v>
      </c>
      <c r="G53" s="2"/>
      <c r="H53" s="18">
        <f>24304*5/2</f>
        <v>60760</v>
      </c>
      <c r="I53" s="2"/>
      <c r="J53" s="18">
        <f>24229*5/2</f>
        <v>60572.5</v>
      </c>
      <c r="K53" s="2"/>
      <c r="L53" s="18">
        <f>24311*5/2</f>
        <v>60777.5</v>
      </c>
      <c r="M53" s="2"/>
      <c r="N53" s="18">
        <f>24326*5/2</f>
        <v>60815</v>
      </c>
      <c r="O53" s="2"/>
      <c r="P53" s="18">
        <f>24404*5/2</f>
        <v>61010</v>
      </c>
      <c r="Q53" s="2"/>
      <c r="R53" s="18">
        <f>24688*5/2</f>
        <v>61720</v>
      </c>
      <c r="S53" s="2"/>
      <c r="T53" s="18">
        <f>24229*5/2</f>
        <v>60572.5</v>
      </c>
      <c r="U53" s="2"/>
      <c r="V53" s="18">
        <f>24958.625*5/2</f>
        <v>62396.5625</v>
      </c>
      <c r="W53" s="2"/>
      <c r="X53" s="18">
        <f>25672*5/2</f>
        <v>64180</v>
      </c>
      <c r="Y53" s="2"/>
      <c r="Z53" s="18">
        <f>26666.292*5/2</f>
        <v>66665.73000000001</v>
      </c>
      <c r="AA53" s="2"/>
      <c r="AB53" s="18">
        <f>26087*5/2</f>
        <v>65217.5</v>
      </c>
      <c r="AC53" s="2"/>
      <c r="AD53" s="18">
        <f>25846*5/2</f>
        <v>64615</v>
      </c>
      <c r="AE53" s="2"/>
      <c r="AF53" s="18">
        <f>24515*5/2</f>
        <v>61287.5</v>
      </c>
      <c r="AG53" s="2"/>
      <c r="AH53" s="18">
        <f>25708*5/2</f>
        <v>64270</v>
      </c>
      <c r="AI53" s="2"/>
      <c r="AJ53" s="18">
        <v>76930</v>
      </c>
      <c r="AK53" s="2"/>
      <c r="AL53" s="18">
        <f>34955*5/2</f>
        <v>87387.5</v>
      </c>
      <c r="AM53" s="2"/>
      <c r="AN53" s="18">
        <f>29383*5/2</f>
        <v>73457.5</v>
      </c>
      <c r="AO53" s="2"/>
      <c r="AP53" s="18">
        <f>34896*5/2</f>
        <v>87240</v>
      </c>
      <c r="AQ53" s="2"/>
      <c r="AR53" s="18">
        <f>34999*5/2</f>
        <v>87497.5</v>
      </c>
      <c r="AS53" s="2"/>
      <c r="AT53" s="18">
        <v>81253</v>
      </c>
      <c r="AU53" s="18"/>
      <c r="AV53" s="18">
        <v>80562</v>
      </c>
      <c r="AX53" s="18">
        <v>84139</v>
      </c>
      <c r="AZ53" s="18">
        <v>80285</v>
      </c>
      <c r="BA53" s="2"/>
      <c r="BB53" s="18">
        <v>79464</v>
      </c>
      <c r="BC53" s="2"/>
      <c r="BD53" s="18">
        <v>77989</v>
      </c>
      <c r="BF53" s="18">
        <v>74863</v>
      </c>
      <c r="BH53" s="19">
        <v>78150</v>
      </c>
      <c r="BJ53" s="18">
        <v>74558</v>
      </c>
      <c r="BK53" s="2"/>
      <c r="BL53" s="18">
        <v>74747</v>
      </c>
      <c r="BM53" s="2"/>
      <c r="BN53" s="18">
        <v>72826</v>
      </c>
      <c r="BP53" s="18">
        <v>69942</v>
      </c>
      <c r="BR53" s="19">
        <f>AVERAGE(BJ53:BP53)</f>
        <v>73018.25</v>
      </c>
      <c r="BT53" s="18">
        <v>69256</v>
      </c>
      <c r="BU53" s="2"/>
      <c r="BV53" s="18">
        <v>69545</v>
      </c>
      <c r="BW53" s="2"/>
      <c r="BX53" s="18">
        <v>69808</v>
      </c>
      <c r="BZ53" s="18">
        <v>70095</v>
      </c>
      <c r="CB53" s="19">
        <f>AVERAGE(BT53:BZ53)</f>
        <v>69676</v>
      </c>
      <c r="CD53" s="18">
        <v>70286</v>
      </c>
      <c r="CE53" s="2"/>
      <c r="CF53" s="18">
        <v>69822</v>
      </c>
      <c r="CG53" s="2"/>
      <c r="CH53" s="18">
        <v>67939</v>
      </c>
      <c r="CJ53" s="18">
        <v>66779</v>
      </c>
      <c r="CL53" s="19">
        <f>AVERAGE(CD53:CJ53)</f>
        <v>68706.5</v>
      </c>
      <c r="CN53" s="18">
        <v>66710</v>
      </c>
      <c r="CO53" s="2"/>
      <c r="CP53" s="18">
        <v>66684</v>
      </c>
      <c r="CQ53" s="2"/>
      <c r="CR53" s="18">
        <v>66696</v>
      </c>
      <c r="CT53" s="18">
        <v>66332</v>
      </c>
      <c r="CV53" s="19">
        <f>AVERAGE(CN53:CT53)</f>
        <v>66605.5</v>
      </c>
      <c r="CX53" s="18">
        <v>65995</v>
      </c>
      <c r="CY53" s="2"/>
      <c r="CZ53" s="18">
        <v>66028</v>
      </c>
      <c r="DA53" s="2"/>
      <c r="DB53" s="18">
        <v>66077</v>
      </c>
      <c r="DD53" s="18">
        <v>65844</v>
      </c>
      <c r="DF53" s="19">
        <f>AVERAGE(CX53:DD53)</f>
        <v>65986</v>
      </c>
      <c r="DH53" s="18">
        <v>65699</v>
      </c>
      <c r="DI53" s="2"/>
      <c r="DJ53" s="18">
        <v>65945</v>
      </c>
      <c r="DK53" s="2"/>
      <c r="DL53" s="18">
        <v>65094</v>
      </c>
      <c r="DN53" s="18">
        <v>63678</v>
      </c>
      <c r="DP53" s="19">
        <f>AVERAGE(DH53:DN53)</f>
        <v>65104</v>
      </c>
      <c r="DR53" s="18">
        <v>63353</v>
      </c>
      <c r="DS53" s="2"/>
      <c r="DT53" s="18">
        <v>62450</v>
      </c>
      <c r="DU53" s="2"/>
      <c r="DV53" s="18">
        <v>60030</v>
      </c>
      <c r="DX53" s="18">
        <v>58917</v>
      </c>
      <c r="DZ53" s="19">
        <f>AVERAGE(DR53:DX53)</f>
        <v>61187.5</v>
      </c>
      <c r="EA53" s="2"/>
      <c r="EB53" s="18">
        <v>59252</v>
      </c>
      <c r="EC53" s="2"/>
      <c r="ED53" s="18">
        <v>59160</v>
      </c>
      <c r="EE53" s="2"/>
      <c r="EF53" s="18">
        <v>58882</v>
      </c>
      <c r="EH53" s="18"/>
      <c r="EJ53" s="19">
        <f>AVERAGE(EB53:EH53)</f>
        <v>59098</v>
      </c>
      <c r="EK53" s="2"/>
    </row>
    <row r="54" spans="1:141" x14ac:dyDescent="0.2">
      <c r="A54" s="2" t="s">
        <v>34</v>
      </c>
      <c r="B54" s="18">
        <f>34105.841*5/2</f>
        <v>85264.602500000008</v>
      </c>
      <c r="C54" s="2"/>
      <c r="D54" s="18">
        <f>34140*5/2</f>
        <v>85350</v>
      </c>
      <c r="E54" s="2"/>
      <c r="F54" s="18">
        <f>34115.23*5/2</f>
        <v>85288.075000000012</v>
      </c>
      <c r="G54" s="2"/>
      <c r="H54" s="18">
        <f>34161*5/2</f>
        <v>85402.5</v>
      </c>
      <c r="I54" s="2"/>
      <c r="J54" s="18">
        <f>34130.51775*5/2</f>
        <v>85326.294374999998</v>
      </c>
      <c r="K54" s="2"/>
      <c r="L54" s="18">
        <f>34236*5/2</f>
        <v>85590</v>
      </c>
      <c r="M54" s="2"/>
      <c r="N54" s="18">
        <f>34545*5/2</f>
        <v>86362.5</v>
      </c>
      <c r="O54" s="2"/>
      <c r="P54" s="18">
        <f>35113*5/2</f>
        <v>87782.5</v>
      </c>
      <c r="Q54" s="2"/>
      <c r="R54" s="18">
        <f>35352*5/2</f>
        <v>88380</v>
      </c>
      <c r="S54" s="2"/>
      <c r="T54" s="18">
        <f>34788.693*5/2</f>
        <v>86971.732499999998</v>
      </c>
      <c r="U54" s="2"/>
      <c r="V54" s="18">
        <f>36374.964*5/2</f>
        <v>90937.41</v>
      </c>
      <c r="W54" s="2"/>
      <c r="X54" s="18">
        <f>37195*5/2</f>
        <v>92987.5</v>
      </c>
      <c r="Y54" s="2"/>
      <c r="Z54" s="18">
        <f>37779.109*5/2</f>
        <v>94447.772499999992</v>
      </c>
      <c r="AA54" s="2"/>
      <c r="AB54" s="18">
        <f>36965*5/2</f>
        <v>92412.5</v>
      </c>
      <c r="AC54" s="2"/>
      <c r="AD54" s="18">
        <f>37079*5/2</f>
        <v>92697.5</v>
      </c>
      <c r="AE54" s="2"/>
      <c r="AF54" s="18">
        <f>36321*5/2</f>
        <v>90802.5</v>
      </c>
      <c r="AG54" s="2"/>
      <c r="AH54" s="18">
        <f>36715*5/2</f>
        <v>91787.5</v>
      </c>
      <c r="AI54" s="2"/>
      <c r="AJ54" s="18">
        <f>36431*5/2</f>
        <v>91077.5</v>
      </c>
      <c r="AK54" s="2"/>
      <c r="AL54" s="18">
        <f>35917*5/2</f>
        <v>89792.5</v>
      </c>
      <c r="AM54" s="2"/>
      <c r="AN54" s="18">
        <f>36346*5/2</f>
        <v>90865</v>
      </c>
      <c r="AO54" s="2"/>
      <c r="AP54" s="18">
        <f>35936*5/2</f>
        <v>89840</v>
      </c>
      <c r="AQ54" s="2"/>
      <c r="AR54" s="18">
        <f>36307*5/2</f>
        <v>90767.5</v>
      </c>
      <c r="AS54" s="2"/>
      <c r="AT54" s="18">
        <v>84406</v>
      </c>
      <c r="AU54" s="18"/>
      <c r="AV54" s="18">
        <v>83488</v>
      </c>
      <c r="AX54" s="18">
        <v>87208</v>
      </c>
      <c r="AZ54" s="18">
        <v>82887</v>
      </c>
      <c r="BA54" s="2"/>
      <c r="BB54" s="18">
        <v>81980</v>
      </c>
      <c r="BC54" s="2"/>
      <c r="BD54" s="18">
        <v>79928</v>
      </c>
      <c r="BF54" s="18">
        <v>76427</v>
      </c>
      <c r="BH54" s="19">
        <v>80247</v>
      </c>
      <c r="BJ54" s="18">
        <v>76072</v>
      </c>
      <c r="BK54" s="2"/>
      <c r="BL54" s="18">
        <v>76001</v>
      </c>
      <c r="BM54" s="2"/>
      <c r="BN54" s="18">
        <v>73713</v>
      </c>
      <c r="BP54" s="18">
        <v>70647</v>
      </c>
      <c r="BR54" s="19">
        <f>AVERAGE(BJ54:BP54)</f>
        <v>74108.25</v>
      </c>
      <c r="BT54" s="18">
        <v>70250</v>
      </c>
      <c r="BU54" s="2"/>
      <c r="BV54" s="18">
        <v>70640</v>
      </c>
      <c r="BW54" s="2"/>
      <c r="BX54" s="18">
        <v>70853</v>
      </c>
      <c r="BZ54" s="18">
        <v>71191</v>
      </c>
      <c r="CB54" s="19">
        <v>70733</v>
      </c>
      <c r="CD54" s="18">
        <v>71338</v>
      </c>
      <c r="CE54" s="2"/>
      <c r="CF54" s="18">
        <v>70764</v>
      </c>
      <c r="CG54" s="2"/>
      <c r="CH54" s="18">
        <v>68587</v>
      </c>
      <c r="CJ54" s="18">
        <v>67213</v>
      </c>
      <c r="CL54" s="19">
        <f>AVERAGE(CD54:CJ54)-1</f>
        <v>69474.5</v>
      </c>
      <c r="CN54" s="18">
        <v>67175</v>
      </c>
      <c r="CO54" s="2"/>
      <c r="CP54" s="18">
        <v>67360</v>
      </c>
      <c r="CQ54" s="2"/>
      <c r="CR54" s="18">
        <v>67473</v>
      </c>
      <c r="CT54" s="18">
        <v>66755</v>
      </c>
      <c r="CV54" s="19">
        <f>AVERAGE(CN54:CT54)</f>
        <v>67190.75</v>
      </c>
      <c r="CX54" s="18">
        <v>66495</v>
      </c>
      <c r="CY54" s="2"/>
      <c r="CZ54" s="18">
        <v>66647</v>
      </c>
      <c r="DA54" s="2"/>
      <c r="DB54" s="18">
        <v>66693</v>
      </c>
      <c r="DD54" s="18">
        <v>66433</v>
      </c>
      <c r="DF54" s="19">
        <f>AVERAGE(CX54:DD54)</f>
        <v>66567</v>
      </c>
      <c r="DH54" s="18">
        <v>66517</v>
      </c>
      <c r="DI54" s="2"/>
      <c r="DJ54" s="18">
        <v>66773</v>
      </c>
      <c r="DK54" s="2"/>
      <c r="DL54" s="18">
        <v>65746</v>
      </c>
      <c r="DN54" s="18">
        <v>64575</v>
      </c>
      <c r="DP54" s="19">
        <f>AVERAGE(DH54:DN54)</f>
        <v>65902.75</v>
      </c>
      <c r="DR54" s="18">
        <v>64292</v>
      </c>
      <c r="DS54" s="2"/>
      <c r="DT54" s="18">
        <v>63148</v>
      </c>
      <c r="DU54" s="2"/>
      <c r="DV54" s="18">
        <v>60504</v>
      </c>
      <c r="DX54" s="18">
        <v>59611</v>
      </c>
      <c r="DZ54" s="19">
        <f>AVERAGE(DR54:DX54)</f>
        <v>61888.75</v>
      </c>
      <c r="EA54" s="2"/>
      <c r="EB54" s="18">
        <v>59935</v>
      </c>
      <c r="EC54" s="2"/>
      <c r="ED54" s="18">
        <v>59578</v>
      </c>
      <c r="EE54" s="2"/>
      <c r="EF54" s="18">
        <v>59312</v>
      </c>
      <c r="EH54" s="18"/>
      <c r="EJ54" s="19">
        <f>AVERAGE(EB54:EH54)</f>
        <v>59608.333333333336</v>
      </c>
      <c r="EK54" s="2"/>
    </row>
    <row r="55" spans="1:141" x14ac:dyDescent="0.2">
      <c r="A55" s="2"/>
      <c r="B55" s="18"/>
      <c r="C55" s="2"/>
      <c r="D55" s="18"/>
      <c r="E55" s="2"/>
      <c r="F55" s="18"/>
      <c r="G55" s="2"/>
      <c r="H55" s="18"/>
      <c r="I55" s="2"/>
      <c r="J55" s="18"/>
      <c r="K55" s="2"/>
      <c r="L55" s="18"/>
      <c r="M55" s="2"/>
      <c r="N55" s="18"/>
      <c r="O55" s="2"/>
      <c r="P55" s="18"/>
      <c r="Q55" s="2"/>
      <c r="R55" s="18"/>
      <c r="S55" s="2"/>
      <c r="T55" s="18"/>
      <c r="U55" s="2"/>
      <c r="V55" s="18"/>
      <c r="W55" s="2"/>
      <c r="X55" s="18"/>
      <c r="Y55" s="2"/>
      <c r="Z55" s="18"/>
      <c r="AA55" s="2"/>
      <c r="AB55" s="18"/>
      <c r="AC55" s="2"/>
      <c r="AD55" s="18"/>
      <c r="AE55" s="2"/>
      <c r="AF55" s="18"/>
      <c r="AG55" s="2"/>
      <c r="AH55" s="18"/>
      <c r="AI55" s="2"/>
      <c r="AJ55" s="18"/>
      <c r="AK55" s="2"/>
      <c r="AL55" s="18"/>
      <c r="AM55" s="2"/>
      <c r="AN55" s="18"/>
      <c r="AO55" s="2"/>
      <c r="AP55" s="18"/>
      <c r="AQ55" s="2"/>
      <c r="AR55" s="18"/>
      <c r="AS55" s="2"/>
      <c r="AT55" s="18"/>
      <c r="AU55" s="18"/>
      <c r="AV55" s="18"/>
      <c r="AX55" s="17"/>
      <c r="AZ55" s="18"/>
      <c r="BA55" s="2"/>
      <c r="BB55" s="18"/>
      <c r="BC55" s="2"/>
      <c r="BD55" s="18"/>
      <c r="BF55" s="18"/>
      <c r="BH55" s="17"/>
      <c r="BJ55" s="18"/>
      <c r="BK55" s="2"/>
      <c r="BL55" s="18"/>
      <c r="BM55" s="2"/>
      <c r="BN55" s="18"/>
      <c r="BP55" s="18"/>
      <c r="BR55" s="17"/>
      <c r="BT55" s="18"/>
      <c r="BU55" s="2"/>
      <c r="BV55" s="18"/>
      <c r="BW55" s="2"/>
      <c r="BX55" s="18"/>
      <c r="BZ55" s="18"/>
      <c r="CB55" s="17"/>
      <c r="CD55" s="18"/>
      <c r="CE55" s="2"/>
      <c r="CF55" s="18"/>
      <c r="CG55" s="2"/>
      <c r="CH55" s="18"/>
      <c r="CJ55" s="18"/>
      <c r="CL55" s="17"/>
      <c r="CN55" s="18"/>
      <c r="CO55" s="2"/>
      <c r="CP55" s="18"/>
      <c r="CQ55" s="2"/>
      <c r="CR55" s="18"/>
      <c r="CT55" s="18"/>
      <c r="CV55" s="17"/>
      <c r="CX55" s="18"/>
      <c r="CY55" s="2"/>
      <c r="CZ55" s="18"/>
      <c r="DA55" s="2"/>
      <c r="DB55" s="18"/>
      <c r="DD55" s="18"/>
      <c r="DF55" s="17"/>
      <c r="DH55" s="18"/>
      <c r="DI55" s="2"/>
      <c r="DJ55" s="18"/>
      <c r="DK55" s="2"/>
      <c r="DL55" s="18"/>
      <c r="DN55" s="18"/>
      <c r="DP55" s="17"/>
      <c r="DR55" s="18"/>
      <c r="DS55" s="2"/>
      <c r="DT55" s="18"/>
      <c r="DU55" s="2"/>
      <c r="DV55" s="18"/>
      <c r="DX55" s="18"/>
      <c r="DZ55" s="17"/>
      <c r="EA55" s="2"/>
      <c r="EB55" s="18"/>
      <c r="EC55" s="2"/>
      <c r="ED55" s="18"/>
      <c r="EE55" s="2"/>
      <c r="EF55" s="18"/>
      <c r="EH55" s="18"/>
      <c r="EJ55" s="17"/>
      <c r="EK55" s="2"/>
    </row>
    <row r="56" spans="1:141" x14ac:dyDescent="0.2">
      <c r="A56" s="2" t="s">
        <v>119</v>
      </c>
      <c r="B56" s="74" t="s">
        <v>120</v>
      </c>
      <c r="C56" s="28"/>
      <c r="D56" s="74" t="s">
        <v>120</v>
      </c>
      <c r="E56" s="28"/>
      <c r="F56" s="74" t="s">
        <v>120</v>
      </c>
      <c r="G56" s="28"/>
      <c r="H56" s="74" t="s">
        <v>120</v>
      </c>
      <c r="I56" s="28"/>
      <c r="J56" s="72"/>
      <c r="K56" s="28"/>
      <c r="L56" s="72">
        <v>0.14099999999999999</v>
      </c>
      <c r="M56" s="72"/>
      <c r="N56" s="72">
        <v>0.122</v>
      </c>
      <c r="O56" s="72"/>
      <c r="P56" s="72">
        <v>0.14000000000000001</v>
      </c>
      <c r="Q56" s="72"/>
      <c r="R56" s="72">
        <v>9.1999999999999998E-2</v>
      </c>
      <c r="S56" s="72"/>
      <c r="T56" s="72">
        <v>0.121</v>
      </c>
      <c r="U56" s="72"/>
      <c r="V56" s="72">
        <v>8.7999999999999995E-2</v>
      </c>
      <c r="W56" s="72"/>
      <c r="X56" s="72">
        <v>8.6999999999999994E-2</v>
      </c>
      <c r="Y56" s="72"/>
      <c r="Z56" s="72">
        <v>4.4999999999999998E-2</v>
      </c>
      <c r="AA56" s="72"/>
      <c r="AB56" s="72">
        <v>9.7000000000000003E-2</v>
      </c>
      <c r="AC56" s="72"/>
      <c r="AD56" s="72">
        <v>0.08</v>
      </c>
      <c r="AE56" s="72"/>
      <c r="AF56" s="72">
        <v>7.6999999999999999E-2</v>
      </c>
      <c r="AG56" s="72"/>
      <c r="AH56" s="72">
        <v>6.6000000000000003E-2</v>
      </c>
      <c r="AI56" s="72"/>
      <c r="AJ56" s="72">
        <v>6.9000000000000006E-2</v>
      </c>
      <c r="AK56" s="72"/>
      <c r="AL56" s="72">
        <v>4.7E-2</v>
      </c>
      <c r="AM56" s="72"/>
      <c r="AN56" s="72">
        <v>0.06</v>
      </c>
      <c r="AO56" s="72"/>
      <c r="AP56" s="72">
        <v>6.2E-2</v>
      </c>
      <c r="AQ56" s="72"/>
      <c r="AR56" s="72">
        <v>2.7E-2</v>
      </c>
      <c r="AS56" s="72"/>
      <c r="AT56" s="72">
        <v>3.4000000000000002E-2</v>
      </c>
      <c r="AU56" s="72"/>
      <c r="AV56" s="72">
        <v>2E-3</v>
      </c>
      <c r="AW56" s="73"/>
      <c r="AX56" s="72">
        <v>0.03</v>
      </c>
      <c r="AY56" s="73"/>
      <c r="AZ56" s="72">
        <v>-1.2999999999999999E-2</v>
      </c>
      <c r="BA56" s="72"/>
      <c r="BB56" s="72">
        <v>-2.3E-2</v>
      </c>
      <c r="BC56" s="72"/>
      <c r="BD56" s="72">
        <v>-5.5E-2</v>
      </c>
      <c r="BE56" s="73"/>
      <c r="BF56" s="72">
        <v>-3.6999999999999998E-2</v>
      </c>
      <c r="BG56" s="73"/>
      <c r="BH56" s="72">
        <v>-3.5999999999999997E-2</v>
      </c>
      <c r="BI56" s="73"/>
      <c r="BJ56" s="72">
        <v>-0.05</v>
      </c>
      <c r="BK56" s="72"/>
      <c r="BL56" s="72">
        <v>-2.5999999999999999E-2</v>
      </c>
      <c r="BM56" s="72"/>
      <c r="BN56" s="72">
        <v>-4.0000000000000001E-3</v>
      </c>
      <c r="BO56" s="73"/>
      <c r="BP56" s="72">
        <v>-2E-3</v>
      </c>
      <c r="BQ56" s="73"/>
      <c r="BR56" s="72">
        <v>-2.3E-2</v>
      </c>
      <c r="BS56" s="73"/>
      <c r="BT56" s="72">
        <v>1.7999999999999999E-2</v>
      </c>
      <c r="BU56" s="72"/>
      <c r="BV56" s="72">
        <v>1.0999999999999999E-2</v>
      </c>
      <c r="BW56" s="72"/>
      <c r="BX56" s="72">
        <v>3.5999999999999997E-2</v>
      </c>
      <c r="BY56" s="73"/>
      <c r="BZ56" s="72">
        <v>0.01</v>
      </c>
      <c r="CA56" s="73"/>
      <c r="CB56" s="72">
        <v>1.9E-2</v>
      </c>
      <c r="CD56" s="72">
        <v>2.9000000000000001E-2</v>
      </c>
      <c r="CE56" s="72"/>
      <c r="CF56" s="72">
        <v>2.7E-2</v>
      </c>
      <c r="CG56" s="72"/>
      <c r="CH56" s="72">
        <v>-1.7999999999999999E-2</v>
      </c>
      <c r="CI56" s="73"/>
      <c r="CJ56" s="72">
        <v>0.01</v>
      </c>
      <c r="CK56" s="73"/>
      <c r="CL56" s="72">
        <v>2.1000000000000001E-2</v>
      </c>
      <c r="CN56" s="72">
        <v>2.8000000000000001E-2</v>
      </c>
      <c r="CO56" s="72"/>
      <c r="CP56" s="72">
        <v>8.9999999999999993E-3</v>
      </c>
      <c r="CQ56" s="72"/>
      <c r="CR56" s="72">
        <v>3.4000000000000002E-2</v>
      </c>
      <c r="CS56" s="73"/>
      <c r="CT56" s="72">
        <v>0</v>
      </c>
      <c r="CU56" s="73"/>
      <c r="CV56" s="72">
        <v>2.3E-2</v>
      </c>
      <c r="CX56" s="72">
        <v>-2.5000000000000001E-2</v>
      </c>
      <c r="CY56" s="72"/>
      <c r="CZ56" s="72">
        <v>-6.2E-2</v>
      </c>
      <c r="DA56" s="72"/>
      <c r="DB56" s="72">
        <v>-6.0999999999999999E-2</v>
      </c>
      <c r="DC56" s="73"/>
      <c r="DD56" s="72">
        <v>-3.2000000000000001E-2</v>
      </c>
      <c r="DE56" s="73"/>
      <c r="DF56" s="72">
        <v>-3.5000000000000003E-2</v>
      </c>
      <c r="DH56" s="72">
        <v>-5.0000000000000001E-3</v>
      </c>
      <c r="DI56" s="72"/>
      <c r="DJ56" s="72">
        <v>1E-3</v>
      </c>
      <c r="DK56" s="72"/>
      <c r="DL56" s="72">
        <v>3.0000000000000001E-3</v>
      </c>
      <c r="DM56" s="73"/>
      <c r="DN56" s="72">
        <v>0</v>
      </c>
      <c r="DO56" s="73"/>
      <c r="DP56" s="72">
        <v>-4.0000000000000001E-3</v>
      </c>
      <c r="DR56" s="72">
        <v>1E-3</v>
      </c>
      <c r="DS56" s="72"/>
      <c r="DT56" s="72">
        <v>-3.0000000000000001E-3</v>
      </c>
      <c r="DU56" s="72"/>
      <c r="DV56" s="72">
        <v>0.02</v>
      </c>
      <c r="DW56" s="73"/>
      <c r="DX56" s="72">
        <v>2.7E-2</v>
      </c>
      <c r="DY56" s="73"/>
      <c r="DZ56" s="72">
        <v>8.0000000000000002E-3</v>
      </c>
      <c r="EA56" s="72"/>
      <c r="EB56" s="72">
        <v>7.0999999999999994E-2</v>
      </c>
      <c r="EC56" s="72"/>
      <c r="ED56" s="72">
        <v>2.8000000000000001E-2</v>
      </c>
      <c r="EE56" s="72"/>
      <c r="EF56" s="72">
        <v>1.2E-2</v>
      </c>
      <c r="EG56" s="73"/>
      <c r="EH56" s="72"/>
      <c r="EI56" s="73"/>
      <c r="EJ56" s="72"/>
      <c r="EK56" s="72"/>
    </row>
    <row r="57" spans="1:141" x14ac:dyDescent="0.2">
      <c r="A57" s="2"/>
      <c r="B57" s="18"/>
      <c r="C57" s="2"/>
      <c r="D57" s="18"/>
      <c r="E57" s="2"/>
      <c r="F57" s="18"/>
      <c r="G57" s="2"/>
      <c r="H57" s="18"/>
      <c r="I57" s="2"/>
      <c r="J57" s="18"/>
      <c r="K57" s="2"/>
      <c r="L57" s="18"/>
      <c r="M57" s="2"/>
      <c r="N57" s="18"/>
      <c r="O57" s="2"/>
      <c r="P57" s="18"/>
      <c r="Q57" s="2"/>
      <c r="R57" s="18"/>
      <c r="S57" s="2"/>
      <c r="T57" s="18"/>
      <c r="U57" s="2"/>
      <c r="V57" s="18"/>
      <c r="W57" s="2"/>
      <c r="X57" s="18"/>
      <c r="Y57" s="2"/>
      <c r="Z57" s="18"/>
      <c r="AA57" s="2"/>
      <c r="AB57" s="18"/>
      <c r="AC57" s="2"/>
      <c r="AD57" s="18"/>
      <c r="AE57" s="2"/>
      <c r="AF57" s="18"/>
      <c r="AG57" s="2"/>
      <c r="AH57" s="18"/>
      <c r="AI57" s="2"/>
      <c r="AJ57" s="18"/>
      <c r="AK57" s="2"/>
      <c r="AL57" s="18"/>
      <c r="AM57" s="2"/>
      <c r="AN57" s="18"/>
      <c r="AO57" s="2"/>
      <c r="AP57" s="18"/>
      <c r="AQ57" s="2"/>
      <c r="AR57" s="18"/>
      <c r="AS57" s="2"/>
      <c r="AT57" s="18"/>
      <c r="AU57" s="18"/>
      <c r="AV57" s="18"/>
      <c r="AX57" s="17"/>
      <c r="AZ57" s="18"/>
      <c r="BA57" s="2"/>
      <c r="BB57" s="18"/>
      <c r="BC57" s="2"/>
      <c r="BD57" s="18"/>
      <c r="BF57" s="18"/>
      <c r="BH57" s="17"/>
      <c r="BJ57" s="18"/>
      <c r="BK57" s="2"/>
      <c r="BL57" s="18"/>
      <c r="BM57" s="2"/>
      <c r="BN57" s="18"/>
      <c r="BP57" s="18"/>
      <c r="BR57" s="17"/>
      <c r="BT57" s="18"/>
      <c r="BU57" s="2"/>
      <c r="BV57" s="18"/>
      <c r="BW57" s="2"/>
      <c r="BX57" s="18"/>
      <c r="BZ57" s="18"/>
      <c r="CB57" s="17"/>
      <c r="CD57" s="18"/>
      <c r="CE57" s="2"/>
      <c r="CF57" s="18"/>
      <c r="CG57" s="2"/>
      <c r="CH57" s="18"/>
      <c r="CJ57" s="18"/>
      <c r="CL57" s="17"/>
      <c r="CN57" s="18"/>
      <c r="CO57" s="2"/>
      <c r="CP57" s="18"/>
      <c r="CQ57" s="2"/>
      <c r="CR57" s="18"/>
      <c r="CT57" s="18"/>
      <c r="CV57" s="17"/>
      <c r="CX57" s="18"/>
      <c r="CY57" s="2"/>
      <c r="CZ57" s="18"/>
      <c r="DA57" s="2"/>
      <c r="DB57" s="18"/>
      <c r="DD57" s="18"/>
      <c r="DF57" s="17"/>
      <c r="DH57" s="18"/>
      <c r="DI57" s="2"/>
      <c r="DJ57" s="18"/>
      <c r="DK57" s="2"/>
      <c r="DL57" s="18"/>
      <c r="DN57" s="18"/>
      <c r="DP57" s="17"/>
      <c r="DR57" s="18"/>
      <c r="DS57" s="2"/>
      <c r="DT57" s="18"/>
      <c r="DU57" s="2"/>
      <c r="DV57" s="18"/>
      <c r="DX57" s="18"/>
      <c r="DZ57" s="17"/>
      <c r="EA57" s="2"/>
      <c r="EB57" s="18"/>
      <c r="EC57" s="2"/>
      <c r="ED57" s="18"/>
      <c r="EE57" s="2"/>
      <c r="EF57" s="18"/>
      <c r="EH57" s="18"/>
      <c r="EJ57" s="17"/>
      <c r="EK57" s="2"/>
    </row>
    <row r="58" spans="1:141" x14ac:dyDescent="0.2">
      <c r="A58" s="2"/>
      <c r="B58" s="8" t="s">
        <v>2</v>
      </c>
      <c r="C58" s="8"/>
      <c r="D58" s="8"/>
      <c r="E58" s="8"/>
      <c r="F58" s="8"/>
      <c r="G58" s="8"/>
      <c r="H58" s="8"/>
      <c r="I58" s="2"/>
      <c r="J58" s="9" t="s">
        <v>3</v>
      </c>
      <c r="K58" s="2"/>
      <c r="L58" s="8" t="s">
        <v>2</v>
      </c>
      <c r="M58" s="8"/>
      <c r="N58" s="8"/>
      <c r="O58" s="8"/>
      <c r="P58" s="8"/>
      <c r="Q58" s="8"/>
      <c r="R58" s="8"/>
      <c r="S58" s="2"/>
      <c r="T58" s="9" t="s">
        <v>3</v>
      </c>
      <c r="U58" s="2"/>
      <c r="V58" s="8" t="s">
        <v>2</v>
      </c>
      <c r="W58" s="8"/>
      <c r="X58" s="8"/>
      <c r="Y58" s="8"/>
      <c r="Z58" s="8"/>
      <c r="AA58" s="8"/>
      <c r="AB58" s="8"/>
      <c r="AC58" s="2"/>
      <c r="AD58" s="9" t="s">
        <v>3</v>
      </c>
      <c r="AE58" s="2"/>
      <c r="AF58" s="8" t="s">
        <v>2</v>
      </c>
      <c r="AG58" s="8"/>
      <c r="AH58" s="8"/>
      <c r="AI58" s="8"/>
      <c r="AJ58" s="8"/>
      <c r="AK58" s="8"/>
      <c r="AL58" s="8"/>
      <c r="AM58" s="2"/>
      <c r="AN58" s="9" t="s">
        <v>3</v>
      </c>
      <c r="AO58" s="2"/>
      <c r="AP58" s="8" t="s">
        <v>2</v>
      </c>
      <c r="AQ58" s="8"/>
      <c r="AR58" s="8"/>
      <c r="AS58" s="8"/>
      <c r="AT58" s="8"/>
      <c r="AU58" s="8"/>
      <c r="AV58" s="8"/>
      <c r="AW58" s="45"/>
      <c r="AX58" s="9" t="s">
        <v>3</v>
      </c>
      <c r="AZ58" s="133" t="s">
        <v>2</v>
      </c>
      <c r="BA58" s="135"/>
      <c r="BB58" s="135"/>
      <c r="BC58" s="135"/>
      <c r="BD58" s="135"/>
      <c r="BE58" s="135"/>
      <c r="BF58" s="135"/>
      <c r="BH58" s="9" t="s">
        <v>3</v>
      </c>
      <c r="BJ58" s="133" t="s">
        <v>2</v>
      </c>
      <c r="BK58" s="135"/>
      <c r="BL58" s="135"/>
      <c r="BM58" s="135"/>
      <c r="BN58" s="135"/>
      <c r="BO58" s="135"/>
      <c r="BP58" s="135"/>
      <c r="BR58" s="9" t="str">
        <f>BR6</f>
        <v>FYE</v>
      </c>
      <c r="BT58" s="133" t="s">
        <v>2</v>
      </c>
      <c r="BU58" s="135"/>
      <c r="BV58" s="135"/>
      <c r="BW58" s="135"/>
      <c r="BX58" s="135"/>
      <c r="BY58" s="135"/>
      <c r="BZ58" s="135"/>
      <c r="CB58" s="9" t="str">
        <f>CB6</f>
        <v>FYE</v>
      </c>
      <c r="CD58" s="133" t="s">
        <v>2</v>
      </c>
      <c r="CE58" s="135"/>
      <c r="CF58" s="135"/>
      <c r="CG58" s="135"/>
      <c r="CH58" s="135"/>
      <c r="CI58" s="135"/>
      <c r="CJ58" s="135"/>
      <c r="CL58" s="9" t="str">
        <f>CL6</f>
        <v>FYE</v>
      </c>
      <c r="CN58" s="133" t="s">
        <v>2</v>
      </c>
      <c r="CO58" s="135"/>
      <c r="CP58" s="135"/>
      <c r="CQ58" s="135"/>
      <c r="CR58" s="135"/>
      <c r="CS58" s="135"/>
      <c r="CT58" s="135"/>
      <c r="CV58" s="9" t="str">
        <f>CV6</f>
        <v>FYE</v>
      </c>
      <c r="CX58" s="133" t="s">
        <v>2</v>
      </c>
      <c r="CY58" s="135"/>
      <c r="CZ58" s="135"/>
      <c r="DA58" s="135"/>
      <c r="DB58" s="135"/>
      <c r="DC58" s="135"/>
      <c r="DD58" s="135"/>
      <c r="DF58" s="9" t="str">
        <f>DF6</f>
        <v>FYE</v>
      </c>
      <c r="DH58" s="133" t="s">
        <v>2</v>
      </c>
      <c r="DI58" s="135"/>
      <c r="DJ58" s="135"/>
      <c r="DK58" s="135"/>
      <c r="DL58" s="135"/>
      <c r="DM58" s="135"/>
      <c r="DN58" s="135"/>
      <c r="DP58" s="9" t="str">
        <f>DP6</f>
        <v>FYE</v>
      </c>
      <c r="DR58" s="133" t="s">
        <v>2</v>
      </c>
      <c r="DS58" s="135"/>
      <c r="DT58" s="135"/>
      <c r="DU58" s="135"/>
      <c r="DV58" s="135"/>
      <c r="DW58" s="135"/>
      <c r="DX58" s="135"/>
      <c r="DZ58" s="9" t="str">
        <f>DZ6</f>
        <v>FYE</v>
      </c>
      <c r="EB58" s="133" t="s">
        <v>2</v>
      </c>
      <c r="EC58" s="135"/>
      <c r="ED58" s="135"/>
      <c r="EE58" s="135"/>
      <c r="EF58" s="135"/>
      <c r="EG58" s="135"/>
      <c r="EH58" s="135"/>
      <c r="EJ58" s="9" t="str">
        <f>EJ6</f>
        <v>FYE</v>
      </c>
    </row>
    <row r="59" spans="1:141" x14ac:dyDescent="0.2">
      <c r="A59" s="2"/>
      <c r="B59" s="10">
        <v>36250</v>
      </c>
      <c r="C59" s="2"/>
      <c r="D59" s="10">
        <v>36341</v>
      </c>
      <c r="E59" s="2"/>
      <c r="F59" s="10">
        <v>36433</v>
      </c>
      <c r="G59" s="2"/>
      <c r="H59" s="10">
        <v>36525</v>
      </c>
      <c r="I59" s="2"/>
      <c r="J59" s="10" t="s">
        <v>4</v>
      </c>
      <c r="K59" s="2"/>
      <c r="L59" s="10">
        <v>36616</v>
      </c>
      <c r="M59" s="2"/>
      <c r="N59" s="10">
        <v>36707</v>
      </c>
      <c r="O59" s="2"/>
      <c r="P59" s="10">
        <v>36799</v>
      </c>
      <c r="Q59" s="2"/>
      <c r="R59" s="10">
        <v>36891</v>
      </c>
      <c r="S59" s="2"/>
      <c r="T59" s="10" t="s">
        <v>5</v>
      </c>
      <c r="U59" s="2"/>
      <c r="V59" s="10">
        <v>36981</v>
      </c>
      <c r="W59" s="2"/>
      <c r="X59" s="10">
        <v>37072</v>
      </c>
      <c r="Y59" s="2"/>
      <c r="Z59" s="10">
        <v>37164</v>
      </c>
      <c r="AA59" s="2"/>
      <c r="AB59" s="10">
        <v>37256</v>
      </c>
      <c r="AC59" s="2"/>
      <c r="AD59" s="10" t="s">
        <v>6</v>
      </c>
      <c r="AE59" s="2"/>
      <c r="AF59" s="10">
        <v>37346</v>
      </c>
      <c r="AG59" s="2"/>
      <c r="AH59" s="10">
        <v>37437</v>
      </c>
      <c r="AI59" s="2"/>
      <c r="AJ59" s="10">
        <v>37529</v>
      </c>
      <c r="AK59" s="2"/>
      <c r="AL59" s="10">
        <v>37621</v>
      </c>
      <c r="AM59" s="2"/>
      <c r="AN59" s="10" t="s">
        <v>52</v>
      </c>
      <c r="AO59" s="2"/>
      <c r="AP59" s="10">
        <v>37711</v>
      </c>
      <c r="AQ59" s="2"/>
      <c r="AR59" s="10">
        <v>37802</v>
      </c>
      <c r="AS59" s="2"/>
      <c r="AT59" s="10">
        <v>37894</v>
      </c>
      <c r="AU59" s="41"/>
      <c r="AV59" s="10">
        <v>37986</v>
      </c>
      <c r="AX59" s="10">
        <v>37986</v>
      </c>
      <c r="AZ59" s="10">
        <v>38077</v>
      </c>
      <c r="BA59" s="2"/>
      <c r="BB59" s="10">
        <v>38168</v>
      </c>
      <c r="BC59" s="2"/>
      <c r="BD59" s="10">
        <v>38260</v>
      </c>
      <c r="BF59" s="10">
        <v>38352</v>
      </c>
      <c r="BH59" s="10">
        <v>38352</v>
      </c>
      <c r="BJ59" s="10">
        <f>BJ7</f>
        <v>38442</v>
      </c>
      <c r="BK59" s="2"/>
      <c r="BL59" s="10">
        <f>BL7</f>
        <v>38533</v>
      </c>
      <c r="BM59" s="2"/>
      <c r="BN59" s="10">
        <f>BN7</f>
        <v>38625</v>
      </c>
      <c r="BP59" s="10">
        <f>BP7</f>
        <v>38717</v>
      </c>
      <c r="BR59" s="11" t="str">
        <f>BR7</f>
        <v>2005</v>
      </c>
      <c r="BT59" s="10">
        <f>BT7</f>
        <v>38807</v>
      </c>
      <c r="BU59" s="2"/>
      <c r="BV59" s="10">
        <f>BV7</f>
        <v>38898</v>
      </c>
      <c r="BW59" s="2"/>
      <c r="BX59" s="10">
        <f>BX7</f>
        <v>38990</v>
      </c>
      <c r="BZ59" s="10">
        <f>BZ7</f>
        <v>39082</v>
      </c>
      <c r="CB59" s="11" t="str">
        <f>CB7</f>
        <v>2006</v>
      </c>
      <c r="CD59" s="10">
        <f>CD7</f>
        <v>39172</v>
      </c>
      <c r="CE59" s="2"/>
      <c r="CF59" s="10">
        <f>CF7</f>
        <v>39263</v>
      </c>
      <c r="CG59" s="2"/>
      <c r="CH59" s="10">
        <f>CH7</f>
        <v>39355</v>
      </c>
      <c r="CJ59" s="10">
        <f>CJ7</f>
        <v>39447</v>
      </c>
      <c r="CL59" s="11" t="str">
        <f>CL7</f>
        <v>2007</v>
      </c>
      <c r="CN59" s="10">
        <f>CN7</f>
        <v>39538</v>
      </c>
      <c r="CO59" s="2"/>
      <c r="CP59" s="10">
        <f>CP7</f>
        <v>39629</v>
      </c>
      <c r="CQ59" s="2"/>
      <c r="CR59" s="10">
        <f>CR7</f>
        <v>39721</v>
      </c>
      <c r="CT59" s="10">
        <f>CT7</f>
        <v>39813</v>
      </c>
      <c r="CV59" s="78">
        <f>CV7</f>
        <v>2008</v>
      </c>
      <c r="CX59" s="10">
        <f>CX7</f>
        <v>39903</v>
      </c>
      <c r="CY59" s="2"/>
      <c r="CZ59" s="10">
        <f>CZ7</f>
        <v>39994</v>
      </c>
      <c r="DA59" s="2"/>
      <c r="DB59" s="10">
        <f>DB7</f>
        <v>40086</v>
      </c>
      <c r="DD59" s="10">
        <f>DD7</f>
        <v>40178</v>
      </c>
      <c r="DF59" s="78">
        <f>DF7</f>
        <v>2009</v>
      </c>
      <c r="DH59" s="10">
        <f>DH7</f>
        <v>40268</v>
      </c>
      <c r="DI59" s="2"/>
      <c r="DJ59" s="10">
        <f>DJ7</f>
        <v>40359</v>
      </c>
      <c r="DK59" s="2"/>
      <c r="DL59" s="10">
        <f>DL7</f>
        <v>40451</v>
      </c>
      <c r="DN59" s="10">
        <f>DN7</f>
        <v>40543</v>
      </c>
      <c r="DP59" s="78">
        <f>DP7</f>
        <v>2010</v>
      </c>
      <c r="DR59" s="10">
        <f>DR7</f>
        <v>40633</v>
      </c>
      <c r="DS59" s="2"/>
      <c r="DT59" s="10">
        <f>DT7</f>
        <v>40724</v>
      </c>
      <c r="DU59" s="2"/>
      <c r="DV59" s="10">
        <f>DV7</f>
        <v>40816</v>
      </c>
      <c r="DX59" s="10">
        <f>DX7</f>
        <v>40908</v>
      </c>
      <c r="DZ59" s="78">
        <f>DZ7</f>
        <v>2011</v>
      </c>
      <c r="EA59" s="2"/>
      <c r="EB59" s="10">
        <f>EB7</f>
        <v>40999</v>
      </c>
      <c r="EC59" s="2"/>
      <c r="ED59" s="10">
        <f>ED7</f>
        <v>41090</v>
      </c>
      <c r="EE59" s="2"/>
      <c r="EF59" s="10">
        <f>EF7</f>
        <v>41182</v>
      </c>
      <c r="EH59" s="10">
        <f>EH7</f>
        <v>41274</v>
      </c>
      <c r="EJ59" s="78">
        <f>EJ7</f>
        <v>2012</v>
      </c>
      <c r="EK59" s="2"/>
    </row>
    <row r="60" spans="1:141" x14ac:dyDescent="0.2">
      <c r="A60" s="6" t="s">
        <v>35</v>
      </c>
      <c r="B60" s="22">
        <f>B42</f>
        <v>23346</v>
      </c>
      <c r="C60" s="22"/>
      <c r="D60" s="22">
        <f>D42</f>
        <v>26973</v>
      </c>
      <c r="E60" s="22"/>
      <c r="F60" s="22">
        <f>F42</f>
        <v>30296.653000000028</v>
      </c>
      <c r="G60" s="22"/>
      <c r="H60" s="22">
        <f>H42</f>
        <v>34637.532999999879</v>
      </c>
      <c r="I60" s="22"/>
      <c r="J60" s="22">
        <f>J42</f>
        <v>115253.7860000003</v>
      </c>
      <c r="K60" s="6"/>
      <c r="L60" s="22">
        <f>L42</f>
        <v>39800.697960000034</v>
      </c>
      <c r="M60" s="22"/>
      <c r="N60" s="22">
        <f>N42</f>
        <v>43557</v>
      </c>
      <c r="O60" s="22"/>
      <c r="P60" s="22">
        <f>P42</f>
        <v>45525</v>
      </c>
      <c r="Q60" s="22"/>
      <c r="R60" s="22">
        <f>R42</f>
        <v>43129</v>
      </c>
      <c r="S60" s="22"/>
      <c r="T60" s="22">
        <f>T42</f>
        <v>172011.69796000025</v>
      </c>
      <c r="U60" s="6"/>
      <c r="V60" s="22">
        <f>V42</f>
        <v>46336.345249999991</v>
      </c>
      <c r="W60" s="22"/>
      <c r="X60" s="22">
        <f>X42</f>
        <v>50998.563490000059</v>
      </c>
      <c r="Y60" s="22"/>
      <c r="Z60" s="22">
        <f>Z42</f>
        <v>33817</v>
      </c>
      <c r="AA60" s="22"/>
      <c r="AB60" s="22">
        <f>AB42</f>
        <v>45653.539620000003</v>
      </c>
      <c r="AC60" s="22"/>
      <c r="AD60" s="22">
        <f>AD42</f>
        <v>176805.44836000004</v>
      </c>
      <c r="AE60" s="6"/>
      <c r="AF60" s="22">
        <f>AF42</f>
        <v>73221</v>
      </c>
      <c r="AG60" s="22"/>
      <c r="AH60" s="22">
        <f>AH42</f>
        <v>75388</v>
      </c>
      <c r="AI60" s="22"/>
      <c r="AJ60" s="22">
        <f>AJ42</f>
        <v>69374</v>
      </c>
      <c r="AK60" s="22"/>
      <c r="AL60" s="22">
        <f>AL42</f>
        <v>75369</v>
      </c>
      <c r="AM60" s="22"/>
      <c r="AN60" s="22">
        <f>AN42</f>
        <v>293352</v>
      </c>
      <c r="AO60" s="6"/>
      <c r="AP60" s="22">
        <f>AP42</f>
        <v>83539</v>
      </c>
      <c r="AQ60" s="22"/>
      <c r="AR60" s="22">
        <f>AR42</f>
        <v>85376</v>
      </c>
      <c r="AS60" s="22"/>
      <c r="AT60" s="22">
        <f>AT42</f>
        <v>77242</v>
      </c>
      <c r="AU60" s="22"/>
      <c r="AV60" s="22">
        <f>AV42</f>
        <v>79933</v>
      </c>
      <c r="AW60" s="22"/>
      <c r="AX60" s="22">
        <f>AX42</f>
        <v>326090</v>
      </c>
      <c r="AZ60" s="22">
        <f>AZ42</f>
        <v>83803</v>
      </c>
      <c r="BA60" s="22"/>
      <c r="BB60" s="22">
        <f>BB42</f>
        <v>81459</v>
      </c>
      <c r="BC60" s="22"/>
      <c r="BD60" s="22">
        <f>BD42</f>
        <v>62821</v>
      </c>
      <c r="BF60" s="22">
        <f>BF42</f>
        <v>66545</v>
      </c>
      <c r="BH60" s="22">
        <f>BH42</f>
        <v>294628</v>
      </c>
      <c r="BJ60" s="22">
        <f>BJ42</f>
        <v>68526</v>
      </c>
      <c r="BK60" s="22"/>
      <c r="BL60" s="22">
        <f>BL42</f>
        <v>63553</v>
      </c>
      <c r="BM60" s="22"/>
      <c r="BN60" s="22">
        <f>BN42</f>
        <v>41279</v>
      </c>
      <c r="BP60" s="22">
        <f>BP42</f>
        <v>51742</v>
      </c>
      <c r="BR60" s="22">
        <f>BR42</f>
        <v>225100</v>
      </c>
      <c r="BT60" s="22">
        <f>BT42</f>
        <v>63921</v>
      </c>
      <c r="BU60" s="22"/>
      <c r="BV60" s="22">
        <f>BV42</f>
        <v>63291</v>
      </c>
      <c r="BW60" s="22"/>
      <c r="BX60" s="22">
        <f>BX42</f>
        <v>55184</v>
      </c>
      <c r="BZ60" s="22">
        <f>BZ42</f>
        <v>59845</v>
      </c>
      <c r="CB60" s="22">
        <f>CB42</f>
        <v>242241</v>
      </c>
      <c r="CD60" s="22">
        <f>CD42</f>
        <v>75070</v>
      </c>
      <c r="CE60" s="22"/>
      <c r="CF60" s="22">
        <f>CF42</f>
        <v>65066</v>
      </c>
      <c r="CG60" s="22"/>
      <c r="CH60" s="22">
        <f>CH42</f>
        <v>34959</v>
      </c>
      <c r="CJ60" s="22">
        <f>CJ42</f>
        <v>38254</v>
      </c>
      <c r="CL60" s="22">
        <f>CL42</f>
        <v>213349</v>
      </c>
      <c r="CN60" s="22">
        <f>CN42</f>
        <v>61377</v>
      </c>
      <c r="CO60" s="22"/>
      <c r="CP60" s="22">
        <f>CP42</f>
        <v>59969</v>
      </c>
      <c r="CQ60" s="22"/>
      <c r="CR60" s="22">
        <f>CR42</f>
        <v>45795</v>
      </c>
      <c r="CT60" s="22">
        <f>CT42</f>
        <v>49756</v>
      </c>
      <c r="CV60" s="22">
        <f>CV42</f>
        <v>216897</v>
      </c>
      <c r="CX60" s="22">
        <f>CX42</f>
        <v>70129</v>
      </c>
      <c r="CY60" s="22"/>
      <c r="CZ60" s="22">
        <f>CZ42</f>
        <v>65636</v>
      </c>
      <c r="DA60" s="22"/>
      <c r="DB60" s="22">
        <f>DB42</f>
        <v>59654</v>
      </c>
      <c r="DD60" s="22">
        <f>DD42</f>
        <v>70082</v>
      </c>
      <c r="DF60" s="22">
        <f>DF42</f>
        <v>265501</v>
      </c>
      <c r="DH60" s="22">
        <f>DH42</f>
        <v>82788</v>
      </c>
      <c r="DI60" s="22"/>
      <c r="DJ60" s="22">
        <f>DJ42</f>
        <v>76936</v>
      </c>
      <c r="DK60" s="22"/>
      <c r="DL60" s="22">
        <f>DL42</f>
        <v>63590</v>
      </c>
      <c r="DN60" s="22">
        <f>DN42</f>
        <v>73482</v>
      </c>
      <c r="DP60" s="22">
        <f>DP42</f>
        <v>296796</v>
      </c>
      <c r="DR60" s="22">
        <f>DR42</f>
        <v>80933</v>
      </c>
      <c r="DS60" s="22"/>
      <c r="DT60" s="22">
        <f>DT42</f>
        <v>68709</v>
      </c>
      <c r="DU60" s="22"/>
      <c r="DV60" s="22">
        <f>DV42</f>
        <v>56662</v>
      </c>
      <c r="DX60" s="22">
        <f>DX42</f>
        <v>74309</v>
      </c>
      <c r="DZ60" s="22">
        <f>DZ42</f>
        <v>280613</v>
      </c>
      <c r="EA60" s="22"/>
      <c r="EB60" s="22">
        <f>EB42</f>
        <v>83238</v>
      </c>
      <c r="EC60" s="22"/>
      <c r="ED60" s="22">
        <f>ED42</f>
        <v>70806</v>
      </c>
      <c r="EE60" s="22"/>
      <c r="EF60" s="22">
        <f>EF42</f>
        <v>60184</v>
      </c>
      <c r="EH60" s="22">
        <f>EH42</f>
        <v>0</v>
      </c>
      <c r="EJ60" s="22">
        <f>EJ42</f>
        <v>214228</v>
      </c>
      <c r="EK60" s="22"/>
    </row>
    <row r="61" spans="1:141" x14ac:dyDescent="0.2">
      <c r="A61" s="69" t="s">
        <v>130</v>
      </c>
      <c r="B61" s="19">
        <f>B38+B39</f>
        <v>18356</v>
      </c>
      <c r="C61" s="22"/>
      <c r="D61" s="19">
        <f>D38+D39</f>
        <v>18815</v>
      </c>
      <c r="E61" s="22"/>
      <c r="F61" s="19">
        <f>F38+F39</f>
        <v>18662.860999999997</v>
      </c>
      <c r="G61" s="22"/>
      <c r="H61" s="19">
        <f>H38+H39</f>
        <v>18935.369000000006</v>
      </c>
      <c r="I61" s="22"/>
      <c r="J61" s="19">
        <f>J38+J39</f>
        <v>74769.23000000001</v>
      </c>
      <c r="K61" s="6"/>
      <c r="L61" s="19">
        <f>L38+L39</f>
        <v>18751.030640000001</v>
      </c>
      <c r="M61" s="22"/>
      <c r="N61" s="19">
        <f>N38+N39</f>
        <v>18244</v>
      </c>
      <c r="O61" s="22"/>
      <c r="P61" s="19">
        <f>P38+P39</f>
        <v>18195</v>
      </c>
      <c r="Q61" s="22"/>
      <c r="R61" s="19">
        <f>R38+R39</f>
        <v>17428</v>
      </c>
      <c r="S61" s="22"/>
      <c r="T61" s="19">
        <f>T38+T39</f>
        <v>72618.030639999997</v>
      </c>
      <c r="U61" s="6"/>
      <c r="V61" s="19">
        <f>V38+V39</f>
        <v>16148.952869999999</v>
      </c>
      <c r="W61" s="22"/>
      <c r="X61" s="19">
        <f>X38+X39</f>
        <v>15641.015170000001</v>
      </c>
      <c r="Y61" s="22"/>
      <c r="Z61" s="19">
        <f>Z38+Z39</f>
        <v>14555</v>
      </c>
      <c r="AA61" s="22"/>
      <c r="AB61" s="19">
        <f>AB38+AB39</f>
        <v>13435.46038</v>
      </c>
      <c r="AC61" s="22"/>
      <c r="AD61" s="19">
        <f>AD38+AD39</f>
        <v>59780.428419999997</v>
      </c>
      <c r="AE61" s="6"/>
      <c r="AF61" s="19">
        <f>AF38+AF39</f>
        <v>15075</v>
      </c>
      <c r="AG61" s="22"/>
      <c r="AH61" s="19">
        <f>AH38+AH39</f>
        <v>14852</v>
      </c>
      <c r="AI61" s="22"/>
      <c r="AJ61" s="19">
        <f>AJ38+AJ39</f>
        <v>14713</v>
      </c>
      <c r="AK61" s="22"/>
      <c r="AL61" s="19">
        <f>AL38+AL39</f>
        <v>14457</v>
      </c>
      <c r="AM61" s="22"/>
      <c r="AN61" s="19">
        <f>AN38+AN39</f>
        <v>59097</v>
      </c>
      <c r="AO61" s="6"/>
      <c r="AP61" s="19">
        <f>AP38+AP39</f>
        <v>12752</v>
      </c>
      <c r="AQ61" s="22"/>
      <c r="AR61" s="19">
        <f>AR38+AR39</f>
        <v>11862</v>
      </c>
      <c r="AS61" s="22"/>
      <c r="AT61" s="19">
        <f>AT38+AT39</f>
        <v>10260</v>
      </c>
      <c r="AU61" s="22"/>
      <c r="AV61" s="19">
        <f>AV38+AV39</f>
        <v>9058</v>
      </c>
      <c r="AW61" s="22"/>
      <c r="AX61" s="19">
        <f>AX38+AX39</f>
        <v>43932</v>
      </c>
      <c r="AZ61" s="19">
        <f>AZ38+AZ39</f>
        <v>8856</v>
      </c>
      <c r="BA61" s="22"/>
      <c r="BB61" s="19">
        <f>BB38+BB39</f>
        <v>8764</v>
      </c>
      <c r="BC61" s="22"/>
      <c r="BD61" s="19">
        <f>BD38+BD39</f>
        <v>8523</v>
      </c>
      <c r="BF61" s="19">
        <f>BF38+BF39</f>
        <v>9180</v>
      </c>
      <c r="BH61" s="19">
        <f>BH38+BH39</f>
        <v>35323</v>
      </c>
      <c r="BJ61" s="19">
        <f>BJ38+BJ39</f>
        <v>9466</v>
      </c>
      <c r="BK61" s="22"/>
      <c r="BL61" s="19">
        <f>BL38+BL39</f>
        <v>9435</v>
      </c>
      <c r="BM61" s="22"/>
      <c r="BN61" s="19">
        <f>BN38+BN39</f>
        <v>10471</v>
      </c>
      <c r="BP61" s="19">
        <f>BP38+BP39</f>
        <v>11331</v>
      </c>
      <c r="BR61" s="19">
        <f>BR38+BR39</f>
        <v>40703</v>
      </c>
      <c r="BT61" s="19">
        <f>BT38+BT39</f>
        <v>11563</v>
      </c>
      <c r="BU61" s="22"/>
      <c r="BV61" s="19">
        <f>BV38+BV39</f>
        <v>11902</v>
      </c>
      <c r="BW61" s="22"/>
      <c r="BX61" s="19">
        <f>BX38+BX39</f>
        <v>11987</v>
      </c>
      <c r="BZ61" s="19">
        <f>BZ38+BZ39</f>
        <v>17551</v>
      </c>
      <c r="CB61" s="19">
        <f>CB38+CB39</f>
        <v>53003</v>
      </c>
      <c r="CD61" s="19">
        <f>CD38+CD39</f>
        <v>22335</v>
      </c>
      <c r="CE61" s="22"/>
      <c r="CF61" s="19">
        <f>CF38+CF39</f>
        <v>21958</v>
      </c>
      <c r="CG61" s="22"/>
      <c r="CH61" s="19">
        <f>CH38+CH39</f>
        <v>21716</v>
      </c>
      <c r="CJ61" s="19">
        <f>CJ38+CJ39</f>
        <v>21942</v>
      </c>
      <c r="CL61" s="19">
        <f>CL38+CL39</f>
        <v>87951</v>
      </c>
      <c r="CN61" s="19">
        <f>CN38+CN39</f>
        <v>19063</v>
      </c>
      <c r="CO61" s="22"/>
      <c r="CP61" s="19">
        <f>CP38+CP39</f>
        <v>14450</v>
      </c>
      <c r="CQ61" s="22"/>
      <c r="CR61" s="19">
        <f>CR38+CR39</f>
        <v>12967</v>
      </c>
      <c r="CT61" s="19">
        <f>CT38+CT39</f>
        <v>10901</v>
      </c>
      <c r="CV61" s="19">
        <f>CV38+CV39</f>
        <v>57381</v>
      </c>
      <c r="CX61" s="19">
        <f>CX38+CX39</f>
        <v>8963</v>
      </c>
      <c r="CY61" s="22"/>
      <c r="CZ61" s="19">
        <f>CZ38+CZ39</f>
        <v>7778</v>
      </c>
      <c r="DA61" s="22"/>
      <c r="DB61" s="19">
        <f>DB38+DB39</f>
        <v>4713</v>
      </c>
      <c r="DD61" s="19">
        <f>DD38+DD39</f>
        <v>4500</v>
      </c>
      <c r="DF61" s="19">
        <f>DF38+DF39</f>
        <v>25954</v>
      </c>
      <c r="DH61" s="19">
        <f>DH38+DH39</f>
        <v>5915</v>
      </c>
      <c r="DI61" s="22"/>
      <c r="DJ61" s="19">
        <f>DJ38+DJ39</f>
        <v>5895</v>
      </c>
      <c r="DK61" s="22"/>
      <c r="DL61" s="19">
        <f>DL38+DL39</f>
        <v>5803</v>
      </c>
      <c r="DN61" s="19">
        <f>DN38+DN39</f>
        <v>8299</v>
      </c>
      <c r="DP61" s="19">
        <f>DP38+DP39</f>
        <v>25912</v>
      </c>
      <c r="DR61" s="19">
        <f>DR38+DR39</f>
        <v>9606</v>
      </c>
      <c r="DS61" s="22"/>
      <c r="DT61" s="19">
        <f>DT38+DT39</f>
        <v>9376</v>
      </c>
      <c r="DU61" s="22"/>
      <c r="DV61" s="19">
        <f>DV38+DV39</f>
        <v>8720</v>
      </c>
      <c r="DX61" s="19">
        <f>DX38+DX39</f>
        <v>8905</v>
      </c>
      <c r="DZ61" s="19">
        <f>DZ38+DZ39</f>
        <v>36607</v>
      </c>
      <c r="EA61" s="22"/>
      <c r="EB61" s="19">
        <f>EB38+EB39</f>
        <v>8796</v>
      </c>
      <c r="EC61" s="22"/>
      <c r="ED61" s="19">
        <f>ED38+ED39</f>
        <v>8221</v>
      </c>
      <c r="EE61" s="22"/>
      <c r="EF61" s="19">
        <f>EF38+EF39</f>
        <v>7929</v>
      </c>
      <c r="EH61" s="19">
        <f>EH38+EH39</f>
        <v>0</v>
      </c>
      <c r="EJ61" s="19">
        <f>EJ38+EJ39</f>
        <v>24946</v>
      </c>
      <c r="EK61" s="22"/>
    </row>
    <row r="62" spans="1:141" x14ac:dyDescent="0.2">
      <c r="A62" s="69" t="s">
        <v>36</v>
      </c>
      <c r="B62" s="19">
        <f>B32</f>
        <v>6390</v>
      </c>
      <c r="C62" s="2"/>
      <c r="D62" s="19">
        <f>D32</f>
        <v>6856</v>
      </c>
      <c r="E62" s="2"/>
      <c r="F62" s="19">
        <f>F32</f>
        <v>6845.3490000000002</v>
      </c>
      <c r="G62" s="2"/>
      <c r="H62" s="19">
        <f>H32</f>
        <v>7024.650999999998</v>
      </c>
      <c r="I62" s="2"/>
      <c r="J62" s="19">
        <f>J32</f>
        <v>27116</v>
      </c>
      <c r="K62" s="2"/>
      <c r="L62" s="19">
        <f>L32</f>
        <v>6974.53017</v>
      </c>
      <c r="M62" s="2"/>
      <c r="N62" s="19">
        <f>N32</f>
        <v>6955</v>
      </c>
      <c r="O62" s="2"/>
      <c r="P62" s="19">
        <f>P32</f>
        <v>7168</v>
      </c>
      <c r="Q62" s="2"/>
      <c r="R62" s="19">
        <f>R32</f>
        <v>7205</v>
      </c>
      <c r="S62" s="2"/>
      <c r="T62" s="19">
        <f>T32</f>
        <v>28302.530169999998</v>
      </c>
      <c r="U62" s="2"/>
      <c r="V62" s="19">
        <f>V32</f>
        <v>7268</v>
      </c>
      <c r="W62" s="2"/>
      <c r="X62" s="19">
        <f>X32</f>
        <v>7396.1364300000005</v>
      </c>
      <c r="Y62" s="2"/>
      <c r="Z62" s="19">
        <f>Z32</f>
        <v>7738</v>
      </c>
      <c r="AA62" s="2"/>
      <c r="AB62" s="19">
        <f>AB32</f>
        <v>7792</v>
      </c>
      <c r="AC62" s="2"/>
      <c r="AD62" s="19">
        <f>AD32</f>
        <v>30194.136429999999</v>
      </c>
      <c r="AE62" s="2"/>
      <c r="AF62" s="19">
        <f>AF32</f>
        <v>720</v>
      </c>
      <c r="AG62" s="2"/>
      <c r="AH62" s="19">
        <f>AH32</f>
        <v>922</v>
      </c>
      <c r="AI62" s="2"/>
      <c r="AJ62" s="19">
        <f>AJ32</f>
        <v>1557</v>
      </c>
      <c r="AK62" s="2"/>
      <c r="AL62" s="19">
        <f>AL32</f>
        <v>1846</v>
      </c>
      <c r="AM62" s="2"/>
      <c r="AN62" s="19">
        <f>AN32</f>
        <v>5045</v>
      </c>
      <c r="AO62" s="2"/>
      <c r="AP62" s="19">
        <f>AP32</f>
        <v>2873</v>
      </c>
      <c r="AQ62" s="2"/>
      <c r="AR62" s="19">
        <f>AR32</f>
        <v>3296</v>
      </c>
      <c r="AS62" s="2"/>
      <c r="AT62" s="19">
        <f>AT32</f>
        <v>3183</v>
      </c>
      <c r="AU62" s="2"/>
      <c r="AV62" s="19">
        <f>AV32</f>
        <v>3160</v>
      </c>
      <c r="AW62" s="2"/>
      <c r="AX62" s="19">
        <f>AX32</f>
        <v>12512</v>
      </c>
      <c r="AZ62" s="19">
        <f>AZ32</f>
        <v>2488</v>
      </c>
      <c r="BA62" s="2"/>
      <c r="BB62" s="19">
        <f>BB32</f>
        <v>3158</v>
      </c>
      <c r="BC62" s="2"/>
      <c r="BD62" s="19">
        <f>BD32</f>
        <v>2756</v>
      </c>
      <c r="BF62" s="19">
        <f>BF32</f>
        <v>2378</v>
      </c>
      <c r="BH62" s="19">
        <f>BH32</f>
        <v>10780</v>
      </c>
      <c r="BJ62" s="19">
        <f>BJ32</f>
        <v>2297</v>
      </c>
      <c r="BK62" s="2"/>
      <c r="BL62" s="19">
        <f>BL32</f>
        <v>2155</v>
      </c>
      <c r="BM62" s="2"/>
      <c r="BN62" s="19">
        <f>BN32</f>
        <v>2259</v>
      </c>
      <c r="BP62" s="19">
        <f>BP32</f>
        <v>1327</v>
      </c>
      <c r="BR62" s="19">
        <f>BR32</f>
        <v>8038</v>
      </c>
      <c r="BT62" s="19">
        <f>BT32</f>
        <v>886</v>
      </c>
      <c r="BU62" s="2"/>
      <c r="BV62" s="19">
        <f>BV32</f>
        <v>950</v>
      </c>
      <c r="BW62" s="2"/>
      <c r="BX62" s="19">
        <f>BX32</f>
        <v>1009</v>
      </c>
      <c r="BZ62" s="19">
        <f>BZ32</f>
        <v>2728</v>
      </c>
      <c r="CB62" s="19">
        <f>CB32</f>
        <v>5573</v>
      </c>
      <c r="CD62" s="19">
        <f>CD32</f>
        <v>4038</v>
      </c>
      <c r="CE62" s="2"/>
      <c r="CF62" s="19">
        <f>CF32</f>
        <v>3934</v>
      </c>
      <c r="CG62" s="2"/>
      <c r="CH62" s="19">
        <f>CH32</f>
        <v>3953</v>
      </c>
      <c r="CJ62" s="19">
        <f>CJ32</f>
        <v>3809</v>
      </c>
      <c r="CL62" s="19">
        <f>CL32</f>
        <v>15734</v>
      </c>
      <c r="CN62" s="19">
        <f>CN32</f>
        <v>4930</v>
      </c>
      <c r="CO62" s="2"/>
      <c r="CP62" s="19">
        <f>CP32</f>
        <v>3662</v>
      </c>
      <c r="CQ62" s="2"/>
      <c r="CR62" s="19">
        <f>CR32</f>
        <v>3545</v>
      </c>
      <c r="CT62" s="19">
        <f>CT32</f>
        <v>4500</v>
      </c>
      <c r="CV62" s="19">
        <f>CV32</f>
        <v>16637</v>
      </c>
      <c r="CX62" s="19">
        <f>CX32</f>
        <v>337</v>
      </c>
      <c r="CY62" s="2"/>
      <c r="CZ62" s="19">
        <f>CZ32</f>
        <v>1506</v>
      </c>
      <c r="DA62" s="2"/>
      <c r="DB62" s="19">
        <f>DB32</f>
        <v>585</v>
      </c>
      <c r="DD62" s="19">
        <f>DD32</f>
        <v>415</v>
      </c>
      <c r="DF62" s="19">
        <f>DF32</f>
        <v>2843</v>
      </c>
      <c r="DH62" s="19">
        <f>DH32</f>
        <v>1051</v>
      </c>
      <c r="DI62" s="2"/>
      <c r="DJ62" s="19">
        <f>DJ32</f>
        <v>1540</v>
      </c>
      <c r="DK62" s="2"/>
      <c r="DL62" s="19">
        <f>DL32</f>
        <v>529</v>
      </c>
      <c r="DN62" s="19">
        <f>DN32</f>
        <v>134</v>
      </c>
      <c r="DP62" s="19">
        <f>DP32</f>
        <v>3254</v>
      </c>
      <c r="DR62" s="19">
        <f>DR32</f>
        <v>858</v>
      </c>
      <c r="DS62" s="2"/>
      <c r="DT62" s="19">
        <f>DT32</f>
        <v>1132</v>
      </c>
      <c r="DU62" s="2"/>
      <c r="DV62" s="19">
        <f>DV32</f>
        <v>1261</v>
      </c>
      <c r="DX62" s="19">
        <f>DX32</f>
        <v>1424</v>
      </c>
      <c r="DZ62" s="19">
        <f>DZ32</f>
        <v>4675</v>
      </c>
      <c r="EA62" s="2"/>
      <c r="EB62" s="19">
        <f>EB32</f>
        <v>1335</v>
      </c>
      <c r="EC62" s="2"/>
      <c r="ED62" s="19">
        <f>ED32</f>
        <v>1481</v>
      </c>
      <c r="EE62" s="2"/>
      <c r="EF62" s="19">
        <f>EF32</f>
        <v>2447</v>
      </c>
      <c r="EH62" s="19">
        <f>EH32</f>
        <v>0</v>
      </c>
      <c r="EJ62" s="19">
        <f>EJ32</f>
        <v>5263</v>
      </c>
      <c r="EK62" s="2"/>
    </row>
    <row r="63" spans="1:141" x14ac:dyDescent="0.2">
      <c r="A63" s="69" t="s">
        <v>37</v>
      </c>
      <c r="B63" s="20">
        <v>7663</v>
      </c>
      <c r="C63" s="2"/>
      <c r="D63" s="20">
        <v>7749</v>
      </c>
      <c r="E63" s="2"/>
      <c r="F63" s="20">
        <f>7892-0.4</f>
        <v>7891.6</v>
      </c>
      <c r="G63" s="2"/>
      <c r="H63" s="21">
        <v>8009.0799399999996</v>
      </c>
      <c r="I63" s="2"/>
      <c r="J63" s="20">
        <f>B63+D63+F63+H63</f>
        <v>31312.679939999998</v>
      </c>
      <c r="K63" s="2"/>
      <c r="L63" s="20">
        <v>8102.76703</v>
      </c>
      <c r="M63" s="2"/>
      <c r="N63" s="20">
        <v>8250.2329700000009</v>
      </c>
      <c r="O63" s="2"/>
      <c r="P63" s="20">
        <v>8309</v>
      </c>
      <c r="Q63" s="2"/>
      <c r="R63" s="20">
        <v>8482</v>
      </c>
      <c r="S63" s="2"/>
      <c r="T63" s="20">
        <f>L63+N63+P63+R63+0.4</f>
        <v>33144.400000000001</v>
      </c>
      <c r="U63" s="2"/>
      <c r="V63" s="20">
        <v>8804.8977799999993</v>
      </c>
      <c r="W63" s="2"/>
      <c r="X63" s="20">
        <v>9507.0537500000028</v>
      </c>
      <c r="Y63" s="2"/>
      <c r="Z63" s="20">
        <v>9793.8284699999967</v>
      </c>
      <c r="AA63" s="2"/>
      <c r="AB63" s="20">
        <v>9803.900999999998</v>
      </c>
      <c r="AC63" s="2"/>
      <c r="AD63" s="20">
        <f>V63+X63+Z63+AB63</f>
        <v>37909.680999999997</v>
      </c>
      <c r="AE63" s="2"/>
      <c r="AF63" s="20">
        <v>9465.5740000000005</v>
      </c>
      <c r="AG63" s="2"/>
      <c r="AH63" s="20">
        <v>9412</v>
      </c>
      <c r="AI63" s="2"/>
      <c r="AJ63" s="20">
        <v>9647</v>
      </c>
      <c r="AK63" s="2"/>
      <c r="AL63" s="20">
        <v>9834</v>
      </c>
      <c r="AM63" s="2"/>
      <c r="AN63" s="20">
        <f>AF63+AH63+AJ63+AL63</f>
        <v>38358.574000000001</v>
      </c>
      <c r="AO63" s="2"/>
      <c r="AP63" s="20">
        <v>10120</v>
      </c>
      <c r="AQ63" s="2"/>
      <c r="AR63" s="20">
        <v>10833</v>
      </c>
      <c r="AS63" s="2"/>
      <c r="AT63" s="20">
        <v>11116</v>
      </c>
      <c r="AU63" s="42"/>
      <c r="AV63" s="20">
        <v>11316</v>
      </c>
      <c r="AX63" s="20">
        <f>AP63+AR63+AT63+AV63-0.6</f>
        <v>43384.4</v>
      </c>
      <c r="AZ63" s="20">
        <v>11249</v>
      </c>
      <c r="BA63" s="2"/>
      <c r="BB63" s="20">
        <v>11834</v>
      </c>
      <c r="BC63" s="2"/>
      <c r="BD63" s="20">
        <v>12508</v>
      </c>
      <c r="BF63" s="20">
        <v>12975</v>
      </c>
      <c r="BH63" s="21">
        <f>AZ63+BB63+BD63+BF63</f>
        <v>48566</v>
      </c>
      <c r="BJ63" s="20">
        <v>13263</v>
      </c>
      <c r="BK63" s="2"/>
      <c r="BL63" s="20">
        <v>13271</v>
      </c>
      <c r="BM63" s="2"/>
      <c r="BN63" s="20">
        <v>13484</v>
      </c>
      <c r="BP63" s="20">
        <v>13364</v>
      </c>
      <c r="BR63" s="21">
        <f>BJ63+BL63+BN63+BP63</f>
        <v>53382</v>
      </c>
      <c r="BT63" s="20">
        <v>13467</v>
      </c>
      <c r="BU63" s="2"/>
      <c r="BV63" s="20">
        <v>13527</v>
      </c>
      <c r="BW63" s="2"/>
      <c r="BX63" s="20">
        <v>13486</v>
      </c>
      <c r="BZ63" s="20">
        <v>15171</v>
      </c>
      <c r="CB63" s="21">
        <f>BT63+BV63+BX63+BZ63</f>
        <v>55651</v>
      </c>
      <c r="CD63" s="20">
        <v>16927</v>
      </c>
      <c r="CE63" s="2"/>
      <c r="CF63" s="20">
        <v>17650</v>
      </c>
      <c r="CG63" s="2"/>
      <c r="CH63" s="20">
        <v>18028</v>
      </c>
      <c r="CJ63" s="20">
        <v>18674</v>
      </c>
      <c r="CL63" s="21">
        <f>CD63+CF63+CH63+CJ63</f>
        <v>71279</v>
      </c>
      <c r="CN63" s="20">
        <v>18188</v>
      </c>
      <c r="CO63" s="2"/>
      <c r="CP63" s="20">
        <v>18190</v>
      </c>
      <c r="CQ63" s="2"/>
      <c r="CR63" s="20">
        <v>18191</v>
      </c>
      <c r="CT63" s="20">
        <v>18114</v>
      </c>
      <c r="CV63" s="21">
        <f>CN63+CP63+CR63+CT63</f>
        <v>72683</v>
      </c>
      <c r="CX63" s="20">
        <v>17576</v>
      </c>
      <c r="CY63" s="2"/>
      <c r="CZ63" s="20">
        <v>16557</v>
      </c>
      <c r="DA63" s="2"/>
      <c r="DB63" s="20">
        <v>16054</v>
      </c>
      <c r="DD63" s="20">
        <v>15601</v>
      </c>
      <c r="DF63" s="21">
        <f>CX63+CZ63+DB63+DD63</f>
        <v>65788</v>
      </c>
      <c r="DH63" s="20">
        <v>15721</v>
      </c>
      <c r="DI63" s="2"/>
      <c r="DJ63" s="20">
        <v>15802</v>
      </c>
      <c r="DK63" s="2"/>
      <c r="DL63" s="20">
        <v>15629</v>
      </c>
      <c r="DN63" s="20">
        <v>16258</v>
      </c>
      <c r="DP63" s="21">
        <f>DH63+DJ63+DL63+DN63</f>
        <v>63410</v>
      </c>
      <c r="DR63" s="20">
        <v>15678</v>
      </c>
      <c r="DS63" s="2"/>
      <c r="DT63" s="20">
        <v>16153</v>
      </c>
      <c r="DU63" s="2"/>
      <c r="DV63" s="20">
        <v>16107</v>
      </c>
      <c r="DX63" s="20">
        <v>17276</v>
      </c>
      <c r="DZ63" s="21">
        <f>DR63+DT63+DV63+DX63</f>
        <v>65214</v>
      </c>
      <c r="EA63" s="2"/>
      <c r="EB63" s="20">
        <v>17994</v>
      </c>
      <c r="EC63" s="2"/>
      <c r="ED63" s="20">
        <v>18338</v>
      </c>
      <c r="EE63" s="2"/>
      <c r="EF63" s="20">
        <v>18412</v>
      </c>
      <c r="EH63" s="20">
        <v>0</v>
      </c>
      <c r="EJ63" s="21">
        <f>EB63+ED63+EF63+EH63</f>
        <v>54744</v>
      </c>
      <c r="EK63" s="2"/>
    </row>
    <row r="64" spans="1:141" x14ac:dyDescent="0.2">
      <c r="A64" s="6" t="s">
        <v>38</v>
      </c>
      <c r="B64" s="22">
        <f>SUM(B60:B63)</f>
        <v>55755</v>
      </c>
      <c r="C64" s="22"/>
      <c r="D64" s="22">
        <f>SUM(D60:D63)</f>
        <v>60393</v>
      </c>
      <c r="E64" s="22"/>
      <c r="F64" s="22">
        <f>SUM(F60:F63)</f>
        <v>63696.463000000025</v>
      </c>
      <c r="G64" s="22"/>
      <c r="H64" s="22">
        <f>SUM(H60:H63)</f>
        <v>68606.632939999879</v>
      </c>
      <c r="I64" s="22"/>
      <c r="J64" s="22">
        <f>SUM(J60:J63)</f>
        <v>248451.6959400003</v>
      </c>
      <c r="K64" s="6"/>
      <c r="L64" s="22">
        <f>SUM(L60:L63)</f>
        <v>73629.025800000032</v>
      </c>
      <c r="M64" s="22"/>
      <c r="N64" s="22">
        <f>SUM(N60:N63)</f>
        <v>77006.232969999997</v>
      </c>
      <c r="O64" s="22"/>
      <c r="P64" s="22">
        <f>SUM(P60:P63)</f>
        <v>79197</v>
      </c>
      <c r="Q64" s="22"/>
      <c r="R64" s="22">
        <f>SUM(R60:R63)</f>
        <v>76244</v>
      </c>
      <c r="S64" s="22"/>
      <c r="T64" s="22">
        <f>SUM(T60:T63)</f>
        <v>306076.65877000027</v>
      </c>
      <c r="U64" s="6"/>
      <c r="V64" s="22">
        <f>SUM(V60:V63)</f>
        <v>78558.195899999992</v>
      </c>
      <c r="W64" s="22"/>
      <c r="X64" s="22">
        <f>SUM(X60:X63)</f>
        <v>83542.768840000062</v>
      </c>
      <c r="Y64" s="22"/>
      <c r="Z64" s="22">
        <f>SUM(Z60:Z63)</f>
        <v>65903.828469999993</v>
      </c>
      <c r="AA64" s="22"/>
      <c r="AB64" s="22">
        <f>SUM(AB60:AB63)</f>
        <v>76684.900999999998</v>
      </c>
      <c r="AC64" s="22"/>
      <c r="AD64" s="22">
        <f>SUM(AD60:AD63)</f>
        <v>304689.69421000005</v>
      </c>
      <c r="AE64" s="6"/>
      <c r="AF64" s="22">
        <f>SUM(AF60:AF63)</f>
        <v>98481.573999999993</v>
      </c>
      <c r="AG64" s="22"/>
      <c r="AH64" s="22">
        <f>SUM(AH60:AH63)</f>
        <v>100574</v>
      </c>
      <c r="AI64" s="22"/>
      <c r="AJ64" s="22">
        <f>SUM(AJ60:AJ63)</f>
        <v>95291</v>
      </c>
      <c r="AK64" s="22"/>
      <c r="AL64" s="22">
        <f>SUM(AL60:AL63)</f>
        <v>101506</v>
      </c>
      <c r="AM64" s="22"/>
      <c r="AN64" s="22">
        <f>SUM(AN60:AN63)</f>
        <v>395852.57400000002</v>
      </c>
      <c r="AO64" s="22"/>
      <c r="AP64" s="22">
        <f>SUM(AP60:AP63)</f>
        <v>109284</v>
      </c>
      <c r="AQ64" s="22"/>
      <c r="AR64" s="22">
        <f>SUM(AR60:AR63)</f>
        <v>111367</v>
      </c>
      <c r="AS64" s="22"/>
      <c r="AT64" s="22">
        <f>SUM(AT60:AT63)</f>
        <v>101801</v>
      </c>
      <c r="AU64" s="22"/>
      <c r="AV64" s="22">
        <f>SUM(AV60:AV63)</f>
        <v>103467</v>
      </c>
      <c r="AW64" s="22"/>
      <c r="AX64" s="22">
        <f>SUM(AX60:AX63)</f>
        <v>425918.4</v>
      </c>
      <c r="AZ64" s="22">
        <f>SUM(AZ60:AZ63)</f>
        <v>106396</v>
      </c>
      <c r="BA64" s="22"/>
      <c r="BB64" s="22">
        <f>SUM(BB60:BB63)</f>
        <v>105215</v>
      </c>
      <c r="BC64" s="22"/>
      <c r="BD64" s="22">
        <f>SUM(BD60:BD63)</f>
        <v>86608</v>
      </c>
      <c r="BF64" s="22">
        <f>SUM(BF60:BF63)</f>
        <v>91078</v>
      </c>
      <c r="BH64" s="22">
        <f>SUM(BH60:BH63)</f>
        <v>389297</v>
      </c>
      <c r="BJ64" s="22">
        <f>SUM(BJ60:BJ63)</f>
        <v>93552</v>
      </c>
      <c r="BK64" s="22"/>
      <c r="BL64" s="22">
        <f>SUM(BL60:BL63)</f>
        <v>88414</v>
      </c>
      <c r="BM64" s="22"/>
      <c r="BN64" s="22">
        <f>SUM(BN60:BN63)</f>
        <v>67493</v>
      </c>
      <c r="BP64" s="22">
        <f>SUM(BP60:BP63)</f>
        <v>77764</v>
      </c>
      <c r="BR64" s="22">
        <f>SUM(BR60:BR63)</f>
        <v>327223</v>
      </c>
      <c r="BT64" s="22">
        <f>SUM(BT60:BT63)</f>
        <v>89837</v>
      </c>
      <c r="BU64" s="22"/>
      <c r="BV64" s="22">
        <f>SUM(BV60:BV63)</f>
        <v>89670</v>
      </c>
      <c r="BW64" s="22"/>
      <c r="BX64" s="22">
        <f>SUM(BX60:BX63)</f>
        <v>81666</v>
      </c>
      <c r="BZ64" s="22">
        <f>SUM(BZ60:BZ63)</f>
        <v>95295</v>
      </c>
      <c r="CB64" s="22">
        <f>SUM(CB60:CB63)</f>
        <v>356468</v>
      </c>
      <c r="CD64" s="22">
        <f>SUM(CD60:CD63)</f>
        <v>118370</v>
      </c>
      <c r="CE64" s="22"/>
      <c r="CF64" s="22">
        <f>SUM(CF60:CF63)</f>
        <v>108608</v>
      </c>
      <c r="CG64" s="22"/>
      <c r="CH64" s="22">
        <f>SUM(CH60:CH63)</f>
        <v>78656</v>
      </c>
      <c r="CJ64" s="22">
        <f>SUM(CJ60:CJ63)</f>
        <v>82679</v>
      </c>
      <c r="CL64" s="22">
        <f>SUM(CL60:CL63)</f>
        <v>388313</v>
      </c>
      <c r="CN64" s="22">
        <f>SUM(CN60:CN63)</f>
        <v>103558</v>
      </c>
      <c r="CO64" s="22"/>
      <c r="CP64" s="22">
        <f>SUM(CP60:CP63)</f>
        <v>96271</v>
      </c>
      <c r="CQ64" s="22"/>
      <c r="CR64" s="22">
        <f>SUM(CR60:CR63)</f>
        <v>80498</v>
      </c>
      <c r="CT64" s="22">
        <f>SUM(CT60:CT63)</f>
        <v>83271</v>
      </c>
      <c r="CV64" s="22">
        <f>SUM(CV60:CV63)</f>
        <v>363598</v>
      </c>
      <c r="CX64" s="22">
        <f>SUM(CX60:CX63)</f>
        <v>97005</v>
      </c>
      <c r="CY64" s="22"/>
      <c r="CZ64" s="22">
        <f>SUM(CZ60:CZ63)</f>
        <v>91477</v>
      </c>
      <c r="DA64" s="22"/>
      <c r="DB64" s="22">
        <f>SUM(DB60:DB63)</f>
        <v>81006</v>
      </c>
      <c r="DD64" s="22">
        <f>SUM(DD60:DD63)</f>
        <v>90598</v>
      </c>
      <c r="DF64" s="22">
        <f>SUM(DF60:DF63)</f>
        <v>360086</v>
      </c>
      <c r="DH64" s="22">
        <f>SUM(DH60:DH63)</f>
        <v>105475</v>
      </c>
      <c r="DI64" s="22"/>
      <c r="DJ64" s="22">
        <f>SUM(DJ60:DJ63)</f>
        <v>100173</v>
      </c>
      <c r="DK64" s="22"/>
      <c r="DL64" s="22">
        <f>SUM(DL60:DL63)</f>
        <v>85551</v>
      </c>
      <c r="DN64" s="22">
        <f>SUM(DN60:DN63)</f>
        <v>98173</v>
      </c>
      <c r="DP64" s="22">
        <f>SUM(DP60:DP63)</f>
        <v>389372</v>
      </c>
      <c r="DR64" s="22">
        <f>SUM(DR60:DR63)</f>
        <v>107075</v>
      </c>
      <c r="DS64" s="22"/>
      <c r="DT64" s="22">
        <f>SUM(DT60:DT63)</f>
        <v>95370</v>
      </c>
      <c r="DU64" s="22"/>
      <c r="DV64" s="22">
        <f>SUM(DV60:DV63)</f>
        <v>82750</v>
      </c>
      <c r="DX64" s="22">
        <f>SUM(DX60:DX63)</f>
        <v>101914</v>
      </c>
      <c r="DZ64" s="22">
        <f>SUM(DZ60:DZ63)</f>
        <v>387109</v>
      </c>
      <c r="EA64" s="22"/>
      <c r="EB64" s="22">
        <f>SUM(EB60:EB63)</f>
        <v>111363</v>
      </c>
      <c r="EC64" s="22"/>
      <c r="ED64" s="22">
        <f>SUM(ED60:ED63)</f>
        <v>98846</v>
      </c>
      <c r="EE64" s="22"/>
      <c r="EF64" s="22">
        <f>SUM(EF60:EF63)</f>
        <v>88972</v>
      </c>
      <c r="EH64" s="22">
        <f>SUM(EH60:EH63)</f>
        <v>0</v>
      </c>
      <c r="EJ64" s="22">
        <f>SUM(EJ60:EJ63)</f>
        <v>299181</v>
      </c>
      <c r="EK64" s="22"/>
    </row>
    <row r="65" spans="1:141" x14ac:dyDescent="0.2">
      <c r="A65" s="32" t="s">
        <v>39</v>
      </c>
      <c r="B65" s="33">
        <f>B64/B19</f>
        <v>0.16175075501092265</v>
      </c>
      <c r="C65" s="33"/>
      <c r="D65" s="33">
        <f>D64/D19</f>
        <v>0.17185370253911975</v>
      </c>
      <c r="E65" s="33"/>
      <c r="F65" s="33">
        <f>F64/F19</f>
        <v>0.18177197202324361</v>
      </c>
      <c r="G65" s="33"/>
      <c r="H65" s="33">
        <f>H64/H19</f>
        <v>0.18510879490567222</v>
      </c>
      <c r="I65" s="33"/>
      <c r="J65" s="33">
        <f>J64/J19</f>
        <v>0.17531577358163555</v>
      </c>
      <c r="K65" s="32"/>
      <c r="L65" s="33">
        <f>L64/L19</f>
        <v>0.18757734994514885</v>
      </c>
      <c r="M65" s="33"/>
      <c r="N65" s="33">
        <f>N64/N19</f>
        <v>0.19632177075552268</v>
      </c>
      <c r="O65" s="33"/>
      <c r="P65" s="33">
        <f>P64/P19</f>
        <v>0.19556360008692045</v>
      </c>
      <c r="Q65" s="33"/>
      <c r="R65" s="33">
        <f>R64/R19</f>
        <v>0.1851144157814871</v>
      </c>
      <c r="S65" s="33"/>
      <c r="T65" s="33">
        <f>T64/T19</f>
        <v>0.19110515738771369</v>
      </c>
      <c r="U65" s="32"/>
      <c r="V65" s="33">
        <f>V64/V19</f>
        <v>0.17866221728604434</v>
      </c>
      <c r="W65" s="33"/>
      <c r="X65" s="33">
        <f>X64/X19</f>
        <v>0.18868688234029904</v>
      </c>
      <c r="Y65" s="33"/>
      <c r="Z65" s="33">
        <f>Z64/Z19</f>
        <v>0.14741145418879201</v>
      </c>
      <c r="AA65" s="33"/>
      <c r="AB65" s="33">
        <f>AB64/AB19</f>
        <v>0.16009607864833098</v>
      </c>
      <c r="AC65" s="33"/>
      <c r="AD65" s="33">
        <f>AD64/AD19</f>
        <v>0.16847389802305876</v>
      </c>
      <c r="AE65" s="32"/>
      <c r="AF65" s="33">
        <f>AF64/AF19</f>
        <v>0.19751223200497381</v>
      </c>
      <c r="AG65" s="33"/>
      <c r="AH65" s="33">
        <f>AH64/AH19</f>
        <v>0.20331945174463267</v>
      </c>
      <c r="AI65" s="33"/>
      <c r="AJ65" s="33">
        <f>AJ64/AJ19</f>
        <v>0.19267795074823935</v>
      </c>
      <c r="AK65" s="33"/>
      <c r="AL65" s="33">
        <f>AL64/AL19</f>
        <v>0.19437662409782983</v>
      </c>
      <c r="AM65" s="33"/>
      <c r="AN65" s="33">
        <f>AN64/AN19</f>
        <v>0.19693726803990361</v>
      </c>
      <c r="AO65" s="33"/>
      <c r="AP65" s="33">
        <f>AP64/AP19</f>
        <v>0.19294287136788804</v>
      </c>
      <c r="AQ65" s="33"/>
      <c r="AR65" s="33">
        <f>AR64/AR19</f>
        <v>0.20129233994866791</v>
      </c>
      <c r="AS65" s="33"/>
      <c r="AT65" s="33">
        <f>AT64/AT19</f>
        <v>0.18515163915791388</v>
      </c>
      <c r="AU65" s="33"/>
      <c r="AV65" s="33">
        <f>AV64/AV19</f>
        <v>0.18520600223034087</v>
      </c>
      <c r="AW65" s="33"/>
      <c r="AX65" s="33">
        <f>AX64/AX19</f>
        <v>0.19115337836321614</v>
      </c>
      <c r="AY65" s="33"/>
      <c r="AZ65" s="33">
        <f>AZ64/AZ19</f>
        <v>0.18175544091017801</v>
      </c>
      <c r="BA65" s="33"/>
      <c r="BB65" s="33">
        <f>BB64/BB19</f>
        <v>0.18362609841444366</v>
      </c>
      <c r="BC65" s="33"/>
      <c r="BD65" s="33">
        <f>BD64/BD19</f>
        <v>0.15204869322181785</v>
      </c>
      <c r="BF65" s="33">
        <f>BF64/BF19</f>
        <v>0.15561360914292743</v>
      </c>
      <c r="BH65" s="33">
        <f>BH64/BH19</f>
        <v>0.16828970433436868</v>
      </c>
      <c r="BJ65" s="33">
        <f>BJ64/BJ19</f>
        <v>0.15545131428742343</v>
      </c>
      <c r="BK65" s="33"/>
      <c r="BL65" s="33">
        <f>BL64/BL19</f>
        <v>0.15228616998921765</v>
      </c>
      <c r="BM65" s="33"/>
      <c r="BN65" s="33">
        <f>BN64/BN19</f>
        <v>0.11768470132012337</v>
      </c>
      <c r="BP65" s="33">
        <f>BP64/BP19</f>
        <v>0.13333721984935179</v>
      </c>
      <c r="BR65" s="33">
        <f>BR64/BR19</f>
        <v>0.13989227512892741</v>
      </c>
      <c r="BT65" s="33">
        <f>BT64/BT19</f>
        <v>0.14800774331727007</v>
      </c>
      <c r="BU65" s="33"/>
      <c r="BV65" s="33">
        <f>BV64/BV19</f>
        <v>0.15364370492595392</v>
      </c>
      <c r="BW65" s="33"/>
      <c r="BX65" s="33">
        <f>BX64/BX19</f>
        <v>0.1390807651434644</v>
      </c>
      <c r="BZ65" s="33">
        <f>BZ64/BZ19</f>
        <v>0.14523887180206241</v>
      </c>
      <c r="CB65" s="33">
        <f>CB64/CB19</f>
        <v>0.14645911020465852</v>
      </c>
      <c r="CD65" s="33">
        <f>CD64/CD19</f>
        <v>0.15671939192293383</v>
      </c>
      <c r="CE65" s="33"/>
      <c r="CF65" s="33">
        <f>IF(ISERROR(CF64/CF19),0,(CF64/CF19))</f>
        <v>0.1499783196484745</v>
      </c>
      <c r="CG65" s="33"/>
      <c r="CH65" s="33">
        <f>IF(ISERROR(CH64/CH19),0,(CH64/CH19))</f>
        <v>0.11144217704423769</v>
      </c>
      <c r="CJ65" s="33">
        <f>IF(ISERROR(CJ64/CJ19),0,(CJ64/CJ19))</f>
        <v>0.11531836370914537</v>
      </c>
      <c r="CL65" s="33">
        <f>CL64/CL19</f>
        <v>0.13379856323829234</v>
      </c>
      <c r="CN65" s="33">
        <f>CN64/CN19</f>
        <v>0.13686633995739034</v>
      </c>
      <c r="CO65" s="33"/>
      <c r="CP65" s="33">
        <f>IF(ISERROR(CP64/CP19),0,(CP64/CP19))</f>
        <v>0.13388991573381398</v>
      </c>
      <c r="CQ65" s="33"/>
      <c r="CR65" s="33">
        <f>IF(ISERROR(CR64/CR19),0,(CR64/CR19))</f>
        <v>0.11357662379806845</v>
      </c>
      <c r="CT65" s="33">
        <f>IF(ISERROR(CT64/CT19),0,(CT64/CT19))</f>
        <v>0.1190010718113612</v>
      </c>
      <c r="CV65" s="33">
        <f>CV64/CV19</f>
        <v>0.12606668395643533</v>
      </c>
      <c r="CX65" s="33">
        <f>CX64/CX19</f>
        <v>0.13321513960089704</v>
      </c>
      <c r="CY65" s="33"/>
      <c r="CZ65" s="33">
        <f>IF(ISERROR(CZ64/CZ19),0,(CZ64/CZ19))</f>
        <v>0.13460239637791729</v>
      </c>
      <c r="DA65" s="33"/>
      <c r="DB65" s="33">
        <f>IF(ISERROR(DB64/DB19),0,(DB64/DB19))</f>
        <v>0.12067914982621999</v>
      </c>
      <c r="DD65" s="33">
        <f>IF(ISERROR(DD64/DD19),0,(DD64/DD19))</f>
        <v>0.13463553237937148</v>
      </c>
      <c r="DF65" s="33">
        <f>DF64/DF19</f>
        <v>0.13084729552362029</v>
      </c>
      <c r="DH65" s="33">
        <f>DH64/DH19</f>
        <v>0.14681543778769771</v>
      </c>
      <c r="DI65" s="33"/>
      <c r="DJ65" s="33">
        <f>IF(ISERROR(DJ64/DJ19),0,(DJ64/DJ19))</f>
        <v>0.14916840768200995</v>
      </c>
      <c r="DK65" s="33"/>
      <c r="DL65" s="33">
        <f>IF(ISERROR(DL64/DL19),0,(DL64/DL19))</f>
        <v>0.12872942309428512</v>
      </c>
      <c r="DN65" s="33">
        <f>IF(ISERROR(DN64/DN19),0,(DN64/DN19))</f>
        <v>0.14499254161189798</v>
      </c>
      <c r="DP65" s="33">
        <f>DP64/DP19</f>
        <v>0.14254189436937334</v>
      </c>
      <c r="DR65" s="33">
        <f>DR64/DR19</f>
        <v>0.1442713203571111</v>
      </c>
      <c r="DS65" s="33"/>
      <c r="DT65" s="33">
        <f>IF(ISERROR(DT64/DT19),0,(DT64/DT19))</f>
        <v>0.13658373111178898</v>
      </c>
      <c r="DU65" s="33"/>
      <c r="DV65" s="33">
        <f>IF(ISERROR(DV64/DV19),0,(DV64/DV19))</f>
        <v>0.11749738381958082</v>
      </c>
      <c r="DX65" s="33">
        <f>IF(ISERROR(DX64/DX19),0,(DX64/DX19))</f>
        <v>0.13819184739424148</v>
      </c>
      <c r="DZ65" s="33">
        <f>DZ64/DZ19</f>
        <v>0.13431099471789448</v>
      </c>
      <c r="EA65" s="33"/>
      <c r="EB65" s="33">
        <f>EB64/EB19</f>
        <v>0.13332830492281389</v>
      </c>
      <c r="EC65" s="33"/>
      <c r="ED65" s="33">
        <f>IF(ISERROR(ED64/ED19),0,(ED64/ED19))</f>
        <v>0.13184775736363175</v>
      </c>
      <c r="EE65" s="33"/>
      <c r="EF65" s="33">
        <f>IF(ISERROR(EF64/EF19),0,(EF64/EF19))</f>
        <v>0.1203439945679373</v>
      </c>
      <c r="EH65" s="33">
        <f>IF(ISERROR(EH64/EH19),0,(EH64/EH19))</f>
        <v>0</v>
      </c>
      <c r="EJ65" s="33">
        <f>EJ64/EJ19</f>
        <v>0.1287206369666811</v>
      </c>
      <c r="EK65" s="33"/>
    </row>
    <row r="66" spans="1:14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X66" s="17"/>
      <c r="AZ66" s="2"/>
      <c r="BA66" s="2"/>
      <c r="BB66" s="2"/>
      <c r="BC66" s="2"/>
      <c r="BD66" s="2"/>
      <c r="BF66" s="2"/>
      <c r="BH66" s="17"/>
      <c r="BJ66" s="2"/>
      <c r="BK66" s="2"/>
      <c r="BL66" s="2"/>
      <c r="BM66" s="2"/>
      <c r="BN66" s="2"/>
      <c r="BP66" s="2"/>
      <c r="BR66" s="17"/>
      <c r="BT66" s="2"/>
      <c r="BU66" s="2"/>
      <c r="BV66" s="2"/>
      <c r="BW66" s="2"/>
      <c r="BX66" s="2"/>
      <c r="BZ66" s="2"/>
      <c r="CB66" s="17"/>
      <c r="CD66" s="2"/>
      <c r="CE66" s="2"/>
      <c r="CF66" s="2"/>
      <c r="CG66" s="2"/>
      <c r="CH66" s="2"/>
      <c r="CJ66" s="2"/>
      <c r="CL66" s="17"/>
      <c r="CN66" s="2"/>
      <c r="CO66" s="2"/>
      <c r="CP66" s="2"/>
      <c r="CQ66" s="2"/>
      <c r="CR66" s="2"/>
      <c r="CT66" s="2"/>
      <c r="CV66" s="17"/>
      <c r="CX66" s="2"/>
      <c r="CY66" s="2"/>
      <c r="CZ66" s="2"/>
      <c r="DA66" s="2"/>
      <c r="DB66" s="2"/>
      <c r="DD66" s="2"/>
      <c r="DF66" s="17"/>
      <c r="DH66" s="2"/>
      <c r="DI66" s="2"/>
      <c r="DJ66" s="2"/>
      <c r="DK66" s="2"/>
      <c r="DL66" s="2"/>
      <c r="DN66" s="2"/>
      <c r="DP66" s="17"/>
      <c r="DR66" s="2"/>
      <c r="DS66" s="2"/>
      <c r="DT66" s="2"/>
      <c r="DU66" s="2"/>
      <c r="DV66" s="2"/>
      <c r="DX66" s="2"/>
      <c r="DZ66" s="17"/>
      <c r="EA66" s="2"/>
      <c r="EB66" s="2"/>
      <c r="EC66" s="2"/>
      <c r="ED66" s="2"/>
      <c r="EE66" s="2"/>
      <c r="EF66" s="2"/>
      <c r="EH66" s="2"/>
      <c r="EJ66" s="17"/>
      <c r="EK66" s="2"/>
    </row>
    <row r="67" spans="1:141" x14ac:dyDescent="0.2">
      <c r="A67" s="2"/>
      <c r="B67" s="8" t="s">
        <v>2</v>
      </c>
      <c r="C67" s="8"/>
      <c r="D67" s="8"/>
      <c r="E67" s="8"/>
      <c r="F67" s="8"/>
      <c r="G67" s="8"/>
      <c r="H67" s="8"/>
      <c r="I67" s="2"/>
      <c r="J67" s="9" t="s">
        <v>3</v>
      </c>
      <c r="K67" s="2"/>
      <c r="L67" s="8" t="s">
        <v>2</v>
      </c>
      <c r="M67" s="8"/>
      <c r="N67" s="8"/>
      <c r="O67" s="2"/>
      <c r="P67" s="8"/>
      <c r="Q67" s="2"/>
      <c r="R67" s="8"/>
      <c r="S67" s="2"/>
      <c r="T67" s="9" t="s">
        <v>3</v>
      </c>
      <c r="U67" s="2"/>
      <c r="V67" s="8" t="s">
        <v>2</v>
      </c>
      <c r="W67" s="8"/>
      <c r="X67" s="8"/>
      <c r="Y67" s="8"/>
      <c r="Z67" s="8"/>
      <c r="AA67" s="8"/>
      <c r="AB67" s="8"/>
      <c r="AC67" s="2"/>
      <c r="AD67" s="9" t="s">
        <v>3</v>
      </c>
      <c r="AE67" s="2"/>
      <c r="AF67" s="8" t="s">
        <v>2</v>
      </c>
      <c r="AG67" s="8"/>
      <c r="AH67" s="8"/>
      <c r="AI67" s="8"/>
      <c r="AJ67" s="8"/>
      <c r="AK67" s="8"/>
      <c r="AL67" s="8"/>
      <c r="AM67" s="2"/>
      <c r="AN67" s="9" t="s">
        <v>3</v>
      </c>
      <c r="AO67" s="2"/>
      <c r="AP67" s="8" t="s">
        <v>2</v>
      </c>
      <c r="AQ67" s="8"/>
      <c r="AR67" s="8"/>
      <c r="AS67" s="8"/>
      <c r="AT67" s="8"/>
      <c r="AU67" s="8"/>
      <c r="AV67" s="8"/>
      <c r="AX67" s="9" t="s">
        <v>3</v>
      </c>
      <c r="AZ67" s="133" t="s">
        <v>2</v>
      </c>
      <c r="BA67" s="135"/>
      <c r="BB67" s="135"/>
      <c r="BC67" s="135"/>
      <c r="BD67" s="135"/>
      <c r="BE67" s="135"/>
      <c r="BF67" s="135"/>
      <c r="BH67" s="9" t="s">
        <v>3</v>
      </c>
      <c r="BJ67" s="133" t="s">
        <v>2</v>
      </c>
      <c r="BK67" s="135"/>
      <c r="BL67" s="135"/>
      <c r="BM67" s="135"/>
      <c r="BN67" s="135"/>
      <c r="BO67" s="135"/>
      <c r="BP67" s="135"/>
      <c r="BR67" s="9" t="str">
        <f>BR6</f>
        <v>FYE</v>
      </c>
      <c r="BT67" s="133" t="s">
        <v>2</v>
      </c>
      <c r="BU67" s="135"/>
      <c r="BV67" s="135"/>
      <c r="BW67" s="135"/>
      <c r="BX67" s="135"/>
      <c r="BY67" s="135"/>
      <c r="BZ67" s="135"/>
      <c r="CB67" s="9" t="str">
        <f>CB6</f>
        <v>FYE</v>
      </c>
      <c r="CD67" s="133" t="s">
        <v>2</v>
      </c>
      <c r="CE67" s="135"/>
      <c r="CF67" s="135"/>
      <c r="CG67" s="135"/>
      <c r="CH67" s="135"/>
      <c r="CI67" s="135"/>
      <c r="CJ67" s="135"/>
      <c r="CL67" s="9" t="str">
        <f>CL6</f>
        <v>FYE</v>
      </c>
      <c r="CN67" s="133" t="s">
        <v>2</v>
      </c>
      <c r="CO67" s="135"/>
      <c r="CP67" s="135"/>
      <c r="CQ67" s="135"/>
      <c r="CR67" s="135"/>
      <c r="CS67" s="135"/>
      <c r="CT67" s="135"/>
      <c r="CV67" s="9" t="str">
        <f>CV6</f>
        <v>FYE</v>
      </c>
      <c r="CX67" s="133" t="s">
        <v>2</v>
      </c>
      <c r="CY67" s="135"/>
      <c r="CZ67" s="135"/>
      <c r="DA67" s="135"/>
      <c r="DB67" s="135"/>
      <c r="DC67" s="135"/>
      <c r="DD67" s="135"/>
      <c r="DF67" s="9" t="str">
        <f>DF6</f>
        <v>FYE</v>
      </c>
      <c r="DH67" s="133" t="s">
        <v>2</v>
      </c>
      <c r="DI67" s="135"/>
      <c r="DJ67" s="135"/>
      <c r="DK67" s="135"/>
      <c r="DL67" s="135"/>
      <c r="DM67" s="135"/>
      <c r="DN67" s="135"/>
      <c r="DP67" s="9" t="str">
        <f>DP6</f>
        <v>FYE</v>
      </c>
      <c r="DR67" s="133" t="s">
        <v>2</v>
      </c>
      <c r="DS67" s="135"/>
      <c r="DT67" s="135"/>
      <c r="DU67" s="135"/>
      <c r="DV67" s="135"/>
      <c r="DW67" s="135"/>
      <c r="DX67" s="135"/>
      <c r="DZ67" s="9" t="str">
        <f>DZ6</f>
        <v>FYE</v>
      </c>
      <c r="EB67" s="133" t="s">
        <v>2</v>
      </c>
      <c r="EC67" s="135"/>
      <c r="ED67" s="135"/>
      <c r="EE67" s="135"/>
      <c r="EF67" s="135"/>
      <c r="EG67" s="135"/>
      <c r="EH67" s="135"/>
      <c r="EJ67" s="9" t="str">
        <f>EJ6</f>
        <v>FYE</v>
      </c>
    </row>
    <row r="68" spans="1:141" ht="13.5" x14ac:dyDescent="0.25">
      <c r="A68" s="34" t="s">
        <v>40</v>
      </c>
      <c r="B68" s="10">
        <v>36250</v>
      </c>
      <c r="C68" s="2"/>
      <c r="D68" s="10">
        <v>36341</v>
      </c>
      <c r="E68" s="2"/>
      <c r="F68" s="10">
        <v>36433</v>
      </c>
      <c r="G68" s="2"/>
      <c r="H68" s="10">
        <v>36525</v>
      </c>
      <c r="I68" s="2"/>
      <c r="J68" s="10" t="s">
        <v>4</v>
      </c>
      <c r="K68" s="2"/>
      <c r="L68" s="10">
        <v>36616</v>
      </c>
      <c r="M68" s="2"/>
      <c r="N68" s="10">
        <v>36707</v>
      </c>
      <c r="O68" s="2"/>
      <c r="P68" s="10">
        <v>36799</v>
      </c>
      <c r="Q68" s="2"/>
      <c r="R68" s="10">
        <v>36891</v>
      </c>
      <c r="S68" s="2"/>
      <c r="T68" s="10" t="s">
        <v>5</v>
      </c>
      <c r="U68" s="2"/>
      <c r="V68" s="10">
        <v>36981</v>
      </c>
      <c r="W68" s="2"/>
      <c r="X68" s="10">
        <v>37072</v>
      </c>
      <c r="Y68" s="2"/>
      <c r="Z68" s="10">
        <v>37164</v>
      </c>
      <c r="AA68" s="2"/>
      <c r="AB68" s="10">
        <v>37256</v>
      </c>
      <c r="AC68" s="2"/>
      <c r="AD68" s="10" t="s">
        <v>6</v>
      </c>
      <c r="AE68" s="2"/>
      <c r="AF68" s="10">
        <v>37346</v>
      </c>
      <c r="AG68" s="2"/>
      <c r="AH68" s="10">
        <v>37437</v>
      </c>
      <c r="AI68" s="2"/>
      <c r="AJ68" s="10">
        <v>37529</v>
      </c>
      <c r="AK68" s="2"/>
      <c r="AL68" s="10">
        <v>37621</v>
      </c>
      <c r="AM68" s="2"/>
      <c r="AN68" s="10" t="s">
        <v>52</v>
      </c>
      <c r="AO68" s="2"/>
      <c r="AP68" s="10">
        <v>37711</v>
      </c>
      <c r="AQ68" s="2"/>
      <c r="AR68" s="10">
        <v>37802</v>
      </c>
      <c r="AS68" s="2"/>
      <c r="AT68" s="10">
        <v>37894</v>
      </c>
      <c r="AU68" s="41"/>
      <c r="AV68" s="10">
        <v>37986</v>
      </c>
      <c r="AX68" s="10">
        <v>37986</v>
      </c>
      <c r="AZ68" s="10">
        <v>38077</v>
      </c>
      <c r="BA68" s="2"/>
      <c r="BB68" s="10">
        <v>38168</v>
      </c>
      <c r="BC68" s="7"/>
      <c r="BD68" s="10">
        <v>38260</v>
      </c>
      <c r="BF68" s="10">
        <v>38352</v>
      </c>
      <c r="BH68" s="10">
        <v>38352</v>
      </c>
      <c r="BJ68" s="10">
        <f>BJ7</f>
        <v>38442</v>
      </c>
      <c r="BK68" s="2"/>
      <c r="BL68" s="10">
        <f>BL7</f>
        <v>38533</v>
      </c>
      <c r="BM68" s="2"/>
      <c r="BN68" s="10">
        <f>BN7</f>
        <v>38625</v>
      </c>
      <c r="BP68" s="10">
        <f>BP7</f>
        <v>38717</v>
      </c>
      <c r="BR68" s="11" t="str">
        <f>BR7</f>
        <v>2005</v>
      </c>
      <c r="BT68" s="10">
        <f>BT7</f>
        <v>38807</v>
      </c>
      <c r="BU68" s="2"/>
      <c r="BV68" s="10">
        <f>BV7</f>
        <v>38898</v>
      </c>
      <c r="BW68" s="2"/>
      <c r="BX68" s="10">
        <f>BX7</f>
        <v>38990</v>
      </c>
      <c r="BZ68" s="10">
        <f>BZ7</f>
        <v>39082</v>
      </c>
      <c r="CB68" s="11" t="str">
        <f>CB7</f>
        <v>2006</v>
      </c>
      <c r="CD68" s="10">
        <f>CD7</f>
        <v>39172</v>
      </c>
      <c r="CE68" s="2"/>
      <c r="CF68" s="10">
        <f>CF7</f>
        <v>39263</v>
      </c>
      <c r="CG68" s="2"/>
      <c r="CH68" s="10">
        <f>CH7</f>
        <v>39355</v>
      </c>
      <c r="CJ68" s="10">
        <f>CJ7</f>
        <v>39447</v>
      </c>
      <c r="CL68" s="11" t="str">
        <f>CL7</f>
        <v>2007</v>
      </c>
      <c r="CN68" s="10">
        <f>CN7</f>
        <v>39538</v>
      </c>
      <c r="CO68" s="2"/>
      <c r="CP68" s="10">
        <f>CP7</f>
        <v>39629</v>
      </c>
      <c r="CQ68" s="2"/>
      <c r="CR68" s="10">
        <f>CR7</f>
        <v>39721</v>
      </c>
      <c r="CT68" s="10">
        <f>CT7</f>
        <v>39813</v>
      </c>
      <c r="CV68" s="78">
        <f>CV7</f>
        <v>2008</v>
      </c>
      <c r="CX68" s="10">
        <f>CX7</f>
        <v>39903</v>
      </c>
      <c r="CY68" s="2"/>
      <c r="CZ68" s="10">
        <f>CZ7</f>
        <v>39994</v>
      </c>
      <c r="DA68" s="2"/>
      <c r="DB68" s="10">
        <f>DB7</f>
        <v>40086</v>
      </c>
      <c r="DD68" s="10">
        <f>DD7</f>
        <v>40178</v>
      </c>
      <c r="DF68" s="78">
        <f>DF7</f>
        <v>2009</v>
      </c>
      <c r="DH68" s="10">
        <f>DH7</f>
        <v>40268</v>
      </c>
      <c r="DI68" s="2"/>
      <c r="DJ68" s="10">
        <f>DJ7</f>
        <v>40359</v>
      </c>
      <c r="DK68" s="2"/>
      <c r="DL68" s="10">
        <f>DL7</f>
        <v>40451</v>
      </c>
      <c r="DN68" s="10">
        <f>DN7</f>
        <v>40543</v>
      </c>
      <c r="DP68" s="78">
        <f>DP7</f>
        <v>2010</v>
      </c>
      <c r="DR68" s="10">
        <f>DR7</f>
        <v>40633</v>
      </c>
      <c r="DS68" s="2"/>
      <c r="DT68" s="10">
        <f>DT7</f>
        <v>40724</v>
      </c>
      <c r="DU68" s="2"/>
      <c r="DV68" s="10">
        <f>DV7</f>
        <v>40816</v>
      </c>
      <c r="DX68" s="10">
        <f>DX7</f>
        <v>40908</v>
      </c>
      <c r="DZ68" s="78">
        <f>DZ7</f>
        <v>2011</v>
      </c>
      <c r="EA68" s="2"/>
      <c r="EB68" s="10">
        <f>EB7</f>
        <v>40999</v>
      </c>
      <c r="EC68" s="2"/>
      <c r="ED68" s="10">
        <f>ED7</f>
        <v>41090</v>
      </c>
      <c r="EE68" s="2"/>
      <c r="EF68" s="10">
        <f>EF7</f>
        <v>41182</v>
      </c>
      <c r="EH68" s="10">
        <f>EH7</f>
        <v>41274</v>
      </c>
      <c r="EJ68" s="78">
        <f>EJ7</f>
        <v>2012</v>
      </c>
      <c r="EK68" s="2"/>
    </row>
    <row r="69" spans="1:141" x14ac:dyDescent="0.2">
      <c r="A69" s="2" t="s">
        <v>88</v>
      </c>
      <c r="B69" s="28">
        <f>B23/B9</f>
        <v>0.21367087936309068</v>
      </c>
      <c r="C69" s="28"/>
      <c r="D69" s="28">
        <f>D23/D9</f>
        <v>0.21014109988961249</v>
      </c>
      <c r="E69" s="28"/>
      <c r="F69" s="28">
        <f>F23/F9</f>
        <v>0.20718860770817352</v>
      </c>
      <c r="G69" s="28"/>
      <c r="H69" s="28">
        <f>H23/H9</f>
        <v>0.205050550090387</v>
      </c>
      <c r="I69" s="28"/>
      <c r="J69" s="28">
        <f>J23/J9</f>
        <v>0.20889857327473982</v>
      </c>
      <c r="K69" s="2"/>
      <c r="L69" s="28">
        <f>L23/L9</f>
        <v>0.20475067671273486</v>
      </c>
      <c r="M69" s="28"/>
      <c r="N69" s="28">
        <f>N23/N9</f>
        <v>0.20487914564982637</v>
      </c>
      <c r="O69" s="28"/>
      <c r="P69" s="28">
        <f>P23/P9</f>
        <v>0.206803400626205</v>
      </c>
      <c r="Q69" s="28"/>
      <c r="R69" s="28">
        <f>R23/R9</f>
        <v>0.20374288255046918</v>
      </c>
      <c r="S69" s="28"/>
      <c r="T69" s="28">
        <f>T23/T9</f>
        <v>0.20504577695125992</v>
      </c>
      <c r="U69" s="2"/>
      <c r="V69" s="28">
        <f>V23/V9</f>
        <v>0.20556450710152635</v>
      </c>
      <c r="W69" s="28"/>
      <c r="X69" s="28">
        <f>X23/X9</f>
        <v>0.20604204627412517</v>
      </c>
      <c r="Y69" s="28"/>
      <c r="Z69" s="28">
        <f>Z23/Z9</f>
        <v>0.20960458709126764</v>
      </c>
      <c r="AA69" s="28"/>
      <c r="AB69" s="28">
        <f>AB23/AB9</f>
        <v>0.21009957390779585</v>
      </c>
      <c r="AC69" s="28"/>
      <c r="AD69" s="28">
        <f>AD23/AD9</f>
        <v>0.20789106651043576</v>
      </c>
      <c r="AE69" s="2"/>
      <c r="AF69" s="28">
        <f>AF23/AF9</f>
        <v>0.20784755637191377</v>
      </c>
      <c r="AG69" s="28"/>
      <c r="AH69" s="28">
        <f>AH23/AH9</f>
        <v>0.20684907782325512</v>
      </c>
      <c r="AI69" s="28"/>
      <c r="AJ69" s="28">
        <f>AJ23/AJ9</f>
        <v>0.20935187458352331</v>
      </c>
      <c r="AK69" s="28"/>
      <c r="AL69" s="28">
        <f>AL23/AL9</f>
        <v>0.21443598774107248</v>
      </c>
      <c r="AM69" s="28"/>
      <c r="AN69" s="28">
        <f>AN23/AN9</f>
        <v>0.20967616680903936</v>
      </c>
      <c r="AO69" s="28"/>
      <c r="AP69" s="28">
        <f>AP23/AP9</f>
        <v>0.21616516591375687</v>
      </c>
      <c r="AQ69" s="28"/>
      <c r="AR69" s="28">
        <f>AR23/AR9</f>
        <v>0.21679501617917646</v>
      </c>
      <c r="AS69" s="28"/>
      <c r="AT69" s="28">
        <f>AT23/AT9</f>
        <v>0.21647140581785607</v>
      </c>
      <c r="AU69" s="28"/>
      <c r="AV69" s="28">
        <f>AV23/AV9</f>
        <v>0.21640770911980925</v>
      </c>
      <c r="AW69" s="28"/>
      <c r="AX69" s="28">
        <f>AX23/AX9</f>
        <v>0.21646142578711244</v>
      </c>
      <c r="AY69" s="28"/>
      <c r="AZ69" s="28">
        <f>AZ23/AZ9</f>
        <v>0.21523924725852189</v>
      </c>
      <c r="BA69" s="28"/>
      <c r="BB69" s="28">
        <f>BB23/BB9</f>
        <v>0.21656649244227255</v>
      </c>
      <c r="BC69" s="44"/>
      <c r="BD69" s="28">
        <f>BD23/BD9</f>
        <v>0.21793888992132812</v>
      </c>
      <c r="BF69" s="28">
        <f>BF23/BF9</f>
        <v>0.21901483200636493</v>
      </c>
      <c r="BH69" s="28">
        <f>BH23/BH9</f>
        <v>0.21721240659386273</v>
      </c>
      <c r="BJ69" s="28">
        <f>BJ23/BJ9</f>
        <v>0.21685929250976627</v>
      </c>
      <c r="BK69" s="28"/>
      <c r="BL69" s="28">
        <f>BL23/BL9</f>
        <v>0.21659618828077679</v>
      </c>
      <c r="BM69" s="44"/>
      <c r="BN69" s="28">
        <f>BN23/BN9</f>
        <v>0.21720920235538782</v>
      </c>
      <c r="BP69" s="28">
        <f>BP23/BP9</f>
        <v>0.21770417712589116</v>
      </c>
      <c r="BR69" s="28">
        <f>BR23/BR9</f>
        <v>0.21709148836051395</v>
      </c>
      <c r="BT69" s="28">
        <f>BT23/BT9</f>
        <v>0.21670000749448004</v>
      </c>
      <c r="BU69" s="28"/>
      <c r="BV69" s="28">
        <f>BV23/BV9</f>
        <v>0.21767828548444626</v>
      </c>
      <c r="BW69" s="44"/>
      <c r="BX69" s="28">
        <f>BX23/BX9</f>
        <v>0.21985120054108895</v>
      </c>
      <c r="BZ69" s="28">
        <f>BZ23/BZ9</f>
        <v>0.22193366076835094</v>
      </c>
      <c r="CB69" s="28">
        <f>CB23/CB9</f>
        <v>0.21913966219904987</v>
      </c>
      <c r="CD69" s="28">
        <f>CD23/CD9</f>
        <v>0.21673410461542192</v>
      </c>
      <c r="CE69" s="28"/>
      <c r="CF69" s="28">
        <f>IF(ISERROR(CF23/CF9),0,(CF23/CF9))</f>
        <v>0.22040157318576159</v>
      </c>
      <c r="CG69" s="44"/>
      <c r="CH69" s="28">
        <f>IF(ISERROR(CH23/CH9),0,(CH23/CH9))</f>
        <v>0.22217063942249798</v>
      </c>
      <c r="CJ69" s="28">
        <f>IF(ISERROR(CJ23/CJ9),0,(CJ23/CJ9))</f>
        <v>0.22599263328755151</v>
      </c>
      <c r="CL69" s="28">
        <f>CL23/CL9</f>
        <v>0.22127968463347625</v>
      </c>
      <c r="CN69" s="28">
        <f>CN23/CN9</f>
        <v>0.22813359430360583</v>
      </c>
      <c r="CO69" s="28"/>
      <c r="CP69" s="28">
        <f>IF(ISERROR(CP23/CP9),0,(CP23/CP9))</f>
        <v>0.2292891156569779</v>
      </c>
      <c r="CQ69" s="44"/>
      <c r="CR69" s="28">
        <f>IF(ISERROR(CR23/CR9),0,(CR23/CR9))</f>
        <v>0.22906211270099308</v>
      </c>
      <c r="CT69" s="28">
        <f>IF(ISERROR(CT23/CT9),0,(CT23/CT9))</f>
        <v>0.22822233248011251</v>
      </c>
      <c r="CV69" s="28">
        <f>CV23/CV9</f>
        <v>0.22867812944563215</v>
      </c>
      <c r="CX69" s="28">
        <f>CX23/CX9</f>
        <v>0.22613356269253873</v>
      </c>
      <c r="CY69" s="28"/>
      <c r="CZ69" s="28">
        <f>IF(ISERROR(CZ23/CZ9),0,(CZ23/CZ9))</f>
        <v>0.22555253211370252</v>
      </c>
      <c r="DA69" s="44"/>
      <c r="DB69" s="28">
        <f>IF(ISERROR(DB23/DB9),0,(DB23/DB9))</f>
        <v>0.22596350785594768</v>
      </c>
      <c r="DD69" s="28">
        <f>IF(ISERROR(DD23/DD9),0,(DD23/DD9))</f>
        <v>0.22571746766041292</v>
      </c>
      <c r="DF69" s="28">
        <f>DF23/DF9</f>
        <v>0.22584239548432813</v>
      </c>
      <c r="DH69" s="28">
        <f>DH23/DH9</f>
        <v>0.22285594880859402</v>
      </c>
      <c r="DI69" s="28"/>
      <c r="DJ69" s="28">
        <f>IF(ISERROR(DJ23/DJ9),0,(DJ23/DJ9))</f>
        <v>0.22133488371300017</v>
      </c>
      <c r="DK69" s="44"/>
      <c r="DL69" s="28">
        <f>IF(ISERROR(DL23/DL9),0,(DL23/DL9))</f>
        <v>0.22147359722509152</v>
      </c>
      <c r="DN69" s="28">
        <f>IF(ISERROR(DN23/DN9),0,(DN23/DN9))</f>
        <v>0.2236897943663789</v>
      </c>
      <c r="DP69" s="28">
        <f>DP23/DP9</f>
        <v>0.22234334805112063</v>
      </c>
      <c r="DR69" s="28">
        <f>DR23/DR9</f>
        <v>0.22221949189748832</v>
      </c>
      <c r="DS69" s="28"/>
      <c r="DT69" s="28">
        <f>IF(ISERROR(DT23/DT9),0,(DT23/DT9))</f>
        <v>0.22547086740606931</v>
      </c>
      <c r="DU69" s="44"/>
      <c r="DV69" s="28">
        <f>IF(ISERROR(DV23/DV9),0,(DV23/DV9))</f>
        <v>0.22940074605525693</v>
      </c>
      <c r="DX69" s="28">
        <f>IF(ISERROR(DX23/DX9),0,(DX23/DX9))</f>
        <v>0.23639937167751271</v>
      </c>
      <c r="DZ69" s="28">
        <f>DZ23/DZ9</f>
        <v>0.22848390159972734</v>
      </c>
      <c r="EA69" s="28"/>
      <c r="EB69" s="28">
        <f>EB23/EB9</f>
        <v>0.24094923014066766</v>
      </c>
      <c r="EC69" s="28"/>
      <c r="ED69" s="28">
        <f>IF(ISERROR(ED23/ED9),0,(ED23/ED9))</f>
        <v>0.24247822794683355</v>
      </c>
      <c r="EE69" s="44"/>
      <c r="EF69" s="28">
        <f>IF(ISERROR(EF23/EF9),0,(EF23/EF9))</f>
        <v>0.24354391243737147</v>
      </c>
      <c r="EH69" s="28">
        <f>IF(ISERROR(EH23/EH9),0,(EH23/EH9))</f>
        <v>0</v>
      </c>
      <c r="EJ69" s="28">
        <f>EJ23/EJ9</f>
        <v>0.24230641414118562</v>
      </c>
      <c r="EK69" s="28"/>
    </row>
    <row r="70" spans="1:141" x14ac:dyDescent="0.2">
      <c r="A70" s="2" t="s">
        <v>41</v>
      </c>
      <c r="B70" s="28">
        <f>B24/B10</f>
        <v>0.81277049488803865</v>
      </c>
      <c r="C70" s="28"/>
      <c r="D70" s="28">
        <f>D24/D10</f>
        <v>0.85852264327600647</v>
      </c>
      <c r="E70" s="28"/>
      <c r="F70" s="28">
        <f>F24/F10</f>
        <v>0.83935795695767845</v>
      </c>
      <c r="G70" s="28"/>
      <c r="H70" s="28">
        <f>H24/H10</f>
        <v>0.85006418284787877</v>
      </c>
      <c r="I70" s="28"/>
      <c r="J70" s="28">
        <f>J24/J10</f>
        <v>0.83631192859839854</v>
      </c>
      <c r="K70" s="2"/>
      <c r="L70" s="28">
        <f>L24/L10</f>
        <v>0.83508237364807214</v>
      </c>
      <c r="M70" s="28"/>
      <c r="N70" s="28">
        <f>N24/N10</f>
        <v>0.82386877828054295</v>
      </c>
      <c r="O70" s="28"/>
      <c r="P70" s="28">
        <f>P24/P10</f>
        <v>0.7596759675967597</v>
      </c>
      <c r="Q70" s="28"/>
      <c r="R70" s="28">
        <f>R24/R10</f>
        <v>0.78725376593279262</v>
      </c>
      <c r="S70" s="28"/>
      <c r="T70" s="28">
        <f>T24/T10</f>
        <v>0.80492222663638913</v>
      </c>
      <c r="U70" s="2"/>
      <c r="V70" s="28">
        <f>V24/V10</f>
        <v>0.70076860296471932</v>
      </c>
      <c r="W70" s="28"/>
      <c r="X70" s="28">
        <f>X24/X10</f>
        <v>0.76794527459670681</v>
      </c>
      <c r="Y70" s="28"/>
      <c r="Z70" s="28">
        <f>Z24/Z10</f>
        <v>0.79632806342435902</v>
      </c>
      <c r="AA70" s="28"/>
      <c r="AB70" s="28">
        <f>AB24/AB10</f>
        <v>0.82371147893957741</v>
      </c>
      <c r="AC70" s="28"/>
      <c r="AD70" s="28">
        <f>AD24/AD10</f>
        <v>0.76571868030589529</v>
      </c>
      <c r="AE70" s="2"/>
      <c r="AF70" s="28">
        <f>AF24/AF10</f>
        <v>0.6812776164625679</v>
      </c>
      <c r="AG70" s="28"/>
      <c r="AH70" s="28">
        <f>AH24/AH10</f>
        <v>0.72922397265983163</v>
      </c>
      <c r="AI70" s="28"/>
      <c r="AJ70" s="28">
        <f>AJ24/AJ10</f>
        <v>0.74751112909753137</v>
      </c>
      <c r="AK70" s="28"/>
      <c r="AL70" s="28">
        <f>AL24/AL10</f>
        <v>0.79789465935441128</v>
      </c>
      <c r="AM70" s="28"/>
      <c r="AN70" s="28">
        <f>AN24/AN10</f>
        <v>0.73284954709988048</v>
      </c>
      <c r="AO70" s="28"/>
      <c r="AP70" s="28">
        <f>AP24/AP10</f>
        <v>0.69398450554458457</v>
      </c>
      <c r="AQ70" s="28"/>
      <c r="AR70" s="28">
        <f>AR24/AR10</f>
        <v>0.7450504181013281</v>
      </c>
      <c r="AS70" s="28"/>
      <c r="AT70" s="28">
        <f>AT24/AT10</f>
        <v>0.75177778422778863</v>
      </c>
      <c r="AU70" s="28"/>
      <c r="AV70" s="28">
        <f>AV24/AV10</f>
        <v>0.76783946729056063</v>
      </c>
      <c r="AW70" s="28"/>
      <c r="AX70" s="28">
        <f>AX24/AX10</f>
        <v>0.73395257020341997</v>
      </c>
      <c r="AY70" s="28"/>
      <c r="AZ70" s="28">
        <f>AZ24/AZ10</f>
        <v>0.66275684499267962</v>
      </c>
      <c r="BA70" s="28"/>
      <c r="BB70" s="28">
        <f>BB24/BB10</f>
        <v>0.71447151651781848</v>
      </c>
      <c r="BC70" s="44"/>
      <c r="BD70" s="28">
        <f>BD24/BD10</f>
        <v>0.74391286364263065</v>
      </c>
      <c r="BF70" s="28">
        <f>BF24/BF10</f>
        <v>0.7716693750516429</v>
      </c>
      <c r="BH70" s="28">
        <f>BH24/BH10</f>
        <v>0.71489969626757266</v>
      </c>
      <c r="BJ70" s="28">
        <f>BJ24/BJ10</f>
        <v>0.67017683606818546</v>
      </c>
      <c r="BK70" s="28"/>
      <c r="BL70" s="28">
        <f>BL24/BL10</f>
        <v>0.75270681102992154</v>
      </c>
      <c r="BM70" s="44"/>
      <c r="BN70" s="28">
        <f>BN24/BN10</f>
        <v>0.77307966948893192</v>
      </c>
      <c r="BP70" s="28">
        <f>BP24/BP10</f>
        <v>0.76742832963080498</v>
      </c>
      <c r="BR70" s="28">
        <f>BR24/BR10</f>
        <v>0.73113282043182992</v>
      </c>
      <c r="BT70" s="28">
        <f>BT24/BT10</f>
        <v>0.68777956142948427</v>
      </c>
      <c r="BU70" s="28"/>
      <c r="BV70" s="28">
        <f>BV24/BV10</f>
        <v>0.73912251483293434</v>
      </c>
      <c r="BW70" s="44"/>
      <c r="BX70" s="28">
        <f>BX24/BX10</f>
        <v>0.78204881270120796</v>
      </c>
      <c r="BZ70" s="28">
        <f>BZ24/BZ10</f>
        <v>0.82314964883846564</v>
      </c>
      <c r="CB70" s="28">
        <f>CB24/CB10</f>
        <v>0.74694522431999277</v>
      </c>
      <c r="CD70" s="28">
        <f>CD24/CD10</f>
        <v>0.6735736131231983</v>
      </c>
      <c r="CE70" s="28"/>
      <c r="CF70" s="28">
        <f>IF(ISERROR(CF24/CF10),0,(CF24/CF10))</f>
        <v>0.75656831042845596</v>
      </c>
      <c r="CG70" s="44"/>
      <c r="CH70" s="28">
        <f>IF(ISERROR(CH24/CH10),0,(CH24/CH10))</f>
        <v>0.76650987419270544</v>
      </c>
      <c r="CJ70" s="28">
        <f>IF(ISERROR(CJ24/CJ10),0,(CJ24/CJ10))</f>
        <v>0.83084179054196317</v>
      </c>
      <c r="CL70" s="28">
        <f>CL24/CL10</f>
        <v>0.74885759537583318</v>
      </c>
      <c r="CN70" s="28">
        <f>CN24/CN10</f>
        <v>0.74204056761855663</v>
      </c>
      <c r="CO70" s="28"/>
      <c r="CP70" s="28">
        <f>IF(ISERROR(CP24/CP10),0,(CP24/CP10))</f>
        <v>0.81085399350124765</v>
      </c>
      <c r="CQ70" s="44"/>
      <c r="CR70" s="28">
        <f>IF(ISERROR(CR24/CR10),0,(CR24/CR10))</f>
        <v>0.78360379937611724</v>
      </c>
      <c r="CT70" s="28">
        <f>IF(ISERROR(CT24/CT10),0,(CT24/CT10))</f>
        <v>0.70597165128694972</v>
      </c>
      <c r="CV70" s="28">
        <f>CV24/CV10</f>
        <v>0.7579723523844023</v>
      </c>
      <c r="CX70" s="28">
        <f>CX24/CX10</f>
        <v>0.6866321438266062</v>
      </c>
      <c r="CY70" s="28"/>
      <c r="CZ70" s="28">
        <f>IF(ISERROR(CZ24/CZ10),0,(CZ24/CZ10))</f>
        <v>0.73731982654189854</v>
      </c>
      <c r="DA70" s="44"/>
      <c r="DB70" s="28">
        <f>IF(ISERROR(DB24/DB10),0,(DB24/DB10))</f>
        <v>0.72674959803672678</v>
      </c>
      <c r="DD70" s="28">
        <f>IF(ISERROR(DD24/DD10),0,(DD24/DD10))</f>
        <v>0.75753438409798213</v>
      </c>
      <c r="DF70" s="28">
        <f>DF24/DF10</f>
        <v>0.72022428534844873</v>
      </c>
      <c r="DH70" s="28">
        <f>DH24/DH10</f>
        <v>0.69142141235164489</v>
      </c>
      <c r="DI70" s="28"/>
      <c r="DJ70" s="28">
        <f>IF(ISERROR(DJ24/DJ10),0,(DJ24/DJ10))</f>
        <v>0.75766308010504058</v>
      </c>
      <c r="DK70" s="44"/>
      <c r="DL70" s="28">
        <f>IF(ISERROR(DL24/DL10),0,(DL24/DL10))</f>
        <v>0.78478986291486297</v>
      </c>
      <c r="DN70" s="28">
        <f>IF(ISERROR(DN24/DN10),0,(DN24/DN10))</f>
        <v>0.80167168017635304</v>
      </c>
      <c r="DP70" s="28">
        <f>DP24/DP10</f>
        <v>0.7449450594338467</v>
      </c>
      <c r="DR70" s="28">
        <f>DR24/DR10</f>
        <v>0.69086091914653558</v>
      </c>
      <c r="DS70" s="28"/>
      <c r="DT70" s="28">
        <f>IF(ISERROR(DT24/DT10),0,(DT24/DT10))</f>
        <v>0.77511623800835738</v>
      </c>
      <c r="DU70" s="44"/>
      <c r="DV70" s="28">
        <f>IF(ISERROR(DV24/DV10),0,(DV24/DV10))</f>
        <v>0.8175826673232075</v>
      </c>
      <c r="DX70" s="28">
        <f>IF(ISERROR(DX24/DX10),0,(DX24/DX10))</f>
        <v>0.89146330719760369</v>
      </c>
      <c r="DZ70" s="28">
        <f>DZ24/DZ10</f>
        <v>0.77697116198863725</v>
      </c>
      <c r="EA70" s="28"/>
      <c r="EB70" s="28">
        <f>EB24/EB10</f>
        <v>0.7733743559690377</v>
      </c>
      <c r="EC70" s="28"/>
      <c r="ED70" s="28">
        <f>IF(ISERROR(ED24/ED10),0,(ED24/ED10))</f>
        <v>0.81694764276995147</v>
      </c>
      <c r="EE70" s="44"/>
      <c r="EF70" s="28">
        <f>IF(ISERROR(EF24/EF10),0,(EF24/EF10))</f>
        <v>0.80703095796377478</v>
      </c>
      <c r="EH70" s="28">
        <f>IF(ISERROR(EH24/EH10),0,(EH24/EH10))</f>
        <v>0</v>
      </c>
      <c r="EJ70" s="28">
        <f>EJ24/EJ10</f>
        <v>0.79244847009305297</v>
      </c>
      <c r="EK70" s="28"/>
    </row>
    <row r="71" spans="1:141" x14ac:dyDescent="0.2">
      <c r="A71" s="2"/>
      <c r="B71" s="28"/>
      <c r="C71" s="28"/>
      <c r="D71" s="28"/>
      <c r="E71" s="28"/>
      <c r="F71" s="28"/>
      <c r="G71" s="28"/>
      <c r="H71" s="28"/>
      <c r="I71" s="28"/>
      <c r="J71" s="28"/>
      <c r="K71" s="2"/>
      <c r="L71" s="28"/>
      <c r="M71" s="28"/>
      <c r="N71" s="28"/>
      <c r="O71" s="28"/>
      <c r="P71" s="28"/>
      <c r="Q71" s="28"/>
      <c r="R71" s="28"/>
      <c r="S71" s="28"/>
      <c r="T71" s="28"/>
      <c r="U71" s="2"/>
      <c r="V71" s="28"/>
      <c r="W71" s="28"/>
      <c r="X71" s="28"/>
      <c r="Y71" s="28"/>
      <c r="Z71" s="28"/>
      <c r="AA71" s="28"/>
      <c r="AB71" s="28"/>
      <c r="AC71" s="28"/>
      <c r="AD71" s="28"/>
      <c r="AE71" s="2"/>
      <c r="AF71" s="28"/>
      <c r="AG71" s="28"/>
      <c r="AH71" s="28"/>
      <c r="AI71" s="28"/>
      <c r="AJ71" s="28"/>
      <c r="AK71" s="28"/>
      <c r="AL71" s="28"/>
      <c r="AM71" s="28"/>
      <c r="AN71" s="28"/>
      <c r="AO71" s="2"/>
      <c r="AP71" s="28"/>
      <c r="AQ71" s="28"/>
      <c r="AR71" s="28"/>
      <c r="AS71" s="28"/>
      <c r="AT71" s="28"/>
      <c r="AU71" s="28"/>
      <c r="AV71" s="28"/>
      <c r="AW71" s="28"/>
      <c r="AX71" s="28"/>
      <c r="AZ71" s="28"/>
      <c r="BA71" s="28"/>
      <c r="BB71" s="28"/>
      <c r="BC71" s="44"/>
      <c r="BD71" s="28"/>
      <c r="BF71" s="28"/>
      <c r="BH71" s="28"/>
      <c r="BJ71" s="28"/>
      <c r="BK71" s="28"/>
      <c r="BL71" s="28"/>
      <c r="BM71" s="44"/>
      <c r="BN71" s="28"/>
      <c r="BP71" s="28"/>
      <c r="BR71" s="28"/>
      <c r="BT71" s="28"/>
      <c r="BU71" s="28"/>
      <c r="BV71" s="28"/>
      <c r="BW71" s="44"/>
      <c r="BX71" s="28"/>
      <c r="BZ71" s="28"/>
      <c r="CB71" s="28"/>
      <c r="CD71" s="28"/>
      <c r="CE71" s="28"/>
      <c r="CF71" s="28"/>
      <c r="CG71" s="44"/>
      <c r="CH71" s="28"/>
      <c r="CJ71" s="28"/>
      <c r="CL71" s="28"/>
      <c r="CN71" s="28"/>
      <c r="CO71" s="28"/>
      <c r="CP71" s="28"/>
      <c r="CQ71" s="44"/>
      <c r="CR71" s="28"/>
      <c r="CT71" s="28"/>
      <c r="CV71" s="28"/>
      <c r="CX71" s="28"/>
      <c r="CY71" s="28"/>
      <c r="CZ71" s="28"/>
      <c r="DA71" s="44"/>
      <c r="DB71" s="28"/>
      <c r="DD71" s="28"/>
      <c r="DF71" s="28"/>
      <c r="DH71" s="28"/>
      <c r="DI71" s="28"/>
      <c r="DJ71" s="28"/>
      <c r="DK71" s="44"/>
      <c r="DL71" s="28"/>
      <c r="DN71" s="28"/>
      <c r="DP71" s="28"/>
      <c r="DR71" s="28"/>
      <c r="DS71" s="28"/>
      <c r="DT71" s="28"/>
      <c r="DU71" s="44"/>
      <c r="DV71" s="28"/>
      <c r="DX71" s="28"/>
      <c r="DZ71" s="28"/>
      <c r="EA71" s="28"/>
      <c r="EB71" s="28"/>
      <c r="EC71" s="28"/>
      <c r="ED71" s="28"/>
      <c r="EE71" s="44"/>
      <c r="EF71" s="28"/>
      <c r="EH71" s="28"/>
      <c r="EJ71" s="28"/>
      <c r="EK71" s="28"/>
    </row>
    <row r="72" spans="1:141" x14ac:dyDescent="0.2">
      <c r="A72" s="6" t="s">
        <v>42</v>
      </c>
      <c r="B72" s="26">
        <f>(B13-B23-B24-B25)/B13</f>
        <v>0.72976011433662924</v>
      </c>
      <c r="C72" s="26"/>
      <c r="D72" s="26">
        <f>(D13-D23-D24-D25)/D13</f>
        <v>0.75109375092753639</v>
      </c>
      <c r="E72" s="26"/>
      <c r="F72" s="26">
        <f>(F13-F23-F24-F25)/F13</f>
        <v>0.75807134816185673</v>
      </c>
      <c r="G72" s="26"/>
      <c r="H72" s="26">
        <f>(H13-H23-H24-H25)/H13</f>
        <v>0.76291819318236487</v>
      </c>
      <c r="I72" s="26"/>
      <c r="J72" s="26">
        <f>(J13-J23-J24-J25)/J13</f>
        <v>0.75064724286986595</v>
      </c>
      <c r="K72" s="6"/>
      <c r="L72" s="26">
        <f>(L13-L23-L24-L25)/L13</f>
        <v>0.74994503287393977</v>
      </c>
      <c r="M72" s="26"/>
      <c r="N72" s="26">
        <f>(N13-N23-N24-N25)/N13</f>
        <v>0.76647225620955106</v>
      </c>
      <c r="O72" s="26"/>
      <c r="P72" s="26">
        <f>(P13-P23-P24-P25)/P13</f>
        <v>0.76705905749711256</v>
      </c>
      <c r="Q72" s="26"/>
      <c r="R72" s="26">
        <f>(R13-R23-R24-R25)/R13</f>
        <v>0.77133318315163879</v>
      </c>
      <c r="S72" s="26"/>
      <c r="T72" s="26">
        <f>(T13-T23-T24-T25)/T13</f>
        <v>0.76381726852742859</v>
      </c>
      <c r="U72" s="6"/>
      <c r="V72" s="26">
        <f>(V13-V23-V24-V25)/V13</f>
        <v>0.75925589231318569</v>
      </c>
      <c r="W72" s="26"/>
      <c r="X72" s="26">
        <f>(X13-X23-X24-X25)/X13</f>
        <v>0.76811460424366018</v>
      </c>
      <c r="Y72" s="26"/>
      <c r="Z72" s="26">
        <f>(Z13-Z23-Z24-Z25)/Z13</f>
        <v>0.76150882454723723</v>
      </c>
      <c r="AA72" s="26"/>
      <c r="AB72" s="26">
        <f>(AB13-AB23-AB24-AB25)/AB13</f>
        <v>0.76045877637909876</v>
      </c>
      <c r="AC72" s="26"/>
      <c r="AD72" s="26">
        <f>(AD13-AD23-AD24-AD25)/AD13</f>
        <v>0.76230884431272161</v>
      </c>
      <c r="AE72" s="6"/>
      <c r="AF72" s="26">
        <f>(AF13-AF23-AF24-AF25)/AF13</f>
        <v>0.75366999776824461</v>
      </c>
      <c r="AG72" s="26"/>
      <c r="AH72" s="26">
        <f>(AH13-AH23-AH24-AH25)/AH13</f>
        <v>0.76732125397849016</v>
      </c>
      <c r="AI72" s="26"/>
      <c r="AJ72" s="26">
        <f>(AJ13-AJ23-AJ24-AJ25)/AJ13</f>
        <v>0.76327316456169425</v>
      </c>
      <c r="AK72" s="26"/>
      <c r="AL72" s="26">
        <f>(AL13-AL23-AL24-AL25)/AL13</f>
        <v>0.74977744880335551</v>
      </c>
      <c r="AM72" s="26"/>
      <c r="AN72" s="26">
        <f>(AN13-AN23-AN24-AN25)/AN13</f>
        <v>0.75838847812660992</v>
      </c>
      <c r="AO72" s="26"/>
      <c r="AP72" s="26">
        <f>(AP13-AP23-AP24-AP25)/AP13</f>
        <v>0.73511647972389993</v>
      </c>
      <c r="AQ72" s="26"/>
      <c r="AR72" s="26">
        <f>(AR13-AR23-AR24-AR25)/AR13</f>
        <v>0.74989537955559815</v>
      </c>
      <c r="AS72" s="26"/>
      <c r="AT72" s="26">
        <f>(AT13-AT23-AT24-AT25)/AT13</f>
        <v>0.74742962147363412</v>
      </c>
      <c r="AU72" s="26"/>
      <c r="AV72" s="26">
        <f>(AV13-AV23-AV24-AV25)/AV13</f>
        <v>0.74697672880403032</v>
      </c>
      <c r="AW72" s="26"/>
      <c r="AX72" s="26">
        <f>(AX13-AX23-AX24-AX25)/AX13</f>
        <v>0.74480415869396877</v>
      </c>
      <c r="AY72" s="26"/>
      <c r="AZ72" s="26">
        <f>(AZ13-AZ23-AZ24-AZ25)/AZ13</f>
        <v>0.73565462973170181</v>
      </c>
      <c r="BA72" s="26"/>
      <c r="BB72" s="26">
        <f>(BB13-BB23-BB24-BB25)/BB13</f>
        <v>0.7509787173464304</v>
      </c>
      <c r="BC72" s="43"/>
      <c r="BD72" s="26">
        <f>(BD13-BD23-BD24-BD25)/BD13</f>
        <v>0.74654390240849455</v>
      </c>
      <c r="BF72" s="26">
        <f>(BF13-BF23-BF24-BF25)/BF13</f>
        <v>0.74393186112834964</v>
      </c>
      <c r="BH72" s="26">
        <f>(BH13-BH23-BH24-BH25)/BH13</f>
        <v>0.7442365019776449</v>
      </c>
      <c r="BJ72" s="26">
        <f>(BJ13-BJ23-BJ24-BJ25)/BJ13</f>
        <v>0.73279529550771239</v>
      </c>
      <c r="BK72" s="26"/>
      <c r="BL72" s="26">
        <f>(BL13-BL23-BL24-BL25)/BL13</f>
        <v>0.74631833382305612</v>
      </c>
      <c r="BM72" s="43"/>
      <c r="BN72" s="26">
        <f>(BN13-BN23-BN24-BN25)/BN13</f>
        <v>0.74326450779265607</v>
      </c>
      <c r="BP72" s="26">
        <f>(BP13-BP23-BP24-BP25)/BP13</f>
        <v>0.74468991636421022</v>
      </c>
      <c r="BR72" s="26">
        <f>(BR13-BR23-BR24-BR25)/BR13</f>
        <v>0.74169316460018353</v>
      </c>
      <c r="BT72" s="26">
        <f>(BT13-BT23-BT24-BT25)/BT13</f>
        <v>0.73164129678633205</v>
      </c>
      <c r="BU72" s="26"/>
      <c r="BV72" s="26">
        <f>(BV13-BV23-BV24-BV25)/BV13</f>
        <v>0.74667093715077482</v>
      </c>
      <c r="BW72" s="43"/>
      <c r="BX72" s="26">
        <f>(BX13-BX23-BX24-BX25)/BX13</f>
        <v>0.74393048811653462</v>
      </c>
      <c r="BZ72" s="26">
        <f>(BZ13-BZ23-BZ24-BZ25)/BZ13</f>
        <v>0.74265553530921125</v>
      </c>
      <c r="CB72" s="26">
        <f>(CB13-CB23-CB24-CB25)/CB13</f>
        <v>0.74119532222694495</v>
      </c>
      <c r="CD72" s="26">
        <f>(CD13-CD23-CD24-CD25)/CD13</f>
        <v>0.74108242074308228</v>
      </c>
      <c r="CE72" s="26"/>
      <c r="CF72" s="26">
        <f>IF(ISERROR((CF13-CF23-CF24-CF25)/CF13),0,(CF13-CF23-CF24-CF25)/CF13)</f>
        <v>0.74995809447182271</v>
      </c>
      <c r="CG72" s="43"/>
      <c r="CH72" s="26">
        <f>IF(ISERROR((CH13-CH23-CH24-CH25)/CH13),0,(CH13-CH23-CH24-CH25)/CH13)</f>
        <v>0.73594993969069433</v>
      </c>
      <c r="CJ72" s="26">
        <f>IF(ISERROR((CJ13-CJ23-CJ24-CJ25)/CJ13),0,(CJ13-CJ23-CJ24-CJ25)/CJ13)</f>
        <v>0.73364195388540332</v>
      </c>
      <c r="CL72" s="26">
        <f>(CL13-CL23-CL24-CL25)/CL13</f>
        <v>0.74021727437456075</v>
      </c>
      <c r="CN72" s="26">
        <f>(CN13-CN23-CN24-CN25)/CN13</f>
        <v>0.71361677412951074</v>
      </c>
      <c r="CO72" s="26"/>
      <c r="CP72" s="26">
        <f>IF(ISERROR((CP13-CP23-CP24-CP25)/CP13),0,(CP13-CP23-CP24-CP25)/CP13)</f>
        <v>0.72616157576645135</v>
      </c>
      <c r="CQ72" s="43"/>
      <c r="CR72" s="26">
        <f>IF(ISERROR((CR13-CR23-CR24-CR25)/CR13),0,(CR13-CR23-CR24-CR25)/CR13)</f>
        <v>0.72685782078586636</v>
      </c>
      <c r="CT72" s="26">
        <f>IF(ISERROR((CT13-CT23-CT24-CT25)/CT13),0,(CT13-CT23-CT24-CT25)/CT13)</f>
        <v>0.73207066904508178</v>
      </c>
      <c r="CV72" s="26">
        <f>(CV13-CV23-CV24-CV25)/CV13</f>
        <v>0.72448049878581888</v>
      </c>
      <c r="CX72" s="26">
        <f>(CX13-CX23-CX24-CX25)/CX13</f>
        <v>0.71439480133638589</v>
      </c>
      <c r="CY72" s="26"/>
      <c r="CZ72" s="26">
        <f>IF(ISERROR((CZ13-CZ23-CZ24-CZ25)/CZ13),0,(CZ13-CZ23-CZ24-CZ25)/CZ13)</f>
        <v>0.73337895739109737</v>
      </c>
      <c r="DA72" s="43"/>
      <c r="DB72" s="26">
        <f>IF(ISERROR((DB13-DB23-DB24-DB25)/DB13),0,(DB13-DB23-DB24-DB25)/DB13)</f>
        <v>0.73224826205707327</v>
      </c>
      <c r="DD72" s="26">
        <f>IF(ISERROR((DD13-DD23-DD24-DD25)/DD13),0,(DD13-DD23-DD24-DD25)/DD13)</f>
        <v>0.73674113040835176</v>
      </c>
      <c r="DF72" s="26">
        <f>(DF13-DF23-DF24-DF25)/DF13</f>
        <v>0.72890527656782567</v>
      </c>
      <c r="DH72" s="26">
        <f>(DH13-DH23-DH24-DH25)/DH13</f>
        <v>0.72153804475122685</v>
      </c>
      <c r="DI72" s="26"/>
      <c r="DJ72" s="26">
        <f>IF(ISERROR((DJ13-DJ23-DJ24-DJ25)/DJ13),0,(DJ13-DJ23-DJ24-DJ25)/DJ13)</f>
        <v>0.74769583170077458</v>
      </c>
      <c r="DK72" s="43"/>
      <c r="DL72" s="26">
        <f>IF(ISERROR((DL13-DL23-DL24-DL25)/DL13),0,(DL13-DL23-DL24-DL25)/DL13)</f>
        <v>0.74422402773990182</v>
      </c>
      <c r="DN72" s="26">
        <f>IF(ISERROR((DN13-DN23-DN24-DN25)/DN13),0,(DN13-DN23-DN24-DN25)/DN13)</f>
        <v>0.73924936968086297</v>
      </c>
      <c r="DP72" s="26">
        <f>(DP13-DP23-DP24-DP25)/DP13</f>
        <v>0.73788368815369776</v>
      </c>
      <c r="DR72" s="26">
        <f>(DR13-DR23-DR24-DR25)/DR13</f>
        <v>0.71262778111846059</v>
      </c>
      <c r="DS72" s="26"/>
      <c r="DT72" s="26">
        <f>IF(ISERROR((DT13-DT23-DT24-DT25)/DT13),0,(DT13-DT23-DT24-DT25)/DT13)</f>
        <v>0.73211377220323048</v>
      </c>
      <c r="DU72" s="43"/>
      <c r="DV72" s="26">
        <f>IF(ISERROR((DV13-DV23-DV24-DV25)/DV13),0,(DV13-DV23-DV24-DV25)/DV13)</f>
        <v>0.72459185565365614</v>
      </c>
      <c r="DX72" s="26">
        <f>IF(ISERROR((DX13-DX23-DX24-DX25)/DX13),0,(DX13-DX23-DX24-DX25)/DX13)</f>
        <v>0.71003419041153804</v>
      </c>
      <c r="DZ72" s="26">
        <f>(DZ13-DZ23-DZ24-DZ25)/DZ13</f>
        <v>0.71961848634690262</v>
      </c>
      <c r="EA72" s="26"/>
      <c r="EB72" s="26">
        <f>(EB13-EB23-EB24-EB25)/EB13</f>
        <v>0.67850891630540278</v>
      </c>
      <c r="EC72" s="26"/>
      <c r="ED72" s="26">
        <f>IF(ISERROR((ED13-ED23-ED24-ED25)/ED13),0,(ED13-ED23-ED24-ED25)/ED13)</f>
        <v>0.70952539185969232</v>
      </c>
      <c r="EE72" s="43"/>
      <c r="EF72" s="26">
        <f>IF(ISERROR((EF13-EF23-EF24-EF25)/EF13),0,(EF13-EF23-EF24-EF25)/EF13)</f>
        <v>0.70974544896089864</v>
      </c>
      <c r="EH72" s="26">
        <f>IF(ISERROR((EH13-EH23-EH24-EH25)/EH13),0,(EH13-EH23-EH24-EH25)/EH13)</f>
        <v>0</v>
      </c>
      <c r="EJ72" s="26">
        <f>(EJ13-EJ23-EJ24-EJ25)/EJ13</f>
        <v>0.6984587418284619</v>
      </c>
      <c r="EK72" s="26"/>
    </row>
    <row r="73" spans="1:141" x14ac:dyDescent="0.2">
      <c r="A73" s="6"/>
      <c r="B73" s="26"/>
      <c r="C73" s="26"/>
      <c r="D73" s="26"/>
      <c r="E73" s="26"/>
      <c r="F73" s="26"/>
      <c r="G73" s="26"/>
      <c r="H73" s="26"/>
      <c r="I73" s="26"/>
      <c r="J73" s="26"/>
      <c r="K73" s="6"/>
      <c r="L73" s="26"/>
      <c r="M73" s="26"/>
      <c r="N73" s="26"/>
      <c r="O73" s="26"/>
      <c r="P73" s="26"/>
      <c r="Q73" s="26"/>
      <c r="R73" s="26"/>
      <c r="S73" s="26"/>
      <c r="T73" s="26"/>
      <c r="U73" s="6"/>
      <c r="V73" s="26"/>
      <c r="W73" s="26"/>
      <c r="X73" s="26"/>
      <c r="Y73" s="26"/>
      <c r="Z73" s="26"/>
      <c r="AA73" s="26"/>
      <c r="AB73" s="26"/>
      <c r="AC73" s="26"/>
      <c r="AD73" s="26"/>
      <c r="AE73" s="6"/>
      <c r="AF73" s="26"/>
      <c r="AG73" s="26"/>
      <c r="AH73" s="26"/>
      <c r="AI73" s="26"/>
      <c r="AJ73" s="26"/>
      <c r="AK73" s="26"/>
      <c r="AL73" s="26"/>
      <c r="AM73" s="26"/>
      <c r="AN73" s="26"/>
      <c r="AO73" s="32"/>
      <c r="AP73" s="26"/>
      <c r="AQ73" s="26"/>
      <c r="AR73" s="26"/>
      <c r="AS73" s="26"/>
      <c r="AT73" s="26"/>
      <c r="AU73" s="26"/>
      <c r="AV73" s="26"/>
      <c r="AW73" s="26"/>
      <c r="AX73" s="26"/>
      <c r="AZ73" s="26"/>
      <c r="BA73" s="26"/>
      <c r="BB73" s="26"/>
      <c r="BC73" s="43"/>
      <c r="BD73" s="26"/>
      <c r="BF73" s="26"/>
      <c r="BH73" s="26"/>
      <c r="BJ73" s="26"/>
      <c r="BK73" s="26"/>
      <c r="BL73" s="26"/>
      <c r="BM73" s="43"/>
      <c r="BN73" s="26"/>
      <c r="BP73" s="26"/>
      <c r="BR73" s="26"/>
      <c r="BT73" s="26"/>
      <c r="BU73" s="26"/>
      <c r="BV73" s="26"/>
      <c r="BW73" s="43"/>
      <c r="BX73" s="26"/>
      <c r="BZ73" s="26"/>
      <c r="CB73" s="26"/>
      <c r="CD73" s="26"/>
      <c r="CE73" s="26"/>
      <c r="CF73" s="26"/>
      <c r="CG73" s="43"/>
      <c r="CH73" s="26"/>
      <c r="CJ73" s="26"/>
      <c r="CL73" s="26"/>
      <c r="CN73" s="26"/>
      <c r="CO73" s="26"/>
      <c r="CP73" s="26"/>
      <c r="CQ73" s="43"/>
      <c r="CR73" s="26"/>
      <c r="CT73" s="26"/>
      <c r="CV73" s="26"/>
      <c r="CX73" s="26"/>
      <c r="CY73" s="26"/>
      <c r="CZ73" s="26"/>
      <c r="DA73" s="43"/>
      <c r="DB73" s="26"/>
      <c r="DD73" s="26"/>
      <c r="DF73" s="26"/>
      <c r="DH73" s="26"/>
      <c r="DI73" s="26"/>
      <c r="DJ73" s="26"/>
      <c r="DK73" s="43"/>
      <c r="DL73" s="26"/>
      <c r="DN73" s="26"/>
      <c r="DP73" s="26"/>
      <c r="DR73" s="26"/>
      <c r="DS73" s="26"/>
      <c r="DT73" s="26"/>
      <c r="DU73" s="43"/>
      <c r="DV73" s="26"/>
      <c r="DX73" s="26"/>
      <c r="DZ73" s="26"/>
      <c r="EA73" s="26"/>
      <c r="EB73" s="26"/>
      <c r="EC73" s="26"/>
      <c r="ED73" s="26"/>
      <c r="EE73" s="43"/>
      <c r="EF73" s="26"/>
      <c r="EH73" s="26"/>
      <c r="EJ73" s="26"/>
      <c r="EK73" s="26"/>
    </row>
    <row r="74" spans="1:141" x14ac:dyDescent="0.2">
      <c r="A74" s="2" t="s">
        <v>89</v>
      </c>
      <c r="B74" s="28">
        <f>B26/B9</f>
        <v>0.61791738342166402</v>
      </c>
      <c r="C74" s="28"/>
      <c r="D74" s="28">
        <f>D26/D9</f>
        <v>0.60628354720251521</v>
      </c>
      <c r="E74" s="28"/>
      <c r="F74" s="28">
        <f>F26/F9</f>
        <v>0.60293126444109313</v>
      </c>
      <c r="G74" s="28"/>
      <c r="H74" s="28">
        <f>H26/H9</f>
        <v>0.59915583834425556</v>
      </c>
      <c r="I74" s="28"/>
      <c r="J74" s="28">
        <f>J26/J9</f>
        <v>0.6063275463297203</v>
      </c>
      <c r="K74" s="6"/>
      <c r="L74" s="28">
        <f>L26/L9</f>
        <v>0.59524054377558133</v>
      </c>
      <c r="M74" s="28"/>
      <c r="N74" s="28">
        <f>N26/N9</f>
        <v>0.58663287316053492</v>
      </c>
      <c r="O74" s="28"/>
      <c r="P74" s="28">
        <f>P26/P9</f>
        <v>0.58859780559717723</v>
      </c>
      <c r="Q74" s="28"/>
      <c r="R74" s="28">
        <f>R26/R9</f>
        <v>0.60308986899911077</v>
      </c>
      <c r="S74" s="28"/>
      <c r="T74" s="28">
        <f>T26/T9</f>
        <v>0.5934474683094989</v>
      </c>
      <c r="U74" s="6"/>
      <c r="V74" s="28">
        <f>V26/V9</f>
        <v>0.61613936873320951</v>
      </c>
      <c r="W74" s="28"/>
      <c r="X74" s="28">
        <f>X26/X9</f>
        <v>0.59743525676037113</v>
      </c>
      <c r="Y74" s="28"/>
      <c r="Z74" s="28">
        <f>Z26/Z9</f>
        <v>0.63707655608268632</v>
      </c>
      <c r="AA74" s="28"/>
      <c r="AB74" s="28">
        <f>AB26/AB9</f>
        <v>0.61908179873086699</v>
      </c>
      <c r="AC74" s="28"/>
      <c r="AD74" s="28">
        <f>AD26/AD9</f>
        <v>0.61750037945918379</v>
      </c>
      <c r="AE74" s="6"/>
      <c r="AF74" s="28">
        <f>AF26/AF9</f>
        <v>0.59187748616761138</v>
      </c>
      <c r="AG74" s="28"/>
      <c r="AH74" s="28">
        <f>AH26/AH9</f>
        <v>0.57980615982935402</v>
      </c>
      <c r="AI74" s="28"/>
      <c r="AJ74" s="28">
        <f>AJ26/AJ9</f>
        <v>0.58866131238382491</v>
      </c>
      <c r="AK74" s="28"/>
      <c r="AL74" s="28">
        <f>AL26/AL9</f>
        <v>0.58123232699503891</v>
      </c>
      <c r="AM74" s="28"/>
      <c r="AN74" s="28">
        <f>AN26/AN9</f>
        <v>0.58531315250359028</v>
      </c>
      <c r="AO74" s="44"/>
      <c r="AP74" s="28">
        <f>AP26/AP9</f>
        <v>0.59279435935786828</v>
      </c>
      <c r="AQ74" s="28"/>
      <c r="AR74" s="28">
        <f>AR26/AR9</f>
        <v>0.57841745447623882</v>
      </c>
      <c r="AS74" s="28"/>
      <c r="AT74" s="28">
        <f>AT26/AT9</f>
        <v>0.59537720861008958</v>
      </c>
      <c r="AU74" s="28"/>
      <c r="AV74" s="28">
        <f>AV26/AV9</f>
        <v>0.59500496721637197</v>
      </c>
      <c r="AW74" s="28"/>
      <c r="AX74" s="28">
        <f>AX26/AX9</f>
        <v>0.59036685223056884</v>
      </c>
      <c r="AY74" s="44"/>
      <c r="AZ74" s="28">
        <f>AZ26/AZ9</f>
        <v>0.61290923873168213</v>
      </c>
      <c r="BA74" s="28"/>
      <c r="BB74" s="28">
        <f>BB26/BB9</f>
        <v>0.59750707366407152</v>
      </c>
      <c r="BC74" s="44"/>
      <c r="BD74" s="28">
        <f>BD26/BD9</f>
        <v>0.63187217369757787</v>
      </c>
      <c r="BF74" s="28">
        <f>BF26/BF9</f>
        <v>0.62475419819120037</v>
      </c>
      <c r="BH74" s="28">
        <f>BH26/BH9</f>
        <v>0.61679954205532594</v>
      </c>
      <c r="BJ74" s="28">
        <f>BJ26/BJ9</f>
        <v>0.64409338593426424</v>
      </c>
      <c r="BK74" s="28"/>
      <c r="BL74" s="28">
        <f>BL26/BL9</f>
        <v>0.6321958685171436</v>
      </c>
      <c r="BM74" s="44"/>
      <c r="BN74" s="28">
        <f>BN26/BN9</f>
        <v>0.67058844032042875</v>
      </c>
      <c r="BP74" s="28">
        <f>BP26/BP9</f>
        <v>0.65052775669470031</v>
      </c>
      <c r="BR74" s="28">
        <f>BR26/BR9</f>
        <v>0.64926559786104565</v>
      </c>
      <c r="BT74" s="28">
        <f>BT26/BT9</f>
        <v>0.65100320340979623</v>
      </c>
      <c r="BU74" s="28"/>
      <c r="BV74" s="28">
        <f>BV26/BV9</f>
        <v>0.63200183654729114</v>
      </c>
      <c r="BW74" s="44"/>
      <c r="BX74" s="28">
        <f>BX26/BX9</f>
        <v>0.63949761394807048</v>
      </c>
      <c r="BZ74" s="28">
        <f>BZ26/BZ9</f>
        <v>0.62768956469084303</v>
      </c>
      <c r="CB74" s="28">
        <f>CB26/CB9</f>
        <v>0.63720547741071709</v>
      </c>
      <c r="CD74" s="28">
        <f>CD26/CD9</f>
        <v>0.63735602843755534</v>
      </c>
      <c r="CE74" s="28"/>
      <c r="CF74" s="28">
        <f>IF(ISERROR(CF26/CF9),0,(CF26/CF9))</f>
        <v>0.62999021289963997</v>
      </c>
      <c r="CG74" s="44"/>
      <c r="CH74" s="28">
        <f>IF(ISERROR(CH26/CH9),0,(CH26/CH9))</f>
        <v>0.66910567044611902</v>
      </c>
      <c r="CJ74" s="28">
        <f>IF(ISERROR(CJ26/CJ9),0,(CJ26/CJ9))</f>
        <v>0.66305094268947429</v>
      </c>
      <c r="CL74" s="28">
        <f>CL26/CL9</f>
        <v>0.64954717718665833</v>
      </c>
      <c r="CN74" s="28">
        <f>CN26/CN9</f>
        <v>0.65151103660763621</v>
      </c>
      <c r="CO74" s="28"/>
      <c r="CP74" s="28">
        <f>IF(ISERROR(CP26/CP9),0,(CP26/CP9))</f>
        <v>0.64065626881052851</v>
      </c>
      <c r="CQ74" s="44"/>
      <c r="CR74" s="28">
        <f>IF(ISERROR(CR26/CR9),0,(CR26/CR9))</f>
        <v>0.67175393133641292</v>
      </c>
      <c r="CT74" s="28">
        <f>IF(ISERROR(CT26/CT9),0,(CT26/CT9))</f>
        <v>0.67435934506813167</v>
      </c>
      <c r="CV74" s="28">
        <f>CV26/CV9</f>
        <v>0.6593326542310044</v>
      </c>
      <c r="CX74" s="28">
        <f>CX26/CX9</f>
        <v>0.67185960003815215</v>
      </c>
      <c r="CY74" s="28"/>
      <c r="CZ74" s="28">
        <f>IF(ISERROR(CZ26/CZ9),0,(CZ26/CZ9))</f>
        <v>0.6529786180081022</v>
      </c>
      <c r="DA74" s="44"/>
      <c r="DB74" s="28">
        <f>IF(ISERROR(DB26/DB9),0,(DB26/DB9))</f>
        <v>0.67619644382112187</v>
      </c>
      <c r="DD74" s="28">
        <f>IF(ISERROR(DD26/DD9),0,(DD26/DD9))</f>
        <v>0.65121733915874236</v>
      </c>
      <c r="DF74" s="28">
        <f>DF26/DF9</f>
        <v>0.66304819781758439</v>
      </c>
      <c r="DH74" s="28">
        <f>DH26/DH9</f>
        <v>0.67050156890149493</v>
      </c>
      <c r="DI74" s="28"/>
      <c r="DJ74" s="28">
        <f>IF(ISERROR(DJ26/DJ9),0,(DJ26/DJ9))</f>
        <v>0.64979719465391805</v>
      </c>
      <c r="DK74" s="44"/>
      <c r="DL74" s="28">
        <f>IF(ISERROR(DL26/DL9),0,(DL26/DL9))</f>
        <v>0.675837081762928</v>
      </c>
      <c r="DN74" s="28">
        <f>IF(ISERROR(DN26/DN9),0,(DN26/DN9))</f>
        <v>0.64759822510719633</v>
      </c>
      <c r="DP74" s="28">
        <f>DP26/DP9</f>
        <v>0.66084078071638741</v>
      </c>
      <c r="DR74" s="28">
        <f>DR26/DR9</f>
        <v>0.65068771419397542</v>
      </c>
      <c r="DS74" s="28"/>
      <c r="DT74" s="28">
        <f>IF(ISERROR(DT26/DT9),0,(DT26/DT9))</f>
        <v>0.63951692791795345</v>
      </c>
      <c r="DU74" s="44"/>
      <c r="DV74" s="28">
        <f>IF(ISERROR(DV26/DV9),0,(DV26/DV9))</f>
        <v>0.65164649447205825</v>
      </c>
      <c r="DX74" s="28">
        <f>IF(ISERROR(DX26/DX9),0,(DX26/DX9))</f>
        <v>0.61371012048006313</v>
      </c>
      <c r="DZ74" s="28">
        <f>DZ26/DZ9</f>
        <v>0.63859330688147486</v>
      </c>
      <c r="EA74" s="28"/>
      <c r="EB74" s="28">
        <f>EB26/EB9</f>
        <v>0.63542046163535559</v>
      </c>
      <c r="EC74" s="28"/>
      <c r="ED74" s="28">
        <f>IF(ISERROR(ED26/ED9),0,(ED26/ED9))</f>
        <v>0.62525512642889769</v>
      </c>
      <c r="EE74" s="44"/>
      <c r="EF74" s="28">
        <f>IF(ISERROR(EF26/EF9),0,(EF26/EF9))</f>
        <v>0.63271421757847068</v>
      </c>
      <c r="EH74" s="28">
        <f>IF(ISERROR(EH26/EH9),0,(EH26/EH9))</f>
        <v>0</v>
      </c>
      <c r="EJ74" s="28">
        <f>EJ26/EJ9</f>
        <v>0.63116538890623408</v>
      </c>
      <c r="EK74" s="28"/>
    </row>
    <row r="75" spans="1:141" x14ac:dyDescent="0.2">
      <c r="A75" s="2" t="s">
        <v>43</v>
      </c>
      <c r="B75" s="35">
        <f>B26/B13</f>
        <v>0.55742096749598591</v>
      </c>
      <c r="C75" s="44"/>
      <c r="D75" s="35">
        <f>D26/D13</f>
        <v>0.56893450554147351</v>
      </c>
      <c r="E75" s="44"/>
      <c r="F75" s="35">
        <f>F26/F13</f>
        <v>0.56883834779565168</v>
      </c>
      <c r="G75" s="44"/>
      <c r="H75" s="35">
        <f>H26/H13</f>
        <v>0.56838878423330141</v>
      </c>
      <c r="I75" s="44"/>
      <c r="J75" s="35">
        <f>J26/J13</f>
        <v>0.56594063251827254</v>
      </c>
      <c r="K75" s="6"/>
      <c r="L75" s="35">
        <f>L26/L13</f>
        <v>0.55143213503280197</v>
      </c>
      <c r="M75" s="44"/>
      <c r="N75" s="35">
        <f>N26/N13</f>
        <v>0.55844602004709187</v>
      </c>
      <c r="O75" s="44"/>
      <c r="P75" s="35">
        <f>P26/P13</f>
        <v>0.55887009798297349</v>
      </c>
      <c r="Q75" s="44"/>
      <c r="R75" s="35">
        <f>R26/R13</f>
        <v>0.57506005158488094</v>
      </c>
      <c r="S75" s="44"/>
      <c r="T75" s="35">
        <f>T26/T13</f>
        <v>0.56108751163880244</v>
      </c>
      <c r="U75" s="6"/>
      <c r="V75" s="35">
        <f>V26/V13</f>
        <v>0.56964126882668986</v>
      </c>
      <c r="W75" s="44"/>
      <c r="X75" s="35">
        <f>X26/X13</f>
        <v>0.56823344211599314</v>
      </c>
      <c r="Y75" s="44"/>
      <c r="Z75" s="35">
        <f>Z26/Z13</f>
        <v>0.604434190794786</v>
      </c>
      <c r="AA75" s="44"/>
      <c r="AB75" s="35">
        <f>AB26/AB13</f>
        <v>0.58829816120168132</v>
      </c>
      <c r="AC75" s="44"/>
      <c r="AD75" s="35">
        <f>AD26/AD13</f>
        <v>0.58282786149877785</v>
      </c>
      <c r="AE75" s="6"/>
      <c r="AF75" s="35">
        <f>AF26/AF13</f>
        <v>0.54268645489787648</v>
      </c>
      <c r="AG75" s="44"/>
      <c r="AH75" s="35">
        <f>AH26/AH13</f>
        <v>0.55018202242516279</v>
      </c>
      <c r="AI75" s="44"/>
      <c r="AJ75" s="35">
        <f>AJ26/AJ13</f>
        <v>0.55776472078740713</v>
      </c>
      <c r="AK75" s="44"/>
      <c r="AL75" s="35">
        <f>AL26/AL13</f>
        <v>0.54204983962496911</v>
      </c>
      <c r="AM75" s="44"/>
      <c r="AN75" s="35">
        <f>AN26/AN13</f>
        <v>0.5480842796114993</v>
      </c>
      <c r="AO75" s="44"/>
      <c r="AP75" s="35">
        <f>AP26/AP13</f>
        <v>0.52907606680377617</v>
      </c>
      <c r="AQ75" s="44"/>
      <c r="AR75" s="35">
        <f>AR26/AR13</f>
        <v>0.53780623371930747</v>
      </c>
      <c r="AS75" s="44"/>
      <c r="AT75" s="35">
        <f>AT26/AT13</f>
        <v>0.55132387513391268</v>
      </c>
      <c r="AU75" s="44"/>
      <c r="AV75" s="35">
        <f>AV26/AV13</f>
        <v>0.55020779822076216</v>
      </c>
      <c r="AW75" s="44"/>
      <c r="AX75" s="35">
        <f>AX26/AX13</f>
        <v>0.54202786854073681</v>
      </c>
      <c r="AY75" s="44"/>
      <c r="AZ75" s="35">
        <f>AZ26/AZ13</f>
        <v>0.54083791345795473</v>
      </c>
      <c r="BA75" s="44"/>
      <c r="BB75" s="35">
        <f>BB26/BB13</f>
        <v>0.55352338244714927</v>
      </c>
      <c r="BC75" s="44"/>
      <c r="BD75" s="35">
        <f>BD26/BD13</f>
        <v>0.58367860035870811</v>
      </c>
      <c r="BF75" s="35">
        <f>BF26/BF13</f>
        <v>0.5776568372462747</v>
      </c>
      <c r="BH75" s="35">
        <f>BH26/BH13</f>
        <v>0.56387413671077313</v>
      </c>
      <c r="BJ75" s="35">
        <f>BJ26/BJ13</f>
        <v>0.56708043744716108</v>
      </c>
      <c r="BK75" s="44"/>
      <c r="BL75" s="35">
        <f>BL26/BL13</f>
        <v>0.58231366046817501</v>
      </c>
      <c r="BM75" s="44"/>
      <c r="BN75" s="35">
        <f>BN26/BN13</f>
        <v>0.61299395527077383</v>
      </c>
      <c r="BP75" s="35">
        <f>BP26/BP13</f>
        <v>0.59661424087808812</v>
      </c>
      <c r="BR75" s="35">
        <f>BR26/BR13</f>
        <v>0.58950668767047998</v>
      </c>
      <c r="BT75" s="35">
        <f>BT26/BT13</f>
        <v>0.57062607485813133</v>
      </c>
      <c r="BU75" s="44"/>
      <c r="BV75" s="35">
        <f>BV26/BV13</f>
        <v>0.57984528778769195</v>
      </c>
      <c r="BW75" s="44"/>
      <c r="BX75" s="35">
        <f>BX26/BX13</f>
        <v>0.58774804705037265</v>
      </c>
      <c r="BZ75" s="35">
        <f>BZ26/BZ13</f>
        <v>0.57822009842202471</v>
      </c>
      <c r="CB75" s="35">
        <f>CB26/CB13</f>
        <v>0.57903218863223072</v>
      </c>
      <c r="CD75" s="35">
        <f>CD26/CD13</f>
        <v>0.56546591831578041</v>
      </c>
      <c r="CE75" s="44"/>
      <c r="CF75" s="35">
        <f>IF(ISERROR(CF26/CF13),0,(CF26/CF13))</f>
        <v>0.58264608267122597</v>
      </c>
      <c r="CG75" s="44"/>
      <c r="CH75" s="35">
        <f>IF(ISERROR(CH26/CH13),0,(CH26/CH13))</f>
        <v>0.60566606285649538</v>
      </c>
      <c r="CJ75" s="35">
        <f>IF(ISERROR(CJ26/CJ13),0,(CJ26/CJ13))</f>
        <v>0.60179591096655938</v>
      </c>
      <c r="CL75" s="35">
        <f>CL26/CL13</f>
        <v>0.58850906078289744</v>
      </c>
      <c r="CN75" s="35">
        <f>CN26/CN13</f>
        <v>0.55988968906642134</v>
      </c>
      <c r="CO75" s="44"/>
      <c r="CP75" s="35">
        <f>IF(ISERROR(CP26/CP13),0,(CP26/CP13))</f>
        <v>0.57251082860667235</v>
      </c>
      <c r="CQ75" s="44"/>
      <c r="CR75" s="35">
        <f>IF(ISERROR(CR26/CR13),0,(CR26/CR13))</f>
        <v>0.59655236488900965</v>
      </c>
      <c r="CT75" s="35">
        <f>IF(ISERROR(CT26/CT13),0,(CT26/CT13))</f>
        <v>0.59431178473798818</v>
      </c>
      <c r="CV75" s="35">
        <f>CV26/CV13</f>
        <v>0.58040528456041585</v>
      </c>
      <c r="CX75" s="35">
        <f>CX26/CX13</f>
        <v>0.55846132019572881</v>
      </c>
      <c r="CY75" s="44"/>
      <c r="CZ75" s="35">
        <f>IF(ISERROR(CZ26/CZ13),0,(CZ26/CZ13))</f>
        <v>0.57264639371578197</v>
      </c>
      <c r="DA75" s="44"/>
      <c r="DB75" s="35">
        <f>IF(ISERROR(DB26/DB13),0,(DB26/DB13))</f>
        <v>0.58721217675467419</v>
      </c>
      <c r="DD75" s="35">
        <f>IF(ISERROR(DD26/DD13),0,(DD26/DD13))</f>
        <v>0.57191975611444323</v>
      </c>
      <c r="DF75" s="35">
        <f>DF26/DF13</f>
        <v>0.57227201781755543</v>
      </c>
      <c r="DH75" s="35">
        <f>DH26/DH13</f>
        <v>0.55236497450325794</v>
      </c>
      <c r="DI75" s="44"/>
      <c r="DJ75" s="35">
        <f>IF(ISERROR(DJ26/DJ13),0,(DJ26/DJ13))</f>
        <v>0.57434069742909677</v>
      </c>
      <c r="DK75" s="44"/>
      <c r="DL75" s="35">
        <f>IF(ISERROR(DL26/DL13),0,(DL26/DL13))</f>
        <v>0.59309122874906872</v>
      </c>
      <c r="DN75" s="35">
        <f>IF(ISERROR(DN26/DN13),0,(DN26/DN13))</f>
        <v>0.57152530489768827</v>
      </c>
      <c r="DP75" s="35">
        <f>DP26/DP13</f>
        <v>0.57243194125064911</v>
      </c>
      <c r="DR75" s="35">
        <f>DR26/DR13</f>
        <v>0.54282785765046737</v>
      </c>
      <c r="DS75" s="44"/>
      <c r="DT75" s="35">
        <f>IF(ISERROR(DT26/DT13),0,(DT26/DT13))</f>
        <v>0.57302500569267123</v>
      </c>
      <c r="DU75" s="44"/>
      <c r="DV75" s="35">
        <f>IF(ISERROR(DV26/DV13),0,(DV26/DV13))</f>
        <v>0.58299785417903305</v>
      </c>
      <c r="DX75" s="35">
        <f>IF(ISERROR(DX26/DX13),0,(DX26/DX13))</f>
        <v>0.54605240510198605</v>
      </c>
      <c r="DZ75" s="35">
        <f>DZ26/DZ13</f>
        <v>0.56080452982395546</v>
      </c>
      <c r="EA75" s="44"/>
      <c r="EB75" s="35">
        <f>EB26/EB13</f>
        <v>0.52328466949361507</v>
      </c>
      <c r="EC75" s="44"/>
      <c r="ED75" s="35">
        <f>IF(ISERROR(ED26/ED13),0,(ED26/ED13))</f>
        <v>0.55656638516525381</v>
      </c>
      <c r="EE75" s="44"/>
      <c r="EF75" s="35">
        <f>IF(ISERROR(EF26/EF13),0,(EF26/EF13))</f>
        <v>0.56571513978093579</v>
      </c>
      <c r="EH75" s="35">
        <f>IF(ISERROR(EH26/EH13),0,(EH26/EH13))</f>
        <v>0</v>
      </c>
      <c r="EJ75" s="35">
        <f>EJ26/EJ13</f>
        <v>0.54752630658472556</v>
      </c>
      <c r="EK75" s="44"/>
    </row>
    <row r="76" spans="1:141" x14ac:dyDescent="0.2">
      <c r="A76" s="6" t="s">
        <v>91</v>
      </c>
      <c r="B76" s="26">
        <f>(B13-B23-B24-B25-B26)/B13</f>
        <v>0.17233914684064333</v>
      </c>
      <c r="C76" s="26"/>
      <c r="D76" s="26">
        <f>(D13-D23-D24-D25-D26)/D13</f>
        <v>0.1821592453860629</v>
      </c>
      <c r="E76" s="26"/>
      <c r="F76" s="26">
        <f>(F13-F23-F24-F25-F26)/F13</f>
        <v>0.18923300036620511</v>
      </c>
      <c r="G76" s="26"/>
      <c r="H76" s="26">
        <f>(H13-H23-H24-H25-H26)/H13</f>
        <v>0.19452940894906348</v>
      </c>
      <c r="I76" s="26"/>
      <c r="J76" s="26">
        <f>(J13-J23-J24-J25-J26)/J13</f>
        <v>0.18470661035159339</v>
      </c>
      <c r="K76" s="6"/>
      <c r="L76" s="26">
        <f>(L13-L23-L24-L25-L26)/L13</f>
        <v>0.19851289784113771</v>
      </c>
      <c r="M76" s="26"/>
      <c r="N76" s="26">
        <f>(N13-N23-N24-N25-N26)/N13</f>
        <v>0.20802623616245913</v>
      </c>
      <c r="O76" s="26"/>
      <c r="P76" s="26">
        <f>(P13-P23-P24-P25-P26)/P13</f>
        <v>0.20818895951413907</v>
      </c>
      <c r="Q76" s="26"/>
      <c r="R76" s="26">
        <f>(R13-R23-R24-R25-R26)/R13</f>
        <v>0.19627313156675788</v>
      </c>
      <c r="S76" s="26"/>
      <c r="T76" s="26">
        <f>(T13-T23-T24-T25-T26)/T13</f>
        <v>0.20272975688862618</v>
      </c>
      <c r="U76" s="6"/>
      <c r="V76" s="26">
        <f>(V13-V23-V24-V25-V26)/V13</f>
        <v>0.18961462348649591</v>
      </c>
      <c r="W76" s="26"/>
      <c r="X76" s="26">
        <f>(X13-X23-X24-X25-X26)/X13</f>
        <v>0.19988116212766702</v>
      </c>
      <c r="Y76" s="26"/>
      <c r="Z76" s="26">
        <f>(Z13-Z23-Z24-Z25-Z26)/Z13</f>
        <v>0.15707463375245126</v>
      </c>
      <c r="AA76" s="26"/>
      <c r="AB76" s="26">
        <f>(AB13-AB23-AB24-AB25-AB26)/AB13</f>
        <v>0.17216061517741743</v>
      </c>
      <c r="AC76" s="26"/>
      <c r="AD76" s="26">
        <f>(AD13-AD23-AD24-AD25-AD26)/AD13</f>
        <v>0.17948098281394373</v>
      </c>
      <c r="AE76" s="6"/>
      <c r="AF76" s="26">
        <f>(AF13-AF23-AF24-AF25-AF26)/AF13</f>
        <v>0.21098354287036808</v>
      </c>
      <c r="AG76" s="26"/>
      <c r="AH76" s="26">
        <f>(AH13-AH23-AH24-AH25-AH26)/AH13</f>
        <v>0.21713923155332737</v>
      </c>
      <c r="AI76" s="26"/>
      <c r="AJ76" s="26">
        <f>(AJ13-AJ23-AJ24-AJ25-AJ26)/AJ13</f>
        <v>0.20550844377428715</v>
      </c>
      <c r="AK76" s="26"/>
      <c r="AL76" s="26">
        <f>(AL13-AL23-AL24-AL25-AL26)/AL13</f>
        <v>0.20772760917838637</v>
      </c>
      <c r="AM76" s="26"/>
      <c r="AN76" s="26">
        <f>(AN13-AN23-AN24-AN25-AN26)/AN13</f>
        <v>0.21030419851511059</v>
      </c>
      <c r="AO76" s="43"/>
      <c r="AP76" s="26">
        <f>(AP13-AP23-AP24-AP25-AP26)/AP13</f>
        <v>0.20604041292012379</v>
      </c>
      <c r="AQ76" s="26"/>
      <c r="AR76" s="26">
        <f>(AR13-AR23-AR24-AR25-AR26)/AR13</f>
        <v>0.21208914583629065</v>
      </c>
      <c r="AS76" s="26"/>
      <c r="AT76" s="26">
        <f>(AT13-AT23-AT24-AT25-AT26)/AT13</f>
        <v>0.19610574633972147</v>
      </c>
      <c r="AU76" s="26"/>
      <c r="AV76" s="26">
        <f>(AV13-AV23-AV24-AV25-AV26)/AV13</f>
        <v>0.19676893058326811</v>
      </c>
      <c r="AW76" s="26"/>
      <c r="AX76" s="26">
        <f>(AX13-AX23-AX24-AX25-AX26)/AX13</f>
        <v>0.20277629015323195</v>
      </c>
      <c r="AY76" s="26"/>
      <c r="AZ76" s="26">
        <f>(AZ13-AZ23-AZ24-AZ25-AZ26)/AZ13</f>
        <v>0.19481671627374708</v>
      </c>
      <c r="BA76" s="26"/>
      <c r="BB76" s="26">
        <f>(BB13-BB23-BB24-BB25-BB26)/BB13</f>
        <v>0.19745533489928108</v>
      </c>
      <c r="BC76" s="43"/>
      <c r="BD76" s="26">
        <f>(BD13-BD23-BD24-BD25-BD26)/BD13</f>
        <v>0.16286530204978641</v>
      </c>
      <c r="BF76" s="26">
        <f>(BF13-BF23-BF24-BF25-BF26)/BF13</f>
        <v>0.16627502388207485</v>
      </c>
      <c r="BH76" s="26">
        <f>(BH13-BH23-BH24-BH25-BH26)/BH13</f>
        <v>0.18036236526687174</v>
      </c>
      <c r="BJ76" s="26">
        <f>(BJ13-BJ23-BJ24-BJ25-BJ26)/BJ13</f>
        <v>0.16571485806055133</v>
      </c>
      <c r="BK76" s="26"/>
      <c r="BL76" s="26">
        <f>(BL13-BL23-BL24-BL25-BL26)/BL13</f>
        <v>0.16400467335488114</v>
      </c>
      <c r="BM76" s="43"/>
      <c r="BN76" s="26">
        <f>(BN13-BN23-BN24-BN25-BN26)/BN13</f>
        <v>0.13027055252188227</v>
      </c>
      <c r="BP76" s="26">
        <f>(BP13-BP23-BP24-BP25-BP26)/BP13</f>
        <v>0.14807567548612208</v>
      </c>
      <c r="BR76" s="26">
        <f>(BR13-BR23-BR24-BR25-BR26)/BR13</f>
        <v>0.15218647692970358</v>
      </c>
      <c r="BT76" s="26">
        <f>(BT13-BT23-BT24-BT25-BT26)/BT13</f>
        <v>0.16101522192820075</v>
      </c>
      <c r="BU76" s="26"/>
      <c r="BV76" s="26">
        <f>(BV13-BV23-BV24-BV25-BV26)/BV13</f>
        <v>0.16682564936308283</v>
      </c>
      <c r="BW76" s="43"/>
      <c r="BX76" s="26">
        <f>(BX13-BX23-BX24-BX25-BX26)/BX13</f>
        <v>0.156182441066162</v>
      </c>
      <c r="BZ76" s="26">
        <f>(BZ13-BZ23-BZ24-BZ25-BZ26)/BZ13</f>
        <v>0.16443543688718654</v>
      </c>
      <c r="CB76" s="26">
        <f>(CB13-CB23-CB24-CB25-CB26)/CB13</f>
        <v>0.16216313359471421</v>
      </c>
      <c r="CD76" s="26">
        <f>(CD13-CD23-CD24-CD25-CD26)/CD13</f>
        <v>0.1756165024273019</v>
      </c>
      <c r="CE76" s="26"/>
      <c r="CF76" s="26">
        <f>IF(ISERROR((CF13-CF23-CF24-CF25-CF26)/CF13),0,((CF13-CF23-CF24-CF25-CF26)/CF13))</f>
        <v>0.16731201180059674</v>
      </c>
      <c r="CG76" s="43"/>
      <c r="CH76" s="26">
        <f>IF(ISERROR((CH13-CH23-CH24-CH25-CH26)/CH13),0,((CH13-CH23-CH24-CH25-CH26)/CH13))</f>
        <v>0.1302838768341989</v>
      </c>
      <c r="CJ76" s="26">
        <f>IF(ISERROR((CJ13-CJ23-CJ24-CJ25-CJ26)/CJ13),0,((CJ13-CJ23-CJ24-CJ25-CJ26)/CJ13))</f>
        <v>0.13184604291884403</v>
      </c>
      <c r="CL76" s="26">
        <f>(CL13-CL23-CL24-CL25-CL26)/CL13</f>
        <v>0.15170821359166334</v>
      </c>
      <c r="CN76" s="26">
        <f>(CN13-CN23-CN24-CN25-CN26)/CN13</f>
        <v>0.15372708506308944</v>
      </c>
      <c r="CO76" s="26"/>
      <c r="CP76" s="26">
        <f>IF(ISERROR((CP13-CP23-CP24-CP25-CP26)/CP13),0,((CP13-CP23-CP24-CP25-CP26)/CP13))</f>
        <v>0.15365074715977897</v>
      </c>
      <c r="CQ76" s="43"/>
      <c r="CR76" s="26">
        <f>IF(ISERROR((CR13-CR23-CR24-CR25-CR26)/CR13),0,((CR13-CR23-CR24-CR25-CR26)/CR13))</f>
        <v>0.13030545589685683</v>
      </c>
      <c r="CT76" s="26">
        <f>IF(ISERROR((CT13-CT23-CT24-CT25-CT26)/CT13),0,((CT13-CT23-CT24-CT25-CT26)/CT13))</f>
        <v>0.13775888430709354</v>
      </c>
      <c r="CV76" s="26">
        <f>(CV13-CV23-CV24-CV25-CV26)/CV13</f>
        <v>0.14407521422540304</v>
      </c>
      <c r="CX76" s="26">
        <f>(CX13-CX23-CX24-CX25-CX26)/CX13</f>
        <v>0.15593348114065711</v>
      </c>
      <c r="CY76" s="26"/>
      <c r="CZ76" s="26">
        <f>IF(ISERROR((CZ13-CZ23-CZ24-CZ25-CZ26)/CZ13),0,((CZ13-CZ23-CZ24-CZ25-CZ26)/CZ13))</f>
        <v>0.16073256367531541</v>
      </c>
      <c r="DA76" s="43"/>
      <c r="DB76" s="26">
        <f>IF(ISERROR((DB13-DB23-DB24-DB25-DB26)/DB13),0,((DB13-DB23-DB24-DB25-DB26)/DB13))</f>
        <v>0.14503608530239906</v>
      </c>
      <c r="DD76" s="26">
        <f>IF(ISERROR((DD13-DD23-DD24-DD25-DD26)/DD13),0,((DD13-DD23-DD24-DD25-DD26)/DD13))</f>
        <v>0.16482137429390858</v>
      </c>
      <c r="DF76" s="26">
        <f>(DF13-DF23-DF24-DF25-DF26)/DF13</f>
        <v>0.15663325875027032</v>
      </c>
      <c r="DH76" s="26">
        <f>(DH13-DH23-DH24-DH25-DH26)/DH13</f>
        <v>0.16917307024796888</v>
      </c>
      <c r="DI76" s="26"/>
      <c r="DJ76" s="26">
        <f>IF(ISERROR((DJ13-DJ23-DJ24-DJ25-DJ26)/DJ13),0,((DJ13-DJ23-DJ24-DJ25-DJ26)/DJ13))</f>
        <v>0.17335513427167787</v>
      </c>
      <c r="DK76" s="43"/>
      <c r="DL76" s="26">
        <f>IF(ISERROR((DL13-DL23-DL24-DL25-DL26)/DL13),0,((DL13-DL23-DL24-DL25-DL26)/DL13))</f>
        <v>0.15113279899083309</v>
      </c>
      <c r="DN76" s="26">
        <f>IF(ISERROR((DN13-DN23-DN24-DN25-DN26)/DN13),0,((DN13-DN23-DN24-DN25-DN26)/DN13))</f>
        <v>0.1677240647831747</v>
      </c>
      <c r="DP76" s="26">
        <f>(DP13-DP23-DP24-DP25-DP26)/DP13</f>
        <v>0.16545174690304873</v>
      </c>
      <c r="DR76" s="26">
        <f>(DR13-DR23-DR24-DR25-DR26)/DR13</f>
        <v>0.16979992346799322</v>
      </c>
      <c r="DS76" s="26"/>
      <c r="DT76" s="26">
        <f>IF(ISERROR((DT13-DT23-DT24-DT25-DT26)/DT13),0,((DT13-DT23-DT24-DT25-DT26)/DT13))</f>
        <v>0.15908876651055937</v>
      </c>
      <c r="DU76" s="43"/>
      <c r="DV76" s="26">
        <f>IF(ISERROR((DV13-DV23-DV24-DV25-DV26)/DV13),0,((DV13-DV23-DV24-DV25-DV26)/DV13))</f>
        <v>0.14159400147462312</v>
      </c>
      <c r="DX76" s="26">
        <f>IF(ISERROR((DX13-DX23-DX24-DX25-DX26)/DX13),0,((DX13-DX23-DX24-DX25-DX26)/DX13))</f>
        <v>0.16398178530955196</v>
      </c>
      <c r="DZ76" s="26">
        <f>(DZ13-DZ23-DZ24-DZ25-DZ26)/DZ13</f>
        <v>0.15881395652294719</v>
      </c>
      <c r="EA76" s="26"/>
      <c r="EB76" s="26">
        <f>(EB13-EB23-EB24-EB25-EB26)/EB13</f>
        <v>0.15522424681178768</v>
      </c>
      <c r="EC76" s="26"/>
      <c r="ED76" s="26">
        <f>IF(ISERROR((ED13-ED23-ED24-ED25-ED26)/ED13),0,((ED13-ED23-ED24-ED25-ED26)/ED13))</f>
        <v>0.1529590066944386</v>
      </c>
      <c r="EE76" s="43"/>
      <c r="EF76" s="26">
        <f>IF(ISERROR((EF13-EF23-EF24-EF25-EF26)/EF13),0,((EF13-EF23-EF24-EF25-EF26)/EF13))</f>
        <v>0.14403030917996282</v>
      </c>
      <c r="EH76" s="26">
        <f>IF(ISERROR((EH13-EH23-EH24-EH25-EH26)/EH13),0,((EH13-EH23-EH24-EH25-EH26)/EH13))</f>
        <v>0</v>
      </c>
      <c r="EJ76" s="26">
        <f>(EJ13-EJ23-EJ24-EJ25-EJ26)/EJ13</f>
        <v>0.15093243524373634</v>
      </c>
      <c r="EK76" s="26"/>
    </row>
    <row r="77" spans="1:141" x14ac:dyDescent="0.2">
      <c r="A77" s="6"/>
      <c r="B77" s="26"/>
      <c r="C77" s="26"/>
      <c r="D77" s="26"/>
      <c r="E77" s="26"/>
      <c r="F77" s="26"/>
      <c r="G77" s="26"/>
      <c r="H77" s="26"/>
      <c r="I77" s="26"/>
      <c r="J77" s="26"/>
      <c r="K77" s="6"/>
      <c r="L77" s="26"/>
      <c r="M77" s="26"/>
      <c r="N77" s="26"/>
      <c r="O77" s="26"/>
      <c r="P77" s="26"/>
      <c r="Q77" s="26"/>
      <c r="R77" s="26"/>
      <c r="S77" s="26"/>
      <c r="T77" s="26"/>
      <c r="U77" s="6"/>
      <c r="V77" s="26"/>
      <c r="W77" s="26"/>
      <c r="X77" s="26"/>
      <c r="Y77" s="26"/>
      <c r="Z77" s="26"/>
      <c r="AA77" s="26"/>
      <c r="AB77" s="26"/>
      <c r="AC77" s="26"/>
      <c r="AD77" s="26"/>
      <c r="AE77" s="6"/>
      <c r="AF77" s="26"/>
      <c r="AG77" s="26"/>
      <c r="AH77" s="26"/>
      <c r="AI77" s="26"/>
      <c r="AJ77" s="26"/>
      <c r="AK77" s="26"/>
      <c r="AL77" s="26"/>
      <c r="AM77" s="26"/>
      <c r="AN77" s="26"/>
      <c r="AO77" s="7"/>
      <c r="AP77" s="26"/>
      <c r="AQ77" s="26"/>
      <c r="AR77" s="26"/>
      <c r="AS77" s="26"/>
      <c r="AT77" s="26"/>
      <c r="AU77" s="26"/>
      <c r="AV77" s="26"/>
      <c r="AW77" s="26"/>
      <c r="AX77" s="26"/>
      <c r="AZ77" s="26"/>
      <c r="BA77" s="26"/>
      <c r="BB77" s="26"/>
      <c r="BC77" s="43"/>
      <c r="BD77" s="26"/>
      <c r="BF77" s="26"/>
      <c r="BH77" s="26"/>
      <c r="BJ77" s="26"/>
      <c r="BK77" s="26"/>
      <c r="BL77" s="26"/>
      <c r="BM77" s="43"/>
      <c r="BN77" s="26"/>
      <c r="BP77" s="26"/>
      <c r="BR77" s="26"/>
      <c r="BT77" s="26"/>
      <c r="BU77" s="26"/>
      <c r="BV77" s="26"/>
      <c r="BW77" s="43"/>
      <c r="BX77" s="26"/>
      <c r="BZ77" s="26"/>
      <c r="CB77" s="26"/>
      <c r="CD77" s="26"/>
      <c r="CE77" s="26"/>
      <c r="CF77" s="26"/>
      <c r="CG77" s="43"/>
      <c r="CH77" s="26"/>
      <c r="CJ77" s="26"/>
      <c r="CL77" s="26"/>
      <c r="CN77" s="26"/>
      <c r="CO77" s="26"/>
      <c r="CP77" s="26"/>
      <c r="CQ77" s="43"/>
      <c r="CR77" s="26"/>
      <c r="CT77" s="26"/>
      <c r="CV77" s="26"/>
      <c r="CX77" s="26"/>
      <c r="CY77" s="26"/>
      <c r="CZ77" s="26"/>
      <c r="DA77" s="43"/>
      <c r="DB77" s="26"/>
      <c r="DD77" s="26"/>
      <c r="DF77" s="26"/>
      <c r="DH77" s="26"/>
      <c r="DI77" s="26"/>
      <c r="DJ77" s="26"/>
      <c r="DK77" s="43"/>
      <c r="DL77" s="26"/>
      <c r="DN77" s="26"/>
      <c r="DP77" s="26"/>
      <c r="DR77" s="26"/>
      <c r="DS77" s="26"/>
      <c r="DT77" s="26"/>
      <c r="DU77" s="43"/>
      <c r="DV77" s="26"/>
      <c r="DX77" s="26"/>
      <c r="DZ77" s="26"/>
      <c r="EA77" s="26"/>
      <c r="EB77" s="26"/>
      <c r="EC77" s="26"/>
      <c r="ED77" s="26"/>
      <c r="EE77" s="43"/>
      <c r="EF77" s="26"/>
      <c r="EH77" s="26"/>
      <c r="EJ77" s="26"/>
      <c r="EK77" s="26"/>
    </row>
    <row r="78" spans="1:141" x14ac:dyDescent="0.2">
      <c r="A78" s="2" t="s">
        <v>90</v>
      </c>
      <c r="B78" s="28">
        <f>B31/B19</f>
        <v>3.2640260866790255E-2</v>
      </c>
      <c r="C78" s="28"/>
      <c r="D78" s="28">
        <f>D31/D19</f>
        <v>3.016325148468646E-2</v>
      </c>
      <c r="E78" s="28"/>
      <c r="F78" s="28">
        <f>F31/F19</f>
        <v>2.8308918227854755E-2</v>
      </c>
      <c r="G78" s="28"/>
      <c r="H78" s="28">
        <f>H31/H19</f>
        <v>2.7676296686194347E-2</v>
      </c>
      <c r="I78" s="28"/>
      <c r="J78" s="28">
        <f>J31/J19</f>
        <v>2.9656798087648126E-2</v>
      </c>
      <c r="K78" s="6"/>
      <c r="L78" s="28">
        <f>L31/L19</f>
        <v>2.9233864436818857E-2</v>
      </c>
      <c r="M78" s="28"/>
      <c r="N78" s="28">
        <f>N31/N19</f>
        <v>3.0608420757434765E-2</v>
      </c>
      <c r="O78" s="28"/>
      <c r="P78" s="28">
        <f>P31/P19</f>
        <v>3.1380257205507599E-2</v>
      </c>
      <c r="Q78" s="28"/>
      <c r="R78" s="28">
        <f>R31/R19</f>
        <v>2.8901972685887709E-2</v>
      </c>
      <c r="S78" s="28"/>
      <c r="T78" s="28">
        <f>T31/T19</f>
        <v>3.0027874205809782E-2</v>
      </c>
      <c r="U78" s="6"/>
      <c r="V78" s="28">
        <f>V31/V19</f>
        <v>2.9267786417162173E-2</v>
      </c>
      <c r="W78" s="28"/>
      <c r="X78" s="28">
        <f>X31/X19</f>
        <v>3.1471163308795014E-2</v>
      </c>
      <c r="Y78" s="28"/>
      <c r="Z78" s="28">
        <f>Z31/Z19</f>
        <v>3.1256570500633005E-2</v>
      </c>
      <c r="AA78" s="28"/>
      <c r="AB78" s="28">
        <f>AB31/AB19</f>
        <v>3.0443033614269938E-2</v>
      </c>
      <c r="AC78" s="28"/>
      <c r="AD78" s="28">
        <f>AD31/AD19</f>
        <v>3.0610120301390299E-2</v>
      </c>
      <c r="AE78" s="6"/>
      <c r="AF78" s="28">
        <f>AF31/AF19</f>
        <v>3.0318284831832493E-2</v>
      </c>
      <c r="AG78" s="28"/>
      <c r="AH78" s="28">
        <f>AH31/AH19</f>
        <v>3.0900012129543526E-2</v>
      </c>
      <c r="AI78" s="28"/>
      <c r="AJ78" s="28">
        <f>AJ31/AJ19</f>
        <v>3.0987077428264662E-2</v>
      </c>
      <c r="AK78" s="28"/>
      <c r="AL78" s="28">
        <f>AL31/AL19</f>
        <v>2.9813505217219795E-2</v>
      </c>
      <c r="AM78" s="28"/>
      <c r="AN78" s="28">
        <f>AN31/AN19</f>
        <v>3.049485483899855E-2</v>
      </c>
      <c r="AO78" s="28"/>
      <c r="AP78" s="28">
        <f>AP31/AP19</f>
        <v>2.9583019953884668E-2</v>
      </c>
      <c r="AQ78" s="28"/>
      <c r="AR78" s="28">
        <f>AR31/AR19</f>
        <v>2.9620793117160104E-2</v>
      </c>
      <c r="AS78" s="28"/>
      <c r="AT78" s="28">
        <f>AT31/AT19</f>
        <v>3.0222343472923203E-2</v>
      </c>
      <c r="AU78" s="28"/>
      <c r="AV78" s="28">
        <f>AV31/AV19</f>
        <v>3.0204471779743995E-2</v>
      </c>
      <c r="AW78" s="28"/>
      <c r="AX78" s="28">
        <f>AX31/AX19</f>
        <v>2.9905975809528085E-2</v>
      </c>
      <c r="AY78" s="28"/>
      <c r="AZ78" s="28">
        <f>AZ31/AZ19</f>
        <v>3.1066999214185657E-2</v>
      </c>
      <c r="BA78" s="28"/>
      <c r="BB78" s="28">
        <f>BB31/BB19</f>
        <v>3.3843817900992175E-2</v>
      </c>
      <c r="BC78" s="44"/>
      <c r="BD78" s="28">
        <f>BD31/BD19</f>
        <v>3.2956055666450726E-2</v>
      </c>
      <c r="BF78" s="28">
        <f>BF31/BF19</f>
        <v>3.2686751537290511E-2</v>
      </c>
      <c r="BH78" s="28">
        <f>BH31/BH19</f>
        <v>3.2629779250450124E-2</v>
      </c>
      <c r="BJ78" s="28">
        <f>BJ31/BJ19</f>
        <v>3.1928734864383884E-2</v>
      </c>
      <c r="BK78" s="28"/>
      <c r="BL78" s="28">
        <f>BL31/BL19</f>
        <v>3.4947931199597645E-2</v>
      </c>
      <c r="BM78" s="44"/>
      <c r="BN78" s="28">
        <f>BN31/BN19</f>
        <v>3.6923699274812691E-2</v>
      </c>
      <c r="BP78" s="28">
        <f>BP31/BP19</f>
        <v>3.7051643224688062E-2</v>
      </c>
      <c r="BR78" s="28">
        <f>BR31/BR19</f>
        <v>3.518009223177905E-2</v>
      </c>
      <c r="BT78" s="28">
        <f>BT31/BT19</f>
        <v>3.4528604967255655E-2</v>
      </c>
      <c r="BU78" s="28"/>
      <c r="BV78" s="28">
        <f>BV31/BV19</f>
        <v>3.6415631323645573E-2</v>
      </c>
      <c r="BW78" s="44"/>
      <c r="BX78" s="28">
        <f>BX31/BX19</f>
        <v>4.0542657838088234E-2</v>
      </c>
      <c r="BZ78" s="28">
        <f>BZ31/BZ19</f>
        <v>4.197212120842643E-2</v>
      </c>
      <c r="CB78" s="28">
        <f>CB31/CB19</f>
        <v>3.8438593406159967E-2</v>
      </c>
      <c r="CD78" s="28">
        <f>CD31/CD19</f>
        <v>4.1040700437839847E-2</v>
      </c>
      <c r="CE78" s="28"/>
      <c r="CF78" s="28">
        <f>IF(ISERROR(CF31/CF19),0,(CF31/CF19))</f>
        <v>4.2006026309175624E-2</v>
      </c>
      <c r="CG78" s="44"/>
      <c r="CH78" s="28">
        <f>IF(ISERROR(CH31/CH19),0,(CH31/CH19))</f>
        <v>4.4914926445272819E-2</v>
      </c>
      <c r="CJ78" s="28">
        <f>IF(ISERROR(CJ31/CJ19),0,(CJ31/CJ19))</f>
        <v>4.2659105142106357E-2</v>
      </c>
      <c r="CL78" s="28">
        <f>CL31/CL19</f>
        <v>4.2623563126309126E-2</v>
      </c>
      <c r="CN78" s="28">
        <f>CN31/CN19</f>
        <v>4.0903419874285654E-2</v>
      </c>
      <c r="CO78" s="28"/>
      <c r="CP78" s="28">
        <f>IF(ISERROR(CP31/CP19),0,(CP31/CP19))</f>
        <v>4.5444494048239921E-2</v>
      </c>
      <c r="CQ78" s="44"/>
      <c r="CR78" s="28">
        <f>IF(ISERROR(CR31/CR19),0,(CR31/CR19))</f>
        <v>4.2837087569047132E-2</v>
      </c>
      <c r="CT78" s="28">
        <f>IF(ISERROR(CT31/CT19),0,(CT31/CT19))</f>
        <v>4.5224723115398359E-2</v>
      </c>
      <c r="CV78" s="28">
        <f>CV31/CV19</f>
        <v>4.3559121994111306E-2</v>
      </c>
      <c r="CX78" s="28">
        <f>CX31/CX19</f>
        <v>4.706921199753359E-2</v>
      </c>
      <c r="CY78" s="28"/>
      <c r="CZ78" s="28">
        <f>IF(ISERROR(CZ31/CZ19),0,(CZ31/CZ19))</f>
        <v>5.0899855652294185E-2</v>
      </c>
      <c r="DA78" s="44"/>
      <c r="DB78" s="28">
        <f>IF(ISERROR(DB31/DB19),0,(DB31/DB19))</f>
        <v>4.8735867805038649E-2</v>
      </c>
      <c r="DD78" s="28">
        <f>IF(ISERROR(DD31/DD19),0,(DD31/DD19))</f>
        <v>5.3565616951968528E-2</v>
      </c>
      <c r="DF78" s="28">
        <f>DF31/DF19</f>
        <v>5.0010247256860214E-2</v>
      </c>
      <c r="DH78" s="28">
        <f>DH31/DH19</f>
        <v>4.4229064097692297E-2</v>
      </c>
      <c r="DI78" s="28"/>
      <c r="DJ78" s="28">
        <f>IF(ISERROR(DJ31/DJ19),0,(DJ31/DJ19))</f>
        <v>4.7909069113965898E-2</v>
      </c>
      <c r="DK78" s="44"/>
      <c r="DL78" s="28">
        <f>IF(ISERROR(DL31/DL19),0,(DL31/DL19))</f>
        <v>4.633904119895272E-2</v>
      </c>
      <c r="DN78" s="28">
        <f>IF(ISERROR(DN31/DN19),0,(DN31/DN19))</f>
        <v>4.663338699434344E-2</v>
      </c>
      <c r="DP78" s="28">
        <f>DP31/DP19</f>
        <v>4.6243051772713165E-2</v>
      </c>
      <c r="DR78" s="28">
        <f>DR31/DR19</f>
        <v>4.6556216972208825E-2</v>
      </c>
      <c r="DS78" s="28"/>
      <c r="DT78" s="28">
        <f>IF(ISERROR(DT31/DT19),0,(DT31/DT19))</f>
        <v>4.5895971803916344E-2</v>
      </c>
      <c r="DU78" s="44"/>
      <c r="DV78" s="28">
        <f>IF(ISERROR(DV31/DV19),0,(DV31/DV19))</f>
        <v>4.7493081498457268E-2</v>
      </c>
      <c r="DX78" s="28">
        <f>IF(ISERROR(DX31/DX19),0,(DX31/DX19))</f>
        <v>4.8940855505625901E-2</v>
      </c>
      <c r="DZ78" s="28">
        <f>DZ31/DZ19</f>
        <v>4.7235360407246726E-2</v>
      </c>
      <c r="EA78" s="28"/>
      <c r="EB78" s="28">
        <f>EB31/EB19</f>
        <v>4.3393985542122517E-2</v>
      </c>
      <c r="EC78" s="28"/>
      <c r="ED78" s="28">
        <f>IF(ISERROR(ED31/ED19),0,(ED31/ED19))</f>
        <v>4.5925159197436838E-2</v>
      </c>
      <c r="EE78" s="44"/>
      <c r="EF78" s="28">
        <f>IF(ISERROR(EF31/EF19),0,(EF31/EF19))</f>
        <v>4.8983246631336616E-2</v>
      </c>
      <c r="EH78" s="28">
        <f>IF(ISERROR(EH31/EH19),0,(EH31/EH19))</f>
        <v>0</v>
      </c>
      <c r="EJ78" s="28">
        <f>EJ31/EJ19</f>
        <v>4.5988281892003754E-2</v>
      </c>
      <c r="EK78" s="28"/>
    </row>
    <row r="79" spans="1:141" x14ac:dyDescent="0.2">
      <c r="A79" s="6"/>
      <c r="B79" s="26"/>
      <c r="C79" s="6"/>
      <c r="D79" s="26"/>
      <c r="E79" s="6"/>
      <c r="F79" s="26"/>
      <c r="G79" s="6"/>
      <c r="H79" s="26"/>
      <c r="I79" s="6"/>
      <c r="J79" s="26"/>
      <c r="K79" s="6"/>
      <c r="L79" s="26"/>
      <c r="M79" s="6"/>
      <c r="N79" s="26"/>
      <c r="O79" s="6"/>
      <c r="P79" s="26"/>
      <c r="Q79" s="6"/>
      <c r="R79" s="26"/>
      <c r="S79" s="6"/>
      <c r="T79" s="26"/>
      <c r="U79" s="6"/>
      <c r="V79" s="26"/>
      <c r="W79" s="6"/>
      <c r="X79" s="26"/>
      <c r="Y79" s="6"/>
      <c r="Z79" s="26"/>
      <c r="AA79" s="6"/>
      <c r="AB79" s="26"/>
      <c r="AC79" s="6"/>
      <c r="AD79" s="26"/>
      <c r="AE79" s="6"/>
      <c r="AF79" s="26"/>
      <c r="AG79" s="6"/>
      <c r="AH79" s="26"/>
      <c r="AI79" s="6"/>
      <c r="AJ79" s="26"/>
      <c r="AK79" s="6"/>
      <c r="AL79" s="26"/>
      <c r="AM79" s="6"/>
      <c r="AN79" s="26"/>
      <c r="AO79" s="6"/>
      <c r="AP79" s="26"/>
      <c r="AQ79" s="6"/>
      <c r="AR79" s="26"/>
      <c r="AS79" s="6"/>
      <c r="AT79" s="26"/>
      <c r="AU79" s="26"/>
      <c r="AV79" s="26"/>
      <c r="AW79" s="6"/>
      <c r="AX79" s="17"/>
      <c r="AZ79" s="26"/>
      <c r="BA79" s="6"/>
      <c r="BB79" s="26"/>
      <c r="BC79" s="38"/>
      <c r="BD79" s="26"/>
      <c r="BF79" s="26"/>
      <c r="BH79" s="17"/>
      <c r="BJ79" s="26"/>
      <c r="BK79" s="6"/>
      <c r="BL79" s="26"/>
      <c r="BM79" s="38"/>
      <c r="BN79" s="26"/>
      <c r="BP79" s="26"/>
      <c r="BR79" s="17"/>
      <c r="BT79" s="26"/>
      <c r="BU79" s="6"/>
      <c r="BV79" s="26"/>
      <c r="BW79" s="38"/>
      <c r="BX79" s="26"/>
      <c r="BZ79" s="26"/>
      <c r="CB79" s="17"/>
      <c r="CD79" s="26"/>
      <c r="CE79" s="6"/>
      <c r="CF79" s="26"/>
      <c r="CG79" s="38"/>
      <c r="CH79" s="26"/>
      <c r="CJ79" s="26"/>
      <c r="CL79" s="17"/>
      <c r="CN79" s="26"/>
      <c r="CO79" s="6"/>
      <c r="CP79" s="26"/>
      <c r="CQ79" s="38"/>
      <c r="CR79" s="26"/>
      <c r="CT79" s="26"/>
      <c r="CV79" s="17"/>
      <c r="CX79" s="26"/>
      <c r="CY79" s="6"/>
      <c r="CZ79" s="26"/>
      <c r="DA79" s="38"/>
      <c r="DB79" s="26"/>
      <c r="DD79" s="26"/>
      <c r="DF79" s="17"/>
      <c r="DH79" s="26"/>
      <c r="DI79" s="6"/>
      <c r="DJ79" s="26"/>
      <c r="DK79" s="38"/>
      <c r="DL79" s="26"/>
      <c r="DN79" s="26"/>
      <c r="DP79" s="17"/>
      <c r="DR79" s="26"/>
      <c r="DS79" s="6"/>
      <c r="DT79" s="26"/>
      <c r="DU79" s="38"/>
      <c r="DV79" s="26"/>
      <c r="DX79" s="26"/>
      <c r="DZ79" s="17"/>
      <c r="EA79" s="6"/>
      <c r="EB79" s="26"/>
      <c r="EC79" s="6"/>
      <c r="ED79" s="26"/>
      <c r="EE79" s="38"/>
      <c r="EF79" s="26"/>
      <c r="EH79" s="26"/>
      <c r="EJ79" s="17"/>
      <c r="EK79" s="6"/>
    </row>
    <row r="80" spans="1:141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6"/>
      <c r="S80" s="36"/>
      <c r="T80" s="36"/>
      <c r="U80" s="36"/>
      <c r="V80" s="36"/>
      <c r="W80" s="32"/>
      <c r="X80" s="28"/>
      <c r="Y80" s="2"/>
      <c r="Z80" s="28"/>
      <c r="AA80" s="32"/>
      <c r="AB80" s="32"/>
      <c r="AC80" s="32"/>
      <c r="AD80" s="32"/>
      <c r="AE80" s="32"/>
      <c r="AF80" s="36"/>
      <c r="AG80" s="32"/>
      <c r="AH80" s="28"/>
      <c r="AI80" s="2"/>
      <c r="AJ80" s="28"/>
      <c r="AK80" s="32"/>
      <c r="AL80" s="28"/>
      <c r="AM80" s="32"/>
      <c r="AN80" s="32"/>
      <c r="AO80" s="32"/>
      <c r="AP80" s="36"/>
      <c r="AQ80" s="32"/>
      <c r="AR80" s="28"/>
      <c r="AS80" s="2"/>
      <c r="AT80" s="28"/>
      <c r="AU80" s="28"/>
      <c r="AV80" s="28"/>
      <c r="AW80" s="32"/>
      <c r="AX80" s="17"/>
      <c r="AZ80" s="36"/>
      <c r="BA80" s="32"/>
      <c r="BB80" s="28"/>
      <c r="BC80" s="2"/>
      <c r="BD80" s="28"/>
      <c r="BF80" s="28"/>
      <c r="BH80" s="17"/>
      <c r="BJ80" s="36"/>
      <c r="BK80" s="32"/>
      <c r="BL80" s="28"/>
      <c r="BM80" s="2"/>
      <c r="BN80" s="28"/>
      <c r="BP80" s="28"/>
      <c r="BR80" s="17"/>
      <c r="BT80" s="36"/>
      <c r="BU80" s="32"/>
      <c r="BV80" s="28"/>
      <c r="BW80" s="2"/>
      <c r="BX80" s="28"/>
      <c r="BZ80" s="28"/>
      <c r="CB80" s="17"/>
      <c r="CD80" s="36"/>
      <c r="CE80" s="32"/>
      <c r="CF80" s="28"/>
      <c r="CG80" s="2"/>
      <c r="CH80" s="28"/>
      <c r="CJ80" s="28"/>
      <c r="CL80" s="17"/>
      <c r="CN80" s="36"/>
      <c r="CO80" s="32"/>
      <c r="CP80" s="28"/>
      <c r="CQ80" s="2"/>
      <c r="CR80" s="28"/>
      <c r="CT80" s="28"/>
      <c r="CV80" s="17"/>
      <c r="CX80" s="36"/>
      <c r="CY80" s="32"/>
      <c r="CZ80" s="28"/>
      <c r="DA80" s="2"/>
      <c r="DB80" s="28"/>
      <c r="DD80" s="28"/>
      <c r="DF80" s="17"/>
      <c r="DH80" s="36"/>
      <c r="DI80" s="32"/>
      <c r="DJ80" s="28"/>
      <c r="DK80" s="2"/>
      <c r="DL80" s="28"/>
      <c r="DN80" s="28"/>
      <c r="DP80" s="17"/>
      <c r="DR80" s="36"/>
      <c r="DS80" s="32"/>
      <c r="DT80" s="28"/>
      <c r="DU80" s="2"/>
      <c r="DV80" s="28"/>
      <c r="DX80" s="28"/>
      <c r="DZ80" s="17"/>
      <c r="EA80" s="32"/>
      <c r="EB80" s="36"/>
      <c r="EC80" s="32"/>
      <c r="ED80" s="28"/>
      <c r="EE80" s="2"/>
      <c r="EF80" s="28"/>
      <c r="EH80" s="28"/>
      <c r="EJ80" s="17"/>
      <c r="EK80" s="32"/>
    </row>
    <row r="81" spans="1:141" x14ac:dyDescent="0.2">
      <c r="A81" s="37" t="s">
        <v>44</v>
      </c>
      <c r="B81" s="28"/>
      <c r="C81" s="2"/>
      <c r="D81" s="28"/>
      <c r="E81" s="2"/>
      <c r="F81" s="28"/>
      <c r="G81" s="2"/>
      <c r="H81" s="28"/>
      <c r="I81" s="2"/>
      <c r="J81" s="28"/>
      <c r="K81" s="2"/>
      <c r="L81" s="28"/>
      <c r="M81" s="2"/>
      <c r="N81" s="28"/>
      <c r="O81" s="2"/>
      <c r="P81" s="28"/>
      <c r="Q81" s="2"/>
      <c r="R81" s="28"/>
      <c r="S81" s="2"/>
      <c r="T81" s="28"/>
      <c r="U81" s="2"/>
      <c r="V81" s="28"/>
      <c r="W81" s="2"/>
      <c r="X81" s="28"/>
      <c r="Y81" s="2"/>
      <c r="Z81" s="28"/>
      <c r="AA81" s="2"/>
      <c r="AB81" s="28"/>
      <c r="AC81" s="2"/>
      <c r="AD81" s="28"/>
      <c r="AE81" s="2"/>
      <c r="AF81" s="28"/>
      <c r="AG81" s="2"/>
      <c r="AH81" s="28"/>
      <c r="AI81" s="2"/>
      <c r="AJ81" s="28"/>
      <c r="AK81" s="2"/>
      <c r="AL81" s="28"/>
      <c r="AM81" s="2"/>
      <c r="AN81" s="28"/>
      <c r="AO81" s="2"/>
      <c r="AP81" s="28"/>
      <c r="AQ81" s="2"/>
      <c r="AR81" s="28"/>
      <c r="AS81" s="2"/>
      <c r="AT81" s="28"/>
      <c r="AU81" s="28"/>
      <c r="AV81" s="28"/>
      <c r="AX81" s="17"/>
      <c r="AZ81" s="28"/>
      <c r="BA81" s="2"/>
      <c r="BB81" s="28"/>
      <c r="BC81" s="2"/>
      <c r="BD81" s="28"/>
      <c r="BF81" s="28"/>
      <c r="BH81" s="17"/>
      <c r="BJ81" s="28"/>
      <c r="BK81" s="2"/>
      <c r="BL81" s="28"/>
      <c r="BM81" s="2"/>
      <c r="BN81" s="28"/>
      <c r="BP81" s="28"/>
      <c r="BR81" s="17"/>
      <c r="BT81" s="28"/>
      <c r="BU81" s="2"/>
      <c r="BV81" s="28"/>
      <c r="BW81" s="2"/>
      <c r="BX81" s="28"/>
      <c r="BZ81" s="28"/>
      <c r="CB81" s="17"/>
      <c r="CD81" s="28"/>
      <c r="CE81" s="2"/>
      <c r="CF81" s="28"/>
      <c r="CG81" s="2"/>
      <c r="CH81" s="28"/>
      <c r="CJ81" s="28"/>
      <c r="CL81" s="17"/>
      <c r="CN81" s="28"/>
      <c r="CO81" s="2"/>
      <c r="CP81" s="28"/>
      <c r="CQ81" s="2"/>
      <c r="CR81" s="28"/>
      <c r="CT81" s="28"/>
      <c r="CV81" s="17"/>
      <c r="CX81" s="28"/>
      <c r="CY81" s="2"/>
      <c r="CZ81" s="28"/>
      <c r="DA81" s="2"/>
      <c r="DB81" s="28"/>
      <c r="DD81" s="28"/>
      <c r="DF81" s="17"/>
      <c r="DH81" s="28"/>
      <c r="DI81" s="2"/>
      <c r="DJ81" s="28"/>
      <c r="DK81" s="2"/>
      <c r="DL81" s="28"/>
      <c r="DN81" s="28"/>
      <c r="DP81" s="17"/>
      <c r="DR81" s="28"/>
      <c r="DS81" s="2"/>
      <c r="DT81" s="28"/>
      <c r="DU81" s="2"/>
      <c r="DV81" s="28"/>
      <c r="DX81" s="28"/>
      <c r="DZ81" s="17"/>
      <c r="EA81" s="2"/>
      <c r="EB81" s="28"/>
      <c r="EC81" s="2"/>
      <c r="ED81" s="28"/>
      <c r="EE81" s="2"/>
      <c r="EF81" s="28"/>
      <c r="EH81" s="28"/>
      <c r="EJ81" s="17"/>
      <c r="EK81" s="2"/>
    </row>
    <row r="82" spans="1:141" x14ac:dyDescent="0.2">
      <c r="A82" s="2" t="s">
        <v>45</v>
      </c>
      <c r="B82" s="15">
        <v>336393.20699999999</v>
      </c>
      <c r="C82" s="6"/>
      <c r="D82" s="15">
        <v>354723.94900000002</v>
      </c>
      <c r="E82" s="6"/>
      <c r="F82" s="15">
        <v>379799.41800000001</v>
      </c>
      <c r="G82" s="6"/>
      <c r="H82" s="15">
        <v>425468.92</v>
      </c>
      <c r="I82" s="6"/>
      <c r="J82" s="15"/>
      <c r="K82" s="6"/>
      <c r="L82" s="15">
        <v>458195.24494</v>
      </c>
      <c r="M82" s="6"/>
      <c r="N82" s="15">
        <v>466779</v>
      </c>
      <c r="O82" s="6"/>
      <c r="P82" s="15">
        <v>460921</v>
      </c>
      <c r="Q82" s="6"/>
      <c r="R82" s="15">
        <v>477095</v>
      </c>
      <c r="S82" s="6"/>
      <c r="T82" s="15"/>
      <c r="U82" s="6"/>
      <c r="V82" s="15">
        <v>515394.89370999997</v>
      </c>
      <c r="W82" s="6"/>
      <c r="X82" s="15">
        <v>513689</v>
      </c>
      <c r="Y82" s="6"/>
      <c r="Z82" s="15">
        <v>527723.67000000004</v>
      </c>
      <c r="AA82" s="6"/>
      <c r="AB82" s="15">
        <v>531626.98453000002</v>
      </c>
      <c r="AC82" s="6"/>
      <c r="AD82" s="26"/>
      <c r="AE82" s="6"/>
      <c r="AF82" s="15">
        <v>544471.01699999999</v>
      </c>
      <c r="AG82" s="6"/>
      <c r="AH82" s="15">
        <v>517500</v>
      </c>
      <c r="AI82" s="6"/>
      <c r="AJ82" s="15">
        <v>505397</v>
      </c>
      <c r="AK82" s="6"/>
      <c r="AL82" s="15">
        <v>510184</v>
      </c>
      <c r="AM82" s="6"/>
      <c r="AN82" s="39"/>
      <c r="AO82" s="6"/>
      <c r="AP82" s="15">
        <v>556415</v>
      </c>
      <c r="AQ82" s="6"/>
      <c r="AR82" s="15">
        <v>530985</v>
      </c>
      <c r="AS82" s="6"/>
      <c r="AT82" s="15">
        <v>508183</v>
      </c>
      <c r="AU82" s="15"/>
      <c r="AV82" s="15">
        <v>542909</v>
      </c>
      <c r="AW82" s="6"/>
      <c r="AX82" s="17"/>
      <c r="AZ82" s="15">
        <v>557484</v>
      </c>
      <c r="BA82" s="6"/>
      <c r="BB82" s="15">
        <v>565977</v>
      </c>
      <c r="BC82" s="6"/>
      <c r="BD82" s="15">
        <v>555024</v>
      </c>
      <c r="BF82" s="15">
        <v>596447</v>
      </c>
      <c r="BH82" s="17"/>
      <c r="BJ82" s="15">
        <v>610103</v>
      </c>
      <c r="BK82" s="6"/>
      <c r="BL82" s="15">
        <v>574080</v>
      </c>
      <c r="BM82" s="6"/>
      <c r="BN82" s="15">
        <v>572224</v>
      </c>
      <c r="BP82" s="15">
        <v>588978</v>
      </c>
      <c r="BR82" s="17"/>
      <c r="BT82" s="15">
        <v>635154</v>
      </c>
      <c r="BU82" s="6"/>
      <c r="BV82" s="15">
        <v>633749</v>
      </c>
      <c r="BW82" s="6"/>
      <c r="BX82" s="15">
        <v>638091</v>
      </c>
      <c r="BZ82" s="15">
        <v>816762</v>
      </c>
      <c r="CB82" s="17"/>
      <c r="CD82" s="15">
        <v>840627</v>
      </c>
      <c r="CE82" s="6"/>
      <c r="CF82" s="15">
        <v>798285</v>
      </c>
      <c r="CG82" s="6"/>
      <c r="CH82" s="15">
        <v>728922</v>
      </c>
      <c r="CJ82" s="15">
        <v>735672</v>
      </c>
      <c r="CL82" s="17"/>
      <c r="CN82" s="15">
        <v>725204</v>
      </c>
      <c r="CO82" s="6"/>
      <c r="CP82" s="15">
        <v>676607</v>
      </c>
      <c r="CQ82" s="6"/>
      <c r="CR82" s="15">
        <v>620438</v>
      </c>
      <c r="CT82" s="15">
        <v>634946</v>
      </c>
      <c r="CV82" s="17"/>
      <c r="CX82" s="15">
        <v>604558</v>
      </c>
      <c r="CY82" s="6"/>
      <c r="CZ82" s="15">
        <v>571902</v>
      </c>
      <c r="DA82" s="6"/>
      <c r="DB82" s="15">
        <v>547418</v>
      </c>
      <c r="DD82" s="15">
        <v>589066</v>
      </c>
      <c r="DF82" s="17"/>
      <c r="DH82" s="15">
        <v>586855</v>
      </c>
      <c r="DI82" s="6"/>
      <c r="DJ82" s="15">
        <v>551804</v>
      </c>
      <c r="DK82" s="6"/>
      <c r="DL82" s="15">
        <v>544308</v>
      </c>
      <c r="DN82" s="15">
        <v>655248</v>
      </c>
      <c r="DP82" s="17"/>
      <c r="DR82" s="15">
        <v>675013</v>
      </c>
      <c r="DS82" s="6"/>
      <c r="DT82" s="15">
        <v>673431</v>
      </c>
      <c r="DU82" s="6"/>
      <c r="DV82" s="15">
        <v>689975</v>
      </c>
      <c r="DX82" s="15">
        <v>766425</v>
      </c>
      <c r="DZ82" s="17"/>
      <c r="EA82" s="6"/>
      <c r="EB82" s="15">
        <v>757670</v>
      </c>
      <c r="EC82" s="6"/>
      <c r="ED82" s="15">
        <v>731433</v>
      </c>
      <c r="EE82" s="6"/>
      <c r="EF82" s="15">
        <v>733724</v>
      </c>
      <c r="EH82" s="15"/>
      <c r="EJ82" s="17"/>
      <c r="EK82" s="6"/>
    </row>
    <row r="83" spans="1:141" x14ac:dyDescent="0.2">
      <c r="A83" s="2" t="s">
        <v>46</v>
      </c>
      <c r="B83" s="20">
        <v>76172.403999999995</v>
      </c>
      <c r="C83" s="6"/>
      <c r="D83" s="20">
        <v>101997.772</v>
      </c>
      <c r="E83" s="6"/>
      <c r="F83" s="20">
        <v>92459.088000000003</v>
      </c>
      <c r="G83" s="6"/>
      <c r="H83" s="20">
        <v>105753.876</v>
      </c>
      <c r="I83" s="6"/>
      <c r="J83" s="42"/>
      <c r="K83" s="6"/>
      <c r="L83" s="20">
        <v>100900.942</v>
      </c>
      <c r="M83" s="6"/>
      <c r="N83" s="20">
        <v>116428</v>
      </c>
      <c r="O83" s="6"/>
      <c r="P83" s="20">
        <v>113145</v>
      </c>
      <c r="Q83" s="6"/>
      <c r="R83" s="20">
        <v>110137</v>
      </c>
      <c r="S83" s="6"/>
      <c r="T83" s="42"/>
      <c r="U83" s="6"/>
      <c r="V83" s="20">
        <v>110869.14200000001</v>
      </c>
      <c r="W83" s="6"/>
      <c r="X83" s="20">
        <v>125016</v>
      </c>
      <c r="Y83" s="6"/>
      <c r="Z83" s="20">
        <v>116669.99800000001</v>
      </c>
      <c r="AA83" s="6"/>
      <c r="AB83" s="20">
        <v>122074.14</v>
      </c>
      <c r="AC83" s="6"/>
      <c r="AD83" s="26"/>
      <c r="AE83" s="6"/>
      <c r="AF83" s="20">
        <v>112073.167</v>
      </c>
      <c r="AG83" s="6"/>
      <c r="AH83" s="20">
        <v>131705</v>
      </c>
      <c r="AI83" s="6"/>
      <c r="AJ83" s="20">
        <v>119197</v>
      </c>
      <c r="AK83" s="6"/>
      <c r="AL83" s="20">
        <v>120072</v>
      </c>
      <c r="AM83" s="6"/>
      <c r="AN83" s="47"/>
      <c r="AO83" s="6"/>
      <c r="AP83" s="20">
        <v>136909</v>
      </c>
      <c r="AQ83" s="6"/>
      <c r="AR83" s="20">
        <v>145345</v>
      </c>
      <c r="AS83" s="6"/>
      <c r="AT83" s="20">
        <v>135435</v>
      </c>
      <c r="AU83" s="42"/>
      <c r="AV83" s="20">
        <v>139458</v>
      </c>
      <c r="AW83" s="6"/>
      <c r="AX83" s="16"/>
      <c r="AZ83" s="20">
        <v>140418</v>
      </c>
      <c r="BA83" s="6"/>
      <c r="BB83" s="20">
        <v>169044</v>
      </c>
      <c r="BC83" s="6"/>
      <c r="BD83" s="20">
        <v>162489</v>
      </c>
      <c r="BF83" s="20">
        <v>162664</v>
      </c>
      <c r="BH83" s="16"/>
      <c r="BJ83" s="20">
        <v>181652</v>
      </c>
      <c r="BK83" s="6"/>
      <c r="BL83" s="20">
        <v>197639</v>
      </c>
      <c r="BM83" s="6"/>
      <c r="BN83" s="20">
        <v>178825</v>
      </c>
      <c r="BP83" s="20">
        <v>161702</v>
      </c>
      <c r="BR83" s="16"/>
      <c r="BT83" s="20">
        <v>157825</v>
      </c>
      <c r="BU83" s="6"/>
      <c r="BV83" s="20">
        <v>178667</v>
      </c>
      <c r="BW83" s="6"/>
      <c r="BX83" s="20">
        <v>195086</v>
      </c>
      <c r="BZ83" s="20">
        <v>239471</v>
      </c>
      <c r="CB83" s="16"/>
      <c r="CD83" s="20">
        <v>229256</v>
      </c>
      <c r="CE83" s="6"/>
      <c r="CF83" s="20">
        <v>237876</v>
      </c>
      <c r="CG83" s="6"/>
      <c r="CH83" s="20">
        <v>236782</v>
      </c>
      <c r="CJ83" s="20">
        <v>202298</v>
      </c>
      <c r="CL83" s="16"/>
      <c r="CN83" s="20">
        <v>191121</v>
      </c>
      <c r="CO83" s="6"/>
      <c r="CP83" s="20">
        <v>204472</v>
      </c>
      <c r="CQ83" s="6"/>
      <c r="CR83" s="20">
        <v>213096</v>
      </c>
      <c r="CT83" s="20">
        <v>184108</v>
      </c>
      <c r="CV83" s="16"/>
      <c r="CX83" s="20">
        <v>166703</v>
      </c>
      <c r="CY83" s="6"/>
      <c r="CZ83" s="20">
        <v>179857</v>
      </c>
      <c r="DA83" s="6"/>
      <c r="DB83" s="20">
        <v>175743</v>
      </c>
      <c r="DD83" s="20">
        <v>160932</v>
      </c>
      <c r="DF83" s="16"/>
      <c r="DH83" s="20">
        <v>181984</v>
      </c>
      <c r="DI83" s="6"/>
      <c r="DJ83" s="20">
        <v>198609</v>
      </c>
      <c r="DK83" s="6"/>
      <c r="DL83" s="20">
        <v>172784</v>
      </c>
      <c r="DN83" s="20">
        <v>181606</v>
      </c>
      <c r="DP83" s="16"/>
      <c r="DR83" s="20">
        <v>180512</v>
      </c>
      <c r="DS83" s="6"/>
      <c r="DT83" s="20">
        <v>194239</v>
      </c>
      <c r="DU83" s="6"/>
      <c r="DV83" s="20">
        <v>187342</v>
      </c>
      <c r="DX83" s="20">
        <v>186768</v>
      </c>
      <c r="DZ83" s="16"/>
      <c r="EA83" s="6"/>
      <c r="EB83" s="20">
        <v>185799</v>
      </c>
      <c r="EC83" s="6"/>
      <c r="ED83" s="20">
        <v>189203</v>
      </c>
      <c r="EE83" s="6"/>
      <c r="EF83" s="20">
        <v>214158</v>
      </c>
      <c r="EH83" s="20"/>
      <c r="EJ83" s="16"/>
      <c r="EK83" s="6"/>
    </row>
    <row r="84" spans="1:141" x14ac:dyDescent="0.2">
      <c r="A84" s="6" t="s">
        <v>47</v>
      </c>
      <c r="B84" s="22">
        <f>SUM(B82:B83)</f>
        <v>412565.61099999998</v>
      </c>
      <c r="C84" s="22"/>
      <c r="D84" s="22">
        <f>SUM(D82:D83)</f>
        <v>456721.72100000002</v>
      </c>
      <c r="E84" s="22"/>
      <c r="F84" s="22">
        <f>SUM(F82:F83)</f>
        <v>472258.50599999999</v>
      </c>
      <c r="G84" s="22"/>
      <c r="H84" s="22">
        <f>SUM(H82:H83)</f>
        <v>531222.79599999997</v>
      </c>
      <c r="I84" s="22"/>
      <c r="J84" s="23"/>
      <c r="K84" s="6"/>
      <c r="L84" s="22">
        <f>SUM(L82:L83)</f>
        <v>559096.18694000004</v>
      </c>
      <c r="M84" s="22"/>
      <c r="N84" s="22">
        <f>SUM(N82:N83)</f>
        <v>583207</v>
      </c>
      <c r="O84" s="22"/>
      <c r="P84" s="22">
        <f>SUM(P82:P83)</f>
        <v>574066</v>
      </c>
      <c r="Q84" s="22"/>
      <c r="R84" s="22">
        <f>SUM(R82:R83)</f>
        <v>587232</v>
      </c>
      <c r="S84" s="22"/>
      <c r="T84" s="23"/>
      <c r="U84" s="6"/>
      <c r="V84" s="22">
        <f>SUM(V82:V83)</f>
        <v>626264.03570999997</v>
      </c>
      <c r="W84" s="22"/>
      <c r="X84" s="22">
        <f>SUM(X82:X83)</f>
        <v>638705</v>
      </c>
      <c r="Y84" s="22"/>
      <c r="Z84" s="22">
        <f>SUM(Z82:Z83)</f>
        <v>644393.66800000006</v>
      </c>
      <c r="AA84" s="22"/>
      <c r="AB84" s="22">
        <f>SUM(AB82:AB83)</f>
        <v>653701.12453000003</v>
      </c>
      <c r="AC84" s="22"/>
      <c r="AD84" s="26"/>
      <c r="AE84" s="6"/>
      <c r="AF84" s="22">
        <f>SUM(AF82:AF83)</f>
        <v>656544.18400000001</v>
      </c>
      <c r="AG84" s="22"/>
      <c r="AH84" s="22">
        <f>SUM(AH82:AH83)</f>
        <v>649205</v>
      </c>
      <c r="AI84" s="22"/>
      <c r="AJ84" s="22">
        <f>SUM(AJ82:AJ83)</f>
        <v>624594</v>
      </c>
      <c r="AK84" s="22"/>
      <c r="AL84" s="22">
        <f>SUM(AL82:AL83)</f>
        <v>630256</v>
      </c>
      <c r="AM84" s="22"/>
      <c r="AN84" s="22"/>
      <c r="AO84" s="6"/>
      <c r="AP84" s="22">
        <f>SUM(AP82:AP83)</f>
        <v>693324</v>
      </c>
      <c r="AQ84" s="22"/>
      <c r="AR84" s="22">
        <f>SUM(AR82:AR83)</f>
        <v>676330</v>
      </c>
      <c r="AS84" s="22"/>
      <c r="AT84" s="22">
        <f>SUM(AT82:AT83)</f>
        <v>643618</v>
      </c>
      <c r="AU84" s="22"/>
      <c r="AV84" s="22">
        <f>SUM(AV82:AV83)</f>
        <v>682367</v>
      </c>
      <c r="AW84" s="22"/>
      <c r="AX84" s="22"/>
      <c r="AY84" s="22"/>
      <c r="AZ84" s="22">
        <f>SUM(AZ82:AZ83)</f>
        <v>697902</v>
      </c>
      <c r="BA84" s="22"/>
      <c r="BB84" s="22">
        <f>SUM(BB82:BB83)</f>
        <v>735021</v>
      </c>
      <c r="BC84" s="6"/>
      <c r="BD84" s="22">
        <f>SUM(BD82:BD83)</f>
        <v>717513</v>
      </c>
      <c r="BF84" s="22">
        <f>SUM(BF82:BF83)</f>
        <v>759111</v>
      </c>
      <c r="BH84" s="22"/>
      <c r="BJ84" s="22">
        <f>SUM(BJ82:BJ83)</f>
        <v>791755</v>
      </c>
      <c r="BK84" s="22"/>
      <c r="BL84" s="22">
        <f>SUM(BL82:BL83)</f>
        <v>771719</v>
      </c>
      <c r="BM84" s="6"/>
      <c r="BN84" s="22">
        <f>SUM(BN82:BN83)</f>
        <v>751049</v>
      </c>
      <c r="BP84" s="22">
        <f>SUM(BP82:BP83)</f>
        <v>750680</v>
      </c>
      <c r="BR84" s="22"/>
      <c r="BT84" s="22">
        <f>SUM(BT82:BT83)</f>
        <v>792979</v>
      </c>
      <c r="BU84" s="22"/>
      <c r="BV84" s="22">
        <f>SUM(BV82:BV83)</f>
        <v>812416</v>
      </c>
      <c r="BW84" s="6"/>
      <c r="BX84" s="22">
        <f>SUM(BX82:BX83)</f>
        <v>833177</v>
      </c>
      <c r="BZ84" s="22">
        <f>SUM(BZ82:BZ83)</f>
        <v>1056233</v>
      </c>
      <c r="CB84" s="22"/>
      <c r="CD84" s="22">
        <f>SUM(CD82:CD83)</f>
        <v>1069883</v>
      </c>
      <c r="CE84" s="22"/>
      <c r="CF84" s="22">
        <f>SUM(CF82:CF83)</f>
        <v>1036161</v>
      </c>
      <c r="CG84" s="6"/>
      <c r="CH84" s="22">
        <f>SUM(CH82:CH83)</f>
        <v>965704</v>
      </c>
      <c r="CJ84" s="22">
        <f>SUM(CJ82:CJ83)</f>
        <v>937970</v>
      </c>
      <c r="CL84" s="22"/>
      <c r="CN84" s="22">
        <f>SUM(CN82:CN83)</f>
        <v>916325</v>
      </c>
      <c r="CO84" s="22"/>
      <c r="CP84" s="22">
        <f>SUM(CP82:CP83)</f>
        <v>881079</v>
      </c>
      <c r="CQ84" s="6"/>
      <c r="CR84" s="22">
        <f>SUM(CR82:CR83)</f>
        <v>833534</v>
      </c>
      <c r="CT84" s="22">
        <f>SUM(CT82:CT83)</f>
        <v>819054</v>
      </c>
      <c r="CV84" s="22"/>
      <c r="CX84" s="22">
        <f>SUM(CX82:CX83)</f>
        <v>771261</v>
      </c>
      <c r="CY84" s="22"/>
      <c r="CZ84" s="22">
        <f>SUM(CZ82:CZ83)</f>
        <v>751759</v>
      </c>
      <c r="DA84" s="6"/>
      <c r="DB84" s="22">
        <f>SUM(DB82:DB83)</f>
        <v>723161</v>
      </c>
      <c r="DD84" s="22">
        <f>SUM(DD82:DD83)</f>
        <v>749998</v>
      </c>
      <c r="DF84" s="22"/>
      <c r="DH84" s="22">
        <f>SUM(DH82:DH83)</f>
        <v>768839</v>
      </c>
      <c r="DI84" s="22"/>
      <c r="DJ84" s="22">
        <f>SUM(DJ82:DJ83)</f>
        <v>750413</v>
      </c>
      <c r="DK84" s="6"/>
      <c r="DL84" s="22">
        <f>SUM(DL82:DL83)</f>
        <v>717092</v>
      </c>
      <c r="DN84" s="22">
        <f>SUM(DN82:DN83)</f>
        <v>836854</v>
      </c>
      <c r="DP84" s="22"/>
      <c r="DR84" s="22">
        <f>SUM(DR82:DR83)</f>
        <v>855525</v>
      </c>
      <c r="DS84" s="22"/>
      <c r="DT84" s="22">
        <f>SUM(DT82:DT83)</f>
        <v>867670</v>
      </c>
      <c r="DU84" s="6"/>
      <c r="DV84" s="22">
        <f>SUM(DV82:DV83)</f>
        <v>877317</v>
      </c>
      <c r="DX84" s="22">
        <f>SUM(DX82:DX83)</f>
        <v>953193</v>
      </c>
      <c r="DZ84" s="22"/>
      <c r="EA84" s="22"/>
      <c r="EB84" s="22">
        <f>SUM(EB82:EB83)</f>
        <v>943469</v>
      </c>
      <c r="EC84" s="22"/>
      <c r="ED84" s="22">
        <f>SUM(ED82:ED83)</f>
        <v>920636</v>
      </c>
      <c r="EE84" s="6"/>
      <c r="EF84" s="22">
        <f>SUM(EF82:EF83)</f>
        <v>947882</v>
      </c>
      <c r="EH84" s="22">
        <f>SUM(EH82:EH83)</f>
        <v>0</v>
      </c>
      <c r="EJ84" s="22"/>
      <c r="EK84" s="22"/>
    </row>
    <row r="85" spans="1:141" x14ac:dyDescent="0.2">
      <c r="A85" s="2" t="s">
        <v>48</v>
      </c>
      <c r="B85" s="28">
        <f>B83/B84</f>
        <v>0.18463100648492975</v>
      </c>
      <c r="C85" s="28"/>
      <c r="D85" s="28">
        <f>D83/D84</f>
        <v>0.22332586192019538</v>
      </c>
      <c r="E85" s="28"/>
      <c r="F85" s="28">
        <f>F83/F84</f>
        <v>0.19578067271487112</v>
      </c>
      <c r="G85" s="28"/>
      <c r="H85" s="28">
        <f>H83/H84</f>
        <v>0.19907631373560258</v>
      </c>
      <c r="I85" s="28"/>
      <c r="J85" s="28"/>
      <c r="K85" s="6"/>
      <c r="L85" s="28">
        <f>L83/L84</f>
        <v>0.18047152593231383</v>
      </c>
      <c r="M85" s="28"/>
      <c r="N85" s="28">
        <f>N83/N84</f>
        <v>0.19963409218339287</v>
      </c>
      <c r="O85" s="28"/>
      <c r="P85" s="28">
        <f>P83/P84</f>
        <v>0.19709406235519958</v>
      </c>
      <c r="Q85" s="28"/>
      <c r="R85" s="28">
        <f>R83/R84</f>
        <v>0.18755279003868999</v>
      </c>
      <c r="S85" s="28"/>
      <c r="T85" s="28"/>
      <c r="U85" s="6"/>
      <c r="V85" s="28">
        <f>V83/V84</f>
        <v>0.17703258638236646</v>
      </c>
      <c r="W85" s="28"/>
      <c r="X85" s="28">
        <f>X83/X84</f>
        <v>0.19573355461441511</v>
      </c>
      <c r="Y85" s="28"/>
      <c r="Z85" s="28">
        <f>Z83/Z84</f>
        <v>0.18105391749442204</v>
      </c>
      <c r="AA85" s="28"/>
      <c r="AB85" s="28">
        <f>AB83/AB84</f>
        <v>0.18674304727220598</v>
      </c>
      <c r="AC85" s="28"/>
      <c r="AD85" s="26"/>
      <c r="AE85" s="6"/>
      <c r="AF85" s="28">
        <f>AF83/AF84</f>
        <v>0.17070163704321231</v>
      </c>
      <c r="AG85" s="28"/>
      <c r="AH85" s="28">
        <f>AH83/AH84</f>
        <v>0.20287120401105968</v>
      </c>
      <c r="AI85" s="28"/>
      <c r="AJ85" s="28">
        <f>AJ83/AJ84</f>
        <v>0.19083916912426313</v>
      </c>
      <c r="AK85" s="28"/>
      <c r="AL85" s="28">
        <f>AL83/AL84</f>
        <v>0.19051306135919371</v>
      </c>
      <c r="AM85" s="28"/>
      <c r="AN85" s="28"/>
      <c r="AO85" s="28"/>
      <c r="AP85" s="28">
        <f>AP83/AP84</f>
        <v>0.19746756206333546</v>
      </c>
      <c r="AQ85" s="28"/>
      <c r="AR85" s="28">
        <f>AR83/AR84</f>
        <v>0.21490248843020418</v>
      </c>
      <c r="AS85" s="28"/>
      <c r="AT85" s="28">
        <f>AT83/AT84</f>
        <v>0.21042761389519871</v>
      </c>
      <c r="AU85" s="28"/>
      <c r="AV85" s="28">
        <f>AV83/AV84</f>
        <v>0.20437389264134989</v>
      </c>
      <c r="AW85" s="28"/>
      <c r="AX85" s="28"/>
      <c r="AY85" s="28"/>
      <c r="AZ85" s="28">
        <f>AZ83/AZ84</f>
        <v>0.20120016850503367</v>
      </c>
      <c r="BA85" s="28"/>
      <c r="BB85" s="28">
        <f>BB83/BB84</f>
        <v>0.22998526572710168</v>
      </c>
      <c r="BC85" s="28"/>
      <c r="BD85" s="28">
        <f>BD83/BD84</f>
        <v>0.22646140209306312</v>
      </c>
      <c r="BF85" s="28">
        <f>BF83/BF84</f>
        <v>0.21428223276964764</v>
      </c>
      <c r="BH85" s="28"/>
      <c r="BJ85" s="28">
        <f>BJ83/BJ84</f>
        <v>0.22942955838611692</v>
      </c>
      <c r="BK85" s="28"/>
      <c r="BL85" s="28">
        <f>BL83/BL84</f>
        <v>0.25610228593568385</v>
      </c>
      <c r="BM85" s="28"/>
      <c r="BN85" s="28">
        <f>BN83/BN84</f>
        <v>0.23810031036590157</v>
      </c>
      <c r="BP85" s="28">
        <f>BP83/BP84</f>
        <v>0.21540736398998242</v>
      </c>
      <c r="BR85" s="28"/>
      <c r="BT85" s="28">
        <f>BT83/BT84</f>
        <v>0.19902796921482158</v>
      </c>
      <c r="BU85" s="28"/>
      <c r="BV85" s="28">
        <f>BV83/BV84</f>
        <v>0.21992058255868915</v>
      </c>
      <c r="BW85" s="28"/>
      <c r="BX85" s="28">
        <f>BX83/BX84</f>
        <v>0.23414712600083776</v>
      </c>
      <c r="BZ85" s="28">
        <f>BZ83/BZ84</f>
        <v>0.22672175552174567</v>
      </c>
      <c r="CB85" s="28"/>
      <c r="CD85" s="28">
        <f>CD83/CD84</f>
        <v>0.21428137469237291</v>
      </c>
      <c r="CE85" s="28"/>
      <c r="CF85" s="28">
        <f>IF(ISERROR(CF83/CF84),0,(CF83/CF84))</f>
        <v>0.22957436151331695</v>
      </c>
      <c r="CG85" s="28"/>
      <c r="CH85" s="28">
        <f>IF(ISERROR(CH83/CH84),0,(CH83/CH84))</f>
        <v>0.24519107304101465</v>
      </c>
      <c r="CJ85" s="28">
        <f>IF(ISERROR(CJ83/CJ84),0,(CJ83/CJ84))</f>
        <v>0.21567640756100942</v>
      </c>
      <c r="CL85" s="28"/>
      <c r="CN85" s="28">
        <f>CN83/CN84</f>
        <v>0.20857337734973944</v>
      </c>
      <c r="CO85" s="28"/>
      <c r="CP85" s="28">
        <f>IF(ISERROR(CP83/CP84),0,(CP83/CP84))</f>
        <v>0.23206999599354883</v>
      </c>
      <c r="CQ85" s="28"/>
      <c r="CR85" s="28">
        <f>IF(ISERROR(CR83/CR84),0,(CR83/CR84))</f>
        <v>0.25565363860382417</v>
      </c>
      <c r="CT85" s="28">
        <f>IF(ISERROR(CT83/CT84),0,(CT83/CT84))</f>
        <v>0.22478127205288051</v>
      </c>
      <c r="CV85" s="28"/>
      <c r="CX85" s="28">
        <f>CX83/CX84</f>
        <v>0.2161434326382379</v>
      </c>
      <c r="CY85" s="28"/>
      <c r="CZ85" s="28">
        <f>IF(ISERROR(CZ83/CZ84),0,(CZ83/CZ84))</f>
        <v>0.23924821651619735</v>
      </c>
      <c r="DA85" s="28"/>
      <c r="DB85" s="28">
        <f>IF(ISERROR(DB83/DB84),0,(DB83/DB84))</f>
        <v>0.24302057218240475</v>
      </c>
      <c r="DD85" s="28">
        <f>IF(ISERROR(DD83/DD84),0,(DD83/DD84))</f>
        <v>0.21457657220419254</v>
      </c>
      <c r="DF85" s="28"/>
      <c r="DH85" s="28">
        <f>DH83/DH84</f>
        <v>0.23669975118327766</v>
      </c>
      <c r="DI85" s="28"/>
      <c r="DJ85" s="28">
        <f>IF(ISERROR(DJ83/DJ84),0,(DJ83/DJ84))</f>
        <v>0.26466625711441566</v>
      </c>
      <c r="DK85" s="28"/>
      <c r="DL85" s="28">
        <f>IF(ISERROR(DL83/DL84),0,(DL83/DL84))</f>
        <v>0.2409509519001746</v>
      </c>
      <c r="DN85" s="28">
        <f>IF(ISERROR(DN83/DN84),0,(DN83/DN84))</f>
        <v>0.21701037456951869</v>
      </c>
      <c r="DP85" s="28"/>
      <c r="DR85" s="28">
        <f>DR83/DR84</f>
        <v>0.21099558750474853</v>
      </c>
      <c r="DS85" s="28"/>
      <c r="DT85" s="28">
        <f>IF(ISERROR(DT83/DT84),0,(DT83/DT84))</f>
        <v>0.22386275888298546</v>
      </c>
      <c r="DU85" s="28"/>
      <c r="DV85" s="28">
        <f>IF(ISERROR(DV83/DV84),0,(DV83/DV84))</f>
        <v>0.21353968975866192</v>
      </c>
      <c r="DX85" s="28">
        <f>IF(ISERROR(DX83/DX84),0,(DX83/DX84))</f>
        <v>0.19593933232829028</v>
      </c>
      <c r="DZ85" s="28"/>
      <c r="EA85" s="28"/>
      <c r="EB85" s="28">
        <f>EB83/EB84</f>
        <v>0.19693174868490645</v>
      </c>
      <c r="EC85" s="28"/>
      <c r="ED85" s="28">
        <f>IF(ISERROR(ED83/ED84),0,(ED83/ED84))</f>
        <v>0.20551336250157501</v>
      </c>
      <c r="EE85" s="28"/>
      <c r="EF85" s="28">
        <f>IF(ISERROR(EF83/EF84),0,(EF83/EF84))</f>
        <v>0.2259331857762886</v>
      </c>
      <c r="EH85" s="28">
        <f>IF(ISERROR(EH83/EH84),0,(EH83/EH84))</f>
        <v>0</v>
      </c>
      <c r="EJ85" s="28"/>
      <c r="EK85" s="28"/>
    </row>
    <row r="86" spans="1:141" x14ac:dyDescent="0.2">
      <c r="A86" s="2"/>
      <c r="B86" s="28"/>
      <c r="C86" s="6"/>
      <c r="D86" s="28"/>
      <c r="E86" s="6"/>
      <c r="F86" s="28"/>
      <c r="G86" s="6"/>
      <c r="H86" s="28"/>
      <c r="I86" s="6"/>
      <c r="J86" s="26"/>
      <c r="K86" s="6"/>
      <c r="L86" s="28"/>
      <c r="M86" s="6"/>
      <c r="N86" s="28"/>
      <c r="O86" s="6"/>
      <c r="P86" s="28"/>
      <c r="Q86" s="6"/>
      <c r="R86" s="28"/>
      <c r="S86" s="6"/>
      <c r="T86" s="26"/>
      <c r="U86" s="6"/>
      <c r="V86" s="28"/>
      <c r="W86" s="6"/>
      <c r="X86" s="28"/>
      <c r="Y86" s="6"/>
      <c r="Z86" s="28"/>
      <c r="AA86" s="6"/>
      <c r="AB86" s="28"/>
      <c r="AC86" s="6"/>
      <c r="AD86" s="26"/>
      <c r="AE86" s="6"/>
      <c r="AF86" s="28"/>
      <c r="AG86" s="6"/>
      <c r="AH86" s="28"/>
      <c r="AI86" s="6"/>
      <c r="AJ86" s="28"/>
      <c r="AK86" s="6"/>
      <c r="AL86" s="28"/>
      <c r="AM86" s="6"/>
      <c r="AN86" s="26"/>
      <c r="AO86" s="6"/>
      <c r="AP86" s="28"/>
      <c r="AQ86" s="6"/>
      <c r="AR86" s="28"/>
      <c r="AS86" s="6"/>
      <c r="AT86" s="28"/>
      <c r="AU86" s="28"/>
      <c r="AV86" s="28"/>
      <c r="AW86" s="6"/>
      <c r="AX86" s="2"/>
      <c r="AZ86" s="28"/>
      <c r="BA86" s="6"/>
      <c r="BB86" s="28"/>
      <c r="BC86" s="6"/>
      <c r="BD86" s="28"/>
      <c r="BF86" s="28"/>
      <c r="BH86" s="2"/>
      <c r="BJ86" s="28"/>
      <c r="BK86" s="6"/>
      <c r="BL86" s="28"/>
      <c r="BM86" s="6"/>
      <c r="BN86" s="28"/>
      <c r="BP86" s="28"/>
      <c r="BR86" s="2"/>
      <c r="BT86" s="28"/>
      <c r="BU86" s="6"/>
      <c r="BV86" s="28"/>
      <c r="BW86" s="6"/>
      <c r="BX86" s="28"/>
      <c r="BZ86" s="28"/>
      <c r="CB86" s="2"/>
      <c r="CD86" s="28"/>
      <c r="CE86" s="6"/>
      <c r="CF86" s="28"/>
      <c r="CG86" s="6"/>
      <c r="CH86" s="28"/>
      <c r="CJ86" s="28"/>
      <c r="CL86" s="2"/>
      <c r="CN86" s="28"/>
      <c r="CO86" s="6"/>
      <c r="CP86" s="28"/>
      <c r="CQ86" s="6"/>
      <c r="CR86" s="28"/>
      <c r="CT86" s="28"/>
      <c r="CV86" s="2"/>
      <c r="CX86" s="28"/>
      <c r="CY86" s="6"/>
      <c r="CZ86" s="28"/>
      <c r="DA86" s="6"/>
      <c r="DB86" s="28"/>
      <c r="DD86" s="28"/>
      <c r="DF86" s="2"/>
      <c r="DH86" s="28"/>
      <c r="DI86" s="6"/>
      <c r="DJ86" s="28"/>
      <c r="DK86" s="6"/>
      <c r="DL86" s="28"/>
      <c r="DN86" s="28"/>
      <c r="DP86" s="2"/>
      <c r="DR86" s="28"/>
      <c r="DS86" s="6"/>
      <c r="DT86" s="28"/>
      <c r="DU86" s="6"/>
      <c r="DV86" s="28"/>
      <c r="DX86" s="28"/>
      <c r="DZ86" s="2"/>
      <c r="EA86" s="6"/>
      <c r="EB86" s="28"/>
      <c r="EC86" s="6"/>
      <c r="ED86" s="28"/>
      <c r="EE86" s="6"/>
      <c r="EF86" s="28"/>
      <c r="EH86" s="28"/>
      <c r="EJ86" s="2"/>
      <c r="EK86" s="6"/>
    </row>
    <row r="87" spans="1:141" x14ac:dyDescent="0.2">
      <c r="B87" s="49"/>
      <c r="L87" s="49" t="s">
        <v>62</v>
      </c>
      <c r="V87" s="49" t="s">
        <v>56</v>
      </c>
      <c r="AF87" s="49" t="s">
        <v>57</v>
      </c>
      <c r="AP87" s="49" t="s">
        <v>58</v>
      </c>
      <c r="AZ87" s="63" t="s">
        <v>63</v>
      </c>
      <c r="BA87" s="46"/>
      <c r="BJ87" s="63" t="s">
        <v>85</v>
      </c>
      <c r="BK87" s="46"/>
      <c r="BT87" s="63" t="s">
        <v>102</v>
      </c>
      <c r="BU87" s="46"/>
      <c r="CD87" s="63" t="s">
        <v>127</v>
      </c>
      <c r="CE87" s="46"/>
      <c r="CN87" s="63" t="s">
        <v>141</v>
      </c>
      <c r="CO87" s="46"/>
      <c r="CX87" s="63" t="s">
        <v>158</v>
      </c>
      <c r="CY87" s="46"/>
      <c r="DH87" s="63" t="s">
        <v>160</v>
      </c>
      <c r="DI87" s="46"/>
      <c r="DR87" s="63" t="s">
        <v>165</v>
      </c>
      <c r="DS87" s="46"/>
      <c r="EA87" s="46"/>
      <c r="EB87" s="63" t="s">
        <v>197</v>
      </c>
      <c r="EC87" s="46"/>
      <c r="EK87" s="46"/>
    </row>
    <row r="88" spans="1:141" x14ac:dyDescent="0.2">
      <c r="A88" s="2"/>
      <c r="B88" s="40"/>
      <c r="C88" s="2"/>
      <c r="D88" s="2"/>
      <c r="E88" s="2"/>
      <c r="F88" s="2"/>
      <c r="G88" s="2"/>
      <c r="H88" s="2"/>
      <c r="I88" s="2"/>
      <c r="J88" s="2"/>
      <c r="K88" s="2"/>
      <c r="L88" s="40" t="s">
        <v>64</v>
      </c>
      <c r="M88" s="2"/>
      <c r="N88" s="2"/>
      <c r="O88" s="2"/>
      <c r="P88" s="2"/>
      <c r="Q88" s="2"/>
      <c r="R88" s="2"/>
      <c r="S88" s="2"/>
      <c r="T88" s="2"/>
      <c r="U88" s="2"/>
      <c r="V88" s="40" t="s">
        <v>66</v>
      </c>
      <c r="W88" s="2"/>
      <c r="X88" s="2"/>
      <c r="Y88" s="2"/>
      <c r="Z88" s="2"/>
      <c r="AA88" s="2"/>
      <c r="AB88" s="2"/>
      <c r="AC88" s="2"/>
      <c r="AD88" s="2"/>
      <c r="AE88" s="2"/>
      <c r="AF88" s="40" t="s">
        <v>72</v>
      </c>
      <c r="AG88" s="2"/>
      <c r="AH88" s="2"/>
      <c r="AI88" s="2"/>
      <c r="AJ88" s="2"/>
      <c r="AK88" s="2"/>
      <c r="AL88" s="2"/>
      <c r="AM88" s="2"/>
      <c r="AN88" s="2"/>
      <c r="AO88" s="2"/>
      <c r="AP88" s="48" t="s">
        <v>59</v>
      </c>
      <c r="AR88" s="2"/>
      <c r="AS88" s="2"/>
      <c r="AT88" s="2"/>
      <c r="AU88" s="2"/>
      <c r="AV88" s="2"/>
      <c r="AX88" s="2"/>
      <c r="AZ88" s="2" t="s">
        <v>83</v>
      </c>
      <c r="BA88" s="2"/>
      <c r="BB88" s="2"/>
      <c r="BC88" s="2"/>
      <c r="BD88" s="2"/>
      <c r="BF88" s="2"/>
      <c r="BH88" s="2"/>
      <c r="BJ88" s="2" t="s">
        <v>86</v>
      </c>
      <c r="BK88" s="2"/>
      <c r="BL88" s="2"/>
      <c r="BM88" s="2"/>
      <c r="BN88" s="2"/>
      <c r="BP88" s="2"/>
      <c r="BR88" s="2"/>
      <c r="BT88" s="2" t="s">
        <v>116</v>
      </c>
      <c r="BU88" s="2"/>
      <c r="BV88" s="2"/>
      <c r="BW88" s="2"/>
      <c r="BX88" s="2"/>
      <c r="BZ88" s="2"/>
      <c r="CB88" s="2"/>
      <c r="CD88" s="46" t="s">
        <v>128</v>
      </c>
      <c r="CL88" s="2"/>
      <c r="CN88" s="46" t="s">
        <v>140</v>
      </c>
      <c r="CV88" s="2"/>
      <c r="CX88" s="46" t="s">
        <v>156</v>
      </c>
      <c r="DF88" s="2"/>
      <c r="DH88" s="48" t="s">
        <v>161</v>
      </c>
      <c r="DP88" s="2"/>
      <c r="DR88" s="48" t="s">
        <v>166</v>
      </c>
      <c r="DZ88" s="2"/>
      <c r="EB88" s="48"/>
      <c r="EJ88" s="2"/>
    </row>
    <row r="89" spans="1:14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">
        <v>65</v>
      </c>
      <c r="M89" s="2"/>
      <c r="N89" s="2"/>
      <c r="O89" s="2"/>
      <c r="P89" s="2"/>
      <c r="Q89" s="2"/>
      <c r="R89" s="2"/>
      <c r="S89" s="2"/>
      <c r="T89" s="2"/>
      <c r="U89" s="2"/>
      <c r="V89" s="40" t="s">
        <v>67</v>
      </c>
      <c r="W89" s="2"/>
      <c r="X89" s="2"/>
      <c r="Y89" s="2"/>
      <c r="Z89" s="2"/>
      <c r="AA89" s="2"/>
      <c r="AB89" s="2"/>
      <c r="AC89" s="2"/>
      <c r="AD89" s="2"/>
      <c r="AE89" s="2"/>
      <c r="AF89" s="2" t="s">
        <v>73</v>
      </c>
      <c r="AG89" s="2"/>
      <c r="AH89" s="2"/>
      <c r="AI89" s="2"/>
      <c r="AJ89" s="2"/>
      <c r="AK89" s="2"/>
      <c r="AL89" s="2"/>
      <c r="AM89" s="2"/>
      <c r="AN89" s="2"/>
      <c r="AO89" s="2"/>
      <c r="AP89" s="2" t="s">
        <v>54</v>
      </c>
      <c r="AR89" s="2"/>
      <c r="AS89" s="2"/>
      <c r="AT89" s="2"/>
      <c r="AU89" s="2"/>
      <c r="AV89" s="2"/>
      <c r="AX89" s="2"/>
      <c r="AZ89" s="2" t="s">
        <v>80</v>
      </c>
      <c r="BA89" s="2"/>
      <c r="BB89" s="2"/>
      <c r="BC89" s="2"/>
      <c r="BD89" s="2"/>
      <c r="BF89" s="2"/>
      <c r="BH89" s="2"/>
      <c r="BJ89" s="2" t="s">
        <v>87</v>
      </c>
      <c r="BK89" s="2"/>
      <c r="BL89" s="2"/>
      <c r="BM89" s="2"/>
      <c r="BN89" s="2"/>
      <c r="BP89" s="2"/>
      <c r="BR89" s="2"/>
      <c r="BT89" s="2" t="s">
        <v>113</v>
      </c>
      <c r="CD89" s="46" t="s">
        <v>139</v>
      </c>
      <c r="CN89" s="46" t="s">
        <v>142</v>
      </c>
      <c r="CX89" s="46" t="s">
        <v>157</v>
      </c>
      <c r="DH89" s="48" t="s">
        <v>164</v>
      </c>
      <c r="DR89" s="48" t="s">
        <v>164</v>
      </c>
      <c r="EB89" s="48"/>
    </row>
    <row r="90" spans="1:14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68</v>
      </c>
      <c r="W90" s="2"/>
      <c r="X90" s="2"/>
      <c r="Y90" s="2"/>
      <c r="Z90" s="2"/>
      <c r="AA90" s="2"/>
      <c r="AB90" s="2"/>
      <c r="AC90" s="2"/>
      <c r="AD90" s="2"/>
      <c r="AE90" s="2"/>
      <c r="AF90" s="40" t="s">
        <v>74</v>
      </c>
      <c r="AG90" s="2"/>
      <c r="AH90" s="2"/>
      <c r="AI90" s="2"/>
      <c r="AJ90" s="2"/>
      <c r="AK90" s="2"/>
      <c r="AL90" s="2"/>
      <c r="AM90" s="2"/>
      <c r="AN90" s="2"/>
      <c r="AO90" s="2"/>
      <c r="AP90" s="40" t="s">
        <v>55</v>
      </c>
      <c r="AR90" s="2"/>
      <c r="AS90" s="2"/>
      <c r="AT90" s="2"/>
      <c r="AU90" s="2"/>
      <c r="AV90" s="2"/>
      <c r="AX90" s="2"/>
      <c r="AZ90" s="2" t="s">
        <v>77</v>
      </c>
      <c r="BA90" s="2"/>
      <c r="BB90" s="2"/>
      <c r="BC90" s="2"/>
      <c r="BD90" s="2"/>
      <c r="BF90" s="2"/>
      <c r="BH90" s="2"/>
      <c r="BJ90" s="2" t="s">
        <v>94</v>
      </c>
      <c r="BK90" s="2"/>
      <c r="BL90" s="2"/>
      <c r="BM90" s="2"/>
      <c r="BN90" s="2"/>
      <c r="BP90" s="2"/>
      <c r="BR90" s="2"/>
      <c r="BT90" s="2" t="s">
        <v>111</v>
      </c>
      <c r="CD90" s="46" t="s">
        <v>131</v>
      </c>
      <c r="CN90" s="46" t="s">
        <v>143</v>
      </c>
      <c r="CX90" s="46" t="s">
        <v>159</v>
      </c>
      <c r="DH90" s="48" t="s">
        <v>162</v>
      </c>
      <c r="DR90" s="48" t="s">
        <v>167</v>
      </c>
      <c r="EB90" s="48"/>
    </row>
    <row r="91" spans="1:14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0" t="s">
        <v>69</v>
      </c>
      <c r="W91" s="2"/>
      <c r="X91" s="2"/>
      <c r="Y91" s="2"/>
      <c r="Z91" s="2"/>
      <c r="AA91" s="2"/>
      <c r="AB91" s="2"/>
      <c r="AC91" s="2"/>
      <c r="AD91" s="2"/>
      <c r="AE91" s="2"/>
      <c r="AF91" s="2" t="s">
        <v>75</v>
      </c>
      <c r="AG91" s="2"/>
      <c r="AH91" s="2"/>
      <c r="AI91" s="2"/>
      <c r="AJ91" s="2"/>
      <c r="AK91" s="2"/>
      <c r="AL91" s="2"/>
      <c r="AM91" s="2"/>
      <c r="AN91" s="2"/>
      <c r="AO91" s="2"/>
      <c r="AP91" s="2" t="s">
        <v>53</v>
      </c>
      <c r="AQ91" s="2"/>
      <c r="AR91" s="2"/>
      <c r="AS91" s="2"/>
      <c r="AT91" s="2"/>
      <c r="AU91" s="2"/>
      <c r="AV91" s="2"/>
      <c r="AX91" s="2"/>
      <c r="AZ91" s="2" t="s">
        <v>81</v>
      </c>
      <c r="BA91" s="2"/>
      <c r="BB91" s="2"/>
      <c r="BC91" s="2"/>
      <c r="BD91" s="2"/>
      <c r="BF91" s="2"/>
      <c r="BH91" s="2"/>
      <c r="BJ91" s="2" t="s">
        <v>95</v>
      </c>
      <c r="BK91" s="2"/>
      <c r="BL91" s="2"/>
      <c r="BM91" s="2"/>
      <c r="BN91" s="2"/>
      <c r="BP91" s="2"/>
      <c r="BR91" s="2"/>
      <c r="BT91" s="2" t="s">
        <v>112</v>
      </c>
      <c r="CD91" s="46" t="s">
        <v>132</v>
      </c>
      <c r="CN91" s="46" t="s">
        <v>142</v>
      </c>
      <c r="CX91" s="46" t="s">
        <v>157</v>
      </c>
      <c r="DH91" s="48" t="s">
        <v>163</v>
      </c>
      <c r="DR91" s="48" t="s">
        <v>168</v>
      </c>
      <c r="EB91" s="48"/>
    </row>
    <row r="92" spans="1:14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 t="s">
        <v>70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X92" s="2"/>
      <c r="AZ92" s="2" t="s">
        <v>82</v>
      </c>
      <c r="BA92" s="2"/>
      <c r="BB92" s="2"/>
      <c r="BC92" s="2"/>
      <c r="BD92" s="2"/>
      <c r="BF92" s="2"/>
      <c r="BH92" s="2"/>
      <c r="BJ92" s="2" t="s">
        <v>93</v>
      </c>
      <c r="BK92" s="2"/>
      <c r="BL92" s="2"/>
      <c r="BM92" s="2"/>
      <c r="BN92" s="2"/>
      <c r="BP92" s="2"/>
      <c r="BR92" s="2"/>
      <c r="BT92" s="2" t="s">
        <v>117</v>
      </c>
      <c r="CD92" s="46" t="s">
        <v>135</v>
      </c>
      <c r="CN92" s="46" t="s">
        <v>145</v>
      </c>
      <c r="CX92" s="46"/>
      <c r="DH92" s="46"/>
      <c r="DR92" s="46" t="s">
        <v>169</v>
      </c>
      <c r="EB92" s="46"/>
    </row>
    <row r="93" spans="1:141" x14ac:dyDescent="0.2">
      <c r="V93" s="46" t="s">
        <v>71</v>
      </c>
      <c r="W93" s="2"/>
      <c r="X93" s="2"/>
      <c r="Y93" s="2"/>
      <c r="Z93" s="2"/>
      <c r="AA93" s="2"/>
      <c r="AB93" s="2"/>
      <c r="AC93" s="2"/>
      <c r="AD93" s="2"/>
      <c r="BJ93" s="2" t="s">
        <v>107</v>
      </c>
      <c r="BT93" s="2" t="s">
        <v>114</v>
      </c>
      <c r="CD93" s="46" t="s">
        <v>136</v>
      </c>
      <c r="CN93" s="46" t="s">
        <v>146</v>
      </c>
      <c r="CX93" s="46"/>
      <c r="DH93" s="46"/>
      <c r="DR93" s="48" t="s">
        <v>170</v>
      </c>
      <c r="EB93" s="48"/>
    </row>
    <row r="94" spans="1:141" x14ac:dyDescent="0.2">
      <c r="H94" s="76"/>
      <c r="J94" s="76"/>
      <c r="R94" s="76"/>
      <c r="T94" s="76"/>
      <c r="AB94" s="76"/>
      <c r="AD94" s="76"/>
      <c r="AL94" s="76"/>
      <c r="AN94" s="76"/>
      <c r="AV94" s="76"/>
      <c r="AX94" s="76"/>
      <c r="BD94" s="76"/>
      <c r="BF94" s="76"/>
      <c r="BH94" s="76"/>
      <c r="BJ94" s="46" t="s">
        <v>106</v>
      </c>
      <c r="BT94" s="46" t="s">
        <v>123</v>
      </c>
      <c r="CD94" s="46" t="s">
        <v>137</v>
      </c>
      <c r="CN94" s="46" t="s">
        <v>147</v>
      </c>
      <c r="CX94" s="46"/>
      <c r="DH94" s="46"/>
      <c r="DR94" s="46" t="s">
        <v>172</v>
      </c>
      <c r="EB94" s="46"/>
    </row>
    <row r="95" spans="1:141" x14ac:dyDescent="0.2">
      <c r="BJ95" s="46" t="s">
        <v>97</v>
      </c>
      <c r="BT95" s="46" t="s">
        <v>129</v>
      </c>
      <c r="CD95" s="46" t="s">
        <v>138</v>
      </c>
      <c r="CN95" s="46" t="s">
        <v>148</v>
      </c>
      <c r="CX95" s="46"/>
      <c r="DH95" s="46"/>
      <c r="DR95" s="46" t="s">
        <v>173</v>
      </c>
      <c r="EB95" s="46"/>
    </row>
    <row r="96" spans="1:141" x14ac:dyDescent="0.2">
      <c r="BJ96" s="46" t="s">
        <v>96</v>
      </c>
      <c r="BT96" s="46" t="s">
        <v>124</v>
      </c>
      <c r="CN96" s="46" t="s">
        <v>149</v>
      </c>
      <c r="CX96" s="46"/>
      <c r="DH96" s="46"/>
      <c r="DR96" s="46" t="s">
        <v>184</v>
      </c>
      <c r="EB96" s="46"/>
    </row>
    <row r="97" spans="62:132" x14ac:dyDescent="0.2">
      <c r="BJ97" s="46" t="s">
        <v>108</v>
      </c>
      <c r="BT97" s="46" t="s">
        <v>121</v>
      </c>
      <c r="CN97" s="46" t="s">
        <v>151</v>
      </c>
      <c r="CX97" s="46"/>
      <c r="DH97" s="46"/>
      <c r="DR97" s="46" t="s">
        <v>185</v>
      </c>
      <c r="EB97" s="46"/>
    </row>
    <row r="98" spans="62:132" x14ac:dyDescent="0.2">
      <c r="BJ98" s="46" t="s">
        <v>98</v>
      </c>
      <c r="BT98" s="46"/>
      <c r="CN98" s="46" t="s">
        <v>150</v>
      </c>
      <c r="CX98" s="46"/>
      <c r="DH98" s="46"/>
      <c r="DR98" s="46"/>
      <c r="EB98" s="46"/>
    </row>
    <row r="99" spans="62:132" x14ac:dyDescent="0.2">
      <c r="BJ99" s="46" t="s">
        <v>99</v>
      </c>
      <c r="BT99" s="46"/>
    </row>
    <row r="100" spans="62:132" x14ac:dyDescent="0.2">
      <c r="BJ100" s="46" t="s">
        <v>100</v>
      </c>
      <c r="BT100" s="46"/>
    </row>
    <row r="101" spans="62:132" x14ac:dyDescent="0.2">
      <c r="BJ101" s="46" t="s">
        <v>109</v>
      </c>
    </row>
    <row r="102" spans="62:132" x14ac:dyDescent="0.2">
      <c r="BJ102" s="46" t="s">
        <v>110</v>
      </c>
    </row>
  </sheetData>
  <mergeCells count="27">
    <mergeCell ref="AZ67:BF67"/>
    <mergeCell ref="AZ58:BF58"/>
    <mergeCell ref="AZ6:BF6"/>
    <mergeCell ref="BT6:BZ6"/>
    <mergeCell ref="BT58:BZ58"/>
    <mergeCell ref="BJ6:BP6"/>
    <mergeCell ref="BJ58:BP58"/>
    <mergeCell ref="BJ67:BP67"/>
    <mergeCell ref="CD58:CJ58"/>
    <mergeCell ref="BT67:BZ67"/>
    <mergeCell ref="CD6:CJ6"/>
    <mergeCell ref="CN6:CT6"/>
    <mergeCell ref="CN58:CT58"/>
    <mergeCell ref="CN67:CT67"/>
    <mergeCell ref="CD67:CJ67"/>
    <mergeCell ref="DH6:DN6"/>
    <mergeCell ref="DH58:DN58"/>
    <mergeCell ref="DH67:DN67"/>
    <mergeCell ref="CX58:DD58"/>
    <mergeCell ref="CX67:DD67"/>
    <mergeCell ref="CX6:DD6"/>
    <mergeCell ref="EB6:EH6"/>
    <mergeCell ref="EB58:EH58"/>
    <mergeCell ref="EB67:EH67"/>
    <mergeCell ref="DR6:DX6"/>
    <mergeCell ref="DR58:DX58"/>
    <mergeCell ref="DR67:DX67"/>
  </mergeCells>
  <phoneticPr fontId="12" type="noConversion"/>
  <printOptions gridLines="1"/>
  <pageMargins left="0.67" right="0.2" top="0.2" bottom="0.17" header="0.17" footer="0.19"/>
  <pageSetup scale="44" orientation="landscape" r:id="rId1"/>
  <headerFooter alignWithMargins="0"/>
  <colBreaks count="4" manualBreakCount="4">
    <brk id="31" max="1048575" man="1"/>
    <brk id="61" max="1048575" man="1"/>
    <brk id="91" max="1048575" man="1"/>
    <brk id="121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zoomScaleNormal="100" workbookViewId="0">
      <selection activeCell="A3" sqref="A3"/>
    </sheetView>
  </sheetViews>
  <sheetFormatPr defaultRowHeight="12.75" x14ac:dyDescent="0.2"/>
  <cols>
    <col min="1" max="1" width="7.7109375" customWidth="1"/>
    <col min="2" max="2" width="1.7109375" customWidth="1"/>
    <col min="3" max="4" width="7.7109375" customWidth="1"/>
    <col min="5" max="5" width="1.7109375" customWidth="1"/>
    <col min="6" max="7" width="7.7109375" customWidth="1"/>
    <col min="8" max="8" width="1.7109375" customWidth="1"/>
    <col min="9" max="10" width="7.7109375" customWidth="1"/>
    <col min="11" max="11" width="1.7109375" customWidth="1"/>
    <col min="12" max="13" width="7.7109375" customWidth="1"/>
    <col min="14" max="14" width="1.7109375" customWidth="1"/>
    <col min="15" max="15" width="7.7109375" customWidth="1"/>
    <col min="16" max="16" width="5.7109375" customWidth="1"/>
    <col min="17" max="21" width="7.7109375" customWidth="1"/>
  </cols>
  <sheetData>
    <row r="1" spans="1:21" ht="18" x14ac:dyDescent="0.25">
      <c r="A1" s="130" t="s">
        <v>0</v>
      </c>
      <c r="B1" s="84"/>
      <c r="H1" s="82"/>
      <c r="K1" s="80"/>
      <c r="N1" s="82"/>
    </row>
    <row r="2" spans="1:21" ht="18" x14ac:dyDescent="0.25">
      <c r="A2" s="131" t="s">
        <v>198</v>
      </c>
      <c r="B2" s="84"/>
      <c r="H2" s="82"/>
      <c r="K2" s="80"/>
      <c r="N2" s="82"/>
    </row>
    <row r="3" spans="1:21" ht="8.25" customHeight="1" thickBot="1" x14ac:dyDescent="0.3">
      <c r="A3" s="127"/>
      <c r="B3" s="128"/>
      <c r="C3" s="5"/>
      <c r="D3" s="5"/>
      <c r="E3" s="5"/>
      <c r="F3" s="5"/>
      <c r="G3" s="5"/>
      <c r="H3" s="129"/>
      <c r="I3" s="5"/>
      <c r="J3" s="5"/>
      <c r="K3" s="5"/>
      <c r="L3" s="5"/>
      <c r="M3" s="5"/>
      <c r="N3" s="129"/>
      <c r="O3" s="5"/>
      <c r="P3" s="5"/>
      <c r="Q3" s="5"/>
      <c r="R3" s="5"/>
      <c r="S3" s="5"/>
      <c r="T3" s="5"/>
      <c r="U3" s="5"/>
    </row>
    <row r="4" spans="1:21" ht="13.5" thickTop="1" x14ac:dyDescent="0.2">
      <c r="B4" s="84"/>
      <c r="E4" s="82"/>
      <c r="H4" s="82"/>
      <c r="K4" s="80"/>
      <c r="N4" s="82"/>
    </row>
    <row r="5" spans="1:21" s="103" customFormat="1" x14ac:dyDescent="0.2">
      <c r="A5" s="99"/>
      <c r="B5" s="84"/>
      <c r="C5" s="97" t="s">
        <v>174</v>
      </c>
      <c r="D5" s="98"/>
      <c r="E5" s="82"/>
      <c r="F5" s="97" t="s">
        <v>175</v>
      </c>
      <c r="G5" s="100"/>
      <c r="H5" s="82"/>
      <c r="I5" s="97" t="s">
        <v>176</v>
      </c>
      <c r="J5" s="100"/>
      <c r="K5" s="80"/>
      <c r="L5" s="97" t="s">
        <v>177</v>
      </c>
      <c r="M5" s="100"/>
      <c r="N5" s="82"/>
      <c r="O5" s="101" t="s">
        <v>178</v>
      </c>
      <c r="P5" s="102"/>
      <c r="Q5" s="122" t="s">
        <v>193</v>
      </c>
      <c r="R5" s="123"/>
      <c r="S5" s="123"/>
      <c r="T5" s="123"/>
      <c r="U5" s="124"/>
    </row>
    <row r="6" spans="1:21" s="108" customFormat="1" ht="30" customHeight="1" x14ac:dyDescent="0.2">
      <c r="A6" s="104" t="s">
        <v>182</v>
      </c>
      <c r="B6" s="84"/>
      <c r="C6" s="105" t="s">
        <v>188</v>
      </c>
      <c r="D6" s="106" t="s">
        <v>187</v>
      </c>
      <c r="E6" s="82"/>
      <c r="F6" s="105" t="s">
        <v>188</v>
      </c>
      <c r="G6" s="106" t="s">
        <v>187</v>
      </c>
      <c r="H6" s="82"/>
      <c r="I6" s="105" t="s">
        <v>188</v>
      </c>
      <c r="J6" s="106" t="s">
        <v>187</v>
      </c>
      <c r="K6" s="80"/>
      <c r="L6" s="105" t="s">
        <v>188</v>
      </c>
      <c r="M6" s="106" t="s">
        <v>187</v>
      </c>
      <c r="N6" s="82"/>
      <c r="O6" s="105" t="s">
        <v>188</v>
      </c>
      <c r="P6" s="107"/>
      <c r="Q6" s="105" t="s">
        <v>195</v>
      </c>
      <c r="R6" s="114" t="s">
        <v>189</v>
      </c>
      <c r="S6" s="114" t="s">
        <v>190</v>
      </c>
      <c r="T6" s="114" t="s">
        <v>191</v>
      </c>
      <c r="U6" s="117" t="s">
        <v>192</v>
      </c>
    </row>
    <row r="7" spans="1:21" x14ac:dyDescent="0.2">
      <c r="A7" s="109" t="s">
        <v>179</v>
      </c>
      <c r="B7" s="84"/>
      <c r="C7" s="111">
        <f>'Quarterly ProForma Results'!CX51</f>
        <v>0.6544101060230092</v>
      </c>
      <c r="D7" s="95">
        <f t="shared" ref="D7:D8" si="0">C7/O7</f>
        <v>0.26429635140504454</v>
      </c>
      <c r="E7" s="82"/>
      <c r="F7" s="111">
        <f>'Quarterly ProForma Results'!CZ51</f>
        <v>0.61210557114348729</v>
      </c>
      <c r="G7" s="95">
        <f t="shared" ref="G7:G8" si="1">F7/O7</f>
        <v>0.24721083558913817</v>
      </c>
      <c r="H7" s="82"/>
      <c r="I7" s="111">
        <f>'Quarterly ProForma Results'!DB51</f>
        <v>0.55223186841197724</v>
      </c>
      <c r="J7" s="95">
        <f t="shared" ref="J7:J8" si="2">I7/O7</f>
        <v>0.22302966688253514</v>
      </c>
      <c r="K7" s="80"/>
      <c r="L7" s="111">
        <f>'Quarterly ProForma Results'!DD51</f>
        <v>0.65754971173964749</v>
      </c>
      <c r="M7" s="95">
        <f t="shared" ref="M7:M8" si="3">L7/O7</f>
        <v>0.26556434272749019</v>
      </c>
      <c r="N7" s="82"/>
      <c r="O7" s="113">
        <f>'Quarterly ProForma Results'!DF51</f>
        <v>2.4760466898012528</v>
      </c>
      <c r="P7" s="94"/>
      <c r="Q7" s="118">
        <v>2989</v>
      </c>
      <c r="R7" s="119">
        <v>82</v>
      </c>
      <c r="S7" s="119">
        <v>0</v>
      </c>
      <c r="T7" s="119">
        <v>18</v>
      </c>
      <c r="U7" s="115">
        <f>SUM(Q7:T7)</f>
        <v>3089</v>
      </c>
    </row>
    <row r="8" spans="1:21" x14ac:dyDescent="0.2">
      <c r="A8" s="109" t="s">
        <v>180</v>
      </c>
      <c r="B8" s="84"/>
      <c r="C8" s="111">
        <f>'Quarterly ProForma Results'!DH51</f>
        <v>0.77365184839965728</v>
      </c>
      <c r="D8" s="95">
        <f t="shared" si="0"/>
        <v>0.27499236468825788</v>
      </c>
      <c r="E8" s="82"/>
      <c r="F8" s="111">
        <f>'Quarterly ProForma Results'!DJ51</f>
        <v>0.71630748955416113</v>
      </c>
      <c r="G8" s="95">
        <f t="shared" si="1"/>
        <v>0.25460947427951058</v>
      </c>
      <c r="H8" s="82"/>
      <c r="I8" s="111">
        <f>'Quarterly ProForma Results'!DL51</f>
        <v>0.61596142731116721</v>
      </c>
      <c r="J8" s="95">
        <f t="shared" si="2"/>
        <v>0.21894174983674397</v>
      </c>
      <c r="K8" s="80"/>
      <c r="L8" s="111">
        <f>'Quarterly ProForma Results'!DN51</f>
        <v>0.70646535036778935</v>
      </c>
      <c r="M8" s="95">
        <f t="shared" si="3"/>
        <v>0.25111111370033024</v>
      </c>
      <c r="N8" s="82"/>
      <c r="O8" s="113">
        <f>'Quarterly ProForma Results'!DP51</f>
        <v>2.8133575609515535</v>
      </c>
      <c r="P8" s="94"/>
      <c r="Q8" s="118">
        <v>2985</v>
      </c>
      <c r="R8" s="119">
        <v>384</v>
      </c>
      <c r="S8" s="119">
        <v>5</v>
      </c>
      <c r="T8" s="119">
        <v>18</v>
      </c>
      <c r="U8" s="115">
        <f t="shared" ref="U8:U10" si="4">SUM(Q8:T8)</f>
        <v>3392</v>
      </c>
    </row>
    <row r="9" spans="1:21" x14ac:dyDescent="0.2">
      <c r="A9" s="109" t="s">
        <v>181</v>
      </c>
      <c r="B9" s="84"/>
      <c r="C9" s="111">
        <f>'Quarterly ProForma Results'!DR51</f>
        <v>0.78627200895912397</v>
      </c>
      <c r="D9" s="95">
        <f t="shared" ref="D9" si="5">C9/O9</f>
        <v>0.27023747449293872</v>
      </c>
      <c r="E9" s="82"/>
      <c r="F9" s="111">
        <f>'Quarterly ProForma Results'!DT51</f>
        <v>0.68054411857857733</v>
      </c>
      <c r="G9" s="95">
        <f t="shared" ref="G9" si="6">F9/O9</f>
        <v>0.23389936534706102</v>
      </c>
      <c r="H9" s="82"/>
      <c r="I9" s="111">
        <f>'Quarterly ProForma Results'!DV51</f>
        <v>0.5955474018246727</v>
      </c>
      <c r="J9" s="95">
        <f t="shared" ref="J9" si="7">I9/O9</f>
        <v>0.20468644944258432</v>
      </c>
      <c r="K9" s="80"/>
      <c r="L9" s="111">
        <f>'Quarterly ProForma Results'!DX51</f>
        <v>0.8473268356511382</v>
      </c>
      <c r="M9" s="95">
        <f t="shared" ref="M9" si="8">L9/O9</f>
        <v>0.29122169112898044</v>
      </c>
      <c r="N9" s="82"/>
      <c r="O9" s="113">
        <f>'Quarterly ProForma Results'!DZ51</f>
        <v>2.9095594918300982</v>
      </c>
      <c r="P9" s="94"/>
      <c r="Q9" s="118">
        <v>2994</v>
      </c>
      <c r="R9" s="119">
        <v>750</v>
      </c>
      <c r="S9" s="119">
        <v>52</v>
      </c>
      <c r="T9" s="119">
        <v>28</v>
      </c>
      <c r="U9" s="115">
        <f t="shared" si="4"/>
        <v>3824</v>
      </c>
    </row>
    <row r="10" spans="1:21" x14ac:dyDescent="0.2">
      <c r="A10" s="110">
        <v>2012</v>
      </c>
      <c r="B10" s="84"/>
      <c r="C10" s="112">
        <f>'Quarterly ProForma Results'!EB51</f>
        <v>0.86662217402185704</v>
      </c>
      <c r="D10" s="96"/>
      <c r="E10" s="82"/>
      <c r="F10" s="112">
        <f>'Quarterly ProForma Results'!ED51</f>
        <v>0.74158246332538857</v>
      </c>
      <c r="G10" s="96"/>
      <c r="H10" s="82"/>
      <c r="I10" s="112">
        <f>'Quarterly ProForma Results'!EF51</f>
        <v>0.67288238467763695</v>
      </c>
      <c r="J10" s="96"/>
      <c r="K10" s="80"/>
      <c r="L10" s="112"/>
      <c r="M10" s="96"/>
      <c r="N10" s="82"/>
      <c r="O10" s="132"/>
      <c r="P10" s="94"/>
      <c r="Q10" s="120">
        <v>2983</v>
      </c>
      <c r="R10" s="121">
        <v>882</v>
      </c>
      <c r="S10" s="121">
        <v>81</v>
      </c>
      <c r="T10" s="121">
        <v>33</v>
      </c>
      <c r="U10" s="116">
        <f t="shared" si="4"/>
        <v>3979</v>
      </c>
    </row>
    <row r="11" spans="1:21" x14ac:dyDescent="0.2">
      <c r="A11" s="80"/>
      <c r="B11" s="84"/>
      <c r="C11" s="81"/>
      <c r="D11" s="82"/>
      <c r="E11" s="82"/>
      <c r="F11" s="81"/>
      <c r="G11" s="82"/>
      <c r="H11" s="82"/>
      <c r="I11" s="81"/>
      <c r="J11" s="82"/>
      <c r="K11" s="80"/>
      <c r="L11" s="81"/>
      <c r="M11" s="82"/>
      <c r="N11" s="82"/>
      <c r="O11" s="81"/>
      <c r="P11" s="82"/>
      <c r="Q11" s="79"/>
    </row>
    <row r="12" spans="1:21" s="80" customFormat="1" x14ac:dyDescent="0.2">
      <c r="A12" s="126" t="s">
        <v>196</v>
      </c>
      <c r="B12" s="84"/>
      <c r="E12" s="82"/>
      <c r="H12" s="82"/>
      <c r="N12" s="82"/>
      <c r="P12" s="85"/>
    </row>
    <row r="13" spans="1:21" s="80" customFormat="1" x14ac:dyDescent="0.2">
      <c r="A13" s="125" t="s">
        <v>194</v>
      </c>
      <c r="B13" s="85"/>
      <c r="D13" s="82"/>
      <c r="E13" s="82"/>
      <c r="G13" s="82"/>
      <c r="H13" s="82"/>
      <c r="J13" s="82"/>
      <c r="K13" s="82"/>
      <c r="M13" s="82"/>
      <c r="N13" s="82"/>
      <c r="P13" s="82"/>
    </row>
    <row r="14" spans="1:21" s="80" customFormat="1" x14ac:dyDescent="0.2">
      <c r="A14" s="85"/>
      <c r="B14" s="85"/>
      <c r="D14" s="82"/>
      <c r="E14" s="82"/>
      <c r="G14" s="82"/>
      <c r="H14" s="82"/>
      <c r="J14" s="82"/>
      <c r="K14" s="82"/>
      <c r="M14" s="82"/>
      <c r="N14" s="82"/>
      <c r="P14" s="82"/>
    </row>
    <row r="15" spans="1:21" s="80" customFormat="1" x14ac:dyDescent="0.2">
      <c r="A15" s="85"/>
      <c r="B15" s="85"/>
      <c r="D15" s="82"/>
      <c r="E15" s="82"/>
      <c r="G15" s="82"/>
      <c r="H15" s="82"/>
      <c r="J15" s="82"/>
      <c r="K15" s="82"/>
      <c r="M15" s="82"/>
      <c r="N15" s="82"/>
      <c r="P15" s="82"/>
    </row>
    <row r="16" spans="1:21" s="80" customFormat="1" x14ac:dyDescent="0.2">
      <c r="P16" s="82"/>
    </row>
    <row r="17" spans="1:16" s="80" customFormat="1" x14ac:dyDescent="0.2">
      <c r="A17" s="84"/>
      <c r="B17" s="84"/>
      <c r="P17" s="82"/>
    </row>
    <row r="18" spans="1:16" s="80" customFormat="1" x14ac:dyDescent="0.2">
      <c r="A18" s="85"/>
      <c r="B18" s="85"/>
      <c r="D18" s="82"/>
      <c r="E18" s="82"/>
      <c r="G18" s="82"/>
      <c r="H18" s="82"/>
      <c r="J18" s="82"/>
      <c r="K18" s="82"/>
      <c r="M18" s="82"/>
      <c r="N18" s="82"/>
      <c r="P18" s="82"/>
    </row>
    <row r="19" spans="1:16" s="80" customFormat="1" x14ac:dyDescent="0.2">
      <c r="A19" s="85"/>
      <c r="B19" s="85"/>
      <c r="D19" s="82"/>
      <c r="E19" s="82"/>
      <c r="G19" s="82"/>
      <c r="H19" s="82"/>
      <c r="J19" s="82"/>
      <c r="K19" s="82"/>
      <c r="M19" s="82"/>
      <c r="N19" s="82"/>
      <c r="P19" s="82"/>
    </row>
    <row r="20" spans="1:16" s="80" customFormat="1" x14ac:dyDescent="0.2">
      <c r="A20" s="85"/>
      <c r="B20" s="85"/>
      <c r="D20" s="82"/>
      <c r="E20" s="82"/>
      <c r="G20" s="82"/>
      <c r="H20" s="82"/>
      <c r="J20" s="82"/>
      <c r="K20" s="82"/>
      <c r="M20" s="82"/>
      <c r="N20" s="82"/>
      <c r="P20" s="82"/>
    </row>
    <row r="21" spans="1:16" s="80" customFormat="1" x14ac:dyDescent="0.2">
      <c r="P21" s="82"/>
    </row>
    <row r="22" spans="1:16" s="80" customFormat="1" x14ac:dyDescent="0.2">
      <c r="A22" s="84"/>
      <c r="B22" s="84"/>
      <c r="P22" s="82"/>
    </row>
    <row r="23" spans="1:16" s="80" customFormat="1" x14ac:dyDescent="0.2">
      <c r="A23" s="85"/>
      <c r="B23" s="85"/>
      <c r="D23" s="82"/>
      <c r="E23" s="82"/>
      <c r="G23" s="82"/>
      <c r="H23" s="82"/>
      <c r="J23" s="82"/>
      <c r="K23" s="82"/>
      <c r="M23" s="82"/>
      <c r="N23" s="82"/>
      <c r="P23" s="82"/>
    </row>
    <row r="24" spans="1:16" s="80" customFormat="1" x14ac:dyDescent="0.2">
      <c r="A24" s="85"/>
      <c r="B24" s="85"/>
      <c r="D24" s="82"/>
      <c r="E24" s="82"/>
      <c r="G24" s="82"/>
      <c r="H24" s="82"/>
      <c r="J24" s="82"/>
      <c r="K24" s="82"/>
      <c r="M24" s="82"/>
      <c r="N24" s="82"/>
      <c r="P24" s="82"/>
    </row>
    <row r="25" spans="1:16" s="80" customFormat="1" x14ac:dyDescent="0.2">
      <c r="A25" s="86"/>
      <c r="B25" s="86"/>
      <c r="C25" s="87"/>
      <c r="D25" s="88"/>
      <c r="E25" s="88"/>
      <c r="F25" s="87"/>
      <c r="G25" s="88"/>
      <c r="H25" s="88"/>
      <c r="I25" s="87"/>
      <c r="J25" s="88"/>
      <c r="K25" s="88"/>
      <c r="L25" s="87"/>
      <c r="M25" s="88"/>
      <c r="N25" s="88"/>
      <c r="O25" s="87"/>
      <c r="P25" s="88"/>
    </row>
    <row r="26" spans="1:16" s="80" customFormat="1" x14ac:dyDescent="0.2"/>
    <row r="27" spans="1:16" s="80" customFormat="1" x14ac:dyDescent="0.2">
      <c r="A27" s="89"/>
      <c r="B27" s="89"/>
    </row>
    <row r="28" spans="1:16" s="80" customFormat="1" x14ac:dyDescent="0.2">
      <c r="A28" s="89"/>
      <c r="B28" s="89"/>
    </row>
    <row r="29" spans="1:16" s="80" customFormat="1" x14ac:dyDescent="0.2">
      <c r="A29" s="90"/>
      <c r="B29" s="90"/>
      <c r="C29" s="91"/>
      <c r="O29" s="92"/>
    </row>
    <row r="30" spans="1:16" s="80" customFormat="1" x14ac:dyDescent="0.2">
      <c r="A30" s="85"/>
      <c r="B30" s="85"/>
      <c r="D30" s="82"/>
      <c r="E30" s="82"/>
      <c r="G30" s="82"/>
      <c r="H30" s="82"/>
      <c r="J30" s="82"/>
      <c r="K30" s="82"/>
      <c r="M30" s="82"/>
      <c r="N30" s="82"/>
      <c r="P30" s="82"/>
    </row>
    <row r="31" spans="1:16" s="80" customFormat="1" x14ac:dyDescent="0.2">
      <c r="A31" s="85"/>
      <c r="B31" s="85"/>
      <c r="D31" s="82"/>
      <c r="E31" s="82"/>
      <c r="G31" s="82"/>
      <c r="H31" s="82"/>
      <c r="J31" s="82"/>
      <c r="K31" s="82"/>
      <c r="M31" s="82"/>
      <c r="N31" s="82"/>
      <c r="P31" s="82"/>
    </row>
    <row r="32" spans="1:16" s="80" customFormat="1" x14ac:dyDescent="0.2">
      <c r="A32" s="85"/>
      <c r="B32" s="85"/>
      <c r="D32" s="92"/>
      <c r="E32" s="92"/>
      <c r="G32" s="92"/>
      <c r="H32" s="92"/>
      <c r="J32" s="92"/>
      <c r="K32" s="92"/>
      <c r="M32" s="92"/>
      <c r="N32" s="92"/>
      <c r="P32" s="93"/>
    </row>
    <row r="33" spans="1:16" s="80" customFormat="1" x14ac:dyDescent="0.2">
      <c r="A33" s="85"/>
      <c r="B33" s="85"/>
      <c r="D33" s="92"/>
      <c r="E33" s="92"/>
      <c r="G33" s="92"/>
      <c r="H33" s="92"/>
      <c r="J33" s="92"/>
      <c r="K33" s="92"/>
      <c r="M33" s="92"/>
      <c r="N33" s="92"/>
      <c r="P33" s="93"/>
    </row>
    <row r="34" spans="1:16" s="80" customFormat="1" x14ac:dyDescent="0.2"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P34" s="93"/>
    </row>
    <row r="35" spans="1:16" s="80" customFormat="1" x14ac:dyDescent="0.2">
      <c r="A35" s="83"/>
      <c r="B35" s="83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P35" s="93"/>
    </row>
    <row r="36" spans="1:16" s="80" customFormat="1" x14ac:dyDescent="0.2"/>
    <row r="37" spans="1:16" s="80" customFormat="1" x14ac:dyDescent="0.2">
      <c r="A37" s="90"/>
      <c r="B37" s="90"/>
      <c r="C37" s="91"/>
      <c r="O37" s="92"/>
    </row>
    <row r="38" spans="1:16" s="80" customFormat="1" x14ac:dyDescent="0.2">
      <c r="A38" s="85"/>
      <c r="B38" s="85"/>
      <c r="D38" s="82"/>
      <c r="E38" s="82"/>
      <c r="G38" s="82"/>
      <c r="H38" s="82"/>
      <c r="J38" s="82"/>
      <c r="K38" s="82"/>
      <c r="M38" s="82"/>
      <c r="N38" s="82"/>
      <c r="P38" s="82"/>
    </row>
    <row r="39" spans="1:16" s="80" customFormat="1" x14ac:dyDescent="0.2">
      <c r="A39" s="85"/>
      <c r="B39" s="85"/>
      <c r="D39" s="82"/>
      <c r="E39" s="82"/>
      <c r="G39" s="82"/>
      <c r="H39" s="82"/>
      <c r="J39" s="82"/>
      <c r="K39" s="82"/>
      <c r="M39" s="82"/>
      <c r="N39" s="82"/>
      <c r="P39" s="82"/>
    </row>
    <row r="40" spans="1:16" s="80" customFormat="1" x14ac:dyDescent="0.2">
      <c r="A40" s="85"/>
      <c r="B40" s="85"/>
      <c r="D40" s="92"/>
      <c r="E40" s="92"/>
      <c r="G40" s="92"/>
      <c r="H40" s="92"/>
      <c r="J40" s="92"/>
      <c r="K40" s="92"/>
      <c r="M40" s="92"/>
      <c r="N40" s="92"/>
      <c r="P40" s="93"/>
    </row>
    <row r="41" spans="1:16" s="80" customFormat="1" x14ac:dyDescent="0.2">
      <c r="A41" s="85"/>
      <c r="B41" s="85"/>
      <c r="D41" s="92"/>
      <c r="E41" s="92"/>
      <c r="G41" s="92"/>
      <c r="H41" s="92"/>
      <c r="J41" s="92"/>
      <c r="K41" s="92"/>
      <c r="M41" s="92"/>
      <c r="N41" s="92"/>
      <c r="P41" s="93"/>
    </row>
    <row r="42" spans="1:16" s="80" customFormat="1" x14ac:dyDescent="0.2">
      <c r="D42" s="92"/>
      <c r="E42" s="92"/>
      <c r="G42" s="92"/>
      <c r="H42" s="92"/>
      <c r="J42" s="92"/>
      <c r="K42" s="92"/>
      <c r="M42" s="92"/>
      <c r="N42" s="92"/>
      <c r="P42" s="93"/>
    </row>
    <row r="43" spans="1:16" s="80" customFormat="1" x14ac:dyDescent="0.2">
      <c r="A43" s="83"/>
      <c r="B43" s="83"/>
      <c r="D43" s="92"/>
      <c r="E43" s="92"/>
      <c r="G43" s="92"/>
      <c r="H43" s="92"/>
      <c r="J43" s="92"/>
      <c r="K43" s="92"/>
      <c r="M43" s="92"/>
      <c r="N43" s="92"/>
      <c r="P43" s="93"/>
    </row>
  </sheetData>
  <pageMargins left="0.7" right="0.7" top="0.75" bottom="0.75" header="0.3" footer="0.3"/>
  <pageSetup scale="90" orientation="landscape" r:id="rId1"/>
  <headerFooter>
    <oddFooter>&amp;C&amp;Z&amp;F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Quarterly ProForma Results</vt:lpstr>
      <vt:lpstr>EPS Contribution</vt:lpstr>
      <vt:lpstr>'Quarterly ProForma Results'!Print_Titles</vt:lpstr>
    </vt:vector>
  </TitlesOfParts>
  <Company>Rent A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cp:lastPrinted>2012-10-20T00:04:44Z</cp:lastPrinted>
  <dcterms:created xsi:type="dcterms:W3CDTF">2003-11-28T15:53:48Z</dcterms:created>
  <dcterms:modified xsi:type="dcterms:W3CDTF">2012-10-22T23:24:38Z</dcterms:modified>
</cp:coreProperties>
</file>