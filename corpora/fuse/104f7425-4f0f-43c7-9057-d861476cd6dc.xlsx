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15480" windowHeight="11640" activeTab="1"/>
  </bookViews>
  <sheets>
    <sheet name="Blank" sheetId="2" r:id="rId1"/>
    <sheet name="Total" sheetId="7" r:id="rId2"/>
  </sheets>
  <calcPr calcId="145621"/>
</workbook>
</file>

<file path=xl/calcChain.xml><?xml version="1.0" encoding="utf-8"?>
<calcChain xmlns="http://schemas.openxmlformats.org/spreadsheetml/2006/main">
  <c r="J47" i="7" l="1"/>
  <c r="J44" i="7"/>
  <c r="J43" i="7"/>
  <c r="J42" i="7"/>
  <c r="J41" i="7"/>
  <c r="J40" i="7"/>
  <c r="J39" i="7"/>
  <c r="J38" i="7"/>
  <c r="J37" i="7"/>
  <c r="J36" i="7"/>
  <c r="J34" i="7"/>
  <c r="J33" i="7"/>
  <c r="J32" i="7"/>
  <c r="J31" i="7"/>
  <c r="J29" i="7"/>
  <c r="J28" i="7"/>
  <c r="J27" i="7"/>
  <c r="J26" i="7"/>
  <c r="J25" i="7"/>
  <c r="J24" i="7"/>
</calcChain>
</file>

<file path=xl/sharedStrings.xml><?xml version="1.0" encoding="utf-8"?>
<sst xmlns="http://schemas.openxmlformats.org/spreadsheetml/2006/main" count="256" uniqueCount="91">
  <si>
    <t>Organization:</t>
  </si>
  <si>
    <t>Contact Name:</t>
  </si>
  <si>
    <t>Ship-To Address:</t>
  </si>
  <si>
    <t>Bill-To Address:</t>
  </si>
  <si>
    <t>Commercial</t>
  </si>
  <si>
    <t>Residential</t>
  </si>
  <si>
    <t>Phone:</t>
  </si>
  <si>
    <t>Fax:</t>
  </si>
  <si>
    <t>E-mail:</t>
  </si>
  <si>
    <t>Price</t>
  </si>
  <si>
    <t>Number</t>
  </si>
  <si>
    <t>Item</t>
  </si>
  <si>
    <t>Qty</t>
  </si>
  <si>
    <t>(Includes Shipping)</t>
  </si>
  <si>
    <t>Genesis</t>
  </si>
  <si>
    <t>Ea</t>
  </si>
  <si>
    <t>Bows:</t>
  </si>
  <si>
    <t>Total</t>
  </si>
  <si>
    <t>Name:</t>
  </si>
  <si>
    <t>Mini</t>
  </si>
  <si>
    <t>Mini Right Hand Red</t>
  </si>
  <si>
    <t>Mini Right Hand Blue</t>
  </si>
  <si>
    <t>Mini Right Hand Black</t>
  </si>
  <si>
    <t>Mini Left Hand Red</t>
  </si>
  <si>
    <t>Mini Left Hand Blue</t>
  </si>
  <si>
    <t>Mini Left Hand Black</t>
  </si>
  <si>
    <t>Pro</t>
  </si>
  <si>
    <t>Genesis Pro Right Hand Black</t>
  </si>
  <si>
    <t>Genesis Pro Right Hand Black/Red</t>
  </si>
  <si>
    <t>10492A</t>
  </si>
  <si>
    <t>10496A</t>
  </si>
  <si>
    <t>Genesis Pro Left Hand Black</t>
  </si>
  <si>
    <t>Genesis Pro Left Hand Black/Red</t>
  </si>
  <si>
    <t>10491A</t>
  </si>
  <si>
    <t>10497A</t>
  </si>
  <si>
    <t>***</t>
  </si>
  <si>
    <t>Replacement</t>
  </si>
  <si>
    <t>Parts:</t>
  </si>
  <si>
    <t>$17/each</t>
  </si>
  <si>
    <t>$8/each</t>
  </si>
  <si>
    <t>Power Cable Genesis &amp; Pro 37.25"</t>
  </si>
  <si>
    <t>Cable Rod Slide</t>
  </si>
  <si>
    <t>$1/each</t>
  </si>
  <si>
    <t>Copy of 501c3</t>
  </si>
  <si>
    <t>Copy of Sales Tax Exemption</t>
  </si>
  <si>
    <t>$10/each</t>
  </si>
  <si>
    <t>$111/bow</t>
  </si>
  <si>
    <t>$131/bow</t>
  </si>
  <si>
    <t>*** Please note - Genesis Pro does NOT include a rest.  You will have to purchase a rest separately ***</t>
  </si>
  <si>
    <t>Prices effective:</t>
  </si>
  <si>
    <t>(NO PO Box)</t>
  </si>
  <si>
    <t>City State Zip:</t>
  </si>
  <si>
    <t>(If different)</t>
  </si>
  <si>
    <t>from another source.  Minis and Pros are not eligible for NASP tournament competition.</t>
  </si>
  <si>
    <t>www.archeryintheschools.org</t>
  </si>
  <si>
    <t>address in the lower 48 States</t>
  </si>
  <si>
    <t>Right Hand Arrow Rest (Not Pro)</t>
  </si>
  <si>
    <t>Left Hand Arrow Rest (Not Pro)</t>
  </si>
  <si>
    <t xml:space="preserve">** All prices include shipping to a commercial </t>
  </si>
  <si>
    <t>NASP Equipment  - Supplemental Order Form</t>
  </si>
  <si>
    <t>Payment accepted by Check, MasterCard, Visa, or Purchase Order:</t>
  </si>
  <si>
    <t>VISA / MasterCard:</t>
  </si>
  <si>
    <t>PO Number:</t>
  </si>
  <si>
    <t>*PO Number is REQUIRED if order is not prepaid.</t>
  </si>
  <si>
    <t>Card #:</t>
  </si>
  <si>
    <t>Expires:</t>
  </si>
  <si>
    <t>3-Digit Code</t>
  </si>
  <si>
    <t>Retain CC# for future orders?       Yes       No</t>
  </si>
  <si>
    <t xml:space="preserve">Evidence of Non-Profit Status:  </t>
  </si>
  <si>
    <t>BG20014</t>
  </si>
  <si>
    <t>BG20015</t>
  </si>
  <si>
    <t>BG11498</t>
  </si>
  <si>
    <t>BG10897</t>
  </si>
  <si>
    <t>BG11490</t>
  </si>
  <si>
    <t>BG11491</t>
  </si>
  <si>
    <t>BG11497</t>
  </si>
  <si>
    <t>BG11492</t>
  </si>
  <si>
    <t>NASP, Inc.</t>
  </si>
  <si>
    <t>W4285 Lake Drive</t>
  </si>
  <si>
    <t>Waldo, WI  53093</t>
  </si>
  <si>
    <t>Phone: (920) 523-6040</t>
  </si>
  <si>
    <t>Fax:     (920) 523-6042</t>
  </si>
  <si>
    <t>**Sales tax will be added in KY, WI, OH, and MD if sales tax exemption certificate is not rec'd.**</t>
  </si>
  <si>
    <t>String (Orig or Pro) 94 1/4" (Blk &amp; Wht)</t>
  </si>
  <si>
    <t>String (Orig or Pro) 94 1/4" (Blk &amp; Red)</t>
  </si>
  <si>
    <t>String Mini 79 1/4" (Blk and Wht)</t>
  </si>
  <si>
    <t>String Mini 79 1/4" (Black and Red)</t>
  </si>
  <si>
    <t xml:space="preserve">Power Cable Mini 31" </t>
  </si>
  <si>
    <t xml:space="preserve">   Jan 1 - Dec 31, 2013</t>
  </si>
  <si>
    <t>Email: michelleh@nasparchery.com</t>
  </si>
  <si>
    <t>*** BY SUBMITTING AN ORDER TO NASP YOU AGREE THESE ITEMS WILL STAY PROPERTY OF THE ORGANIZATION***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</si>
</sst>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#,###.00"/>
  </numFmts>
  <fonts count="11" x14ac:knownFonts="1">
    <font>
      <sz val="10"/>
      <name val="Arial"/>
    </font>
    <font>
      <u/>
      <sz val="10"/>
      <color indexed="12"/>
      <name val="Arial"/>
      <family val="2"/>
    </font>
    <font>
      <b/>
      <i/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b/>
      <sz val="8"/>
      <name val="Arial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0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3" fillId="0" borderId="0" xfId="0" applyFont="1" applyAlignment="1">
      <alignment horizontal="right"/>
    </xf>
    <xf numFmtId="0" fontId="3" fillId="0" borderId="0" xfId="0" applyFont="1" applyAlignment="1"/>
    <xf numFmtId="0" fontId="5" fillId="0" borderId="0" xfId="0" applyFont="1" applyAlignment="1">
      <alignment horizontal="left"/>
    </xf>
    <xf numFmtId="0" fontId="4" fillId="0" borderId="1" xfId="0" applyFont="1" applyBorder="1"/>
    <xf numFmtId="0" fontId="5" fillId="0" borderId="0" xfId="0" applyFont="1" applyBorder="1"/>
    <xf numFmtId="0" fontId="5" fillId="0" borderId="0" xfId="0" applyFont="1" applyAlignment="1"/>
    <xf numFmtId="0" fontId="5" fillId="0" borderId="0" xfId="0" applyFont="1"/>
    <xf numFmtId="0" fontId="4" fillId="0" borderId="2" xfId="0" applyFont="1" applyBorder="1"/>
    <xf numFmtId="0" fontId="4" fillId="0" borderId="0" xfId="0" applyFont="1" applyBorder="1"/>
    <xf numFmtId="0" fontId="4" fillId="0" borderId="0" xfId="0" applyFont="1" applyFill="1" applyBorder="1"/>
    <xf numFmtId="0" fontId="5" fillId="0" borderId="0" xfId="0" applyFont="1" applyAlignment="1">
      <alignment horizontal="right"/>
    </xf>
    <xf numFmtId="0" fontId="5" fillId="0" borderId="1" xfId="0" applyFont="1" applyBorder="1"/>
    <xf numFmtId="0" fontId="1" fillId="0" borderId="1" xfId="1" applyBorder="1" applyAlignment="1" applyProtection="1"/>
    <xf numFmtId="0" fontId="5" fillId="0" borderId="0" xfId="0" applyFont="1" applyFill="1"/>
    <xf numFmtId="0" fontId="6" fillId="0" borderId="0" xfId="0" applyFont="1" applyAlignment="1">
      <alignment horizontal="center"/>
    </xf>
    <xf numFmtId="0" fontId="6" fillId="0" borderId="0" xfId="0" applyFont="1" applyFill="1" applyAlignment="1">
      <alignment horizontal="center"/>
    </xf>
    <xf numFmtId="0" fontId="6" fillId="0" borderId="0" xfId="0" applyFont="1" applyAlignment="1">
      <alignment horizontal="right"/>
    </xf>
    <xf numFmtId="0" fontId="5" fillId="0" borderId="3" xfId="0" applyFont="1" applyBorder="1" applyAlignment="1">
      <alignment horizontal="center"/>
    </xf>
    <xf numFmtId="0" fontId="4" fillId="0" borderId="3" xfId="0" applyFont="1" applyBorder="1"/>
    <xf numFmtId="166" fontId="0" fillId="0" borderId="3" xfId="0" applyNumberFormat="1" applyBorder="1"/>
    <xf numFmtId="0" fontId="4" fillId="0" borderId="0" xfId="0" applyFont="1" applyFill="1"/>
    <xf numFmtId="0" fontId="5" fillId="0" borderId="0" xfId="0" applyFont="1" applyAlignment="1">
      <alignment horizontal="center"/>
    </xf>
    <xf numFmtId="166" fontId="0" fillId="0" borderId="0" xfId="0" applyNumberFormat="1"/>
    <xf numFmtId="0" fontId="4" fillId="0" borderId="0" xfId="0" applyFont="1" applyFill="1" applyBorder="1" applyAlignment="1">
      <alignment horizontal="center"/>
    </xf>
    <xf numFmtId="0" fontId="6" fillId="0" borderId="0" xfId="0" applyFont="1" applyAlignment="1">
      <alignment horizontal="left"/>
    </xf>
    <xf numFmtId="0" fontId="4" fillId="2" borderId="0" xfId="0" applyFont="1" applyFill="1" applyBorder="1"/>
    <xf numFmtId="0" fontId="5" fillId="0" borderId="0" xfId="0" applyFont="1" applyBorder="1" applyAlignment="1">
      <alignment horizontal="right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right"/>
    </xf>
    <xf numFmtId="166" fontId="0" fillId="0" borderId="4" xfId="0" applyNumberFormat="1" applyBorder="1"/>
    <xf numFmtId="166" fontId="0" fillId="0" borderId="0" xfId="0" applyNumberFormat="1" applyBorder="1"/>
    <xf numFmtId="0" fontId="9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4" fillId="0" borderId="1" xfId="0" applyFont="1" applyFill="1" applyBorder="1"/>
    <xf numFmtId="0" fontId="6" fillId="0" borderId="0" xfId="0" applyFont="1"/>
    <xf numFmtId="49" fontId="4" fillId="0" borderId="2" xfId="0" applyNumberFormat="1" applyFont="1" applyFill="1" applyBorder="1"/>
    <xf numFmtId="0" fontId="5" fillId="0" borderId="0" xfId="0" applyFont="1" applyFill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5" fillId="0" borderId="0" xfId="0" applyFont="1" applyBorder="1" applyAlignment="1">
      <alignment horizontal="left"/>
    </xf>
    <xf numFmtId="0" fontId="0" fillId="0" borderId="0" xfId="0" applyBorder="1"/>
    <xf numFmtId="0" fontId="3" fillId="0" borderId="0" xfId="0" applyFont="1" applyBorder="1" applyAlignment="1">
      <alignment horizontal="center"/>
    </xf>
    <xf numFmtId="0" fontId="8" fillId="0" borderId="0" xfId="0" applyFont="1" applyAlignment="1">
      <alignment horizontal="right"/>
    </xf>
    <xf numFmtId="0" fontId="8" fillId="0" borderId="0" xfId="0" applyFont="1" applyAlignment="1">
      <alignment horizontal="center"/>
    </xf>
    <xf numFmtId="0" fontId="5" fillId="0" borderId="3" xfId="0" applyFont="1" applyBorder="1" applyAlignment="1">
      <alignment horizontal="left"/>
    </xf>
    <xf numFmtId="0" fontId="5" fillId="0" borderId="3" xfId="0" applyFont="1" applyBorder="1" applyAlignment="1"/>
    <xf numFmtId="16" fontId="4" fillId="0" borderId="2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5" fillId="3" borderId="0" xfId="0" applyFont="1" applyFill="1" applyAlignment="1">
      <alignment horizontal="center"/>
    </xf>
    <xf numFmtId="0" fontId="3" fillId="0" borderId="0" xfId="0" applyFont="1" applyAlignment="1">
      <alignment horizontal="right"/>
    </xf>
    <xf numFmtId="0" fontId="10" fillId="2" borderId="0" xfId="0" applyFont="1" applyFill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6" fillId="3" borderId="6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12</xdr:row>
      <xdr:rowOff>28575</xdr:rowOff>
    </xdr:from>
    <xdr:to>
      <xdr:col>2</xdr:col>
      <xdr:colOff>752475</xdr:colOff>
      <xdr:row>12</xdr:row>
      <xdr:rowOff>161925</xdr:rowOff>
    </xdr:to>
    <xdr:sp macro="" textlink="">
      <xdr:nvSpPr>
        <xdr:cNvPr id="2646" name="AutoShape 19"/>
        <xdr:cNvSpPr>
          <a:spLocks noChangeArrowheads="1"/>
        </xdr:cNvSpPr>
      </xdr:nvSpPr>
      <xdr:spPr bwMode="auto">
        <a:xfrm>
          <a:off x="2209800" y="2257425"/>
          <a:ext cx="152400" cy="133350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657225</xdr:colOff>
      <xdr:row>12</xdr:row>
      <xdr:rowOff>38100</xdr:rowOff>
    </xdr:from>
    <xdr:to>
      <xdr:col>0</xdr:col>
      <xdr:colOff>809625</xdr:colOff>
      <xdr:row>12</xdr:row>
      <xdr:rowOff>171450</xdr:rowOff>
    </xdr:to>
    <xdr:sp macro="" textlink="">
      <xdr:nvSpPr>
        <xdr:cNvPr id="2647" name="AutoShape 23"/>
        <xdr:cNvSpPr>
          <a:spLocks noChangeArrowheads="1"/>
        </xdr:cNvSpPr>
      </xdr:nvSpPr>
      <xdr:spPr bwMode="auto">
        <a:xfrm>
          <a:off x="657225" y="2266950"/>
          <a:ext cx="152400" cy="133350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13</xdr:row>
      <xdr:rowOff>180975</xdr:rowOff>
    </xdr:from>
    <xdr:to>
      <xdr:col>5</xdr:col>
      <xdr:colOff>0</xdr:colOff>
      <xdr:row>15</xdr:row>
      <xdr:rowOff>0</xdr:rowOff>
    </xdr:to>
    <xdr:sp macro="" textlink="">
      <xdr:nvSpPr>
        <xdr:cNvPr id="10" name="Rectangle 9"/>
        <xdr:cNvSpPr/>
      </xdr:nvSpPr>
      <xdr:spPr>
        <a:xfrm>
          <a:off x="2876550" y="2828925"/>
          <a:ext cx="171450" cy="20002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>
    <xdr:from>
      <xdr:col>7</xdr:col>
      <xdr:colOff>66675</xdr:colOff>
      <xdr:row>14</xdr:row>
      <xdr:rowOff>9525</xdr:rowOff>
    </xdr:from>
    <xdr:to>
      <xdr:col>7</xdr:col>
      <xdr:colOff>257174</xdr:colOff>
      <xdr:row>14</xdr:row>
      <xdr:rowOff>180975</xdr:rowOff>
    </xdr:to>
    <xdr:sp macro="" textlink="">
      <xdr:nvSpPr>
        <xdr:cNvPr id="11" name="Rectangle 10"/>
        <xdr:cNvSpPr/>
      </xdr:nvSpPr>
      <xdr:spPr>
        <a:xfrm>
          <a:off x="4191000" y="2847975"/>
          <a:ext cx="190499" cy="1714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12</xdr:row>
      <xdr:rowOff>28575</xdr:rowOff>
    </xdr:from>
    <xdr:to>
      <xdr:col>2</xdr:col>
      <xdr:colOff>752475</xdr:colOff>
      <xdr:row>12</xdr:row>
      <xdr:rowOff>161925</xdr:rowOff>
    </xdr:to>
    <xdr:sp macro="" textlink="">
      <xdr:nvSpPr>
        <xdr:cNvPr id="2" name="AutoShape 19"/>
        <xdr:cNvSpPr>
          <a:spLocks noChangeArrowheads="1"/>
        </xdr:cNvSpPr>
      </xdr:nvSpPr>
      <xdr:spPr bwMode="auto">
        <a:xfrm>
          <a:off x="2209800" y="2486025"/>
          <a:ext cx="152400" cy="133350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657225</xdr:colOff>
      <xdr:row>12</xdr:row>
      <xdr:rowOff>38100</xdr:rowOff>
    </xdr:from>
    <xdr:to>
      <xdr:col>0</xdr:col>
      <xdr:colOff>809625</xdr:colOff>
      <xdr:row>12</xdr:row>
      <xdr:rowOff>171450</xdr:rowOff>
    </xdr:to>
    <xdr:sp macro="" textlink="">
      <xdr:nvSpPr>
        <xdr:cNvPr id="3" name="AutoShape 23"/>
        <xdr:cNvSpPr>
          <a:spLocks noChangeArrowheads="1"/>
        </xdr:cNvSpPr>
      </xdr:nvSpPr>
      <xdr:spPr bwMode="auto">
        <a:xfrm>
          <a:off x="657225" y="2495550"/>
          <a:ext cx="152400" cy="133350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13</xdr:row>
      <xdr:rowOff>180975</xdr:rowOff>
    </xdr:from>
    <xdr:to>
      <xdr:col>5</xdr:col>
      <xdr:colOff>0</xdr:colOff>
      <xdr:row>15</xdr:row>
      <xdr:rowOff>0</xdr:rowOff>
    </xdr:to>
    <xdr:sp macro="" textlink="">
      <xdr:nvSpPr>
        <xdr:cNvPr id="4" name="Rectangle 3"/>
        <xdr:cNvSpPr/>
      </xdr:nvSpPr>
      <xdr:spPr>
        <a:xfrm>
          <a:off x="3076575" y="2857500"/>
          <a:ext cx="171450" cy="1905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>
    <xdr:from>
      <xdr:col>7</xdr:col>
      <xdr:colOff>66675</xdr:colOff>
      <xdr:row>14</xdr:row>
      <xdr:rowOff>9525</xdr:rowOff>
    </xdr:from>
    <xdr:to>
      <xdr:col>7</xdr:col>
      <xdr:colOff>257174</xdr:colOff>
      <xdr:row>14</xdr:row>
      <xdr:rowOff>180975</xdr:rowOff>
    </xdr:to>
    <xdr:sp macro="" textlink="">
      <xdr:nvSpPr>
        <xdr:cNvPr id="5" name="Rectangle 4"/>
        <xdr:cNvSpPr/>
      </xdr:nvSpPr>
      <xdr:spPr>
        <a:xfrm>
          <a:off x="4391025" y="2867025"/>
          <a:ext cx="190499" cy="1714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54"/>
  <sheetViews>
    <sheetView zoomScale="85" zoomScaleNormal="85" workbookViewId="0">
      <selection activeCell="B19" sqref="B19"/>
    </sheetView>
  </sheetViews>
  <sheetFormatPr defaultRowHeight="12.75" x14ac:dyDescent="0.2"/>
  <cols>
    <col min="1" max="1" width="15.85546875" customWidth="1"/>
    <col min="2" max="2" width="8.28515625" customWidth="1"/>
    <col min="3" max="3" width="11.42578125" customWidth="1"/>
    <col min="4" max="4" width="10.5703125" customWidth="1"/>
    <col min="5" max="5" width="2.5703125" customWidth="1"/>
    <col min="6" max="6" width="9.42578125" customWidth="1"/>
    <col min="7" max="7" width="6.7109375" customWidth="1"/>
    <col min="8" max="8" width="4.5703125" customWidth="1"/>
    <col min="9" max="9" width="14.28515625" customWidth="1"/>
    <col min="10" max="10" width="11.42578125" customWidth="1"/>
    <col min="11" max="11" width="9.7109375" customWidth="1"/>
  </cols>
  <sheetData>
    <row r="1" spans="1:18" ht="18.75" x14ac:dyDescent="0.3">
      <c r="A1" s="51" t="s">
        <v>59</v>
      </c>
      <c r="B1" s="51"/>
      <c r="C1" s="51"/>
      <c r="D1" s="51"/>
      <c r="E1" s="51"/>
      <c r="F1" s="51"/>
      <c r="G1" s="51"/>
      <c r="H1" s="51"/>
      <c r="I1" s="51"/>
      <c r="J1" s="51"/>
      <c r="K1" s="51"/>
    </row>
    <row r="2" spans="1:18" ht="15" customHeight="1" x14ac:dyDescent="0.2">
      <c r="A2" s="36"/>
      <c r="B2" s="37"/>
      <c r="C2" s="37"/>
      <c r="D2" s="37"/>
      <c r="E2" s="37"/>
      <c r="F2" s="37"/>
      <c r="G2" s="37"/>
      <c r="H2" s="37"/>
      <c r="I2" s="37"/>
      <c r="J2" s="37"/>
      <c r="K2" s="37"/>
    </row>
    <row r="3" spans="1:18" ht="15.75" x14ac:dyDescent="0.25">
      <c r="A3" s="1" t="s">
        <v>77</v>
      </c>
      <c r="D3" s="53" t="s">
        <v>49</v>
      </c>
      <c r="E3" s="53"/>
      <c r="F3" s="53"/>
      <c r="G3" s="53"/>
      <c r="H3" s="53"/>
      <c r="I3" s="3"/>
      <c r="J3" s="3"/>
      <c r="K3" s="4" t="s">
        <v>80</v>
      </c>
    </row>
    <row r="4" spans="1:18" ht="15.75" x14ac:dyDescent="0.25">
      <c r="A4" s="1" t="s">
        <v>78</v>
      </c>
      <c r="D4" s="31" t="s">
        <v>88</v>
      </c>
      <c r="E4" s="2"/>
      <c r="F4" s="2"/>
      <c r="G4" s="2"/>
      <c r="H4" s="2"/>
      <c r="I4" s="3"/>
      <c r="J4" s="3"/>
      <c r="K4" s="4" t="s">
        <v>81</v>
      </c>
    </row>
    <row r="5" spans="1:18" ht="15.75" x14ac:dyDescent="0.25">
      <c r="A5" s="1" t="s">
        <v>79</v>
      </c>
      <c r="D5" s="5"/>
      <c r="E5" s="5"/>
      <c r="F5" s="5"/>
      <c r="G5" s="55" t="s">
        <v>89</v>
      </c>
      <c r="H5" s="55"/>
      <c r="I5" s="55"/>
      <c r="J5" s="55"/>
      <c r="K5" s="55"/>
    </row>
    <row r="6" spans="1:18" ht="12" customHeight="1" x14ac:dyDescent="0.25">
      <c r="D6" s="2"/>
      <c r="E6" s="2"/>
      <c r="F6" s="2"/>
      <c r="G6" s="46" t="s">
        <v>54</v>
      </c>
      <c r="H6" s="46"/>
      <c r="I6" s="46"/>
      <c r="J6" s="46"/>
      <c r="K6" s="46"/>
    </row>
    <row r="7" spans="1:18" ht="6.75" customHeight="1" x14ac:dyDescent="0.25">
      <c r="A7" s="43"/>
      <c r="B7" s="44"/>
      <c r="C7" s="44"/>
      <c r="D7" s="45"/>
      <c r="E7" s="2"/>
      <c r="F7" s="2"/>
      <c r="G7" s="33"/>
      <c r="H7" s="33"/>
      <c r="I7" s="33"/>
      <c r="J7" s="33"/>
      <c r="K7" s="33"/>
    </row>
    <row r="8" spans="1:18" s="10" customFormat="1" ht="18.95" customHeight="1" x14ac:dyDescent="0.2">
      <c r="A8" s="6" t="s">
        <v>0</v>
      </c>
      <c r="B8" s="7"/>
      <c r="C8" s="7"/>
      <c r="D8" s="7"/>
      <c r="E8" s="8"/>
      <c r="F8" s="6" t="s">
        <v>3</v>
      </c>
      <c r="G8" s="6"/>
      <c r="H8" s="6"/>
      <c r="I8" s="7"/>
      <c r="J8" s="7"/>
      <c r="K8" s="7"/>
    </row>
    <row r="9" spans="1:18" s="10" customFormat="1" ht="18.95" customHeight="1" x14ac:dyDescent="0.2">
      <c r="A9" s="6" t="s">
        <v>1</v>
      </c>
      <c r="B9" s="7"/>
      <c r="C9" s="11"/>
      <c r="D9" s="11"/>
      <c r="E9" s="8"/>
      <c r="F9" s="25" t="s">
        <v>52</v>
      </c>
      <c r="G9" s="25"/>
      <c r="H9" s="25"/>
      <c r="I9" s="7"/>
      <c r="J9" s="7"/>
      <c r="K9" s="7"/>
      <c r="P9" s="9"/>
    </row>
    <row r="10" spans="1:18" s="10" customFormat="1" ht="18.95" customHeight="1" x14ac:dyDescent="0.2">
      <c r="A10" s="6" t="s">
        <v>2</v>
      </c>
      <c r="B10" s="7"/>
      <c r="C10" s="7"/>
      <c r="D10" s="7"/>
      <c r="E10" s="8"/>
      <c r="F10" s="6" t="s">
        <v>51</v>
      </c>
      <c r="G10" s="6"/>
      <c r="H10" s="6"/>
      <c r="I10" s="7"/>
      <c r="J10" s="11"/>
      <c r="K10" s="11"/>
    </row>
    <row r="11" spans="1:18" s="10" customFormat="1" ht="18.95" customHeight="1" x14ac:dyDescent="0.2">
      <c r="A11" s="18" t="s">
        <v>50</v>
      </c>
      <c r="B11" s="7"/>
      <c r="C11" s="7"/>
      <c r="D11" s="11"/>
      <c r="E11" s="8"/>
      <c r="F11" s="9" t="s">
        <v>6</v>
      </c>
      <c r="H11" s="12"/>
      <c r="I11" s="7"/>
      <c r="J11" s="7"/>
      <c r="K11" s="12"/>
    </row>
    <row r="12" spans="1:18" s="10" customFormat="1" ht="18.95" customHeight="1" x14ac:dyDescent="0.2">
      <c r="A12" s="6" t="s">
        <v>51</v>
      </c>
      <c r="B12" s="7"/>
      <c r="C12" s="7"/>
      <c r="D12" s="11"/>
      <c r="E12" s="8"/>
      <c r="F12" s="9" t="s">
        <v>7</v>
      </c>
      <c r="H12" s="12"/>
      <c r="I12" s="7"/>
      <c r="J12" s="7"/>
      <c r="K12" s="12"/>
    </row>
    <row r="13" spans="1:18" s="10" customFormat="1" ht="18.95" customHeight="1" x14ac:dyDescent="0.2">
      <c r="B13" s="6" t="s">
        <v>4</v>
      </c>
      <c r="D13" s="6" t="s">
        <v>5</v>
      </c>
      <c r="E13" s="8"/>
      <c r="F13" s="9" t="s">
        <v>8</v>
      </c>
      <c r="H13" s="12"/>
      <c r="I13" s="16"/>
      <c r="J13" s="7"/>
      <c r="K13" s="7"/>
      <c r="M13" s="8"/>
      <c r="Q13" s="8"/>
    </row>
    <row r="14" spans="1:18" s="10" customFormat="1" x14ac:dyDescent="0.2">
      <c r="B14" s="6"/>
      <c r="D14" s="6"/>
      <c r="E14" s="8"/>
      <c r="M14" s="8"/>
      <c r="Q14" s="8"/>
    </row>
    <row r="15" spans="1:18" s="10" customFormat="1" ht="15.6" customHeight="1" x14ac:dyDescent="0.2">
      <c r="B15" s="10" t="s">
        <v>68</v>
      </c>
      <c r="C15"/>
      <c r="D15"/>
      <c r="E15"/>
      <c r="F15" t="s">
        <v>43</v>
      </c>
      <c r="G15"/>
      <c r="H15"/>
      <c r="I15" s="10" t="s">
        <v>44</v>
      </c>
      <c r="K15"/>
      <c r="L15"/>
      <c r="N15" s="8"/>
      <c r="R15" s="8"/>
    </row>
    <row r="16" spans="1:18" s="10" customFormat="1" ht="15.6" customHeight="1" x14ac:dyDescent="0.2">
      <c r="C16" s="54" t="s">
        <v>82</v>
      </c>
      <c r="D16" s="54"/>
      <c r="E16" s="54"/>
      <c r="F16" s="54"/>
      <c r="G16" s="54"/>
      <c r="H16" s="54"/>
      <c r="I16" s="54"/>
      <c r="J16" s="54"/>
      <c r="K16" s="54"/>
      <c r="L16" s="41"/>
      <c r="N16" s="8"/>
      <c r="R16" s="8"/>
    </row>
    <row r="17" spans="1:22" s="10" customFormat="1" ht="15.6" customHeight="1" x14ac:dyDescent="0.2">
      <c r="A17" s="28" t="s">
        <v>60</v>
      </c>
      <c r="H17"/>
      <c r="I17" s="6" t="s">
        <v>61</v>
      </c>
      <c r="K17" s="25"/>
    </row>
    <row r="18" spans="1:22" s="10" customFormat="1" ht="15.6" customHeight="1" x14ac:dyDescent="0.2">
      <c r="A18"/>
      <c r="B18"/>
      <c r="C18"/>
      <c r="D18"/>
      <c r="G18" s="14" t="s">
        <v>18</v>
      </c>
      <c r="H18" s="38"/>
      <c r="I18" s="38"/>
      <c r="J18" s="38"/>
      <c r="K18" s="38"/>
    </row>
    <row r="19" spans="1:22" s="10" customFormat="1" ht="15.6" customHeight="1" x14ac:dyDescent="0.2">
      <c r="A19" s="8" t="s">
        <v>62</v>
      </c>
      <c r="B19" s="15"/>
      <c r="C19" s="15"/>
      <c r="G19" s="14" t="s">
        <v>64</v>
      </c>
      <c r="H19" s="40"/>
      <c r="I19" s="40"/>
      <c r="J19" s="40"/>
      <c r="K19" s="40"/>
    </row>
    <row r="20" spans="1:22" s="10" customFormat="1" ht="15.6" customHeight="1" x14ac:dyDescent="0.2">
      <c r="A20" s="39" t="s">
        <v>63</v>
      </c>
      <c r="G20" s="14" t="s">
        <v>65</v>
      </c>
      <c r="H20" s="50"/>
      <c r="I20" s="50"/>
      <c r="J20" s="30" t="s">
        <v>66</v>
      </c>
      <c r="K20" s="11"/>
    </row>
    <row r="21" spans="1:22" s="10" customFormat="1" ht="15.6" customHeight="1" x14ac:dyDescent="0.2">
      <c r="A21" s="8"/>
      <c r="H21" s="10" t="s">
        <v>67</v>
      </c>
    </row>
    <row r="22" spans="1:22" s="10" customFormat="1" ht="15.6" customHeight="1" x14ac:dyDescent="0.2">
      <c r="B22" s="8"/>
      <c r="V22" s="17"/>
    </row>
    <row r="23" spans="1:22" s="10" customFormat="1" x14ac:dyDescent="0.2">
      <c r="B23" s="18" t="s">
        <v>10</v>
      </c>
      <c r="C23" s="52" t="s">
        <v>11</v>
      </c>
      <c r="D23" s="52"/>
      <c r="E23" s="52"/>
      <c r="F23" s="52"/>
      <c r="G23" s="18" t="s">
        <v>12</v>
      </c>
      <c r="I23" s="32" t="s">
        <v>13</v>
      </c>
      <c r="J23" s="18" t="s">
        <v>9</v>
      </c>
      <c r="K23" s="19"/>
    </row>
    <row r="24" spans="1:22" s="10" customFormat="1" ht="15.95" customHeight="1" x14ac:dyDescent="0.2">
      <c r="A24" s="20" t="s">
        <v>19</v>
      </c>
      <c r="B24" s="21">
        <v>11413</v>
      </c>
      <c r="C24" s="48" t="s">
        <v>20</v>
      </c>
      <c r="D24" s="49"/>
      <c r="E24" s="49"/>
      <c r="F24" s="49"/>
      <c r="G24" s="22"/>
      <c r="H24" s="21" t="s">
        <v>15</v>
      </c>
      <c r="I24" s="21" t="s">
        <v>46</v>
      </c>
      <c r="J24" s="23"/>
      <c r="K24" s="24"/>
    </row>
    <row r="25" spans="1:22" s="10" customFormat="1" ht="15.95" customHeight="1" x14ac:dyDescent="0.2">
      <c r="A25" s="20" t="s">
        <v>14</v>
      </c>
      <c r="B25" s="21">
        <v>11415</v>
      </c>
      <c r="C25" s="48" t="s">
        <v>21</v>
      </c>
      <c r="D25" s="49"/>
      <c r="E25" s="49"/>
      <c r="F25" s="49"/>
      <c r="G25" s="22"/>
      <c r="H25" s="21" t="s">
        <v>15</v>
      </c>
      <c r="I25" s="21" t="s">
        <v>46</v>
      </c>
      <c r="J25" s="23"/>
      <c r="K25" s="24"/>
    </row>
    <row r="26" spans="1:22" s="10" customFormat="1" ht="15.95" customHeight="1" x14ac:dyDescent="0.2">
      <c r="A26" s="20" t="s">
        <v>16</v>
      </c>
      <c r="B26" s="21">
        <v>11417</v>
      </c>
      <c r="C26" s="48" t="s">
        <v>22</v>
      </c>
      <c r="D26" s="49"/>
      <c r="E26" s="49"/>
      <c r="F26" s="49"/>
      <c r="G26" s="22"/>
      <c r="H26" s="21" t="s">
        <v>15</v>
      </c>
      <c r="I26" s="21" t="s">
        <v>46</v>
      </c>
      <c r="J26" s="23"/>
      <c r="K26" s="24"/>
    </row>
    <row r="27" spans="1:22" s="10" customFormat="1" ht="15.95" customHeight="1" x14ac:dyDescent="0.2">
      <c r="B27" s="21">
        <v>11414</v>
      </c>
      <c r="C27" s="48" t="s">
        <v>23</v>
      </c>
      <c r="D27" s="49"/>
      <c r="E27" s="49"/>
      <c r="F27" s="49"/>
      <c r="G27" s="22"/>
      <c r="H27" s="21" t="s">
        <v>15</v>
      </c>
      <c r="I27" s="21" t="s">
        <v>46</v>
      </c>
      <c r="J27" s="23"/>
      <c r="K27" s="24"/>
    </row>
    <row r="28" spans="1:22" s="10" customFormat="1" ht="15.95" customHeight="1" x14ac:dyDescent="0.2">
      <c r="B28" s="21">
        <v>11416</v>
      </c>
      <c r="C28" s="48" t="s">
        <v>24</v>
      </c>
      <c r="D28" s="49"/>
      <c r="E28" s="49"/>
      <c r="F28" s="49"/>
      <c r="G28" s="22"/>
      <c r="H28" s="21" t="s">
        <v>15</v>
      </c>
      <c r="I28" s="21" t="s">
        <v>46</v>
      </c>
      <c r="J28" s="23"/>
      <c r="K28" s="24"/>
    </row>
    <row r="29" spans="1:22" s="10" customFormat="1" ht="15.95" customHeight="1" x14ac:dyDescent="0.2">
      <c r="B29" s="21">
        <v>11418</v>
      </c>
      <c r="C29" s="48" t="s">
        <v>25</v>
      </c>
      <c r="D29" s="49"/>
      <c r="E29" s="49"/>
      <c r="F29" s="49"/>
      <c r="G29" s="22"/>
      <c r="H29" s="21" t="s">
        <v>15</v>
      </c>
      <c r="I29" s="21" t="s">
        <v>46</v>
      </c>
      <c r="J29" s="23"/>
      <c r="K29" s="24"/>
    </row>
    <row r="30" spans="1:22" s="10" customFormat="1" ht="4.9000000000000004" customHeight="1" x14ac:dyDescent="0.2">
      <c r="B30" s="25"/>
      <c r="D30" s="6"/>
      <c r="E30" s="6"/>
      <c r="F30" s="6"/>
      <c r="G30" s="3"/>
      <c r="H30" s="25"/>
      <c r="I30" s="25"/>
      <c r="J30" s="26"/>
      <c r="K30" s="24"/>
    </row>
    <row r="31" spans="1:22" s="10" customFormat="1" ht="15.95" customHeight="1" x14ac:dyDescent="0.2">
      <c r="A31" s="20" t="s">
        <v>14</v>
      </c>
      <c r="B31" s="21" t="s">
        <v>29</v>
      </c>
      <c r="C31" s="48" t="s">
        <v>27</v>
      </c>
      <c r="D31" s="49"/>
      <c r="E31" s="49"/>
      <c r="F31" s="49"/>
      <c r="G31" s="22"/>
      <c r="H31" s="21" t="s">
        <v>15</v>
      </c>
      <c r="I31" s="21" t="s">
        <v>47</v>
      </c>
      <c r="J31" s="23"/>
      <c r="K31" s="29" t="s">
        <v>35</v>
      </c>
    </row>
    <row r="32" spans="1:22" s="10" customFormat="1" ht="15.95" customHeight="1" x14ac:dyDescent="0.2">
      <c r="A32" s="20" t="s">
        <v>26</v>
      </c>
      <c r="B32" s="21" t="s">
        <v>30</v>
      </c>
      <c r="C32" s="48" t="s">
        <v>28</v>
      </c>
      <c r="D32" s="49"/>
      <c r="E32" s="49"/>
      <c r="F32" s="49"/>
      <c r="G32" s="22"/>
      <c r="H32" s="21" t="s">
        <v>15</v>
      </c>
      <c r="I32" s="21" t="s">
        <v>47</v>
      </c>
      <c r="J32" s="23"/>
      <c r="K32" s="29" t="s">
        <v>35</v>
      </c>
    </row>
    <row r="33" spans="1:11" s="10" customFormat="1" ht="15.95" customHeight="1" x14ac:dyDescent="0.2">
      <c r="A33" s="20" t="s">
        <v>16</v>
      </c>
      <c r="B33" s="21" t="s">
        <v>33</v>
      </c>
      <c r="C33" s="48" t="s">
        <v>31</v>
      </c>
      <c r="D33" s="49"/>
      <c r="E33" s="49"/>
      <c r="F33" s="49"/>
      <c r="G33" s="22"/>
      <c r="H33" s="21" t="s">
        <v>15</v>
      </c>
      <c r="I33" s="21" t="s">
        <v>47</v>
      </c>
      <c r="J33" s="23"/>
      <c r="K33" s="29" t="s">
        <v>35</v>
      </c>
    </row>
    <row r="34" spans="1:11" s="10" customFormat="1" ht="15.95" customHeight="1" x14ac:dyDescent="0.2">
      <c r="B34" s="21" t="s">
        <v>34</v>
      </c>
      <c r="C34" s="48" t="s">
        <v>32</v>
      </c>
      <c r="D34" s="49"/>
      <c r="E34" s="49"/>
      <c r="F34" s="49"/>
      <c r="G34" s="22"/>
      <c r="H34" s="21" t="s">
        <v>15</v>
      </c>
      <c r="I34" s="21" t="s">
        <v>47</v>
      </c>
      <c r="J34" s="23"/>
      <c r="K34" s="29" t="s">
        <v>35</v>
      </c>
    </row>
    <row r="35" spans="1:11" s="10" customFormat="1" ht="4.9000000000000004" customHeight="1" x14ac:dyDescent="0.2">
      <c r="A35" s="20"/>
      <c r="B35" s="25"/>
      <c r="D35" s="6"/>
      <c r="E35" s="6"/>
      <c r="F35" s="6"/>
      <c r="G35" s="3"/>
      <c r="H35" s="25"/>
      <c r="I35" s="25"/>
      <c r="J35" s="26"/>
      <c r="K35" s="27"/>
    </row>
    <row r="36" spans="1:11" s="10" customFormat="1" ht="15.95" customHeight="1" x14ac:dyDescent="0.2">
      <c r="A36" s="20" t="s">
        <v>36</v>
      </c>
      <c r="B36" s="21" t="s">
        <v>69</v>
      </c>
      <c r="C36" s="48" t="s">
        <v>56</v>
      </c>
      <c r="D36" s="49"/>
      <c r="E36" s="49"/>
      <c r="F36" s="49"/>
      <c r="G36" s="22"/>
      <c r="H36" s="21" t="s">
        <v>15</v>
      </c>
      <c r="I36" s="21" t="s">
        <v>39</v>
      </c>
      <c r="J36" s="23"/>
      <c r="K36" s="13"/>
    </row>
    <row r="37" spans="1:11" s="10" customFormat="1" ht="15.95" customHeight="1" x14ac:dyDescent="0.2">
      <c r="A37" s="20" t="s">
        <v>37</v>
      </c>
      <c r="B37" s="21" t="s">
        <v>70</v>
      </c>
      <c r="C37" s="48" t="s">
        <v>57</v>
      </c>
      <c r="D37" s="49"/>
      <c r="E37" s="49"/>
      <c r="F37" s="49"/>
      <c r="G37" s="22"/>
      <c r="H37" s="21" t="s">
        <v>15</v>
      </c>
      <c r="I37" s="21" t="s">
        <v>39</v>
      </c>
      <c r="J37" s="23"/>
      <c r="K37" s="13"/>
    </row>
    <row r="38" spans="1:11" s="10" customFormat="1" ht="15.95" customHeight="1" x14ac:dyDescent="0.2">
      <c r="A38" s="20"/>
      <c r="B38" s="21" t="s">
        <v>71</v>
      </c>
      <c r="C38" s="48" t="s">
        <v>83</v>
      </c>
      <c r="D38" s="49"/>
      <c r="E38" s="49"/>
      <c r="F38" s="49"/>
      <c r="G38" s="22"/>
      <c r="H38" s="21" t="s">
        <v>15</v>
      </c>
      <c r="I38" s="21" t="s">
        <v>38</v>
      </c>
      <c r="J38" s="23"/>
      <c r="K38" s="13"/>
    </row>
    <row r="39" spans="1:11" s="10" customFormat="1" ht="15.95" customHeight="1" x14ac:dyDescent="0.2">
      <c r="B39" s="21" t="s">
        <v>72</v>
      </c>
      <c r="C39" s="48" t="s">
        <v>84</v>
      </c>
      <c r="D39" s="49"/>
      <c r="E39" s="49"/>
      <c r="F39" s="49"/>
      <c r="G39" s="22"/>
      <c r="H39" s="21" t="s">
        <v>15</v>
      </c>
      <c r="I39" s="21" t="s">
        <v>38</v>
      </c>
      <c r="J39" s="23"/>
      <c r="K39" s="13"/>
    </row>
    <row r="40" spans="1:11" s="10" customFormat="1" ht="15.95" customHeight="1" x14ac:dyDescent="0.2">
      <c r="B40" s="21" t="s">
        <v>73</v>
      </c>
      <c r="C40" s="48" t="s">
        <v>85</v>
      </c>
      <c r="D40" s="49"/>
      <c r="E40" s="49"/>
      <c r="F40" s="49"/>
      <c r="G40" s="22"/>
      <c r="H40" s="21" t="s">
        <v>15</v>
      </c>
      <c r="I40" s="21" t="s">
        <v>38</v>
      </c>
      <c r="J40" s="23"/>
      <c r="K40" s="13"/>
    </row>
    <row r="41" spans="1:11" s="10" customFormat="1" ht="15.95" customHeight="1" x14ac:dyDescent="0.2">
      <c r="B41" s="21" t="s">
        <v>74</v>
      </c>
      <c r="C41" s="48" t="s">
        <v>86</v>
      </c>
      <c r="D41" s="49"/>
      <c r="E41" s="49"/>
      <c r="F41" s="49"/>
      <c r="G41" s="22"/>
      <c r="H41" s="21" t="s">
        <v>15</v>
      </c>
      <c r="I41" s="21" t="s">
        <v>38</v>
      </c>
      <c r="J41" s="23"/>
      <c r="K41" s="13"/>
    </row>
    <row r="42" spans="1:11" s="10" customFormat="1" ht="15.95" customHeight="1" x14ac:dyDescent="0.2">
      <c r="B42" s="21" t="s">
        <v>75</v>
      </c>
      <c r="C42" s="48" t="s">
        <v>40</v>
      </c>
      <c r="D42" s="49"/>
      <c r="E42" s="49"/>
      <c r="F42" s="49"/>
      <c r="G42" s="22"/>
      <c r="H42" s="21" t="s">
        <v>15</v>
      </c>
      <c r="I42" s="21" t="s">
        <v>45</v>
      </c>
      <c r="J42" s="23"/>
      <c r="K42" s="13"/>
    </row>
    <row r="43" spans="1:11" s="10" customFormat="1" ht="15.95" customHeight="1" x14ac:dyDescent="0.2">
      <c r="B43" s="21" t="s">
        <v>76</v>
      </c>
      <c r="C43" s="48" t="s">
        <v>87</v>
      </c>
      <c r="D43" s="49"/>
      <c r="E43" s="49"/>
      <c r="F43" s="49"/>
      <c r="G43" s="22"/>
      <c r="H43" s="21" t="s">
        <v>15</v>
      </c>
      <c r="I43" s="21" t="s">
        <v>45</v>
      </c>
      <c r="J43" s="23"/>
      <c r="K43" s="13"/>
    </row>
    <row r="44" spans="1:11" s="10" customFormat="1" ht="15.95" customHeight="1" x14ac:dyDescent="0.2">
      <c r="B44" s="21">
        <v>50138</v>
      </c>
      <c r="C44" s="48" t="s">
        <v>41</v>
      </c>
      <c r="D44" s="49"/>
      <c r="E44" s="49"/>
      <c r="F44" s="49"/>
      <c r="G44" s="22"/>
      <c r="H44" s="21" t="s">
        <v>15</v>
      </c>
      <c r="I44" s="21" t="s">
        <v>42</v>
      </c>
      <c r="J44" s="23"/>
      <c r="K44" s="13"/>
    </row>
    <row r="45" spans="1:11" s="10" customFormat="1" ht="4.9000000000000004" customHeight="1" x14ac:dyDescent="0.2">
      <c r="A45" s="20"/>
      <c r="B45" s="25"/>
      <c r="D45" s="6"/>
      <c r="E45" s="6"/>
      <c r="F45" s="6"/>
      <c r="G45" s="3"/>
      <c r="H45" s="25"/>
      <c r="I45" s="25"/>
      <c r="J45" s="26"/>
      <c r="K45" s="27"/>
    </row>
    <row r="46" spans="1:11" s="10" customFormat="1" ht="15" customHeight="1" x14ac:dyDescent="0.25">
      <c r="A46" s="20"/>
      <c r="B46" s="47" t="s">
        <v>58</v>
      </c>
      <c r="C46" s="47"/>
      <c r="D46" s="47"/>
      <c r="E46" s="47"/>
      <c r="F46" s="47"/>
      <c r="G46" s="47"/>
      <c r="H46" s="47"/>
      <c r="I46" s="25"/>
      <c r="J46" s="35"/>
      <c r="K46" s="27"/>
    </row>
    <row r="47" spans="1:11" s="10" customFormat="1" ht="15" customHeight="1" thickBot="1" x14ac:dyDescent="0.3">
      <c r="B47" s="47" t="s">
        <v>55</v>
      </c>
      <c r="C47" s="47"/>
      <c r="D47" s="47"/>
      <c r="E47" s="47"/>
      <c r="F47" s="47"/>
      <c r="G47" s="47"/>
      <c r="H47" s="47"/>
      <c r="I47" s="20" t="s">
        <v>17</v>
      </c>
      <c r="J47" s="34"/>
      <c r="K47" s="3"/>
    </row>
    <row r="48" spans="1:11" s="10" customFormat="1" ht="4.9000000000000004" customHeight="1" thickTop="1" x14ac:dyDescent="0.2"/>
    <row r="49" spans="1:13" s="10" customFormat="1" ht="9" customHeight="1" x14ac:dyDescent="0.2"/>
    <row r="50" spans="1:13" s="10" customFormat="1" ht="20.25" customHeight="1" x14ac:dyDescent="0.2">
      <c r="A50" s="56" t="s">
        <v>48</v>
      </c>
      <c r="B50" s="56"/>
      <c r="C50" s="56"/>
      <c r="D50" s="56"/>
      <c r="E50" s="56"/>
      <c r="F50" s="56"/>
      <c r="G50" s="56"/>
      <c r="H50" s="56"/>
      <c r="I50" s="56"/>
      <c r="J50" s="56"/>
      <c r="K50" s="56"/>
    </row>
    <row r="51" spans="1:13" s="10" customFormat="1" ht="20.25" customHeight="1" x14ac:dyDescent="0.2">
      <c r="A51" s="56" t="s">
        <v>53</v>
      </c>
      <c r="B51" s="56"/>
      <c r="C51" s="56"/>
      <c r="D51" s="56"/>
      <c r="E51" s="56"/>
      <c r="F51" s="56"/>
      <c r="G51" s="56"/>
      <c r="H51" s="56"/>
      <c r="I51" s="56"/>
      <c r="J51" s="56"/>
      <c r="K51" s="56"/>
    </row>
    <row r="52" spans="1:13" s="10" customFormat="1" ht="6.75" customHeight="1" x14ac:dyDescent="0.2"/>
    <row r="53" spans="1:13" s="10" customFormat="1" ht="10.15" customHeight="1" thickBot="1" x14ac:dyDescent="0.25">
      <c r="B53" s="8"/>
    </row>
    <row r="54" spans="1:13" s="44" customFormat="1" ht="13.5" thickBot="1" x14ac:dyDescent="0.25">
      <c r="A54" s="57" t="s">
        <v>90</v>
      </c>
      <c r="B54" s="58"/>
      <c r="C54" s="58"/>
      <c r="D54" s="58"/>
      <c r="E54" s="58"/>
      <c r="F54" s="58"/>
      <c r="G54" s="58"/>
      <c r="H54" s="58"/>
      <c r="I54" s="58"/>
      <c r="J54" s="58"/>
      <c r="K54" s="59"/>
      <c r="L54" s="42"/>
      <c r="M54" s="42"/>
    </row>
  </sheetData>
  <mergeCells count="31">
    <mergeCell ref="C27:F27"/>
    <mergeCell ref="H20:I20"/>
    <mergeCell ref="C28:F28"/>
    <mergeCell ref="A54:K54"/>
    <mergeCell ref="A1:K1"/>
    <mergeCell ref="C24:F24"/>
    <mergeCell ref="C25:F25"/>
    <mergeCell ref="C26:F26"/>
    <mergeCell ref="C23:F23"/>
    <mergeCell ref="D3:H3"/>
    <mergeCell ref="C16:K16"/>
    <mergeCell ref="C43:F43"/>
    <mergeCell ref="C41:F41"/>
    <mergeCell ref="C31:F31"/>
    <mergeCell ref="C38:F38"/>
    <mergeCell ref="B46:H46"/>
    <mergeCell ref="C40:F40"/>
    <mergeCell ref="C39:F39"/>
    <mergeCell ref="C32:F32"/>
    <mergeCell ref="C33:F33"/>
    <mergeCell ref="C42:F42"/>
    <mergeCell ref="A50:K50"/>
    <mergeCell ref="A51:K51"/>
    <mergeCell ref="G5:K5"/>
    <mergeCell ref="G6:K6"/>
    <mergeCell ref="B47:H47"/>
    <mergeCell ref="C34:F34"/>
    <mergeCell ref="C36:F36"/>
    <mergeCell ref="C37:F37"/>
    <mergeCell ref="C29:F29"/>
    <mergeCell ref="C44:F44"/>
  </mergeCells>
  <phoneticPr fontId="0" type="noConversion"/>
  <pageMargins left="0.5" right="0.5" top="0.25" bottom="0.25" header="0.5" footer="0.5"/>
  <pageSetup scale="93" orientation="portrait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54"/>
  <sheetViews>
    <sheetView tabSelected="1" zoomScale="85" zoomScaleNormal="85" workbookViewId="0">
      <selection activeCell="B8" sqref="B8"/>
    </sheetView>
  </sheetViews>
  <sheetFormatPr defaultRowHeight="12.75" x14ac:dyDescent="0.2"/>
  <cols>
    <col min="1" max="1" width="15.85546875" customWidth="1"/>
    <col min="2" max="2" width="8.28515625" customWidth="1"/>
    <col min="3" max="3" width="11.42578125" customWidth="1"/>
    <col min="4" max="4" width="10.5703125" customWidth="1"/>
    <col min="5" max="5" width="2.5703125" customWidth="1"/>
    <col min="6" max="6" width="9.42578125" customWidth="1"/>
    <col min="7" max="7" width="6.7109375" customWidth="1"/>
    <col min="8" max="8" width="4.5703125" customWidth="1"/>
    <col min="9" max="9" width="14.28515625" customWidth="1"/>
    <col min="10" max="10" width="11.42578125" customWidth="1"/>
    <col min="11" max="11" width="9.7109375" customWidth="1"/>
  </cols>
  <sheetData>
    <row r="1" spans="1:18" ht="18.75" x14ac:dyDescent="0.3">
      <c r="A1" s="51" t="s">
        <v>59</v>
      </c>
      <c r="B1" s="51"/>
      <c r="C1" s="51"/>
      <c r="D1" s="51"/>
      <c r="E1" s="51"/>
      <c r="F1" s="51"/>
      <c r="G1" s="51"/>
      <c r="H1" s="51"/>
      <c r="I1" s="51"/>
      <c r="J1" s="51"/>
      <c r="K1" s="51"/>
    </row>
    <row r="2" spans="1:18" ht="15" customHeight="1" x14ac:dyDescent="0.2">
      <c r="A2" s="36"/>
      <c r="B2" s="37"/>
      <c r="C2" s="37"/>
      <c r="D2" s="37"/>
      <c r="E2" s="37"/>
      <c r="F2" s="37"/>
      <c r="G2" s="37"/>
      <c r="H2" s="37"/>
      <c r="I2" s="37"/>
      <c r="J2" s="37"/>
      <c r="K2" s="37"/>
    </row>
    <row r="3" spans="1:18" ht="15.75" x14ac:dyDescent="0.25">
      <c r="A3" s="1" t="s">
        <v>77</v>
      </c>
      <c r="D3" s="53" t="s">
        <v>49</v>
      </c>
      <c r="E3" s="53"/>
      <c r="F3" s="53"/>
      <c r="G3" s="53"/>
      <c r="H3" s="53"/>
      <c r="I3" s="3"/>
      <c r="J3" s="3"/>
      <c r="K3" s="4" t="s">
        <v>80</v>
      </c>
    </row>
    <row r="4" spans="1:18" ht="15.75" x14ac:dyDescent="0.25">
      <c r="A4" s="1" t="s">
        <v>78</v>
      </c>
      <c r="D4" s="31" t="s">
        <v>88</v>
      </c>
      <c r="E4" s="2"/>
      <c r="F4" s="2"/>
      <c r="G4" s="2"/>
      <c r="H4" s="2"/>
      <c r="I4" s="3"/>
      <c r="J4" s="3"/>
      <c r="K4" s="4" t="s">
        <v>81</v>
      </c>
    </row>
    <row r="5" spans="1:18" ht="15.75" x14ac:dyDescent="0.25">
      <c r="A5" s="1" t="s">
        <v>79</v>
      </c>
      <c r="D5" s="5"/>
      <c r="E5" s="5"/>
      <c r="F5" s="5"/>
      <c r="G5" s="55" t="s">
        <v>89</v>
      </c>
      <c r="H5" s="55"/>
      <c r="I5" s="55"/>
      <c r="J5" s="55"/>
      <c r="K5" s="55"/>
    </row>
    <row r="6" spans="1:18" ht="12" customHeight="1" x14ac:dyDescent="0.25">
      <c r="D6" s="2"/>
      <c r="E6" s="2"/>
      <c r="F6" s="2"/>
      <c r="G6" s="46" t="s">
        <v>54</v>
      </c>
      <c r="H6" s="46"/>
      <c r="I6" s="46"/>
      <c r="J6" s="46"/>
      <c r="K6" s="46"/>
    </row>
    <row r="7" spans="1:18" ht="6.75" customHeight="1" x14ac:dyDescent="0.25">
      <c r="A7" s="43"/>
      <c r="B7" s="44"/>
      <c r="C7" s="44"/>
      <c r="D7" s="45"/>
      <c r="E7" s="2"/>
      <c r="F7" s="2"/>
      <c r="G7" s="33"/>
      <c r="H7" s="33"/>
      <c r="I7" s="33"/>
      <c r="J7" s="33"/>
      <c r="K7" s="33"/>
    </row>
    <row r="8" spans="1:18" s="10" customFormat="1" ht="18.95" customHeight="1" x14ac:dyDescent="0.2">
      <c r="A8" s="6" t="s">
        <v>0</v>
      </c>
      <c r="B8" s="7"/>
      <c r="C8" s="7"/>
      <c r="D8" s="7"/>
      <c r="E8" s="8"/>
      <c r="F8" s="6" t="s">
        <v>3</v>
      </c>
      <c r="G8" s="6"/>
      <c r="H8" s="6"/>
      <c r="I8" s="7"/>
      <c r="J8" s="7"/>
      <c r="K8" s="7"/>
    </row>
    <row r="9" spans="1:18" s="10" customFormat="1" ht="18.95" customHeight="1" x14ac:dyDescent="0.2">
      <c r="A9" s="6" t="s">
        <v>1</v>
      </c>
      <c r="B9" s="7"/>
      <c r="C9" s="11"/>
      <c r="D9" s="11"/>
      <c r="E9" s="8"/>
      <c r="F9" s="25" t="s">
        <v>52</v>
      </c>
      <c r="G9" s="25"/>
      <c r="H9" s="25"/>
      <c r="I9" s="7"/>
      <c r="J9" s="7"/>
      <c r="K9" s="7"/>
      <c r="P9" s="9"/>
    </row>
    <row r="10" spans="1:18" s="10" customFormat="1" ht="18.95" customHeight="1" x14ac:dyDescent="0.2">
      <c r="A10" s="6" t="s">
        <v>2</v>
      </c>
      <c r="B10" s="7"/>
      <c r="C10" s="7"/>
      <c r="D10" s="7"/>
      <c r="E10" s="8"/>
      <c r="F10" s="6" t="s">
        <v>51</v>
      </c>
      <c r="G10" s="6"/>
      <c r="H10" s="6"/>
      <c r="I10" s="7"/>
      <c r="J10" s="11"/>
      <c r="K10" s="11"/>
    </row>
    <row r="11" spans="1:18" s="10" customFormat="1" ht="18.95" customHeight="1" x14ac:dyDescent="0.2">
      <c r="A11" s="18" t="s">
        <v>50</v>
      </c>
      <c r="B11" s="7"/>
      <c r="C11" s="7"/>
      <c r="D11" s="11"/>
      <c r="E11" s="8"/>
      <c r="F11" s="9" t="s">
        <v>6</v>
      </c>
      <c r="H11" s="12"/>
      <c r="I11" s="7"/>
      <c r="J11" s="7"/>
      <c r="K11" s="12"/>
    </row>
    <row r="12" spans="1:18" s="10" customFormat="1" ht="18.95" customHeight="1" x14ac:dyDescent="0.2">
      <c r="A12" s="6" t="s">
        <v>51</v>
      </c>
      <c r="B12" s="7"/>
      <c r="C12" s="7"/>
      <c r="D12" s="11"/>
      <c r="E12" s="8"/>
      <c r="F12" s="9" t="s">
        <v>7</v>
      </c>
      <c r="H12" s="12"/>
      <c r="I12" s="7"/>
      <c r="J12" s="7"/>
      <c r="K12" s="12"/>
    </row>
    <row r="13" spans="1:18" s="10" customFormat="1" ht="18.95" customHeight="1" x14ac:dyDescent="0.2">
      <c r="B13" s="6" t="s">
        <v>4</v>
      </c>
      <c r="D13" s="6" t="s">
        <v>5</v>
      </c>
      <c r="E13" s="8"/>
      <c r="F13" s="9" t="s">
        <v>8</v>
      </c>
      <c r="H13" s="12"/>
      <c r="I13" s="16"/>
      <c r="J13" s="7"/>
      <c r="K13" s="7"/>
      <c r="M13" s="8"/>
      <c r="Q13" s="8"/>
    </row>
    <row r="14" spans="1:18" s="10" customFormat="1" x14ac:dyDescent="0.2">
      <c r="B14" s="6"/>
      <c r="D14" s="6"/>
      <c r="E14" s="8"/>
      <c r="M14" s="8"/>
      <c r="Q14" s="8"/>
    </row>
    <row r="15" spans="1:18" s="10" customFormat="1" ht="15.6" customHeight="1" x14ac:dyDescent="0.2">
      <c r="B15" s="10" t="s">
        <v>68</v>
      </c>
      <c r="C15"/>
      <c r="D15"/>
      <c r="E15"/>
      <c r="F15" t="s">
        <v>43</v>
      </c>
      <c r="G15"/>
      <c r="H15"/>
      <c r="I15" s="10" t="s">
        <v>44</v>
      </c>
      <c r="K15"/>
      <c r="L15"/>
      <c r="N15" s="8"/>
      <c r="R15" s="8"/>
    </row>
    <row r="16" spans="1:18" s="10" customFormat="1" ht="15.6" customHeight="1" x14ac:dyDescent="0.2">
      <c r="C16" s="54" t="s">
        <v>82</v>
      </c>
      <c r="D16" s="54"/>
      <c r="E16" s="54"/>
      <c r="F16" s="54"/>
      <c r="G16" s="54"/>
      <c r="H16" s="54"/>
      <c r="I16" s="54"/>
      <c r="J16" s="54"/>
      <c r="K16" s="54"/>
      <c r="L16" s="41"/>
      <c r="N16" s="8"/>
      <c r="R16" s="8"/>
    </row>
    <row r="17" spans="1:22" s="10" customFormat="1" ht="15.6" customHeight="1" x14ac:dyDescent="0.2">
      <c r="A17" s="28" t="s">
        <v>60</v>
      </c>
      <c r="H17"/>
      <c r="I17" s="6" t="s">
        <v>61</v>
      </c>
      <c r="K17" s="25"/>
    </row>
    <row r="18" spans="1:22" s="10" customFormat="1" ht="15.6" customHeight="1" x14ac:dyDescent="0.2">
      <c r="A18"/>
      <c r="B18"/>
      <c r="C18"/>
      <c r="D18"/>
      <c r="G18" s="14" t="s">
        <v>18</v>
      </c>
      <c r="H18" s="38"/>
      <c r="I18" s="38"/>
      <c r="J18" s="38"/>
      <c r="K18" s="38"/>
    </row>
    <row r="19" spans="1:22" s="10" customFormat="1" ht="15.6" customHeight="1" x14ac:dyDescent="0.2">
      <c r="A19" s="8" t="s">
        <v>62</v>
      </c>
      <c r="B19" s="15"/>
      <c r="C19" s="15"/>
      <c r="G19" s="14" t="s">
        <v>64</v>
      </c>
      <c r="H19" s="40"/>
      <c r="I19" s="40"/>
      <c r="J19" s="40"/>
      <c r="K19" s="40"/>
    </row>
    <row r="20" spans="1:22" s="10" customFormat="1" ht="15.6" customHeight="1" x14ac:dyDescent="0.2">
      <c r="A20" s="39" t="s">
        <v>63</v>
      </c>
      <c r="G20" s="14" t="s">
        <v>65</v>
      </c>
      <c r="H20" s="50"/>
      <c r="I20" s="50"/>
      <c r="J20" s="30" t="s">
        <v>66</v>
      </c>
      <c r="K20" s="11"/>
    </row>
    <row r="21" spans="1:22" s="10" customFormat="1" ht="15.6" customHeight="1" x14ac:dyDescent="0.2">
      <c r="A21" s="8"/>
      <c r="H21" s="10" t="s">
        <v>67</v>
      </c>
    </row>
    <row r="22" spans="1:22" s="10" customFormat="1" ht="15.6" customHeight="1" x14ac:dyDescent="0.2">
      <c r="B22" s="8"/>
      <c r="V22" s="17"/>
    </row>
    <row r="23" spans="1:22" s="10" customFormat="1" x14ac:dyDescent="0.2">
      <c r="B23" s="18" t="s">
        <v>10</v>
      </c>
      <c r="C23" s="52" t="s">
        <v>11</v>
      </c>
      <c r="D23" s="52"/>
      <c r="E23" s="52"/>
      <c r="F23" s="52"/>
      <c r="G23" s="18" t="s">
        <v>12</v>
      </c>
      <c r="I23" s="32" t="s">
        <v>13</v>
      </c>
      <c r="J23" s="18" t="s">
        <v>9</v>
      </c>
      <c r="K23" s="19"/>
    </row>
    <row r="24" spans="1:22" s="10" customFormat="1" ht="15.95" customHeight="1" x14ac:dyDescent="0.2">
      <c r="A24" s="20" t="s">
        <v>19</v>
      </c>
      <c r="B24" s="21">
        <v>11413</v>
      </c>
      <c r="C24" s="48" t="s">
        <v>20</v>
      </c>
      <c r="D24" s="49"/>
      <c r="E24" s="49"/>
      <c r="F24" s="49"/>
      <c r="G24" s="22"/>
      <c r="H24" s="21" t="s">
        <v>15</v>
      </c>
      <c r="I24" s="21" t="s">
        <v>46</v>
      </c>
      <c r="J24" s="23">
        <f t="shared" ref="J24:J29" si="0">G24*111</f>
        <v>0</v>
      </c>
      <c r="K24" s="24"/>
    </row>
    <row r="25" spans="1:22" s="10" customFormat="1" ht="15.95" customHeight="1" x14ac:dyDescent="0.2">
      <c r="A25" s="20" t="s">
        <v>14</v>
      </c>
      <c r="B25" s="21">
        <v>11415</v>
      </c>
      <c r="C25" s="48" t="s">
        <v>21</v>
      </c>
      <c r="D25" s="49"/>
      <c r="E25" s="49"/>
      <c r="F25" s="49"/>
      <c r="G25" s="22"/>
      <c r="H25" s="21" t="s">
        <v>15</v>
      </c>
      <c r="I25" s="21" t="s">
        <v>46</v>
      </c>
      <c r="J25" s="23">
        <f t="shared" si="0"/>
        <v>0</v>
      </c>
      <c r="K25" s="24"/>
    </row>
    <row r="26" spans="1:22" s="10" customFormat="1" ht="15.95" customHeight="1" x14ac:dyDescent="0.2">
      <c r="A26" s="20" t="s">
        <v>16</v>
      </c>
      <c r="B26" s="21">
        <v>11417</v>
      </c>
      <c r="C26" s="48" t="s">
        <v>22</v>
      </c>
      <c r="D26" s="49"/>
      <c r="E26" s="49"/>
      <c r="F26" s="49"/>
      <c r="G26" s="22"/>
      <c r="H26" s="21" t="s">
        <v>15</v>
      </c>
      <c r="I26" s="21" t="s">
        <v>46</v>
      </c>
      <c r="J26" s="23">
        <f t="shared" si="0"/>
        <v>0</v>
      </c>
      <c r="K26" s="24"/>
    </row>
    <row r="27" spans="1:22" s="10" customFormat="1" ht="15.95" customHeight="1" x14ac:dyDescent="0.2">
      <c r="B27" s="21">
        <v>11414</v>
      </c>
      <c r="C27" s="48" t="s">
        <v>23</v>
      </c>
      <c r="D27" s="49"/>
      <c r="E27" s="49"/>
      <c r="F27" s="49"/>
      <c r="G27" s="22"/>
      <c r="H27" s="21" t="s">
        <v>15</v>
      </c>
      <c r="I27" s="21" t="s">
        <v>46</v>
      </c>
      <c r="J27" s="23">
        <f t="shared" si="0"/>
        <v>0</v>
      </c>
      <c r="K27" s="24"/>
    </row>
    <row r="28" spans="1:22" s="10" customFormat="1" ht="15.95" customHeight="1" x14ac:dyDescent="0.2">
      <c r="B28" s="21">
        <v>11416</v>
      </c>
      <c r="C28" s="48" t="s">
        <v>24</v>
      </c>
      <c r="D28" s="49"/>
      <c r="E28" s="49"/>
      <c r="F28" s="49"/>
      <c r="G28" s="22"/>
      <c r="H28" s="21" t="s">
        <v>15</v>
      </c>
      <c r="I28" s="21" t="s">
        <v>46</v>
      </c>
      <c r="J28" s="23">
        <f t="shared" si="0"/>
        <v>0</v>
      </c>
      <c r="K28" s="24"/>
    </row>
    <row r="29" spans="1:22" s="10" customFormat="1" ht="15.95" customHeight="1" x14ac:dyDescent="0.2">
      <c r="B29" s="21">
        <v>11418</v>
      </c>
      <c r="C29" s="48" t="s">
        <v>25</v>
      </c>
      <c r="D29" s="49"/>
      <c r="E29" s="49"/>
      <c r="F29" s="49"/>
      <c r="G29" s="22"/>
      <c r="H29" s="21" t="s">
        <v>15</v>
      </c>
      <c r="I29" s="21" t="s">
        <v>46</v>
      </c>
      <c r="J29" s="23">
        <f t="shared" si="0"/>
        <v>0</v>
      </c>
      <c r="K29" s="24"/>
    </row>
    <row r="30" spans="1:22" s="10" customFormat="1" ht="4.9000000000000004" customHeight="1" x14ac:dyDescent="0.2">
      <c r="B30" s="25"/>
      <c r="D30" s="6"/>
      <c r="E30" s="6"/>
      <c r="F30" s="6"/>
      <c r="G30" s="3"/>
      <c r="H30" s="25"/>
      <c r="I30" s="25"/>
      <c r="J30" s="26"/>
      <c r="K30" s="24"/>
    </row>
    <row r="31" spans="1:22" s="10" customFormat="1" ht="15.95" customHeight="1" x14ac:dyDescent="0.2">
      <c r="A31" s="20" t="s">
        <v>14</v>
      </c>
      <c r="B31" s="21" t="s">
        <v>29</v>
      </c>
      <c r="C31" s="48" t="s">
        <v>27</v>
      </c>
      <c r="D31" s="49"/>
      <c r="E31" s="49"/>
      <c r="F31" s="49"/>
      <c r="G31" s="22"/>
      <c r="H31" s="21" t="s">
        <v>15</v>
      </c>
      <c r="I31" s="21" t="s">
        <v>47</v>
      </c>
      <c r="J31" s="23">
        <f>G31*131</f>
        <v>0</v>
      </c>
      <c r="K31" s="29" t="s">
        <v>35</v>
      </c>
    </row>
    <row r="32" spans="1:22" s="10" customFormat="1" ht="15.95" customHeight="1" x14ac:dyDescent="0.2">
      <c r="A32" s="20" t="s">
        <v>26</v>
      </c>
      <c r="B32" s="21" t="s">
        <v>30</v>
      </c>
      <c r="C32" s="48" t="s">
        <v>28</v>
      </c>
      <c r="D32" s="49"/>
      <c r="E32" s="49"/>
      <c r="F32" s="49"/>
      <c r="G32" s="22"/>
      <c r="H32" s="21" t="s">
        <v>15</v>
      </c>
      <c r="I32" s="21" t="s">
        <v>47</v>
      </c>
      <c r="J32" s="23">
        <f>G32*131</f>
        <v>0</v>
      </c>
      <c r="K32" s="29" t="s">
        <v>35</v>
      </c>
    </row>
    <row r="33" spans="1:11" s="10" customFormat="1" ht="15.95" customHeight="1" x14ac:dyDescent="0.2">
      <c r="A33" s="20" t="s">
        <v>16</v>
      </c>
      <c r="B33" s="21" t="s">
        <v>33</v>
      </c>
      <c r="C33" s="48" t="s">
        <v>31</v>
      </c>
      <c r="D33" s="49"/>
      <c r="E33" s="49"/>
      <c r="F33" s="49"/>
      <c r="G33" s="22"/>
      <c r="H33" s="21" t="s">
        <v>15</v>
      </c>
      <c r="I33" s="21" t="s">
        <v>47</v>
      </c>
      <c r="J33" s="23">
        <f>G33*131</f>
        <v>0</v>
      </c>
      <c r="K33" s="29" t="s">
        <v>35</v>
      </c>
    </row>
    <row r="34" spans="1:11" s="10" customFormat="1" ht="15.95" customHeight="1" x14ac:dyDescent="0.2">
      <c r="B34" s="21" t="s">
        <v>34</v>
      </c>
      <c r="C34" s="48" t="s">
        <v>32</v>
      </c>
      <c r="D34" s="49"/>
      <c r="E34" s="49"/>
      <c r="F34" s="49"/>
      <c r="G34" s="22"/>
      <c r="H34" s="21" t="s">
        <v>15</v>
      </c>
      <c r="I34" s="21" t="s">
        <v>47</v>
      </c>
      <c r="J34" s="23">
        <f>G34*131</f>
        <v>0</v>
      </c>
      <c r="K34" s="29" t="s">
        <v>35</v>
      </c>
    </row>
    <row r="35" spans="1:11" s="10" customFormat="1" ht="4.9000000000000004" customHeight="1" x14ac:dyDescent="0.2">
      <c r="A35" s="20"/>
      <c r="B35" s="25"/>
      <c r="D35" s="6"/>
      <c r="E35" s="6"/>
      <c r="F35" s="6"/>
      <c r="G35" s="3"/>
      <c r="H35" s="25"/>
      <c r="I35" s="25"/>
      <c r="J35" s="26"/>
      <c r="K35" s="27"/>
    </row>
    <row r="36" spans="1:11" s="10" customFormat="1" ht="15.95" customHeight="1" x14ac:dyDescent="0.2">
      <c r="A36" s="20" t="s">
        <v>36</v>
      </c>
      <c r="B36" s="21" t="s">
        <v>69</v>
      </c>
      <c r="C36" s="48" t="s">
        <v>56</v>
      </c>
      <c r="D36" s="49"/>
      <c r="E36" s="49"/>
      <c r="F36" s="49"/>
      <c r="G36" s="22"/>
      <c r="H36" s="21" t="s">
        <v>15</v>
      </c>
      <c r="I36" s="21" t="s">
        <v>39</v>
      </c>
      <c r="J36" s="23">
        <f>G36*8</f>
        <v>0</v>
      </c>
      <c r="K36" s="13"/>
    </row>
    <row r="37" spans="1:11" s="10" customFormat="1" ht="15.95" customHeight="1" x14ac:dyDescent="0.2">
      <c r="A37" s="20" t="s">
        <v>37</v>
      </c>
      <c r="B37" s="21" t="s">
        <v>70</v>
      </c>
      <c r="C37" s="48" t="s">
        <v>57</v>
      </c>
      <c r="D37" s="49"/>
      <c r="E37" s="49"/>
      <c r="F37" s="49"/>
      <c r="G37" s="22"/>
      <c r="H37" s="21" t="s">
        <v>15</v>
      </c>
      <c r="I37" s="21" t="s">
        <v>39</v>
      </c>
      <c r="J37" s="23">
        <f>G37*8</f>
        <v>0</v>
      </c>
      <c r="K37" s="13"/>
    </row>
    <row r="38" spans="1:11" s="10" customFormat="1" ht="15.95" customHeight="1" x14ac:dyDescent="0.2">
      <c r="A38" s="20"/>
      <c r="B38" s="21" t="s">
        <v>71</v>
      </c>
      <c r="C38" s="48" t="s">
        <v>83</v>
      </c>
      <c r="D38" s="49"/>
      <c r="E38" s="49"/>
      <c r="F38" s="49"/>
      <c r="G38" s="22"/>
      <c r="H38" s="21" t="s">
        <v>15</v>
      </c>
      <c r="I38" s="21" t="s">
        <v>38</v>
      </c>
      <c r="J38" s="23">
        <f>G38*17</f>
        <v>0</v>
      </c>
      <c r="K38" s="13"/>
    </row>
    <row r="39" spans="1:11" s="10" customFormat="1" ht="15.95" customHeight="1" x14ac:dyDescent="0.2">
      <c r="B39" s="21" t="s">
        <v>72</v>
      </c>
      <c r="C39" s="48" t="s">
        <v>84</v>
      </c>
      <c r="D39" s="49"/>
      <c r="E39" s="49"/>
      <c r="F39" s="49"/>
      <c r="G39" s="22"/>
      <c r="H39" s="21" t="s">
        <v>15</v>
      </c>
      <c r="I39" s="21" t="s">
        <v>38</v>
      </c>
      <c r="J39" s="23">
        <f>G39*17</f>
        <v>0</v>
      </c>
      <c r="K39" s="13"/>
    </row>
    <row r="40" spans="1:11" s="10" customFormat="1" ht="15.95" customHeight="1" x14ac:dyDescent="0.2">
      <c r="B40" s="21" t="s">
        <v>73</v>
      </c>
      <c r="C40" s="48" t="s">
        <v>85</v>
      </c>
      <c r="D40" s="49"/>
      <c r="E40" s="49"/>
      <c r="F40" s="49"/>
      <c r="G40" s="22"/>
      <c r="H40" s="21" t="s">
        <v>15</v>
      </c>
      <c r="I40" s="21" t="s">
        <v>38</v>
      </c>
      <c r="J40" s="23">
        <f>G40*17</f>
        <v>0</v>
      </c>
      <c r="K40" s="13"/>
    </row>
    <row r="41" spans="1:11" s="10" customFormat="1" ht="15.95" customHeight="1" x14ac:dyDescent="0.2">
      <c r="B41" s="21" t="s">
        <v>74</v>
      </c>
      <c r="C41" s="48" t="s">
        <v>86</v>
      </c>
      <c r="D41" s="49"/>
      <c r="E41" s="49"/>
      <c r="F41" s="49"/>
      <c r="G41" s="22"/>
      <c r="H41" s="21" t="s">
        <v>15</v>
      </c>
      <c r="I41" s="21" t="s">
        <v>38</v>
      </c>
      <c r="J41" s="23">
        <f>G41*17</f>
        <v>0</v>
      </c>
      <c r="K41" s="13"/>
    </row>
    <row r="42" spans="1:11" s="10" customFormat="1" ht="15.95" customHeight="1" x14ac:dyDescent="0.2">
      <c r="B42" s="21" t="s">
        <v>75</v>
      </c>
      <c r="C42" s="48" t="s">
        <v>40</v>
      </c>
      <c r="D42" s="49"/>
      <c r="E42" s="49"/>
      <c r="F42" s="49"/>
      <c r="G42" s="22"/>
      <c r="H42" s="21" t="s">
        <v>15</v>
      </c>
      <c r="I42" s="21" t="s">
        <v>45</v>
      </c>
      <c r="J42" s="23">
        <f>G42*10</f>
        <v>0</v>
      </c>
      <c r="K42" s="13"/>
    </row>
    <row r="43" spans="1:11" s="10" customFormat="1" ht="15.95" customHeight="1" x14ac:dyDescent="0.2">
      <c r="B43" s="21" t="s">
        <v>76</v>
      </c>
      <c r="C43" s="48" t="s">
        <v>87</v>
      </c>
      <c r="D43" s="49"/>
      <c r="E43" s="49"/>
      <c r="F43" s="49"/>
      <c r="G43" s="22"/>
      <c r="H43" s="21" t="s">
        <v>15</v>
      </c>
      <c r="I43" s="21" t="s">
        <v>45</v>
      </c>
      <c r="J43" s="23">
        <f>G43*10</f>
        <v>0</v>
      </c>
      <c r="K43" s="13"/>
    </row>
    <row r="44" spans="1:11" s="10" customFormat="1" ht="15.95" customHeight="1" x14ac:dyDescent="0.2">
      <c r="B44" s="21">
        <v>50138</v>
      </c>
      <c r="C44" s="48" t="s">
        <v>41</v>
      </c>
      <c r="D44" s="49"/>
      <c r="E44" s="49"/>
      <c r="F44" s="49"/>
      <c r="G44" s="22"/>
      <c r="H44" s="21" t="s">
        <v>15</v>
      </c>
      <c r="I44" s="21" t="s">
        <v>42</v>
      </c>
      <c r="J44" s="23">
        <f>G44*10</f>
        <v>0</v>
      </c>
      <c r="K44" s="13"/>
    </row>
    <row r="45" spans="1:11" s="10" customFormat="1" ht="4.9000000000000004" customHeight="1" x14ac:dyDescent="0.2">
      <c r="A45" s="20"/>
      <c r="B45" s="25"/>
      <c r="D45" s="6"/>
      <c r="E45" s="6"/>
      <c r="F45" s="6"/>
      <c r="G45" s="3"/>
      <c r="H45" s="25"/>
      <c r="I45" s="25"/>
      <c r="J45" s="26"/>
      <c r="K45" s="27"/>
    </row>
    <row r="46" spans="1:11" s="10" customFormat="1" ht="15" customHeight="1" x14ac:dyDescent="0.25">
      <c r="A46" s="20"/>
      <c r="B46" s="47" t="s">
        <v>58</v>
      </c>
      <c r="C46" s="47"/>
      <c r="D46" s="47"/>
      <c r="E46" s="47"/>
      <c r="F46" s="47"/>
      <c r="G46" s="47"/>
      <c r="H46" s="47"/>
      <c r="I46" s="25"/>
      <c r="J46" s="35"/>
      <c r="K46" s="27"/>
    </row>
    <row r="47" spans="1:11" s="10" customFormat="1" ht="15" customHeight="1" thickBot="1" x14ac:dyDescent="0.3">
      <c r="B47" s="47" t="s">
        <v>55</v>
      </c>
      <c r="C47" s="47"/>
      <c r="D47" s="47"/>
      <c r="E47" s="47"/>
      <c r="F47" s="47"/>
      <c r="G47" s="47"/>
      <c r="H47" s="47"/>
      <c r="I47" s="20" t="s">
        <v>17</v>
      </c>
      <c r="J47" s="34">
        <f>SUM(J24:J44)</f>
        <v>0</v>
      </c>
      <c r="K47" s="3"/>
    </row>
    <row r="48" spans="1:11" s="10" customFormat="1" ht="4.9000000000000004" customHeight="1" thickTop="1" x14ac:dyDescent="0.2"/>
    <row r="49" spans="1:13" s="10" customFormat="1" ht="9" customHeight="1" x14ac:dyDescent="0.2"/>
    <row r="50" spans="1:13" s="10" customFormat="1" ht="20.25" customHeight="1" x14ac:dyDescent="0.2">
      <c r="A50" s="56" t="s">
        <v>48</v>
      </c>
      <c r="B50" s="56"/>
      <c r="C50" s="56"/>
      <c r="D50" s="56"/>
      <c r="E50" s="56"/>
      <c r="F50" s="56"/>
      <c r="G50" s="56"/>
      <c r="H50" s="56"/>
      <c r="I50" s="56"/>
      <c r="J50" s="56"/>
      <c r="K50" s="56"/>
    </row>
    <row r="51" spans="1:13" s="10" customFormat="1" ht="20.25" customHeight="1" x14ac:dyDescent="0.2">
      <c r="A51" s="56" t="s">
        <v>53</v>
      </c>
      <c r="B51" s="56"/>
      <c r="C51" s="56"/>
      <c r="D51" s="56"/>
      <c r="E51" s="56"/>
      <c r="F51" s="56"/>
      <c r="G51" s="56"/>
      <c r="H51" s="56"/>
      <c r="I51" s="56"/>
      <c r="J51" s="56"/>
      <c r="K51" s="56"/>
    </row>
    <row r="52" spans="1:13" s="10" customFormat="1" ht="6.75" customHeight="1" x14ac:dyDescent="0.2"/>
    <row r="53" spans="1:13" s="10" customFormat="1" ht="10.15" customHeight="1" thickBot="1" x14ac:dyDescent="0.25">
      <c r="B53" s="8"/>
    </row>
    <row r="54" spans="1:13" s="44" customFormat="1" ht="13.5" thickBot="1" x14ac:dyDescent="0.25">
      <c r="A54" s="57" t="s">
        <v>90</v>
      </c>
      <c r="B54" s="58"/>
      <c r="C54" s="58"/>
      <c r="D54" s="58"/>
      <c r="E54" s="58"/>
      <c r="F54" s="58"/>
      <c r="G54" s="58"/>
      <c r="H54" s="58"/>
      <c r="I54" s="58"/>
      <c r="J54" s="58"/>
      <c r="K54" s="59"/>
      <c r="L54" s="42"/>
      <c r="M54" s="42"/>
    </row>
  </sheetData>
  <mergeCells count="31">
    <mergeCell ref="A54:K54"/>
    <mergeCell ref="C43:F43"/>
    <mergeCell ref="C44:F44"/>
    <mergeCell ref="B46:H46"/>
    <mergeCell ref="B47:H47"/>
    <mergeCell ref="A50:K50"/>
    <mergeCell ref="A51:K51"/>
    <mergeCell ref="C37:F37"/>
    <mergeCell ref="C38:F38"/>
    <mergeCell ref="C39:F39"/>
    <mergeCell ref="C40:F40"/>
    <mergeCell ref="C41:F41"/>
    <mergeCell ref="C42:F42"/>
    <mergeCell ref="C29:F29"/>
    <mergeCell ref="C31:F31"/>
    <mergeCell ref="C32:F32"/>
    <mergeCell ref="C33:F33"/>
    <mergeCell ref="C34:F34"/>
    <mergeCell ref="C36:F36"/>
    <mergeCell ref="C23:F23"/>
    <mergeCell ref="C24:F24"/>
    <mergeCell ref="C25:F25"/>
    <mergeCell ref="C26:F26"/>
    <mergeCell ref="C27:F27"/>
    <mergeCell ref="C28:F28"/>
    <mergeCell ref="A1:K1"/>
    <mergeCell ref="D3:H3"/>
    <mergeCell ref="G5:K5"/>
    <mergeCell ref="G6:K6"/>
    <mergeCell ref="C16:K16"/>
    <mergeCell ref="H20:I20"/>
  </mergeCells>
  <pageMargins left="0.5" right="0.5" top="0.25" bottom="0.25" header="0.5" footer="0.5"/>
  <pageSetup scale="93" orientation="portrait" horizontalDpi="4294967293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Blank</vt:lpstr>
      <vt:lpstr>Total</vt:lpstr>
    </vt:vector>
  </TitlesOfParts>
  <Company>Brennan Ind.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Staff</dc:creator>
  <cp:lastModifiedBy>Michelle Huibregtse</cp:lastModifiedBy>
  <cp:lastPrinted>2012-11-30T06:53:38Z</cp:lastPrinted>
  <dcterms:created xsi:type="dcterms:W3CDTF">2006-07-26T15:21:01Z</dcterms:created>
  <dcterms:modified xsi:type="dcterms:W3CDTF">2012-11-30T06:53:54Z</dcterms:modified>
</cp:coreProperties>
</file>