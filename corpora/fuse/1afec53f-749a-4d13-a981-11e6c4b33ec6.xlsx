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75" yWindow="1260" windowWidth="15180" windowHeight="9345" tabRatio="948"/>
  </bookViews>
  <sheets>
    <sheet name="YARDIM ADRESLERİ " sheetId="24" r:id="rId1"/>
    <sheet name="KATSAYILAR " sheetId="22" r:id="rId2"/>
    <sheet name="katsayılar 1" sheetId="1" r:id="rId3"/>
    <sheet name="E.Y.D.M.AYLIĞI " sheetId="26" r:id="rId4"/>
    <sheet name="AİLE VE COCUK YARDIMI " sheetId="25" r:id="rId5"/>
    <sheet name="sataklık ind" sheetId="2" r:id="rId6"/>
    <sheet name="Vergi dilemleri " sheetId="3" r:id="rId7"/>
    <sheet name="Damga vergisi nisbetleri " sheetId="8" r:id="rId8"/>
    <sheet name="AGİ" sheetId="7" r:id="rId9"/>
    <sheet name="Sakatıl İnd. İade " sheetId="4" r:id="rId10"/>
    <sheet name="agi iade " sheetId="6" r:id="rId11"/>
    <sheet name="NAKİL BİLDİRİM " sheetId="5" r:id="rId12"/>
    <sheet name="EK GÖSTERGELER " sheetId="12" r:id="rId13"/>
    <sheet name="EK GÖSTERGELER T.S.K " sheetId="19" r:id="rId14"/>
    <sheet name="EK ÖDEME 375 " sheetId="9" r:id="rId15"/>
    <sheet name="375 S.K. EK VE DEĞİŞ G.MEV." sheetId="13" r:id="rId16"/>
    <sheet name="375 S.K. EK VE DEĞİŞ G.MEV. (2" sheetId="14" r:id="rId17"/>
    <sheet name="YAN ÖDEME VE ÖZ.HİZ" sheetId="11" r:id="rId18"/>
    <sheet name="666 S.K.H.K" sheetId="16" r:id="rId19"/>
    <sheet name="659 S. K.H.K" sheetId="18" r:id="rId20"/>
    <sheet name="161 S.D.M. TEBLİĞİ" sheetId="20" r:id="rId21"/>
    <sheet name="MAAŞ HAKKINDA " sheetId="15" r:id="rId22"/>
    <sheet name="MUH.MD.YAYIN TARİHİ " sheetId="21" r:id="rId23"/>
    <sheet name="Sayfa1" sheetId="23" r:id="rId24"/>
  </sheets>
  <definedNames>
    <definedName name="_KHK61" localSheetId="15">'375 S.K. EK VE DEĞİŞ G.MEV.'!$A$2</definedName>
    <definedName name="_KHK61" localSheetId="16">'375 S.K. EK VE DEĞİŞ G.MEV. (2'!$A$2</definedName>
    <definedName name="bookmark0" localSheetId="20">'161 S.D.M. TEBLİĞİ'!$A$1</definedName>
    <definedName name="bookmark1" localSheetId="20">'161 S.D.M. TEBLİĞİ'!$A$2</definedName>
    <definedName name="bookmark2" localSheetId="20">'161 S.D.M. TEBLİĞİ'!$A$3</definedName>
    <definedName name="bookmark3" localSheetId="20">'161 S.D.M. TEBLİĞİ'!$A$10</definedName>
    <definedName name="bookmark4" localSheetId="20">'161 S.D.M. TEBLİĞİ'!$A$637</definedName>
    <definedName name="bookmark5" localSheetId="20">'161 S.D.M. TEBLİĞİ'!$B$1168</definedName>
    <definedName name="bookmark6" localSheetId="20">'161 S.D.M. TEBLİĞİ'!$A$1237</definedName>
    <definedName name="OLE_LINK11" localSheetId="12">'EK GÖSTERGELER '!#REF!</definedName>
    <definedName name="OLE_LINK29" localSheetId="21">'MAAŞ HAKKINDA '!$A$281</definedName>
    <definedName name="OLE_LINK48" localSheetId="12">'EK GÖSTERGELER '!#REF!</definedName>
    <definedName name="OLE_LINK9" localSheetId="18">'666 S.K.H.K'!$A$189</definedName>
    <definedName name="_xlnm.Print_Area" localSheetId="20">'161 S.D.M. TEBLİĞİ'!$A$1:$S$1371</definedName>
    <definedName name="_xlnm.Print_Area" localSheetId="15">'375 S.K. EK VE DEĞİŞ G.MEV.'!$A$1:$W$961</definedName>
    <definedName name="_xlnm.Print_Area" localSheetId="16">'375 S.K. EK VE DEĞİŞ G.MEV. (2'!$A$1:$W$979</definedName>
    <definedName name="_xlnm.Print_Area" localSheetId="14">'EK ÖDEME 375 '!$A$1:$E$324</definedName>
    <definedName name="_xlnm.Print_Area" localSheetId="11">'NAKİL BİLDİRİM '!$B$1:$M$48</definedName>
    <definedName name="_xlnm.Print_Titles" localSheetId="1">'KATSAYILAR '!$1:$3</definedName>
  </definedNames>
  <calcPr calcId="145621"/>
</workbook>
</file>

<file path=xl/calcChain.xml><?xml version="1.0" encoding="utf-8"?>
<calcChain xmlns="http://schemas.openxmlformats.org/spreadsheetml/2006/main">
  <c r="A92" i="26" l="1"/>
  <c r="B92" i="26"/>
  <c r="A93" i="26"/>
  <c r="B93" i="26"/>
  <c r="A94" i="26"/>
  <c r="B94" i="26"/>
  <c r="A95" i="26"/>
  <c r="B95" i="26"/>
  <c r="E95" i="26" s="1"/>
  <c r="A96" i="26"/>
  <c r="B96" i="26"/>
  <c r="E96" i="26" s="1"/>
  <c r="A97" i="26"/>
  <c r="B97" i="26"/>
  <c r="E97" i="26" s="1"/>
  <c r="A98" i="26"/>
  <c r="B98" i="26"/>
  <c r="E98" i="26" s="1"/>
  <c r="A99" i="26"/>
  <c r="B99" i="26"/>
  <c r="E99" i="26" s="1"/>
  <c r="A100" i="26"/>
  <c r="B100" i="26"/>
  <c r="E100" i="26" s="1"/>
  <c r="A101" i="26"/>
  <c r="B101" i="26"/>
  <c r="E101" i="26" s="1"/>
  <c r="A102" i="26"/>
  <c r="B102" i="26"/>
  <c r="E102" i="26" s="1"/>
  <c r="A103" i="26"/>
  <c r="B103" i="26"/>
  <c r="A104" i="26"/>
  <c r="B104" i="26"/>
  <c r="A105" i="26"/>
  <c r="B105" i="26"/>
  <c r="A106" i="26"/>
  <c r="B106" i="26"/>
  <c r="A107" i="26"/>
  <c r="B107" i="26"/>
  <c r="A108" i="26"/>
  <c r="B108" i="26"/>
  <c r="A109" i="26"/>
  <c r="B109" i="26"/>
  <c r="A110" i="26"/>
  <c r="B110" i="26"/>
  <c r="A111" i="26"/>
  <c r="B111" i="26"/>
  <c r="A112" i="26"/>
  <c r="B112" i="26"/>
  <c r="A113" i="26"/>
  <c r="B113" i="26"/>
  <c r="A114" i="26"/>
  <c r="B114" i="26"/>
  <c r="B91" i="26"/>
  <c r="E91" i="26" s="1"/>
  <c r="A91" i="26"/>
  <c r="E92" i="26"/>
  <c r="E93" i="26"/>
  <c r="E94" i="26"/>
  <c r="E103" i="26"/>
  <c r="E104" i="26"/>
  <c r="E105" i="26"/>
  <c r="E106" i="26"/>
  <c r="E107" i="26"/>
  <c r="E108" i="26"/>
  <c r="E109" i="26"/>
  <c r="E110" i="26"/>
  <c r="E111" i="26"/>
  <c r="E112" i="26"/>
  <c r="E113" i="26"/>
  <c r="E114" i="26"/>
  <c r="E90" i="26"/>
  <c r="E89" i="26"/>
  <c r="E88" i="26"/>
  <c r="E87" i="26"/>
  <c r="E86" i="26"/>
  <c r="E85" i="26"/>
  <c r="E84" i="26"/>
  <c r="E83" i="26"/>
  <c r="E82" i="26"/>
  <c r="E81" i="26"/>
  <c r="E80" i="26"/>
  <c r="E79" i="26"/>
  <c r="E78" i="26"/>
  <c r="E77" i="26"/>
  <c r="E76" i="26"/>
  <c r="E75" i="26"/>
  <c r="E74" i="26"/>
  <c r="E73" i="26"/>
  <c r="E72" i="26"/>
  <c r="E71" i="26"/>
  <c r="E70" i="26"/>
  <c r="E69" i="26"/>
  <c r="E68" i="26"/>
  <c r="E67" i="26"/>
  <c r="E66" i="26"/>
  <c r="E65" i="26"/>
  <c r="E64" i="26"/>
  <c r="E63" i="26"/>
  <c r="E62" i="26"/>
  <c r="E61" i="26"/>
  <c r="E60" i="26"/>
  <c r="E59" i="26"/>
  <c r="E58" i="26"/>
  <c r="E57" i="26"/>
  <c r="E56" i="26"/>
  <c r="E55" i="26"/>
  <c r="E54" i="26"/>
  <c r="E53" i="26"/>
  <c r="E52" i="26"/>
  <c r="E51" i="26"/>
  <c r="E50" i="26"/>
  <c r="E49" i="26"/>
  <c r="E48" i="26"/>
  <c r="E47" i="26"/>
  <c r="E46" i="26"/>
  <c r="E45" i="26"/>
  <c r="E44" i="26"/>
  <c r="E43" i="26"/>
  <c r="E42" i="26"/>
  <c r="E41" i="26"/>
  <c r="E40" i="26"/>
  <c r="E39" i="26"/>
  <c r="E38" i="26"/>
  <c r="E37" i="26"/>
  <c r="E36" i="26"/>
  <c r="E35" i="26"/>
  <c r="E34" i="26"/>
  <c r="E33" i="26"/>
  <c r="E32" i="26"/>
  <c r="E31" i="26"/>
  <c r="E30" i="26"/>
  <c r="E29" i="26"/>
  <c r="E28" i="26"/>
  <c r="E27" i="26"/>
  <c r="E26" i="26"/>
  <c r="E25" i="26"/>
  <c r="E24" i="26"/>
  <c r="E23" i="26"/>
  <c r="E22" i="26"/>
  <c r="E21" i="26"/>
  <c r="E20" i="26"/>
  <c r="E19" i="26"/>
  <c r="E18" i="26"/>
  <c r="E17" i="26"/>
  <c r="E16" i="26"/>
  <c r="E15" i="26"/>
  <c r="E14" i="26"/>
  <c r="E13" i="26"/>
  <c r="E12" i="26"/>
  <c r="E11" i="26"/>
  <c r="E10" i="26"/>
  <c r="E9" i="26"/>
  <c r="E8" i="26"/>
  <c r="E7" i="26"/>
  <c r="E6" i="26"/>
  <c r="E5" i="26"/>
  <c r="E4" i="26"/>
  <c r="H99" i="25"/>
  <c r="H100" i="25"/>
  <c r="H101" i="25"/>
  <c r="H110" i="25"/>
  <c r="J110" i="25" s="1"/>
  <c r="H111" i="25"/>
  <c r="J111" i="25" s="1"/>
  <c r="H116" i="25"/>
  <c r="J116" i="25" s="1"/>
  <c r="H98" i="25"/>
  <c r="J98" i="25" s="1"/>
  <c r="J99" i="25"/>
  <c r="J100" i="25"/>
  <c r="J101" i="25"/>
  <c r="G99" i="25"/>
  <c r="G100" i="25"/>
  <c r="G101" i="25"/>
  <c r="G110" i="25"/>
  <c r="G111" i="25"/>
  <c r="G112" i="25"/>
  <c r="G116" i="25"/>
  <c r="G98" i="25"/>
  <c r="F99" i="25"/>
  <c r="F100" i="25"/>
  <c r="F101" i="25"/>
  <c r="F102" i="25"/>
  <c r="F103" i="25"/>
  <c r="F116" i="25"/>
  <c r="D99" i="25"/>
  <c r="D100" i="25"/>
  <c r="D101" i="25"/>
  <c r="D102" i="25"/>
  <c r="D103" i="25"/>
  <c r="D107" i="25"/>
  <c r="F107" i="25" s="1"/>
  <c r="D108" i="25"/>
  <c r="F108" i="25" s="1"/>
  <c r="D109" i="25"/>
  <c r="F109" i="25" s="1"/>
  <c r="D116" i="25"/>
  <c r="D98" i="25"/>
  <c r="F98" i="25" s="1"/>
  <c r="B99" i="25"/>
  <c r="C99" i="25"/>
  <c r="B100" i="25"/>
  <c r="C100" i="25"/>
  <c r="B101" i="25"/>
  <c r="C101" i="25"/>
  <c r="B102" i="25"/>
  <c r="C102" i="25"/>
  <c r="H102" i="25" s="1"/>
  <c r="J102" i="25" s="1"/>
  <c r="B103" i="25"/>
  <c r="C103" i="25"/>
  <c r="H103" i="25" s="1"/>
  <c r="J103" i="25" s="1"/>
  <c r="B104" i="25"/>
  <c r="C104" i="25"/>
  <c r="H104" i="25" s="1"/>
  <c r="J104" i="25" s="1"/>
  <c r="B105" i="25"/>
  <c r="C105" i="25"/>
  <c r="H105" i="25" s="1"/>
  <c r="J105" i="25" s="1"/>
  <c r="B106" i="25"/>
  <c r="C106" i="25"/>
  <c r="H106" i="25" s="1"/>
  <c r="J106" i="25" s="1"/>
  <c r="B107" i="25"/>
  <c r="C107" i="25"/>
  <c r="H107" i="25" s="1"/>
  <c r="J107" i="25" s="1"/>
  <c r="B108" i="25"/>
  <c r="C108" i="25"/>
  <c r="H108" i="25" s="1"/>
  <c r="J108" i="25" s="1"/>
  <c r="B109" i="25"/>
  <c r="C109" i="25"/>
  <c r="H109" i="25" s="1"/>
  <c r="J109" i="25" s="1"/>
  <c r="B110" i="25"/>
  <c r="C110" i="25"/>
  <c r="D110" i="25" s="1"/>
  <c r="F110" i="25" s="1"/>
  <c r="B111" i="25"/>
  <c r="C111" i="25"/>
  <c r="D111" i="25" s="1"/>
  <c r="F111" i="25" s="1"/>
  <c r="B112" i="25"/>
  <c r="C112" i="25"/>
  <c r="D112" i="25" s="1"/>
  <c r="F112" i="25" s="1"/>
  <c r="B113" i="25"/>
  <c r="C113" i="25"/>
  <c r="D113" i="25" s="1"/>
  <c r="F113" i="25" s="1"/>
  <c r="B114" i="25"/>
  <c r="C114" i="25"/>
  <c r="D114" i="25" s="1"/>
  <c r="F114" i="25" s="1"/>
  <c r="B115" i="25"/>
  <c r="C115" i="25"/>
  <c r="G115" i="25" s="1"/>
  <c r="B116" i="25"/>
  <c r="C116" i="25"/>
  <c r="B21" i="25"/>
  <c r="C21" i="25"/>
  <c r="B22" i="25"/>
  <c r="C22" i="25"/>
  <c r="B23" i="25"/>
  <c r="C23" i="25"/>
  <c r="B24" i="25"/>
  <c r="C24" i="25"/>
  <c r="B25" i="25"/>
  <c r="C25" i="25"/>
  <c r="B26" i="25"/>
  <c r="C26" i="25"/>
  <c r="B27" i="25"/>
  <c r="C27" i="25"/>
  <c r="B28" i="25"/>
  <c r="C28" i="25"/>
  <c r="B29" i="25"/>
  <c r="C29" i="25"/>
  <c r="B30" i="25"/>
  <c r="C30" i="25"/>
  <c r="B32" i="25"/>
  <c r="C32" i="25"/>
  <c r="B33" i="25"/>
  <c r="C33" i="25"/>
  <c r="B34" i="25"/>
  <c r="C34" i="25"/>
  <c r="B35" i="25"/>
  <c r="C35" i="25"/>
  <c r="B37" i="25"/>
  <c r="C37" i="25"/>
  <c r="B38" i="25"/>
  <c r="C38" i="25"/>
  <c r="B39" i="25"/>
  <c r="C39" i="25"/>
  <c r="B40" i="25"/>
  <c r="C40" i="25"/>
  <c r="B41" i="25"/>
  <c r="C41" i="25"/>
  <c r="B42" i="25"/>
  <c r="C42" i="25"/>
  <c r="B43" i="25"/>
  <c r="C43" i="25"/>
  <c r="B44" i="25"/>
  <c r="C44" i="25"/>
  <c r="B45" i="25"/>
  <c r="C45" i="25"/>
  <c r="B46" i="25"/>
  <c r="C46" i="25"/>
  <c r="B47" i="25"/>
  <c r="C47" i="25"/>
  <c r="B48" i="25"/>
  <c r="C48" i="25"/>
  <c r="B49" i="25"/>
  <c r="C49" i="25"/>
  <c r="B50" i="25"/>
  <c r="C50" i="25"/>
  <c r="B51" i="25"/>
  <c r="C51" i="25"/>
  <c r="B52" i="25"/>
  <c r="C52" i="25"/>
  <c r="B53" i="25"/>
  <c r="C53" i="25"/>
  <c r="B54" i="25"/>
  <c r="C54" i="25"/>
  <c r="B55" i="25"/>
  <c r="C55" i="25"/>
  <c r="B56" i="25"/>
  <c r="C56" i="25"/>
  <c r="B57" i="25"/>
  <c r="C57" i="25"/>
  <c r="B58" i="25"/>
  <c r="C58" i="25"/>
  <c r="B59" i="25"/>
  <c r="C59" i="25"/>
  <c r="B60" i="25"/>
  <c r="C60" i="25"/>
  <c r="B61" i="25"/>
  <c r="C61" i="25"/>
  <c r="B62" i="25"/>
  <c r="C62" i="25"/>
  <c r="B63" i="25"/>
  <c r="C63" i="25"/>
  <c r="B64" i="25"/>
  <c r="C64" i="25"/>
  <c r="B65" i="25"/>
  <c r="C65" i="25"/>
  <c r="B66" i="25"/>
  <c r="C66" i="25"/>
  <c r="B67" i="25"/>
  <c r="C67" i="25"/>
  <c r="B68" i="25"/>
  <c r="C68" i="25"/>
  <c r="B69" i="25"/>
  <c r="C69" i="25"/>
  <c r="B70" i="25"/>
  <c r="C70" i="25"/>
  <c r="B71" i="25"/>
  <c r="C71" i="25"/>
  <c r="B72" i="25"/>
  <c r="C72" i="25"/>
  <c r="B73" i="25"/>
  <c r="C73" i="25"/>
  <c r="B74" i="25"/>
  <c r="C74" i="25"/>
  <c r="B75" i="25"/>
  <c r="C75" i="25"/>
  <c r="B76" i="25"/>
  <c r="C76" i="25"/>
  <c r="B77" i="25"/>
  <c r="C77" i="25"/>
  <c r="B78" i="25"/>
  <c r="C78" i="25"/>
  <c r="B79" i="25"/>
  <c r="C79" i="25"/>
  <c r="B80" i="25"/>
  <c r="C80" i="25"/>
  <c r="B81" i="25"/>
  <c r="C81" i="25"/>
  <c r="B83" i="25"/>
  <c r="C83" i="25"/>
  <c r="B84" i="25"/>
  <c r="C84" i="25"/>
  <c r="B85" i="25"/>
  <c r="C85" i="25"/>
  <c r="B86" i="25"/>
  <c r="C86" i="25"/>
  <c r="B87" i="25"/>
  <c r="C87" i="25"/>
  <c r="B88" i="25"/>
  <c r="C88" i="25"/>
  <c r="B89" i="25"/>
  <c r="C89" i="25"/>
  <c r="B90" i="25"/>
  <c r="C90" i="25"/>
  <c r="B91" i="25"/>
  <c r="C91" i="25"/>
  <c r="B92" i="25"/>
  <c r="C92" i="25"/>
  <c r="B93" i="25"/>
  <c r="C93" i="25"/>
  <c r="B95" i="25"/>
  <c r="C95" i="25"/>
  <c r="B96" i="25"/>
  <c r="C96" i="25"/>
  <c r="B97" i="25"/>
  <c r="C97" i="25"/>
  <c r="B98" i="25"/>
  <c r="C98" i="25"/>
  <c r="B20" i="25"/>
  <c r="C20" i="25"/>
  <c r="J97" i="25"/>
  <c r="J96" i="25"/>
  <c r="J95" i="25"/>
  <c r="J94" i="25"/>
  <c r="J93" i="25"/>
  <c r="J92" i="25"/>
  <c r="J91" i="25"/>
  <c r="J90" i="25"/>
  <c r="J89" i="25"/>
  <c r="J88" i="25"/>
  <c r="J87" i="25"/>
  <c r="J86" i="25"/>
  <c r="J85" i="25"/>
  <c r="J84" i="25"/>
  <c r="J83" i="25"/>
  <c r="J81" i="25"/>
  <c r="J80" i="25"/>
  <c r="J79" i="25"/>
  <c r="J78" i="25"/>
  <c r="J77" i="25"/>
  <c r="J76" i="25"/>
  <c r="J75" i="25"/>
  <c r="J74" i="25"/>
  <c r="J73" i="25"/>
  <c r="J72" i="25"/>
  <c r="J71" i="25"/>
  <c r="J70" i="25"/>
  <c r="J69" i="25"/>
  <c r="J68" i="25"/>
  <c r="J67" i="25"/>
  <c r="J66" i="25"/>
  <c r="J65" i="25"/>
  <c r="J64" i="25"/>
  <c r="J63" i="25"/>
  <c r="J62" i="25"/>
  <c r="J61" i="25"/>
  <c r="J60" i="25"/>
  <c r="J59" i="25"/>
  <c r="J58" i="25"/>
  <c r="J57" i="25"/>
  <c r="J56" i="25"/>
  <c r="J55" i="25"/>
  <c r="J54" i="25"/>
  <c r="J53" i="25"/>
  <c r="J52" i="25"/>
  <c r="J51" i="25"/>
  <c r="J50" i="25"/>
  <c r="J49" i="25"/>
  <c r="J48" i="25"/>
  <c r="J47" i="25"/>
  <c r="J46" i="25"/>
  <c r="J43" i="25"/>
  <c r="J42" i="25"/>
  <c r="J41" i="25"/>
  <c r="J40" i="25"/>
  <c r="J39" i="25"/>
  <c r="J38" i="25"/>
  <c r="J37" i="25"/>
  <c r="J35" i="25"/>
  <c r="J34" i="25"/>
  <c r="J33" i="25"/>
  <c r="J32" i="25"/>
  <c r="J31" i="25"/>
  <c r="J30" i="25"/>
  <c r="J29" i="25"/>
  <c r="J28" i="25"/>
  <c r="J27" i="25"/>
  <c r="J26" i="25"/>
  <c r="J25" i="25"/>
  <c r="J24" i="25"/>
  <c r="J23" i="25"/>
  <c r="J22" i="25"/>
  <c r="J21" i="25"/>
  <c r="J20" i="25"/>
  <c r="F97" i="25"/>
  <c r="F96" i="25"/>
  <c r="F95" i="25"/>
  <c r="F94" i="25"/>
  <c r="F93" i="25"/>
  <c r="F92" i="25"/>
  <c r="F91" i="25"/>
  <c r="F90" i="25"/>
  <c r="F89" i="25"/>
  <c r="F88" i="25"/>
  <c r="F87" i="25"/>
  <c r="F86" i="25"/>
  <c r="F85" i="25"/>
  <c r="F84" i="25"/>
  <c r="F83" i="25"/>
  <c r="F82" i="25"/>
  <c r="F81" i="25"/>
  <c r="F80" i="25"/>
  <c r="F79" i="25"/>
  <c r="F78" i="25"/>
  <c r="F77" i="25"/>
  <c r="F76" i="25"/>
  <c r="F75" i="25"/>
  <c r="F74" i="25"/>
  <c r="F73" i="25"/>
  <c r="F72" i="25"/>
  <c r="F71" i="25"/>
  <c r="F70" i="25"/>
  <c r="F69" i="25"/>
  <c r="F68" i="25"/>
  <c r="F67" i="25"/>
  <c r="F66" i="25"/>
  <c r="F65" i="25"/>
  <c r="F64" i="25"/>
  <c r="F63" i="25"/>
  <c r="F62" i="25"/>
  <c r="F61" i="25"/>
  <c r="F60" i="25"/>
  <c r="F59" i="25"/>
  <c r="F58" i="25"/>
  <c r="F57" i="25"/>
  <c r="F56" i="25"/>
  <c r="F55" i="25"/>
  <c r="F54" i="25"/>
  <c r="F53" i="25"/>
  <c r="F52" i="25"/>
  <c r="F51" i="25"/>
  <c r="F50" i="25"/>
  <c r="F49" i="25"/>
  <c r="F48" i="25"/>
  <c r="F47" i="25"/>
  <c r="F46" i="25"/>
  <c r="F43" i="25"/>
  <c r="F42" i="25"/>
  <c r="F41" i="25"/>
  <c r="F40" i="25"/>
  <c r="F39" i="25"/>
  <c r="F38" i="25"/>
  <c r="F37" i="25"/>
  <c r="F36" i="25"/>
  <c r="F35" i="25"/>
  <c r="F34" i="25"/>
  <c r="F33" i="25"/>
  <c r="F32" i="25"/>
  <c r="F31" i="25"/>
  <c r="F30" i="25"/>
  <c r="E21" i="25"/>
  <c r="F21" i="25" s="1"/>
  <c r="F20" i="25"/>
  <c r="D106" i="25" l="1"/>
  <c r="F106" i="25" s="1"/>
  <c r="D105" i="25"/>
  <c r="F105" i="25" s="1"/>
  <c r="D104" i="25"/>
  <c r="F104" i="25" s="1"/>
  <c r="H115" i="25"/>
  <c r="J115" i="25" s="1"/>
  <c r="H114" i="25"/>
  <c r="J114" i="25" s="1"/>
  <c r="G113" i="25"/>
  <c r="H113" i="25"/>
  <c r="J113" i="25" s="1"/>
  <c r="H112" i="25"/>
  <c r="J112" i="25" s="1"/>
  <c r="G114" i="25"/>
  <c r="G109" i="25"/>
  <c r="G108" i="25"/>
  <c r="G107" i="25"/>
  <c r="G106" i="25"/>
  <c r="G105" i="25"/>
  <c r="D115" i="25"/>
  <c r="F115" i="25" s="1"/>
  <c r="G104" i="25"/>
  <c r="G103" i="25"/>
  <c r="G102" i="25"/>
  <c r="E22" i="25"/>
  <c r="E3" i="3"/>
  <c r="E4" i="3" s="1"/>
  <c r="E5" i="3" s="1"/>
  <c r="F22" i="25" l="1"/>
  <c r="E23" i="25"/>
  <c r="G5" i="7"/>
  <c r="G6" i="7" s="1"/>
  <c r="C5" i="7"/>
  <c r="C6" i="7" s="1"/>
  <c r="E3" i="7"/>
  <c r="F3" i="7" s="1"/>
  <c r="D5" i="7" s="1"/>
  <c r="D29" i="7"/>
  <c r="G15" i="7"/>
  <c r="C15" i="7"/>
  <c r="E13" i="7"/>
  <c r="F13" i="7" s="1"/>
  <c r="H16" i="7" s="1"/>
  <c r="E16" i="3"/>
  <c r="F23" i="25" l="1"/>
  <c r="E24" i="25"/>
  <c r="D6" i="7"/>
  <c r="D8" i="7"/>
  <c r="H5" i="7"/>
  <c r="H9" i="7"/>
  <c r="D9" i="7"/>
  <c r="H8" i="7"/>
  <c r="H7" i="7"/>
  <c r="D7" i="7"/>
  <c r="H6" i="7"/>
  <c r="D4" i="7"/>
  <c r="C7" i="7"/>
  <c r="G7" i="7"/>
  <c r="D15" i="7"/>
  <c r="D19" i="7"/>
  <c r="D18" i="7"/>
  <c r="D17" i="7"/>
  <c r="D16" i="7"/>
  <c r="H15" i="7"/>
  <c r="H19" i="7"/>
  <c r="H18" i="7"/>
  <c r="D14" i="7"/>
  <c r="H17" i="7"/>
  <c r="G16" i="7"/>
  <c r="C16" i="7"/>
  <c r="D6" i="1"/>
  <c r="D5" i="1"/>
  <c r="D4" i="1"/>
  <c r="D13" i="1" s="1"/>
  <c r="A3" i="1"/>
  <c r="D20" i="1"/>
  <c r="D19" i="1"/>
  <c r="D18" i="1"/>
  <c r="D34" i="1"/>
  <c r="D33" i="1"/>
  <c r="D32" i="1"/>
  <c r="D36" i="1" s="1"/>
  <c r="D27" i="1"/>
  <c r="A17" i="1"/>
  <c r="A31" i="1"/>
  <c r="D48" i="1"/>
  <c r="D47" i="1"/>
  <c r="D61" i="1"/>
  <c r="D46" i="1"/>
  <c r="D51" i="1" s="1"/>
  <c r="A45" i="1"/>
  <c r="A59" i="1"/>
  <c r="A74" i="1"/>
  <c r="D62" i="1"/>
  <c r="D76" i="1"/>
  <c r="D77" i="1"/>
  <c r="D75" i="1"/>
  <c r="D80" i="1" s="1"/>
  <c r="D60" i="1"/>
  <c r="D65" i="1" s="1"/>
  <c r="D16" i="4"/>
  <c r="E16" i="4"/>
  <c r="F16" i="4"/>
  <c r="G16" i="4"/>
  <c r="H16" i="4"/>
  <c r="I16" i="4"/>
  <c r="J16" i="4"/>
  <c r="K16" i="4"/>
  <c r="L16" i="4"/>
  <c r="M16" i="4"/>
  <c r="N16" i="4"/>
  <c r="O16" i="4"/>
  <c r="D14" i="4"/>
  <c r="E14" i="4"/>
  <c r="F14" i="4"/>
  <c r="G14" i="4"/>
  <c r="H14" i="4"/>
  <c r="I14" i="4"/>
  <c r="J14" i="4"/>
  <c r="K14" i="4"/>
  <c r="L14" i="4"/>
  <c r="M14" i="4"/>
  <c r="N14" i="4"/>
  <c r="O14" i="4"/>
  <c r="D15" i="4"/>
  <c r="E15" i="4"/>
  <c r="F15" i="4"/>
  <c r="G15" i="4"/>
  <c r="H15" i="4"/>
  <c r="I15" i="4"/>
  <c r="J15" i="4"/>
  <c r="K15" i="4"/>
  <c r="L15" i="4"/>
  <c r="M15" i="4"/>
  <c r="N15" i="4"/>
  <c r="O15" i="4"/>
  <c r="C16" i="4"/>
  <c r="C15" i="4"/>
  <c r="C14" i="4"/>
  <c r="C13" i="4"/>
  <c r="C10" i="4"/>
  <c r="C11" i="4"/>
  <c r="C12" i="4"/>
  <c r="C8" i="4"/>
  <c r="E23" i="3"/>
  <c r="E24" i="3"/>
  <c r="E25" i="3"/>
  <c r="E17" i="3"/>
  <c r="E18" i="3"/>
  <c r="E9" i="3"/>
  <c r="E10" i="3" s="1"/>
  <c r="E11" i="3" s="1"/>
  <c r="N256" i="11"/>
  <c r="N255" i="11"/>
  <c r="N254" i="11"/>
  <c r="F10" i="4"/>
  <c r="F11" i="4"/>
  <c r="F12" i="4"/>
  <c r="B230" i="15"/>
  <c r="F231" i="15"/>
  <c r="Q226" i="15"/>
  <c r="B229" i="15"/>
  <c r="N206" i="15"/>
  <c r="S206" i="15"/>
  <c r="B186" i="15"/>
  <c r="E177" i="15"/>
  <c r="I177" i="15"/>
  <c r="B171" i="15"/>
  <c r="N164" i="15"/>
  <c r="S164" i="15"/>
  <c r="E140" i="15"/>
  <c r="J140" i="15"/>
  <c r="K45" i="15"/>
  <c r="F271" i="15"/>
  <c r="K271" i="15"/>
  <c r="A147" i="15"/>
  <c r="D324" i="9"/>
  <c r="D323" i="9"/>
  <c r="D322" i="9"/>
  <c r="D321" i="9"/>
  <c r="D320" i="9"/>
  <c r="D319" i="9"/>
  <c r="D318" i="9"/>
  <c r="D317" i="9"/>
  <c r="D316" i="9"/>
  <c r="D315" i="9"/>
  <c r="D314" i="9"/>
  <c r="D313" i="9"/>
  <c r="D312" i="9"/>
  <c r="D311" i="9"/>
  <c r="D310" i="9"/>
  <c r="D309" i="9"/>
  <c r="D308" i="9"/>
  <c r="D307" i="9"/>
  <c r="D301" i="9"/>
  <c r="D300" i="9"/>
  <c r="D299" i="9"/>
  <c r="D298" i="9"/>
  <c r="D297" i="9"/>
  <c r="D295" i="9"/>
  <c r="D294" i="9"/>
  <c r="D293" i="9"/>
  <c r="D292" i="9"/>
  <c r="D291" i="9"/>
  <c r="D290" i="9"/>
  <c r="D288" i="9"/>
  <c r="D286" i="9"/>
  <c r="D285" i="9"/>
  <c r="D283" i="9"/>
  <c r="D282" i="9"/>
  <c r="D281" i="9"/>
  <c r="D280" i="9"/>
  <c r="D279" i="9"/>
  <c r="D278" i="9"/>
  <c r="D277" i="9"/>
  <c r="D276" i="9"/>
  <c r="D275" i="9"/>
  <c r="D268" i="9"/>
  <c r="D267" i="9"/>
  <c r="D266" i="9"/>
  <c r="D265" i="9"/>
  <c r="D264" i="9"/>
  <c r="D263" i="9"/>
  <c r="D262" i="9"/>
  <c r="D261" i="9"/>
  <c r="D260" i="9"/>
  <c r="D258" i="9"/>
  <c r="D257" i="9"/>
  <c r="D256" i="9"/>
  <c r="D255" i="9"/>
  <c r="D254" i="9"/>
  <c r="D253" i="9"/>
  <c r="D252" i="9"/>
  <c r="D251" i="9"/>
  <c r="D250" i="9"/>
  <c r="D249" i="9"/>
  <c r="D248" i="9"/>
  <c r="D247" i="9"/>
  <c r="D246" i="9"/>
  <c r="D245" i="9"/>
  <c r="D244" i="9"/>
  <c r="D243" i="9"/>
  <c r="D242" i="9"/>
  <c r="D238" i="9"/>
  <c r="D237" i="9"/>
  <c r="D236" i="9"/>
  <c r="D235" i="9"/>
  <c r="D234" i="9"/>
  <c r="D233" i="9"/>
  <c r="D232" i="9"/>
  <c r="D231" i="9"/>
  <c r="D230" i="9"/>
  <c r="D229" i="9"/>
  <c r="D228" i="9"/>
  <c r="D227" i="9"/>
  <c r="D226" i="9"/>
  <c r="D223" i="9"/>
  <c r="D216" i="9"/>
  <c r="D215" i="9"/>
  <c r="D214" i="9"/>
  <c r="D212" i="9"/>
  <c r="D211" i="9"/>
  <c r="D209" i="9"/>
  <c r="D208" i="9"/>
  <c r="D207" i="9"/>
  <c r="D206" i="9"/>
  <c r="D205" i="9"/>
  <c r="D204" i="9"/>
  <c r="D203" i="9"/>
  <c r="D201" i="9"/>
  <c r="D200" i="9"/>
  <c r="D198" i="9"/>
  <c r="D197" i="9"/>
  <c r="D195" i="9"/>
  <c r="D192" i="9"/>
  <c r="D191" i="9"/>
  <c r="D190" i="9"/>
  <c r="D189" i="9"/>
  <c r="D188" i="9"/>
  <c r="D187" i="9"/>
  <c r="D186" i="9"/>
  <c r="D185" i="9"/>
  <c r="D183" i="9"/>
  <c r="D182" i="9"/>
  <c r="D181" i="9"/>
  <c r="D180" i="9"/>
  <c r="D179" i="9"/>
  <c r="D177" i="9"/>
  <c r="D174" i="9"/>
  <c r="D173" i="9"/>
  <c r="D167" i="9"/>
  <c r="D166" i="9"/>
  <c r="D165" i="9"/>
  <c r="D164" i="9"/>
  <c r="D163" i="9"/>
  <c r="D161" i="9"/>
  <c r="D160" i="9"/>
  <c r="D159" i="9"/>
  <c r="D158" i="9"/>
  <c r="D157" i="9"/>
  <c r="D155" i="9"/>
  <c r="D154" i="9"/>
  <c r="D153" i="9"/>
  <c r="D151" i="9"/>
  <c r="D150" i="9"/>
  <c r="D149" i="9"/>
  <c r="D146" i="9"/>
  <c r="D145" i="9"/>
  <c r="D144" i="9"/>
  <c r="D143" i="9"/>
  <c r="D142" i="9"/>
  <c r="D141" i="9"/>
  <c r="D140" i="9"/>
  <c r="D139" i="9"/>
  <c r="D138" i="9"/>
  <c r="D137" i="9"/>
  <c r="D136" i="9"/>
  <c r="D134" i="9"/>
  <c r="D133" i="9"/>
  <c r="D131" i="9"/>
  <c r="D130" i="9"/>
  <c r="D128" i="9"/>
  <c r="D127" i="9"/>
  <c r="D125" i="9"/>
  <c r="D124" i="9"/>
  <c r="D123" i="9"/>
  <c r="D10" i="4"/>
  <c r="E10" i="4"/>
  <c r="E11" i="4"/>
  <c r="G10" i="4"/>
  <c r="G11" i="4"/>
  <c r="G12" i="4"/>
  <c r="H10" i="4"/>
  <c r="H11" i="4"/>
  <c r="H12" i="4"/>
  <c r="I10" i="4"/>
  <c r="I11" i="4"/>
  <c r="I12" i="4"/>
  <c r="J10" i="4"/>
  <c r="J11" i="4"/>
  <c r="J12" i="4"/>
  <c r="J13" i="4"/>
  <c r="K10" i="4"/>
  <c r="K11" i="4"/>
  <c r="K12" i="4"/>
  <c r="L10" i="4"/>
  <c r="M10" i="4"/>
  <c r="M11" i="4"/>
  <c r="M12" i="4"/>
  <c r="M13" i="4"/>
  <c r="N10" i="4"/>
  <c r="N11" i="4"/>
  <c r="N12" i="4"/>
  <c r="N13" i="4"/>
  <c r="O5" i="4"/>
  <c r="O7" i="4"/>
  <c r="O3" i="4"/>
  <c r="L8" i="4"/>
  <c r="L9" i="4"/>
  <c r="M8" i="4"/>
  <c r="M9" i="4"/>
  <c r="N8" i="4"/>
  <c r="N9" i="4"/>
  <c r="L6" i="4"/>
  <c r="M6" i="4"/>
  <c r="N6" i="4"/>
  <c r="C6" i="4"/>
  <c r="C9" i="4"/>
  <c r="D6" i="4"/>
  <c r="E6" i="4"/>
  <c r="D8" i="4"/>
  <c r="D9" i="4"/>
  <c r="E8" i="4"/>
  <c r="E9" i="4"/>
  <c r="K6" i="4"/>
  <c r="J6" i="4"/>
  <c r="I6" i="4"/>
  <c r="H6" i="4"/>
  <c r="G6" i="4"/>
  <c r="F6" i="4"/>
  <c r="K8" i="4"/>
  <c r="K9" i="4"/>
  <c r="J8" i="4"/>
  <c r="I8" i="4"/>
  <c r="I9" i="4"/>
  <c r="H8" i="4"/>
  <c r="H9" i="4"/>
  <c r="G8" i="4"/>
  <c r="G9" i="4"/>
  <c r="F8" i="4"/>
  <c r="E25" i="5"/>
  <c r="L12" i="5"/>
  <c r="G12" i="5"/>
  <c r="L11" i="5"/>
  <c r="G11" i="5"/>
  <c r="E21" i="6"/>
  <c r="C6" i="6"/>
  <c r="C7" i="6"/>
  <c r="C8" i="6"/>
  <c r="C9" i="6"/>
  <c r="G5" i="6"/>
  <c r="G6" i="6"/>
  <c r="G7" i="6"/>
  <c r="G8" i="6"/>
  <c r="G9" i="6"/>
  <c r="C5" i="6"/>
  <c r="E3" i="6"/>
  <c r="F3" i="6"/>
  <c r="C1" i="6"/>
  <c r="H35" i="7"/>
  <c r="D34" i="7"/>
  <c r="D114" i="1"/>
  <c r="D113" i="1"/>
  <c r="D112" i="1"/>
  <c r="D111" i="1"/>
  <c r="D110" i="1"/>
  <c r="D109" i="1"/>
  <c r="D108" i="1"/>
  <c r="D99" i="1"/>
  <c r="D98" i="1"/>
  <c r="D97" i="1"/>
  <c r="D96" i="1"/>
  <c r="D95" i="1"/>
  <c r="D94" i="1"/>
  <c r="D93" i="1"/>
  <c r="G25" i="7"/>
  <c r="G26" i="7"/>
  <c r="G27" i="7"/>
  <c r="C25" i="7"/>
  <c r="C26" i="7"/>
  <c r="C27" i="7"/>
  <c r="C28" i="7"/>
  <c r="C29" i="7"/>
  <c r="E23" i="7"/>
  <c r="F23" i="7"/>
  <c r="G35" i="7"/>
  <c r="G36" i="7"/>
  <c r="G37" i="7"/>
  <c r="G38" i="7"/>
  <c r="C35" i="7"/>
  <c r="C36" i="7"/>
  <c r="C37" i="7"/>
  <c r="C38" i="7"/>
  <c r="C39" i="7"/>
  <c r="E33" i="7"/>
  <c r="F33" i="7"/>
  <c r="H37" i="7"/>
  <c r="D35" i="7"/>
  <c r="D36" i="7"/>
  <c r="H6" i="6"/>
  <c r="H8" i="6"/>
  <c r="H5" i="6"/>
  <c r="D6" i="6"/>
  <c r="D9" i="6"/>
  <c r="H7" i="6"/>
  <c r="H9" i="6"/>
  <c r="D7" i="6"/>
  <c r="D5" i="6"/>
  <c r="D8" i="6"/>
  <c r="D4" i="6"/>
  <c r="G28" i="7"/>
  <c r="G29" i="7"/>
  <c r="H38" i="7"/>
  <c r="G39" i="7"/>
  <c r="H39" i="7"/>
  <c r="H36" i="7"/>
  <c r="D39" i="7"/>
  <c r="D38" i="7"/>
  <c r="D37" i="7"/>
  <c r="D13" i="6"/>
  <c r="D15" i="6"/>
  <c r="D14" i="6"/>
  <c r="B20" i="6"/>
  <c r="E20" i="6"/>
  <c r="B15" i="6"/>
  <c r="E15" i="6"/>
  <c r="B17" i="6"/>
  <c r="E17" i="6"/>
  <c r="B16" i="6"/>
  <c r="E16" i="6"/>
  <c r="E25" i="6"/>
  <c r="B14" i="6"/>
  <c r="E14" i="6"/>
  <c r="B18" i="6"/>
  <c r="E18" i="6"/>
  <c r="B13" i="6"/>
  <c r="B19" i="6"/>
  <c r="E19" i="6"/>
  <c r="E13" i="6"/>
  <c r="B25" i="6"/>
  <c r="D25" i="6"/>
  <c r="B26" i="6"/>
  <c r="A27" i="6"/>
  <c r="E26" i="6"/>
  <c r="I17" i="6"/>
  <c r="J19" i="6"/>
  <c r="I18" i="6"/>
  <c r="J20" i="6"/>
  <c r="E195" i="15"/>
  <c r="J195" i="15"/>
  <c r="H147" i="15"/>
  <c r="M147" i="15"/>
  <c r="M46" i="15"/>
  <c r="Q46" i="15"/>
  <c r="E135" i="15"/>
  <c r="J135" i="15"/>
  <c r="E157" i="15"/>
  <c r="J157" i="15"/>
  <c r="F229" i="15"/>
  <c r="K229" i="15"/>
  <c r="B231" i="15"/>
  <c r="K231" i="15"/>
  <c r="F267" i="15"/>
  <c r="K267" i="15"/>
  <c r="K60" i="15"/>
  <c r="O60" i="15"/>
  <c r="E197" i="15"/>
  <c r="J197" i="15"/>
  <c r="F269" i="15"/>
  <c r="K269" i="15"/>
  <c r="F186" i="15"/>
  <c r="J186" i="15"/>
  <c r="E171" i="15"/>
  <c r="I171" i="15"/>
  <c r="E155" i="15"/>
  <c r="J155" i="15"/>
  <c r="S386" i="15"/>
  <c r="S382" i="15"/>
  <c r="S383" i="15"/>
  <c r="S384" i="15"/>
  <c r="S385" i="15"/>
  <c r="S381" i="15"/>
  <c r="M53" i="15"/>
  <c r="S53" i="15"/>
  <c r="M50" i="15"/>
  <c r="S50" i="15"/>
  <c r="M51" i="15"/>
  <c r="S51" i="15"/>
  <c r="M52" i="15"/>
  <c r="S52" i="15"/>
  <c r="M54" i="15"/>
  <c r="S54" i="15"/>
  <c r="M49" i="15"/>
  <c r="S49" i="15"/>
  <c r="D25" i="7"/>
  <c r="H26" i="7"/>
  <c r="D26" i="7"/>
  <c r="H25" i="7"/>
  <c r="D27" i="7"/>
  <c r="D24" i="7"/>
  <c r="D28" i="7"/>
  <c r="H27" i="7"/>
  <c r="H28" i="7"/>
  <c r="H29" i="7"/>
  <c r="L11" i="4"/>
  <c r="L12" i="4"/>
  <c r="L13" i="4"/>
  <c r="K13" i="4"/>
  <c r="I13" i="4"/>
  <c r="H13" i="4"/>
  <c r="G13" i="4"/>
  <c r="F13" i="4"/>
  <c r="O10" i="4"/>
  <c r="D11" i="4"/>
  <c r="D12" i="4"/>
  <c r="D13" i="4"/>
  <c r="O6" i="4"/>
  <c r="E12" i="4"/>
  <c r="O8" i="4"/>
  <c r="F9" i="4"/>
  <c r="C18" i="4"/>
  <c r="J9" i="4"/>
  <c r="E13" i="4"/>
  <c r="O11" i="4"/>
  <c r="O12" i="4"/>
  <c r="O13" i="4"/>
  <c r="O9" i="4"/>
  <c r="D7" i="1"/>
  <c r="D8" i="1"/>
  <c r="D9" i="1"/>
  <c r="D10" i="1"/>
  <c r="D11" i="1"/>
  <c r="D12" i="1"/>
  <c r="D69" i="1"/>
  <c r="D21" i="1"/>
  <c r="D22" i="1"/>
  <c r="D23" i="1"/>
  <c r="D24" i="1"/>
  <c r="D25" i="1"/>
  <c r="D26" i="1"/>
  <c r="D35" i="1"/>
  <c r="D84" i="1"/>
  <c r="D83" i="1"/>
  <c r="D78" i="1"/>
  <c r="D79" i="1"/>
  <c r="D82" i="1"/>
  <c r="E25" i="25" l="1"/>
  <c r="F24" i="25"/>
  <c r="D54" i="1"/>
  <c r="D53" i="1"/>
  <c r="D52" i="1"/>
  <c r="G8" i="7"/>
  <c r="C8" i="7"/>
  <c r="C17" i="7"/>
  <c r="G17" i="7"/>
  <c r="D81" i="1"/>
  <c r="D55" i="1"/>
  <c r="D41" i="1"/>
  <c r="D49" i="1"/>
  <c r="D50" i="1"/>
  <c r="D40" i="1"/>
  <c r="D39" i="1"/>
  <c r="D37" i="1"/>
  <c r="D38" i="1"/>
  <c r="D63" i="1"/>
  <c r="D64" i="1"/>
  <c r="D67" i="1"/>
  <c r="D66" i="1"/>
  <c r="D68" i="1"/>
  <c r="E26" i="25" l="1"/>
  <c r="F25" i="25"/>
  <c r="C9" i="7"/>
  <c r="G9" i="7"/>
  <c r="C18" i="7"/>
  <c r="G18" i="7"/>
  <c r="F26" i="25" l="1"/>
  <c r="E27" i="25"/>
  <c r="G19" i="7"/>
  <c r="C19" i="7"/>
  <c r="F27" i="25" l="1"/>
  <c r="E28" i="25"/>
  <c r="E29" i="25" l="1"/>
  <c r="F29" i="25" s="1"/>
  <c r="F28" i="25"/>
</calcChain>
</file>

<file path=xl/comments1.xml><?xml version="1.0" encoding="utf-8"?>
<comments xmlns="http://schemas.openxmlformats.org/spreadsheetml/2006/main">
  <authors>
    <author>Halil İbrahim Alaca</author>
  </authors>
  <commentList>
    <comment ref="A189" authorId="0">
      <text>
        <r>
          <rPr>
            <b/>
            <sz val="8"/>
            <color indexed="81"/>
            <rFont val="Tahoma"/>
            <family val="2"/>
            <charset val="162"/>
          </rPr>
          <t xml:space="preserve">Halil İbrahim Alaca: 
</t>
        </r>
      </text>
    </comment>
  </commentList>
</comments>
</file>

<file path=xl/comments2.xml><?xml version="1.0" encoding="utf-8"?>
<comments xmlns="http://schemas.openxmlformats.org/spreadsheetml/2006/main">
  <authors>
    <author>Halil İbrahim Alaca</author>
  </authors>
  <commentList>
    <comment ref="B1296" authorId="0">
      <text>
        <r>
          <rPr>
            <b/>
            <sz val="8"/>
            <color indexed="81"/>
            <rFont val="Tahoma"/>
            <family val="2"/>
            <charset val="162"/>
          </rPr>
          <t>Halil İbrahim Alaca:</t>
        </r>
        <r>
          <rPr>
            <sz val="8"/>
            <color indexed="81"/>
            <rFont val="Tahoma"/>
            <family val="2"/>
            <charset val="162"/>
          </rPr>
          <t xml:space="preserve">
</t>
        </r>
        <r>
          <rPr>
            <sz val="14"/>
            <color indexed="81"/>
            <rFont val="Tahoma"/>
            <family val="2"/>
            <charset val="162"/>
          </rPr>
          <t xml:space="preserve">26597 Sayılı R.Gazete 2007/12394 B.K.K. Isitanden 15/04/2007 Gecerli </t>
        </r>
        <r>
          <rPr>
            <sz val="8"/>
            <color indexed="81"/>
            <rFont val="Tahoma"/>
            <family val="2"/>
            <charset val="162"/>
          </rPr>
          <t xml:space="preserve">
</t>
        </r>
      </text>
    </comment>
    <comment ref="A1434" authorId="0">
      <text>
        <r>
          <rPr>
            <b/>
            <sz val="8"/>
            <color indexed="81"/>
            <rFont val="Tahoma"/>
            <family val="2"/>
            <charset val="162"/>
          </rPr>
          <t>Halil İbrahim Alaca:</t>
        </r>
        <r>
          <rPr>
            <sz val="8"/>
            <color indexed="81"/>
            <rFont val="Tahoma"/>
            <family val="2"/>
            <charset val="162"/>
          </rPr>
          <t xml:space="preserve">
</t>
        </r>
        <r>
          <rPr>
            <b/>
            <u/>
            <sz val="11"/>
            <color indexed="81"/>
            <rFont val="Tahoma"/>
            <family val="2"/>
            <charset val="162"/>
          </rPr>
          <t>SOSYOLOGLARIN TAZMİNAT SORUNU ÇÖZÜLDÜ</t>
        </r>
        <r>
          <rPr>
            <sz val="8"/>
            <color indexed="81"/>
            <rFont val="Tahoma"/>
            <family val="2"/>
            <charset val="162"/>
          </rPr>
          <t xml:space="preserve">
1 Haziran 2012 ________________________________________
2012 yılı toplu sözleşmeleriMal müdürlüğü kaynaklı yanlış toplu sözleşme uygulamaları4/C'lilerin 12 ay çalıştırılmasına yönelik kararname Resmi Gazetede...Toplu sözleşme metnindeki teknik yanlışlıklarMaliye'den Haziran ayına ait mali ve sosyal haklara ilişkin genelgeTaşınır kayıt kontrol yetkilisi olarak görevlendirilenlere 12,5 lira ödenecek
Teknik hizmetler sınıfına dahil müze araştırmacısı, arşivci, folklor araştırmacısı, kütüphaneci, kitap patologu ve sosyolog unvanlı kadrolarda bulunan personelim zam ve tazminatları, toplu sözleşme hükmünde olan hakem kurulu kararıyla yeniden belirlendi.
Hakem Kurulu heyeti kararının ilgili bölümü şu şekildedir:
"Zam ve tazminatlar 
Madde 13- (1) 17/4/2006 tarihli ve 2006/10344 sayılı Bakanlar Kurulu Kararı ile yürürlüğe konulan Devlet Memurlarına Ödenecek Zam ve Tazminatlara İlişkin Karara ekli (I) sayılı İş Güçlüğü, İş Riski, Temininde Güçlük ve Mali Sorumluluk Zammı Cetvelinin "(B) Teknik Hizmetler Bölümü"nün 4 üncü sırasında hizmet yılları dikkate alınarak öngörülen iş güçlüğü ve temininde güçlük zammı puanları ile (II) sayılı Özel Hizmet Tazminatı Cetvelinin "(E) Teknik Hizmetler" bölümünün 1 inci sırasının (d) bendinde dereceler itibarıyla öngörülen tazminat ve ek tazminat oranları, kadroları teknik hizmetler sınıfına dahil müze araştırmacısı, arşivci, folklor araştırmacısı, kütüphaneci, kitap patologu ve sosyolog unvanlı kadrolarda bulunan personel için de uygulanır. Söz konusu kadrolarda bulunan personele anılan Bakanlar Kurulu Kararının diğer bölümlerinde belirlenmiş olan zam ve tazminatlar ödenmez"
Bu karara göre, müze araştırmacısı, arşivci, folklor araştırmacısı, kütüphaneci, kitap patologu ve sosyologların zam ve tazminatı 1.1.2012 'den geçerli olmak üzere maddede geçerli olan miktar üzerinden ödenecektir.
Yan ödeme kararnamesinin Zamla ilgili bölümü şu şekildedir:
4 En az dört yıllık mesleki teknik öğrenim görmüş diğer
personelden kendi ihtisas dallarında;
a) 5 yıla kadar hizmeti olanlara............................. : 700 -   975 -
b) 5 yıl ve daha fazla hizmeti olanlara.................. : 700 - 1400 -
Yan ödeme kararnamesinin Tazminatla ilgili bölümü şu şekildedir:
d) Unvanları (a), (b) ve (c)'de sayılmayan diğer 
mesleki teknik yükseköğrenimlilerden;
-1-4 derecelerden aylık alanlar ............................. : 100 4 11 12 13 15 17 20
-Diğer derecelerden aylık alanlar ......................... :   93 4 11 12 13 15 17 20
</t>
        </r>
      </text>
    </comment>
  </commentList>
</comments>
</file>

<file path=xl/comments3.xml><?xml version="1.0" encoding="utf-8"?>
<comments xmlns="http://schemas.openxmlformats.org/spreadsheetml/2006/main">
  <authors>
    <author>Halil İbrahim Alaca</author>
  </authors>
  <commentList>
    <comment ref="A142" authorId="0">
      <text>
        <r>
          <rPr>
            <b/>
            <sz val="8"/>
            <color indexed="81"/>
            <rFont val="Tahoma"/>
            <family val="2"/>
            <charset val="162"/>
          </rPr>
          <t>Halil İbrahim Alaca:</t>
        </r>
        <r>
          <rPr>
            <sz val="8"/>
            <color indexed="81"/>
            <rFont val="Tahoma"/>
            <family val="2"/>
            <charset val="162"/>
          </rPr>
          <t xml:space="preserve">
31/12/2011 TARİHİNDEN GEÇERLİ </t>
        </r>
      </text>
    </comment>
    <comment ref="A144" authorId="0">
      <text>
        <r>
          <rPr>
            <b/>
            <sz val="8"/>
            <color indexed="81"/>
            <rFont val="Tahoma"/>
            <family val="2"/>
            <charset val="162"/>
          </rPr>
          <t>Halil İbrahim Alaca:</t>
        </r>
        <r>
          <rPr>
            <sz val="8"/>
            <color indexed="81"/>
            <rFont val="Tahoma"/>
            <family val="2"/>
            <charset val="162"/>
          </rPr>
          <t xml:space="preserve">
01/01/2012 TARİHDEN GEÇERLİ </t>
        </r>
      </text>
    </comment>
    <comment ref="A149" authorId="0">
      <text>
        <r>
          <rPr>
            <b/>
            <sz val="8"/>
            <color indexed="81"/>
            <rFont val="Tahoma"/>
            <family val="2"/>
            <charset val="162"/>
          </rPr>
          <t>Halil İbrahim Alaca:</t>
        </r>
        <r>
          <rPr>
            <sz val="8"/>
            <color indexed="81"/>
            <rFont val="Tahoma"/>
            <family val="2"/>
            <charset val="162"/>
          </rPr>
          <t xml:space="preserve">
15/11/2011 TARİHİNDEN GEÇERLİ
</t>
        </r>
      </text>
    </comment>
    <comment ref="A229" authorId="0">
      <text>
        <r>
          <rPr>
            <b/>
            <sz val="8"/>
            <color indexed="81"/>
            <rFont val="Tahoma"/>
            <family val="2"/>
            <charset val="162"/>
          </rPr>
          <t>Halil İbrahim Alaca:</t>
        </r>
        <r>
          <rPr>
            <sz val="8"/>
            <color indexed="81"/>
            <rFont val="Tahoma"/>
            <family val="2"/>
            <charset val="162"/>
          </rPr>
          <t xml:space="preserve">
15/11/2011 TARİNDEN 
 GEÇERLİ </t>
        </r>
      </text>
    </comment>
    <comment ref="A284" authorId="0">
      <text>
        <r>
          <rPr>
            <b/>
            <sz val="8"/>
            <color indexed="81"/>
            <rFont val="Tahoma"/>
            <family val="2"/>
            <charset val="162"/>
          </rPr>
          <t>Halil İbrahim Alaca:</t>
        </r>
        <r>
          <rPr>
            <sz val="8"/>
            <color indexed="81"/>
            <rFont val="Tahoma"/>
            <family val="2"/>
            <charset val="162"/>
          </rPr>
          <t xml:space="preserve">
15/11/2011 GEÇERLİ TARİH</t>
        </r>
      </text>
    </comment>
    <comment ref="A294" authorId="0">
      <text>
        <r>
          <rPr>
            <b/>
            <sz val="8"/>
            <color indexed="81"/>
            <rFont val="Tahoma"/>
            <family val="2"/>
            <charset val="162"/>
          </rPr>
          <t>Halil İbrahim Alaca:</t>
        </r>
        <r>
          <rPr>
            <sz val="8"/>
            <color indexed="81"/>
            <rFont val="Tahoma"/>
            <family val="2"/>
            <charset val="162"/>
          </rPr>
          <t xml:space="preserve">
15/11/2011 GEÇERLİ TARİHİ
</t>
        </r>
      </text>
    </comment>
  </commentList>
</comments>
</file>

<file path=xl/comments4.xml><?xml version="1.0" encoding="utf-8"?>
<comments xmlns="http://schemas.openxmlformats.org/spreadsheetml/2006/main">
  <authors>
    <author>Halil İbrahim Alaca</author>
  </authors>
  <commentList>
    <comment ref="A217" authorId="0">
      <text>
        <r>
          <rPr>
            <b/>
            <sz val="8"/>
            <color indexed="81"/>
            <rFont val="Tahoma"/>
            <family val="2"/>
            <charset val="162"/>
          </rPr>
          <t>Halil İbrahim Alaca:</t>
        </r>
        <r>
          <rPr>
            <sz val="8"/>
            <color indexed="81"/>
            <rFont val="Tahoma"/>
            <family val="2"/>
            <charset val="162"/>
          </rPr>
          <t xml:space="preserve">
02/11/2011 TARİHİNDEN GEÇERLİ </t>
        </r>
      </text>
    </comment>
    <comment ref="Q217" authorId="0">
      <text>
        <r>
          <rPr>
            <b/>
            <sz val="8"/>
            <color indexed="81"/>
            <rFont val="Tahoma"/>
            <family val="2"/>
            <charset val="162"/>
          </rPr>
          <t>Halil İbrahim Alaca:</t>
        </r>
        <r>
          <rPr>
            <sz val="8"/>
            <color indexed="81"/>
            <rFont val="Tahoma"/>
            <family val="2"/>
            <charset val="162"/>
          </rPr>
          <t xml:space="preserve">
02/11/2011 TARİHİNDEN GEÇERLİ </t>
        </r>
      </text>
    </comment>
  </commentList>
</comments>
</file>

<file path=xl/comments5.xml><?xml version="1.0" encoding="utf-8"?>
<comments xmlns="http://schemas.openxmlformats.org/spreadsheetml/2006/main">
  <authors>
    <author>Halil İbrahim Alaca</author>
  </authors>
  <commentList>
    <comment ref="A168" authorId="0">
      <text>
        <r>
          <rPr>
            <b/>
            <sz val="8"/>
            <color indexed="81"/>
            <rFont val="Tahoma"/>
            <family val="2"/>
            <charset val="162"/>
          </rPr>
          <t>Halil İbrahim Alaca:</t>
        </r>
        <r>
          <rPr>
            <sz val="8"/>
            <color indexed="81"/>
            <rFont val="Tahoma"/>
            <family val="2"/>
            <charset val="162"/>
          </rPr>
          <t xml:space="preserve">
A) Aylık Göstergesi: Bütün sınıflar itibariyle her derece ve kademenin aylıklarının hesaplanmasına esas teşkil edecek Aylık Gösterge Tablosu aşağıdaki I Numaralı Cetvelde gösterilmiştir.
</t>
        </r>
      </text>
    </comment>
  </commentList>
</comments>
</file>

<file path=xl/sharedStrings.xml><?xml version="1.0" encoding="utf-8"?>
<sst xmlns="http://schemas.openxmlformats.org/spreadsheetml/2006/main" count="9782" uniqueCount="4941">
  <si>
    <t xml:space="preserve">KATSAYILAR VE DEVLET MEMURLARINA SAĞLANAN </t>
  </si>
  <si>
    <t xml:space="preserve">SOSYAL YARDIMLAR(*) </t>
  </si>
  <si>
    <t>(01.01.2011 - 30.06.2011 Dönemi)</t>
  </si>
  <si>
    <t>Maaş Katsayısı (01.01.2011-30.06.2011 döneminde)</t>
  </si>
  <si>
    <t>Taban Aylık Katsayısı (01.01.2011-30.06.2011 döneminde)</t>
  </si>
  <si>
    <t>Yan Ödeme Katsayısı (01.01.2011-30.06.2011 döneminde)</t>
  </si>
  <si>
    <t>Kıdem Aylığı Göstergesi</t>
  </si>
  <si>
    <t>Özel Hizmet Tazminatı Tavanı (8.000 + 1.500) x 0,061954)  (01.01.2011-30.06.2011 döneminde)</t>
  </si>
  <si>
    <t>Çocuk Yardımı (250 x 0,061954) (01.01.2011-30.06.2011 döneminde)</t>
  </si>
  <si>
    <t>Doğum Yardımı (2.500 x 0,061954) (01.01.2011-30.06.2011 döneminde)</t>
  </si>
  <si>
    <t>Ölüm Yardımı (01.01.2011-30.06.2011 döneminde)</t>
  </si>
  <si>
    <t>Eş ve Çocuğun Ölümü Halinde (8.000 + 1.500) x 0,061954</t>
  </si>
  <si>
    <t>Memurun Ölümü Halinde [(8.000 + 1.500) x 0,061954] x 2</t>
  </si>
  <si>
    <t>(*) 2011/1241 sayılı Bakanlar Kurulu Kararı ile 01.01.2011 - 30.06.2011 tarihleri arasında geçerli olmak üzere belirlenen katsayılar. (Bkz. 05.01.2011/27806 sayılı Resmi Gazete)</t>
  </si>
  <si>
    <t>(01.07.2010 - 31.12.2010 Dönemi)</t>
  </si>
  <si>
    <t>Maaş Katsayısı (01.07.2010-31.12.2010 döneminde)</t>
  </si>
  <si>
    <t>Taban Aylık Katsayısı (01.07.2010-31.12.2010 döneminde)</t>
  </si>
  <si>
    <t>Yan Ödeme Katsayısı (01.07.2010-31.12.2010 döneminde)</t>
  </si>
  <si>
    <t>Özel Hizmet Tazminatı Tavanı (8.000 + 1.500) x 0,059445)  (01.07.2010-31.12.2010 döneminde)</t>
  </si>
  <si>
    <t>Aile Yardımı (1.500 x 0,057314) (01.07.2010-31.12.2010 döneminde)</t>
  </si>
  <si>
    <t>Çocuk Yardımı (250 x 0,057314) (01.07.2010-31.12.2010 döneminde)</t>
  </si>
  <si>
    <t>Doğum Yardımı (2.500 x 0,057314) (01.07.2010-31.12.2010 döneminde)</t>
  </si>
  <si>
    <t>Ölüm Yardımı (01.07.2010-31.12.2010 döneminde)</t>
  </si>
  <si>
    <t>Eş ve Çocuğun Ölümü Halinde (8.000 + 1.500) x 0,059445</t>
  </si>
  <si>
    <t>Memurun Ölümü Halinde [(8.000 + 1.500) x 0,059445] x 2</t>
  </si>
  <si>
    <t>(*) 2010/654 sayılı Bakanlar Kurulu Kararı ile 01.07.2010 - 31.12.2010 tarihleri arasında geçerli olmak üzere belirlenen katsayılar. (Bkz. 09.07.2010/27636 sayılı Resmi Gazete)</t>
  </si>
  <si>
    <t>(01.01.2010 - 30.06.2010 Dönemi)</t>
  </si>
  <si>
    <t>Maaş Katsayısı (01.01.2010-30.06.2010 döneminde)</t>
  </si>
  <si>
    <t>Taban Aylık Katsayısı (01.01.2010-30.06.2010 döneminde)</t>
  </si>
  <si>
    <t>Yan Ödeme Katsayısı (01.01.2010-30.06.2010 döneminde)</t>
  </si>
  <si>
    <t>Özel Hizmet Tazminatı Tavanı (8.000 + 1.500) x 0,057314) (01.01.2010-30.06.2010 döneminde)</t>
  </si>
  <si>
    <t>Aile Yardımı (1.500 x 0,057314) (01.01.2010-30.06.2010 döneminde)</t>
  </si>
  <si>
    <t>Çocuk Yardımı (250 x 0,057314) (01.01.2010-30.06.2010 döneminde)</t>
  </si>
  <si>
    <t>Doğum Yardımı (2.500 x 0,057314) (01.01.2010-30.06.2010 döneminde)</t>
  </si>
  <si>
    <t>Ölüm Yardımı (01.01.2010-30.06.2010 döneminde)</t>
  </si>
  <si>
    <t>Eş ve Çocuğun Ölümü Halinde (8.000 + 1.500) x 0,057314</t>
  </si>
  <si>
    <t>Memurun Ölümü Halinde [(8.000 + 1.500) x 0,057314] x 2</t>
  </si>
  <si>
    <t>(*) 5944 sayılı 2010 Yılı Merkezi Yönetim Bütçe Kanunu ile 01.01.2010-30.06.2010 tarihleri arasında geçerli olmak üzere belirlenen katsayılar. (Bkz. 31.12.2009/27449 1. mükerrer sayılı R.G.)</t>
  </si>
  <si>
    <t>(01.07.2009-31.12.2009 Dönemi)</t>
  </si>
  <si>
    <t>Maaş Katsayısı (01.07.2009-31.12.2009 döneminde)</t>
  </si>
  <si>
    <t>Taban Aylık Katsayısı  (01.07.2009-31.12.2009 döneminde)</t>
  </si>
  <si>
    <t>Yan Ödeme Katsayısı  (01.07.2009-31.12.2009 döneminde)</t>
  </si>
  <si>
    <t>Özel Hizmet Tazminatı Tavanı (8.000 + 1.500) x 0,05592) (01.07.2009-31.12.2009 döneminde)</t>
  </si>
  <si>
    <t>Aile Yardımı (1.500 x 0,05592)  (01.07.2009-31.12.2009 döneminde)</t>
  </si>
  <si>
    <t>Çocuk Yardımı (250 x 0,05592)  (01.07.2009-31.12.2009 döneminde)</t>
  </si>
  <si>
    <t>Doğum Yardımı (2.500 x 0,05592)  (01.07.2009-31.12.2009 döneminde)</t>
  </si>
  <si>
    <t>Ölüm Yardımı  (01.07.2009-31.12.2009 döneminde)</t>
  </si>
  <si>
    <t>Eş ve Çocuğun Ölümü Halinde (8.000 + 1.500) x 0,05592</t>
  </si>
  <si>
    <t>Memurun Ölümü Halinde [(8.000 + 1.500) x 0,05592] x 2</t>
  </si>
  <si>
    <t>(*)   5828 sayılı 2009 Yılı Merkezi Yönetim Bütçe Kanunu ile 01.07.2009-31.12.2009 tarihleri arasında geçerli olmak üzere belirlenen katsayılar. (Bkz. 31.12.2008/27097 mükerrer sayılı R.G.)</t>
  </si>
  <si>
    <t>(01.01.2009-30.06.2009 Dönemi)</t>
  </si>
  <si>
    <r>
      <t xml:space="preserve">Maaş Katsayısı </t>
    </r>
    <r>
      <rPr>
        <sz val="11"/>
        <rFont val="Times New Roman"/>
        <family val="1"/>
      </rPr>
      <t>(01.01.2009-30.06.2009 döneminde)</t>
    </r>
  </si>
  <si>
    <r>
      <t xml:space="preserve">Taban Aylık Katsayısı </t>
    </r>
    <r>
      <rPr>
        <sz val="11"/>
        <rFont val="Times New Roman"/>
        <family val="1"/>
      </rPr>
      <t>(01.01.2009-30.06.2009 döneminde)</t>
    </r>
  </si>
  <si>
    <r>
      <t xml:space="preserve">Yan Ödeme Katsayısı </t>
    </r>
    <r>
      <rPr>
        <sz val="11"/>
        <rFont val="Times New Roman"/>
        <family val="1"/>
      </rPr>
      <t>(01.01.2009-30.06.2009 döneminde)</t>
    </r>
  </si>
  <si>
    <t>Özel Hizmet Tazminatı Tavanı (8.000 + 1.500) x 0,053505) (01.01.2009-30.06.2009 döneminde)</t>
  </si>
  <si>
    <r>
      <t xml:space="preserve">Aile Yardımı (1.500 x0,053505) </t>
    </r>
    <r>
      <rPr>
        <sz val="11"/>
        <rFont val="Times New Roman"/>
        <family val="1"/>
      </rPr>
      <t>(01.01.2009-30.06.2009 döneminde)</t>
    </r>
  </si>
  <si>
    <r>
      <t>Çocuk Yardımı (250 x 0,053505)</t>
    </r>
    <r>
      <rPr>
        <sz val="11"/>
        <rFont val="Times New Roman"/>
        <family val="1"/>
      </rPr>
      <t xml:space="preserve"> (01.01.2009-30.06.2009 döneminde)</t>
    </r>
  </si>
  <si>
    <r>
      <t xml:space="preserve">Doğum Yardımı (2.500 x 0,053505) </t>
    </r>
    <r>
      <rPr>
        <sz val="11"/>
        <rFont val="Times New Roman"/>
        <family val="1"/>
      </rPr>
      <t>(01.01.2009-30.06.2009 döneminde)</t>
    </r>
  </si>
  <si>
    <r>
      <t xml:space="preserve">Ölüm Yardımı </t>
    </r>
    <r>
      <rPr>
        <sz val="11"/>
        <rFont val="Times New Roman"/>
        <family val="1"/>
      </rPr>
      <t>(01.01.2009-30.06.2009 döneminde)</t>
    </r>
  </si>
  <si>
    <t>Eş ve Çocuğun Ölümü Halinde (8.000 + 1.500) x 0,053505</t>
  </si>
  <si>
    <t>Memurun Ölümü Halinde [(8.000 + 1.500) x 0,053505] x 2</t>
  </si>
  <si>
    <r>
      <t xml:space="preserve">(*) 5828 sayılı 2009 Yılı Merkezi Yönetim Bütçe Kanunu ile 01.01.2009 - 30.06.2009 tarihleri arasında geçerli olmak üzere belirlenen katsayılar. </t>
    </r>
    <r>
      <rPr>
        <sz val="11"/>
        <rFont val="Times New Roman"/>
        <family val="1"/>
      </rPr>
      <t>(Bkz. 31.12.2008 tarih ve 27097 sayılı Mükerrer Resmi Gazete).</t>
    </r>
  </si>
  <si>
    <t>(01.07.2008-31.12.2008 Dönemi)</t>
  </si>
  <si>
    <t>Maaş Katsayısı (01.07.2008-31.12.2008 döneminde)</t>
  </si>
  <si>
    <t>Taban Aylık Katsayısı (01.07.2008-31.12.2008 döneminde)</t>
  </si>
  <si>
    <t>Yan Ödeme Katsayısı (01.07.2008-31.12.2008 döneminde)</t>
  </si>
  <si>
    <t>Özel Hizmet Tazminatı Tavanı (8.000 + 1.500) x 0,051448)(01.07.2008-31.12.2008 döneminde)</t>
  </si>
  <si>
    <t>488,76 YTL</t>
  </si>
  <si>
    <t>Aile Yardımı (1.500 x0,0,051448) (01.07.2008-31.12.2008 döneminde)</t>
  </si>
  <si>
    <t>77,17 YTL</t>
  </si>
  <si>
    <t>Çocuk Yardımı (250 x 0,0,051448) (01.07.2008-31.12.2008 döneminde)</t>
  </si>
  <si>
    <t>12,86 YTL</t>
  </si>
  <si>
    <t>Doğum Yardımı (2.500 x 0,051448) (01.07.2008-31.12.2008 döneminde)</t>
  </si>
  <si>
    <t>128,62 YTL</t>
  </si>
  <si>
    <t>Ölüm Yardımı (01.07.2008-31.12.2008 döneminde)</t>
  </si>
  <si>
    <t>Eş ve Çocuğun Ölümü Halinde (8.000 + 1.500) x 0,051448</t>
  </si>
  <si>
    <t>Memurun Ölümü Halinde [(8.000 + 1.500) x 0,051448] x 2</t>
  </si>
  <si>
    <t>977,51 YTL</t>
  </si>
  <si>
    <r>
      <t xml:space="preserve">(*) 5724 sayılı 2008 Yılı Merkezi Yönetim Bütçe Kanunu ile 01.07.2008 tarihinden geçerli olmak üzere belirlenen katsayılar, 2008/13860 sayılı BKK. ile 01.07.2008 tarihinden geçerli olmak üzere yeniden belirlenmiştir. </t>
    </r>
    <r>
      <rPr>
        <b/>
        <sz val="11"/>
        <rFont val="Times New Roman"/>
        <family val="1"/>
      </rPr>
      <t>(Bkz. 09.07.2008 tarih ve 26931 sayılı Resmi Gazete).</t>
    </r>
  </si>
  <si>
    <t>(01.01.2008-30.06.2008 Dönemi)</t>
  </si>
  <si>
    <t>Maaş Katsayısı (01.01.2008-30.06.2008 döneminde)</t>
  </si>
  <si>
    <t>Taban Aylık Katsayısı (01.01.2008-30.06.2008 döneminde)</t>
  </si>
  <si>
    <t>Yan Ödeme Katsayısı (01.01.2008-30.06.2008 döneminde)</t>
  </si>
  <si>
    <t>Özel Hizmet Tazminatı Tavanı (8.000 + 1.500) x 0,049486) (01.01.2008-30.06.2008 döneminde)</t>
  </si>
  <si>
    <t>470,12 YTL</t>
  </si>
  <si>
    <t>Aile Yardımı (1.500 x0,049486) (01.01.2008-30.06.2008 döneminde)</t>
  </si>
  <si>
    <t>74,23 YTL</t>
  </si>
  <si>
    <t>Çocuk Yardımı (250 x 0,049486) (01.01.2008-30.06.2008 döneminde)</t>
  </si>
  <si>
    <t>12,37 YTL</t>
  </si>
  <si>
    <t>Doğum Yardımı (2.500 x 0,049486) (01.01.2008-30.06.2008 döneminde)</t>
  </si>
  <si>
    <t>123,72 YTL</t>
  </si>
  <si>
    <t>Ölüm Yardımı (01.01.2008-30.06.2008 döneminde)</t>
  </si>
  <si>
    <t>Eş ve Çocuğun Ölümü Halinde (8.000 + 1.500) x 0,049486</t>
  </si>
  <si>
    <t>Memurun Ölümü Halinde [(8.000 + 1.500) x 0,049486] x 2</t>
  </si>
  <si>
    <t>940,23 YTL</t>
  </si>
  <si>
    <r>
      <t xml:space="preserve">(*) 5724 sayılı 2008 Yılı Merkezi Yönetim Bütçe Kanunu ile 01.01.2008 tarihinden geçerli olmak üzere belirlenen katsayılar, 2008/13055 sayılı BKK. ile 01.01.2008 tarihinden geçerli olmak üzere yeniden belirlenmiştir. </t>
    </r>
    <r>
      <rPr>
        <b/>
        <sz val="11"/>
        <rFont val="Times New Roman"/>
        <family val="1"/>
      </rPr>
      <t>(Bkz. 05.01.2008 tarih ve 26747 sayılı Resmi Gazete).</t>
    </r>
  </si>
  <si>
    <t>(01.07.2007-31.12.2007 Dönemi)</t>
  </si>
  <si>
    <r>
      <t xml:space="preserve">Maaş Katsayısı </t>
    </r>
    <r>
      <rPr>
        <b/>
        <sz val="11"/>
        <color indexed="8"/>
        <rFont val="Times New Roman"/>
        <family val="1"/>
      </rPr>
      <t>(01.07.2007-31.12.2007 döneminde)</t>
    </r>
  </si>
  <si>
    <r>
      <t xml:space="preserve">Taban Aylık Katsayısı </t>
    </r>
    <r>
      <rPr>
        <b/>
        <sz val="11"/>
        <color indexed="8"/>
        <rFont val="Times New Roman"/>
        <family val="1"/>
      </rPr>
      <t>(01.07.2007-31.12.2007 döneminde)</t>
    </r>
  </si>
  <si>
    <r>
      <t xml:space="preserve">Yan Ödeme Katsayısı </t>
    </r>
    <r>
      <rPr>
        <b/>
        <sz val="11"/>
        <color indexed="8"/>
        <rFont val="Times New Roman"/>
        <family val="1"/>
      </rPr>
      <t>(01.07.2007-31.12.2007 döneminde)</t>
    </r>
  </si>
  <si>
    <r>
      <t xml:space="preserve">Özel Hizmet Tazminatı Tavanı (8.000 + 1.500) x 0,04835) </t>
    </r>
    <r>
      <rPr>
        <b/>
        <sz val="11"/>
        <color indexed="8"/>
        <rFont val="Times New Roman"/>
        <family val="1"/>
      </rPr>
      <t>(01.07.2007-31.12.2007 döneminde)</t>
    </r>
  </si>
  <si>
    <t>459,33 YTL</t>
  </si>
  <si>
    <r>
      <t xml:space="preserve">Aile Yardımı (1.500 x 0,04835) </t>
    </r>
    <r>
      <rPr>
        <b/>
        <sz val="11"/>
        <color indexed="8"/>
        <rFont val="Times New Roman"/>
        <family val="1"/>
      </rPr>
      <t>(01.07.2007-31.12.2007 döneminde)</t>
    </r>
  </si>
  <si>
    <t>72,53 YTL</t>
  </si>
  <si>
    <r>
      <t xml:space="preserve">Çocuk Yardımı (250 x 0,04835) </t>
    </r>
    <r>
      <rPr>
        <b/>
        <sz val="11"/>
        <color indexed="8"/>
        <rFont val="Times New Roman"/>
        <family val="1"/>
      </rPr>
      <t>(01.07.2007-31.12.2007 döneminde)</t>
    </r>
  </si>
  <si>
    <t>12,09 YTL</t>
  </si>
  <si>
    <r>
      <t xml:space="preserve">Doğum Yardımı (2.500 x 0,04835) </t>
    </r>
    <r>
      <rPr>
        <b/>
        <sz val="11"/>
        <color indexed="8"/>
        <rFont val="Times New Roman"/>
        <family val="1"/>
      </rPr>
      <t>(01.07.2007-31.12.2007 döneminde)</t>
    </r>
  </si>
  <si>
    <t>120,88 YTL</t>
  </si>
  <si>
    <r>
      <t xml:space="preserve">Ölüm Yardımı </t>
    </r>
    <r>
      <rPr>
        <b/>
        <sz val="11"/>
        <color indexed="8"/>
        <rFont val="Times New Roman"/>
        <family val="1"/>
      </rPr>
      <t>(01.07.2007-31.12.2007 döneminde)</t>
    </r>
  </si>
  <si>
    <t>Eş ve Çocuğun Ölümü Halinde (8.000 + 1.500) x 0,04835</t>
  </si>
  <si>
    <t> 459,33 YTL</t>
  </si>
  <si>
    <t>Memurun Ölümü Halinde [(8.000 + 1.500) x 0,04835] x 2</t>
  </si>
  <si>
    <t>918,65 YTL</t>
  </si>
  <si>
    <r>
      <t>(*) </t>
    </r>
    <r>
      <rPr>
        <sz val="11"/>
        <color indexed="10"/>
        <rFont val="Times New Roman"/>
        <family val="1"/>
      </rPr>
      <t> </t>
    </r>
    <r>
      <rPr>
        <sz val="11"/>
        <rFont val="Times New Roman"/>
        <family val="1"/>
      </rPr>
      <t xml:space="preserve"> 2007 Yılı Merkezi Yönetim Bütçe Kanunu ile 01.07.2007'den geçerli olmak üzere belirlenen katsayılar, </t>
    </r>
    <r>
      <rPr>
        <b/>
        <sz val="11"/>
        <rFont val="Times New Roman"/>
        <family val="1"/>
      </rPr>
      <t>2007/12342 sayılı BKK ile 01.07.2007'den geçerli olmak üzere yeniden belirlenmiştir. (Bkz. 07.07.2007/26575 sayılı R.G.)</t>
    </r>
  </si>
  <si>
    <t>(01.01.2007-30.06.2007 Dönemi)</t>
  </si>
  <si>
    <t>Maaş Katsayısı (01.01.2007-30.06.2007 döneminde)</t>
  </si>
  <si>
    <t>Taban Aylık Katsayısı (01.01.2007-30.06.2007 döneminde)</t>
  </si>
  <si>
    <t>Yan Ödeme Katsayısı (01.01.2007-30.06.2007döneminde)</t>
  </si>
  <si>
    <t>Özel Hizmet Tazminatı Tavanı (8.000 + 1.500) x 0,046985) (01.01.2007-30.06.2007 döneminde)</t>
  </si>
  <si>
    <t>446,36 YTL</t>
  </si>
  <si>
    <t>Aile Yardımı (1.500 x 0,046985) (01.01.2007-30.06.2007 döneminde)</t>
  </si>
  <si>
    <t>70,48 YTL</t>
  </si>
  <si>
    <t>Çocuk Yardımı (250 x 0,046985) (01.01.2007-30.06.2007 döneminde)</t>
  </si>
  <si>
    <t>11,75 YTL</t>
  </si>
  <si>
    <t>Doğum Yardımı (2.500 x 0,046985) (01.01.2007-30.06.2007 döneminde)</t>
  </si>
  <si>
    <t>117,46 YTL</t>
  </si>
  <si>
    <t>Ölüm Yardımı (01.01.2007-30.06.2007 döneminde)</t>
  </si>
  <si>
    <t>Eş ve Çocuğun Ölümü Halinde (8.000 + 1.500) x 0,046985</t>
  </si>
  <si>
    <t>Memurun Ölümü Halinde [(8.000 + 1.500) x 0,046985] x 2</t>
  </si>
  <si>
    <t>892,72 YTL</t>
  </si>
  <si>
    <t>(*)   2007 Yılı Merkezi Yönetim Bütçe Kanunu ile 01.01.2007'den geçerli olmak üzere belirlenen katsayılar, 2007/11533 sayılı BKK ile 01.01.2007'den geçerli olmak üzere yeniden belirlenmiştir. (Bkz. 06.01.2007/26395 sayılı R.G.)</t>
  </si>
  <si>
    <t>(01.07.2006-31.12.2006 Dönemi)</t>
  </si>
  <si>
    <t>Maaş Katsayısı (01.07.2006-31.12.2006 döneminde)</t>
  </si>
  <si>
    <t>Taban Aylık Katsayısı (01.07.2006-31.12.2006 döneminde)</t>
  </si>
  <si>
    <t>Yan Ödeme Katsayısı (01.07.2006-31.12.2006 döneminde)</t>
  </si>
  <si>
    <t>Özel Hizmet Tazminatı Tavanı (8.000 + 1.500) x 0,044745) (01.07.2006-31.12.2006 döneminde)</t>
  </si>
  <si>
    <t>425,08 YTL</t>
  </si>
  <si>
    <t>Aile Yardımı (1.500 x 0,044745) (01.07.2006-31.12.2006 döneminde)</t>
  </si>
  <si>
    <t>67,12 YTL</t>
  </si>
  <si>
    <t>Çocuk Yardımı (250 x 0,044745) (01.07.2006-31.12.2006 döneminde)</t>
  </si>
  <si>
    <t>11,19 YTL</t>
  </si>
  <si>
    <t>Doğum Yardımı (2.500 x 0,044745) (01.07.2006-31.12.2006 döneminde)</t>
  </si>
  <si>
    <t>111,86 YTL</t>
  </si>
  <si>
    <t>Ölüm Yardımı (01.07.2006-31.12.2006 döneminde)</t>
  </si>
  <si>
    <t>Eş ve Çocuğun Ölümü Halinde (8.000 + 1.500) x 0,044745</t>
  </si>
  <si>
    <t>Memurun Ölümü Halinde [(8.000 + 1.500) x 0,044745] x 2</t>
  </si>
  <si>
    <t>850,16 YTL</t>
  </si>
  <si>
    <t>(*)   2006 Yılı Merkezi Yönetim Bütçe Kanunu ile 01.07.2006'dan geçerli olmak üzere belirlenen katsayılar, 2006/10971 sayılı BKK ile 01.07.2006'dan geçerli olmak üzere yeniden belirlenmiştir. (Bkz. 29.09.2006/26304 sayılı R.G.)</t>
  </si>
  <si>
    <t>Özel Hizmet Tazminatı Tavanı (8.000 + 1.500) x 0,04373) (01.07.2006-31.12.2006 döneminde)</t>
  </si>
  <si>
    <t>415,43 YTL</t>
  </si>
  <si>
    <t>Aile Yardımı (1.500 x 0,04373) (01.07.2006-31.12.2006 döneminde)</t>
  </si>
  <si>
    <t>65,60 YTL</t>
  </si>
  <si>
    <t>Çocuk Yardımı (250 x 0,04373) (01.07.2006-31.12.2006 döneminde)</t>
  </si>
  <si>
    <t>10,93 YTL</t>
  </si>
  <si>
    <t>Doğum Yardımı (2.500 x 0,04373) (01.07.2006-31.12.2006 döneminde)</t>
  </si>
  <si>
    <t>109,32 YTL</t>
  </si>
  <si>
    <t>Eş ve Çocuğun Ölümü Halinde (8.000 + 1.500) x 0,04373</t>
  </si>
  <si>
    <t>415,44 YTL</t>
  </si>
  <si>
    <t>Memurun Ölümü Halinde [(8.000 + 1.500) x 0,04373] x 2</t>
  </si>
  <si>
    <t>830,87 YTL</t>
  </si>
  <si>
    <t>(*)   2006 Yılı Merkezi Yönetim Bütçe Kanunu ile 01.07.2006'dan geçerli olmak üzere belirlenen katsayılar.</t>
  </si>
  <si>
    <t>SOSYAL YARDIMLAR</t>
  </si>
  <si>
    <t>(01.01.2006-30.06.2006 Dönemi)</t>
  </si>
  <si>
    <t>Maaş Katsayısı (01.01.2006-30.06.2006 döneminde)</t>
  </si>
  <si>
    <t>Taban Aylık Katsayısı (01.01.2006-30.06.2006 döneminde)</t>
  </si>
  <si>
    <t>Yan Ödeme Katsayısı (01.01.2006-30.06.2006 döneminde)</t>
  </si>
  <si>
    <t>Özel Hizmet Tazminatı Tavanı (8.000 + 1.500) x 0,04265) (01.01.2006-30.06.2006 döneminde)</t>
  </si>
  <si>
    <t>405,18 YTL</t>
  </si>
  <si>
    <t>Aile Yardımı (1.500 x 0,04265) (15.01.2006-30.06.2006 döneminde)</t>
  </si>
  <si>
    <t>63,98 YTL</t>
  </si>
  <si>
    <t>Çocuk Yardımı (250 x 0,04265) (01.01.2006-30.06.2006 döneminde)</t>
  </si>
  <si>
    <t>10,66 YTL</t>
  </si>
  <si>
    <t>Doğum Yardımı (2.500 x 0,04265) (01.01.2006-30.06.2006 döneminde)</t>
  </si>
  <si>
    <t>106,63 YTL</t>
  </si>
  <si>
    <t>Ölüm Yardımı (01.01.2006-30.06.2006 döneminde)</t>
  </si>
  <si>
    <t>Eş ve Çocuğun Ölümü Halinde (8.000 + 1.500) x 0,04265</t>
  </si>
  <si>
    <t>Memurun Ölümü Halinde [(8.000 + 1.500) x 0,04265] x 2</t>
  </si>
  <si>
    <t>810,35 YTL</t>
  </si>
  <si>
    <t>(01.07.2005-31.12.2005 Dönemi)</t>
  </si>
  <si>
    <t>Maaş Katsayısı (01.07.2005-31.12.2005 döneminde)</t>
  </si>
  <si>
    <t>Taban Aylık Katsayısı (01.07.2005-31.12.2005 döneminde)</t>
  </si>
  <si>
    <t>Yan Ödeme Katsayısı (01.07.2005-31.12.2005 döneminde)</t>
  </si>
  <si>
    <t>Özel Hizmet Tazminatı Tavanı (8.000 + 1.500) x 0,0416) (01.07.2005-31.12.2005 döneminde)</t>
  </si>
  <si>
    <t>395,20 YTL</t>
  </si>
  <si>
    <t>Aile Yardımı (1.250 x 0,0416) (01.07.2005-31.12.2005 döneminde)</t>
  </si>
  <si>
    <t>52,00 YTL</t>
  </si>
  <si>
    <t>Çocuk Yardımı (250 x 0,0416) (01.07.2005-31.12.2005 döneminde)</t>
  </si>
  <si>
    <t>10,40 YTL</t>
  </si>
  <si>
    <t>Doğum Yardımı (2.500 x 0,0416) (01.07.2005-31.12.2005 döneminde)</t>
  </si>
  <si>
    <t>104,00 YTL</t>
  </si>
  <si>
    <t>Ölüm Yardımı (01.07.2005-31.12.2005 döneminde)</t>
  </si>
  <si>
    <t>Eş ve Çocuğun Ölümü Halinde (8.000 + 1.500) x 0,0416</t>
  </si>
  <si>
    <t>Memurun Ölümü Halinde [(8.000 + 1.500) x 0,0416] x 2</t>
  </si>
  <si>
    <t>790,40 YTL</t>
  </si>
  <si>
    <t>(01.01.2005-30.06.2005 Dönemi)</t>
  </si>
  <si>
    <t>Maaş Katsayısı (01.01.2005-30.06.2005 döneminde)</t>
  </si>
  <si>
    <t>Taban Aylık Katsayısı (01.01.2005-30.06.2005 döneminde)</t>
  </si>
  <si>
    <t>Yan Ödeme Katsayısı (01.01.2005-30.06.2005 döneminde)</t>
  </si>
  <si>
    <t>Özel Hizmet Tazminatı Tavanı (8.000 + 1.500) x 0,0401) (01.01.2005-30.06.2005 döneminde)</t>
  </si>
  <si>
    <t>380,95 YTL</t>
  </si>
  <si>
    <t>Aile Yardımı (1.250 x 0,0401) (01.01.2005-30.06.2005 döneminde)</t>
  </si>
  <si>
    <t>50,13 YTL</t>
  </si>
  <si>
    <t>Çocuk Yardımı (250 x 0,0401) (01.01.2005-30.06.2005 döneminde)</t>
  </si>
  <si>
    <t>10,03 YTL</t>
  </si>
  <si>
    <t>Doğum Yardımı (1.000 x 0,0401) (01.01.2005-30.06.2005 döneminde)</t>
  </si>
  <si>
    <t>40,10 YTL</t>
  </si>
  <si>
    <t>Ölüm Yardımı (01.01.2005-30.06.2005 döneminde)</t>
  </si>
  <si>
    <t>Eş ve Çocuğun Ölümü Halinde (8.000 + 1.500) x 0,0401</t>
  </si>
  <si>
    <t>Memurun Ölümü Halinde [(8.000 + 1.500) x 0,0401] x 2</t>
  </si>
  <si>
    <t>761,90 YTL</t>
  </si>
  <si>
    <t>(01.07.2004-31.12.2004 Dönemi)</t>
  </si>
  <si>
    <t>Maaş Katsayısı (01.07.2004’ten itibaren)</t>
  </si>
  <si>
    <t>Taban Aylık Katsayısı (01.07.2004’ten itibaren)</t>
  </si>
  <si>
    <t>Yan Ödeme Katsayısı (01.07.2004’ten itibaren)</t>
  </si>
  <si>
    <t>Özel Hizmet Tazminatı Tavanı (8.000 + 1.500) x 38.610) (01.07.2004’ten itibaren)</t>
  </si>
  <si>
    <t>Aile Yardımı (1.250 x 38.610) (01.07.2004’ten itibaren)</t>
  </si>
  <si>
    <t>Çocuk Yardımı (250 x 38.610) (01.07.2004’ten itibaren)</t>
  </si>
  <si>
    <t>Doğum Yardımı (75 x 38.610) (01.07.2004’ten itibaren)</t>
  </si>
  <si>
    <t>Ölüm Yardımı (01.07.2004’ten itibaren)</t>
  </si>
  <si>
    <t>Eş ve Çocuğun Ölümü Halinde (8.000 + 1.500) x 38.610</t>
  </si>
  <si>
    <t>Memurun Ölümü Halinde [(8.000 + 1.500) x 38.610] x 2</t>
  </si>
  <si>
    <t>Lojman Tazminatı</t>
  </si>
  <si>
    <t>Ek Gösterge 2500 ve Üzeri</t>
  </si>
  <si>
    <t>Ek Gösterge 1500-2500 Arası</t>
  </si>
  <si>
    <t>Diğerleri</t>
  </si>
  <si>
    <t>(01.01.2004-30.06.2004 Dönemi)</t>
  </si>
  <si>
    <t>Maaş Katsayısı (01.01.2004’ten itibaren)</t>
  </si>
  <si>
    <t>Taban Aylık Katsayısı (01.01.2004’ten itibaren)</t>
  </si>
  <si>
    <t>Yan Ödeme Katsayısı (01.01.2004’ten itibaren)</t>
  </si>
  <si>
    <t>Özel Hizmet Tazminatı Tavanı (8.000 + 1.500) x 36.420) (01.01.2004’ten itibaren)</t>
  </si>
  <si>
    <t>Aile Yardımı (1.250 x 36.420) (01.01.2004’ten itibaren)</t>
  </si>
  <si>
    <t>Çocuk Yardımı (250 x 36.420) (01.01.2004’ten itibaren)</t>
  </si>
  <si>
    <t>Doğum Yardımı (75 x 36.420) (01.01.2004’ten itibaren)</t>
  </si>
  <si>
    <t>Ölüm Yardımı (01.01.2004’ten itibaren)</t>
  </si>
  <si>
    <t>Eş ve Çocuğun Ölümü Halinde (8.000 + 1.500) x 36.420</t>
  </si>
  <si>
    <t>Memurun Ölümü Halinde [(8.000 + 1.500) x 36.420] x 2</t>
  </si>
  <si>
    <t>(01.01.2003-30.12.2003 Dönemi)</t>
  </si>
  <si>
    <t>Maaş Katsayısı  (01.01.2003'ten itibaren)</t>
  </si>
  <si>
    <t>Taban Aylık Katsayısı (01.07.2003'ten itibaren)</t>
  </si>
  <si>
    <t>Yan Ödeme Katsayısı (01.01.2003'ten itibaren)</t>
  </si>
  <si>
    <t>Özel Hizmet Tazminatı Tavanı (8.000 + 1.500) x 34,300)</t>
  </si>
  <si>
    <t>Aile Yardımı (1.250 x 34.300) (01.07.2003'ten itibaren)</t>
  </si>
  <si>
    <t>Çocuk Yardımı (250 x 34.300)(01.07.2003'ten itibaren)</t>
  </si>
  <si>
    <t>Doğum Yardımı (75 x 34.300)</t>
  </si>
  <si>
    <t>Ölüm Yardımı</t>
  </si>
  <si>
    <t>Eş ve Çocuğun Ölümü (8.000 + 1.500) x 34.300</t>
  </si>
  <si>
    <t>Memurun Ölümü [(8.000 + 1.500) x 34.300] x 2</t>
  </si>
  <si>
    <t>AYLIK SAKATLIK  İNDİRİMİ TUTARLARI</t>
  </si>
  <si>
    <t>( 01.01.2011 TARİHİNDEN İTİBAREN )</t>
  </si>
  <si>
    <t>Sakatlık Dereceleri</t>
  </si>
  <si>
    <t>I. Derece Sakatlar (Çalışma gücünün asgari % 80’ini kaybetmiş olanlar)</t>
  </si>
  <si>
    <t>II. Derece Sakatlar (Çalışma gücünün asgari % 60’ını kaybetmiş olanlar)</t>
  </si>
  <si>
    <t>III. Derece Sakatlar (Çalışma gücünün asgari % 40’ını kaybetmiş olanlar)</t>
  </si>
  <si>
    <t>( 01.01.2010 TARİHİNDEN İTİBAREN )</t>
  </si>
  <si>
    <t xml:space="preserve">AYLIK SAKATLIK  İNDİRİMİ TUTARLARI </t>
  </si>
  <si>
    <t>(01.01.2009 - 31.12.2009 TARİHLERİ ARASI)</t>
  </si>
  <si>
    <t>(01.01.2008 - 31.12.2008 TARİHLERİ ARASI)</t>
  </si>
  <si>
    <t>600 YTL</t>
  </si>
  <si>
    <t>300 YTL</t>
  </si>
  <si>
    <t>150 YTL</t>
  </si>
  <si>
    <t>(01.01.2007 - 31.12.2007 TARİHLERİ ARASI)</t>
  </si>
  <si>
    <t>570 YTL</t>
  </si>
  <si>
    <t>280 YTL</t>
  </si>
  <si>
    <t>140 YTL</t>
  </si>
  <si>
    <t>(01.01.2006 - 31.12.2006 TARİHLERİ ARASI)</t>
  </si>
  <si>
    <t>530 YTL</t>
  </si>
  <si>
    <t>265 YTL</t>
  </si>
  <si>
    <t>133 YTL</t>
  </si>
  <si>
    <t>(01.01.2005 - 31.12.2005 TARİHLERİ ARASI)</t>
  </si>
  <si>
    <t>480 YTL</t>
  </si>
  <si>
    <t>240 YTL</t>
  </si>
  <si>
    <t>120 YTL</t>
  </si>
  <si>
    <t>(01.01.2004 - 31.12.2004 TARİHLERİ ARASI)</t>
  </si>
  <si>
    <t>(01.01.2003 - 31.12.2003 TARİHLERİ ARASI)</t>
  </si>
  <si>
    <t>http://www.yaklasim.com/malibilgiler/pratikbilgiler/maddeler/011.htm</t>
  </si>
  <si>
    <t>2011 YILI GELİR VERGİSİ TARİFESİ (Ücret Gelirleri İçin)</t>
  </si>
  <si>
    <t>TL'ye  kadar</t>
  </si>
  <si>
    <t>TL'nin</t>
  </si>
  <si>
    <t>TL'si için</t>
  </si>
  <si>
    <t>TL, fazlası</t>
  </si>
  <si>
    <t>TL'den fazlasının</t>
  </si>
  <si>
    <t>oranında vergilendirilir</t>
  </si>
  <si>
    <t>2010 YILI GELİR VERGİSİ TARİFESİ (Ücret Gelirleri İçin)</t>
  </si>
  <si>
    <t>liradan fazlasının</t>
  </si>
  <si>
    <t>2009 YILI GELİR VERGİSİ TARİFESİ (Ücretler)</t>
  </si>
  <si>
    <t>2008 YILI GELİR VERGİSİ TARİFESİ (Ücretler)</t>
  </si>
  <si>
    <t>YTL'ye  kadar</t>
  </si>
  <si>
    <t xml:space="preserve">19.800  </t>
  </si>
  <si>
    <t>YTL'nin</t>
  </si>
  <si>
    <t xml:space="preserve">7.800  </t>
  </si>
  <si>
    <t>YTL'si için</t>
  </si>
  <si>
    <t>YTL, fazlası</t>
  </si>
  <si>
    <t xml:space="preserve"> 44.700 </t>
  </si>
  <si>
    <t xml:space="preserve">44.700  </t>
  </si>
  <si>
    <t>2007 YILI GELİR VERGİSİ TARİFESİ (Ücretler)</t>
  </si>
  <si>
    <t xml:space="preserve">19.000  </t>
  </si>
  <si>
    <t xml:space="preserve">7.500  </t>
  </si>
  <si>
    <t xml:space="preserve"> 43.000 </t>
  </si>
  <si>
    <t xml:space="preserve">43.000  </t>
  </si>
  <si>
    <t>2006 YILI GELİR VERGİSİ TARİFESİ (Ücretler)</t>
  </si>
  <si>
    <t xml:space="preserve">18.000  </t>
  </si>
  <si>
    <t xml:space="preserve">7.000  </t>
  </si>
  <si>
    <t xml:space="preserve"> 40.000 </t>
  </si>
  <si>
    <t xml:space="preserve">40.000  </t>
  </si>
  <si>
    <t>2005 YILI GELİR VERGİSİ TARİFESİ (Ücretler)</t>
  </si>
  <si>
    <t>lirası için</t>
  </si>
  <si>
    <t>lira, fazlası</t>
  </si>
  <si>
    <t xml:space="preserve">  30.000 </t>
  </si>
  <si>
    <t>2004 YILI GELİR VERGİSİ TARİFESİ (Ücretler)</t>
  </si>
  <si>
    <t>liraya kadar</t>
  </si>
  <si>
    <t>liranın</t>
  </si>
  <si>
    <t>2003 YILI GELİR VERGİSİ TARİFESİ (Ücretler) (2002/5000 s. BKK)</t>
  </si>
  <si>
    <t>2002 YILI GELİR VERGİSİ TARİFESİ (Ücretler) (2001/3398 s. BKK)</t>
  </si>
  <si>
    <t>2001 YILI GELİR VERGİSİ TARİFESİ (Ücretler) (2000/1689 s. BKK)</t>
  </si>
  <si>
    <t>2000 YILI GELİR VERGİSİ TARİFESİ (Ücretler) (99/13645 s. BKK)</t>
  </si>
  <si>
    <t>1999 YILI GELİR VERGİSİ TARİFESİ (Ücretler) (4369 s. Kanun)</t>
  </si>
  <si>
    <t xml:space="preserve">01.07.1998-31.12.1998 DÖNEMİ GELİR VERGİSİ TARİFESİ (Ücretler) </t>
  </si>
  <si>
    <t>(4369 s. Kanun –GVK Geç. Md. 52)</t>
  </si>
  <si>
    <t>01.01.1998-30.06.1998 DÖNEMİ GELİR VERGİSİ TARİFESİ (Ücretler) (97/10351 s. BKK)</t>
  </si>
  <si>
    <t>1997 YILI GELİR VERGİSİ TARİFESİ (Ücretler) (96/8955 s. BKK)</t>
  </si>
  <si>
    <t>1996 YILI GELİR VERGİSİ TARİFESİ (Ücretler) (95/7593 s. BKK)</t>
  </si>
  <si>
    <t>1995 YILI GELİR VERGİSİ TARİFESİ (Ücretler) (179 Seri No.lu GV Genel Tebliği)</t>
  </si>
  <si>
    <t>1994 YILI GELİR VERGİSİ TARİFESİ (Ücretler) (174 Seri No.lu GV Genel Tebliği)</t>
  </si>
  <si>
    <t>1993 YILI GELİR VERGİSİ TARİFESİ (Ücretler) (92/3892 s. BKK)</t>
  </si>
  <si>
    <t xml:space="preserve">Not: Kalkınmada I ve II. Derecede öncelikli yörelerde farklı tarife uygulandı. </t>
  </si>
  <si>
    <t>1992 YILI GELİR VERGİSİ TARİFESİ (Ücretler) (91/2569 s. BKK)</t>
  </si>
  <si>
    <t>2011 YILI İÇİN BAZI DAMGA VERGİSİ NİSPETLERİ VE MAKTU TUTARLAR</t>
  </si>
  <si>
    <t>- Ücretlerde (avans olarak ödenenler dahil)</t>
  </si>
  <si>
    <t>Binde 6,60</t>
  </si>
  <si>
    <t>- Resmi Dairelere Verilen Makbuz ve İbra Senetleri (Mal ve hizmet alımlarına ilişkin)</t>
  </si>
  <si>
    <t>Binde 8,25</t>
  </si>
  <si>
    <t>- Sözleşmeler, Taahhütnameler ve Temliknameler (Belli parayı ihtiva edenler)</t>
  </si>
  <si>
    <t>- Kira Sözleşmeleri (Sözleşme süresine göre kira bedeli üzerinden)</t>
  </si>
  <si>
    <t>Binde 1,65</t>
  </si>
  <si>
    <t>- Kefalet, Teminat ve Rehin Senetleri (Belli parayı ihtiva edenler)</t>
  </si>
  <si>
    <t>- Tahkimname ve Sulhnameler (Belli parayı ihtiva edenler)</t>
  </si>
  <si>
    <t>- Fesihnameler (Belli parayı ihtiva eden bir kağıda taalluk edenler dahil)</t>
  </si>
  <si>
    <t>- İkinci El Araç Satış ve (06.06.2008’den itibaren) Devir Sözleşmeleri</t>
  </si>
  <si>
    <t>- İhale Kararları</t>
  </si>
  <si>
    <t>Binde 4,95</t>
  </si>
  <si>
    <t>- Yıllık Gelir Vergisi Beyannamesi</t>
  </si>
  <si>
    <t>- Kurumlar Vergisi Beyannamesi</t>
  </si>
  <si>
    <t>- Muhtasar Beyanname</t>
  </si>
  <si>
    <t>- Katma Değer Vergisi Beyannameleri</t>
  </si>
  <si>
    <t>- Diğer Vergi Beyannameleri (damga vergisi beyannameleri hariç)</t>
  </si>
  <si>
    <t>- Belediye ve İl Özel İdarelerine Verilen Beyannameler</t>
  </si>
  <si>
    <t>- Sosyal Güvenlik Kurumlarına Verilen Sigorta Prim Bildirgeleri</t>
  </si>
  <si>
    <t>- Gümrük İdarelerine Verilen Beyannameler</t>
  </si>
  <si>
    <t>- Bilançolar</t>
  </si>
  <si>
    <t>- Gelir Tabloları</t>
  </si>
  <si>
    <t>- İşletme Hesabı Özetleri</t>
  </si>
  <si>
    <t>(Her bir kağıt için hesaplanacak nispi vergi tutarı, (1) sayılı tabloda yer alan sınırlamalar saklı kalmak üzere 01.01.2011’den itibaren 1.251.383,40 TL’yi aşamaz.)</t>
  </si>
  <si>
    <t>2010 YILI İÇİN BAZI DAMGA VERGİSİ NİSPETLERİ VE MAKTU TUTARLAR</t>
  </si>
  <si>
    <t>(Her bir kağıt için hesaplanacak nispi vergi tutarı, (1) sayılı tabloda yer alan sınırlamalar saklı kalmak üzere 01.01.2010’dan itibaren 1.161.915,90 TL’yi aşamaz.)</t>
  </si>
  <si>
    <t>2009 YILI İÇİN BAZI DAMGA VERGİSİ NİSPETLERİ VE MAKTU TUTARLAR</t>
  </si>
  <si>
    <t>- Ücretlerde (06.06.2008’den itibaren avans olarak ödenenler dahil)</t>
  </si>
  <si>
    <t>Binde 6</t>
  </si>
  <si>
    <t>Binde 7,5</t>
  </si>
  <si>
    <t>Binde 1,5</t>
  </si>
  <si>
    <t>Binde 4,5</t>
  </si>
  <si>
    <t>25,40 TL</t>
  </si>
  <si>
    <t>33,90 TL</t>
  </si>
  <si>
    <t>16,90 TL</t>
  </si>
  <si>
    <t>12,50 TL</t>
  </si>
  <si>
    <t>12,90 TL</t>
  </si>
  <si>
    <t>19,60 TL</t>
  </si>
  <si>
    <t>9,60 TL</t>
  </si>
  <si>
    <t>(Her bir kağıt için hesaplanacak nispi vergi tutarı, (1) sayılı tabloda yer alan sınırlamalar saklı kalmak üzere 01.01.2009’dan itibaren 1.136.904,10 TL’yi aşamaz.)</t>
  </si>
  <si>
    <t>2008 YILI İÇİN BAZI DAMGA VERGİSİ NİSPETLERİ VE MAKTU TUTARLAR</t>
  </si>
  <si>
    <t>- Ücretlerde</t>
  </si>
  <si>
    <t>- Resmi Dairelere Verilen Makbuz ve İbra Senetleri (Mal ve Hizmet Alımlarına İlişkin)</t>
  </si>
  <si>
    <t>- Sözleşmeler, Taahhütnameler ve Temliknameler (Belli Parayı İhtiva Edenler)</t>
  </si>
  <si>
    <t>- Kira Sözleşmeleri</t>
  </si>
  <si>
    <t>- Kefalet, Teminat ve Rehin Senetleri (Belli Parayı İhtiva Edenler)</t>
  </si>
  <si>
    <t>- Tahkimname ve Sulhnameler</t>
  </si>
  <si>
    <t>- Fesihnameler</t>
  </si>
  <si>
    <t>- İkinci El Araç Satış Sözleşmeleri</t>
  </si>
  <si>
    <t>22,70 YTL</t>
  </si>
  <si>
    <t>30,30 YTL</t>
  </si>
  <si>
    <t>15,10 YTL</t>
  </si>
  <si>
    <t>11,20 YTL</t>
  </si>
  <si>
    <t>17,50 YTL</t>
  </si>
  <si>
    <t>8,60 YTL</t>
  </si>
  <si>
    <t>(Her bir kağıt için hesaplanacak nispi vergi tutarı, (1) sayılı tabloda yer alan sınırlamalar saklı kalmak üzere 01.01.2008’den itibaren 1.015.093,00 YTL’yi aşamaz.)</t>
  </si>
  <si>
    <t>2007 YILI İÇİN BAZI DAMGA VERGİSİ NİSPETLERİ VE MAKTU TUTARLAR</t>
  </si>
  <si>
    <t>21,20 YTL</t>
  </si>
  <si>
    <t>28,30 YTL</t>
  </si>
  <si>
    <t>14,10 YTL</t>
  </si>
  <si>
    <t>10,50 YTL</t>
  </si>
  <si>
    <t>16,40 YTL</t>
  </si>
  <si>
    <t>8,10 YTL</t>
  </si>
  <si>
    <t>(Her bir kağıt için hesaplanacak nispi vergi tutarı, (1) sayılı tabloda yer alan sınırlamalar saklı kalmak üzere 01.01.2007’den itibaren 946.915,20 YTL’yi aşamaz.)</t>
  </si>
  <si>
    <t>2006 YILI İÇİN BAZI DAMGA VERGİSİ NİSPETLERİ VE MAKTU TUTARLAR</t>
  </si>
  <si>
    <t>19,70 YTL</t>
  </si>
  <si>
    <t>26,30 YTL</t>
  </si>
  <si>
    <t>13,10 YTL</t>
  </si>
  <si>
    <t>9,80 YTL</t>
  </si>
  <si>
    <t>15,30 YTL</t>
  </si>
  <si>
    <t>7,60 YTL</t>
  </si>
  <si>
    <t>(Her bir kağıt için hesaplanacak nispi vergi tutarı, (1) sayılı tabloda yer alan sınırlamalar saklı kalmak üzere 01.01.2006’dan itibaren 878 bin 400 YTL’yi aşamaz.)</t>
  </si>
  <si>
    <t>2005 YILI İÇİN BAZI DAMGA VERGİSİ NİSPETLERİ VE MAKTU TUTARLAR</t>
  </si>
  <si>
    <t>- Ücretlilerin Vergi İndiriminden Doğan Vergi İadesi</t>
  </si>
  <si>
    <t>- Resmi Dairelere Verilen Makbuz ve İbra Senetleri</t>
  </si>
  <si>
    <t>18,00 YTL</t>
  </si>
  <si>
    <t>24,00 YTL</t>
  </si>
  <si>
    <t>12,00 YTL</t>
  </si>
  <si>
    <t>9,00 YTL</t>
  </si>
  <si>
    <t>14,00 YTL</t>
  </si>
  <si>
    <t>7,00 YTL</t>
  </si>
  <si>
    <t>(Her bir kağıt için hesaplanacak nispi vergi tutarı, (1) sayılı tabloda yer alan sınırlamalar saklı kalmak üzere 01.01.2005’ten itibaren 800 bin YTL’yi aşamaz.)</t>
  </si>
  <si>
    <t>2004 YILI İÇİN BAZI DAMGA VERGİSİ NİSPETLERİ VE MAKTU TUTARLAR</t>
  </si>
  <si>
    <t>- Avanslarda</t>
  </si>
  <si>
    <t>Binde 7.5</t>
  </si>
  <si>
    <t>Binde 1.5</t>
  </si>
  <si>
    <t>- Akreditif ve Kredi Mektupları</t>
  </si>
  <si>
    <t>Binde 4.5</t>
  </si>
  <si>
    <t>15.000.000 TL</t>
  </si>
  <si>
    <t>20.000.000 TL</t>
  </si>
  <si>
    <t>10.000.000 TL</t>
  </si>
  <si>
    <t>- Diğer Beyannameler</t>
  </si>
  <si>
    <t>- Belediyelere Verilen Beyannameler</t>
  </si>
  <si>
    <t>8.000.000 TL</t>
  </si>
  <si>
    <t>- SSK’ya Verilen Sigorta Prim Bildirgeleri</t>
  </si>
  <si>
    <t>12.300.000 TL</t>
  </si>
  <si>
    <t>- Kar-Zarar Cetvelleri</t>
  </si>
  <si>
    <t>5.900.000 TL</t>
  </si>
  <si>
    <t>- İşletme Hesabı Hülasası</t>
  </si>
  <si>
    <t>(Her bir kağıt için hesaplanacak nispi vergi tutarı, (1) sayılı tabloda yer alan sınırlamalar saklı kalmak üzere 01.01.2004’ten itibaren 1 trilyon 28 milyar lirayı aşamaz.)</t>
  </si>
  <si>
    <t>2003 YILI İÇİN BAZI DAMGA VERGİSİ NİSPETLERİ VE MAKTU TUTARLAR</t>
  </si>
  <si>
    <t>2.250.000 TL</t>
  </si>
  <si>
    <t>4.640.000 TL</t>
  </si>
  <si>
    <t>1.440.000 TL</t>
  </si>
  <si>
    <t>   330.000 TL</t>
  </si>
  <si>
    <t>9.630.000 TL</t>
  </si>
  <si>
    <t>(Her bir kağıt için hesaplanacak nispi vergi tutarı 24.04.2003'ten itibaren 800 Milyar lirayı aşamaz.)</t>
  </si>
  <si>
    <t>2011 YILI ASGARİ GEÇİM İNDİRİMİ TUTARLARI</t>
  </si>
  <si>
    <t>Medeni Durum</t>
  </si>
  <si>
    <t>Aylık (TL)</t>
  </si>
  <si>
    <t>Bekâr</t>
  </si>
  <si>
    <t>Evli eşi çalışmayan ve çocuksuz</t>
  </si>
  <si>
    <t>Evli eşi çalışan ve çocuksuz</t>
  </si>
  <si>
    <t>Evli eşi çalışmayan ve 1 çocuklu</t>
  </si>
  <si>
    <t>Evli eşi çalışan ve 1 çocuklu</t>
  </si>
  <si>
    <t>Evli eşi çalışmayan ve 2 çocuklu</t>
  </si>
  <si>
    <t>Evli eşi çalışan ve 2 çocuklu</t>
  </si>
  <si>
    <t>Evli eşi çalışmayan ve 3 çocuklu</t>
  </si>
  <si>
    <t>Evli eşi çalışan ve 3 çocuklu</t>
  </si>
  <si>
    <t>Evli eşi çalışmayan ve 4 çocuklu</t>
  </si>
  <si>
    <t>Evli eşi çalışan ve 4 çocuklu</t>
  </si>
  <si>
    <t>2010 YILI ASGARİ GEÇİM İNDİRİMİ TUTARLARI</t>
  </si>
  <si>
    <t>2009 YILI ASGARİ GEÇİM İNDİRİMİ TUTARLARI</t>
  </si>
  <si>
    <t xml:space="preserve">2008 YILI ASGARİ GEÇİM İNDİRİMİ TUTARLARI </t>
  </si>
  <si>
    <t>Aylık (YTL)</t>
  </si>
  <si>
    <t>(01.07.2011 - 31.12.2011 Dönemi)</t>
  </si>
  <si>
    <t>Aile Yardımı (1.823 x 0,061954) (01.01.2011-30.06.2011 döneminde)</t>
  </si>
  <si>
    <r>
      <t xml:space="preserve">Eş ve Çocuğun Ölümü Halinde (8.000 + 1.500) x </t>
    </r>
    <r>
      <rPr>
        <sz val="11"/>
        <color indexed="10"/>
        <rFont val="Times New Roman"/>
        <family val="1"/>
      </rPr>
      <t>Maaş Katsayısı</t>
    </r>
  </si>
  <si>
    <r>
      <t xml:space="preserve">Memurun Ölümü Halinde [(8.000 + 1.500) x </t>
    </r>
    <r>
      <rPr>
        <sz val="11"/>
        <color indexed="10"/>
        <rFont val="Times New Roman"/>
        <family val="1"/>
      </rPr>
      <t>Maaş Katsayısı</t>
    </r>
    <r>
      <rPr>
        <sz val="11"/>
        <color indexed="8"/>
        <rFont val="Times New Roman"/>
        <family val="1"/>
      </rPr>
      <t>] x 2</t>
    </r>
  </si>
  <si>
    <r>
      <t xml:space="preserve">Özel Hizmet Tazminatı Tavanı (8.000 + 1.500) x </t>
    </r>
    <r>
      <rPr>
        <sz val="11"/>
        <color indexed="10"/>
        <rFont val="Times New Roman"/>
        <family val="1"/>
      </rPr>
      <t>Maaş Katsayısı</t>
    </r>
    <r>
      <rPr>
        <sz val="11"/>
        <color indexed="8"/>
        <rFont val="Times New Roman"/>
        <family val="1"/>
      </rPr>
      <t xml:space="preserve"> )  (</t>
    </r>
    <r>
      <rPr>
        <sz val="11"/>
        <color indexed="10"/>
        <rFont val="Times New Roman"/>
        <family val="1"/>
      </rPr>
      <t>01.07.2011-31.12.2011 döneminde</t>
    </r>
    <r>
      <rPr>
        <sz val="11"/>
        <color indexed="8"/>
        <rFont val="Times New Roman"/>
        <family val="1"/>
      </rPr>
      <t>)</t>
    </r>
  </si>
  <si>
    <r>
      <t>Maaş Katsayısı (</t>
    </r>
    <r>
      <rPr>
        <sz val="11"/>
        <color indexed="10"/>
        <rFont val="Times New Roman"/>
        <family val="1"/>
      </rPr>
      <t>01.07.2011-31.12.2011 döneminde</t>
    </r>
    <r>
      <rPr>
        <sz val="11"/>
        <color indexed="8"/>
        <rFont val="Times New Roman"/>
        <family val="1"/>
      </rPr>
      <t>)</t>
    </r>
  </si>
  <si>
    <r>
      <t>Taban Aylık Katsayısı (</t>
    </r>
    <r>
      <rPr>
        <sz val="11"/>
        <color indexed="10"/>
        <rFont val="Times New Roman"/>
        <family val="1"/>
      </rPr>
      <t>01.07.2011-31.12.2011 döneminde</t>
    </r>
    <r>
      <rPr>
        <sz val="11"/>
        <color indexed="8"/>
        <rFont val="Times New Roman"/>
        <family val="1"/>
      </rPr>
      <t>)</t>
    </r>
  </si>
  <si>
    <r>
      <t xml:space="preserve">Çocuk Yardımı (250 x </t>
    </r>
    <r>
      <rPr>
        <sz val="11"/>
        <color indexed="10"/>
        <rFont val="Times New Roman"/>
        <family val="1"/>
      </rPr>
      <t>Maaş Katsayısı</t>
    </r>
    <r>
      <rPr>
        <sz val="11"/>
        <color indexed="8"/>
        <rFont val="Times New Roman"/>
        <family val="1"/>
      </rPr>
      <t xml:space="preserve"> ) (</t>
    </r>
    <r>
      <rPr>
        <sz val="11"/>
        <color indexed="10"/>
        <rFont val="Times New Roman"/>
        <family val="1"/>
      </rPr>
      <t>01.01.2011-30.06.2011 döneminde</t>
    </r>
    <r>
      <rPr>
        <sz val="11"/>
        <color indexed="8"/>
        <rFont val="Times New Roman"/>
        <family val="1"/>
      </rPr>
      <t>)</t>
    </r>
  </si>
  <si>
    <r>
      <t xml:space="preserve">Doğum Yardımı (2.500 x </t>
    </r>
    <r>
      <rPr>
        <sz val="11"/>
        <color indexed="10"/>
        <rFont val="Times New Roman"/>
        <family val="1"/>
      </rPr>
      <t>Maaş Katsayısı</t>
    </r>
    <r>
      <rPr>
        <sz val="11"/>
        <color indexed="8"/>
        <rFont val="Times New Roman"/>
        <family val="1"/>
      </rPr>
      <t>) (</t>
    </r>
    <r>
      <rPr>
        <sz val="11"/>
        <color indexed="10"/>
        <rFont val="Times New Roman"/>
        <family val="1"/>
      </rPr>
      <t>01.01.2011-30.06.2011 döneminde</t>
    </r>
    <r>
      <rPr>
        <sz val="11"/>
        <color indexed="8"/>
        <rFont val="Times New Roman"/>
        <family val="1"/>
      </rPr>
      <t>)</t>
    </r>
  </si>
  <si>
    <t>7,5</t>
  </si>
  <si>
    <t>5</t>
  </si>
  <si>
    <t>ASGARİ ÜÇRET
 (01/01/… - 30/06/….</t>
  </si>
  <si>
    <t>2012 YILI ASGARİ GEÇİM İNDİRİMİ TUTARLARI</t>
  </si>
  <si>
    <r>
      <t xml:space="preserve">(*) </t>
    </r>
    <r>
      <rPr>
        <sz val="11"/>
        <color indexed="10"/>
        <rFont val="Times New Roman"/>
        <family val="1"/>
      </rPr>
      <t>2011/1241</t>
    </r>
    <r>
      <rPr>
        <sz val="11"/>
        <color indexed="8"/>
        <rFont val="Times New Roman"/>
        <family val="1"/>
      </rPr>
      <t xml:space="preserve"> sayılı Bakanlar Kurulu Kararı ile </t>
    </r>
    <r>
      <rPr>
        <sz val="11"/>
        <color indexed="10"/>
        <rFont val="Times New Roman"/>
        <family val="1"/>
      </rPr>
      <t>01.07.2011 - 30.07.2011</t>
    </r>
    <r>
      <rPr>
        <sz val="11"/>
        <color indexed="8"/>
        <rFont val="Times New Roman"/>
        <family val="1"/>
      </rPr>
      <t xml:space="preserve"> tarihleri arasında geçerli olmak üzere belirlenen katsayılar. (Bkz. </t>
    </r>
    <r>
      <rPr>
        <sz val="11"/>
        <color indexed="10"/>
        <rFont val="Times New Roman"/>
        <family val="1"/>
      </rPr>
      <t>05.01.2011/27806</t>
    </r>
    <r>
      <rPr>
        <sz val="11"/>
        <color indexed="8"/>
        <rFont val="Times New Roman"/>
        <family val="1"/>
      </rPr>
      <t xml:space="preserve"> sayılı Resmi Gazete)</t>
    </r>
  </si>
  <si>
    <r>
      <t xml:space="preserve">Aile Yardımı (2.134 x </t>
    </r>
    <r>
      <rPr>
        <sz val="11"/>
        <color indexed="10"/>
        <rFont val="Times New Roman"/>
        <family val="1"/>
      </rPr>
      <t>Maaş Katsayısı</t>
    </r>
    <r>
      <rPr>
        <sz val="11"/>
        <color indexed="8"/>
        <rFont val="Times New Roman"/>
        <family val="1"/>
      </rPr>
      <t xml:space="preserve"> ) (</t>
    </r>
    <r>
      <rPr>
        <sz val="11"/>
        <color indexed="10"/>
        <rFont val="Times New Roman"/>
        <family val="1"/>
      </rPr>
      <t>01.01.2011-30.06.2011 döneminde</t>
    </r>
    <r>
      <rPr>
        <sz val="11"/>
        <color indexed="8"/>
        <rFont val="Times New Roman"/>
        <family val="1"/>
      </rPr>
      <t>)</t>
    </r>
  </si>
  <si>
    <r>
      <t>Yan Ödeme Katsayısı (</t>
    </r>
    <r>
      <rPr>
        <sz val="11"/>
        <color indexed="10"/>
        <rFont val="Times New Roman"/>
        <family val="1"/>
      </rPr>
      <t>01.07.2011-31.12.2011 döneminde</t>
    </r>
    <r>
      <rPr>
        <sz val="11"/>
        <color indexed="8"/>
        <rFont val="Times New Roman"/>
        <family val="1"/>
      </rPr>
      <t>)</t>
    </r>
  </si>
  <si>
    <t>Maaş Katsayısı</t>
  </si>
  <si>
    <t xml:space="preserve"> (01.07.2012-31.12.2012 döneminde)</t>
  </si>
  <si>
    <r>
      <t xml:space="preserve">Özel Hizmet Tazminatı Tavanı (8.000 + 1.500) x </t>
    </r>
    <r>
      <rPr>
        <sz val="11"/>
        <color indexed="10"/>
        <rFont val="Times New Roman"/>
        <family val="1"/>
      </rPr>
      <t>Maaş Katsayısı</t>
    </r>
    <r>
      <rPr>
        <sz val="11"/>
        <color indexed="8"/>
        <rFont val="Times New Roman"/>
        <family val="1"/>
      </rPr>
      <t xml:space="preserve"> ) </t>
    </r>
  </si>
  <si>
    <t xml:space="preserve">Taban Aylık Katsayısı </t>
  </si>
  <si>
    <t xml:space="preserve">Yan Ödeme Katsayısı </t>
  </si>
  <si>
    <r>
      <t xml:space="preserve">Aile Yardımı (2.134 x </t>
    </r>
    <r>
      <rPr>
        <sz val="11"/>
        <color indexed="10"/>
        <rFont val="Times New Roman"/>
        <family val="1"/>
      </rPr>
      <t>Maaş Katsayısı</t>
    </r>
    <r>
      <rPr>
        <sz val="11"/>
        <color indexed="8"/>
        <rFont val="Times New Roman"/>
        <family val="1"/>
      </rPr>
      <t xml:space="preserve"> )</t>
    </r>
  </si>
  <si>
    <r>
      <t xml:space="preserve">Çocuk Yardımı (250 x </t>
    </r>
    <r>
      <rPr>
        <sz val="11"/>
        <color indexed="10"/>
        <rFont val="Times New Roman"/>
        <family val="1"/>
      </rPr>
      <t>Maaş Katsayısı</t>
    </r>
    <r>
      <rPr>
        <sz val="11"/>
        <color indexed="8"/>
        <rFont val="Times New Roman"/>
        <family val="1"/>
      </rPr>
      <t xml:space="preserve"> ) </t>
    </r>
  </si>
  <si>
    <r>
      <t xml:space="preserve">Doğum Yardımı (2.500 x </t>
    </r>
    <r>
      <rPr>
        <sz val="11"/>
        <color indexed="10"/>
        <rFont val="Times New Roman"/>
        <family val="1"/>
      </rPr>
      <t>Maaş Katsayısı</t>
    </r>
    <r>
      <rPr>
        <sz val="11"/>
        <color indexed="8"/>
        <rFont val="Times New Roman"/>
        <family val="1"/>
      </rPr>
      <t xml:space="preserve">) </t>
    </r>
  </si>
  <si>
    <t xml:space="preserve">Maaş Katsayısı </t>
  </si>
  <si>
    <r>
      <t xml:space="preserve">Özel Hizmet Tazminatı Tavanı (8.000 + 1.500) x </t>
    </r>
    <r>
      <rPr>
        <sz val="11"/>
        <color indexed="10"/>
        <rFont val="Times New Roman"/>
        <family val="1"/>
      </rPr>
      <t>Maaş Katsayısı</t>
    </r>
    <r>
      <rPr>
        <sz val="11"/>
        <color indexed="8"/>
        <rFont val="Times New Roman"/>
        <family val="1"/>
      </rPr>
      <t xml:space="preserve"> )  </t>
    </r>
  </si>
  <si>
    <r>
      <t xml:space="preserve">Aile Yardımı (2.134 x </t>
    </r>
    <r>
      <rPr>
        <sz val="11"/>
        <color indexed="10"/>
        <rFont val="Times New Roman"/>
        <family val="1"/>
      </rPr>
      <t>Maaş Katsayısı</t>
    </r>
    <r>
      <rPr>
        <sz val="11"/>
        <color indexed="8"/>
        <rFont val="Times New Roman"/>
        <family val="1"/>
      </rPr>
      <t xml:space="preserve"> ) </t>
    </r>
  </si>
  <si>
    <r>
      <t xml:space="preserve">Çocuk Yardımı (250 x </t>
    </r>
    <r>
      <rPr>
        <sz val="11"/>
        <color indexed="10"/>
        <rFont val="Times New Roman"/>
        <family val="1"/>
      </rPr>
      <t>Maaş Katsayısı</t>
    </r>
    <r>
      <rPr>
        <sz val="11"/>
        <color indexed="8"/>
        <rFont val="Times New Roman"/>
        <family val="1"/>
      </rPr>
      <t xml:space="preserve"> )</t>
    </r>
  </si>
  <si>
    <r>
      <t xml:space="preserve">Doğum Yardımı (2.500 x </t>
    </r>
    <r>
      <rPr>
        <sz val="11"/>
        <color indexed="10"/>
        <rFont val="Times New Roman"/>
        <family val="1"/>
      </rPr>
      <t>Maaş Katsayısı</t>
    </r>
    <r>
      <rPr>
        <sz val="11"/>
        <color indexed="8"/>
        <rFont val="Times New Roman"/>
        <family val="1"/>
      </rPr>
      <t>)</t>
    </r>
  </si>
  <si>
    <t>YILI ASGARİ GEÇİM İNDİRİMİ TUTARLARI</t>
  </si>
  <si>
    <t>ASGARİ ÜÇRET GİR 
 (01/01/… - 31/02….</t>
  </si>
  <si>
    <t xml:space="preserve">AGİ ÖDEMESİ YAPILACAK </t>
  </si>
  <si>
    <t xml:space="preserve">KİŞİNİN ADI VE SOYADI </t>
  </si>
  <si>
    <t xml:space="preserve">aylar </t>
  </si>
  <si>
    <t xml:space="preserve">Ödenmesi Gereken </t>
  </si>
  <si>
    <t xml:space="preserve">Ödenen </t>
  </si>
  <si>
    <t xml:space="preserve">Noksan veya Fazla Ödeme </t>
  </si>
  <si>
    <t>Ocak</t>
  </si>
  <si>
    <t>Şubat</t>
  </si>
  <si>
    <t>Mart</t>
  </si>
  <si>
    <t xml:space="preserve">Nisan </t>
  </si>
  <si>
    <t>H.Kodu</t>
  </si>
  <si>
    <t>Ek Kod</t>
  </si>
  <si>
    <t>B</t>
  </si>
  <si>
    <t>A</t>
  </si>
  <si>
    <t xml:space="preserve">Mayıs </t>
  </si>
  <si>
    <t>12,1,1,9</t>
  </si>
  <si>
    <t xml:space="preserve">Haziran </t>
  </si>
  <si>
    <t>1,1,1,3</t>
  </si>
  <si>
    <t xml:space="preserve">Temmuz </t>
  </si>
  <si>
    <t xml:space="preserve">Ağustos </t>
  </si>
  <si>
    <t xml:space="preserve">Eylül </t>
  </si>
  <si>
    <t>Ekim</t>
  </si>
  <si>
    <t>Kasım</t>
  </si>
  <si>
    <t>Aralık</t>
  </si>
  <si>
    <t xml:space="preserve">TOPLAMLAR </t>
  </si>
  <si>
    <t>PERSONEL NAKİL BİLDİRİMİ</t>
  </si>
  <si>
    <t>ADI VE SOYADI</t>
  </si>
  <si>
    <t>SAYMANLIK KİŞİ NUMARASI</t>
  </si>
  <si>
    <t>T.C. KİMLİK NUMARASI</t>
  </si>
  <si>
    <t xml:space="preserve">VERGİ NUMARASI </t>
  </si>
  <si>
    <t>SİCİL NUMARASI</t>
  </si>
  <si>
    <t>KURUM</t>
  </si>
  <si>
    <t>EMEKLİ</t>
  </si>
  <si>
    <t>MEMURİYET YERİ</t>
  </si>
  <si>
    <t>ESKİ</t>
  </si>
  <si>
    <t xml:space="preserve">YENİ </t>
  </si>
  <si>
    <t>ÜNVANI</t>
  </si>
  <si>
    <t>DERECE VE KADEMESİ
(MÜKTESEP) K.H.A</t>
  </si>
  <si>
    <t xml:space="preserve">Göstergesi </t>
  </si>
  <si>
    <t xml:space="preserve">Ek Göstergesi </t>
  </si>
  <si>
    <t>MEMUR VE EMEKLİ GÖSTERGE TABLOSU</t>
  </si>
  <si>
    <t>DERECE VE KADEMESİ
(EMEKLİ KESENEĞİ) E.M.A.</t>
  </si>
  <si>
    <t>K  A  D  E  M  E  L  E  R</t>
  </si>
  <si>
    <t xml:space="preserve">TERFİ TARİHLERİ </t>
  </si>
  <si>
    <t xml:space="preserve">K.H.A. </t>
  </si>
  <si>
    <t>E.M.A.</t>
  </si>
  <si>
    <t>ATAMA TARİHİ</t>
  </si>
  <si>
    <t>ÖĞRENİM DURUMU</t>
  </si>
  <si>
    <t xml:space="preserve">Lise </t>
  </si>
  <si>
    <t xml:space="preserve">YILLIK İZİN DURUMU </t>
  </si>
  <si>
    <t>56 GÜN</t>
  </si>
  <si>
    <t>KIDEM AYLIK ESAS HİZMET SÜRESİ</t>
  </si>
  <si>
    <t xml:space="preserve">GÜN </t>
  </si>
  <si>
    <t xml:space="preserve">AY </t>
  </si>
  <si>
    <t xml:space="preserve">YIL </t>
  </si>
  <si>
    <t>TASARRUFU TEŞVİK HESAP NUMARASI</t>
  </si>
  <si>
    <t>---</t>
  </si>
  <si>
    <t>ESKİ MEMURİYETTEN AYRILIŞ TARİHİ</t>
  </si>
  <si>
    <t>YENİ GÖREV YERİNDE AYLIĞA VE EK ÜÇRETE HAK KAZANDIĞI TARİH</t>
  </si>
  <si>
    <t>15 GÜN İÇİNDE HAREKET ETMEDİĞİ TAKDİRDE GEÇİKME NEDENİ</t>
  </si>
  <si>
    <t>----------</t>
  </si>
  <si>
    <t>ŞAHSI VE AİLE YOLLUĞUNU ALIP  ALMMADIĞI, ALMIŞSA TUTARI</t>
  </si>
  <si>
    <t>2.125,82 TL.</t>
  </si>
  <si>
    <t xml:space="preserve">Almıştır. </t>
  </si>
  <si>
    <t>SÜREGELEN GELİR VERGİSİ MATRAH TOPLAMI</t>
  </si>
  <si>
    <t xml:space="preserve">MAAŞA AİT </t>
  </si>
  <si>
    <t>DÖNER VS.AİT</t>
  </si>
  <si>
    <t>GİYECEK YARDIMI ALIP ALMADIĞI, ALMIŞSA TUTARI</t>
  </si>
  <si>
    <t>BORÇLU İSE BORÇLARINA AİT BİLGİ</t>
  </si>
  <si>
    <t xml:space="preserve">2007/123 Nolu Dosyaya 1.527,97 TL Kişi borcu vardır. </t>
  </si>
  <si>
    <t>ALMIŞ OLDUĞU RAPORLARININ YIL İÇİNDEKİ TOPLAM SÜRESİ</t>
  </si>
  <si>
    <t>2009 Yılında Rapor Almamıştır.</t>
  </si>
  <si>
    <t>YABANCI DİL TAZMİNATINDAN YARARLANIP YARARLANMADIĞI, YARARLANIYORSA GURUBU</t>
  </si>
  <si>
    <t>MEDENİ HALİ</t>
  </si>
  <si>
    <t xml:space="preserve">EVLİ, EŞİ ÇALIŞMIYOR  2 ÇOCUKLU </t>
  </si>
  <si>
    <t xml:space="preserve">As.Geç.İnd. Durumu </t>
  </si>
  <si>
    <t xml:space="preserve">SENDİKA  ADI - ÜYE NO </t>
  </si>
  <si>
    <t>Yok</t>
  </si>
  <si>
    <t xml:space="preserve">SENDİKA </t>
  </si>
  <si>
    <t>Not</t>
  </si>
  <si>
    <t xml:space="preserve">MUTEMET </t>
  </si>
  <si>
    <t>DÜZENLEYEN</t>
  </si>
  <si>
    <t xml:space="preserve">PERSONEL BİRİM 
YETKİLİSİ </t>
  </si>
  <si>
    <t xml:space="preserve">MUHASEBE YETKİLİSİ </t>
  </si>
  <si>
    <t xml:space="preserve">Yelda POLAT </t>
  </si>
  <si>
    <t>Halil İbrahim ALACA</t>
  </si>
  <si>
    <t xml:space="preserve">Muhasebe Uzmanı </t>
  </si>
  <si>
    <t>Muhasebe Şefi</t>
  </si>
  <si>
    <t>İMZASI</t>
  </si>
  <si>
    <t>H.İ.ALACA</t>
  </si>
  <si>
    <t xml:space="preserve">SATAKLIK İNDİRİMİ SONUCU FAZLA KESİLEN GELİR VERGİSİ TABLOSU </t>
  </si>
  <si>
    <t xml:space="preserve"> </t>
  </si>
  <si>
    <t>Mayıs</t>
  </si>
  <si>
    <t>Toplam</t>
  </si>
  <si>
    <t>Aylık G.V.Matrahı</t>
  </si>
  <si>
    <t xml:space="preserve">GELİR VERGİSİ ORANI </t>
  </si>
  <si>
    <t xml:space="preserve">FAZLA KESİLEN VE ÖDENMESİ GEKEN GELİR VERGİSİ </t>
  </si>
  <si>
    <t>16 Ağustos 2008 CUMARTESİ 
Resmî Gazete</t>
  </si>
  <si>
    <t>Sayı : 26969 (Mükerrer)</t>
  </si>
  <si>
    <t>BAKANLAR KURULU KARARI</t>
  </si>
  <si>
    <t xml:space="preserve">375 SAYILI KANUN HÜKMÜNDE KARARNAMENİN EK 3 ÜNCÜ MADDESİ </t>
  </si>
  <si>
    <t>UYARINCA YAPILACAK EK ÖDEMEYE İLİŞKİN KARAR</t>
  </si>
  <si>
    <t xml:space="preserve">             (2) 17/4/2006 tarihli ve 2006/10344 sayılı Bakanlar Kurulu Kararı ile yürürlüğe konulan Devlet Memurlarına Ödenecek Zam ve Tazminatlara İlişkin Karara ekli (III) sayılı cetvelin "B. Din Hizmetleri Tazminatı" bölümünün (d) sırası (aynı Karara ekli (II) sayılı Özel Hizmet Tazminatı Cetvelinin "(A) Üst Yönetim ve Genel İdare Hizmetleri" bölümünün 6 ncı grubunun 7 nci sırasında, 7 nci grubunun 1 inci sırasında ve 9 uncu grubunun 7 nci sırasında sayılanlar hariç) ile aynı cetvelin "F. Adalet Hizmetleri Tazminatı" bölümünün 2 nci sırasında öngörülen tazminatlardan yararlananlara yapılacak ek ödeme, anılan sıralarda öngörülen tazminat oranı kadar eksik ödenir. Ancak, ödenecek ek ödeme hiçbir şekilde en yüksek Devlet memuru aylığının (ek gösterge dâhil) %28’inden az olamaz. </t>
  </si>
  <si>
    <t>             (3) Orman Genel Müdürlüğü merkez teşkilatında görev yapan personele yapılacak ek ödeme, 31/8/1956 tarihli ve 6831 sayılı Kanunun 71 inci maddesinin son fıkrası uyarınca yapılan ödemelerden yararlandıkları sürece, 2/3 oranında yapılır. Oranların hesaplanmasında küsurlar tama iblağ edilir.</t>
  </si>
  <si>
    <t>             (4) İlgili mevzuatı uyarınca memurlara yılın belirli dönemlerinde mutat olarak ödenen ikramiyelerin bir aya isabet eden net tutarları, en yüksek Devlet memuru aylığının (ek gösterge dâhil) %28’inden fazla olan ek ödemelerin net tutarından mahsup edilir.</t>
  </si>
  <si>
    <t>             (5) 1/3/2006 tarihinden sonra kurulan üniversiteler hariç olmak üzere, üniversitelerin tıp ve diş hekimliği fakülteleri ile uygulama ve araştırma merkezlerinde (hastaneler dâhil) görev yapan personele 375 sayılı Kanun Hükmünde Kararnamenin ek 3 üncü maddesinin üçüncü fıkrası uyarınca yapılacak ödemeler döner sermaye bütçesinden karşılanır.</t>
  </si>
  <si>
    <t>             "(1) Kadro karşılığı istihdam edilen sözleşmeli personel, sözleşme ücretleri 6/6/1978 tarihli ve 7/15754 sayılı Bakanlar Kurulu Kararı ile yürürlüğe konulan Sözleşmeli Personel Çalıştırılmasına İlişkin Esasların 3 üncü maddesinin ikinci fıkrası kapsamında belirlenenler, idarelerin yurt dışı teşkilatlarında istihdam edilenler ile ayın veya haftanın bazı günleri ya da günün belirli saatleri gibi kısmi zamanlı çalışanlar hariç olmak üzere;</t>
  </si>
  <si>
    <t>             a) 657 sayılı Devlet Memurları Kanununun 4 üncü maddesinin (B) fıkrasına göre istihdam edilen sözleşmeli personelden ekli (I) sayılı Cetvelde yer alan kamu idarelerinde istihdam edilenler ile diğer sözleşmeli personelden ekli (II) sayılı Cetvelde yer alan kamu idarelerinde (belediyeler, il özel idareleri ve mahalli idare birlikleri hariç) anılan Cetvelde belirtilen mevzuat hükümlerine göre istihdam edilenlere, en yüksek Devlet memuru aylığına (ek gösterge dâhil) ekli (III) sayılı Cetvelde yer alan oranların uygulanması suretiyle hesaplanacak tutarda,</t>
  </si>
  <si>
    <t xml:space="preserve">             b) Belediyeler, il özel idareleri ve mahalli idare birliklerinde ekli (II) sayılı Cetvelde belirtilen mevzuat hükümlerine göre istihdam edilen sözleşmeli personele, sözleşmeli olarak çalıştırılmasına esas alınan kadro unvanı için "375 sayılı Kanun Hükmünde Kararnamenin Ek 3 üncü Maddesi Uyarınca Yapılacak Ek Ödemeye İlişkin Karar" ile tespit edilen tutarda, </t>
  </si>
  <si>
    <t>             sözleşme ücreti ile ilişkilendirilmeksizin her ay ek ödeme yapılır."</t>
  </si>
  <si>
    <t>             2) Aynı Kararın 1 inci maddesinin ikinci fıkrasına "21/12/1967 tarihli ve 969 sayılı Kanunun 3 üncü maddesinin son fıkrasında öngörülen ödemeden yararlananlar," ibaresinden sonra gelmek üzere "4/11/1981 tarihli ve 2547 sayılı Kanunun 58 inci maddesinde öngörülen ödemeden yararlananlar," ibaresi eklenmiştir.</t>
  </si>
  <si>
    <t>             3) Aynı Kararın 1 inci maddesine ikinci fıkrasından sonra gelmek üzere aşağıdaki fıkra eklenmiş ve mevcut fıkralar buna göre teselsül ettirilmiştir.</t>
  </si>
  <si>
    <t>             "(3) 2547 sayılı Kanunun 10 uncu maddesinde öngörülen ödemeden yararlanan 657 sayılı Kanunun 4 üncü maddesinin (B) fıkrasına göre istihdam edilen sözleşmeli personele, bu hükme göre yapılan ödemelerin aylık net tutarının, birinci fıkra uyarınca belirlenen ek ödemenin net tutarından az olması halinde, anılan hükme göre yapılan ödeme yerine sadece birinci fıkra hükmü çerçevesinde ek ödeme yapılır."</t>
  </si>
  <si>
    <t>ÖĞRENCİ SEÇME VE YERLEŞTİRME MERKEZİ</t>
  </si>
  <si>
    <t> TÜRK PATENT ENSTİTÜSÜ BAŞKANLIĞI</t>
  </si>
  <si>
    <t> SOSYAL YARDIMLAŞMA VE DAYANIŞMA GENEL MÜDÜRLÜĞÜ</t>
  </si>
  <si>
    <t>             5) Aynı Kararın eki (II) sayılı Cetvele aşağıdaki satır eklenmiştir.</t>
  </si>
  <si>
    <t>TÜRKİYE ADALET AKADEMİSİ BAŞKANLIĞI</t>
  </si>
  <si>
    <t>23/7/2003 tarihli ve 4954 sayılı Kanunun 24. mad.</t>
  </si>
  <si>
    <t>             6) Aynı Karara, ekli "(III) Sayılı Cetvel" eklenmiştir.</t>
  </si>
  <si>
    <t>             Yürürlük</t>
  </si>
  <si>
    <t>             Yürütme</t>
  </si>
  <si>
    <t>12 Ocak 2010 SALI  
Resmî Gazete</t>
  </si>
  <si>
    <t>Sayı : 27460</t>
  </si>
  <si>
    <t>Karar Sayısı : 2010/7</t>
  </si>
  <si>
    <t>             Ekli “Kamu Personelinin Maaşlarının Hesabına Esas Tutulan Katsayıların Yeniden Tespiti ve İlgili Mevzuatı Uyarınca İstihdam Edilen Sözleşmeli Personelin Ücretlerinin Artırılması, Devlet Memurlarına Ödenecek Zam ve Tazminatlar ile Bazı Kararlarda Değişiklik Yapılmasına İlişkin Karar”ın yürürlüğe konulması; Maliye Bakanlığının 6/1/2010 tarihli ve 42 sayılı yazısı üzerine, 2010 Yılı Merkezi Yönetim Bütçe Kanununun 21 inci, 657 sayılı Devlet Memurları Kanununun 152 nci, 375 sayılı Kanun Hükmünde Kararnamenin ek 3 üncü ve 631 sayılı Kanun Hükmünde Kararnamenin 14 üncü maddeleri ile muhtelif statülerde sözleşmeli personel istihdamına imkân sağlayan mevzuat hükümlerine göre, Bakanlar Kurulu’nca 6/1/2010 tarihinde kararlaştırılmıştır.</t>
  </si>
  <si>
    <t> KAMU PERSONELİNİN MAAŞLARININ HESABINA ESAS TUTULAN</t>
  </si>
  <si>
    <t>KATSAYILARIN YENİDEN TESPİTİ VE İLGİLİ MEVZUATI UYARINCA</t>
  </si>
  <si>
    <t>İSTİHDAM EDİLEN SÖZLEŞMELİ PERSONELİN ÜCRETLERİNİN</t>
  </si>
  <si>
    <t>ARTIRILMASI, DEVLET MEMURLARINA ÖDENECEK</t>
  </si>
  <si>
    <t>ZAM VE TAZMİNATLAR İLE BAZI KARARLARDA</t>
  </si>
  <si>
    <t>DEĞİŞİKLİK YAPILMASINA İLİŞKİN KARAR</t>
  </si>
  <si>
    <t>             Katsayıların belirlenmesi</t>
  </si>
  <si>
    <t>             MADDE 1 – 1/1/2010 tarihinden geçerli olmak üzere, 14/7/1965 tarihli ve 657 sayılı Devlet Memurları Kanununun 154 üncü maddesi uyarınca aylık gösterge tablosunda yer alan rakamlar ile ek gösterge rakamlarının aylık tutarlara çevrilmesinde uygulanacak aylık katsayısı (0,057383), memuriyet taban aylığı göstergesine uygulanacak aylık taban katsayısı (0,76293), iş güçlüğü, iş riski, temininde güçlük ve mali sorumluluk zamlarının aylık tutarlara çevrilmesinde uygulanacak yan ödeme katsayısı ise (0,01819) olarak yeniden belirlenmiştir.</t>
  </si>
  <si>
    <t>             Ücretlerin artırılması</t>
  </si>
  <si>
    <t>             MADDE 2 – 1/1/2010 tarihinden geçerli olmak üzere;</t>
  </si>
  <si>
    <t>             a) 399 sayılı Kanun Hükmünde Kararnamenin 3 üncü maddesinin (c) bendi uyarınca sözleşmeli olarak çalıştırılan personelin ücret tavanı, 3.012 TL'ye yükseltilmiştir.</t>
  </si>
  <si>
    <t>             b) 6/6/1978 tarihli ve 7/15754 sayılı Kararname ile yürürlüğe konulan ''Sözleşmeli Personel Çalıştırılmasına İlişkin Esaslar"ın 3 üncü maddesinin birinci fıkrasında yer alan ücret tavanı, 2.671 TL'ye yükseltilmiştir.</t>
  </si>
  <si>
    <t>             c) 30/11/1984 tarihli ve 84/8813 sayılı Kararname ile yürürlüğe konulan "Başbakanlıkta Çalıştırılacak Sözleşmeli Personel Hakkında Hizmet Sözleşmesi Esasları"nın 8 inci maddesinde yer alan unvanlardan en yüksek Devlet memuru olan Başbakanlık Müsteşarının aylık sözleşme ücret tutarı 3.107 TL'ye yükseltilmiştir.</t>
  </si>
  <si>
    <t>             ç) 29/12/1997 tarihli ve 97/10498 sayılı Kararnamenin eki listelerdeki kurum ve kuruluşların hizmet sözleşmesi esaslarında yer alan ve 29/6/2009 tarihli ve 2009/15152 sayılı Kararname ile yükseltilmiş bulunan taban ve tavan ücretleri %2,62 oranında artırılmıştır.</t>
  </si>
  <si>
    <t>             d) İlgili mevzuatı uyarınca vize edilmiş sözleşmeli personel pozisyonlarının, 2009/15152 sayılı Kararname ile yükseltilmiş bulunan taban ve tavan ücretleri %2,62 oranında artırılmıştır.</t>
  </si>
  <si>
    <t>             e) Çeşitli statülerde 2009 yılında sözleşmeli olarak çalıştırılanlardan 2010 yılında da görevlerine devam etmeleri ilgili kamu idarelerince uygun görülenlerin, 2009/15152 sayılı Kararname uyarınca belirlenmiş mevcut brüt sözleşme ücretleri %2,62 oranında artırılmıştır.</t>
  </si>
  <si>
    <t>             Devlet memurlarına ödenecek zam ve tazminatlar</t>
  </si>
  <si>
    <t>             MADDE 3 – 17/4/2006 tarihli ve 2006/10344 sayılı Bakanlar Kurulu Kararı ile yürürlüğe konulan "Devlet Memurlarına Ödenecek Zam ve Tazminatlara İlişkin Karar'' ve eki cetvellerin uygulanmasına 2010 yılında da devam olunur.</t>
  </si>
  <si>
    <t>             Değiştirilen hükümler</t>
  </si>
  <si>
    <t>             MADDE 4 – a) 8/2/2002 tarihli ve 2002/3729 sayılı Kararnamenin eki Kararın 2 nci ve 3 üncü maddeleri aşağıdaki şekilde değiştirilmiştir.</t>
  </si>
  <si>
    <t>             "Madde 2 – Kapsama dahil tüm personel için 2010 yılının birinci altı aylık dönemindeki "ortalama ücret toplamı üst sınırı" 5.625 TL olarak tespit edilmiştir."</t>
  </si>
  <si>
    <t>             "Madde 3 – Mevcut karar, onay veya diğer mevzuat uyarınca kapsama dahil personele yapılmakta olan ayni ve/veya nakdi ödeme unsurlarına yeni bir unsur ilave edilmemesi ve 2 nci maddede yer alan ortalama ücret toplamı üst sınırının aşılmaması kaydıyla 2010 yılının birinci altı aylık döneminde kapsama dahil personelin mali ve sosyal hakları, kurum içi hiyerarşik yapıların gerektirdiği ölçüde ve mevzuatı dahilinde %2,62 oranına kadar yetkili organlar tarafından belirlenecek oranlarda artırılabilir.''</t>
  </si>
  <si>
    <t>             b) 7/8/2008 tarihli ve 2008/14012 sayılı Bakanlar Kurulu Kararının geçici 1 inci maddesi aşağıdaki şekilde değiştirilmiştir.</t>
  </si>
  <si>
    <t>             MADDE 5 – Bu Kararın 4 üncü maddesinin (b) fıkrası 15/1/2010, diğer hükümleri 1/1/2010 tarihinden geçerli olmak üzere yayımı tarihinde yürürlüğe girer.</t>
  </si>
  <si>
    <t>5 Ocak 2011 ÇARŞAMBA 
Resmî Gazete</t>
  </si>
  <si>
    <t>Sayı : 27806</t>
  </si>
  <si>
    <t>Karar Sayısı : 2011/1241</t>
  </si>
  <si>
    <t>Ekli "Kamu Personelinin Maaşlarının Hesabına Esas Tutulan Katsayıların Yeniden Tespiti ve İlgili Mevzuatı Uyarınca İstihdam Edilen Sözleşmeli Personelin Ücretlerinin Artırılması, Devlet Memurlarına Ödenecek Zam ve Tazminatlar ile Bazı Kararlarda Değişiklik Yapılmasına İlişkin Karar"ın yürürlüğe konulması; Maliye Bakanlığının 3/1/2011 tarihli ve 1 sayılı yazısı üzerine, 2011 Yılı Merkezi Yönetim Bütçe Kanununun 21 inci maddesi, 657 sayılı Devlet Memurları Kanununun 152 ve 202 nci maddeleri, 375 sayılı Kanun Hükmünde Kararnamenin ek 3 üncü maddesi ve 631 sayılı Kanun Hükmünde Kararnamenin 14 üncü maddeleri ile muhtelif statülerde sözleşmeli personel istihdamına imkân sağlayan mevzuat hükümlerine göre, Bakanlar Kurulu'nca 3/1/2011 tarihinde kararlaştırılmıştır.</t>
  </si>
  <si>
    <t>KAMU PERSONELİNİN MAAŞLARININ HESABINA ESAS TUTULAN</t>
  </si>
  <si>
    <t>KATSAYILARIN YENİDEN TESPİTİ VE İLGİLİ MEVZUATI</t>
  </si>
  <si>
    <t>UYARINCA İSTİHDAM EDİLEN SÖZLEŞMELİ PERSONELİN</t>
  </si>
  <si>
    <t>ÜCRETLERİNİN ARTIRILMASI, DEVLET MEMURLARINA</t>
  </si>
  <si>
    <t>ÖDENECEK ZAM VE TAZMİNATLAR İLE BAZI</t>
  </si>
  <si>
    <t>KARARLARDA DEĞİŞİKLİK</t>
  </si>
  <si>
    <t>YAPILMASINA İLİŞKİN</t>
  </si>
  <si>
    <t>KARAR</t>
  </si>
  <si>
    <t>Katsayıların belirlenmesi</t>
  </si>
  <si>
    <t>MADDE 1 – 1/1/2011 tarihinden geçerli olmak üzere, 14/7/1965 tarihli ve 657 sayılı Devlet Memurları Kanununun 154 üncü maddesi uyarınca aylık gösterge tablosunda yer alan rakamlar ile ek gösterge rakamlarının aylık tutarlara çevrilmesinde uygulanacak aylık katsayısı (0,061954), memuriyet taban aylığı göstergesine uygulanacak taban aylık katsayısı (0,82656), iş güçlüğü, iş riski, temininde güçlük ve mali sorumluluk zamlarının aylık tutarlara çevrilmesinde uygulanacak yan ödeme katsayısı ise (0,019638) olarak yeniden belirlenmiştir.</t>
  </si>
  <si>
    <t>Ücretlerin artırılması</t>
  </si>
  <si>
    <t>MADDE 2 – 1/1/2011 tarihinden geçerli olmak üzere;</t>
  </si>
  <si>
    <t>a) 399 sayılı Kanun Hükmünde Kararnamenin 3 üncü maddesinin (c) bendi uyarınca sözleşmeli olarak çalıştırılan personelin ücret tavanı, 3.252 TL'ye yükseltilmiştir.</t>
  </si>
  <si>
    <t>b) 6/6/1978 tarihli ve 7/15754 sayılı Kararname ile yürürlüğe konulan “Sözleşmeli Personel Çalıştırılmasına İlişkin Esaslar”ın 3 üncü maddesinin birinci fıkrasında yer alan ücret tavanı, 2.884 TL'ye yükseltilmiştir.</t>
  </si>
  <si>
    <t>c) 30/11/1984 tarihli ve 84/8813 sayılı Kararname ile yürürlüğe konulan “Başbakanlıkta Çalıştırılacak Sözleşmeli Personel Hakkında Hizmet Sözleşmesi Esasları”nın 8 inci maddesinde yer alan unvanlardan en yüksek Devlet memuru olan Başbakanlık Müsteşarının aylık sözleşme ücret tutarı 3.355 TL'ye yükseltilmiştir.</t>
  </si>
  <si>
    <t>ç) 29/12/1997 tarihli ve 97/10498 sayılı Kararnamenin eki listelerdeki kurum ve kuruluşların hizmet sözleşmesi esaslarında yer alan ve 7/7/2010 tarihli ve 2010/654 sayılı Kararname ile yükseltilmiş bulunan taban ve tavan ücretleri %4,22 oranında artırılmıştır.</t>
  </si>
  <si>
    <t>d) İlgili mevzuatı uyarınca vize edilmiş sözleşmeli personel pozisyonlarının, 2010/654 sayılı Kararname ile yükseltilmiş bulunan taban ve tavan ücretleri %4,22 oranında artırılmıştır.</t>
  </si>
  <si>
    <t>e) Çeşitli statülerde 2010 yılında sözleşmeli olarak çalıştırılanlardan 2011 yılında da görevlerine devam etmeleri ilgili kamu idarelerince uygun görülenlerin, 2010/654 sayılı Kararname uyarınca belirlenmiş mevcut brüt sözleşme ücretleri %4,22 oranında artırılmıştır.</t>
  </si>
  <si>
    <t>Devlet memurlarına ödenecek zam ve tazminatlar</t>
  </si>
  <si>
    <t>MADDE 3 – 17/4/2006 tarihli ve 2006/10344 sayılı Bakanlar Kurulu Kararı ile yürürlüğe konulan “Devlet Memurlarına Ödenecek Zam ve Tazminatlara İlişkin Karar” ve eki cetvellerin uygulanmasına 2011 yılında da devam olunur.</t>
  </si>
  <si>
    <t>Aile yardımı ödeneği</t>
  </si>
  <si>
    <t>MADDE 4 – 657 sayılı Devlet Memurları Kanununun 202 nci maddesinde yer alan ve eş için ödenmekte olan aile yardımı ödeneğine esas (1.500) gösterge rakamı (1.823) olarak uygulanır.</t>
  </si>
  <si>
    <t>Ek ödeme</t>
  </si>
  <si>
    <t>MADDE 5 – a) 7/8/2008 tarihli ve 2008/14012 sayılı “375 Sayılı Kanun Hükmünde Kararnamenin Ek 3 üncü Maddesi Uyarınca Yapılacak Ek Ödemeye İlişkin Karar”ın geçici 1 inci maddesi ve bu Karara ekli “Ek Ödeme Cetveli”nde yer alan ek ödeme oranları “14” puan artırılmıştır.</t>
  </si>
  <si>
    <t>b) 9/6/2006 tarihli ve 2006/10603 sayılı “Değişik Adlar Altında İlave Ödemesi Bulunmayan Sözleşmeli Personele Ek Ödeme Yapılmasına Dair Karar”a ekli (III) sayılı Cetvelde yer alan ek ödeme oranları “14” puan artırılmıştır.</t>
  </si>
  <si>
    <t>Değiştirilen hükümler</t>
  </si>
  <si>
    <t>MADDE 6 – 8/2/2002 tarihli ve 2002/3729 sayılı Kararnamenin eki Kararın 2 nci ve 3 üncü maddeleri aşağıdaki şekilde değiştirilmiştir.</t>
  </si>
  <si>
    <t>“Madde 2 – Kapsama dahil tüm personel için 2011 yılının birinci altı aylık dönemindeki "ortalama ücret toplamı üst sınırı” 6.073 TL olarak tespit edilmiştir.</t>
  </si>
  <si>
    <t>Madde 3 – Mevcut karar, onay veya diğer mevzuat uyarınca kapsama dahil personele yapılmakta olan ayni ve/veya nakdi ödeme unsurlarına yeni bir unsur ilave edilmemesi ve 2 nci maddede yer alan ortalama ücret toplamı üst sınırının aşılmaması kaydıyla 2011 yılının birinci altı aylık döneminde kapsama dahil personelin mali ve sosyal hakları, kurum içi hiyerarşik yapıların gerektirdiği ölçüde ve mevzuatı dahilinde %4,22 oranına kadar yetkili organlar tarafından belirlenecek oranlarda artırılabilir."</t>
  </si>
  <si>
    <t>Yürürlük</t>
  </si>
  <si>
    <t>MADDE 7 – Bu Karar, 1/1/2011 tarihinden geçerli olmak üzere yayımı tarihinde yürürlüğe girer.</t>
  </si>
  <si>
    <t>Yürütme</t>
  </si>
  <si>
    <t>MADDE 8 – Bu Karar hükümlerini Bakanlar Kurulu yürütür.</t>
  </si>
  <si>
    <t>EK ÖDEME CETVELİ</t>
  </si>
  <si>
    <t xml:space="preserve">ilk şekli </t>
  </si>
  <si>
    <t xml:space="preserve">Değişenler </t>
  </si>
  <si>
    <t>ilave gelen</t>
  </si>
  <si>
    <t>KADRO VE GÖREV UNVANI</t>
  </si>
  <si>
    <t>ORAN</t>
  </si>
  <si>
    <t>(%)</t>
  </si>
  <si>
    <t>A- Aylıklarını 657 sayılı Devlet Memurları Kanununa Göre Alanlar:</t>
  </si>
  <si>
    <t>1- Kadroları Genel İdare Hizmetleri Sınıfında yer alan personelden;</t>
  </si>
  <si>
    <t>- 2 nci grubunda sayılanlar</t>
  </si>
  <si>
    <t>62</t>
  </si>
  <si>
    <t>- 3 üncü grubunda sayılanlar</t>
  </si>
  <si>
    <t>61</t>
  </si>
  <si>
    <t>- 4 üncü grubunda sayılanlar</t>
  </si>
  <si>
    <t>58</t>
  </si>
  <si>
    <t>                - Makam tazminatından yararlananlar</t>
  </si>
  <si>
    <t>                - Makam tazminatından yararlanmayanlar</t>
  </si>
  <si>
    <t>- 9 uncu grubunda sayılanlar</t>
  </si>
  <si>
    <t>53</t>
  </si>
  <si>
    <t>- 10 uncu grubunda sayılanlar</t>
  </si>
  <si>
    <t>- 11 inci grubunda sayılanlar</t>
  </si>
  <si>
    <t>- 12 nci grubunda sayılanlar</t>
  </si>
  <si>
    <t>- 13 üncü grubunda sayılanlar</t>
  </si>
  <si>
    <t>- 14 üncü grubunda sayılanlar</t>
  </si>
  <si>
    <t>- 15 inci grubunda sayılanlar</t>
  </si>
  <si>
    <t>- 16 ncı grubunda sayılanlar</t>
  </si>
  <si>
    <t>52</t>
  </si>
  <si>
    <t>- 17 nci grubunda sayılanlar</t>
  </si>
  <si>
    <t>51</t>
  </si>
  <si>
    <t>- 2/a sırasında sayılanlardan;</t>
  </si>
  <si>
    <t>- 2/b sırasında sayılanlar</t>
  </si>
  <si>
    <t>- 3/a sırasında sayılanlardan;</t>
  </si>
  <si>
    <t>- 3/b sırasında sayılanlar</t>
  </si>
  <si>
    <t>- 4/a sırasında sayılanlardan;</t>
  </si>
  <si>
    <t>- 4/b sırasında sayılanlar</t>
  </si>
  <si>
    <t>- 5/a sırasında sayılanlar</t>
  </si>
  <si>
    <t>- 5/b sırasında sayılanlar</t>
  </si>
  <si>
    <t>- 6/a sırasında sayılanlardan;</t>
  </si>
  <si>
    <t>- 6/b sırasında sayılanlar</t>
  </si>
  <si>
    <t>- 7/a sırasında sayılanlar</t>
  </si>
  <si>
    <t>- 7/b sırasında sayılanlar</t>
  </si>
  <si>
    <t>                - 1-4 üncü dereceden aylık alanlar</t>
  </si>
  <si>
    <t>- 1/a sırasında sayılanlar</t>
  </si>
  <si>
    <t>- 1/b sırasında sayılanlardan;</t>
  </si>
  <si>
    <t>                - 1 inci dereceden aylık alanlar</t>
  </si>
  <si>
    <t>            - 2 nci dereceden aylık alanlar</t>
  </si>
  <si>
    <t>            - 3 üncü dereceden aylık alanlar</t>
  </si>
  <si>
    <t>            - 4 üncü dereceden aylık alanlar</t>
  </si>
  <si>
    <t>            - Diğer derecelerden aylık alanlar</t>
  </si>
  <si>
    <t>- 1/c sırasında sayılanlardan;</t>
  </si>
  <si>
    <t>                - 1 inci dereceden aylık alanlar</t>
  </si>
  <si>
    <t>                - 2 nci dereceden aylık alanlar</t>
  </si>
  <si>
    <t>- 1/d sırasında sayılanlar</t>
  </si>
  <si>
    <t>- 1/e, 1/f ve 1/g sıralarında sayılanlar</t>
  </si>
  <si>
    <t>50</t>
  </si>
  <si>
    <t>- 3 üncü sırasında sayılanlar</t>
  </si>
  <si>
    <t>49</t>
  </si>
  <si>
    <t>2- Kadroları Teknik Hizmetler Sınıfında yer alan personelden;</t>
  </si>
  <si>
    <t>a) Başmühendis kadrosunda bulunanlar</t>
  </si>
  <si>
    <t>b) Mühendis, mimar, bölge plancısı ve şehir plancısı kadrolarında bulunanlar</t>
  </si>
  <si>
    <t>c) Jeolog, hidrolog, hidrojeolog, jeofizikçi, kimyager, fizikçi, jeomorfolog, arkeolog, matematikçi, istatistikçi ve astronom kadrolarında bulunanlar</t>
  </si>
  <si>
    <t>ç) Bu sınıfta yer alan diğer kadro unvanlarında bulunanlar</t>
  </si>
  <si>
    <t>3- Kadroları Sağlık Hizmetleri ve Yardımcı Sağlık Hizmetleri Sınıfında yer alan personelden;</t>
  </si>
  <si>
    <t>a) Uzman tabip</t>
  </si>
  <si>
    <t>b) Tabip</t>
  </si>
  <si>
    <t>c) Tıpta Uzmanlık Tüzüğünde belirtilen dallarda bu Tüzük hükümlerine göre uzmanlık belgesi alanlar</t>
  </si>
  <si>
    <t>ç) Diş tabibi</t>
  </si>
  <si>
    <t>d) Veteriner hekim</t>
  </si>
  <si>
    <t>e) Eczacı</t>
  </si>
  <si>
    <t>f) Bu sınıfta yer alan diğer personel</t>
  </si>
  <si>
    <t>4- Kadroları Eğitim ve Öğretim Hizmetleri Sınıfında yer alan personelden;</t>
  </si>
  <si>
    <t>- Öğretmen kadrolarında bulunanlar (örgün ve yaygın eğitim kurumlarındaki öğretmen unvanlı kadrolardaki yöneticiler dâhil)</t>
  </si>
  <si>
    <t>5- Kadroları Avukatlık Hizmetleri Sınıfında yer alan personel</t>
  </si>
  <si>
    <t xml:space="preserve">a) İl Müftü Yardımcısı (Ankara, İstanbul ve İzmir illeri hariç) ve İlçe Müftüsü </t>
  </si>
  <si>
    <t>b) Vaiz kadrosunda bulunanlar</t>
  </si>
  <si>
    <t>c) Diğer kadrolarda bulunanlar</t>
  </si>
  <si>
    <t>7- Kadroları Emniyet Hizmetleri Sınıfında yer alan personelden;</t>
  </si>
  <si>
    <t>a) Emniyet Genel Müdürü</t>
  </si>
  <si>
    <t>b) Birinci Sınıf Emniyet Müdürlüğü kadrolarına atananlardan;</t>
  </si>
  <si>
    <t>- Genel Müdür Yardımcısı, Teftiş Kurulu Başkanı, Polis Akademisi Başkanı, Ankara, İstanbul ve İzmir İl Emniyet Müdürleri</t>
  </si>
  <si>
    <t>41</t>
  </si>
  <si>
    <t>                - Daire Başkanı, I. Hukuk Müşaviri ve Diğer İl Emniyet Müdürleri</t>
  </si>
  <si>
    <t>                - Diğerleri</t>
  </si>
  <si>
    <t> c) İkinci Sınıf Emniyet Müdürü kadrolarına atananlar</t>
  </si>
  <si>
    <t> ç) Üçüncü Sınıf Emniyet Müdürü kadrolarına atananlar</t>
  </si>
  <si>
    <t> d) Dördüncü Sınıf Emniyet Müdürü kadrolarına atananlar</t>
  </si>
  <si>
    <t> e) Emniyet Amiri kadrolarına atananlar</t>
  </si>
  <si>
    <t> f) Başkomiser kadrolarına atananlar</t>
  </si>
  <si>
    <t> g) Komiser kadrolarına atananlar</t>
  </si>
  <si>
    <t> ğ) Komiser yardımcısı kadrolarına atananlar</t>
  </si>
  <si>
    <t> h) Polis Memuru kadrolarına atananlar</t>
  </si>
  <si>
    <t> ı) Diğerleri</t>
  </si>
  <si>
    <t>8- Kadroları Yardımcı Hizmetler Sınıfında yer alan personel</t>
  </si>
  <si>
    <t>B- Aylıklarını 926 sayılı Türk Silahlı Kuvvetleri Personel Kanunu, 3269 sayılı Uzman Erbaş Kanunu ve 3466 sayılı Uzman Jandarma Kanununa Göre Alanlar:</t>
  </si>
  <si>
    <t>1- Subaylardan;</t>
  </si>
  <si>
    <t> a) Genelkurmay Başkanı</t>
  </si>
  <si>
    <t xml:space="preserve"> b) Kuvvet Komutanları ve Jandarma Genel Komutanı </t>
  </si>
  <si>
    <t> c) Orgeneral ve Oramiral</t>
  </si>
  <si>
    <t> ç) Korgeneral ve Koramiral</t>
  </si>
  <si>
    <t> d) Tümgeneral ve Tümamiral</t>
  </si>
  <si>
    <t> e) Tuğgeneral ve Tuğamiral</t>
  </si>
  <si>
    <t> f) Kıdemli Albay</t>
  </si>
  <si>
    <t> g) Albay</t>
  </si>
  <si>
    <t> ğ) Yarbay</t>
  </si>
  <si>
    <t> h) Kıdemli Binbaşı</t>
  </si>
  <si>
    <t> ı) Binbaşı</t>
  </si>
  <si>
    <t> i) Kıdemli Yüzbaşı</t>
  </si>
  <si>
    <t> j) Yüzbaşı</t>
  </si>
  <si>
    <t> k) Kıdemli Üsteğmen</t>
  </si>
  <si>
    <t> l) Üsteğmen</t>
  </si>
  <si>
    <t> m) Teğmen</t>
  </si>
  <si>
    <t> n) Asteğmen</t>
  </si>
  <si>
    <t>2- Astsubaylardan;</t>
  </si>
  <si>
    <t> a) II.Kad.Kd.Bçvş.</t>
  </si>
  <si>
    <t> b) Kad.Kd.Bçvş.</t>
  </si>
  <si>
    <t> c) Kd.Bçvş.</t>
  </si>
  <si>
    <t> ç) Kad.Bçvş.</t>
  </si>
  <si>
    <t> d) Bçvş.</t>
  </si>
  <si>
    <t> e) Kd.Üstçvş.</t>
  </si>
  <si>
    <t> f) Üstçvş</t>
  </si>
  <si>
    <t> g) Kd.Çvş.</t>
  </si>
  <si>
    <t> ğ) Çvş.</t>
  </si>
  <si>
    <t>3- Uzman Jandarmalardan;</t>
  </si>
  <si>
    <t> a) VIII.Kad.Çvş.</t>
  </si>
  <si>
    <t> b) VII.Kad.Çvş.</t>
  </si>
  <si>
    <t> c) VI.Kad.Çvş.</t>
  </si>
  <si>
    <t> ç) V.Kad.Çvş.</t>
  </si>
  <si>
    <t> d) IV.Kad.Çvş.</t>
  </si>
  <si>
    <t> e) III.Kad.Çvş.</t>
  </si>
  <si>
    <t> f) II.Kad.Çvş.</t>
  </si>
  <si>
    <t> g) I.Kad.Çvş.</t>
  </si>
  <si>
    <t>4- Uzman Erbaşlardan;</t>
  </si>
  <si>
    <t> a) Uzman Çavuş</t>
  </si>
  <si>
    <t> b) Uzman Onbaşı</t>
  </si>
  <si>
    <t>C- Aylıklarını 2914 sayılı Yükseköğretim Personel Kanununa Göre Alanlar (2547 sayılı Yükseköğretim Kanununun 36 ncı maddesi uyarınca kısmi statüde görev yapanlar hariç):</t>
  </si>
  <si>
    <t xml:space="preserve">1- Profesörlerden Rektör, Rektör Yardımcısı ve Dekan olanlar </t>
  </si>
  <si>
    <t>2- Profesörlerden Dekan Yardımcısı, Yüksekokul Müdürü olanlar ile Profesör kadrosunda üç yılını tamamlamış bulunanlar</t>
  </si>
  <si>
    <t>3- Profesör kadrosunda bulunanlar (Diğer)</t>
  </si>
  <si>
    <t>4- Doçent kadrosunda bulunanlar (Kazanılmış hak aylığı birinci derece olan)</t>
  </si>
  <si>
    <t>5- Doçent kadrosunda bulunanlar (Diğer)</t>
  </si>
  <si>
    <t>6- Yardımcı Doçent kadrosunda bulunanlar</t>
  </si>
  <si>
    <t>7- Araştırma Görevlisi kadrosunda bulunanlar</t>
  </si>
  <si>
    <t>8- Diğer öğretim elemanlarından;</t>
  </si>
  <si>
    <t>                a) Birinci dereceden aylık alanlar                                                            </t>
  </si>
  <si>
    <t>                b) İkinci dereceden aylık alanlar                                                              </t>
  </si>
  <si>
    <t>                c) Üçüncü dereceden aylık alanlar   </t>
  </si>
  <si>
    <t>                ç) Dördüncü ve beşinci dereceden aylık alanlar                                      </t>
  </si>
  <si>
    <t>                d) Diğer derecelerden aylık alanlar                                                          </t>
  </si>
  <si>
    <t>(III) SAYILI CETVEL</t>
  </si>
  <si>
    <t>POZİSYON UNVANI</t>
  </si>
  <si>
    <t>ORAN %</t>
  </si>
  <si>
    <t>Başmühendis, Mühendis, Mimar, Bölge Plancısı, Şehir Plancısı, Veteriner Hekim</t>
  </si>
  <si>
    <t>Diğer Teknik Hizmet Personeli (Jeolog, Hidrolog, Hidrojeolog, Jeofizikçi, Kimyager, Fizikçi, Jeomorfolog, Arkeolog, Matematikçi, İstatistikçi, Astronom)</t>
  </si>
  <si>
    <t>Uzman Tabip</t>
  </si>
  <si>
    <t>Tabip</t>
  </si>
  <si>
    <t>Tekniker, Teknisyen</t>
  </si>
  <si>
    <t>Uzman (Tıpta Uzmanlık Tüzüğüne Göre), Diş Tabibi</t>
  </si>
  <si>
    <t>Eczacı</t>
  </si>
  <si>
    <t>Biyolog, Psikolog, Fizyoterapist, Sosyal Çalışmacı, Diyetisyen, Çocuk Gelişimcisi, Sağlık Fizikçisi, Sağlık Teknikeri, Sağlık Teknisyeni, Laborant, Röntgen Teknisyeni, Hemşire, Ebe, Sağlık Memuru, Diğer Sağlık Personeli</t>
  </si>
  <si>
    <t>Proje Başkanı, Proje Birim Başkanı, Proje Koordinatörü, Deniz Trafik Baş Kılavuzu, Deniz Trafik Kılavuzu</t>
  </si>
  <si>
    <t>Avukat</t>
  </si>
  <si>
    <t>Proje Değerlendirme ve Uygulama Uzmanı, Proje Uzmanı, Deniz Trafik Kılavuz Yardımcısı</t>
  </si>
  <si>
    <t>Öğretmen</t>
  </si>
  <si>
    <t>Vaiz</t>
  </si>
  <si>
    <t>İmam-Hatip, Kur’an Kursu Öğreticisi, Müezzin-Kayyım</t>
  </si>
  <si>
    <t xml:space="preserve">Çözümleyici, Sistem Programcısı, Programcı, Mütercim-Tercüman, </t>
  </si>
  <si>
    <t>Büro Personeli, Büro Görevlisi, Büro Memuru, Tapu Arşiv Uzmanı, Arşiv Uzmanı</t>
  </si>
  <si>
    <t>Destek Personeli, Destek Elemanı, Fiziki Destek Elemanı</t>
  </si>
  <si>
    <t>Yukarıda sayılan pozisyon unvanları dışında kalanlar</t>
  </si>
  <si>
    <r>
      <t xml:space="preserve">             </t>
    </r>
    <r>
      <rPr>
        <b/>
        <sz val="12"/>
        <color indexed="8"/>
        <rFont val="Times New Roman"/>
        <family val="1"/>
        <charset val="162"/>
      </rPr>
      <t>Amaç ve kapsam</t>
    </r>
  </si>
  <si>
    <r>
      <t>             4) Aynı Kararın eki (I) sayılı Cetvele aşağıdaki satırlar eklenmiştir.</t>
    </r>
    <r>
      <rPr>
        <sz val="9"/>
        <color indexed="8"/>
        <rFont val="Times New Roman"/>
        <family val="1"/>
        <charset val="162"/>
      </rPr>
      <t> </t>
    </r>
  </si>
  <si>
    <r>
      <t xml:space="preserve">             </t>
    </r>
    <r>
      <rPr>
        <b/>
        <sz val="9"/>
        <color indexed="8"/>
        <rFont val="Times New Roman"/>
        <family val="1"/>
        <charset val="162"/>
      </rPr>
      <t>Yürürlük</t>
    </r>
  </si>
  <si>
    <r>
      <t>             MADDE 6 –</t>
    </r>
    <r>
      <rPr>
        <sz val="9"/>
        <color indexed="8"/>
        <rFont val="Times New Roman"/>
        <family val="1"/>
        <charset val="162"/>
      </rPr>
      <t xml:space="preserve"> (1) Bu Karar 15/8/2008 tarihinde yürürlüğe girer. </t>
    </r>
  </si>
  <si>
    <r>
      <t xml:space="preserve">             </t>
    </r>
    <r>
      <rPr>
        <b/>
        <sz val="9"/>
        <color indexed="8"/>
        <rFont val="Times New Roman"/>
        <family val="1"/>
        <charset val="162"/>
      </rPr>
      <t>Yürütme</t>
    </r>
  </si>
  <si>
    <r>
      <t>             MADDE 7 –</t>
    </r>
    <r>
      <rPr>
        <sz val="9"/>
        <color indexed="8"/>
        <rFont val="Times New Roman"/>
        <family val="1"/>
        <charset val="162"/>
      </rPr>
      <t xml:space="preserve"> (1) Bu Karar hükümlerini Bakanlar Kurulu yürütür.</t>
    </r>
  </si>
  <si>
    <r>
      <t xml:space="preserve">             "GEÇİCİ MADDE 1 – (1) </t>
    </r>
    <r>
      <rPr>
        <u/>
        <sz val="12"/>
        <color indexed="60"/>
        <rFont val="Times New Roman"/>
        <family val="1"/>
        <charset val="162"/>
      </rPr>
      <t xml:space="preserve">Yeni bir düzenleme yapılıncaya kadar, </t>
    </r>
    <r>
      <rPr>
        <b/>
        <u/>
        <sz val="12"/>
        <color indexed="60"/>
        <rFont val="Times New Roman"/>
        <family val="1"/>
        <charset val="162"/>
      </rPr>
      <t>makam tazminatından yararlananlar hariç olmak üzere; bölge müdürü, bölge müdür yardımcısı, il müdürü, il müdür yardımcısı, il müftüsü, il müftü yardımcısı, daire başkanı, daire başkan yardımcısı, başkan, başkan yardımcısı, genel sekreter, genel sekreter yardımcısı, savunma sekreteri, fakülte sekreteri, enstitü sekreteri, yüksekokul sekreteri, ilçe müftüsü, müdür ve müdür yardımcısı kadrolarında bulunanlardan</t>
    </r>
    <r>
      <rPr>
        <sz val="9"/>
        <color indexed="60"/>
        <rFont val="Times New Roman"/>
        <family val="1"/>
        <charset val="162"/>
      </rPr>
      <t xml:space="preserve"> 17/4/2006 tarihli ve 2006/10344 sayılı Bakanlar Kurulu Kararıyla yürürlüğe konulan </t>
    </r>
    <r>
      <rPr>
        <b/>
        <u/>
        <sz val="12"/>
        <color indexed="60"/>
        <rFont val="Times New Roman"/>
        <family val="1"/>
        <charset val="162"/>
      </rPr>
      <t>Devlet Memurlarına Ödenecek Zam ve Tazminatlara İlişkin Karara ekli (II) sayılı Cetvelinin "(A)" bölümü ile (III) sayılı Cetvelin (B) bölümünde yer alanlar için ek ödeme oranı %100 olarak, (III) sayılı Cetvelin (F) bölümünde yer alanlar için %90 olarak uygulanır.</t>
    </r>
    <r>
      <rPr>
        <b/>
        <u/>
        <sz val="9"/>
        <color indexed="60"/>
        <rFont val="Times New Roman"/>
        <family val="1"/>
        <charset val="162"/>
      </rPr>
      <t>"</t>
    </r>
  </si>
  <si>
    <r>
      <t xml:space="preserve">             </t>
    </r>
    <r>
      <rPr>
        <sz val="9"/>
        <color indexed="8"/>
        <rFont val="Times New Roman"/>
        <family val="1"/>
        <charset val="162"/>
      </rPr>
      <t>MADDE 6 – Bu Karar hükümlerini Bakanlar Kurulu yürütür.</t>
    </r>
  </si>
  <si>
    <r>
      <t>a) 17/4/2006 tarihli ve 2006/10344 sayılı Bakanlar Kurulu Kararı ile yürürlüğe konulan Devlet Memurlarına Ödenecek Zam ve Tazminatlara İlişkin Karara ekli (II) sayılı Özel Hizmet Tazminatı Cetvelinin “(A)</t>
    </r>
    <r>
      <rPr>
        <b/>
        <sz val="9"/>
        <color indexed="8"/>
        <rFont val="Times New Roman"/>
        <family val="1"/>
        <charset val="162"/>
      </rPr>
      <t xml:space="preserve"> </t>
    </r>
    <r>
      <rPr>
        <sz val="9"/>
        <color indexed="8"/>
        <rFont val="Times New Roman"/>
        <family val="1"/>
        <charset val="162"/>
      </rPr>
      <t>Üst Yönetim ve Genel İdare Hizmetleri” bölümünün;</t>
    </r>
  </si>
  <si>
    <r>
      <t>-</t>
    </r>
    <r>
      <rPr>
        <sz val="7"/>
        <color indexed="8"/>
        <rFont val="Times New Roman"/>
        <family val="1"/>
        <charset val="162"/>
      </rPr>
      <t xml:space="preserve">          </t>
    </r>
    <r>
      <rPr>
        <sz val="9"/>
        <color indexed="8"/>
        <rFont val="Times New Roman"/>
        <family val="1"/>
        <charset val="162"/>
      </rPr>
      <t>- 5 inci grubunda sayılanlardan;</t>
    </r>
  </si>
  <si>
    <r>
      <t>-</t>
    </r>
    <r>
      <rPr>
        <sz val="7"/>
        <color indexed="8"/>
        <rFont val="Times New Roman"/>
        <family val="1"/>
        <charset val="162"/>
      </rPr>
      <t xml:space="preserve">          </t>
    </r>
    <r>
      <rPr>
        <sz val="9"/>
        <color indexed="8"/>
        <rFont val="Times New Roman"/>
        <family val="1"/>
        <charset val="162"/>
      </rPr>
      <t>- 6 ncı grubunda sayılanlardan;</t>
    </r>
  </si>
  <si>
    <r>
      <t>-</t>
    </r>
    <r>
      <rPr>
        <sz val="7"/>
        <color indexed="8"/>
        <rFont val="Times New Roman"/>
        <family val="1"/>
        <charset val="162"/>
      </rPr>
      <t xml:space="preserve">          </t>
    </r>
    <r>
      <rPr>
        <sz val="9"/>
        <color indexed="8"/>
        <rFont val="Times New Roman"/>
        <family val="1"/>
        <charset val="162"/>
      </rPr>
      <t>- 7 nci grubunda sayılanlardan;</t>
    </r>
  </si>
  <si>
    <r>
      <t>-</t>
    </r>
    <r>
      <rPr>
        <sz val="7"/>
        <color indexed="8"/>
        <rFont val="Times New Roman"/>
        <family val="1"/>
        <charset val="162"/>
      </rPr>
      <t xml:space="preserve">          </t>
    </r>
    <r>
      <rPr>
        <sz val="9"/>
        <color indexed="8"/>
        <rFont val="Times New Roman"/>
        <family val="1"/>
        <charset val="162"/>
      </rPr>
      <t>- 8 inci grubunda sayılanlardan;</t>
    </r>
  </si>
  <si>
    <r>
      <t>b) 17/4/2006 tarihli ve 2006/10344 sayılı Bakanlar Kurulu Kararı ile yürürlüğe konulan Devlet Memurlarına Ödenecek Zam ve Tazminatlara İlişkin Karara ekli (II) sayılı Özel Hizmet Tazminatı Cetvelinin “(B)</t>
    </r>
    <r>
      <rPr>
        <b/>
        <sz val="9"/>
        <color indexed="8"/>
        <rFont val="Times New Roman"/>
        <family val="1"/>
        <charset val="162"/>
      </rPr>
      <t xml:space="preserve"> </t>
    </r>
    <r>
      <rPr>
        <sz val="9"/>
        <color indexed="8"/>
        <rFont val="Times New Roman"/>
        <family val="1"/>
        <charset val="162"/>
      </rPr>
      <t>Denetim Hizmetleri” bölümünün;</t>
    </r>
  </si>
  <si>
    <r>
      <t>c) 17/4/2006 tarihli ve 2006/10344 sayılı Bakanlar Kurulu Kararı ile yürürlüğe konulan Devlet Memurlarına Ödenecek Zam ve Tazminatlara İlişkin Karara ekli (II) sayılı Özel Hizmet Tazminatı Cetvelinin “(D)</t>
    </r>
    <r>
      <rPr>
        <b/>
        <sz val="9"/>
        <color indexed="8"/>
        <rFont val="Times New Roman"/>
        <family val="1"/>
        <charset val="162"/>
      </rPr>
      <t xml:space="preserve"> </t>
    </r>
    <r>
      <rPr>
        <sz val="9"/>
        <color indexed="8"/>
        <rFont val="Times New Roman"/>
        <family val="1"/>
        <charset val="162"/>
      </rPr>
      <t>Dışişleri Meslek Memurları” bölümünde sayılanlardan;</t>
    </r>
  </si>
  <si>
    <r>
      <t xml:space="preserve">      </t>
    </r>
    <r>
      <rPr>
        <vertAlign val="superscript"/>
        <sz val="9"/>
        <color indexed="8"/>
        <rFont val="Times New Roman"/>
        <family val="1"/>
        <charset val="162"/>
      </rPr>
      <t xml:space="preserve">               </t>
    </r>
    <r>
      <rPr>
        <sz val="9"/>
        <color indexed="8"/>
        <rFont val="Times New Roman"/>
        <family val="1"/>
        <charset val="162"/>
      </rPr>
      <t>- Diğer derecelerden aylık alanlar</t>
    </r>
  </si>
  <si>
    <r>
      <t>ç) 17/4/2006 tarihli ve 2006/10344 sayılı Bakanlar Kurulu Kararı ile yürürlüğe konulan Devlet Memurlarına Ödenecek Zam ve Tazminatlara İlişkin Karara ekli (III) sayılı Diğer Tazminatlar Cetvelinin “F.</t>
    </r>
    <r>
      <rPr>
        <b/>
        <sz val="9"/>
        <color indexed="8"/>
        <rFont val="Times New Roman"/>
        <family val="1"/>
        <charset val="162"/>
      </rPr>
      <t xml:space="preserve"> </t>
    </r>
    <r>
      <rPr>
        <sz val="9"/>
        <color indexed="8"/>
        <rFont val="Times New Roman"/>
        <family val="1"/>
        <charset val="162"/>
      </rPr>
      <t xml:space="preserve">Adalet Hizmetleri Tazminatı” bölümünün;  </t>
    </r>
  </si>
  <si>
    <r>
      <t>d) 17/4/2006 tarihli ve 2006/10344 sayılı Bakanlar Kurulu Kararı ile yürürlüğe konulan Devlet Memurlarına Ödenecek Zam ve Tazminatlara İlişkin Karara ekli (III) sayılı Diğer Tazminatlar Cetvelinin “G”</t>
    </r>
    <r>
      <rPr>
        <b/>
        <sz val="9"/>
        <color indexed="8"/>
        <rFont val="Times New Roman"/>
        <family val="1"/>
        <charset val="162"/>
      </rPr>
      <t xml:space="preserve"> </t>
    </r>
    <r>
      <rPr>
        <sz val="9"/>
        <color indexed="8"/>
        <rFont val="Times New Roman"/>
        <family val="1"/>
        <charset val="162"/>
      </rPr>
      <t>bölümünün (b) sırasında sayılanlar</t>
    </r>
  </si>
  <si>
    <r>
      <t>6-</t>
    </r>
    <r>
      <rPr>
        <sz val="9"/>
        <color indexed="8"/>
        <rFont val="Times New Roman"/>
        <family val="1"/>
        <charset val="162"/>
      </rPr>
      <t xml:space="preserve"> </t>
    </r>
    <r>
      <rPr>
        <b/>
        <sz val="9"/>
        <color indexed="8"/>
        <rFont val="Times New Roman"/>
        <family val="1"/>
        <charset val="162"/>
      </rPr>
      <t>Kadroları Din Hizmetleri Sınıfında yer alan personelden</t>
    </r>
    <r>
      <rPr>
        <sz val="9"/>
        <color indexed="8"/>
        <rFont val="Times New Roman"/>
        <family val="1"/>
        <charset val="162"/>
      </rPr>
      <t xml:space="preserve"> (İl Müftü Yardımcısı ile İlçe Müftüsü dâhil)</t>
    </r>
  </si>
  <si>
    <r>
      <t>             MADDE 1 –</t>
    </r>
    <r>
      <rPr>
        <sz val="11"/>
        <color indexed="8"/>
        <rFont val="Times New Roman"/>
        <family val="1"/>
        <charset val="162"/>
      </rPr>
      <t xml:space="preserve"> (1) Bu Karar, 375 sayılı Kanun Hükmünde Kararnamenin ek 3 üncü maddesi uyarınca yapılacak ek ödemenin tutarı ile usul ve esaslarını düzenlemektedir.</t>
    </r>
  </si>
  <si>
    <r>
      <t xml:space="preserve">             </t>
    </r>
    <r>
      <rPr>
        <b/>
        <sz val="11"/>
        <color indexed="8"/>
        <rFont val="Times New Roman"/>
        <family val="1"/>
        <charset val="162"/>
      </rPr>
      <t>Dayanak</t>
    </r>
  </si>
  <si>
    <r>
      <t>             MADDE 2 –</t>
    </r>
    <r>
      <rPr>
        <sz val="11"/>
        <color indexed="8"/>
        <rFont val="Times New Roman"/>
        <family val="1"/>
        <charset val="162"/>
      </rPr>
      <t xml:space="preserve"> (1) Bu Karar, 375 sayılı Kanun Hükmünde Kararnamenin ek 3 üncü maddesine dayanılarak hazırlanmıştır.</t>
    </r>
  </si>
  <si>
    <r>
      <t xml:space="preserve">             </t>
    </r>
    <r>
      <rPr>
        <b/>
        <sz val="11"/>
        <color indexed="8"/>
        <rFont val="Times New Roman"/>
        <family val="1"/>
        <charset val="162"/>
      </rPr>
      <t>Ek ödeme tutarı</t>
    </r>
  </si>
  <si>
    <r>
      <t>             MADDE 3 –</t>
    </r>
    <r>
      <rPr>
        <sz val="11"/>
        <color indexed="8"/>
        <rFont val="Times New Roman"/>
        <family val="1"/>
        <charset val="162"/>
      </rPr>
      <t xml:space="preserve"> (1) Bu Karar uyarınca personele yapılacak ek ödeme, en yüksek Devlet memuru aylığına (ek gösterge dâhil) ekli "Ek Ödeme Cetveli"nde yer alan oranların uygulanması suretiyle hesaplanır.</t>
    </r>
  </si>
  <si>
    <r>
      <t xml:space="preserve">             </t>
    </r>
    <r>
      <rPr>
        <b/>
        <sz val="11"/>
        <color indexed="8"/>
        <rFont val="Times New Roman"/>
        <family val="1"/>
        <charset val="162"/>
      </rPr>
      <t>Ek ödemenin usul ve esasları</t>
    </r>
  </si>
  <si>
    <r>
      <t>             MADDE 4 –</t>
    </r>
    <r>
      <rPr>
        <sz val="11"/>
        <color indexed="8"/>
        <rFont val="Times New Roman"/>
        <family val="1"/>
        <charset val="162"/>
      </rPr>
      <t xml:space="preserve"> (1) Ek ödeme, 375 sayılı Kanun Hükmünde Kararnamenin ek 3 üncü maddesi ile bu Kararda belirtilen usul ve esaslar çerçevesinde yapılır.</t>
    </r>
  </si>
  <si>
    <r>
      <t xml:space="preserve">             </t>
    </r>
    <r>
      <rPr>
        <b/>
        <sz val="11"/>
        <color indexed="8"/>
        <rFont val="Times New Roman"/>
        <family val="1"/>
        <charset val="162"/>
      </rPr>
      <t>MADDE 5 –</t>
    </r>
    <r>
      <rPr>
        <sz val="11"/>
        <color indexed="8"/>
        <rFont val="Times New Roman"/>
        <family val="1"/>
        <charset val="162"/>
      </rPr>
      <t xml:space="preserve"> (1) 9/6/2006 tarihli ve 2006/10603 sayılı Bakanlar Kurulu Kararı ile yürürlüğe konulan Değişik Adlar Altında İlave Ödemesi Bulunmayan Sözleşmeli Personele Ek Ödeme Yapılmasına Dair Kararın 1 inci maddesinin birinci fıkrası aşağıdaki şekilde değiştirilmiştir.</t>
    </r>
  </si>
  <si>
    <t>HİZMET SINIFLARI İTİBARİYLE UNVAN VEYA AYLIK ALINAN</t>
  </si>
  <si>
    <t>DERECELERE GÖRE EK GÖSTERGELER</t>
  </si>
  <si>
    <t>UNVANI</t>
  </si>
  <si>
    <t>Derece</t>
  </si>
  <si>
    <t>1/1/1994’den İtibaren Uygulanacak Ek Göstergeler</t>
  </si>
  <si>
    <t>1/1/1995’den İtibaren Uygulanacak Ek Göstergeler</t>
  </si>
  <si>
    <t>I - GENEL İDARE HİZMETLERİ SINIFI</t>
  </si>
  <si>
    <t>(4) "Milli.S.Bak.Akaryakıt ik.ve NATO POL Tes.iş.Bşk." ibaresi , 6/7/2000 tarihli ve 613 sayılı KHK ile metne eklenmiş olup, sözkonusu KHK, 5/4/2001 tarih ve 4636 sayılı Kanun ile değiştirilmek suretiyle kanunlaştırılmıştır.</t>
  </si>
  <si>
    <t>(5) Türk İş Bir. Kal.İd.Baş., Başk. Yar. ibareleri; 2/5/2001 tarihli ve 4668 sayılı Kanunla eklenmiştir.</t>
  </si>
  <si>
    <t>(8) (1/c) bendinde yer alan, "Sosyal Güvenlik Kurumu Başkanı" ve (1/d) bendinde yer alan "Sosyal Güvenlik Kurumu Başkan Yardımcısı" ibareleri, 16/7/2003 tarihli ve 4947 sayılı Kanunun 37 nci maddesiyle eklenmiştir.</t>
  </si>
  <si>
    <t>(9) “Sosyal Sigortalar Kurumu Başkanı” ibaresi 29/7/2003 tarihli ve 4958 sayılı Kanunun 20 nci maddesiyle eklenmiştir.</t>
  </si>
  <si>
    <t>(11) Bu arada yer alan “Kamu Ortaklığı İdaresi Başkanı”na yapılan atıfların 24/11/1994 tarihli ve 4046 sayılı Kanunun Geçici 7 nci maddesiyle Özelleştirme İdaresi Başkanına yapılmış sayılacağı, ayrıca aynı Kanunun 6 ncı maddesiyle Özelleştirme İdaresi Başkan ve başkan yardımcılarının aylık, ek gösterge,zam ve tazminatları ile statüleri bakımından Başbakanlığa bağlı müsteşarlıkların müsteşar ve müsteşar yardımcıları hakkında uygulanan hükümlere tabi olacakları hükme bağlanmıştır.</t>
  </si>
  <si>
    <t>(12) Büyükşehir belediye genel sekreteri ile ilgili olarak 10/7/2004 tarihli ve 5216 sayılı Kanunun 22 nci maddesine bakınız.</t>
  </si>
  <si>
    <t>(13) Bu bölümünün (c) bendine,5/5/2005 tarihli ve 5345 sayılı Kanunun 34 üncü maddesiyle, “Devlet Personel Başkanı,” ibaresinden sonra gelmek üzere "Gelir İdaresi Başkanı,", (e) bendine "Başbakan Müşavirleri," ibaresinden sonra gelmek üzere "Gelir İdaresi Başkan Yardımcıları", (f) bendine "Türk İşbirliği ve Kalkınma İdaresi Başkan Yardımcısı" ibaresinden sonra gelmek üzere ",Vergi Dairesi Başkanı (Ankara, İstanbul, İzmir)” ibaresi eklenmiş ve metne işlenmiştir.</t>
  </si>
  <si>
    <t>(16) 22/12/2005 tarihli ve 5436 sayılı Kanunun 13 üncü maddesiyle, bu bende “Genel Müdürler,” ibaresinden sonra gelmek üzere “Strateji Geliştirme Başkanları” ibaresi eklenmiş ve metne işlenmiştir.</t>
  </si>
  <si>
    <t>(17) 16/5/2006 tarihli ve 5502 sayılı Kanunun 42 nci maddesiyle; bu bölümün (c) bendinde yer alan "Sosyal Sigortalar Kurumu Başkanı" ibaresi çıkarılmış, (d) bendine "Sosyal Güvenlik Kurumu Rehberlik ve Teftiş Başkanı" ibaresi eklenmiş ve metne işlenmiştir.</t>
  </si>
  <si>
    <t>(18) 1/7/2006 tarihli ve 5538 sayılı Kanunun 5 inci maddesiyle (d) bendine "Sosyal Güvenlik Kurumu Başkan Yardımcısı" ibaresinden önce gelmek üzere "Gelir İdaresi Başkan Yardımcısı," ibaresi eklenmiş, (e) bendinde yer alan "Gelir İdaresi Başkan Yardımcıları," ibaresi cetvelden çıkartılmıştır.</t>
  </si>
  <si>
    <t>(20) 29/5/2009 tarihli ve 5902 sayılı Kanunun 25 inci maddesiyle (c) bendine “Devlet Personel Başkanı,” ibaresinden sonra gelmek üzere “Afet ve Acil Durum Yönetimi Başkanı,” ibaresi eklenmiş ve metne işlenmiştir.</t>
  </si>
  <si>
    <t xml:space="preserve">(22) 25/6/2009 tarihli ve 5917 sayılı Kanunun 47 nci maddesiyle (e) bendine “Başbakan Müşavirleri” ibaresinden sonra gelmek üzere “, Adalet Bakanlığı Bakanlık Yüksek Müşavirleri” ibaresi eklenmiş ve metne işlenmiştir. </t>
  </si>
  <si>
    <t>(24) 24/3/2010 tarihli ve 5978 sayılı Kanunun 30 uncu maddesiyle, bu bölümün (c) bendine “Türkiye İstatistik Kurumu Başkanı” ibaresinden sonra gelmek üzere “,Yurtdışı Türkler ve Akraba Topluluklar Başkanı” ibaresi, (d) bendine “Avrupa Birliği Genel Sekreter Yardımcıları,” ibaresinden sonra gelmek üzere “Yurtdışı Türkler ve Akraba Topluluklar Başkanlığı Başkan Yardımcısı,” ibaresi eklenmiş ve metne işlenmiştir.</t>
  </si>
  <si>
    <t>(27) 28/12/2010 tarihli ve 6093 sayılı Kanunun 14 üncü maddesiyle, bu bölümün (d) bendine“Türk Patent Enstitüsü Başkanı,” ibaresinden sonra gelmek üzere “Türkiye Yazma Eserler Başkanı,” ibaresi eklenmiş ve metne işlenmiştir.</t>
  </si>
  <si>
    <t>(7)  "Sosyal Güvenlik Uzmanları, Çalışma Uzmanları, Yurt Dışı İşçi Hizmetleri Uzmanları, İş Sağlığı ve Güvenliği Uzmanları, Çalışma ve Sosyal Güvenlik Eğitim Uzmanları" ibareleri, 16/7/2003 tarihli ve 4947 sayılı Kanunun 37 nci maddesiyle eklenmiştir.</t>
  </si>
  <si>
    <t>(8)   "Bağ-Kur Denetmenleriı" ibaresi, 24/7/2003 tarihli ve 4956 sayılı Kanunun 46 ncı maddesiyle eklenmiş ve metne işlenmiş, 27/6/2000 tarihli ve 4587 sayılı Kanunun Geçici 2 nci maddesi uyarınca; "A.T." ibaresi, "A.B." olarak değiştirilmiştir.</t>
  </si>
  <si>
    <t>(9)   "Emniyet Genel Müdürlüğü Dernek Denetçisi” ibaresi, 31/7/2003 tarihli ve 4970 sayılı Kanunun 7 nci maddesiyle “İçişleri Bakanlığı Dernekler Denetçileri” olarak değiştirilmiş ve metne işlenmiştir.</t>
  </si>
  <si>
    <t>(10) “Sosyal Sigortalar Kurumu” ibaresinden sonra gelen “Başkanlık Müfettişleri” ile “Sosyal Sigorta Uzmanları” ibareleri 29/7/2003 tarihli ve 4958 sayılı Kanunun 20 nci maddesiyle eklenmiştir.</t>
  </si>
  <si>
    <t>(15) Bu bende, 10/11/2005 tarihli ve 5429 sayılı Kanunun 57 nci maddesiyle "Türkiye İstatistik Kurumu Uzmanları" ibaresi eklenmiş ve metne işlenmiştir.</t>
  </si>
  <si>
    <t>(16) 22/12/2005 tarihli ve 5436 sayılı Kanunun 13 üncü maddesiyle, (g) bendinin sonuna "ile 5018 sayılı Kamu Malî Yönetimi ve Kontrol Kanunu hükümlerine göre atanan İç Denetçiler," ibaresi; (h) bendine "Gelir Uzmanları" ibaresinden sonra gelmek üzere "Malî Hizmetler Uzmanları," ibaresi eklenmiş ve metne işlenmiştir.</t>
  </si>
  <si>
    <t>(17) 16/5/2006 tarihli ve 5502 sayılı Kanunun 42 nci maddesiyle; (g) bendinde yer alan "Sosyal Sigortalar Kurumu Başkanlık Müfettişleri, Sigorta Müfettişleri," ibaresi "Sosyal Güvenlik Kurumu Müfettişleri, Sosyal Güvenlik Uzmanları," şeklinde değiştirilmiş, (h) bendinde yer alan "Bağ-Kur Denetmenleri,", "Sosyal Sigorta Uzmanları" ve "Sosyal Güvenlik Uzmanları" ibareleri metinden çıkarılmıştır.</t>
  </si>
  <si>
    <t>(18) Bu  bende, 20/2/2008 tarihli ve 5737 sayılı Kanunun 79 uncu maddesiyle "Kültür ve Turizm Uzmanları" ibaresinden sonra gelmek üzere "Vakıf Uzmanları" ibaresi eklenmiş ve metne işlenmiştir.</t>
  </si>
  <si>
    <t>(19) Bu bende, 5/11/2008 tarihli ve 5809 sayılı Kanunun 67 nci maddesiyle “Kültür ve Turizm Uzmanları” ibaresinden sonra gelmek üzere “Ulaştırma ve Haberleşme Uzmanları” ibaresi eklenmiş ve metne işlenmiştir.</t>
  </si>
  <si>
    <t>(20) 7/1/2009 tarihli ve 5830 sayılı Kanunun 3 üncü maddesiyle,“Tüketici ve Rekabet Uzmanları” ibaresi, “Sanayi ve Ticaret Uzmanları” olarak değiştirilmiş ve metne işlenmiştir.</t>
  </si>
  <si>
    <t xml:space="preserve">(21) 29/5/2009 tarihli ve 5902 sayılı Kanunun 25 inci maddesiyle (h) bendine “Devlet Personel Uzmanları,” ibaresinden sonra gelmek üzere “Afet ve Acil Durum Yönetimi Uzmanları,”ibaresi eklenmiş ve metne işlenmiştir. </t>
  </si>
  <si>
    <t>(22) 24/6/2009 tarihli ve 5916 sayılı Kanunun 17 nci maddesiyle (g) bendine “Dış Ticaret Uzmanları ve Dış Ticaret Kontrolörleri,” ibaresinden sonra gelmek üzere “Avrupa Birliği İşleri Uzmanları,” ibaresi eklenmiş ve metne işlenmiştir.</t>
  </si>
  <si>
    <t>(23) 24/3/2010 tarihli ve 5978 sayılı Kanunun 30 uncu madesiyle, bu bende “Gümrük Uzmanları,” ibaresinden sonra gelmek üzere “Yurtdışı Türkler ve Akraba Topluluklar Uzmanları,” ibaresi eklenmiş ve metne işlenmiştir.</t>
  </si>
  <si>
    <t>(24) 4/6/2010 tarihli ve 5984 sayılı Kanunun 4 üncü maddesiyle bu bende “Türkiye İstatistik Kurumu Uzmanları ile 5018 sayılı Kamu Mali Yönetimi ve Kontrol Kanunu hükümlerine göre atanan İç Denetçiler” ibaresinden sonra gelmek üzere “Eğitim Müfettişleri” ibaresi eklenmiş ve metne işlenmiştir.</t>
  </si>
  <si>
    <t>1. Yükseköğretim görenler,</t>
  </si>
  <si>
    <t>2.Diğerleri,</t>
  </si>
  <si>
    <t>II- TEKNİK HİZMETLER SINIFI</t>
  </si>
  <si>
    <t>d)      Kadroları bu sınıfa dahil olup da yukarıda sayılanlar dışında kalanlar,</t>
  </si>
  <si>
    <t>1. Yüksek öğrenim görenler</t>
  </si>
  <si>
    <t> 800</t>
  </si>
  <si>
    <t>2. Diğerleri</t>
  </si>
  <si>
    <t>Kadroları bu sınıfa dahil olanlardan;</t>
  </si>
  <si>
    <t>(1) 10/7/2003 tarihli ve 4924 sayılı Kanunun 12 nci maddesinde “yeniden düzenleme” ibaresi yer aldığı için metne bu şekilde işlenmiştir.</t>
  </si>
  <si>
    <t>Kadroları bu sınıfa dahil olanlardan</t>
  </si>
  <si>
    <t>  900</t>
  </si>
  <si>
    <t>  800</t>
  </si>
  <si>
    <t>  500</t>
  </si>
  <si>
    <t>  450</t>
  </si>
  <si>
    <t>Kadroları bu sınıfa dahil olanlardan,</t>
  </si>
  <si>
    <t>a) En az dört yıllık dini yüksek öğrenim mezunları</t>
  </si>
  <si>
    <t>b) Yukarıda belirtilenler dışındaki yüksek öğrenim mezunları</t>
  </si>
  <si>
    <t> 2200</t>
  </si>
  <si>
    <t> 1600</t>
  </si>
  <si>
    <t> 1100</t>
  </si>
  <si>
    <t>   800</t>
  </si>
  <si>
    <t>c) Diğerleri</t>
  </si>
  <si>
    <t>VII. EMNİYET HİZMETLERİ SINIFI</t>
  </si>
  <si>
    <t>a) Emniyet Genel  Müdürü,</t>
  </si>
  <si>
    <t xml:space="preserve">b) Teftiş Kurulu Başkanı, Polis Akademisi Başkanı ve Emniyet Genel Müdür Yardımcıları ile Ankara, İstanbul, İzmir Emniyet Müdürleri,          </t>
  </si>
  <si>
    <t>(1)  1 inci ve 3 üncü   derecelerin ek göstergeleri, Ana.Mah.nin 11/9/2003 tarihli ve E.:2003/77, K.:2003/81 sayılı ve  27/1/2004 tarihli ve E.:2004/6, K.:2004/5 sayılı Kararı ile  iptal edilmiş, daha sonra 17/9/2004 tarihli ve 5234 sayılı Kanunun 1 inci maddesiyle Avukatlık Hizmetleri Sınıfının  ek göstergeleri yeniden düzenlenmiştir.</t>
  </si>
  <si>
    <t>e) Kadroları bu sınıfa dahil olup da, yukarıda sayılanlar dışında kalanlardan</t>
  </si>
  <si>
    <t xml:space="preserve">aa) Yüksek Öğrenimliler                        </t>
  </si>
  <si>
    <t xml:space="preserve">bb) Diğerleri           </t>
  </si>
  <si>
    <t>(1)  31/7/2003 tarihli ve 4970 sayılı Kanunun 7 nci maddesiyle, “İl Emniyet Müdürleri” ibaresi, “Diğer Birinci Sınıf Emniyet Müdürleri” olarak değiştirilmiş ve metne işlenmiştir.</t>
  </si>
  <si>
    <t>VIII. MÜLKİ İDARE AMİRLİĞİ HİZMETLERİ SINIFI</t>
  </si>
  <si>
    <t xml:space="preserve">b) Vali,    </t>
  </si>
  <si>
    <t>(1) 17/2/2010 tarihli ve 5952 sayılı Kanunun 18 inci maddesiyle, bu bentte yer alan "Müsteşar," ibaresinden sonra gelmek üzere "Kamu Düzeni ve Güvenliği Müsteşarı," ibaresi eklenmiş ve metne işlenmiştir.</t>
  </si>
  <si>
    <t>(2) 1/7/2006 tarihli ve 5540 sayılı Kanunun 6 ncı maddesiyle “(c)” bendi eklenmiş ve mevcut “(c)” bendi, “(d)” bendi olarak teselsül ettirilmiştir.</t>
  </si>
  <si>
    <t>1. BAŞBAKANLIK VE BAKANLIKLARDA</t>
  </si>
  <si>
    <t>2. YARGI KURULUŞLARI, BAĞLI VE İLGİLİ KURULUŞLAR İLE YÜKSEK ÖĞRETİM KURULUŞLARINDA</t>
  </si>
  <si>
    <t>3. MAHALLİ İDARELER İLE BAĞLI VE İLGİLİ KURULUŞLARDA</t>
  </si>
  <si>
    <t>(1) Burada yeralan, "Milli Kütüphane Başkanı" ibaresi, 16/4/2003 tarihli ve 4848 sayılı Kanunun 33 üncü maddesiyle çıkarılmış ve söz konusu Kanun ile aynı yere "Milli Kütüphane Başkan Yardımcısı ibaresi eklenmiş ve metne işlenmiştir.</t>
  </si>
  <si>
    <t>(3) Bu bölümde 19/6/1994 tarih ve 544 sayılı, 25/3/1997 tarih ve 571 sayılı KHK’ler ve 9/12/1994 tarih ve 4059 sayılı 13/11/1996 tarih ve 4208 sayılı Kanunlar 6/7/2000 tarihli ve 613 sayılı ve KHK’ler ile değiştirilen ya da eklenen unvanlar metne işlenmiştir. 613 sayılı KHK, 5/4/2001 tarihli ve 4636, 544 sayılı KHK ile eklenen "Türk Patent Enstitüsü Başkan Yardımcısı" ibaresi, 6/11/2003 tarihli ve 5000 sayılı Kanun ile Kanunlaşmıştır. 24/8/2000 tarihli ve 618 sayılı KHK ile eklenen "Yakın ve Orta Doğu Çalışma Eğitim Merkezi Başkanı" ibaresi sözkonusu KHK'nin Anayasa Mahkemesince iptali nedeniyle metinden çıkarılmıştır.</t>
  </si>
  <si>
    <t>(5) 24/8/2000 tarihli ve 616 sayılı KHK ile eklenen Sosyal Sigortalar Kurumu Başkanlığı Finansman ve Aktüerya Daire Başkanı, Sosyal Sigortalar Kurumu Başkanlığı Araştırma, Planlama ve Koordinasyon Daire Başkanı unvanları sözkonusu KHK'nin Anayasa Mahkemesince iptal olması nedeniyle metinden çıkarılmıştır.</t>
  </si>
  <si>
    <t>(6) "Sosyal Güvenlik Kurumu Daire Başkanları (Ana ve Yardımcı Hizmet Birimi)" ve "Çalışma ve Sosyal Güvenlik Eğitim ve Araştırma Merkezi Başkanı" ibareleri, 16/7/2003 tarihli ve 4947 sayılı Kanunun 37 nci maddesiyle eklenmiştir.</t>
  </si>
  <si>
    <t>(7) “Sosyal Sigortalar Kurumu Başkanlığına Bağlı Daire Başkanları” ibaresi 29/7/2003 tarihli ve 4958 sayılı Kanunun 20 nci maddesiyle eklenmiştir.</t>
  </si>
  <si>
    <t>(9) Büyükşehir Genel Sekreter Yardımcısı ile ilgili olarak 10/7/2004 tarihli ve 5216 sayılı Kanunun 22 nci maddesine bakınız.</t>
  </si>
  <si>
    <t>(10) Bu bölüme 5/5/2005 tarihli ve 5345 sayılı Kanunun 34 üncü maddesiyle, "Genel Müdür Yardımcısı" ibaresinden önce gelmek üzere "Gelir İdaresi Daire Başkanı, Vergi Dairesi Başkanı," ibaresi eklenmiş ve metne işlenmiştir.</t>
  </si>
  <si>
    <t>(13) 21/3/2006 tarihli ve 5473 sayılı Kanunun 3 üncü maddesiyle; bu bölümde yer alan "Bakanlık İl Müdürü (Ankara, İstanbul, İzmir), Defterdar, Bayındırlık ve İskân Müdürü (Ankara, İstanbul, İzmir)" ibaresi "İl İdare Kurulu üyesi Bakanlık İl Müdürleri ile Ankara, İstanbul ve İzmir illerindeki diğer Bakanlık İl Müdürleri" şeklinde değiştirilmiş ve metne işlenmiştir.</t>
  </si>
  <si>
    <t>(16) 31/7/2008 tarihli ve 5797 sayılı Kanunun 11 inci maddesiyle bu bölümde yer alan "Sosyal Güvenlik Kurumu Destek Hizmetleri Daire Başkanı" ibaresinden sonra gelmek üzere "Sosyal Güvenlik Kurumu İnşaat ve Emlak Daire Başkanı" ibaresi eklenmiş ve metne işlenmiştir.</t>
  </si>
  <si>
    <t>(20) 24/3/2010 tarihli ve 5978 sayılı Kanunun 30 uncu maddesiyle, bu bölüme “Türkiye İstatistik Kurumu Daire Başkanı,” ibaresinden sonra gelmek üzere “Yurtdışı Türkler ve Akraba Topluluklar Başkanlığı Daire Başkanı” ibaresi eklenmiş ve metne işlenmiştir.</t>
  </si>
  <si>
    <t>(22) 25/11/2010 tarihli ve 6083 sayılı Kanunun 10 uncu maddesiyle, bu bölüme “Türkiye İstatistik Kurumu Bölge Müdürü,” ibaresinden sonra gelmek üzere “Tapu ve Kadastro Bölge Müdürü,” ibaresi eklenmiş ve metne işlenmiştir.</t>
  </si>
  <si>
    <t>(23) 3/12/2010 tarihli ve 6085 sayılı Kanunun 81 inci maddesiyle, bu bölüme “Sosyal Güvenlik Kurumu Daire Başkanları (Ana ve Yardımcı Hizmet Birimi)” ibaresinden sonra gelmek üzere ", Sayıştay Başkanlığı Birim Başkanı, Sayıştay Başkanlığı Strateji Geliştirme Birim Başkanı" ibareleri eklenmiş ve metne işlenmiştir.</t>
  </si>
  <si>
    <t>4. BAŞBAKANLIK VE BAKANLIKLARDA</t>
  </si>
  <si>
    <t>5-YARGI KURULUŞLARI BAĞLI VE İLGİLİ KURULUŞLAR İLE YÜKSEKÖĞRETİM KURULUŞLARINDA</t>
  </si>
  <si>
    <t>(10) 24/3/2010 tarihli ve 5978 sayılı Kanunun 30 uncu maddesiyle, bu bölüme “Başhukuk Müşaviri” ibaresinden sonra gelmek üzere “Yurtdışı Türkler ve Akraba Topluluklar Başkanlığı Başkanlık Müşavirleri ile Basın Müşaviri” ibaresi eklenmiş ve metne işlenmiştir.</t>
  </si>
  <si>
    <t xml:space="preserve">Çiftlik Müdürü, </t>
  </si>
  <si>
    <t xml:space="preserve">Kuruluş Müdürü, </t>
  </si>
  <si>
    <t xml:space="preserve">Banka Şubesi Müdürü, </t>
  </si>
  <si>
    <t xml:space="preserve">T.C. Ziraat Bankası, </t>
  </si>
  <si>
    <t>T.Emlak Bankası ve T. Halk Bankası Genel Müdürlüklerinde 1 inci derece kadrolu müdürlerden;</t>
  </si>
  <si>
    <t>-Ticari Krediler Müdürü,</t>
  </si>
  <si>
    <t>-Sanayi Kredileri Müdürü,</t>
  </si>
  <si>
    <t>-Teşvik ve Geliştirme Kredileri Müdürü,</t>
  </si>
  <si>
    <t>-Zirai Krediler Müdürü,</t>
  </si>
  <si>
    <t>-Zirai Kalkınma Kredileri Müdürü,</t>
  </si>
  <si>
    <t>-Su Ürünleri Kredileri Müdürü,</t>
  </si>
  <si>
    <t>-Kooperatif Kredileri Müdürü,</t>
  </si>
  <si>
    <t>-Kooperatifler Müdürü,</t>
  </si>
  <si>
    <t>-İpotekli Krediler Müdürü,</t>
  </si>
  <si>
    <t>-Fon Kredileri Müdürü,</t>
  </si>
  <si>
    <t>-Para ve Tahvil Müdürü,</t>
  </si>
  <si>
    <t>-Tahvilat Müdürü,</t>
  </si>
  <si>
    <t>-Tevdiat ve Banka Hizmetleri Müdürü,</t>
  </si>
  <si>
    <t>-Para ve Menkul Kıymetler Müdürü,</t>
  </si>
  <si>
    <t>-Banka Hizmetleri Müdürü,</t>
  </si>
  <si>
    <t>-Dış Muameleler Müdürü,</t>
  </si>
  <si>
    <t>-Dış İlişkiler Müdürü,</t>
  </si>
  <si>
    <t>-İstihbarat Müdürü,</t>
  </si>
  <si>
    <t>-Proje Müdürü,</t>
  </si>
  <si>
    <t>-Genel Muhasebe Müdürü,</t>
  </si>
  <si>
    <t>-Muhasebe Müdürü,</t>
  </si>
  <si>
    <t>-Personel Müdürü,</t>
  </si>
  <si>
    <t>-Malzeme ve Satınalma Müdürü,</t>
  </si>
  <si>
    <t>-İnşaat Müdürü,</t>
  </si>
  <si>
    <t>-Emlak Müdürü,</t>
  </si>
  <si>
    <t>-İnşaat ve Proje Müdürü,</t>
  </si>
  <si>
    <t>-Emlak İşleri Müdürü,</t>
  </si>
  <si>
    <t>-Otomasyon Müdürü,</t>
  </si>
  <si>
    <t xml:space="preserve">-Bilgi İşlem Merkezi Müdürü,Özel tarımsal Krediler Müdürü, Proje Değerlendirme Müdürü,Sistem Servisleri Müdürü, Bankacılık Hizmetleri Müdürü, Fon Yönetimi Müdürü, Eğitim Müdürü, Haberleşme ve Arşiv Müdürü, Planlama, Bütçe ve Kontrol Müdürü, Sosyal Hizmetler Müdürü, Sağlık Hizmetleri Müdürü, İştirakler Müdürü, Halkla İlişkiler Müdürü, Kurumsal Bankacılık Müdürü, Sermaye Piyasaları Müdürü, G.A.P. Kredileri Müdürü, Krediler Kanuni Takip Müdürü, Bireysel Bankacılık Müdürü, Bankacılık Kartları Müdürü, Elektronik Fon Transferi Müdürü, Matbaa Müdürü, Araştırma ve Geliştirme Müdürü, </t>
  </si>
  <si>
    <t>6- MAHALLİ İDARELER İLE BAĞLI VE İLGİLİ KURULUŞLARDA</t>
  </si>
  <si>
    <t>Daire Başkanı,</t>
  </si>
  <si>
    <t>Belediye Başkan Yardımcısı,</t>
  </si>
  <si>
    <t>Boğaziçi İmar Müdürü,</t>
  </si>
  <si>
    <t>(1)“Bilgi İşlem Merkezi Müdürü” ibaresinden sonra yer alan unvanlar; 7/9/1999 tarih ve 99/13385 sayılı Bakanlar Kurulu Kararı ile, 12/10/1999 tarihinden geçerli olarak eklenmiş olup, metne işlenmiştir.</t>
  </si>
  <si>
    <t>(2) 16/5/2006 tarihli ve 5502 sayılı Kanunun 42 nci maddesiyle;bu bölüme “Sosyal Güvenlik İl Müdürü” ibaresi eklenmiş ve metne işlenmiştir.</t>
  </si>
  <si>
    <t>(3)7/9/1999 tarih ve 99/13385 sayılı Bakanlar kurulu Kararı ile “Büyükşehir Belediyesi I.Hukuk Müşaviri” ibaresi, 12/10/1999 tarihinden geçerli olarak “Büyükşehir Belediyesi ile Bağlı Kuruluşlarındaki I. Hukuk Müşaviri” şeklinde değiştirilmiştir.</t>
  </si>
  <si>
    <t>(5) 28/12/2010 tarihli ve 6093 sayılı Kanunun 14 üncü maddesiyle, bu bölüme “Sosyal Güvenlik İl Müdürü” ibaresinden sonra gelmek üzere “, Yazma Eser Kütüphanesi Müdürü” ibaresi eklenmiş ve metne işlenmiştir.</t>
  </si>
  <si>
    <t>(6) 30/3/2011 tarihli ve 6216 sayılı Kanunun 75 inci maddesiyle, bu bölüme “Anayasa Mahkemesi Başkanlığı Müdürleri” ibaresi eklenmiş ve metne işlenmiştir.</t>
  </si>
  <si>
    <t>III SAYILI CETVEL</t>
  </si>
  <si>
    <t>SAYIŞTAY BAŞKANI, DAİRE BAŞKAN VE ÜYELERİ İLE SAYIŞTAY MESLEK</t>
  </si>
  <si>
    <t>MENSUPLARI VE SAYIŞTAY SAVCI VE SAVCI YARDIMCILARININ</t>
  </si>
  <si>
    <t>EK GÖSTERGELERİ</t>
  </si>
  <si>
    <t>(Ek: 9/4/1990 - KHK - 418/3 md.; İptal: Ana. Mah.'nin 5/2/1992 tarih ve E. 1990/22, K. 1992/6 sayılı Kararı ile;)</t>
  </si>
  <si>
    <t>(1)    Bu ibare 27/6/2000 tarihli ve 4587 sayılı Kanun ile cetvele eklenmiş olup, metne işlenmiştir.</t>
  </si>
  <si>
    <t>(2)    Bu ibareler, 6/7/2000 tarihli ve 613 sayılı KHK ile cetvele eklenmiş olup, metne işlenmiştir. 613 sayılı KHK, 5/4/2001 tarih ve 4636 sayılı Kanun ile değiştirilerek kanunlaşmıştır.</t>
  </si>
  <si>
    <t>(3)    Bu sıraya,  27/6/2000 tarihli ve 4587 sayılı Kanunla “Avrupa Birliği Genel Sekreterliği Daire Başkanları,” ibaresi eklenmiş ve daha sonra 24/6/2009 tarihli ve 5916 sayılı Kanunun 18 inci maddesiyle aynı ibare yürürlükten kaldırılmıştır.</t>
  </si>
  <si>
    <t>(7) 3/12/2010 tarihli ve 6085 sayılı Kanunun 81 inci maddesiyle, bu bentte yer alan "Sosyal Güvenlik Kurumu Daire Başkanları," ibaresinden sonra gelmek üzere "Sayıştay Başkanlığı Birim Başkanı, Sayıştay Başkanlığı Strateji Geliştirme Birim Başkanı," ibareleri eklenmiş ve metne işlenmiştir.</t>
  </si>
  <si>
    <t>                  1. Kaymakamlar ile Kaymakamlık ünvanını kazandıktan sonra İçişleri Bakanlığının merkez ve taşra teşkilatında görev yapanlar,</t>
  </si>
  <si>
    <t>(1) Burada yer alan “Milli Kütüphane Başkan Yardımcısı” ibaresi, 16/4/2003 tarihli ve 4848 sayılı Kanunun 33 üncü maddesiyle eklenmiştir.</t>
  </si>
  <si>
    <t>(3)“İçişleri Bakanlığı Dernekler Denetçileri” ibaresi, 31/7/2003 tarihli ve 4970 sayılı Kanunun 7 nci maddesiyle eklenmiş ve metne işlenmiştir.</t>
  </si>
  <si>
    <t>(9) 1/7/2006 tarihli ve 5538 sayılı Kanunun 5 inci maddesiyle, (a) bendinde yer alan "5, 6, 7 ve 8 inci sıralarda" ibaresi "5, 6 ve 7 nci sıralar ile 8 inci sıranın (a), (b) ve (c) bentlerinde" şeklinde, (b) bendinde yer alan "9 uncu sırada" ibaresi ise "8 inci sıranın (d) bendi ile 9 uncu sırada" olarak değiştirilmiş ve metne işlenmiştir.</t>
  </si>
  <si>
    <t>(11) 24/6/2009 tarihli ve 5916 sayılı Kanunun 17 nci maddesiyle (b) bendinde yer alan “Hazine Uzmanları,” ibaresinden sonra gelmek üzere “Avrupa Birliği İşleri Uzmanları,” ibaresi eklenmiş ve metne işlenmiştir.</t>
  </si>
  <si>
    <t>5 Mayıs 2006 CUMA - Sayı : 26159</t>
  </si>
  <si>
    <t>Karar Sayısı : 2006/10344</t>
  </si>
  <si>
    <t>Ekli “Devlet Memurlarına Ödenecek Zam ve Tazminatlara İlişkin Karar”ın yürürlüğe konulması; Devlet Personel Başkanlığının görüşüne dayanan Maliye Bakanlığının 10/4/2006 tarihli ve 5760 sayılı yazısı üzerine, 657 sayılı Devlet Memurları Kanununun 152 nci maddesine göre, Bakanlar Kurulu’nca 17/4/2006 tarihinde kararlaştırılmıştır.</t>
  </si>
  <si>
    <t>DEVLET MEMURLARINA ÖDENECEK ZAM VE TAZMİNATLARA İLİŞKİN KARAR</t>
  </si>
  <si>
    <t>Kapsam ve dayanak</t>
  </si>
  <si>
    <t>MADDE 1 - (1) 657 sayılı Devlet Memurları Kanunu ile aynı Kanunun ek geçici 9 uncu maddesi kapsamına giren kurumlardan aylık alanlara, bu Kanunun 152 nci maddesine göre 2006 yılında;</t>
  </si>
  <si>
    <t>Esas alınacak sınıf, kariyer, kadro ve görev unvanları</t>
  </si>
  <si>
    <t>Bazı özel durumlara ilişkin esaslar</t>
  </si>
  <si>
    <t>MADDE 4 - (1) Bu Karara ekli I, II ve III sayılı cetvellerde yer alan zam ve tazminatların ödenmesinde aşağıdaki esaslara uyulur:</t>
  </si>
  <si>
    <t>Cetvellerin kontrol, onay ve dağıtım usulü</t>
  </si>
  <si>
    <t>MADDE 5 - (1) Bu Karara ekli I, II ve III sayılı cetvellerde yer alan zam ve tazminatlar, aşağıda belirtilen usule göre hazırlanarak, belirtilen merciler tarafından kontrol edilen cetvellere ve dağılım listelerine göre ödenir.</t>
  </si>
  <si>
    <t>Görevin fiilen yapılması</t>
  </si>
  <si>
    <t>MADDE 6 - (1) Zam ve tazminatların ödenebilmesi için, I, II ve III sayılı cetvellerde gösterilen personelin, kadro unvanı ile kariyer ve yürüttüğü görevin gerektirdiği hizmetleri kanunların öngördüğü durumlar saklı kalmak üzere fiilen yapması zorunludur.</t>
  </si>
  <si>
    <t>Bölgelere göre verilecek ek özel hizmet tazminatı</t>
  </si>
  <si>
    <t>MADDE 7 - (1) Teknik ve sağlık hizmetleri sınıflarına dahil kadrolarda bulunan ve ekli IV sayılı Cetvelde gösterilen yerleşim birimlerine sürekli görevle atananlara, bu yerlerde fiilen çalıştıkları sürece, ekli II sayılı Cetvelin (E) ve (F) bölümlerinde bölgeler itibarıyla belirlenen özel hizmet tazminatı oranları ek olarak ödenir ve bu ek tazminatın ödenmesinde aşağıdaki esaslar uygulanır.</t>
  </si>
  <si>
    <t>dahil değildir.</t>
  </si>
  <si>
    <t>Hastalık izni</t>
  </si>
  <si>
    <t>MADDE 8 - (1) Sağlık kurulu raporu üzerine verilen hastalık izinleri ile kanser, verem, akıl hastalığı, şeker hastalığı ve açık kalp ameliyatı gibi uzun süreli bir tedaviye ihtiyaç gösteren hastalığa yakalananların kullandığı hastalık izinleri ve hastalıkları sebebiyle resmi yataklı tedavi kurumlarında yatarak gördükleri tedavi süreleri hariç olmak üzere, bir takvim yılı içinde kullanılan hastalık izin süreleri toplamının 7 günü aşması halinde, aşan günlere isabet eden zam ve tazminatlar %25 eksik ödenir.</t>
  </si>
  <si>
    <t>Vekalet</t>
  </si>
  <si>
    <t>MADDE 9 - (1) 657 sayılı Kanunun 86 ncı maddesi uyarınca;</t>
  </si>
  <si>
    <t>MADDE 10 - (1) Kanun ve kanun hükmünde kararnamelerle bir derece verilenler ile kazanılmış hak aylık dereceleri 657 sayılı Kanun hükümleri uyarınca kadro derecelerinin üzerine yükseltilenlerin zam ve tazminatları; bulundukları kurumda, yükselinen derecede kendi kadro unvanlarıyla aynı adı taşıyan kadroların dereceleri için öngörülen puan ve oranlar esas alınarak ödenir. Aylıklarının yükseltildiği derecede, 190 ve 399 sayılı Kanun Hükmünde Kararnamelere ekli kurumlarına ait cetvellerde kendi kadro unvanlarıyla aynı adı taşıyan kadro unvanı bulunmayanlara, bulundukları kadro derecelerinin karşılığı olan zam ve tazminatların ödenmesine devam olunur.</t>
  </si>
  <si>
    <t>MADDE 11 – (1) Bu Karara ekli I sayılı Cetvelde ve bu Kararın 4 üncü maddesinin birinci fıkranın (b) bendinde yer alan zamlar ile II ve III sayılı Cetvellerde yer alan tazminatlar;</t>
  </si>
  <si>
    <t>MADDE 12 – (1) Yeniden teşkilatlanma ve kadro düzenlemeleri sonucunda Şahsa Bağlı Kadro Cetvellerinde unvanları gösterilenlere, bu Kararda kadroları için öngörülen zam ve tazminatlar ödenir.</t>
  </si>
  <si>
    <t>MADDE 13 - (1) Zam ve tazminatların ödenmesine esas olmak üzere;</t>
  </si>
  <si>
    <t xml:space="preserve">MADDE 14 - (1) Bu zam ve tazminatlar; vekalet ve ikinci görev halleri, teknik personele büyük proje ve açık mahallerde çalışmanın karşılığı yapılan ödemeler ile kıst olarak yapılması gereken ödemeler hariç, aybaşında aylıkla birlikte peşin ödenir. </t>
  </si>
  <si>
    <t>2005/8501 sayılı Bakanlar Kurulu Kararının kısmen uygulanması</t>
  </si>
  <si>
    <t>MADDE 15- (1) 2005 yılında ne miktarda zam ve tazminat verileceğine ilişkin olarak 14/2/2005 tarihli ve 2005/8501 sayılı Bakanlar Kurulu Kararı ile yürürlüğe konulan Karar’ın eki II sayılı Cetvelin (E) ve (F) Bölümleri ile III sayılı Cetvelin (B) ve (C) Bölümlerinin uygulanmasına 15/4/2006 tarihine kadar devam edilir.</t>
  </si>
  <si>
    <t>MADDE 16 - (1) Bu Karar ve eki cetvellerin;</t>
  </si>
  <si>
    <t>MADDE 17 - (1) Bu Kararı Bakanlar Kurulu yürütür.</t>
  </si>
  <si>
    <t>I SAYILI CETVEL</t>
  </si>
  <si>
    <t>İş Güçlüğü, İş Riski, Temininde Güçlük ve Mali Sorumluluk Zammı</t>
  </si>
  <si>
    <t>(A)</t>
  </si>
  <si>
    <t>GENEL İDARE HİZMETLERİ BÖLÜMÜ</t>
  </si>
  <si>
    <t>İş</t>
  </si>
  <si>
    <t>Tem.</t>
  </si>
  <si>
    <t>Mali</t>
  </si>
  <si>
    <t>Güçlüğü</t>
  </si>
  <si>
    <t>Riski</t>
  </si>
  <si>
    <t>Güçlük</t>
  </si>
  <si>
    <t>Sorum.</t>
  </si>
  <si>
    <t>S. No</t>
  </si>
  <si>
    <t xml:space="preserve">            KADRO (GÖREV)  UNVANI</t>
  </si>
  <si>
    <t>Zammı</t>
  </si>
  <si>
    <t>Müsteşar:</t>
  </si>
  <si>
    <t>a) Başbakanlık Müsteşarı......................................</t>
  </si>
  <si>
    <t>:</t>
  </si>
  <si>
    <t>-</t>
  </si>
  <si>
    <t>b) Diğerleri............................................................</t>
  </si>
  <si>
    <t>Avrupa Birliği Genel Sekreteri……………………....</t>
  </si>
  <si>
    <t>a) Başbakanlık.......................................................</t>
  </si>
  <si>
    <t>a) Başbakan Müşaviri............................................</t>
  </si>
  <si>
    <t>b) Başbakanlık, Bakanlık, Müsteşarlık Müşaviri..</t>
  </si>
  <si>
    <t>a) Bakanlık  ve Müsteşarlık...................................</t>
  </si>
  <si>
    <t>Genel Müdür, Strateji Geliştirme Başkanı,</t>
  </si>
  <si>
    <t>Avrupa Birliği Genel Sekreter Yard…………………</t>
  </si>
  <si>
    <t xml:space="preserve">Genel Müdür Yardımcısı, Yüksek Fen Kurulu Üyesi </t>
  </si>
  <si>
    <t>Daire Başkanı..............................................................</t>
  </si>
  <si>
    <t>a) 1. Hukuk Müşaviri............................................</t>
  </si>
  <si>
    <t>c) Raportör (Hukuk Fakültesi Mezunu)................</t>
  </si>
  <si>
    <t>Avukat.........................................................................</t>
  </si>
  <si>
    <t>a) Savunma Sekreteri:</t>
  </si>
  <si>
    <t>- Başbakanlıkta (Merkez Teşkilatı).......................</t>
  </si>
  <si>
    <t>- Bakanlıklarda......................................................</t>
  </si>
  <si>
    <t>- Diğer Yerlerde....................................................</t>
  </si>
  <si>
    <t>b) Savunma Uzmanı, Sivil Savunma Uzmanı.............</t>
  </si>
  <si>
    <t>Müşavir, Basın ve Halkla İlişkiler Müşaviri...............</t>
  </si>
  <si>
    <t>Bölge Başmüdürü, Başmüdür, Bölge Müdürü............</t>
  </si>
  <si>
    <t>13 üncü sırada sayılanların yardımcıları.....................</t>
  </si>
  <si>
    <t>Fen ve Tetkik Kurulu Başkan ve Üyeleri....................</t>
  </si>
  <si>
    <t>a) BİM Müdürü, BİM Şube Müdürü.....................</t>
  </si>
  <si>
    <t>b) BİM Müdür Yardımcısı.....................................</t>
  </si>
  <si>
    <t>d) Çözümleyici Yardımcısı, Programcı Yard........</t>
  </si>
  <si>
    <t>e) Bilgisayar İşletmeni...........................................</t>
  </si>
  <si>
    <t>Veri Hazırlama ve Kontrol İşletmeni..........................</t>
  </si>
  <si>
    <t>Fabrika, Kombina, İşletme:</t>
  </si>
  <si>
    <t>a) Müdür................................................................</t>
  </si>
  <si>
    <t>b) Müdür Yardımcısı.............................................</t>
  </si>
  <si>
    <t>a) Başbakanlıkta....................................................</t>
  </si>
  <si>
    <t>b) Bakanlıklarda (Devlet Bakanlıkları dahil)........</t>
  </si>
  <si>
    <t>YÖK Genel Sekreteri..................................................</t>
  </si>
  <si>
    <t>Üniversitelerarası Kurul, ÖSYM ve Üniversite Genel</t>
  </si>
  <si>
    <t>Sekreteri......................................................................</t>
  </si>
  <si>
    <t>Fakülte, Yüksekokul, Enstitü Sekreteri, TODAİE</t>
  </si>
  <si>
    <t>Genel Sekreteri, Türkiye Adalet Akademisi Gen.Sek.</t>
  </si>
  <si>
    <t>a) 20 ve 21 inci sıralarda sayılanların Yardımcıları....</t>
  </si>
  <si>
    <t>b) Yüksek Hakem Kurulu Genel Sekreteri.................</t>
  </si>
  <si>
    <t>a) İl Müdürü, Özel Çevre Koruma Müdürü................</t>
  </si>
  <si>
    <t>b) Bunların Yardımcıları.............................................</t>
  </si>
  <si>
    <t>a) Kadro derecesi (1-4) olan..................................</t>
  </si>
  <si>
    <t>Uzman, Araştırmacı, Aktüer:</t>
  </si>
  <si>
    <t>c) Uzman Yardımcısı............................................</t>
  </si>
  <si>
    <t>a) Müdür Yardımcısı...................................................</t>
  </si>
  <si>
    <t>Kütüphaneci (Fakültelerin Kütüphanecilik bölümün-</t>
  </si>
  <si>
    <t>den mezun olanlar)......................................................</t>
  </si>
  <si>
    <t>Tercüman, Mütercim...................................................</t>
  </si>
  <si>
    <t>İnfaz ve Koruma Başmemuru.....................................</t>
  </si>
  <si>
    <t>İnfaz ve Koruma Memuru...........................................</t>
  </si>
  <si>
    <t>Her Derece Yargı Organları ve Seçim Kurullarında</t>
  </si>
  <si>
    <t>Görevli:</t>
  </si>
  <si>
    <t>a) Müdür:</t>
  </si>
  <si>
    <t>- Kadro derecesi (1-2) olan....................................</t>
  </si>
  <si>
    <t>- Kadro derecesi (3-4) olan....................................</t>
  </si>
  <si>
    <t>- Diğerleri..............................................................</t>
  </si>
  <si>
    <t>b) Şef, Zabıt Katibi......................................................</t>
  </si>
  <si>
    <t>Köprüleri ve Otoyollarda)...........................................</t>
  </si>
  <si>
    <t>İtfaiye Teşkilatı:</t>
  </si>
  <si>
    <t>a) Müdür Yardımcısı, Grup Amiri..............................</t>
  </si>
  <si>
    <t>b) Amir, İtfaiyeci, Başçavuş, Çavuş, Onbaşı, Er,</t>
  </si>
  <si>
    <t>Operatör, Şoför............................................................</t>
  </si>
  <si>
    <t>Veznedar, Tahsildar....................................................</t>
  </si>
  <si>
    <t>Sayıştay’a hesap vermekle yükümlü:</t>
  </si>
  <si>
    <t>a) Döner Sermaye Merkez Müdürü, Döner Sermaye</t>
  </si>
  <si>
    <t xml:space="preserve">b) Ayniyat Saymanı, Muhasebeci, Döner Sermaye </t>
  </si>
  <si>
    <t>İşletmelerinde ve Fonlarda Sayman olarak görevlen-</t>
  </si>
  <si>
    <t>dirilenler......................................................................</t>
  </si>
  <si>
    <t>Ambar Memuru, Depo Memuru.................................</t>
  </si>
  <si>
    <t>Koruma Amir Yardımcısı, Koruma Memuru.............</t>
  </si>
  <si>
    <t>1- Bu bölümde yer alan görev unvanları Genel İdare Hizmetleri Sınıfı dışındaki sınıflarda yer alsa dahi bunlara bu bölümdeki zamlar ödenir.</t>
  </si>
  <si>
    <t>2- Başbakanlık, Bakanlık, Müsteşarlık, Diyanet İşleri Başkanlığı ve Bağımsız Genel Müdürlük Müfettiş ve Müfettiş Yardımcıları; Maliye Bakanlığı Hesap Uzmanları ve Uzman Yardımcıları; İç Denetçiler; Sigorta Denetleme Uzmanları ve Yardımcıları, Aktüer ve Yardımcıları; Çalışma ve Sosyal Güvenlik Bakanlığı İş ve İş Güvenliği Müfettiş ve Müfettiş Yardımcıları; Milli Savunma Bakanlığı Akaryakıt İkmal ve NATO-POL Tesisleri İşletme Başkanlığı Müfettiş ve Müfettiş Yardımcıları; Bakanlıklar, Hazine Müsteşarlığı, Dış Ticaret Müsteşarlığı ile Gümrük Müsteşarlığı merkez teşkilatına dahil Kontrolörler ve Stajyer Kontrolörler; İçişleri Bakanlığı Dernekler Denetçileri ve Dernekler Denetçi Yardımcıları; Sosyal Sigortalar Kurumu Başkanlığı Sigorta Müfettiş ve Müfettiş Yardımcıları; İlköğretim Müfettişleri ve Müfettiş Yardımcıları; Belediye Müfettişleri ve Müfettiş Yardımcıları; Maliye Bakanlığı Muhasebe, Vergi ve Milli Emlak Denetmenleri, Dış Ticarette Standardizasyon Denetmenleri, Bağ-Kur Denetmenleri, Tapu ve Kadastro Denetmenleri ve bunların yardımcıları; yüksekokul mezunu olmak şartı ile Belediye İktisat Müfettişleri ve Büyükşehir Belediyeleri Hesap İşleri Murakıplarından;</t>
  </si>
  <si>
    <t>a) Türkiye düzeyinde teftiş, denetim veya inceleme yetkisine sahip olup,</t>
  </si>
  <si>
    <t>- Kadro derecesi (1-4) olanlara</t>
  </si>
  <si>
    <t>1800</t>
  </si>
  <si>
    <t>- Kadro derecesi (5) ve daha aşağı olanlara</t>
  </si>
  <si>
    <t>1500</t>
  </si>
  <si>
    <t>- Yardımcı ve Stajyerlere</t>
  </si>
  <si>
    <t>1350</t>
  </si>
  <si>
    <t>b) 17 nci sırada sayılanlara (750) puana kadar Temininde Güçlük Zammı,</t>
  </si>
  <si>
    <t>(B)</t>
  </si>
  <si>
    <t>TEKNİK HİZMETLER BÖLÜMÜ</t>
  </si>
  <si>
    <t>Kadroları Teknik Hizmetler Sınıfında bulunanlardan;</t>
  </si>
  <si>
    <t>Başmühendis, Başmimarlara.......................................</t>
  </si>
  <si>
    <t>a) 5 yıla kadar hizmeti olanlara.............................</t>
  </si>
  <si>
    <t>b) 5 yıl ve daha fazla hizmeti olanlara..................</t>
  </si>
  <si>
    <t>NOT:   1- Yukarıdaki temininde güçlük zamlarının ödenmesinde “kendi ihtisas dallarındaki hizmet süresi”nin belirlenmesinde (31/12/2003 tarihi itibarıyla “5 yıl ve daha fazla hizmeti olanlar” sırasından faydalananlar hariç), teknik hizmetler sınıfında geçirilen süreler esas alınır. Bu Cetvelin (H) Kurumsal Bölümünden hizmet yılı esasına göre ödenen temininde güçlük zamları hakkında da bu hüküm uygulanır.</t>
  </si>
  <si>
    <t xml:space="preserve">2- Kadroları teknik hizmetler sınıfında bulunan personelden; </t>
  </si>
  <si>
    <t>a) Radyoaktif ve zehirli maddelerle çalışanlara, 5434 sayılı Kanunun 32 nci maddesinden yararlandıklarını belgelemeleri şartı ile, 250 puan,</t>
  </si>
  <si>
    <t>b) Açık maden ocaklarında çalışanlara, 400 puan,</t>
  </si>
  <si>
    <t>c) Yer altı maden ocaklarında fiilen günde 3 saatten aşağı olmamak üzere çalışanlara, ayda 1000 puanı geçmemek üzere her gün için, 50 puan,</t>
  </si>
  <si>
    <t>d) Ünitesinin gücü 150.000 KW’tan küçük olmayan üretim santralleri, 100.000 KW’lik transformatör merkezleri ve 380.000 Volt’luk enerji nakil hatlarında inşa, tevsi, işletme mahallerinde fiilen çalışanlara, 500 puan,</t>
  </si>
  <si>
    <t>(c) bendine göre iş riski zammı ödenenlere, (a), (b), (d) ve (e) bentlerine göre ayrıca iş riski zammı ödenmez.</t>
  </si>
  <si>
    <t>3- Bu bölümün 1, 2 ve 3 No’lu sıra numaralarında sayılan kariyerler ile yüksek tekniker, tekniker ve tütün eksperi kariyerlerini haiz olanlardan;</t>
  </si>
  <si>
    <t>a) Genel İdare Hizmetleri Bölümünün 1, 2, 3, 5, 6, 7, 8, 13, 14, 15, 16, 18, 20, 21, 22, 24, 25, 26 ve 27/a, (F) Bölümünün 3, 4, 5, 6, 7, 9 ve (G) Bölümünün B/1, 2, 3, 4 üncü sıra numaralarında yazılı olan görev unvanlarını işgal edenlere 1400 puan temininde güçlük zammı,</t>
  </si>
  <si>
    <t>b) Ekli IV sayılı Cetvelde sayılan yerleşim birimlerine Bölge Müdürü, Bölge Müdür Yardımcısı, İl Müdürü, İl Müdür Yardımcısı, Şube Müdürü, Müdür ve Müdür Yardımcısı olarak sürekli görevle atananlara 1250 puan daha temininde güçlük zammı,</t>
  </si>
  <si>
    <t>bölümlerindeki puanlarına ilave olarak ayrıca ödenebilir.</t>
  </si>
  <si>
    <t>Ancak kurumların sosyal işler, idari ve mali işler, personel, özlük, dış ilişkiler, donatım, levazım ve benzeri her türlü destek ve yardımcı hizmet birimlerinde çalışanlara (a) ve (b) sıralarında öngörülen ilave temininde güçlük zammı ödenmez.</t>
  </si>
  <si>
    <t>4- 4 yıl ve daha fazla süreli yükseköğrenim kurumlarının istatistik bölümlerinden mezun olanlar, istatistik alanına giren konulardan birinde master ya da doktora yapmış olanlar ve Devlet İstatistik Enstitüsü Eğitim Merkezini bitirerek “Lisans Sonrası İstatistik Sertifikası” alanlardan; 31/12/2003 tarihinden önce Teknik Hizmetler Sınıfında istatistikçi kadrosunda görev almış veya yine bu tarihten önce yukarıdaki dipnot 3 üncü sırada sayılan kadrolara atanmış olup da, bu tarihe kadar istatistikçi gibi zam ve tazminat alanlar; istatistikçi kadrosuna atanıp atanamadıklarına bakılmaksızın, bu Kararda yer alan zam ve tazminatların ödenmesi yönünden istatistikçi kabul edilir. Ancak 15/1/2004 tarihine kadar istatistikçiler için öngörülen zam ve tazminatları almamış olanlardan, 657 sayılı Kanun uyarınca istatistikçi kadrosuna atanamayacak durumda olanlara, istatistikçiler gibi veya bu kariyerden dolayı zam ve tazminat ödenmez.</t>
  </si>
  <si>
    <t>(C)</t>
  </si>
  <si>
    <t>SAĞLIK HİZMETLERİ BÖLÜMÜ</t>
  </si>
  <si>
    <t>a) Klinik Şefi..............................................................</t>
  </si>
  <si>
    <t>b) Klinik Şef Yardımcısı.............................................</t>
  </si>
  <si>
    <t>c) Başasistan................................................................</t>
  </si>
  <si>
    <t>d) Uzman Tabip..........................................................</t>
  </si>
  <si>
    <t>e) Asistan Tabip..........................................................</t>
  </si>
  <si>
    <t>f) Pratisyen Tabip........................................................</t>
  </si>
  <si>
    <t xml:space="preserve">g) Tıpta Uzmanlık Tüzüğünde belirtilen dallarda </t>
  </si>
  <si>
    <t xml:space="preserve">bu Tüzük hükümlerine göre uzmanlık belgesi </t>
  </si>
  <si>
    <t xml:space="preserve">alanlarla, aynı dallarda doktora yapmış olanlar </t>
  </si>
  <si>
    <t>(Bunlardan Sağlık Hizmetleri Sınıfı Asistan</t>
  </si>
  <si>
    <t>kadrolarında olanlar dahil)..........................................</t>
  </si>
  <si>
    <t>h) Diş Tabipleri...........................................................</t>
  </si>
  <si>
    <t>a) Yataklı tedavi kurumlarında..............................</t>
  </si>
  <si>
    <t>b) Diğer yerlerde....................................................</t>
  </si>
  <si>
    <t>a) Mesleki sağlık yüksek öğrenim görmüş olanlar;</t>
  </si>
  <si>
    <t>c) Diğer personel;</t>
  </si>
  <si>
    <t>Teknisyen Yardımcısı.................................................</t>
  </si>
  <si>
    <t>b) Veteriner Hekim.....................................................</t>
  </si>
  <si>
    <t>Hayvan Sağlık Memuru, Veteriner Sağlık Teknikeri,</t>
  </si>
  <si>
    <t>Veteriner Sağlık Teknisyeni, meslek lisesi mezunu</t>
  </si>
  <si>
    <t>Laborantlar;</t>
  </si>
  <si>
    <t>a) Yükseköğrenimliler...........................................</t>
  </si>
  <si>
    <t xml:space="preserve">Refik Saydam Hıfzıssıhha Merkezi Başkanlığı </t>
  </si>
  <si>
    <t>(Merkez-Taşra); Bölge Laboratuarları; Kontrol,</t>
  </si>
  <si>
    <t xml:space="preserve">Islah, Araştırma Enstitüleri ve Kurumları; Halk </t>
  </si>
  <si>
    <t>Sağlığı Laboratuarları;</t>
  </si>
  <si>
    <t>a) Başkan, Başkan Yardımcısı..............................</t>
  </si>
  <si>
    <t xml:space="preserve">   2-Diğerleri……………………………………….</t>
  </si>
  <si>
    <t>NOT:</t>
  </si>
  <si>
    <t>1- Veteriner Hekim kökenli personelden;</t>
  </si>
  <si>
    <t>Ancak, kurumların sosyal işler, idari ve mali işler, personel, özlük, dış ilişkiler, donatım, bilgi işlem, levazım ve benzeri destek ve yardımcı hizmet birimlerinde çalışanlara bu puanlar verilmez.</t>
  </si>
  <si>
    <t>A) IV sayılı Cetvelde yer alan bölgelerden;</t>
  </si>
  <si>
    <t>B) IV sayılı Cetvelde sayılmayan kalkınmada</t>
  </si>
  <si>
    <t>3- Bu bölümün 5 inci sırasında sayılan Uzman Veteriner Hekim ve Veteriner Hekimler, 6 ncı sırasında sayılan Veteriner Sağlık Teknikerlerine ve Veteriner Sağlık Teknisyenlerine (1500) puan iş riski zammı ilave olarak verilir.</t>
  </si>
  <si>
    <t>(D)</t>
  </si>
  <si>
    <t>EĞİTİM VE ÖĞRETİM HİZMETLERİ BÖLÜMÜ</t>
  </si>
  <si>
    <t>Hizmetiçi Eğitim Enstitüsü ve Yüksekokullarda:</t>
  </si>
  <si>
    <t xml:space="preserve">- </t>
  </si>
  <si>
    <t xml:space="preserve">İlköğretim Okulları, Orta Dereceli Okullar, Mesleki ve </t>
  </si>
  <si>
    <t>Teknik Okullar (Kurslar dahil), Azınlık Okulları,</t>
  </si>
  <si>
    <t>Çıraklık Eğitim Merkezi, Rehberlik Merkezi, Halk</t>
  </si>
  <si>
    <t>Eğitim Merkezinde:</t>
  </si>
  <si>
    <t>Mesleki Teknik Okullarda:</t>
  </si>
  <si>
    <t>Bölüm Şefi, Atölye Şefi, Laboratuar Şefi.................</t>
  </si>
  <si>
    <t>(Özel Alt Sınıflar Dahil), Yatılı İlköğretim Bölge</t>
  </si>
  <si>
    <t>Okullarında:</t>
  </si>
  <si>
    <t>c) Öğretmen...........................................................</t>
  </si>
  <si>
    <t>1- Başöğretmen ve Uzman Öğretmen unvanını kazanmış olanlara da Öğretmen için yukarıda öngörülen puanlar uygulanır.</t>
  </si>
  <si>
    <t xml:space="preserve">2- Cezaevlerinde görevli öğretmenlere (450) puan iş riski zammı ödenir. </t>
  </si>
  <si>
    <t xml:space="preserve">3- Başöğretmen, Uzman Öğretmen ve Öğretmenlerden belleticilik görevi verilenlere ayrıca (100) puan iş güçlüğü zammı ödenir. </t>
  </si>
  <si>
    <t xml:space="preserve">4- Esas ve usulleri ilgili Bakanca tespit edilecek değerlendirmeye göre seçilmek suretiyle; </t>
  </si>
  <si>
    <t xml:space="preserve">A) Anadolu Liseleri, Anadolu Meslek Liseleri, Polis Koleji ile Askeri Liselerde görevlendirilmiş veya görevlendirilecek; </t>
  </si>
  <si>
    <t>a) Müdür, Müdür Yardımcılarına,</t>
  </si>
  <si>
    <t>b) Yabancı dil dışındaki dersleri yabancı dille okutan öğretmenlere,</t>
  </si>
  <si>
    <t>d) Fen Grubuna dahil ders öğretmenlerine,</t>
  </si>
  <si>
    <t xml:space="preserve">B) Fen Liselerinde görevlendirilmiş veya görevlendirilecek Müdür, Müdür Yardımcıları, Fen Grubuna dahil ders öğretmenlerine, </t>
  </si>
  <si>
    <t>değerlendirme sonuçlarına dayanılarak, Bakan Onayı ile (500) puana kadar temininde güçlük zammı ödenir.</t>
  </si>
  <si>
    <t>(E)</t>
  </si>
  <si>
    <t>YARDIMCI HİZMETLER BÖLÜMÜ</t>
  </si>
  <si>
    <t xml:space="preserve">        Kadroları yardımcı hizmetler sınıfında bulunanlardan;</t>
  </si>
  <si>
    <t>ile Islah Kurum ve Enstitüleri, Hayvan Yetiştirme</t>
  </si>
  <si>
    <t xml:space="preserve">ve Temin Laboratuarlarında; Hasta Bakıcı, Hayvan </t>
  </si>
  <si>
    <t>Bakıcısı, Hizmetli, Hademe, Odacı.............................</t>
  </si>
  <si>
    <t>Bekçi...........................................................................</t>
  </si>
  <si>
    <t>Bakıcı Anne………………………………………….</t>
  </si>
  <si>
    <t>Mübaşir.......................................................................</t>
  </si>
  <si>
    <t>Diğerleri......................................................................</t>
  </si>
  <si>
    <t>(F)</t>
  </si>
  <si>
    <t>KİT ORTAK GÖREV UNVANLARI</t>
  </si>
  <si>
    <t>KİT Müşaviri...............................................................</t>
  </si>
  <si>
    <t>a) Genel Sekreter (Merkezde).....................................</t>
  </si>
  <si>
    <t>b) Genel Sekreter Yardımcısı (Merkezde)..................</t>
  </si>
  <si>
    <t>Müessese Müdürü.......................................................</t>
  </si>
  <si>
    <t>Müessese Müdür Yardımcısı......................................</t>
  </si>
  <si>
    <t>Grup Başkanı..............................................................</t>
  </si>
  <si>
    <t>Grup Başkan Yardımcısı, Grup Müdürü.....................</t>
  </si>
  <si>
    <t>Grup Müdür Yardımcısı..............................................</t>
  </si>
  <si>
    <t>b) II. Müdür, Müdür Yardımcısı...........................</t>
  </si>
  <si>
    <t xml:space="preserve">Başkanı ve Üyesi, Disiplin Kurulu Başkanı ve </t>
  </si>
  <si>
    <t>Üyesi, Satınalma Komisyonu Başkanı........................</t>
  </si>
  <si>
    <t>(Merkezde)..................................................................</t>
  </si>
  <si>
    <t>Müdürü, Müdür Yardımcısı (Merkezde)....................</t>
  </si>
  <si>
    <t>Muhasebeci.................................................................</t>
  </si>
  <si>
    <t>Muhasebeci Yardımcısı..............................................</t>
  </si>
  <si>
    <t>Banka Şube Müdürü...................................................</t>
  </si>
  <si>
    <t>İkinci Müdür, Banka Şube Müdür Yardımcısı...........</t>
  </si>
  <si>
    <t>Amir............................................................................</t>
  </si>
  <si>
    <t>(G)</t>
  </si>
  <si>
    <t xml:space="preserve">BELEDİYELER, İL ÖZEL İDARELERİ VE BUNLARA BAĞLI KURULUŞLAR İLE MAHALLİ İDARE BİRLİKLERİ </t>
  </si>
  <si>
    <t>A- İl Özel İdareleri ve Bağlı Kuruluşları:</t>
  </si>
  <si>
    <t>a) Büyükşehir belediyesi bulunan iller..................</t>
  </si>
  <si>
    <t>b) Diğer iller..........................................................</t>
  </si>
  <si>
    <t>Encümen Başkatibi.....................................................</t>
  </si>
  <si>
    <t>B- Belediyeler ve Bağlı Kuruluşları:</t>
  </si>
  <si>
    <t>Büyükşehir Belediye Genel Sekreteri.........................</t>
  </si>
  <si>
    <t>Büyükşehir Belediye Genel Sekreter Yardımcısı.......</t>
  </si>
  <si>
    <t xml:space="preserve">a) Nüfusu 100.000 ve daha yukarı olan </t>
  </si>
  <si>
    <t>belediyelerde.........................................................</t>
  </si>
  <si>
    <t>b) Diğer Belediyelerde..........................................</t>
  </si>
  <si>
    <t>Daire Başkan Yardımcısı…........................................</t>
  </si>
  <si>
    <t>Özel Kalem Müdürü:</t>
  </si>
  <si>
    <t>a) Büyükşehir Belediyeleri....................................</t>
  </si>
  <si>
    <t xml:space="preserve">a) Çevre Sağlığı Müdürü (Tabip), Sağlık İşleri </t>
  </si>
  <si>
    <t>Müdürü (Tabip)...........................................................</t>
  </si>
  <si>
    <t>b) Veteriner İşleri Müdürü (Veteriner Hekim)...........</t>
  </si>
  <si>
    <t>c) (a) ve (b) de sayılanların yardımcıları.....................</t>
  </si>
  <si>
    <t>Başkatip.......................................................................</t>
  </si>
  <si>
    <t xml:space="preserve">Hesap İşleri Müdürü, Muhasebe Müdürü, </t>
  </si>
  <si>
    <t>Muhasebeci, Sayman..................................................</t>
  </si>
  <si>
    <t>(8) inci sırada sayılanların yardımcıları......................</t>
  </si>
  <si>
    <t xml:space="preserve">Komiser, Komiser Yardımcısı, Memur ile </t>
  </si>
  <si>
    <t>Belediye Trafik Memurları.........................................</t>
  </si>
  <si>
    <t>Dalgıç………………………………………………..</t>
  </si>
  <si>
    <t>C- Ortak Unvanlar</t>
  </si>
  <si>
    <t>Bağlı Kuruluşlar Kadrolu Yönetim Kurulu Üyesi......</t>
  </si>
  <si>
    <t>Birlik Sekreteri............................................................</t>
  </si>
  <si>
    <t>İcra Memuru................................................................</t>
  </si>
  <si>
    <t>Kontrolör, Kontrol Memuru........................................</t>
  </si>
  <si>
    <t>(H)</t>
  </si>
  <si>
    <t>KURUMSAL BÖLÜM</t>
  </si>
  <si>
    <t>ANAYASA MAHKEMESİ</t>
  </si>
  <si>
    <t>Genel Sekreter Yardımcısı..........................................</t>
  </si>
  <si>
    <t>BAŞBAKANLIK</t>
  </si>
  <si>
    <t>Başbakan Başmüşaviri, Teftiş Kurulu Başkanı..........</t>
  </si>
  <si>
    <t>Bakanlar Kurulu Sekreteri, Başkan.............................</t>
  </si>
  <si>
    <t>Basın Müşaviri, Basın ve Halkla İlişkiler Müşaviri,</t>
  </si>
  <si>
    <t>Uzman, Uzman (Şube Müdürü), Şube Müdürü,</t>
  </si>
  <si>
    <t>Merkez Teşkilatında Araştırmacı................................</t>
  </si>
  <si>
    <t>Ayniyat Saymanı.........................................................</t>
  </si>
  <si>
    <t>Uzman Yardımcısı, Şef...............................................</t>
  </si>
  <si>
    <t>Devlet Arşivleri Genel Müdürlüğünde arşiv</t>
  </si>
  <si>
    <t>hizmetlerinde çalışanlar (hizmetliler hariç)...............</t>
  </si>
  <si>
    <t>Basımevi Döner Sermaye İşletme Müdürlüğü:</t>
  </si>
  <si>
    <t>b) Müdür Yardımcısı, Şube Müdürü.....................</t>
  </si>
  <si>
    <t>c) Sayman..............................................................</t>
  </si>
  <si>
    <t>d) Sayman Yardımcısı, Şef....................................</t>
  </si>
  <si>
    <t>e) Memur, Santral Memuru, Daktilograf, Hemşire,</t>
  </si>
  <si>
    <t>Sekreter..................................................................</t>
  </si>
  <si>
    <t>Raportör, Daktilograf, Memur, Santral Memuru,</t>
  </si>
  <si>
    <t>Hemşire, Sekreter, Şoför.............................................</t>
  </si>
  <si>
    <t>DEVLET PERSONEL BAŞKANLIĞI</t>
  </si>
  <si>
    <t>Başkan.........................................................................</t>
  </si>
  <si>
    <t>Başkan Yardımcısı......................................................</t>
  </si>
  <si>
    <t>Devlet Personel Uzmanı (Şube Müdürü), Devlet</t>
  </si>
  <si>
    <t>Personel Uzmanı.........................................................</t>
  </si>
  <si>
    <t>Şube Müdürü:</t>
  </si>
  <si>
    <t>a) Kadro derecesi (1-2) olanlar.............................</t>
  </si>
  <si>
    <t>b) Kadro derecesi (3) olanlar.................................</t>
  </si>
  <si>
    <t>Devlet Personel Uzman Yardımcısı, Şef....................</t>
  </si>
  <si>
    <t>YÜKSEK DENETLEME KURULU BAŞKANLIĞI</t>
  </si>
  <si>
    <t>Başkan, Üye, Başdenetçi, Denetçi..............................</t>
  </si>
  <si>
    <t>Denetçi Yardımcısı………………………………….</t>
  </si>
  <si>
    <t>Genel Sekreter………………………........................</t>
  </si>
  <si>
    <t>Saymanlık Müdürü, Personel Müdürü………………</t>
  </si>
  <si>
    <t>İdare ve Levazım Müdürü…………………………...</t>
  </si>
  <si>
    <t>Müdür………………………………………………</t>
  </si>
  <si>
    <t>TÜRK İŞBİRLİĞİ VE KALKINMA İDARESİ BAŞKANLIĞI</t>
  </si>
  <si>
    <t>Başkan……………………………………………….</t>
  </si>
  <si>
    <t>Başkan Yardımcısı…………………………………..</t>
  </si>
  <si>
    <t>TÜRKİYE ATOM ENERJİSİ KURUMU BAŞKANLIĞI</t>
  </si>
  <si>
    <t>Merkez (Başkanlık):</t>
  </si>
  <si>
    <t>a) Başkan (Mühendis)...........................................</t>
  </si>
  <si>
    <t>b) Başkan Yardımcısı (Mühendis)........................</t>
  </si>
  <si>
    <t>c) Mühendis, Jeolog, Fizikçi, Mimar, Kimyager,</t>
  </si>
  <si>
    <t>Matematikçi...........................................................</t>
  </si>
  <si>
    <t>a) Müdür  (Mühendis)..........................................</t>
  </si>
  <si>
    <t>b) Müdür Yardımcısı (Mühendis)........................</t>
  </si>
  <si>
    <t>c) Bölüm Başkanı, Mühendis, Jeolog, Fizikçi,</t>
  </si>
  <si>
    <t>Mimar, Kimyager, Matematikçi............................</t>
  </si>
  <si>
    <t>d) Tekniker (Makine-Reaktör Elektronik)............</t>
  </si>
  <si>
    <t>e) Teknisyen (Makine-Reaktör Elektronik)..........</t>
  </si>
  <si>
    <t>b) Ayniyat Saymanı....................................................</t>
  </si>
  <si>
    <t>Merkez-Taşra:</t>
  </si>
  <si>
    <t>a) Şube Müdürü:</t>
  </si>
  <si>
    <t>-Kadro derecesi (1-2) olanlar...............................</t>
  </si>
  <si>
    <t>-Kadro derecesi (3-4) olanlar...............................</t>
  </si>
  <si>
    <t>b) Şef, Koruma ve Güvenlik Şefi................................</t>
  </si>
  <si>
    <t>HAZİNE MÜSTEŞARLIĞI, DIŞ TİCARET MÜSTEŞARLIĞI</t>
  </si>
  <si>
    <t>İLE DARPHANE VE DAMGA MATBAASI GENEL MÜDÜRLÜĞÜ</t>
  </si>
  <si>
    <t>Bölge Müdürü, Bölge Müdür Yardımcısı, Müdür,</t>
  </si>
  <si>
    <t>Şube Müdürü, Borsa Komiseri, Hazine Uzmanı,</t>
  </si>
  <si>
    <t>Dış Ticaret Uzmanı:</t>
  </si>
  <si>
    <t>c) Kambiyo Müdür Yardımcısı, Borsa Komiser</t>
  </si>
  <si>
    <t>Yardımcısı.............................................................</t>
  </si>
  <si>
    <t>Hazine Saymanı..........................................................</t>
  </si>
  <si>
    <t>Hazine Sayman Yardımcısı.........................................</t>
  </si>
  <si>
    <t>Uzman.........................................................................</t>
  </si>
  <si>
    <t>Şef, Hazine Uzman Yardımcısı, Dış Ticaret Uzman</t>
  </si>
  <si>
    <t>Yardımcısı...................................................................</t>
  </si>
  <si>
    <t>DEVLET PLANLAMA TEŞKİLATI MÜSTEŞARLIĞI</t>
  </si>
  <si>
    <t>Genel Sekreter.............................................................</t>
  </si>
  <si>
    <t>Planlama Uzmanı............................................</t>
  </si>
  <si>
    <t>a) Kadro derecesi (1-2) olanlar..............................</t>
  </si>
  <si>
    <t>Planlama Uzman Yardımcısı, Şef...................</t>
  </si>
  <si>
    <t>TÜRKİYE İSTATİSTİK KURUMU BAŞKANLIĞI</t>
  </si>
  <si>
    <t>DİYANET İŞLERİ BAŞKANLIĞI</t>
  </si>
  <si>
    <t xml:space="preserve">Din İşleri Yüksek Kurulu: </t>
  </si>
  <si>
    <t>a) Başkan...............................................................</t>
  </si>
  <si>
    <t>b) Üye....................................................................</t>
  </si>
  <si>
    <t>Müftüler:</t>
  </si>
  <si>
    <t>a) Ankara, İstanbul, İzmir.....................................</t>
  </si>
  <si>
    <t>Müftü Yardımcısı, İlçe Müftüsü.................................</t>
  </si>
  <si>
    <t>Mushafları İnceleme Kurulu:</t>
  </si>
  <si>
    <t>Murakıp.......................................................................</t>
  </si>
  <si>
    <t>Dini Yayınlar Döner Sermaye İşletme Müdürlüğü:</t>
  </si>
  <si>
    <t>Teberrukat Saymanı....................................................</t>
  </si>
  <si>
    <t>Vaiz:</t>
  </si>
  <si>
    <t>a) Başkanlıkta........................................................</t>
  </si>
  <si>
    <t>b) Diğer yerlerde...................................................</t>
  </si>
  <si>
    <t>TAPU VE KADASTRO GENEL MÜDÜRLÜĞÜ</t>
  </si>
  <si>
    <t>Uçuş İşleri Şubesinde Görevli:</t>
  </si>
  <si>
    <t>a) Pilot...................................................................</t>
  </si>
  <si>
    <t>b) Rasıt..................................................................</t>
  </si>
  <si>
    <t>c) Uçak Kontrol Makinisti....................................</t>
  </si>
  <si>
    <t>d) Uçak Telsizcisi..................................................</t>
  </si>
  <si>
    <t>VAKIFLAR GENEL MÜDÜRLÜĞÜ</t>
  </si>
  <si>
    <t>Vakıflar Meclisi Üyesi (Kadrolu)................................</t>
  </si>
  <si>
    <t>Teknik kökenli olmayan:</t>
  </si>
  <si>
    <t xml:space="preserve">a) Bölge Müdürü, Bölge Müdür Yardımcısı, </t>
  </si>
  <si>
    <t>Şube Müdürü (Merkez), Müdür (Merkez)</t>
  </si>
  <si>
    <t>-Kadro derecesi (1-2) olanlar................................</t>
  </si>
  <si>
    <t>-Kadro derecesi (3-4) olanlar................................</t>
  </si>
  <si>
    <t>b) Şube Müdürü (Taşra), Müdür (Taşra)....................</t>
  </si>
  <si>
    <t>c) Müdür Yardımcısı, Uzman (1-4)............................</t>
  </si>
  <si>
    <t>Araştırmacı, Şef..........................................................</t>
  </si>
  <si>
    <t>Restoratör....................................................................</t>
  </si>
  <si>
    <t>Kütüphaneci................................................................</t>
  </si>
  <si>
    <t>GÜMRÜK MÜSTEŞARLIĞI</t>
  </si>
  <si>
    <t>Gümrükler ve Muhafaza Başmüdürü:</t>
  </si>
  <si>
    <t>1 inci sırada sayılanların yardımcıları.........................</t>
  </si>
  <si>
    <t>Gümrük Müdürü, Gümrük Muhafaza Müdürü:</t>
  </si>
  <si>
    <t>3 üncü sırada sayılanların yardımcıları.......................</t>
  </si>
  <si>
    <t xml:space="preserve">Şube Müdürü (Merkez), Müdür (Merkez), APK </t>
  </si>
  <si>
    <t>Uzmanı, Araştırmacı:</t>
  </si>
  <si>
    <t>b) Kadro derecesi (3-4) olanlar.............................</t>
  </si>
  <si>
    <t>c) Diğerleri............................................................</t>
  </si>
  <si>
    <t>Şube Müdürü (Taşra), Uzman....................................</t>
  </si>
  <si>
    <t>Şef, Amir, Gümrük Başmemuru.................................</t>
  </si>
  <si>
    <t>KADININ STATÜSÜ GENEL MÜDÜRLÜĞÜ,</t>
  </si>
  <si>
    <t xml:space="preserve">AİLE VE SOSYAL ARAŞTIRMALAR </t>
  </si>
  <si>
    <t>GENEL MÜDÜRLÜĞÜ</t>
  </si>
  <si>
    <t>Aile ve Sosyal Araştırma Uzmanı,</t>
  </si>
  <si>
    <t>Kadının Statüsü Uzmanı...........................................</t>
  </si>
  <si>
    <t>Kadının Statüsü Uzman Yardımcısı..........................</t>
  </si>
  <si>
    <t>ÖZELLEŞTİRME İDARESİ BAŞKANLIĞI</t>
  </si>
  <si>
    <t>Başkan Yardımcısı…………………………………...</t>
  </si>
  <si>
    <t>Şube Müdürü, Uzman.................................................</t>
  </si>
  <si>
    <t>ÖZÜRLÜLER İDARESİ BAŞKANLIĞI</t>
  </si>
  <si>
    <t>Özürlüler Uzmanı........................................................</t>
  </si>
  <si>
    <t>Özürlüler Uzman Yardımcısı......................................</t>
  </si>
  <si>
    <t>SOSYAL GÜVENLİK KURUMU BAŞKANLIĞI</t>
  </si>
  <si>
    <t>Başkan…………………………………………….....</t>
  </si>
  <si>
    <t>SOSYAL SİGORTALAR KURUMU BAŞKANLIĞI</t>
  </si>
  <si>
    <t>Başkan………………………………………………..</t>
  </si>
  <si>
    <t>ÇALIŞMA VE SOSYAL GÜVENLİK EĞİTİM VE</t>
  </si>
  <si>
    <t>ARAŞTIRMA MERKEZİ BAŞKANLIĞI</t>
  </si>
  <si>
    <t>Başkan Yardımcısı……………………………………</t>
  </si>
  <si>
    <t>ADALET BAKANLIĞI</t>
  </si>
  <si>
    <t>Cezaevi Müdürleri......................................................</t>
  </si>
  <si>
    <t>Müdür, Şube Müdürü, APK Uzmanı:</t>
  </si>
  <si>
    <t>Şef...............................................................................</t>
  </si>
  <si>
    <t>Psikolog, Sosyal Çalışmacı, Pedagog.........................</t>
  </si>
  <si>
    <t>Emanet Memurları (Adliye).......................................</t>
  </si>
  <si>
    <t>İdare Memurları (Ceza ve Tevkifevleri).....................</t>
  </si>
  <si>
    <t>İcra Müdürü, İcra Müdür Yardımcısı..........................</t>
  </si>
  <si>
    <t>Cezaevi Katibi.............................................................</t>
  </si>
  <si>
    <t>Tebligat Memuru, Mübaşir.........................................</t>
  </si>
  <si>
    <t>ADLİ TIP KURUMU BAŞKANLIĞI</t>
  </si>
  <si>
    <t>Başkan, Başkan Yardımcısı, İhtisas Kurulu</t>
  </si>
  <si>
    <t>Başkan ve Üyeleri, Daire Başkanı, Grup Başkanı......</t>
  </si>
  <si>
    <t>Adli Tıp Şube Müdürü, İhtisas Dairesi Uzmanı,</t>
  </si>
  <si>
    <t>Uzman (Bilirkişilik görevi yapan)..............................</t>
  </si>
  <si>
    <t>Asistan (Araştırma Görevlisi), Eczacı........................</t>
  </si>
  <si>
    <t>Silah Muayene Memuru..............................................</t>
  </si>
  <si>
    <t>Sağlık Teknisyeni ve Yardımcısı, Laborant,</t>
  </si>
  <si>
    <t>Laborant Yardımcısı, Hemşire....................................</t>
  </si>
  <si>
    <t>Hizmetli (Gözlem, Biyoloji, Trafik, Fizik, Kimya ve</t>
  </si>
  <si>
    <t>Morg Daire Başkanlıklarında)....................................</t>
  </si>
  <si>
    <t>Şoför, Bekçi (Morg İhtisas Daire Başkanlığı),</t>
  </si>
  <si>
    <t>Emanet Memuru..........................................................</t>
  </si>
  <si>
    <t xml:space="preserve">MİLLİ SAVUNMA BAKANLIĞI, JANDARMA GENEL </t>
  </si>
  <si>
    <t>KOMUTANLIĞI VE SAHİL GÜVENLİK KOMUTANLIĞI</t>
  </si>
  <si>
    <t>GES Grubu MORS Operatörü, Telsiz-Teleks</t>
  </si>
  <si>
    <t>Operatörü....................................................................</t>
  </si>
  <si>
    <t>Mermici, Barutçu, Hermetikçi, Tüfekçi, Kamacı.......</t>
  </si>
  <si>
    <t>Uçak Makinisti............................................................</t>
  </si>
  <si>
    <t>Uzman:</t>
  </si>
  <si>
    <t>a) Yükseköğrenimli</t>
  </si>
  <si>
    <t xml:space="preserve">   -Kadro derecesi (1-4) olanlar.............................</t>
  </si>
  <si>
    <t xml:space="preserve">   -Diğerleri............................................................</t>
  </si>
  <si>
    <t>b) Lise ve dengi okul mezunları...............................</t>
  </si>
  <si>
    <t>Uzman Yardımcısı (Yükseköğrenimli).......................</t>
  </si>
  <si>
    <t xml:space="preserve">Sayıştaya hesap vermekle yükümlü; Tahakkuk </t>
  </si>
  <si>
    <t>Memuru, Mal veya Hesap Sorumlusu.........................</t>
  </si>
  <si>
    <t>Mehteran, Masör.........................................................</t>
  </si>
  <si>
    <t>2- Harita Genel Komutanlığında görevli olup esas ve usulleri bu Komutanlıkça yapılan değerlendirmeye göre seçilecek Kartoğraf ve Grafikerlere, (500) puana kadar ilave olarak iş güçlüğü zammı ödenir.</t>
  </si>
  <si>
    <t>3- Basınç odalarında fiilen görev yapan Sağlık Hizmetleri ve Teknik Hizmetler Sınıfına dahil personele (1000) puan temininde güçlük zammı ayrıca ödenir.</t>
  </si>
  <si>
    <t>İÇİŞLERİ BAKANLIĞI</t>
  </si>
  <si>
    <t>Vali (İl ve Merkezde)..................................................</t>
  </si>
  <si>
    <t>Vali Yardımcısı (İllerde).............................................</t>
  </si>
  <si>
    <t>a) APK Uzmanı...........................................................</t>
  </si>
  <si>
    <t>b) APK Uzman Yardımcısı.........................................</t>
  </si>
  <si>
    <t>Kaymakam..................................................................</t>
  </si>
  <si>
    <t>Kaymakam Adayı......................................................:</t>
  </si>
  <si>
    <t>a) İl Planlama Uzmanı................................................</t>
  </si>
  <si>
    <t>b) İl Planlama Uzman Yardımcısı...............................</t>
  </si>
  <si>
    <t xml:space="preserve">Şube Müdürü ve Eğitim Uzmanı (MİAHS), Hukuk </t>
  </si>
  <si>
    <t>İşleri Müdürü..............................................................</t>
  </si>
  <si>
    <t>İl Nüfus ve Vatandaşlık Müdürü (Yükseköğrenimli</t>
  </si>
  <si>
    <t>Olmayanlar)................................................................</t>
  </si>
  <si>
    <t>Nüfus Müdürleri:</t>
  </si>
  <si>
    <t>a) Kadro derecesi (1-4) olanlar..............................</t>
  </si>
  <si>
    <t>2- İl Valilerine (800), Kaymakamlara (500) puan iş riski zammı verilir.</t>
  </si>
  <si>
    <t>EMNİYET GENEL MÜDÜRLÜĞÜ</t>
  </si>
  <si>
    <t>Genel Müdür...............................................................</t>
  </si>
  <si>
    <t>Birinci Sınıf Emniyet Müdürleri:</t>
  </si>
  <si>
    <t>a) Genel Müdür Yardımcısı, Teftiş Kurulu Başkanı,</t>
  </si>
  <si>
    <t>Polis Akademisi Başkanı ............................................</t>
  </si>
  <si>
    <t xml:space="preserve">b) Daire Başkanı, 1. Hukuk Müşaviri, İl Emniyet </t>
  </si>
  <si>
    <t>Müdürü, Koruma Müdürleri, Polis Koleji Müdürü….</t>
  </si>
  <si>
    <t>c) Diğerleri..................................................................</t>
  </si>
  <si>
    <t>İkinci Sınıf Emniyet Müdürü ....................................</t>
  </si>
  <si>
    <t>Üçüncü Sınıf Emniyet Müdürü .................................</t>
  </si>
  <si>
    <t>Dördüncü Sınıf Emniyet Müdürü ..............................</t>
  </si>
  <si>
    <t>Emniyet Amirleri .......................................................</t>
  </si>
  <si>
    <t>Başkomiser .................................................................</t>
  </si>
  <si>
    <t>Komiser ......................................................................</t>
  </si>
  <si>
    <t>Komiser Yardımcısı  (Stajyer dahil) ..........................</t>
  </si>
  <si>
    <t xml:space="preserve">Polis Memuru (Stajyer dahil)..................................... </t>
  </si>
  <si>
    <t>Çarşı ve Mahalle Bekçisi (Stajyer dahil)....................</t>
  </si>
  <si>
    <t>2- A) Şube Müdürü, Emniyet Amiri, Başkomiser, Komiser, Komiser Yardımcısı (Stajyer dahil) ve Polis Memurlarından (Stajyer dahil) patlayıcı maddeleri zararsız hale getirme ve yok etme kursu gören ve fiilen bu hizmetlerde çalışanlar, Özel Harekat Timlerinde fiilen hizmet görenler ile panzer ve zırhlı taşıtlarda fiilen çalışan sürücü, operatör ve kule görevlileri ile hava trafik kontrolörlüğü veya havacılık enformasyon eğitimi almış olup polis havacılık harekat birimlerinde fiilen görev yapan hava trafik kontrolörleri ve enformasyon görevlilerinden;</t>
  </si>
  <si>
    <t xml:space="preserve">   DIŞİŞLERİ BAKANLIĞI</t>
  </si>
  <si>
    <t xml:space="preserve">Eğitim Merkezi Başkanı, Stratejik Araştırma </t>
  </si>
  <si>
    <t>Merkezi Başkanı, Dış Politika Danışma Kurulu</t>
  </si>
  <si>
    <t>Üyesi, Müfettiş (Büyükelçi)........................................</t>
  </si>
  <si>
    <t>Tercüme Merkezi Başkanı .........................................</t>
  </si>
  <si>
    <t>Bakan Özel Müşaviri, Müsteşar Özel Müşaviri,</t>
  </si>
  <si>
    <t xml:space="preserve">Eğitim Merkezi Sekreteri, Stratejik Araştırma </t>
  </si>
  <si>
    <t>Merkezi Sekreteri .......................................................</t>
  </si>
  <si>
    <t>Şube Müdürü, Danışman ...........................................</t>
  </si>
  <si>
    <t xml:space="preserve">Başkatip, İkinci Katip, Üçüncü Katip, Aday </t>
  </si>
  <si>
    <t>Meslek Memuru .........................................................</t>
  </si>
  <si>
    <t>MALİYE BAKANLIĞI</t>
  </si>
  <si>
    <t>Başhukuk Müşavirliği ve</t>
  </si>
  <si>
    <t>Muhakemat Genel Müdürlüğü:</t>
  </si>
  <si>
    <t>a) Hukuk Müşaviri ...............................................</t>
  </si>
  <si>
    <t>b) Muhakemat Müdürü .........................................</t>
  </si>
  <si>
    <t>c) Muhakemat Müdür Yardımcısı ........................</t>
  </si>
  <si>
    <t xml:space="preserve">: </t>
  </si>
  <si>
    <t>d) Hazine Avukatı ................................................</t>
  </si>
  <si>
    <t>e) Raportör ............................................................</t>
  </si>
  <si>
    <t xml:space="preserve">Maliye Başkanı, Mali Suçları Araştırma Kurulu </t>
  </si>
  <si>
    <t xml:space="preserve">Başkan Yardımcısı, Milli Emlak Dairesi Başkanı     </t>
  </si>
  <si>
    <t>Defterdar:</t>
  </si>
  <si>
    <t>a) Ankara, İstanbul, İzmir ....................................</t>
  </si>
  <si>
    <t>b) Diğer İller..........................................................</t>
  </si>
  <si>
    <t>c) Yukarıdakilerin yardımcıları ............................</t>
  </si>
  <si>
    <t>a) Bütçe Dairesi Başkanı ............................................</t>
  </si>
  <si>
    <t>b) Bütçe Dairesi Başkan Yardımcısı ..........................</t>
  </si>
  <si>
    <t>Muhasebe Müdürü, Saymanlık Müdürü, Mal Müdürü,</t>
  </si>
  <si>
    <t xml:space="preserve">Sayman (Kefalet Sandığı), Milli Emlak Müdürü, </t>
  </si>
  <si>
    <t>a) Kadro derecesi (1-2) olanlar .............................</t>
  </si>
  <si>
    <t>b) Diğerleri ...........................................................</t>
  </si>
  <si>
    <t>Tasfiye İşleri D.S.İ. Genel Müdürlüğü:</t>
  </si>
  <si>
    <t>a) İşletme Müdürü ................................................</t>
  </si>
  <si>
    <t>b) İşletme Müdür Yardımcısı ...............................</t>
  </si>
  <si>
    <t>c) Ambar Memuru ................................................</t>
  </si>
  <si>
    <t>Şube Müdürü (Merkez), Müdür (Merkez), APK</t>
  </si>
  <si>
    <t>b) Kadro derecesi (3-4) olanlar ............................</t>
  </si>
  <si>
    <t>c) Diğerleri .................................................................</t>
  </si>
  <si>
    <t>a) Devlet Bütçe Uzmanı, Devlet Muhasebe Uzmanı,</t>
  </si>
  <si>
    <t xml:space="preserve">Mali Suçları Araştırma Uzmanı, Muhasebe Uzmanı, </t>
  </si>
  <si>
    <t>Milli Emlak Uzmanı……............................................</t>
  </si>
  <si>
    <t>b) Yukarıdakilerin yardımcıları .................................</t>
  </si>
  <si>
    <t>Şube Müdürü (Taşra), Müdür (Taşra), Uzman ..........</t>
  </si>
  <si>
    <t>Şef ..............................................................................</t>
  </si>
  <si>
    <t>2- 7 nci sırada yer alan İşletme Müdürlerinden Mühendis olanlara Teknik Hizmetler Bölümünün Not</t>
  </si>
  <si>
    <t>3 üncü sırasına göre ek temininde güçlük zammı ödenebilir.</t>
  </si>
  <si>
    <t>3- Tasfiye İşleri Döner Sermaye İşletmeleri Genel Müdürlüğünde;</t>
  </si>
  <si>
    <t>a) Satış mağazalarında çalışan satış memurları ile satış memuru olarak görevlendirilenlere ayrıca (250) puan iş güçlüğü zammı,</t>
  </si>
  <si>
    <t>b) Ambar ve sundurmalarda görev yapan Ambar Memurları ile bu amaçla görev yapan diğer memurlara ayrıca (600) puan iş güçlüğü zammı,</t>
  </si>
  <si>
    <t>ödenebilir.</t>
  </si>
  <si>
    <t xml:space="preserve">  GELİR İDARESİ BAŞKANLIĞI</t>
  </si>
  <si>
    <t>Gelir İdaresi Başkanı………………………………...</t>
  </si>
  <si>
    <t>Müşavir……………………………………………...</t>
  </si>
  <si>
    <t>Gelir İdaresi Grup Müdürü……………….………….</t>
  </si>
  <si>
    <t>Vergi Dairesi Müdürü, Müdür (Merkez, Taşra)……..</t>
  </si>
  <si>
    <t>Takdir Komisyonu:</t>
  </si>
  <si>
    <t>a) Başkan ..............................................................</t>
  </si>
  <si>
    <t>b) Üyeler ...............................................................</t>
  </si>
  <si>
    <t>Vergi Daresi Müdür Yardımcısı, Müdür Yardımcısı..</t>
  </si>
  <si>
    <t xml:space="preserve">a) Devlet Gelir Uzmanı, Gelir Uzmanı, </t>
  </si>
  <si>
    <t>Vergi İstihbarat Uzmanı, ……....................................</t>
  </si>
  <si>
    <t>9 uncu sırada sayılanlardan muhasebe yetkililiği görevini yürütenlere ve icra memurlarına (500) puan mali sorumluluk zammı ödenebilir.</t>
  </si>
  <si>
    <t>MİLLİ EĞİTİM BAKANLIĞI</t>
  </si>
  <si>
    <t>Talim ve Terbiye Kurulu Başkanlığı:</t>
  </si>
  <si>
    <t>b) Üye ...................................................................</t>
  </si>
  <si>
    <t>c) Uzman ..............................................................</t>
  </si>
  <si>
    <t>Şube Müdürü, APK Uzmanı, Eğitim Uzmanı</t>
  </si>
  <si>
    <t>(Bakanlık Merkez Teşkilatında) ................................</t>
  </si>
  <si>
    <t>SAĞLIK BAKANLIĞI</t>
  </si>
  <si>
    <t>İl Sağlık Müdürü ........................................................</t>
  </si>
  <si>
    <t>İl Sağlık Müdür Yardımcısı .......................................</t>
  </si>
  <si>
    <t>DEVLET METEOROLOJİ İŞLERİ</t>
  </si>
  <si>
    <t>Devlet Meteoroloji Uzmanı....................................</t>
  </si>
  <si>
    <t>Devlet Meteoroloji Uzman Yardımcısı .................</t>
  </si>
  <si>
    <t>2- Teknik Hizmetler Bölümünde belirtilen puanlara ilave olarak, İstidlalci (Şef) lere 450 puan, İstidlalci, Rasatçı, Rasatçı Yardımcısı ve Haberleşme Teknisyenlerine 300 puan, Rasat Kontrol Memuru ve Haberleşme Memurlarına (Yağış Rasatçıları hariç) 300 puan temininde güçlük zammı verilebilir.</t>
  </si>
  <si>
    <t xml:space="preserve">ULAŞTIRMA BAKANLIĞI, </t>
  </si>
  <si>
    <t>DENİZCİLİK MÜSTEŞARLIĞI,</t>
  </si>
  <si>
    <t>SİVİL HAVACILIK GENEL MÜDÜRLÜĞÜ</t>
  </si>
  <si>
    <t>Liman Başkanı ...........................................................</t>
  </si>
  <si>
    <t>Gemi Sörvey Kurulu:</t>
  </si>
  <si>
    <t>b) Uzman ..............................................................</t>
  </si>
  <si>
    <t xml:space="preserve">Müdür (Hava Ulaşım, Hava Seyrüsefer) </t>
  </si>
  <si>
    <t>(Lisanslı Kontrolör) ......................................</t>
  </si>
  <si>
    <t>Denizcilik Uzmanı .....................................................</t>
  </si>
  <si>
    <t>Denizcilik Uzman Yardımcısı ....................................</t>
  </si>
  <si>
    <t>TARIM VE KÖYİŞLERİ BAKANLIĞI,</t>
  </si>
  <si>
    <t>ÇEVRE VE ORMAN BAKANLIĞI,</t>
  </si>
  <si>
    <t>ORMAN GENEL MÜDÜRLÜĞÜ</t>
  </si>
  <si>
    <t>Çevre ve Orman Uzmanları .......................................</t>
  </si>
  <si>
    <t>Çevre ve Orman Uzman Yardımcıları .......................</t>
  </si>
  <si>
    <t>Orman Muhafaza Memuru .........................................</t>
  </si>
  <si>
    <t>Mutemet (Maaş Mutemetleri hariç) ..........................</t>
  </si>
  <si>
    <t>Sayman .................... ..................................................</t>
  </si>
  <si>
    <t>SANAYİ VE TİCARET BAKANLIĞI</t>
  </si>
  <si>
    <t>a) Tüketici ve Rekabet Uzmanı ..................................</t>
  </si>
  <si>
    <t>b) Tüketici ve Rekabet Uzman Yardımcısı ................</t>
  </si>
  <si>
    <t xml:space="preserve">KÜLTÜR VE TURİZM BAKANLIĞI </t>
  </si>
  <si>
    <t xml:space="preserve">Milli Kütüphane Başkanı, Milli Kütüphane </t>
  </si>
  <si>
    <t>Başkan Yardımcısı .....................</t>
  </si>
  <si>
    <t xml:space="preserve">Atatürk Kültür Merkezi Müdürü (Ankara, İstanbul), </t>
  </si>
  <si>
    <t>İl Kültür ve Turizm Müdürü, Müze Başkanı.........</t>
  </si>
  <si>
    <t>2 nci sırada sayılanların yardımcıları .....................</t>
  </si>
  <si>
    <t>Müdür, Şube Müdürü .................................................</t>
  </si>
  <si>
    <t>Müdür Yardımcısı.......................................................        :</t>
  </si>
  <si>
    <t>Kültür ve Turizm Uzmanı...........................................       :</t>
  </si>
  <si>
    <t>Kültür ve Turizm Uzman Yardımcısı.......................         :</t>
  </si>
  <si>
    <t>Müze Müdür Yardımcısı, Müze Araştırmacısı,</t>
  </si>
  <si>
    <t xml:space="preserve">Uzman, Kütüphaneci, Kitap Pataloğu, Folklor </t>
  </si>
  <si>
    <t>Araştırmacısı...............................................................</t>
  </si>
  <si>
    <t>Su Altında Araştırma Yapan:</t>
  </si>
  <si>
    <t xml:space="preserve">Müze Müdürü, Müze Müdür Yardımcısı, Müze </t>
  </si>
  <si>
    <t>Araştırmacısı, Arkeolog .............................................</t>
  </si>
  <si>
    <t>Enformasyon Memuru, Rehber...................................</t>
  </si>
  <si>
    <t>DEVLET TİYATROLARI GENEL MÜDÜRLÜĞÜ,</t>
  </si>
  <si>
    <t>Devlet Opera ve Balesi Müdürü.................................</t>
  </si>
  <si>
    <t>Tiyatro Müdür Yardımcısı, Devlet Opera</t>
  </si>
  <si>
    <t xml:space="preserve"> ve Balesi Müdür Yardımcısı .....................................</t>
  </si>
  <si>
    <t xml:space="preserve">ATATÜRK KÜLTÜR DİL VE TARİH </t>
  </si>
  <si>
    <t>YÜKSEK KURUMU BAŞKANLIĞI</t>
  </si>
  <si>
    <t>Yüksek Kurum Başkanı .............................................</t>
  </si>
  <si>
    <t>Yüksek Kurum Başkan Yardımcısı ...........................</t>
  </si>
  <si>
    <t>Atatürk Kültür Merkezi, Türk Dil Kurumu,</t>
  </si>
  <si>
    <t>Türk Tarih Kurumu, Atatürk Araştırma Merkezi</t>
  </si>
  <si>
    <t>Başkanları ..................................................................</t>
  </si>
  <si>
    <t>3 üncü sırada sayılanların yardımcıları ......................</t>
  </si>
  <si>
    <t>Genel Sekreter ............................................................</t>
  </si>
  <si>
    <t>Kurum Sekreteri, Merkez  Sekreteri ..........................</t>
  </si>
  <si>
    <t>Denetleme Kurulu Üyesi ............................................</t>
  </si>
  <si>
    <t>Şube Müdürü ..............................................................</t>
  </si>
  <si>
    <t>a) Kadro derecesi (1-4) olanlar ...............................</t>
  </si>
  <si>
    <t>b) Diğerleri ..............................................................</t>
  </si>
  <si>
    <t>c) Yardımcıları ........................................................</t>
  </si>
  <si>
    <t>TOPLU KONUT İDARESİ BAŞKANLIĞI</t>
  </si>
  <si>
    <t>Başkan Yardımcısı .....................................................</t>
  </si>
  <si>
    <t>Şube Müdürü, Uzman ................................................</t>
  </si>
  <si>
    <t>Uzman Yardımcısı, Şef  .............................................</t>
  </si>
  <si>
    <t>SOSYAL HİZMETLER VE ÇOCUK ESİRGEME</t>
  </si>
  <si>
    <t>KURUMU GENEL MÜDÜRLÜĞÜ</t>
  </si>
  <si>
    <t>Kuruluş Müdürü:</t>
  </si>
  <si>
    <t>a) Yetiştirme Yurdu, Çocuk Yuvası ve</t>
  </si>
  <si>
    <t>b) Diğer yerlerde .....................................................</t>
  </si>
  <si>
    <t>Kuruluş Müdür Yardımcısı:</t>
  </si>
  <si>
    <t>SAVUNMA SANAYİİ MÜSTEŞARLIĞI</t>
  </si>
  <si>
    <t>Şube Müdürü, Uzman:</t>
  </si>
  <si>
    <t>a) Kadro Derecesi (1-2) olanlar ...............................</t>
  </si>
  <si>
    <t xml:space="preserve">b) Diğerleri ............................................................. </t>
  </si>
  <si>
    <t>Şef, Uzman Yardımcısı ..............................................</t>
  </si>
  <si>
    <t xml:space="preserve">GENÇLİK VE SPOR GENEL MÜDÜRLÜĞÜ </t>
  </si>
  <si>
    <t>Spor Müşaviri………………………………………..</t>
  </si>
  <si>
    <t>Federasyon Genel Sekreteri .......................................</t>
  </si>
  <si>
    <t>Muhasebeci ................................................................</t>
  </si>
  <si>
    <t>Spor Kontrolörü .........................................................</t>
  </si>
  <si>
    <t>ANADOLU ÜNİVERSİTESİ (Açık Öğretim Fakültesi)</t>
  </si>
  <si>
    <t>Sinema TV Uygulayıcısı (Yönetmen, Programcı,</t>
  </si>
  <si>
    <t>Spiker, Kameraman, Sesçi, Montajcı, Redaktör,</t>
  </si>
  <si>
    <t>Işıkçı, Operatör, Dublaj Yönetmeni, Efektör,</t>
  </si>
  <si>
    <t>Mizanpajcı, Resim Seçici, Makyajcı, Reprocu,</t>
  </si>
  <si>
    <t>Pantograf, Animatör, Butaför) ...................................</t>
  </si>
  <si>
    <t>MTA GENEL MÜDÜRLÜĞÜ</t>
  </si>
  <si>
    <t>Paleontolog ................................................................</t>
  </si>
  <si>
    <t xml:space="preserve">:          </t>
  </si>
  <si>
    <t>Obzerver .....................................................................</t>
  </si>
  <si>
    <t>Harita Çizimcisi .........................................................</t>
  </si>
  <si>
    <t>2- 1 inci sırada sayılanlara, açık maden ocaklarında fiilen çalışılan süreler için 400 puan iş riski zammı ödenir.</t>
  </si>
  <si>
    <t>YÜKSEK ÖĞRENİM KREDİ VE YURTLAR KURUMU</t>
  </si>
  <si>
    <t>GENEL MÜDÜRLÜĞÜ İLE ÜNİVERSİTELER</t>
  </si>
  <si>
    <t>Yurt Müdürü ..............................................................</t>
  </si>
  <si>
    <t>Yurt Müdür Yardımcısı ..............................................</t>
  </si>
  <si>
    <t>Yurt Yönetim Memuru ..............................................</t>
  </si>
  <si>
    <t>ATATÜRK ORMAN ÇİFTLİĞİ MÜDÜRLÜĞÜ</t>
  </si>
  <si>
    <t>Müdür .........................................................................</t>
  </si>
  <si>
    <t>Müdür Yardımcısı ......................................................</t>
  </si>
  <si>
    <t>Muhasebe ve Mali İşler Müdürü ................................</t>
  </si>
  <si>
    <t>TÜTÜN, TÜTÜN MAMULLERİ, TUZ VE ALKOL</t>
  </si>
  <si>
    <t>İŞLETMELERİ GENEL MÜDÜRLÜĞÜ</t>
  </si>
  <si>
    <t>Pazarlama ve Dağıtım Müdürü ..................................</t>
  </si>
  <si>
    <t>Pazarlama ve Dağıtım Memuru, Tuzla Memuru,</t>
  </si>
  <si>
    <t>Tuzla Amiri ................................................................</t>
  </si>
  <si>
    <t xml:space="preserve">TCDD-TÜVASAŞ- TÜDEMSAŞ-TÜLOMSAŞ </t>
  </si>
  <si>
    <t>GENEL MÜDÜRLÜKLERİ</t>
  </si>
  <si>
    <t xml:space="preserve">Başmakinist, Makinist, Makinist Yardımcısı, Ateşçi </t>
  </si>
  <si>
    <t xml:space="preserve">Tren Şefi .................................................................... </t>
  </si>
  <si>
    <t xml:space="preserve">Depo Şefi, İmdat Ekip Şefi, Revizörlük Müdür </t>
  </si>
  <si>
    <t>Yardımcısı, Ustabaşı, Grup Amiri, Şef Revizör,</t>
  </si>
  <si>
    <t>Başrevizör, (İlk, Ortaokul), Başdispeyçer ..................</t>
  </si>
  <si>
    <t>Reyyon Şefi, Reyyon Memuru ..................................</t>
  </si>
  <si>
    <t>Hareket Başkontrolörü, Dispeyçer, Gar Şefi,</t>
  </si>
  <si>
    <t>İstasyon Şefi, Tren Kontrolörü, Gar Müdür</t>
  </si>
  <si>
    <t>Yardımcısı, Hareket Memuru, Kondoktör,</t>
  </si>
  <si>
    <t>Gardfren, Başmanevracı, Manevracı, Revizör,</t>
  </si>
  <si>
    <t>Revizör Yardımcısı ....................................................</t>
  </si>
  <si>
    <t>Ticaret Başkontrolörü, Harekat Bölge</t>
  </si>
  <si>
    <t>Amiri, Vinçci .............................................................</t>
  </si>
  <si>
    <t>Başrepartitör, Ticaret Kontrolörü, Harekat</t>
  </si>
  <si>
    <t xml:space="preserve">Kontrolörü ................................................................. </t>
  </si>
  <si>
    <t>Kontrolör Yardımcısı, Harekat Bölge Amir</t>
  </si>
  <si>
    <t>Yardımcısı, Repartitör, Makasçı, Pompacı,</t>
  </si>
  <si>
    <t xml:space="preserve">Filtreci ....................................................................... </t>
  </si>
  <si>
    <t>Liman Servis Şefi, Liman Şefi, Liman Personel</t>
  </si>
  <si>
    <t>ve İdari İşler Amiri, Telgraf-Telem Ekip Şefi,</t>
  </si>
  <si>
    <t>Telgraf-Telem Şefi .....................................................</t>
  </si>
  <si>
    <t>Telgraf-Telem Memuru, Muhabere Memuru,</t>
  </si>
  <si>
    <t>Tesisler Çavuşu, Yol Çavuşu .....................................</t>
  </si>
  <si>
    <t>Liman İşletme Amiri, Ambar Şefi .............................</t>
  </si>
  <si>
    <t>Başpuantör (Limanda), Yol Bekçisi ..........................</t>
  </si>
  <si>
    <t>Puantör (Limanda), Ambar Saymanı (Hareket) .........</t>
  </si>
  <si>
    <t>Başpuantör, Puantör (Ambarda), Cer Muayene</t>
  </si>
  <si>
    <t>Memuru, Ambar Saymanı (Ticaret) ...........................</t>
  </si>
  <si>
    <t xml:space="preserve">TOPRAK MAHSULLERİ OFİSİ GENEL MÜDÜRLÜĞÜ </t>
  </si>
  <si>
    <t>Afyon Alkaloidleri Fabrikası İşletme Müdürlüğü:</t>
  </si>
  <si>
    <t xml:space="preserve">a) Eczacı ................................................................. </t>
  </si>
  <si>
    <t>b) Fabrika Ustası .....................................................</t>
  </si>
  <si>
    <t>c) Mamul Madde Depo Memuru .............................</t>
  </si>
  <si>
    <t>d) Fabrika Forkliftçisi .............................................</t>
  </si>
  <si>
    <t xml:space="preserve">Kontrolör ................................................................... </t>
  </si>
  <si>
    <t>DEVLET HAVA MEYDANLARI İŞLETMESİ</t>
  </si>
  <si>
    <t>Uçuş Kontrol Şubesi Müdürü (Uçucu) ......................</t>
  </si>
  <si>
    <t>Hava Seyrüsefer Müdürü (Lisanslı Kontrolör) ..........</t>
  </si>
  <si>
    <t>Hava Seyrüsefer Müdür Muavini (Lisanslı</t>
  </si>
  <si>
    <t>Hava Limanı:</t>
  </si>
  <si>
    <t>a) Başmüdür ............................................................</t>
  </si>
  <si>
    <t>b) Başmüdür Yardımcısı .........................................</t>
  </si>
  <si>
    <t>GAP İDARESİ BAŞKANLIĞI</t>
  </si>
  <si>
    <t>Başkan ........................................................................</t>
  </si>
  <si>
    <t xml:space="preserve">  ÖZEL ÇEVRE KORUMA KURUMU BAŞKANLIĞI</t>
  </si>
  <si>
    <t>II SAYILI CETVEL</t>
  </si>
  <si>
    <t>Özel Hizmet Tazminatı</t>
  </si>
  <si>
    <t>ÜST YÖNETİM VE GENEL İDARE HİZMETLERİ</t>
  </si>
  <si>
    <t>GRUP-1............................................................................</t>
  </si>
  <si>
    <t>GRUP-2............................................................................</t>
  </si>
  <si>
    <t>GRUP-3............................................................................</t>
  </si>
  <si>
    <t>Sosyal Güvenlik Kurumu Başkanı, Sosyal Sigortalar Kurumu Başkanı…..</t>
  </si>
  <si>
    <t>GRUP-4............................................................................</t>
  </si>
  <si>
    <t>Müsteşar Yardımcısı.....................................................................................</t>
  </si>
  <si>
    <t>Genel Müdür.................................................................................................</t>
  </si>
  <si>
    <t>Bakanlık ve Müsteşarlık Kurul Başkanları...................................................</t>
  </si>
  <si>
    <t>Başbakan Müşaviri, Başbakanlık Başkanları................................................</t>
  </si>
  <si>
    <t>Devlet Planlama Teşkilatı Genel Sekreteri...................................................</t>
  </si>
  <si>
    <t>Yükseköğretim Kurulu Genel Sekreteri........................................................</t>
  </si>
  <si>
    <t>Bakanlar Kurulu Sekreteri............................................................................</t>
  </si>
  <si>
    <t>Başbakanlık Özel Kalem Müdürü.................................................................</t>
  </si>
  <si>
    <t>Büyükşehir Belediye Genel Sekreteri...........................................................</t>
  </si>
  <si>
    <t>Defterdar, Vergi Dairesi Başkanı.................................................................</t>
  </si>
  <si>
    <t>İl Milli Eğitim Müdürü.................................................................................</t>
  </si>
  <si>
    <t>GRUP-6............................................................................</t>
  </si>
  <si>
    <t>Bakanlık Kurul Üyesi, Dışişleri Bakanlığı Tercüme Merkezi Başkanı........</t>
  </si>
  <si>
    <t xml:space="preserve">İl ve Büyükşehirlerin Merkez İlçelerinin Belediye Başkan Yardımcıları </t>
  </si>
  <si>
    <t>Çalışma ve Sosyal Güvenlik Eğitim ve Araştırma Merkezi Başkanı……....:</t>
  </si>
  <si>
    <t>Büyükşehir Belediyesi bulunan illerin İl Özel İdaresi Genel Sekreter Yrd.</t>
  </si>
  <si>
    <t>Diğer İl ve Büyükşehirlerin Merkez İlçelerinin Belediye Başkan Yardımcısı:</t>
  </si>
  <si>
    <t>Başbakanlık Basımevi Döner Sermaye İşletme Müdürü..............................</t>
  </si>
  <si>
    <t>GRUP-8............................................................................</t>
  </si>
  <si>
    <t>Başkanlık Müşaviri, Genel Müdürlük Müşaviri, KİT Müşaviri...................</t>
  </si>
  <si>
    <t>GRUP-9............................................................................</t>
  </si>
  <si>
    <t>Genel Sekreter Yardımcısı............................................................................</t>
  </si>
  <si>
    <t>Fakülte ve Yüksekokul Sekreteri...................................................................:</t>
  </si>
  <si>
    <t>Bağlı ve ilgili kuruluş İl Müdür Yardımcısı (Ankara, İstanbul, İzmir),                                                                              İl Müftü Yardımcısı (Ankara, İstanbul, İzmir).............................................</t>
  </si>
  <si>
    <t>Özel Çevre Koruma Müdürü, ………………………………………. …….:</t>
  </si>
  <si>
    <t>GRUP-10..........................................................................</t>
  </si>
  <si>
    <t>Diğer İllerin İl Müdür Yardımcısı.................................................................:</t>
  </si>
  <si>
    <t>Enstitü Sekreteri, Borsa Komiseri................................................................</t>
  </si>
  <si>
    <t>GRUP-11..........................................................................</t>
  </si>
  <si>
    <t>Bütçe Dairesi Başkan Yardımcısı.................................................................</t>
  </si>
  <si>
    <t>10 uncu grup 5 inci sırada sayılanların yardımcıları.....................................</t>
  </si>
  <si>
    <t>GRUP-12..........................................................................</t>
  </si>
  <si>
    <t>Bakanlık, Başkanlık ve Genel Müdürlüklerde Kurul Üyesi.........................</t>
  </si>
  <si>
    <t>Enstitü, Fakülte ve Yüksekokul Sekreteri.....................................................</t>
  </si>
  <si>
    <t>Hukuk Müşaviri............................................................................................</t>
  </si>
  <si>
    <t>Birlik Sekreteri..............................................................................................</t>
  </si>
  <si>
    <t>1, 2</t>
  </si>
  <si>
    <t>Belediye Başkan Yardımcısı.........................................................................</t>
  </si>
  <si>
    <t>Borsa Komiseri, Borsa Komiser Yardımcısı................................................</t>
  </si>
  <si>
    <t>GRUP-13..........................................................................</t>
  </si>
  <si>
    <t>Gelir İdaresi Grup Müdürü…………………………………………………</t>
  </si>
  <si>
    <t>Enstitü Sekreteri, Birlik Sekreteri.................................................................</t>
  </si>
  <si>
    <t>Savunma Sekreteri........................................................................................</t>
  </si>
  <si>
    <t>2, 3</t>
  </si>
  <si>
    <t>Müze Araştırmacısı.......................................................................................</t>
  </si>
  <si>
    <t>1, 2, 3</t>
  </si>
  <si>
    <t>GRUP-14..........................................................................</t>
  </si>
  <si>
    <t>GRUP-15..........................................................................</t>
  </si>
  <si>
    <t>Şube Müdürü, Müdür, Sayman, Başkan ve bunların yardımcıları,..............</t>
  </si>
  <si>
    <t>Programcı, Çözümleyici, Muhasebeci, Kontrolör, Antrenör.......................</t>
  </si>
  <si>
    <t>Folklor Araştırmacısı....................................................................................</t>
  </si>
  <si>
    <t>GRUP-16..........................................................................</t>
  </si>
  <si>
    <t>Mütercim, Araştırmacı, Raportör, Uzman  (Diğer),………………………..</t>
  </si>
  <si>
    <t>Amir ve Şef....................................................................................................</t>
  </si>
  <si>
    <t>3, 4</t>
  </si>
  <si>
    <t>5, 6, 7</t>
  </si>
  <si>
    <t>Kütüphaneci..................................................................................................</t>
  </si>
  <si>
    <t>GRUP-17..........................................................................</t>
  </si>
  <si>
    <t>DENETİM HİZMETLERİ</t>
  </si>
  <si>
    <t>AVUKATLIK HİZMETLERİ</t>
  </si>
  <si>
    <t>Kurumların Avukatlık Hizmetleri Sınıfına dahil kadrolarında bulunanlardan;</t>
  </si>
  <si>
    <t>DIŞİŞLERİ MESLEK MEMURLARI</t>
  </si>
  <si>
    <t>TEKNİK HİZMETLER</t>
  </si>
  <si>
    <t>1-</t>
  </si>
  <si>
    <t>En az dört yıllık yükseköğrenim görenlerden;</t>
  </si>
  <si>
    <t>a)</t>
  </si>
  <si>
    <t>Başmühendis, Başmimarlar ..................................</t>
  </si>
  <si>
    <t>b)</t>
  </si>
  <si>
    <t>-1-4 derecelerden aylık alanlar .............................</t>
  </si>
  <si>
    <t>-Diğer derecelerden aylık alanlar .........................</t>
  </si>
  <si>
    <t>c)</t>
  </si>
  <si>
    <t>d)</t>
  </si>
  <si>
    <t>3-</t>
  </si>
  <si>
    <t>-1-5 derecelerden aylık alanlar .............................</t>
  </si>
  <si>
    <t>4-</t>
  </si>
  <si>
    <t>Lise dengi mesleki teknik öğrenim görenlerden;</t>
  </si>
  <si>
    <t>SAĞLIK HİZMETLERİ</t>
  </si>
  <si>
    <t>Diğer Tazminatlar</t>
  </si>
  <si>
    <t>A. Eğitim Öğretim Tazminatı:</t>
  </si>
  <si>
    <t>I-</t>
  </si>
  <si>
    <t>100</t>
  </si>
  <si>
    <t>-Diğer derecelerden aylık alanlar......................................................................................</t>
  </si>
  <si>
    <t>II-</t>
  </si>
  <si>
    <t>B. Din Hizmetleri Tazminatı:</t>
  </si>
  <si>
    <t xml:space="preserve">-1 inci dereceden aylık alanlar (Ankara, İstanbul ve İzmir İl Müftü Yardımcıları hariç) </t>
  </si>
  <si>
    <t>-2 nci dereceden aylık alanlar...........................................................................................</t>
  </si>
  <si>
    <t>-3 üncü dereceden aylık alanlar........................................................................................</t>
  </si>
  <si>
    <t>-4 üncü dereceden aylık alanlar........................................................................................</t>
  </si>
  <si>
    <t xml:space="preserve">b) </t>
  </si>
  <si>
    <t>Mesleği ile ilgili yükseköğrenim görerek vaiz kadrolarına atananlardan;</t>
  </si>
  <si>
    <t>-1 inci dereceden aylık alanlar .........................................................................................</t>
  </si>
  <si>
    <t>Din Hizmetleri Sınıfına dahil kadrolarda bulunanlardan;</t>
  </si>
  <si>
    <t>1- Yükseköğrenimli olanlardan;</t>
  </si>
  <si>
    <t>-1-4 üncü derecelerden aylık alanlar.................................................................................</t>
  </si>
  <si>
    <t>2- İmam Hatip Lisesi mezunlarından;</t>
  </si>
  <si>
    <t>-5-9 uncu derecelerden aylık alanlar.................................................................................</t>
  </si>
  <si>
    <t>3- Diğerlerinden;</t>
  </si>
  <si>
    <t>-8-15 inci derecelerden aylık alanlar................................................................................</t>
  </si>
  <si>
    <t xml:space="preserve">Diyanet İşleri Başkanlığı merkez ve taşra teşkilatının Genel İdare Hizmetleri Sınıfına </t>
  </si>
  <si>
    <t>Yönetim ve Genel İdare Hizmetleri bölümünün 3 üncü ve 4 üncü grubunda</t>
  </si>
  <si>
    <t>bulunanlar hariç)….………………………………………………………………………....</t>
  </si>
  <si>
    <t>C. Emniyet Hizmetleri Tazminatı:</t>
  </si>
  <si>
    <t>D. Mülki İdare Amirliği Özel Hizmet Tazminatı:</t>
  </si>
  <si>
    <t>Mülki İdare Amirliği Sınıfına dahil kadrolarda bulunanlardan;</t>
  </si>
  <si>
    <t>e) Diğerlerinden (Mülkiye Müfettişleri dahil);</t>
  </si>
  <si>
    <t>E. Denetim Tazminatı:</t>
  </si>
  <si>
    <t>II Sayılı Cetvelin (B) Denetim Hizmetleri Bölümünün;</t>
  </si>
  <si>
    <t>F. Adalet Hizmetleri Tazminatı:</t>
  </si>
  <si>
    <t>puan ilave edilir.</t>
  </si>
  <si>
    <t>IV SAYILI CETVEL</t>
  </si>
  <si>
    <t>Kalkınmada Öncelikli Yörelerin Dereceleri</t>
  </si>
  <si>
    <t>1. BÖLGE</t>
  </si>
  <si>
    <t>AKSARAY ESKİL, SARIYAHŞİ, ORTAKÖY; GİRESUN GÜCE, PALAKLI (YAĞLIDERE), DERELİ, ÇANAKÇI, DOĞANKENT, ŞEBİNKARAHİSAR; KARAMAN AYRANCI, ERMENEK; KIRIKKALE SULAKYURT, ÇELEBİ, KARAKEÇİLİ; KIRŞEHİR BOZTEPE; KİLİS ELBEYLİ, MUSABEYLİ, POLATELİ; NEVŞEHİR ACIGÖL, KOZAKLI; ORDU ÇAYBAŞI, ÇATALPINAR, İKİZCE, KORGAN, GÜRGENTEPE, ÇAMAŞ, KUMRU, ULUBEY, KABADÜZ; OSMANİYE DÜZİÇİ, SUMBAS; RİZE ÇAMLIHEMŞİN, İKİZDERE, HEMŞİN; SAMSUN AYVACIK, ASARCIK, SALIPAZARI, YAKAKENT, KAVAK, ALAÇAM, LADİK; TRABZON DÜZKÖY, KÖPRÜBAŞI, ŞALPAZARI, HAYRAT, DERNEKPAZARI, TONYA, MAÇKA, ÇAYKARA</t>
  </si>
  <si>
    <t>2. BÖLGE</t>
  </si>
  <si>
    <t>AKSARAY AĞAÇÖREN; AMASYA MERKEZ, SULUOVA, MERZİFON, GÜMÜŞHACIKÖY, TAŞOVA; ARTVİN MERKEZ, ARHAVİ, HOPA; BARTIN MERKEZ, AMASRA; ÇANKIRI MERKEZ, ILGAZ, ATKARACALAR, ÇERKEŞ; ÇORUM MERKEZ, İSKİLİP, SUNGURLU, OSMANCIK, MECİTÖZÜ, ALACA; GİRESUN ÇAMOLUK, ALUCRA; KARABÜK MERKEZ, ESKİPAZAR, SAFRANBOLU; KARAMAN SARIVELİLER, BAŞYAYLA; KASTAMONU MERKEZ, İNEBOLU, TOSYA, TAŞKÖPRÜ; KIRŞEHİR AKÇAKENT, ÇİÇEKDAĞI; NİĞDE ÇİFTLİK, ÇAMARDI; ORDU AKKUŞ, KABATAŞ, MESUDİYE, GÖLKÖY, AYBASTI; SİNOP MERKEZ, BOYABAT, GERZE, AYANCIK; SİVAS MERKEZ, GEMEREK, ŞARKIŞLA, YILDIZELİ; TOKAT MERKEZ, ERBAA, NİKSAR, ZİLE, TURHAL, PAZAR; YOZGAT MERKEZ, SORGUN, YERKÖY, ŞEFAATLİ, SARIKAYA, AKDAĞMADENİ, BOĞAZLIYAN, ÇANDIR; ZONGULDAK MERKEZ, ÇAYCUMA, EREĞLİ, DEVREK, ALAPLI; ÇANAKKALE GÖKÇEADA, BOZCAADA</t>
  </si>
  <si>
    <t>3. BÖLGE</t>
  </si>
  <si>
    <t>ADIYAMAN MERKEZ; AMASYA HAMAMÖZÜ, GÖYNÜCEK; ARTVİN MURGUL, BORÇKA; BARTIN ULUS, KURUCAŞİLE; ÇANKIRI KORGUN, BAYRAMÖREN, KURŞUNLU, ŞABANÖZÜ, ORTA, ELDİVAN, KIZILIRMAK, YAPRAKLI; ÇORUM BOĞAZKALE, ORTAKÖY, LAÇİN, BAYAT, UĞURLUDAĞ, KARGI, OĞUZLAR, DODURGA; ELAZIĞ MERKEZ; ERZİNCAN MERKEZ; ERZURUM MERKEZ, ILICA; KASTAMONU AZDAVAY, CİDE, DADAY, DEVREKANİ, PINARBAŞI, ŞENPAZAR, KÜRE, ARAÇ, İHSANGAZİ, AĞLI, BOZKURT, SEYİDİLER, DOĞANYURT, ABANA, HANÖNÜ, ÇATALZEYTİN; KAHRAMANMARAŞ MERKEZ, ANDIRIN, GÖKSUN, ELBİSTAN, AFŞİN; KARABÜK EFLANİ, OVACIK, YENİCE; MALATYA MERKEZ; SİNOP SARAYDÜZÜ, DURAĞAN, TÜRKELİ, DİKMEN, ERFELEK; SİVAS GÜRÜN, İMRANLI, ZARA, HAFİK, ULAŞ, ALTINYAYLA, DİVRİĞİ, SUŞEHRİ; ŞANLIURFA MERKEZ; TOKAT YEŞİLYURT, ARTOVA, SULUSARAY, REŞADİYE, BAŞÇİFTLİK, ALMUS; YOZGAT SARAYKENT, ÇAYIRALAN, AYDINCIK, ÇEKEREK, KADIŞEHRİ, YENİFAKILI; ZONGULDAK GÖKÇEBEY</t>
  </si>
  <si>
    <t>4. BÖLGE</t>
  </si>
  <si>
    <t>ADIYAMAN BESNİ, KAHTA; AĞRI MERKEZ; ARDAHAN MERKEZ; ARTVİN ŞAVŞAT; BAYBURT MERKEZ; DİYARBAKIR MERKEZ; ERZİNCAN ÜZÜMLÜ, OTLUKBELİ, REFAHİYE, ÇAYIRLI; ERZURUM UZUNDERE, NARMAN, OLTU, PASİNLER, AŞKALE, PAZARYOLU, İSPİR, TORTUM; GÜMÜŞHANE MERKEZ, KELKİT; KARS MERKEZ; MALATYA AKÇADAĞ, KALE, HEKİMHAN, ARAPGİR, YEŞİLYURT, BATTALGAZİ, DARENDE; SİVAS AKINCILAR, DOĞANŞAR, KOYULHİSAR, GÖLOVA, KANGAL; ŞANLIURFA BİRECİK, BOZOVA, SURUÇ, HALFETİ; VAN MERKEZ</t>
  </si>
  <si>
    <t>5. BÖLGE</t>
  </si>
  <si>
    <t>ADIYAMAN TUT, SAMSAT, GÖLBAŞI; AĞRI TUTAK, PATNOS, ELEŞKİRT; ARTVİN ARDANUÇ, YUSUFELİ; BATMAN MERKEZ; BAYBURT DEMİRÖZÜ, AYDINTEPE; BİNGÖL MERKEZ; BİTLİS MERKEZ; ELAZIĞ BASKİL, KEBAN, MADEN, SİVRİCE, AĞIN; ERZİNCAN TERCAN, İLİÇ, KEMALİYE, KEMAH; ERZURUM HORASAN, OLUR, KÖPRÜKÖY; GÜMÜŞHANE KÜRTÜN, KÖSE, TORUL, ŞİRAN; IĞDIR MERKEZ; KARS SARIKAMIŞ, KAĞIZMAN; KAHRAMANMARAŞ ÇAĞLAYANCERİT, TÜRKOĞLU, NURHAK, PAZARCIK, EKİNÖZÜ; MALATYA PÖTÜRGE, YAZIHAN, DOĞANYOL, ARGUVAN, KULUNCAK, DOĞANŞEHİR; MARDİN MERKEZ; MUŞ MERKEZ; SİİRT MERKEZ; ŞANLIURFA HARRAN, VİRANŞEHİR, HİLVAN, CEYLANPINAR, AKÇAKALE, SİVEREK; VAN EDREMİT</t>
  </si>
  <si>
    <t>6. BÖLGE</t>
  </si>
  <si>
    <t xml:space="preserve">ADIYAMAN SİNCİK, ÇELİKHAN, GERGER; AĞRI DİYADİN, HAMUR, TAŞLIÇAY, DOĞUBEYAZIT; ARDAHAN HANAK, GÖLE, POSOF, ÇILDIR, DAMAL; BİTLİS AHLAT, ADİLCEVAZ, TATVAN; DİYARBAKIR ERGANİ, SİLVAN, BİSMİL; ERZURUM ÇAT, HINIS, TEKMAN, KARAÇOBAN, KARAYAZI, ŞENKAYA; IĞDIR ARALIK, KARAKOYUNLU, TUZLUCA; KARS SUSUZ, AKKAYA, SELİM, DİGOR, ARPAÇAY; MARDİN NUSAYBİN, KIZILTEPE, MİDYAT; TUNCELİ MERKEZ; VAN ERCİŞ, GEVAŞ </t>
  </si>
  <si>
    <t>7. BÖLGE</t>
  </si>
  <si>
    <t xml:space="preserve">BATMAN HASANKEYF, KOZLUK, SASON, GERCÜŞ, BEŞİRİ; BİNGÖL YAYLADERE, YEDİSU, KARLIOVA, SOLHAN, GENÇ, ADAKLI, KİĞI; BİTLİS MUTKİ, GÜROYMAK, HİZAN; DİYARBAKIR HAZRO, HANİ, KULP, ÇÜNGÜŞ, EĞİL, DİCLE, KOCAKÖY, LİCE, ÇINAR, ÇERMİK; ELAZIĞ PALU, ALACAKAYA, ARICAK, KARAKOÇAN, KOVANCILAR; HAKKARİ MERKEZ, ÇUKURCA, ŞEMDİNLİ, YÜKSEKOVA; MARDİN SAVUR, DARGEÇİT, DERİK, YEŞİLLİ, MAZIDAĞ, ÖMERLİ; MUŞ VARTO, MALAZGİRT, KORKUT, HASKÖY, BULANIK; SİİRT ŞİRVAN, PERVARİ, ERUH, KURTALAN, BAYKAN, AYDINLAR; ŞIRNAK MERKEZ, ULUDERE, GÜÇLÜKONAK, SİLOPİ, CİZRE, İDİL, BEYTÜŞŞEBAP; TUNCELİ ÇEMİŞKEZEK, PÜLÜMÜR, MAZGİRT, NAZIMİYE, HOZAT, OVACIK, PERTEK; VAN BAHÇESARAY, ÇALDIRAN, ÇATAK, SARAY, ÖZALP, GÜRPINAR, MURADİYE, BAŞKALE </t>
  </si>
  <si>
    <t>V SAYILI CETVEL</t>
  </si>
  <si>
    <t xml:space="preserve">İlave Eğitim-Öğretim Tazminatı Ödenecek Milli Eğitim Bakanlığına Bağlı </t>
  </si>
  <si>
    <t>Mesleki ve Teknik Öğretim Okul ve Kurumları</t>
  </si>
  <si>
    <t>Adalet Meslek Lisesi</t>
  </si>
  <si>
    <t>Akşam Sanat Okulu</t>
  </si>
  <si>
    <t>Akşam Ticaret Meslek Lisesi</t>
  </si>
  <si>
    <t>Anadolu Aşçılık Meslek Lisesi</t>
  </si>
  <si>
    <t>Anadolu Basın Yayın ve Reklamcılık Meslek Lisesi</t>
  </si>
  <si>
    <t>Anadolu Denizcilik Meslek Lisesi</t>
  </si>
  <si>
    <t>Anadolu Dış Ticaret Meslek Lisesi</t>
  </si>
  <si>
    <t>Anadolu Hazır Giyim ve Deri Giyim Meslek Lisesi</t>
  </si>
  <si>
    <t>Anadolu İletişim Meslek Lisesi</t>
  </si>
  <si>
    <t>Anadolu Kız Meslek Lisesi</t>
  </si>
  <si>
    <t>Anadolu Kız Teknik Lisesi</t>
  </si>
  <si>
    <t>Anadolu Mahalli İdareler Meslek Lisesi</t>
  </si>
  <si>
    <t>Anadolu Meslek Lisesi</t>
  </si>
  <si>
    <t>Anadolu Meteoroloji Meslek Lisesi</t>
  </si>
  <si>
    <t>Anadolu Sağlık Meslek Lisesi</t>
  </si>
  <si>
    <t>Anadolu Sekreterlik Meslek Lisesi</t>
  </si>
  <si>
    <t>Anadolu Tapu Kadastro Meslek Lisesi</t>
  </si>
  <si>
    <t>Anadolu Teknik Lisesi</t>
  </si>
  <si>
    <t>Anadolu Tekstil Meslek Lisesi</t>
  </si>
  <si>
    <t>Anadolu Terzilik Meslek Lisesi</t>
  </si>
  <si>
    <t>Anadolu Ticaret Meslek Lisesi</t>
  </si>
  <si>
    <t>Çıraklık Eğitim Merkezi</t>
  </si>
  <si>
    <t>Çok Programlı Lise (Mesleki Teknik Bölümleri)</t>
  </si>
  <si>
    <t>Denizcilik Meslek Lisesi</t>
  </si>
  <si>
    <t>Denizcilik ve Su Ürünleri Meslek Lisesi</t>
  </si>
  <si>
    <t>Eğitilebilir Zihinsel Engelliler Meslek Okulu</t>
  </si>
  <si>
    <t>Endüstri Meslek Lisesi</t>
  </si>
  <si>
    <t>Endüstri Pratik Sanat Okulu</t>
  </si>
  <si>
    <t>Görme Engelliler İlköğretim Okulu</t>
  </si>
  <si>
    <t>Halk Eğitim Merkezi</t>
  </si>
  <si>
    <t>İnşaat Teknik Lisesi</t>
  </si>
  <si>
    <t>İş Okulu (Zihin Engelliler)</t>
  </si>
  <si>
    <t>İşitme Engelliler İlköğretim Okulu ve Çok Programlı Lise</t>
  </si>
  <si>
    <t>Kız Meslek Lisesi</t>
  </si>
  <si>
    <t>Kız Sanat Ortaokulu</t>
  </si>
  <si>
    <t>Kız Teknik Lisesi</t>
  </si>
  <si>
    <t>Kız Teknik Öğretim Olgunlaşma Enstitüsü</t>
  </si>
  <si>
    <t>Kimya Meslek Lisesi</t>
  </si>
  <si>
    <t>Kimya Teknik Lisesi</t>
  </si>
  <si>
    <t>Kuaförlük Meslek Lisesi</t>
  </si>
  <si>
    <t xml:space="preserve">Mahalli İdareler Meslek Lisesi </t>
  </si>
  <si>
    <t>Matbaa Meslek Lisesi</t>
  </si>
  <si>
    <t>Meslek Lisesi</t>
  </si>
  <si>
    <t>Mesleki Açık Öğretim Lisesi</t>
  </si>
  <si>
    <t>Mesleki Eğitim Araştırma ve Teknoloji Merkezi (METEM)</t>
  </si>
  <si>
    <t>Mesleki Eğitim Merkezi</t>
  </si>
  <si>
    <t>Mesleki ve Teknik Açık Öğretim Okulu</t>
  </si>
  <si>
    <t>Motor Meslek Lisesi</t>
  </si>
  <si>
    <t>Motor Teknik Lisesi</t>
  </si>
  <si>
    <t>Ortopedik Engelliler İlköğretim Okulu ve Meslek Lisesi</t>
  </si>
  <si>
    <t>Otelcilik/Anadolu Otelcilik Turizm Meslek Lisesi</t>
  </si>
  <si>
    <t>Pratik Kız Sanat Okulu</t>
  </si>
  <si>
    <t>Radyo Televizyon Anadolu Teknik Lisesi ve Meslek Lisesi</t>
  </si>
  <si>
    <t>Sağlık Meslek Lisesi</t>
  </si>
  <si>
    <t>Seramik Meslek Lisesi</t>
  </si>
  <si>
    <t>Süs Bitkileri Meslek Lisesi</t>
  </si>
  <si>
    <t>Tarım Meslek Lisesi</t>
  </si>
  <si>
    <t>Teknik Lise</t>
  </si>
  <si>
    <t>Tekstil Meslek Lisesi</t>
  </si>
  <si>
    <t>Tekstil Teknik Lisesi</t>
  </si>
  <si>
    <t>Terzilik Meslek Lisesi</t>
  </si>
  <si>
    <t>Ticaret Meslek Lisesi</t>
  </si>
  <si>
    <t>Turizm Anadolu Kız Meslek Lisesi</t>
  </si>
  <si>
    <t>Turizm Eğitim Merkezi</t>
  </si>
  <si>
    <t>Türk Alman Mesleki Eğitim Merkezi</t>
  </si>
  <si>
    <t>Yapı Meslek Lisesi</t>
  </si>
  <si>
    <t>Yaygın Eğitim Enstitüsü</t>
  </si>
  <si>
    <t>Yetişkinler Teknik Eğitim Merkezi</t>
  </si>
  <si>
    <t>Zihin Engelliler Meslek Okulu</t>
  </si>
  <si>
    <t>Zihin Engelliler Mesleki Eğitim Merkezi</t>
  </si>
  <si>
    <t>I SAYILI CETVEL (Ek: 9/4/1990-KHK-418/3 md.; İptal: Ana.Mah.nin 5/2/1992 tarih ve E.1990/22, K.1992/6 sayılı Kararı ile; Yeniden düzenleme: 18/5/1994-KHK-527/3 md.)</t>
  </si>
  <si>
    <t>(29) 8/8/2011 tarihli ve 649 sayılı KHK’nin 42 nci maddesiyle bu bölümün; (d) bendine “Konya Ovası Projesi Bölge Kalkınma İdaresi Başkanı,” ibaresinden sonra gelmek üzere “Doğu Karadeniz Projesi Bölge Kalkınma İdaresi Başkanı, Kalkınma Araştırmaları Merkezi Başkanı,” ibaresi, (f) bendine “Konya Ovası Projesi Bölge Kalkınma İdaresi Başkan Yardımcısı,” ibaresinden sonra gelmek üzere “Doğu Karadeniz Projesi Bölge Kalkınma İdaresi Başkan Yardımcısı” ibaresi eklenmiş, aynı bentte yer alan “Kalkınma Araştırmaları Merkezi Başkanı,” ibaresi yürürlükten kaldırılmış ve metne işlenmiştir.</t>
  </si>
  <si>
    <t>(3)   "Teknik Yardım Uzmanları" ibaresi,, 2/5/2001 tarihli ve 4668 sayılı Kanunla getirilmiştir.</t>
  </si>
  <si>
    <t>(4)  "Kültür ve Turizm Uzmanları" ibaresi, 16/4/2003 tarihli ve 4848 sayılı Kanunun 33 üncü maddesiyle eklenmiştir.</t>
  </si>
  <si>
    <t xml:space="preserve">(5)  "Çevre Uzmanları" ibaresi, 1/5/2003 tarihli ve 4856 sayılı Kanunun 42 inci maddesiyle, "Çevre ve Orman Uzmanları" olarak değiştirilmiş olup, daha sonra bu ibare 3/6/2011 tarihli ve 643 sayılı KHK’nın 8 inci maddesiyle yürürlükten kaldırılmıştır. </t>
  </si>
  <si>
    <t>(6)  "İstihdam ve Meslek Uzmanları" ibaresi, 25/6/2003 tarihli ve 4904 sayılı Kanunun 24 üncü maddesiyle eklenmiş ve metne işlenmiştir</t>
  </si>
  <si>
    <t xml:space="preserve">(11) "Kadının Statüsü uzmanları" ibaresi, 27/10/2004 tarihli ve 5251 sayılı Kanunun 26 ncı maddesiyle eklenmiş olup, daha sonra bu ibare 3/6/2011 tarihli ve 643 sayılı KHK’nın 8 inci maddesiyle yürürlükten kaldırılmıştır. </t>
  </si>
  <si>
    <t xml:space="preserve"> (12) "Aile ve Sosyal Araştırma Uzmanları" ibaresi, 10/11/2004 tarihli ve 5256 sayılı Kanunun 27 nci maddesiyle eklenmiş olup, daha sonra bu ibare 3/6/2011 tarihli ve 643 sayılı KHK’nın 8 inci maddesiyle yürürlükten kaldırılmıştır. </t>
  </si>
  <si>
    <t xml:space="preserve"> (13) "Sosyal Yardım Uzmanları" ibaresi, 1/12/2004 tarihli ve 5263 sayılı Kanunun 16 ncı maddesiyle eklenmiş olup, daha sonra bu ibare 3/6/2011 tarihli ve 643 sayılı KHK’nın 8 inci maddesiyle yürürlükten kaldırılmıştır. </t>
  </si>
  <si>
    <t> (14) Bu bende, 5/5/2005 tarihli ve 5345 sayılı Kanunun 34 üncü maddesiyle "Dış Ticaret Müsteşarlığı Dış Ticaret Uzmanları ve Dış Ticaret Kontrolörleri," ibaresinden sonra gelmek üzere "Gelirler Kontrolörleri," ibaresi eklenmiş ve metne işlenmiştir.</t>
  </si>
  <si>
    <t xml:space="preserve">(30) 3/6/2011 tarihli ve 643 sayılı KHK’nın 8 inci maddesiyle, bu bölümün;  </t>
  </si>
  <si>
    <t xml:space="preserve"> (31) Bu bölümün (h) bendine, 25/3/1997 tarihli ve 571 sayılı KHK ile “Çevre Uzmanları” ibaresinden sonra gelmek üzere “Özürlüler Uzmanı” ibaresi eklenmiş olup, daha sonra bu ibare 3/6/2011 tarihli ve 643 sayılı KHK’nın 8 inci maddesiyle yürürlükten kaldırılmıştır. </t>
  </si>
  <si>
    <t>(32) 7/7/2011 tarihli ve 646 sayılı KHK’nin 6 ncı maddesiyle, bu bölümün (g) bendinde yer alan “Maliye Bakanlığı Hesap Uzmanları” ibaresi “Maliye Bakanlığı Vergi Müfettişleri” şeklinde değiştirilmiş, (h) bendine “Devlet Muhasebe Uzmanları,” ibaresinden sonra gelmek üzere “Devlet Gelir Politikaları Uzmanları,” ibaresi eklenmiş ve aynı bölümün (g) bendinde yer alan “Gelirler Kontrolörleri,” ibaresi ile (h) bendinde yer alan “, Vergi Denetmeni” ibaresi yürürlükten kaldırılmıştır.</t>
  </si>
  <si>
    <t>(33) 8/8/2011 tarihli ve 649 sayılı KHK’nin 42 nci maddesiyle, bu bölümün (h) bendine “İhracatı Geliştirme Uzmanları,” ibaresinden sonra gelmek üzere “Savunma Sanayii Uzmanları,” ibaresi eklenmiş ve metne işlenmiştir.</t>
  </si>
  <si>
    <t>(34) 22/8/2011 tarihli ve 651 sayılı KHK’nin 12 nci maddesiyle, bu bölümün (h) bendine “Savunma Sanayii Uzmanları,” ibaresinden sonra gelmek üzere “Basın ve Enformasyon Uzmanları,” ibaresi eklenmiş ve metne işlenmiştir.</t>
  </si>
  <si>
    <t>(35) 25/8/2011 tarihli ve 652 sayılı KHK’nin 44 üncü  maddesiyle bölümünün (g) bendinde yer alan “Eğitim Müfettişleri,” ibaresi “Millî Eğitim Uzmanları, Millî Eğitim Denetçileri ve İl Eğitim Denetmenleri” şeklinde değiştirilmiştir.</t>
  </si>
  <si>
    <t>(36) 23/8/2011 tarihli ve 653 sayılı KHK’nın 17’nci maddesiyle bu bölümün (g) bendinde yer alan “ve Dış Ticaret Kontrolörleri” ibaresi yürürlükten kaldırılmıştır.</t>
  </si>
  <si>
    <t>––––––––––––</t>
  </si>
  <si>
    <t>(1) Anayasa Mahkemesinin 30/1/1997 tarih ve E.1997/17, K.1997/6 sayılı Kararı ile “Şehir Plancısı, Bölge Plancısı” sözcükleri iptal edilmiş olup, daha sonra 3/4/1998 tarih ve 4359 sayılı Kanunun 4 üncü maddesiyle (a) sırasına “ile Şehir Plancısı ve Bölge Plancısı” ibaresi eklenmiş ve metne işlenmiştir.</t>
  </si>
  <si>
    <t xml:space="preserve">     </t>
  </si>
  <si>
    <t>II SAYILI CETVEL (Ek cetvel: 9/4/1990 – KHK-418/3 md.; İptal: Anayasa Mahkemesi’nin 5/2/1992 tarih ve E.1990/22, K.1992/6 sayı kararı ile; Yeniden düzenleme:18/5/1994 – KHK – 527/3 md.)</t>
  </si>
  <si>
    <t>KADROLARI GENEL İDARE HİZMETLERİ SINIFININ BİRİNCİ</t>
  </si>
  <si>
    <t>  DERECESİNDE BULUNANLARIN EK GÖSTERGELERİ</t>
  </si>
  <si>
    <t>(4) “Avrupa Birliği Genel Sekreterliği Daire Başkanları” ibaresi 27/6/2000 tarihli ve 4587 sayılı Kanun ile cetvele eklenmiş olup 3/6/2011 tarihli ve 643 sayılı Kanunun 8 inci maddesiyle yürürlükten kaldırılmıştır.</t>
  </si>
  <si>
    <t>(18) 24/6/2009 tarihli ve 5916 sayılı Kanunun 17 nci maddesiyle bu bölümde yer alan “Devlet Planlama Teşkilatı Genel Sekreter Yardımcısı,” ibaresinden sonra gelmek üzere “Avrupa Birliği Genel Sekreterliği Müşaviri,” ibaresi eklenmiş olup, bu ibare 3/6/2011 tarihli ve 643 sayılı Kanunun 8 inci maddesiyle yürürlükten kaldırılmıştır.</t>
  </si>
  <si>
    <t>(25) 3/6/2011 tarihli ve 643 sayılı Kanunun 8 inci maddesiyle, bu Cetvelin;</t>
  </si>
  <si>
    <t>(27) 7/7/2011 tarihli ve 646 sayılı KHK’nin 6 ncı maddesiyle, bu Cetvelin “I – Başbakanlık ve Bakanlıklarda” bölümüne “Mali Suçları Araştırma Kurulu Başkan Yardımcısı,” ibaresinden sonra gelmek üzere “Vergi Denetim Kurulu Başkan Yardımcısı,” ibaresi eklenmiş ve metne işlenmiştir.</t>
  </si>
  <si>
    <t>(12) 25/11/2010 tarihli ve 6083 sayılı Kanunun 10 uncu maddesiyle, bu bölümde yer alan “Tapu ve Kadastro Meslek Lisesi Müdürü,” ibaresi çıkarılmış; aynı bölümde yer alan “Tapu ve Kadastro Kurs Müdürü” ibaresi “Tapu ve Kadastro Eğitim Müdürü”, “Tapu Sicil Müdürü” ibaresi ise “Tapu Müdürü” olarak değiştirilmiş ve metne işlenmiştir.</t>
  </si>
  <si>
    <t xml:space="preserve">Fen ve Tetkik Kurulu Başkanı                                </t>
  </si>
  <si>
    <t>                                             Değişik: 20/3/1997 - KHK - 570/10 md.)</t>
  </si>
  <si>
    <t>                                      IV SAYILI MAKAM TAZMİNATI CETVELİ</t>
  </si>
  <si>
    <t>  Sıra                                                                                                                                Tazminat</t>
  </si>
  <si>
    <t>    No       Kadro ve Görev Unvanı                   Göstergeleri</t>
  </si>
  <si>
    <t>             kıt İkmal ve NATO POL Tesisleri İşletme Başkanı, Sosyal Güvenlik Kurumu</t>
  </si>
  <si>
    <t>(4)   3 üncü sırada yer alan “Sosyal Güvenlik Kurumu Başkanı”, (5/c) bendinde yer alan “Sosyal Güvenlik Kurumu Daire Başkanları (Ana ve Yardımcı Hizmet Birimi)”, (5/d) bendinde yer alan “Çalışma ve Sosyal Güvenlik Eğitim ve Araştırma Merkezi” ibareleri, 16/7/2003 tarihli ve 4947 sayılı Kanunun 37 nci maddesiyle eklenmiş, daha sonra 16/5/2006 tarihli ve 5502 saylı Kanunun 42 nci maddesiyle; (5/c)bendinde yer alan “Sosyal Güvenlik Kurumu Daire Başkanları (Ana ve Yardımcı Hizmet Birimi)” ibareleri çıkartılarak, “Sosyal Güvenlik Kurumu Daire Başkanları,” ibaresi eklenmiş ve metne işlenmiştir.</t>
  </si>
  <si>
    <t>(8) 3/6/2011 tarihli ve 643 sayılı KHK’nın 8 inci maddesiyle, bu cetvelin 1 inci sırasına yer alan "Başbakanlık Müsteşarı" ibaresinden sonra gelmek üzere ", Bakan Yardımcısı" ibaresi eklenmiş, 2 nci sırasında yer alan ", Avrupa Birliği Genel Sekreteri", ibaresi yürürlükten kaldırılmış ve metne işlenmiştir.</t>
  </si>
  <si>
    <t>(9) 7/7/2011 tarihli ve 646 sayılı Kanunun 6 ncı maddesiyle, 5 inci sıranın (c) bendine “Mali Suçları Araştırma Kurulu Başkan Yardımcısı,” ibaresinden sonra gelmek üzere “Vergi Denetim Kurulu Başkan Yardımcısı,” ibaresi eklenmiş ve metne işlenmiştir.</t>
  </si>
  <si>
    <t>  Sıra                                                                    Tazminat</t>
  </si>
  <si>
    <t xml:space="preserve">                  2.  Başkonsoloslar (Türkiye'de sürekli görev yaptıkları süre ile sınırlı </t>
  </si>
  <si>
    <t>                       olmak şartıyla)                                                                                                3.000</t>
  </si>
  <si>
    <t>                       olmak şartıyla)                                                                                                2.000</t>
  </si>
  <si>
    <t xml:space="preserve">    9      Birinci dereceli kadroya atanmış olmak şartıyla;                  </t>
  </si>
  <si>
    <t xml:space="preserve">             a) Büyükşehir Belediyesi bulunan illerin İl İdare Kurulu Üyesi Bakanlık İl </t>
  </si>
  <si>
    <t>(13) 3/6/2011 tarihli ve 643 sayılı KHK’nın 8 inci maddesiyle bu cetvelin 7 inci sırasında yer alan "Gümrük Müsteşarlığı Başmüdürleri" ibaresi yürürlükten kaldırılmış, 8 inci sırasının (b) bendinde yer alan "D.P.T. Planlama Uzmanları" ibaresi "Kalkınma Bakanlığı Planlama Uzmanları" şeklinde değiştirilmiş ve metne işlenmiştir.</t>
  </si>
  <si>
    <t>(15) 7/7/2011 tarihli ve 646 sayılı KHK’nin 6 ncı maddesiyle, bu cetvelin 8 inci sırasının (a) bendinde yer alan “Maliye Bakanlığı Hesap Uzmanları” ibaresi “Maliye Bakanlığı Vergi Müfettişleri” şeklinde değiştirilmiştir.</t>
  </si>
  <si>
    <t>(16) 25/8/2011 tarihli ve 526 sayılı KHK’nin 44 üncü maddesiyle, bu cetvelin 7 inci sırasına “Gelir İdaresi Grup Başkanı” ibaresinden önce gelmek üzere “Millî Eğitim Bakanlığı Grup Başkanı,” ibaresi, 8 inci sırasının (a) bendine “Aile ve Sosyal Politikalar Denetçileri” ibaresinden sonra gelmek üzere “, Millî Eğitim Denetçileri” ibaresi, (b) bendine “Avrupa Birliği İşleri Uzmanları” ibaresinden sonra gelmek üzere “, Millî Eğitim Uzmanları” ibaresi eklenmiştir.</t>
  </si>
  <si>
    <t>14/7/1965 TARİHLİ VE 657 SAYILI ANA KANUNA İŞLENEMEYEN</t>
  </si>
  <si>
    <t>HÜKÜMLER</t>
  </si>
  <si>
    <t>             15/5/1975 tarihli ve 1897 sayılı Kanunun geçici maddeleri:</t>
  </si>
  <si>
    <t>             Bu kanun gereğince yapılacak ödemelere 1/3/1975 tarihinden itibaren başlanır.</t>
  </si>
  <si>
    <t>             Kurumların yurt dışı kuruluşlarının daimi kadrolarında çalışanlar hakkında Bütçe kanunlarındaki hükümlere göre işlem yapılır.</t>
  </si>
  <si>
    <t>             Bu Kanuna göre yapılacak intibak esasları:</t>
  </si>
  <si>
    <t>             Bu Kanun ile yapılan intibaklar sonunda bulunacak derece ve kademe üzerinden yapılacak ödemelere 1/3/1975 tarihinden itibaren başlanacağı:</t>
  </si>
  <si>
    <t>             Bu kanun ile getirilen intibak hükümlerinin uygulanması sonunda memur (her ne suretle olursa olsun görevlerinden ayrılmış bulunanlar dahil) lehine doğan durumlar dolayısiyle, 1/3/1970 tarihinden 1/3/1975 tarihine kadar geçen süre için bir fark ödemesi yapılmaz. Aynı süre içinde haklarında emeklilik hükümleri uygulanmış olanlara da aylık veya ikramiye farkı ödenmez.</t>
  </si>
  <si>
    <t>             Ancak, 1/3/1970 - 30/11/1970 tarihleri arasına ait aylık farkları 1327 sayılı Kanun hükümlerine göre hesaplanarak ödenir.</t>
  </si>
  <si>
    <t>             Ayrıca, 12 sayılı Kanun Hükmünde Kararnamenin yürürlüğe girdiği tarihle 1/3/1975 tarihi arasında yaş haddi, maluliyet veya ölüm sebebiyle haklarında emeklilik işlemleri uygulananların bu kanunun hükümlerine göre yapılacak intibakları sonunda kazanılmış hak aylıkları yükselmiş bulunduğu takdirde, emekli ikramiyeleri yeni tutarlara göre hesaplanır ve farkları 1/3/1975 tarihinde ödenir.</t>
  </si>
  <si>
    <t>             1623 sayılı Kanunun yürürlüğünden önce, maluliyet veya ölüm sebepleriyle memuriyetleri sona erenlerin askerlikte geçen hizmetlerinin nazara alınmaması sebebi ile aylığa hak kazanma süresini dolduramamış olanların bu kanunun ek geçici 2 nci maddesinin (C) bendinin (c) fıkrasında gösterilen askerlikle ilgili olarak hesaplanacak sürelerinin eklenmesi suretiyle aylığa hak kazandıkları takdirde ilgililerin müracaatı üzerine bu süreler borçlandırılmak suretiyle, evvelce yapılan işlemler 1623 sayılı Kanunun yürürlük tarihinden itibaren yeni duruma göre düzeltilir.</t>
  </si>
  <si>
    <t>             Bu kadrolar boşaldıkça yeniden atanma yapılmayarak kaldırılır.</t>
  </si>
  <si>
    <t>             Bu kadrolarda çalışanlar için tahsil durumlarına göre 36 ncı maddenin (A) bendinin 8 (a) ve (b) fıkralarındaki başlangıç dereceleri nazara alınır.</t>
  </si>
  <si>
    <t>             2/2/1981 tarihli ve 2381 sayılı Kanunun geçici maddesi:</t>
  </si>
  <si>
    <t>             20/8/1981 tarihli ve 2509 sayılı Kanunun geçici maddesi:</t>
  </si>
  <si>
    <t>             Yukarıdaki fıkra hükümleri gereğince unvanları ve kadroları kaldırılanların şahıslarına bağlı ve görevleri süresince geçerli olmak kaydıyla Adalet Bakanlığına aşağıdaki kadrolar ek olarak tahsis edilmiştir.</t>
  </si>
  <si>
    <t>             Birinci fıkrada belirtilen kadrolarda halen görevli bulunanlar bu Kanunla verilen emekli mükteseplerine uygun kadrolara en geç bir ay içinde atanırlar ve bunlar atandıkları görevin unvanını taşırlar.</t>
  </si>
  <si>
    <t>(1)    Bu madde 134 üncü maddenin ilk fıkrası ile ilgilidir.</t>
  </si>
  <si>
    <t>                                                                       Ek Kadrolar</t>
  </si>
  <si>
    <t>                        1                                     Genel İdare Hizmetleri                                     1</t>
  </si>
  <si>
    <t>                        2                                              ”     ”      ”                                                 4</t>
  </si>
  <si>
    <t>                        5                                              ”     ”      ”                                                 2</t>
  </si>
  <si>
    <t>                        7                                              ”     ”      ”                                                 1</t>
  </si>
  <si>
    <t>                        9                                              ”     ”      ”                                                 2</t>
  </si>
  <si>
    <t>             12/2/1982 tarihli ve 2595 sayılı Kanunun geçici maddeleri:</t>
  </si>
  <si>
    <t>             Özel hesapta toplanmış olup 1/1/1983 tarihi itibariyle iadesine hak kazanılmamış olan Memur Yardımlaşma Kurumu kesenekleri % 60 fazlası ile ve Bakanlar Kurulunca belirlenecek usul ve esaslar dahilinde ilgililerine iade edilir.</t>
  </si>
  <si>
    <t>             Özel hesapta toplanmış bulunan keseneklerden konut edinme ve kullandırma programının finansmanında kullanılmış miktarı 8/7/1981 tarih ve 2487 sayılı Kanun gereğince kurulmuş Kamu Konut Fonuna maledilmesine; özel hesabın mevcut ve alacaklarının tasfiyesine; keseneklerin Bakanlar Kurulunca belirlenecek usul ve  esaslar dahilinde ilgililerine iadesine; bu amaçla gerekli bütün işlemleri yapmaya ve bu işlemlerin gerçekleşmesi amacıyla yeterli tutarı bütçede mevcut veya yeniden açılacak tertiplere gelir, ödenek ve gider kaydettirmeye; özel hesabın karşılıklı borç ve alacaklarının tasfiyesine, mahsup işlemlerini tamamlamaya ve bu maddenin uygulanması ile ilgili diğer esas ve usulleri düzenlemeye Maliye Bakanlığı yetkilidir.</t>
  </si>
  <si>
    <t>             1/3/1982 tarihinden sonra ödenen faizler dahil, bu madde uyarınca yapılan ödemeler ve işlemler her türlü vergi, resim ve harçtan muaftır.</t>
  </si>
  <si>
    <t>                                              Aylık                                            Ödenecek</t>
  </si>
  <si>
    <t>                                               380                                                 1 650</t>
  </si>
  <si>
    <t>                                               385                                                 1 550</t>
  </si>
  <si>
    <t>                                               390                                                 1 450</t>
  </si>
  <si>
    <t>                                               395                                                 1 350</t>
  </si>
  <si>
    <t>                                               400                                                 1 250</t>
  </si>
  <si>
    <t>                                               405                                                 1 150</t>
  </si>
  <si>
    <t>                                               410                                                 1 050</t>
  </si>
  <si>
    <t>                                               415                                                   950</t>
  </si>
  <si>
    <t>                                               420                                                   850</t>
  </si>
  <si>
    <t>                                               425                                                   750</t>
  </si>
  <si>
    <t>                                               430                                                   650</t>
  </si>
  <si>
    <t>                                               435                                                   550</t>
  </si>
  <si>
    <t>                                               440                                                   450</t>
  </si>
  <si>
    <t>                                               450                                                   300</t>
  </si>
  <si>
    <t>                                               460                                                   150</t>
  </si>
  <si>
    <t>             Yukarıda belirtilen süre içinde 146 ncı maddenin son fıkrasının uygulanmasını gerektiren bir değişikliğin meydana gelmesi halinde bu miktarların ödenmesi durdurulur.</t>
  </si>
  <si>
    <t>———————————</t>
  </si>
  <si>
    <t>(1)    Bu fıkradaki % 20'lik tazminat oranı, 26/6/1984 tarihli ve 241 sayılı K.H.K.'nin 27 nci maddesi ile % 40'a yükseltilmiştir.</t>
  </si>
  <si>
    <t>             2443 sayılı Kanunun 8 inci maddesine göre Devlet Denetleme Kurulu üyelerine verilecek ücretlerin tespitinde bu tazminat ayrıca dikkate alınmaz.</t>
  </si>
  <si>
    <t>             24/2/1988 tarih ve 3409 sayılı Kanunun Geçici 5 inci maddesi:</t>
  </si>
  <si>
    <t>                              </t>
  </si>
  <si>
    <t>                                       HÜKMÜNDE KARARNAME HÜKÜMLERİ</t>
  </si>
  <si>
    <t>             1) 23/12/1972 tarihli ve 2 sayılı Kanun Hükmünde Kararnamenin hükümleri:</t>
  </si>
  <si>
    <t>             Bu kararnameye göre yapılacak intibakların esasları:</t>
  </si>
  <si>
    <t>             Bu düzenlemede 1/12/1970 tarihi ile 1/6/1973 tarihi arasında geçen ve geçecek başarılı hizmet süreleri, ilgililerin intibakları sonunda kazandıkları derece ve kademeler üzerine eklenerek değerlendirilir. Bu değerlendirmede 68 inci maddedeki derece yükselmesine ilişkin kanuni bekleme sürelerinden artan süreler üst derecede kademe ilerlemesi verilmek suretiyle dikkate alınır.</t>
  </si>
  <si>
    <t>             Kazanılmış hak aylıklarının üstünde kadro aylıkları üzerinden aylık alanlarda değerlendirilecek bu süre öğrenim durumları gözönünde bulundurulmak suretiyle kazanılmış hak aylıklarının yükseltilmesinde dikkate alınır.</t>
  </si>
  <si>
    <t>             Bu Kararname ile yapılan intibaklar sonunda memurlar lehine doğan farkların 1/6/1973 den itibaren ödeneceği:</t>
  </si>
  <si>
    <r>
      <t>(1)</t>
    </r>
    <r>
      <rPr>
        <i/>
        <sz val="7"/>
        <color indexed="8"/>
        <rFont val="Times New Roman"/>
        <family val="1"/>
        <charset val="162"/>
      </rPr>
      <t xml:space="preserve">     </t>
    </r>
    <r>
      <rPr>
        <i/>
        <sz val="8"/>
        <color indexed="8"/>
        <rFont val="Times New Roman"/>
        <family val="1"/>
        <charset val="162"/>
      </rPr>
      <t>Bu bölümde  19/6/1994 tarih ve 543, 544 sayılı ve 6/7/1995 tarih ve 562 sayılı , 9/12/1994 tarih ve 4059 sayılı, 13/11/1996 tarih ve 4208 sayılı, 7/6/2000 tarih ve 4576 sayılı Kanunlar ve 616, 617, 618 ve 619 sayılı KHK'ler ile eklenen Sosyal Sigorta Uzmanları, Başkanlık Müfettişleri, İstihdam ve Meslek Uzmanları, Sosyal Güvenlik Uzmanları, Çalışma Uzmanları, Yurt Dışı İşçi Hizmetleri Uzmanları, İş Sağlığı ve Güvenliği Uzmanları, Bağ-Kur Denetmenleri unvanları, sözkonusu KHK'lerin Anayasa Mahkemesince iptal edilmeleri nedeniyle metinden çıkarılmıştır. 6/7/2000 tarihli ve 613 sayılı KHK ile eklenen ve 5/4/2001 tarihli ve 4636 sayılı, 544 sayılı KHK ile eklenen "Marka Uzmanı","Patent Uzmanı" ibareleri  6/11/2003 tarihli ve 5000 sayılı Kanun ile Kanunlaşmış, değiştirilerek kanunlaşan "Milli Savunma Bakanlığı Akaryakıt İkmal ve NATO POL Tesisleri İşletme Bakanlığı Müfettişleri" ibaresi metne işlenmiştir.</t>
    </r>
  </si>
  <si>
    <r>
      <t>(2)</t>
    </r>
    <r>
      <rPr>
        <i/>
        <sz val="7"/>
        <color indexed="8"/>
        <rFont val="Times New Roman"/>
        <family val="1"/>
        <charset val="162"/>
      </rPr>
      <t xml:space="preserve">     </t>
    </r>
    <r>
      <rPr>
        <i/>
        <sz val="8"/>
        <color indexed="8"/>
        <rFont val="Times New Roman"/>
        <family val="1"/>
        <charset val="162"/>
      </rPr>
      <t> Bu arada yeralan 2/6/1994 tarih ve 536 sayılı KHK ile eklenen unvanlar, Anayasa Mahkemesinin 8/7/1994 tarih ve E.1994/58, K.1994/53 sayılı Kararıyla iptal edildiğinden metinden çıkarılmıştır.</t>
    </r>
  </si>
  <si>
    <r>
      <t xml:space="preserve">(25) 1/7/2010 tarihli ve 6002 sayılı Kanunun 21 inci maddesiyle, bu bölümün </t>
    </r>
    <r>
      <rPr>
        <i/>
        <sz val="8"/>
        <color indexed="8"/>
        <rFont val="Times New Roman"/>
        <family val="1"/>
        <charset val="162"/>
      </rPr>
      <t>(h) bendine “Vakıf Uzmanları,” ibaresinden sonra gelmek üzere “Diyanet İşleri Uzmanları, Din İşleri Yüksek Kurulu Uzmanları,” ibaresi eklenmiş ve metne işlenmiştir.</t>
    </r>
  </si>
  <si>
    <r>
      <t xml:space="preserve">(26) 7/7/2010 tarihli ve 6004 sayılı Kanunun 23 üncü maddesiyle bu bölümün  </t>
    </r>
    <r>
      <rPr>
        <i/>
        <sz val="8"/>
        <color indexed="8"/>
        <rFont val="Times New Roman"/>
        <family val="1"/>
        <charset val="162"/>
      </rPr>
      <t>(h) bendine "Devlet Bütçe Uzmanları," ibaresinden sonra gelmek üzere "Konsolosluk ve İhtisas Memurları," ibaresi eklenmiş ve metne işlenmiştir.</t>
    </r>
  </si>
  <si>
    <r>
      <t xml:space="preserve">(27) 25/11/2010 tarihli ve 6083 sayılı Kanunun 10 uncu maddesiyle bu bölümün  </t>
    </r>
    <r>
      <rPr>
        <i/>
        <sz val="8"/>
        <color indexed="8"/>
        <rFont val="Times New Roman"/>
        <family val="1"/>
        <charset val="162"/>
      </rPr>
      <t xml:space="preserve">(h) bendine </t>
    </r>
    <r>
      <rPr>
        <i/>
        <sz val="8"/>
        <color indexed="8"/>
        <rFont val="Times New Roman"/>
        <family val="1"/>
        <charset val="162"/>
      </rPr>
      <t>“Vakıf Uzmanları,” ibaresinden sonra gelmek üzere “Tapu ve Kadastro Uzmanları,” ibaresi</t>
    </r>
    <r>
      <rPr>
        <i/>
        <sz val="8"/>
        <color indexed="8"/>
        <rFont val="Times New Roman"/>
        <family val="1"/>
        <charset val="162"/>
      </rPr>
      <t xml:space="preserve"> eklenmiş ve yine aynı bentte yer alan </t>
    </r>
    <r>
      <rPr>
        <i/>
        <sz val="8"/>
        <color indexed="8"/>
        <rFont val="Times New Roman"/>
        <family val="1"/>
        <charset val="162"/>
      </rPr>
      <t>“Tapu ve Kadastro Denetmenleri,” ibaresi yürürlükten kaldırılmıştır.</t>
    </r>
  </si>
  <si>
    <r>
      <t xml:space="preserve">(28) 28/12/2010 tarihli ve 6093 sayılı Kanunun 14 üncü maddesiyle, bu bölümün  </t>
    </r>
    <r>
      <rPr>
        <i/>
        <sz val="8"/>
        <color indexed="8"/>
        <rFont val="Times New Roman"/>
        <family val="1"/>
        <charset val="162"/>
      </rPr>
      <t xml:space="preserve">(h) bendine </t>
    </r>
    <r>
      <rPr>
        <i/>
        <sz val="8"/>
        <color indexed="8"/>
        <rFont val="Times New Roman"/>
        <family val="1"/>
        <charset val="162"/>
      </rPr>
      <t>“Kültür ve Turizm Uzmanları,” ibaresinden sonra gelmek üzere “Yazma Eser Uzmanları,” ibaresi eklenmiş ve metne işlenmiştir.</t>
    </r>
  </si>
  <si>
    <r>
      <t xml:space="preserve">(29) 17/2/2011 tarihli ve 6114 sayılı Kanunun 11 inci maddesiyle, bu bölümün  </t>
    </r>
    <r>
      <rPr>
        <i/>
        <sz val="8"/>
        <color indexed="8"/>
        <rFont val="Times New Roman"/>
        <family val="1"/>
        <charset val="162"/>
      </rPr>
      <t xml:space="preserve">(h) bendine </t>
    </r>
    <r>
      <rPr>
        <i/>
        <sz val="8"/>
        <color indexed="8"/>
        <rFont val="Times New Roman"/>
        <family val="1"/>
        <charset val="162"/>
      </rPr>
      <t>“Yurtdışı Türkler ve Akraba Topluluklar Uzmanları,” ibaresinden sonra gelmek üzere “Ölçme, Seçme ve Yerleştirme Merkezi Uzmanları,” ibaresi eklenmiş ve metne işlenmiştir.</t>
    </r>
  </si>
  <si>
    <r>
      <t xml:space="preserve">IV - EĞİTİM VE ÖĞRETİM HİZMETLERİ SINIFI </t>
    </r>
    <r>
      <rPr>
        <b/>
        <sz val="9"/>
        <color indexed="8"/>
        <rFont val="Times New Roman"/>
        <family val="1"/>
        <charset val="162"/>
      </rPr>
      <t>(Değişik: 3/4/1998 - 4359/3 md.)</t>
    </r>
  </si>
  <si>
    <r>
      <t xml:space="preserve">a) Müsteşar, Kamu Düzeni ve Güvenliği Müsteşarı, </t>
    </r>
    <r>
      <rPr>
        <vertAlign val="superscript"/>
        <sz val="9"/>
        <color indexed="8"/>
        <rFont val="Times New Roman"/>
        <family val="1"/>
        <charset val="162"/>
      </rPr>
      <t>(1)</t>
    </r>
  </si>
  <si>
    <r>
      <t xml:space="preserve">c) </t>
    </r>
    <r>
      <rPr>
        <b/>
        <sz val="9"/>
        <color indexed="8"/>
        <rFont val="Times New Roman"/>
        <family val="1"/>
        <charset val="162"/>
      </rPr>
      <t xml:space="preserve">(Ek: 1/7/2006-5540/6 md.) </t>
    </r>
    <r>
      <rPr>
        <sz val="9"/>
        <color indexed="8"/>
        <rFont val="Times New Roman"/>
        <family val="1"/>
        <charset val="162"/>
      </rPr>
      <t>Birinci Sınıf Mülki İdare Amirlerinden (Genel İdare Hizmetleri Sınıfında aynı görev unvanları için belirlenen ek gösterge rakamlarından düşük olmamak üzere)</t>
    </r>
  </si>
  <si>
    <r>
      <t>d) Kadroları bu sınıfa dahil olup da; yukarıda sayılanlar dışında kalanlar (1 inci  derecenin kademelerinden aylık alanlar için Genel İdare Hizmetleri Sınıfında aynı görev unvanları için belirlenen ek gösterge rakamlarından düşük olmamak üzere)</t>
    </r>
    <r>
      <rPr>
        <vertAlign val="superscript"/>
        <sz val="9"/>
        <color indexed="8"/>
        <rFont val="Times New Roman"/>
        <family val="1"/>
        <charset val="162"/>
      </rPr>
      <t>(2)</t>
    </r>
  </si>
  <si>
    <r>
      <t>Rehberlik ve Teftiş Başkanı,</t>
    </r>
    <r>
      <rPr>
        <vertAlign val="superscript"/>
        <sz val="9"/>
        <color indexed="8"/>
        <rFont val="Times New Roman"/>
        <family val="1"/>
        <charset val="162"/>
      </rPr>
      <t xml:space="preserve"> </t>
    </r>
    <r>
      <rPr>
        <sz val="9"/>
        <color indexed="8"/>
        <rFont val="Times New Roman"/>
        <family val="1"/>
        <charset val="162"/>
      </rPr>
      <t xml:space="preserve">Yükseköğretim Kurulu Genel Sekreter Yardımcısı, Üniversitelerarası Kurul Sekreteri, Üniversite Genel Sekreteri, Çalışma ve Sosyal Güvenlik Eğitim ve Araştırma Merkezi Başkanı, (…) </t>
    </r>
    <r>
      <rPr>
        <vertAlign val="superscript"/>
        <sz val="9"/>
        <color indexed="8"/>
        <rFont val="Times New Roman"/>
        <family val="1"/>
        <charset val="162"/>
      </rPr>
      <t>(21)</t>
    </r>
    <r>
      <rPr>
        <sz val="9"/>
        <color indexed="8"/>
        <rFont val="Times New Roman"/>
        <family val="1"/>
        <charset val="162"/>
      </rPr>
      <t xml:space="preserve"> Müşavir (Müsteşarlıklarda), I. Hukuk Müşaviri, (…)</t>
    </r>
    <r>
      <rPr>
        <vertAlign val="superscript"/>
        <sz val="9"/>
        <color indexed="8"/>
        <rFont val="Times New Roman"/>
        <family val="1"/>
        <charset val="162"/>
      </rPr>
      <t>(25)</t>
    </r>
    <r>
      <rPr>
        <sz val="9"/>
        <color indexed="8"/>
        <rFont val="Times New Roman"/>
        <family val="1"/>
        <charset val="162"/>
      </rPr>
      <t xml:space="preserve"> (…)</t>
    </r>
    <r>
      <rPr>
        <vertAlign val="superscript"/>
        <sz val="9"/>
        <color indexed="8"/>
        <rFont val="Times New Roman"/>
        <family val="1"/>
        <charset val="162"/>
      </rPr>
      <t>(25)</t>
    </r>
    <r>
      <rPr>
        <sz val="9"/>
        <color indexed="8"/>
        <rFont val="Times New Roman"/>
        <family val="1"/>
        <charset val="162"/>
      </rPr>
      <t>  (…)</t>
    </r>
    <r>
      <rPr>
        <vertAlign val="superscript"/>
        <sz val="9"/>
        <color indexed="8"/>
        <rFont val="Times New Roman"/>
        <family val="1"/>
        <charset val="162"/>
      </rPr>
      <t>(25)(3)</t>
    </r>
    <r>
      <rPr>
        <sz val="9"/>
        <color indexed="8"/>
        <rFont val="Times New Roman"/>
        <family val="1"/>
        <charset val="162"/>
      </rPr>
      <t xml:space="preserve">Türkiye İstatistik Kurumu Bölge Müdürü, Tapu ve Kadastro Bölge Müdürü, </t>
    </r>
    <r>
      <rPr>
        <vertAlign val="superscript"/>
        <sz val="9"/>
        <color indexed="8"/>
        <rFont val="Times New Roman"/>
        <family val="1"/>
        <charset val="162"/>
      </rPr>
      <t>(22)</t>
    </r>
    <r>
      <rPr>
        <sz val="9"/>
        <color indexed="8"/>
        <rFont val="Times New Roman"/>
        <family val="1"/>
        <charset val="162"/>
      </rPr>
      <t xml:space="preserve"> (…)</t>
    </r>
    <r>
      <rPr>
        <vertAlign val="superscript"/>
        <sz val="9"/>
        <color indexed="8"/>
        <rFont val="Times New Roman"/>
        <family val="1"/>
        <charset val="162"/>
      </rPr>
      <t xml:space="preserve">(25) </t>
    </r>
    <r>
      <rPr>
        <sz val="9"/>
        <color indexed="8"/>
        <rFont val="Times New Roman"/>
        <family val="1"/>
        <charset val="162"/>
      </rPr>
      <t xml:space="preserve">Diyanet İşleri Başkanlığı Başkanlık Müşavirleri, Diyanet İşleri Başkanlığı Daire Başkanı, İl Müftüsü, Diyanet İşleri Başkanlığı Dinî Yüksek İhtisas Merkezi Müdürü, Mushafları İnceleme ve Kıraat Kurulu Üyesi, </t>
    </r>
    <r>
      <rPr>
        <vertAlign val="superscript"/>
        <sz val="9"/>
        <color indexed="8"/>
        <rFont val="Times New Roman"/>
        <family val="1"/>
        <charset val="162"/>
      </rPr>
      <t>(21)</t>
    </r>
    <r>
      <rPr>
        <sz val="9"/>
        <color indexed="8"/>
        <rFont val="Times New Roman"/>
        <family val="1"/>
        <charset val="162"/>
      </rPr>
      <t xml:space="preserve"> </t>
    </r>
    <r>
      <rPr>
        <sz val="9"/>
        <color indexed="8"/>
        <rFont val="Times New Roman"/>
        <family val="1"/>
        <charset val="162"/>
      </rPr>
      <t xml:space="preserve">Sosyal Güvenlik Kurumu Daire Başkanları (Ana ve Yardımcı Hizmet Birimi), Sayıştay Başkanlığı Birim Başkanı, Sayıştay Başkanlığı Strateji Geliştirme Birim Başkanı </t>
    </r>
    <r>
      <rPr>
        <vertAlign val="superscript"/>
        <sz val="9"/>
        <color indexed="8"/>
        <rFont val="Times New Roman"/>
        <family val="1"/>
        <charset val="162"/>
      </rPr>
      <t>(4)(6)(7)(8)(10)(12) (15)(16)(17)(18)(21)(22)(23)(24)(25)(26)</t>
    </r>
  </si>
  <si>
    <r>
      <t xml:space="preserve">Büyükşehir Belediye ile bağlı kuruluşlarındaki I. Hukuk Müşaviri, </t>
    </r>
    <r>
      <rPr>
        <vertAlign val="superscript"/>
        <sz val="8"/>
        <color indexed="8"/>
        <rFont val="Times New Roman"/>
        <family val="1"/>
        <charset val="162"/>
      </rPr>
      <t>(3)</t>
    </r>
  </si>
  <si>
    <r>
      <t>İl Afet ve Acil Durum Müdürü,</t>
    </r>
    <r>
      <rPr>
        <vertAlign val="superscript"/>
        <sz val="8"/>
        <color indexed="8"/>
        <rFont val="Times New Roman"/>
        <family val="1"/>
        <charset val="162"/>
      </rPr>
      <t xml:space="preserve"> (4)</t>
    </r>
    <r>
      <rPr>
        <sz val="8"/>
        <color indexed="8"/>
        <rFont val="Times New Roman"/>
        <family val="1"/>
        <charset val="162"/>
      </rPr>
      <t xml:space="preserve">  </t>
    </r>
  </si>
  <si>
    <r>
      <t>Sivil Savunma Arama ve Kurtarma Birlik Müdürü,</t>
    </r>
    <r>
      <rPr>
        <vertAlign val="superscript"/>
        <sz val="8"/>
        <color indexed="8"/>
        <rFont val="Times New Roman"/>
        <family val="1"/>
        <charset val="162"/>
      </rPr>
      <t xml:space="preserve"> (4)</t>
    </r>
  </si>
  <si>
    <r>
      <t xml:space="preserve">        </t>
    </r>
    <r>
      <rPr>
        <b/>
        <sz val="9"/>
        <color indexed="8"/>
        <rFont val="Times New Roman"/>
        <family val="1"/>
        <charset val="162"/>
      </rPr>
      <t>IV SAYILI MAKAM TAZMİNATI CETVELİ: (Ek: 9/4/1990 - KHK - 418/10 md.;</t>
    </r>
  </si>
  <si>
    <r>
      <t xml:space="preserve">             Başkanı, </t>
    </r>
    <r>
      <rPr>
        <vertAlign val="superscript"/>
        <sz val="9"/>
        <color indexed="8"/>
        <rFont val="Times New Roman"/>
        <family val="1"/>
        <charset val="162"/>
      </rPr>
      <t>(2)(4)</t>
    </r>
    <r>
      <rPr>
        <sz val="9"/>
        <color indexed="8"/>
        <rFont val="Times New Roman"/>
        <family val="1"/>
        <charset val="162"/>
      </rPr>
      <t>                                                                                                            7.000</t>
    </r>
  </si>
  <si>
    <r>
      <t xml:space="preserve">             c)  </t>
    </r>
    <r>
      <rPr>
        <b/>
        <sz val="9"/>
        <color indexed="8"/>
        <rFont val="Times New Roman"/>
        <family val="1"/>
        <charset val="162"/>
      </rPr>
      <t xml:space="preserve">(Ek: 1/7/2006-5540/7 md.) </t>
    </r>
    <r>
      <rPr>
        <sz val="9"/>
        <color indexed="8"/>
        <rFont val="Times New Roman"/>
        <family val="1"/>
        <charset val="162"/>
      </rPr>
      <t>Birinci Sınıf Mülki İdare amirleri</t>
    </r>
  </si>
  <si>
    <r>
      <t xml:space="preserve">                  1.  </t>
    </r>
    <r>
      <rPr>
        <b/>
        <sz val="9"/>
        <color indexed="8"/>
        <rFont val="Times New Roman"/>
        <family val="1"/>
        <charset val="162"/>
      </rPr>
      <t xml:space="preserve">(Değişik: 1/7/2006-5540/7 md.) </t>
    </r>
    <r>
      <rPr>
        <sz val="9"/>
        <color indexed="8"/>
        <rFont val="Times New Roman"/>
        <family val="1"/>
        <charset val="162"/>
      </rPr>
      <t>Birinci Sınıf Mülki İdare amirleri hariç kaymakamlar ile Kaymakamlık unvanını kazandıktan sonra İçişleri Bakanlığının merkez ve taşra teşkilatında görev yapanlar,</t>
    </r>
  </si>
  <si>
    <r>
      <t xml:space="preserve">Müdürleri ile aynı illerin İl Emniyet Müdürleri, </t>
    </r>
    <r>
      <rPr>
        <sz val="9"/>
        <color indexed="8"/>
        <rFont val="Times New Roman"/>
        <family val="1"/>
        <charset val="162"/>
      </rPr>
      <t xml:space="preserve">İl Müftüleri, </t>
    </r>
    <r>
      <rPr>
        <sz val="9"/>
        <color indexed="8"/>
        <rFont val="Times New Roman"/>
        <family val="1"/>
        <charset val="162"/>
      </rPr>
      <t>Sosyal Güvenlik</t>
    </r>
  </si>
  <si>
    <r>
      <t xml:space="preserve"> İl Müdürleri (Ankara, İstanbul, İzmir) </t>
    </r>
    <r>
      <rPr>
        <vertAlign val="superscript"/>
        <sz val="9"/>
        <color indexed="8"/>
        <rFont val="Times New Roman"/>
        <family val="1"/>
        <charset val="162"/>
      </rPr>
      <t>(8)(12)</t>
    </r>
    <r>
      <rPr>
        <sz val="9"/>
        <color indexed="8"/>
        <rFont val="Times New Roman"/>
        <family val="1"/>
        <charset val="162"/>
      </rPr>
      <t>                                                            1.500</t>
    </r>
  </si>
  <si>
    <r>
      <t>  10      a)  5, 6 ve 7 nci sıralar ile 8 inci sıranın (a), (b) ve (c) bentlerinde yazılı kadro ve görevlerde fiilen altı ay çalıştıktan sonra bu Kanunun 43 üncü maddesinin ‘B’ bendinin üçüncü  paragrafında belirtilen kadro ve görevlere atananlar</t>
    </r>
    <r>
      <rPr>
        <vertAlign val="superscript"/>
        <sz val="9"/>
        <color indexed="8"/>
        <rFont val="Times New Roman"/>
        <family val="1"/>
        <charset val="162"/>
      </rPr>
      <t>(9)</t>
    </r>
    <r>
      <rPr>
        <sz val="9"/>
        <color indexed="8"/>
        <rFont val="Times New Roman"/>
        <family val="1"/>
        <charset val="162"/>
      </rPr>
      <t>    2.000</t>
    </r>
  </si>
  <si>
    <r>
      <t>b)  8 inci sıranın (d) bendi ile 9 uncu sırada yazılı kadro ve görevlerde fiilen altı ay çalıştıktan sonra  bu Kanunun 43 üncü maddesinin ‘B’ bendinin üçüncü  paragrafında belirtilen kadro ve görevlere atananlar</t>
    </r>
    <r>
      <rPr>
        <vertAlign val="superscript"/>
        <sz val="9"/>
        <color indexed="8"/>
        <rFont val="Times New Roman"/>
        <family val="1"/>
        <charset val="162"/>
      </rPr>
      <t>(9)</t>
    </r>
    <r>
      <rPr>
        <sz val="9"/>
        <color indexed="8"/>
        <rFont val="Times New Roman"/>
        <family val="1"/>
        <charset val="162"/>
      </rPr>
      <t>      1.000</t>
    </r>
  </si>
  <si>
    <r>
      <t xml:space="preserve">             </t>
    </r>
    <r>
      <rPr>
        <b/>
        <sz val="9"/>
        <color indexed="8"/>
        <rFont val="Times New Roman"/>
        <family val="1"/>
        <charset val="162"/>
      </rPr>
      <t xml:space="preserve">Geçici Madde 1 – </t>
    </r>
    <r>
      <rPr>
        <sz val="9"/>
        <color indexed="8"/>
        <rFont val="Times New Roman"/>
        <family val="1"/>
        <charset val="162"/>
      </rPr>
      <t>Bu kanundan önce çıkarılan kanun hükmünde kararnamelerin uygulanması sonunda bulunan yeni derece ve kademelere göre 5 sayılı Kanun Hükmünde Kararnamenin geçici 3 ve 4; 8 sayılı Kanun Hükmünde Kararnamenin geçici 1 inci maddeleri uyarınca intibak çizelgelerine müsteniden yapılan aylık ödemelerine ilgili kararname hükümlerine göre devam olunur. 1/3/1975 tarihine kadar yapılacak kademe ilerlemesi ve derece yükselmesi işlemlemleri söz konusu Kararname hükümlerine göre yapılır.</t>
    </r>
  </si>
  <si>
    <r>
      <t xml:space="preserve">             </t>
    </r>
    <r>
      <rPr>
        <b/>
        <sz val="9"/>
        <color indexed="8"/>
        <rFont val="Times New Roman"/>
        <family val="1"/>
        <charset val="162"/>
      </rPr>
      <t xml:space="preserve">Geçici Madde 2 – </t>
    </r>
    <r>
      <rPr>
        <sz val="9"/>
        <color indexed="8"/>
        <rFont val="Times New Roman"/>
        <family val="1"/>
        <charset val="162"/>
      </rPr>
      <t>Evvelce 1/3/1970 tarihi itibari ile intibak yapılmış olanlar ile bu tarihten sonra göreve alınanların intibakı 1/3/1975 tarihinden geçerli olmak üzere bu kanun hükümlerine göre düzenlenir.</t>
    </r>
  </si>
  <si>
    <r>
      <t xml:space="preserve">             </t>
    </r>
    <r>
      <rPr>
        <b/>
        <sz val="9"/>
        <color indexed="8"/>
        <rFont val="Times New Roman"/>
        <family val="1"/>
        <charset val="162"/>
      </rPr>
      <t>Geçici Madde 3 –</t>
    </r>
    <r>
      <rPr>
        <sz val="9"/>
        <color indexed="8"/>
        <rFont val="Times New Roman"/>
        <family val="1"/>
        <charset val="162"/>
      </rPr>
      <t xml:space="preserve"> Bu kanunun yürürlüğe girdiği tarihten önceki kazanılmış hak aylıklarının ödenmesine devam olunur.</t>
    </r>
  </si>
  <si>
    <r>
      <t xml:space="preserve">             </t>
    </r>
    <r>
      <rPr>
        <b/>
        <sz val="9"/>
        <color indexed="8"/>
        <rFont val="Times New Roman"/>
        <family val="1"/>
        <charset val="162"/>
      </rPr>
      <t xml:space="preserve">Geçici Madde 5 – </t>
    </r>
    <r>
      <rPr>
        <sz val="9"/>
        <color indexed="8"/>
        <rFont val="Times New Roman"/>
        <family val="1"/>
        <charset val="162"/>
      </rPr>
      <t>1/3/1975 tarihinde görevde bulunan Emniyet Müfettişi, Emniyet Müfettiş Muavini, sivil başmemur (dedektif), sivil memur (Dedektif), mali polis mütehassısı, mali polis eksperi, polis enstitüsü ve polis okulları dahiliye müdürlerinin intibakları emniyet hizmetleri sınıfına yapılır.</t>
    </r>
  </si>
  <si>
    <r>
      <t xml:space="preserve">             </t>
    </r>
    <r>
      <rPr>
        <b/>
        <sz val="9"/>
        <color indexed="8"/>
        <rFont val="Times New Roman"/>
        <family val="1"/>
        <charset val="162"/>
      </rPr>
      <t xml:space="preserve">Geçici Madde 6 – </t>
    </r>
    <r>
      <rPr>
        <sz val="9"/>
        <color indexed="8"/>
        <rFont val="Times New Roman"/>
        <family val="1"/>
        <charset val="162"/>
      </rPr>
      <t>Bu Kanunun değişik 33 üncü maddesine göre Genel Kadro Kanunu çıkıncaya kadar, 1322 sayılı Genel Kadro Kanunu ile kurumlara tahsis edilen kadrolar ile bütçe kanunları hükümlerine göre ihdas edilip kurumlara tahsis edilen kadrolar ve bu kadrolarda yapılan degişiklikler geçerlidir.</t>
    </r>
  </si>
  <si>
    <r>
      <t xml:space="preserve">             </t>
    </r>
    <r>
      <rPr>
        <b/>
        <sz val="9"/>
        <color indexed="8"/>
        <rFont val="Times New Roman"/>
        <family val="1"/>
        <charset val="162"/>
      </rPr>
      <t xml:space="preserve">Geçici Madde 7 – </t>
    </r>
    <r>
      <rPr>
        <sz val="9"/>
        <color indexed="8"/>
        <rFont val="Times New Roman"/>
        <family val="1"/>
        <charset val="162"/>
      </rPr>
      <t>36 ncı maddenin (B) bendinin 1 inci fıkrasında sözü edilen yönetmelik çıkıncaya kadar ilgili bakanlığın tespit edeceği esaslar dairesinde yapılacak özel yükselme sınavını başaranlar da 1 inci derecenin son kademe aylığına kadar yükselebilirler.</t>
    </r>
  </si>
  <si>
    <r>
      <t xml:space="preserve">             </t>
    </r>
    <r>
      <rPr>
        <b/>
        <sz val="9"/>
        <color indexed="8"/>
        <rFont val="Times New Roman"/>
        <family val="1"/>
        <charset val="162"/>
      </rPr>
      <t xml:space="preserve">Geçici Madde 8 – </t>
    </r>
    <r>
      <rPr>
        <sz val="9"/>
        <color indexed="8"/>
        <rFont val="Times New Roman"/>
        <family val="1"/>
        <charset val="162"/>
      </rPr>
      <t>İntibak hatalarından doğan Devlet alacakları 6183 sayılı Amme Alacaklarının Tahsil Usulü Hakkında Kanun hükümleri dairesinde tahsil edilir.</t>
    </r>
  </si>
  <si>
    <r>
      <t xml:space="preserve">             </t>
    </r>
    <r>
      <rPr>
        <b/>
        <sz val="9"/>
        <color indexed="8"/>
        <rFont val="Times New Roman"/>
        <family val="1"/>
        <charset val="162"/>
      </rPr>
      <t xml:space="preserve">Geçici Madde 9 – </t>
    </r>
    <r>
      <rPr>
        <sz val="9"/>
        <color indexed="8"/>
        <rFont val="Times New Roman"/>
        <family val="1"/>
        <charset val="162"/>
      </rPr>
      <t xml:space="preserve">197 nci maddeden sonra gelen zam ve tazminatlar başlığı altındaki ek maddenin son fıkrasında yer alan ve yılda bir defa ve bütün kurumlar için toplu olarak tespiti öngörülen tazminat ve zamların 1975 Mali yılına münhasır olmak kaydı ile kurumların müracaatı üzerine yılda 2 defa diğer hükümler saklı kalmak kaydi ile Bakanlar Kurulunca tespit olunabilir. </t>
    </r>
  </si>
  <si>
    <r>
      <t xml:space="preserve">             </t>
    </r>
    <r>
      <rPr>
        <b/>
        <sz val="9"/>
        <color indexed="8"/>
        <rFont val="Times New Roman"/>
        <family val="1"/>
        <charset val="162"/>
      </rPr>
      <t xml:space="preserve">Geçici Madde – </t>
    </r>
    <r>
      <rPr>
        <sz val="9"/>
        <color indexed="8"/>
        <rFont val="Times New Roman"/>
        <family val="1"/>
        <charset val="162"/>
      </rPr>
      <t>Halen sonuçlandırılmamış disiplin ve soruşturma işlemlerinde bu Kanun hükümleri uygulanır.(1)</t>
    </r>
  </si>
  <si>
    <r>
      <t xml:space="preserve">             </t>
    </r>
    <r>
      <rPr>
        <b/>
        <sz val="9"/>
        <color indexed="8"/>
        <rFont val="Times New Roman"/>
        <family val="1"/>
        <charset val="162"/>
      </rPr>
      <t xml:space="preserve">Geçici Madde – </t>
    </r>
    <r>
      <rPr>
        <sz val="9"/>
        <color indexed="8"/>
        <rFont val="Times New Roman"/>
        <family val="1"/>
        <charset val="162"/>
      </rPr>
      <t>Adalet Bakanlığında mevcut Bakanlık Başmüşavirliği, Bakanlık Müşavirliği, Bakanlık özel Müşavirliği, Basın ve Halkla İlişkiler Müşavirliği unvanları ve kadroları kaldırılmıştır.</t>
    </r>
  </si>
  <si>
    <r>
      <t xml:space="preserve">                    </t>
    </r>
    <r>
      <rPr>
        <u/>
        <sz val="9"/>
        <color indexed="8"/>
        <rFont val="Times New Roman"/>
        <family val="1"/>
        <charset val="162"/>
      </rPr>
      <t>Derece                                              Sınıf                                                  Adet</t>
    </r>
  </si>
  <si>
    <r>
      <t xml:space="preserve">             </t>
    </r>
    <r>
      <rPr>
        <b/>
        <sz val="9"/>
        <color indexed="8"/>
        <rFont val="Times New Roman"/>
        <family val="1"/>
        <charset val="162"/>
      </rPr>
      <t xml:space="preserve">Geçici Madde 1 – </t>
    </r>
    <r>
      <rPr>
        <sz val="9"/>
        <color indexed="8"/>
        <rFont val="Times New Roman"/>
        <family val="1"/>
        <charset val="162"/>
      </rPr>
      <t>Bu Kanun ile Aylık Gösterge Tablosunda yapılmış olan değişiklik nedeniyle aylıklarda meydana gelecek olan artışlar hakkında 5434 sayılı Kanunun 14 üncü maddesinin (c) fıkrası uygulanmaz.</t>
    </r>
  </si>
  <si>
    <r>
      <t xml:space="preserve">             </t>
    </r>
    <r>
      <rPr>
        <b/>
        <sz val="9"/>
        <color indexed="8"/>
        <rFont val="Times New Roman"/>
        <family val="1"/>
        <charset val="162"/>
      </rPr>
      <t xml:space="preserve">Geçici Madde 2 – </t>
    </r>
    <r>
      <rPr>
        <sz val="9"/>
        <color indexed="8"/>
        <rFont val="Times New Roman"/>
        <family val="1"/>
        <charset val="162"/>
      </rPr>
      <t>Genel ve Katma Bütçeli kurumlarda, bunlara bağlı döner sermayeli kuruluşlarda, kanunla kurulan fonlarda, kefalet sandıklarında ve Beden Terbiyesi Bölge Müdürlüklerinde görevli olan memurlar hakkında Kadro Kanunu; bunlar dışında kalan diğer kamu kurum ve kuruluşlarının memurları hakkında ilgili mevzuatında yapılacak düzenleme yürürlüğe konuluncaya kadar; bunların Genel İdare Hizmetleri sınıfına dahil 1, 2, 3 ve 4 üncü derece kadrolarında bulunanlara, 657 sayılı Kanunun 43 üncü maddesinin bu Kanunla değiştirilmeden önceki hükümlerine dayanılarak Bakanlar Kurulunca tespit edilmiş olan ek göstergelerin uygulanmasına devam olunur.</t>
    </r>
  </si>
  <si>
    <r>
      <t xml:space="preserve">             </t>
    </r>
    <r>
      <rPr>
        <b/>
        <sz val="9"/>
        <color indexed="8"/>
        <rFont val="Times New Roman"/>
        <family val="1"/>
        <charset val="162"/>
      </rPr>
      <t>Geçici Madde 3 –</t>
    </r>
    <r>
      <rPr>
        <sz val="9"/>
        <color indexed="8"/>
        <rFont val="Times New Roman"/>
        <family val="1"/>
        <charset val="162"/>
      </rPr>
      <t xml:space="preserve"> Bu Kanunun yürürlüğe girdiği tarihten önce derece yükselmesindeki süre kaydı aranmaksızın 1, 2, 3 ve 4 üncü derece kadrolara atanmış olup da, 657 sayılı Kanunun 68 inci maddesinin bu Kanunla yeniden düzenlenen (B) bendinde öngörülen şartları taşıyanlar herhangi bir işleme gerek kalmaksızın; bu şartları taşımayanlardan sicillerine göre başarılı olanlar Bakanlarının veya atamaya yetkili amirlerinin takdirleri ile bulundukları görevlerde çalıştırılabilirler ve bu sürece aynı haklardan yararlanmaya devam ederler. Bu nitelikte bulunmayanlar durumlarına uygun derecelerdeki kadrolara atanırlar.</t>
    </r>
  </si>
  <si>
    <r>
      <t xml:space="preserve">             </t>
    </r>
    <r>
      <rPr>
        <b/>
        <sz val="9"/>
        <color indexed="8"/>
        <rFont val="Times New Roman"/>
        <family val="1"/>
        <charset val="162"/>
      </rPr>
      <t>Geçici Madde 4 – (Değişik: 30/12/1982 - 2771/8 md.)</t>
    </r>
    <r>
      <rPr>
        <sz val="9"/>
        <color indexed="8"/>
        <rFont val="Times New Roman"/>
        <family val="1"/>
        <charset val="162"/>
      </rPr>
      <t xml:space="preserve"> 657 sayılı Devlet Memurları Kanununun bu Kanunla kaldırılan 190 ve Ek Geçici 20 nci maddeleri uyarınca T.C. Merkez Bankasında açılmış bulunan özel hesap Hazineye devredilmiştir.</t>
    </r>
  </si>
  <si>
    <r>
      <t xml:space="preserve">             </t>
    </r>
    <r>
      <rPr>
        <b/>
        <sz val="9"/>
        <color indexed="8"/>
        <rFont val="Times New Roman"/>
        <family val="1"/>
        <charset val="162"/>
      </rPr>
      <t xml:space="preserve">Geçici Madde 5 – </t>
    </r>
    <r>
      <rPr>
        <sz val="9"/>
        <color indexed="8"/>
        <rFont val="Times New Roman"/>
        <family val="1"/>
        <charset val="162"/>
      </rPr>
      <t>Bu Kanunun yürürlüğe girdiği tarihte görevde olup da 657 sayılı Kanunun değişik 146 ncı maddesinin son fıkrası uyarınca kendilerine daha önce tazminat ödenenlerin bu tazminatları, aşağıda yer alan aylık göstergelerin hizalarındaki brüt miktarlar üzerinden ve özlük hakları ile ilgilendirilmeksizin 31/12/1982 tarihine kadar ayrıca ödenmeye devam olunur.</t>
    </r>
  </si>
  <si>
    <r>
      <t xml:space="preserve">                                         </t>
    </r>
    <r>
      <rPr>
        <u/>
        <sz val="9"/>
        <color indexed="8"/>
        <rFont val="Times New Roman"/>
        <family val="1"/>
        <charset val="162"/>
      </rPr>
      <t>Göstergeler</t>
    </r>
    <r>
      <rPr>
        <sz val="9"/>
        <color indexed="8"/>
        <rFont val="Times New Roman"/>
        <family val="1"/>
        <charset val="162"/>
      </rPr>
      <t xml:space="preserve">                                     </t>
    </r>
    <r>
      <rPr>
        <u/>
        <sz val="9"/>
        <color indexed="8"/>
        <rFont val="Times New Roman"/>
        <family val="1"/>
        <charset val="162"/>
      </rPr>
      <t>Miktar (TL.)</t>
    </r>
  </si>
  <si>
    <r>
      <t xml:space="preserve">             </t>
    </r>
    <r>
      <rPr>
        <b/>
        <sz val="9"/>
        <color indexed="8"/>
        <rFont val="Times New Roman"/>
        <family val="1"/>
        <charset val="162"/>
      </rPr>
      <t xml:space="preserve">Geçici Madde 6 – </t>
    </r>
    <r>
      <rPr>
        <sz val="9"/>
        <color indexed="8"/>
        <rFont val="Times New Roman"/>
        <family val="1"/>
        <charset val="162"/>
      </rPr>
      <t>Bu Kanunla 657 sayılı Devlet Memurları Kanununun "Zam ve Tazminatlar" başlıklı Ek Maddesine eklenen fıkra uyarınca ödenmesi öngörülen özel Hizmet Tazminatı, 31/12/1980 tarih ve 2368 sayılı Kanunun 1 inci maddesinin birinci fıkrasında sayılan ödeme çeşitleri ile birlikte fark tazminatı mukayesesine dahil edilir.</t>
    </r>
  </si>
  <si>
    <r>
      <t xml:space="preserve">             </t>
    </r>
    <r>
      <rPr>
        <b/>
        <sz val="9"/>
        <color indexed="8"/>
        <rFont val="Times New Roman"/>
        <family val="1"/>
        <charset val="162"/>
      </rPr>
      <t xml:space="preserve">Geçici Madde 7 – </t>
    </r>
    <r>
      <rPr>
        <sz val="9"/>
        <color indexed="8"/>
        <rFont val="Times New Roman"/>
        <family val="1"/>
        <charset val="162"/>
      </rPr>
      <t>1/4/1981 tarih ve 2443 sayılı Kanunda değişiklik yapılıncaya kadar, Devlet Denetleme Kurulu Başkan ve Üyeleri 657 sayılı Kanunun "Zam ve Tazminatlar" başlıklı maddesine bu Kanunun 13 üncü maddesi ile eklenen (c) bendi hükümlerinden yararlandırılırlar.</t>
    </r>
  </si>
  <si>
    <r>
      <t>             Buna göre ödenecek özel hizmet tazminatı miktarı 657 sayılı Kanuna göre en yüksek Devlet memuru aylığının (ek gösterge dahil) % 20'sini geçmemek üzere Cumhurbaşkanlığı Genel Sekreterince tespit olunur</t>
    </r>
    <r>
      <rPr>
        <vertAlign val="superscript"/>
        <sz val="9"/>
        <color indexed="8"/>
        <rFont val="Times New Roman"/>
        <family val="1"/>
        <charset val="162"/>
      </rPr>
      <t>.(1)</t>
    </r>
  </si>
  <si>
    <r>
      <t xml:space="preserve">             </t>
    </r>
    <r>
      <rPr>
        <b/>
        <sz val="9"/>
        <color indexed="8"/>
        <rFont val="Times New Roman"/>
        <family val="1"/>
        <charset val="162"/>
      </rPr>
      <t xml:space="preserve">Geçici Madde 8 – </t>
    </r>
    <r>
      <rPr>
        <sz val="9"/>
        <color indexed="8"/>
        <rFont val="Times New Roman"/>
        <family val="1"/>
        <charset val="162"/>
      </rPr>
      <t>23/1/1981 tarih ve 2377 sayılı Öğretmenlere Eğitim ve Öğretim Tazminatı ödenmesi Hakkında Kanunda değişiklik yapılıncaya kadar, anılan Kanunun 1 inci maddesinde yer alan 1 000 lira 1 500 lira olarak ödenir.</t>
    </r>
  </si>
  <si>
    <r>
      <t xml:space="preserve">             </t>
    </r>
    <r>
      <rPr>
        <b/>
        <sz val="9"/>
        <color indexed="8"/>
        <rFont val="Times New Roman"/>
        <family val="1"/>
        <charset val="162"/>
      </rPr>
      <t xml:space="preserve">Geçici Madde 9 – </t>
    </r>
    <r>
      <rPr>
        <sz val="9"/>
        <color indexed="8"/>
        <rFont val="Times New Roman"/>
        <family val="1"/>
        <charset val="162"/>
      </rPr>
      <t>Bu Kanuna tabi kurumlarda sürekli işçi statüsü ile çalışanlarla sözleşmeli personelden bu Kanunun yürürlüğe girdiği tarihten itibaren 6 ay içinde memurluğa geçmek için yazılı olarak müracaat edenler, öğrenim durumlarına göre yükselebilecekleri tavanı aşmamak kaydı ile, 657 sayılı Devlet Memurları Kanununun değişik Ek Geçici 1, 2 ve 3 üncü maddeleri hükümleri, 13/12/1960 tarih ve 160 sayılı Kanunun 4 üncü maddesinde sayılan kuruluşlarda  1/3/1979 tarihinde görevli olanlar için ayrıca 20/2/1979 tarih ve 2182 sayılı Kanun hükümleri de dikkate alınarak derece ve kademeleri tespit edilmek suretiyle mevcut veya yeniden alınacak memur kadrolarına intibak ettirilebilirler.</t>
    </r>
  </si>
  <si>
    <r>
      <t xml:space="preserve">             </t>
    </r>
    <r>
      <rPr>
        <b/>
        <sz val="9"/>
        <color indexed="8"/>
        <rFont val="Times New Roman"/>
        <family val="1"/>
        <charset val="162"/>
      </rPr>
      <t>Geçici Madde 10 – (Ek: 30/12/1982 - 2771/9 md.)</t>
    </r>
    <r>
      <rPr>
        <sz val="9"/>
        <color indexed="8"/>
        <rFont val="Times New Roman"/>
        <family val="1"/>
        <charset val="162"/>
      </rPr>
      <t xml:space="preserve"> 657 sayılı Devlet Memurları Kanununun değişik 43 üncü maddesinin (j) fıkrasında yazılı unvanları bu fıkrada yazılı şartlarla kazanmamış olmakla birlikte, 1/3/1982 tarihine kadar kanun, tüzük ve yönetmelik hükümlerine dayanarak almış bulunanlardan yükseköğrenimli olanlar hakkında da anılan (j) fıkrası hükümleri uygulanır.</t>
    </r>
  </si>
  <si>
    <r>
      <t xml:space="preserve">             </t>
    </r>
    <r>
      <rPr>
        <b/>
        <sz val="9"/>
        <color indexed="8"/>
        <rFont val="Times New Roman"/>
        <family val="1"/>
        <charset val="162"/>
      </rPr>
      <t xml:space="preserve">Geçici Madde 5 – </t>
    </r>
    <r>
      <rPr>
        <sz val="9"/>
        <color indexed="8"/>
        <rFont val="Times New Roman"/>
        <family val="1"/>
        <charset val="162"/>
      </rPr>
      <t>12.3.1986 tarihli ve 3268 sayılı Memurlar ve Diğer Kamu Görevlileri Hakkındaki Bazı Kanunlarda Değişiklik Yapılmasına Dair ve 9.4.1987 Tarihli ve 3347 Sayılı, 12.3.1986 Tarih ve 3268 Sayılı Kanun ile Kamu Kurum ve Kuruluşlarının Teşkilatlarında Değişiklik Yapılmasına Dair Yetki Kanunları ile Bakanlar Kuruluna verilen Kanun Hükmünde Kararname çıkarma yetkisi 6.6.1985 Tarihli ve 3221 Sayılı, 24.2.1983 Tarihli ve 2802 Sayılı, 14.7.1965 Tarihli ve 657 Sayılı Kanunlar için adı geçen yetki kanunları ile verilen süre bitimine kadar geçerlidir.</t>
    </r>
  </si>
  <si>
    <r>
      <t xml:space="preserve">         </t>
    </r>
    <r>
      <rPr>
        <b/>
        <sz val="9"/>
        <color indexed="8"/>
        <rFont val="Times New Roman"/>
        <family val="1"/>
        <charset val="162"/>
      </rPr>
      <t>14/7/1965 TARİHLİ VE 657 SAYILI ANA KANUNA İŞLENEMEYEN KANUN</t>
    </r>
  </si>
  <si>
    <r>
      <t xml:space="preserve">             </t>
    </r>
    <r>
      <rPr>
        <b/>
        <sz val="9"/>
        <color indexed="8"/>
        <rFont val="Times New Roman"/>
        <family val="1"/>
        <charset val="162"/>
      </rPr>
      <t xml:space="preserve">Geçici Madde 1 – </t>
    </r>
    <r>
      <rPr>
        <sz val="9"/>
        <color indexed="8"/>
        <rFont val="Times New Roman"/>
        <family val="1"/>
        <charset val="162"/>
      </rPr>
      <t>30/11/1970 tarihi ile bu Kararnamenin yürürlüğe girdiği tarih arasında 1327 Sayılı Kanuna göre yapılan intibaklar, 30/11/1970 tarihindeki hukuki durumlar esas alınarak, bu Kararname ile getirilen hükümler çerçevesinde 1/6/1973 tarihinden geçerli olmak üzere ek geçici 45 inci maddede sözü edilen yönetmelik esaslarına göre yeniden düzenlenir.</t>
    </r>
  </si>
  <si>
    <r>
      <t xml:space="preserve">             </t>
    </r>
    <r>
      <rPr>
        <sz val="9"/>
        <color indexed="8"/>
        <rFont val="Times New Roman"/>
        <family val="1"/>
        <charset val="162"/>
      </rPr>
      <t>Şu kadarki, öğrenim durumları itibariyle yükselebilecekleri dereceleri aşanlar hakkında yukarıdaki fıkra ile değerlendirilmesi öngörülen süreler sadece kademe ilerlemesinden sayılır.</t>
    </r>
  </si>
  <si>
    <r>
      <t xml:space="preserve">                </t>
    </r>
    <r>
      <rPr>
        <b/>
        <sz val="9"/>
        <color indexed="8"/>
        <rFont val="Times New Roman"/>
        <family val="1"/>
        <charset val="162"/>
      </rPr>
      <t>Geçici Madde 4 –</t>
    </r>
    <r>
      <rPr>
        <sz val="9"/>
        <color indexed="8"/>
        <rFont val="Times New Roman"/>
        <family val="1"/>
        <charset val="162"/>
      </rPr>
      <t xml:space="preserve"> 657 sayılı Devlet Memurları Kanununa 31/7/1970 tarihli ve 1327 sayılı Kanunun 71 inci maddesiyle getirilen ve 8/10/1973 tarihli ve 8 sayılı Kanun Hükmünde Kararname ile değiştirilen  Ek madde  1/3/1975  tarihine kadar uygulanmaz. Bu tarihe  kadar  hangi  işi yapanlara ve hangi görevlerde bulunanlara, hangi miktarda iş güçlüğü, iş riski ve teminindeki güçlük zammı verileceği ilgili kurum, Devlet Personel Başkanlığı ve Maliye Bakanlığının teklifi üzerine Bakanlar Kurulunca 1/7/1974 ten önce çıkarılacak kararname ile kararlaştırılır.</t>
    </r>
  </si>
  <si>
    <t>             Ancak, haklarında emeklilik hükümleri uygulananlar ile ölenlerin ve her ne suretle olursa olsun (T.C. Emekli Sandığına tabi görevlere naklen  atananlarla,  muvazzaf askerlik  hizmeti  için ayrılanlar hariç) görevlerinden ayrılanlara, istedikleri takdirde, 1/3/1982 tarihinden sonraki süreler için vadeli mevduat munzam karşılıklarına T.C. Merkez Bankasınca uygulanan oran üzerinden tahakkuk ettirilecek faizi ile birlikte birikmiş kesenekleri iade edilir.</t>
  </si>
  <si>
    <t>1
1</t>
  </si>
  <si>
    <t xml:space="preserve">     b) Öğretmen ve diğer personel</t>
  </si>
  <si>
    <r>
      <t xml:space="preserve">     a) </t>
    </r>
    <r>
      <rPr>
        <b/>
        <sz val="9"/>
        <color indexed="8"/>
        <rFont val="Times New Roman"/>
        <family val="1"/>
        <charset val="162"/>
      </rPr>
      <t xml:space="preserve">(Mülga: 4/6/2010-5984/4 md.) İlköğretim Müfettişleri </t>
    </r>
  </si>
  <si>
    <r>
      <t xml:space="preserve">VI- DİN HİZMETLERİ SINIFI </t>
    </r>
    <r>
      <rPr>
        <b/>
        <sz val="12"/>
        <color indexed="8"/>
        <rFont val="Times New Roman"/>
        <family val="1"/>
        <charset val="162"/>
      </rPr>
      <t xml:space="preserve">(Değişik: 1/7/2010-6002/21 md.) </t>
    </r>
  </si>
  <si>
    <r>
      <t>V. AVUKATLIK HİZMETLERİ SINIFI (</t>
    </r>
    <r>
      <rPr>
        <b/>
        <sz val="10"/>
        <color indexed="8"/>
        <rFont val="Times New Roman"/>
        <family val="1"/>
        <charset val="162"/>
      </rPr>
      <t xml:space="preserve">Yeniden düzenleme:17/9/2004-5234/1 md.)  </t>
    </r>
    <r>
      <rPr>
        <b/>
        <vertAlign val="superscript"/>
        <sz val="10"/>
        <color indexed="8"/>
        <rFont val="Times New Roman"/>
        <family val="1"/>
        <charset val="162"/>
      </rPr>
      <t>(1)</t>
    </r>
  </si>
  <si>
    <r>
      <t xml:space="preserve">c) Daire Başkanları ile Diğer Birinci Sınıf Emniyet Müdürleri, </t>
    </r>
    <r>
      <rPr>
        <vertAlign val="superscript"/>
        <sz val="12"/>
        <color indexed="8"/>
        <rFont val="Times New Roman"/>
        <family val="1"/>
        <charset val="162"/>
      </rPr>
      <t>(1)</t>
    </r>
  </si>
  <si>
    <t>3000
3000</t>
  </si>
  <si>
    <r>
      <t xml:space="preserve">    Başbakanlık Müsteşarı, Bakan Yardımcısı</t>
    </r>
    <r>
      <rPr>
        <vertAlign val="superscript"/>
        <sz val="9"/>
        <color indexed="8"/>
        <rFont val="Times New Roman"/>
        <family val="1"/>
        <charset val="162"/>
      </rPr>
      <t>(8)</t>
    </r>
    <r>
      <rPr>
        <sz val="9"/>
        <color indexed="8"/>
        <rFont val="Times New Roman"/>
        <family val="1"/>
        <charset val="162"/>
      </rPr>
      <t>                                                                 15.000</t>
    </r>
  </si>
  <si>
    <r>
      <t xml:space="preserve">          b) Müsteşar, (…) </t>
    </r>
    <r>
      <rPr>
        <vertAlign val="superscript"/>
        <sz val="9"/>
        <color indexed="8"/>
        <rFont val="Times New Roman"/>
        <family val="1"/>
        <charset val="162"/>
      </rPr>
      <t>(8)</t>
    </r>
    <r>
      <rPr>
        <sz val="9"/>
        <color indexed="8"/>
        <rFont val="Times New Roman"/>
        <family val="1"/>
        <charset val="162"/>
      </rPr>
      <t>                                                                                                10.000</t>
    </r>
  </si>
  <si>
    <r>
      <t>4      a)  Başbakan Müşavirleri ile ek göstergeleri bu düzeyde veya daha yüksek tesbit edilen kadrolara atanmış olanlar</t>
    </r>
    <r>
      <rPr>
        <vertAlign val="superscript"/>
        <sz val="9"/>
        <color indexed="8"/>
        <rFont val="Times New Roman"/>
        <family val="1"/>
        <charset val="162"/>
      </rPr>
      <t>(5)</t>
    </r>
  </si>
  <si>
    <t>3      Büyükelçiler (Türkiye'de sürekli görev yaptıkları süre ile sınırlı olmak şartıyla), Genel Müdürler ile ek göstergeleri bu düzeyde veya daha yüksek tespit edilen kadrolara atanmış olanlar, Milli Savunma Bakanlığı Akarya-</t>
  </si>
  <si>
    <r>
      <rPr>
        <sz val="9"/>
        <color indexed="8"/>
        <rFont val="Times New Roman"/>
        <family val="1"/>
        <charset val="162"/>
      </rPr>
      <t xml:space="preserve">2      </t>
    </r>
    <r>
      <rPr>
        <b/>
        <sz val="9"/>
        <color indexed="8"/>
        <rFont val="Times New Roman"/>
        <family val="1"/>
        <charset val="162"/>
      </rPr>
      <t xml:space="preserve">(Değişik: 1/7/2010-6002/21 md.) </t>
    </r>
    <r>
      <rPr>
        <sz val="9"/>
        <color indexed="8"/>
        <rFont val="Times New Roman"/>
        <family val="1"/>
        <charset val="162"/>
      </rPr>
      <t>a) Diyanet İşleri Başkanı                                    13.000</t>
    </r>
  </si>
  <si>
    <t>             b)  1, 2, 3 ve 4.sıralarda yazılı kadro ve görevlerde fiilen altı ay çalıştıktan sonra bu Kanunun 43 üncü maddesinin 'B' bendinin üçüncü paragrafında belirtilen kadro ve görevlere atananlar                                    4.500</t>
  </si>
  <si>
    <r>
      <t xml:space="preserve">             b)  Diğer illerin İl İdare Kurulu Üyesi Bakanlık İl Müdürleri ile İl Emniyet Müdürleri, </t>
    </r>
    <r>
      <rPr>
        <sz val="9"/>
        <color indexed="8"/>
        <rFont val="Times New Roman"/>
        <family val="1"/>
        <charset val="162"/>
      </rPr>
      <t xml:space="preserve">İl Müftüleri, </t>
    </r>
    <r>
      <rPr>
        <sz val="9"/>
        <color indexed="8"/>
        <rFont val="Times New Roman"/>
        <family val="1"/>
        <charset val="162"/>
      </rPr>
      <t xml:space="preserve">Sosyal Güvenlik İl Müdürleri </t>
    </r>
    <r>
      <rPr>
        <vertAlign val="superscript"/>
        <sz val="9"/>
        <color indexed="8"/>
        <rFont val="Times New Roman"/>
        <family val="1"/>
        <charset val="162"/>
      </rPr>
      <t>(8)(12)</t>
    </r>
    <r>
      <rPr>
        <sz val="9"/>
        <color indexed="8"/>
        <rFont val="Times New Roman"/>
        <family val="1"/>
        <charset val="162"/>
      </rPr>
      <t>                                                                                                          1.000</t>
    </r>
  </si>
  <si>
    <t xml:space="preserve">    c) Ödenecek “Diğer Tazminatlar”, bu Karara ekli III sayılı Cetvelde,</t>
  </si>
  <si>
    <t xml:space="preserve">    ç) Teknik ve sağlık hizmetler sınıflarına dahil kadrolarda bulunan personele, bazı yörelerde verilecek ek zam ve tazminatların belirlenmesinde esas alınacak yerleşim birimleri “Kalkınmada Öncelikli Yörelerin Dereceleri” başlığı ile, bu Karara ekli IV sayılı Cetvelde,</t>
  </si>
  <si>
    <t xml:space="preserve">    d) Milli Eğitim Bakanlığına bağlı Mesleki ve Teknik Okul ve Kurumlardan, ilave Eğitim-Öğretim Tazminatı ödenecek olanların listesi, bu Karara ekli V sayılı Cetvelde,</t>
  </si>
  <si>
    <t xml:space="preserve">      a) Ödenecek “İş Güçlüğü, İş Riski, Temininde Güçlük ve Mali Sorumluluk Zammı”, bu Karara ekli I sayılı Cetvelde,</t>
  </si>
  <si>
    <t xml:space="preserve">    b) Ödenecek “Özel Hizmet Tazminatı”, bu Karara ekli II sayılı Cetvelde,</t>
  </si>
  <si>
    <t xml:space="preserve">    gösterilmiştir.</t>
  </si>
  <si>
    <t xml:space="preserve">     Parasal tutarlar ve kesintiler</t>
  </si>
  <si>
    <t xml:space="preserve">     esas alınır.</t>
  </si>
  <si>
    <t>Müsteşar Yardımcısı:</t>
  </si>
  <si>
    <t>Müşavir:</t>
  </si>
  <si>
    <t>Kurul Başkanı:</t>
  </si>
  <si>
    <t>Kadrolu Yönetim Kurulu Üyesi……………….……..</t>
  </si>
  <si>
    <t xml:space="preserve">:        </t>
  </si>
  <si>
    <t>Hukuk Müşavirliği:</t>
  </si>
  <si>
    <t xml:space="preserve"> Bilgi İşlem:</t>
  </si>
  <si>
    <t>Şube Müdürü, Müdür, APK Uzmanı, Avrupa Birliği Uzmanı</t>
  </si>
  <si>
    <t>c) Avrupa Birliği Uzman Yardımcısı....................</t>
  </si>
  <si>
    <t xml:space="preserve">       </t>
  </si>
  <si>
    <t xml:space="preserve"> b) Şef, Koruma ve Güvenlik Amiri.............................        </t>
  </si>
  <si>
    <t>Gişe Memuru (Boğaziçi ve Fatih Sultan Mehmet</t>
  </si>
  <si>
    <t>Koruma ve Güvenlik Görevlisi, Güvenlik Görevlisi,</t>
  </si>
  <si>
    <t xml:space="preserve">     a) I sayılı Cetvelde yer alan zamların miktarı, Cetvelde gösterilen puanların yan ödeme katsayısı ile çarpılması suretiyle belirlenir. Bu şekilde bulunacak miktarlardan damga vergisi ve gelir vergisi kesilir.</t>
  </si>
  <si>
    <t xml:space="preserve">     b) II ve III sayılı cetvellerde yer alan tazminatların miktarı, en yüksek Devlet memuru aylığına (ek gösterge dahil), cetvellerde gösterilen oranların uygulanması suretiyle belirlenir. Bu suretle belirlenecek miktarlar, damga vergisi hariç herhangi bir vergiye tabi tutulmaz.</t>
  </si>
  <si>
    <t xml:space="preserve">     c) II ve III sayılı cetvellere göre ödemeye esas olacak tazminatların oranları, 657 sayılı Devlet Memurları Kanununun “Zam ve tazminatlar” başlıklı 152 nci maddesinde sınıf, derece, unvan ve öğrenim durumu itibarıyla yer alan üst sınırları hiçbir şekilde geçemez.</t>
  </si>
  <si>
    <t>MADDE 3 -
     (1)  a) I sayılı Cetvelin (A), (D), (E), (F), (G) ve (H) bölümlerinde yer alan zamlar ile II sayılı Cetvelin (A), (B) ve (D) bölümlerinde yer alan özel hizmet tazminatının ödenmesinde;</t>
  </si>
  <si>
    <t xml:space="preserve">     1) Kurumların 190 sayılı Kanun Hükmünde Kararnameye ekli cetvellerinde yer alan kadro unvanları,</t>
  </si>
  <si>
    <t xml:space="preserve">     2) Kamu iktisadi teşebbüslerinin 233 ve 399 sayılı Kanun Hükmünde Kararnamelere göre tespit olunan kadro unvanları,</t>
  </si>
  <si>
    <t xml:space="preserve">     3) (1) ve (2) numaralı alt bentler dışında kalan çeşitli mevzuat hükümlerine göre verilmiş unvanlı ve unvansız kadrolarda, kadro veya görev unvanları,</t>
  </si>
  <si>
    <t xml:space="preserve">       b) I sayılı Cetvelin (B) ve (C) bölümlerinde yer alan zamlar ile II sayılı Cetvelin (C), (E) ve (F) bölümlerinde yer alan özel hizmet tazminatının ödenmesinde, anılan bölümlerde ayrıca belirtilen istisnai durumlar hariç olmak üzere, personelin işgal ettiği kadronun sınıfı ve kariyeri,</t>
  </si>
  <si>
    <t xml:space="preserve">       c) III sayılı Cetvelde yer alan diğer tazminatların ödenmesinde Cetveldeki düzenlemeler,</t>
  </si>
  <si>
    <t xml:space="preserve">     a) Ödenecek İş Güçlüğü Zammı, II sayılı Cetvelin “A- Üst Yönetim ve Genel İdare Hizmetleri Bölümü”nün 1 inci, 2 nci ve 3 üncü grubunda sayılanlar ile Valiler hariç, ayda (1200) puanı; ödenecek İş Riski Zammı, yer altı maden ocaklarında çalışanlar, I sayılı Cetvelin (C) Bölümünün 5 inci sırası, 6 ncı sırasında sayılan Veteriner Sağlık Teknikerleri ve Veteriner Sağlık Teknisyenleri hariç, ayda (1000) puanı; ödenecek Temininde Güçlük Zammı, I sayılı Cetvelin “A-Genel İdare Hizmetleri Bölümü”nün 1 inci, 2 nci ve 16 ncı sırası ile Dip Not 3/d sırasında sayılanlar, “H-Özelleştirme İdaresi Başkanlığı Bölümü”nün 1 inci sırasında belirtilen unvan, IV sayılı Cetvelde belirtilen kalkınmada öncelikli yörelerde çalışanlar, “C-Sağlık Hizmetleri Bölümü”nün Dip Not 2 nci sırasına göre ve “H-Emniyet Genel Müdürlüğü Bölümü”nün Dip Not 2 nci sırasına göre ek temininde güçlük zammı alanlar hariç, ayda (1800) puanı; ödenecek Mali Sorumluluk Zammı, ayda (700) puanı hiçbir şekilde geçemez.</t>
  </si>
  <si>
    <t xml:space="preserve">     c) I sayılı Cetvelin kurumsal listelerinde görev unvanları sayılanlara, listelerinin metninde ayrıca belirtilen istisnai durumlar hariç olmak üzere, sadece kurumsal listelerde tespit edilen puanlar üzerinden ödeme yapılır.</t>
  </si>
  <si>
    <t xml:space="preserve">     ç) Asli görevleri yanında kendilerine 657 sayılı Kanunun 88 inci maddesine göre “ikinci görev” verilenlere, her iki göreve ait aynı cins zamlardan miktarı fazla olanlar ile farklı cinsteki zamlar ödenir. </t>
  </si>
  <si>
    <t xml:space="preserve">     d) Hizmetin niteliği itibarıyla II sayılı Cetvelin farklı bölümlerine göre birden fazla özel hizmet tazminatı verilmesi öngörülen durumlarda, bunlardan oranı fazla olan ödenir.</t>
  </si>
  <si>
    <t xml:space="preserve">     e) Kurumların teknik ve sağlık hizmetleri sınıflarına ait kadrolarında bulunanlardan, bulundukları hizmet sınıflarına atanılabilecek mesleki bir üst öğrenimi bitirenlere, cetvellerde ayrıca belirtilen istisnai durumlar hariç olmak üzere, kariyerleri (mesleki üst öğrenimleri) esas alınarak zam ve tazminat ödenir. Kadroları teknik ve sağlık hizmetleri sınıflarında bulunanlardan, bulundukları hizmet sınıflarından bir kadroya atanılamayacak herhangi bir üst öğrenimi bitirenlere ise bitirdikleri üst öğrenimden dolayı zam ve tazminat ödenmez.</t>
  </si>
  <si>
    <t xml:space="preserve">     f) Eğitim-Öğretim Tazminatı, eğitim ve öğretim hizmetleri sınıfında öğretmen kadrosunda fiilen öğretmenlik yapanlar ve bu kadroda olup cezaevi okullarında çalışanlar ile bunlardan okul müdürü, okul müdür başyardımcısı, okul müdür yardımcısı, yönetici ve eğitim uzmanı olarak görevlendirilenlere ödenir.</t>
  </si>
  <si>
    <t xml:space="preserve">     g) Kurumlar; mali imkanlarını, hizmetin gereklerini ve personelin görevi yerine getirmesindeki başarı derecesini göz önünde bulundurarak, bu Karara ekli cetvellerde gösterilenlerin altında bir puan veya oran tespit etmeye yetkilidirler. Ancak, bu şekilde ödeme yapılabilmesi için, tespit edilecek puan ve oranların, 5 inci maddeye göre düzenlenecek ve kontrol edilecek cetvellerde, gerekçesiyle beraber gösterilmesi zorunludur.</t>
  </si>
  <si>
    <t xml:space="preserve">     ğ) 657 sayılı Kanunun 69 uncu maddesi uyarınca zam ve tazminat ödenebilmesi için, atamanın bu maddeye göre yapıldığının ve anılan madde uyarınca aranan hizmet gerekçesinin atama onayında belirtilmiş olması zorunludur. Kazanılmış hak aylık derecesinin üstü, eşiti veya ikiden fazla alt dereceli kadrolara atananlara anılan maddeye göre zam ve tazminat ödenmez.</t>
  </si>
  <si>
    <t xml:space="preserve">     (2) Her kurum, bu Karara göre ödeme yapılacak personelinin kadro veya görev unvanlarını, sınıflarını, derecelerini, sayılarını, hizmet yerlerini ve bunlara uygun olarak ödenecek zam ve tazminatların miktarlarını serbest kadrolar esas alınmak suretiyle hazırlanan I, II ve III sayılı cetvellerde gösterir.</t>
  </si>
  <si>
    <t xml:space="preserve">     (3) Kurumların ilgili birimlerince hazırlanan bu cetvellerden;</t>
  </si>
  <si>
    <t xml:space="preserve">        a) İl özel idareleri, belediyeler ve bunlara bağlı kuruluşlar ile birlikler tarafından hazırlananlar, il özel idarelerinde Vali, belediyelerde Belediye Başkanı tarafından onaylandıktan sonra Valiliklere,</t>
  </si>
  <si>
    <t xml:space="preserve">       b) Kamu iktisadi teşebbüsleri tarafından hazırlananlar, ilgili Bakan tarafından onaylandıktan sonra Devlet Personel Başkanlığına,</t>
  </si>
  <si>
    <t xml:space="preserve">       c) Bakanlıklar, (a) ve (b) bentlerinde belirtilenler dışındaki bağlı ve ilgili kurum ve kuruluşlar ile üniversiteler tarafından hazırlananlar, strateji geliştirme başkanlığına/daire başkanlığına/müdürlüğüne veya mali hizmetlerin yürütüldüğü birime,</t>
  </si>
  <si>
    <t xml:space="preserve">      kontrol edilmek üzere gönderilir.</t>
  </si>
  <si>
    <t xml:space="preserve">     (4) Cetvellerin, bu Kararın yayımı tarihinden itibaren 1 ay içinde kontrol edilmesini teminen anılan kurum veya birimlere gönderilmesi zorunludur.</t>
  </si>
  <si>
    <t xml:space="preserve">     (5) Üçüncü fıkranın (c) bendinde belirtilen kurum ve kuruluşlarda, strateji geliştirme başkanlığı/daire başkanlığı/müdürlüğü veya mali hizmetlerin yürütüldüğü birim tarafından yapılan kontrol sonucunda uygun görülen ana cetveller üst yönetici tarafından en geç 5 iş günü içinde onaylanarak uygulamaya konulur.</t>
  </si>
  <si>
    <t xml:space="preserve">     (6) Kurumlar, serbest kadro üzerinden kontrol ettirdikleri ana cetvelleri esas alarak; kurumun teşkilat yapısına göre birimlerin, bölgelerin, illerin ve ilçelerin personel durumunu (sınıf, kadro, sayı, kariyer ve dereceler itibarıyla) göz önünde tutarak her birim, bölge, il ve ilçe için ayrı ayrı dağılım listeleri düzenler. Dağılım listelerinde, büyük proje için ek özel hizmet tazminatından yararlanacak personel, her birim, bölge, il ve ilçe itibarıyla unvan ve sayı bazında ayrıca belirtilir.</t>
  </si>
  <si>
    <t xml:space="preserve">     (7) Üçüncü fıkranın (c) bendinde belirtilen kurum ve kuruluşlarda her birim, bölge, il ve ilçe için ayrı ayrı düzenlenen dağılım listeleri, strateji geliştirme başkanlığı/daire başkanlığı/müdürlüğü veya mali hizmetlerin yürütüldüğü birim tarafından 10 iş günü içinde ayrıca kontrol edilir.</t>
  </si>
  <si>
    <t xml:space="preserve">     (8) Düzenlenen bu dağılım listeleri, kontrol edilen ana cetveller ile birlikte kurumlarca, teşkilat yapılarına uygun olarak birimlerine, bölgelerine, il ve ilçelere, ilgili muhasebe birimlerine, ilgisine göre Sayıştay Başkanlığına veya Yüksek Denetleme Kuruluna kontrol veya onay işlemlerinin tamamlanmasından itibaren 1 ay içinde gönderilir.</t>
  </si>
  <si>
    <t xml:space="preserve">     (9) Zam ve tazminat ödemeleri, bu Karar hükümleri ve ekli cetveller esas alınarak, yukarıdaki usule göre kontrol edilen ana cetveller ile eki dağılım listelerine göre yapılır. Yukarıda sözü edilen 1 aylık kontrol ve kontrolü izleyen 1 aylık dağıtım süresi içinde yapılacak ödemelerden harcama yetkilileri sorumludur.</t>
  </si>
  <si>
    <t xml:space="preserve">     (10) Kontrol işlemi serbest kadro üzerinden ve yılda bir defa yapılır. Serbest bırakılan ve yeni ihdas edilen kadrolar hariç, yıl içindeki değişiklikler kontrole tabi değildir.</t>
  </si>
  <si>
    <t xml:space="preserve">     a) Fiilen bölgede çalışılan süre, göreve başlama ile görevden ayrılma tarihleri arasında geçen süre olup, bu süreye;</t>
  </si>
  <si>
    <t xml:space="preserve">     1) Mehil müddeti,</t>
  </si>
  <si>
    <t xml:space="preserve">     2) Hizmet içi eğitim, seminer, kurs ve geçici görevle bölge dışında 10 günden fazla bir süre ile görevlendirme hallerinde, bu sürelerin tamamı; 10 gün ve daha kısa süreli görevlendirmelerin toplamının bir yılda 30 günü aşması halinde ise aşan kısmı,</t>
  </si>
  <si>
    <t xml:space="preserve">     3) Hastalık izni, istirahat ve hava değişimi süreleri (görevin yapılması sırasında veya görevden dolayı olduğunun amirlerince onaylanması şartıyla hastalanan, yaralanan, kazaya uğrayan ve sakatlananların tedavi ve hastalık izni süreleri hariç),</t>
  </si>
  <si>
    <t xml:space="preserve">     4) Mazeret izinleri,</t>
  </si>
  <si>
    <t xml:space="preserve">     5) Yurt dışı geçici görevlendirme süreleri,</t>
  </si>
  <si>
    <t xml:space="preserve">     6) Görevden uzaklaştırılma, gözaltına alınma, açığa alınma ve tutuklanma süreleri, Türk Silahlı Kuvvetlerinde görevli personele disiplin amirlerince veya disiplin mahkemelerince verilen oda hapsi süreleri (Bunlar hakkındaki kamu davasının düşmesi, ortadan kaldırılması, yargılamanın men’ine veya beraatine karar verilmesi hallerinde geriye dönük olarak bu süreler için ödeme yapılmaz),</t>
  </si>
  <si>
    <t xml:space="preserve">       b) Ek özel hizmet tazminatı esas olarak, personelin asli görev yerine göre tespit edilir. Ancak kesintisiz 15 günden, kesintili olarak da bir yılda 3 aydan fazla bir süre ile bölge içinde fakat memuriyet mahalli dışında görevlendirilenlerin, geçici görev sürelerinin söz konusu süreleri aşan kısmına, geçici görev mahalli için öngörülen oranlar üzerinden ödeme yapılır. 3 güne kadar olan geçici görevler, bu bentte belirtilen sürelerin hesabında dikkate alınmaz.</t>
  </si>
  <si>
    <t xml:space="preserve">     c) Sağlık Hizmetleri Sınıfı personeli için “köy ve diğer yerleşim birimleri”nde ödenecek ek özel hizmet tazminatı hakkında da yukarıdaki hükümler uygulanır. </t>
  </si>
  <si>
    <t xml:space="preserve">     ç) Asli görev yerleri IV sayılı Cetvel kapsamı dışında bulunanlardan, bu Cetvel kapsamındaki yerleşim birimlerine vekaleten atananlara veya geçici olarak görevlendirilenlere, bu görevlerinden dolayı anılan Cetvelde yer alan bölgeler için öngörülen ek özel hizmet tazminatı ödenmez.</t>
  </si>
  <si>
    <t xml:space="preserve">     a) 1) Kurumlarınca bir göreve kurum içinden veya diğer kurumlardan vekalet ettirilenlere;</t>
  </si>
  <si>
    <t xml:space="preserve">     2) aa) Esas ve usule ilişkin olarak yukarıda belirtilen şartları bir arada taşımayanlara,</t>
  </si>
  <si>
    <t xml:space="preserve">      bb) Mehil müddeti, yıllık izin, mazeret izni, hastalık izni, geçici görev, vekalet, görevden uzaklaştırma, tutuklanma, gözaltına alınma, hizmetiçi eğitim, kurs veya seminer nedeniyle görevlerinden ayrılanlara vekalet edenlere, </t>
  </si>
  <si>
    <t xml:space="preserve">      cc) Vekaletleri esnasında yıllık izin, mazeret izni, hastalık izni, vekalet görevine ilişkin olmayan geçici görev, görevden uzaklaştırma, tutuklanma, gözaltına alınma, hizmetiçi eğitim, kurs, seminer ve benzeri nedenlerle vekalet görevine ara verenlere (ara verdikleri günler için),</t>
  </si>
  <si>
    <t xml:space="preserve">      çç) Diğer personel kanunlarına tabi olanlardan bu Kararname uyarınca zam ve tazminat ödenmesi öngörülen kadro veya görevlere vekalet edenlere,</t>
  </si>
  <si>
    <t xml:space="preserve">     dd) Kurumların 190 sayılı Kanun Hükmünde Kararnameye ekli cetvellerinde kadrosu bulunmayan okul müdürlüğü, okul müdür başyardımcılığı ve okul müdür yardımcılığı görevlerini yürütenlere,</t>
  </si>
  <si>
    <t xml:space="preserve">     ee) Bu Kararname uyarınca zam ve tazminat ödenmesi öngörülen kadro veya görevlere vekalet eden her statüdeki sözleşmeli personele (6/2/1997 tarihli ve 97/9021 sayılı Bakanlar Kurulu Kararı kapsamındaki kadro karşılığı sözleşmeli personel hariç),</t>
  </si>
  <si>
    <t xml:space="preserve">    vekalet nedeniyle öngörülen zam ve tazminatlar ödenmez.</t>
  </si>
  <si>
    <t xml:space="preserve">     b) Bir göreve açıktan vekalet edenlere, bu göreve ait zam ve tazminatlar, 657 sayılı Kanunun 175 inci maddesindeki oranlar dikkate alınmaksızın vekalet aylığıyla birlikte ödenir.</t>
  </si>
  <si>
    <t xml:space="preserve">     Kazanılmış hak aylık dereceleri kadro derecelerinin üzerinde bulunanlar</t>
  </si>
  <si>
    <t xml:space="preserve">     Ödeme yapılmayacak haller</t>
  </si>
  <si>
    <t xml:space="preserve">     a) Her statüdeki sözleşmeli personele (6/2/1997 tarihli ve 97/9021 sayılı Bakanlar Kurulu Kararı saklı kalmak üzere), </t>
  </si>
  <si>
    <t xml:space="preserve">     b) Yurtdışına sürekli görevle atananlara (kendilerine yurtdışı aylığı ödendiği sürece), </t>
  </si>
  <si>
    <t xml:space="preserve">    c) 657 sayılı Kanun ile bu Kanunun ek geçici 9 uncu maddesi kapsamına girmeyenlere (Hakim ve Savcı adayları dahil),</t>
  </si>
  <si>
    <t xml:space="preserve">    ödenmez.</t>
  </si>
  <si>
    <t xml:space="preserve">      (2) a) Asli görevleri yanında kendilerine 657 sayılı Kanunun 88 inci maddesine göre “ikinci görev” verilenlere ikinci göreve ilişkin özel hizmet tazminatı, </t>
  </si>
  <si>
    <t xml:space="preserve">     b) İlköğretim müfettiş ve müfettiş yardımcılarına, okul ve kurumlarda genel idare hizmetleri sınıfındaki kadrolara atanan yöneticilere, kreş ve gündüz bakımevlerinde görev yapanlara eğitim-öğretim tazminatı,</t>
  </si>
  <si>
    <t xml:space="preserve">     c) Kurul Başkanı kadrosunda bulunanlara denetim tazminatı, </t>
  </si>
  <si>
    <t xml:space="preserve">     ç) Mesleklerini serbest olarak icra etmek üzere muayenehane veya laboratuar açanlara; özel hastane, muayenehane, poliklinik, laboratuar, okul, öğrenci etüt merkezi ve kurs gibi yerlerde çalışanlara; 4857 sayılı İş Kanununa göre işyeri hekimi olarak görev yapanlara, iş güçlüğü, iş riski, temininde güçlük ve mali sorumluluk zamları,</t>
  </si>
  <si>
    <t xml:space="preserve">     ödenmez.</t>
  </si>
  <si>
    <t xml:space="preserve">     (3) III sayılı Cetvel kapsamında düzenlenen tazminatlardan yararlananlara (II sayılı Cetvelin (E) bölümünün 7 nci sırası, III sayılı Cetvelin (E) Bölümü, (B) Bölümünün (d) bendi ile (F) Bölümünün 2 nci sırasından faydalananlar hariç), ayrıca özel hizmet tazminatı verilmez.</t>
  </si>
  <si>
    <t xml:space="preserve">    Şahsa bağlı hak ve kadro </t>
  </si>
  <si>
    <t xml:space="preserve">     (2) Yeniden teşkilatlanma ve özelleştirmeye ilişkin kanun ve kanun hükmünde kararnameler gereğince şahsa bağlı haktan yararlananlara, ilgili mevzuatları uyarınca şahsa bağlı hak uygulaması sona erinceye kadar, bulundukları yeni kadrolarına ait zam ve tazminatlar ödenmez.</t>
  </si>
  <si>
    <t xml:space="preserve">     Tereddütlerin giderilmesi ile emsal kadro ve unvan tespiti</t>
  </si>
  <si>
    <t xml:space="preserve">     a) Bu Karar ve eki cetvellerin uygulanmasından doğacak her türlü sorunu çözüme bağlamaya Devlet Personel Başkanlığının görüşü üzerine, Maliye Bakanlığı, </t>
  </si>
  <si>
    <t xml:space="preserve">     b) Bu Kararda yer almayan kadro ve unvanlar için, ekli cetvellerde bulunan benzeri kadro ve unvanları dikkate alarak emsal kadro ve unvanlar tespit etmeye; mahalli idareler için İçişleri Bakanlığı aracılığıyla, diğer kurum veya kuruluşlar için ise ilgili kurum veya kuruluşlarca doğrudan, Devlet Personel Başkanlığından alınacak görüş üzerine Maliye Bakanlığı,</t>
  </si>
  <si>
    <t xml:space="preserve">     yetkilidir.</t>
  </si>
  <si>
    <t xml:space="preserve">     Aylığa ilişkin hükümlerin uygulanması</t>
  </si>
  <si>
    <t xml:space="preserve">     (2) Zam ve tazminatların hak edilmesinde ve ödenmesinde, bu Karar ve eki cetvellerde hüküm bulunmayan hallerde aylığa ilişkin hükümler uygulanır.</t>
  </si>
  <si>
    <t xml:space="preserve">     Yürürlük </t>
  </si>
  <si>
    <t xml:space="preserve">     a) II sayılı Cetvelin (E) ve (F) Bölümleri ile III sayılı Cetvelin (B) ve (C) Bölümleri 15/4/2006 tarihinde,</t>
  </si>
  <si>
    <t xml:space="preserve">     b) Diğer hükümleri 1/1/2006 tarihinden geçerli olmak üzere yayımı tarihinde,</t>
  </si>
  <si>
    <t xml:space="preserve">    yürürlüğe girer.</t>
  </si>
  <si>
    <t>İşletme Müdürü, Döner Sermaye Saymanı, Fon Saymanı, Sayman</t>
  </si>
  <si>
    <t>NOT</t>
  </si>
  <si>
    <t xml:space="preserve">       d) Uzman, Uzman Yardımcısı, Şef ve Amir kadrolarında bulunanlardan daha önce 16/c, d ve e sıraları ile 17 nci sırada sayılan kadrolarda bulunmuş olup aynı görevi yapmaya devam edenlere belirtilen sıralar ile dipnotun (a), (b) ve (c) sıralarında sayılan puanlar verilebilir.</t>
  </si>
  <si>
    <t>3                   </t>
  </si>
  <si>
    <t xml:space="preserve">   3  En az dört yıllık yükseköğrenim görmüş jeolog, hid-rolog, bölge plancısı, hidrojeolog, jeofizikçi, fizikçi,  kimyager, jeomorfolog, istatistikçi, arkeolog, mate-matikçi, astronom, tütün eksperi olanlarla,  29/4/1992 tarihli ve 3795 sayılı Kanuna göre teknik  öğretmen unvanı alanlardan kendi ihtisas dallarında;</t>
  </si>
  <si>
    <t xml:space="preserve">    2  En az dört yıllık yükseköğrenim görmüş yüksek mühendis, mühendis, yüksek mimar, mimar ve şehir plancılarına kendi ihtisas dallarında;</t>
  </si>
  <si>
    <t xml:space="preserve">4                    </t>
  </si>
  <si>
    <t xml:space="preserve">   4  En az dört yıllık mesleki teknik öğrenim görmüş diğer personelden kendi ihtisas dallarında;</t>
  </si>
  <si>
    <t xml:space="preserve">   En az iki yıl süreli mesleki teknik yükseköğrenim görmüş yüksek teknikerler ve teknikerler ile tütün eksperleri, prospektörlerden kendi ihtisas dallarında;</t>
  </si>
  <si>
    <t xml:space="preserve">Lise üzerine en az 2 yıl mesleki teknik öğrenim veya Mesleki teknik kurs görenler, Fen Memurları, Devlet Güzel Sanatlar Akademisi, Tatbiki Güzel Sanatlar Yüksekokulu mezunlarından kendi ihtisas dallarında </t>
  </si>
  <si>
    <t>7                   </t>
  </si>
  <si>
    <t xml:space="preserve">   7  Lise dengi mesleki teknik okul mezunlarından kendi ihtisas dallarında;</t>
  </si>
  <si>
    <t>8                   </t>
  </si>
  <si>
    <t>8 Kadroları bu sınıfa dahil diğer personelden kendi ihtisas dallarında;</t>
  </si>
  <si>
    <t>e) Patlayıcı madde, patlayıcı madde ile yapılan mühimmat, asit, kok üretimi, imalat, deneme ve imha işlemlerinde, yüksek fırın veya maden izabesi, dökümhane, haddehane, elektrolizhane, filotasyon, konsantrasyon, çelikhane ve tünel inşaatlarında sürekli olarak çalışanlara, 325 puan, iş riski zammı puanları ilave olarak verilebilir.</t>
  </si>
  <si>
    <t>2                   </t>
  </si>
  <si>
    <t xml:space="preserve"> 2  Eczacı;</t>
  </si>
  <si>
    <t xml:space="preserve"> 3  Sağlık Hizmetleri Sınıfına dahil kadrolarda bulunup da;</t>
  </si>
  <si>
    <t xml:space="preserve">              </t>
  </si>
  <si>
    <t xml:space="preserve">    1- Yataklı tedavi kurumlarında .........................</t>
  </si>
  <si>
    <t xml:space="preserve">    2- Diğer yerlerde.................................................</t>
  </si>
  <si>
    <t>b) Lise dengi mesleki sağlık öğrenim görmüş olanlar;</t>
  </si>
  <si>
    <t xml:space="preserve">a) 6343 sayılı Kanunun 7 nci maddesi uyarınca  çıkarılan yönetmelik esaslarına göre uzmanlık  sınavlarında başarı göstererek uzmanlık belgesine sahip olan </t>
  </si>
  <si>
    <t>Uzman Veteriner Hekim...........................</t>
  </si>
  <si>
    <t xml:space="preserve">                  </t>
  </si>
  <si>
    <t xml:space="preserve">   1-Mesleki sağlık yüksek öğrenim görmüş olanlar</t>
  </si>
  <si>
    <t xml:space="preserve">   a) Genel İdare Hizmetleri Bölümünün 1, 2, 3, 6, 7, 8, 13, 14, 15, 18, 24, 25, 26 ve 27/a sıra numaraları ile (G) bölümünün B/6-(b) ve (c) sıra numaralarında sayılanlara 1400 puana kadar temininde güçlük zammı,</t>
  </si>
  <si>
    <t xml:space="preserve">    2- Bu bölümün 1/a, b, c, d, e, f ve 7 nci sıralarında, Sağlık Bakanlığına ait kesimin 1 ve 2 nci sıralarında, “(G)-Belediyeler, İl Özel İdareleri ve Bağlı Kuruluşları ile Birlikler” bölümünün B/6 sırasında, Adli Tıp Kurumuna ait kesimin 1 ve 2 nci sıralarında gösterilen personelden, tabip kökenli olanlara;</t>
  </si>
  <si>
    <t xml:space="preserve">    a) 1 inci bölgede çalışanlara...............................</t>
  </si>
  <si>
    <t xml:space="preserve">    b) 2 ve 3 üncü bölgelerde çalışanlara.................</t>
  </si>
  <si>
    <t xml:space="preserve">    c) 4 üncü bölgede çalışanlara.............................</t>
  </si>
  <si>
    <t xml:space="preserve">    d) 5, 6 ve 7 nci bölgelerde çalışanlara................</t>
  </si>
  <si>
    <t xml:space="preserve">    puan ek temininde güçlük zammı verilebilir.</t>
  </si>
  <si>
    <t>Öğretmen…………………………………………..</t>
  </si>
  <si>
    <t>Özel Eğitime Muhtaç Çocuklara Mahsus Okullarda</t>
  </si>
  <si>
    <t xml:space="preserve">c) Yabancı dil öğretmenlerine,  </t>
  </si>
  <si>
    <t xml:space="preserve">1                     </t>
  </si>
  <si>
    <t>Yataklı ve Yataksız Tedavi Kurum ve Kuruluşları</t>
  </si>
  <si>
    <t>Yönetim Kurulu Üyesi (kadrolu), Koordinatör,</t>
  </si>
  <si>
    <t xml:space="preserve"> Daire Başkan Yardımcısı, Maden Kredi Komitesi</t>
  </si>
  <si>
    <t xml:space="preserve"> Kefalet Sandıklarına tabi, açıklardan sorumlu, Veznedarlar gibi doğrudan para tahsil ve tediye etmekle görevlendirilenlere (250) puan mali sorumluluk zammı verilir. Ancak bu şekilde zam verilecek personel sayısı, toplam personel sayısının % 15'ini geçemez. </t>
  </si>
  <si>
    <t xml:space="preserve">Genel Muhasebe Müdürü, Muhasebe Müdürü </t>
  </si>
  <si>
    <t>Genel Muhasebe Müdür Yardımcısı, Muhasebe II.</t>
  </si>
  <si>
    <t xml:space="preserve">  İl Özel İdaresi Genel Sekreteri</t>
  </si>
  <si>
    <t xml:space="preserve"> İl Özel İdaresi Genel Sekreter Yardımcısı</t>
  </si>
  <si>
    <t>Belediye Başkan Yardımcısı:</t>
  </si>
  <si>
    <t>Zabıta teşkilatında görevli Amir, Başkomiser,</t>
  </si>
  <si>
    <t xml:space="preserve"> Örtülü ödenek hesaplarından sorumlu olan kişiye ayrıca (400) puan mali sorumluluk zammı ödenir.</t>
  </si>
  <si>
    <t>Teşkilat Şemalarında Daire Başkanlığı Üniteleri Bulunmayan</t>
  </si>
  <si>
    <t>Bankaların Seksiyon ve Birim Müdürlüklerinde</t>
  </si>
  <si>
    <t xml:space="preserve"> 1/a, b, c sıraları ile 2/a, b, c, d sıralarından, kendi ihtisas dallarında 5 yıla kadar hizmeti olanlara 975, 5 yıl ve daha fazla hizmeti olanlara 1400 puan ek temininde güçlük zammı ödenebilir.</t>
  </si>
  <si>
    <t xml:space="preserve">:      </t>
  </si>
  <si>
    <t xml:space="preserve">:       </t>
  </si>
  <si>
    <t>Taşra (Nükleer Araştırma-Eğitim Merkezi ve Enstitü Müdürlüğü):</t>
  </si>
  <si>
    <t>a) Sayman................................................................</t>
  </si>
  <si>
    <t xml:space="preserve">:     </t>
  </si>
  <si>
    <t xml:space="preserve"> (1) ve (2) nci sırada sayılan unvanları taşıyan personelden kariyerleri Mühendis, Matematikçi, İstatistikçi, olanlara 1400 puan ek temininde güçlük zammı ödenebilir.</t>
  </si>
  <si>
    <t>Kadastro üyelerine Teknik Hizmetler Bölümünde öngörülen puanlara ilave olarak 425 puan temininde güçlük zammı ödenebilir.</t>
  </si>
  <si>
    <t>1 inci sırada sayılan unvanı taşıyan personelden, Teknik Hizmetler Bölümünün 1, 2 ve 3 üncü sırasında sayılan kariyerleri haiz olanlara, 1400 puan ek temininde güçlük zammı, 2 nci sırada sayılan Saymanlık Müdürlerine (400) puan mali sorumluluk zammı ödenebilir.</t>
  </si>
  <si>
    <t xml:space="preserve"> Özel Tip ve (E) Tipi Cezaevi Müdürlerine ayrıca (200) puan, Emanet Memurluğu kadrosu bulunmayan Adliyelerde, bu görevi fiilen yürüten personele (300) puan iş riski zammı ödenir.</t>
  </si>
  <si>
    <t>1- Türk Silahlı Kuvvetleri istisnai kadrolarında istihdam edilen ve kadroları Genel İdare Hizmetleri Sınıfında bulunan personelden;</t>
  </si>
  <si>
    <t xml:space="preserve"> 1- 2 ila 10 sıra numaraları arasında belirtilenlerden; Çevik Kuvvet ve Koruma Birimlerinde (Merkez Koruma Müdürlüğü dahil) görevli personele (200); Boğaziçi ve Fatih Sultan Mehmet Köprüleri, Çevre Yolları Koruma Müdürlüğünde çalışanlara (250); Muhabere birimlerinde, Telsiz Operatörü, Telsiz Teknisyeni, Teleks Operatörü olarak çalışanlar ile Foto-Film Teknisyeni olarak görev yapanlara; Kaçakçılık ve Organize Suçlarla Mücadele Daire Başkanlığı ve İstihbarat Daire Başkanlığında Foto-Film Teknisyeni olarak çalışanlara; Polis Kriminal Laboratuarlarında Uzman ve Uzman Yardımcısı olarak çalışanlara (350) puan ek iş güçlüğü zammı ödenebilir.</t>
  </si>
  <si>
    <t>: 1- Vergi Dairesi Başkanı ve Gelir İdaresi Grup Müdürlerine  (500) puan temininde güçlük zammı, 7 ve</t>
  </si>
  <si>
    <t>: 1- 1 ve 2 nci sırada sayılan personelden Teknik Hizmetler Bölümünün 1, 2 ve 3 üncü sırasında sayılan kariyerleri haiz olanlara, kendi ihtisas dallarında 5 yıla kadar hizmeti olanlara 975 puan, 5 yıl ve daha fazla hizmeti olanlara 1400 puan ek temininde güçlük zammı ödenebilir.</t>
  </si>
  <si>
    <t>: 1 ve 2 nci sırada unvanları sayılan personelden Teknik Hizmetler Bölümünün 1, 2 ve 3 üncü sırasında sayılan kariyerleri haiz olanlara aynı bölümün Not 3 üncü sırasına göre ek temininde güçlük zammı ödenebilir.</t>
  </si>
  <si>
    <t xml:space="preserve"> Bu bölümün 2, 3, 4, 5, 8 ve 9 uncu sırasında sayılan personelden Teknik Hizmetler Bölümünün 1, 2 ve 3 üncü sırasında sayılan kariyerleri haiz olanlara, aynı bölümün Not 3 üncü sırasına göre ek temininde güçlük zammı ödenebilir.</t>
  </si>
  <si>
    <t>DEVLET OPERA VE BALESİ GENEL MÜDÜRLÜĞÜ</t>
  </si>
  <si>
    <t>Huzurevlerinde ......................................................</t>
  </si>
  <si>
    <t xml:space="preserve">b) Diğerleri............................................................               </t>
  </si>
  <si>
    <t>Aile ve Sosyal Araştırma Uzman Yardımcısı,</t>
  </si>
  <si>
    <t xml:space="preserve">Uzman Yardımcısı, Şef...............................................     </t>
  </si>
  <si>
    <t xml:space="preserve">    a) Genel İdare Hizmetleri Bölümünün 9/b sırasındaki "Hukuk Müşaviri" ile 25 inci sırasındaki "Şube Müdürlerine" (250) puan iş güçlüğü,</t>
  </si>
  <si>
    <t xml:space="preserve">    b) Bu Bölümün 4 üncü sırasındaki "Uzmanlara" (200) puan iş güçlüğü, bunlardan kadrosu "Tahakkuk Uzmanı" olanlara bu görevi yürüttükleri sürece (250) puan mali sorumluluk zammı ayrıca ödenir.</t>
  </si>
  <si>
    <t xml:space="preserve">:    </t>
  </si>
  <si>
    <t xml:space="preserve">  1- Kalkınmada Öncelikli Yörelerdeki Kaymakamlara temininde güçlük zammı %50 fazlasıyla ödenir.</t>
  </si>
  <si>
    <t>temininde güçlük zammı ek olarak ödenir. Bu zammı alanların sayısı (12500)’ü aşamaz.</t>
  </si>
  <si>
    <t xml:space="preserve">      a) Bakanlar Kurulu kararı ile kalkınmada öncelikli yöre ilan edilen illerde görev yapanlara (6000) puan,</t>
  </si>
  <si>
    <t xml:space="preserve">     b) Kalkınmada öncelikli yöreler dışında görev yapanlara (3600) puan,</t>
  </si>
  <si>
    <t xml:space="preserve">   B) Kriminal Polis laboratuarları ile bu işlevi gören teknik bürolarda fiilen görev yapan; Emniyet Hizmetleri Sınıfına dahil personel ile Uzman ve Uzman Yardımcılarına (2400) puan,</t>
  </si>
  <si>
    <t>Maliye Yüksek Eğitim Merkezi:</t>
  </si>
  <si>
    <t xml:space="preserve">b) Başkan Yardımcısı...........................................          </t>
  </si>
  <si>
    <t xml:space="preserve">Emlak Müdürü, Personel Müdürü, Eğitim Merkezi </t>
  </si>
  <si>
    <t>Müdürü, Gelir Saymanlık Müdürü:</t>
  </si>
  <si>
    <t>1- Defterdar, Defterdar Yardımcıları ve Milli Emlak Müdürleri ile Emlak Müdürlerine (500) puan temininde güçlük zammı, 5 ve 6 ncı sırada sayılanlardan muhasebe yetkililiği görevini yürütenlere ve icra memurlarına (500) puan mali sorumluluk zammı ödenebilir.</t>
  </si>
  <si>
    <t>Gelir İdaresi Başkan Yardımcısı…………………….</t>
  </si>
  <si>
    <t>Gelir İdaresi Daire Başkanı, Vergi Dairesi Başkanı  .</t>
  </si>
  <si>
    <t>Gelir İdaresi Grup Başkanı……………….………….</t>
  </si>
  <si>
    <t>657 SAYILI DEVLET MEMURLARI KANUNU, 926 SAYILI TÜRK SİLAHLI KUVVETLERİ PERSONEL KANUNU, 2802 SAYILI HAKİMLER VE SAVCILAR KANUNU, 2914 SAYILI YÜKSEKÖĞRETİM PERSONEL KANUNU, 5434 SAYILI T.C. EMEKLİ SANDIĞI KANUNU İLE DİĞER BAZI KANUN VE KANUN HÜKMÜNDE KARARNAMELERDE DEĞİŞİKLİK YAPILMASI,DEVLET MEMURLARI VE DİĞER KAMU GÖREVLİLERİNE MEMURİYET TABAN AYLIĞI VE KIDEM AYLIĞI İLE EK TAZMİNAT ÖDENMESİ HAKKINDA KANUN HÜKMÜNDE KARARNAME</t>
  </si>
  <si>
    <t xml:space="preserve">Kanun Hük. Kar.nin Tarihi : 27.6.1989 No : 375 </t>
  </si>
  <si>
    <t>Yetki Kanununun Tarihi : 12.3.1986 No : 3268</t>
  </si>
  <si>
    <t>9.4.1987 No : 3347</t>
  </si>
  <si>
    <t>12.10.1988 No : 3479</t>
  </si>
  <si>
    <t>1.6.1989 No : 3569</t>
  </si>
  <si>
    <t>Yayımlandığı R. G. Tarihi : 30.6.1989 No : Mükerrer 20211</t>
  </si>
  <si>
    <t xml:space="preserve">V. Tertip Düsturun Cildi : Sh.: </t>
  </si>
  <si>
    <t>Madde 1 – (Değişik: 5/7/1991-KHK-433/11 md.; İptal: Ana.Mah'nin 5/5/1992 tarih ve E. 1991/33, K. 1992/32 sayılı Kararı ile; Yeniden düzenleme: 18/5/1994-KHK-527/28 md.)</t>
  </si>
  <si>
    <t xml:space="preserve">Hizmet yılları itibariyle ödenecek kıdem aylığının tesbitinde kazanılmış hak aylığının hesabında değerlendirilen süreler esas alınır. Memuriyet taban ve kıdem aylığı miktarları, bunların göstergelerine 657 sayılı Devlet Memurları Kanununun 154 üncü maddesine göre tesbit olunan katsayılar uygulanmak suretiyle belirlenir. Memuriyet taban aylığı göstergesi için farklı katsayı tespit edile bilir. Kıdem ve memuriyet taban aylığı göstergelerini üç katına kadar artırmaya Bakanlar Kurulu yetkilidir. </t>
  </si>
  <si>
    <t>Bu aylıklara hak kazanılmasında ve ödenmesinde 657 sayılı Devlet Memurları Kanunu ve diğer personel kanunlarının aylıklarla ilgili hükümleri uygulanır.</t>
  </si>
  <si>
    <t>————————</t>
  </si>
  <si>
    <t>(1) 19/6/2010 tarihli ve 6000 sayılı Kanunun 32 nci maddesiyle, bu bentte yer alan "926 sayılı Türk Silahlı Kuvvetleri Personel Kanunu," ibaresinden sonra gelmek üzere "3269 sayılı Uzman Erbaş Kanunu," ibaresi eklenmiş ve metne işlenmiştir.</t>
  </si>
  <si>
    <t>Bu göstergeler 657 sayılı Kanun ve diğer personel kanunlarına ve kanun hükmünde kararnamelere göre her ne ad altında olursa olsun ödenmekte olan zam, tazminat,ödenek,ücret ve benzeri ödemelerin hesabında dikkate alınmaz.</t>
  </si>
  <si>
    <t>______________________</t>
  </si>
  <si>
    <t>(1) 21/3/2006 tarihli ve 5473 sayılı Kanunun 11 inci maddesiyle bu fıkranın (3) numaralı bendi hariç diğer bentleri yürürlükten kaldırılmıştır.</t>
  </si>
  <si>
    <t>1 - 7.000’den daha düşük göstergeler üzerinden makam veya yüksek hakimlik tazminatı öngörülen kadrolara atanmış olanlara, 15.000 gösterge rakamını geçmemek üzere Bakanlar Kurulunca tespit edilecek gösterge rakamlarının memur aylıklarına uygulanan katsayı ile çarpımı sonucunda bulunacak miktarda görev tazminatı ödenir.</t>
  </si>
  <si>
    <t xml:space="preserve">Aylıklarını 657 sayılı Devlet Memurları Kanunu, 926 sayılı Türk Silahlı Kuvvetleri Personel Kanunu, 3269 sayılı Uzman Erbaş Kanunu, 3466 sayılı Uzman Jandarma Kanunu, 2802 sayılı Hakimler ve Savcılar Kanunu ve 2914 sayılı Yükseköğretim Personel Kanunu hükümlerine göre almakta olan personelden, (kadro karşılık gösterilmek suretiyle sözleşmeli olarak çalışan personel dahil), Maliye Bakanlığı ve Devlet Personel Başkanlığınca müştereken belirlenen dillerden yine bu iki kurum tarafından tespit olunan esas ve usuller çerçevesinde yapılan yabancı dil seviye tespiti sonunda her bir dil için (A) düzeyinde başarılı olanlara 1500, (B) düzeyinde başarılı olanlara 600, (C) düzeyinde başarılı olanlara 300 gösterge rakamının memur aylık katsayısı ile çarpımı sonucu bulunan tutarı geçmemek üzere Maliye Bakanlığının teklifi ve Başbakan onayı ile belirlenecek miktarlarda aylık yabancı dil tazminatı ödenebilir. </t>
  </si>
  <si>
    <t>Ödenecek yabancı dil tazminatı farklı diller için farklı miktarlarda belirlenebileceği gibi, personelin görev yeri, kadro unvanı ve sorumluluğuna, bildiği yabancı dil sayısına ve düzeyine göre de farklı miktarlarda belirlenebilir.</t>
  </si>
  <si>
    <t>(Mülga üçüncü fıkra: 24/7/2008-5793/47 md.)</t>
  </si>
  <si>
    <t>–––––––––––––––––––</t>
  </si>
  <si>
    <t>(1) 27/2/2008 tarihli ve 5745 sayılı Kanunun 1inci maddesiyle bu alt bentte yer alan “(1) ve (2) numaralı alt bentlere” ibaresi "(1) numaralı alt bende” olarak değiştirilmiş ve metne işlenmiştir.</t>
  </si>
  <si>
    <t>(2) 19/6/2010 tarihli ve 6000 sayılı Kanunun 32 nci maddesiyle, bu bentte yer alan "son verilenlere ve" ibaresi "son verilenlere, kendi kusurları olmaksızın sözleşmesi feshedilen veya hizmet sürelerinin bitiminde ayrılan sözleşmeli subay, sözleşmeli astsubay ve uzman erbaşlar ile" şeklinde değiştirilmiş ve metne işlenmiştir.</t>
  </si>
  <si>
    <t>(3) 25/12/2009 tarihli ve 5944 sayılı 2010 Yılı Merkezi Yönetim Bütçe Kanunun 28 inci maddesiyle, bu maddeye göre yapılacak tazminat ödemesinin 1/1/2010 tarihinden itibaren 750 TL olarak uygulanacağı hüküm altına alınmıştır.</t>
  </si>
  <si>
    <t>(5) 10/3/2011 tarihli ve 6191 sayılı Kanunun 10 uncu maddesiyle, bu bentte yer alan “sözleşmeli subay, sözleşmeli astsubay ve uzman erbaşlar” ibaresi “sözleşmeli subay, sözleşmeli astsubay, uzman erbaş ve sözleşmeli erbaş ve erler” şeklinde değiştirilmiş ve metne işlenmiştir.</t>
  </si>
  <si>
    <t>(6) 19/6/2010 tarihli ve 6000 sayılı Kanunun 33 üncü maddesiyle, bu maddenin birinci fıkrasına "926 sayılı Türk Silahlı Kuvvetleri Personel Kanunu," ibaresinden sonra gelmek üzere "3269 sayılı Uzman Erbaş Kanunu," ibaresi eklenmiş ve metne işlenmiştir.</t>
  </si>
  <si>
    <t>Bu madde uyarınca yapılan sınavlar beş yıl süreyle geçerlidir. Bu sürenin bitiminde sınava girmeyenlerin yabancı dil seviyeleri bir alt düzeye inmiş sayılır, seviyeleri (C) düzeyinde olanların yabancı dil tazminatları kesilir. Bu madde uyarınca yapılan sınavlara diğer mevzuatla yapılan atıflara ilişkin olarak da bu fıkra hükmü geçirlidir.</t>
  </si>
  <si>
    <t xml:space="preserve">Yabancı dil tazminatına hak kazanmada ve ödemelerde aylıklara ilişkin hükümler uygulanır ve damga vergisi hariç herhangi bir vergi ve kesintiye tabi tutulmaz. </t>
  </si>
  <si>
    <t xml:space="preserve">Yukarıda unvan olarak sayılanlar dışında kalan personelin halen uygulanmakta olan ek gösterge rakamları, aşağıda gösterildiği şekilde değiştirilmiştir. </t>
  </si>
  <si>
    <t xml:space="preserve">Madde 4 - 12 – (14/7/1965 tarih ve 657 sayılı Kanunun 36/A - 11, 43/B-k, 68/B-c, 79,146,202,213 üncü maddeden sonra gelen Ek Madde ile Ek 23 üncü maddelerinin değiştirilmesi ile ilgili olup, yerlerine işlenmiştir.) </t>
  </si>
  <si>
    <t xml:space="preserve">Madde 13 – (13/3/1981 tarih ve 2424 sayılı Kanunun 1 inci maddesinin değiştirilmesi ile ilgili olup, yerine işlenmiştir.) </t>
  </si>
  <si>
    <t xml:space="preserve">Madde 14 – (23/1/1981 tarih ve 2377 sayılı Kanunun 1 inci maddesinin değiştirilmesi ile ilgili olup, yerine işlenmiştir.) </t>
  </si>
  <si>
    <t>Madde 15 – (10/10/1984 tarih ve 3056 sayılı Kanunun 31 inci maddesinin değiştirilmesi ile ilgili olup, yerine işlenmiştir.)</t>
  </si>
  <si>
    <t xml:space="preserve">Madde 16 – (4/11/1981 tarih ve 2547 sayılı Kanunun 58 inci maddesinin değiştirilmesi ile ilgili olup, yerine işlenmiştir.) </t>
  </si>
  <si>
    <t>Madde 17-18 – (11/10/1983 tarih ve 2914 sayılı Kanunun 11 ve 12. maddelerinin değiştirilmesi ile ilgili olup, yerine işlenmiştir.)</t>
  </si>
  <si>
    <t>Madde 19 – (24/2/1983 tarih ve 2802 sayılı Kanunun 106 ncı maddesinde değiklik yapılması ile ilgili olup,yerine işlenmiştir.)</t>
  </si>
  <si>
    <t xml:space="preserve">Madde 20 – (Mülga: 10/9/1993-KHK-524/13 md.) </t>
  </si>
  <si>
    <t xml:space="preserve">Madde 21 – (24/2/1983 tarih ve 2802 Sayılı Kanuna bir Ek Madde eklenmesi ile ilgili olup, yerine işlenmiştir.) </t>
  </si>
  <si>
    <t xml:space="preserve">Madde 22 – (13/1/1943 tarih ve 4358 sayılı Kanunun 14 üncü maddesi ile ilgili olup, yerine işlenmiştir.) </t>
  </si>
  <si>
    <t>Madde 23 - 25 – (27/7/1967 tarih ve 926 sayılı Kanunun 49/f, 137/fıkra 4-c, Ek 17 nci maddelerinin değiştirilmesi ve Ek 5 inci Maddenin yürürlükten kaldırılması ile ilgili olup, yerlerine işlenmiştir.)</t>
  </si>
  <si>
    <t xml:space="preserve">Madde 26 – (8/6/1949 tarih ve 5434 sayılı Kanunun 14 üncü maddesinin değiştirilmesi ile ilgili olup, yerine işlenmiştir.) </t>
  </si>
  <si>
    <t xml:space="preserve">Madde 27 – (4/1/1961 tarih ve 209 sayılı Kanunun 5 inci maddesinin değiştirilmesi ile ilgili olup, yerine işlenmiştir.) </t>
  </si>
  <si>
    <t>–––––––––––––</t>
  </si>
  <si>
    <t>(1) 10/3/2011 tarihli ve 6191 sayılı Kanunun 10 uncu maddesiyle, bu maddenin (A) bendinde yer alan “uzman jandarma ve uzman erbaşlara” ibaresi “, uzman jandarma, uzman erbaş ve sözleşmeli erbaş ve erlere” şeklinde değiştirilmiş ve metne işlenmiştir.</t>
  </si>
  <si>
    <t>ile çarpımı sonucu bulunacak aylık tutarı geçmemek üzere, fiilen görev yapıldığı sürece ve bu süre ile orantılı olarak ek tazminat,(B) fıkrasında yer alan tazminata ilave olarak ayrıca ödenir.</t>
  </si>
  <si>
    <t>Tazminat ödenecek yerleşim birimleri, aylık veya günlük olarak ödenecek tazminat miktarları, tazminatın ödenme usul ve esasları, hangi hallerde kesileceği Milli Savunma ve İçişleri Bakanlarının müşterek teklifi, Maliye Bakanlığının görüşü üzerine Başbakan onayı ile tespit edilir.</t>
  </si>
  <si>
    <t xml:space="preserve">Bu görevler nedeniyle meydana gelen sakatlık ve yaralanmalarda tedavi süresince, hastalanmalarda ise hastanede geçen tedavi süresince (yedeksubay, erbaş ve erler terhis edilseler bile) fiilen görev yapma koşulu aranmaksızın ödeme yapılmaya devam edilir. Ancak bu hallerdeki ödemeler hiçbir şekilde 12 ayı geçemez ve 3.11.1980 tarihli ve 2330 sayılı Kanun ile 28.2.1982 tarihli ve 2629 sayılı Kanun uyarınca ödenecek tazminat konusunda avans verilmesi dışında kesin bir işlem yapılması halinde de sona erer. </t>
  </si>
  <si>
    <t>Devletin aktif istihbarat görevlilerinden bu yerleşim birimlerinde emniyet ve asayişe yönelik olarak fiilen aktif istihbarat görevi yapanlar hakkında da görevin risk ve zorluğuna göre bu fıkra hükümleri uygulanır. Bunlara ödenecek ek tazminat miktarı emsali personele yapılan ödemeyi geçmemek üzere doğrudan Başbakanca belirlenir.</t>
  </si>
  <si>
    <t xml:space="preserve">Bu tazminat kapsam dahilinde fiilen görev yapılan sürelere göre hesaplanır ve ay sonunda ödenir. </t>
  </si>
  <si>
    <t>Ek tazminatın hangi görevlerde bulunanlara ne miktarda ödeneceği, hangi hallerde kesileceği, ödemeye ilişkin diğer usul ve esaslar, görev mahallinin özelliği, görevin önem ve güçlüğü,personelin teminindeki zorluklar, personelin zorunlu hizmete tabi olup olmaması ve Devletin mali imkanları dikkate alınarak, ilgili bakanlıkların talebi ve Maliye Bakanlığının teklifi üzerine Başbakan onayı ile tespit edilir.</t>
  </si>
  <si>
    <t>Milli İstihbarat Hizmetleri Sınıfına dahil personele ödenecek ek tazminat miktarları ise emsali personel de gözönünde bulundurulmak suretiyle doğrudan Başbakanca belirlenir.</t>
  </si>
  <si>
    <t>Bu şekilde tespit edilen ek tazminat,personel yönünden kazanılmış hak teşkil etmez.</t>
  </si>
  <si>
    <t>Kamu İktisadi teşebbüsleri,kapsam dahilindeki personeline ödeme yapıp yapmamaya veya mali imkanları ölçüsünde emsali personele ödenen miktardan daha düşük miktarda ödeme yapmaya yetkilidir.</t>
  </si>
  <si>
    <t xml:space="preserve">Bu maddedeki tazminatlar Damga Vergisi dahil hiçbir vergi ve kesintiye tabi değildir. </t>
  </si>
  <si>
    <t>Madde 29 – (14/7/1965 tarih ve 657 sayılı Kanunun Ek Geçici 7 nci maddesinin değiştirilmesi ile ilgili olup, yerine işlenmiştir.)</t>
  </si>
  <si>
    <t>Bu tazminata hak kazanılması ve ödenmesinde 2802 sayılı Hakimler ve Savcılar Kanununun aylıklarla ilgili hükümleri uygulanır ve bu tazminat damga vergisi hariç herhangi bir vergiye tabi tutulmaz.</t>
  </si>
  <si>
    <t>Özel kanunlarındaki hükümler saklı kalmak kaydıyla, genel ve katma bütçeli kurumlar ile bunlara bağlı döner sermayeli kuruluşlar, fonlar ve özel bütçeli kurumların amaç ve görevleri ile ilgili olarak yayımlayacakları kitap, dergi, ansiklopedi, gazete, bülten ve broşür gibi yayınlar için ödenecek telif ve işlenme ücretleri ile basılı ve basılacak eser inceleme ücretleri ve bunlara ilişkin usûl ve esaslar Maliye Bakanlığının teklifi üzerine Bakanlar Kurulunca yürürlüğe konulacak yönetmelikle düzenlenir.</t>
  </si>
  <si>
    <t xml:space="preserve">Yayın kurullarına kurum dışından katılan üyelere ayda ikiden fazla olmamak üzere her toplantı başına 2000 gösterge rakamının memur aylıklarına uygulanan katsayı ile çarpımını geçmeyecek miktarda toplantı ücreti ödenir. </t>
  </si>
  <si>
    <t>Ansiklopedi yazı kuruluna kurum dışından katılan üyelere her fasikül için; başkana 3600, üyelere 3000 gösterge rakamının memur aylıklarına uygulanan katsayı ile çarpımını geçmeyecek miktarda ücret ödenir.</t>
  </si>
  <si>
    <t>Bu madde kapsamına giren eserlerin seçilmesi, yayımlanması, yayım ve ansiklopedi yazı kurullarının kurulması, çalışma esasları, görevleri ve yetkileri ile diğer hususlar kurumlar tarafından çıkarılacak yönetmeliklerde düzenlenir.</t>
  </si>
  <si>
    <t>Ek Madde 2- (22/12/2005-5436/14 md.)</t>
  </si>
  <si>
    <t xml:space="preserve">Kamu idarelerinin iç denetçi kadrolarında 657 sayılı Devlet Memurları Kanununa göre istihdam edilenlere, en yüksek Devlet memuru aylığının (ek gösterge dahil) % 200'ünü geçmemek üzere ek ödeme yapılabilir. Ek ödemenin miktarı ile esas ve usûlleri; personelin sertifika derecesi, görev yapılan birim ve iş hacmi, personelin çalışma süresi ve aylık derecesi gibi kriterler dikkate alınarak İç Denetim Koordinasyon Kurulunun önerisi ve Maliye Bakanlığının teklifi üzerine Bakanlar Kurulu kararıyla belirlenir. Bu ödemede 657 sayılı Kanunun aylıklara ilişkin hükümleri uygulanır ve bu ödemeden damga vergisi hariç herhangi bir vergi ve kesinti yapılmaz. </t>
  </si>
  <si>
    <t xml:space="preserve">Kamu idarelerinin iç denetçi kadrolarında 657 sayılı Kanuna göre istihdam edilenlere, anılan Kanun ile bu Kanun Hükmünde Kararnamede belirtilen ödemeler dışında görev yaptıkları kurum personelinin yararlandığı tazminat, fazla mesai ve benzeri başka herhangi bir ödeme yapılmaz. </t>
  </si>
  <si>
    <t>(1) Bu arada yer alan “Devlet Güvenlik ve” ibaresi, 21/4/2005 tarihli ve 5335 sayılı Kanunun 29 uncu maddesi ile yürürlükten kaldırılmıştır.</t>
  </si>
  <si>
    <t xml:space="preserve"> (1) 24/7/2008 tarihli ve 5793 sayılı Kanunun 46 ncı maddesiyle bu maddenin birinci fıkrasında yer alan "1/1/2006-30/6/2006 tarihleri arasında 950 gösterge rakamının, 1/7/2006 tarihinden itibaren ise 1850 gösterge rakamının memur aylıklarına uygulanan katsayı ile çarpımı sonucu bulunacak tutarda her ay ek ödeme yapılır." ibaresi "en yüksek Devlet memuru aylığının (ek gösterge dahil) % 200 ünü geçmemek üzere her ay ek ödeme yapılabilir. Ek ödemenin oranı ile esas ve usulleri; görev yapılan birim ve iş hacmi, görevin önem ve güçlüğü, görev yerinin özelliği, çalışma süresi, personelin sınıfı, rütbesi, kadro veya görev unvanı, derecesi, atanma usulü ile emsali veya benzeri görev ve unvanlarda bulunan personele mali haklar kapsamında yapılan her türlü ödemeler dahil almakta oldukları toplam ödeme tutarları gibi kriterler birlikte veya ayrı ayrı dikkate alınarak, Maliye Bakanlığının teklifi üzerine Bakanlar Kurulunca belirlenir. Emsali veya benzeri görev ve unvanlarda bulunan personel arasındaki ücret dengesini sağlamak amacıyla, mali haklar kapsamında yapılan her türlü ödemeler dahil alınmakta olunan toplam ödeme tutarları esas alınarak, emsali veya benzeri görev ve unvanlarda bulunan personel için farklı oranlar belirlenebilir veya hiçbir belirleme yapılmayabilir." şeklinde değiştirilmiş ve metne işlenmiştir.</t>
  </si>
  <si>
    <t>(2) 20/2/2008 tarihli ve 5737 sayılı Kanunun 80 inci maddesiyle; bu fıkrada yer alan “Vakıflar Genel Müdürlüğü” ibaresi madde metninden çıkarılmıştır.</t>
  </si>
  <si>
    <t>(3) 1/7/2006 tarihli ve 5538 sayılı Kanunun 43 üncü maddesiyle bu fıkrada yer alan uzman jandarma ve uzman erbaşlara," ibaresinden sonra gelmek üzere "kamu iktisadi teşebbüsleri ve bağlı ortaklıklarda 399 sayılı Kanun Hükmünde Kararnameye ekli (I) sayılı cetvelde gösterilen kadrolar dışında 657 sayılı Kanun hükümlerine göre aylık alan memurlara," ibaresi eklenmiş ve metne işlenmiştir.</t>
  </si>
  <si>
    <t>(4) 29/5/2009 tarihli ve 5902 sayılı Kanunun 25 inci maddesiyle; bu fıkraya “Diyanet İşleri Başkanlığı” ibaresinden sonra gelmek üzere “Afet ve Acil Durum Yönetimi Başkanlığı” ibaresi eklenmiş ve metne işlenmiştir.</t>
  </si>
  <si>
    <t>(5) 17/2/2010 tarihli ve 5952 sayılı Kanunun 18 inci maddesiyle, bu maddenin birinci fıkrasında yer alan "Savunma Sanayii Müsteşarlığı," ibaresinden sonra gelmek üzere "Kamu Düzeni ve Güvenliği Müsteşarlığı," ibaresi eklenmiş ve metne işlenmiştir.</t>
  </si>
  <si>
    <t>(6) 24/3/2010 tarihli ve 5978 sayılı Kanunun 30 uncu maddesiyle, bu maddenin birinci fıkrasına “Özel Çevre Koruma Kurumu Başkanlığı,” ibaresinden sonra gelmek üzere “Yurtdışı Türkler ve Akraba Topluluklar Başkanlığı,” ibaresi eklenmiş ve metne işlenmiştir.</t>
  </si>
  <si>
    <t>(7) 19/6/2010 tarihli ve 6000 sayılı Kanunun 34 üncü maddesiyle, bu maddenin birinci fıkrasına "sözleşmeli astsubay," ibaresinden sonra gelmek üzere "sözleşmeli subay ve astsubay adayları," ibaresi eklenmiş ve metne işlenmiştir.</t>
  </si>
  <si>
    <t>(8) 11/12/2010 tarihli ve 6087 sayılı Kanunun 46 ncı maddesiyle, bu maddenin birinci fıkrasında yer alan “Danıştay,” ibaresinden sonra gelmek üzere “Hâkimler ve Savcılar Yüksek Kurulu,” ibaresi eklenmiş ve metne işlenmiştir.</t>
  </si>
  <si>
    <t>(9) 28/12/2010 tarihli ve 6093 sayılı Kanunun 14 üncü maddesiyle, bu maddenin birinci fıkrasında yer alan “Özel Çevre Koruma Kurumu Başkanlığı,” ibaresinden sonra gelmek üzere “Türkiye Yazma Eserler Başkanlığı,” ibaresi eklenmiş ve metne işlenmiştir.</t>
  </si>
  <si>
    <t>(10) 17/2/2011 tarihli ve 6114 sayılı Kanunun 11 inci maddesiyle, bu maddenin birinci fıkrasında yer alan “Yurtdışı Türkler ve Akraba Topluluklar Başkanlığı,” ibaresinden sonra gelmek üzere “Ölçme, Seçme ve Yerleştirme Merkezi Başkanlığı,” ibaresi eklenmiş ve metne işlenmiştir.</t>
  </si>
  <si>
    <t>(11) 3/6/2011 tarihli ve 643 sayılı Kanunun 14 üncü maddesiyle, bu maddenin birinci fıkrasında yer alan “Bayındırlık ve İskân Bakanlığı” ibaresi “Çevre, Orman ve Şehircilik Bakanlığı” şeklinde, “Tarım ve Köyişleri Bakanlığı” ibaresi “Gıda, Tarım ve Hayvancılık Bakanlığı” şeklinde, “Avrupa Birliği Genel Sekreterliği” ibaresi “Avrupa Birliği Bakanlığı” şeklinde, “Gençlik ve Spor Genel Müdürlüğü” ibaresi “Spor Genel Müdürlüğü” şeklinde değiştirilmiş; “Çevre ve Orman Bakanlığı,”, “Tarım Reformu Genel Müdürlüğü,”, “ Sosyal Hizmetler ve Çocuk Esirgeme Kurumu Genel Müdürlüğü,” ibareleri yürürlükten kaldırılmış; anılan fıkraya “Kültür ve Turizm Bakanlığı,” ibaresinden sonra gelmek üzere “Kalkınma Bakanlığı, Gençlik ve Spor Bakanlığı, Aile ve Sosyal Politikalar Bakanlığı,” ibaresi, “GAP Bölge Kalkınma İdaresi Başkanlığı,” ibaresinden sonra gelmek üzere “Doğu Anadolu Projesi Bölge Kalkınma İdaresi Başkanlığı, Konya Ovası Projesi Bölge Kalkınma İdaresi Başkanlığı,” ibaresi eklenmiş, daha sonra 29/6/2011 tarihli ve 644 sayılı KHK’nin 37 nci maddesindeki hükme istinaden, bu fıkrada yer alan “Çevre, Orman ve Şehircilik Bakanlığı” ibaresi “Çevre ve Şehircilik Bakanlığı” olarak değiştirilmiş, aynı fıkraya “Aile ve Sosyal Politikalar Bakanlığı” ibaresinden sonra gelmek üzere “, Orman ve Su İşleri Bakanlığı” ibaresi eklenmiş ve metne işlenmiştir.</t>
  </si>
  <si>
    <t xml:space="preserve">(12) 8/8/2011 tarihli ve 648 sayılı KHK’nin 20 nci maddesi ile, bu maddenin birinci fıkrasında yer alan “Özel Çevre Koruma Kurumu Başkanlığı,” ibaresi yürürlükten kaldırılmıştır. </t>
  </si>
  <si>
    <t>(13) 8/8/2011 tarihli ve 649 sayılı KHK’nin 55 inci maddesiyle, bu maddenin birinci fıkrasında yer alan “Konya Ovası Projesi Bölge Kalkınma İdaresi Başkanlığı,” ibaresinden sonra gelmek üzere “Doğu Karadeniz Projesi Bölge Kalkınma İdaresi Başkanlığı,” ibaresi eklenmiş ve metne işlenmiştir.</t>
  </si>
  <si>
    <t xml:space="preserve">(14) 26/9/2011 tarihli ve 660 sayılı KHK’nin 32 inci maddesi ile, bu maddenin birinci fıkrasına “Doğu Karadeniz Projesi Bölge Kalkınma İdaresi Başkanlığı,” ibaresinden sonra gelmek üzere “Kamu Gözetimi, Muhasebe ve Denetim Standartları Kurumu,” ibaresi eklenmiş ve metne işlenmiştir. </t>
  </si>
  <si>
    <t>(15) 24/10/2011 tarihli ve 656 sayılı KHK’nin 20 nci maddesi ile, bu fıkraya“Yurtdışı Türkler ve Akraba Topluluklar Başkanlığı,” ibaresinden sonra gelmek üzere “Türk İşbirliği ve Koordinasyon Ajansı Başkanlığı,” ibaresi eklenmiştir.</t>
  </si>
  <si>
    <t>_______________________</t>
  </si>
  <si>
    <t>(1) 24/7/2008 tarihli ve 5793 sayılı Kanunun 46 ncı maddesiyle bu fıkrada yer alan "makam, yüksek hakimlik, temsil veya görev tazminatından yararlananlara," ibaresi yürürlükten kaldırılmıştır.</t>
  </si>
  <si>
    <t>(2) 25/6/2009 tarihli ve 5917 sayılı Kanunun 47 nci maddesiyle; bu fıkrada yer alan “8/5/1991 tarihli ve 3717 sayılı Kanunun 2 nci maddesi uyarınca yol tazminatının yarısı olarak bankalara yatırılan tutarlardan ödeme yapılanlara,” ibaresi madde metninden çıkarılmıştır.</t>
  </si>
  <si>
    <t>(3) 1/7/2006 tarihli ve 5538 sayılı Kanunun 43 üncü maddesiyle bu fıkrada yer alan "kamu bankalarına" ibaresi "bankalara" şeklinde değiştirilmiş ve metne işlenmiştir.</t>
  </si>
  <si>
    <t>Birinci fıkraya göre yapılacak ödeme, bu maddenin yürürlük tarihinden önce hakları şahıslarına bağlı olarak saklı tutulanlar için şahsa bağlı haklardan sayılmaz, ilgili mevzuatı uyarınca fark tazminatı uygulamasından yararlanan personel bakımından önceki kadro veya pozisyonun ücretinin artırılması sonucunu doğurmaz. Bu ödeme, fark tazminatı uygulamasından yararlanan personel hakkında, yukarıdaki hükümler esas alınarak ilgililerin yeni kadrolarına ilişkin malî haklarının belirlenmesinde fark tazminatı hesabında dikkate alınmak suretiyle uygulanır.</t>
  </si>
  <si>
    <t>Ek ödemenin hak kazanılmasında ve ödenmesinde aylıklara ilişkin hükümler uygulanır ve bu ek ödeme damga vergisi hariç herhangi bir vergi ve kesintiye tabi tutulmaz. Bu madde uyarınca yapılacak ek ödeme, ilgili mevzuatı uyarınca ödenmekte olan zam, tazminat, ödenek, döner sermaye payı, ikramiye, ücret ve her ne ad altında olursa olsun yapılan benzeri ödemelerin hesabında dikkate alınmaz.</t>
  </si>
  <si>
    <t>––––––––––––––</t>
  </si>
  <si>
    <t>(2) 6/3/2011 tarihli ve 643 sayılı KHK’nin 14 üncü maddesiyle, bu fıkrada yer alan “Devlet Planlama Teşkilatı Müsteşarlığı,”, “Özürlüler İdaresi Başkanlığı,”, “Aile ve Sosyal Araştırmalar Genel Müdürlüğü, Kadının Statüsü Genel Müdürlüğü, Sosyal Yardımlaşma ve Dayanışma Genel Müdürlüğü,” ve “4/11/1981 tarihli ve 2547 sayılı Kanunun 10 uncu maddesinin yedinci fıkrası,” ibareleri yürürlükten kaldırılmıştır.</t>
  </si>
  <si>
    <t xml:space="preserve">2/5/2001 tarihli ve 4668 sayılı Kanunun 17 nci maddesi, 16/4/2003 tarihli ve 4848 sayılı Kanunun 32 nci maddesinin üçüncü fıkrası, 1/5/2003 tarihli ve 4856 sayılı Kanunun 35 inci maddesinin üçüncü fıkrası, 25/6/2003 tarihli ve 4904 sayılı Kanunun 15 inci maddesinin altıncı fıkrası, 23/7/2003 tarihli ve 4954 sayılı Kanunun 37 nci maddesinin üçüncü fıkrası, 3/3/2004 tarihli ve 5102 sayılı Kanunun 5 inci maddesi, 20/2/2008 tarihli ve 5737 sayılı Kanunun 67 nci maddesinin dördüncü fıkrası ile 72 nci maddesinin ikinci fıkrası ve 399 sayılı Kanun Hükmünde Kararnamenin 25 inci maddesinin (b) fıkrası ile ek 2 nci maddesinde öngörülen ödemelerden yararlanan memurlara, anılan hükümlere göre yapılan ödemeler ile her derece ve türdeki örgün ve yaygın eğitim kurumlarında görev yapan yönetici ve öğretmenler ile sosyal hizmet kuruluşlarında görev yapan öğretmenler hariç olmak üzere fiilen yapılmayan ders karşılığı ek ders ücretinden yararlanan memurlara yapılan ödemelerin toplam net tutarının, birinci fıkra uyarınca yürürlüğe konulacak Bakanlar Kurulu kararında kadro veya görev unvanları için belirlenen ek ödemenin net tutarından az olması halinde, bunlara bu fıkrada sayılan hükümlere göre yapılan ödemeler yerine sadece bu madde hükümleri çerçevesinde ek ödeme yapılır. </t>
  </si>
  <si>
    <t>Kadro karşılığı sözleşmeli personel hariç olmak üzere, çeşitli statülerde istihdam edilen sözleşmeli personele birinci fıkrada belirlenen tutarı aşmamak üzere ve bu madde hükümleri çerçevesinde, statüleri ve kurumları dikkate alınarak ödeme yapıp yapmamaya, sözleşme ücreti ile ilişkilendirilmeksizin yapılacak ek ödeme tutarını belirlemeye, ücretleri Yüksek Planlama Kurulu tarafından belirlenenler için bu Kurul, diğerleri için Bakanlar Kurulu yetkilidir. Ek ödeme tutarı damga vergisi hariç herhangi bir vergi ve kesintiye tabi tutulmaz.</t>
  </si>
  <si>
    <t>Bu maddenin uygulamasına ilişkin olarak ortaya çıkabilecek tereddütleri gidermeye Maliye Bakanlığı yetkilidir.</t>
  </si>
  <si>
    <t>25/6/2001 tarihli ve 4688 sayılı Kamu Görevlileri Sendikaları Kanunu hükümleri uyarınca kamu görevlileri sendikalarına üye olup, aylık veya ücretinden üyelik ödentisi kesilen kamu görevlilerine ocak, nisan, temmuz ve ekim aylarında aylık veya ücretleri ile birlikte kırkbeş Türk Lirası toplu sözleşme primi ödenir. Bu madde uyarınca yapılan ödeme, damga vergisi hariç herhangi bir vergi ve kesintiye tabi tutulmaz ve ilgili mevzuatı uyarınca ödenmekte olan zam, tazminat, ödenek, döner sermaye payı, ikramiye, ücret ve her ne ad altında olursa olsun benzer ödemelerin hesabında dikkate alınmaz.</t>
  </si>
  <si>
    <t>(1) 6/3/2011 tarihli ve 643 sayılı KHK’nin 14 üncü maddesiyle, bu fıkrada yer alan “Çevre ve Orman Bakanlığı” ibaresi “Çevre, Orman ve Şehircilik Bakanlığı” şeklinde, daha sonra 29/6/2011 tarihli ve 644 sayılı KHK’nin 37 nci maddesiyle, “Çevre, Orman ve Şehircilik Bakanlığı” ibaresi “Çevre ve Şehircilik Bakanlığı” olarak değiştirilmiş ve metne işlenmiştir.</t>
  </si>
  <si>
    <t xml:space="preserve">(2) 8/8/2011 tarihli ve 648 sayılı KHK’nın 20 inci maddesi ile bu fıkrada yer alan “Çevre ve Şehircilik Bakanlığı,” ibaresi yürürlükten kaldırılmıştır. </t>
  </si>
  <si>
    <t>14/7/1965 tarihli ve 657 sayılı Kanunun ek 8 ve ek 9 uncu, 13/11/1996 tarihli ve 4208 sayılı Kanunun 3 üncü, 4/11/1981 tarihli ve 2547 sayılı Kanunun 38, 40 ve 41 inci maddelerine ve 13/10/1983 tarihli ve 2919 sayılı Kanun ile 17/8/1983 tarihli ve 2879 sayılı Kanuna göre görevlendirilenler ile güvenlik görevlileri ve sosyal hizmet kuruluşlarında görevlendirilen öğretmenler ile sağlık personeli hariç, ilgili mevzuatı uyarınca diğer kurumlarda vekâleten veya geçici olarak görevlendirilen ve kadro aylıklarını kendi kurum veya kuruluşlarından alan memurlar veya kamu görevlileri, vekâleten veya geçici olarak görev yaptıkları kurum personelinin yararlandığı ve ilgili mevzuatında söz konusu personele de ödenebileceği belirtilen her türlü tazminat, fazla çalışma ücreti ve diğer ödemelerden yararlanamazlar.</t>
  </si>
  <si>
    <t>Kısmî zamanlı sözleşmeli bilişim personeli olarak çalıştırılanlar için iş sonu tazminatı ödenmez ve işsizlik sigortası primi yatırılmaz. Bunlardan, yaptıkları başka işler sebebiyle herhangi bir sosyal güvenlik kurumuna tabi olanlar için sosyal sigorta ve genel sağlık sigortası primi yatırılmaz.</t>
  </si>
  <si>
    <t>Kapsama dahil kamu kurum ve kuruluşlarının büyük ölçekli bilgi işlem birimlerinin aşağıdaki kriterleri taşıması gerekir.</t>
  </si>
  <si>
    <t>a) Acil durum ve çağrı merkezi bulunması,</t>
  </si>
  <si>
    <t>b) En az beşbin fiili kullanıcısının bulunması veya kurumun bilişim hizmetinden yararlanan hizmet birim sayısının en az bin olması ya da il ve ilçelerin en az 1/3’ünde birimi bulunması,</t>
  </si>
  <si>
    <t xml:space="preserve">c) Merkezi internet ve/veya intranet uygulamalarına açık olması, </t>
  </si>
  <si>
    <t>ç) Ağ yönetimi ve yazılım hizmetlerinin merkezi olarak sunulması,</t>
  </si>
  <si>
    <t>d) Ağ yönetimi ve yazılım hizmetlerini istihdam edeceği sözleşmeli bilişim personeli ile yapabilme kapasitesine sahip bulunması,</t>
  </si>
  <si>
    <t>e) Haftada 7 gün ve günde 24 saat hizmet sunma kapasitelerinin bulunması.</t>
  </si>
  <si>
    <t>Büyük ölçekli bilgi işlem birimlerinde sözleşmeli bilişim personeli olarak istihdam edilecek personelin;</t>
  </si>
  <si>
    <t>a) Fakültelerin dört yıllık bilgisayar mühendisliği, yazılım mühendisliği, elektrik mühendisliği, elektronik mühendisliği, elektrik ve elektronik mühendisliği ve endüstri mühendisliği bölümlerinden ya da bunlara denkliği Yükseköğretim Kurulunca kabul edilmiş yurt dışındaki yüksek öğretim kurumlarından mezun olması,</t>
  </si>
  <si>
    <t>______________</t>
  </si>
  <si>
    <t>(1) 8/8/2011 tarihli ve 650 sayılı KHK’nın 35 inci maddesi ile bu fıkrada yer alan “20 kişiyi” ibaresi“30 kişiyi”, “en fazla üç kişiye” ibaresi “en fazla sekiz kişiye” ve “diğer beş kişiye” ibaresi “diğer on kişiye” şeklinde değiştirilmiş ve metne işlenmiştir.</t>
  </si>
  <si>
    <t>b) (a) bendinde belirtilenler dışında kalan dört yıllık eğitim veren fakültelerin mühendislik bölümlerinden, fen-edebiyat, eğitim ve eğitim bilimleri fakültelerinin, bilgisayar ve teknoloji üzerine eğitim veren bölümleri ile istatistik, matematik ve fizik bölümlerinden ya da bunlara denkliği Yükseköğretim Kurulunca kabul edilmiş yurt dışındaki yüksek öğretim kurumlarından mezun olması,</t>
  </si>
  <si>
    <t xml:space="preserve">d) Bilgisayar çevre birimlerinin donanımı ve kurulan ağ yönetimi güvenliği hakkında bilgi sahibi olmaları kaydıyla güncel programlama dillerinden en az ikisini bildiğini belgelemeleri, </t>
  </si>
  <si>
    <t xml:space="preserve">zorunludur. </t>
  </si>
  <si>
    <t>Dördüncü fıkranın (b) bendinde yer alan yüksek öğretim kurumlarından mezun olanların istihdam edilmeleri halinde, bunlar için ödenecek ücret 657 sayılı Kanunun 4 üncü maddesinin (B) bendine göre istihdam edilenlerin sözleşme ücreti tavanının iki katını geçemez.</t>
  </si>
  <si>
    <t xml:space="preserve">Sözleşmeli bilişim personeli olarak istihdam edileceklerin, hizmet sözleşmesi esaslarına aykırı hareket etmesi veya bunlar tarafından sözleşme dönemi içerisinde sözleşmenin tek taraflı fesih edilmesi halinde, sözleşme brüt ücretinin üç katından az olmamak üzere fesih tarihinden sözleşmenin bitiş tarihine kadar olan sürenin (kıst ay, tam ay sayılır) aylık sözleşme brüt ücretiyle çarpımı sonucu bulunacak tutar, personel tarafından tazminat olarak ödenir. </t>
  </si>
  <si>
    <t>Büyük ölçekli bilgi işlem birimlerinde bu maddenin üçüncü fıkrasında sayılan niteliklerin tespiti ve uygulanması, istihdam türüne bağlı sözleşmeli bilişim personeli sayısı ile ödenecek sözleşme ücretinin tespiti, aranılacak diğer özellikler, istihdama dair hususlar ile sözleşme usul ve esasları Maliye Bakanlığınca belirlenir.</t>
  </si>
  <si>
    <t xml:space="preserve">190 sayılı Genel Kadro ve Usulü Hakkında Kanun Hükmünde Kararnamenin 2 nci maddesinde belirtilen kamu idare, kurum ve kuruluşlarında ilgili mevzuatı uyarınca kadro karşılıksız, 657 sayılı Kanunun ek geçici 16 ncı maddesi ile yükseköğretim mevzuatı uyarınca sözleşme ile çalıştırılacak personelin belirlenmesine ilişkin herhangi bir işlem yapılmadan önce Maliye Bakanlığından izin alınması şarttır. Bu idare, kurum ve kuruluşlarda mali yılla sınırlı olmak üzere sözleşmeyle çalıştırılacak personel pozisyonlarına ilişkin birim, unvan, nitelik, sayı ve/veya isim, ücret ile sözleşme örneği; kadro karşılığı çalıştırılan sözleşmeli personel için sadece sözleşme örneği Maliye Bakanlığının vizesine tabidir. Söz konusu vize işlemlerine ilişkin iptal ve değişiklikler de aynı usule tabidir. </t>
  </si>
  <si>
    <t>–––––––––</t>
  </si>
  <si>
    <t>(1) 8/8/2011 tarihli ve 650 sayılı KHK’nın 35 inci maddesi ile bu bentte yer alan “en az 5 yıllık” ibaresi “birinci fıkraya göre ücret tavanı iki katını geçmeyecekler için en az 3 yıllık, diğerleri için en az 5 yıllık” şeklinde değiştirilmiş ve metne işlenmiştir.</t>
  </si>
  <si>
    <t>(2) 25/6/2009 tarihli ve 5917 sayılı Kanunun 48 inci maddesiyle; bu maddenin 1/1/2010 tarihinde yürürlüğe gireceği hüküm altına alınmıştır.</t>
  </si>
  <si>
    <t>Özel kanunlarındaki hükümler saklı kalmak kaydıyla birinci fıkra kapsamında sözleşmeyle çalıştırılan personel hakkında 6/6/1978 tarihli ve 7/15754 sayılı Bakanlar Kurulu Kararı uygulanır.</t>
  </si>
  <si>
    <t>Ayın veya haftanın bazı günleri ya da günün belirli saatleri gibi kısmi zamanlı çalışan sözleşmeli personel hariç olmak üzere kamu kurum ve kuruluşlarının merkez ve taşra teşkilatları ile döner sermaye işletmelerinde sözleşmeli personel pozisyonlarında istihdam edilenlerden aile yardımı ödeneğinden veya başka bir ad altında da olsa aynı amaçla yapılan herhangi bir ödemeden yararlanamayanlara, Devlet memurlarına verilen aile yardımı ödeneği, herhangi bir vergi ve kesintiye tabi tutulmaksızın aynı usul ve esaslar çerçevesinde ödenir.</t>
  </si>
  <si>
    <t>Aylıklarını 657 sayılı Devlet Memurları Kanunu ile 2914 sayılı Yükseköğretim Personel Kanununa göre almakta olan personele, 399 sayılı Kanun Hükmünde Kararnameye ekli (II) sayılı Cetvele dahil pozisyonlarda istihdam edilen sözleşmeli personele, subay, sözleşmeli subay, astsubay, sözleşmeli astsubay, sözleşmeli subay ve astsubay adayları ile uzman jandarma ve uzman erbaşlara, mali haklar kapsamında yapılan her türlü ödemeler dahil almakta oldukları toplam ödeme tutarı dikkate alınmak suretiyle aynı veya benzer kadro ve görevlerde bulunan personel arasındaki ücret dengesini sağlamak amacıyla, en yüksek Devlet memuru aylığına (ek gösterge dahil), ekli (I) sayılı Cetvelde yer alan kadro ve görev unvanlarına karşılık gelen oranların uygulanması suretiyle hesaplanan tutarda ek ödeme yapılır.</t>
  </si>
  <si>
    <t>Ek ödemeye hak kazanılmasında ve bu ödemenin yapılmasında aylıklara ilişkin hükümler uygulanır. Bu maddeye göre yapılacak ek ödeme damga vergisi hariç herhangi bir vergiye tabi tutulmaz ve ilgili mevzuatı uyarınca ödenmekte olan zam, tazminat, ödenek, döner sermaye ödemesi, ikramiye, ücret ve her ne ad altında olursa olsun yapılan benzeri ödemelerin hesabında dikkate alınmaz.</t>
  </si>
  <si>
    <t>Birinci fıkra kapsamına giren personelden; 4/1/1961 tarihli ve 209 sayılı Kanunun 5 inci maddesinin ikinci fıkrası, 4/11/1981 tarihli ve 2547 sayılı Kanunun 58 inci maddesinin (c) ve (f) fıkraları ve 14/4/1982 tarihli ve 2659 sayılı Kanunun 30 uncu maddesi kapsamında döner sermayeden ek ödeme yapılan personele, 27/7/1967 tarihli ve 926 sayılı Kanunun ek 17 nci maddesinin (Ç) fıkrası uyarınca sağlık hizmetleri tazminatı ödenen personele, 27/10/1999 tarihli ve 4458 sayılı Kanunun 221 inci maddesi, 16/5/2006 tarihli ve 5502 sayılı Kanunun 28 inci maddesinin sekizinci fıkrası ve 663 sayılı Kanun Hükmünde Kararnamenin 28 inci maddesinin dördüncü fıkrası uyarınca ödeme yapılan personele, sözkonusu mevzuat hükümlerine göre ödeme yapılmaya devam olunur ve bunlara bu maddeye göre ayrıca ek ödeme yapılmaz. Bu fıkra kapsamında yer alan idarelerin döner sermaye saymanlık hizmetlerini yürüten personele sözkonusu mevzuat uyarınca döner sermaye gelirlerinden herhangi bir ödeme yapılmaz.</t>
  </si>
  <si>
    <t>Birinci fıkra kapsamına giren personelden; 21/12/1967 tarihli ve 969 sayılı Kanunun 3 üncü maddesinin son fıkrasında öngörülen ödemelerden yararlananlara, birinci fıkraya göre ödeme yapılmaz. Ancak üretimi teşvik primi ödenen personele, ödemenin yapıldığı tarih ile bir sonraki yılda yapılacağı tarih arasındaki dönemde birinci fıkra uyarınca kadro veya pozisyon unvanları için ödenmesi öngörülen ek ödemenin toplam net tutarı, anılan 3 üncü maddeye göre ödenen üretimi teşvik priminin net tutarına ulaştığı tarihten itibaren birinci fıkraya göre ödeme yapılmaya başlanır.</t>
  </si>
  <si>
    <t>Birinci fıkra kapsamına giren personelden; kurumlarınca bir kadroya kurum içinden veya kurum dışından vekalet ettirilenlere, vekaletin 657 sayılı Kanunun 86 ncı maddesine istinaden yapılmış ve bu hususun onayda belirtilmiş olması, vekalet görevinin Bakanlar Kurulu kararı veya müşterek karar ile atama yapılması gereken kadrolar için ilgili bakan, diğer kadrolar için asili atamaya yetkili amir tarafından verilmesi, vekalet eden personelin asaleten atanmada aranan tüm şartları (asaleten atanmada sınav şartı aranılan kadrolar için bu sınavlara girebilme hakkının elde edilmiş olması dahil) taşıması kaydıyla vekalet ettikleri kadro için öngörülen ek ödemenin asli kadroları için öngörülen ek ödemeden fazla olması halinde, aradaki fark, vekalet görevine başlanıldığı tarihten itibaren ve bu görev fiilen yapıldığı sürece ödenir. Ancak, mehil müddeti, yıllık izin, mazeret izni, hastalık ve refakat izni, geçici görev, vekalet, görevden uzaklaştırma, hizmet içi eğitim, seminer ve kurs nedenleriyle görevlerinden ayrılanlara vekalet edenlere bu şekilde ödeme yapılmaz.</t>
  </si>
  <si>
    <t>Ücret ve tazminatları ek 10 uncu maddeye göre ödenenlere, 10/12/2003 tarihli ve 5018 sayılı Kanuna ekli (III) sayılı Cetvelde sayılan düzenleyici ve denetleyici kurumlarda görev yapan personele ve bir kadroya açıktan vekil olarak atananlara bu madde uyarınca ek ödeme yapılmaz.</t>
  </si>
  <si>
    <t xml:space="preserve">Bu maddeye göre yapılacak ek ödeme, bu maddenin yürürlük tarihinden önce hakları şahıslarına bağlı olarak saklı tutulanlar için şahsa bağlı haklardan sayılmaz ve ilgili mevzuatı uyarınca fark tazminatı uygulamasından yararlanan personel bakımından önceki kadro veya pozisyonun ücretinin artırılması sonucunu doğurmaz. Bu ek ödeme, fark tazminatı uygulamasından yararlanan personel hakkında, yukarıdaki hükümler esas alınarak ilgililerin yeni kadrolarına ilişkin mali haklarının belirlenmesinde fark tazminatı hesabında dikkate alınmak suretiyle uygulanır. </t>
  </si>
  <si>
    <t>Kültür ve Turizm Bakanlığının, Sağlık Bakanlığının, Türkiye Kamu Hastaneleri Kurumunun ve Meteoroloji Genel Müdürlüğünün merkez teşkilatı personeli ile Ulaştırma, Denizcilik ve Haberleşme Bakanlığı, Türkiye Halk Sağlığı Kurumu, Karayolları Genel Müdürlüğü, Orman Genel Müdürlüğü ve Tapu ve Kadastro Genel Müdürlüğü personeline bu madde uyarınca yapılan ek ödemeler döner sermaye bütçelerinden yapılır. Devletin mali imkanlarını gözönünde bulundurmak suretiyle merkezi yönetim kapsamındaki kamu idarelerinde istihdam edilen personele bu madde uyarınca yapılan ek ödemenin tamamını veya bir kısmını teşkilat yapısı esas alınarak merkezi yönetim bütçesinden veya döner sermayesi bulunan kurumlar için döner sermaye bütçesinden yaptırmaya Maliye Bakanlığının teklifi üzerine Bakanlar Kurulu yetkilidir.</t>
  </si>
  <si>
    <t xml:space="preserve">Kadro karşılığı sözleşmeli personel ile 399 sayılı Kanun Hükmünde Kararnameye ekli (II) sayılı Cetvele dahil pozisyonlarda istihdam edilen sözleşmeli personel hariç olmak üzere, çeşitli statülerde istihdam edilen sözleşmeli personele, çalıştıkları birim ve bulundukları pozisyon unvanı itibarıyla aynı veya benzer unvanlı memur kadrosunda çalışan, hizmet yılı ve öğrenim durumu aynı olan emsali personel için belirlenmiş olan ek ödeme oranını aşmamak üzere, statüleri ile mali haklar kapsamında yapılan her türlü ödemeler dahil almakta oldukları toplam ödeme tutarları gibi kriterler birlikte veya ayrı ayrı dikkate alınarak bu madde hükümleri çerçevesinde ek ödeme yapılıp yapılmayacağını, yapılacak ek ödeme oranını sözleşme ücreti ile ilişkilendirilmeksizin belirlemeye, Maliye Bakanlığının teklifi üzerine Bakanlar Kurulu yetkilidir. Bu ödeme tutarı damga vergisi hariç herhangi bir vergi ve sigorta prim kesintisine tabi tutulmaz. </t>
  </si>
  <si>
    <t>Bu maddenin uygulamasına ilişkin olarak ortaya çıkabilecek tereddütleri gidermeye ve uygulamayı yönlendirmeye Maliye Bakanlığı yetkilidir.</t>
  </si>
  <si>
    <t>Ek Madde 10 – (Ek: 11/10/2011-KHK-666/1 md.)</t>
  </si>
  <si>
    <t xml:space="preserve">Cumhurbaşkanlığı Genel Sekreterliği, Türkiye Büyük Millet Meclisi Genel Sekreterliği, Başbakanlık ve bakanlıklar ile bunların bağlı ve ilgili kuruluşları (Milli İstihbarat Teşkilatı Müsteşarlığı ile 2659 sayılı Kanunun 30 uncu maddesi ve 399 sayılı Kanun Hükmünde Kararnamenin ek 2 nci maddesi kapsamında bulunanlar hariç), sosyal güvenlik kurumları, Yükseköğretim Kurulu, Üniversitelerarası Kurul ve Ölçme, Seçme ve Yerleştirme Merkezi Başkanlığının; </t>
  </si>
  <si>
    <t xml:space="preserve">a) Merkez teşkilatlarında Mülki İdare Amirliği Hizmetleri Sınıfına ait kadrolarda yer alanlar hariç olmak üzere bu Kanun Hükmünde Kararnameye ekli (II) sayılı Cetvelde yer alan unvanlı kadrolarda bulunanlardan, </t>
  </si>
  <si>
    <t>b) Taşra teşkilatlarına ait kadrolarda bulunup, kadro unvanları ekli (II) sayılı Cetvelde yer alanlardan,</t>
  </si>
  <si>
    <t>c) Merkez teşkilatlarında; Dışişleri Meslek Memuru ve Konsolosluk ve İhtisas Memurları, özel yarışma sınavı sonucunda mesleğe yardımcı veya stajyer olarak alınıp belirli süreli yetiştirme döneminden sonra özel bir yeterlik sınavı sonunda müfettiş, uzman, denetçi, kontrolör, aktüer ve stenograf unvanlı kadrolara (mevzuatı uyarınca sözkonusu kadrolara atananlar dahil) atananlar ve bunların yardımcı ve stajyerleri ile iç denetçilerden ekli (III) sayılı Cetvelde yer alan unvanlı kadrolarda yer alanlardan,</t>
  </si>
  <si>
    <t xml:space="preserve">aylıklarını 657 sayılı Devlet Memurları Kanununa göre almakta olanlara anılan Cetvellerde kadro unvanlarına karşılık gelen gösterge rakamlarının memur aylık katsayısı ile çarpımı sonucu bulunacak tutarlarda ücret ve tazminat verilir. Bu ödemelere hak kazanılmasında ve bunların ödenmesinde aylıklara ilişkin hükümler uygulanır. Ekli (II) ve (III) sayılı Cetvellerde atandıkları kadro dereceleri esas alınarak belirlenen ücret ve tazminatlar, 657 sayılı Kanunun 45 inci maddesine göre atananlar ile haklarında aynı Kanunun 67 nci maddesi uygulananlar için kazanılmış hak aylık dereceleri dikkate alınarak ödenir. Tazminat damga vergisi hariç herhangi bir vergiye tabi tutulmaz. </t>
  </si>
  <si>
    <t>Bu madde kapsamına giren personele; bu Kanun Hükmünde Kararnamenin 1 inci maddesinin (D) bendi, 2 nci, 28 inci ve ek 13 üncü maddeleri hariç olmak üzere diğer maddelerinde öngörülen her türlü ödemeler ile ek 9 uncu maddesinin üçüncü ve dördüncü fıkralarında belirtilen mevzuat hükümlerine göre yapılan ödemeler, 657 sayılı Kanunda ödenmesi öngörülen aylık, ek gösterge, zam ve tazminatlar ve makam tazminatı ile avukatlık vekalet ücreti ve temsil tazminatı ödenmez.</t>
  </si>
  <si>
    <t>Ekli (II) sayılı Cetvel kapsamında yer alan kadrolara vekaleten atananlara vekalet görevi nedeniyle birinci fıkrada belirtilen ödemeler yapılmaz. Ekli (II) ve (III) sayılı Cetvellerde yer alan kadrolarda bulunan ve ekli (II) sayılı Cetvel kapsamındaki başka kadrolara veya diğer kadrolara vekaleten atanan personele, birinci fıkrada belirtilen ödemeler dikkate alınmaksızın, 657 sayılı Kanunun 86 ncı maddesi hükümleri çerçevesinde ve 175 inci maddesine göre vekaleten atanılan kadrolar için belirlenmiş olan aylık göstergeleri ve ek göstergeler esas alınarak vekalet aylığı ve anılan Kanunun 152 nci maddesi uyarınca yürürlüğe konulan Bakanlar Kurulu kararının vekalete ilişkin hükümleri uyarınca işgal ettikleri kadrolar ve vekaleten atandıkları kadrolar için belirlenmiş olan zam ve tazminatlarının toplam tutarı esas alınarak zam ve tazminat farkı ödenir.</t>
  </si>
  <si>
    <t>Diğer kanunların bu maddeye aykırı hükümleri uygulanmaz.</t>
  </si>
  <si>
    <t>Bu maddenin yürürlüğe girdiği tarihten sonra;</t>
  </si>
  <si>
    <t>a) Cumhurbaşkanlığı Genel Sekreterliği ve Türkiye Büyük Millet Meclisi Genel Sekreterliği kadro ve pozisyonlarına ilk defa veya yeniden atanacak personel için uygulanacak ek gösterge ve makam tazminatları bu Kanun Hükmünde Kararnameye ekli (IV) ve (V) sayılı Cetvellerde belirlenmiştir. Bunların zam ve tazminatları, hizmet sınıfı, kadro unvan ve derecesi dikkate alınmak kaydıyla 657 sayılı Kanunun 152 nci maddesi uyarınca Bakanlar Kurulu kararıyla aynı hizmet sınıfındaki aynı veya benzer unvanlı kadrolar için belirlenen puan ve oranlar aşılmamak suretiyle ilgisine göre Cumhurbaşkanlığı Genel Sekreterliği ve Türkiye Büyük Millet Meclisi Başkanlık Divanı tarafından belirlenir.</t>
  </si>
  <si>
    <t xml:space="preserve">b) 5018 sayılı Kanuna ekli (III) sayılı Cetvelde sayılan düzenleyici ve denetleyici kurumların kadro ve pozisyonlarına ilk defa veya yeniden atanan kurul başkanı, kurul üyesi ve başkan yardımcısı ile murakıp ve uzman unvanlı meslek personeline, ilgili mevzuatı uyarınca ödenen her türlü maaş, aylık, ücret, ek ücret, prim, zam, tazminat, ikramiye, fazla çalışma ücreti, kâr payı ve her ne ad altında olursa olsun yapılan diğer ödemeler ile sosyal hak ve yardımlar kapsamında yapılan bütün ayni ve nakdi ödemelerin bir aylık toplam net tutarı; kurul başkanı için bakanlık müsteşarı, kurul üyesi için bakanlık müsteşar yardımcısı, başkan yardımcısı için bakanlık genel müdürü, murakıp ve uzman unvanlı meslek personeli için Başbakanlık uzmanlarına mevzuatında kadrosuna bağlı olarak mali haklar ile sosyal hak ve yardımlar kapsamında yapılması öngörülen ödemelerin bir aylık toplam net tutarını geçemez ve bunlar, emeklilik hakları bakımından da emsali olarak belirlenen personel ile denk kabul edilir. </t>
  </si>
  <si>
    <t xml:space="preserve">c) Türk Akreditasyon Kurumu Genel Sekreterliği, Ulusal Bor Araştırma Enstitüsü Başkanlığı, Küçük ve Orta Ölçekli İşletmeleri Geliştirme ve Destekleme İdaresi Başkanlığı, Türk Standardları Enstitüsü Başkanlığı, kalkınma ajansları ve Mesleki Yeterlilik Kurumu kadro ve pozisyonlarına ilk defa veya yeniden atanan genel müdür, genel sekreter, genel müdür yardımcısı ve genel sekreter yardımcısı unvanlı personel ile uzman unvanlı meslek personeline, ilgili mevzuatı uyarınca ödenen her türlü maaş, aylık, ücret, ek ücret, prim, zam, tazminat, ikramiye, fazla çalışma ücreti, kâr payı ve her ne ad altında olursa olsun yapılan diğer ödemeler ile sosyal hak ve yardımlar kapsamında yapılan bütün ayni ve nakdi ödemelerin bir aylık toplam net tutarı; genel müdür ve genel sekreterler için bakanlık genel müdürü, genel müdür yardımcısı ve genel sekreter yardımcıları için bakanlık genel müdür yardımcısı, uzman unvanlı meslek personeli için Başbakanlık uzmanlarına mevzuatında kadrosuna bağlı olarak mali haklar ile sosyal hak ve yardımlar kapsamında yapılması öngörülen ödemelerin bir aylık toplam net tutarını geçemez. </t>
  </si>
  <si>
    <t>ç) (b) ve (c) bentlerinde yer alan idarelerde istihdam edilen personelden anılan bentlerde emsali belirlenmemiş olan personele, ilgili mevzuatı uyarınca ödenen her türlü maaş, aylık, ücret, ek ücret, prim, zam, tazminat, ikramiye, fazla çalışma ücreti, kâr payı ve her ne ad altında olursa olsun yapılan diğer ödemeler ile sosyal hak ve yardımlar kapsamında yapılan bütün ayni ve nakdi ödemelerin bir aylık toplam net tutarı, ilgili kurumun önerisi Devlet Personel Başkanlığının görüşü ve Maliye Bakanlığının teklifi üzerine Bakanlar Kurulunca belirlenecek emsali Devlet memuruna ilgili mevzuatında kadrosuna bağlı olarak mali haklar ile sosyal hak ve yardımlar kapsamında yapılması öngörülen ödemelerin bir aylık toplam net tutarını geçemez. Emsal alınacak memur unvanlarının tespitinde, kadro veya pozisyon unvanları ile ifa ettikleri görevler itibarıyla 657 sayılı Kanuna göre girebilecekleri sınıflardaki aynı veya benzer görevlerin aynı veya benzer kadro, unvan veya derecesi dikkate alınır.</t>
  </si>
  <si>
    <t>d) Milli Güvenlik Kurulu Genel Sekreterliği kadro ve pozisyonlarına ilk defa veya yeniden atanacak personelin zam ve tazminatları hakkında 657 sayılı Kanunun 152 nci maddesi uyarınca yürürlüğe konulan Bakanlar Kurulu kararı hükümleri uygulanır.</t>
  </si>
  <si>
    <t>Diğer mevzuatın bu maddeye aykırı hükümleri uygulanmaz.</t>
  </si>
  <si>
    <t xml:space="preserve">1) 14/1/2012 tarihinden geçerli olmak üzere; </t>
  </si>
  <si>
    <t>a) 9/6/1930 tarihli ve 1700 sayılı Kanunun ek 5 inci maddesinin birinci, ikinci, üçüncü ve dördüncü cümleleri,</t>
  </si>
  <si>
    <t>b) 4/1/1961 tarihli ve 213 sayılı Kanunun ek 13 üncü maddesinin dördüncü fıkrasının (a) bendi, aynı fıkranın “Yetkilidir.” ibaresinden sonra gelen birinci, ikinci, üçüncü ve dördüncü paragrafları ile altıncı fıkrası,</t>
  </si>
  <si>
    <t xml:space="preserve">c) 22/6/1965 tarihli ve 633 sayılı Kanunun ek 1 inci maddesinin son fıkrası, </t>
  </si>
  <si>
    <t>ç) 10/10/1984 tarihli ve 3056 sayılı Kanunun 31 inci maddesi,</t>
  </si>
  <si>
    <t xml:space="preserve">d) 9/1/1985 tarihli ve 3146 sayılı Kanunun 39 uncu maddesinin yedinci fıkrası, </t>
  </si>
  <si>
    <t>e) 9/12/1994 tarihli ve 4059 sayılı Kanunun 7 nci maddesinin (e) bendinin sekizinci cümlesinde yer alan “fazla çalışma ücreti,” ibaresi ile ek 1 inci maddesi,</t>
  </si>
  <si>
    <t>f) 27/10/1999 tarihli ve 4458 sayılı Kanunun 222 nci maddesi,</t>
  </si>
  <si>
    <t>g) 16/4/2003 tarihli ve 4848 sayılı Kanunun 32 nci maddesinin üçüncü ve dördüncü fıkraları,</t>
  </si>
  <si>
    <t>ğ) 25/6/2003 tarihli ve 4904 sayılı Kanunun 15 inci maddesinin sekizinci ve dokuzuncu fıkraları,</t>
  </si>
  <si>
    <t xml:space="preserve">h) 3/3/2004 tarihli ve 5102 sayılı Kanunun 5 inci maddesi, </t>
  </si>
  <si>
    <t>ı) 22/2/2005 tarihli ve 5302 sayılı Kanunun 28 inci maddesinin birinci fıkrasında yer alan “başkanına 14000,” ibaresi ve 63 üncü maddesinin birinci fıkrasının ikinci cümlesi ile aynı maddenin ikinci fıkrası,</t>
  </si>
  <si>
    <t>i) 10/11/2005 tarihli ve 5431 sayılı Kanunun 25 inci maddesinin altıncı fıkrası,</t>
  </si>
  <si>
    <t>j) 16/5/2006 tarihli ve 5502 sayılı Kanunun 28 inci maddesinin ikinci ve dördüncü fıkraları,</t>
  </si>
  <si>
    <t>k) 11/10/2006 tarihli ve 5549 sayılı Kanunun 25 inci maddesinin ikinci fıkrasının (a), (b), (ç), (d) ve (e) bentleri ile üçüncü fıkrası,</t>
  </si>
  <si>
    <t>l) 20/2/2008 tarihli ve 5737 sayılı Kanunun 67 nci maddesinin son fıkrası ile 72 nci maddesinin birinci ve ikinci fıkraları,</t>
  </si>
  <si>
    <t xml:space="preserve">m) 375 sayılı Kanun Hükmünde Kararnamenin ek 2 nci ve ek 3 üncü maddeleri, </t>
  </si>
  <si>
    <t xml:space="preserve">n) 399 sayılı Kanun Hükmünde Kararnamenin 25 inci maddesinin (a) fıkrasının ikinci paragrafı ve aynı maddenin (b) fıkrası, </t>
  </si>
  <si>
    <t>o) 635 sayılı Kanun Hükmünde Kararnamenin 32 nci maddesi,</t>
  </si>
  <si>
    <t>ö) 637 sayılı Kanun Hükmünde Kararnamenin 35 inci maddesinin dördüncü fıkrası,</t>
  </si>
  <si>
    <t>p) 644 sayılı Kanun Hükmünde Kararnamenin geçici 3 üncü maddesinin altıncı fıkrası,</t>
  </si>
  <si>
    <t>r) 645 sayılı Kanun Hükmünde Kararnamenin geçici 3 üncü maddesinin altıncı fıkrası,</t>
  </si>
  <si>
    <t>s) 652 sayılı Kanun Hükmünde Kararnamenin 42 nci maddesinin ikinci, üçüncü ve dördüncü fıkraları,</t>
  </si>
  <si>
    <t>ş) 655 sayılı Kanun Hükmünde Kararnamenin 39 uncu maddesi,</t>
  </si>
  <si>
    <t>t) 663 sayılı Kanun Hükmünde Kararnamenin 28 inci maddesinin dördüncü fıkrasında yer alan “, merkez ve taşra teşkilatında görev yapan diğer personel için %200’ünü” ibaresi,</t>
  </si>
  <si>
    <t>u) Öğretmenler ile Milli Eğitim Bakanlığına bağlı örgün ve yaygın eğitim kurumlarında öğretmen unvanlı kadrolarda görev yapan yöneticiler hariç; Adalet Bakanlığı ve Milli Eğitim Bakanlığı ile diğer kamu idarelerinde görev yapan personele fiilen yapılmayan ders karşılığı ek ders ücreti ödemelerine ilişkin hükümler,</t>
  </si>
  <si>
    <t xml:space="preserve">ü) İlgili mevzuatına göre yılın belirli aylarında personelin aylığı (ek gösterge dahil) veya asgari ücret esas alınmak suretiyle ödenmekte olan ikramiye ödemelerine ilişkin hükümler, </t>
  </si>
  <si>
    <t>2) 31/12/2011 tarihinden geçerli olmak üzere;</t>
  </si>
  <si>
    <t>a) 3/7/1939 tarihli ve 3659 sayılı Kanun,</t>
  </si>
  <si>
    <t>b) 31/8/1956 tarihli ve 6831 sayılı Kanunun 12 nci maddesinin ikinci fıkrası ile 71 inci maddesinin son fıkrası,</t>
  </si>
  <si>
    <t xml:space="preserve">c) 4/1/1961 tarihli ve 213 sayılı Kanunun ek 13 üncü maddesinin dördüncü fıkrasının (b), (c) ve (d) bentleri ile aynı fıkrada yer alan “Maliye Bakanı:” ve “Yetkilidir.” ibareleri, </t>
  </si>
  <si>
    <t>ç) 22/6/1965 tarihli ve 633 sayılı Kanunun 13 üncü maddesinin son fıkrasında yer alan “mesai saatleri dışında yaptırılacak ilave çalışma ücreti ve” ibaresi,</t>
  </si>
  <si>
    <t xml:space="preserve">d) 14/7/1965 tarihli ve 657 sayılı Kanunun 152 nci maddesinin “II- Tazminatlar” kısmının “C) Din Hizmetleri Tazminatı” bölümünün (c) bendi ve aynı kısmın “G) Adalet Hizmetleri Tazminatı” bölümünün birinci fıkrasının (c) bendi, </t>
  </si>
  <si>
    <t>e) 27/7/1967 tarihli ve 926 sayılı Kanunun ek 17 nci maddesinin (C) fıkrası,</t>
  </si>
  <si>
    <t>f) 19/6/1979 tarihli ve 2252 sayılı Kanunun 4 üncü maddesinin ikinci fıkrası,</t>
  </si>
  <si>
    <t>g) 4/11/1981 tarihli ve 2547 sayılı Kanunun 58 inci maddesinin (c) fıkrasının (2) numaralı bendinde yer alan “(döner sermaye işletme müdürlüğü ve döner sermaye saymanlık personeli dahil)” ibaresi,</t>
  </si>
  <si>
    <t>ğ) 20/11/1981 tarihli ve 2560 sayılı Kanunun 6 ncı maddesinin birinci fıkrasının (d) bendinde yer alan “yılda iki maaşı geçmemek üzere verilecek ikramiyelerin miktar ve zamanını belirlemek,” ibaresi,</t>
  </si>
  <si>
    <t>h) 9/7/1982 tarihli ve 2690 sayılı Kanunun ek maddesi,</t>
  </si>
  <si>
    <t>ı) 4/2/1983 tarihli ve 2797 sayılı Kanunun 55 inci maddesinin beşinci ve altıncı fıkraları,</t>
  </si>
  <si>
    <t>i) 17/8/1983 tarihli ve 2879 sayılı Kanunun 4 üncü maddesinin beşinci fıkrası, altıncı fıkrasında yer alan “fazla çalışma için yapılan ödeme dahil,” ibaresi ile yedinci fıkrasında yer alan “fazla çalışma ücreti ve” ibaresi,</t>
  </si>
  <si>
    <t>j) 13/10/1983 tarihli ve 2919 sayılı Kanunun 10 uncu ve ek 2 nci maddeleri,</t>
  </si>
  <si>
    <t>k) 8/1/1986 tarihli ve 3254 sayılı Kanunun 32/D maddesi,</t>
  </si>
  <si>
    <t xml:space="preserve">l) 21/6/1987 tarihli ve 3402 sayılı Kanunun 3 üncü maddesinin son fıkrası ile geçici 9 uncu maddesi, </t>
  </si>
  <si>
    <t>m) 8/5/1991 tarihli ve 3717 sayılı Kanunun 2/A maddesi,</t>
  </si>
  <si>
    <t xml:space="preserve">n) 19/11/1992 tarihli ve 3843 sayılı Kanunun 12 nci maddesinin birinci ve ikinci fıkraları ile üçüncü fıkrasında yer alan “ücretleri ile personele ödenecek fazla çalışma” ibaresi, </t>
  </si>
  <si>
    <t xml:space="preserve">o) 24/11/1994 tarihli ve 4046 sayılı Kanunun 6 ncı maddesinin altıncı fıkrası, </t>
  </si>
  <si>
    <t>ö) 25/4/2001 tarihli ve 4652 sayılı Kanunun 29 uncu maddesinin beşinci fıkrası,</t>
  </si>
  <si>
    <t>p) 25/6/2003 tarihli ve 4904 sayılı Kanunun 15 inci maddesinin yedinci fıkrası,</t>
  </si>
  <si>
    <t>r) 23/7/2003 tarihli ve 4954 sayılı Kanunun 37 nci maddesinin son fıkrası,</t>
  </si>
  <si>
    <t>s) 19/11/2003 tarihli ve 5003 sayılı Kanunun 6 ncı maddesinin ikinci, üçüncü ve dördüncü fıkraları,</t>
  </si>
  <si>
    <t>ş) 14/7/2004 tarihli ve 5217 sayılı Kanunun geçici 4 üncü maddesi,</t>
  </si>
  <si>
    <t>t) 10/11/2005 tarihli ve 5429 sayılı Kanunun 45 inci maddesinin son fıkrası,</t>
  </si>
  <si>
    <t>u) 25/4/2006 tarihli ve 5490 sayılı Kanunun 66 ncı maddesi,</t>
  </si>
  <si>
    <t>ü) 16/5/2006 tarihli ve 5502 sayılı Kanunun 28 inci maddesinin beşinci fıkrası,</t>
  </si>
  <si>
    <t>v) 17/2/2010 tarihli ve 5952 sayılı Kanunun 12 nci maddesinin üçüncü fıkrası,</t>
  </si>
  <si>
    <t>y) 7/7/2010 tarihli ve 6004 sayılı Kanunun geçici 6 ncı maddesinin dördüncü fıkrası,</t>
  </si>
  <si>
    <t>z) 3/12/2010 tarihli ve 6085 sayılı Kanunun 63 üncü maddesinin sekizinci fıkrası,</t>
  </si>
  <si>
    <t>aa) 17/2/2011 tarihli ve 6114 sayılı Kanunun 6 ncı maddesinin sekizinci fıkrasının ikinci ve üçüncü cümleleri,</t>
  </si>
  <si>
    <t>bb) 320 sayılı Kanun Hükmünde Kararnamenin 44 üncü maddesinin ikinci fıkrası ile 47 nci maddesinin ikinci fıkrası,</t>
  </si>
  <si>
    <t>cc) 375 sayılı Kanun Hükmünde Kararnamenin 3 üncü maddesi,</t>
  </si>
  <si>
    <t>çç) 547 sayılı Kanun Hükmünde Kararnamenin 20 nci ve geçici 1 inci maddeleri,</t>
  </si>
  <si>
    <t xml:space="preserve">dd) 659 sayılı Kanun Hükmünde Kararnamenin 14 üncü maddesinin ikinci fıkrasının (a) bendinde yer alan “, hukuk biriminde görev yapan diğer personele %5’i” ibaresi ile aynı fıkranın (b) bendinde yer alan “, diğerleri için (6.000) gösterge” ibaresi, </t>
  </si>
  <si>
    <t>3) 14/1/2012 tarihinden geçerli olmak üzere;</t>
  </si>
  <si>
    <t xml:space="preserve">a) 22/6/1965 tarihli ve 633 sayılı Kanunun ek 1 inci maddesinin birinci ve ikinci fıkraları ile aynı Kanunun eki (II) sayılı Cetvel, </t>
  </si>
  <si>
    <t xml:space="preserve">b) 14/4/1982 tarihli ve 2659 sayılı Kanunun 26 ncı maddesinin son fıkrası, </t>
  </si>
  <si>
    <t xml:space="preserve">c) 9/7/1982 tarihli ve 2690 sayılı Kanunun 12 nci maddesinin üçüncü ve dördüncü fıkraları, </t>
  </si>
  <si>
    <t xml:space="preserve">ç) 11/8/1983 tarihli ve 2876 sayılı Kanunun 97 nci maddesinin birinci fıkrasının (c) bendinin (1) numaralı alt bendinin birinci, ikinci ve üçüncü paragrafları, </t>
  </si>
  <si>
    <t xml:space="preserve">d) 13/10/1983 tarihli ve 2919 sayılı Kanunun ek 1 inci maddesinin birinci ve dördüncü fıkraları, </t>
  </si>
  <si>
    <t xml:space="preserve">e) 2/3/1984 tarihli ve 2985 sayılı Kanunun ek 3 üncü maddesinin dördüncü fıkrası ile beşinci fıkrasında yer alan “ve dördüncü” ibaresi, </t>
  </si>
  <si>
    <t>f) 10/10/1984 tarihli ve 3056 sayılı Kanunun 35 inci maddesinin birinci fıkrasında yer alan “, Müsteşar Yardımcısı, Başbakan Başmüşaviri, Başbakan Müşaviri ve Başbakanlık Müşavirleri, Teftiş Kurulu Başkanı, Bakanlar Kurulu Sekreteri, Hukuk Müşaviri, Basın Müşaviri, Genel Müdür ve Genel Müdür Yardımcıları, Başkan ve Yardımcıları, Daire Başkanı ve Yardımcıları ile Uzman, Daire Tabibi, Diş Tabibi, konusuyla ilgili en az 4 yıllık yükseköğrenim görmüş olmak kaydıyla çözümleyici ve programcı, Uzman ve Uzman Yardımcısı” ibaresi ile aynı maddenin ikinci ve üçüncü fıkraları,</t>
  </si>
  <si>
    <t xml:space="preserve">g) 7/11/1985 tarihli ve 3238 sayılı Kanunun 8 inci maddesinin ikinci fıkrası ile dördüncü fıkrasında yer alan “İkinci ve” ibaresi, </t>
  </si>
  <si>
    <t>ğ) 8/1/1986 tarihli ve 3254 sayılı Kanunun 32/B maddesi,</t>
  </si>
  <si>
    <t xml:space="preserve">h) 21/5/1986 tarihli ve 3289 sayılı Kanunun ek 6 ncı maddesi, </t>
  </si>
  <si>
    <t>ı) 24/11/1994 tarihli ve 4046 sayılı Kanunun 6 ncı maddesinin ikinci fıkrası,</t>
  </si>
  <si>
    <t>i) 9/12/1994 tarihli ve 4059 sayılı Kanunun 7 nci maddesinin (e) bendinin birinci ve yedinci cümleleri ile aynı Kanunun eki (I) sayılı Cetvel,</t>
  </si>
  <si>
    <t>j) 5/4/2001 tarihli ve 4636 sayılı Kanunun 10 uncu maddesinin beşinci fıkrası,</t>
  </si>
  <si>
    <t xml:space="preserve">k) 6/11/2003 tarihli ve 5000 sayılı Kanunun 26 ncı maddesinin birinci fıkrasının birinci cümlesi, </t>
  </si>
  <si>
    <t>l) 10/11/2005 tarihli ve 5429 sayılı Kanunun 45 inci maddesinin birinci ve ikinci fıkraları ile aynı Kanunun eki (III) sayılı Cetvel,</t>
  </si>
  <si>
    <t>m) 20/2/2008 tarihli ve 5737 sayılı Kanunun 67 nci maddesinin ikinci ve üçüncü fıkraları ile aynı Kanunun eki (III) sayılı Cetvel,</t>
  </si>
  <si>
    <t xml:space="preserve">n) 17/2/2010 tarihli ve 5952 sayılı Kanunun 13 üncü maddesinin birinci fıkrası, üçüncü fıkrasının birinci cümlesi ile dördüncü fıkrası ile aynı Kanunun eki (2) sayılı Cetvel, </t>
  </si>
  <si>
    <t xml:space="preserve">o) 24/3/2010 tarihli ve 5978 sayılı Kanunun 21 inci maddesinin ikinci fıkrası ile aynı Kanunun eki (1) sayılı Cetvel, </t>
  </si>
  <si>
    <t>ö) 25/11/2010 tarihli ve 6083 sayılı Kanunun 6 ncı maddesinin dördüncü ve beşinci fıkraları ile aynı Kanunun eki (II) sayılı Cetvel,</t>
  </si>
  <si>
    <t>p) 28/12/2010 tarihli ve 6093 sayılı Kanunun 7 nci maddesinin birinci fıkrasının ikinci cümlesi ile ikinci fıkrası ve aynı Kanunun eki (V) sayılı Cetvel,</t>
  </si>
  <si>
    <t xml:space="preserve">r) 17/2/2011 tarihli ve 6114 sayılı Kanunun 6 ncı maddesinin dördüncü fıkrası ile aynı Kanunun eki (1) sayılı Cetvel, </t>
  </si>
  <si>
    <t>s) 217 sayılı Kanun Hükmünde Kararnamenin ek 1 inci maddesi,</t>
  </si>
  <si>
    <t>ş) 231 sayılı Kanun Hükmünde Kararnamenin ek 1 inci maddesi,</t>
  </si>
  <si>
    <t>t) 367 sayılı Kanun Hükmünde Kararnamenin 4 üncü maddesi,</t>
  </si>
  <si>
    <t>u) 388 sayılı Kanun Hükmünde Kararnamenin 6 ncı maddesinin birinci fıkrası,</t>
  </si>
  <si>
    <t xml:space="preserve">ü) 633 sayılı Kanun Hükmünde Kararnamenin 32 nci maddesi ve geçici 9 uncu maddesinin sekizinci fıkrası ile aynı Kanun Hükmünde Kararnamenin eki (II) sayılı Cetvel, </t>
  </si>
  <si>
    <t xml:space="preserve">v) 634 sayılı Kanun Hükmünde Kararnamenin 38 inci maddesinin birinci, ikinci ve üçüncü fıkraları ile aynı Kanun Hükmünde Kararnamenin eki (II) sayılı Cetvel, </t>
  </si>
  <si>
    <t>y) 637 sayılı Kanun Hükmünde Kararnamenin 35 inci maddesinin birinci, ikinci ve üçüncü fıkraları, geçici 3 üncü maddesinin onuncu fıkrası ile aynı Kanun Hükmünde Kararnamenin eki (II) sayılı Cetvel,</t>
  </si>
  <si>
    <t xml:space="preserve">z) 641 sayılı Kanun Hükmünde Kararnamenin 37 nci maddesinin birinci fıkrası ve geçici 3 üncü maddesinin üçüncü fıkrası ile aynı Kanun Hükmünde Kararnamenin eki (II) sayılı Cetvel, </t>
  </si>
  <si>
    <t>aa) 642 sayılı Kanun Hükmünde Kararnamenin 5 inci maddesinin ikinci fıkrası ile dördüncü fıkrasında yer alan “İkinci ve” ibaresi,</t>
  </si>
  <si>
    <t>bb) 652 sayılı Kanun Hükmünde Kararnamenin 42 nci maddesinin birinci fıkrası ile aynı Kanun Hükmünde Kararnamenin eki (II) sayılı Cetvel,</t>
  </si>
  <si>
    <t xml:space="preserve">cc) 656 sayılı Kanun Hükmünde Kararnamenin 16 ncı maddesinin altıncı fıkrası ile aynı Kanun Hükmünde Kararnamenin eki (II) sayılı Cetvel, </t>
  </si>
  <si>
    <t>yürürlükten kaldırılmıştır.</t>
  </si>
  <si>
    <t>Belirli bir sürede bitirilmesi gereken zorunlu ve istisnai işlerden, her defasında ayrıca Bakanlar Kurulu kararı alınması kaydıyla, Bakanlar Kurulunca uygun görülenlerde çalışan 657 sayılı Kanuna tabi personele, ayda elli saati ve bir yılda altı ayı geçmemek üzere yılı merkezi yönetim bütçe kanununda belirlenen fazla çalışma saat ücretinin beş katını aşmamak kaydıyla ilgili kurumun önerisi ve Maliye Bakanlığının teklifi üzerine Bakanlar Kurulunca belirlenen çalışma süresi, miktar, usul ve esaslar dahilinde fazla çalışma ücreti ödenebilir. Bu ödeme damga vergisi hariç herhangi bir vergiye tabi tutulmaz. Diğer mevzuat hükümleri çerçevesinde yaptıkları fazla çalışma karşılığında herhangi bir ad altında ödeme yapılan personele bu madde uyarınca ayrıca fazla çalışma ücreti ödenmez.</t>
  </si>
  <si>
    <t>Cumhurbaşkanı, Türkiye Büyük Millet Meclisi Başkanı ve Başbakanın yakın koruma ve makam hizmetlerinde görev yapan personele en yüksek Devlet memuru aylığının %200’ünü geçmemek üzere ilave ek ödeme yapılabilir. Sözkonusu personele yapılacak ek ödeme oranını belirlemeye ilgisine göre Cumhurbaşkanı, Türkiye Büyük Millet Meclisi Başkanı ve Başbakan yetkilidir. Bunlara, görevlendirilmelerinden dolayı mevzuatı uyarınca da herhangi bir ad altında ödeme yapılması halinde, bu ödemelerden yalnızca biri ödenir. Bu ödeme damga vergisi hariç herhangi bir vergiye tabi tutulmaz.</t>
  </si>
  <si>
    <t>Bu maddenin uygulanmasından doğacak tereddÜtleri gidermeye ve her türlü düzenlemeleri yapmaya Dışişleri Bakanlığı ile İçişleri Bakanlığı'nın görüşlerini almak suretiyle Maliye ve Gümrük Bakanlığı yetkilidir.</t>
  </si>
  <si>
    <t xml:space="preserve">Geçici Madde 6 – (Mülga: 2/12/1993 - 3920/2 md.) </t>
  </si>
  <si>
    <t>Geçici Madde 7 – (Ek: 5/7/1991 - KHK - 433/14 md.; İptal: Ana.Mah'nin 5/5/1992 tarih ve E. 1991/33, K. 1992/32 sayılı Kararı ile.)</t>
  </si>
  <si>
    <t>Geçici Madde 8 — (Ek: 21/4/2005 - 5335/25 md.)</t>
  </si>
  <si>
    <t>Ek 1 inci maddenin birinci fıkrasına göre çıkarılacak yönetmelik yürürlüğe girinceye kadar, 1.12.1995 tarihli ve 95/7621 sayılı Bakanlar Kurulu Kararı ekinde yürürlüğe konulan Kamu Kurum ve Kuruluşlarınca Ödenecek Telif ve İşlenme Ücretleri Hakkında Yönetmeliğin uygulanmasına devam olunur.</t>
  </si>
  <si>
    <t>Ek 1 inci maddenin dördüncü fıkrası gereğince çıkarılacak yönetmelikler yürürlüğe girinceye kadar, mevcut yönetmeliklerin uygulanmasına devam olunur.</t>
  </si>
  <si>
    <t>Geçici Madde 9 — (Ek: 21/3/2006 - 5473/2 md.; Mülga: 17/2/2011-6114/11 md.)</t>
  </si>
  <si>
    <t xml:space="preserve">Bu Kanun Hükmünde Kararnamenin; </t>
  </si>
  <si>
    <t>a) Ek 11 inci maddesi kapsamında yer alan kurumların kadro veya pozisyonlarındaki mevcut personelin mali ve sosyal haklarına,</t>
  </si>
  <si>
    <t>Ek 12 nci maddenin birinci fıkrasıyla 14/1/2012 tarihi itibarıyla yürürlükten kaldırılan hükümler ile 209 sayılı Kanunun 5 inci maddesi ve 4458 sayılı Kanunun 221 inci maddesinin bu Kanun Hükmünde Kararnameyle değiştirilmeden önceki hükümleri uyarınca yapılan ödemelerden yararlananlara (Sağlık Bakanlığı taşra teşkilatı, Türkiye Halk Sağlığı Kurumu Laboratuvarları ve Türkiye Kamu Hastaneleri taşra teşkilatı personeli ile 4458 sayılı Kanunun bu Kanun Hükmünde Kararnameyle değişik 221 inci maddesi ve 5502 sayılı Kanunun 28 inci maddesinin sekizinci fıkrası kapsamında bulunanlar hariç), anılan tarih itibarıyla sözkonusu hükümler uyarınca hesaplanacak aylık net ödeme (ikramiyelerin bir aya isabet eden tutarı dahil) tutarının (bu tutar sabit bir değer olarak esas alınır); ek 9 uncu madde uyarınca bulundukları kadro ve görev unvanları için ödenen aylık ek ödeme net tutarından fazla olması halinde aradaki fark, herhangi bir vergi ve kesintiye tabi tutulmaksızın ve bu fark giderilinceye kadar ayrıca tazminat olarak ödenir. Bulundukları kadro veya pozisyon unvanlarında isteğe bağlı olarak değişiklik olanlar ile kendi istekleriyle başka kurumlara atananlara fark tazminatı ödenmesine son verilir.</t>
  </si>
  <si>
    <t>Ekli (II) ve (III) sayılı Cetvellerde yer alanlara, bu maddenin yürürlüğe girdiği tarihten önce yürürlükte bulunan mevzuat hükümlerine göre fiili çalışmaya bağlı ödemeler hariç olmak üzere kadrolarına bağlı olarak mali haklar kapsamında fiilen yapılan her türlü ödemeler (ikramiyelerin bir aya isabet eden tutarı dahil) toplamı net tutarının; ek 10 uncu maddeye göre sözkonusu kadro unvanları için öngörülen ücret ve tazminat toplamı net tutarından fazla olması halinde, bu maddenin yürürlüğe girdiği tarihte anılan kadro unvanlarında bulunanlar hakkında (yardımcı veya stajyerlikten uzman, müfettiş, denetçi, kontrolör, stenograf ve aktüer unvanlı kadrolara atananlar ile bu mesleklere mensup olup idari görevlerde bulunanlardan anılan kadrolara yeniden atananlar dahil), bu maddenin yürürlüğe girdiği tarihten önce yürürlükte bulunan mevzuat hükümlerinin geçici 10 uncu ve geçici 15 inci madde hükümleri dikkate alınmak suretiyle uygulanmasına devam olunur. Uygulanmasına devam olunan mevzuat hükümlerine göre mali haklar kapsamında fiilen yapılması öngörülen her türlü ödemeler toplamı net tutarının, herhangi bir nedenle ek 10 uncu maddeye göre ödenmesi öngörülen ücret ve tazminat toplamı net tutarına eşit duruma geldiği veya daha düşük kaldığı tarihten itibaren bunların mali hakları ek 10 uncu maddeye göre belirlenir. Bu maddenin yürürlüğe girdiği tarihten sonra ekli (II) ve (III) sayılı Cetvellerde yer alan unvanlı kadrolara atananların mali hakları ek 10 uncu maddeye göre ödenir.</t>
  </si>
  <si>
    <t>Ek 12 nci maddeyle yürürlükten kaldırılan hükümler uyarınca ikramiye ödenen personelden ekli (II) ve (III) sayılı Cetvellerde yer alan ve 15/1/2012 tarihinden itibaren anılan Cetvellere göre ödeme yapılacaklara, mevzuatında Ocak ayında ödenmesi öngörülen ikramiyeler ödenmez.</t>
  </si>
  <si>
    <t>Cumhurbaşkanlığı Genel Sekreterliği, Türkiye Büyük Millet Meclisi Genel Sekreterliği ve Milli Güvenlik Kurulu Genel Sekreterliğine ait kadro veya pozisyonlarda bu maddenin yürürlüğe girdiği tarihte istihdam edilen personelin mali ve sosyal hakları hakkında bu maddenin yürürlüğe girdiği tarihten önce yürürlükte bulunan mevzuat hükümlerinin, geçici 10 uncu madde hükümleri dikkate alınmak suretiyle anılan kurumlarda istihdam edildikleri sürece uygulanmasına devam olunur.</t>
  </si>
  <si>
    <t>a) Ek 12 nci maddenin ikinci fıkrasıyla 31/12/2011 tarihi itibarıyla yürürlükten kaldırılan; 633 sayılı Kanunun 13 üncü maddesinin son fıkrası, 6831 sayılı Kanunun 71 inci maddesinin son fıkrası, 213 sayılı Kanunun ek 13 üncü maddesinin dördüncü fıkrasının (b), (c) ve (d) bentleri, 3402 sayılı Kanunun geçici 9 uncu maddesi, 3717 sayılı Kanunun 2/A maddesi, 3843 sayılı Kanunun 12 nci maddesinin birinci ve ikinci fıkraları, 4904 sayılı Kanunun 15 inci maddesinin yedinci fıkrası, 5003 sayılı Kanunun 6 ncı maddesinin ikinci, üçüncü ve dördüncü fıkraları, 5490 sayılı Kanunun 66 ncı maddesi, 5502 sayılı Kanunun 28 inci maddesinin beşinci fıkrası ve 6085 sayılı Kanunun 63 üncü maddesinin sekizinci fıkrasında yer alan hükümlerin uygulanmasına 31/12/2012 tarihine kadar devam olunur. Bu süre içinde 6831 sayılı Kanunun 71 inci maddesine göre Orman Genel Müdürlüğü merkez teşkilatı personeli için öngörülen fazla çalışma ücretinin yarısı ödenir. Ek 10 uncu madde kapsamında ödeme yapılanlara bu ödemeler yapılmaz.</t>
  </si>
  <si>
    <t>b) Ek 12 nci maddenin ikinci fıkrasıyla 31/12/2011 tarihi itibarıyla yürürlükten kaldırılan 5952 sayılı Kanunun 12 nci maddesinin üçüncü fıkrası ile 6114 sayılı Kanunun 6 ncı maddesinin sekizinci fıkrasının ikinci ve üçüncü cümlelerinde yer alan hükümlerin, ek 12 nci maddenin ikinci fıkrasının yürürlüğe girdiği tarihte anılan hükümler uyarınca yapılan ödemelerden yararlanan personel bakımından uygulanmasına 31/12/2014 tarihine kadar devam olunur.</t>
  </si>
  <si>
    <t>Ek 10 uncu madde kapsamında yer alan kamu idarelerinde, bu maddenin yürürlüğe girdiği tarihte kadro karşılığı sözleşmeli olarak istihdam edilen personelden (aylıksız izinde bulunanlar dahil) ekli (II) ve (III) sayılı Cetvellerde unvanları yer almayan personelin malî ve sosyal hakları hakkında, aynı kadrolarda bulundukları sürece bu maddenin yürürlüğe girdiği tarihten önce yürürlükte olan mevzuat hükümlerinin uygulanmasına devam olunur.</t>
  </si>
  <si>
    <t>1/3/2006 tarihinden sonra kurulan üniversitelerin 2547 sayılı Kanunun 58 inci maddesinin (c) ve (f) fıkraları kapsamındaki personeline döner sermaye gelirlerinden aynı maddeye göre ek ödeme yapılmaya başlanıncaya kadar, ek 9 uncu madde uyarınca ek ödeme yapılır.</t>
  </si>
  <si>
    <t xml:space="preserve">Yeni bir düzenleme yapılıncaya kadar, Milli İstihbarat Teşkilatı Müsteşarlığı merkez teşkilatı kadrolarında 657 sayılı Kanunun 4 üncü maddesinin (A) fıkrasına göre çalışmakta olan personele (kadro karşılığı sözleşmeli personel dahil) ek 12 nci maddenin birinci fıkrasıyla 14/1/2012 tarihi itibarıyla yürürlükten kaldırılan 3056 sayılı Kanunun 31 inci maddesinde yer alan fazla mesai ücretine ilişkin hükümlerin aynı usul ve esaslar çerçevesinde uygulanmasına devam olunur. </t>
  </si>
  <si>
    <t xml:space="preserve">Küçük ve Orta Ölçekli Mükellefler Grup Başkanlıklarında görev yapan vergi müfettişi ve yardımcılarına yapılan ek ödeme hakkında diğer grup başkanlıklarında görev yapan vergi müfettişi ve yardımcıları için tespit edilmiş bulunan ek ödeme oranları esas alınır. </t>
  </si>
  <si>
    <t>15/1/2012 tarihine kadar, ek 9 uncu madde kapsamında bulunanlardan ekli (I) sayılı Cetvelde yer almayanları anılan Cetvelin ilgili sıralarına eklemeye, ilgili kurumun önerisi ve Maliye Bakanlığının teklifi üzerine Bakanlar Kurulu yetkilidir.</t>
  </si>
  <si>
    <t>Bu Kanun Hükmünde Kararnamenin geçici maddelerinin uygulamasına ilişkin olarak ortaya çıkabilecek tereddütleri gidermeye ve uygulamayı yönlendirmeye Maliye Bakanlığı yetkilidir.</t>
  </si>
  <si>
    <t>a) 29/11/1984 tarih ve 243 sayılı Kanun Hükmünde Kararnamenin Değişik Geçici 1 inci maddesi,</t>
  </si>
  <si>
    <t>b) 657 sayılı Devlet Memurları Kanununun 213 üncü maddesi,</t>
  </si>
  <si>
    <t>c) 5434 sayılı T.C. Emekli Sandığı Kanununun Ek 40 ıncı maddesi.</t>
  </si>
  <si>
    <t xml:space="preserve">27/6/1989 TARİH VE 375 SAYILI KHK'YE İŞLENEMEYEN HÜKÜMLER </t>
  </si>
  <si>
    <t xml:space="preserve">1. 2/12/1993 tarih ve 3920 sayılı Kanunun geçici maddeleri: </t>
  </si>
  <si>
    <t>(I) SAYILI CETVEL</t>
  </si>
  <si>
    <t>EK ÖDEME ORANLARI</t>
  </si>
  <si>
    <t>Kadro ve Görev Unvanı</t>
  </si>
  <si>
    <t>1) 1-2 dereceden aylık alanlar</t>
  </si>
  <si>
    <t>2) 3-4 dereceden aylık alanlar</t>
  </si>
  <si>
    <t>3) Diğer derecelerden aylık alanlar</t>
  </si>
  <si>
    <t>3) 5-7 dereceden aylık alanlar</t>
  </si>
  <si>
    <t>4) Diğer derecelerden aylık alanlar</t>
  </si>
  <si>
    <t xml:space="preserve">a) Öğretmen kadrosunda (örgün ve yaygın eğitim kurumlarındaki öğretmen unvanlı kadrolardaki yöneticiler dâhil) bulunanlardan; </t>
  </si>
  <si>
    <t>a) Ek ödeme oranları 1 nolu grupta düzenlenenler hariç, bu sınıfta yer alan kadrolarda bulunanlardan;</t>
  </si>
  <si>
    <t>a) Vaiz ve eğitim görevlisi kadrolarında bulunanlardan;</t>
  </si>
  <si>
    <t>b) Diğer kadrolarda bulunanlardan;</t>
  </si>
  <si>
    <t>a) Müsteşar</t>
  </si>
  <si>
    <t>b) Kurul Başkanı, Müsteşar Yardımcısı, I.Hukuk Müşaviri, Genel Müdür, Strateji Geliştirme Başkanı ile bu görevleri yürüten merkezde görevli Valiler</t>
  </si>
  <si>
    <t>c) Merkezde görevli diğer Valiler</t>
  </si>
  <si>
    <t>ç) (a), (b) ve (c) sıralarında sayılanlar dışında kadroları merkez teşkilatında bulunanlardan (Mülkiye Müfettişleri Dahil);</t>
  </si>
  <si>
    <t>1) Birinci sınıf olup 1 inci derecenin dördüncü kademesinden aylık alanlar</t>
  </si>
  <si>
    <t>2) Birinci sınıf olup 1 inci derecenin diğer kademelerinden aylık alanlar</t>
  </si>
  <si>
    <t>3) 1 inci derecenin dördüncü kademesinden aylık alanlar</t>
  </si>
  <si>
    <t>4) 1 inci derecenin diğer kademelerinden aylık alanlar</t>
  </si>
  <si>
    <t>5) 2 nci dereceden aylık alanlar</t>
  </si>
  <si>
    <t>6) 3 üncü dereceden aylık alanlar</t>
  </si>
  <si>
    <t>7) 4 üncü dereceden aylık alanlar</t>
  </si>
  <si>
    <t>8) 5 inci dereceden aylık alanlar</t>
  </si>
  <si>
    <t>d) Vali Yardımcısı ve Kaymakamlardan;</t>
  </si>
  <si>
    <t>9) 6 ncı dereceden aylık alanlar</t>
  </si>
  <si>
    <t>10) 7 nci dereceden aylık alanlar</t>
  </si>
  <si>
    <t>e) Hukuk işleri müdürlerinden;</t>
  </si>
  <si>
    <t>f) Kaymakam adayı</t>
  </si>
  <si>
    <t>a) Birinci Sınıf Emniyet Müdürleri</t>
  </si>
  <si>
    <t>b) İkinci Sınıf Emniyet Müdürleri</t>
  </si>
  <si>
    <t>c) Üçüncü Sınıf Emniyet Müdürleri</t>
  </si>
  <si>
    <t>ç) Dördüncü Sınıf Emniyet Müdürleri</t>
  </si>
  <si>
    <t>d) Emniyet Amiri kadrolarında bulunanlar</t>
  </si>
  <si>
    <t>e) Başkomiser kadrolarında bulunanlar</t>
  </si>
  <si>
    <t>f) Komiser kadrolarında bulunanlar</t>
  </si>
  <si>
    <t>g) Komiser yardımcısı kadrolarında bulunanlar</t>
  </si>
  <si>
    <t>ğ) Polis Memuru kadrolarında bulunanlardan;</t>
  </si>
  <si>
    <t>h) Diğer kadrolarda bulunanlardan;</t>
  </si>
  <si>
    <t>1) 1-4 dereceden aylık alanlar</t>
  </si>
  <si>
    <t>2) 5-7 dereceden aylık alanlar</t>
  </si>
  <si>
    <t>a) Bu sınıfta yer alan kadrolarda bulunanlardan;</t>
  </si>
  <si>
    <t>a) Genelkurmay Başkanı</t>
  </si>
  <si>
    <t>b) Kuvvet Komutanları ve Jandarma Genel Komutanı</t>
  </si>
  <si>
    <t>c) Orgeneral ve Oramiral</t>
  </si>
  <si>
    <t>ç) Korgeneral ve Koramiral</t>
  </si>
  <si>
    <t>d) Tümgeneral ve Tümamiral</t>
  </si>
  <si>
    <t>e) Tuğgeneral ve Tuğamiral</t>
  </si>
  <si>
    <t>f) Kıdemli Albay</t>
  </si>
  <si>
    <t>g) Albay</t>
  </si>
  <si>
    <t>ğ) Yarbay</t>
  </si>
  <si>
    <t>h) Kıdemli Binbaşı</t>
  </si>
  <si>
    <t>ı) Binbaşı</t>
  </si>
  <si>
    <t>i) Kıdemli Yüzbaşı</t>
  </si>
  <si>
    <t>j) Yüzbaşı</t>
  </si>
  <si>
    <t>k) Kıdemli Üsteğmen</t>
  </si>
  <si>
    <t>l) Üsteğmen</t>
  </si>
  <si>
    <t>m) Teğmen</t>
  </si>
  <si>
    <t>n) Asteğmen</t>
  </si>
  <si>
    <t>a) II.Kad.Kd.Bçvş.</t>
  </si>
  <si>
    <t>b) Kad.Kd.Bçvş.</t>
  </si>
  <si>
    <t>c) Kd.Bçvş.</t>
  </si>
  <si>
    <t>ç) Kad.Bçvş.</t>
  </si>
  <si>
    <t>d) Bçvş.</t>
  </si>
  <si>
    <t>e) Kd.Üstçvş.</t>
  </si>
  <si>
    <t>f) Üstçvş</t>
  </si>
  <si>
    <t>g) Kd.Çvş.</t>
  </si>
  <si>
    <t>ğ) Çvş.</t>
  </si>
  <si>
    <t>a) VIII.Kad.Çvş.</t>
  </si>
  <si>
    <t>b) VII.Kad.Çvş.</t>
  </si>
  <si>
    <t>c) VI.Kad.Çvş.</t>
  </si>
  <si>
    <t>ç) V.Kad.Çvş.</t>
  </si>
  <si>
    <t>d) IV.Kad.Çvş.</t>
  </si>
  <si>
    <t>e) III.Kad.Çvş.</t>
  </si>
  <si>
    <t>f) II.Kad.Çvş.</t>
  </si>
  <si>
    <t>g) I.Kad.Çvş.</t>
  </si>
  <si>
    <t>a) Uzman Çavuş</t>
  </si>
  <si>
    <t>b) Uzman Onbaşı</t>
  </si>
  <si>
    <t>C- Aylıklarını 2914 sayılı Yükseköğretim Personel Kanununa Göre Alanlar:</t>
  </si>
  <si>
    <t>1- Profesörlerden Rektör, Rektör Yardımcısı ve Dekan olanlar</t>
  </si>
  <si>
    <t>3- Profesör kadrosunda bulunanlar (Diğer)</t>
  </si>
  <si>
    <t>4- Doçent kadrosunda bulunanlar (Kazanılmış hak aylığı birinci derecede olan)</t>
  </si>
  <si>
    <t>5- Doçent kadrosunda bulunanlar (Diğer)</t>
  </si>
  <si>
    <t>a) 1-2 dereceden aylık alanlar</t>
  </si>
  <si>
    <t>b) 3-4 dereceden aylık alanlar</t>
  </si>
  <si>
    <t>c) Diğer derecelerden aylık alanlar</t>
  </si>
  <si>
    <t>Ç- 399 sayılı Kanun Hükmünde Kararname eki (II) sayılı cetvele dahil pozisyonlarda istihdam edilen sözleşmeli personelden (527 sayılı Kanun Hükmünde Kararnamenin 31 inci maddesine göre ücretleri belirlenen sözleşmeli personel dahil);</t>
  </si>
  <si>
    <t>1- Grup başmühendisi, başmühendis, başmimar, mühendis, mimar, veteriner, şehir plancısı, müdür yardımcısı, teknik şef, atölye şefi, başeksper, eksper, teknik amir, teknik uzman, başkontrolör, kontrolör, baştabip, baştabip yardımcısı, diş tabibi, tabip, uzman tabip, uzman (Tıpta Uzmanlık mevzuatında belirtilen dallarda bu ilgili mevzuat hükümlerine göre uzmanlık belgesi alanlar), başuzman (Sümer Holding) ve şube müdürü (Sümer Holding) pozisyonlarında bulunanlar</t>
  </si>
  <si>
    <t>2- Uzman, amir, ajans amiri, koruma güvenlik amiri, şef, koruma güvenlik şefi, koruma güvenlik grup şefi, itfaiye şefi, gar şefi, istasyon şefi, şeftren pozisyonlarında bulunanlar</t>
  </si>
  <si>
    <t>3- Sağlık teknisyen yardımcısı pozisyonlarında bulunanlar</t>
  </si>
  <si>
    <t>4- Diyetisyen ve tekniker pozisyonlarında bulunanlar</t>
  </si>
  <si>
    <t>5- Teknik ressam, teknisyen, laborant, makinist (TCDD), makinist, makinist yardımcısı (TCDD), başteknisyen, konstrüktör, revizör ve sürveyan pozisyonlarında bulunanlar</t>
  </si>
  <si>
    <t>6- Diğer pozisyon unvanlarında bulunanlar</t>
  </si>
  <si>
    <t>(II) SAYILI CETVEL</t>
  </si>
  <si>
    <t>(Ek 10 uncu Maddenin Birinci Fıkrasının (a) ve (b) Bentleri Kapsamında Yer Alan Personelin Ücret ve Tazminat Gösterge Cetveli)</t>
  </si>
  <si>
    <t>Sıra No</t>
  </si>
  <si>
    <t>Kadro Unvanı</t>
  </si>
  <si>
    <t>Ücret Göstergesi</t>
  </si>
  <si>
    <t>Cumhurbaşkanlığı Genel Sekreteri, Diyanet İşleri Başkanı, Türkiye Büyük Millet Meclisi Genel Sekreteri</t>
  </si>
  <si>
    <t xml:space="preserve">Bakanlık ve bağlı kuruluş Müsteşarı, Devlet Denetleme Kurulu Başkanı, İl Valisi, Milli Güvenlik Kurulu Genel Sekreteri, Özelleştirme İdaresi Başkanı </t>
  </si>
  <si>
    <t xml:space="preserve">Başbakanlık Teftiş Kurulu Başkanı, Cumhurbaşkanlığı Genel Sekreter Yardımcısı, Devlet Personel Başkanı, Gelir İdaresi Başkanı, Sosyal Güvenlik Kurumu Başkanı, Talim ve Terbiye Kurulu Başkanı, Toplu Konut İdaresi Başkanı, Türkiye Büyük Millet Meclisi Genel Sekreter Yardımcısı, Türkiye İstatistik Kurumu Başkanı </t>
  </si>
  <si>
    <t>Afet ve Acil Durum Yönetimi Başkanı, Bakanlık Denetim Hizmetleri Başkanı, Bakanlık merkez teşkilatına dahil kurul başkanları, Bakanlık Rehberlik ve Denetim Başkanı, Bakanlık ve Sosyal Güvenlik Kurumu ile Diyanet İşleri Başkanlığı Rehberlik ve Teftiş Başkanları, Başbakan Başmüşaviri, Cumhurbaşkanı Başdanışmanı, Cumhurbaşkanlığı Başkanı, Devlet Denetleme Kurulu Üyesi, Dışişleri Bakanlığı Stratejik Araştırmalar Merkezi Başkanı, Dış Politika Danışma Kurulu Üyesi, Diplomasi Akademisi Başkanı, Diyanet İşleri Başkan Yardımcısı, Gelir İdaresi Başkan Yardımcısı, Genel Müdür, Kalkınma Araştırmaları Merkezi Başkanı, Milli Güvenlik Kurulu Genel Sekreter Yardımcısı, Müsteşar Yardımcısı, Özelleştirme İdaresi Başkan Yardımcısı, Sosyal Güvenlik Kurumu Başkan Yardımcısı, Strateji Geliştirme Başkanı, Türk İşbirliği ve Koordinasyon Ajansı Başkanı, Türkiye Büyük Millet Meclisi Başkan Başmüşaviri ve Daire Başkanı, Ulaştırma, Denizcilik ve Haberleşme Araştırmaları Merkezi Başkanı, Yurtdışı Türkler ve Akraba Topluluklar Başkanı, ek göstergeleri 6.400 veya daha yüksek tespit edilen kurum başkanı ve kurul başkanı unvanlı kadrolarda bulunanlar</t>
  </si>
  <si>
    <t>Bakanlar Kurulu Sekreteri, Başbakan Müşaviri, Başbakanlık ve Avrupa Birliği Bakanlığı Başkanları, Cumhurbaşkanı Danışmanı, Talim ve Terbiye Kurulu üyesi, Toplu Konut İdaresi Başkan Yardımcısı, Türk İşbirliği ve Koordinasyon Ajansı Başkan Yardımcısı, Türkiye Büyük Millet Meclisi Başkan Müşaviri, Türkiye İstatistik Kurumu Başkan Yardımcısı, Yurtdışı Türkler ve Akraba Topluluklar Başkan Yardımcısı</t>
  </si>
  <si>
    <t>Atatürk Kültür, Dil ve Tarih Yüksek Kurumu Başkan Yardımcısı, Atatürk Araştırma Merkezi, Türk Dil Kurumu, Türk Tarih Kurumu ve Atatürk Kültür Merkezi başkanları, Devlet Personel Başkan Yardımcısı, Milli Kütüphane Başkanı, Yükseköğretim Kurulu Genel Sekreteri</t>
  </si>
  <si>
    <t>I. Hukuk Müşaviri, Bakanlık ve Müsteşarlık Müşaviri, Başbakanlık Basın Müşaviri, Başbakanlık Müşaviri, Cumhurbaşkanlığı ve Türkiye Büyük Millet Meclisinde birim yöneticisi konumundaki Müdürler, Devlet Denetleme Kurulu Sekreteri, Din İşleri Yüksek Kurulu Üyesi, Gelir İdaresi Daire Başkanı, Genel Müdür Yardımcısı, genel müdürlük Rehberlik ve Teftiş Başkanı, Maliye Bakanlığı Hukuk Müşaviri, Milli Eğitim Bakanlığı Bilgi İşlem Grup Başkanı ve İnşaat ve Emlak Grup Başkanı, Milli Güvenlik Kurulu Genel Sekreterliği Daire Başkanı, Milli Kütüphane Başkan Yardımcısı, müstakil daire başkanı (Başbakanlık, bakanlık ve müsteşarlıklarda teşkilat kanunlarında hizmet birimi olarak tanımlanmış birimlerde), Polis Akademisi Başkanı, Vakıflar Meclisi Üyesi, Yüksek Fen Kurulu Üyesi, Yükseköğretim Kurulu Genel Sekreter Yardımcısı, ek göstergesi Genel Müdür Yardımcısı düzeyinde veya daha yüksek tespit edilen kurum ve kurul başkanı, kurum ve kurul başkan yardımcısı unvanlı kadrolarda bulunanlar</t>
  </si>
  <si>
    <t>Atatürk Kültür, Dil ve Tarih Yüksek Kurumu Genel Sekreteri ve Denetleme Kurulu Üyesi, Çalışma ve Sosyal Güvenlik Eğitim ve Araştırma Merkezi I. Hukuk Müşaviri ve Başkan Yardımcısı, Daire Başkanı, Milli Eğitim Bakanlığı, Milli Güvenlik Kurulu Genel Sekreterliği ve Gelir İdaresi Başkanlığı Grup Başkanları, Mushafları İnceleme ve Kıraat Kurulu üyesi, Özelleştirme İdaresi Başkanlığı Proje Grup Başkanı, Üniversitelerarası Kurul Genel Sekreteri</t>
  </si>
  <si>
    <t>a) Ankara, İstanbul ve İzmir illerinde görev yapanlar</t>
  </si>
  <si>
    <t>b) Büyükşehir belediyesi bulunan illerde görev yapanlar</t>
  </si>
  <si>
    <t>c) Diğer illerde görev yapanlar</t>
  </si>
  <si>
    <t>Diyanet İşleri Başkanlığı Başkanlık Müşaviri, Başkanlık Müftüsü ve Başkanlık Vaizi, Gelir İdaresi Başkanlığı Başkanlık Müşaviri, Milli Güvenlik Kurulu Genel Sekreterlik Müşaviri, Özelleştirme İdaresi Başkanlığı Başkanlık Müşaviri, Türkiye İstatistik Kurumu Başkanlığı İstatistik Müşaviri</t>
  </si>
  <si>
    <t>(Ek 10 uncu Maddenin Birinci Fıkrasının (c) Bendi Kapsamında Yer Alan Personelin Ücret ve Tazminat Gösterge Cetveli)</t>
  </si>
  <si>
    <t>Kapsama dahil idarelerin merkez teşkilatına ait genel idare hizmetleri sınıfında yer alan başmüfettiş, müfettiş, başdenetçi, denetçi, başkontrolör, kontrolör ve iç denetçi kadrolarında bulunanlar, Türkiye Büyük Millet Meclisi yasama uzmanları ile uzman stenograf ve stenografları, Hazine Müsteşarlığı sigorta denetleme uzmanları ve aktüerleri, Dışişleri Meslek Memurları ile Konsolosluk ve İhtisas Memurları, 657 sayılı Devlet Memurları Kanununun 152 nci maddesinin “II- Tazminatlar” kısmının “A- Özel Hizmet Tazminatı” bölümünün (ğ) bendinde yer alanlardan merkez teşkilatına ait uzman unvanlı kadrolarda bulunanlardan;</t>
  </si>
  <si>
    <t>Kadro Derecesi 1 olanlar</t>
  </si>
  <si>
    <t>Kadro Derecesi 2 olanlar</t>
  </si>
  <si>
    <t>Kadro Derecesi 3 olanlar</t>
  </si>
  <si>
    <t>Kadro Derecesi 4 olanlar</t>
  </si>
  <si>
    <t>Kadro Derecesi 5 olanlar</t>
  </si>
  <si>
    <t>Kadro Derecesi 6 olanlar</t>
  </si>
  <si>
    <t>Kadro Derecesi 7 olanlar</t>
  </si>
  <si>
    <t>1 inci sırada sayılanların yardımcıları ve stajyerleri</t>
  </si>
  <si>
    <t>Kapsama dahil idarelerin merkez teşkilatına ait mali hizmetler uzmanı kadrolarında bulunanlardan;</t>
  </si>
  <si>
    <t>3 üncü sırada sayılanların yardımcıları</t>
  </si>
  <si>
    <t>(IV) SAYILI CETVEL</t>
  </si>
  <si>
    <t>CUMHURBAŞKANLIĞI GENEL SEKRETERLİĞİ VE</t>
  </si>
  <si>
    <t>TÜRKİYE BÜYÜK MİLLET MECLİSİ GENEL SEKRETERLİĞİ</t>
  </si>
  <si>
    <t>PERSONELİ EK GÖSTERGELERİ</t>
  </si>
  <si>
    <t>a) Genel Sekreter</t>
  </si>
  <si>
    <t>b) Devlet Denetleme Kurulu Başkanı</t>
  </si>
  <si>
    <t>c) Genel Sekreter Yardımcısı</t>
  </si>
  <si>
    <t>d) I. Hukuk Müşaviri, Danışman, Başkan Müşaviri, Devlet Denetleme Kurul Sekreteri, Daire Başkan Yardımcısı, Müdür, Genel Sekreter Özel Kalem Müdürü</t>
  </si>
  <si>
    <t>f) En az dört yıl süreli yükseköğrenim veren fakülte ve yüksekokulları bitirerek mesleğe özel yarışma sınavı ile giren ve belirli süreli meslek içi eğitimden sonra özel bir yeterlik sınavı sonunda atanan Uzmanlar, Uzman Stenograflar ve Stenograflar ile İç Denetçiler</t>
  </si>
  <si>
    <t>g) Bu sınıfa dahil olup da yukarıda sayılanlar dışında kalanlardan,</t>
  </si>
  <si>
    <t>2. Diğerleri,</t>
  </si>
  <si>
    <t xml:space="preserve">a) Kadroları bu sınıfa dahil olup, en az 4 yıl süreli yükseköğretim veren fakülte veya yüksekokullardan mezun olarak yürürlükteki hükümlere göre Mühendis ve Mimar unvanını almış olanlar </t>
  </si>
  <si>
    <t>b) Kadroları bu sınıfa dahil olup da yukarıda sayılanlar dışındaki yüksek öğrenim mezunları ile Yüksek Tekniker ve Tekniker unvanını almış olanlar,</t>
  </si>
  <si>
    <t>c) Kadroları bu sınıfa dahil olup da yukarıda sayılanlar dışında kalanlar,</t>
  </si>
  <si>
    <t>III- SAĞLIK HİZMETLERİ SINIFI</t>
  </si>
  <si>
    <t>a) Baştabip, Uzman Doktor, Doktor, Diş Tabibi, Diş Doktoru, Eczacı, Biyolog, Biyokimya Uzmanı, Tıpta Uzmanlık Tüzüğünde belirtilen dallarda uzmanlık belgesi alanlar veya bu dallarda uzmanlık unvanını doktora aşaması ile kazanmış bulunanlar</t>
  </si>
  <si>
    <t xml:space="preserve">b) Diğer sağlık bilimleri lisansiyerleri </t>
  </si>
  <si>
    <t>c) Kadroları bu sınıfa dahil olup da yukarıda sayılanlar dışında kalanlardan;</t>
  </si>
  <si>
    <t>III- EĞİTİM VE ÖĞRETİM HİZMETLERİ SINIFI</t>
  </si>
  <si>
    <t>a) Öğretmen ve diğer personel</t>
  </si>
  <si>
    <t>(V) SAYILI CETVEL</t>
  </si>
  <si>
    <t>PERSONELİ MAKAM TAZMİNATI GÖSTERGELERİ</t>
  </si>
  <si>
    <t>Genel Sekreter</t>
  </si>
  <si>
    <t>Devlet Denetleme Kurulu Başkanı</t>
  </si>
  <si>
    <t>Ek göstergesi 6.400 ve daha yüksek tespit edilen kadrolarda bulunanlar</t>
  </si>
  <si>
    <t>Cumhurbaşkanı Danışmanı, Türkiye Büyük Millet Meclisi Başkan Müşaviri</t>
  </si>
  <si>
    <t>I. Hukuk Müşaviri, Devlet Denetleme Kurulu Sekreteri, Cumhurbaşkanlığı ve Türkiye Büyük Millet Meclisi’nde birim yöneticisi konumundaki Müdürler</t>
  </si>
  <si>
    <t>En az dört yıl süreli yükseköğrenim veren fakülte ve yüksekokulları bitirerek mesleğe özel yarışma sınavı ile giren ve belirli süreli meslek içi eğitimden sonra özel bir yeterlik sınavı sonunda atanan Uzmanlar, Uzman Stenograflar ve Stenograflar ile İç Denetçiler</t>
  </si>
  <si>
    <t>375 SAYILI KHK'YE EK VE DEĞİŞİKLİK GETİREN MEVZUATIN</t>
  </si>
  <si>
    <t>Kanun Yürürlüğe</t>
  </si>
  <si>
    <t>No. Farklı tarihte yürürlüğe giren maddeler giriş tarihi</t>
  </si>
  <si>
    <t>_________ __________________________________________________ __________</t>
  </si>
  <si>
    <t>KHK/386 – 2/11/1989</t>
  </si>
  <si>
    <t>KHK/402 – 15/2/1990</t>
  </si>
  <si>
    <t>KHK/405 – 27/3/1990</t>
  </si>
  <si>
    <t>KHK/418 38 inci maddesi 1/7/1990</t>
  </si>
  <si>
    <t>4. Kapsama dahil diğer personel için 15/1/1993</t>
  </si>
  <si>
    <t>c) Diğer maddeleri 15/7/1991</t>
  </si>
  <si>
    <t>KHK/476 – 15/1/1992</t>
  </si>
  <si>
    <t>KHK/527 – 20/5/1994</t>
  </si>
  <si>
    <t>KHK/547 – 15/4/1995</t>
  </si>
  <si>
    <t>KHK/562 7 nci madde 15/8/1995</t>
  </si>
  <si>
    <t>14 üncü maddesi ile geçici 1 inci maddesi 1/1/1996</t>
  </si>
  <si>
    <t>Diğer maddeleri 25/7/1995</t>
  </si>
  <si>
    <t>KHK/631 11 inci madde 15/1/2002</t>
  </si>
  <si>
    <t>4736 8 inci madde 15/1/2002</t>
  </si>
  <si>
    <t>4969 22/7/2003 den geçerli olmak üzere 12/8/2003</t>
  </si>
  <si>
    <t>5335 31 Yayımını izleyen ayın 15 inde</t>
  </si>
  <si>
    <t>Ek madde 1, Geçici madde 8 27/4/2005</t>
  </si>
  <si>
    <t>5436 Ek Madde 2 24/12/2005</t>
  </si>
  <si>
    <t xml:space="preserve">5473 Ek Madde 3 1/1/2006 tarihinden geçerli </t>
  </si>
  <si>
    <t>olmak üzere 31/3/2006</t>
  </si>
  <si>
    <t>Ek Madde 4 15/1/2006 tarihinden geçerli</t>
  </si>
  <si>
    <t>Madde 1 1/3/2006</t>
  </si>
  <si>
    <t>Ek Madde 5 ve Geçici Madde 9 31/3/2006</t>
  </si>
  <si>
    <t>5538 Ek Madde 3 1/1/2006 tarihinden geçerli</t>
  </si>
  <si>
    <t>olmak üzere 12/7/2006</t>
  </si>
  <si>
    <t>No. 375 sayılı KHK’nin değişen maddeleri giriş tarihi</t>
  </si>
  <si>
    <t>5737 Ek Madde 3 27/2/2008</t>
  </si>
  <si>
    <t>5745 1 15/1/2002 tarihinden geçerli</t>
  </si>
  <si>
    <t>olmak üzere 7/3/2008</t>
  </si>
  <si>
    <t>5793 Ek Madde 3 15/8/2008</t>
  </si>
  <si>
    <t>2 ve Ek Madde 6 6/8/2008</t>
  </si>
  <si>
    <t>5902 Ek Madde 3 17/6/2009</t>
  </si>
  <si>
    <t>5917 Ek Madde 4, 7 1/1/2010</t>
  </si>
  <si>
    <t>Ek Madde 3 21/11/2008 tarihinden ge-</t>
  </si>
  <si>
    <t>çerli olmak üzere 10/7/2009</t>
  </si>
  <si>
    <t xml:space="preserve">5952 Ek Madde 3 4/3/2010 </t>
  </si>
  <si>
    <t>5978 Ek Madde 3 6/4/2010</t>
  </si>
  <si>
    <t xml:space="preserve">6000 1, 2, Ek Madde 3 30/6/2010 </t>
  </si>
  <si>
    <t>6087 Ek Madde 3 18/12/2010</t>
  </si>
  <si>
    <t xml:space="preserve">6093 Ek Madde 3 30/12/2010 </t>
  </si>
  <si>
    <t xml:space="preserve">6111 1, Ek Madde 4, Ek Madde 8 1/1/2011 tarihinden geçerli olmak üzere 25/2/2011 tarihinde </t>
  </si>
  <si>
    <t>6114 Ek Madde 3, Geçici Madde 9 3/3/2011</t>
  </si>
  <si>
    <t>6191 1, 28 22/3/2011</t>
  </si>
  <si>
    <t>KHK/648 Ek Madde 3 17/8/2011</t>
  </si>
  <si>
    <t>KHK/649 Ek Madde 3 17/8/2011</t>
  </si>
  <si>
    <t>KHK/650 Ek Madde 6 26/8/2011</t>
  </si>
  <si>
    <t xml:space="preserve">KHK/656 Ek Madde 3 2/11/2011 </t>
  </si>
  <si>
    <t xml:space="preserve">KHK/660 Ek Madde 3 2/11/2011 </t>
  </si>
  <si>
    <t>KHK/666 Ek Madde 12, Geçici Madde 10, 20, 21 2/11/2011</t>
  </si>
  <si>
    <t>Geçici Madde 19 15/11/2011</t>
  </si>
  <si>
    <t>Geçici Madde 13 31/12/2011</t>
  </si>
  <si>
    <t>Geçici Madde 15 1/1/2012</t>
  </si>
  <si>
    <t>Ek Madde 9, 10, 11, 13, 14, Geçici Madde 11, 12, 14, 16, 17, 18,</t>
  </si>
  <si>
    <t>İşlenemeyen Hükümler (Ek Cetveller) 15/1/2012</t>
  </si>
  <si>
    <t>A) Aylıklarını 657 sayılı Devlet Memurları Kanunu, 926 sayılı Türk Silahlı Kuvvetleri Personel Kanunu, 3269 sayılı Uzman Erbaş Kanunu, 3466 sayılı Uzman Jandarma Kanunu, 2914 sayılı Yükseköğretim Personel Kanunu ve 2802 sayılı Hakimler ve Savcılar Kanununa göre almakta olan personele 1000 gösterge rakamı üzerinden memuriyet taban aylığı ödenir. (1)</t>
  </si>
  <si>
    <t xml:space="preserve">Birinci fıkra kapsamına girenlere her bir hizmet yılı için 15 (20) gösterge rakamı karşılığı kıdem aylığı ödenir. Ancak 25 ve daha fazla hizmet yılını dolduranlar için gösterge rakamı 375 (500) olarak uygulanır. (2) </t>
  </si>
  <si>
    <t xml:space="preserve">(2) Bu fıkrada yeralan ve kıdem aylığının hesabına esas alınan 15 ve 375 gösterge rakamları, Bakanlar Kurulunun 8/11/1994 tarih ve 94/6302 sayılı Kararıyla 1/1/1995 tarihinden geçerli olmak üzere sırasıyla 20'ye ve 500'e yükseltilmiş olup, metne işlenmiştir. (R.G.:31/12/1994 - 22158) </t>
  </si>
  <si>
    <t xml:space="preserve">B) (Mülga: 21/3/2006-5473/11 md.)(1) </t>
  </si>
  <si>
    <t>C) (Ek : 4/7/2001 - KHK-631/11 md.) (A) bendi kapsamına giren ve temsil tazminatı almayan personelden,</t>
  </si>
  <si>
    <t>2- (Mülga: 27/2/2008 – 5745/1 md.)</t>
  </si>
  <si>
    <t>3- (1) numaralı alt bende (1) göre ödenecek görev tazminatının uygulanmasına ilişkin esas ve usulleri tespit etmeye çalışanlar ve emekliler için gösterge rakamları belirlemeye Bakanlar Kurulu yetkilidir. (1)</t>
  </si>
  <si>
    <t>4 – (Ek: 8/1/2002-4736/8 md.) Görev tazminatı, damga vergisi hariç herhangi bir vergiye tabi tutulmaz ve bu tazminata hak kazanmada ve ödemelerde aylıklara ilişkin hükümler uygulanır.</t>
  </si>
  <si>
    <t>D) (Ek: 31/7/2003-4969/2 md.) (A) bendi kapsamına giren personel ile 22.1.1990 tarihli ve 399 sayılı Kanun Hükmünde Kararnameye ekli (II) sayılı cetvelde yer alan personel ve kamu kurumlarında işçi olarak istihdam edilenlerden; emekliliğini isteyen veya emekliye sevk olunanlara, haklarında toptan ödeme hükümleri uygulananlara, emekli iken yeniden hizmete alındıktan sonra cezaen olmamak üzere görevlerine son verilenlere, kendi kusurları olmaksızın sözleşmesi feshedilen veya hizmet sürelerinin bitiminde ayrılan sözleşmeli subay, sözleşmeli astsubay, uzman erbaş ve sözleşmeli erbaş ve erler ile terhis olan yedek subaylara ve bunlardan görevde iken ölenlerin kanuni mirasçılarına damga vergisi hariç herhangi bir vergiye tâbi tutulmaksızın (12.105) gösterge rakamının memur aylık katsayısı ile çarpımı sonucu bulunacak tutarında tazminat ödenir. (2)(3)(4)(5)</t>
  </si>
  <si>
    <t>Madde 2 – (Değişik: 20/3/1997 - KHK - 570/15 md.) (6)</t>
  </si>
  <si>
    <t>(4) 13/2/2011 tarihli ve 6111 sayılı Kanunun 118 inci maddesi ile bu bentte yer alan “beşyüz milyon lira” ibaresi “(12.105) gösterge rakamının memur aylık katsayısı ile çarpımı sonucu bulunacak” şeklinde değiştirilmiş ve metne işlenmiştir.</t>
  </si>
  <si>
    <t>Madde 3 – 657 sayılı Devlet Memurları Kanunu, 926 sayılı Türk Silahlı Kuvvetleri Personel Kanunu, 2914 sayılı Yükseköğretim Personel Kanunu, 2802 sayılı Hakimler ve Savcılar Kanunu ve diğer kanunlar uyarınca ek göstergeden yararlanan personelin ek gösterge rakamları aşağıdaki şekilde değiştirilmiştir.</t>
  </si>
  <si>
    <t>Madde 28 – (Değişik:2/12/1993-3920/1 md.) (1)</t>
  </si>
  <si>
    <t>B) Mahalli idareler ile bunlara bağlı kuruluşlarda çalışanlar hariç,657 sayılı Devlet Memurları Kanunu, 926 sayılı Türk Silahlı Kuvvetleri Personel Kanunu,3466 sayılı Uzman Jandarma Kanunu,3269 sayılı Uzman Erbaş Kanunu,2802 sayılı Hakimler ve Savcılar Kanunu ve 2914 sayılı Yükseköğretim Personel Kanununa tabi personel ile Türk Silahlı Kuvvetleri ve Emniyet Genel Müdürlüğünde görevli sözleşmeli personel Milli İstihbarat Teşkilatı Müsteşarlığında görevli kadro karşılığı sözleşmeli personel ve geçici köy korucularından; Olağanüstü Hal Bölgesi ve mücavir iller ile İçişleri Bakanlığının görüşü ve Maliye Bakanlığının teklifi üzerine Başbakan onayı ile belirlenecek diğer illerde görevli olanlara her yıl bütçe kanunlarında gösterilen miktarı geçmemek üzere aylık ek tazminat ödenebilir. (2)</t>
  </si>
  <si>
    <t xml:space="preserve">Madde 30 – (10/11/1983 tarih ve 2949 sayılı Kanunun 16 ncı maddesinin değiştirilmesi ile ilgili olup, yerine işlenmiştir.) </t>
  </si>
  <si>
    <t xml:space="preserve">Madde 31 – (Değişik birinci fıkra: 6/7/1995-KHK-562/12 md.) (...)(1) Sıkıyönetim Mahkemelerinin başkan ve üyeleri, başsavcı, savcı ve savcı yardımcıları ile adli müşavirlere aylık, ödenek ve yüksek hakimlik tazminatlarından ayrı olarak bu görevlerinin devamı süresince (2000) gösterge rakamının, bu mahkemelerde görevli 657 sayılı Devlet Memurları Kanununa tabi diğer personele ise (500) gösterge rakamının memur aylıklarına uygulanan katsayı ile çarpımı sonucu bulunacak miktarda aylık ek tazminat ödenir. (2000) gösterge rakamı, bu mahkemelerin bulunduğu il merkezi birinci derecede kalkınmada öncelikli yörelerde ise (3000), ikinci derece öncelikli yörelerde ise (2500)olarak uygulanır. </t>
  </si>
  <si>
    <t xml:space="preserve">Ek Madde 1- (Ek: 21/4/2005 - 5335/25 md.) </t>
  </si>
  <si>
    <t>Ek Madde 3- (Ek: 21/3/2006-5473/1 md.) (1)</t>
  </si>
  <si>
    <t xml:space="preserve">Anayasa Mahkemesi, Yargıtay, Danıştay, Hâkimler ve Savcılar Yüksek Kurulu, (8) Sayıştay, Yüksek Seçim Kurulu, Adalet Bakanlığı, İçişleri Bakanlığı (Kefalet Sandığı dahil), Millî Eğitim Bakanlığı, Çevre ve Şehircilik Bakanlığı,(11) Ulaştırma Bakanlığı, Gıda, Tarım ve Hayvancılık Bakanlığı,(11) Enerji ve Tabiî Kaynaklar Bakanlığı, Kültür ve Turizm Bakanlığı, Kalkınma Bakanlığı, Gençlik ve Spor Bakanlığı, Aile ve Sosyal Politikalar Bakanlığı, Orman ve Su İşleri Bakanlığı,(11) (…) (11)Savunma Sanayii Müsteşarlığı, Kamu Düzeni ve Güvenliği Müsteşarlığı, Avrupa Birliği Bakanlığı,(11)Diyanet İşleri Başkanlığı, Afet ve Acil Durum Yönetimi Başkanlığı, Atatürk Kültür, Dil ve Tarih Yüksek Kurumu Başkanlığı ile bağlı kuruluşları, Türk Patent Enstitüsü Başkanlığı, GAP Bölge Kalkınma İdaresi Başkanlığı, Doğu Anadolu Projesi Bölge Kalkınma İdaresi Başkanlığı, Konya Ovası Projesi Bölge Kalkınma İdaresi Başkanlığı,(11) Doğu Karadeniz Projesi Bölge Kalkınma İdaresi Başkanlığı,(13) Kamu Gözetimi, Muhasebe ve Denetim Standartları Kurumu,(14) (…)(12) Türkiye Yazma Eserler Başkanlığı,(9)Yurtdışı Türkler ve Akraba Topluluklar Başkanlığı,(6) Türk İşbirliği ve Koordinasyon Ajansı Başkanlığı,(15)Ölçme, Seçme ve Yerleştirme Merkezi Başkanlığı,(10) Millî Savunma Bakanlığı Akaryakıt İkmal ve NATO POL Tesisleri İşletme Başkanlığı, Yükseköğretim Kurulu, üniversiteler ile yüksek teknoloji enstitüleri, Emniyet Genel Müdürlüğü, Devlet Su İşleri Genel Müdürlüğü, Karayolları Genel Müdürlüğü, Tapu ve Kadastro Genel Müdürlüğü, Orman Genel Müdürlüğü, (…)(11) Petrol İşleri Genel Müdürlüğü, (…)(11) Basın-Yayın ve Enformasyon Genel Müdürlüğü, Spor Genel Müdürlüğü,(11) (…)(2) , Sivil Havacılık Genel Müdürlüğü, Devlet Opera ve Balesi Genel Müdürlüğü, Devlet Tiyatroları Genel Müdürlüğü, Elektrik İşleri Etüt İdaresi Genel Müdürlüğü, İller Bankası Genel Müdürlüğü, Türkiye ve Orta-Doğu Amme İdaresi Enstitüsü Genel Müdürlüğü, Maden Tetkik ve Arama Genel Müdürlüğü, il özel idareleri ve belediyeler ile bunların bağlı kuruluşları, il özel idareleri ve belediyelerin kurdukları mahallî idare birlikleri ile Atatürk Orman Çiftliği Müdürlüğünün merkez ve taşra teşkilâtı ile varsa bunların döner sermaye kadrolarında 657 sayılı Devlet Memurları Kanununa göre istihdam edilen memurlar ile aylıklarını 2802 sayılı Hâkimler ve Savcılar Kanunu ve 2914 sayılı Yükseköğretim Personel Kanununa göre alanlara, subay, sözleşmeli subay, astsubay, sözleşmeli astsubay, sözleşmeli subay ve astsubay adayları, uzman jandarma ve uzman erbaşlara, kamu iktisadi teşebbüsleri ve bağlı ortaklıklarda 399 sayılı Kanun Hükmünde Kararnameye ekli (I) sayılı cetvelde gösterilen kadrolar dışında 657 sayılı Kanun hükümlerine göre aylık alan memurlara, en yüksek Devlet memuru aylığının (ek gösterge dahil) % 200 ünü geçmemek üzere her ay ek ödeme yapılabilir. Ek ödemenin oranı ile esas ve usulleri; görev yapılan birim ve iş hacmi, görevin önem ve güçlüğü, görev yerinin özelliği, çalışma süresi, personelin sınıfı, rütbesi, kadro veya görev unvanı, derecesi, atanma usulü ile emsali veya benzeri görev ve unvanlarda bulunan personele mali haklar kapsamında yapılan her türlü ödemeler dahil almakta oldukları toplam ödeme tutarları gibi kriterler birlikte veya ayrı ayrı dikkate alınarak, Maliye Bakanlığının teklifi üzerine Bakanlar Kurulunca belirlenir. Emsali veya benzeri görev ve unvanlarda bulunan personel arasındaki ücret dengesini sağlamak amacıyla, mali haklar kapsamında yapılan her türlü ödemeler dahil alınmakta olunan toplam ödeme tutarları esas alınarak, emsali veya benzeri görev ve unvanlarda bulunan personel için farklı oranlar belirlenebilir veya hiçbir belirleme yapılmayabilir. (2) (3)(4)(5)(6)(7)(8)(9)(10)(11)(12)(13)(14) (15) </t>
  </si>
  <si>
    <t>Birinci fıkra kapsamına giren personelden; her derece ve türdeki örgün ve yaygın eğitim kurumlarında görev yapan yönetici ve öğretmenler ile sosyal hizmet kuruluşlarında görev yapan öğretmenler hariç olmak üzere fiilen yapılmayan ders karşılığı ek ders ücretinden yararlananlara, bu Kanun Hükmünde Kararnamenin ek 2 nci maddesi, 19/6/1979 tarihli ve 2252 sayılı Kanunun 4 üncü maddesi, 16/4/2003 tarihli ve 4848 sayılı Kanunun 32 nci maddesinin üçüncü fıkrası, 1/5/2003 tarihli ve 4856 sayılı Kanunun 35 inci maddesinin üçüncü fıkrası, 22/2/2005 tarihli ve 5302 sayılı Kanunun 63 üncü maddesi, 10/11/2005 tarihli ve 5431 sayılı Kanunun 25 inci maddesinin son fıkrasında öngörülen ödemelerden yararlananlar ile (…) (1) kadro karşılığı sözleşmeli olarak istihdam edilenlere, bir kadroya açıktan, kurum içinden veya kurum dışından vekâlet ettirilenlere vekâlet edilen görev nedeniyle birinci fıkraya göre ödeme yapılmaz. Söz konusu ödemelerin ilgili mevzuatında yer alan hükümlere göre idarî veya başka nedenlerle aylık veya dönemsel olarak ödenmemesi bu sürelerde birinci fıkraya göre ödeme yapılması sonucunu doğurmaz. (1)</t>
  </si>
  <si>
    <t>Birinci fıkrada sayılan personelden bir önceki yılda (2005 yılı dahil); 3/6/1938 tarihli ve 3423 sayılı Kanunun 1 inci maddesinin ikinci fıkrası, 21/12/1967 tarihli ve 969 sayılı Kanunun 3 üncü maddesinin son fıkrası, 4/11/1981 tarihli ve 2547 sayılı Kanunun 58 inci maddesi, 4/2/1983 tarihli ve 2797 sayılı Kanunun 55 inci maddesinin beşinci fıkrası, 24/5/1983 tarihli ve 2828 sayılı Kanunun 19 uncu maddesinin onbirinci fıkrası, 25/4/2001 tarihli ve 4652 sayılı Kanunun 29 uncu maddesinin son fıkrasında öngörülen ödemelerden yararlananlar ile (…) (2) Bezm-i Alem Valide Sultan Vakıf Gureba Hastanesi döner sermaye gelirlerinden döner sermaye katkı payı ödenenlere birinci fıkraya göre ödeme yapılmaz. Ancak, bir önceki yılda söz konusu ödemelerden yararlananlar ile birinci fıkra kapsamına girmeyen personelden bir önceki yılda 14/4/1982 tarihli ve 2659 sayılı Kanunun 30 uncu maddesine göre ödeme yapılanlar ve Sağlık Bakanlığı merkez teşkilâtı personeli hariç 4/1/1961 tarihli ve 209 sayılı Kanunun 5 inci maddesine göre ödeme yapılanlara, bu fıkrada sayılan hükümlere göre önceki yılda yapılmış olan ödemelerin toplam net tutarına, birinci fıkraya göre yapılması öngörülen ödemeler toplam net tutara ulaştıktan sonra birinci fıkraya göre ödeme yapılmaya başlanır. Aynı yıl içerisinde yukarıda belirtilen ödemelerden yararlananlara 15 Aralık tarihinde yapılacak ödeme bir sonraki yılın 1Ocak-14 Ocak dönemini kapsamayacak şekilde gün hesabıyla ödenir. Bu şekilde yapılacak ödemeler, Sağlık Bakanlığına bağlı sağlık kurum ve kuruluşları ile Adlî Tıp Kurumu kadrolarında bulunan personele döner sermaye bütçelerinden yapılır. (2)(3)</t>
  </si>
  <si>
    <t>Bu maddenin yürürlüğe girdiği tarihten itibaren; Sağlık Bakanlığının merkez teşkilâtındaki personeline 4/1/1961 tarihli ve 209 sayılı Kanunun 5 inci maddesi, 2/9/1971 tarihli ve 1479 sayılı Kanunun 7 nci maddesinin üçüncü fıkrası, 10/10/1984 tarihli ve 3056 sayılı Kanunun 31 inci maddesinin birinci fıkrasının ikinci cümlesi, 9/1/1985 tarihli ve 3146 sayılı Kanunun 39 uncu maddesinin son fıkrası, 8/1/1986 tarihli ve 3254 sayılı Kanunun 32/D maddesi, 24/6/1994 tarihli ve 4009 sayılı Kanunun 56 ncı maddesinin (a) fıkrası, 9/12/1994 tarihli ve 4059 sayılı Kanunun ek 1 inci maddesi, (…)(1) 27/10/1999 tarihli ve 4458 sayılı Kanunun 222 nci maddesi, 2/5/2001 tarihli ve 4668 sayılı Kanunun 17 nci maddesinin beşinci fıkrası, 16/4/2003 tarihli ve 4848 sayılı Kanunun 32 nci maddesinin üçüncü fıkrası, 1/5/2003 tarihli ve 4856 sayılı Kanunun 35 inci maddesinin üçüncü fıkrası, 25/6/2003 tarihli ve 4904 sayılı Kanunun 15 inci maddesinin son fıkrası, 29/7/2003 tarihli ve 4958 sayılı Kanunun 17 nci maddesinin beşinci fıkrası ve 3/3/2004 tarihli ve 5102 sayılı Kanunun 5 inci maddesi kapsamında yapılan ödemelere ilişkin onaylarda Maliye Bakanlığının uygun görüşü alınmadan değişiklik yapılamaz. Söz konusu onaylarda, personele yapılan ödemelerin artırılması yönünde 1/1/2006 tarihi ile bu maddenin yürürlüğe girdiği tarih arasında gerçekleştirilen değişiklikler uygulanmaz. (1)</t>
  </si>
  <si>
    <t>(Ek fıkra: 24/7/2008-5793/46 md.)(2) Kadro karşılığı sözleşmeli personel hariç olmak üzere; 10/10/1984 tarihli ve 3056 sayılı Kanunun 31 inci maddesinin birinci fıkrası kapsamında sayılan ödemelerden yararlanan memurlara, (…)(2) Denizcilik Müsteşarlığı, Devlet Personel Başkanlığı, Toplu Konut İdaresi Başkanlığı, Türkiye İstatistik Kurumu, (…)(2) Türkiye Atom Enerjisi Kurumu, (…)(2) ve Özelleştirme İdaresi Başkanlığındaki personelden 3056 sayılı Kanunun 31 inci maddesinin birinci fıkrası hükmünden yararlanan memurlar ile 27/7/1967 tarihli ve 926 sayılı Kanunun ek 17 nci maddesinin (C) fıkrası, 19/6/1979 tarihli ve 2252 sayılı Kanunun 4 üncü maddesi, (…)(2) 9/1/1985 tarihli ve 3146 sayılı Kanunun 39 uncu maddesi, 8/1/1986 tarihli ve 3254 sayılı Kanunun 32/D maddesi, 24/6/1994 tarihli ve 4009 sayılı Kanunun 56 ncı maddesinin (a) fıkrası,</t>
  </si>
  <si>
    <t xml:space="preserve">(1) 6/3/2011 tarihli ve 643 sayılı KHK’nin 14 üncü maddesiyle, bu fıkrada yer alan “23/2/1995 tarihli ve 4077 sayılı Kanunun 29 uncu maddesi” ibaresi yürürlükten kaldırılmıştır. </t>
  </si>
  <si>
    <t>(Ek fıkra: 24/7/2008-5793/46 md.) Ulaştırma Bakanlığı, Kültür ve Turizm Bakanlığı, (…)(2) Denizcilik Müsteşarlığı, Orman Genel Müdürlüğü, Devlet Meteoroloji İşleri Genel Müdürlüğü ile Tapu ve Kadastro Genel Müdürlüğü personeline bu madde uyarınca yapılan ek ödemeler döner sermaye bütçelerinden yapılır. Devletin mali imkânlarını göz önünde bulundurmak suretiyle merkezi yönetim kapsamında kamu idarelerinde istihdam edilen personele bu madde uyarınca yapılan ek ödemelerin tamamını veya bir kısmını teşkilat yapısı esas alınarak merkezi yönetim bütçesinden veya döner sermayesi bulunan kurumlar için döner sermaye bütçesinden yaptırmaya Maliye Bakanlığının teklifi üzerine Bakanlar Kurulu yetkilidir. (1) (2)</t>
  </si>
  <si>
    <t xml:space="preserve">Ek Madde 4- (Ek: 21/3/2006-5473/1 md.; Değişik: 13/2/2011-6111/118 md.) </t>
  </si>
  <si>
    <t xml:space="preserve">Ek Madde 5- (Ek: 21/3/2006-5473/1 md.) </t>
  </si>
  <si>
    <t>Ek Madde 6- (Ek: 24/7/2008-5793/23 md.)</t>
  </si>
  <si>
    <t xml:space="preserve">190 sayılı Genel Kadro ve Usulü Hakkında Kanun Hükmünde Kararnamenin 2 nci maddesi kapsamına giren kamu kurum ve kuruluşlarının merkez teşkilatlarının büyük ölçekli bilgi işlem birimlerinde, bilişim hizmetlerini yürütmek ve 30 kişiyi geçmemek üzere tam zamanlı, kısmî zamanlı veya kurumların bilişim projeleri ile sınırlı sözleşmeli olarak bilişim personeli çalıştırılabilir. Bu şekilde çalıştırılacak olanlardan Kurumca teklif edilecek en fazla sekiz kişiye ödenecek ücret, 14/7/1965 tarihli ve 657 sayılı Devlet Memurları Kanununun 4 üncü maddesinin (B) bendine göre istihdam edilenlerin sözleşme ücreti tavanının dört katını, diğer on kişiye üç katını, geri kalanlara ise iki katını geçemez ve bunlara bu fıkrada belirtilen ücret dışında herhangi bir ödeme yapılamaz.(1) </t>
  </si>
  <si>
    <t>c) Yazılım, yazılım tasarımı ve geliştirilmesi ile bu sürecin yönetimi konusunda veya büyük ölçekli ağ sistemlerinin kurulumu ve yönetimi konusunda birinci fıkraya göre ücret tavanı iki katını geçmeyecekler için en az 3 yıllık, diğerleri için en az 5 yıllık mesleki tecrübeye sahip bulunmaları (Mesleki tecrübenin belirlenmesinde; bilişim personeli olarak 657 sayılı Kanuna tabi kadrolu veya aynı Kanunun 4 üncü maddesinin (B) bendi ile 399 sayılı Kanun Hükmünde Kararnameye tabi sözleşmeli statüdeki hizmetler ve Sosyal Sigortalar Kurumuna tabi özel kesimde bilişim personeli olarak geçtiği belgelenen hizmet süreleri dikkate alınır)(1)</t>
  </si>
  <si>
    <t>ç) (Mülga: 8/8/2011-KHK-650/35 md.)</t>
  </si>
  <si>
    <t>Ek Madde 7 - (Ek: 25/6/2009-5917/28 md.) (2)</t>
  </si>
  <si>
    <t xml:space="preserve">Ek Madde 8-(Ek: 13/2/2011-6111/118 md.) </t>
  </si>
  <si>
    <t>Ek Madde 9 - (Ek: 11/10/2011-KHK-666/1 md.)</t>
  </si>
  <si>
    <t>Ek Madde 11 – (Ek: 11/10/2011-KHK-666/1 md.)</t>
  </si>
  <si>
    <t>Ek Madde 12 – (Ek: 11/10/2011-KHK-666/1 md.)</t>
  </si>
  <si>
    <t>Ek Madde 13 - (Ek: 11/10/2011-KHK-666/1 md.)</t>
  </si>
  <si>
    <t>Ek Madde 14 – (Ek: 11/10/2011-KHK-666/1 md.)</t>
  </si>
  <si>
    <t xml:space="preserve">Geçici Madde 1 – (Değişik: 5/7/1991 - KHK - 433/13 md.; İptal: Ana. Mah'nin 5/5/1992 tarih ve E.1991/33,K.1992/32 sayılı Kararı ile.) </t>
  </si>
  <si>
    <t xml:space="preserve">Geçici Madde 2 – 2914 sayılı Yükseköğretim Personel Kanununun bu Kanun Hükmünde Kararnamenin 17 nci maddesi ile değişik 11 inci maddesindeki ek ders ücreti göstergeleri 1/7/1989 - 31/12/1989 döneminde profesörler için 90, doçentler için 75, yardımcı doçentler için 60, öğretim görevlileri ve okutmanlar için 50 olarak uygulanır, aynı maddenin son fıkrasındaki % 60 zam ise aynı dönem için uygulanmaz. </t>
  </si>
  <si>
    <t>Geçici Madde 3 – Bu Kanun Hükmünde Kararname uyarınca ek göstergelerin yeniden tesbiti ile yeni ihdas edilen memuriyet taban aylığı ve kıdem aylığından dolayı emekli keseneğine esas aylık ve ücretlerde meydana gelen artışlar hakkında 5434 sayılı T.C. Emekli Sandığı Kanununun 14 üncü maddesinin (c) fıkrası hükmü uygulanmaz.</t>
  </si>
  <si>
    <t>Geçici Madde 4 – 657 sayılı Devlet Memurları Kanununun 213 üncü maddesinden sonra gelen "Zam ve tazminatlar" başlıklı ek maddesinde bu Kanun Hükmünde Kararnamenin 8 inci maddesi ile yapılan değişiklikle 20 Milyar Liraya çıkarılan yatırım ödeneği limiti 1/1/1990 tarihine kadar 5 Milyar Lira olarak uygulanır.</t>
  </si>
  <si>
    <t xml:space="preserve">Geçici Madde 5 – Bulgaristan'dan Türkiye'ye mecburi göçe zorlanan ve Türkiye'de ikamet eden bu ülke uyruğuna mensup Türk soyundan olan kişilerin Devlet memuriyetine alınmalarında Türk vatandaşı olma şartı aranmaz. </t>
  </si>
  <si>
    <t>Geçici Madde 10 – (Ek: 11/10/2011-KHK-666/2 md.)</t>
  </si>
  <si>
    <t xml:space="preserve">b) Ek 12 nci maddesinde belirtilen hükümler uyarınca yapılan ödemelere, </t>
  </si>
  <si>
    <t>Geçici Madde 11 – (Ek: 11/10/2011-KHK-666/2 md.)</t>
  </si>
  <si>
    <t>Geçici Madde 12 – (Ek: 11/10/2011-KHK-666/2 md.)</t>
  </si>
  <si>
    <t>Geçici Madde 13 – (Ek: 11/10/2011-KHK-666/2 md.)</t>
  </si>
  <si>
    <t>Geçici Madde 14 – (Ek: 11/10/2011-KHK-666/2 md.)</t>
  </si>
  <si>
    <t>Geçici Madde 15 - (Ek: 11/10/2011-KHK-666/2 md.)</t>
  </si>
  <si>
    <t>Geçici Madde 16 – (Ek: 11/10/2011-KHK-666/2 md.)</t>
  </si>
  <si>
    <t>Geçici Madde 17 – (Ek: 11/10/2011-KHK-666/2 md.)</t>
  </si>
  <si>
    <t>Geçici Madde 18 – (Ek: 11/10/2011-KHK-666/2 md.)</t>
  </si>
  <si>
    <t>Geçici Madde 19 – (Ek: 11/10/2011-KHK-666/2 md.)</t>
  </si>
  <si>
    <t>Geçici Madde 20 – (Ek: 11/10/2011-KHK-666/2 md.)</t>
  </si>
  <si>
    <t>Geçici Madde 21 – (Ek: 11/10/2011-KHK-666/2 md.)</t>
  </si>
  <si>
    <t xml:space="preserve">Madde 32 – Aşağıda gösterilen Kanun ve Kanun Hükmünde Kararname hükümleri yürürlükten kaldırılmıştır. </t>
  </si>
  <si>
    <t>Madde 33 – Bu Kanun Hükmünde Kararnamenin 2,3,5,6,10,11,12,13,14,15,18,19,21,23, 25,26,29,30 ve 31 inci maddeleri 15/7/1989 tarihinde; 28 inci maddesi, tazminat nisbetlerinin tespit edildiği tarihi izleyen aybaşında, diğer maddeleri ise 1 Temmuz 1989 tarihinde yürürlüğe girer.</t>
  </si>
  <si>
    <t xml:space="preserve">Madde 34 – Bu Kanun Hükmünde Kararname hükümlerini Bakanlar Kurulu yürütür. </t>
  </si>
  <si>
    <t>Geçici Madde 2 – Bu Kanunun 2 nci maddesi ile yürürlükten kaldırılan hükümlere göre kendilerine ek tazminat ödenen sözleşmeli personele (Türk Silahlı Kuvvetleri ve Emniyet Genel Müdürlüğünde görevli sözleşmeli personel ile Milli İstihbarat Teşkilatı Müsteşarlığında görevli kadro karşılığı sözleşmeli personel hariç) 31.12.1994 tarihine kadar, sürekli işçilere yeni bir toplu iş sözleşmesi veya münferit iş akdi yapılıncaya kadar, mahalli idareler ile bunlara bağlı kuruluşlarda görevli memurlara ise bu konuda yeni bir düzenleme yapılıncaya kadar, 15.12.1993 tarihinde ödenen miktarlar üzerinden (Toplu Konut Fonu adına Türkiye Emlak Bankasında açılan hesaba yatırılan miktarda kendilerine verilmek suretiyle) ek tazminat,katsayı ve tazminat bazındaki artışlar dikkate alınmaksızın ödenmeye devam olunur.</t>
  </si>
  <si>
    <t xml:space="preserve">Geçici Madde 3 – Bu Kanunun 1 nci maddesinin (B) fıkrasında yer alan üst sınır,bütçe kanunlarıyla bir tespit yapılıncaya kadar 6 000 000 lira olarak uygulanır.Bu miktarları % 50 oranına kadar artırmaya Başbakan yetkilidir. </t>
  </si>
  <si>
    <t>2. 11/10/2011 tarihli ve 666 sayılı KHK’nın Ek Cetvelleri:</t>
  </si>
  <si>
    <t xml:space="preserve">YÜRÜRLÜĞE GİRİŞ TARİHLERİNİ GÖSTERİR LİSTE </t>
  </si>
  <si>
    <t>Değiştiren Kanun Yürürlüğe</t>
  </si>
  <si>
    <t>KHK/643 Ek Madde 3 12/6/2011 tarihinde yapılan milletvekili seçiminden sonra kurulan ilk Bakanlar Kurulu üyelerinin atandığı tarihte</t>
  </si>
  <si>
    <t>KHK/644 Ek Madde 3 12/6/2011 tarihinde yapılan milletvekili seçiminden sonra kurulan ilk Bakanlar Kurulu üyelerinin atandığı tarihte</t>
  </si>
  <si>
    <t xml:space="preserve"> (1) "Avrupa Birliği Genel Sekreteri " ibaresi, 27/6/2000 tarihli ve 4587 sayılı Kanun ile cetvele eklenmiş olup, daha sonra 3/6/2011 tarihli ve 643 sayılı KHK’nın 8 inci maddesiyle yürürlükten kaldırılmıştır.</t>
  </si>
  <si>
    <t>(2) "Avrupa Birliği Genel Sekreter Yardımcıları" ibaresi, 27/6/2000 tarihli ve 4587 sayılı Kanun ile cetvele eklenmiş olup, daha sonra 3/6/2011 tarihli ve 643 sayılı KHK’nın 8 inci maddesiyle yürürlükten kaldırılmıştır.</t>
  </si>
  <si>
    <t>(3) Bu bölümde 19/6/1994 tarih ve 544 sayılı, 25/3/1997 tarih ve 571 sayılı KHK’ler ve 9/12/1994 tarih ve 4059 Sayılı Kanun ile değiştirilen ya da eklenen unvanlar metne işlenmiştir.544 sayılı KHK ile eklenen "Türk Patent Enstitüsü Başkanı" ibaresi, 6/11/2003 tarihli ve 5000 sayılı Kanun ile Kanunlaşmıştır.</t>
  </si>
  <si>
    <t>(6) "Denizcilik Müsteşarlığı Teftiş Kurulu Başkanı" ibaresi, 7/2/2002 tarihli ve 4745 sayılı Kanunla eklenmiştir.</t>
  </si>
  <si>
    <t>(7) "Milli Kütüphane Başkanı" ibaresi, 16/4/2003 tarihli ve 4848 sayılı Kanunun 33 üncü maddesiyle eklenmiştir.</t>
  </si>
  <si>
    <t xml:space="preserve">(10) 31/7/2003 tarihli ve 4969 sayılı Kanunun 5 inci maddesiyle, (I/e) bendinde yer alan "Devlet Planlama Teşkilatı Genel Sekreteri" ibaresi bu bentten çıkarılarak "Müsteşar Yardımcıları" ibaresinden sonra gelmek üzere (1/d) bendine eklenmiş olup, daha sonra 3/6/2011 tarihli ve 643 sayılı KHK’nın 8 inci maddesiyle yürürlükten kaldırılmıştır. </t>
  </si>
  <si>
    <t xml:space="preserve">(14) 10/11/2005 tarihli ve 5429 sayılı Kanunun 57 nci maddesiyle; bu bölümünün (d) bendinde geçen "DİE Başkanı" ibaresi aynı bölümün (c) bendine "Türkiye İstatistik Kurumu Başkanı" olarak eklenmiş ve metne işlenmiştir. </t>
  </si>
  <si>
    <t>(15) 10/11/2005 tarihli ve 5429 sayılı Kanunun 57 nci maddesiyle; II sayılı Cetvelin "2-Yargı Kuruluşları, Bağlı ve İlgili Kuruluşlar ile Yüksek Öğretim Kuruluşlarında" başlığını taşıyan bölümünde yer alan "Devlet İstatistik Enstitüsü Başkan Yardımcısı" ibaresi bu bende "Türkiye İstatistik Kurumu Başkan Yardımcıları" olarak eklenmiş ve metne işlenmiştir.</t>
  </si>
  <si>
    <t xml:space="preserve"> (19) Bu bentte yer alan “GAP İdaresi Başkan Yardımcısı” ibaresi, Ana.Mah.nin 27/6/2006 tarihli ve E:2006/97 K: 2006/74 sayılı Kararı ile iptal edilmiş olup, iptal Kararının Resmi Gazete’de yayım tarihi olan 1/11/2006 tarihinden geçerli olmak üzere bir yıl sonra yürürlüğe girmesi kararlaştırılmıştır. Daha sonra 25/5/2007 tarihli ve 5670 sayılı Kanunun 3 üncü maddesiyle 1/11/2007 tarihinden geçerli olmak üzere yeniden eklenmiştir.</t>
  </si>
  <si>
    <t>(21) 24/6/2009 tarihli ve 5916 sayılı Kanunun 17 nci maddesiyle (f) bendine “Başbakanlık Başkanları,” ibaresinden sonra gelmek üzere “Avrupa Birliği Genel Sekreterliği Başkanları,” ibaresi eklenmiş olup, daha sonra bu ibare 3/6/2011 tarihli ve 643 sayılı KHK’nin 8 inci maddesiyle "Avrupa Birliği Bakanlığı Başkanları" şeklinde değiştirilmiş ve metne işlenmiştir.</t>
  </si>
  <si>
    <t>(23) 25/2/2010 tarihli ve 5953 sayılı Kanunun 7 nci maddesiyle (e) bendine “Türkiye İstatistik Kurumu Başkan Yardımcıları” ibaresinden sonra gelmek üzere “, Toplu Konut İdaresi Başkan Yardımcıları” ibaresi eklenmiş ve metne işlenmiştir.</t>
  </si>
  <si>
    <t xml:space="preserve">(28) 3/6/2011 tarihli ve 643 sayılı KHK’nin 8 inci maddesiyle, bu bölümün; </t>
  </si>
  <si>
    <t>a) (a) bendine "Diyanet İşleri Başkanı" ibaresinden sonra gelmek üzere ", Bakan Yardımcısı" ibaresi eklenmiş ve metne işlenmiştir.</t>
  </si>
  <si>
    <t>b) (b) bendinde yer alan "Avrupa Birliği Genel Sekreteri" ibaresi yürürlükten kaldırılmış ve metne işlenmiştir.</t>
  </si>
  <si>
    <t>c) (d) bendinde yer alan "Devlet Planlama Teşkilatı Genel Sekreteri,", "Avrupa Birliği Genel Sekreter Yardımcıları,", "Özürlüler İdaresi Başkanı,", "Gümrük Müsteşarlığı Teftiş Kurulu Başkanı,", "Dış Ticaret Müsteşarlığı" ibareleri yürürlükten kaldırılmış, aynı bende "GAP İdaresi Başkanı," ibaresinden sonra gelmek üzere "Doğu Anadolu Projesi Bölge Kalkınma İdaresi Başkanı, Konya Ovası Projesi Bölge Kalkınma İdaresi Başkanı," ibaresi, "Bakanlıklar merkez teşkilatına dahil Kurul Başkanları," ibaresinden sonra gelmek üzere "Bakanlık Rehberlik ve Teftiş Başkanları, Bakanlık Denetim Hizmetleri Başkanları," ibaresi eklenmiş ve metne işlenmiştir.</t>
  </si>
  <si>
    <t>ç)(f) bendinde yer alan "Avrupa Birliği Genel Sekreterliği Başkanları" ibaresi "Avrupa Birliği Bakanlığı Başkanları" şeklinde değiştirilmiş, aynı bende "Atatürk Kültür Merkezi Başkanları," ibaresinden sonra gelmek üzere "Kalkınma Araştırmaları Merkezi Başkanı," ibaresi, "GAP İdaresi Başkan Yardımcısı," ibaresinden sonra gelmek üzere "Doğu Anadolu Projesi Bölge Kalkınma İdaresi Başkan Yardımcısı, Konya Ovası Projesi Bölge Kalkınma İdaresi Başkan Yardımcısı," ibaresi eklenmiş ve metne işlenmiştir.</t>
  </si>
  <si>
    <t xml:space="preserve">(30) 25/8/2011 tarihli ve 652 sayılı KHK’nin 44 üncü maddesiyle bölümünün (d) bendine “Bakanlık Rehberlik ve Teftiş Başkanları,” ibaresinden sonra gelmek üzere “Bakanlık Rehberlik ve Denetim Başkanları,” ibaresi eklenmiştir. </t>
  </si>
  <si>
    <t>(32) 24/10/2011 tarihli ve 656 sayılı KHK’nın 20 nci maddesiyle bu bölümün (c) bendinde yer alan “Türk İşbirliği ve Kalkınma İdaresi Başkanı” ibaresi “Türk İşbirliği ve Koordinasyon Ajansı Başkanı” şeklinde değiştirilmiştir.</t>
  </si>
  <si>
    <t>(33) 24/10/2011 tarihli ve 656 sayılı KHK’nın 20 nci maddesiyle bu bölümün (f) bendinde yer alan “Türk İşbirliği ve Kalkınma İdaresi Başkan Yardımcısı” ibaresi “Türk İşbirliği ve Koordinasyon Ajansı Başkan Yardımcısı” şeklinde değiştirilmiştir.</t>
  </si>
  <si>
    <t>(34) 26/9/2011 tarihli ve 655 sayılı KHK’nin 44 üncü maddesiyle bölümünün (d) bendine “Kalkınma Araştırmaları Merkezi Başkanı,” ibaresinden sonra gelmek üzere “Ulaştırma, Denizcilik ve Haberleşme Araştırmaları Merkezi Başkanı,” ibaresi eklenmiştir.</t>
  </si>
  <si>
    <t>(35) 11/10/2011 tarihli ve 663 sayılı KHK’nin 58 inci maddesiyle bölümünün (d) bendine “Müsteşar Yardımcıları ve Genel Müdürler” ibaresinden sonra gelmek üzere “, Türkiye Halk Sağlığı Kurumu Başkanı, Türkiye İlaç ve Tıbbî Cihaz Kurumu Başkanı, Türkiye Kamu Hastaneleri Kurumu Başkanı” ibaresi eklenmiştir.</t>
  </si>
  <si>
    <r>
      <t>(1)</t>
    </r>
    <r>
      <rPr>
        <i/>
        <sz val="7"/>
        <rFont val="Times New Roman"/>
        <family val="1"/>
        <charset val="162"/>
      </rPr>
      <t xml:space="preserve"> </t>
    </r>
    <r>
      <rPr>
        <i/>
        <sz val="8"/>
        <rFont val="Times New Roman"/>
        <family val="1"/>
        <charset val="162"/>
      </rPr>
      <t>Bu bölümde 19/6/1994 tarih ve 543, 544 sayılı ve 6/7/1995 tarih ve 562 sayılı , 9/12/1994 tarih ve 4059 sayılı, 13/11/1996 tarih ve 4208 sayılı, 7/6/2000 tarih ve 4576 sayılı Kanunlar ve 616, 617, 618 ve 619 sayılı KHK'ler ile eklenen Sosyal Sigorta Uzmanları, Başkanlık Müfettişleri, İstihdam ve Meslek Uzmanları, Sosyal Güvenlik Uzmanları, Çalışma Uzmanları, Yurt Dışı İşçi Hizmetleri Uzmanları, İş Sağlığı ve Güvenliği Uzmanları, Bağ-Kur Denetmenleri unvanları, sözkonusu KHK'lerin Anayasa Mahkemesince iptal edilmeleri nedeniyle metinden çıkarılmıştır. 6/7/2000 tarihli ve 613 sayılı KHK ile eklenen ve 5/4/2001 tarihli ve 4636 sayılı, 544 sayılı KHK ile eklenen "Marka Uzmanı","Patent Uzmanı" ibareleri 6/11/2003 tarihli ve 5000 sayılı Kanun ile Kanunlaşmış, değiştirilerek kanunlaşan "Milli Savunma Bakanlığı Akaryakıt İkmal ve NATO POL Tesisleri İşletme Bakanlığı Müfettişleri" ibaresi metne işlenmiştir.</t>
    </r>
  </si>
  <si>
    <r>
      <t>(2)</t>
    </r>
    <r>
      <rPr>
        <i/>
        <sz val="7"/>
        <rFont val="Times New Roman"/>
        <family val="1"/>
        <charset val="162"/>
      </rPr>
      <t xml:space="preserve"> </t>
    </r>
    <r>
      <rPr>
        <i/>
        <sz val="8"/>
        <rFont val="Times New Roman"/>
        <family val="1"/>
        <charset val="162"/>
      </rPr>
      <t>Bu arada yeralan 2/6/1994 tarih ve 536 sayılı KHK ile eklenen unvanlar, Anayasa Mahkemesinin 8/7/1994 tarih ve E.1994/58, K.1994/53 sayılı Kararıyla iptal edildiğinden metinden çıkarılmıştır.</t>
    </r>
  </si>
  <si>
    <t>(3) "Teknik Yardım Uzmanları" ibaresi,, 2/5/2001 tarihli ve 4668 sayılı Kanunla getirilmiştir.</t>
  </si>
  <si>
    <t>(4) "Kültür ve Turizm Uzmanları" ibaresi, 16/4/2003 tarihli ve 4848 sayılı Kanunun 33 üncü maddesiyle eklenmiştir.</t>
  </si>
  <si>
    <t xml:space="preserve">(5) "Çevre Uzmanları" ibaresi, 1/5/2003 tarihli ve 4856 sayılı Kanunun 42 inci maddesiyle, "Çevre ve Orman Uzmanları" olarak değiştirilmiş olup, daha sonra bu ibare 3/6/2011 tarihli ve 643 sayılı KHK’nın 8 inci maddesiyle yürürlükten kaldırılmıştır. </t>
  </si>
  <si>
    <t>(6) "İstihdam ve Meslek Uzmanları" ibaresi, 25/6/2003 tarihli ve 4904 sayılı Kanunun 24 üncü maddesiyle eklenmiş ve metne işlenmiştir</t>
  </si>
  <si>
    <t>(7) "Sosyal Güvenlik Uzmanları, Çalışma Uzmanları, Yurt Dışı İşçi Hizmetleri Uzmanları, İş Sağlığı ve Güvenliği Uzmanları, Çalışma ve Sosyal Güvenlik Eğitim Uzmanları" ibareleri, 16/7/2003 tarihli ve 4947 sayılı Kanunun 37 nci maddesiyle eklenmiştir.</t>
  </si>
  <si>
    <t>(8) "Bağ-Kur Denetmenleriı" ibaresi, 24/7/2003 tarihli ve 4956 sayılı Kanunun 46 ncı maddesiyle eklenmiş ve metne işlenmiş, 27/6/2000 tarihli ve 4587 sayılı Kanunun Geçici 2 nci maddesi uyarınca; "A.T." ibaresi, "A.B." olarak değiştirilmiştir.</t>
  </si>
  <si>
    <t>(9) "Emniyet Genel Müdürlüğü Dernek Denetçisi” ibaresi, 31/7/2003 tarihli ve 4970 sayılı Kanunun 7 nci maddesiyle “İçişleri Bakanlığı Dernekler Denetçileri” olarak değiştirilmiş ve metne işlenmiştir.</t>
  </si>
  <si>
    <t xml:space="preserve">(12) "Aile ve Sosyal Araştırma Uzmanları" ibaresi, 10/11/2004 tarihli ve 5256 sayılı Kanunun 27 nci maddesiyle eklenmiş olup, daha sonra bu ibare 3/6/2011 tarihli ve 643 sayılı KHK’nın 8 inci maddesiyle yürürlükten kaldırılmıştır. </t>
  </si>
  <si>
    <t xml:space="preserve">(13) "Sosyal Yardım Uzmanları" ibaresi, 1/12/2004 tarihli ve 5263 sayılı Kanunun 16 ncı maddesiyle eklenmiş olup, daha sonra bu ibare 3/6/2011 tarihli ve 643 sayılı KHK’nın 8 inci maddesiyle yürürlükten kaldırılmıştır. </t>
  </si>
  <si>
    <t>(14) Bu bende, 5/5/2005 tarihli ve 5345 sayılı Kanunun 34 üncü maddesiyle "Dış Ticaret Müsteşarlığı Dış Ticaret Uzmanları ve Dış Ticaret Kontrolörleri," ibaresinden sonra gelmek üzere "Gelirler Kontrolörleri," ibaresi eklenmiş ve metne işlenmiştir.</t>
  </si>
  <si>
    <t>(18) Bu bende, 20/2/2008 tarihli ve 5737 sayılı Kanunun 79 uncu maddesiyle "Kültür ve Turizm Uzmanları" ibaresinden sonra gelmek üzere "Vakıf Uzmanları" ibaresi eklenmiş ve metne işlenmiştir.</t>
  </si>
  <si>
    <r>
      <t xml:space="preserve">(25) 1/7/2010 tarihli ve 6002 sayılı Kanunun 21 inci maddesiyle, bu bölümün </t>
    </r>
    <r>
      <rPr>
        <i/>
        <sz val="8"/>
        <color indexed="8"/>
        <rFont val="Times New Roman"/>
        <family val="1"/>
        <charset val="162"/>
      </rPr>
      <t>(h) bendine “Vakıf Uzmanları,” ibaresinden sonra gelmek üzere “Diyanet İşleri Uzmanları, Din İşleri Yüksek Kurulu Uzmanları,” ibaresi eklenmiş ve metne işlenmiştir.</t>
    </r>
  </si>
  <si>
    <r>
      <t xml:space="preserve">(26) 7/7/2010 tarihli ve 6004 sayılı Kanunun 23 üncü maddesiyle bu bölümün </t>
    </r>
    <r>
      <rPr>
        <i/>
        <sz val="8"/>
        <color indexed="8"/>
        <rFont val="Times New Roman"/>
        <family val="1"/>
        <charset val="162"/>
      </rPr>
      <t>(h) bendine "Devlet Bütçe Uzmanları," ibaresinden sonra gelmek üzere "Konsolosluk ve İhtisas Memurları," ibaresi eklenmiş ve metne işlenmiştir.</t>
    </r>
  </si>
  <si>
    <r>
      <t xml:space="preserve">(27) 25/11/2010 tarihli ve 6083 sayılı Kanunun 10 uncu maddesiyle bu bölümün </t>
    </r>
    <r>
      <rPr>
        <i/>
        <sz val="8"/>
        <color indexed="8"/>
        <rFont val="Times New Roman"/>
        <family val="1"/>
        <charset val="162"/>
      </rPr>
      <t xml:space="preserve">(h) bendine </t>
    </r>
    <r>
      <rPr>
        <i/>
        <sz val="8"/>
        <rFont val="Times New Roman"/>
        <family val="1"/>
        <charset val="162"/>
      </rPr>
      <t>“Vakıf Uzmanları,” ibaresinden sonra gelmek üzere “Tapu ve Kadastro Uzmanları,” ibaresi</t>
    </r>
    <r>
      <rPr>
        <i/>
        <sz val="8"/>
        <color indexed="8"/>
        <rFont val="Times New Roman"/>
        <family val="1"/>
        <charset val="162"/>
      </rPr>
      <t xml:space="preserve"> eklenmiş ve yine aynı bentte yer alan </t>
    </r>
    <r>
      <rPr>
        <i/>
        <sz val="8"/>
        <rFont val="Times New Roman"/>
        <family val="1"/>
        <charset val="162"/>
      </rPr>
      <t>“Tapu ve Kadastro Denetmenleri,” ibaresi yürürlükten kaldırılmıştır.</t>
    </r>
  </si>
  <si>
    <r>
      <t xml:space="preserve">(28) 28/12/2010 tarihli ve 6093 sayılı Kanunun 14 üncü maddesiyle, bu bölümün </t>
    </r>
    <r>
      <rPr>
        <i/>
        <sz val="8"/>
        <color indexed="8"/>
        <rFont val="Times New Roman"/>
        <family val="1"/>
        <charset val="162"/>
      </rPr>
      <t xml:space="preserve">(h) bendine </t>
    </r>
    <r>
      <rPr>
        <i/>
        <sz val="8"/>
        <rFont val="Times New Roman"/>
        <family val="1"/>
        <charset val="162"/>
      </rPr>
      <t>“Kültür ve Turizm Uzmanları,” ibaresinden sonra gelmek üzere “Yazma Eser Uzmanları,” ibaresi eklenmiş ve metne işlenmiştir.</t>
    </r>
  </si>
  <si>
    <r>
      <t xml:space="preserve">(29) 17/2/2011 tarihli ve 6114 sayılı Kanunun 11 inci maddesiyle, bu bölümün </t>
    </r>
    <r>
      <rPr>
        <i/>
        <sz val="8"/>
        <color indexed="8"/>
        <rFont val="Times New Roman"/>
        <family val="1"/>
        <charset val="162"/>
      </rPr>
      <t xml:space="preserve">(h) bendine </t>
    </r>
    <r>
      <rPr>
        <i/>
        <sz val="8"/>
        <rFont val="Times New Roman"/>
        <family val="1"/>
        <charset val="162"/>
      </rPr>
      <t>“Yurtdışı Türkler ve Akraba Topluluklar Uzmanları,” ibaresinden sonra gelmek üzere “Ölçme, Seçme ve Yerleştirme Merkezi Uzmanları,” ibaresi eklenmiş ve metne işlenmiştir.</t>
    </r>
  </si>
  <si>
    <t xml:space="preserve">(30) 3/6/2011 tarihli ve 643 sayılı KHK’nın 8 inci maddesiyle, bu bölümün; </t>
  </si>
  <si>
    <t xml:space="preserve">(31) Bu bölümün (h) bendine, 25/3/1997 tarihli ve 571 sayılı KHK ile “Çevre Uzmanları” ibaresinden sonra gelmek üzere “Özürlüler Uzmanı” ibaresi eklenmiş olup, daha sonra bu ibare 3/6/2011 tarihli ve 643 sayılı KHK’nın 8 inci maddesiyle yürürlükten kaldırılmıştır. </t>
  </si>
  <si>
    <t>(35) 25/8/2011 tarihli ve 652 sayılı KHK’nin 44 üncü maddesiylebölümünün (g) bendinde yer alan “Eğitim Müfettişleri,” ibaresi “Millî Eğitim Uzmanları, Millî Eğitim Denetçileri ve İl Eğitim Denetmenleri” şeklinde değiştirilmiştir.</t>
  </si>
  <si>
    <t>(37) 24/10/2011 tarihli ve 656 sayılı KHK’nın 20 nci maddesiyle bu bölümün (h) bendinde yer alan “Teknik Yardım Uzmanları” ibaresi “TİKA Uzmanları” şeklinde değiştirilmiştir.</t>
  </si>
  <si>
    <t>(38) 26/9/2011 tarihli ve 659 sayılı KHK’nın 17 nci maddesiyle bu bölümün (g) bendinin sonuna “, Maliye Uzmanları” ibaresi eklenmiş, aynı bölümün (h) bendinde yer alan “Maliye Uzmanı,” ibaresi yürürlükten kaldırılmış ve aynı bende “Ürün Denetmenleri,” ibaresinden sonra gelmek üzere “Defterdarlık Uzmanları,” ibaresi eklenmiştir.</t>
  </si>
  <si>
    <t>(39) 26/9/2011 tarihli ve 655 sayılı KHK’nın 44 üncü maddesiyle bu bölümün (h) bendinde yer alan “Ulaştırma ve Haberleşme Uzmanları,” ve “Denizcilik Uzmanları,” ibareleri yürürlükten kaldırılmış ve anılan bölümün (g) bendine “Sosyal Güvenlik Uzmanları,” ibaresinden sonra gelmek üzere “Ulaştırma ve Haberleşme Uzmanları,”, “Havacılık ve Uzay Teknolojileri Uzmanları,” ve “Denizcilik Uzmanları,” ibareleri eklenmiştir.</t>
  </si>
  <si>
    <r>
      <t>(40) 11/10/2011 665 sayılı KHK’nın 27 nci maddesiyle bu bölümün (h) bendinde yer alan “İstihdam ve Meslek Uzmanları” ibaresi “İstihdam Uzmanları” şeklinde değiştirilmiş ve aynı bende “Gelir Uzmanları” ibaresinden sonra gelmek üzere “İl İstihdam Uzmanları,” ibaresi eklenmiştir</t>
    </r>
    <r>
      <rPr>
        <sz val="8"/>
        <rFont val="Times New Roman"/>
        <family val="1"/>
        <charset val="162"/>
      </rPr>
      <t>.</t>
    </r>
  </si>
  <si>
    <t>(41) 11/10/2011 664 sayılı KHK’nın 28 inci maddesiyle bu bölümün (h) bendine “Basın ve Enformasyon Uzmanları,” ibaresinden sonra gelmek üzere “Yüksek Kurum Uzmanları,” ibaresi eklenmiştir.</t>
  </si>
  <si>
    <t>(42) 11/10/2011 663 sayılı KHK’nın 58 inci maddesiyle bu bölümün (g) bendine “Denizcilik Uzmanları” ibaresinden sonra gelmek üzere “, Sağlık Uzmanları ve Sağlık Denetçileri,” ibaresi eklenmiştir.</t>
  </si>
  <si>
    <t>i) Bu sınıfa dahil olup da yukarıda sayılanlar dışında kalanlardan,</t>
  </si>
  <si>
    <t>c) Kadroları bu sınıfa dahil olup da yukarıda sayılanlar dışındaki yüksek öğrenim mezunları ile Yüksek Tekniker ve Tekniker unvanını almış olanlar,</t>
  </si>
  <si>
    <t>a) Uzman Tabip, Tabip, Diş Hekimi, Uzman Veteriner Hekim, Veteriner Hekim, Eczacı, Biyolog, Tıpta Uzmanlık Tüzüğünde belirtilen dallarda uzmanlık belgesi alanlar veya bu dallarda uzmanlık unvanını doktora aşaması ile kazanmış bulunanlar</t>
  </si>
  <si>
    <t>b) Diğer sağlık bilimleri lisansiyerleri</t>
  </si>
  <si>
    <r>
      <t>Başbakanlık Müşaviri, Başbakanlık Başkan Yardımcısı, Bakanlık Müşaviri, Başbakanlık Basın Müşaviri, I. Hukuk Müşaviri, Elçi, Müsteşar, I.Sınıf Başkonsolos, Büyükelçilik I.Müsteşarı, Daire Başkanı (Ana ve Yardımcı Hizmet Birimi), Milli Kütüphane Başkan Yardımcısı</t>
    </r>
    <r>
      <rPr>
        <vertAlign val="superscript"/>
        <sz val="9"/>
        <rFont val="Times New Roman"/>
        <family val="1"/>
        <charset val="162"/>
      </rPr>
      <t>(1)</t>
    </r>
    <r>
      <rPr>
        <sz val="9"/>
        <rFont val="Times New Roman"/>
        <family val="1"/>
        <charset val="162"/>
      </rPr>
      <t xml:space="preserve">, Mali Suçları Araştırma Kurulu Başkan Yardımcısı, Vergi Denetim Kurulu Başkan Yardımcısı, </t>
    </r>
    <r>
      <rPr>
        <vertAlign val="superscript"/>
        <sz val="9"/>
        <rFont val="Times New Roman"/>
        <family val="1"/>
        <charset val="162"/>
      </rPr>
      <t>(27)</t>
    </r>
    <r>
      <rPr>
        <b/>
        <sz val="9"/>
        <rFont val="Times New Roman"/>
        <family val="1"/>
        <charset val="162"/>
      </rPr>
      <t xml:space="preserve"> </t>
    </r>
    <r>
      <rPr>
        <sz val="9"/>
        <rFont val="Times New Roman"/>
        <family val="1"/>
        <charset val="162"/>
      </rPr>
      <t xml:space="preserve">Genel Müdür Yardımcısı, Maliye Bakanlığı Hukuk Müşaviri, Dış Politika Danışma Kurulu Üyesi, Dışişleri Bakanlığı Eğitim Merkezi Sekreteri, İl İdare Kurulu üyesi Bakanlık İl Müdürleri ile Ankara, İstanbul ve İzmir illerindeki diğer Bakanlık İl Müdürleri (…) </t>
    </r>
    <r>
      <rPr>
        <vertAlign val="superscript"/>
        <sz val="9"/>
        <rFont val="Times New Roman"/>
        <family val="1"/>
        <charset val="162"/>
      </rPr>
      <t>(11)</t>
    </r>
    <r>
      <rPr>
        <sz val="9"/>
        <rFont val="Times New Roman"/>
        <family val="1"/>
        <charset val="162"/>
      </rPr>
      <t xml:space="preserve">, Bakanlık Bölge Müdürü, Yüksek Fen Kurulu Üyesi,(...) </t>
    </r>
    <r>
      <rPr>
        <vertAlign val="superscript"/>
        <sz val="9"/>
        <rFont val="Times New Roman"/>
        <family val="1"/>
        <charset val="162"/>
      </rPr>
      <t>(2)</t>
    </r>
    <r>
      <rPr>
        <sz val="9"/>
        <rFont val="Times New Roman"/>
        <family val="1"/>
        <charset val="162"/>
      </rPr>
      <t>,Maliye Başkanı, (…)</t>
    </r>
    <r>
      <rPr>
        <vertAlign val="superscript"/>
        <sz val="9"/>
        <rFont val="Times New Roman"/>
        <family val="1"/>
        <charset val="162"/>
      </rPr>
      <t>(11)</t>
    </r>
    <r>
      <rPr>
        <sz val="9"/>
        <rFont val="Times New Roman"/>
        <family val="1"/>
        <charset val="162"/>
      </rPr>
      <t xml:space="preserve"> ,Milli Emlak Dairesi Başkanı, Avrupa Birliği Bakanlığı Daire Başkanları,</t>
    </r>
    <r>
      <rPr>
        <vertAlign val="superscript"/>
        <sz val="9"/>
        <rFont val="Times New Roman"/>
        <family val="1"/>
        <charset val="162"/>
      </rPr>
      <t xml:space="preserve"> </t>
    </r>
    <r>
      <rPr>
        <sz val="9"/>
        <rFont val="Times New Roman"/>
        <family val="1"/>
        <charset val="162"/>
      </rPr>
      <t>Serbest Bölge Müdürü</t>
    </r>
    <r>
      <rPr>
        <b/>
        <sz val="9"/>
        <rFont val="Times New Roman"/>
        <family val="1"/>
        <charset val="162"/>
      </rPr>
      <t xml:space="preserve">, </t>
    </r>
    <r>
      <rPr>
        <sz val="9"/>
        <rFont val="Times New Roman"/>
        <family val="1"/>
        <charset val="162"/>
      </rPr>
      <t>Millî Eğitim Bakanlığı Bilgi İşlem Grup Başkanı ile İnşaat ve Emlak Grup Başkanı,olanlar</t>
    </r>
    <r>
      <rPr>
        <vertAlign val="superscript"/>
        <sz val="9"/>
        <rFont val="Times New Roman"/>
        <family val="1"/>
        <charset val="162"/>
      </rPr>
      <t>(25) (3) (13) (28)</t>
    </r>
  </si>
  <si>
    <r>
      <t>Vakıflar Meclisi Üyesi, Yönetim Kurulu Üyesi, A.O.Ç. Müdürü, Devlet Personel Başkanlığı Başkan Yardımcısı, Türkiye Halk Sağlığı Kurumu Başkan Yardımcısı, Türkiye İlaç ve Tıbbî Cihaz Kurumu Başkan Yardımcısı, Türkiye Kamu Hastaneleri Kurumu Başkan Yardımcısı</t>
    </r>
    <r>
      <rPr>
        <vertAlign val="superscript"/>
        <sz val="8"/>
        <rFont val="Times New Roman"/>
        <family val="1"/>
        <charset val="162"/>
      </rPr>
      <t>(30)</t>
    </r>
    <r>
      <rPr>
        <sz val="9"/>
        <rFont val="Times New Roman"/>
        <family val="1"/>
        <charset val="162"/>
      </rPr>
      <t xml:space="preserve"> </t>
    </r>
    <r>
      <rPr>
        <sz val="8"/>
        <rFont val="Times New Roman"/>
        <family val="1"/>
        <charset val="162"/>
      </rPr>
      <t>Türk Patent Enstitüsü Başkan Yardımcısı.</t>
    </r>
    <r>
      <rPr>
        <vertAlign val="superscript"/>
        <sz val="8"/>
        <rFont val="Times New Roman"/>
        <family val="1"/>
        <charset val="162"/>
      </rPr>
      <t>(3)</t>
    </r>
    <r>
      <rPr>
        <sz val="8"/>
        <rFont val="Times New Roman"/>
        <family val="1"/>
        <charset val="162"/>
      </rPr>
      <t xml:space="preserve"> Atom Enerjisi Kurumu Başkan Yard., Özel Çevre Koruma Kurumu Başkan Yardımcısı, (…)</t>
    </r>
    <r>
      <rPr>
        <vertAlign val="superscript"/>
        <sz val="8"/>
        <rFont val="Times New Roman"/>
        <family val="1"/>
        <charset val="162"/>
      </rPr>
      <t>(26)</t>
    </r>
    <r>
      <rPr>
        <sz val="8"/>
        <rFont val="Times New Roman"/>
        <family val="1"/>
        <charset val="162"/>
      </rPr>
      <t xml:space="preserve"> , (…)</t>
    </r>
    <r>
      <rPr>
        <vertAlign val="superscript"/>
        <sz val="8"/>
        <rFont val="Times New Roman"/>
        <family val="1"/>
        <charset val="162"/>
      </rPr>
      <t>(19)</t>
    </r>
    <r>
      <rPr>
        <sz val="8"/>
        <rFont val="Times New Roman"/>
        <family val="1"/>
        <charset val="162"/>
      </rPr>
      <t>, Adli Tıp Kurumu Başkan Yardımcısı, Atatürk Kültür, Dil ve Tarih Yüksek Kurumu Denetleme Kurulu Başkanı ile Atatürk Araştırma Merkezi, Türk Dil Kurumu, Türk Tarih Kurumu, Atatürk Kültür Merkezi Başkan Yardımcıları, Milli Savunma Bakanlığı Akaryakıt İkmal ve NATO POL Tesisleri İşletme Başkan Yardımcısı, (…)</t>
    </r>
    <r>
      <rPr>
        <vertAlign val="superscript"/>
        <sz val="8"/>
        <rFont val="Times New Roman"/>
        <family val="1"/>
        <charset val="162"/>
      </rPr>
      <t>(25)</t>
    </r>
    <r>
      <rPr>
        <sz val="8"/>
        <rFont val="Times New Roman"/>
        <family val="1"/>
        <charset val="162"/>
      </rPr>
      <t xml:space="preserve"> (…)</t>
    </r>
    <r>
      <rPr>
        <vertAlign val="superscript"/>
        <sz val="8"/>
        <rFont val="Times New Roman"/>
        <family val="1"/>
        <charset val="162"/>
      </rPr>
      <t>(25)</t>
    </r>
    <r>
      <rPr>
        <sz val="8"/>
        <rFont val="Times New Roman"/>
        <family val="1"/>
        <charset val="162"/>
      </rPr>
      <t xml:space="preserve"> (…)</t>
    </r>
    <r>
      <rPr>
        <vertAlign val="superscript"/>
        <sz val="8"/>
        <rFont val="Times New Roman"/>
        <family val="1"/>
        <charset val="162"/>
      </rPr>
      <t>(25)</t>
    </r>
    <r>
      <rPr>
        <sz val="8"/>
        <rFont val="Times New Roman"/>
        <family val="1"/>
        <charset val="162"/>
      </rPr>
      <t xml:space="preserve"> Hazine Müsteşarlığı (…)</t>
    </r>
    <r>
      <rPr>
        <vertAlign val="superscript"/>
        <sz val="8"/>
        <rFont val="Times New Roman"/>
        <family val="1"/>
        <charset val="162"/>
      </rPr>
      <t>(25)</t>
    </r>
    <r>
      <rPr>
        <sz val="8"/>
        <rFont val="Times New Roman"/>
        <family val="1"/>
        <charset val="162"/>
      </rPr>
      <t xml:space="preserve"> Daire Başkanı (Ana ve Yardımcı Hizmet Birimi), Türkiye İstatistik Kurumu Daire Başkanı, Türk İşbirliği ve Koordinasyon Ajansı Daire Başkanı</t>
    </r>
    <r>
      <rPr>
        <vertAlign val="superscript"/>
        <sz val="8"/>
        <rFont val="Times New Roman"/>
        <family val="1"/>
        <charset val="162"/>
      </rPr>
      <t>(29)</t>
    </r>
    <r>
      <rPr>
        <sz val="8"/>
        <rFont val="Times New Roman"/>
        <family val="1"/>
        <charset val="162"/>
      </rPr>
      <t>, Türkiye Yazma Eserler Başkanlığı Daire Başkanı,</t>
    </r>
    <r>
      <rPr>
        <sz val="9"/>
        <rFont val="Times New Roman"/>
        <family val="1"/>
        <charset val="162"/>
      </rPr>
      <t xml:space="preserve"> </t>
    </r>
    <r>
      <rPr>
        <sz val="8"/>
        <rFont val="Times New Roman"/>
        <family val="1"/>
        <charset val="162"/>
      </rPr>
      <t>Türkiye Yazma Eserler Başkanlığı Araştırma ve Eğitim Merkezi Müdürü, Türkiye Yazma Eserler Başkanlığı Bölge Müdürü,</t>
    </r>
    <r>
      <rPr>
        <sz val="8"/>
        <color indexed="10"/>
        <rFont val="Times New Roman"/>
        <family val="1"/>
        <charset val="162"/>
      </rPr>
      <t xml:space="preserve"> </t>
    </r>
    <r>
      <rPr>
        <sz val="8"/>
        <rFont val="Times New Roman"/>
        <family val="1"/>
        <charset val="162"/>
      </rPr>
      <t>Türkiye Yazma Eserler Başkanlığı Müşaviri,</t>
    </r>
    <r>
      <rPr>
        <vertAlign val="superscript"/>
        <sz val="8"/>
        <rFont val="Times New Roman"/>
        <family val="1"/>
        <charset val="162"/>
      </rPr>
      <t>(24)</t>
    </r>
    <r>
      <rPr>
        <sz val="8"/>
        <rFont val="Times New Roman"/>
        <family val="1"/>
        <charset val="162"/>
      </rPr>
      <t xml:space="preserve">Yurtdışı Türkler ve Akraba Topluluklar Başkanlığı Daire Başkanı, </t>
    </r>
    <r>
      <rPr>
        <vertAlign val="superscript"/>
        <sz val="8"/>
        <rFont val="Times New Roman"/>
        <family val="1"/>
        <charset val="162"/>
      </rPr>
      <t>(20)</t>
    </r>
    <r>
      <rPr>
        <sz val="8"/>
        <rFont val="Times New Roman"/>
        <family val="1"/>
        <charset val="162"/>
      </rPr>
      <t xml:space="preserve"> Gelir İdaresi Daire Başkanı, Afet ve Acil Durum Yönetimi Başkanlığı Daire Başkanı, Vergi Dairesi Başkanı,Genel Müdür Yardımcısı, Sosyal Güvenlik Kurumu Aktüerya ve Fon Yönetimi Daire Başkanı, Sosyal Güvenlik Kurumu İnsan Kaynakları Daire Başkanı, Sosyal Güvenlik Kurumu Destek Hizmetleri Daire Başkanı, Sosyal Güvenlik Kurumu İnşaat ve Emlak Daire Başkanı, Sosyal Güvenlik İl Müdürü (Ankara, İstanbul, İzmir)</t>
    </r>
    <r>
      <rPr>
        <vertAlign val="superscript"/>
        <sz val="8"/>
        <rFont val="Times New Roman"/>
        <family val="1"/>
        <charset val="162"/>
      </rPr>
      <t>(14)</t>
    </r>
    <r>
      <rPr>
        <sz val="8"/>
        <rFont val="Times New Roman"/>
        <family val="1"/>
        <charset val="162"/>
      </rPr>
      <t>, Teftiş Kurulu Başkanı, Teftiş ve Kontrol Kurulu Başkanı, Teftiş ve Tetkik Kurulu Başkanı, Vakıflar Genel Müdürlüğü</t>
    </r>
  </si>
  <si>
    <r>
      <t xml:space="preserve">Büyükşehir Belediye Teftiş Kurulu Müdürü, Büyükşehir Belediye Genel Sekreter Yardımcısı </t>
    </r>
    <r>
      <rPr>
        <vertAlign val="superscript"/>
        <sz val="9"/>
        <rFont val="Times New Roman"/>
        <family val="1"/>
        <charset val="162"/>
      </rPr>
      <t>(9)</t>
    </r>
    <r>
      <rPr>
        <sz val="9"/>
        <rFont val="Times New Roman"/>
        <family val="1"/>
        <charset val="162"/>
      </rPr>
      <t xml:space="preserve"> ,Teftiş Kurulu Başkanı, Genel Müdür Yardımcıları,</t>
    </r>
    <r>
      <rPr>
        <vertAlign val="superscript"/>
        <sz val="9"/>
        <rFont val="Times New Roman"/>
        <family val="1"/>
        <charset val="162"/>
      </rPr>
      <t>(5)</t>
    </r>
  </si>
  <si>
    <t>(2) Bu arada yer alan”Gümrükler Başmüdürü (Ankara,İstanbul,İzmir),Gümrükler Muhafaza Başmüdürü (Ankara,İstanbul,İzmir)”ibareleri19/4/2004 tarihli ve 2004/7173 sayılı Kararname ile 24/9/2003 tarihinden geçerli olmak üzere metinden çıkarılmıştır.</t>
  </si>
  <si>
    <t>(8) “Dış Ticaret Müsteşarlığı Bölge Müdürü” ibaresinden sonra yer alan “Gümrük ve Muhafaza Başmüdürü (Ankara,İstanbul,İzmir)”îbaresi 19/4/2004 tarihli ve 2004/7173 sayılı Kararname ile 24/9/2003 tarihinden geçerli olmak üzere eklenmiş olup, 3/6/2011 tarihli ve 643 sayılı Kanunun 8 inci maddesiyle yürürlükten kaldırılmıştır.</t>
  </si>
  <si>
    <t>(11) Bu aralarda yer alan "Defterdar" ibaresinden sonra gelen "(Ankara, İstanbul, İzmir)" ve "Gelirler Bölge Müdürü, Vergi Dairesi Başkanı" ibareleri, 5/5/2005 tarihli ve 5345 sayılı Kanunun 35 inci maddesiyle yürürlükten kaldırılmıştır.</t>
  </si>
  <si>
    <t xml:space="preserve">(15) Bu bölüme, 20/2/2008 tarihli ve 5737 sayılı Kanunun 79 uncu maddesiyle "Teftiş ve Tetkik Kurulu Başkanı” ibaresinden sonra gelmek üzere "Vakıflar Genel Müdürlüğü Rehberlik ve Teftiş Başkanı" ibaresi eklenmiş ve metne işlenmiştir. </t>
  </si>
  <si>
    <t xml:space="preserve">(17) 29/5/2009 tarihli ve 5902 sayılı Kanunun 25 inci maddesiyle bu bölüme “Gelir İdaresi Daire Başkanı” ibaresinden sonra gelmek üzere “Afet ve Acil Durum Yönetimi Başkanlığı Daire Başkanı,” ibaresi eklenmiş ve metne işlenmiştir. </t>
  </si>
  <si>
    <t>(19) 25/2/2010 tarihli ve 5953 sayılı Kanunun 7 nci maddesiyle bu bölümde yer alan “Toplu Konut İdaresi Başkan Yard. Kamu Ortaklığı İdaresi Başkan Yardımcısı,” ibaresi yürürlükten kaldırılmıştır.</t>
  </si>
  <si>
    <t>a) Başbakanlık ve Bakanlıklarda" bölümünde yer alan "Milli Emlak Dairesi Başkanı" ibaresinden sonra gelmek üzere ", Avrupa Birliği Bakanlığı Daire Başkanları, Serbest Bölge Müdürü" ibaresi eklenmiş ve metne işlenmiştir.</t>
  </si>
  <si>
    <t>b) Yargı Kuruluşları, Bağlı ve İlgili Kuruluşlar ile Yüksek Öğretim Kuruluşlarında bölümünde yer alan "Devlet Planlama Teşkilatı Genel Sekreter Yardımcısı, Avrupa Birliği Genel Sekreterliği Müşaviri, Devlet Planlama Teşkilatı Daire Başkanı (Ana Hizmet Birimi),", "ve Dış Ticaret Müsteşarlığı", "Dış Ticaret Müsteşarlığı Bölge Müdürü, Gümrük ve Muhafaza Başmüdürü (Ankara, İstanbul, İzmir), Serbest Bölge Müdürü,", "Avrupa Birliği Genel Sekreterliği Daire Başkanları" ibareleri yürürlükten kaldırılmış ve metne işlenmiştir.</t>
  </si>
  <si>
    <t>(26) 29/6/2011 tarihli ve 644 sayılı KHK’nin 37 maddesinin (19) numaralı fıkrasının (4) numaralı bendinde yer alan hükme istinaden Yargı Kuruluşları, Bağlı ve İlgili Kuruluşlar ile Yüksek Öğretim Kuruluşlarında bölümünde yer alan “Özürlüler İdaresi Başkan Yardımcısı,” ibaresi yürürlükten kaldırılmıştır.</t>
  </si>
  <si>
    <t>(28) 25/8/2011 tarihli ve 652 sayılı KHK’nin 44 üncü maddesiyle bu bölümde yer alan “Serbest Bölge Müdürü” ibaresinden sonra gelmek üzere “, Millî Eğitim Bakanlığı Bilgi İşlem Grup Başkanı ile İnşaat ve Emlak Grup Başkanı,” ibaresi eklenmiştir.</t>
  </si>
  <si>
    <r>
      <t xml:space="preserve">(29) 24/10/2011 tarihli ve 656 sayılı KHK’nın 20 nci maddesiyle bu </t>
    </r>
    <r>
      <rPr>
        <i/>
        <sz val="8"/>
        <rFont val="Times New Roman"/>
        <family val="1"/>
        <charset val="162"/>
      </rPr>
      <t>bölüme “Türkiye İstatistik Kurumu Daire Başkanı,” ibaresinden sonra gelmek üzere “Türk İşbirliği ve Koordinasyon Ajansı Daire Başkanı,” ibaresi eklenmiştir.</t>
    </r>
    <r>
      <rPr>
        <i/>
        <sz val="7"/>
        <rFont val="Times New Roman"/>
        <family val="1"/>
        <charset val="162"/>
      </rPr>
      <t xml:space="preserve"> </t>
    </r>
  </si>
  <si>
    <t>(30) 11/10/2011 tarihli ve 663 sayılı KHK’nın 58 inci maddesiyle bu bölümde yer alan “Devlet Personel Başkanlığı Başkan Yardımcısı” ibaresinden sonra gelmek üzere “Türkiye Halk Sağlığı Kurumu Başkan Yardımcısı, Türkiye İlaç ve Tıbbî Cihaz Kurumu Başkan Yardımcısı, Türkiye Kamu Hastaneleri Kurumu Başkan Yardımcısı” ibaresi eklenmişitir.</t>
  </si>
  <si>
    <r>
      <t>Hukuk Müşaviri, Bakanlık Özel Kalem Müdürü, (...)</t>
    </r>
    <r>
      <rPr>
        <vertAlign val="superscript"/>
        <sz val="9"/>
        <rFont val="Times New Roman"/>
        <family val="1"/>
        <charset val="162"/>
      </rPr>
      <t>(1)</t>
    </r>
    <r>
      <rPr>
        <sz val="9"/>
        <rFont val="Times New Roman"/>
        <family val="1"/>
        <charset val="162"/>
      </rPr>
      <t>, Genel Müdürlük ve Başkanlık Daire Başkanı, Millî Eğitim Bakanlığı Grup Başkanı,</t>
    </r>
    <r>
      <rPr>
        <vertAlign val="superscript"/>
        <sz val="9"/>
        <rFont val="Times New Roman"/>
        <family val="1"/>
        <charset val="162"/>
      </rPr>
      <t xml:space="preserve"> (9)</t>
    </r>
    <r>
      <rPr>
        <sz val="9"/>
        <rFont val="Times New Roman"/>
        <family val="1"/>
        <charset val="162"/>
      </rPr>
      <t xml:space="preserve"> Basın ve Halkla İlişkiler Müşaviri, Başbakanlık Merkez Teşkilatında Araştırmacı</t>
    </r>
    <r>
      <rPr>
        <vertAlign val="superscript"/>
        <sz val="9"/>
        <rFont val="Times New Roman"/>
        <family val="1"/>
        <charset val="162"/>
      </rPr>
      <t>(2)</t>
    </r>
    <r>
      <rPr>
        <sz val="9"/>
        <rFont val="Times New Roman"/>
        <family val="1"/>
        <charset val="162"/>
      </rPr>
      <t xml:space="preserve">, Dışişleri Bakanlığı Özel Müşaviri, Savunma Sekreteri, Bütçe Dairesi Başkanı Saymanlık Müdürü, Bakanlık İl Müdürü, (…) </t>
    </r>
    <r>
      <rPr>
        <vertAlign val="superscript"/>
        <sz val="9"/>
        <rFont val="Times New Roman"/>
        <family val="1"/>
        <charset val="162"/>
      </rPr>
      <t>(6)</t>
    </r>
    <r>
      <rPr>
        <sz val="9"/>
        <rFont val="Times New Roman"/>
        <family val="1"/>
        <charset val="162"/>
      </rPr>
      <t xml:space="preserve">, Askeri Defterdar, (…) </t>
    </r>
    <r>
      <rPr>
        <vertAlign val="superscript"/>
        <sz val="9"/>
        <rFont val="Times New Roman"/>
        <family val="1"/>
        <charset val="162"/>
      </rPr>
      <t xml:space="preserve">(6) </t>
    </r>
    <r>
      <rPr>
        <sz val="9"/>
        <rFont val="Times New Roman"/>
        <family val="1"/>
        <charset val="162"/>
      </rPr>
      <t xml:space="preserve">Muhasebe Müdürü, (…) </t>
    </r>
    <r>
      <rPr>
        <vertAlign val="superscript"/>
        <sz val="9"/>
        <rFont val="Times New Roman"/>
        <family val="1"/>
        <charset val="162"/>
      </rPr>
      <t>(6)</t>
    </r>
    <r>
      <rPr>
        <sz val="9"/>
        <rFont val="Times New Roman"/>
        <family val="1"/>
        <charset val="162"/>
      </rPr>
      <t xml:space="preserve"> Muvazzaf Uzlaşma Komisyonu Başkanı, (…) </t>
    </r>
    <r>
      <rPr>
        <vertAlign val="superscript"/>
        <sz val="9"/>
        <rFont val="Times New Roman"/>
        <family val="1"/>
        <charset val="162"/>
      </rPr>
      <t>(6)</t>
    </r>
    <r>
      <rPr>
        <sz val="9"/>
        <rFont val="Times New Roman"/>
        <family val="1"/>
        <charset val="162"/>
      </rPr>
      <t xml:space="preserve"> Milli Emlak Müdürü, Cezaevi Müdürü, Nüfus ve Vatandaşlık Müdürü, İl Sosyal Etüt ve Proje Müdürü, </t>
    </r>
    <r>
      <rPr>
        <vertAlign val="superscript"/>
        <sz val="9"/>
        <rFont val="Times New Roman"/>
        <family val="1"/>
        <charset val="162"/>
      </rPr>
      <t>(7)</t>
    </r>
    <r>
      <rPr>
        <sz val="9"/>
        <rFont val="Times New Roman"/>
        <family val="1"/>
        <charset val="162"/>
      </rPr>
      <t xml:space="preserve"> (...) </t>
    </r>
    <r>
      <rPr>
        <vertAlign val="superscript"/>
        <sz val="9"/>
        <rFont val="Times New Roman"/>
        <family val="1"/>
        <charset val="162"/>
      </rPr>
      <t>(3)</t>
    </r>
    <r>
      <rPr>
        <sz val="9"/>
        <rFont val="Times New Roman"/>
        <family val="1"/>
        <charset val="162"/>
      </rPr>
      <t>, Bayındırlık ve İskan Müdürü, İstanbul Atatürk Kül.Mer.Müdürü, Müze Müdürü (İstanbul Topkapı), Okul Müdürü (Unvanlılar dahil), Maliye Kursu Müdürü, Muhakemat Müdürü, Hastane Müdürü, İşçi Sağlığı ve İş Güvenliği Ens. Müd., Gemi Sürvey Kurulu Başkanı, İst.Validebağ Sanatoryum ve Öğr. Hst. Başk., Sivil Savunma Koleji Müdürü, Defterdar Yardımcısı, Ekonomi Bakanlığı Bölge Müdür Yardımcısı ve Serbest Bölge Müdür Yardımcısı, Gümrük ve Ticaret Bakanlığı Bölge Müdür Yardımcısı,</t>
    </r>
    <r>
      <rPr>
        <vertAlign val="superscript"/>
        <sz val="9"/>
        <rFont val="Times New Roman"/>
        <family val="1"/>
        <charset val="162"/>
      </rPr>
      <t>(8)</t>
    </r>
    <r>
      <rPr>
        <sz val="9"/>
        <rFont val="Times New Roman"/>
        <family val="1"/>
        <charset val="162"/>
      </rPr>
      <t xml:space="preserve"> (...)</t>
    </r>
    <r>
      <rPr>
        <vertAlign val="superscript"/>
        <sz val="9"/>
        <rFont val="Times New Roman"/>
        <family val="1"/>
        <charset val="162"/>
      </rPr>
      <t>(3)</t>
    </r>
    <r>
      <rPr>
        <sz val="9"/>
        <rFont val="Times New Roman"/>
        <family val="1"/>
        <charset val="162"/>
      </rPr>
      <t xml:space="preserve"> , Mal Müdürü, (...)</t>
    </r>
    <r>
      <rPr>
        <vertAlign val="superscript"/>
        <sz val="9"/>
        <rFont val="Times New Roman"/>
        <family val="1"/>
        <charset val="162"/>
      </rPr>
      <t>(4)</t>
    </r>
    <r>
      <rPr>
        <sz val="9"/>
        <rFont val="Times New Roman"/>
        <family val="1"/>
        <charset val="162"/>
      </rPr>
      <t xml:space="preserve"> (…) </t>
    </r>
    <r>
      <rPr>
        <vertAlign val="superscript"/>
        <sz val="9"/>
        <rFont val="Times New Roman"/>
        <family val="1"/>
        <charset val="162"/>
      </rPr>
      <t>(6)</t>
    </r>
    <r>
      <rPr>
        <sz val="9"/>
        <rFont val="Times New Roman"/>
        <family val="1"/>
        <charset val="162"/>
      </rPr>
      <t xml:space="preserve"> Emlak Müdürü (Maliye Bakanlığı), Müze Başkanı (Kültür ve Turizm Bakanlığı),</t>
    </r>
    <r>
      <rPr>
        <vertAlign val="superscript"/>
        <sz val="9"/>
        <rFont val="Times New Roman"/>
        <family val="1"/>
        <charset val="162"/>
      </rPr>
      <t>(5)</t>
    </r>
  </si>
  <si>
    <t>(7) 17/2/2010 tarihli ve 5952 sayılı Kanunun 18 inci maddesiyle, bu bölümde yer alan ''Nüfus ve Vatandaşlık Müdürü," ibaresinden sonra gelmek üzere "İl Sosyal Etüt ve Proje Müdürü," ibaresi eklenmiş ve metne işlenmiştir.</t>
  </si>
  <si>
    <t>(8) 3/6/2011 tarihli ve 643 sayılı KHK’nın 8 inci maddesiyle, bu bölüme "Defterdar Yardımcısı," ibaresinden sonra gelmek üzere "Ekonomi Bakanlığı Bölge Müdür Yardımcısı ve Serbest Bölge Müdür Yardımcısı, Gümrük ve Ticaret Bakanlığı Bölge Müdür Yardımcısı," ibaresi eklenmiş ve metne işlenmiştir.</t>
  </si>
  <si>
    <t>(9) 25/8/2011 tarihli ve 652 sayılı KHK’nin 44 üncü maddesiyle bu bölümde yer alan “Başkanlık Daire Başkanı,” ibaresinden sonra gelmek üzere “Millî Eğitim Bakanlığı Grup Başkanı,” ibaresi eklenmiştir.</t>
  </si>
  <si>
    <r>
      <t xml:space="preserve">Atatürk Kültür, Dil ve Tarih Yüksek Kurumu Denetleme Kurul Üyesi, Başhukuk Müşaviri, Yurtdışı Türkler ve Akraba Topluluklar Başkanlığı Başkanlık Müşavirleri ile Basın Müşaviri, </t>
    </r>
    <r>
      <rPr>
        <vertAlign val="superscript"/>
        <sz val="8"/>
        <rFont val="Times New Roman"/>
        <family val="1"/>
        <charset val="162"/>
      </rPr>
      <t>(10)</t>
    </r>
    <r>
      <rPr>
        <sz val="8"/>
        <rFont val="Times New Roman"/>
        <family val="1"/>
        <charset val="162"/>
      </rPr>
      <t xml:space="preserve"> Hukuk Müşaviri,İstatistik Müşaviri, </t>
    </r>
    <r>
      <rPr>
        <vertAlign val="superscript"/>
        <sz val="8"/>
        <rFont val="Times New Roman"/>
        <family val="1"/>
        <charset val="162"/>
      </rPr>
      <t>(7)</t>
    </r>
    <r>
      <rPr>
        <sz val="8"/>
        <rFont val="Times New Roman"/>
        <family val="1"/>
        <charset val="162"/>
      </rPr>
      <t xml:space="preserve"> Daire Başkanı, Gelir İdaresi Grup Başkanı, </t>
    </r>
    <r>
      <rPr>
        <vertAlign val="superscript"/>
        <sz val="8"/>
        <rFont val="Times New Roman"/>
        <family val="1"/>
        <charset val="162"/>
      </rPr>
      <t>(6)</t>
    </r>
    <r>
      <rPr>
        <sz val="8"/>
        <rFont val="Times New Roman"/>
        <family val="1"/>
        <charset val="162"/>
      </rPr>
      <t xml:space="preserve"> Hazine Saymanı, Genel Sekreter, Çalışma ve Sosyal Güvenlik Eğitim ve Araştırma Merkezi Başkan Yardımcısı</t>
    </r>
    <r>
      <rPr>
        <vertAlign val="superscript"/>
        <sz val="8"/>
        <rFont val="Times New Roman"/>
        <family val="1"/>
        <charset val="162"/>
      </rPr>
      <t>(1)</t>
    </r>
    <r>
      <rPr>
        <sz val="8"/>
        <rFont val="Times New Roman"/>
        <family val="1"/>
        <charset val="162"/>
      </rPr>
      <t>R.S.Hıfzıssıhha Merkezi Başkanı,(…)</t>
    </r>
    <r>
      <rPr>
        <vertAlign val="superscript"/>
        <sz val="8"/>
        <rFont val="Times New Roman"/>
        <family val="1"/>
        <charset val="162"/>
      </rPr>
      <t>(2)</t>
    </r>
    <r>
      <rPr>
        <sz val="8"/>
        <rFont val="Times New Roman"/>
        <family val="1"/>
        <charset val="162"/>
      </rPr>
      <t xml:space="preserve"> Bölge Müdürü, Bölge Müdür Yardımcısı, (…)</t>
    </r>
    <r>
      <rPr>
        <vertAlign val="superscript"/>
        <sz val="8"/>
        <rFont val="Times New Roman"/>
        <family val="1"/>
        <charset val="162"/>
      </rPr>
      <t>(3)</t>
    </r>
    <r>
      <rPr>
        <sz val="8"/>
        <rFont val="Times New Roman"/>
        <family val="1"/>
        <charset val="162"/>
      </rPr>
      <t xml:space="preserve"> İl Müdürü, Afet ve Acil Durum Eğitim Merkezi Müdürü,</t>
    </r>
    <r>
      <rPr>
        <vertAlign val="superscript"/>
        <sz val="8"/>
        <rFont val="Times New Roman"/>
        <family val="1"/>
        <charset val="162"/>
      </rPr>
      <t xml:space="preserve"> (9)</t>
    </r>
    <r>
      <rPr>
        <sz val="8"/>
        <rFont val="Times New Roman"/>
        <family val="1"/>
        <charset val="162"/>
      </rPr>
      <t xml:space="preserve"> (...) </t>
    </r>
    <r>
      <rPr>
        <vertAlign val="superscript"/>
        <sz val="8"/>
        <rFont val="Times New Roman"/>
        <family val="1"/>
        <charset val="162"/>
      </rPr>
      <t>(4)</t>
    </r>
    <r>
      <rPr>
        <sz val="8"/>
        <rFont val="Times New Roman"/>
        <family val="1"/>
        <charset val="162"/>
      </rPr>
      <t xml:space="preserve">, Türkiye İstatistik Kurumunda Müdür, </t>
    </r>
    <r>
      <rPr>
        <vertAlign val="superscript"/>
        <sz val="8"/>
        <rFont val="Times New Roman"/>
        <family val="1"/>
        <charset val="162"/>
      </rPr>
      <t>(7)</t>
    </r>
    <r>
      <rPr>
        <sz val="8"/>
        <rFont val="Times New Roman"/>
        <family val="1"/>
        <charset val="162"/>
      </rPr>
      <t xml:space="preserve"> </t>
    </r>
    <r>
      <rPr>
        <sz val="8"/>
        <color indexed="8"/>
        <rFont val="Times New Roman"/>
        <family val="1"/>
        <charset val="162"/>
      </rPr>
      <t>Diyanet İşleri Başkanlığı Basın ve Halkla İlişkiler Müşaviri, Diyanet İşleri Başkanlığı Özel Kalem Müdürü, Diyanet İşleri Başkanlığı Eğitim Merkezi Müdürü, İl Müftü Yardımcısı, İlçe Müftüsü,</t>
    </r>
    <r>
      <rPr>
        <vertAlign val="superscript"/>
        <sz val="8"/>
        <color indexed="8"/>
        <rFont val="Times New Roman"/>
        <family val="1"/>
        <charset val="162"/>
      </rPr>
      <t>(11)</t>
    </r>
    <r>
      <rPr>
        <sz val="8"/>
        <color indexed="8"/>
        <rFont val="Times New Roman"/>
        <family val="1"/>
        <charset val="162"/>
      </rPr>
      <t xml:space="preserve"> </t>
    </r>
    <r>
      <rPr>
        <sz val="8"/>
        <rFont val="Times New Roman"/>
        <family val="1"/>
        <charset val="162"/>
      </rPr>
      <t>Sosyal Sigortalar Kurumu Sigorta İl Müdürü, Sosyal Sigortalar Kurumu Sigorta Müdürü, Sosyal Sigortalar Kurumu Sağlık İşleri İl Müdürü, Sosyal Sigortalar Kurumu Hastane Müdürü,</t>
    </r>
    <r>
      <rPr>
        <vertAlign val="superscript"/>
        <sz val="8"/>
        <rFont val="Times New Roman"/>
        <family val="1"/>
        <charset val="162"/>
      </rPr>
      <t xml:space="preserve">(8) </t>
    </r>
    <r>
      <rPr>
        <sz val="8"/>
        <rFont val="Times New Roman"/>
        <family val="1"/>
        <charset val="162"/>
      </rPr>
      <t xml:space="preserve">(…) </t>
    </r>
    <r>
      <rPr>
        <vertAlign val="superscript"/>
        <sz val="8"/>
        <rFont val="Times New Roman"/>
        <family val="1"/>
        <charset val="162"/>
      </rPr>
      <t xml:space="preserve">(11) </t>
    </r>
    <r>
      <rPr>
        <sz val="8"/>
        <rFont val="Times New Roman"/>
        <family val="1"/>
        <charset val="162"/>
      </rPr>
      <t>Savunma Sekreteri</t>
    </r>
    <r>
      <rPr>
        <vertAlign val="superscript"/>
        <sz val="8"/>
        <rFont val="Times New Roman"/>
        <family val="1"/>
        <charset val="162"/>
      </rPr>
      <t>(5)</t>
    </r>
    <r>
      <rPr>
        <sz val="8"/>
        <rFont val="Times New Roman"/>
        <family val="1"/>
        <charset val="162"/>
      </rPr>
      <t xml:space="preserve">, Meteoroloji Teknik Lisesi Müdürü, (…) </t>
    </r>
    <r>
      <rPr>
        <vertAlign val="superscript"/>
        <sz val="8"/>
        <rFont val="Times New Roman"/>
        <family val="1"/>
        <charset val="162"/>
      </rPr>
      <t>(12)</t>
    </r>
    <r>
      <rPr>
        <sz val="8"/>
        <rFont val="Times New Roman"/>
        <family val="1"/>
        <charset val="162"/>
      </rPr>
      <t xml:space="preserve"> Tapu ve Kadastro Eğitim Müdürü,</t>
    </r>
    <r>
      <rPr>
        <vertAlign val="superscript"/>
        <sz val="8"/>
        <rFont val="Times New Roman"/>
        <family val="1"/>
        <charset val="162"/>
      </rPr>
      <t>(12)</t>
    </r>
    <r>
      <rPr>
        <sz val="8"/>
        <rFont val="Times New Roman"/>
        <family val="1"/>
        <charset val="162"/>
      </rPr>
      <t>Yüksek Fen Kurulu Başkanı, Tetkik Kurulu Başkanı, Fen ve Tetkik Kurulu Başkanı, Araştırma Geliştirme Kurulu Başkanı, Tetkik ve İstişare Kurulu Başkanı, Devlet Opera ve Balesi Müdürü, Üniversite Genel Sekreter Yardımcısı, A.O.Ç. Müdür Yardımcısı, Araştırma ve Teknik Eğitim Merkezi Başkanı, S.S.K. Sağlık Meslek Lisesi Müdürü, Yurt Müdürü, Tapu Müdürü,</t>
    </r>
    <r>
      <rPr>
        <vertAlign val="superscript"/>
        <sz val="8"/>
        <rFont val="Times New Roman"/>
        <family val="1"/>
        <charset val="162"/>
      </rPr>
      <t xml:space="preserve">(12) </t>
    </r>
    <r>
      <rPr>
        <sz val="8"/>
        <rFont val="Times New Roman"/>
        <family val="1"/>
        <charset val="162"/>
      </rPr>
      <t>Kadastro Müdürü, Kambiyo Müdürü, (...)</t>
    </r>
    <r>
      <rPr>
        <vertAlign val="superscript"/>
        <sz val="8"/>
        <rFont val="Times New Roman"/>
        <family val="1"/>
        <charset val="162"/>
      </rPr>
      <t>(3)</t>
    </r>
    <r>
      <rPr>
        <sz val="8"/>
        <rFont val="Times New Roman"/>
        <family val="1"/>
        <charset val="162"/>
      </rPr>
      <t xml:space="preserve"> Borsa Komiseri, Üniversite Hastaneleri Başmüdürü, Nükleer Araştırma Eğitim Merkezi Müd, Bölge Başmüdürü, </t>
    </r>
    <r>
      <rPr>
        <vertAlign val="superscript"/>
        <sz val="8"/>
        <rFont val="Times New Roman"/>
        <family val="1"/>
        <charset val="162"/>
      </rPr>
      <t>(6)</t>
    </r>
    <r>
      <rPr>
        <sz val="8"/>
        <rFont val="Times New Roman"/>
        <family val="1"/>
        <charset val="162"/>
      </rPr>
      <t xml:space="preserve"> Gelir İdaresi Grup Müdürü, Vergi Dairesi Müdürü,Bölge İstihbarat Müdürü, Bölge İnşaat Müdürü, Kandilli Rasathanesi Müdürü, Başmüdür, Güneydoğu Anadolu Fosfatları Grup Bşk, Müessese Müdürü, İşletme Müdürü, Fabrika Müdürü, Kombina Müdürü, Üniversitelerarası Kurul Genel Sekreter Yard. Fakülte Sekreteri, Şirket Müdürü, Enstitü Müdürü, Tesis Müdürü, Kırıkkale Yardımcı Tesisler Müdürü, </t>
    </r>
  </si>
  <si>
    <t>(8) 29/7/2003 tarihli ve 4958 sayılı Kanunun 20 nci maddesiyle;”İl Müdürü” ibaresinden sonra gelmek üzere ,” Sosyal Sigortalar Kurumu Sigorta İl Müdürü, Sosyal Sigortalar Kurumu Sigorta Müdürü, Sosyal Sigortalar Kurumu Sağlık İşleri İl Müdürü, Sosyal Sigortalar Kurumu Hastane Müdürü,” ibareleri eklenmiş ve metne işlenmiştir.</t>
  </si>
  <si>
    <t>(9) 29/5/2009 tarihli ve 5902 sayılı Kanunun 25 inci maddesiyle bu bölüme “İl Müdürü” ibaresinden sonra gelmek üzere “Afet ve Acil Durum Eğitim Merkezi Müdürü” ibaresi eklenmiş ve metne işlenmiştir.</t>
  </si>
  <si>
    <r>
      <t>Kredi ve Risk İzleme Müdürü, İstihbarat ve Kredi Değerlendirme Müdürü, Emlak İşleri Müdürü, Merkez Muhasebe Müdürü, İstihbarat ve Proje Değerlendirme Müdürü, Bireysel ve Özel Bankacılık Müdürü, Mevduat ve Banka Hizmetleri Müdürü, İnşaat ve Emlak Müdürü, Araştırma, Geliştirme ve Planlama Müdürü, Kredi Pazarlama Müdürü, Dış İlişkiler Operasyon Müdürü, Dış Muhabir İlişkiler Müdürü, Hukuk İşleri Müdürü, Büro Müdürü ve Disiplin Kurulu Başkanı olanlar</t>
    </r>
    <r>
      <rPr>
        <vertAlign val="superscript"/>
        <sz val="8"/>
        <rFont val="Times New Roman"/>
        <family val="1"/>
        <charset val="162"/>
      </rPr>
      <t>(1)</t>
    </r>
    <r>
      <rPr>
        <sz val="8"/>
        <rFont val="Times New Roman"/>
        <family val="1"/>
        <charset val="162"/>
      </rPr>
      <t>,Sosyal Güvenlik İl Müdürü</t>
    </r>
    <r>
      <rPr>
        <vertAlign val="superscript"/>
        <sz val="8"/>
        <rFont val="Times New Roman"/>
        <family val="1"/>
        <charset val="162"/>
      </rPr>
      <t>(2)</t>
    </r>
    <r>
      <rPr>
        <sz val="8"/>
        <rFont val="Times New Roman"/>
        <family val="1"/>
        <charset val="162"/>
      </rPr>
      <t xml:space="preserve">,Yazma Eser Kütüphanesi Müdürü, </t>
    </r>
    <r>
      <rPr>
        <vertAlign val="superscript"/>
        <sz val="8"/>
        <rFont val="Times New Roman"/>
        <family val="1"/>
        <charset val="162"/>
      </rPr>
      <t xml:space="preserve">(5) </t>
    </r>
    <r>
      <rPr>
        <sz val="8"/>
        <rFont val="Times New Roman"/>
        <family val="1"/>
        <charset val="162"/>
      </rPr>
      <t>Anayasa Mahkemesi Başkanlığı</t>
    </r>
    <r>
      <rPr>
        <vertAlign val="superscript"/>
        <sz val="8"/>
        <rFont val="Times New Roman"/>
        <family val="1"/>
        <charset val="162"/>
      </rPr>
      <t xml:space="preserve"> </t>
    </r>
    <r>
      <rPr>
        <sz val="8"/>
        <rFont val="Times New Roman"/>
        <family val="1"/>
        <charset val="162"/>
      </rPr>
      <t xml:space="preserve">Müdürleri </t>
    </r>
    <r>
      <rPr>
        <vertAlign val="superscript"/>
        <sz val="8"/>
        <rFont val="Times New Roman"/>
        <family val="1"/>
        <charset val="162"/>
      </rPr>
      <t>(6)</t>
    </r>
  </si>
  <si>
    <t>(4) 29/5/2009 tarihli ve 5902 sayılı Kanunun 25 inci maddesiyle bu bölüme “Boğaziçi İmar Müdürü” ibaresinden sonra gelmek üzere “İl Afet ve Acil Durum Müdürü, Sivil Savunma Arama ve Kurtarma Birlik Müdürü” ibaresi eklenmiş ve metne işlenmiştir.</t>
  </si>
  <si>
    <t>(5) 31/7/2003 tarihli ve 4969 sayılı Kanunun 5 inci maddesiyle bu bentte yer alan “Devlet Planlama Teşkilatı Genel Sekreteri” ibaresi metinden çıkarılarak yerine “Başbakan Müşavirleri” ibaresi eklenmiştir.</t>
  </si>
  <si>
    <t>(6) Bu bendin sonuna, 20/2/2008 tarihli ve 5737 sayılı Kanunun 79 uncu maddesiyle “Vakıflar Genel Müdürlüğü Rehberlik ve Teftiş Başkanı” ibaresi eklenmiş ve metne işlenmiştir.</t>
  </si>
  <si>
    <t>(2)“Milli Savunma Bakanlığı Akaryakıt İkmal ve NATO POL Tesisleri İşletme Başkanlığı Müfettişleri” ibaresi, 6/7/2000 tarihli ve 613 sayılı KHK ile eklenen ve 5/4/2001 tarih ve 4636 sayılı Kanun ile değiştirilmek suretiyle kanunlaşan ibareler metne işlenmiş, 616 sayılı KHK ile eklenen “Sosyal Siortalar Kurumu Başkanlığı Müfettişleri ile Sigorta Müfettişleri” ibareleri ise sözkonusu KHK’nin Anayasa Mahkemesince iptal edilmeleri nedeniyle metinden çıkarılmıştır.</t>
  </si>
  <si>
    <t xml:space="preserve">(4) “ Sosyal Sigortalar Kurumu Başkanlığı Müfettişleri ile Sigorta Müfettişleri” ibaresi, 29/7/2003 tarihli ve 4958 sayılı Kanunun 20 nci maddesiyle eklenmiş, daha sonra bu ibare 16/5/2006 tarihli ve 5502 sayılı Kanunun 42 nci maddesiyle “Sosyal Güvenlik Kurumu Müfettişleri" şeklinde değiştirilmiş ve metne işlenmiştir. </t>
  </si>
  <si>
    <t>(5) Bu sıraya, 5/5/2005 tarihli ve 5345 sayılı Kanunun 34 üncü maddesiyle Başbakanlık, Bakanlık, Müsteşarlık, Kurum Başkanlığı ve Müstakil Genel Müdürlüklerin merkez teşkilatı Daire Başkanı kadrolarına atananlar (Bütçe Dairesi Başkanı hariç)," ibaresinden sonra gelmek üzere "Gelir İdaresi Grup Başkanı,” ibaresi eklenmiş ve metne işlenmiştir.</t>
  </si>
  <si>
    <t>(6) Bu bentteki "Müsteşarlık kontrolörleri," ibaresi, 5/5/2005 tarihli ve 5345 sayılı Kanunun 34 üncü maddesiyle "Müsteşarlık ve Başkanlık kontrolörleri," şeklinde değiştirilmiş ve metne işlenmiştir.</t>
  </si>
  <si>
    <t xml:space="preserve">(7) 22/12/2005 tarihli ve 5436 sayılı Kanunun 13 üncü maddesiyle, "(Bütçe Dairesi Başkanı hariç)" ibaresi, "(Bütçe Dairesi Başkanı dahil)" şeklinde değiştirilmiş ve metne işlenmiştir. </t>
  </si>
  <si>
    <t>(8) 16/5/2006 tarihli ve 5502 sayılı Kanunun 42 nci maddesiyle; (9/a) bendine "İl Emniyet Müdürleri" ibaresinden sonra gelmek üzere ",Sosyal Güvenlik İl Müdürleri (Ankara, İstanbul, İzmir)", (9/b) bendine "İl Emniyet Müdürleri" ibaresinden sonra gelmek üzere ",Sosyal Güvenlik İl Müdürleri" ibareleri eklenmiş ve metne işlenmiştir.</t>
  </si>
  <si>
    <t xml:space="preserve">(10) 3/6/2007 tarihli ve 5684 sayılı Kanunun 43 üncü maddesiyle "Maliye Bakanlığı Hesap Uzmanları" ibaresinden sonra gelmek üzere "Sigorta Denetleme Uzmanları ve Sigorta Denetleme Aktüerleri" ibaresi eklenmiş ve metne işlenmiştir. </t>
  </si>
  <si>
    <t>(14) 29/6/2011 tarihli ve 644 sayılı KHK’nin 37 maddesinin (19) numaralı fıkrasının (5) numaralı bendinde yer alan hükme istinaden bu cetvelin 8 inci sırasının (a) bendinin sonuna “, Aile ve Sosyal Politikalar Denetçileri” ibaresi eklenmiş ve metne işlenmiştir.</t>
  </si>
  <si>
    <t>(17) 24/10/2011 tarihli ve 656 sayılı KHK’nın 20 nci maddesiyle bu bölüme “Daire Başkanı” ibaresinden sonra gelmek üzere “, Türk İşbirliği ve Koordinasyon Ajansı Daire Başkanı” ibaresi eklenmiştir.</t>
  </si>
  <si>
    <t>(18) 26/9/2011 tarihli ve 659 sayılı KHK’nın 17 nci maddesiyle bu bölümde yer alan “kazanılmış hak aylıkları birinci derecede” ibaresi “birinci dereceli kadroya atanmış” şeklinde değiştirilmiş ve aynı bende “Kalkınma Bakanlığı Planlama Uzmanları,” ibaresinden sonra gelmek üzere “Maliye Uzmanları,” ibaresi eklenmiştir.</t>
  </si>
  <si>
    <t>(19) 11/10/2011 tarihli ve 663 sayılı KHK’nın 58 inci maddesiyle Cetvelinin 8 inci sırasının (a) bendine “Millî Eğitim Denetçileri” ibaresinden sonra gelmek üzere “Sağlık Denetçileri” ile (b) bendine “Millî Eğitim Uzmanları” ibaresinden sonra gelmek üzere “Sağlık Uzmanları” ibaresi eklenmiştir.</t>
  </si>
  <si>
    <t>d)GAP İdaresi Başkanı, Doğu Anadolu Projesi Bölge Kalkınma İdaresi Başkanı, Konya Ovası Projesi Bölge Kalkınma İdaresi Başkanı,(28) Doğu Karadeniz Projesi Bölge Kalkınma İdaresi Başkanı, Kalkınma Araştırmaları Merkezi Başkanı,(29) Ulaştırma, Denizcilik ve Haberleşme Araştırmaları Merkezi Başkanı(34), Atatürk Kültür, Dil ve Tarih Yüksek Kurumu Başkanı,Toplu Konut İdaresi Başkanı ve (...)11 Kamu Ortaklığı İdaresi Başkanı, Başbakan Başmüşaviri, Başbakanlık Müsteşar Yardımcıları, Diyanet İşleri Başkan Yardımcıları, Din İşleri Yüksek Kurulu Başkanı, Mushafları İnceleme ve Kıraat Kurulu Başkanı, (25)(…)(10) Büyükelçi ve Daimi Temsilci Unvanını kazanmış olanlar, Müsteşar Yardımcıları ve Genel Müdürler, Dışişleri Bakanlığı Stratejik Araştırmalar Merkezi Başkanı,(26)Strateji Geliştirme Başkanları,(16) (…)(2), Yurtdışı Türkler ve Akraba Topluluklar Başkanlığı Başkan Yardımcısı,(24) Gelir İdaresi Başkan Yardımcısı,(18) Sosyal Güvenlik Kurumu Başkan Yardımcısı,(8)Bakanlıklar merkez teşkilatına dahil Kurul Başkanları, Bakanlık Rehberlik ve Teftiş Başkanları, Bakanlık Rehberlik ve Denetim Başkanları, (30) Bakanlık Denetim Hizmetleri Başkanları,(28) Özel Çevre Koruma Kurumu Başkanı, (…)(28)Hazine Müsteşarlığı Bankalar Yeminli Murakıpları Kurulu Başkanı, Hazine Kontrolörleri Kurulu Başkanı, (…)(28) Denizcilik Müsteşarlığı Teftiş Kurulu Başkanı (6) ile Sigorta Denetleme Kurulu Başkanı, Türk Patent Enstitüsü Başkanı,(3) Türkiye Yazma Eserler Başkanı,(27) (…)(28) (…)(31) Milli Savunma Bakanlığı Akaryakıt İkmal ve NATO POL Tesisleri İşletme Başkanı,(4) Sosyal Güvenlik Kurumu Rehberlik ve Teftiş Başkanı, Diyanet İşleri Başkanlığı Rehberlik ve Teftiş Başkanı (17)(25)(27)</t>
  </si>
  <si>
    <t>(25) 1/7/2010 tarihli ve 6002 sayılı Kanunun 21 inci maddesiyle, bu bölümün (c) bendinde yer alan “Diyanet İşleri Başkanı,” ibaresi bu bentten çıkarılmış ve aynı bölümün (a) bendine “Başbakanlık Müsteşarı,” ibaresinden sonra gelmek üzere “Diyanet İşleri Başkanı” ibaresi, aynı bölümün (f) bendinde yer alan “Diyanet İşleri Başkan Yardımcıları ile Din İşleri Yüksek Kurulu Başkanı,” ibaresi bu bentten çıkarılmış ve aynı bölümün (d) bendine “Başbakanlık Müsteşar Yardımcıları,” ibaresinden sonra gelmek üzere “Diyanet İşleri Başkan Yardımcıları, Din İşleri Yüksek Kurulu Başkanı, Mushafları İnceleme ve Kıraat Kurulu Başkanı,” ibaresi, aynı bölümün (f) bendine “Talim ve Terbiye Kurulu Üyesi,” ibaresinden sonra gelmek üzere “Din İşleri Yüksek Kurulu Üyesi,” ibaresi, aynı bölümün (d) bendine “Sosyal Güvenlik Kurumu Rehberlik ve Teftiş Başkanı” ibaresinden sonra gelmek üzere “, Diyanet İşleri Başkanlığı Rehberlik ve Teftiş Başkanı” ibaresi eklenmiş ve metne işlenmiştir.</t>
  </si>
  <si>
    <t>(26) 7/7/2010 tarihli ve 6004 sayılı Kanunun 23 üncü maddesiyle bu bölümün (d) bendine"Genel Müdürler," ibaresinden sonra gelmek üzere "Dışişleri Bakanlığı Stratejik Araştırmalar Merkezi Başkanı," ibaresi eklenmiş ve metne işlenmiştir.</t>
  </si>
  <si>
    <t>(31) 23/8/2011 tarihli ve 653 sayılı KHK’nın 17’nci maddesiyle bu bölümün (d) bendinde yer alan “Dış Ticaret Kontrolörleri Kurulu Başkanı,” ibaresi yürürlükten kaldırılmıştır.</t>
  </si>
  <si>
    <t>a) Kadroları bu sınıfa dahil olup, en az 4 yıl süreli yükseköğretim veren fakülte veya yüksekokullardan mezun olarak yürürlükteki hükümlere göre Yüksek Mühendis, Mühendis, Yüksek Mimar ve Mimar ile şehir plancısı ve Bölge Plancısı unvanını almış olanlar (1)</t>
  </si>
  <si>
    <t>b) (Değişik: 1/5/2003-4856/42/d md.) Kadroları bu sınıfa dahil olup, en az 4 yıl süreli yükseköğretim veren fakülte ve yüksekokullardan mezun olarak yürürlükteki hükümlere göre Jeolog, Hidrojeolog, Hidrolog, Jeomorfolog, Jeofizikçi, Fizikçi, Matematikçi, İstatistikçi, Yöneylemci (hareket araştırmacısı), Matematiksel İktisatçı, Ekonomici ve Kimyager unvanını almış olanlarla Teknik Yüksek Öğretmen Okulu mezunları,</t>
  </si>
  <si>
    <t>(12) 10/11/2005 tarihli ve 5429 sayılı Kanunun 57 nci maddesiyle; bu bölümde yer alan "Devlet İstatistik Enstitüsü Başkan Yardımcısı" ibaresi I sayılı Cetvelin (e) bendine "Türkiye İstatistik Kurumu Başkan Yardımcıları" olarak, ayrıca Hazine Müsteşarlığı ve Dış Ticaret Müsteşarlığı Daire Başkanı (Ana ve Yardımcı Hizmet Birimi)" ibaresinden sonra gelmek üzere "Türkiye İstatistik Kurumu Daire Başkanı" ibaresi, "Serbest Bölge Müdürü" ibaresinden sonra gelmek üzere "Türkiye İstatistik Kurumu Bölge Müdürü" ibaresi eklenmiş ve metne işlenmiştir.</t>
  </si>
  <si>
    <t>(14) 16/5/2006 tarihli ve 5502 sayılı Kanunun 42 nci maddesiyle; bölümünde yer alan "Sosyal Sigortalar Kurumu Başkanlığına Bağlı Daire Başkanları" ibaresi çıkarılarak yerine "Sosyal Güvenlik Kurumu Aktüerya ve Fon Yönetimi Daire Başkanı, Sosyal Güvenlik Kurumu İnsan Kaynakları Daire Başkanı, Sosyal Güvenlik Kurumu Destek Hizmetleri Daire Başkanı, Sosyal Güvenlik İl Müdürü (Ankara, İstanbul, İzmir)" ibareleri eklenmiş ve metne işlenmiştir.</t>
  </si>
  <si>
    <t>(21) 1/7/2010 tarihli ve 6002 sayılı Kanunun 21 inci maddesiyle, bu bölümde yer alan “Din İşleri Yüksek Kurulu Üyesi, Mushafları İnceleme Kurulu Başkanı, İl Müftüsü (Ankara, İstanbul, İzmir),” ibaresi yürürlükten kaldırılmıştır, “Avrupa Birliği Genel Sekreterliği Daire Başkanları,” ibaresinden sonra gelmek üzere “Diyanet İşleri Başkanlığı Başkanlık Müşavirleri, Diyanet İşleri Başkanlığı Daire Başkanı, İl Müftüsü, Diyanet İşleri Başkanlığı Dinî Yüksek İhtisas Merkezi Müdürü, Mushafları İnceleme ve Kıraat Kurulu Üyesi,” ibaresi eklenmiş ve metne işlenmiştir.</t>
  </si>
  <si>
    <t>(24) 28/12/2010 tarihli ve 6093 sayılı Kanunun 14 üncü maddesiyle, bu bölüme “Türkiye İstatistik Kurumu Daire Başkanı,” ibaresinden sonra gelmek üzere “Türkiye Yazma Eserler Başkanlığı Daire Başkanı, Türkiye Yazma Eserler Başkanlığı Araştırma ve Eğitim Merkezi Müdürü, Türkiye Yazma Eserler Başkanlığı Bölge Müdürü, Türkiye Yazma Eserler Başkanlığı Müşaviri,” ibaresi eklenmiş ve metne işlenmiştir.</t>
  </si>
  <si>
    <t>(1) Bu arada yeralan, "Milli Kütüphane Başkan Yardımcısı" ibaresi, 16/4/2003 tarihli ve 4848 sayılı Kanunun 33 üncü maddesiyle çıkartılmıştır.</t>
  </si>
  <si>
    <t>(2) 19/2/1998 tarih ve 98/10668 sayılı Bakanlar Kurulu Kararı ile “Basın ve Halkla İlişkiler Müşaviri” ünvanından sonra gelmek üzere, 19/1/1998 tarihinden geçerli olarak, “Başbakanlık Merkez Teşkilatında Araştırmacı” ünvanı eklenmiştir.</t>
  </si>
  <si>
    <t>(3) Bu aralarda yer alan “Gümrükler Başmüdürü, Gümrükler Muhafaza Başmüdürü”, “Gümrükler Başmüdür Yrd.,Gümrük Muhafaza Başmüdür Yrd.”ibareleri 19/4/2004 tarihli ve 2004/7173 sayılı Kararname ile 29/4/2003 tarihinden geçerli olmak üzere metinden çıkarılmıştır.</t>
  </si>
  <si>
    <t>(4) Bu arada yeralan unvanlar 19/6/1994 tarih ve 543 sayılı KHK’nin 18 inci maddesi ile metinden çıkarılmıştır.</t>
  </si>
  <si>
    <t xml:space="preserve">(5) 14/7/2004 tarihli ve 5226 sayılı Kanunun 26 ncı maddesiyle “Müze Başkanı (Kültür ve Turizm Bakanlığı)” ibaresi eklenmiş ve metne işlenmiştir. </t>
  </si>
  <si>
    <t>(6) Bu aralarda yer alan sırasıyla "Defterdar,", "Vergi Dairesi Müdürü,", "Gelir Müdürü,", "Takdir Komisyonu Başkanı,", "Bilgi İşlem Merkezi Müdürü (Maliye Bakanlığı Bölgede), Vergi İstihbarat Müdürü (Maliye Bakanlığı), Vergi Müdürü (Maliye Bakanlığı)," ibareleri, 5/5/2005 tarihli ve 5345 sayılı Kanunun 35 inci maddesiyle yürürlükten kaldırılmıştır.</t>
  </si>
  <si>
    <t>(1) 24/8/2000 tarih ve 618 sayılı KHK ile değiştirilen "Yakın ve Orta Doğu Çalışma Eğitim Merkezi Başkan Yardımcısı" unvanı, sözkonusu KHK'nın Anayasa Mahkemesince iptal edilmesi nedeniyle metinden çıkarılmıştır. 16/7/2003 tarihli ve 4947 sayılı Kanunda yer alan ile yapılan "Yakın ve Orta Doğu Çalışma Eğitim Merkezi Müdürü" ibaresi, "Çalışma ve Sosyal Güvenlik Eğitim ve Araştırma Merkezi Başkan Yardımcısı olarak değiştirilmiştir." hükmüne binaen bu değişiklik metne işlenmiştir.</t>
  </si>
  <si>
    <t xml:space="preserve">(2) “Gümrük ve Muhafaza Başmüdürü, Gümrük ve Muhafaza Baş Müdür Yardımcısı” ibaresi 19/4/2004 tarihli ve 2004/7173 sayılı Kararname ile 24/9/2003 tarihinden geçerli olmak üzere eklenmiş olup, daha sonra bu ibare 3/6/2011 tarihli ve 643 sayılı KHK’nin 8 inci maddesiyle yürürlükten kaldırılmıştır. </t>
  </si>
  <si>
    <t>(3) 9/12/1994 tarih ve 4049 sayılı Kanunun Geçici 8 inci maddesiyle;“Bölge Müdür Yardımcısı, Serbest Bölge Müdür Yardımcısı” ibareleri bölüme eklenmiş,“İhracat Müdürü” ibaresi bölümden çıkartılmıştır. Daha sonra "Serbest Bölge Müdür Yardımcısı," ibaresi 3/6/2011 tarihli 643 sayılı KHK’nin 8 inci maddesiyle yürürlükten kaldırılmıştır.</t>
  </si>
  <si>
    <t>(4) 24/8/2000 tarihli ve 616 sayılı KHK ile eklenen Sigorta İl Müdürü, Sağlık İşleri İl Müdürü, Sigorta Müdürü, SSK Sağlık İşletmesi Müdürü unvanları sözkonusu KHK'nin Anayasa Mahkemesince iptal edilmesi nedeniyle metinden çıkarılmıştır.</t>
  </si>
  <si>
    <t>(5) 7/9/1999 tarih ve 99/13385 sayılı Bakanlar Kurulu Kararı ile “İl Müftüsü” unvanından sonra gelmek üzere, 12/10/1999 tarihinden geçerli olarak, “Savunma Sekreteri” unvanı eklenmiştir.</t>
  </si>
  <si>
    <t>(6) Bu bölüme 5/5/2005 tarihli ve 5345 sayılı Kanunun 34 üncü maddesiyle "Daire Başkanı," ibaresinden sonra gelmek üzere "Gelir İdaresi Grup Başkanı,” ve “Bölge Başmüdürü,” ibaresinden sonra gelmek üzere “Gelir İdaresi Grup Müdürü, Vergi Dairesi Müdürü,” ibareleri eklenmiş ve metne işlenmiştir.</t>
  </si>
  <si>
    <t>(7) Bu bölüme;10/11/2005 tarihli ve 5429 sayılı Kanunun 57 nci maddesiyle "İl Müdürü" ibaresinden sonra gelmek üzere "Türkiye İstatistik Kurumunda Müdür" ibaresi, "Hukuk Müşaviri" ibaresinden sonra gelmek üzere "İstatistik Müşaviri," ibaresi eklenmiş ve metne işlenmiştir.</t>
  </si>
  <si>
    <t>(11) 1/7/2010 tarihli ve 6002 sayılı Kanunun 21 inci maddesiyle, bu bölümde yer alan 5- Yargı Kuruluşları, Bağlı ve İlgili Kuruluşlar ile Yükseköğretim Kuruluşlarında” bölümünde yer alan “İl Müftüsü,” ibaresi metinden çıkarılmış, “Türkiye İstatistik Kurumunda Müdür,” ibaresinden sonra gelmek üzere “Diyanet İşleri Başkanlığı Basın ve Halkla İlişkiler Müşaviri, Diyanet İşleri Başkanlığı Özel Kalem Müdürü, Diyanet İşleri Başkanlığı Eğitim Merkezi Müdürü, İl Müftü Yardımcısı, İlçe Müftüsü,” ibaresi eklenmiş ve metne işlenmiştir.</t>
  </si>
  <si>
    <t>7 Birinci dereceli kadroya atanmış olmak şartıyla; Başbakanlık, Bakanlık, Müsteşarlık, Kurum Başkanlığı ve Müstakil Genel Müdürlüklerin merkez teşkilatı Daire Başkanı, Türk İşbirliği ve Koordinasyon Ajansı Daire Başkanı(17) kadrolarına atananlar (Bütçe Dairesi Başkanı dahil), Millî Eğitim Bakanlığı Grup Başkanı, (16) Gelir İdaresi Grup Başkanı, Milli Kütüphane Başkan Yardımcısı,(1) Bölge Müdürleri (Kamu İktisadi Teşebbüsleri, Belediyeler ve bunlara bağlı kurum ve kuruluşlar hariç), (…) (13) Üniversite Genel Sekreterleri, Diyanet İşleri Başkanlığı Dinî Yüksek İhtisas Merkezi Müdürü (5)(7)(12) 2.000</t>
  </si>
  <si>
    <t>8 a) En az dört yıl süreli yükseköğrenim veren fakülte veya yüksekokulları bitirmiş, birinci dereceli kadroya atanmış ve Türkiye düzeyinde teftiş, denetim veya inceleme yetkisine sahip merkez denetim elemanlarından; Başbakanlık Müfettişleri, Başbakanlık Yüksek Denetleme Kurulu Denetçileri, Bakanlık Müfettişleri, Maliye Bakanlığı Vergi Müfettişleri,(15)Sigorta Denetleme Uzmanları ve Sigorta Denetleme Aktüerleri, Hazine Müsteşarlığı Bankalar Yeminli Murakıpları, Sosyal Güvenlik Kurumu Müfettişleri, Müsteşarlık ve Genel Müdürlük Müfettişleri, Diyanet İşleri Başkanlığı Müfettişleri, Müsteşarlık ve Başkanlık Kontrolörleri, Bakanlıkların merkez teşkilatına dahil Genel Müdürlüklerin Kontrolörleri ile Çalışma ve Sosyal Güvenlik Bakanlığı İş Müfettişleri, Milli Savunma Bakanlığı Akaryakıt İkmal ve NATOPOL Tesisleri İşletme Başkanlığı Müfettişleri, İçişleri Bakanlığı Dernekler Denetçileri, Aile ve Sosyal Politikalar Denetçileri, Millî Eğitim Denetçileri Sağlık Denetçileri (2)(3)(4)(6)(10)(14)(15) (16)(19) 2.000</t>
  </si>
  <si>
    <t>b) En az dört yıl süreli yükseköğrenim veren fakülte veya yüksekokulları bitirmiş ve birinci dereceli kadroya atanmış (18) olmak şartıyla; Başbakanlık Uzmanları, Kalkınma Bakanlığı Planlama Uzmanları, Maliye Uzmanları, Hazine Uzmanları, Avrupa Birliği İşleri Uzmanları, Millî Eğitim Uzmanları Sağlık Uzmanları ile Dış Ticaret Uzmanları(11)(13) (16)(18)(19) 2.000</t>
  </si>
  <si>
    <t>c) (Ek: 22/12/2005-5436/13 md.) Birinci dereceli kadroya atanmış İç Denetçiler 2.000</t>
  </si>
  <si>
    <t>d) (Ek: 21/3/2006 – 5473/3 md.) En az dört yıl süreli yükseköğrenim veren fakülte veya yüksekokulları bitirmiş, mesleğe özel yarışma sınavıyla girerek belirli süreli meslek içi eğitimden sonra özel bir yeterlik sınavında başarılı olmuş, birinci dereceli kadroya atanmış ve doğrudan belediye başkanı veya genel müdür adına teftiş, denetim ve inceleme yetkisine sahip büyükşehir belediyeleri ile bunlara bağlı genel müdürlük müfettişleri ve büyükşehir belediye sınırları içindeki ilçe belediye müfettişleri 1.000</t>
  </si>
  <si>
    <t>(12) 1/7/2010 tarihli ve 6002 sayılı Kanunun 21 inci maddesiyle, bu cetvelin 5 inci sırasının (f) bendine “İl Emniyet Müdürleri” ibaresinden sonra gelmek üzere “, İl Müftüleri” ibaresi eklenmiş, 7 nci sırasında yer alan “ile Büyükşehir Belediyesi Genel Sekreter Yardımcıları” ibaresi “, Diyanet İşleri Başkanlığı Dinî Yüksek İhtisas Merkezi Müdürü” olarak değiştirilmiş, 9 uncu sırasının (a) bendine “İl Emniyet Müdürleri,” ibaresinden sonra gelmek üzere “İl Müftüleri,”, (b) bendine “İl Emniyet Müdürleri,” ibaresinden sonra gelmek üzere “İl Müftüleri,” ibaresi eklenmiş ve metne işlenmiştir.</t>
  </si>
  <si>
    <r>
      <t xml:space="preserve">     c)(…)</t>
    </r>
    <r>
      <rPr>
        <vertAlign val="superscript"/>
        <sz val="10"/>
        <color indexed="8"/>
        <rFont val="Times New Roman"/>
        <family val="1"/>
        <charset val="162"/>
      </rPr>
      <t xml:space="preserve">(25) </t>
    </r>
    <r>
      <rPr>
        <sz val="10"/>
        <color indexed="8"/>
        <rFont val="Times New Roman"/>
        <family val="1"/>
        <charset val="162"/>
      </rPr>
      <t>Başbakanlık Teftiş Kurulu Başkanı,Başbakanlık Yüksek Denetleme Kurulu Başkanı, Devlet Personel Başkanı, Afet ve Acil Durum Yönetimi Başkanı, Gelir İdaresi Başkanı, Talim ve Terbiye Kurulu Başkanı, Türk İşbirliği ve Kalkınma İdaresi Başkanı, Sosyal Güvenlik Kurumu Başkanı,(…)</t>
    </r>
    <r>
      <rPr>
        <vertAlign val="superscript"/>
        <sz val="10"/>
        <color indexed="8"/>
        <rFont val="Times New Roman"/>
        <family val="1"/>
        <charset val="162"/>
      </rPr>
      <t>(17)</t>
    </r>
    <r>
      <rPr>
        <sz val="10"/>
        <color indexed="8"/>
        <rFont val="Times New Roman"/>
        <family val="1"/>
        <charset val="162"/>
      </rPr>
      <t xml:space="preserve">, Türkiye İstatistik Kurumu Başkanı,Yurtdışı Türkler ve Akraba Topluluklar Başkanı </t>
    </r>
    <r>
      <rPr>
        <vertAlign val="superscript"/>
        <sz val="10"/>
        <color indexed="8"/>
        <rFont val="Times New Roman"/>
        <family val="1"/>
        <charset val="162"/>
      </rPr>
      <t>(5)(8)(9)(13)(14)(20)(24)(25)</t>
    </r>
  </si>
  <si>
    <r>
      <t xml:space="preserve">     a)</t>
    </r>
    <r>
      <rPr>
        <b/>
        <sz val="10"/>
        <color indexed="8"/>
        <rFont val="Times New Roman"/>
        <family val="1"/>
        <charset val="162"/>
      </rPr>
      <t xml:space="preserve"> </t>
    </r>
    <r>
      <rPr>
        <sz val="10"/>
        <color indexed="8"/>
        <rFont val="Times New Roman"/>
        <family val="1"/>
        <charset val="162"/>
      </rPr>
      <t xml:space="preserve">Başbakanlık Müsteşarı, Diyanet İşleri Başkanı </t>
    </r>
    <r>
      <rPr>
        <vertAlign val="superscript"/>
        <sz val="10"/>
        <color indexed="8"/>
        <rFont val="Times New Roman"/>
        <family val="1"/>
        <charset val="162"/>
      </rPr>
      <t>(25)</t>
    </r>
    <r>
      <rPr>
        <sz val="10"/>
        <color indexed="8"/>
        <rFont val="Times New Roman"/>
        <family val="1"/>
        <charset val="162"/>
      </rPr>
      <t>,</t>
    </r>
    <r>
      <rPr>
        <b/>
        <sz val="10"/>
        <color indexed="8"/>
        <rFont val="Times New Roman"/>
        <family val="1"/>
        <charset val="162"/>
      </rPr>
      <t xml:space="preserve"> </t>
    </r>
    <r>
      <rPr>
        <sz val="10"/>
        <color indexed="8"/>
        <rFont val="Times New Roman"/>
        <family val="1"/>
        <charset val="162"/>
      </rPr>
      <t xml:space="preserve">Bakan Yardımcısı </t>
    </r>
    <r>
      <rPr>
        <vertAlign val="superscript"/>
        <sz val="10"/>
        <color indexed="8"/>
        <rFont val="Times New Roman"/>
        <family val="1"/>
        <charset val="162"/>
      </rPr>
      <t>(28)</t>
    </r>
  </si>
  <si>
    <r>
      <rPr>
        <sz val="10"/>
        <color indexed="8"/>
        <rFont val="Times New Roman"/>
        <family val="1"/>
        <charset val="162"/>
      </rPr>
      <t xml:space="preserve">     b) Müsteşarlar,  (…) </t>
    </r>
    <r>
      <rPr>
        <vertAlign val="superscript"/>
        <sz val="10"/>
        <color indexed="8"/>
        <rFont val="Times New Roman"/>
        <family val="1"/>
        <charset val="162"/>
      </rPr>
      <t>(1)</t>
    </r>
  </si>
  <si>
    <r>
      <t>   e) (...)</t>
    </r>
    <r>
      <rPr>
        <vertAlign val="superscript"/>
        <sz val="10"/>
        <color indexed="8"/>
        <rFont val="Times New Roman"/>
        <family val="1"/>
        <charset val="162"/>
      </rPr>
      <t>(10)</t>
    </r>
    <r>
      <rPr>
        <sz val="10"/>
        <color indexed="8"/>
        <rFont val="Times New Roman"/>
        <family val="1"/>
        <charset val="162"/>
      </rPr>
      <t xml:space="preserve"> Başbakan Müşavirleri, Adalet Bakanlığı Bakanlık Yüksek Müşavirleri (…)</t>
    </r>
    <r>
      <rPr>
        <vertAlign val="superscript"/>
        <sz val="10"/>
        <color indexed="8"/>
        <rFont val="Times New Roman"/>
        <family val="1"/>
        <charset val="162"/>
      </rPr>
      <t>(18)</t>
    </r>
    <r>
      <rPr>
        <sz val="10"/>
        <color indexed="8"/>
        <rFont val="Times New Roman"/>
        <family val="1"/>
        <charset val="162"/>
      </rPr>
      <t xml:space="preserve"> Türkiye İstatistik Kurumu Başkan Yardımcıları, Toplu Konut İdaresi Başkan Yardımcıları </t>
    </r>
    <r>
      <rPr>
        <vertAlign val="superscript"/>
        <sz val="10"/>
        <color indexed="8"/>
        <rFont val="Times New Roman"/>
        <family val="1"/>
        <charset val="162"/>
      </rPr>
      <t>(13)(15)(22)(23)</t>
    </r>
    <r>
      <rPr>
        <sz val="10"/>
        <color indexed="8"/>
        <rFont val="Times New Roman"/>
        <family val="1"/>
        <charset val="162"/>
      </rPr>
      <t xml:space="preserve">                                                 </t>
    </r>
  </si>
  <si>
    <r>
      <t>f) (…)</t>
    </r>
    <r>
      <rPr>
        <vertAlign val="superscript"/>
        <sz val="10"/>
        <rFont val="Times New Roman"/>
        <family val="1"/>
        <charset val="162"/>
      </rPr>
      <t>(25)</t>
    </r>
    <r>
      <rPr>
        <sz val="10"/>
        <rFont val="Times New Roman"/>
        <family val="1"/>
        <charset val="162"/>
      </rPr>
      <t>Bakanlar Kurulu Sekreteri, Başbakanlık Başkanları, Avrupa Birliği Bakanlığı Başkanları,</t>
    </r>
    <r>
      <rPr>
        <vertAlign val="superscript"/>
        <sz val="10"/>
        <rFont val="Times New Roman"/>
        <family val="1"/>
        <charset val="162"/>
      </rPr>
      <t>(21)</t>
    </r>
    <r>
      <rPr>
        <sz val="10"/>
        <rFont val="Times New Roman"/>
        <family val="1"/>
        <charset val="162"/>
      </rPr>
      <t>Atatürk Kültür, Dil ve Tarih Yüksek Kurumu Başkan Yardımcıları ile Atatürk Araştırma Merkezi,Türk Dil Kurumu, Türk Tarih Kurumu ve Atatürk Kültür Merkezi Başkanları, (…)</t>
    </r>
    <r>
      <rPr>
        <vertAlign val="superscript"/>
        <sz val="10"/>
        <rFont val="Times New Roman"/>
        <family val="1"/>
        <charset val="162"/>
      </rPr>
      <t>(28)(29)</t>
    </r>
    <r>
      <rPr>
        <sz val="10"/>
        <rFont val="Times New Roman"/>
        <family val="1"/>
        <charset val="162"/>
      </rPr>
      <t>,Başbakanlık Özel Kalem Müdürü, Adli Tıp Kurumu Başkanı, Milli Kütüphane Başkanı,</t>
    </r>
    <r>
      <rPr>
        <vertAlign val="superscript"/>
        <sz val="10"/>
        <rFont val="Times New Roman"/>
        <family val="1"/>
        <charset val="162"/>
      </rPr>
      <t>(7)</t>
    </r>
    <r>
      <rPr>
        <sz val="10"/>
        <rFont val="Times New Roman"/>
        <family val="1"/>
        <charset val="162"/>
      </rPr>
      <t xml:space="preserve"> (Başbakanlık Yüksek Denetleme Kurulu Üyesi,Yüksek Öğretim Kurulu Genel Sekreteri,Büyük Şehir Belediye Genel Sekreteri </t>
    </r>
    <r>
      <rPr>
        <vertAlign val="superscript"/>
        <sz val="10"/>
        <rFont val="Times New Roman"/>
        <family val="1"/>
        <charset val="162"/>
      </rPr>
      <t>(12),</t>
    </r>
    <r>
      <rPr>
        <sz val="10"/>
        <rFont val="Times New Roman"/>
        <family val="1"/>
        <charset val="162"/>
      </rPr>
      <t xml:space="preserve">Talim ve Terbiye Kurulu Üyesi, </t>
    </r>
    <r>
      <rPr>
        <sz val="10"/>
        <color indexed="8"/>
        <rFont val="Times New Roman"/>
        <family val="1"/>
        <charset val="162"/>
      </rPr>
      <t>Din İşleri Yüksek Kurulu Üyesi,</t>
    </r>
    <r>
      <rPr>
        <vertAlign val="superscript"/>
        <sz val="10"/>
        <color indexed="8"/>
        <rFont val="Times New Roman"/>
        <family val="1"/>
        <charset val="162"/>
      </rPr>
      <t>(25)</t>
    </r>
    <r>
      <rPr>
        <sz val="10"/>
        <rFont val="Times New Roman"/>
        <family val="1"/>
        <charset val="162"/>
      </rPr>
      <t>GAP İdaresi Başkan Yardımcısı,</t>
    </r>
    <r>
      <rPr>
        <vertAlign val="superscript"/>
        <sz val="10"/>
        <rFont val="Times New Roman"/>
        <family val="1"/>
        <charset val="162"/>
      </rPr>
      <t>(19)</t>
    </r>
    <r>
      <rPr>
        <sz val="10"/>
        <rFont val="Times New Roman"/>
        <family val="1"/>
        <charset val="162"/>
      </rPr>
      <t xml:space="preserve"> Doğu Anadolu Projesi Bölge Kalkınma İdaresi Başkan Yardımcısı, Konya Ovası Projesi Bölge Kalkınma İdaresi Başkan Yardımcısı,</t>
    </r>
    <r>
      <rPr>
        <vertAlign val="superscript"/>
        <sz val="10"/>
        <rFont val="Times New Roman"/>
        <family val="1"/>
        <charset val="162"/>
      </rPr>
      <t xml:space="preserve">(28) </t>
    </r>
    <r>
      <rPr>
        <sz val="10"/>
        <rFont val="Times New Roman"/>
        <family val="1"/>
        <charset val="162"/>
      </rPr>
      <t>Doğu Karadeniz Projesi Bölge Kalkınma İdaresi Başkan Yardımcısı,</t>
    </r>
    <r>
      <rPr>
        <vertAlign val="superscript"/>
        <sz val="10"/>
        <rFont val="Times New Roman"/>
        <family val="1"/>
        <charset val="162"/>
      </rPr>
      <t>(29)</t>
    </r>
    <r>
      <rPr>
        <sz val="10"/>
        <rFont val="Times New Roman"/>
        <family val="1"/>
        <charset val="162"/>
      </rPr>
      <t xml:space="preserve"> Türk İşbirliği ve Koordinasyon Ajansı Başkan Yardımcısı</t>
    </r>
    <r>
      <rPr>
        <vertAlign val="superscript"/>
        <sz val="10"/>
        <rFont val="Times New Roman"/>
        <family val="1"/>
        <charset val="162"/>
      </rPr>
      <t>(33)</t>
    </r>
    <r>
      <rPr>
        <sz val="10"/>
        <rFont val="Times New Roman"/>
        <family val="1"/>
        <charset val="162"/>
      </rPr>
      <t xml:space="preserve">, Vergi Dairesi Başkanı (Ankara, İstanbul, İzmir) </t>
    </r>
    <r>
      <rPr>
        <vertAlign val="superscript"/>
        <sz val="10"/>
        <rFont val="Times New Roman"/>
        <family val="1"/>
        <charset val="162"/>
      </rPr>
      <t>(5)(13)(25)(29)</t>
    </r>
  </si>
  <si>
    <r>
      <t xml:space="preserve">      a) </t>
    </r>
    <r>
      <rPr>
        <i/>
        <sz val="8"/>
        <rFont val="Times New Roman"/>
        <family val="1"/>
        <charset val="162"/>
      </rPr>
      <t>(g) bendinde yer alan "Dış Ticaret Müsteşarlığı" ibaresi yürürlükten kaldırılmış, "Devlet Planlama Uzmanları" ibaresi "Kalkınma Bakanlığı Planlama Uzmanları" şeklinde değiştirilmiş ve aynı bende "Eğitim Müfettişleri" ibaresinden sonra gelmek üzere ", Aile ve Sosyal Politikalar Denetçileri" ibaresi eklenmiştir.</t>
    </r>
  </si>
  <si>
    <t xml:space="preserve">     b) (h) bendinde yer alan "Çevre ve Orman Uzmanları, Özürlüler Uzmanı, Sosyal Yardım Uzmanları, Aile ve Sosyal Araştırma Uzmanları, Kadının Statüsü uzmanları,", "Sanayi ve Ticaret Uzmanları" ve "Gümrük Uzmanları," ibareleri yürürlükten kaldırılmış, aynı bende "Teknik Yardım Uzmanları," ibaresinden sonra gelmek üzere "Sanayi ve Teknoloji Uzmanları, Çevre, Orman ve Şehircilik Uzmanları, Gençlik ve Spor Uzmanları, Aile ve Sosyal Politikalar Uzmanları, Gıda, Tarım ve Hayvancılık Uzmanları, Gümrük ve Ticaret Uzmanları, İhracatı Geliştirme Uzmanları," ibaresi eklenmiş ve bu bentte yer alan "Dış Ticarette Standardizasyon Denetmeni" ibaresi "Ürün Denetmenleri" şeklinde değiştirilmiş, daha sonra 29/6/2011 tarihli ve 644 sayılı KHK’nin 37 nci maddesiyle, “Çevre, Orman ve Şehircilik Uzmanları” ibaresi “Çevre ve Şehircilik Uzmanları, Orman ve Su İşleri Uzmanları” şeklinde değiştirilmiştir.</t>
  </si>
  <si>
    <r>
      <t xml:space="preserve">     a) </t>
    </r>
    <r>
      <rPr>
        <i/>
        <sz val="8"/>
        <color indexed="8"/>
        <rFont val="Times New Roman"/>
        <family val="1"/>
        <charset val="162"/>
      </rPr>
      <t>(g) bendinde yer alan "Dış Ticaret Müsteşarlığı" ibaresi yürürlükten kaldırılmış, "Devlet Planlama Uzmanları" ibaresi "Kalkınma Bakanlığı Planlama Uzmanları" şeklinde değiştirilmiş ve aynı bende "Eğitim Müfettişleri" ibaresinden sonra gelmek üzere ", Aile ve Sosyal Politikalar Denetçileri" ibaresi eklenmiştir.</t>
    </r>
  </si>
  <si>
    <r>
      <t xml:space="preserve">III– SAĞLIK HİZMETLERİ SINIFI </t>
    </r>
    <r>
      <rPr>
        <b/>
        <sz val="10"/>
        <color indexed="8"/>
        <rFont val="Times New Roman"/>
        <family val="1"/>
        <charset val="162"/>
      </rPr>
      <t xml:space="preserve">(Yeniden düzenleme: 31/7/2003-4969/4 md.) </t>
    </r>
    <r>
      <rPr>
        <vertAlign val="superscript"/>
        <sz val="10"/>
        <color indexed="8"/>
        <rFont val="Times New Roman"/>
        <family val="1"/>
        <charset val="162"/>
      </rPr>
      <t>(1)</t>
    </r>
  </si>
  <si>
    <t>d) Kadroları bu sınıfa dahil olupda Emniyet Müdürü sıfatını kazanmış olanlar</t>
  </si>
  <si>
    <t>1 inci derecenin 
4 üncü kademesi</t>
  </si>
  <si>
    <t>5      a)  Bu Kanuna ekli 1 Sayılı Ek Gösterge Cetvelinin I-Genel İdare Hizmetleri Sınıfı bölümünün (f) fıkrasında sayılanlar ile Milli İstihbarat Hizmetleri Sınıfından ek göstergeleri bu düzeyde tespit edilen kadrolara atanmış olanlar</t>
  </si>
  <si>
    <t xml:space="preserve">        b) Başbakanlığa bağlı kuruluşların Kurum Başkan Yardımcıları ile ek göstergeleri bu düzeyde tespit edilmiş diğer Kurum Başkan Yardımcıları</t>
  </si>
  <si>
    <t xml:space="preserve">        c) Genel Müdür Yardımcıları, Gelir İdaresi Daire Başkanı, Vergi Dairesi Başkanı, Başbakanlık, Bakanlık ve Müsteşarlık Müstakil Daire Başkanları (Ana ve Yardımcı Hizmet Birimi), (…) (3), Sosyal Güvenlik Kurumu Daire Başkanları, Sayıştay Başkanlığı Birim Başkanı, Sayıştay Başkanlığı Strateji Geliştirme Birim Başkanı, Polis Akademisi Başkanı, Vakıflar Meclis Üyesi, Maliye Başkanı, Milli Kütüphane Başkanı, Mali Suçları Araştırma Kurulu Başkan Yardımcısı, Vergi Denetim Kurulu Başkan Yardımcısı,(9) Milli Savunma Bakanlığı Akaryakıt İkmal ve NATO POL Tesisleri İşletme Başkan Yardımcısı(2)(4)(7)(9)</t>
  </si>
  <si>
    <t xml:space="preserve">        d) Başbakanlık, Bakanlık, Müsteşarlık, Kurum Başkanlığı, Çalışma ve Sosyal Güvenlik Eğitim ve Araştırma Merkezi ve Müstakil Genel Müdürlüklerin Birinci Hukuk Müşavirleri (1 er kişi) ile Maliye Bakanlığı Başhukuk Müşavirliği ve Muhakemat Genel Müdürlüğü Hukuk Müşavirleri (6 kişi)(4)</t>
  </si>
  <si>
    <t xml:space="preserve">        e) 3 ve 4 üncü sıra kapsamında bulunmayan Teftiş Kurulu Başkanları, Vakıflar Genel Müdürlüğü Rehberlik ve Teftiş Başkanı(6)</t>
  </si>
  <si>
    <t>6      a)  Kazanılmış hak aylıkları birinci derecede olmak şartıyla;</t>
  </si>
  <si>
    <r>
      <t xml:space="preserve">        f) Ankara, İstanbul ve İzmir illerinin; İl İdare Kurulu Üyesi Bakanlık İl Müdürleri ile aynı illerin; İl Emniyet Müdürleri</t>
    </r>
    <r>
      <rPr>
        <sz val="9"/>
        <color indexed="8"/>
        <rFont val="Times New Roman"/>
        <family val="1"/>
        <charset val="162"/>
      </rPr>
      <t xml:space="preserve">, İl Müftüleri </t>
    </r>
    <r>
      <rPr>
        <sz val="9"/>
        <color indexed="8"/>
        <rFont val="Times New Roman"/>
        <family val="1"/>
        <charset val="162"/>
      </rPr>
      <t xml:space="preserve">ve Vali Yardımcıları </t>
    </r>
    <r>
      <rPr>
        <vertAlign val="superscript"/>
        <sz val="9"/>
        <color indexed="8"/>
        <rFont val="Times New Roman"/>
        <family val="1"/>
        <charset val="162"/>
      </rPr>
      <t>(12)</t>
    </r>
    <r>
      <rPr>
        <sz val="9"/>
        <color indexed="8"/>
        <rFont val="Times New Roman"/>
        <family val="1"/>
        <charset val="162"/>
      </rPr>
      <t>     3.000</t>
    </r>
  </si>
  <si>
    <t>         b)  Birinci dereceli kadroya atanmış olmak şartıyla,</t>
  </si>
  <si>
    <t xml:space="preserve">EK GÖSTERGELER </t>
  </si>
  <si>
    <t xml:space="preserve">Halil İbrahim ALACA </t>
  </si>
  <si>
    <t xml:space="preserve">MUHASEBE ŞEFİ </t>
  </si>
  <si>
    <t xml:space="preserve">BURSA DEFTERDARLIK MUHASEBE MÜDÜRLÜĞÜ </t>
  </si>
  <si>
    <t xml:space="preserve">Hazırlamaya Calışan </t>
  </si>
  <si>
    <t>1 ve 2 nci sırada sayılan unvanları taşıyan personelden, kariyerleri Mühendis olanlara Teknik Hizmetler Bölümünün Not 3 üncü sırasına göre ek temininde güçlük zammı ödenir.</t>
  </si>
  <si>
    <t>1- 1 inci sırada sayılanlardan kendi ihtisas dallarında 5 yıla kadar hizmeti olanlara 975, 5 yıl ve daha fazla hizmeti olanlara 1400 puan temininde güçlük zammı verilebilir.</t>
  </si>
  <si>
    <t>1 ve 2 nci sırada sayılan personelden; uhdesinde vezne ve ambarı bulunanlara (325), uhdesinde sadece  vezne veya ambarı bulunanlara (250) puan mali sorumluluk zammı ödenir.</t>
  </si>
  <si>
    <t xml:space="preserve">Reyyon Şef Yardımcısı, Liman Şef Yardımcısı ........   </t>
  </si>
  <si>
    <t>Kontrolör) ..................................................................</t>
  </si>
  <si>
    <t xml:space="preserve"> 19/1/1998 tarihli ve 98/10548 sayılı Bakanlar Kurulu Kararına ekli (I) sayılı Cetvelin “(H) Genel ve Katma Bütçeli İdarelerle KİT’lere İlişkin Kurumsal Bölüm”ünde yer almış olup da, bu Kararın bu Bölümünde kurum ve kadrolarına yer verilmeyenlerden, aynı kurum ve kadrolarda çalışmaya devam edenlere, anılan Karara ekli (I) sayılı Cetvelin “(H)” Bölümünde öngörülmüş bulunan zamların ödenmesine devam olunur. </t>
  </si>
  <si>
    <t>Kadro Derecesi</t>
  </si>
  <si>
    <t>Tazminat Oranı (%)</t>
  </si>
  <si>
    <t>7.Bölge</t>
  </si>
  <si>
    <t xml:space="preserve"> 6.Bölge     </t>
  </si>
  <si>
    <t xml:space="preserve">5.Bölge     </t>
  </si>
  <si>
    <t xml:space="preserve">4.Bölge    </t>
  </si>
  <si>
    <t xml:space="preserve"> 3.Bölge     </t>
  </si>
  <si>
    <t xml:space="preserve"> 2.Bölge    </t>
  </si>
  <si>
    <t xml:space="preserve">1.Bölge    </t>
  </si>
  <si>
    <t xml:space="preserve">Oranı (%)   </t>
  </si>
  <si>
    <t xml:space="preserve">   :  </t>
  </si>
  <si>
    <t>2-  </t>
  </si>
  <si>
    <t xml:space="preserve">5- </t>
  </si>
  <si>
    <t>Yüksek mühendis, yüksek mimar, mühendis, mimar ve şehir plancısı kariyerlerini haiz olup, 1-4 üncü derecelerden aylık alanlardan, kurumlarınca belirlenen ve ödeneği bulunan faaliyet halindeki büyük yatırım projelerinde fiilen çalışanlara, ilgili Bakan, Rektör, Vali ve Belediye başkanından adlarına onay alınmak ve kontrol edilen ve onaylanan cetvellerde ödeme yapılacak unvanlar ve sayıları gösterilmek şartıyla, projelerde çalıştıkları sürece aşağıda gösterilen özel hizmet tazminatı oranları ek olarak ödenebilir.</t>
  </si>
  <si>
    <t xml:space="preserve">6- </t>
  </si>
  <si>
    <t>Teknik Hizmetler Sınıfına ait kadrolarda bulunan personelden; büro, atölye, ısı santralı, laboratuar, tesis (sosyal tesisler dahil), işletme, fabrika ve hizmet binaları dışında olmak şartıyla arazi, şantiye, inşaat, baraj, park, bahçe, maden, açık alanlarda kurulu tarım ve hayvancılık uygulama birimleri ve yol gibi açık çalışma mahallerinde fiilen çalışanlara (belirtilen mahallerde yapılan kontrollük hizmetleri dahil), çalışılan her gün için aşağıda gösterilen oranlarda ayrıca özel hizmet tazminatı ödenir. Faal durumdaki hizmet binalarının tadilat, bakım ve onarımı işleri açık çalışma mahalli kapsamında değerlendirilmez.</t>
  </si>
  <si>
    <t>7-</t>
  </si>
  <si>
    <t xml:space="preserve"> “Ekonomist” unvanlı kadrolara atanmış olanlara, III sayılı Cetvelin (G) bölümünde belirlenmiş olan tazminata ilave olarak aşağıda gösterilen oranlardaki özel hizmet tazminatı ayrıca ödenebilir.</t>
  </si>
  <si>
    <t xml:space="preserve"> (F) </t>
  </si>
  <si>
    <t xml:space="preserve">5) </t>
  </si>
  <si>
    <t>7)</t>
  </si>
  <si>
    <t>a) Müsteşar......................................................................</t>
  </si>
  <si>
    <t xml:space="preserve">  İl Müftü Yardımcısı ve İlçe Müftüsü kadrolarında bulunanlardan;</t>
  </si>
  <si>
    <t xml:space="preserve">a)  </t>
  </si>
  <si>
    <t>d) Merkezde görevli diğer Valiler.....................................</t>
  </si>
  <si>
    <t>Yüksek Mahkemeler, Yüksek Seçim Kurulu, Sayıştay, İl ve İlçe Seçim Kurulları ile adli, idari ve askeri yargıda (Ceza İnfaz Kurumları ve İcra Müdürlükleri personeli dahil) fiilen görev yapan memurlardan;</t>
  </si>
  <si>
    <t>G.   657 sayılı Devlet Memurları Kanununda belirtilen hizmet sınıflarında çalışıp da özel hizmet tazminatı ile bu cetvelin yukarıdaki sıralarında sayılan tazminatlardan yararlanamayan personelden;</t>
  </si>
  <si>
    <t xml:space="preserve">     -1-4 derecelerden aylık alanlar .............................</t>
  </si>
  <si>
    <t xml:space="preserve">     -Diğer derecelerden aylık alanlar .........................</t>
  </si>
  <si>
    <t xml:space="preserve">Kadroları teknik hizmetler sınıfında bulunan ve fiilen görev yapanlardan                                       </t>
  </si>
  <si>
    <t xml:space="preserve"> E k   T a z m i n a t   O r a n ı   (%)    </t>
  </si>
  <si>
    <t xml:space="preserve">Tazminat                    </t>
  </si>
  <si>
    <t>Yüksek mühendis, mühendis, yüksek mimar,  mimar, bölge plancısı ve şehir plancılarından;</t>
  </si>
  <si>
    <t>Jeolog, hidrolog, hidrojeolog, jeofizikçi, kimyager, fizikçi, jeomorfolog, arkeolog, matematikçi, istatistikçi, astronom, tütün eksperi olanlarla, 29/4/1992 tarihli ve 3795 sayılı Kanuna göre teknik öğretmen unvanı alanlardan;</t>
  </si>
  <si>
    <t>Unvanları (a), (b) ve (c)’de sayılmayan diğer mesleki teknik yükseköğrenimlilerden;</t>
  </si>
  <si>
    <t>En az iki yıl süreli mesleki teknik yükseköğrenim görmüş olan yüksek teknikerler, teknikerler ile tütün eksperlerinden;</t>
  </si>
  <si>
    <t>Lise üzerine en az 2 yıl mesleki teknik kurs görenlerden;</t>
  </si>
  <si>
    <t xml:space="preserve">Kadroları Sağlık Hizmetleri Sınıfında bulunan ve fiilen görev yapanlardan                                       </t>
  </si>
  <si>
    <t>8)</t>
  </si>
  <si>
    <t xml:space="preserve">3)       </t>
  </si>
  <si>
    <t xml:space="preserve">4)      </t>
  </si>
  <si>
    <t xml:space="preserve">2)      </t>
  </si>
  <si>
    <t xml:space="preserve">1)       </t>
  </si>
  <si>
    <t>6)</t>
  </si>
  <si>
    <t xml:space="preserve"> Folklor Araştırmacısı…………</t>
  </si>
  <si>
    <t xml:space="preserve"> Başbakanlık Müsteşarı.........................</t>
  </si>
  <si>
    <t>Başbakanlık Müsteşar Yardımcısı, Başbakan Başmüşaviri, BaşbakanlıkTeftiş Kurulu Başkanı…</t>
  </si>
  <si>
    <t>Diyanet İşleri Başkanı................................................</t>
  </si>
  <si>
    <t>Türkiye İstatistik Kurumu Başkanı……………………</t>
  </si>
  <si>
    <t>Devlet Personel Başkanı...........................................</t>
  </si>
  <si>
    <t>Gelir İdaresi Başkanı..................................................</t>
  </si>
  <si>
    <t>Talim ve Terbiye Kurulu Başkanı.................................</t>
  </si>
  <si>
    <t>Türk İşbirliği ve Kalkınma İdaresi Başkanı……………</t>
  </si>
  <si>
    <t>Toplu Konut İdaresi Başkanı…………………………</t>
  </si>
  <si>
    <t>Atatürk Kültür Dil ve Tarih Yüksek Kurumu Başkanı..</t>
  </si>
  <si>
    <t>GAP İdaresi Başkanı.................................................</t>
  </si>
  <si>
    <t>Müsteşar, Avrupa Birliği Genel Sekreteri, Özelleştirme İdaresi Başkanı....</t>
  </si>
  <si>
    <t>Dış Politika Danışma Kurulu Üyesi, Dışişleri Eğitim Merkezi Başkanı, Stratejik Araştırmalar Merkezi Başkanı (Büyükelçi), Talim ve Terbiye Kurulu Üyesi.................................................................................................</t>
  </si>
  <si>
    <t>Atatürk Kültür Dil ve Tarih Yüksek Kurumu Başkan Yardımcısı, Atatürk Kültür Merkezi, Atatürk Araştırma Merkezi, Türk Dil Kurumu, Türk Tarih Kurumu Başkanları.......................................................................................</t>
  </si>
  <si>
    <t>Adli Tıp Kurumu, Atom Enerjisi Kurumu, Özel Çevre Koruma Kurumu, Özürlüler İdaresi, Refik Saydam Hıfzıssıhha Enstitüsü Başkanları.............</t>
  </si>
  <si>
    <t>Strateji Geliştirme Başkanı…………………………………………………</t>
  </si>
  <si>
    <t>Maliye Yüksek Eğitim Merkezi Başkanı......................................................</t>
  </si>
  <si>
    <t>Avrupa Birliği Genel Sekreter Yardımcısı....................................................</t>
  </si>
  <si>
    <t xml:space="preserve"> Sosyal Güvenlik Kurumu Başkan Yardımcısı………………………………</t>
  </si>
  <si>
    <t>Özelleştirme İdaresi Başkan Yardımcısı……………………………………</t>
  </si>
  <si>
    <t>Diyanet İşleri Başkan Yardımcısı…………………………………………..</t>
  </si>
  <si>
    <t>Gelir İdaresi Başkan Yardımcısı……………………………………………</t>
  </si>
  <si>
    <t>Türkiye İstatistik Kurumu Başkan Yardımcısı……………………………..</t>
  </si>
  <si>
    <t>Büyükşehir Belediyesi bulunan illerin İl Özel İdaresi Genel Sekreteri ……</t>
  </si>
  <si>
    <t xml:space="preserve">GRUP-5........................................................................     </t>
  </si>
  <si>
    <t>Başbakanlık, Bakanlık ve Müsteşarlıklarda Müstakil Daire Başkanı (Ana ve yardımcı hizmet birimi), Milli Kütüphane Başkanı................................</t>
  </si>
  <si>
    <t>Yükseköğretim Kurulu, Devlet Planlama Teşkilatı Genel Sekreter ardımcıları..........................................................</t>
  </si>
  <si>
    <t>Devlet Personel Başkan Yardımcısı, Türk İşbirliği ve Kalkınma İdaresi  Başkan Yardımcısı, Yüksek Fen Kurulu Üyesi............................................</t>
  </si>
  <si>
    <t>8 </t>
  </si>
  <si>
    <t>Atatürk Kültür, Dil ve Tarih Yüksek Kurumu Denetleme Kurulu Başkan ve Üyeleri.........................................</t>
  </si>
  <si>
    <t>Başbakanlık, Bakanlık, Müsteşarlık, Kurum Başkanlığı ve Müstakil Genel Müdürlüklerin 1. Hukuk Müşavirleri (1’er kişi), Maliye Bakanlığı Hukuk Müşavirleri (6 kişi)..........</t>
  </si>
  <si>
    <t>Maliye Başkanı, Milli Emlak Dairesi Başkanı, Mali Suçları Araştırma Kurulu Başkan Yardımcısı……………………………………</t>
  </si>
  <si>
    <t>Büyükşehir Belediyesi Genel Sekreter Yardımcısı..</t>
  </si>
  <si>
    <t>Kadrolu Yönetim Kurulu Üyesi, Vakıflar Meclisi Üyesi..</t>
  </si>
  <si>
    <t>İl Özel İdaresi Genel Sekreteri …</t>
  </si>
  <si>
    <t>Başbakanlık Yüksek Denetleme Kurulu 1. Hukuk Müşaviri……………</t>
  </si>
  <si>
    <t>Başbakanlık ve Bakanlık Müşaviri, Müsteşarlık Müşaviri, Devlet Planlama Teşkilatı Müşaviri, Bakan Özel Müşaviri, Müsteşar Özel Müşaviri, Bakanlık Özel Kalem Müdürü, Basın ve Halkla İlişkiler Müşaviri, Gençlik ve Spor Genel Müdürlüğü Spor Müşaviri, İstatistik Müşaviri (TÜİK), Gelir İdaresi Başkanlığı ile Özelleştirme İdaresi Başkanlığı Müşavirleri………</t>
  </si>
  <si>
    <t xml:space="preserve"> Daire Başkanı (Bağlı kuruluşlarda 84/8360 sayılı Kararname ve eklerindeki unvanlı Daire Başkanları dahil, Yükseköğretim Kurumları Daire Başkanları hariç), Gelir İdaresi Grup Başkanı, Milli Kütüphane Başkan Yrd...</t>
  </si>
  <si>
    <t>Genel Sekreter, Savunma Sekreteri.............................</t>
  </si>
  <si>
    <t>Bölge Müdürü (Belediyeler hariç), Müessese Müdürü, Müessese Müdür Yardımcısı (Bağlı işletme müdürlükleri olan müesseselerde), İşletme Müdürü (KİT), Fabrika Müdürü, Kombina Müdürü, Seksiyon Müdürü (Bankalar Merkez Teşkilatında), Başmüdür, KİT Koordinatörü..........................</t>
  </si>
  <si>
    <t>Bakanlık İl Müdürü (Ankara, İstanbul, İzmir)..................</t>
  </si>
  <si>
    <t>(Nüfusu, en son yapılan resmi nüfus sayımına göre 250.000 ve daha fazla olmak kaydıyla)...............................</t>
  </si>
  <si>
    <t>İl Müftüsü (Ankara, İstanbul, İzmir)............................</t>
  </si>
  <si>
    <t>Diğer 1. Hukuk Müşavirleri, Hukuk Müşaviri...............</t>
  </si>
  <si>
    <t>GRUP-7...........................................................................</t>
  </si>
  <si>
    <t>Diğer İllerin Bakanlık İl Müdürleri, İl Müftüleri.................</t>
  </si>
  <si>
    <t>Bölge 2. Müdürü (KİT), Banka Şube Müdürü ............</t>
  </si>
  <si>
    <t>Müze Başkanı…………………………………………</t>
  </si>
  <si>
    <t>İl Özel İdaresi Genel Sekreter Yardımcısı …………</t>
  </si>
  <si>
    <t>Başbakanlık Yüksek Denetleme Kurulu Müdürleri…</t>
  </si>
  <si>
    <t>Başkanlık (Belediyeler dahil) ve Genel Müdürlük Kurul Başkanları .........</t>
  </si>
  <si>
    <t>Genel Müdür Yardımcısı, Maliye Yüksek Eğitim Merkezi Başkan Yrd, Gelir İdaresi Daire Başkanı……</t>
  </si>
  <si>
    <t>Toplu Konut İdaresi, Adli Tıp Kurumu, Atom Enerjisi Kurumu, GAP İdaresi, Özel Çevre Koruma Kurumu, Özürlüler İdaresi, Refik Saydam Hıfzıssıhha Enstitüsü Başkan Yardımcıları, Adli Tıp Kurumu Grup Başkanı ile İhtisas Kurulu Başkan ve Üyeleri……</t>
  </si>
  <si>
    <t>Atatürk Kültür Merkezi, Atatürk Araştırma Merkezi, Türk Dil Kurumu, Türk Tarih Kurumu Başkan Yardımcıları..........</t>
  </si>
  <si>
    <t>Stratejik Araştırmalar Merkezi Başkanı........................................................</t>
  </si>
  <si>
    <t>Bağlı ve ilgili kuruluş İl Müdürü (Ankara, İstanbul, İzmir)........................</t>
  </si>
  <si>
    <t>Yükseköğretim Kurumlarının Genel Sekreter Yardımcısı ve Daire Başkanı</t>
  </si>
  <si>
    <t xml:space="preserve">Ankara, İstanbul ve İzmir İllerinin; İl Nüfus ve Vatandaşlık Müdürü, İl Yazı İşleri Müdürü, İl İdare Kurulu Müdürü,  İl Mahalli İdare Müdürü, İl Sivil Savunma Müdürü, İl Planlama ve Koordinasyon Müdürü, Dernekler İl Müdürü </t>
  </si>
  <si>
    <t xml:space="preserve">Defterdar Yardımcısı (Ankara, İstanbul, İzmir), Bakanlık İl Müdür Yardımcısı (Ankara, İstanbul, İzmir), Gelir İdaresi Grup Müdürü (Ankara, İstanbul, İzmir) </t>
  </si>
  <si>
    <t>Çalışma ve Sosyal Güvenlik Eğitim ve Araştırma Merkezi Başkan Yardımcısı……</t>
  </si>
  <si>
    <t xml:space="preserve">Mühendis, Mimar, Şehir Plancısı, Bölge Plancısı, Uzman Tabip olanlardan Daire Başkan Yardımcısı, İl Müdür Yardımcısı, Başkan, Grup Başkanı, Proje Müdürü, Grup Müdürü, İşletme Müdürü, Şirket Müdürü, Şube Müdürü,    Müdür, Başuzman (KİT) kadrosunda olanlar ve bunların yardımcıları......    </t>
  </si>
  <si>
    <t>Diğer illerin bağlı ve ilgili kuruluş İl Müdürleri .............</t>
  </si>
  <si>
    <t>4 </t>
  </si>
  <si>
    <t>Başkanlık ve Genel Müdürlüklerde Kurul Üyesi, KİT’ lerde Daire Başkan Yardımcısı .................</t>
  </si>
  <si>
    <t>Stratejik Araştırmalar Merkezi ve Eğitim Merkezi Sekreterleri (Dışişleri Bakanlığı), Atatürk Kültür Dil ve Tarih Yüksek Kurumu Başkanlığında Merkez ve Kurum Sekreterleri.....................................</t>
  </si>
  <si>
    <t>Diğer İllerin İl Nüfus ve Vatandaşlık Müdürü, İl Yazı İşleri Müdürü, İl İdare Kurulu Müdürü, İl Mahalli İdare Müdürü, İl Sivil Savunma Müdürü, İl Planlama ve Koordinasyon Müdürü, Dernekler İl Müdürü, İl Özel İdare Müdürü..........................</t>
  </si>
  <si>
    <t>Jeolog, Hidrojeolog, Hidrolog, Jeofizikçi, Fizikçi, Matematikçi, Kimyager,  İstatistikçi, Jeomorfolog, Arkeolog, 29.4.1992 tarihli ve 3795 sayılı Kanuna göre Teknik Öğretmen unvanı alanlar, Tabip, Diş Tabibi, Eczacı, Veteriner Hekim olanlar ile (II) sayılı Cetvelin (F) Sağlık Hizmetleri Bölümünün 2 nci sırasına girenlerden Daire Başkan Yardımcısı, İl Müdür Yardımcısı, Başkan, Grup Başkanı, Proje Müdürü, Grup Müdürü,  İşletme Müdürü, Şirket Müdürü, Şube Müdürü, Müdür, Başuzman (KİT) kadrosunda olanlar ve bunların yardımcıları..............</t>
  </si>
  <si>
    <t>6 ncı grup 4 üncü sırada sayılanlar ile 7 nci grup 3 üncü sırada sayılanların yardımcıları, Diğer İllerin Defterdar Yardımcısı, Bütçe Dairesi Başkanı, Gelir İdaresi Grup Müdürü…………</t>
  </si>
  <si>
    <t>5 </t>
  </si>
  <si>
    <t xml:space="preserve"> Tiyatro Müdür Yardımcısı, Atatürk Kültür Merkezi Müdür Yardımcısı,  Opera ve Bale Müdür Yardımcısı, Hıfzıssıhha Müdür Yardımcısı,  Özel Çevre Koruma Müdür Yardımcısı……        </t>
  </si>
  <si>
    <t xml:space="preserve">Belediye Başkan Yardımcısı, Daire Başkan Yardımcısı (Belediyeler)…… </t>
  </si>
  <si>
    <t>Bölge Müdürü (Belediyeler), İşletme Müdürü, Şirket Müdürü ve bunların yardımcıları ................................</t>
  </si>
  <si>
    <t>Başbakanlık Merkez Teşkilatında Araştırmacı.............................................</t>
  </si>
  <si>
    <t>Bölge Müdürü, Başmüdür, Bölge 2. Müdürü (KİT), Müessese Müdürü, Fabrika Müdürü, Kombina Müdürü, Banka Şube Müdürü, İşletme Müdürü, Şirket Müdürü, İl Müdürü, Şube Müdürü, Grup Başkanı, Grup Müdürü, Proje Müdürü, Müdür, Sayman, Başkan, Başuzman (KİT) ve bunların yardımcıları.......................</t>
  </si>
  <si>
    <t>Talim ve Terbiye Kurulu Uzmanı, Sivil Savunma Uzmanı, Savunma Uzmanı, APK Uzmanı, Eğitim Uzmanı, Din İşleri Yüksek Kurulu Uzmanı, Din Hizmetleri Uzmanı, Vakit Hesaplama Uzmanı, Uzman (TSK).............</t>
  </si>
  <si>
    <t>Savunma Sekreteri, Basın ve Halkla İlişkiler Müşaviri, Başbakanlık Merkez Teşkilatında Araştırmacı</t>
  </si>
  <si>
    <t>Bütçe Dairesi Başkanı, Bütçe Dairesi Başkan Yardımcısı Gelir İdaresi Grup Müdürü ………………</t>
  </si>
  <si>
    <t>Bölge Müdürü, Başmüdür, Bölge 2. Müdürü (KİT), Müessese Müdürü, Fabrika Müdürü, Kombina Müdürü, Banka Şube Müdürü, İşletme Müdürü, Şirket Müdürü, İl Müdürü, Grup Başkanı, Grup Müdürü, Proje Müdürü, Şube Müdürü, Müdür, Sayman, Başkan, Başuzman (KİT) ve bu sırada sayılanların yardımcıları.........................................................................</t>
  </si>
  <si>
    <t>Bütçe Dairesi Başkanı, Bütçe Dairesi Başkan Yardımcısı, Gelir İdaresi Grup Müdürü…………………………………………………</t>
  </si>
  <si>
    <t>Basın ve Halkla İlişkiler Müşaviri, Başbakanlık Merkez Teşkilatında Araştırmacı..............................................................................</t>
  </si>
  <si>
    <t>Yüksek öğrenim mezunu Uzman, Mütercim (KPDS sınavında en az (B) düzeyinde başarılı olmak kaydıyla), Musahhih</t>
  </si>
  <si>
    <t>2, 3, 4</t>
  </si>
  <si>
    <t>Şube Müdürü, Müdür, Sayman (Muhasip ve Muhasebeci kadrosunda olanlar dahil), Başkan ve bunların yardımcıları............................................</t>
  </si>
  <si>
    <t>Yukarıda sayılan 1 ila 16 ncı Gruplara göre özel hizmet tazminatı alamayanlardan, Kurumların Genel İdare Hizmetleri Sınıfına dahil 
1, 2, 3 ve 4 üncü dereceli kadrolarında bulunanlar.</t>
  </si>
  <si>
    <t>Hukuk Müşaviri, Yüksek öğrenim mezunu Uzman, Borsa Komiseri, Mütercim (KPDS sınavında en az (B) düzeyinde başarılı olmak kaydıyla), Basın ve Halkla İlişkiler Müşaviri, Müze Araştırmacısı, Başbakanlık Merkez Teşkilatında Araştırmacı, Musahhih .....</t>
  </si>
  <si>
    <t>1, 4</t>
  </si>
  <si>
    <t>1,2, 3, 4</t>
  </si>
  <si>
    <t xml:space="preserve">       - 1-2 derecelerden aylık alanlar ....................................................................................</t>
  </si>
  <si>
    <t xml:space="preserve">        - Diğer derecelerden aylık alanlar .................................................................................</t>
  </si>
  <si>
    <t xml:space="preserve">        - 1-2 derecelerden aylık alanlar .....................................................................................</t>
  </si>
  <si>
    <t xml:space="preserve">    a) Başbakanlık Müfettişlerinden;</t>
  </si>
  <si>
    <t xml:space="preserve">    b) Başbakanlık Müfettiş Yardımcıları .............................................................................</t>
  </si>
  <si>
    <t xml:space="preserve">     b) Bunların Yardımcıları, Stajyer Kontrolörler ...............................................................</t>
  </si>
  <si>
    <t xml:space="preserve">     a) Bakanlık, Denizcilik Müsteşarlığı, Diyanet İşleri Başkanlığı ve bağımsız genel müdürlük (mahalli idarelere bağlı genel müdürlükler hariç) Müfettişleri, Başkanlık, Müstakil Genel Müdürlük, Büyükşehir Belediyesi, Büyükşehir Belediyesi bulunan illerin İl Özel İdaresi ile Üniversiteler ve Yüksek Teknoloji Enstitüleri İç Denetçileri, Çalışma ve Sosyal Güvenlik Bakanlığı İş Müfettişleri, Bakanlıklar merkez teşkilatına dahil kadrolarda görevli Kontrolörler, İçişleri Bakanlığı Dernekler Denetçisi, Sosyal Sigortalar Kurumu Başkanlık Müfettişleri, Sigorta Müfettişleri, Milli Savunma Bakanlığı Akaryakıt İkmal ve NATO-POL Tesisleri İşletme Başkanlığı Müfettişlerinden;</t>
  </si>
  <si>
    <t xml:space="preserve">    a) Başbakanlık Yüksek Denetleme Kurulu Başkan, Üye ve Denetçileri, Başbakanlık, Bakanlık, Müsteşarlık, Avrupa Birliği Genel Sekreterliği ve  Gelir İdaresi Başkanlığı İç Denetçileri, Maliye Bakanlığı Maliye Müfettişleri, Hesap Uzmanları ve Kontrolörleri; Gümrük Müsteşarlığı Müfettişleri ve Kontrolörleri; Hazine Müsteşarlığı Kontrolörleri, Sigorta Denetleme Uzmanları ve Aktüerleri; Dış Ticaret Müsteşarlığı Kontrolörlerinden;</t>
  </si>
  <si>
    <t xml:space="preserve">     a) Başbakanlık Uzmanları, Planlama Uzmanları, Hazine Uzmanları, Dış Ticaret Uzmanları, Türkiye İstatistik Kurumu Uzmanları, Devlet Personel Uzmanları, Devlet Bütçe Uzmanları, Sosyal Güvenlik Uzmanları, Çalışma Uzmanları, Yurt Dışı İşçi Hizmetleri Uzmanları, İş Sağlığı ve Güvenliği Uzmanları, Maliye Bakanlığı Vergi,   Muhasebe ve Milli Emlak Denetmenleri,  Büyükşehir Belediyeleri ile bunlara bağlı genel müdürlük Müfettişleri,  İlköğretim Müfettişleri, Dış Ticarette Standardizasyon Denetmenleri, Sosyal  Yardım Uzmanları ile (2) ve (3) üncü sırada sayılmayan İç Denetçilerden;</t>
  </si>
  <si>
    <t xml:space="preserve">     b) Bunların Yardımcıları (meslekte üç yıldan daha az kıdemli İlköğretim Müfettişleri dahil) </t>
  </si>
  <si>
    <t xml:space="preserve">     a) Mali Suçları Araştırma Uzmanları, Devlet Muhasebe Uzmanları, Devlet Gelir Uzmanları, Devlet Malları Uzmanları, Maliye Uzmanları, Vergi İstihbarat Uzmanları, Gelir Uzmanları, Muhasebe Uzmanları, Milli Emlak Uzmanları, Mali Hizmetler Uzmanları, Çevre ve Orman Uzmanları, Tüketici ve Rekabet Uzmanları, Marka Uzmanları, Patent Uzmanları, Özelleştirme İdaresi Başkanlığı Uzmanları, Denizcilik Uzmanları, Gümrük Uzmanları, Sosyal Sigorta Uzmanları, Teknik Yardım Uzmanları, Bakanlık ve Bağlı Kuruluşların Avrupa Birliği Uzmanları, Savunma Sanayi Müsteşarlığı Uzmanları, Özürlüler Uzmanları, Aile ve Sosyal Araştırma Uzmanları, Kadının Statüsü Uzmanları, Bağ-Kur Denetmenleri,  Çalışma ve Sosyal Güvenlik Eğitim Uzmanları, İstihdam ve Meslek Uzmanları, Kültür ve Turizm Uzmanları, Tapu ve Kadastro Denetmenlerinden;</t>
  </si>
  <si>
    <t xml:space="preserve">      b) Bunların Yardımcıları ........................................ </t>
  </si>
  <si>
    <t xml:space="preserve">        - 1-2 derecelerden aylık alanlar ........................</t>
  </si>
  <si>
    <t xml:space="preserve">        - Diğer derecelerden aylık alanlar ....................</t>
  </si>
  <si>
    <t xml:space="preserve">        - 1-2 derecelerden aylık alanlar ..........................</t>
  </si>
  <si>
    <t xml:space="preserve">        - Diğer derecelerden aylık alanlar .......................</t>
  </si>
  <si>
    <t xml:space="preserve">     a) Diğer belediyeler (Büyükşehir Belediyesi Sınırları içerisindeki ilçe belediyeleri dahil) ve bunlara bağlı genel müdürlük Müfettişleri, Yüksekokul mezunu olmak şartı ile Belediye İktisat Müfettişleri ve Büyükşehir Belediyeleri Hesap İşleri Murakıplarından;</t>
  </si>
  <si>
    <t xml:space="preserve">     b) Bunların Yardımcıları ............................................</t>
  </si>
  <si>
    <t xml:space="preserve">        - 1-2 derecelerden aylık alanlar ..................................</t>
  </si>
  <si>
    <t xml:space="preserve">        - Diğer derecelerden aylık alanlar ............................</t>
  </si>
  <si>
    <t xml:space="preserve">     a) İçişleri Bakanlığı İl Planlama Uzmanlarından;</t>
  </si>
  <si>
    <t xml:space="preserve">        - 1-2 derecelerden aylık alanlar .........................</t>
  </si>
  <si>
    <t xml:space="preserve">        - Diğer derecelerden aylık alanlar .....................</t>
  </si>
  <si>
    <t xml:space="preserve">     b) Bunların Yardımcıları .......................................</t>
  </si>
  <si>
    <t xml:space="preserve">        - 1-4 derecelerden aylık alanlar ........................</t>
  </si>
  <si>
    <t xml:space="preserve">        - Diğer derecelerden aylık alanlar ........................</t>
  </si>
  <si>
    <t xml:space="preserve">         - 1-2 nci derecelerden aylık alanlar ...........................</t>
  </si>
  <si>
    <t xml:space="preserve">         - 3-6 ncı derecelerden aylık alanlar ..................</t>
  </si>
  <si>
    <t xml:space="preserve">        - 7-9 uncu derecelerden aylık alanlar ...............</t>
  </si>
  <si>
    <t>Dışişleri Bakanlığı meslek memurlarından (aday meslek memurları dahil) bu cetvelin (A) Üst Yönetim ve Genel İdare Hizmetleri Bölümünden yararlanamayanlardan;</t>
  </si>
  <si>
    <t xml:space="preserve">     Ancak, bu hükme göre ilave ödemeden yararlanacakların toplam sayısı, kurum kadrolarında söz konusu kariyerlere sahip olarak fiilen görev yapan toplam personel sayısının %10’ unu geçemez (hesaplamalarda küsurlar tama iblağ edilir). </t>
  </si>
  <si>
    <t xml:space="preserve">        b) Diğerlerine ..............................................................</t>
  </si>
  <si>
    <t xml:space="preserve">     Bu tazminat mehil müddeti, her türlü izin, büyük yatırım projeleriyle ilgili olmayan geçici görev, görevden uzaklaştırma, tutuklanma, gözaltına alınma, hizmet içi eğitim, kurs ve seminer gibi nedenlerle hizmete ara verenlere, ara verdikleri günler için ödenmez.</t>
  </si>
  <si>
    <t xml:space="preserve">        a) Bölge Müdürü (Belediyeler hariç), Daire Başkanı ve daha üst idari görevlerde bulunanlara ........</t>
  </si>
  <si>
    <t xml:space="preserve">        a) 1/a, b ve c sıralarında sayılanlara ..............</t>
  </si>
  <si>
    <t xml:space="preserve">        b) 1/d sırası ile 2 nci sırada sayılanlara .........</t>
  </si>
  <si>
    <t xml:space="preserve">       c) 3 ve 4 üncü sıralarda sayılanlara ...............</t>
  </si>
  <si>
    <t xml:space="preserve">      Bu ek özel hizmet tazminatının ödenmesinde ilgililerin kadroları esas alınır. Tazminatın kimlere ödeneceği; iş programları ve çalışma mahallerinin özellikleri dikkate alınarak, üçer aylık dönemler itibarıyla ilgili birim amirlerince belirlenir. Ödemeler görevin filen yerine getirilmesinden sonra üçer aylık dönem sonlarında yapılır.</t>
  </si>
  <si>
    <t xml:space="preserve">     Ancak, bu şekilde ödenecek ek özel hizmet tazminat toplamı üçer aylık dönemler itibarıyla,</t>
  </si>
  <si>
    <t xml:space="preserve">        a) 1/a, b ve c sıralarında sayılanlara ...............</t>
  </si>
  <si>
    <t xml:space="preserve">        b) 1/d sırası ile 2 nci sırada sayılanlara ..........</t>
  </si>
  <si>
    <t xml:space="preserve">       c) 3 ve 4 üncü sıralarda sayılanlara .................</t>
  </si>
  <si>
    <t xml:space="preserve">     oranlarını aşamaz.</t>
  </si>
  <si>
    <t xml:space="preserve">     a) Doktora derecesi bulunanlardan;</t>
  </si>
  <si>
    <t xml:space="preserve">        -1-4 derecelerden aylık alanlar ............................</t>
  </si>
  <si>
    <t xml:space="preserve">        Diğer derecelerden aylık alanlar .........................</t>
  </si>
  <si>
    <t xml:space="preserve">     b) Yüksek lisans derecesi bulunanlardan;</t>
  </si>
  <si>
    <t xml:space="preserve">        -1-4 derecelerden aylık alanlar .............................</t>
  </si>
  <si>
    <t xml:space="preserve">     a) Klinik Şefi ..............................................................</t>
  </si>
  <si>
    <t xml:space="preserve">     b) Klinik Şef Yardımcısı ............................................</t>
  </si>
  <si>
    <t xml:space="preserve">     c) Başasistan ...............................................................</t>
  </si>
  <si>
    <t xml:space="preserve">     d) Uzman Tabiplerden;</t>
  </si>
  <si>
    <t xml:space="preserve">        - Diğer derecelerden aylık alanlar.........................</t>
  </si>
  <si>
    <t xml:space="preserve">     e) Asistan Tabiplerden;</t>
  </si>
  <si>
    <t xml:space="preserve">     f) Pratisyen Tabiplerden;</t>
  </si>
  <si>
    <t xml:space="preserve">        -Diğer derecelerden aylık alanlar .........................</t>
  </si>
  <si>
    <t xml:space="preserve">     Tıpta Uzmanlık Tüzüğünde belirtilen dallarda bu Tüzük hükümlerine göre uzmanlık belgesi alanlarla, aynı dallarda doktora yapmış olanlardan;</t>
  </si>
  <si>
    <t xml:space="preserve">     Diş Tabiplerinden;</t>
  </si>
  <si>
    <t xml:space="preserve">     Eczacılardan;</t>
  </si>
  <si>
    <t xml:space="preserve">     Refik Saydam Hıfzıssıhha Merkezi Başkanlığı merkez ve taşra teşkilatında; Sağlık Bakanlığı Halk Sağlığı Laboratuarlarında; Tarım ve Köy İşleri Bakanlığı, Çalışma ve Sosyal Güvenlik Bakanlığı, Çevre ve Orman Bakanlığı, Orman Genel Müdürlüğü, Devlet Su İşleri Genel Müdürlüğüne bağlı Araştırma Enstitüleri, Islah  Kurumları ve Bölge Laboratuarlarında (İl laboratuarları hariç); Adli Tıp Kurumunda; Türkiye Atom Enerjisi Kurumunda;Emniyet Genel Müdürlüğü Kriminal Laboratuarlarında görevli mesleki sağlık yüksek öğrenim görmüş sağlık personelinden;</t>
  </si>
  <si>
    <t xml:space="preserve">     a) Öğrenim süreleri en az 4 yıl olanlardan; </t>
  </si>
  <si>
    <t xml:space="preserve">       -1-4 derecelerden aylık alanlar .......................</t>
  </si>
  <si>
    <t xml:space="preserve">        -Diğer derecelerden aylık alanlar ...................</t>
  </si>
  <si>
    <t xml:space="preserve">     b) Öğrenim süreleri 4 yıldan az olanlardan; </t>
  </si>
  <si>
    <t xml:space="preserve">        -1-4 derecelerden aylık alanlar .......................</t>
  </si>
  <si>
    <t xml:space="preserve">       -Diğer derecelerden aylık alanlar ...................</t>
  </si>
  <si>
    <t xml:space="preserve">    Yukarıda sayılmayan sağlık personelinden;</t>
  </si>
  <si>
    <t xml:space="preserve">    a) Mesleki yüksek öğrenim görmüş sağlık personeli;</t>
  </si>
  <si>
    <t xml:space="preserve">    b) Lise dengi mesleki öğrenim görmüş sağlık personeli;</t>
  </si>
  <si>
    <t xml:space="preserve">     1) Öğrenim süreleri en az 4 yıl olanlardan;</t>
  </si>
  <si>
    <t xml:space="preserve">     2) Öğrenim süreleri 4 yıldan az olanlardan;</t>
  </si>
  <si>
    <t xml:space="preserve">     c) Ortaokul dengi mesleki öğrenim görmüş sağlık personeli;</t>
  </si>
  <si>
    <t xml:space="preserve">        -8-14 derecelerden aylık alanlar ....................</t>
  </si>
  <si>
    <t xml:space="preserve">    a) 6343 sayılı Kanunun 7 nci maddesi uyarınca çıkarılan  yönetmelik esaslarına göre uzmanlık sınavlarında  başarı göstererek uzmanlık belgesine sahip olan  Uzman Veteriner Hekimlerden; </t>
  </si>
  <si>
    <t xml:space="preserve">     b) Veteriner Hekimlerden; </t>
  </si>
  <si>
    <t xml:space="preserve">         -1-4 derecelerden aylık alanlar .......................</t>
  </si>
  <si>
    <t xml:space="preserve">     En yakın il ve ilçe merkezine uzaklığı en az 10 km. olan köy ve diğer yerleşim birimlerine sürekli görevle atanan ve buralarda fiilen görev yapan (1/a, b, c ve d sıra sında sayılanlar hariç) tabip ve diş tabiplerine, IV sayılı cetvelde gösterilen il ve ilçelere bağlı köy ve diğer yerleşim birimlerinde %25, diğer il ve ilçelere bağlı köy ve diğer yerleşim birimlerinde %15; diğer mesleki öğrenim görmüş sağlık personeline ise söz konusu köy ve diğer yerleşim birimlerinde sırasıyla %10 ve %5 ilave özel hizmet tazminatı verilir (üniversite kampüs alanları ve hava alanları köy ve diğer yerleşim birimi sayılmaz).</t>
  </si>
  <si>
    <t xml:space="preserve">     a) Eğitim ve Öğretim Hizmetleri Sınıfına dahil Öğretmen unvanlı kadrolarda fiilen öğretmenlik yapanlardan;</t>
  </si>
  <si>
    <t xml:space="preserve">        -1-2 derecelerden aylık alanlar..........................</t>
  </si>
  <si>
    <t xml:space="preserve">        -3-4 derecelerden aylık alanlar............................</t>
  </si>
  <si>
    <t xml:space="preserve">     b)  (a) bendinde sayılanlardan Uzman Öğretmen unvanını kazanmış olanlara ayrıca;  </t>
  </si>
  <si>
    <t xml:space="preserve">        -Diğer derecelerden aylık alanlar...........................</t>
  </si>
  <si>
    <t xml:space="preserve">        -Diğer derecelerden aylık alanlar......................................................................................</t>
  </si>
  <si>
    <t xml:space="preserve">        -1-2 derecelerden aylık alanlar..........................................................................................:</t>
  </si>
  <si>
    <t xml:space="preserve">        -Diğer derecelerden aylık alanlar.......................</t>
  </si>
  <si>
    <t xml:space="preserve">        -1-2 derecelerden aylık alanlar............................. </t>
  </si>
  <si>
    <t xml:space="preserve">     Milli Eğitim Bakanlığına bağlı ek V Sayılı Cetvelde sayılan mesleki ve teknik öğretim okul ve kurumlarına, atölye, laboratuar veya meslek dersleri öğretmeni olarak Eğitim ve Öğretim Hizmetleri Sınıfına dahil Öğretmen unvanlı kadrolara atananlara, atandıkları branşa göre aşağıdaki oranlarda ilave Eğitim Öğretim Tazminatı ayrıca ödenir. Mesleki Açık Öğretim Lisesi ile Mesleki ve Teknik Açık Öğretim Okulu kadrolarında bulunanlar hariç olmak üzere, branşlarında fiilen derse girmeyenlere bu tazminat ödenmez.</t>
  </si>
  <si>
    <t xml:space="preserve">     a) Bilgisayar, bilgisayar bakımı ve onarımı-işletme, elektrik, elektronik, elektro mekanik taşıyıcılar (asansör), gemicilik, gemi elektroniği ve haberleşme, gemi makineleri, güverte-güverte avlama, makine, iş makineleri, döküm-izabe, metalişleri, model, motor, tesviye, telekomünikasyon, tekstil dokuma, tekstil boya-baskı desen, tekstil iplikçilik-iplik, tekstil kalite kontrol, tekstil örme, endüstriyel elektronik, mikroteknoloji, radyo televizyon;</t>
  </si>
  <si>
    <t xml:space="preserve">    c) (a) bendinde sayılanlardan Başöğretmen unvanını kazanmış olanlara ayrıca;</t>
  </si>
  <si>
    <t xml:space="preserve">        -En az 4 yıl yükseköğrenim görenler.................</t>
  </si>
  <si>
    <t xml:space="preserve">       -En az 2 yıl yükseköğrenim görenler.....................</t>
  </si>
  <si>
    <t xml:space="preserve">     b) Kimya, matbaa, ciltleme ve seriografi, dizgi, tipo baskı-ofset baskı, fotoğraf ve klişe, ağaç işleri, mobilya ve dekorasyon, endüstriyel boya dekorasyon, su ürünleri, makine ressamlığı, yapı (inşaat), alt yapı, üst yapı, yapı ressamlığı, sıhhi tesisat-tesisat, harita ve kadastro, teknik resim;</t>
  </si>
  <si>
    <t xml:space="preserve">        -En az 2 yıl yükseköğrenim görenler.................</t>
  </si>
  <si>
    <t xml:space="preserve">     c) Seramik, seramik sanatı, kalıpçılık, otomatik kumanda, maden, trikotaj, diş protez, restorasyon, petro-kimya, ayakkabıcılık, deri işlemeciliği, cam işlemeciliği, süsleme taşçılığı;</t>
  </si>
  <si>
    <t xml:space="preserve">        -En az 4 yıl yükseköğrenim görenler..................</t>
  </si>
  <si>
    <t xml:space="preserve">        -En az 2 yıl yükseköğrenim görenler..................</t>
  </si>
  <si>
    <t xml:space="preserve">     d) Metalurji, giyim (biçki dikiş), hazır giyim (konfeksiyon), terzilik, giyim ve ev aksesuarları, deri hazır giyim, nakış (I.D.O.)-nakış, resim, dekoratif sanatlar, halıcılık, halıcılık kursu, grafik, gıda hazırlama-aşçılık, besin teknolojisi, besin endüstrisi, kuaförlük, el sanatları, çiçek örgü dokuma, el sanatları-çiçek, kütüphanecilik, kafeterya işletmeciliği, iş teknik, ev yönetimi-beslenme, aile ekonomisi-beslenme, ev ekonomisi-beslenme, moda tasarım, plastik sanatlar-lastik teknolojisi;</t>
  </si>
  <si>
    <t xml:space="preserve">        -En az 4 yıl yükseköğrenim görenler.....................</t>
  </si>
  <si>
    <t xml:space="preserve">     e) Muhasebe grubu, ekonomi grubu, daktilo-muhasebe, kooperatif, turizm ve otelcilik grubu, sekreterlik grubu, işletme-muhasebe, işletme bilgisi, ticaret grubu, gazetecilik, kurs öğretmenliği, çocuk gelişimi ve eğitimi, çocuk gelişimi ve bakımı, uygulama anaokulu öğretmenliği (uygulama sınıfı verilebilenler);</t>
  </si>
  <si>
    <t xml:space="preserve">dahil kadrolarında bulunanlar ( (a) bendinde sayılanlar ile II sayılı Cetvelin (A) Üst </t>
  </si>
  <si>
    <t xml:space="preserve">2- </t>
  </si>
  <si>
    <t>1 inci Sınıf Emniyet Müdürlüğü kadrolarına atananlardan;</t>
  </si>
  <si>
    <t>11-</t>
  </si>
  <si>
    <t xml:space="preserve">Ankara ve İstanbul Büyükşehir Belediyesi sınırları içerisinde Çevik Kuvvet Şube </t>
  </si>
  <si>
    <t xml:space="preserve">3- </t>
  </si>
  <si>
    <t>2 nci Sınıf Emniyet Müdürlerinden;</t>
  </si>
  <si>
    <t xml:space="preserve">4- </t>
  </si>
  <si>
    <t>3 üncü Sınıf Emniyet Müdürlerinden;</t>
  </si>
  <si>
    <t>4 üncü Sınıf Emniyet Müdürlerinden;</t>
  </si>
  <si>
    <t xml:space="preserve"> Emniyet Genel Müdürü................................................</t>
  </si>
  <si>
    <t>Yardımcı Hizmetler Sınıfına ait kadrolarda bulunan Çarşı ve Mahalle Bekçilerinden;</t>
  </si>
  <si>
    <t>10-</t>
  </si>
  <si>
    <t xml:space="preserve"> Polis Memurlarından;</t>
  </si>
  <si>
    <t xml:space="preserve">9- </t>
  </si>
  <si>
    <t>Komiser Yardımcılarından;</t>
  </si>
  <si>
    <t xml:space="preserve">     -Genel Müdür Yardımcısı, Teftiş Kurulu Başkanı, Polis Akademisi Başkanı, </t>
  </si>
  <si>
    <t xml:space="preserve">     -Daire Başkanı, 1.Hukuk Müşaviri, Diğer İl Emniyet Müdürleri, Polis Koleji </t>
  </si>
  <si>
    <t xml:space="preserve">8- </t>
  </si>
  <si>
    <t>Komiserlerden;</t>
  </si>
  <si>
    <t>6-</t>
  </si>
  <si>
    <t xml:space="preserve"> Emniyet Amirlerinden;</t>
  </si>
  <si>
    <t xml:space="preserve">7- </t>
  </si>
  <si>
    <t>Başkomiserlerden;</t>
  </si>
  <si>
    <t xml:space="preserve">         Ankara, İstanbul ve İzmir İl Emniyet Müdürleri..............</t>
  </si>
  <si>
    <t xml:space="preserve">         Müdürü ve Koruma Müdürleri.......................................</t>
  </si>
  <si>
    <t xml:space="preserve">     - Diğerleri.........................................................................</t>
  </si>
  <si>
    <t xml:space="preserve">     -1 inci derece kadrolardan aylık alanlar.......................</t>
  </si>
  <si>
    <t xml:space="preserve">     -2 nci derece kadrolardan aylık alanlar......................</t>
  </si>
  <si>
    <t xml:space="preserve">     -2 nci derece kadrolardan aylık alanlar.......................</t>
  </si>
  <si>
    <t xml:space="preserve">     -3 üncü derece kadrolardan aylık alanlar...................</t>
  </si>
  <si>
    <t xml:space="preserve">     -1 inci derece kadrolardan aylık alanlar......................</t>
  </si>
  <si>
    <t xml:space="preserve">     -4 ve 5 inci derece kadrolardan aylık alanlar..............</t>
  </si>
  <si>
    <t xml:space="preserve">     -2, 3 ve 4 üncü derece kadrolardan aylık alanlar .......</t>
  </si>
  <si>
    <t xml:space="preserve">     -5, 6, 7 ve 8 inci derece kadrolardan aylık alanlar.....</t>
  </si>
  <si>
    <t xml:space="preserve">     -3 ve 4 üncü derece kadrolardan aylık alanlar...........</t>
  </si>
  <si>
    <t xml:space="preserve">     -5, 6, 7 ve 8 inci derece kadrolardan aylık alanlar......</t>
  </si>
  <si>
    <t xml:space="preserve">     -5, 6 ve 7 nci derece kadrolardan aylık alanlar............</t>
  </si>
  <si>
    <t xml:space="preserve">     -8 inci derece kadrolardan aylık alanlar......................</t>
  </si>
  <si>
    <t xml:space="preserve">     -3 ve 4 üncü derece kadrolardan aylık alanlar............</t>
  </si>
  <si>
    <t xml:space="preserve">     -5, 6 ve 7 nci derece kadrolardan aylık alanlar...........</t>
  </si>
  <si>
    <t xml:space="preserve">     -8, 9, 10 ve 11 inci derece kadrolardan aylık alanlar..</t>
  </si>
  <si>
    <t xml:space="preserve">     Müdürlüklerine ait kadrolarda fiilen görev yapanlara ayrıca .....</t>
  </si>
  <si>
    <t xml:space="preserve">     -Diğer derecelerden aylık alanlar...............................</t>
  </si>
  <si>
    <t xml:space="preserve">a) </t>
  </si>
  <si>
    <t>Emniyet Hizmetleri Sınıfına dahil kadrolarda bulunanlardan;</t>
  </si>
  <si>
    <t>c) Kurul Başkanı, Müsteşar Yardımcısı, 1. Hukuk Müşaviri, Genel Müdür, Strateji Geliştirme Başkanı ile bu görevleri yürüten Merkez Valileri ve İl Valileri..........</t>
  </si>
  <si>
    <t>b) Olağanüstü Hal Bölge Valisi, Emniyet Genel Müdürü (Vali)....</t>
  </si>
  <si>
    <t xml:space="preserve">         -2 ve 3 üncü derecelerden aylık alanlar......................</t>
  </si>
  <si>
    <t xml:space="preserve">        -Diğer derecelerden aylık alanlar................................</t>
  </si>
  <si>
    <t xml:space="preserve">         -1 inci dereceden aylık alanlar.....................................</t>
  </si>
  <si>
    <t xml:space="preserve">        -Kaymakam Adayları...................................................</t>
  </si>
  <si>
    <t xml:space="preserve">     a) 1, 2 ve 3 üncü sıralarında sayılanlardan;</t>
  </si>
  <si>
    <t xml:space="preserve">        -KİT personeli.............................................................</t>
  </si>
  <si>
    <t xml:space="preserve">        -Diğerleri.....................................................................</t>
  </si>
  <si>
    <t xml:space="preserve">     b) 4, 5, 6 ve 7 nci sıralarında sayılanlar........................</t>
  </si>
  <si>
    <t>Genel İdare Hizmetleri Sınıfında bulunanlardan;</t>
  </si>
  <si>
    <t>a-</t>
  </si>
  <si>
    <t xml:space="preserve">b- </t>
  </si>
  <si>
    <t>Müdür ve Sayman kadrolarına atananlardan;</t>
  </si>
  <si>
    <t xml:space="preserve">c- </t>
  </si>
  <si>
    <t>Müdür Yardımcıları ve Sivil Savunma Uzmanlarından;</t>
  </si>
  <si>
    <t xml:space="preserve">d- </t>
  </si>
  <si>
    <t xml:space="preserve">Uzman, Şef, Programcı ve Çözümleyicilerden </t>
  </si>
  <si>
    <t xml:space="preserve">e- </t>
  </si>
  <si>
    <t>Zabıt Katiplerinden;</t>
  </si>
  <si>
    <t>f-</t>
  </si>
  <si>
    <t xml:space="preserve"> İnfaz ve Koruma Başmemurları ile İnfaz ve Koruma Memurlarından;</t>
  </si>
  <si>
    <t xml:space="preserve">g- </t>
  </si>
  <si>
    <t>Diğerlerinden (yukarıdaki sıralardan faydalanamayanlardan);</t>
  </si>
  <si>
    <t>Genel İdare Hizmetleri ve Yardımcı Hizmetler Sınıfları dışındaki diğer hizmet sınıflarına göre tazminat alanlardan;</t>
  </si>
  <si>
    <t>Yardımcı Hizmetler Sınıfında bulunanlar ile Teknik Hizmetler Sınıfında bulunup da Teknik Hizmetler Bölümündeki Özel Hizmet Tazminatından yararlanamayan diğer personelden;</t>
  </si>
  <si>
    <t xml:space="preserve"> Cezaevi Müdürü, İdare Memuru, İnfaz ve Koruma Başmemuru, İnfaz ve Koruma Memurlarından;</t>
  </si>
  <si>
    <t>Anayasa Mahkemesi Genel Sekreter Yardımcısı......</t>
  </si>
  <si>
    <t xml:space="preserve">2-  </t>
  </si>
  <si>
    <t xml:space="preserve">3-  </t>
  </si>
  <si>
    <t xml:space="preserve">1-  </t>
  </si>
  <si>
    <t xml:space="preserve">     -1 inci dereceden aylık alanlar..........................................................................................</t>
  </si>
  <si>
    <t xml:space="preserve">     -2 nci dereceden aylık alanlar...........................................................................................</t>
  </si>
  <si>
    <t xml:space="preserve">     -4 üncü dereceden aylık alanlar........................................................................................</t>
  </si>
  <si>
    <t xml:space="preserve">     -3 üncü dereceden aylık alanlar........................................................................................</t>
  </si>
  <si>
    <t xml:space="preserve">     -5, 6 ve 7 nci derecelerden aylık alanlar...........................................................................</t>
  </si>
  <si>
    <t xml:space="preserve">     -Diğer derecelerden aylık alanlar......................................................................................</t>
  </si>
  <si>
    <t xml:space="preserve">     -Diğer derecelerden aylık alanlar.....................................................................................</t>
  </si>
  <si>
    <t xml:space="preserve">     1, 2, 3 ve 4 üncü derecelerden aylık alanlar</t>
  </si>
  <si>
    <t xml:space="preserve">     -1, 2 ve 3 üncü dereceden aylık alanlar............................................................................</t>
  </si>
  <si>
    <t xml:space="preserve">     -5-9 uncu derecelerden aylık alanlar.................................................................................</t>
  </si>
  <si>
    <t xml:space="preserve">     -1-4 üncü dereceli kadrolara atanmış olanlar....................................................................</t>
  </si>
  <si>
    <t xml:space="preserve">     -1-4 üncü derecelerden aylık alanlar ................................................................................</t>
  </si>
  <si>
    <t xml:space="preserve">     -1-4 üncü derecelerden aylık alanlar.................................................................................</t>
  </si>
  <si>
    <t xml:space="preserve">     -1-4 üncü derecelerden aylık alanlar................................................................................</t>
  </si>
  <si>
    <t xml:space="preserve">     a- Özel eğitim ve iyileştirme tatbik edilen cezaevleri, D ve F tipi cezaevleri ile Ankara kapalı, Bayrampaşa ve Buca cezaevlerinde görevli olanların tazminat oranlarına 13’er, </t>
  </si>
  <si>
    <t xml:space="preserve">     b- Diğer cezaevlerinde görevli olanlar ile 3/7/2005 tarihli ve 5402 sayılı Kanunun 10 uncu maddesi uyarınca kurulan Denetimli Serbestlik ve Yardım Merkezi Şube Müdürlüğünde görevli olanların tazminat oranlarına 10’ar, </t>
  </si>
  <si>
    <t>Kadroları Yardımcı Hizmetler Sınıfında bulunanlardan;</t>
  </si>
  <si>
    <t>Diğer hizmet sınıflarında bulunanlardan;</t>
  </si>
  <si>
    <t xml:space="preserve">        -8-15 inci derecelerden aylık alanlar...........................</t>
  </si>
  <si>
    <t xml:space="preserve">        -Diğer derecelerden aylık alanlar.................................</t>
  </si>
  <si>
    <t xml:space="preserve">     1- Kadro unvanları Müdür ve Müdür Yardımcısı, Sayman, Şef, Antrenör, Borsa Komiseri, Bölge Amiri, Kısım Amiri, Koruma ve Güvenlik Amiri, Kontrolör,  Ekonomist, Danışman, Müşavir, Aktüer, Araştırmacı, Muhasebeci ve Muhasip,  Raportör, Uzman, Hukuk Müşaviri, Programcı, Çözümleyici, Bilgisayar  İşletmeni, Başkatip, Zabıta Amiri ve Yardımcısı, Zabıta Başkomiseri ve  Komiseri, İtfaiye Amiri, İtfaiye Başçavuşu, Çavuşu ve Onbaşısı ile Kontrol Memurları</t>
  </si>
  <si>
    <t xml:space="preserve">     2- Diğerlerinden;</t>
  </si>
  <si>
    <t xml:space="preserve">        -8-15 inci derecelerden aylık alanlar................................</t>
  </si>
  <si>
    <t xml:space="preserve">        -Diğer derecelerden aylık alanlar....................................</t>
  </si>
  <si>
    <r>
      <t xml:space="preserve">   </t>
    </r>
    <r>
      <rPr>
        <sz val="10"/>
        <color indexed="10"/>
        <rFont val="Arial"/>
        <family val="2"/>
        <charset val="162"/>
      </rPr>
      <t xml:space="preserve">  bb) Vekaletin, Bakanlar Kurulu kararı veya müşterek karar ile atama yapılması gereken kadro veya görevler için ilgili Bakan, diğer kadro veya görevler için asili atamaya yetkili amir tarafından verilme</t>
    </r>
    <r>
      <rPr>
        <sz val="10"/>
        <rFont val="Arial"/>
        <family val="2"/>
        <charset val="162"/>
      </rPr>
      <t>si,</t>
    </r>
  </si>
  <si>
    <r>
      <t xml:space="preserve">      cc) Vekillerin, genel ve ilgili özel mevzuatı uyarınca asaleten atanmada aranan tüm şartları (asaleten atanmada sınav şartı aranılan kadro veya görevler için bu sınavlara girebilme hakkının elde edilmiş olması dahil) bir arada taşımaları, kaydıyla; vekalet ettikleri kadro veya görevler için bu Karar uyarınca öngörülen zam ve tazminatların toplam net tutarının, asli kadro veya görevleri karşılığında fiilen aldıkları zam ve tazminatların toplam net tutarından fazla olması halinde, aradaki fark; 657 sayılı Kanunun 175 inci maddesindeki oranlar dikkate alınmaksızın, vekalet görevine başlanıldığı tarihten itibaren ve</t>
    </r>
    <r>
      <rPr>
        <sz val="14"/>
        <color indexed="10"/>
        <rFont val="Arial"/>
        <family val="2"/>
        <charset val="162"/>
      </rPr>
      <t xml:space="preserve"> vekalet görevinin fiilen yapıldığı sürece ödenir.</t>
    </r>
  </si>
  <si>
    <r>
      <t xml:space="preserve">      aa) Vekaletin, 657 sayılı Kanunun</t>
    </r>
    <r>
      <rPr>
        <sz val="14"/>
        <color indexed="10"/>
        <rFont val="Arial"/>
        <family val="2"/>
        <charset val="162"/>
      </rPr>
      <t xml:space="preserve"> 86 ncı maddesine binaen yapılması ve bu hususun onayda belirtilmiş olması,</t>
    </r>
  </si>
  <si>
    <t>e) Sağlık Memuru, Hemşire, Ebe, Sağlık Teknikeri, Laboratuar Teknisyeni, Hemşire Yardımcısı, Laborant;</t>
  </si>
  <si>
    <t>d) Kimyager, Bakteriyolog, Biyolog, Eczacı, Tıbbi Teknolog......................................................</t>
  </si>
  <si>
    <t>c) Tabip, Tıpta Uzmanlık Tüzüğüne göre Uzman olanlar.......................................................</t>
  </si>
  <si>
    <t>b) Müdür ve Müdür Yardımcısı (En az dört yıllık mesleki sağlık yüksek öğrenim görmüş sağlık personeli olması kaydıyla)....................................</t>
  </si>
  <si>
    <t>b) Ekli IV sayılı Cetvelde sayılan yerleşim birimlerine İl Müdürü, İl Müdür Yardımcısı, İlçe Müdürü, Şube Müdürü, Müdür ve Müdür Yardımcısı olarak sürekli görevle atananlara ayrıca 1250 puana kadar daha temininde güçlük zammı, bölümlerindeki puanlarına ilaveten ödenebilir.</t>
  </si>
  <si>
    <t>öncelikli yörelerde çalışanlara ..............................</t>
  </si>
  <si>
    <t>,</t>
  </si>
  <si>
    <t>Tazminat Göstergesi</t>
  </si>
  <si>
    <t>Ek Ödeme Oranı (%)</t>
  </si>
  <si>
    <t xml:space="preserve">     1- Kadroları Genel İdare Hizmetleri Sınıfında yer alan personel ile Teknik Hizmetler, Sağlık ve Yardımcı Sağlık Hizmetleri ile Avukatlık Hizmetleri sınıflarında bulunan personelden ek ödeme oranları ilgili gruplarında düzenlenmeyen ve kadro unvanları bu bölümde yer alan personel;</t>
  </si>
  <si>
    <t xml:space="preserve">     2- Kadroları Teknik Hizmetler Sınıfında yer alan personel;</t>
  </si>
  <si>
    <t>DERECE</t>
  </si>
  <si>
    <t>Unvanı</t>
  </si>
  <si>
    <t>e) Grup Başkanı, Müşavir, Hukuk Müşaviri, Müdür Yardımcısı, Saray Müdürü, İşletme Müdürü, Fabrika Müdürü</t>
  </si>
  <si>
    <t>ç) Devlet Denetleme Kurulu Üyesi, Başdanışmanlar ve Başkan Başmüşavirleri, Başkan, Cumhurbaşkanlığı Özel Kalem Müdürü, Daire Başkanı</t>
  </si>
  <si>
    <t>Tazminat Göstergeleri</t>
  </si>
  <si>
    <t>Kadro Görev  Unvanları</t>
  </si>
  <si>
    <t xml:space="preserve">KHK/433 </t>
  </si>
  <si>
    <t xml:space="preserve">    a) 1 ve 3 üncü maddeleri 1/1/1992</t>
  </si>
  <si>
    <t xml:space="preserve">    b) 11 inci maddesiyle değiştirilen 375 sayılı Kanun Hükmünde Kararnamenin 1 inci maddesinin (B) fıkrasının 1 ve 2 nci bentleri hükümleri; </t>
  </si>
  <si>
    <t>1. 2802 sayılı Hakimler ve Savcılar Kanunu hükümlerine tabi olanlar, 2914 sayılı Yükseköğretim Personel Kanununa tabi olan personelden profesör, doçent ve yardımcı doçent unvanına sahip olanlar, 926 sayılı Türk Silahlı Kuvvetleri Personel Kanununa ve 3466 sayılı Uzman Jandarma Kanununa tabi olanlarla 657 sayılı Devlet Memurları Kanununa tabi personelden; kadroları Emniyet Hizmetleri Sınıfına dahil olanlar ve Milli İstihbarat Teşkilatı personeli için 15/8/1991</t>
  </si>
  <si>
    <t xml:space="preserve">2. 2914 sayılı Yükseköğretim Personel Kanunu kapsamına manları ile 657 sayılı Devlet Memurları Kanununa tabi personelden; kadroları Sağlık Hizmetleri ve Yardımcı Sağlık Hiz..................                                    na dahil olup da anılan Kanunun 36 ncı maddesinin "Ortak Hükümler" bölümünün (A) bendinin 11 inci fıkrasında sayılan unvanlarda bulunanlar, Müsteşar, Müsteşar Yardımcısı, Genel Müdür, Bakanlık ve Bakanlıklarda Kurul Başkanları, Genel Müdür Yardımcısı ve Daire Başkanlığı ile Bağlı Kuruluş Başkan ve Başkan Yardımcılığı ile Defterdar, Başkan, Müdür ve Saymanlık görevlerinde bulunanlar için 15/1/1992 </t>
  </si>
  <si>
    <t>3. 657 sayılı Devlet Memurları Kanununa tabi personelden kadroları Mülki İdare Amirliği Hizmetleri, Teknik Hizmetler, Eğitim ve Öğretim Hizmetleri ve Avukatlık Hizmetleri sınıflarına ait bulunan personel için 15/7/1992</t>
  </si>
  <si>
    <t>tarihinden geçerli olmak üzere 08.07.1991</t>
  </si>
  <si>
    <t>KHK/570 – 15/4/1997 tarihinden geçerli olmaküzere yayımı olan 3/4/1997 tarihinde</t>
  </si>
  <si>
    <t>4206 – Yayım tarihi olan 14/11/1996  tarihini izleyen ayın onbeşinde</t>
  </si>
  <si>
    <t xml:space="preserve">           3920 a) Bu Kanunun 1 inci maddesi ile değişen 375 sayılı KHK'nin 28 inci maddesinin (A) Fıkrası ile 2 nci maddesinin (g) bendi 10/12/1993 tarihini izleyen aybaşından itibaren </t>
  </si>
  <si>
    <t xml:space="preserve">                  b) geçici 1 inci maddesinin (b) fıkrası 10/12/1993</t>
  </si>
  <si>
    <t xml:space="preserve">                  c) Diğer hükümleri 15/1/1994</t>
  </si>
  <si>
    <t>b) Orgeneral ve Oramiral olmak kaydıyla Kuvvet Komutanları ve Jandarma Genel Komutanı,</t>
  </si>
  <si>
    <t>a) Genelkurmay Başkanı,</t>
  </si>
  <si>
    <t>c) Orgeneral-Oramiraller, Anayasa Mahkemesi Başkanı, Yargıtay Başkanı, Danıştay Başkanı ve Başbakanlık Müsteşarı,</t>
  </si>
  <si>
    <t xml:space="preserve">d) Korgeneral-Koramiraller, Uyuşmazlık Mahkemesi Başkanı, Sayıştay Başkanı, Yargıtay Cumhuriyet Başsavcısı, Danıştay Başsavcısı, </t>
  </si>
  <si>
    <t xml:space="preserve">e) (Değişik: 25/1/1990-KHK-402/2 md.) Tümgeneral-Tümamiraller, Anayasa Mahkemesi, Yargıtay ve Danıştay Üyeleri, Yargıtay Cumhuriyet Başsavcısı Vekili, Birinci Sınıf Hakim ve Savcılar, Müsteşarlar, Talim ve Terbiye Kurulu Başkanı, </t>
  </si>
  <si>
    <t xml:space="preserve">f) Başbakanlık Müsteşar yardımcıları, </t>
  </si>
  <si>
    <t xml:space="preserve">g) (Ek: 23/10/1989-KHK-386/2 md.) Talim ve Terbiye Kurulu Üyesi </t>
  </si>
  <si>
    <t xml:space="preserve">30.6.1989 itibariyle 15.7.1989 tarihinden uygulanmakta olan itibaren uygulanacak </t>
  </si>
  <si>
    <t xml:space="preserve">Ek Göstergeler </t>
  </si>
  <si>
    <t xml:space="preserve">l950 </t>
  </si>
  <si>
    <t xml:space="preserve">     A) (Değişik: 7/11/1996 - 4206/1 md.) Sıkıyönetim veya olağanüstü hal ilan edilen bölgeler veya Milli Savunma ve İçişleri Bakanlıklarınca müştereken belirlenecek kritik yörelerde özel harekat ve operasyon timi olarak görev yapan; Emniyet Genel Müdürlüğü emniyet hizmetleri sınıfı kadrolarında bulunanlar ile sözleşmeli uçuş personeline,subay, astsubay, uzman jandarma, uzman erbaş ve sözleşmeli erbaş ve erlere ve operasyonları fiilen sevk ve idare eden karargah ve bürolardan bu fıkra uyarınca alınacak Başbakan onayında belirtilenlerde görevlendirilen personele 9000, erbaş ve erlere 4500 gösterge rakamının memur aylıklarına uygulanan katsayı</t>
  </si>
  <si>
    <t>c) Geçici 16 ncı maddesi kapsamında yer alan personelin mali ve sosyal haklarına, ilişkin bu maddenin yayımı tarihinde mevcut karar, onay veya diğer mevzuatı uyarınca yapılmış bulunan belirlemelerde herhangi bir değişiklik yapılamaz ve yeni bir unsur eklenemez.</t>
  </si>
  <si>
    <r>
      <t xml:space="preserve">Aile ve Sosyal Politikalar, Bilim, Sanayi ve Teknoloji, Çevre ve Şehircilik, Ekonomi, Gıda, Tarım ve Hayvancılık, Gümrük ve Ticaret, Kültür ve Turizm, Milli Eğitim, Orman ve Su İşleri, Sağlık, Ulaştırma, Denizcilik ve Haberleşme Bakanlıklarının bakanlık </t>
    </r>
    <r>
      <rPr>
        <sz val="10"/>
        <color indexed="10"/>
        <rFont val="Arial"/>
        <family val="2"/>
        <charset val="162"/>
      </rPr>
      <t>il müdürü</t>
    </r>
    <r>
      <rPr>
        <sz val="10"/>
        <rFont val="Arial"/>
        <family val="2"/>
        <charset val="162"/>
      </rPr>
      <t xml:space="preserve"> ve bakanlık</t>
    </r>
    <r>
      <rPr>
        <sz val="10"/>
        <color indexed="10"/>
        <rFont val="Arial"/>
        <family val="2"/>
        <charset val="162"/>
      </rPr>
      <t xml:space="preserve"> bölge müdürü</t>
    </r>
    <r>
      <rPr>
        <sz val="10"/>
        <rFont val="Arial"/>
        <family val="2"/>
        <charset val="162"/>
      </rPr>
      <t xml:space="preserve">, </t>
    </r>
    <r>
      <rPr>
        <sz val="10"/>
        <color indexed="10"/>
        <rFont val="Arial"/>
        <family val="2"/>
        <charset val="162"/>
      </rPr>
      <t>Defterdar</t>
    </r>
    <r>
      <rPr>
        <sz val="10"/>
        <rFont val="Arial"/>
        <family val="2"/>
        <charset val="162"/>
      </rPr>
      <t>,</t>
    </r>
    <r>
      <rPr>
        <sz val="10"/>
        <color indexed="10"/>
        <rFont val="Arial"/>
        <family val="2"/>
        <charset val="162"/>
      </rPr>
      <t xml:space="preserve"> İl Emniyet Müdürü</t>
    </r>
    <r>
      <rPr>
        <sz val="10"/>
        <rFont val="Arial"/>
        <family val="2"/>
        <charset val="162"/>
      </rPr>
      <t>,</t>
    </r>
    <r>
      <rPr>
        <sz val="10"/>
        <color indexed="10"/>
        <rFont val="Arial"/>
        <family val="2"/>
        <charset val="162"/>
      </rPr>
      <t xml:space="preserve"> İl Müftüsü, Vergi Dairesi Başkan</t>
    </r>
    <r>
      <rPr>
        <sz val="10"/>
        <rFont val="Arial"/>
        <family val="2"/>
        <charset val="162"/>
      </rPr>
      <t>ı, Türkiye İstatistik Kurumu ve Türkiye Yazma Eserler Başkanlıkları, Devlet Su İşleri, Karayolları, Maden Tetkik ve Arama, Meteoroloji, Orman, Tapu ve Kadastro, Vakıflar ve Yükseköğrenim Kredi ve Yurtlar Kurumu Genel Müdürlüklerinin bölge müdürü, Sosyal Güvenlik Kurumu Başkanlığı, Basın-Yayın ve Enformasyon, Spor, Türkiye İş Kurumu Genel Müdürlüklerinin</t>
    </r>
    <r>
      <rPr>
        <sz val="10"/>
        <color indexed="10"/>
        <rFont val="Arial"/>
        <family val="2"/>
        <charset val="162"/>
      </rPr>
      <t xml:space="preserve"> il müdürü</t>
    </r>
    <r>
      <rPr>
        <sz val="10"/>
        <rFont val="Arial"/>
        <family val="2"/>
        <charset val="162"/>
      </rPr>
      <t>, Kamu İktisadi Teşebbüslerinin</t>
    </r>
    <r>
      <rPr>
        <sz val="10"/>
        <color indexed="10"/>
        <rFont val="Arial"/>
        <family val="2"/>
        <charset val="162"/>
      </rPr>
      <t xml:space="preserve"> bölge müdürü</t>
    </r>
    <r>
      <rPr>
        <sz val="10"/>
        <rFont val="Arial"/>
        <family val="2"/>
        <charset val="162"/>
      </rPr>
      <t xml:space="preserve"> kadrolarında bulunanlardan;</t>
    </r>
  </si>
  <si>
    <t xml:space="preserve">    1. (Mülga: 21/3/2006-5473/11 md.) </t>
  </si>
  <si>
    <t xml:space="preserve">    2. (Mülga: 21/3/2006-5473/11 md.) </t>
  </si>
  <si>
    <t xml:space="preserve">    3. Büyükelçiler,daimi delegeler,maslahatgüzarlar,askeri temsil heyetleri başkanları ve başkonsoloslar hariç olmak üzere sürekli görevle yurtdışına atanan kapsama dahil personelden kendilerine yurtdışında gerek kamu kurum ve kuruluşunun mülkiyetinde bulunan gerek kiralanan konutların tahsis edilmesi halinde ilgili memurun emsal katsayılarına göre belirlenen yurtdışı net aylığının % 25'ini geçmemek üzere Maliye Bakanlığınca tesbit edilen tutarlar kadar kira bedeli alınır. Kira bedeli alınan konutların mefruşat, elektrik, su, gaz, telefon, garaj ve genel giderleri de ilgili personelce ayrıca karşılanır. </t>
  </si>
  <si>
    <t xml:space="preserve">     3- Kadroları Sağlık Hizmetleri ve Yardımcı Sağlık Hizmetleri Sınıfında yer alan personel;</t>
  </si>
  <si>
    <t>a) Ek göstergeleri 7.600 veya daha yüksek tespit edilen kadrolarda bulunanlar</t>
  </si>
  <si>
    <t>b) Ek göstergeleri 7.000 olarak tespit edilen kadrolarda bulunanlar</t>
  </si>
  <si>
    <t>c) Genel Müdür ile ek göstergeleri genel müdür düzeyinde veya daha yüksek tespit edilen kadrolarda bulunanlar</t>
  </si>
  <si>
    <t xml:space="preserve">ç) Ek göstergeleri 4.800 veya daha yüksek tespit edilen kadrolarda bulunanlar ile (b) sırasında sayılanların yardımcılarından (c) sırasında yer almayanlar </t>
  </si>
  <si>
    <t>d) Genel müdür yardımcısı, büyükşehir belediyesi bulunan illerin il özel idaresi genel sekreter yardımcısı, diğer illerin il özel idaresi genel sekreteri, büyükşehir belediyesi genel sekreter yardımcısı, ek göstergeleri genel müdür yardımcısı düzeyinde veya daha yüksek tespit edilen I. hukuk müşaviri, başkan yardımcısı ve kurum ve kurul başkanı unvanlı kadrolarda bulunanlar</t>
  </si>
  <si>
    <t>e) Daire Başkanı, kadrolu yönetim kurulu üyesi, genel sekreter, büyükşehir belediyesi bulunan illerin il özel idaresi I. hukuk müşaviri, büyükşehir belediyesi bulunmayan illerin il özel idaresi genel sekreter yardımcısı, diğer I. hukuk müşaviri, il belediye başkan yardımcısı</t>
  </si>
  <si>
    <t xml:space="preserve">f) Bağlı ve ilgili kuruluş il müdürleri, milli emlak dairesi başkanı, yükseköğretim kurumları daire başkanları, bölge müdürü, Atatürk Orman Çiftliği müdürü, büyükşehirlerin merkez ilçelerinin belediye başkan yardımcıları, KİT’lerde başmüdür, kombina, fabrika, müessese ve işletme müdürleri, defterdar yardımcısı, gelir idaresi grup müdürü, il müftü yardımcısı, bakanlık, müsteşarlık, başkanlık ve bağımsız genel müdürlüklerin bölge müdür yardımcısı ve il müdür yardımcısı, (ç), (d) ve (e) sıralarında sayılanların yardımcıları </t>
  </si>
  <si>
    <t xml:space="preserve">g) İl nüfus ve vatandaşlık müdürü, il yazı işleri müdürü, il idare kurulu müdürü, il mahalli idare müdürü, il planlama ve koordinasyon müdürü, dernekler il müdürü, il afet ve acil durum müdürü, hukuk müşaviri, fakülte ve yüksekokul sekreteri, basın ve halkla ilişkiler müşaviri, basın müşaviri, müşavir, müdür, şube müdürü, ilçe müftüsü, başkan, daire başkan yardımcısı, kurum sekreteri, merkez sekreteri, enstitü sekreteri, genel sekreter yardımcısı, birlik sekreteri, müze başkanı, KİT’lerde başuzman, diğer belediye başkan yardımcıları ve (f) sırasında sayılanların yardımcıları </t>
  </si>
  <si>
    <t>ğ) Savunma sekreteri, sayman, müdür yardımcısı ile başkan yardımcısı unvanlı kadrolarda bulunanlar</t>
  </si>
  <si>
    <t>h) Milli Savunma Bakanlığı ile Türk Silahlı Kuvvetlerinde istisnai memur kadrolarında bulunanlardan ek ödemeleri kadro unvanları itibarıyla bu Cetvelin diğer gruplarında veya bu grubun diğer sıralarında daha yüksek belirlenmemiş olanlar, Sivil Havacılık Genel Müdürlüğünde ilgili mevzuat hükümleri uyarınca teknik denetçi olarak görevlendirilenlerden ek ödemeleri kadro unvanları itibarıyla bu Cetvelin diğer gruplarında veya bu grubun diğer sıralarında daha yüksek belirlenmemiş olanlar</t>
  </si>
  <si>
    <t xml:space="preserve">ı) Büyükşehir belediyeleri ile bunlara bağlı genel müdürlüklerin başmüfettiş ve müfettiş kadrolarında bulunanlar, yükseköğretim kurumları ile mahalli idareler ve bu idarelere bağlı genel müdürlüklerde 5018 sayılı Kanun hükümlerine göre iç denetçi kadrolarına atananlardan; </t>
  </si>
  <si>
    <t xml:space="preserve">4) Bunların yardımcıları </t>
  </si>
  <si>
    <t xml:space="preserve"> i) Diğer belediyeler ve bunlara bağlı genel müdürlüklerin başmüfettiş ve müfettişlerinden;</t>
  </si>
  <si>
    <t>4) Bunların yardımcıları</t>
  </si>
  <si>
    <t xml:space="preserve">j) Bakanlık, müsteşarlık, başkanlık, bağımsız genel müdürlük taşra teşkilatları ile yükseköğretim kurumlarında ve mahalli idarelerde özel yarışma sınavı sonucunda mesleğe uzman ve denetmen yardımcısı olarak alınıp belirli süreli meslek içi eğitimden sonra özel bir yeterlik sınavı sonunda uzman ve denetmen unvanlı kadrolara (mevzuatı uyarınca sözkonusu kadrolara atananlar dahil) atananlar ile belediye iktisat müfettişlerinden; </t>
  </si>
  <si>
    <t>k) Raportör, mütercim, tercüman, çözümleyici, programcı, araştırmacı, muhasebeci, muhasip, kontrolör, antrenör, ayniyat saymanı, uzman, danışman, aktüer, araştırmacı, APK uzmanı, talim ve terbiye kurulu uzmanı, eğitim uzmanı, savunma uzmanı, sivil savunma uzmanı ve diğer uzman unvanlı kadrolarda bulunanlar</t>
  </si>
  <si>
    <t>l) Şef, amir ve yardımcıları, zabıta başkomiseri ve komiseri, itfaiye başçavuşu, itfaiye çavuşu ve onbaşısı kadrolarında bulunanlardan;</t>
  </si>
  <si>
    <t>m) Genel idare hizmetleri sınıfındaki diğer kadrolarda bulunanlardan;</t>
  </si>
  <si>
    <t xml:space="preserve"> a) Başmühendis, başmimar, mühendis, mimar, bölge plancısı ve şehir plancısı kadrolarında bulunanlardan;</t>
  </si>
  <si>
    <t>b) Jeolog, hidrolog, hidrojeolog, jeofizikçi, kimyager, fizikçi, jeomorfolog, arkeolog, matematikçi, istatistikçi ve astronom kadrolarında bulunanlardan;</t>
  </si>
  <si>
    <t>c) Ek ödeme oranları 1 nolu grupta düzenlenenler hariç, bu sınıfta yer alan diğer kadrolarda bulunanlardan;</t>
  </si>
  <si>
    <t>a) Uzman tabiplerden;</t>
  </si>
  <si>
    <t>b) Tabipler ve tıpta uzmanlık mevzuatında belirtilen dallarda bu mevzuat hükümlerine göre uzmanlık belgesi alanlardan;</t>
  </si>
  <si>
    <t>c) Diş tabiplerinden;</t>
  </si>
  <si>
    <t>ç) Veteriner hekim kadrolarında bulunanlardan;</t>
  </si>
  <si>
    <t xml:space="preserve"> d) Eczacı kadrolarında bulunanlardan;</t>
  </si>
  <si>
    <t>e) Ek ödeme oranları 1 nolu grupta düzenlenenler hariç, bu sınıfta yer alan diğer personelden;</t>
  </si>
  <si>
    <t xml:space="preserve">     4- Kadroları Eğitim ve Öğretim Hizmetleri Sınıfında yer alan personel;</t>
  </si>
  <si>
    <t xml:space="preserve">     5- Kadroları Avukatlık Hizmetleri Sınıfında yer alan personel;</t>
  </si>
  <si>
    <t xml:space="preserve">     6- Kadroları Din Hizmetleri Sınıfında yer alan personel;</t>
  </si>
  <si>
    <t xml:space="preserve">     7- Mülki İdare Amirliği Hizmetleri Sınıfında yer alan personel;</t>
  </si>
  <si>
    <t xml:space="preserve">     8- Kadroları Emniyet Hizmetleri Sınıfında yer alan personel;</t>
  </si>
  <si>
    <t xml:space="preserve">     9- Kadroları Yardımcı Hizmetler Sınıfında yer alan personel;</t>
  </si>
  <si>
    <t xml:space="preserve">DİYANET İŞLERİ BAŞKANLIĞI KURULUŞ VE GÖREVLERİ HAKKINDA KANUN (1)(2)
Kanun Numarası : 633 Kabul Tarihi : 22/6/1965 
Yayımlandığı R.Gazete : Tarih : 2/7/1965 Sayı : 12038
Yayımlandığı Düstur : Tertip : 5 Cilt : 4 Sayfa : 2911
Ek Madde 1 – (Ek : 29/5/1991 - 3745/1 md.) (1) (2)
Diyanet İşleri Başkanlığı merkez teşkilatında; başkan (2547 sayılı Yükseköğretim Kanununun değişik 38 inci maddesi ile görevlendirilen dahil), başkan yardımcısı, din işleri yüksek kurulu başkanı ve üyesi, mushafları inceleme ve kıraat kurulu başkanı ve üyesi, rehberlik ve teftiş başkanı, hukuk müşaviri, daire başkanı, döner sermaye işletme müdürü, şube müdürü, Başkanlık müftüsü, Başkanlık vaizi, diyanet işleri uzmanı ve diyanet işleri uzman yardımcısı, din işleri yüksek kurulu uzmanı, din işleri yüksek kurulu uzman yardımcısı, bilgisayar programcısı ve bilgisayar çözümleyicisi, genel müdür, strateji geliştirme başkanı, başkanlık müşaviri, basın ve halkla ilişkiler müşaviri, özel kalem müdürü, daire tabibi, diş tabibi, mimar, mühendis, astronom, mütercim kadroları karşılık gösterilmek suretiyle, 657 sayılı Devlet Memurları Kanunu ile diğer kanunların sözleşmeli personel çalıştırılması hakkındaki hükümlerine bağlı olmaksızın sözleşmeli personel çalıştırılabilir. (Değişik son cümle: 1/7/2010-6002/19 md.) Ancak, bu görevlerde çalıştırılacaklar için (Din İşleri Yüksek Kurulu Başkanı ve üyeleri, Başkanlık müşaviri (4 adet) ve Basın ve Halkla İlişkiler Müşaviri hariç) yüksek öğrenim şartı aranır.
(Değişik ikinci fıkra: 1/7/2010-6002/19 md.) Sözleşmeli olarak Başkanlıkta çalışan personele, bu Kanuna ekli (II) sayılı cetvelde unvanlar itibarıyla yer alan taban ve tavan ücretleri arasında kalmak üzere, Başkan tarafından belirlenecek tutarda aylık sözleşme ücreti ödenir. Başbakanlık merkez teşkilatında kadro karşılığı sözleşmeli olarak çalışan emsali personelin yararlandığı ücret artışlarından Başkanlıkta kadro karşılığı çalışan sözleşmeli personel de aynen yararlandırılır. Söz konusu personele, çalıştıkları günlerle orantılı olarak (hastalık ve yıllık izinleri dahil) ocak, nisan, temmuz ve ekim aylarında birer aylık sözleşme ücreti tutarında ikramiye ödenir. Bunlardan üstün gayret ve çalışmaları sonucunda emsallerine göre başarılı çalışma yaptıkları tespit edilenlere Başkanın teklifi üzerine Başbakan veya ilgili Bakanın onayı ile haziran ve aralık aylarında birer aylık sözleşme tutarına kadar teşvik ikramiyesi ödenebilir. Bu fıkranın uygulanmasına ilişkin usul ve esaslar ile söz konusu personele yapılacak diğer ödemeler Bakanlar Kurulunca tespit edilir.
(Değişik üçüncü fıkra: 1/7/2010-6002/19 md.) 657 sayılı Kanunun ek 32 nci maddesine göre ödenmekte olan öğretim yılına hazırlık ödeneği, Başkanlıkta eğitim görevlisi ve Kur’an kursu öğreticisi kadrosunda bulunup, fiilen eğitim görevliliği ve öğreticilik yapanlara da aynı esas ve usullere göre ödenir.
(Ek fıkra: 1/7/2010-6002/19 md.) 4/11/1981 tarihli ve 2547 sayılı Yükseköğretim Kanununun 38 inci maddesine göre, başkan yardımcısı ve Din İşleri Yüksek Kurulu başkanı, üyesi ve genel müdür olarak görevlendirilenlere, anılan madde uyarınca ödenen ücrete ilaveten ve söz konusu maddenin dördüncü fıkrasında öngörülen sınırlamaya tabi olmaksızın, her ay (20.000) gösterge rakamının memur aylıklarına uygulanan katsayı ile çarpımı sonucu bulunacak tutarda ayrıca ödeme yapılır. Bu ödeme damga vergisi hariç herhangi bir vergi ve kesintiye tabi tutulmaz.
(1) 1/7/2010 tarihli ve 6002 sayılı Kanunun 19 uncu maddesiyle, bu maddenin birinci fıkrasında yer alan “mushafları inceleme kurulu başkanı” ibaresi “mushafları inceleme ve kıraat kurulu başkanı”, “teftiş kurulu başkanı” ibaresi “rehberlik ve teftiş başkanı”, “din işleri yüksek kurulu uzmanı,” ibaresi “diyanet işleri uzmanı ve diyanet işleri uzman yardımcısı, din işleri yüksek kurulu uzmanı, din işleri yüksek kurulu uzman yardımcısı,” olarak değiştirilmiş, “bilgisayar çözümleyicisi” ibaresinden sonra gelmek üzere “, genel müdür, strateji geliştirme başkanı, başkanlık müşaviri, basın ve halkla ilişkiler müşaviri, özel kalem müdürü, daire tabibi, diş tabibi, mimar, mühendis, astronom, mütercim” ibaresi eklenmiş ve metne işlenmiştir.
(2) 23/8/2011 tarihli ve 653 sayılı KHK’nın 12 nci maddesiyle, bu maddenin birinci fıkrasına “şube müdürü,” ibaresinden sonra gelmek üzere “Başkanlık müftüsü, Başkanlık vaizi,” ibaresi eklenmiştir.
(Ek fıkra: 1/7/2010-6002/19 md.) Başkanlık başmüfettiş, müfettiş ve müfettiş yardımcılarına, en yüksek Devlet memuru aylığının (ek gösterge dahil) yüzde ikiyüzünü geçmemek üzere Maliye Bakanlığının uygun görüşü alınmak suretiyle ilgili Bakanın onayı ile belirlenecek oranda ek ödeme yapılır. Bu ödemeye hak kazanılmasında ve ödenmesinde aylıklara ilişkin hükümler uygulanır ve damga vergisi hariç herhangi bir vergi ve kesinti yapılmaz. Bu fıkra kapsamında ödeme yapılanlara, 375 sayılı Kanun Hükmünde Kararnamenin ek 3 üncü maddesi hükümlerine göre ödeme yapılmaz.
</t>
  </si>
  <si>
    <t xml:space="preserve">ADLÎ TIP KURUMU KANUNU(1)
Kanun Numarası : 2659   Kabul Tarihi : 14/4/1982
Yayımlandığı R. Gazete : Tarih : 20/4/1982 Sayı : 17670
Yayımlandığı Düstur : Tertip : 5 Cilt : 21 Sayfa : 301 
Atama esasları: 
Madde 26– (Değişik birinci fıkra: 19/2/2003-4810/22 md.) Adlî Tıp Kurumu Başkanı, başkan yardımcıları, adlî tıp ihtisas kurulları başkan ve üyeleri, Adalet Bakanının inhası üzerine uzman elemanlar veya üniversitelerin ilgili fakülte öğretim üyeleri veya yardımcıları arasından müşterek kararnameyle atanırlar.
(Değişik: 19/2/2003-4810/22 md.) Adlî Tıp Kurumu 1. Hukuk Müşaviri, hukuk müşavirleri, adlî tıp ihtisas dairesi başkanları, adlî tıp grup başkanları, adlî tıp şube müdürleri, şube müdürleri, adlî tıp uzmanları, uzmanlar, trafik uzmanları, sosyal hizmet uzmanları, raportörler, mühendisler, kimyagerler, fizikçiler, programcılar, psikologlar, pedagoglar, antropologlar, astronomlar, asistanlar, eczacılar, biyologlar, diş hekimleri, balistik, adlî belge inceleme ve silah muayene uzmanları, Adlî Tıp Kurumu Başkanının teklifi üzerine Adalet Bakanlığınca atanırlar.
(Değişik: 19/2/2003-4810/22 md.) Birinci ve ikinci fıkra dışında kalan personelin atamaları Adlî Tıp Kurumu Başkanınca yapılır.
(Değişik: 19/2/2003-4810/22 md.) Birinci ve ikinci fıkrada belirtilenlerden, Adlî Tıp Kurumu Başkanı dışındaki görevlere üniversitelerin ilgili fakültelerinin öğretim üyeleri ve yardımcıları, asıl görevleri ile ilişkileri kesilmemek şartıyla görevlendirilebilirler. Adlî Tıp Kurumu Başkanı, başkan yardımcıları ve adlî tıp ihtisas kurulları başkanları ile adlî tıp ihtisas kurulları üyeleri, adlî tıp grup başkanları ve adlî tıp ihtisas daireleri başkanlarının görev süreleri dört yıldır. Görev süreleri sona erenler, aynı usule göre yeniden atanabilir veya görevlendirilebilirler. Yeni atanan veya görevlendirilenler göreve başlayıncaya kadar süresi dolanların görevi devam eder.
Atanacak olan üniversite personelinin görevlendirilmelerinde önce bağlı bulundukları kurumun yetkili kurullarının izni alınır.
(Ek: 26/3/1987-3334/4 md.) Adli Tıp Kurumu Başkanı, başkan yardımcıları, İhtisas Kurulları Başkan ve üyeliklerine ait kadrolarda, 5434 sayılı Türkiye Cumhuriyeti Emekli Sandığı veya 506 sayılı Sosyal Sigortalar Kurumu Kanunu hükümlerine göre kendilerine aylık bağlanmış olanlardan gerekli nitelikleri taşıyanlar, Bakanlar Kurulunca belirlenecek sözleşme usul ve esasları ile ücret miktarı çerçevesinde, aylıkları kesilmeksizin ve yaş kaydı aranmaksızın, atanmalarındaki usule göre kadro karşılık gösterilmek kaydıyla sözleşmeli olarak çalıştırılabilirler. Karşılık gösterilen kadrolara başka atama yapılamaz. Bu şekilde çalıştırılan sözleşmeli personel, kadrolarının her türlü yetki ve sorumluluğunu taşır. Ancak, 30 uncu madde hükümleri hariç olmak üzere kendilerine sözleşme ücreti dışında herhangi bir ad altında ödeme yapılamaz. (1)
–––––––––––––––––––––
(1) Bu fıkrada yer alan “Başkan Yardımcısı“ ibaresi, 19/2/2003 tarihli ve 4810 sayılı Kanunla “başkan yardımcıları“olarak değiştirilmiş ve metne işlenmiştir.
</t>
  </si>
  <si>
    <t xml:space="preserve">TÜRKİYE ATOM ENERJİSİ KURUMU KANUNU(1)
Kanun Numarası : 2690 Kabul Tarihi : 9/7/1982
Yayımlandığı R.Gazete : Tarih : 13/7/1982 Sayı : 17753 
Yayımlandığı Düstur : Tertip : 5 Cilt : 21 Sayfa : 370 
Personel Statüsü
Madde 12 – Türkiye Atom Enerjisi Kurumu personeli hakkında 657 sayılı Devlet Memurları Kanunu hükümleri uygulanır. 
Kurumun kadroları ekli cetvelde gösterilmiştir. 
Bu kadrolardan Kurum Başkanı Başkan Yardımcısı,Daire Başkanı,Genel Sekreter, Grup Başkanı, Nükleer Araştırma ve Eğitim Merkezi Müdürü ile Müdür Yardımcısı ve Atom Enerjisi Komisyonu tarafından belirlenecek Bölüm Başkanı, Uzman ve teknik hizmetler sınıfına dahil diğer kadrolarda, Başbakanın onayı ile ve bu kadrolar karşılık gösterilmek kaydıyla sözleşmeli personel çalıştırabilir. 
Kadro karşılık gösterilmek suretiyle sözleşmeli olarak çalıştırılacak personele istekleri üzerine 5434 sayılı Türkiye Cumhuriyeti Emekli Sandığı Kanunu hükümleri uygulanır.
</t>
  </si>
  <si>
    <t xml:space="preserve">ATATÜRK KÜLTÜR, DİL VE TARİH YÜKSEK KURUMU KANUNU
Kanun Numarası : 2876 Kabul Tarihi : 11/8/1983
Yayımlandığı R.Gazete : Tarih : 17/8/1983 Sayı : 18138
Yayımlandığı Düstur : Tertip : 5 Cilt : 22 Sayfa : 518
Personel statüsü ve özlük hakları:(1)
Madde 97 – Atatürk Kültür Dil ve Tarih Yüksek Kurumunda ve bağlı kuruluşlarında görevlendirilecek bütün personelin özlük hakları aşağıdaki şekilde düzenlenir:
a) (Değişik : 7/2/1990 - 3612/58 md.) Atatürk Araştırma Merkezi, Türk Dil Kurumu, Türk Tarih Kurumu ve Atatürk Kültür Merkezinde,uzmanlığı gerektiren belirli görevler için ihtiyaç duyulacak sözleşmeli personele verilecek ücret ve sair haklar,bu husustaki kısıtlamalara bağlı kalmaksızın Yüksek Kurum Başkanının önerisi, Maliye ve Gümrük Bakanlığının uygun görüşü üzerine Bakanlar Kurulunca kararlaştırılır.
b) (Değişik birinci fıkra; 15/5/1991 - 3742/1 md.) Bu Kanun gereğince haklarında 2547 sayılı Yükseköğretim Kanununun görevlendirmeye ilişkin hükümleri uygulananlara,Yönetim Kuruluna (…)(1) ve Yüksek Danışma Kuruluna seçilen üyelere ödenecek ücretler ile (…)(1) Milli Komiteye Cumhurbaşkanı tarafından seçilen üyelere ve bilim kurullarının asli üyelerine ödenecek huzur hakları Yüksek Kurum Başkanının teklifi üzerine Bakanlar Kurulunca tespit edilir.
Bu suretle atanan veya görevlendirilenlerin,varsa emekli aylıkları kesilmez.
Bu Kanun gereğince kurulan bilim ve uygulama kolları, diğer kol, komisyon ve çalışma grupları başkan ve üyeleri hakkında, faaliyet ve hizmetin niteliğine göre, şartları varsa, uzmanlığı gerektiren belirli görevlere ilişkin hükümler veya yayın ve telif mevzuatı uygulanır.
c) (Değişik : 30/5/1991 - 3753/1 md.)
(1) Yüksek Kurum ve bağlı kuruluşlarında başkan, başkan yardımcısı, (…) daire başkanı ve Yüksek Kurum Uzmanı ile Yüksek Kurum Uzman Yardımcısı kadroları karşılık gösterilmek suretiyle,657 sayılı Devlet Memurları Kanunu ile diğer kanunların sözleşmeli personel çalıştırılması hakkındaki hükümlerine bağlı olmaksızın sözleşmeli personel çalıştırılabilir. Ancak,bu görevlerde çalıştırılacaklar için yükseköğrenim yanında, Devlet Memurları Kanununun 68 inci maddesinde belirtilen şartlar aranır.
Bu şekilde çalıştırılacakların sözleşme usul ve esasları ile ücret miktarı ve her çeşit ödemeleri Bakanlar Kurulunca tespit edilir.
Sözleşme ile çalıştırılacak personel, istekleri üzerine T.C. Emekli Sandığı ile ilgilendirilir. 
Türk Tarih Kurumu Basımevinde genel hükümlere göre işçi statüsünde personel çalıştırılabilir. 
(2) (Mülga : 5/7/1991 - KHK - 433/16 md.)
d) 13/12/1960 tarih ve 160 sayılı Devlet Personel Dairesi Kurulması Hakkında Kanunun 4 üncü maddesi kapsamına giren kurum ve kuruluşlarda çalışmakta olanlardan; 
(1) Yüksek Kurum Başkanlığı ve bağlı kuruluşlarında görevlendirilen personel, görevlendirildiği sürece kendi kurumlarından aylıksız izinli sayılırlar. Bu personelin Yüksek Kurum Başkanlığı veya bağlı kuruluşlarında geçirdikleri süre, kesenekleri kendileri, karşılıkları da Yüksek Kurum Başkanlığı veya bağlı kuruluşlarınca ödenmek üzere terfi ve emekliliklerinde dikkate alınmak suretiyle meslek, unvan ve sıfatları gözönünde bulundurularak, ayrıldıkları tarihten itibaren kendi kurumlarına boş kadro şartı aranmaksızın dönüşleri yapılır.
_____________
(1) 11/10/2011 tarihli ve 664 sayılı KHK’nın 28 inci maddesiyle bu maddenin (a) ve (b) fıkralarında yer alan “Başbakanlıkça” ibaresi “Bakanlar Kurulunca” şeklinde değiştirilmiş, (b) fıkrasında yer alan “ve yürütme kurullarına atanacak üyelere ödenecek ücretlerle,” ve “, Atatürk Uluslararası Barış Ödülü Kurulu ve” ibareleri yürürlükten kaldırılmış, aynı fıkrada yer alan “Yüksek Kurul” ibaresi “ve Yüksek Danışma Kuruluna seçilen üyelere ödenecek ücretler ile” şeklinde değiştirilmiş, (c) fıkrasında yer alan “genel sekreter, kurum ve merkez sekreteri,” ibaresi yürürlükten kaldırılmış, aynı fıkrada yer alan “ve şube müdürü” ibaresi “ve Yüksek Kurum Uzmanı ile Yüksek Kurum Uzman Yardımcısı” şeklinde değiştirilmiştir.
(2) Aylıklarını kendi kuruluşlarından almak suretiyle görevlendirilerek personele bu maddenin (b) fıkrasına göre tespit edilecek ücret veya huzur hakları, Yüksek Kurum Başkanlığı veya bağlı kuruluşları tarafından karşılanır. Üniversiteden görevlendirilecek öğretim elemanlarına verilecek huzur hakları, bunların kurumlarındaki her türlü hakları saklı kalmak, kurumlarındaki özlük haklarından ve döner sermayeden de yararlanmak üzere ödenir. Öğretim elemanlarına ödenecek huzur hakları bağlı oldukları yükseköğretim kurumunun döner sermayesine gelir kaydedilmez.
e) (Değişik : 26/8/1993 - KHK - 519/17 md.; İptal : Ana.Mah.nin 25/11/1993 tarih ve E.1993/51, K.1993/53 sayılı Kararı ile)
</t>
  </si>
  <si>
    <t xml:space="preserve">TÜRKİYE BÜYÜK MİLLET MECLİSİ GENEL SEKRETERLİĞİ TEŞKİLAT KANUNU
Kanun Numarası : 2919 Kabul Tarihi : 13/10/1983
Yayımlandığı R.Gazete : Tarih : 18/10/1983 Sayı : 18195
Yayımlandığı Düstur : Tertip : 5 Cilt : 22 Sayfa : 726
Sözleşmeli Personel 
Ek Madde 1 – (Ek: 21/12/1989 - 3594/5 md.) 
Türkiye Büyük Millet Meclisi İdari Teşkilatında Genel Sekreter, Genel Sekreter Yardımcısı, Başkanlık Başmüşaviri, Hukuk Müşaviri, Daire Başkanı, Baştabip, Daire Başkan Yardımcısı, Müdür, Müdür Yardımcısı, Şube Müdürü, Grup Başkanı, Saray Müdürü, Uzman, Uzman Yardımcısı, Raportör ve Stenograf, Stenograf Yardımcısı kadroları karşılık gösterilmek kaydıyla, 657 sayılı Devlet Memurları Kanunu ve diğer kanunların sözleşmeli personel çalıştırılması hakkındaki hükümlerine bağlı olmaksızın sözleşmeli personel çalıştırılabilir.(1)(2)
Gerekli hallerde Türkiye Büyük Millet Meclisinin yasama faaliyetleri ile ilgili özel bilgi ve ihtisas gerektiren konularda, kadro aranmaksızın ve diğer kanunların sözleşmeli personel çalıştırılması hakkındaki hükümlere bağlı kalmaksızın sözleşmeli personel çalıştırılabilir. 
Sözleşme usul ve esasları ile ücret miktarı,Başbakanlık Merkez Teşkilatında uygulanan esaslarla paralellik sağlanacak şekilde Başkanlık Divanınca tespit olunur. 
Birinci fıkra hükümlerine göre kadro karşılığı sözleşme ile çalıştırılacak personel, istekleri üzerine T.C. Emekli Sandığı ile ilgilendirilir. 
</t>
  </si>
  <si>
    <t xml:space="preserve">TOPLU KONUT KANUNU (1)
Kanun Numarası : 2985  Kabul Tarihi : 2/3/1984 
Yayımlandığı R. Gazete : Tarih : 17/3/1984 Sayfa : 18344 
Yayımlandığı Düstur : Tertip : 5 Cilt : 23 Sayfa : 53
Ek Madde 3 – (Ek : 9/4/1990 - KHK - 412/1 md.) (3)
Toplu Konut İdaresi personeli 657 sayılı Devlet Memurları Kanunu Hükümlerine tabidir.
(Değişik : 24/10/2011 - KHK - 611/25 md.) Toplu Konut İdaresi Başkanı müşterek kararname ile, Başkanlığın 657 sayılı Kanunun 59 uncu maddesinde sayılan diğer personeli Başkanlığın bağlı bulunduğu Bakan tarafından atanır. Bakan bu yetkisini Başkana devredebilir. Başkanlığın diğer personeli Başkanın onayı ile atanır.
Toplu Konut İdaresi Başkanlığında 657 sayılı Devlet Memurları Kanunu ile diğer kanunların sözleşmeli personel çalıştırılmasına dair hükümlerine bağlı kalınmaksızın özel bilgi ve ihtisas gerektiren konularda sözleşmeli personel çalıştırılabilir. Bu fıkra hükmüne göre çalıştırılacak olanlar sosyal güvenlik açısından T.C. Emekli Sandığı (…)(4) ile ilgilendirilir.
Bu İdarenin, 657 sayılı Devlet Memurları Kanununun 59 uncu maddesinde belirtilen unvanlarına ait kadroları ile Daire Tabibi Kadrosu karşılık gösterilmek suretiyle sözleşmeli personel çalıştırılabilir. Bunlar istekleri halinde T.C. Emekli Sandığı ile ilgilendirilirler. Bu suretle sözleşmeli çalıştırılacaklardan T.C. Emekli Sandığından aylık alanların bu aylıkları kesilmez.
–––––––––––––––––––
(1) 24/7/2008 tarihli ve 5793 sayılı Kanunun 9 uncu maddesiyle (m) bendi eklenmiş ve mevcut (m) bendi (n) bendi olarak teselsül ettirilmiştir.
(2) 31/7/2003 tarihli ve 4966 sayılı Kanunun 4 üncü maddesiyle,(h) bendinden sonra gelmek üzere (ı), (j), (k) ve (l) bentleri eklenmiş ve mevcut (i) bendi, (m) bendi olarak teselsül ettirilmiş ve metne işlenmiştir.
(3) 8/12/2004 tarihli ve 5273 sayılı Kanunun 8 inci maddesiyle 412 sayılı Kanun Hükmünde Kararname ile eklenen Ek Madde 1’den sonra gelen maddelerin numaraları metne işlendiği şekilde yeniden teselsül ettirilmiştir. 
(4) Bu arada yer alan “veya Sosyal Sigortalar Kurumu” ibaresi, 21/4/2005 tarihli ve 5335 sayılı Kanunun 12 nci maddesiyle madde metninden çıkartılmıştır.
Üçüncü ve dördüncü fıkralara göre çalıştırılacakların adedi, ücretlerinin taban ve tavanı ile diğer mali hakları, Bakanlar Kurulunca çıkarılacak hizmet sözleşmesi esaslarına göre tespit edilir.
Bu İdarede Başbakanlık ile diğer kamu kurum ve kuruluşları personeli maaşsız izinli ve sözleşmeli olarak çalıştırılabilirler. Bu kişilerin memuriyetleri ile buna ait her türlü hak ve mükellefiyetleri saklı tutulur. İzinli oldukları müddet, terfi ve emekliliklerinde fiili hizmet olarak hesaba katıldığı gibi, bunlardan izinli oldukları sırada terfi hakkını kazananlar başkaca hiçbir işleme lüzum kalmaksızın terfi ettirilirler. 
</t>
  </si>
  <si>
    <t xml:space="preserve">BAŞBAKANLIK TEŞKİLATI HAKKINDA KANUN  HÜKMÜNDE KARARNAMENİN DEĞİŞTİRİLEREK
KABULÜ HAKKINDA KANUN (1)
Kanun Numarası : 3056  Kabul Tarihi : 10/10/1984
Yayımlandığı R. Gazete : Tarih : 19/10/1984 Sayı : 18550
Yayımlandığı Düstur : Tertip : 5 Cilt : 24 Sayfa : 29
Sözleşmeli personel:
Madde 35 – (Değişik birinci fıkra : 27/12/1991 - KHK - 475/5 md.) Başbakanlık merkez teşkilatında, Müsteşar, Müsteşar Yardımcısı, Başbakan Başmüşaviri, Başbakan Müşaviri ve Başbakanlık Müşavirleri, Teftiş Kurulu Başkanı, Bakanlar Kurulu Sekreteri, Hukuk Müşaviri, Basın Müşaviri, Genel Müdür ve Genel Müdür Yardımcıları, Başkan ve Yardımcıları, Daire Başkanı ve Yardımcıları ile Uzman, Daire Tabibi, Diş Tabibi , konusuyla ilgili en az 4 yıllık yükseköğrenim görmüş olmak kaydıyla çözümleyici ve programcı, (1) Uzman ve Uzman Yardımcısı kadrolarına atananlar atandıkları kadrolarda sözleşmeli olarak da, 657 sayılı Devlet Memurları Kanunu ve diğer kanunların sözleşmeli personel çalıştırılması hakkındaki hükümlerine bağlı olmaksızın çalıştırılabilir.
Ancak, uzman yardımcısı ve uzman kadrolarında çalıştırılacaklar için 34 üncü madde ile belirtilen şartlar,yukarıda sayılan diğer görevlerde çalıştırılacaklar için yükseköğrenim yanında Devlet Memurları Kanununun 68 inci maddesinde belirtilen şartlar aranır. 
(Ek : 18/5/1987 - KHK - 281/14 md.) 657 sayılı Devlet Memurları Kanununun 59 uncu maddesine göre atananlar hakkında yukarıdaki fıkra hükmü uygulanmaz.
(Değişik : 27/12/1991 - KHK - 475/5 md.) Ayrıca, Başbakanlık merkez teşkilatında ihtiyaç duyulacak unvanlarda ve Devlet Arşivleri Genel Müdürlüğü'nde Osmanlıca dil ve yazı ile yazılan her türlü arşiv malzemesinin Türkçe'ye çevrilmesi, tasnifi, değerlendirilmesi gibi özel bilgi ve ihtisası gerektiren işlerde kadro aranmaksızın ve diğer kanunların sözleşmeli personel çalıştırılması hakkındaki hükümlerine bağlı olmaksızın yerli ve yabancı elemanlar sözleşmeli olarak çalıştırılabilir. Ancak Devlet Arşivlerinde çalıştırılacaklarda yaş haddi aranmaz, varsa emekli aylıkları kesilmez.
Bu suretle çalıştırılacakların sözleşme usul ve esasları ile ücret miktarı ve her çeşit ödemeler Bakanlar Kurulunca tespit edilir. (2)
Sözleşme ile çalıştırılacak personel istekleri üzerine T.C. Emekli Sandığı ile ilgilendirilir. 
(1) Daire Tabibi ile Diş Tabibi unvanları, 23/2/1995 tarih ve 547 sayılı KHK'nin 21 inci maddesi ile, "konusuyla ilgili en az 4 yıllık yüksek öğrenim görmüş olmak kaydıyla çözümleyici ve programcı" ibaresi, 6/7/1995 tarih ve 562 sayılı KHK'nin 19 uncu maddesi ile eklenmiş ve metne işlenmiştir. 
(2) Anayasa Mahkemesi’nin 14/4/2011 tarihli ve E.: 2004/16, K.: 2011/63 sayılı Kararı ile bu fıkrada yer alan “… ve her çeşit ödemeler …” ibaresinin, “Başbakan Başmüşaviri” yönünden iptaline karar verilmiş olup, Kararın Resmi Gazete’de yayımlandığı 21/10/2011 tarihinden bir yıl sonra yürürlüğe girmesi hüküm altına alınmıştır.
(3) 24/10/2011 tarirhli ve 661 sayılı KHK’nın 38 inci maddesiyle Bu fıkrada yer alan “programcı, çözümleyici ve bilgisayar işletmeni ile” ibaresi “ihtiyaç duyulacak unvanlarda ve” şeklinde değiştirilmiş ve metne işlenmiştir. 
</t>
  </si>
  <si>
    <t xml:space="preserve">SAVUNMA SANAYİİ MÜSTEŞARLIĞININ KURULMASI VE 11 TEMMUZ 1939 TARİH VE 3670 SAYILI MİLLİ PİYANGO TEŞKİLİNE DAİR KANUNUN İKİ MADDESİ İLE 23 EKİM 1984 TARİH VE 3065 SAYILI KATMA DEĞER VERGİSİ KANUNUNUN BİR MADDESİNDE DEĞİŞİKLİK YAPILMASI HAKKINDA KANUN (1)
Kanun Numarası : 3238 Kabul Tarihi : 7/11/1985 
Yayımlandığı R.Gazete : Tarih : 13/11/1985 Sayı : 18927 
Yayımlandığı Düstur : Tertip : 5 Cilt : 25 Sayfa : 19
Personel rejimi:
Madde 8 – Başkanlık personeli 14/7/1965 tarih ve 657 sayılı Devlet Memurları Kanunu hükümlerine tabidir. (2) ____________________
(1) 22/12/2005 tarihli ve 5436 sayılı Kanunun 17 nci maddesiyle Araştırma Planlama Koordinasyon Dairesi Başkanlığı kurulması ve bunun görevlerine ilişkin hükümler yürürlükten kaldırılmış olup, yine aynı Kanunun 15 inci maddesiyle; Savunma Sanayi Müsteşarlığının teşkilat kanununda düzenleme yapılıncaya kadar, 5436 sayılı Kanun ve diğer kanunlar ile verilen görevleri yapmak üzere Strateji Geliştirme Daire Başkanlığı kurulmuştur.
(2) Bu maddenin ikinci fıkrasını değiştiren ve bu fıkradan sonra gelmek üzere iki fıkra ekleyen 14/1/1988 tarih ve 310 sayılı KHK’nin 3 üncü maddesi 3704 sayılı Kanunun 5 inci maddesi ile yürürlükten kaldırılmış olup, bu defa mezkür fıkralar 3704 sayılı Kanunun 2 nci maddesi ile aynı paralelde yeniden düzenlenmiştir.
 (Değişik: 20/3/1991 – 3704/2 md.) Bu İdarenin, 657 sayılı Devlet Memurları Kanununun 59 uncu maddesinde belirtilen unvanlarına ait kadroları Savunma Sanayii Uzmanı ve Uzman Yardımcısı ile Daire Tabibi kadroları karşılık gösterilmek kaydıyle sözleşmeli personel çalıştırılabilir. Bunlar istekleri halinde T.C.Emekli Sandığı ile ilgilendirilirler. Bu suretle sözleşmeli çalıştırılacaklardan T.C.Emekli Sandığından aylık alanların bu aylıkları kesilmez. (1)
(Ek: 20/3/1991 – 3704/2 md.) Savunma Sanayii Müsteşarlığında 657 sayılı Devlet Memurları Kanunu ile diğer kanunların sözleşmeli personel çalıştırılmasına dair hükümlerine bağlı kalınmaksızın özel bilgi ve ihtisas gerektiren konularda sözleşmeli personel çalıştırılabilir. Bu fıkra hükmüne göre çalıştırılacak olanlar sosyal güvenlik açısından T.C. Emekli Sandığı (…)(2) ile ilgilendirilir.
(Ek: 20/3/1991 – 3704/2 md.) İkinci ve üçüncü fıkralara göre çalıştırılacakların adedi, ücretlerinin taban ve tavanı ile diğer mali hakları, Bakanlar Kurulu’nca çıkarılacak hizmet sözleşmesi esaslarına göre tespit edilir.
Başkanlıkta Başbakanlık ile diğer kamu kurum ve kuruluşları personeli maaşsız izinli ve sözleşmeli olarak çalıştırılabilirler. Bu kişilerin memuriyetleri ile buna ait her türlü hak ve mükellefiyetleri mahfuz kalır. İzinli oldukları müddet, terfi ve emekliliklerinde fiili hizmet olarak hesaba katıldığı gibi bunlardan izinli oldukları sırada terfi hakkını kazananlar başkaca hiç bir işleme lüzum kalmaksızın terfi ettirilirler.
(Ek fıkra: 8/8/2011-649-KHK/51 md.) Müsteşarlık, görev alanına giren konularda çalıştırılmak üzere Savunma Sanayii Uzmanı ve Uzman Yardımcısı istihdam eder. Savunma Sanayii Uzman Yardımcılığına atanabilmek için 657 sayılı Devlet Memurları Kanununun 48 inci maddesinde sayılan genel şartlara ek olarak aşağıdaki şartlar aranır:
a) En az dört yıllık lisans eğitimi veren hukuk, siyasal bilgiler, iktisat, işletme, iktisadî ve idarî bilimler fakülteleri, Müsteşarlığın görev alanına giren ve yönetmelikle belirlenen mühendislik fakülteleri ile diğer yükseköğretim kurumlarından veya bunlara denkliği Yükseköğretim Kurulu tarafından kabul edilen yurtiçindeki veya yurtdışındaki yükseköğretim kurumlarından mezun olmak,
b) Yönetmelikle belirlenen yabancı dillerden en az birini iyi derecede bilmek.
c) Yapılacak yarışma sınavında başarılı olmak.
____________________
(1) 8/8/2011 tarihli ve 649 sayılı KHK’nin 51 inci maddesiyle, bu fıkrada yer alan “ile Daire Tabibi Kadrosu” ibaresi “Savunma Sanayii Uzmanı ve Uzman Yardımcısı ile Daire Tabibi kadroları” şeklinde değiştirilmiş ve metne işlenmiştir.
(2) Bu arada yer alan "veya Sosyal Sigortalar Kurumu“ ibaresi, 21/4/2005 tarihli ve 5335 sayılı Kanunun 15 inci maddesiyle madde metninden çıkarılmıştır.
(Ek fıkra: 8/8/2011-649-KHK/51 md.) Uzman Yardımcılığına atananlar, en az üç yıl çalışmak ve hazırlayacakları uzmanlık tezinin, oluşturulacak tez jürisi tarafından kabul edilmesi kaydıyla, yapılacak yeterlik sınavına girmeye hak kazanırlar. Süresi içinde tezlerini sunmayan veya tezleri kabul edilmeyenlere tezlerini sunmaları veya yeni bir tez hazırlamaları için altı ayı aşmamak üzere ilave süre verilir. Yeterlik sınavında başarılı olanların uzman kadrolarına atanabilmeleri, Kamu Personeli Yabancı Dil Bilgisi Seviye Tespit Sınavından asgarî (B) düzeyinde veya dil yeterliği bakımından buna denkliği kabul edilen ve uluslararası geçerliliği bulunan başka bir belgeye sahip olma şartına bağlıdır. Sınavda başarılı olamayanlar veya sınava girmeye hak kazandığı halde geçerli mazereti olmaksızın sınav hakkını kullanmayanlara, bir yıl içinde ikinci kez sınav hakkı verilir. Verilen ilave süre içinde tezlerini sunmayan veya ikinci defa hazırladıkları tezleri de kabul edilmeyenler, ikinci sınavda da başarı gösteremeyen veya sınav hakkını kullanmayanlar ile yabancı dil yeterliği şartını yerine getirmeyenler, Savunma Sanayii Uzman Yardımcısı unvanını kaybederler ve Müsteşarlıkta durumlarına uygun kadrolara atanırlar.
(Ek fıkra: 8/8/2011-649-KHK/51 md.) Savunma Sanayii Uzmanı ve Uzman Yardımcılarının mesleğe alınmaları, yetiştirilmeleri, yarışma sınavı, tez hazırlama ve yeterlik sınavı ile diğer hususlar yönetmelikle düzenlenir.
</t>
  </si>
  <si>
    <t xml:space="preserve">METEOROLOJİ GENEL MÜDÜRLÜĞÜ TEŞKİLAT VE GÖREVLERİ HAKKINDA KANUN (1) (2) (3)
Kanun Numarası : 3254  Kabul Tarihi : 8/1/1986
Yayımlandığı R. Gazete : Tarih : 14/1/1986 Sayı : 18988
Yayımlandığı Düstur : Tertip : 5 Cilt : 35 Sayfa : 126 
Sözleşmeli Personel:
Madde 32/B – (Ek : 8/4/1990 – KHK – 417/3 md.; Mülga: 23/8/1991 – KHK – 447/2 md.; Yeniden düzenleme: 17/6/1992 – 3812/3 md.)
Meteoroloji Genel Müdürlüğü merkez teşkilatında Genel Müdür, Genel Müdür Yardımcısı, Teftiş Kurulu Başkanı, daire başkanı, hukuk müşaviri, müşavir, müfettiş, meteoroloji uzmanı ve uzman yardımcısı, şube müdürü, mühendis, matematikçi, fizikçi, jeomorfolog, istatikçi, tabip, diş tabibi, en az 4 yıllık teknik yüksek öğrenim görmüş teknikerler ile bilgisayar programcısı ve bilgisayar çözümleyici kadroları karşılık gösterilmek kaydıyla, 657 sayılı Devlet Memurları Kanununun ve diğer Kanunların sözleşmeli personel çalıştırılması hakkındaki hükümlerine bağlı olmaksızın, sözleşmeli personel çalıştırabilir.
Ancak, uzman yardımcısı ve uzman kadrolarında çalıştırılacaklar için 32/A maddesinde belirtilen şartlar, yukarıda sayılan diğer görevlerde çalıştırılacaklar için yükseköğrenim yanında, Devlet Memurları Kanununun 68 inci maddesinde belirtilen şartlar aranır.
Bu süretle çalıştırılacakların sözleşme usul ve esasları ile ücret miktarı ve her çeşit ödemeler Bakanlar Kurulunca tespit edilir. 
Sözleşme ile çalıştırılacak personel istekleri üzerine T.C. Emekli Sandığı ile ilgilendirilir. 
</t>
  </si>
  <si>
    <t xml:space="preserve">SPOR GENEL MÜDÜRLÜĞÜNÜN  TEŞKİLAT VE GÖREVLERİ HAKKINDA  KANUN (1)(3)
Kanun Numarası : 3289  Kabul Tarihi : 21/5/1986
Yayımlandığı R. Gazete : Tarih : 28/5/1986 Sayı: 19120
Yayımlandığı Düstur : Tertip: 5 Cilt: 25 Sayfa: 224
Sözleşmeli personel 
Ek Madde 6 – (Ek: 14/3/1991 – 3703/16 md.)
Spor Genel Müdürlüğü Merkez Teşkilatında; Genel Müdür, Genel Müdür Yardımcısı, Daire Başkanı ve Federasyon Genel Sekreteri, Spor Kontrolörü ve Yardımcısı, tabip, hukuk müşaviri, avukat, mimar, mühendis, müfettiş, şube müdürü, mütercim, aşçı kadroları karşılık gösterilmek suretiyle, 657 sayılı Devlet Memurları Kanunu ile diğer kanunların sözleşmeli personel çalıştırılması hakkındaki hükümlerine bağlı olmaksızın sözleşmeli personel çalıştırılabilir. Ancak, bu görevlerde çalıştırılacaklar için yükseköğretim yanında, Devlet Memurları Kanununun 68 inci maddesinde belirtilen şartlar aranır.
Bu şekilde çalıştırılacakların sözleşme usul ve esasları ile ücret miktarı ve her çeşit ödemeleri Bakanlar Kurulunca tespit edilir.
Sözleşme ile çalıştırılacak personel istekleri üzerine T.C.Emekli Sandığı ile ilgilendirilir.
</t>
  </si>
  <si>
    <t xml:space="preserve">ÖZELLEŞTİRME UYGULAMALARI HAKKINDA KANUN (1)
Kanun Numarası : 4046 Kabul Tarihi : 24/11/1994
Yayımlandığı R.Gazete : Tarih : 27/11/1994 Sayı : 22124 
Yayımlandığı Düstur : Tertip : 5 Cilt : 34 Sayfa :
Personel Rejimi 
Madde 6 – İdare personeli 657 sayılı Devlet Memurları Kanunu hükümlerine tabidir. Başkan ve İdarenin her kadamedeki yöneticileri sınırlarını açıkca ve yazılı olarak belirlemek şartıyla, yetkilerinin bir kısmını astlarına devredebilirler. İdare Başkanı müşterek kararname ile, Başkan Yardımcıları Başkanın teklifi ve Başbakanın onayı ile, diğer personel ise Başkan
——————————
(1) Bu fıkrada geçen “bu maddenin (a), (b), (h) ve (ı) bentlerinde” ibaresi, 1/8/2003 tarihli ve 4971 sayılı Kanunun 2 nci maddesiyle, ““bu maddenin (a), (b), (h), (ı) ve (m) bentlerinde”olarak değiştirilmiş ve metne işlenmiştir. 
(2) 22/12/2005 tarihli ve 5436 sayılı Kanunun 17 nci maddesiyle bu bentte yer alan “Araştırma Planlama ve Koordinasyon Daire Başkanlığı,” ibaresi yürürlükten kaldırılmış ve metinden çıkarılmıştır.
(3) Bu bentte yer alan “Savunma Uzmanlığı”, 29/5/2009 tarihli ve 5902 sayılı Afet ve Acil Durum Yönetimi Başkanlığının Teşkilat ve Görevleri Hakkında Kanunun 25 inci maddesinin beşinci fıkrasıyla yürürlükten kaldırılmış olup, mezkur fıkrayla sivil savunma ve seferberlik hizmetlerini planlama ve yürütme görevlerinin, idari ve mali işler, destek hizmetleri veya bu amaçla kurulmuş hizmet birimleri tarafından yürütüleceği hüküm altına alınmıştır.
(4) Bu arada yer alan "ve İstanbul temsilciliği" ibaresi, 3/7/2005 tarihli ve 5398 sayılı Kanunun 11 inci maddesiyle yürürlükten kaldırılmıştır.
(5) İdarenin merkez ve İstanbul temsilciliği kadroları için 27/11/1994 tarih ve 22124 sayılı R.G.'ye bakınız.
tarafından atanır. Başkan,Başkan Yardımcısı, Başkanlık Müşaviri, Daire Başkanlığı ve Proje Grup Başkanlığı kadrolarına atanacaklarda,4 yıllık yükseköğrenim görmüş olmaları yanında görevlerini yerine getirebilecek bilgi ve tecrübeye sahip bulunmaları şartı aranır.Başkan ve Başkan Yardımcıları aylık, ek gösterge, zam ve tazminatları ile statüleri bakımından Başbakanlığa bağlı müsteşarlıkların müsteşar ve müsteşar yardımcıları hakkında uygulanan hükümlere tabidirler. 
İdarede;Başkan,Başkan Yardımcısı, Başkanlık Müşaviri, I inci Hukuk Müşaviri, Hukuk Müşaviri, Daire Başkanı, Proje Grup Başkanı, Avukat, Uzman (Şube Müdürü), Uzman, Uzman Yardımcısı ve Daire Tabibi kadroları karşılık gösterilmek suretiyle sözleşmeli personel çalıştırılabilir. Bunlar, istekleri halinde T.C. Emekli Sandığı ile ilgilendirilirler. 
Genel ve katma bütçeli idarelerde çalışanlar kurumlarının muvafakatı ile İdarede sözleşmeli olarak istihdam edilebilirler. İdarenin bu konudaki talepleri, ilgili kurum ve kuruluşlarca öncelikle sonuçlandırılır. Bu personel, kurumundan aylıksız izinli sayılır. İzinli oldukları sürece memuriyetleri ile ilgili özlük hakları devam ettiği gibi, bu süreler kendi kurumlarında çalışıyormuş gibi addedilerek, terfi ve emekliliklerinde hesaba katılır ve herhangi bir işleme gerek kalmaksızın süresinde terfileri yapılır. Bu personelin, kurumlarından aylıksız izinli olarak idarede çalıştıkları müddet karşılığı asıl bağlı oldukları kurumlarına karşı herhangi bir mecburi hizmet mükellefiyeti doğmaz. 
Bu madde hükümlerine göre sözleşmeli olarak çalıştırılacakların sözleşme esas ve usulleri ile mali hakları Bakanlar Kurulunca tespit edilir. 
Kamu İktisadi teşebbüsleri ve bağlı ortaklıkları ile özelleştirme kapsamına alınan kuruluşlarda çalışan personelden idarece hizmetine ihtiyaç duyulanlar, ücreti ve özlük hakları kendi kuruluşu tarafından karşılanmak kaydıyla idarenin re'sen vereceği karar ile bu idarede görevlendirilebilir. Bu personel idarede görevli oldukları süre içinde kendi kuruluşlarında ücretli izinli sayılır. 
İdare merkez teşkilatında fiilen çalışan personel ile bu maddeye göre idarede görevlendirilen personele 10.10.1984 tarihli ve 3056 sayılı Kanunun değişik 31 inci maddesinde yer alan hükümler çerçevesinde idarece belirlenen esas ve usuller dahilinde fazla çalışma ücreti ödenir. (1) 
Mahkeme ve icra dairelerince idare lehine hükmedilip karşı taraftan tahsil olunan vekalet ücretlerinin dağıtımında 2.2.1929 tarih ve 1389 sayılı Kanun ile 657 Sayılı Devlet Memurları Kanununun ilgili hükümleri uygulanır. 
İdareye ait kadroların tespit, ihdas, kullanım ve iptali ile kadrolara ilişkin diğer hususlar 190 sayılı Genel Kadro ve Usulü Hakkında Kanun Hükmünde Kararname hükümlerine göre düzenlenir. 
</t>
  </si>
  <si>
    <t xml:space="preserve">HAZİNE MÜSTEŞARLIĞININ TEŞKİLAT VE GÖREVLERİ HAKKINDA KANUN (1)(2)(3)(4)
(14.8.1991 tarihli ve 436 sayılı "Hazine ve Dış Ticaret Müsteşarlığı Teşkilat ve Görevleri Hakkında Kanunda Değişiklik Yapılmasına İlişkin Kanun Hükmünde Kararname", 29.7.1986 tarihli ve 256 sayılı "16.4.1986 Tarihli ve 3274 sayılı Hazine ve Dış Ticaret Müsteşarlığı Teşkilat ve Görevleri Hakkında Kanuna Bir Geçici Madde Eklenmesi Hakkında Kanun Hükmünde Kararname", 21.12.1987 tarihli ve 303 sayılı "Sigorta Şirketleri Hizmetlerinin Başbakanlığa Devri Hakkında Kanun Hükmünde Kararname", 16.9.1993 tarihli ve 508 sayılı "Hazine ve Dış Ticaret Müsteşarlığı Teşkilat ve Görevleri Hakkında Kanunda Değişiklik Yapılmasına İlişkin Kanun Hükmünde Kararname", 3.6.1994 tarihli ve 534 sayılı "Dış Ticaret Müsteşarlığı Teşkilat ve Görevleri Hakkında Kanun Hükmünde Kararname", 3.6.1994 tarihli ve 535 sayılı "Hazine Müsteşarlığı Teşkilat ve Görevleri Hakkında Kanun Hükmünde Kararname"lerin yürürlükten kaldırılması ve Hazine Müsteşarlığı ile Dış Ticaret Müsteşarlığı Teşkilat ve Görevleri Hakkında Kanun)
Kanun Numarası : 4059  Kabul Tarihi : 9.12.1994
Yayımlandığı R.Gazete : Tarih : 20.12.1994 Sayı : 22147
Yayımlandığı Düstur : Tertip : 5 Cilt : Sayfa :
Uzman Yardımcılığına, Uzmanlığa ve Yurt Dışı Teşkilatına Atanma,(…)(6) 
Sözleşmeli Personel ve Sözleşme ile Araştırma, Etüd ve Proje Yaptırma 
Madde 7 – a) 23.4.1981 tarih ve 2451 sayılı Kanun hükümleri dışında kalan memurların atamaları Başbakan tarafından yapılır. Bu yetki, Müsteşara devredilebilir. Müsteşarlıkta, Personel Dairesi Başkanı, İdari ve Mali İşler Dairesi Başkanı, Daire Başkanı ve ana hizmet birimlerine Şube Müdürü kadrolarına atanacaklarda uzman veya Müsteşarlık merkez denetim elemanı 
Dikkat: Bu sayfadaki dipnotlar için 7466 numaralı sayfaya bakınız.
(1) 3/6/2011 tarihli ve 637 sayılı KHK’nın 38 inci maddesi ile bu maddenin birinci fıkrasının (e) bendinde yer alan "Hukuk Müşavirlikleri ile Basın ve Halkla İlişkiler Müşavirlikleri" ibaresi "Hukuk Müşavirliği ile Basın ve Halkla İlişkiler Müşavirliği" şeklinde, (f) bendinde yer alan "10'ar" ibaresi "10" şeklinde ve (g) bendinde yer alan "Personel Dairesi Başkanlıkları, İdari ve Mali İşler Dairesi Başkanlıkları" ibaresi "Personel Dairesi Başkanlığı ile İdari ve Mali İşler Dairesi Başkanlığı" şeklinde değiştirilmiş ve metne işlenmiştir.
(2) Bu bent, 29/5/2009 tarihli ve 5902 sayılı Afet ve Acil Durum Yönetimi Başkanlığının Teşkilat ve Görevleri Hakkında Kanunun 25 inci maddesinin beşinci fıkrasıyla yürürlükten kaldırılmış olup, mezkur fıkrayla sivil savunma ve seferberlik hizmetlerini planlama ve yürütme görevlerinin, idari ve mali işler, destek hizmetleri veya bu amaçla kurulmuş hizmet birimleri tarafından yürütüleceği hüküm altına alınmıştır.
(3) 3/6/2011 tarihli ve 637 sayılı KHK’nın 38 inci maddesi ile bu kısmın başlığı, “Müsteşarlıkların Taşra ve Yurt Dışı Teşkilatları İle Bağlı Kuruluşları ve Döner Sermayeleri” iken metne işlendiği şekilde değiştirilmiştir.
(4) Bu bendin uygulanması ile ilgili olarak 10/12/2003 tarihli ve 5018 sayılı Kanunun 81 inci maddesine bakınız.
(5) 3/6/2011 tarihli ve 637 sayılı KHK’nın 38 inci maddesi ile bu bentte yer alan , “müsteşarlıkların bütçelerine” ibaresi “müsteşarlığın bütçesine” şeklinde değiştirilmiş ve metne işlenmiştir. 
(6) 3/6/2011 tarihli ve 637 sayılı KHK’nın 38 inci maddesi ile bu kısmın başlığında yer alan , “Dış Ticarette Standardizasyon Denetmenliği,” ibaresi yürürlükten kaldırılmıştır.
olmak şarttır. Ekonomik Araştırmalar Genel (…) (1) Müdürlüğündeki Daire Başkanı ve Şube Müdürü kadrolarına çözümleyici, programcı ve istatistikçi unvanına sahip olanlardan da atama yapılabilir. Hazine Kontrolörleri Kurulu Başkanı, Hazine Kontrolörleri, Sigorta Denetleme Kurulu Başkanı, Sigorta Denetleme Uzmanları ve Aktüerleri (…) (1) müşterek karar ile atanır. (Ek cümle: 22/12/1997- 4315/1 md.) Programcı ve Çözümleyici kadrolarına yapılacak atamalara ilişkin usul ve esaslar ile diğer hususlar yönetmelikle düzenlenir. (…) (1) Müsteşarlık bağlı kuruluşlarının kuruluş mevzuatındaki atamaya ilişkin hükümler saklıdır.
b) Müsteşarlığa atanacak uzman yardımcılarında 657 sayılı Devlet Memurları Kanununun 48 inci maddesinde sayılan şartlara ek olarak; bu maddenin (c) bendinde belirtilen şartları haiz olmak ve yönetmeliklerde belirtilen yabancı dillerden en az birini iyi derecedebilmek, yapılacak yarışma sınavında başarılı olmak, sınavın yapıldığı yılın Ocak ayının ilk gününde 30 yaşını doldurmamış olmak şartları ile en az 4 yıllık eğitim veren siyasal bilgiler, hukuk, iktisadi ve idari bilimler, iktisat, işletme ve mühendislik fakülteleri ile diğer üniversite ve fakültelerin matematik, istatistik bölümlerinden veya yüksek okullarından ya da bunlara denkliği Yüksek Öğretim Kurulu tarafından onaylanmış yabancı fakülte veya yüksek okullardan mezun olmak şartları aranır. 
c) Bu maddenin (b) bendine göre Uzman Yardımcılığına atananlar, en az üç yıl fiilen çalışmak ve her yıl olumlu sicil almak kaydıyla, açılacak Uzman Yeterlik Sınavına girmek hakkını kazanırlar. (Değişik ikinci cümle: 3/6/2011-KHK-637/38 md.) Sınavda başarılı olanlar "Hazine Uzmanı" unvanını alırlar. Uzmanlık Yeterlik Sınavında iki defa başarısız olanlar ile olumlu sicil alamayanlar veya sınava girmeye hak kazandığı yılı izleyen iki yıl içinde geçerli mazereti olmaksızın iki sınav hakkını kullanmayanlar, Uzman Yardımcılığı unvanını kaybederler ve durumlarına uygun diğer kadrolara atanırlar. Uzman ve Uzman Yardımcılığı yeterlik ve yarışma sınavlarının yapılma esas ve usulleri ile diğer hususlar yönetmeliklerle düzenlenir. Bu Kanun hükümlerine göre Hazine Uzmanı (…) (1) unvanını almaya hak kazananlar bu unvanı işgal ettikleri kadroya bağlı olmaksızın taşırlar. Hazine ve Dış Ticaret Uzmanı, Hazine Uzmanı (…) (1) unvanını daha önce almış olup da, bu Kanunun yayımlandığı tarihte Müsteşarlıkta görevli olmayanlar, Müsteşarlıkta bir göreve atanmaları halinde, atanmalarının yapıldığı tarih itibariyle Hazine Uzmanı (…) (1) unvanını da almaya hak kazanırlar. Yurt dışına lisansüstü eğitim için personel gönderilmesinin usul ve esasları yönetmelikle düzenlenir. 
d) (Mülga: 3/6/2011-KHK-637/38 md.) 
e) Müsteşarlıkta Müsteşar, Müsteşar Yardımcısı, Müsteşarlık Müşaviri, Genel Müdür, Kurul Başkanı, 1.Hukuk Müşaviri, Strateji Geliştirme Dairesi Başkanı,Personel Dairesi Başkanı, İdari ve Mali İşler Dairesi Başkanı, Genel Müdür Yardımcısı, Hukuk Müşaviri, Basın ve Halkla İlişkiler Müşaviri, Daire Başkanı, Darphane ve Damga Matbaası Genel Müdürü ve Darphane ve Damga Matbaası Genel Müdür Yardımcısı, (…) (1) Şube Müdürü, Hazine Uzmanı, (…) (1) Hazine Uzman Yardımcısı, (…) (1) Çözümleyici, Programcı kadroları karşılık gösterilmek kaydıyla, 657 sayılı Devlet Memurları Kanunu ve diğer Kanunların Sözleşmeli personel hakkındaki hükümlerine bağlı olmaksızın sözleşmeli olarak çalıştırılabilir. Müsteşarlığın merkez teşkilatında bilgisayar, kütüphane, teknik,
sağlık ve eğitim işlerinde çalıştırılmak üzere ilgili Bakanın onayı ile yurt içinden veya yurt dışından sözleşmeli olarak yerli ve yabancı kişiler çalıştırılabilir. (Ek cümle: 22/12/1997 - 4315/1 md.) Sözleşmeli olarak çalışan personele, bu Kanuna ekli cetvellerde unvanlar itibariyle yeralan taban ve tavan ücretleri arasında kalmak üzere, Müsteşarlığın bağlı olduğu Bakan tarafından belirlenecek tutarda aylık ücret ödenir. Başbakanlık merkez teşkilatında sözleşmeli olarak çalıştırılan emsali personelin yararlandığı ücret artışlarından Müsteşarlıkta çalışan sözleşmeli personel de aynen yararlandırılır. Sözkonusu personele, çalıştıkları günlerle orantılı olarak (hastalık ve yıllık izinleri dahil) ocak, nisan, temmuz ve ekim aylarında birer aylık sözleşme ücreti tutarında ikramiye ödenir. Bunlardan üstün gayret ve çalışmaları sonucunda emsallerine göre başarılı çalışma yaptıkları tespit edilenlere Müsteşarın teklifi, ilgili Bakanın (…)(3) onayı ile haziran ve aralık aylarında birer aylık sözleşme ücreti tutarına kadar teşvik ikramiyesi ödenebilir. Kadro karşılığı sözleşme ile çalıştırılacak personel,istekleri üzerine T.C. Emekli Sandığı ile ilgilendirilir. Müsteşarlığın merkez teşkilatında fiilen çalışan personel Başbakanlığın yararlandığı fazla çalışma ücreti, tazminat ve benzeri tüm mali ve sosyal haklardan aynı usul ve esaslara göre yararlanır. (Mülga 9 uncu ve 10 uncu cümleler: 3/6/2011-KHK-637/38 md.) (1) (2) (3) 
____________________
(1) 3/6/2011 tarihli ve 637 sayılı KHK’nın 38 inci maddesi ile bu maddenin birinci fıkrasının (a) bendinde yer alan "Müdürlüğü ile Ekonomik Araştırmalar ve Değerlendirme Genel", ", Dış Ticaret Kontrolörleri Kurulu Başkanı" ve "Bölge Müdürü, Bölge Müdür Yardımcısı, Serbest Bölge Müdürü, Serbest Bölge Müdür Yardımcısı, Dış Ticarette Standardizasyon Denetmeni ve Dış Ticarette Standardizasyon
Denetmen Yardımcısı kadrolarına atanacaklarda ise, bu maddenin (b) bendinde belirtilen
eğitim şartı aranır." cümlesi, (c) bendinin beşinci cümlesinde yer alan "ve Dış Ticaret
Uzmanı", altıncı cümlesinde yer alan ", Dış Ticaret Uzmanı" ve "veya Dış Ticaret Uzmanı"
ibareleri, (e) bendinde yer alan "Bölge Müdürü ve Bölge Müdür Yardımcısı,
Serbest Bölge Müdürü ve Serbest Bölge Müdür Yardımcısı", "Dış Ticaret Uzmanı,", "Dış
Ticaret Uzman Yardımcısı," ibareleri yürürülükten kaldırılmıştır.
(2) 3/6/2011 tarihli ve 637 sayılı KHK’nın 38 inci maddesi ile bu bentte yer alan , “müsteşarlıkların merkez teşkilatlarında” ibaresi “Müsteşarlığın merkez teşkilatında” şeklinde değiştirilmiş ve metne işlenmiştir. 
(3) 11/10/2011 tarihli ve 662 sayılı KHK’nın 67 nci maddesi ile bu bentte yer alan “1.Hukuk Müşaviri,” ibaresinden sonra gelmek üzere “Strateji Geliştirme Dairesi Başkanı,” ibaresi eklenmiş ve “uygun görüşü üzerine Başbakan” ibaresi yürürlükten kaldırılmıştır. 
f) Müsteşarlığın yurt dışı teşkilatındaki Daimi Temsilci Yardımcısı, Ekonomi Başmüşaviri, (…) (1) Ekonomi Müşaviri, (…) (1) Ekonomi Müşavir Yardımcısı, (…) (1) kadrolarına atanabilmek için Müsteşarlıkta uzman veya merkez denetim elemanı olmak tercih sebebidir. Müsteşarlık kadrolu personelinden, 4 yıllık yükseköğretim kurumlarından veya bunlara denkliği Yüksek Öğretim Kurulu tarafından onaylanmış yabancı fakülte ve yüksek okullardan mezun olanlar, Ekonomi Ataşesi (…) (1) kadrolarına atanabilirler. Yurt dışı teşkilatına sürekli görevle atanabilmek için bu atamanın yapıldığı tarihte Müsteşarlık merkez teşkilatı birimlerinde fiilen en az üç yıldan beri görev yapmış olmak zorunludur. Hizmetin gerektirdiği hallerde, Müsteşar, Müsteşar Yardımcısı ve Genel Müdür için bu süre şartı aranmaz. Yurt dışı teşkilatına atanacak personel, Müsteşar başkanlığında, Müsteşar Yardımcıları ile Müsteşarın görevlendireceği bir Genel Müdür ve Personel Dairesi Başkanından oluşan Yurt Dışı Sürekli Görev Personel Seçim Komisyonunca ilgili yönetmelikte belirtilen esas ve usullere uygun olarak seçilirler. Yurt dışı teşkilatında görev süresi üç yıldır. Bu süre hizmetin gerektirdiği hallerde Başbakan veya Müsteşarlığın bağlı bulunduğu Devlet Bakanının onayı ile en çok bir yıla kadar uzatılabilir. Müsteşarlık Disiplin Kurulu Kararı ile dış göreve devam etmesi sakıncalı görülenler veya dış görevde olumsuz sicil alanlar, Yurt Dışı Sürekli Görev Personel Seçim Komisyonunun teklifi üzerine, süresinden önce geri çekilebilirler. İki yıl sonunda başka bir ülkeye yapılacak naklen tayinlerde, yeni görev yerinde görev süresi iki yıldır. Müsteşarlığın yurt dışı teşkilatı kadrolarına yapılacak atamalara ilişkin esas ve usuller yönetmelikle belirlenir. (1) 
g) Müsteşarlık, görevleri ile ilgili olarak ihtiyaç duydukları konularda araştırma, etüt ve proje ile uluslararası ikili ve çok taraflı temas ve toplantılar düzenleme ve bunlarla ilgili her türlü mal ve hizmetlerin sağlanması gibi işleri yerli ve yabancı gerçek ve tüzel kişilere sözleşme veya pazarlık usulü ile yaptırabilirler ve bu konularla ilgili mal ve hizmet satın alabilirler. Bu hususta Devlet İhale Kanunu Hükümleri uygulanmaz. Bu madde ile ilgili diğer hususlar Müsteşarlıkça çıkartılacak yönetmeliklerle belirlenir. 
</t>
  </si>
  <si>
    <t xml:space="preserve">MİLLÎ SAVUNMA BAKANLIĞI AKARYAKIT İKMAL VE NATO POL TESİSLERİ İŞLETME BAŞKANLIĞININ KURULUŞU VE GÖREVLERİ HAKKINDA KANUN
(Millî Savunma Bakanlığı Akaryakıt İkmal ve NATO POL Tesisleri İşletme Başkanlığının
Kuruluşu ve Görevleri Hakkında Kanun Hükmünde Kararnamenin Değiştirilerek
Kabulü ve Devlet Memurları Kanunu ile Genel Kadro ve Usulü Hakkında
Kanun Hükmünde Kararnamenin Eki Cetvellerde Değişiklik Yapılması
Hakkında Kanun)
Kanun Numarası : 4636   Kabul Tarihi : 5/4/2001
Yayımlandığı R. Gazete : Tarih : 13/4/2001 Sayı : 24372
Yayımlandığı Düstur : Tertip : 5, Cilt : 40, Sayfa : 
Personel rejimi
Madde 10 – Başkanlık hizmetleri, 657 sayılı Devlet Memurları Kanununa tâbi Devlet memurları, sözleşmeli personel ve işçiler eliyle yürütülür. Başkan ve Başkanlığın her kademesindeki yöneticileri, sınırlarını açıkça ve yazılı olarak belirlemek şartıyla, yetkilerinin bir kısmını astlarına devredebilirler. Yetki devri, yetki devredenin sorumluluğunu ortadan kaldırmaz.
Başkan ve Başkan Yardımcısı, Yönetim Kurulunun teklifi ve Bakanın onayı ile; diğer personel, Başkanın teklifi üzerine Yönetim Kurulu kararı ile atanır.
Başkan ile Başkan Yardımcısı, daire başkanları, bölge müdürleri, şube müdürleri ve işletme müdürlerinin atanmalarında yüksek öğrenim görmüş olmaları şartı aranır. Bu kadrolara atanacaklarda aranacak diğer nitelikler, yönetmelikle belirlenir.
Başkanlıkta; özel bilgi ve ihtisas gerektiren konularda sözleşmeli personel çalıştırılabilir. Sözleşmeli personelin çalıştırılmasına ilişkin esas ve usuller ile ücretleri Bakanlar Kurulunca belirlenir. Bu fıkra hükümlerine göre çalıştırılacak olanlar, sosyal güvenlik açısından Türkiye Cumhuriyeti Emekli Sandığı veya Sosyal Sigortalar Kurumu ile ilgilendirilir.
Başkanlıkta; Başkan, Başkan Yardımcısı, Daire Başkanı ile Bölge Müdürü kadroları karşılık gösterilmek kaydıyla, 657 sayılı Devlet Memurları Kanununun ve diğer kanunların sözleşmeli personel çalıştırılması hakkındaki hükümlerine bağlı olmaksızın, sözleşmeli personel çalıştırılabilir. Bu suretle çalıştırılacakların sözleşme esas ve usulleri ile ücretleri, Bakanlar Kurulunca tespit edilir.
Başkanlıkta çalışan Devlet memurlarına, 22.6.1978 tarihli ve 2155 sayılı Kanun esaslarına göre tayın bedeli ödenir.
Mahkeme ve icra dairelerinde Başkanlık lehine hükmedilip, karşı taraftan tahsil olunan vekâlet ücretlerinin dağıtımında, 657 sayılı Devlet Memurları Kanununun ilgili hükümleri uygulanır.
Başkanlıkta çalışan personel ile sözleşmeli olarak çalıştırılan personel, Türk Ceza Kanununun 279 uncu Maddesinde yazılı memurdan sayılırlar ve bu personelin ifa ettikleri görevlerinden doğan suçlardan dolayı haklarında Türk Ceza Kanununun İkinci Kitap Üçüncü ve Altıncı Bablarındaki hükümler uygulanır.
Başkanlığa ait tesislerin koruma hizmeti 22.7.1981 tarihli ve 2495 sayılı Bazı Kurum ve Kuruluşların Korunması ve Güvenliklerinin Sağlanması Hakkında Kanun hükümleri gereğince yerine getirilir.
Başkanlık kadrolarının tespiti, ihdası ve iptali ile kadrolara ilişkin diğer hususlar 190 sayılı Genel Kadro ve Usulü Hakkında Kanun Hükmünde Kararname hükümlerine göre düzenlenir.
</t>
  </si>
  <si>
    <t xml:space="preserve">TÜRK PATENT ENSTİTÜSÜ KURULUŞ VE GÖREVLERİ  HAKKINDA KANUN ileti5000
(Türk Patent Enstitüsü Kuruluş ve Görevleri Hakkında Kanun Hükmünde Kararnamenin Değiştirilerek Kabulü ile Genel Kadro ve Usulü Hakkında Kanun Hükmünde Kararnamenin Eki Cetvellerde ve Devlet Memurları Kanununda Değişiklik Yapılmasına Dair Kanun)
Kanun Numarası : 5000  Kabul Tarihi : 6/11/2003
Yayımlandığı R.Gazete : Tarih : 19/11/2003 Sayı : 25294
Yayımlandığı Düstur : Tertip : 5 Cilt : 42 Sayfa:
Personel
Madde 26- Enstitüde Başkan, Başkan Yardımcısı, Daire Başkanı, Hukuk Müşaviri, Müşavir, Şube Müdürü, Patent Uzmanı, Marka Uzmanı, Uzman, Patent Uzman Yardımcısı, Marka Uzman Yardımcısı, Mütercim, Çözümleyici, Programcı, Bilgisayar İşletmeni kadroları karşılık gösterilmek kaydıyla, 657 sayılı Devlet Memurları Kanunu ve diğer kanunların sözleşmeli personel çalıştırılması hakkındaki hükümlerine bağlı kalınmaksızın sözleşmeli personel istihdam edilebilir. Yabancı uzmanlar da sözleşmeli olarak istihdam edilebilir. Yabancı uzmanların istihdamı Enstitünün hazırlayıp Bakanlığın onaylayacağı yönetmeliğe göre yapılır.
Belli bir uzmanlık gerektiren nitelikteki iş ve hizmetler için Yönetim Kurulu kararı ile istisna akdi çerçevesinde işlem yapılır.
Enstitüde sağlık ve eğitim gibi işlerde çalıştırılmak üzere, ihtiyaca göre Yönetim Kurulunun onayı ile yurt içinden ve yurt dışından özel anlaşmalarla sözleşmeli olarak yerli ve yabancı kişiler çalıştırılabilir.
Bu suretle çalıştırılacakların sözleşme usul ve esasları ile ücret miktarı ve her çeşit ödemeler Bakanlar Kurulunca tespit edilir.
Sözleşmeli personel istekleri halinde Emekli Sandığı ile ilgilendirilirler.
Enstitü, marka ve patent işlemlerinin yürütülmesinde yurt içi ve yurt dışındaki kuruluşların hizmetlerinden yararlanabilir. Bu suretle yararlanılacak hizmetler için ücretler Enstitünün yapacağı hizmetlerin karşılığı ücretlerle birlikte Enstitü tarafından tahsil edilir ve ilgili kuruluşlara ödemeler Enstitü tarafından yapılır.
Enstitü Yönetim Kurulu Başkan ve üyelerine, Kamu İktisadi Teşebbüsleri Yönetim Kurulu Başkan ve üyelerine bu görevleri nedeniyle yapılan ücret ödemesi aynen uygulanır. 
</t>
  </si>
  <si>
    <t xml:space="preserve">TÜRKİYE İSTATİSTİK KANUNU
Kanun Numarası : 5429  Kabul Tarihi : 10/11/2005
Yayımlandığı R.Gazete : Tarih: 18/11/2005 Sayı : 25997
Yayımlandığı Düstur : Tertip : 5 Cilt : 45 Sayfa:
Personel rejimi ve fazla çalışma
Madde 45- Başkanlıkta; Başkan, Başkan Yardımcısı, I. Hukuk Müşaviri, Daire Başkanı, İstatistik Müşaviri, Hukuk Müşaviri, Bölge Müdürü, Türkiye İstatistik Kurumu Uzmanı, Türkiye İstatistik Kurumu Uzman Yardımcısı, İstatistikçi, Matematikçi, Mühendis ile dört yıllık yüksek öğrenim görmüş olmak kaydıyla Programcı kadrolarına atananlar, kadroları karşılık gösterilmek suretiyle, 657 sayılı Devlet Memurları Kanunu ve diğer kanunların sözleşmeli personel çalıştırılması hakkındaki hükümlerine bağlı olmaksızın sözleşmeli çalıştırılabilir.
(İptal ikinci fıkra: Ana. Mah.’nin 19/12/2005 tarihli ve E.:2005/143, K.:2005/99 sayılı Kararı ile; Yeniden Düzenleme: 17/5/2006-5503/2 md.) Sözleşmeli olarak Başkanlıkta fiilen çalışan personele, bu Kanuna ekli (III) sayılı cetvelde unvanlar itibarıyla yer alan taban ve tavan ücretleri arasında kalmak üzere, Başkan tarafından belirlenecek tutarda aylık brüt sözleşme ücreti ödenir. Başbakanlık merkez teşkilâtında sözleşmeli olarak çalıştırılan emsali personelin yararlandığı ücret artışlarından Başkanlıkta çalışan sözleşmeli personel de aynı usûl ve esaslara göre aynen yararlandırılır. Bu personel T.C. Emekli Sandığı ile ilişkilendirilir. Söz konusu personele, çalıştıkları günlerle orantılı olarak (hastalık ve yıllık izinleri dahil) ocak, nisan, temmuz ve ekim aylarında birer aylık sözleşme ücreti tutarında ikramiye ödenir. Bunlardan üstün gayret ve çalışmaları sonucunda emsallerine göre başarılı çalışma yaptıkları tespit edilenlere Başkanın teklifi ve Başkanlığın bağlı olduğu Bakanın onayı ile (1) Başbakan onayı ile haziran ve aralık aylarında birer aylık sözleşme ücreti tutarına kadar teşvik ikramiyesi ödenebilir. Bu fıkranın uygulanmasına ilişkin usûl ve esaslar ile söz konusu personele yapılacak diğer ödemeler Bakanlar Kurulunca tespit edilir.
Özel uzmanlık gerektiren hizmetlerde sözleşmeli olarak yabancı uzman çalıştırılabilir. Bu şekilde çalıştırılacak olan yabancı uzmanlara yapılacak ödemeler ile çalışma usûl ve esasları Bakanlar Kurulu tarafından belirlenir.
Başkanlık merkez ve taşra teşkilâtı kadrolarında çalışan (kadro karşılığı çalışan sözleşmeli personel dâhil) memurlara 10.10.1984 tarihli ve 3056 sayılı Kanunun 31 inci maddesinde yer alan fazla çalışma ücreti aynı esas ve usûllere göre ödenir. 
Türkiye İstatistik Kurumu Uzman Yardımcılığı ve Uzmanlığına atanma
Madde 46- Türkiye İstatistik Kurumu Uzman Yardımcılığına atanabilmek için 657 sayılı Devlet Memurları Kanununun 48 inci maddesinde sayılan genel şartlara ilâve olarak;
a) (Değişik : 11/10/2011 - KHK - 662/35 md.) En az dört yıllık eğitim veren yüksek öğretim kurumlarının hukuk, siyasal bilgiler, iktisat, işletme, iktisadî ve idarî bilimler, mühendislik ve iletişim fakülteleri ile istatistik, matematik, fizik, sosyoloji, psikoloji bölümleri ve Başkanlıkça yönetmelikle belirlenecek fakülte ve bölümlerden veya bunlara denkliği Yükseköğretim Kurulunca kabul edilmiş yurt içindeki ya da yurt dışındaki yüksek öğretim kurumlarından mezun olmak, 
b) Meslek ve yabancı dil konularında yapılacak yarışma ve yeterlik sınavlarında başarılı olmak,
c) Sınavın yapıldığı yılın ocak ayının ilk gününde otuzbeş yaşını doldurmamış olmak,
Şarttır.
Birinci fıkraya göre uzman yardımcılığına atananlar, en az üç yıl fiilen çalışmak, olumlu sicil almak ve hazırladığı tez kabul edilmek kaydıyla, açılacak yeterlik sınavlarına girme hakkını kazanırlar. Yeterlik sınavlarında başarılı olanlar, İngilizce, Fransızca ve Almanca dillerinden birinde Kamu Personeli Yabancı Dil Bilgisi Seviye Tespit Sınavından en az (C) düzeyinde veya buna denk kabul edilen ve uluslararası geçerliliği bulunan belge ibraz etmeleri hâlinde, Türkiye İstatistik Kurumu Uzmanı kadrolarına atanırlar.(2)
Tezi kabul edilmeyenlerle, yeterlik sınavlarında başarı gösteremeyenler veya dil belgesini ibraz edemeyenler, durumlarına uygun diğer kadrolara atanırlar. Uzman yardımcılığında geçirilen süre, askerlik hizmetinde veya ücretsiz izinde geçirilen süreler hariç, beş yılı aşamaz.
Uzman yardımcılarının seçilme, tez hazırlama, yeterlik sınavları, yurt içinde ve 657 sayılı Devlet Memurları Kanununun 78 ve 79 uncu maddelerinde yer alan hükümler çerçevesinde yurt dışında eğitime tâbi tutulmaları ile diğer konulara ilişkin usûl ve esaslar çıkarılacak bir yönetmelikle belirlenir. 
_________
(1) 11/10/2011 tarihli ve 662 sayılı KKH’nin 34 üncü maddesiyle, bu maddenin ikinci fıkrasında yer alan “Başkanın teklifi, ilgili Bakanın uygun görüşü üzerine Başbakan onayı ile” ibaresi “Başkanın teklifi ve Başkanlığın bağlı olduğu Bakanın onayı ile” şeklinde değiştirilmiştir. 
(2) 11/10/2011 tarihli ve 662 sayılı KKH’nin 35 inci maddesiyle, bu fıkrada yer alan “en az (C) düzeyinde” ibaresinden sonra gelmek üzere “veya buna denk kabul edilen ve uluslararası geçerliliği bulunan” ibaresi eklenmiştir. 
</t>
  </si>
  <si>
    <t xml:space="preserve">VAKIFLAR KANUNU
Kanun Numarası : 5737 Kabul Tarihi : 20/2/2008
Yayımlandığı R.Gazete : Tarih: 27/2/2008 Sayı : 26800
Yayımlandığı Düstur : Tertip : 5 Cilt : 47 Sayfa:
Personel rejimi
MADDE 67 – Genel Müdürlük personeli 657 sayılı Devlet Memurları Kanununa tâbidir.
Genel Müdürlükte; Genel Müdür, Genel Müdür Yardımcısı, Vakıflar Meclisi Üyesi, I. Hukuk Müşaviri, Rehberlik ve Teftiş Başkanı, Baş Müfettiş, Müfettiş, Basın ve Halkla İlişkiler Müşaviri, Daire Başkanı, Bölge Müdürü, Hukuk Müşaviri, Müdür, Şube Müdürü, Vakıf Uzmanı, Avukat, Mimar ve Mühendis, Şehir Plancısı, Müze Araştırmacısı ile Kurum Tabibi kadrolarına atananlar, kadroları karşılık gösterilmek suretiyle, 657 sayılı Devlet Memurları Kanunu ve diğer kanunların sözleşmeli personel çalıştırılması hakkındaki hükümlerine bağlı olmaksızın sözleşmeli çalıştırılabilir. 
Sözleşmeli olarak Genel Müdürlükte fiilen çalışan personele bu Kanuna ekli (III) sayılı cetvelde unvanlar itibarıyla yer alan taban ve tavan ücretleri arasında kalmak üzere, Meclis tarafından belirlenecek tutarda aylık brüt sözleşme ücreti ödenir. Başbakanlık merkez teşkilâtında sözleşmeli olarak çalıştırılan emsali personelin yararlandığı ücret artışlarından Genel Müdürlükte çalışan sözleşmeli personel de aynı usûl ve esaslara göre aynen yararlandırılır. Bu personel T.C. Emekli Sandığı ile ilişkilendirilir. Söz konusu personele, çalıştıkları günlerle orantılı olarak (hastalık ve yıllık izinleri dahil), ocak, nisan, temmuz ve ekim aylarında birer aylık sözleşme ücreti tutarında ikramiye ödenir. Bunlardan üstün gayret ve çalışmaları sonucunda emsallerine göre başarılı çalışma yaptıkları tespit edilenlere Genel Müdürün teklifi, ilgili Bakanın uygun görüşü üzerine Başbakan onayı ile haziran ve aralık aylarında birer aylık sözleşme ücreti tutarına kadar teşvik ikramiyesi ödenebilir. Bu fıkranın uygulanmasına ilişkin usûl ve esaslar ile söz konusu personele yapılacak diğer ödemeler Bakanlar Kurulunca tespit edilir. 
Genel Müdürlük merkez ve taşra teşkilâtı kadrolarında çalışan memurlara (kadro karşılığı sözleşmeli personel hariç) 10/10/1984 tarihli ve 3056 sayılı Başbakanlık Teşkilatı Hakkında Kanun Hükmünde Kararnamenin Değiştirilerek Kabulü Hakkında Kanunun 31 inci maddesinde yer alan fazla çalışma ücreti aynı usûl ve esaslara göre ödenir.
</t>
  </si>
  <si>
    <t xml:space="preserve">KAMU DÜZENİ VE GÜVENLİĞİ MÜSTEŞARLIĞININ TEŞKİLAT VE GÖREVLERİ HAKKINDA KANUN
Kanun Numarası : 5952 Kabul Tarihi : 17/2/2010
Yayımlandığı R.Gazete : Tarih: 4/3/2010 Sayı : 27511
Yayımlandığı Düstur : Tertip : 5 Cilt : 49 Sayfa:
Sözleşmeli personel ve uzman çalıştırılması 
MADDE 13 – (1) Müsteşarlıkta; Müsteşar, Müsteşar Yardımcısı, I. Hukuk Müşaviri, Daire Başkanı, Hukuk Müşaviri, Uzman, Çözümleyici, Programcı, Mütercim, İstatistikçi, Mühendis, Sosyolog, Psikolog, Antropolog ve Veri Hazırlama ve Kontrol İşletmeni kadroları karşılık gösterilmek suretiyle, 657 sayılı Kanun ve diğer kanunların sözleşmeli personel çalıştırılması hakkındaki hükümlerine bağlı olmaksızın sözleşmeli personel çalıştırılabilir.
(2) Ayrıca özel uzmanlık isteyen konularda kadro karşılığı olmaksızın tam gün veya kısmi gün veya belli bir konu veya proje bazında, konu veya projenin süresi ile sınırlı olmak koşuluyla sözleşmeli personel ve yabancı uzman çalıştırılabilir. Bunlara ödenecek ücret Müsteşarın teklifi üzerine Bakan onayı ile belirlenir. 
(3) Sözleşmeli olarak çalıştırılacak personel ve uzmanlara bu Kanuna ekli (2) sayılı cetvelde unvanlar itibarıyla yer alan taban ve tavan ücretleri arasında aylık brüt sözleşme ücreti ödenir. Sözleşmeli personel ve uzman çalıştırmaya ilişkin esaslar ve ödenecek ücret Müsteşarın teklifi üzerine Bakan onayı ile tespit edilir. Sözleşmeler Müsteşar tarafından imzalanır. 
(4) Başbakanlık merkez teşkilatında sözleşmeli olarak çalıştırılan emsali personelin yararlandığı ücret artışlarından Müsteşarlıkta çalışan sözleşmeli personel de aynı usul ve esaslara göre aynen yararlandırılır. Söz konusu personele, çalıştıkları günlerle orantılı olarak (hastalık ve yıllık izinleri dahil) Ocak, Nisan, Temmuz ve Ekim aylarında birer aylık sözleşme ücreti tutarında ikramiye ödenir. Bunlardan üstün gayret ve çalışmaları sonucunda emsallerine göre başarılı çalışma yaptıkları tespit edilenlere Müsteşarın teklifi üzerine Bakan onayı ile Haziran ve Aralık aylarında birer aylık sözleşme ücreti tutarına kadar teşvik ikramiyesi ödenebilir. Bu fıkranın uygulanmasına ilişkin usul ve esaslar ile söz konusu personele yapılacak diğer ödemeler Müsteşarın teklifi üzerine Bakan onayı ile tespit edilir. 
</t>
  </si>
  <si>
    <t xml:space="preserve">YURTDIŞI TÜRKLER VE AKRABA TOPLULUKLAR BAŞKANLIĞI
TEŞKİLAT VE GÖREVLERİ HAKKINDA KANUN
Kanun Numarası : 5978 Kabul Tarihi : 24/3/2010
Yayımlandığı R.Gazete : Tarih: 6/4/2010 Sayı : 27544
Yayımlandığı Düstur : Tertip : 5 Cilt : 49 Sayfa:
Personel rejimi 
MADDE 21 – (1) Başkanlık personeli, 14/7/1965 tarihli ve 657 sayılı Devlet Memurları Kanununa tâbidir. İdari yönden Başkan müsteşarlara, başkan yardımcıları müsteşar yardımcılarına denktir. 
––––––––––––––––––
(1) 8/8/2011 tarihli ve 649 sayılı KHK’nin 61 inci maddesiyle, bu bentte yer alan “Avrupa Birliği çerçevesinde yürütülen projeler hariç olmak üzere” ibaresi “Avrupa Birliği çerçevesinde yürütülen projeler ile Yükseköğretim Kurulu ve üniversiteler hariç olmak üzere” şeklinde değiştirilmiş ve metne işlenmiştir.
(2) Başkanlıkta; Başkan, Başkan Yardımcısı, Başkanlık Müşaviri, Basın Müşaviri, Hukuk Müşaviri, Daire Başkanı, Yurtdışı Türkler ve Akraba Topluluklar Uzman ve Uzman Yardımcıları kadroları karşılık gösterilmek kaydıyla, 657 sayılı Kanun ve diğer kanunların sözleşmeli personel çalıştırılması hakkındaki hükümlerine bağlı olmaksızın, sözleşmeli olarak çalıştırılabilir. Bu suretle çalıştırılacak personele, atandığı kadronun unvan ve derecesine göre ekli (1) sayılı cetvelde yer alan taban ve tavan ücretleri arasında kalmak üzere Başbakan onayıyla belirlenecek tutarda aylık brüt sözleşme ücreti ödenir. Söz konusu personele, çalıştıkları günlerle orantılı olarak, hastalık ve yıllık izinleri dâhil, Ocak, Nisan, Temmuz ve Ekim aylarında birer aylık sözleşme ücreti tutarında ikramiye ödenir. Bunlardan üstün gayret ve çalışmaları sonucunda emsallerine göre başarılı çalışma yaptıkları tespit edilenlere, Başkanın onayı ile Haziran ve Aralık aylarında birer aylık sözleşme ücreti tutarına kadar teşvik ikramiyesi ödenebilir. Başbakanlık merkez teşkilatında sözleşmeli olarak çalıştırılan emsali personelin yararlandığı ücret artışlarından Başkanlıkta çalışan sözleşmeli personel de aynı usûl ve esaslara göre aynen yararlandırılır. Bu fıkranın uygulanmasına ilişkin usûl ve esaslar ile söz konusu personele yapılacak diğer ödemeler Bakanlar Kurulunca tespit edilir.
(3) Başkanlıkta, 657 sayılı Kanun ve diğer mevzuat hükümlerine bağlı kalmaksızın, sözleşme ile yerli veya yabancı uzman istihdam edilebilir. Sözleşmeli olarak istihdam edilecek personel, 31/5/2006 tarihli ve 5510 sayılı Sosyal Sigortalar ve Genel Sağlık Sigortası Kanununun 4 üncü maddesinin birinci fıkrasının (a) bendi kapsamında sigortalı sayılır. Bu personelin atama usûl ve esasları Başkanlıkça çıkarılacak yönetmelikle belirlenir. Bunlara ödenecek ücretin net tutarı, birinci dereceli Yurtdışı Türkler ve Akraba Topluluklar Uzmanına ödenen aylık ortalama net tutarı aşmamak üzere Başkan tarafından tespit edilir. (Değişik beşinci cümle: 24/10/2011-KHK-661/97 md.) Bu fıkra uyarınca çalıştırılacakların sayısı yetmişi geçemez. Bu fıkraya göre istihdam edilecek sözleşmeli uzmanların yurtiçi ve yurtdışındaki üniversitelerin en az dört yıllık eğitim veren Başkanlıkça belirlenecek bölümlerinden mezun olmaları ve Başkanlıkça belirlenecek yabancı diller için Kamu Personeli Yabancı Dil Bilgisi Seviye Tespit Sınavından en az (B) düzeyinde puan almak veya buna denk kabul edilen ve uluslararası geçerliliği bulunan bir belgeye sahip olmak şartları aranır. Kamu Personeli Yabancı Dil Bilgisi Seviye Tespit Sınavı veya bu sınava denk kabul edilen uluslararası geçerliliği bulunan sınavlarla ölçülmeyen yabancı diller için; ilgili dilde en az üç yıllık ortaöğretim veya ön lisans, lisans veya yüksek lisans diploması almış olmak ya da o dilin resmî dil olarak konuşulduğu ülke resmî makamları tarafından düzenlenen sınavda yüzde seksen oranında başarılı olmak gerekir.
</t>
  </si>
  <si>
    <t xml:space="preserve">TÜRKİYE YAZMA ESERLER KURUMU BAŞKANLIĞI  KURULUŞ VE GÖREVLERİ HAKKINDA KANUN 
Kanun Numarası : 6093 Kabul Tarihi : 28/12/2010
Yayımlandığı R.Gazete : Tarih: 30/12/2010 Sayı : 27801
Yayımlandığı Düstur : Tertip : 5 Cilt : 50 Sayfa:
Personel statüsü
MADDE 7- (1) Başkanlık personeli 14/7/1965 tarihli ve 657 sayılı Devlet Memurları Kanununa tabidir. Başkanlıkta; Başkan, Daire Başkanı, I. Hukuk Müşaviri, Hukuk Müşaviri, Araştırma ve Eğitim Merkezi Müdürü, Bölge Müdürü, Yazma Eser Kütüphane Müdürü, Yazma Eser Uzmanı ve Yazma Eser Uzman Yardımcısı unvanlı personel, kadroları karşılık gösterilmek kaydıyla, Devlet Memurları Kanunu ve diğer kanunların sözleşmeli personel çalıştırılması hakkındaki hükümlerine bağlı olmaksızın sözleşmeli olarak çalıştırılabilir. 
(2) Sözleşmeli olarak fiilen çalışan personele bu Kanuna ekli (V) sayılı cetvelde unvanlar itibarıyla yer alan taban ve tavan ücretleri arasında kalmak üzere, Bakanlık tarafından belirlenecek tutarda aylık brüt sözleşme ücreti ödenir. Başbakanlık merkez teşkilatında sözleşmeli olarak çalıştırılan emsali personelin yararlandığı ücret artışlarından Başkanlıkta çalışan sözleşmeli personel de aynı usul ve esaslara göre aynen yararlandırılır. Söz konusu personele, çalıştıkları günlerle orantılı olarak (hastalık ve yıllık izinleri dahil) ocak, nisan, temmuz ve ekim aylarında birer aylık sözleşme ücreti tutarında ikramiye ödenir. Bunlardan üstün gayret ve çalışmaları sonucunda emsallerine göre başarılı çalışma yaptıkları tespit edilenlere Başkanın teklifi, Bakan onayı ile haziran ve aralık aylarında birer aylık sözleşme ücreti tutarına kadar teşvik ikramiyesi ödenebilir. Bu fıkranın uygulanmasına ilişkin usul ve esaslar ile söz konusu personele yapılacak diğer ödemeler Bakanlar Kurulunca tespit edilir. 
(3) Başkanlık, Türk el sanatları dahil belli bir uzmanlık gerektiren nitelikteki iş ve hizmetler için yerli veya yabancı kişileri istisna akdi veya iş sözleşmesi hükümleri çerçevesinde sözleşmeli olarak istihdam edebilir. Bu şekilde istihdam edileceklerin sayısı Başkanlık toplam kadro sayısının yüzde onunu geçemez. Bunların sözleşme şartları, mali hakları ve istihdamına ilişkin diğer usul ve esaslar yönetmelikle düzenlenir. 
(4) Kurum lehine sonuçlanan dava ve icra takipleri nedeniyle hükme bağlanarak karşı taraftan tahsil olunan vekalet ücretlerinin avukatlara dağıtımı hakkında 2/2/1929 tarihli ve 1389 sayılı Devlet Davalarını İntaç Eden Avukat ve Saireye Verilecek Ücreti Vekalet Hakkında Kanun hükümleri kıyas yoluyla uygulanır. 
</t>
  </si>
  <si>
    <t xml:space="preserve">TAPU VE KADASTRO GENEL MÜDÜRLÜĞÜ TEŞKİLAT 
VE GÖREVLERİ HAKKINDA KANUN
Kanun Numarası : 6083
Kabul Tarihi : 25/11/2010
Yayımlandığı R.Gazete : Tarih: 10/12/2010 Sayı : 27781
Yayımlandığı Düstur : Tertip : 5 Cilt : 50 Sayfa:
Personele ilişkin hükümler
MADDE 6 – (1) 23/4/1981 tarihli ve 2451 sayılı Bakanlıklar ve Bağlı Kuruluşlarda Atama Usulüne İlişkin Kanun hükümleri dışında kalan memurların atamaları Genel Müdür tarafından yapılır. Ancak Genel Müdür bu yetkisini gerekli gördüğü alt kademelere devredebilir.
(2) Daire Başkanı ve üstü görevlere atanmak için en az dört yıllık yükseköğrenim görmüş olmak şarttır. 
(3) Yurtdışında yaşayan Türk vatandaşları ile yabancı uyruklu gerçek ve tüzel kişilerin ülkemizdeki tapu ve kadastro işlemlerini yürütmek üzere, Genel Müdürlükçe önerilen personel 7/7/2010 tarihli ve 6004 sayılı Dışişleri Bakanlığının Kuruluş ve Görevleri Hakkında Kanunun 10 uncu maddesinin altıncı fıkrasına istinaden görevlendirilebilir.
(4) Genel Müdürlük merkez teşkilatında; Genel Müdür, Genel Müdür Yardımcısı, Teftiş Kurulu Başkanı, I. Hukuk Müşaviri, Daire Başkanı, Hukuk Müşaviri, Tapu ve Kadastro Uzmanı ve Uzman Yardımcısı kadrolarına atananlar, kadroları karşılık gösterilmek suretiyle, 14/7/1965 tarihli ve 657 sayılı Devlet Memurları Kanunu ve diğer kanunların sözleşmeli personel çalıştırılması hakkındaki hükümlerine bağlı olmaksızın sözleşmeli olarak çalıştırılabilir.
(5) Kadro karşılığı sözleşmeli olarak Genel Müdürlükte fiilen çalışan personele bu Kanuna ekli (II) sayılı cetvelde unvanlar itibarıyla yer alan taban ve tavan ücretleri arasında kalmak üzere, Genel Müdür tarafından belirlenecek tutarda aylık brüt sözleşme ücreti ödenir. Söz konusu personele, çalıştıkları günlerle orantılı olarak (hastalık ve yıllık izinleri dahil), ocak, nisan, temmuz ve ekim aylarında birer aylık sözleşme ücreti tutarında ikramiye ödenir. Bunlardan üstün gayret ve çalışmaları sonucunda emsallerine göre başarılı çalışma yaptıkları tespit edilenlere Genel Müdürün teklifi, Bakanın onayı ile haziran ve aralık aylarında birer aylık sözleşme ücreti tutarına kadar teşvik ikramiyesi ödenebilir. Bu fıkranın uygulanmasına ilişkin usul ve esaslar ile söz konusu personele yapılacak diğer ödemeler Bakanlar Kurulunca tespit edilir.
</t>
  </si>
  <si>
    <t xml:space="preserve">ÖLÇME, SEÇME VE YERLEŞTİRME MERKEZİ BAŞKANLIĞININ TEŞKİLAT VE GÖREVLERİ HAKKINDA KANUN
Kanun Numarası : 6114
Kabul Tarihi : 17/2/2011
Yayımlandığı R.Gazete : Tarih: 3/3/2011 Sayı : 27863 
Yayımlandığı Düstur : Tertip : 5 Cilt : 50 Sayfa:
Personel rejimi ve mali hükümler 
MADDE 6 – (1) Başkan ve Devlet üniversitelerinde görevli öğretim üyeleri arasından atanan Başkan yardımcıları dışındaki Başkanlık personeli, 657 sayılı Devlet Memurları Kanununa tâbidir ve Başkan tarafından atanır.
(2) Başkana, Yükseköğretim Kurulu Başkan Vekiline ödenen aylık ve sosyal yardımları; Başkan yardımcılarına, Yükseköğretim Yürütme Kurulu üyelerine ödenen aylık ve sosyal yardımları geçmemek üzere, Bakanlar Kurulu tarafından tespit edilecek tutarda ödeme yapılır. Başkan ve Başkan yardımcıları tam zamanlı görev yapar ve görevleri süresince, lisansüstü eğitim faaliyetleri hariç, başka hiçbir kurum veya kuruluşta ücretli iş göremez. 
 (3) Yönetim Kurulu üyelerine, ayda ikiden fazla olmamak üzere, her bir toplantı için (3.000) gösterge rakamının memur aylık katsayısı ile çarpımı sonucunda bulunacak miktarda huzur hakkı ödenir.
(4) Başkanlıkta, Daire Başkanı, I. Hukuk Müşaviri, Basın ve Halkla İlişkiler Müşaviri, Hukuk Müşaviri, Ölçme, Seçme ve Yerleştirme Merkezi Uzmanı ve Ölçme, Seçme ve Yerleştirme Merkezi Uzman Yardımcısı ile doğrudan Başkanlığa bağlı temsilcilikleri yönetmekle görevlendirilen Şube Müdürü kadrolarına atananlar, kadroları karşılık gösterilmek suretiyle, 657 sayılı Kanun ve diğer kanunların sözleşmeli personel çalıştırılması hakkındaki hükümlerine bağlı olmaksızın sözleşmeli olarak çalıştırılabilir. Bu suretle çalıştırılacak personele, bu Kanuna ekli (1) sayılı cetvelde unvanları itibarıyla yer alan taban ve tavan ücretleri arasında kalmak üzere, Bakanlar Kurulu kararıyla belirlenecek tutarda aylık brüt sözleşme ücreti ödenir. Söz konusu personele, çalıştıkları günlerle orantılı olarak, hastalık ve yıllık izinler dâhil, ocak, nisan, temmuz, ekim aylarında birer aylık sözleşme ücreti tutarında ikramiye ödenir. Bunlardan üstün gayret ve çalışmaları sonucu emsallerine göre başarılı çalışmalar yaptıkları tespit edilenlere, Başkanın onayı ile haziran ve aralık aylarında birer aylık sözleşme ücreti tutarına kadar teşvik ikramiyesi ödenebilir. Bu fıkranın uygulanmasına ilişkin usul ve esaslar ile söz konusu personele yapılacak diğer ödemeler Bakanlar Kurulunca tespit edilir.
(5) Başkanlıkta Ölçme, Seçme ve Yerleştirme Merkezi Uzmanı ve Ölçme, Seçme ve Yerleştirme Merkezi Uzman Yardımcısı istihdam edilir. Ölçme, Seçme ve Yerleştirme Merkezi Uzman Yardımcılığına atanabilmek için, 657 sayılı Kanunun 48 inci maddesinde sayılan genel şartlara ek olarak aşağıdaki şartlar aranır:
a) En az dört yıllık lisans eğitimi veren Başkanlıkça yönetmelikle belirlenecek fakülte, yüksekokul veya bölümlerden veya bunlara denkliği Yükseköğretim Kurulu tarafından onaylanmış yabancı yükseköğretim kurumlarından mezun olmak. 
b) Uzman yardımcılığına giriş sınavının yapıldığı yılın ocak ayının ilk günü itibarıyla otuz yaşını doldurmamış olmak.
c) Meslek ve yabancı dil konularında yapılacak sınavlarda başarılı olmak.
(6) Ölçme, Seçme ve Yerleştirme Merkezi Uzman Yardımcılığına atananlar en az üç yıl fiilen çalışmak, her yıl olumlu sicil almak, Yönetim Kurulu tarafından kabul edilen bir yabancı dili Kamu Personeli Yabancı Dil Bilgisi Seviye Tespit Sınavından en az (C) düzeyinde veya buna denk kabul edilen ve uluslararası geçerliliği bulunan bir seviyede bildiğini belgelemek ve ÖSYM’nin faaliyet alanına giren konularda hazırladıkları özgün bir tezi jüri önünde başarı ile savunmak kaydıyla, yapılacak yeterlilik sınavına girmeye hak kazanırlar. Süresi içinde tezlerini sunmayan veya hazırladıkları tez kabul edilmeyenlere, tezlerini sunmaları veya yeni bir tez hazırlamaları için, bir yılı aşmamak üzere ilave süre verilir. Yeterlilik sınavında başarılı olanlar, Ölçme, Seçme ve Yerleştirme Merkezi Uzmanı olarak atanır. Sınavda başarılı olamayanlar veya sınava girmeye hak kazandığı hâlde geçerli mazereti olmaksızın sınav hakkını kullanmayanlara, bir yıl içinde ikinci kez sınav hakkı verilir. Verilen ilave süre içinde tezlerini sunmayan veya ikinci defa hazırladıkları tezleri de kabul edilmeyenler, ikinci sınavda da başarı gösteremeyen
veya sınav hakkını kullanmayanlar ile olumsuz sicil alanlar, Ölçme, Seçme ve Yerleştirme Merkezi Uzman Yardımcısı unvanını kaybeder ve öğrenim durumlarına uygun kadrolara atanırlar. Ölçme, Seçme ve Yerleştirme Merkezi Uzmanı ve Ölçme, Seçme ve Yerleştirme Merkezi Uzman Yardımcılarının mesleğe alınmaları, yetiştirilmeleri, yarışma sınavı, tez hazırlama ve yeterlilik sınavı ile çalışma usul ve esasları Başkanlıkça çıkarılacak yönetmelikle düzenlenir. 
(7) (Değişik: 24/10/2011-KHK-661/100 md.) Başkanlıkta daire başkanı olarak atanabilmek için 657 sayılı Kanunda öngörülen şartların yanı sıra, Ölçme, Seçme ve Yerleştirme Merkezi Uzmanlığına atanmak için öngörülen eğitim şartının da taşınması gerekir.
(8) 4/11/1981 tarihli ve 2547 sayılı Yükseköğretim Kanununun 38 inci maddesinin son fıkrasına göre görevlendirilenler ile 8/6/1984 tarihli ve 217 sayılı Devlet Personel Başkanlığı Kuruluş ve Görevleri Hakkında Kanun Hükmünde Kararnamenin 2 nci maddesinde sayılan kamu kurum ve kuruluşlarına ait kadrolarda çalışanlardan Başkanlıkta görevlendirilenlere, aslî görevlerine ait aylık ve her türlü diğer ödemeler ile mali ve sosyal hakları ödenmeye devam olunur. Bu şekilde görevlendirilenlere, (40.000) gösterge rakamının memur aylık katsayısı ile çarpımı sonucu bulunacak miktarı geçmeyecek tutarda her ay ilave ödeme yapılabilir. Ek ödemenin tutarı ile usul ve esasları Bakanlar Kurulu kararı ile belirlenir. Bu fıkra kapsamında görevlendirilecek personel sayısı 30’u geçemez.(1)
(9) Başkanlıkta 657 sayılı Kanun ve diğer mevzuat hükümlerine bağlı kalmaksızın sözleşme ile yerli veya yabancı uzman istihdam edilebilir. Sözleşmeli olarak istihdam edilecek personel, 31/5/2006 tarihli ve 5510 sayılı Sosyal Sigortalar ve Genel Sağlık Sigortası Kanununun 4 üncü maddesinin birinci fıkrasının (a) bendi kapsamında sigortalı sayılır. Bu personelin atama usul ve esasları ile personele ilişkin diğer hususlar Başkanlıkça çıkarılacak yönetmelikle belirlenir. Bunlara ödenecek ücretin net tutarı, birinci dereceli Ölçme, Seçme ve Yerleştirme Merkezi Uzmanına ödenen bir aylık ortalama net tutarı aşmamak üzere Başkan tarafından tespit edilir. Bu fıkra uyarınca çalıştırılacak uzman sayısı, Ölçme, Seçme ve Yerleştirme Merkezi Uzmanı ve Ölçme, Seçme ve Yerleştirme Merkezi Uzman Yardımcısı kadro sayısının üçte birini aşamaz. Bunların, Ölçme, Seçme ve Yerleştirme Merkezi Uzmanları için aranan eğitim ve yabancı dil şartlarını taşıması şarttır. Kamu Personeli Yabancı Dil Bilgisi Seviye Tespit Sınavı veya bu sınava denk kabul edilen uluslararası geçerliliği bulunan sınavlarla ölçülmeyen yabancı diller için, ilgili dilde en az üç yıllık ortaöğretim veya ön lisans, lisans veya yüksek lisans diploması almış olmak ya da o dilin resmî dil olarak konuşulduğu ülke resmî makamları tarafından düzenlenen sınavda yüzde seksen oranında başarılı olmak gerekir.
(10) Bu Kanunun yürütülmesinde görev alan kamu görevlileri ile hizmet satın alınması durumunda yüklenici özel hukuk tüzel kişilerinin ilgili personeli, göreve getirilmeden önce imzalayacakları bir gizlilik sözleşmesi ile görevlerini yerine getirmeleri sırasında edindikleri kamuya, ilgililere ve üçüncü kişilere ait gizlilik taşıyan bilgileri, kişisel verileri, Başkanlıkla ve Başkanlık tarafından yapılan sınavlarla ilgili gizlilik taşıyan bilgileri, ticari sırları ve bunlara ait belgeleri bu konuda kanunen yetkili kılınan mercilerden başkasına açıklayamaz, kendilerinin veya üçüncü kişilerin yararına kullanamaz. Bu yükümlülük görevden ayrılmalarından sonra da devam eder.
 (11) Başkanlık lehine sonuçlanan dava ve icra takipleri nedeni ile hükme bağlanarak karşı taraftan tahsil edilen vekalet ücretlerinin avukatlara dağıtımı hakkında 2/2/1929 tarihli ve 1389 sayılı Devlet Davalarını İntaç Eden Avukat ve Saireye Verilecek Ücreti Vekalet Hakkında Kanun hükümleri kıyas yoluyla uygulanır. 
(12) Başkanlık kadrolarının tespiti, ihdası, kullanımı ve iptali ile kadrolara ilişkin diğer hususlar, 13/12/1983 tarihli ve 190 sayılı Genel Kadro ve Usulü Hakkında Kanun Hükmünde Kararname hükümlerine göre düzenlenir.
(13) Başkanlıkça; yurt içinde ve yurt dışında soruların hazırlanmasında görevlendirilenlere, sınav soru havuzunda yer alacak soruların hazırlanmasında katkısı olanlara, 2 nci maddenin birinci fıkrasının (h) bendi uyarınca oluşturulan koordinatörlüklerin koordinatörüne ve diğer personeline, bina sınav sorumluları ile bina yöneticilerine, salon başkanlarına, gözetmenlere, sınav güvenliğini sağlayan kolluk kuvvetlerine, kapalı dönem çalışanlara ve sınav sürecinde görev alan diğer personele sınav ücreti ödenir. Sınav ücretinin tutarı ile usul ve esasları; sınavın özelliği, sınava katılanların sayısı, görev ve yetkileri, sınavın yerinin özelliği ve çalışma süresi gibi hususlar dikkate alınmak suretiyle, Yönetim Kurulunun teklifi üzerine Bakanlar Kurulu kararı ile tespit edilir. Bu fıkrada yer alan hükümler, Milli Eğitim Bakanlığınca yapılan merkezî sınavlar, yükseköğretim kurumlarının açık öğretim sınavları, kamu kurum ve kuruluşları ile özel hukuk tüzel kişilerinin talepleri üzerine yükseköğretim kurumlarınca yapılan sınavlar hakkında da uygulanır. Başkan ve Başkan yardımcıları, kadroları karşılık gösterilmek suretiyle çalıştırılanlar ile sekizinci fıkraya göre görevlendirilenlere sınav ücreti ödenmez. Ölçme, Seçme ve Yerleştirme Merkezi Başkanlığı ve Milli Eğitim Bakanlığında kadrolu veya sözleşmeli çalışan personele sınav sorularının hazırlanmasına katkıları nedeniyle ayrıca sınav ücreti ödenmez.
(14) Ölçme, Seçme ve Yerleştirme Merkezi Başkanlığı tarafından yapılan merkezi sistem sınavlarında Millî Eğitim Bakanlığına bağlı okul ve kurum müdürlükleri ile koordinatörlüklerce, her bir başvuru kaydı için adaylardan alınacak başvuru, tercih, şifre verme gibi hizmet bedeli, okulların ve koordinatörlüklerin sınav hizmetlerine yönelik ihtiyaçlarında kullanılmak üzere koordinatörlük ile okul ve kurum müdürlüklerinin bağlı olduğu il veya ilçe millî eğitim müdürlükleri nezdinde açılan hesaba aktarılır. Başvuru, tercih, şifre verme gibi hizmet bedellerinin tahsiline ve söz konusu tutarların harcanmasına ilişkin usul ve esaslar Millî Eğitim Bakanlığı ve Ölçme, Seçme ve Yerleştirme Merkezi Başkanlığı arasında imzalanacak protokolle, koordinatörlüklere ilişkin usul ve esaslar Ölçme, Seçme ve Yerleştirme Merkezi Başkanlığınca Maliye Bakanlığının görüşü alınarak belirlenir. Bu harcamalar Sayıştay tarafından denetlenir.
(15) Başkan, Başkan yardımcıları, Yönetim Kurulu üyeleri ile dördüncü, sekizinci ve dokuzuncu fıkralarda belirtilenler, Başkanlıktaki görevlerinin sona ermesinden itibaren iki yıl süreyle, Başkanlık tarafından yapılan sınavlara yönelik hazırlık kursları veya yayınlarla ilgili faaliyet gösteren gerçek kişiler ile özel hukuk hükümlerine tâbi tüzel kişilerde ya da bunların iştiraklerinde görev alamaz ya da bu tür işlere ortak olamaz ve bu tüzel kişilerden ya da iştiraklerden gelir sağlayacak ya da sağlayabilecek doğrudan ya da dolaylı ilişkiye giremez.
Bunların eşleri, çocukları ile ikinci dereceye kadar kan ve kayın hısımları, bunların görevleri süresince, Başkanlık tarafından yapılan sınavlara yönelik hazırlık kursları veya yayınlarla ilgili faaliyet gösteren kamu kurum ve kuruluşları dışındaki tüzel kişiliklerde ya da bunların iştiraklerinde görev alamaz ya da bu tür işlere ortak olamaz ve bu tüzel kişilerden ya da iştiraklerden gelir sağlayacak ya da sağlayabilecek doğrudan ya da dolaylı ilişkiye giremez. 
(16) ÖSYM’nin gelirleri şunlardır: 
a) Yurt içi ve yurt dışı sınav, ölçme, değerlendirme ve yerleştirme hizmetleri karşılığında alınacak ücretler. 
b) Yayın ve telif haklarından alınan ücretler.
c) Genel bütçeden yapılacak yardımlar.
ç) Başkanlığa yapılacak her türlü bağış, yardım ve vasiyetler. 
d) Başkanlık gelirlerinin değerlendirilmesinden elde edilecek gelirler.
e) Diğer gelirler.
(1) SAYILI CETVEL
ÖSYM BAŞKANLIĞI SÖZLEŞME ÜCRET CETVELİ (BRÜT TL)
GÖREV UNVANI                                                                         EN AZ        EN ÇOK
Daire Başkanı, I. Hukuk Müşaviri                                                   1.821           2.541
Hukuk Müşaviri, Basın ve Halkla İlişkiler Müşaviri                       1.807           2.488
Ölçme, Seçme ve Yerleştirme Merkezi Uzmanı                                                                               
            Kadro Derecesi 1                                                                  1.807           2.488
            Kadro Derecesi 2                                                                  1.775           2.426
            Kadro Derecesi 3                                                                  1.757           2.407
            Kadro Derecesi 4                                                                  1.738           2.391
            Kadro Derecesi 5                                                                  1.720           2.372
            Kadro Derecesi 6                                                                  1.701           2.353
            Kadro Derecesi 7                                                                  1.682           2.335
Temsilcilikleri Yönetmekle Görevlendirilen Şube Müdürü              1.682           2.335
Ölçme, Seçme ve Yerleştirme Merkezi Uzman Yardımcısı              830              1.877
6114 SAYILI KANUNA EK VE DEĞİŞİKLİK GETİREN MEVZUATIN
YÜRÜRLÜĞE GİRİŞ TARİHİNİ GÖSTERİR LİSTE
Değiştiren                                                                                                              Yürürlüğe
  Kanun                           6114  Sayılı Kanunun değişen maddeleri                     giriş tarihi
KHK/661                                                       6                                                        2/11/2011
</t>
  </si>
  <si>
    <t xml:space="preserve">DEVLET PERSONEL BAŞKANLIĞI KURULUŞ VE GÖREVLERİ HAKKINDA 
KANUN HÜKMÜNDE KARARNAME (1) 
Kanun Hük.Kar.nin Tarihi : 8/6/1984 No : 217
Yetki Kanununun Tarihi : 2/12/1983 No : 2967 
Yayımlandığı R.G.Tarihi : 18/6/1984 No : 18435 (Mük.)
V.Tertip Düsturun Cildi : 23 Sh. : 670
Sözleşmeli Personel 
Ek Madde 1 – (Ek: 8/4/1990 - KHK - 417/4 md.) 
Devlet Personel Başkanlığında; başkan, başkan yardımcısı, daire başkanı, devlet personel uzman ve uzman yardımcıları ve çözümleyici kadroları karşılık gösterilmek kaydıyla, 657 sayılı Devlet Memurları Kanunu ve diğer kanunların sözleşmeli personel çalıştırılması hakkındaki hükümlerine bağlı olmaksızın sözleşmeli personel çalıştırılabilir.
Bu suretle çalıştırılacakların sözleşme usul ve esasları ile ücret miktarı ve her çeşit ödemeler Bakanlar Kurulunca tesbit edilir. 
Sözleşme ile çalıştırılacak personel istekleri üzerine T.C. Emekli Sandığı ile ilgilendirilir. 
</t>
  </si>
  <si>
    <t xml:space="preserve">BASIN YAYIN VE ENFORMASYON GENEL MÜDÜRLÜĞÜNÜN TEŞKİLAT VE GÖREVLERİ HAKKINDA KANUN HÜKMÜNDE KARARNAME
Kanun Hük. Kar.nin Tarihi : 8/6/1984 No : 231
Yetki Kanununun Tarihi : 2/12/1983 No : 2967 
Yayımlandığı R.G. Tarihi : 18/6/1984 No : 18435 (Mük.)
V. Tertip Düsturun Cildi : 23 Sh. : 743
Sözleşmeli Personel 
Ek Madde 1 – (Ek: 8/4/1990 - KHK - 417/5 md.) 
Basın Yayın ve Enformasyon Genel Müdürlüğünde; genel müdür, genel müdür yardımcısı, hukuk müşaviri, daire başkanı, basın ve enformasyon uzmanı, mütercim, basın ve enformasyon uzman yardımcısı ve şube müdürü kadroları karşılık gösterilmek kaydıyla, 657 sayılı Devlet Memurları Kanunu ve diğer kanunların sözleşmeli personel çalıştırılması hakkındaki hükümlerine bağlı olmaksızın sözleşmeli personel çalıştırılabilir.(1)
Bu suretle çalıştırılacakların sözleşme usul ve esasları ile ücret miktarı ve her çeşit ödemeler Bakanlar Kurulunca tesbit edilir. 
Sözleşme ile çalıştırılacak personel istekleri üzerine T.C. Emekli Sandığı ile ilgilendirilir.
_________________________
(1) 22/8/2011 tarihli ve 651 sayılı KHK’nın 27 inci maddesiyle bu fıkraya “daire başkanı” ibaresinden sonra gelmek üzere “, basın ve enformasyon uzmanı, mütercim, basın ve enformasyon uzman yardımcısı” ibaresi eklenmiş ve madde metnine işlenmiştir.
</t>
  </si>
  <si>
    <t xml:space="preserve">BAKANLIKLARDA VE BAĞLI KURULUŞLARDA AVRUPA BİRLİĞİYLE İLGİLİ BİRİMLER KURULMASI VE 190 SAYILI KANUN HÜKMÜNDE KARARNAMENİN EKİ CETVELLERDE DEĞİŞİKLİK YAPILMASINA DAİR KANUN HÜKMÜNDE KARARNAME (1)
Kanun Hük. Kar.nin Tarihi : 14/4/1989 No: 367 
Yetki Kanununun Tarihi : 12/3/1986 No: 3268
9/4/1987 3347
12/10/1988 3479
Yayımlandığı R.G. Tarih : 4/5/1989 No: 20158 
V. Tertip Düsturun Cild : Sh.:
Madde 4 – Avrupa Birliği uzmanlığı ve Avrupa Birliği uzman yardımcılığı hizmetlerinde kadro karşılık gösterilmek kaydıyla 657 sayılı Devlet Memurları Kanunu ve diğer kanunların sözleşmeli personel çalıstırılması hakkındaki hükümlerine bağlı olmaksızın sözleşmeli personel çalıştırılabilir. 
Kadro karşılık gösterilmek kaydıyla çalıştırılacakların sayısı, sözleşme usul ve esasları ile ücret miktarı ve yapılacak diğer ödemeler Bakanlar Kurulunca belirlenir. Sözleşme ile çalıştırılacak personel, istekleri üzerine Türkiye Cumhuriyeti Emekli Sandığı ile ilgilendirilir.
</t>
  </si>
  <si>
    <t xml:space="preserve">GÜNEYDOĞU ANADOLU PROJESİ BÖLGE KALKINMA İDARESİ TEŞKİLATININ KURULUŞ VE GÖREVLERİ HAKKINDA KANUN HÜKMÜNDE KARARNAME Kanun Hük. Kar.nin Tarihi : 27.10.1989 No : 388
Yetki Kanununun Tarihi : 12. 3.1986 No :3268 9. 4.1987 3347 12.10.1988 3479 1. 6.1989 3569
Yayımlandığı R.G. Tarihi : 6.11.1989 No:20334
V. Tertip Düsturun Cilt : Sh.:
Personel
Madde 6 – (Birinci fıkra mülga: 9/4/1990 - KHK - 418/45 md.)
Başkan ve başkan yardımcısı kadroları karşılık gösterilmek kaydıyla 657 sayılı Devlet Memurları Kanunu ve diğer kanunların sözleşmeli personel çalıştırılması hakkındaki hükümlerine bağlı olmaksızın sözleşmeli personel çalıştırılabilir.
Ayrıca, özel bilgi ve ihtisası gerektiren konularda kadro aranmaksızın ve diğer kanunların sözleşmeli personel çalıştırılması hakkındaki hükümlerine bağlı olmaksızın yerli ve yabancı elemanlar sözleşmeli olarak çalıştırılabilir. 
Bu suretle çalıştırılacakların sözleşme usul ve esasları ile ücret miktarı ve her çeşit ödemeler Bakanlar Kurulunca tesbit edilir. Sözleşme ile çalıştırılacak personel, istekleri halinde T.C.Emekli Sandığı ile ilgilendirilir.
Genel ve katma bütçeli daireler, iktisadi devlet teşekkülleri ve kamu iktisadi kuruluşları ile bunlara bağlı kuruluşlar ve müesseselerde çalışanlar, GAP İdaresi Başkanlığında sözleşmeli olarak istihdam edilebilirler. Başkanlığın bu konudaki talepleri, ilgili kurum ve kuruluşlarca öncelikle sonuçlandırılır. Bu personel ilgili kurumundan aylıksız izinli sayılır. İzinli oldukları sürece memuriyetleri ile ilgili özlük hakları devam ettiği gibi,bu süreler terfi ve emekliliklerinde hesaba katılır. Terfileri başkaca bir işleme gerek kalmaksızın süresinde yapılır.
Ayrıca, beşinci fıkrada belirtilen kurumlarda görevli personel; aylık, ödenek, her türlü zam ve tazminatlar ile diğer mali, sosyal hak ve yardımları kurumlarınca ödenmek kaydıyla geçici olarak GAP İdaresi Başkanlığında görevlendirilebilirler. (Son cümle mülga: 5/7/1991-KHK 433/16 md.)
</t>
  </si>
  <si>
    <t xml:space="preserve">AİLE VE SOSYAL POLİTİKALAR BAKANLIĞININ  TEŞKİLAT VE GÖREVLERİ HAKKINDA  KANUN HÜKMÜNDE KARARNAME(1)
Kanun Hük. Kar. nin Tarihi : 3/6/2011, No : 633 Yetki Kanununun Tarihi : 6/4/2011, No : 6223
Yayımlandığı R.G. Tarihi : 8/6/2011, No : 27958 Mük.
Yayımlandığı Düstur : Tertip : 5 Cilt : 50 
Sözleşmeli personel
MADDE 32- (1) Bakanlık merkez teşkilatında; Müsteşar, Müsteşar Yardımcısı, Genel Müdür, Denetim Hizmetleri Başkanı, Strateji Geliştirme Başkanı, Bakanlık Müşaviri, I. Hukuk Müşaviri, Genel Müdür Yardımcısı, Daire Başkanı, Özel Kalem Müdürü, Basın ve Halkla İlişkiler Müşaviri, Aile ve Sosyal Politikalar Uzmanı, Hukuk Müşaviri, Aile ve Sosyal Politikalar Uzman Yardımcısı kadrolarına atananlar, kadroları karşılık gösterilmek suretiyle, 657 sayılı Kanun ve diğer kanunların sözleşmeli personel çalıştırılması hakkındaki hükümlerine bağlı olmaksızın sözleşmeli olarak çalıştırılabilir. Bu şekilde çalıştırılacak personele, bu Kanun Hükmünde Kararnameye ekli (II) sayılı cetvelde unvanlar itibarıyla yer alan taban ve tavan ücretleri arasında kalmak üzere, Bakanın onayı ile belirlenecek tutarda aylık brüt sözleşme ücreti ödenir. Söz konusu personele çalıştıkları günlerle orantılı olarak, hastalık ve yıllık izinler dâhil, Ocak, Nisan, Temmuz ve Ekim aylarında birer aylık sözleşme ücreti tutarında ikramiye ödenir. Bunlardan üstün gayret ve çalışmaları sonucunda emsallerine göre başarılı çalışmalar yaptıkları tespit edilenlere, Bakanın onayı ile Haziran ve Aralık aylarında birer aylık sözleşme ücreti tutarına kadar teşvik ikramiyesi ödenebilir.
(2) Bu maddenin uygulanmasına ilişkin usûl ve esaslar ile söz konusu personele yapılacak diğer ödemeler Bakanlar Kurulunca belirlenir.
İl özel idarelerine devir
GEÇİCİ MADDE 9- (1) Kapatılan Sosyal Hizmetler ve Çocuk Esirgeme Kurumu Genel Müdürlüğünün taşra teşkilatında yer alan sosyal hizmet kuruluşları ile bu kuruluşların personeli, borç ve alacakları, tüm varlıkları, araç, gereç ve taşınırları Bakanlar Kurulu kararıyla belirlenecek esaslar çerçevesinde bu Kanun Hükmünde Kararnamenin yürürlüğe girdiği tarihten itibaren üç yıl içinde il özel idarelerine devredilir. (1)
_______________
(1) 11/10/2011 tarihli ve 662 sayılı KHK’nin 6 ncı maddesiyle bu fıkrada yer alan “belirlenecek esaslar çerçevesinde” ibaresinden sonra gelmek üzere “bu Kanun Hükmünde Kararnamenin yürürlüğe girdiği tarihten itibaren üç yıl içinde”ibaresi eklenmiştir.
(2) Kapatılan Genel Müdürlüğe mevzuatla tanınan her türlü hak, imtiyaz ve imkânlardan taşra teşkilatında yer alan sosyal hizmet kuruluşlarını ilgilendirenlerin, ilgili il özel idareleri tarafından kullanılmasına devam olunur. Kapatılan Genel Müdürlük tarafından yapılmış olan sözleşmelerden, münhasıran teşkilatında yer alan sosyal hizmet kuruluşlarını ilgilendirenlere ilgili il özel idaresi halef olur. Kapatılan Genel Müdürlüğün leh ve aleyhine açılmış davalar ve icra takiplerinden münhasıran taşra teşkilatında yer alan sosyal hizmet kuruluşlarını ilgilendirenler için ilgili il özel idaresi kendiliğinden taraf sıfatını kazanır.
(3) Mülkiyeti Hazineye ait olup da kapatılan Genel Müdürlüğün taşra teşkilatında
sosyal hizmet kuruluşlarına tahsis edilen taşınmazlar tahsis amacında kullanılmak üzere ilgili
il özel idarelerine tahsis edilmiş sayılır. Bu madde uyarınca devir, tescil ve tahsis işlemleri
yapılırken, kapatılan Genel Müdürlüğe bağışlama ve vasiyet yolu ile geçen taşınmazlara
ilişkin olarak bağışlayanın veya miras bırakanın bağışlama ve vasiyet iradesine mutlak suretle
uyulur. Bu taşınmazlar bağışlama veya vasiyetin amacına aykırı olarak kullanılamaz,
satılamaz, kiralanamaz, diğer kişi veya kuruluşlara tahsis veya devrolunamaz. Devir, tescil ve
tahsis işlemleri yapılan kuruluş, işletme, taşınır ve taşınmazlar; devir, tescil ve tahsis işlemleri
tamamlanıncaya kadar kapatılan Genel Müdürlüğün ilgili mevzuatına göre yönetilmeye
devam olunur.
(4) Bakanlığa devredilen sosyal hizmet kuruluşları bünyesindeki döner sermaye
işletmeleri Maliye Bakanlığının belirleyeceği usûl ve esaslara göre tasfiye edilir.
(5) İl özel idarelerine devredilen hizmetlerin karşılığı ödeneklerin dağılımı, devredilen
personel ve hizmetler dikkate alınmak suretiyle il özel idareleri düzeyinde tutar olarak
Bakanlıkça tespit edilir. Bu amaçla ihtiyaç duyulan kaynak devir tarihinden itibaren beş yıl
süreyle Bakanlık bütçesine konulacak ödenekten karşılanır.
(6) Devir tarihi itibarıyla, kapatılan Genel Müdürlüğün taşra teşkilatına tahsisli
kadrolarda (döner sermaye dâhil) memur statüsünde görev yapmakta olanlar, kadroları ile
birlikte, geçici ve sürekli işçiler ile sözleşmeli personel kadroları ve pozisyonları ile birlikte il
Özel idarelerine devredilir; anılan kadro ve pozisyonlar devredildikleri kurum adına vize
edilmiş sayılır. İl özel idarelerine devredilen kadrolar, 190 sayılı Genel Kadro ve Usulü
Hakkında Kanun Hükmünde Kararnamenin eki (I) sayılı cetvelin Bakanlığa ilişkin
bölümünden çıkarılmış sayılır. İl özel idarelerinin hizmet alanının genişlemesi çerçevesinde, il özel idarelerinin norm kadro alt grubu veya bulunduğu alt grup itibarıyla ihdas edilebilecek
kadro sayılan ile devre ilişkin kadro uygulamaları, devir işlemim takip eden altı ay içinde
İçişleri Bakanlığı ve Devlet Personel Başkanlığı tarafından belirlenir.
(7) Geçici 3 üncü maddenin dördüncü fıkrası hükmü, kapatılan Genel Müdürlüğün personelinden il özel idarelerine nakledilenler hakkında da uygulanır.
(8) Yeni bir düzenleme yapılıncaya kadar; kapatılan Genel Müdürlüğün taşra teşkilatındaki bakım ve rehabilitasyon merkezlerinde; müdür, müdür yardımcısı, uzman tabip, tabip, sosyal çalışmacı, psikolog, çocuk gelişimcisi, fizyoterapist, öğretmen, çocuk eğiticisi, hemşire ve hizmetli (bakıcı olarak fiilen hizmet verenler) kadrolarına atananlar, kadroları karşılık gösterilmek suretiyle, 657 sayılı Kanun ve diğer kanunların sözleşmeli personel çalıştırılması hakkındaki hükümlerine bağlı olmaksızın sözleşmeli olarak çalıştırılabilir. Bu şekilde çalıştırılacak personele, 
bu Kanun Hükmünde Kararnameye ekli (II) sayılı cetvelde unvanlar itibarıyla yer alan taban ve tavan ücretleri arasında kalmak üzere, ilgisine göre Bakan veya Vali onayı ile belirlenecek tutarda aylık brüt sözleşme ücreti ödenir. Söz konusu personele çalıştıkları günlerle orantılı olarak, hastalık ve yıllık izinler dâhil, Ocak, Nisan, Temmuz ve Ekim aylarında birer aylık sözleşme ücreti tutarında ikramiye ödenir. Bu fıkranın uygulanmasına ilişkin usûl ve esaslar ile söz konusu personele yapılacak diğer ödemeler Bakanlar Kurulunca belirlenir.
(7) Üç yıllık geçiş ve devir süresi boyunca devir işlemlerini geciktirmeksizin gerçekleştirmek üzere her türlü tedbir Bakanlık tarafından alınır. Bu konuda ilgili il özel idareleri ile koordinasyon ve işbirliği sağlanır.(1)
(8) Bu madde uyarınca gerçekleştirilen kapatma, devir, personel geçişi ve nakli ile
diğer geçiş işlemlerine ilişkin olarak ortaya çıkabilecek tereddütleri; personele ilişkin
konularda Devlet Personel Başkanlığının, diğer konularda Maliye Bakanlığının görüşünü alarak
gidermeye Bakan yetkilidir.
(II) SAYILI CETVEL
AİLE VE SOSYAL POLİTİKALAR BAKANLIĞI SÖZLEŞME ÜCRET CETVELİ
(BRÜT TL)
 Taban Tavan
Kadro Unvanı Ücreti Ücreti
Müsteşar  3.311,85
Müsteşar Yardımcısı 2.891,28 3.041,85
Genel Müdür, Denetim Hizmetleri Başkanı, Strateji Geliştirme Başkanı 2.524,54 2.838,55
I. Hukuk Müşaviri, Genel Müdür Yardımcısı, Bakanlık Müşaviri, Şehit Yakınları  
ve Gaziler Dairesi Başkanı, , Avrupa Birliği ve Dış İlişkiler Dairesi Başkanı, Eğitim ve Yayın Dairesi Başkanı, (Ek: 11/10/2011-KHK-662/7 md.)
Bilgi İşlem Dairesi Başkanı, Personel Dairesi Başkanı, 2.053,51 2.603,06
Destek Hizmetleri Dairesi Başkanı  
Daire Başkanı, Basın ve Halkla İlişkiler Müşaviri, Özel Kalem Müdürü 1.824,93 2.524,54
Aile ve Sosyal Politikalar Uzmanı, Hukuk Müşaviri;  
- Kadro Derecesi 1 1.750,30 2.373,16
- Kadro Derecesi 2 1.671,31 2.294,48
- Kadro Derecesi 3 1.595,37 2.215,79
- Kadro Derecesi 4 1.519,08 2.137,11
- Kadro Derecesi 5 1.439,78 2.058,41
- Kadro Derecesi 6 1.363,69 1.991,97
- Kadro Derecesi 7 1.289,06 1.912,80
Aile ve Sosyal Politikalar Uzman Yardımcısı 972,22 1.758,59
Bakım ve rehabilitasyon merkezlerinde;  
- Müdür 748,63 1.995
- Müdür Yardımcısı 748,63 1.830
- Uzman Tabip, Tabip 936,94 2.310
- Sosyal Çalışmacı, Psikolog, Çocuk Gelişimcisi, Fizyoterapist, Çocuk Eğiticisi 713,46 1.690
- Öğretmen 694,57 1.488
- Hemşire 697,79 1.367
- Hizmetli (Bakıcı olarak fiilen hizmet verenler) 701,04 973
</t>
  </si>
  <si>
    <t xml:space="preserve">AVRUPA BİRLİĞİ BAKANLIĞININ TEŞKİLAT VE GÖREVLERİ HAKKINDA KANUN HÜKMÜNDE  KARARNAME(1)
Kanun Hük. Kar. nin Tarihi : 3/6/2011, No : 634  Yetki Kanununun Tarihi : 6/4/2011, No : 6223
Yayımlandığı R.G. Tarihi : 8/6/2011, No : 27958 Mük.
Yayımlandığı Düstur : Tertip : 5 Cilt : 50 
Sözleşmeli personel
MADDE 38- (1) Bakanlıkta Müsteşar, Müsteşar Yardımcısı, Başkan, Bakanlık Müşaviri, Daire Başkanı, I. Hukuk Müşaviri, Avrupa Birliği İşleri Uzmanı, Basın ve Halkla İlişkiler Müşaviri, Hukuk Müşaviri, Avrupa Birliği İşleri Uzman Yardımcısı, Mütercim kadrolarına atananlar, kadroları karşılık gösterilmek suretiyle, 657 sayılı Kanun ve diğer kanunların sözleşmeli personel çalıştırılması hakkındaki hükümlerine bağlı olmaksızın sözleşmeli olarak çalıştırılabilir. Bu şekilde çalıştırılacak personele, bu Kanun Hükmünde Kararnameye ekli (II) sayılı cetvelde unvanlar itibarıyla yer alan taban ve tavan ücretleri arasında kalmak üzere, Bakanın onayı ile belirlenecek tutarda aylık brüt sözleşme ücreti ödenir. Söz konusu personele çalıştıkları günlerle orantılı olarak, hastalık ve yıllık izinler dâhil, Ocak, Nisan, Temmuz ve Ekim aylarında birer aylık sözleşme ücreti tutarında ikramiye ödenir. Bunlardan üstün gayret ve çalışmaları sonucunda emsallerine göre başarılı çalışmalar yaptıkları tespit edilenlere, Bakanın onayı ile Haziran ve Aralık aylarında birer aylık sözleşme ücreti tutarına kadar teşvik ikramiyesi ödenebilir.
(2) Birinci fıkrada belirtilen kadrolarda fiilen çalışanlara, 657 sayılı Kanunda belirtilen en yüksek Devlet memuru aylığının (ek gösterge dâhil);
a) 9 ila 7 nci derecelerden aylık alanlara % 25'ini,
b) 6 ila 4 üncü derecelerden aylık alanlara % 30'unu,
c) 3 ila 1 inci derecelerden aylık alanlara % 35'ini,
geçmemek üzere Bakanlıkça tespit edilecek usûl ve esaslar çerçevesinde her ay aylıkla birlikte peşin olarak damga vergisi hariç herhangi bir kesintiye tabi olmaksızın fazla çalışma ücreti ödenir. Fazla çalışma ücretinin usûl ve esasları Bakanlık tarafından hazırlanacak yönetmelikle düzenlenir.
(3) Bu maddenin uygulanmasına ilişkin usûl ve esaslar ile söz konusu personele yapılacak diğer ödemeler Bakanlar Kurulunca belirlenir.
(4) (Ek: 24/10/2011-KHK-661/4 md.) Mütercim kadrosuna atanacakların merkezi sınava ilave olarak usul ve esasları yönetmelikle belirlenen yarışma sınavında da başarılı olmaları gerekir.
(II) SAYILI CETVEL
AVRUPA BİRLİĞİ BAKANLIĞI SÖZLEŞME ÜCRET CETVELİ
(BRÜT TL)
Kadro Unvanı Taban Ücreti Tavan Ücret
Müsteşar  3.100
Müsteşar Yardımcısı 2.780 2.911
Başkan, I.Hukuk Müşaviri 1.849 2.589
Bakanlık Müşaviri, Daire Başkanı, Hukuk Müşaviri, Basın ve Halkla ilişkiler Müşaviri 1.730 2.380
Avrupa Birliği İşleri Uzmanı  
Kadro Derecesi 1 1.730 2.380
Kadro Derecesi 2 1.698 2.322
Kadro Derecesi 3 1.680 2.304
Kadro Derecesi 4 1.663 2.287
Kadro Derecesi 5 1.645 2.269
Kadro Derecesi 6 1.627 2.252
Kadro Derecesi 7 1.610 2.234
Avrupa Birliği İşleri Uzman Yardımcısı 795 1.796
Mütercim  
Kadro Derecesi 1  1939
Kadro Derecesi 2  1911
Kadro Derecesi 3  1873
Kadro Derecesi 4  1836
Kadro Derecesi 5  1798
Kadro Derecesi 6  1760
Kadro Derecesi 7  1727
Koordinatör olarak görevlendirilecek Avrupa Birliği İşleri Uzmanlarına kadroları için öngörülen sözleşme ücreti yüzde beş artırımlı olarak ödenir.
634 SAYILI KHK’YE EK VE DEĞİŞİKLİK GETİREN MEVZUATIN
YÜRÜRLÜĞE GİRİŞ TARİHİNİ GÖSTERİR LİSTE
Değiştiren Yürürlüğe
Kanun/KHK 634 Sayılı KHK’nin değişen maddeleri giriş tarihi
KHK/649 26 17/8/2011
KHK/661 16, 20, 27, 38 2/11/2011 
</t>
  </si>
  <si>
    <t xml:space="preserve">EKONOMİ BAKANLIĞININ TEŞKİLAT VE GÖREVLERİ HAKKINDA KANUN HÜKMÜNDE KARARNAME(1)
Kanun Hük. Kar. nin Tarihi : 3/6/2011, No : 637 Yetki Kanununun Tarihi : 6/4/2011, No : 6223
Yayımlandığı R.G. Tarihi : 8/6/2011, No : 27958 Mük.
Yayımlandığı Düstur : Tertip : 5 Cilt : 50 
Malî haklar (1)(2)
MADDE 35- (1) Bakanlıkta; Müsteşar, Müsteşar Yardımcısı, Genel Müdür, Denetim Hizmetleri Başkanı, 1. Hukuk Müşaviri, Genel Müdür Yardımcısı, Bakanlık Müşavirleri, Basın ve Halkla İlişkiler Müşaviri, Özel Kalem Müdürü, Daire Başkanı, Hukuk Müşaviri, Dış Ticaret Uzmanı, İhracatı Geliştirme Uzmanı, Dış Ticaret Uzman Yardımcısı ve İhracatı Geliştirme Uzman Yardımcısı ile (…) (1) Bölge Müdürü, Serbest Bölge Müdürü, Bölge Müdür Yardımcısı, Serbest Bölge Müdür Yardımcısı kadroları karşılık gösterilmek kaydıyla, 657 sayılı Kanun ve diğer kanunların sözleşmeli personel hakkındaki hükümlerine bağlı olmaksızın sözleşmeli olarak çalıştırılabilir.
–––––––––––––––––
(1) 29/6/2011 tarihli ve 644 sayılı KHK’nin 37 nci maddesiyle, bu fıkrada yer alan “Bakanlık merkez teşkilatında” ibaresi “Bakanlıkta” şeklinde değiştirilmiş ve aynı fıkrada yer alan “taşra teşkilatında” ibaresi yürürlükten kaldırılmıştır.
(2) 23/8/2011 tarihli ve 653 sayılı KHK’nin 3 üncü maddesiyle, bu maddenin birinci fıkrasında yer alan “Dış Ticaret Kontrolörleri Kurulu Başkanı” ibaresi “Denetim Hizmetleri Başkanı” şeklinde değiştirilmiş ve metne işlenmiştir.
 (2) Birinci fıkra kapsamına giren personele, bu Kanun Hükmünde Kararnameye ekli (II) sayılı cetvelde unvanlar itibarıyla yer alan taban ve tavan ücretleri arasında kalmak üzere, Bakan tarafından belirlenen tutarda aylık ücret ödenir. Söz konusu personele, çalıştıkları günlerle orantılı olarak (hastalık ve yıllık izinleri dâhil) Ocak, Nisan, Temmuz ve Ekim aylarında birer aylık sözleşme ücreti tutarında ikramiye ödenir. Bunlardan üstün gayret ve çalışmaları sonucunda emsallerine göre başarılı çalışma yaptıkları tespit edilenlere Bakanın onayı ile Haziran ve Aralık aylarında birer aylık sözleşme ücreti tutarına kadar teşvik ikramiyesi ödenebilir.
(3) Birinci fıkrada belirtilen kadrolarda fiilen çalışanlara, 657 sayılı Kanunda belirtilen en yüksek Devlet memuru aylığının (ek gösterge dâhil);
a) 9 ila 7 nci derecelerden aylık alanlara % 25'ini,
b) 6 ila 4 üncü derecelerden aylık alanlara % 30'unu,
c) 3 ila 1 inci derecelerden aylık alanlara % 35'ini,
geçmemek üzere, Bakanlıkça tespit edilen usul ve esaslar çerçevesinde her ay aylıkla birlikte damga vergisi hariç herhangi bir kesintiye tabi olmaksızın peşin olarak fazla çalışma ücreti ödenir. (Ek cümle: 7/7/2011 - KHK - 646/11 md.) Bu maddenin birinci, ikinci ve üçüncü fıkralarının uygulanmasına ilişkin usul ve esaslar ile sözkonusu personele yapılacak diğer ödemeler Bakanlar Kurulunca belirlenir.
(4) Bakanlık merkez, taşra ve döner sermaye teşkilatında, kadro karşılığı sözleşmeli çalışanlar hariç olmak üzere, 657 sayılı Kanuna göre aylık alan memurlar ile anılan Kanunun 4 üncü maddesinin (B) fıkrası uyarınca sözleşmeli olarak çalışan personele en yüksek Devlet memuru aylığının (ek gösterge dâhil) %200'ünü geçmemek üzere her ay ek ödeme yapılabilir. Ek ödemenin oranı ile esas ve usulleri; görev yapılan birim ve iş hacmi, görevin önem ve güçlüğü, görev yerinin özelliği, çalışma süresi, personelin sınıfı, kadro veya görev unvanı, derecesi, atanma usulü ile emsali veya benzeri görev ve unvanlarda bulunan personele malî haklar kapsamında yapılan her türlü ödemeler dâhil almakta oldukları toplam ödeme tutarları gibi kriterler birlikte veya ayrı ayrı dikkate alınarak, Maliye Bakanlığının uygun görüşü üzerine Bakan tarafından belirlenir. Ek ödemenin hak kazanılmasında ve ödenmesinde aylıklara ilişkin hükümler uygulanır ve bu ek ödeme damga vergisi hariç herhangi bir vergiye tabi tutulmaz. Bu madde uyarınca yapılacak ek ödeme, ilgili mevzuatı uyarınca ödenmekte olan zam, tazminat, ödenek, döner sermaye payı, ikramiye, ücret ve her ne ad altında olursa olsun yapılan benzeri ödemelerin hesabında dikkate alınmaz.
Geçiş hükümleri
GEÇİCİ MADDE 3 - (1) Dış Ticaret Müsteşarlığında Serbest Bölgeler Genel Müdürü, Dış Ticarette Standardizasyon Genel Müdürü, İdari ve Mali İşler Dairesi Başkanı ve Müsteşarlık Müşaviri kadrosunda bulunanlar ile bu Kanun Hükmünde Kararname ile Hazine Müsteşarlığından Bakanlığa devredilen Yabancı Sermaye Genel Müdürlüğü ve Teşvik ve Uygulama Genel Müdürlüğünde Genel Müdür, Genel Müdür Yardımcısı ve Daire Başkanı kadrolarında bulunanların görevleri, bu Kanun Hükmünde Kararnamenin yürürlüğe girdiği tarihte sona erer. Bu fıkra uyarınca görevleri sona erenler ekli (2) sayılı liste ile ihdas edilen Bakanlık Müşaviri kadrolarına halen bulundukları kadro dereceleriyle atanmış sayılırlar. Bu madde uyarınca ihdas edilen Bakanlık Müşaviri kadroları, herhangi bir sebeple boşalması halinde hiçbir işleme gerek kalmaksızın iptal edilmiş sayılır.(1)
(2) İhracatı Geliştirme Etüd Merkezinde istihdam edilen ve 657 sayılı Kanunun 48 inci maddesinde öngörülen genel şartlan taşıyan personelden;
a) İhracatı Geliştirme Etüd Merkezinde Başkan, Genel Sekreter Yardımcısı, 
1. Hukuk Müşaviri, Daire Başkanı ve Bölge Müdürü pozisyonunda görev yapanlar ekli (2) sayılı liste ile ihdas edilen Bakanlık Müşaviri kadrolarına atanmış sayılırlar.(1)
_________________________
(1) Bu fıkralarda yer alan kadrolarla ilgili olarak 8/6/2011 tarihli ve 27958 (mükerrer) sayılı Resmi Gazete’ye bakınız.
b) İGEME Uzmanı pozisyonunda görev yapanlar İhracatı Geliştirme Uzmanı, İGEME Uzman Yardımcısı pozisyonunda görev yapanlar İhracatı Geliştirme Uzman Yardımcısı kadrolarına atanmış sayılır. İGEME Uzmanı pozisyonunda geçirilen süreler İhracatı Geliştirme Uzmanı kadrosunda, İGEME Uzman Yardımcısı pozisyonunda geçirilen süreler İhracatı Geliştirme Uzman Yardımcısı kadrosunda geçmiş sayılır, (a) bendi kapsamında Bakanlık Müşaviri kadrolarına atanmış sayılanlardan mesleğe özel yarışma sınavı ile giren ve belirli süreli meslek içi eğitimden sonra özel bir yeterlik sınavı sonucunda İGEME Uzmanı pozisyonunda görev yapmış olanlar talepleri halinde İhracatı Geliştirme Uzmanı kadrosuna atanabilir. İhracatı Geliştirme Etüd Merkezinde (a) bendi kapsamında yer almayan unvanlarda görev yapan ve mesleğe özel yarışma sınavı ile giren ve belirli süreli meslek içi eğitimden sonra özel bir yeterlik sınavı sonucunda İGEME Uzmanı pozisyonunda görev yapmış olanlar İhracatı Geliştirme Uzmanı kadrosuna atanabilir. İhracatı Geliştirme Uzmanı ve İhracatı Geliştirme Uzman Yardımcısı kadroları, Bakanlıkta başka bir kadroya atanma hali hariç herhangi bir sebeple boşalması halinde hiçbir işleme gerek kalmaksızın iptal edilmiş sayılır. (1)
c) Diğer personel ise Bakanlıkta boş bulunan memur kadrolarına eğitim durumları ve hizmet süreleri gibi hususlar dikkate alınarak altı ay içinde atanırlar. Bunlar, atama işlemi gerçekleşinceye kadar her türlü malî ve sosyal haklarını eski pozisyonlarına göre almaya devam ederler ve Bakanlıkça ihtiyaç duyulan işlerde görevlendirilirler.
ç) Bunların İhracatı Geliştirme Etüd Merkezinde sözleşmeli personel pozisyonlarında geçirdikleri hizmet süreleri, öğrenim durumlarına göre yükselebilecekleri dereceleri aşmamak kaydıyla kazanılmış hak aylık derece ve kademelerinin tespitinde değerlendirilir.
(3) İhracatı Geliştirme Etüd Merkezinde istihdam edilen ve 657 sayılı Kanunun 48 inci maddesinde öngörülen genel şartları taşımayan personelden sosyal güvenlik kurumundan emeklilik hakkı kazanmamış olanlar pozisyonları ile birlikte Bakanlığa devredilmiştir. Bunların malî ve sosyal hakları ile istihdamına ilişkin diğer hususlar hakkında bu Kanun Hükmünde Kararnamenin yürürlüğe girdiği tarihten önce yürürlükte olan mevzuat hükümlerinin uygulanmasına devam olunur. Bu pozisyonlar, herhangi bir nedenle boşalması halinde başka bir işleme gerek kalmaksızın iptal edilmiş sayılır.
(4) Bu Kanun Hükmünde Kararnamenin yürürlüğe girdiği tarihte, Hazine Müsteşarlığı Yabancı Sermaye Genel Müdürlüğü ve Teşvik ve Uygulama Genel Müdürlüğüne tahsis edilen Hazine Uzmanı ve Hazine Uzman Yardımcısı kadrosunda bulunanlar bu Kanun Hükmünde Kararnamenin yürürlüğe girdiği tarihten itibaren bir ay içinde istekleri halinde Dış Ticaret Uzmanı ve Dış Ticaret Uzman Yardımcısı kadrolarına hâlen bulundukları kadro dereceleriyle atanırlar.Bu fıkraya göre atananların Hazine Uzmanı kadrolarında geçirdikleri süreler Dış Ticaret Uzmanı kadrosunda, Hazine Uzman Yardımcısı kadrolarında geçirdikleri süreler Dış Ticaret Uzman Yardımcısı kadrosunda geçmiş sayılır.
(5) Bu Kanun Hükmünde Kararnamenin yürürlüğe girdiği tarihte, birinci ve dördüncü fıkralarda yer alanlar hariç olmak üzere, Hazine Müsteşarlığı Yabancı Sermaye Genel Müdürlüğü ve Teşvik ve Uygulama Genel Müdürlüğüne tahsis edilen kadrolarda bulunanlar bu Kanun Hükmünde Kararnamenin yürürlüğe girdiği tarihte başka bir işleme gerek kalmaksızın hâlen bulundukları kadro dereceleriyle Bakanlık için ihdas edilen aynı unvanlı kadrolara başka bir işleme gerek kalmaksızın atanmış sayılır.
–––––––––––––––––––
(1) 29/6/2011 tarihli ve 644 sayılı KHK’nin 37 nci maddesiyle, bu bentte yer alan “herhangi bir sebeple” ibaresinden önce gelmek üzere “Bakanlıkta başka bir kadroya atanma hali hariç” ibaresi eklenmiştir. 
 (6) Bu Kanun Hükmünde Kararnamenin yürürlüğe girdiği tarihte, Dış Ticarette Standardizasyon Denetmeni kadrosunda bulunanlar Ürün Denetmeni kadrolarına, Dış Ticarette Standardizasyon Denetmen Yardımcısı kadrosunda bulunanlar Ürün Denetmen Yardımcısı kadrolarına, başka bir işleme gerek kalmaksızın hâlen bulundukları kadro dereceleriyle atanmış sayılır. Dış Ticarette Standardizasyon Denetmeni kadrolarında geçirilen süreler Ürün Denetmeni kadrosunda, Dış Ticarette Standardizasyon Denetmen Yardımcısı kadrolarında geçirilen süreler Ürün Denetmen Yardımcısı kadrosunda geçmiş sayılır.
(7) Bu Kanun Hükmünde Kararnamenin yürürlüğe girdiği tarihte, Dış Ticaret Müsteşarlığı kadrolarında bulunanlardan yukarıdaki fıkralarda belirtilenler dışında kalanlar, Bakanlık için ihdas edilen aynı unvanlı kadrolara halen bulundukları kadro dereceleriyle başka bir işleme gerek kalmaksızın atanmış sayılır. Yukarıdaki fıkralarda sayılanlar hariç olmak üzere kadro unvanları değişenler veya kaldırılanlar ise altı ay içerisinde Bakanlıkta kazanılmış hak aylık derecelerine uygun başka bir kadroya atanırlar. Atama işlemi yapılıncaya kadar Bakanlıkça ihtiyaç duyulan işlerde görevlendirilirler. Bunlar yeni bir kadroya atanıncaya kadar eski kadrolarına ait aylık, ek gösterge, her türlü zam ve tazminatları ile diğer malî haklarını almaya devam ederler.
(8) Dış Ticaret Müsteşarlığı, Hazine Müsteşarlığından bu Kanun Hükmünde Kararname ile Bakanlığa devredilen birimler ile İhracatı Geliştirme Etüd Merkezinde istihdam edilen sürekli işçiler kadrolarıyla, 657 sayılı Kanunun 4 üncü maddesinin (B) fıkrasına göre istihdam edilen sözleşmeli personel pozisyonlarıyla birlikte Bakanlığa devredilmiştir. Anılan teşkilat ve birimler adına vizeli boş sözleşmeli personel pozisyonları ile sürekli işçi kadroları, başka bir işleme gerek kalmaksızın Bakanlık adına vize edilmiş sayılır.
(9) Dış Ticaret Müsteşarlığı ve Hazine Müsteşarlığının bu Kanun Hükmünde Kararname ile Ekonomi Bakanlığına devredilen birimlerinde 4059 sayılı Kanunun 7 nci maddesinin (e) bendi uyarınca sözleşmeli olarak istihdam edilen personel ile 28/7/1967 tarihli ve 933 sayılı Kanuna göre istihdam edilen personel Bakanlığa devredilmiştir. Bunların malî ve sosyal haklan ile istihdamına ilişkin diğer hususlar hakkında bu Kanun Hükmünde Kararnamenin yürürlüğe girdiği tarihten önce yürürlükte olan mevzuat hükümlerinin uygulanmasına devam olunur. (1)
(10) Dış Ticaret Müsteşarlığı ve Hazine Müsteşarlığının bu Kanun Hükmünde Kararname ile Ekonomi Bakanlığına devredilen birimlerinde 4059 sayılı Kanun uyarınca kadro karşılığı sözleşmeli olarak istihdam edilen personelden bu Kanun Hükmünde Kararnamenin 35 inci maddesinin birinci fıkrasında kadro unvanları yer almayan personelin malî ve sosyal haklan hakkında bu Kanun Hükmünde Kararnamenin yürürlüğe girdiği tarihten önce yürürlükte olan mevzuat hükümlerinin uygulanmasına devam olunur.
(11) Bu madde uyarınca atanan veya atanmış sayılan personelin yeni kadrolarına atandıkları veya atanmış sayıldıkları tarih itibarıyla eski kadrolarına ilişkin olarak en son ayda aldıkları sözleşme ücreti, aylık, ek gösterge, ikramiye (bir aya isabet eden net tutan), her türlü zam ve tazminatları, makam tazminatı, temsil tazminatı, görev tazminatı, ek ücret, ek ödeme ve benzeri adlarla yapılan her türlü ödemelerin (ilgili mevzuatı uyarınca fiili çalışmaya bağlı fazla mesai ücreti ile fiilen yapılan ders karşılığı ödenen ek ders ücreti hariç) toplam net tutarının (bu tutar sabit bir değer olarak esas alınır.); yeni atandıkları kadrolara ilişkin olarak yapılan sözleşme
–––––––––––––––––––
(1) 29/6/2011 tarihli ve 644 sayılı KHK’nin 37 nci maddesiyle, bu fıkrada yer alan “sözleşmeli olarak istihdam edilen personel” ibaresinden sonra gelmek üzere “ile 28/7/1967 tarihli ve 933 sayılı Kanuna göre istihdam edilen personel” ibaresi eklenmiştir. 
ücreti, aylık, ek gösterge, ikramiye (bir aya isabet eden net tutarı), her türlü zam ve tazminatları, makam tazminatı, temsil tazminatı, görev tazminatı, ek ücret, ek ödeme ve benzeri adlarla yapılan her türlü ödemelerin (ilgili mevzuatı uyarınca fiili çalışmaya bağlı fazla mesai ücreti ile fiilen yapılan ders karşılığı ödenen ek ders ücreti hariç) toplam net tutarından fazla olması halinde aradaki fark tutarı, herhangi bir vergi ve kesintiye tâbi tutulmaksızın fark kapanıncaya kadar ayrıca tazminat olarak ödenir. Atandıkları veya atanmış sayıldıkları kadro unvanlarında isteğe bağlı olarak herhangi bir değişiklik olanlarla, kendi istekleriyle başka kurumlara atananlara fark tazminatı ödenmesine son verilir.
(12) Bu Kanun Hükmünde Kararnamenin yürürlüğe girdiği tarihe kadar, Dış Ticaret Müsteşarlığı ve İhracatı Geliştirme Etüd Merkezinde geçen hizmetler ile Hazine Müsteşarlığı Yabancı Sermaye Genel Müdürlüğü ve Teşvik ve Uygulama Genel Müdürlüğü personeli için Hazine Müsteşarlığında geçen hizmetler, Ekonomi Bakanlığında geçmiş sayılır.
(13) Maliye Bakanlığı uhdesinde Hazine Avukatları tarafından Dış Ticaret Müsteşarlığını temsilen takip edilmekte olan dava ve icra takiplerine ilişkin dosyalar ile Hazine Müsteşarlığının bu Kanun Hükmünde Kararname ile Bakanlığa devredilen birimlerinin görevlerine ilişkin dosyalar, Maliye Bakanlığı ve Bakanlıkça müştereken belirlenecek esaslara göre bu Kanun Hükmünde Kararnamenin yürürlüğe girdiği tarihten itibaren bir yıl içerisinde Bakanlığa devredilir. Bu şekilde devredilen dava ve icra takipleri ile ilgili olarak devir tarihine kadar yapılmış her türlü işlem Bakanlık adına yapılmış sayılır.
(14) Bu Kanun Hükmünde Kararnamenin yürürlüğe girdiği tarihte Dış Ticaret Müsteşarlığı yurtdışı teşkilatı birimlerinde sürekli görevde bulunanların görev süresi, bu Kanun Hükmünde Kararnamenin 25 inci maddesine göre belirlenir.
(15) (Ek: 29/6/2011-KHK-644/37 md.) Bu Kanun Hükmünde Kararnamenin yürürlüğe girdiği tarihte, Hazine Müsteşarlığı Yabancı Sermaye Genel Müdürlüğü ve Teşvik ve Uygulama Genel Müdürlüğünde Genel Müdür, Genel Müdür Yardımcısı, Daire Başkanı ve Şube Müdürü kadrolarında bulunanlardan Bakanlık kadrolarına atanmış sayılan personelden Hazine Uzmanı unvanını ihraz etmiş olanlar, Bakanlık kadrolarına atandıkları tarihten itibaren Dış Ticaret Uzmanı unvanını, Hazine Kontrolörü unvanını ihraz etmiş olanlar, Bakanlık kadrolarına atandıkları tarihten itibaren Dış Ticaret Kontrolörü unvanını ihraz etmiş sayılır. Bunların Hazine Uzmanı kadrosunda geçirdikleri süreler Dış Ticaret Uzmanı kadrosunda, Hazine Uzman Yardımcısı kadrosunda geçirdikleri süreler Dış Ticaret Uzman Yardımcısı kadrosunda, Hazine Kontrolörü kadrosunda geçirdikleri süreler Dış Ticaret Kontrolörü kadrosunda, Stajyer Hazine Kontrolörü kadrosunda geçirdikleri süreler Stajyer Dış Ticaret Kontrolörü kadrosunda geçmiş sayılır. (1)
–––––––––––––
(1) 8/8/2011 tarihli ve 649 sayılı KHK’nin 9 uncu maddesiyle, bu fıkrada yer alan “Dış Ticaret Uzmanı unvanını” ibaresinden sonra gelmek üzere “, Hazine Kontrolörü unvanını ihraz etmiş olanlar, Bakanlık kadrolarına atandıkları tarihten itibaren Dış Ticaret Kontrolörü unvanını” ibaresi ve “Dış Ticaret Uzman Yardımcısı kadrosunda” ibaresinden sonra gelmek üzere “, Hazine Kontrolörü kadrosunda geçirdikleri süreler Dış Ticaret Kontrolörü kadrosunda, Stajyer Hazine Kontrolörü kadrosunda geçirdikleri süreler Stajyer Dış Ticaret Kontrolörü kadrosunda” ibaresi eklenmiş ve metne işlenmiştir.
 (16) (Ek: 23/8/2011-KHK-653/4 md.) Bu fıkranın yürürlüğe girdiği tarihte, Bakanlıkta Dış Ticaret Başkontrolörü ve Dış Ticaret Kontrolörü kadrolarında bulunanlar Dış Ticaret Uzmanı kadrolarına, Stajyer Dış Ticaret Kontrolörü kadrolarında bulunanlar Dış Ticaret Uzman Yardımcısı kadrolarına, bulundukları kadro dereceleriyle başkaca bir işleme gerek kalmaksızın atanmış sayılır. Bu fıkranın yürürlüğe girdiği tarihten önce Dış Ticaret Kontrolörü unvanını ihraz etmiş olanlardan, İç Denetçi ve Bakanlık Müşaviri kadroları ile Daire Başkanı ve üstü kadrolarda görev yapanlar ve yurtdışı teşkilatı kadrolarına sürekli görevle atananlar, bu fıkranın yürürlüğe girdiği tarihte Dış Ticaret Uzmanı unvanını ihraz etmiş sayılır. Bunların Stajyer Dış Ticaret Kontrolörlüğünde geçirdikleri süreler Dış Ticaret Uzman Yardımcısı, Dış Ticaret Başkontrolörlüğü ve Dış Ticaret Kontrolörlüğünde geçirdikleri süreler Dış Ticaret Uzmanı kadrosunda geçmiş sayılır.
(17) (Ek: 23/8/2011-KHK-653/4 md.) Bu Kanun Hükmünde Kararnameyle Denetim Hizmetleri Başkanlığı ile Başkanlığa tahsisli kadrolarda görev yapan Dış Ticaret Uzmanlarına verilen görev ve yetkiler kapsamında olmak kaydıyla mevzuatta Dış Ticaret Kontrolörlerine yapılan atıflar Başkanlığa tahsisli kadrolarda görev yapan Dış Ticaret Uzmanlarına yapılmış sayılır.
(18) (Ek: 23/8/2011-KHK-653/4 md.) Dış Ticaret Kontrolörleri Kurulu Başkanının görevi, bu fıkranın yürürlüğe girdiği tarihte sona erer ve bu personel ekli (1) sayılı liste ile ihdas edilen Bakanlık Müşaviri kadrosuna halen bulunduğu kadro derecesiyle atanmış sayılır. Bakanlık Müşaviri kadrosunun herhangi bir sebeple boşalması halinde bu kadro, hiçbir işleme gerek kalmaksızın iptal edilmiş sayılır. Bu fıkra ile onaltıncı fıkra uyarınca atanan veya atanmış sayılan personele ilişkin olarak bu maddenin onbirinci fıkrası hükümleri uygulanır.(1)
(II) SAYILI CETVEL (1)
EKONOMİ BAKANLIĞI SÖZLEŞME ÜCRET CETVELİ (BRÜT TL)
Kadro Unvanı Taban Tavan
 Ücreti Ücreti
Müsteşar 3.006,29 3.311,85
Müsteşar Yardımcısı 2.891,28 3.041,85
Genel Müdür, Denetim Hizmetleri Başkanı (1) 2.687,24 2.886,47
1. Hukuk Müşaviri, Genel Müdür Yardımcısı, Bakanlık Müşaviri, Strateji Geliştirme Dairesi Başkanı, Personel Dairesi Başkanı, Destek Hizmetleri Dairesi Başkanı, Bilgi İşlem Dairesi Başkanı 1.859,19 2.614,26
Daire Başkam, Basın ve Halkla İlişkiler Müşaviri, Bölge Müdürü, Serbest Bölge Müdürü, Özel Kalem Müdürü 1.804,50 2.541,69
Bölge Müdür Yardımcısı, Serbest Bölge Müdür Yardımcısı 1.739,83 2.487,13
Dış Ticaret Uzmanı, İhracatı Geliştirme Uzmanı, Hukuk Müşaviri  
Kadro Derecesi 1 1.786,30 2.487,13
Kadro Derecesi 2 1.758,17 2.426,03
Kadro Derecesi 3 1.739,83 2.407,65
Kadro Derecesi 4 1.721,55 2.389,59
Kadro Derecesi 5 1.703,22 2.371,39
Kadro Derecesi 6 1.684,91 2.353,08
Kadro Derecesi 7 1.666,57 2.334,78
Dış Ticaret Uzman Yardımcısı, İhracatı Geliştirme Uzman Yardımcısı 1.403,83 1.876,90
–––––––––––––––
(1) 23/8/2011 tarihli ve 653 sayılı KHK’nin 5 inci maddesiyle, (I) sayılı cetvelin “Hizmet Birimleri” bölümünde yer alan “9) Dış Ticaret Kontrolörleri Kurulu Başkanlığı” ibaresi “9) Denetim Hizmetleri Başkanlığı” şeklinde ve (II) sayılı cetvelin “Kadro Unvanı” bölümünde yer alan “Dış Ticaret Kontrolörleri Kurulu Başkanı” ibaresi “Denetim Hizmetleri Başkanı” şeklinde değiştirilmiş ve metne işlenmiştir. 
637 SAYILI KHK’YE EK VE DEĞİŞİKLİK GETİREN MEVZUATIN
YÜRÜRLÜĞE GİRİŞ TARİHİNİ GÖSTERİR LİSTE
Değiştiren Yürürlüğe
Kanun veya KHK 637 Sayılı KHK’nin değişen maddeleri giriş tarihi
KHK/644 35, Geçici Madde 3 12/6/2011 tarihinde yapılan 
milletvekili seçiminden sonra kurulan 
ilk Bakanlar Kurulu üyelerinin atandığı tarihte 
KHK/646 7, 35, Geçici Madde 2 10/7/2011
KHK/649 Geçici Madde 3 17/8/2011
KHK/653 6, 15, 35, Geçici Madde 3, (I) ve (II) sayılı Cetvel 17/9/2011
KHK/661 15 2/11/2011
</t>
  </si>
  <si>
    <t xml:space="preserve">KALKINMA BAKANLIĞININ TEŞKİLAT VE GÖREVLERİ HAKKINDA KANUN HÜKMÜNDE KARARNAME(1)
Kanun Hük. Kar. nin Tarihi : 3/6/2011, No : 641   Yetki Kanununun Tarihi : 6/4/2011, No : 6223
Yayımlandığı R.G. Tarihi : 8/6/2011, No : 27958 Mük.
Yayımlandığı Düstur : Tertip : 5 Cilt : 50 
Malî haklar
MADDE 37- (1) Müsteşar, Müsteşar Yardımcısı, Genel Müdür, Kalkınma Araştırmaları Merkezi Başkanı, I. Hukuk Müşaviri, Genel Müdür Yardımcısı, Daire Başkanı, Bakanlık Müşaviri, Hukuk Müşaviri, Planlama Uzmanı, Basın ve Halkla İlişkiler Müşaviri, Özel Kalem Müdürü, Planlama Uzman Yardımcısı ile Yönetim Hizmetleri Genel Müdürlüğünde fiilen görevli Bilgisayar Mühendisi ve Çözümleyici kadroları karşılık gösterilmek kaydıyla, 657 sayılı Devlet Memurları Kanunu ve diğer kanunların sözleşmeli personel çalıştırılması hakkındaki hükümlerine bağlı olmaksızın sözleşmeli personel istihdam edilebilir. Bu suretle çalıştırılacak personele, bu Kanun Hükmünde Kararnameye ekli (II) sayılı cetvelde unvanları itibarıyla yer alan taban ve tavan ücretleri arasında kalmak üzere, Bakan tarafından belirlenecek tutarda aylık brüt sözleşme ücreti ödenir. Söz konusu personele, hastalık ve yıllık izinler dâhil, Ocak, Nisan, Temmuz, Ekim aylarında birer aylık sözleşme ücreti tutarında ikramiye ödenir. Bunlardan üstün gayret ve çalışmaları sonucu emsallerine göre başarılı çalışmalar yaptıkları tespit edilenlere, Bakanın onayı ile Haziran ve Aralık aylarında birer aylık sözleşme ücreti tutarına kadar teşvik ikramiyesi ödenebilir. Bu fıkrada belirtilen kadrolarda fiilen çalışanlara, 657 sayılı Kanunda belirtilen en yüksek Devlet memuru aylığının (ek gösterge dâhil);
a) 9 ila 7 nci derecelerden aylık alanlara % 25'ini,
b) 6 ila 4 üncü derecelerden aylık alanlara % 30'unu,
c) 3 ila 1 inci derecelerden aylık alanlara % 35'ini,
geçmemek üzere, Bakanlıkça tespit edilen usul ve esaslar çerçevesinde her ay aylıkla birlikte damga vergisi hariç herhangi bir kesintiye tabi olmaksızın peşin olarak fazla çalışma ücreti ödenir.
(2) Yabancı uzmanlar da sözleşmeli olarak istihdam edilebilir.
(3) Bu suretle çalıştırılacakların sözleşme usul ve esasları ile ücret miktarı ve her çeşit ödemeler Bakanlar Kurulunca tespit edilir.
(II) SAYILI CETVEL
KALKINMA BAKANLIĞI SÖZLEŞME ÜCRET CETVELİ (BRÜT TL) 
 Kadro Unvanı Taban Ücreti Tavan Ücreti 
 Müsteşar 3.006,29 3.311,85 
 Müsteşar Yardımcısı 2.891,28 3.041,85 
 Genel Müdür, Kalkınma Araştırmaları Merkezi Başkanı 2.687,24 2.886,47 
 I. Hukuk Müşaviri, Genel Müdür Yardımcısı, Strateji Geliştirme Dairesi Başkanı, Kurullar Sekretaryası Dairesi Başkanı, Bakanlık Müşaviri 1.859,19 2.614,26 
 Daire Başkanı, Basın ve Halkla İlişkiler Müşaviri, Özel Kalem Müdürü 1.804,50 2.541,69 
 Planlama Uzmanı, Hukuk Müşaviri   
 Kadro Derecesi 1 Kadro Derecesi 2 Kadro Derecesi 3 Kadro Derecesi 4 Kadro Derecesi 5 Kadro Derecesi 6 Kadro Derecesi 7  1.786,30 1.758,17 1.739,83 1.721,55 1.703,22 1.684,91 1.666,57 2.487,13 2.426,03 2.407,65 2.389,59 2.371,39 2.353,08 2.334,78 
 Bilgisayar Mühendisi, Çözümleyici (Yönetim Hizmetleri Genel Müdürlüğünde görevli) 1.397,20 2.280,48 
 Planlama Uzman Yardımcısı 1.403,83 1.876,90 
––––––––––
(1) 8/8/2011 tarihli ve 649 sayılı KHK’nin 32 nci maddesiyle, bu cetvelde yer alan “Strateji Geliştirme Dairesi Başkanı,” ibaresinden sonra gelmek üzere “Kurullar Sekretaryası Dairesi Başkanı,” ibaresi eklenmiş ve metne işlenmiştir.
641 SAYILI KHK’YE EK VE DEĞİŞİKLİK GETİREN MEVZUATIN
YÜRÜRLÜĞE GİRİŞ TARİHİNİ GÖSTERİR LİSTE
Değiştiren Yürürlüğe
Kanun veya KHK 641 Sayılı KHK’nin değişen maddeleri giriş tarihi
646/KHK 23 10/7/2011
649/KHK 11, 23, 43, (II) sayılı cetvel 17/8/2011 
KHK/659 31 2/11/2011 
</t>
  </si>
  <si>
    <t xml:space="preserve">DOĞU ANADOLU PROJESİ, DOĞU KARADENİZ PROJESİ VE  KONYA OVASI PROJESİ BÖLGE  KALKINMA İDARESİ   BAŞKANLIKLARININ TEŞKİLAT VE GÖREVLERİ HAKKINDA  KANUN HÜKMÜNDE KARARNAME (1)(2)
Kanun Hük. Kar. nin Tarihi : 3/6/2011, No : 642  Yetki Kanununun Tarihi : 6/4/2011, No : 6223
Yayımlandığı R.G. Tarihi : 8/6/2011, No : 27958 Mük. Yayımlandığı Düstur : Tertip : 5 Cilt : 50 
MADDE 5- (1) Başkanlıkların personeli 657 sayılı Kanuna tâbidir.
–––––––––––––
(1) Bu madde başlığı “Yüksek Koordinasyon Kurulu” iken, 8/8/2011 tarihli ve 649 sayılı KHK’nin 36 ncı maddesiyle metne işlendiği şekilde değiştirilmiştir.
 (2) (Değişik: 8/8/2011-KHK-649/38 md.) Başkanlıklarda, Başkan, Başkan Yardımcısı, Müşavir, Hukuk Müşaviri ve Uzman kadrolarına atananlar, kadroları karşılık gösterilmek suretiyle, 657 sayılı Kanun ve diğer kanunların sözleşmeli personel çalıştırılması hakkındaki hükümlerine bağlı olmaksızın sözleşmeli olarak çalıştırılabilir. Başkanın sözleşme ücreti GAP İdaresi Başkanının sözleşme ücretini, Başkan Yardımcısının sözleşme ücreti GAP İdaresi Başkan Yardımcısının sözleşme ücretini geçmeyecek şekilde belirlenir. Söz konusu personele, çalıştıkları günlerle orantılı olarak, hastalık ve yıllık izinleri dâhil, Ocak, Nisan, Temmuz ve Ekim aylarında birer aylık sözleşme ücreti tutarında ikramiye ödenir. Bunlardan üstün gayret ve çalışmaları sonucunda emsallerine göre başarılı çalışmalar yaptıkları tespit edilenlere, Kalkınma Bakanının onayı ile Haziran ve Aralık aylarında birer aylık sözleşme ücreti tutarında teşvik ikramiyesi ödenebilir. Başkan tarafından birimlerin eşgüdümü için koordinatör olarak görevlendirilecek azami altı Uzmana, kadroları için öngörülen sözleşme ücreti yüzde on artırımlı olarak ödenir. Bu fıkranın uygulanmasına ilişkin usûl ve esaslar ile bu fıkrada belirtilen personele yapılacak diğer ödemeler Bakanlar Kurulunca belirlenir.
(3) Ayrıca, özel bilgi ve ihtisası gerektiren konularda kadro aranmaksızın ve diğer kanunların sözleşmeli personel çalıştırılması hakkındaki hükümlerine bağlı olmaksızın yerli ve yabancı uzmanlar Başkanlıklarda sözleşmeli olarak çalıştırılabilir. Bunlar 5510 sayılı Sosyal Sigortalar ve Genel Sağlık Sigortası Kanununun 4 üncü maddesinin birinci fıkrasının (a) bendi kapsamında sigortalı sayılır. (Ek cümle: 8/8/2011-KHK-649/38 md.) Bunlara ödenecek ücretin net tutarı, birinci dereceli Uzmana ödenen aylık ortalama net tutarı aşmamak üzere Kalkınma Bakanı tarafından tespit edilir.
(4) İkinci ve üçüncü fıkralara göre çalıştırılacakların sözleşme usûl ve esasları, ücret miktarı, her çeşit ödemeleri ve üçüncü fıkrada belirtilen personelin atama usûl ve esasları ile personele ilişkin diğer hususlar Bakanlar Kurulunca tespit edilir.
(5) 5018 sayılı Kamu Malî Yönetimi ve Kontrol Kanununa ekli (I) sayılı cetvelde yer alan genel bütçe kapsamındaki kamu idareleri, (II) sayılı cetvelde yer alan özel bütçeli idareler, iktisadî devlet teşekkülleri ve kamu iktisadî kuruluşları ile bunlara bağlı kuruluşlar ve müesseselerde çalışanlar, yedinci fıkrada belirtilen nitelikleri taşımak kaydıyla, Başkanlıklarda sözleşmeli olarak istihdam edilebilir. Başkanlıkların bu konudaki talepleri, ilgili kurum ve kuruluşlarca öncelikle sonuçlandırılır. Bu personel ilgili kurumundan aylıksız izinli sayılır. İzinli oldukları sürece memuriyetleri ile ilgili özlük hakları devam ettiği gibi, bu süreler terfi ve emekliliklerinde hesaba katılır. Terfileri başkaca bir işleme gerek kalmaksızın süresinde yapılır. (1)
(6) Ayrıca, beşinci fıkrada belirtilen kurumlarda görevli personel; aylık, ödenek, her türlü zam ve tazminatlar ile diğer malî, sosyal hak ve yardımları kurumlarınca ödenmek kaydıyla geçici olarak Başkanlıklarda görevlendirilebilir.
(7) (Ek: 8/8/2011-KHK-649/38 md.) Başkanlıklarda bu maddede belirtilen usullere göre çalıştırılacak uzman personel; en az dört yıllık fakülte ya da yüksekokullardan veya bunlara denkliği Yükseköğretim Kurulunca kabul edilen yurtdışındaki yükseköğretim kurumlarından en az lisans düzeyinde mezun olanlar arasından istihdam edilir.
–––––––––––––––
(1) 8/8/2011 tarihli ve 649 sayılı KHK’nin 38 inci maddesiyle, bu fıkrada yer alan “Başkanlıklarda sözleşmeli olarak istihdam edilebilirler” ibaresi “yedinci fıkrada belirtilen nitelikleri taşımak kaydıyla, Başkanlıklarda sözleşmeli olarak istihdam edilebilir” şeklinde değiştirilmiş ve metne işlenmiştir.
</t>
  </si>
  <si>
    <t xml:space="preserve">MİLLÎ EĞİTİM BAKANLIĞININ TEŞKİLAT VE GÖREVLERİ HAKKINDA
KANUN HÜKMÜNDE KARARNAME  
Kanun Hük. Kar. nin Tarihi: 25/8/2011, No : 652   Yetki Kanununun Tarihi : 6/4/2011, No : 6223
Yayımlandığı R.G. Tarihi : 14/9/2011, No : 28054   Yayımlandığı Düstur : Tertip : 5 Cilt : 50 
Sözleşmeli personel ve ek ödeme
MADDE 42 – (1) Bakanlık merkez teşkilatında; Müsteşar, Müsteşar Yardımcısı, Talim ve Terbiye Kurulu Başkan ve Üyesi, Genel Müdür, Rehberlik ve Denetim Başkanı, Strateji Geliştirme Başkanı, Bakanlık Müşaviri, I. Hukuk Müşaviri, Grup Başkanı, Basın ve Halkla İlişkiler Müşaviri, Özel Kalem Müdürü, Millî Eğitim Uzmanı, Hukuk Müşaviri ve Millî Eğitim Uzman Yardımcısı kadrolarına atananlar, kadroları karşılık gösterilmek suretiyle, 657 sayılı Kanun ve diğer kanunların sözleşmeli personel çalıştırılması hakkındaki hükümlerine bağlı olmaksızın sözleşmeli olarak çalıştırılabilir. Bu şekilde çalıştırılacak personele, bu Kanun Hükmünde Kararnameye ekli (II) sayılı cetvelde unvanlar itibarıyla yer alan taban ve tavan ücretleri arasında kalmak üzere, Bakanın onayı ile belirlenecek tutarda aylık brüt sözleşme ücreti ödenir. Söz konusu personele çalıştıkları günlerle orantılı olarak, hastalık ve yıllık izinler dâhil, Ocak, Nisan, Temmuz ve Ekim aylarında birer aylık sözleşme ücreti tutarında ikramiye ödenir. Bunlardan üstün gayret ve çalışmaları sonucunda emsallerine göre başarılı çalışmalar yaptıkları tespit edilenlere, Bakanın onayı ile Haziran ve Aralık aylarında birer aylık sözleşme ücreti tutarına kadar teşvik ikramiyesi ödenebilir. Bu fıkranın uygulanmasına ilişkin usûl ve esaslar ile bu fıkra kapsamındaki personele yapılacak diğer ödemeler Bakanlar Kurulunca belirlenir.
(2) Birinci fıkrada belirtilen kadrolarda fiilen çalışanlar ile Millî Eğitim Başdenetçileri, Denetçileri ve Denetçi Yardımcılarına, 657 sayılı Kanunda belirtilen en yüksek Devlet memuru aylığının (ek gösterge dâhil);
a) 9 ila 7 nci derecelerden aylık alanlara % 25’ini,
b) 6 ila 4 üncü derecelerden aylık alanlara % 30’unu,
c) 3 ila 1 inci derecelerden aylık alanlara % 35’ini,
geçmemek üzere Bakanlıkça tespit edilecek usûl ve esaslar çerçevesinde her ay aylıkla birlikte peşin olarak damga vergisi hariç herhangi bir kesintiye tabi olmaksızın fazla çalışma ücreti ödenir. Fazla çalışma ücretinin usûl ve esasları yönetmelikle düzenlenir.
(3) Kadro karşılığı sözleşmeli olarak istihdam edilenler ile öğretmen kadrolarında bulunanlar (örgün ve yaygın eğitim kurumlarında öğretmen unvanlı kadrolardaki yöneticiler dâhil) hariç olmak üzere, Bakanlık merkez ve taşra teşkilatı kadrolarında fiilen çalışan personele en yüksek Devlet memuru aylığının (ek gösterge dâhil) % 200’ünü geçmemek üzere her ay ek ödeme yapılabilir. Bakanlık merkez teşkilatı ile il ve ilçe millî eğitim müdürlüklerinde görevlendirilen ve ek ders ücreti almayan öğretmenler de bu ek ödemeden yararlanır. Ek ödemenin oranı ile usûl ve esasları; görev yapılan birim ve iş hacmi, görevin önem ve güçlüğü, görev yerinin özelliği, çalışma süresi, personelin sınıfı, kadro veya görev unvanı, derecesi, atanma usûlü ile emsali veya benzeri görev ve unvanlarda bulunan personele malî haklar kapsamında yapılan her türlü ödemeler dâhil almakta oldukları toplam ödeme tutarları gibi kriterler birlikte veya ayrı ayrı dikkate alınarak, Maliye Bakanlığının uygun görüşü üzerine Bakan tarafından belirlenir. Bu ödemelerde 657 sayılı Kanunun aylıklara ilişkin hükümleri uygulanır ve bu ödemelerden damga vergisi hariç herhangi bir vergi ve kesinti yapılmaz. Bu fıkrada belirtilen ek ödemeden yararlananlara 375 sayılı Kanun Hükmünde Kararnamenin ek 3 üncü maddesi uyarınca ek ödeme yapılmaz.
(2) Öğretmen kadrolarında bulunan ve fiilen öğretmenlik yapanlar (örgün ve yaygın eğitim kurumlarındaki öğretmen unvanlı kadrolarda fiilen yöneticilik yapanlar dâhil) haricindeki Bakanlık merkez ve taşra teşkilatı personeline, fiilen yapılmayan ders karşılığı ek ders ücreti ödenmez.
(II) SAYILI CETVEL
MİLLÎ EĞİTİM BAKANLIĞI SÖZLEŞME ÜCRET CETVELİ
(BRÜT TL)
 EN AZ EN ÇOK
Müsteşar  3.443
Talim ve Terbiye Kurulu Başkanı 3055 3.200
Müsteşar Yardımcısı 3.022 3.164
Genel Müdür, Rehberlik ve Denetim Başkanı, Strateji Geliştirme Başkanı 2.794 3.002
Talim ve Terbiye Kurulu Üyesi 2.030 2.850
I. Hukuk Müşaviri 2.009 2.813
Bilgi İşlem Grup Başkanı, İnşaat ve Emlak Grup Başkanı 1.952 2.720
Bakanlık Müşaviri, Grup Başkanı, Basın ve Halkla İlişkiler Müşaviri, Özel Kalem Müdürü 1.894 2.644
Millî Eğitim Uzmanı, Hukuk Müşaviri  
Kadro Derecesi 1 1.879 2.587
Kadro Derecesi 2 1.846 2.523
Kadro Derecesi 3 1.827 2.504
Kadro Derecesi 4 1.807 2.486
Kadro Derecesi 5 1.788 2.467
Kadro Derecesi 6 1.769 2.448
Kadro Derecesi 7 1.749 2.428
Millî Eğitim Uzman Yardımcısı 863 1.952
</t>
  </si>
  <si>
    <t xml:space="preserve">TÜRK İŞBİRLİĞİ VE KOORDİNASYON AJANSI BAŞKANLIĞININ  TEŞKİLAT VE GÖREVLERİ HAKKINDA KANUN  HÜKMÜNDE KARARNAME
Kanun Hük. Kar. nin Tarihi : 24/10/2011, No : 656  Yetki Kanununun Tarihi : 6/4/2011, No : 6223
Yayımlandığı R.G. Tarihi : 2/11/2011, No : 28103 (Mükerrer)  Yayımlandığı Düstur : Tertip : 5 Cilt : 51 
Personel rejimi 
MADDE 16 ‒ (1) Başkanlık personeli, 14/7/1965 tarihli ve 657 sayılı Devlet Memurları Kanununa tabidir. 
(2) Başkanlık, görev alanına giren konularda çalıştırılmak üzere TİKA Uzmanı ile TİKA Uzman Yardımcısı istihdam eder. 
 (3) TİKA Uzman Yardımcılığına atanabilmek için 657 sayılı Kanunun 48 inci maddesinde sayılan genel şartlara ek olarak aşağıdaki şartlar aranır:
a) En az dört yıllık eğitim veren yükseköğretim kurumlarından veya bunlara denkliği Yükseköğretim Kurulunca kabul edilen yurtdışındaki yükseköğretim kurumlarından mezun olmak.
b) Yapılacak yarışma sınavında başarılı olmak. 
c) Sınavın yapıldığı yılın Ocak ayının ilk günü itibarıyla otuzbeş yaşını doldurmamış olmak.
ç) Başkanlıkça belirlenen yabancı dillerden Kamu Personeli Yabancı Dil Bilgisi Seviye Tespit Sınavından en az (B) düzeyinde puan almak veya Yükseköğretim Kurulunca buna denk kabul edilen ve uluslararası geçerliliği bulunan bir belgeye sahip olmak, Kamu Personeli Yabancı Dil Bilgisi Seviye Tespit Sınavı veya Yükseköğretim Kurulunca bu sınava denk kabul edilen ve uluslararası geçerliliği bulunan sınavlarla ölçülmeyen yabancı diller için; ilgili dilde en az üç yıllık ortaöğretim veya ön lisans, lisans veya yüksek lisans diploması almış olmak ya da o dilin resmi dil olarak konuşulduğu ülke resmi makamları tarafından düzenlenen sınavda %80 oranında başarılı olmak.
(4) TİKA Uzman Yardımcılığında en az üç yıl çalışanlar, Başkanlıkça yapılacak yeterlik sınavında başarı göstermek şartıyla TİKA Uzmanı unvanını alırlar. Üst üste iki defa yeterlik sınavında başarı gösteremeyenler durumlarına uygun diğer kadrolara atanırlar. 
(5) TİKA Uzmanı ile Uzman Yardımcılarının mesleğe alınmaları, yetiştirilmeleri, yarışma sınavı ve yeterlik sınavı ile diğer hususlar yönetmelikle düzenlenir. 
(6) Başkanlıkta; Başkan, Başkan Yardımcısı, Daire Başkanı, I. Hukuk Müşaviri, Hukuk Müşaviri, TİKA Uzmanı ve TİKA Uzman Yardımcısı kadrolarına atanan personel bu kadrolar karşılık gösterilmek kaydıyla, 657 sayılı Kanun ve diğer kanunların sözleşmeli personel çalıştırılması hakkındaki hükümlerine bağlı olmaksızın, sözleşmeli olarak çalıştırılabilir. Bu suretle çalıştırılacak personele, atandığı kadronun unvan ve derecesine göre, bu Kanun Hükmünde Kararnameye ekli (II) sayılı cetvelde yer alan taban ve tavan ücretleri arasında kalmak üzere, Bakan tarafından belirlenecek tutarda aylık brüt sözleşme ücreti ödenir. Söz konusu personele, çalıştıkları günlerle orantılı olarak, hastalık ve yıllık izinleri dâhil, Ocak, Nisan, Temmuz ve Ekim aylarında birer aylık sözleşme ücreti tutarında ikramiye ödenir. Bunlardan üstün gayret ve çalışmaları sonucunda emsallerine göre başarılı çalışma yaptıkları tespit edilenlere, Başkanın teklifi üzerine bağlı bulunulan Bakan onayı ile Haziran ve Aralık aylarında birer aylık sözleşme ücreti tutarına kadar teşvik ikramiyesi ödenebilir. Bu fıkranın uygulanmasına ilişkin usul ve esaslar ile bu fıkra kapsamındaki personele yapılacak diğer ödemeler Bakanlar Kurulunca belirlenir.
(7) Başkanlıkta, 657 sayılı Kanuna ve diğer mevzuat hükümlerine bağlı kalmaksızın, sözleşme ile yerli veya yabancı uzman istihdam edilebilir. Sözleşmeli olarak istihdam edilecek personel, 31/5/2006 tarihli ve 5510 sayılı Sosyal Sigortalar ve Genel Sağlık Sigortası Kanununun 4 üncü maddesinin birinci fıkrasının (a) bendi kapsamında sigortalı sayılır. Bu personelin istihdam usul ve esasları yönetmelikle belirlenir. Bunlara ödenecek ücretin tutarı, birinci dereceli kadroda bulunan TİKA Uzmanına mali haklar kapsamında yapılan ödemeler tutarını geçmemek üzere Başkan tarafından tespit edilir. Bu fıkra uyarınca çalıştırılacakların sayısı elliyi geçemez. 
Başbakan onayı ile bu sayı iki katına kadar artırılabilir. Bu fıkraya göre istihdam edilecek sözleşmeli uzmanların yurtiçi ve yurtdışındaki üniversitelerin en az dört yıllık eğitim veren ve Başkanlıkça belirlenen bölümlerinden mezun olmaları şartı aranır. 
(II) SAYILI CETVEL
TÜRK İŞBİRLİĞİ VE KOORDİNASYON AJANSI BAŞKANLIĞI
SÖZLEŞMELİ ÜCRET CETVELİ
(BRÜT TL)
GÖREV UNVANI EN AZ EN ÇOK
Başkan 0 3.223,56
Başkan Yardımcısı 2.891,21 3.027,08
Daire Başkanı, I. Hukuk Müşaviri 1.798,72 2.475,77
TİKA Uzmanı, Hukuk Müşaviri  
Kadro derecesi 1 1.798,72 2.475,77
Kadro derecesi 2 1.766,16 2.414,03
Kadro derecesi 3 1.747,08 2.396,06
Kadro derecesi 4 1.729,11 2.378,10
Kadro derecesi 5 1.711,14 2.360,12
Kadro derecesi 6 1.692,06 2.342,16
Kadro derecesi 7 1.674,10 2.323,08
TİKA Uzman Yardımcısı 826,37 1.867,22
</t>
  </si>
  <si>
    <t xml:space="preserve">DEVLET MEMURLARI KANUNU (1) (2)
Kanun Numarası : 657
Kabul Tarihi : 14/7/1965
Yayımlandığı R.Gazete : Tarih : 23/7/1965 Sayı : 12056
Yayımlandığı Düstur : Tertip : 5 Cilt : 4 Sayfa : 3044
Yakacak yardımı:
Madde 213 – (Mülga: 27/6/1989 - KHK 375/32 md.) (1)
(31/7/1970 tarih ve 1327 sayılı Kanun ile bu araya eklenen numarasız ’’Ek Madde“ 4/7/2001 tarih ve 631 sayılı KHK ile bu Kanuna 152 nci madde olarak işlenmiş ve yerine konulmuştur.)
</t>
  </si>
  <si>
    <r>
      <t>Birinci fıkra kapsamına giren personelden; kurumlarınca bir kadroya kurum içinden veya kurum dışından vekalet ettirilenlere, vekaletin 657 sayılı Kanunun 86 ncı maddesine istinaden yapılmış ve bu hususun onayda belirtilmiş olması, vekalet görevinin Bakanlar Kurulu kararı veya müşterek karar ile atama yapılması gereken kadrolar için ilgili bakan, diğer kadrolar için asili atamaya yetkili amir tarafından verilmesi, vekalet eden personelin asaleten atanmada aranan tüm şartları (asaleten atanmada sınav şartı aranılan kadrolar için bu sınavlara girebilme hakkının elde edilmiş olması dahil) taşıması kaydıyla vekalet ettikleri kadro için öngörülen ek ödemenin asli kadroları için öngörülen ek ödemeden fazla olması halinde, aradaki fark, vekalet görevine başlanıldığı tarihten itibaren ve bu görev fiilen yapıldığı sürece ödenir.</t>
    </r>
    <r>
      <rPr>
        <b/>
        <u/>
        <sz val="10"/>
        <color indexed="10"/>
        <rFont val="Arial"/>
        <family val="2"/>
        <charset val="162"/>
      </rPr>
      <t xml:space="preserve"> Ancak, mehil müddeti, yıllık izin, mazeret izni, hastalık ve refakat izni, geçici görev, vekalet, görevden uzaklaştırma, hizmet içi eğitim, seminer ve kurs nedenleriyle görevlerinden ayrılanlara vekalet edenlere bu şekilde ödeme yapılmaz.</t>
    </r>
  </si>
  <si>
    <r>
      <t xml:space="preserve">Birinci fıkra kapsamına giren personelden; 4/1/1961 tarihli ve 209 sayılı Kanunun 5 inci maddesinin ikinci fıkrası, 4/11/1981 tarihli ve 2547 sayılı Kanunun 58 inci maddesinin (c) ve (f) fıkraları ve 14/4/1982 tarihli ve 2659 sayılı Kanunun 30 uncu maddesi kapsamında döner sermayeden ek ödeme yapılan personele, 27/7/1967 tarihli ve 926 sayılı Kanunun ek 17 nci maddesinin (Ç) fıkrası uyarınca sağlık hizmetleri tazminatı ödenen personele, 27/10/1999 tarihli ve 4458 sayılı Kanunun 221 inci maddesi, 16/5/2006 tarihli ve 5502 sayılı Kanunun 28 inci maddesinin sekizinci fıkrası ve 663 sayılı Kanun Hükmünde Kararnamenin 28 inci maddesinin dördüncü fıkrası uyarınca </t>
    </r>
    <r>
      <rPr>
        <b/>
        <u/>
        <sz val="10"/>
        <color indexed="10"/>
        <rFont val="Arial"/>
        <family val="2"/>
        <charset val="162"/>
      </rPr>
      <t>ödeme yapılan personele, sözkonusu mevzuat hükümlerine göre ödeme yapılmaya devam olunur ve bunlara bu maddeye göre ayrıca ek ödeme yapılmaz. Bu fıkra kapsamında yer alan idarelerin döner sermaye saymanlık hizmetlerini yürüten personele sözkonusu mevzuat uyarınca döner sermaye gelirlerinden herhangi bir ödeme yapılmaz.</t>
    </r>
  </si>
  <si>
    <t>FİİLİ HİZMET ZAMMI HESAPLANMASI</t>
  </si>
  <si>
    <t>Maaş+Temel Maaş+Kıdem Aylığı+Ek gösterge+Özel Hizmet Tazminatı=Toplam Matrah</t>
  </si>
  <si>
    <t>Toplam Matrahın %36 sı bulunur. Gün sayısı ile çarpılır.</t>
  </si>
  <si>
    <t>YURTDIŞI AYLIĞININ HESAPLANMASI</t>
  </si>
  <si>
    <t>Net ele geçen tutardan asgari geçim indirimi düşüldükten sonra kalanın %40 kesilir.</t>
  </si>
  <si>
    <t>%60 kişiye ödenir.</t>
  </si>
  <si>
    <t>- 230 kesinti kodu girilerek kesilecek olan %40 lık tutar yazılır ya da ülke kodu girilerek kendi otomatik hesaplanır.</t>
  </si>
  <si>
    <t>SENDİKA HESAPLANMASI</t>
  </si>
  <si>
    <t>Maaşın tahakkuk toplamından emekli keseneği ile sosyal yardımlar düşüldükten sonra  ortaya çıkan tutar ile sendika oranının çarpımı sonucu sendika kesinti tutarı bulunur.</t>
  </si>
  <si>
    <t>İKİNCİ GÖREV AYLIĞI HESAPLANMASI</t>
  </si>
  <si>
    <t>(Ek Gösterge+Gösterge) Toplamı*Memur Maaş Katsayısı*2/3</t>
  </si>
  <si>
    <t>GERİYE DÖNÜK TERFİ HESAPLAMASI</t>
  </si>
  <si>
    <t>Gelir Vergisi temel maaştan %16 düşüldükten sonra kalanın %15’idir.</t>
  </si>
  <si>
    <t>Damga Vergisi ise temel maaşa %100 artışın biri eklenerek bulunan tutarın %0,6’dır.</t>
  </si>
  <si>
    <t>ARAZİ TAZMİNATI HESAPLANMASI</t>
  </si>
  <si>
    <t>HUZUR HAKKI VE BİLİRKİŞİ</t>
  </si>
  <si>
    <t>VEKALET ÖDEMESİNİN HESAPLANMASI</t>
  </si>
  <si>
    <t>ÖĞRENCİ HARÇLIĞI</t>
  </si>
  <si>
    <t>(Ek Gösterge+Göstege)* Maaş Katsayısı</t>
  </si>
  <si>
    <t>Çıkan sonucun %50’sinin %50 öğrenci harçlığı olarak hesap ediliyor.</t>
  </si>
  <si>
    <t>Bu çıkan brüt tutardan damga vergisi kesilir.</t>
  </si>
  <si>
    <t>AYLIKLA ÖDÜLLENDİRME</t>
  </si>
  <si>
    <t>İKİNCİ GÖREV AYLIĞININ HESAPLANMASI</t>
  </si>
  <si>
    <t>Görevlendirildikleri kadro derecesinin ilk kademe aylığının üçte ikisi ödenir.</t>
  </si>
  <si>
    <t>GELİR VERGİSİ HESAPLAMASI</t>
  </si>
  <si>
    <t>1- Taban aylık+maaş+ek gösterge+kıdem aylığı+yanödeme</t>
  </si>
  <si>
    <t>EMEKLİ KESENEKLERİ HESAPLANMASI</t>
  </si>
  <si>
    <t>2200dahil 3600 hariç ekgöstergede:%70</t>
  </si>
  <si>
    <t>3600 dahil 4800 hariç ekgöstergesi varsa:%130</t>
  </si>
  <si>
    <t>4800 dahil 6400 hariç ekgöstergesi varsa:%150</t>
  </si>
  <si>
    <t>7600 dahil 8400 hariç ise:%200</t>
  </si>
  <si>
    <t>8400 ve yukarıda ekgöstergesi varsa:%240 uygulanıyor</t>
  </si>
  <si>
    <t>SİGORTA HESAPLANMASI</t>
  </si>
  <si>
    <t>MAAŞ KESİM CEZASI HESAPLANMASI</t>
  </si>
  <si>
    <t>TARHİYAT SONRASI UZLAŞMA TOPNTASINDA TOPLANTI ÜCRETİNİN HESAPLANMASI</t>
  </si>
  <si>
    <t>Maaş Katsayısı* Ek Gösterge</t>
  </si>
  <si>
    <t>Not:Müdürlerde toplantı sayısı 2’yi müdür yardımcılarına 4’ü geçemez. (Bordroda 5 toplantı yazsa bile en fazla 2 ve 4’ü geçemez.)</t>
  </si>
  <si>
    <t>GÖSTERGE AYLIĞI</t>
  </si>
  <si>
    <r>
      <t>1-Gösterge Aylığı:</t>
    </r>
    <r>
      <rPr>
        <sz val="12"/>
        <rFont val="Times New Roman"/>
        <family val="1"/>
        <charset val="162"/>
      </rPr>
      <t xml:space="preserve"> 657 sayılı Kanunun 43 üncü maddesinin (A) bendi uyarınca derece ve kademe esasına göre düzenlenen aylık gösterge tablolarında yer alan gösterge rakamlarının memur aylık katsayısı ile çarpımı sonucu bulunacak miktarı ifade etmektedir.</t>
    </r>
  </si>
  <si>
    <t>Gösterge Aylığı= Gösterge Rakamı* Maaş Katsayısı</t>
  </si>
  <si>
    <t>7 inci derecenin 3 üncü kademesinde yer alan bir memurun gösterge aylığı:</t>
  </si>
  <si>
    <t>TABAN AYLIĞI</t>
  </si>
  <si>
    <r>
      <t>2-Taban Aylığı:</t>
    </r>
    <r>
      <rPr>
        <sz val="12"/>
        <rFont val="Times New Roman"/>
        <family val="1"/>
        <charset val="162"/>
      </rPr>
      <t xml:space="preserve"> 27.6.1989 tarihli ve 375 sayılı KHK’nin değişik 1 inci maddesi hükmü uyarınca; “1.000” gösterge rakamının taban aylık katsayısı ile çarpımı sonucunda bulunan miktarı ifade etmektedir.</t>
    </r>
  </si>
  <si>
    <t>Taban Aylığı=1000*Taban Aylık Katsayısı</t>
  </si>
  <si>
    <t>KIDEM AYLIĞI</t>
  </si>
  <si>
    <r>
      <t>3-Kıdem Aylığı:</t>
    </r>
    <r>
      <rPr>
        <sz val="12"/>
        <rFont val="Times New Roman"/>
        <family val="1"/>
        <charset val="162"/>
      </rPr>
      <t xml:space="preserve"> 27.6.1989 tarihli ve 375 sayılı KHK’nin değişik 1 inci maddesi gereğince taban aylığından yararlanan personele hizmet süresi itibariyle belirlenen kıdem göstergesinin memur aylık katsayısı ile çarpımı sonucu bulunan tutar üzerinden parayı ifade etmektedir. Kıdem göstergesi her hizmet yılı için 20 olarak belirlenmiştir. 25 ve daha fazla hizmet yılını dolduranlar için gösterge rakamı 500 olmak hesaplanır.</t>
    </r>
  </si>
  <si>
    <t>Kıdem Aylığı=Hizmet Yılı*20*Maaş Katsayı</t>
  </si>
  <si>
    <t>EK GÖSTERGE AYLIĞI</t>
  </si>
  <si>
    <r>
      <t>4-Ek Gösterge Aylığı:</t>
    </r>
    <r>
      <rPr>
        <sz val="12"/>
        <rFont val="Times New Roman"/>
        <family val="1"/>
        <charset val="162"/>
      </rPr>
      <t xml:space="preserve"> 657 sayılı Devlet Memurları Kanununa ekli ek gösterge cetvellerinde hizmet sınıfı, kadro unvanı ve derecesine göre belirtilen gösterge rakamlarının memur aylık katsayısı ile çarpılarak bulunacak miktarı ifade etmektedir. 1995/4625 sayılı Danıştay kararı gereğince, kazanılmış hak aylığına esas dereceler ek gösterge aylığının hesaplamasında kullanılmaktadır.</t>
    </r>
  </si>
  <si>
    <t>Ek Gösterge Aylığı=Ek Gösterge Rakamı*Maaş Katsayı</t>
  </si>
  <si>
    <t>YAN ÖDEMENİN HESAPLANMASI</t>
  </si>
  <si>
    <t>Yan Ödeme Puanı (İş Güçlüğü + Eleman Tem. Güç.+İş Riski Zammı)* Yan Ödeme Katsayısı</t>
  </si>
  <si>
    <t>A-GELİRLER</t>
  </si>
  <si>
    <r>
      <t>1-Gösterge Aylığı (Aylık Tutar):</t>
    </r>
    <r>
      <rPr>
        <sz val="12"/>
        <rFont val="Times New Roman"/>
        <family val="1"/>
        <charset val="162"/>
      </rPr>
      <t xml:space="preserve"> 657 sayılı Kanunun 43 üncü maddesinin (A) bendi uyarınca derece ve kademe esasına göre düzenlenen aylık gösterge tablolarında yer alan gösterge rakamlarının memur aylık katsayısı ile çarpımı sonucu bulunacak miktarı ifade etmektedir.</t>
    </r>
  </si>
  <si>
    <t>Gösterge Aylığı= Gösterge Rakamı*Aylık Katsayı</t>
  </si>
  <si>
    <t>Kıdem Aylığı=Hizmet Yılı*20*Aylık Katsayı</t>
  </si>
  <si>
    <t>Ek Gösterge Aylığı=Ek Gösterge Rakamı*Aylık Katsayı</t>
  </si>
  <si>
    <t>5-Zam ve Tazminatlar:</t>
  </si>
  <si>
    <r>
      <t>a-Zamlar:</t>
    </r>
    <r>
      <rPr>
        <sz val="12"/>
        <rFont val="Times New Roman"/>
        <family val="1"/>
        <charset val="162"/>
      </rPr>
      <t xml:space="preserve"> 657 sayılı Kanunun 152 nci maddesinin verdiği yetkiye dayanarak Bakanlar Kurulunca çıkarılan Yan Ödeme Kararnamelerinde (Sitemizin Mevzuat/BKK bölümünde yer almaktadır) sınıf, unvan, derece, görev yeri vb. niteliklere göre tespit edilen iş güçlüğü, iş riski, temininde güçlük ve mali sorumluluk zammı puanlarının yine Bakanlar Kurulu Kararında belirlenen yan ödeme katsayısı ile çarpılarak hesaplanacak miktarı ifade etmektedir.</t>
    </r>
  </si>
  <si>
    <t>Ödenecek Zam Tutarı=Yan Ödeme Puanı (İş Güçlüğü+İş Riski+Temininde Güçlük+Mali Sorumluluk Zamları)*Yan Ödeme Katsayısı</t>
  </si>
  <si>
    <r>
      <t>b-Tazminatlar:</t>
    </r>
    <r>
      <rPr>
        <sz val="12"/>
        <rFont val="Times New Roman"/>
        <family val="1"/>
        <charset val="162"/>
      </rPr>
      <t xml:space="preserve"> Görevin önem, sorumluluk ve niteliği, görev yerinin özelliği, hizmet süresi, kadro unvan ve derecesi ve eğitim seviyesi gibi hususlar göz önüne alınarak, bu Kanunda belirtilen en yüksek Devlet memuru aylığının (ek gösterge dahil) brüt tutarının belirli bir oranı şeklinde ödenen tutarı ifade etmektedir.</t>
    </r>
  </si>
  <si>
    <t>Görevlerin nitelikleri itibariyle kanunda memurlara ödenmesi öngörülen tazminatlar şunlardır:</t>
  </si>
  <si>
    <t>a-Özel Hizmet Tazminatı</t>
  </si>
  <si>
    <t>b-Eğitim Öğretim Tazminatı</t>
  </si>
  <si>
    <t>c-Din Hizmetleri Tazminatı</t>
  </si>
  <si>
    <t>d-Emniyet Hizmetleri Tazminatı</t>
  </si>
  <si>
    <t>e-Mülki İdare Amirliği Özel Hizmet Tazminatı</t>
  </si>
  <si>
    <t>f-Denetim Tazminatı</t>
  </si>
  <si>
    <t>g-Adalet Hizmetleri Tazminatı</t>
  </si>
  <si>
    <t>f-Diğer tazminatlar.</t>
  </si>
  <si>
    <t>Ödenecek Tazminat Miktarı=En Yüksek Devlet Memuru Aylığı*Tazminat Oranı</t>
  </si>
  <si>
    <t>Tazminat oranını ne olduğu Yan Ödeme Kararnamesine bakılarak tespit edilecektir.</t>
  </si>
  <si>
    <r>
      <t>8- Yabancı Dil Tazminatı:</t>
    </r>
    <r>
      <rPr>
        <sz val="12"/>
        <rFont val="Times New Roman"/>
        <family val="1"/>
        <charset val="162"/>
      </rPr>
      <t xml:space="preserve"> 27.6.1989 tarihli ve 375 sayılı KHK ile düzenlenmiştir. Buna göre; Maliye Bakanlığı ve Devlet Personel Başkanlığınca müştereken belirlenen dillerden yine bu iki kurum tarafından tespit olunan esas ve usuller çerçevesinde yapılan yabancı dil seviye tespiti sonunda her bir dil için (A) düzeyinde başarılı olanlara 1500, (B) düzeyinde başarılı olanlara 600, (C) düzeyinde başarılı olanlara 300 gösterge rakamının memur aylık katsayısı ile çarpımı sonucu bulunan tutarı geçmemek üzere Maliye Bakanlığının teklifi ve Başbakan onayı ile belirlenecek miktarlarda aylık yabancı dil tazminatı ödenebilir. Uygulamada Maliye Bakanlığının 1997 tarihli Genelgesi uyarınca yabancı dil bilgisinden yararlanılan personel için, KPDS’den 90-95 puan alanlar için 900, 96-100 puan alanlar için 1.200 rakamı esas alınmaktadır.</t>
    </r>
  </si>
  <si>
    <t>Yabancı Dil Tazminatı=Yabancı Dil Bilgisi Düzeyi*Aylık Katsayı</t>
  </si>
  <si>
    <t>Dört yıl ve daha uzun süreli yükseköğrenimi bitirerek Kurumların teknik hizmetler sınıfı veya il ya da bölge teşkilatında birinci dereceli yönetici kadrolarına atanan yüksek mühendis, mühendis, yüksek mimar, mimar ve benzeri teknik bilimler lisansiyerlerinden; fiilen yatırım hizmetlerinde görevlendirilen ve yabancı dil bilgileri birinci fıkra uyarınca yapılacak seviye tespit sınavı sonucunda (A) düzeyinde olanlara 19.000.000 lira, (B) düzeyinde olanlara 11.000.000 lira, (C) düzeyinde olanlara 7.000.000 lira yabancı dil tazminatı ödenir.</t>
  </si>
  <si>
    <r>
      <t>9-Makam Tazminatı:</t>
    </r>
    <r>
      <rPr>
        <sz val="12"/>
        <rFont val="Times New Roman"/>
        <family val="1"/>
        <charset val="162"/>
      </rPr>
      <t xml:space="preserve"> 657 sayılı Kanunun Ek 26 ncı maddesi hükmü uyarınca bu Kanuna ekli Makam Tazminatı Cetvelinde yer alan kadro unvanlarına atanan personele anılan cetvelde bu unvanlar için belirlenen gösterge rakamlarının memur aylık katsayısıyla çarpımı sonucu bulunacak miktar üzerinden ödenmektedir.</t>
    </r>
  </si>
  <si>
    <t>Makam Tazminatı=Makam Tazminatı Gösterge Rakamı*Aylık Katsayı</t>
  </si>
  <si>
    <r>
      <t>10-Görev Tazminatı:</t>
    </r>
    <r>
      <rPr>
        <sz val="12"/>
        <rFont val="Times New Roman"/>
        <family val="1"/>
        <charset val="162"/>
      </rPr>
      <t xml:space="preserve"> Temsil tazminatı almayan personelden; 7.000`den daha düşük göstergeler üzerinden makam veya yüksek hakimlik tazminatı öngörülen kadrolara atanmış olanlara, 15.000 gösterge rakamını geçmemek üzere Bakanlar Kurulunca tespit edilecek gösterge rakamlarının memur aylıklarına uygulanan katsayı ile çarpımı sonucunda bulunacak miktarda görev tazminatı ödenir.</t>
    </r>
  </si>
  <si>
    <t>Makam veya yüksek hakimlik tazminatı gösterge rakamları;</t>
  </si>
  <si>
    <t>1- 6000 olanlara 9000</t>
  </si>
  <si>
    <t>2- 5500-4500 olanlara 7000</t>
  </si>
  <si>
    <t>3- 4000 ve aşağısı olanlara 6000</t>
  </si>
  <si>
    <t>gösterge rakamının, almakta oldukları makam veya yüksek hakimlik tazminatı gösterge rakamlarına ilave edilmesi suretiyle bulunan gösterge rakamının memur aylıklarına uygulanan katsayı ile çarpımı sonucunda bulunacak miktarda görev tazminatı ödenir.</t>
  </si>
  <si>
    <t>Görev Tazminatı=(Makam Tazminatı Göstergesi + Makam Tazminatı Gösterge Rakamına Tekabül Eden Görev Tazminatı Miktarı)*Aylık Katsayı</t>
  </si>
  <si>
    <t>3000 puan Makam Tazminatı olan bir kamu görevlisine ödenecek Görev tazminatı:</t>
  </si>
  <si>
    <t>(3.000+6.000)*32.650=293.850.000 TL</t>
  </si>
  <si>
    <r>
      <t>11- Temsil Tazminatı:</t>
    </r>
    <r>
      <rPr>
        <sz val="12"/>
        <rFont val="Times New Roman"/>
        <family val="1"/>
        <charset val="162"/>
      </rPr>
      <t xml:space="preserve"> Makam veya yüksek hakimlik tazminatı öngörülen kadrolarda bulunanlardan Bakanlar Kurulu Kararı ile belirlenecek olanlara 30.000 gösterge rakamının memur aylıklarına uygulanan katsayı ile çarpımı sonucu bulunacak miktarı geçmemek üzere temsil tazminatı ödenir.</t>
    </r>
  </si>
  <si>
    <t>Makam veya Yüksek Hakimlik Tazminatı Göstergesi 30.000 olanlara 30.000; 20.000 olanlara 20.000; 15.000 olanlara 20.000; 10.000 olanlara 19.000; 8.000 olanlara 18.000; 7.000 olanlara 17.000 gösterge tutarında Temsil tazminatı ödenmektedir.</t>
  </si>
  <si>
    <t>Temsil Tazminatı=Makam Tazminatı Göstergesine Karşılık Gelen Temsil Tazminatı Göstergesi*Aylık Katsayı</t>
  </si>
  <si>
    <t>12-Diğerleri :Burada sayılan ana kalemlerin dışında varsa fazla çalışma ücreti, ek tazminat (375 sayılı KHK) ile bazı kurumlarda ödenen fon, ek ödeme ve benzeri ödeme kalemleri de istihkaklar kısmına eklenecektir.</t>
  </si>
  <si>
    <t>KESİNTİLER:</t>
  </si>
  <si>
    <r>
      <t>1-Emekli Sandığı Kesintisi:</t>
    </r>
    <r>
      <rPr>
        <sz val="12"/>
        <rFont val="Times New Roman"/>
        <family val="1"/>
        <charset val="162"/>
      </rPr>
      <t xml:space="preserve"> Kesenek şu şekilde formüle edilebilir:</t>
    </r>
  </si>
  <si>
    <t>Bu emekli keseneğinin kişi için hesaplanan miktarıdır. Kurum karşılığı ise %20 olduğundan formül şu şekilde olacaktır:</t>
  </si>
  <si>
    <t>Ek Göstergesi 8400 ve yukarı olanlarda %240’na</t>
  </si>
  <si>
    <t>Ek Göstergesi 7600 (dahil)-8400(hariç) arasında olanlarda %180</t>
  </si>
  <si>
    <t>Ek Göstergesi 4800 (dahil)-7600(hariç) arasında olanlarda %150</t>
  </si>
  <si>
    <t>Ek Göstergesi 3600 (dahil)-4800(hariç) arasında olanlarda %130</t>
  </si>
  <si>
    <t>Ek Göstergesi 2200 (dahil)-3600(hariç) arasında olanlarda %70</t>
  </si>
  <si>
    <t>Diğerlerinde %40’ına tekabül eden miktardır.</t>
  </si>
  <si>
    <r>
      <t>2-Gelir Vergisi:</t>
    </r>
    <r>
      <rPr>
        <sz val="12"/>
        <rFont val="Times New Roman"/>
        <family val="1"/>
        <charset val="162"/>
      </rPr>
      <t xml:space="preserve"> Yukarıda sayılan temel ödeme kalemleri açısından gelir vergisi şu şekilde hesaplanmaktadır: (Gelir Vergisi ilk dilim %15 olarak alınacaktır)</t>
    </r>
  </si>
  <si>
    <t>[Taban Aylığı+Kıdem Aylığı+Gösterge Aylığı+Ek Gösterge Aylığı+Yan Ödeme Aylığı (Zamlar)- (Özel İndirim Tutarı +Emekli Keseneği) ]* Vergi Dilimine göre belirlenen vergi oranı</t>
  </si>
  <si>
    <t xml:space="preserve">Muhasebe Şefi </t>
  </si>
  <si>
    <t xml:space="preserve">Defterdarlık Muhasebe Müdürlüğü BURSA </t>
  </si>
  <si>
    <t>hialaca@muhasebat.gov.tr</t>
  </si>
  <si>
    <t xml:space="preserve">5434 Göre </t>
  </si>
  <si>
    <t xml:space="preserve">5510 Göre </t>
  </si>
  <si>
    <r>
      <t>       g) En az üç yıl süreli yükseköğrenim veren fakülte ve yüksekokulları bitirerek mesleğe özel yarışma sınavı ile giren ve belirli süreli meslek içi eğitimden sonra özel bir yeterlik sınavı sonunda (veya yüksek öğrenimli olup,özel kanunların öngördüğü şartları taşıyanlardan en az sekiz yıl mesleki görev yaptıktan sonra yine bu kanunların öngördüğü usule göre seçilerek) atanan Başbakanlık, Bakanlık, Müsteşarlık, Diyanet İşleri Başkanlığı ve Bağımsız Genel Müdürlük ve Büyük Şehir Belediyesiyle Büyük Şehir Belediye sınırları içindeki ilçe Belediyeleri Müfettişleri, Başbakanlık Uzmanları, Kalkınma bakanlığı Planlama Uzmanları,</t>
    </r>
    <r>
      <rPr>
        <vertAlign val="superscript"/>
        <sz val="9"/>
        <color indexed="8"/>
        <rFont val="Times New Roman"/>
        <family val="1"/>
        <charset val="162"/>
      </rPr>
      <t>(30)</t>
    </r>
    <r>
      <rPr>
        <sz val="9"/>
        <color indexed="8"/>
        <rFont val="Times New Roman"/>
        <family val="1"/>
        <charset val="162"/>
      </rPr>
      <t xml:space="preserve">Başbakanlık Yüksek Denetleme Kurulu Uzmanları, Dışişleri Meslek Memurları, </t>
    </r>
    <r>
      <rPr>
        <sz val="9"/>
        <color indexed="10"/>
        <rFont val="Times New Roman"/>
        <family val="1"/>
        <charset val="162"/>
      </rPr>
      <t xml:space="preserve">Maliye Bakanlığı Vergi Müfettişleri </t>
    </r>
    <r>
      <rPr>
        <vertAlign val="superscript"/>
        <sz val="9"/>
        <color indexed="10"/>
        <rFont val="Times New Roman"/>
        <family val="1"/>
        <charset val="162"/>
      </rPr>
      <t>(32)</t>
    </r>
    <r>
      <rPr>
        <sz val="9"/>
        <color indexed="8"/>
        <rFont val="Times New Roman"/>
        <family val="1"/>
        <charset val="162"/>
      </rPr>
      <t xml:space="preserve"> ile Hazine Müsteşarlığı Bankalar Yeminli Murakıpları ve Hazine Kontrolörleri, Hazine Uzmanları </t>
    </r>
    <r>
      <rPr>
        <vertAlign val="superscript"/>
        <sz val="9"/>
        <color indexed="8"/>
        <rFont val="Times New Roman"/>
        <family val="1"/>
        <charset val="162"/>
      </rPr>
      <t xml:space="preserve">(1) </t>
    </r>
    <r>
      <rPr>
        <sz val="9"/>
        <color indexed="8"/>
        <rFont val="Times New Roman"/>
        <family val="1"/>
        <charset val="162"/>
      </rPr>
      <t>Sigorta Denetleme Uzmanları ile Aktüerleri, (…)</t>
    </r>
    <r>
      <rPr>
        <vertAlign val="superscript"/>
        <sz val="9"/>
        <color indexed="8"/>
        <rFont val="Times New Roman"/>
        <family val="1"/>
        <charset val="162"/>
      </rPr>
      <t>(30)</t>
    </r>
    <r>
      <rPr>
        <sz val="9"/>
        <color indexed="8"/>
        <rFont val="Times New Roman"/>
        <family val="1"/>
        <charset val="162"/>
      </rPr>
      <t xml:space="preserve"> Dış Ticaret Uzmanları ve Dış Ticaret Uzmanları, (…)</t>
    </r>
    <r>
      <rPr>
        <vertAlign val="superscript"/>
        <sz val="9"/>
        <color indexed="8"/>
        <rFont val="Times New Roman"/>
        <family val="1"/>
        <charset val="162"/>
      </rPr>
      <t>(36)</t>
    </r>
    <r>
      <rPr>
        <sz val="9"/>
        <color indexed="8"/>
        <rFont val="Times New Roman"/>
        <family val="1"/>
        <charset val="162"/>
      </rPr>
      <t xml:space="preserve"> Avrupa Birliği İşleri Uzmanları, (…)</t>
    </r>
    <r>
      <rPr>
        <vertAlign val="superscript"/>
        <sz val="9"/>
        <color indexed="8"/>
        <rFont val="Times New Roman"/>
        <family val="1"/>
        <charset val="162"/>
      </rPr>
      <t>(32)</t>
    </r>
    <r>
      <rPr>
        <sz val="9"/>
        <color indexed="8"/>
        <rFont val="Times New Roman"/>
        <family val="1"/>
        <charset val="162"/>
      </rPr>
      <t xml:space="preserve">  Çalışma ve Sosyal Güvenlik Bakanlığı İş ve İş Güvenliği Müfettişleri ve Bakanlıkların Merkez Teşkilatına dahil Genel Müdürlükleri Kontrolörleri ve İçişleri Bakanlığı Dernekler Denetçileri ile Sosyal Güvenlik Kurumu Müfettişleri, Sosyal Güvenlik Uzmanları, Milli Savunma Bakanlığı Akaryakıt İkmal ve NATO POL Tesisleri İşletme Başkanlığı Müfettişleri, Türkiye İstatistik Kurumu Uzmanları ile 5018 sayılı Kamu Mali Yönetimi ve Kontrol Kanunu hükümlerine göre atanan İç Denetçiler,</t>
    </r>
    <r>
      <rPr>
        <sz val="9"/>
        <color indexed="10"/>
        <rFont val="Times New Roman"/>
        <family val="1"/>
        <charset val="162"/>
      </rPr>
      <t xml:space="preserve"> </t>
    </r>
    <r>
      <rPr>
        <sz val="9"/>
        <color indexed="10"/>
        <rFont val="TimesTürk"/>
      </rPr>
      <t>Mill</t>
    </r>
    <r>
      <rPr>
        <sz val="9"/>
        <color indexed="10"/>
        <rFont val="Times New Roman"/>
        <family val="1"/>
        <charset val="162"/>
      </rPr>
      <t>î</t>
    </r>
    <r>
      <rPr>
        <sz val="9"/>
        <color indexed="10"/>
        <rFont val="TimesTürk"/>
      </rPr>
      <t xml:space="preserve"> E</t>
    </r>
    <r>
      <rPr>
        <sz val="9"/>
        <color indexed="10"/>
        <rFont val="Times New Roman"/>
        <family val="1"/>
        <charset val="162"/>
      </rPr>
      <t>ğ</t>
    </r>
    <r>
      <rPr>
        <sz val="9"/>
        <color indexed="10"/>
        <rFont val="TimesTürk"/>
      </rPr>
      <t>itim Uzmanlar</t>
    </r>
    <r>
      <rPr>
        <sz val="9"/>
        <color indexed="10"/>
        <rFont val="Times New Roman"/>
        <family val="1"/>
        <charset val="162"/>
      </rPr>
      <t>ı</t>
    </r>
    <r>
      <rPr>
        <sz val="9"/>
        <color indexed="8"/>
        <rFont val="TimesTürk"/>
      </rPr>
      <t>, Mill</t>
    </r>
    <r>
      <rPr>
        <sz val="9"/>
        <color indexed="8"/>
        <rFont val="Times New Roman"/>
        <family val="1"/>
        <charset val="162"/>
      </rPr>
      <t>î</t>
    </r>
    <r>
      <rPr>
        <sz val="9"/>
        <color indexed="8"/>
        <rFont val="TimesTürk"/>
      </rPr>
      <t xml:space="preserve"> E</t>
    </r>
    <r>
      <rPr>
        <sz val="9"/>
        <color indexed="8"/>
        <rFont val="Times New Roman"/>
        <family val="1"/>
        <charset val="162"/>
      </rPr>
      <t>ğ</t>
    </r>
    <r>
      <rPr>
        <sz val="9"/>
        <color indexed="8"/>
        <rFont val="TimesTürk"/>
      </rPr>
      <t>itim Denet</t>
    </r>
    <r>
      <rPr>
        <sz val="9"/>
        <color indexed="8"/>
        <rFont val="Times New Roman"/>
        <family val="1"/>
        <charset val="162"/>
      </rPr>
      <t>ç</t>
    </r>
    <r>
      <rPr>
        <sz val="9"/>
        <color indexed="8"/>
        <rFont val="TimesTürk"/>
      </rPr>
      <t xml:space="preserve">ileri ve </t>
    </r>
    <r>
      <rPr>
        <sz val="9"/>
        <color indexed="8"/>
        <rFont val="Times New Roman"/>
        <family val="1"/>
        <charset val="162"/>
      </rPr>
      <t>İ</t>
    </r>
    <r>
      <rPr>
        <sz val="9"/>
        <color indexed="8"/>
        <rFont val="TimesTürk"/>
      </rPr>
      <t>l E</t>
    </r>
    <r>
      <rPr>
        <sz val="9"/>
        <color indexed="8"/>
        <rFont val="Times New Roman"/>
        <family val="1"/>
        <charset val="162"/>
      </rPr>
      <t>ğ</t>
    </r>
    <r>
      <rPr>
        <sz val="9"/>
        <color indexed="8"/>
        <rFont val="TimesTürk"/>
      </rPr>
      <t>itim Denetmenleri</t>
    </r>
    <r>
      <rPr>
        <sz val="9"/>
        <color indexed="8"/>
        <rFont val="Times New Roman"/>
        <family val="1"/>
        <charset val="162"/>
      </rPr>
      <t>,</t>
    </r>
    <r>
      <rPr>
        <i/>
        <sz val="8"/>
        <color indexed="8"/>
        <rFont val="Times New Roman"/>
        <family val="1"/>
        <charset val="162"/>
      </rPr>
      <t xml:space="preserve"> </t>
    </r>
    <r>
      <rPr>
        <sz val="9"/>
        <color indexed="8"/>
        <rFont val="Times New Roman"/>
        <family val="1"/>
        <charset val="162"/>
      </rPr>
      <t xml:space="preserve">Aile ve Sosyal Politikalar Denetçileri </t>
    </r>
    <r>
      <rPr>
        <vertAlign val="superscript"/>
        <sz val="9"/>
        <color indexed="8"/>
        <rFont val="Times New Roman"/>
        <family val="1"/>
        <charset val="162"/>
      </rPr>
      <t>(1)(9)(10)(14)(15)(16)(17) (22)(24)(30)(32)(35)</t>
    </r>
    <r>
      <rPr>
        <sz val="9"/>
        <color indexed="8"/>
        <rFont val="Times New Roman"/>
        <family val="1"/>
        <charset val="162"/>
      </rPr>
      <t xml:space="preserve">        </t>
    </r>
  </si>
  <si>
    <t>2 Kasım 2011 ÇARŞAMBA</t>
  </si>
  <si>
    <t>Resmî Gazete</t>
  </si>
  <si>
    <r>
      <t xml:space="preserve">Sayı : 28103 </t>
    </r>
    <r>
      <rPr>
        <b/>
        <sz val="8"/>
        <rFont val="Arial"/>
        <family val="2"/>
        <charset val="162"/>
      </rPr>
      <t>(Mükerrer)</t>
    </r>
  </si>
  <si>
    <t>KANUN HÜKMÜNDE KARARNAME</t>
  </si>
  <si>
    <t>KAMU GÖREVLİLERİNİN MALİ HAKLARININ DÜZENLENMESİ AMACIYLA</t>
  </si>
  <si>
    <t xml:space="preserve">BAZI KANUN VE KANUN HÜKMÜNDE KARARNAMELERDE </t>
  </si>
  <si>
    <t>DEĞİŞİKLİK YAPILMASINA DAİR KANUN</t>
  </si>
  <si>
    <t>HÜKMÜNDE KARARNAME</t>
  </si>
  <si>
    <t>Karar Sayısı: KHK/666</t>
  </si>
  <si>
    <t>Kamu görevlilerinin bazı mali haklarına ilişkin düzenleme yapılması; 6/4/2011 tarihli ve 6223 sayılı Kanunun verdiği yetkiye dayanılarak, Bakanlar Kurulu’nca 11/10/2011 tarihinde kararlaştırılmıştır.</t>
  </si>
  <si>
    <r>
      <t>MADDE 1-</t>
    </r>
    <r>
      <rPr>
        <sz val="9"/>
        <rFont val="Calibri"/>
        <family val="2"/>
        <charset val="162"/>
      </rPr>
      <t>27/6/1989 tarihli ve 375 sayılı Kanun Hükmünde Kararnameye aşağıdaki ek maddeler eklenmiştir.</t>
    </r>
  </si>
  <si>
    <t xml:space="preserve">EK MADDE 10- Cumhurbaşkanlığı Genel Sekreterliği, Türkiye Büyük Millet Meclisi Genel Sekreterliği, Başbakanlık ve bakanlıklar ile bunların bağlı ve ilgili kuruluşları (Milli İstihbarat Teşkilatı Müsteşarlığı ile 2659 sayılı Kanunun 30 uncu maddesi ve 399 sayılı Kanun Hükmünde Kararnamenin ek 2 nci maddesi kapsamında bulunanlar hariç), sosyal güvenlik kurumları, Yükseköğretim Kurulu, Üniversitelerarası Kurul ve Ölçme, Seçme ve Yerleştirme Merkezi Başkanlığının; </t>
  </si>
  <si>
    <t>EK MADDE 11- Bu maddenin yürürlüğe girdiği tarihten sonra;</t>
  </si>
  <si>
    <t xml:space="preserve">EK MADDE 12- 1) 14/1/2012 tarihinden geçerli olmak üzere; </t>
  </si>
  <si>
    <t>EK MADDE 13- Belirli bir sürede bitirilmesi gereken zorunlu ve istisnai işlerden, her defasında ayrıca Bakanlar Kurulu kararı alınması kaydıyla, Bakanlar Kurulunca uygun görülenlerde çalışan 657 sayılı Kanuna tabi personele, ayda elli saati ve bir yılda altı ayı geçmemek üzere yılı merkezi yönetim bütçe kanununda belirlenen fazla çalışma saat ücretinin beş katını aşmamak kaydıyla ilgili kurumun önerisi ve Maliye Bakanlığının teklifi üzerine Bakanlar Kurulunca belirlenen çalışma süresi, miktar, usul ve esaslar dahilinde fazla çalışma ücreti ödenebilir. Bu ödeme damga vergisi hariç herhangi bir vergiye tabi tutulmaz. Diğer mevzuat hükümleri çerçevesinde yaptıkları fazla çalışma karşılığında herhangi bir ad altında ödeme yapılan personele bu madde uyarınca ayrıca fazla çalışma ücreti ödenmez.</t>
  </si>
  <si>
    <t>EK MADDE 14- Cumhurbaşkanı, Türkiye Büyük Millet Meclisi Başkanı ve Başbakanın yakın koruma ve makam hizmetlerinde görev yapan personele en yüksek Devlet memuru aylığının %200’ünü geçmemek üzere ilave ek ödeme yapılabilir. Sözkonusu personele yapılacak ek ödeme oranını belirlemeye ilgisine göre Cumhurbaşkanı, Türkiye Büyük Millet Meclisi Başkanı ve Başbakan yetkilidir. Bunlara, görevlendirilmelerinden dolayı mevzuatı uyarınca da herhangi bir ad altında ödeme yapılması halinde, bu ödemelerden yalnızca biri ödenir. Bu ödeme damga vergisi hariç herhangi bir vergiye tabi tutulmaz.”</t>
  </si>
  <si>
    <r>
      <t>MADDE 2</t>
    </r>
    <r>
      <rPr>
        <sz val="9"/>
        <rFont val="Calibri"/>
        <family val="2"/>
        <charset val="162"/>
      </rPr>
      <t>- 375</t>
    </r>
    <r>
      <rPr>
        <b/>
        <sz val="9"/>
        <rFont val="Calibri"/>
        <family val="2"/>
        <charset val="162"/>
      </rPr>
      <t xml:space="preserve"> </t>
    </r>
    <r>
      <rPr>
        <sz val="9"/>
        <rFont val="Calibri"/>
        <family val="2"/>
        <charset val="162"/>
      </rPr>
      <t>sayılı Kanun Hükmünde Kararnameye aşağıdaki geçici maddeler eklenmiştir.</t>
    </r>
  </si>
  <si>
    <t xml:space="preserve">“GEÇİCİ MADDE 10- Bu Kanun Hükmünde Kararnamenin; </t>
  </si>
  <si>
    <r>
      <t>b) Ek 12 nci maddesinde belirtilen hükümler uyarınca yapılan ödemelere,</t>
    </r>
    <r>
      <rPr>
        <strike/>
        <sz val="9"/>
        <rFont val="Times New Roman"/>
        <family val="1"/>
        <charset val="162"/>
      </rPr>
      <t xml:space="preserve"> </t>
    </r>
  </si>
  <si>
    <t>c) Geçici 16 ncı maddesi kapsamında yer alan personelin mali ve sosyal haklarına,</t>
  </si>
  <si>
    <t>ilişkin bu maddenin yayımı tarihinde mevcut karar, onay veya diğer mevzuatı uyarınca yapılmış bulunan belirlemelerde herhangi bir değişiklik yapılamaz ve yeni bir unsur eklenemez.</t>
  </si>
  <si>
    <t>GEÇİCİ MADDE 11- Ek 12 nci maddenin birinci fıkrasıyla 14/1/2012 tarihi itibarıyla yürürlükten kaldırılan hükümler ile 209 sayılı Kanunun 5 inci maddesi ve 4458 sayılı Kanunun 221 inci maddesinin bu Kanun Hükmünde Kararnameyle değiştirilmeden önceki hükümleri uyarınca yapılan ödemelerden yararlananlara (Sağlık Bakanlığı taşra teşkilatı, Türkiye Halk Sağlığı Kurumu Laboratuvarları ve Türkiye Kamu Hastaneleri taşra teşkilatı personeli ile 4458 sayılı Kanunun bu Kanun Hükmünde Kararnameyle değişik 221 inci maddesi ve 5502 sayılı Kanunun 28 inci maddesinin sekizinci fıkrası kapsamında bulunanlar hariç), anılan tarih itibarıyla sözkonusu hükümler uyarınca hesaplanacak aylık net ödeme (ikramiyelerin bir aya isabet eden tutarı dahil) tutarının (bu tutar sabit bir değer olarak esas alınır); ek 9 uncu madde uyarınca bulundukları kadro ve görev unvanları için ödenen aylık ek ödeme net tutarından fazla olması halinde aradaki fark, herhangi bir vergi ve kesintiye tabi tutulmaksızın ve bu fark giderilinceye kadar ayrıca tazminat olarak ödenir. Bulundukları kadro veya pozisyon unvanlarında isteğe bağlı olarak değişiklik olanlar ile kendi istekleriyle başka kurumlara atananlara fark tazminatı ödenmesine son verilir.</t>
  </si>
  <si>
    <t>GEÇİCİ MADDE 12- Ekli (II) ve (III) sayılı Cetvellerde yer alanlara, bu maddenin yürürlüğe girdiği tarihten önce yürürlükte bulunan mevzuat hükümlerine göre fiili çalışmaya bağlı ödemeler hariç olmak üzere kadrolarına bağlı olarak mali haklar kapsamında fiilen yapılan her türlü ödemeler (ikramiyelerin bir aya isabet eden tutarı dahil) toplamı net tutarının; ek 10 uncu maddeye göre sözkonusu kadro unvanları için öngörülen ücret ve tazminat toplamı net tutarından fazla olması halinde, bu maddenin yürürlüğe girdiği tarihte anılan kadro unvanlarında bulunanlar hakkında (yardımcı veya stajyerlikten uzman, müfettiş, denetçi, kontrolör, stenograf ve aktüer unvanlı kadrolara atananlar ile bu mesleklere mensup olup idari görevlerde bulunanlardan anılan kadrolara yeniden atananlar dahil), bu maddenin yürürlüğe girdiği tarihten önce yürürlükte bulunan mevzuat hükümlerinin geçici 10 uncu ve geçici 15 inci madde hükümleri dikkate alınmak suretiyle uygulanmasına devam olunur. Uygulanmasına devam olunan mevzuat hükümlerine göre mali haklar kapsamında fiilen yapılması öngörülen her türlü ödemeler toplamı net tutarının, herhangi bir nedenle ek 10 uncu maddeye göre ödenmesi öngörülen ücret ve tazminat toplamı net tutarına eşit duruma geldiği veya daha düşük kaldığı tarihten itibaren bunların mali hakları ek 10 uncu maddeye göre belirlenir. Bu maddenin yürürlüğe girdiği tarihten sonra ekli (II) ve (III) sayılı Cetvellerde yer alan unvanlı kadrolara atananların mali hakları ek 10 uncu maddeye göre ödenir.</t>
  </si>
  <si>
    <t>GEÇİCİ MADDE 13- Ek 12 nci maddeyle yürürlükten kaldırılan hükümler uyarınca ikramiye ödenen personelden ekli (II) ve (III) sayılı Cetvellerde yer alan ve 15/1/2012 tarihinden itibaren anılan Cetvellere göre ödeme yapılacaklara, mevzuatında Ocak ayında ödenmesi öngörülen ikramiyeler ödenmez.</t>
  </si>
  <si>
    <t>GEÇİCİ MADDE 14- Cumhurbaşkanlığı Genel Sekreterliği, Türkiye Büyük Millet Meclisi Genel Sekreterliği ve Milli Güvenlik Kurulu Genel Sekreterliğine ait kadro veya pozisyonlarda bu maddenin yürürlüğe girdiği tarihte istihdam edilen personelin mali ve sosyal hakları hakkında bu maddenin yürürlüğe girdiği tarihten önce yürürlükte bulunan mevzuat hükümlerinin, geçici 10 uncu madde hükümleri dikkate alınmak suretiyle anılan kurumlarda istihdam edildikleri sürece uygulanmasına devam olunur.</t>
  </si>
  <si>
    <t>GEÇİCİ MADDE 15- a) Ek 12 nci maddenin ikinci fıkrasıyla 31/12/2011 tarihi itibarıyla yürürlükten kaldırılan; 633 sayılı Kanunun 13 üncü maddesinin son fıkrası, 6831 sayılı Kanunun 71 inci maddesinin son fıkrası, 213 sayılı Kanunun ek 13 üncü maddesinin dördüncü fıkrasının (b), (c) ve (d) bentleri, 3402 sayılı Kanunun geçici 9 uncu maddesi, 3717 sayılı Kanunun 2/A maddesi, 3843 sayılı Kanunun 12 nci maddesinin birinci ve ikinci fıkraları, 4904 sayılı Kanunun 15 inci maddesinin yedinci fıkrası, 5003 sayılı Kanunun 6 ncı maddesinin ikinci, üçüncü ve dördüncü fıkraları, 5490 sayılı Kanunun 66 ncı maddesi, 5502 sayılı Kanunun 28 inci maddesinin beşinci fıkrası ve 6085 sayılı Kanunun 63 üncü maddesinin sekizinci fıkrasında yer alan hükümlerin uygulanmasına 31/12/2012 tarihine kadar devam olunur. Bu süre içinde 6831 sayılı Kanunun 71 inci maddesine göre Orman Genel Müdürlüğü merkez teşkilatı personeli için öngörülen fazla çalışma ücretinin yarısı ödenir. Ek 10 uncu madde kapsamında ödeme yapılanlara bu ödemeler yapılmaz.</t>
  </si>
  <si>
    <t>GEÇİCİ MADDE 16- Ek 10 uncu madde kapsamında yer alan kamu idarelerinde, bu maddenin yürürlüğe girdiği tarihte kadro karşılığı sözleşmeli olarak istihdam edilen personelden (aylıksız izinde bulunanlar dahil) ekli (II) ve (III) sayılı Cetvellerde unvanları yer almayan personelin malî ve sosyal hakları hakkında, aynı kadrolarda bulundukları sürece bu maddenin yürürlüğe girdiği tarihten önce yürürlükte olan mevzuat hükümlerinin uygulanmasına devam olunur.</t>
  </si>
  <si>
    <t>GEÇİCİ MADDE 17- 1/3/2006 tarihinden sonra kurulan üniversitelerin 2547 sayılı Kanunun 58 inci maddesinin (c) ve (f) fıkraları kapsamındaki personeline döner sermaye gelirlerinden aynı maddeye göre ek ödeme yapılmaya başlanıncaya kadar, ek 9 uncu madde uyarınca ek ödeme yapılır.</t>
  </si>
  <si>
    <t xml:space="preserve">GEÇİCİ MADDE 18- Yeni bir düzenleme yapılıncaya kadar, Milli İstihbarat Teşkilatı Müsteşarlığı merkez teşkilatı kadrolarında 657 sayılı Kanunun 4 üncü maddesinin (A) fıkrasına göre çalışmakta olan personele (kadro karşılığı sözleşmeli personel dahil) ek 12 nci maddenin birinci fıkrasıyla 14/1/2012 tarihi itibarıyla yürürlükten kaldırılan 3056 sayılı Kanunun 31 inci maddesinde yer alan fazla mesai ücretine ilişkin hükümlerin aynı usul ve esaslar çerçevesinde uygulanmasına devam olunur. </t>
  </si>
  <si>
    <t xml:space="preserve">GEÇİCİ MADDE 19- Küçük ve Orta Ölçekli Mükellefler Grup Başkanlıklarında görev yapan vergi müfettişi ve yardımcılarına yapılan ek ödeme hakkında diğer grup başkanlıklarında görev yapan vergi müfettişi ve yardımcıları için tespit edilmiş bulunan ek ödeme oranları esas alınır. </t>
  </si>
  <si>
    <t>GEÇİCİ MADDE 20- 15/1/2012 tarihine kadar, ek 9 uncu madde kapsamında bulunanlardan ekli (I) sayılı Cetvelde yer almayanları anılan Cetvelin ilgili sıralarına eklemeye, ilgili kurumun önerisi ve Maliye Bakanlığının teklifi üzerine Bakanlar Kurulu yetkilidir.</t>
  </si>
  <si>
    <t>GEÇİCİ MADDE 21- Bu Kanun Hükmünde Kararnamenin geçici maddelerinin uygulamasına ilişkin olarak ortaya çıkabilecek tereddütleri gidermeye ve uygulamayı yönlendirmeye Maliye Bakanlığı yetkilidir.”</t>
  </si>
  <si>
    <r>
      <t>MADDE 3-</t>
    </r>
    <r>
      <rPr>
        <sz val="9"/>
        <rFont val="Calibri"/>
        <family val="2"/>
        <charset val="162"/>
      </rPr>
      <t xml:space="preserve">14/7/1965 tarihli ve 657 sayılı Kanuna aşağıdaki ek maddeler eklenmiştir. </t>
    </r>
  </si>
  <si>
    <t>“Uzman istihdamı</t>
  </si>
  <si>
    <t>EK MADDE 41- Adalet, Dışişleri, İçişleri ve Millî Savunma Bakanlıklarının, Yükseköğretim Kurulu Başkanlığının ve Bakanlar Kurulunca belirlenen bakanlık bağlı kuruluşlarının merkez teşkilatlarında uzman ve uzman yardımcısı istihdam edilebilir. Bakanlık bağlı kuruluşlarının merkez teşkilatlarında istihdam edilecek uzman ve uzman yardımcısı kadro unvanlarını tespit etmeye Bakanlar Kurulu yetkilidir.</t>
  </si>
  <si>
    <t xml:space="preserve">Uzman yardımcılığına atanabilmek için; 48 inci maddede sayılan şartlara ek olarak, yapılacak yarışma sınavında başarılı olma ve Adalet Uzman Yardımcılığı, Millî Savunma Uzman Yardımcılığı, İçişleri Uzman Yardımcılığı, Dışişleri Uzman Yardımcılığı, Yükseköğretim Kurulu Uzman Yardımcılığı ve Bakanlar Kurulunca belirlenen bakanlık bağlı kuruluşlarının uzman yardımcılığı için en az dört yıllık lisans eğitimi veren hukuk, siyasal bilgiler, iktisat, işletme, iktisadi ve idari bilimler fakültelerinden veya bu bakanlıklar ve kurumlarca yürütülen kurumsal hizmet gerekleri çerçevesinde en az dört yıllık lisans eğitimi veren ve yönetmelikle belirlenen yükseköğretim kurumlarından ya da bunlara denkliği Yükseköğretim Kurulu tarafından kabul edilen yurtiçindeki veya yurtdışındaki öğretim kurumlarından mezun olma şartı aranır. </t>
  </si>
  <si>
    <t>Uzman yardımcıları mesleğe özel yarışma sınavı ile alınır. Uzman yardımcılığı giriş sınavı merkezi sınav sonuçlarına göre; yazılı ve sözlü sınav veya yalnızca sözlü sınavdan oluşur. Öğrenim dalları itibarıyla belirlenecek uzman yardımcılığı kadrolarına giriş sınavı için, eleme sınavı sonucunda aranacak puan türleri, taban puanları ve sınavda alınan başarı derecelerine göre çağrılacak aday sayısı tespit edilerek, giriş sınavı duyurusuyla ilan edilir. Ancak, giriş sınavına çağrılacak aday sayısı, atama yapılacak kadro sayısının yirmi katından, yalnızca sözlü sınav yapılması hâlinde sözlü sınava çağrılacak aday sayısı giriş sınavı duyurusunda belirtilen kadronun dört katından fazla olamaz. Yazılı sınav, kurumun görev alanına göre yönetmelikle belirlenen konulardan yapılır. Yazılı sınav sonucunda yetmiş puandan az olmamak üzere, en yüksek puandan başlanarak giriş sınavı duyurusunda belirtilen kadronun dört katına kadar aday sözlü sınava çağrılır. Sözlü sınav, adayların;</t>
  </si>
  <si>
    <t xml:space="preserve">a) Sınav konularına ilişkin bilgi düzeyi, </t>
  </si>
  <si>
    <t>b) Bir konuyu kavrayıp özetleme, ifade yeteneği ve muhakeme gücü,</t>
  </si>
  <si>
    <t>c) Liyakati, temsil kabiliyeti, davranış ve tepkilerinin mesleğe uygunluğu,</t>
  </si>
  <si>
    <t>d) Özgüveni, ikna kabiliyeti ve inandırıcılığı,</t>
  </si>
  <si>
    <t>e) Genel yetenek ve genel kültürü,</t>
  </si>
  <si>
    <t xml:space="preserve">f) Bilimsel ve teknolojik gelişmelere açıklığı, </t>
  </si>
  <si>
    <t xml:space="preserve">yönlerinden değerlendirilerek, ayrı ayrı puan verilmek suretiyle gerçekleştirilir. </t>
  </si>
  <si>
    <t xml:space="preserve">Adaylar, komisyon tarafından üçüncü fıkranın (a) bendi için elli puan, (b) ila (f) bentlerinde yazılı özelliklerin her biri için onar puan üzerinden değerlendirilir ve verilen puanlar ayrı ayrı tutanağa geçirilir. Bunun dışında sözlü sınav ile ilgili herhangi bir kayıt sistemi kullanılmaz. Sınav komisyonu, kurum içinden veya dışından yönetmelikle belirlenen kişilerden oluşur. Sözlü sınavda başarılı sayılmak için, komisyon başkan ve üyelerinin yüz tam puan üzerinden verdikleri puanların aritmetik ortalamasının en az yetmiş olması şarttır. Başarı puanı en yüksek olan adaydan başlanmak suretiyle giriş sınavı duyurusunda belirtilen uzman yardımcısı kadro sayısı kadar asıl adayın isimleri ilan edilir. Yapılan sınavlarda başarılı olmak şartıyla, giriş sınavı duyurusunda belirtilen uzman yardımcısı kadro sayısının yarısını geçmemek üzere komisyon tarafından belirlenen sayıda yedek adayın isimlerini kapsayan bir liste belirlenerek ilan edilir. </t>
  </si>
  <si>
    <t xml:space="preserve">Uzman yardımcılığına atananlar, en az üç yıl çalışmak ve istihdam edildikleri birimlerce belirlenecek konularda hazırlayacakları uzmanlık tezi, oluşturulacak tez jürisi tarafından kabul edilmek kaydıyla, yapılacak yeterlik sınavına girmeye hak kazanırlar. Süresi içinde tezlerini sunmayan veya tezleri kabul edilmeyenlere tezlerini sunmaları veya yeni bir tez hazırlamaları için altı ayı aşmamak üzere ilave süre verilir. Yeterlik sınavında başarılı olanların uzman kadrolarına atanabilmeleri, Kamu Personeli Yabancı Dil Bilgisi Seviye Tespit Sınavından asgari (C), Dışişleri Uzmanlığı için asgari (B) düzeyinde veya dil yeterliği bakımından bunlara denkliği kabul edilen ve uluslararası geçerliliği bulunan başka bir belgeye yeterlik sınavından itibaren en geç iki yıl içinde sahip olma şartına bağlıdır. Sınavda başarılı olamayanlar veya sınava girmeye hak kazandığı hâlde geçerli mazereti olmaksızın sınav hakkını kullanmayanlara, bir yıl içinde ikinci kez sınav hakkı verilir. Verilen ilave süre içinde tezlerini sunmayan veya ikinci defa hazırladıkları tezleri de kabul edilmeyenler, ikinci sınavda da başarı gösteremeyen veya sınav hakkını kullanmayanlar ile süresi içinde yabancı dil yeterliliği şartını yerine getirmeyenler, uzman yardımcısı unvanını kaybederler ve kurumlarında durumlarına uygun memur unvanlı kadrolara atanırlar. </t>
  </si>
  <si>
    <t>Uzman ve uzman yardımcılarının mesleğe alınmaları, yetiştirilmeleri, yarışma sınavı, tez hazırlama ve yeterlik sınavı ile uzman ve uzman yardımcılarıyla ilgili diğer hususlar, Devlet Personel Başkanlığının görüşü alınarak kurumlarınca hazırlanacak yönetmelikle düzenlenir.</t>
  </si>
  <si>
    <t>Üçüncü, dördüncü, beşinci ve altıncı fıkralarda yer alan hükümler, 36 ncı maddenin “Ortak Hükümler” bölümünün (A) fıkrasının (11) numaralı bendinde belirtilen uzman ve uzman yardımcılarından merkez teşkilatına ait kadrolarda bulunanlar, Türkiye Büyük Millet Meclisi uzman ve uzman yardımcıları ile 5018 sayılı Kamu Malî Yönetimi ve Kontrol Kanununun eki (III) sayılı Cetvelde yer alan düzenleyici ve denetleyici kurumların uzman ve uzman yardımcıları hakkında da uygulanır.</t>
  </si>
  <si>
    <t>Bakanlık bağlı kuruluşlarının merkez teşkilatlarında bu madde uyarınca istihdam edilen uzman ve uzman yardımcıları, bu madde ile bakanlıkların merkez teşkilatı için oluşturulan uzman ve uzman yardımcıları için mevzuatında öngörülmüş olan mali ve sosyal haklar ile 36 ncı maddenin “Ortak Hükümler” bölümünün (A) fıkrasının (11) numaralı bendi hükmünden aynı usul ve esaslar çerçevesinde yararlanırlar.</t>
  </si>
  <si>
    <t>EK MADDE 42- 36 ncı maddenin “Ortak Hükümler” bölümünün (A) fıkrasının (11) numaralı bendinde belirtilen unvanlı kadrolar ile kamu kurum ve kuruluşlarının yarışma ve yeterlik sınavıyla atanılan kadro ve pozisyonlarına alınacak personele ilişkin yapılacak sınavlara; kanunlarında belirtilen fakülte ve/veya bölümlerin yanısıra ilgili kamu kurum ve kuruluşunca yürütülen kurumsal hizmet gerekleri çerçevesinde en az dört yıllık lisans eğitimi veren ve yönetmeliklerinde belirlenen yükseköğretim kurumlarından ya da bunlara denkliği Yükseköğretim Kurulu tarafından kabul edilen yurtiçindeki veya yurtdışındaki öğretim kurumlarından mezun olanlar da başvurabilir.”</t>
  </si>
  <si>
    <r>
      <t>MADDE 4-</t>
    </r>
    <r>
      <rPr>
        <sz val="9"/>
        <rFont val="Calibri"/>
        <family val="2"/>
        <charset val="162"/>
      </rPr>
      <t xml:space="preserve">657 sayılı Kanuna aşağıdaki geçici madde eklenmiştir. </t>
    </r>
  </si>
  <si>
    <r>
      <t>“GEÇİCİ MADDE 39-</t>
    </r>
    <r>
      <rPr>
        <b/>
        <sz val="9"/>
        <rFont val="Calibri"/>
        <family val="2"/>
        <charset val="162"/>
      </rPr>
      <t xml:space="preserve"> </t>
    </r>
    <r>
      <rPr>
        <sz val="9"/>
        <rFont val="Calibri"/>
        <family val="2"/>
        <charset val="162"/>
      </rPr>
      <t xml:space="preserve">Adalet, Dışişleri ve İçişleri Bakanlıkları, Yükseköğretim Kurulu Başkanlığı ve Bakanlar Kurulunca belirlenen bakanlık bağlı kuruluşlarında uzman ve uzman yardımcılıkları ile bakanlıkların 36 ncı maddenin “Ortak Hükümler” bölümünün (A) fıkrasının (11) numaralı bendinde belirtilen merkez teşkilatına ait uzman ve uzman yardımcısı unvanlı kadrolarda kullanılmak üzere genel idare hizmetleri sınıfından üçüncü dereceli ikibin adet uzman, dokuzuncu dereceli üçbin adet uzman yardımcısı kadrosu ihdas edilmiştir. Bu kadroları derece ve unvan değişikliği yapmak suretiyle anılan bakanlıklar ve kurumlara tahsis etmeye, Devlet Personel Başkanlığı ve Maliye Bakanlığının teklifi üzerine Bakanlar Kurulu yetkilidir. Bu fıkraya göre tahsis edilen kadrolar, 190 sayılı Kanun Hükmünde Kararnameye ekli Cetvellerin anılan bakanlıklar ile kurumlara ait ilgili bölümüne eklenmiş sayılır. </t>
    </r>
  </si>
  <si>
    <r>
      <t>190 sayılı Kanun Hükmünde Kararnamenin eki Cetvellerde yer alan kurumların</t>
    </r>
    <r>
      <rPr>
        <b/>
        <sz val="9"/>
        <rFont val="Calibri"/>
        <family val="2"/>
        <charset val="162"/>
      </rPr>
      <t xml:space="preserve"> </t>
    </r>
    <r>
      <rPr>
        <sz val="9"/>
        <rFont val="Calibri"/>
        <family val="2"/>
        <charset val="162"/>
      </rPr>
      <t>152 nci maddenin “II- Tazminatlar” kısmının “(A) Özel Hizmet Tazminatı” bölümünün (ğ) bendinde yer alan uzman ve uzman yardımcısı kadrolarından teknik hizmetler sınıfında bulunanların hizmet sınıfı, genel idare hizmetleri olarak değiştirilmiştir. Bu kadrolarda bulunanlara, bu maddenin yürürlüğe girdiği tarihten önce uygulanmakta olan özel hizmet tazminatı oranının uygulanması sonucunda bulunacak tutar ile hizmet sınıfının değişmesi sonucu belirlenen özel hizmet tazminatı oranının uygulanması sonucunda bulunacak tutar arasındaki fark, farklılık giderilinceye kadar herhangi bir vergi ve kesintiye tabi olmaksızın tazminat olarak ödenir.</t>
    </r>
  </si>
  <si>
    <t xml:space="preserve">Bu maddenin yürürlüğe girdiği tarihte 36 ncı maddenin “Ortak Hükümler” bölümünün (A) fıkrasının (11) numaralı bendinde belirtilen uzman yardımcıları, Türkiye Büyük Millet Meclisi uzman yardımcıları ve 5018 sayılı Kamu Malî Yönetimi ve Kontrol Kanununun eki (III) sayılı Cetvelde yer alan düzenleyici ve denetleyici kurumların uzman yardımcıları kadro veya pozisyonlarında bulunanların yeterlik sınavları ve ilgili uzmanlık kadrolarına atanmaları, bu maddenin yürürlüğe girdiği tarihten önce tabi oldukları mevzuat hükümlerine göre sonuçlandırılır.” </t>
  </si>
  <si>
    <t>Değiştirilen ve eklenen hükümler</t>
  </si>
  <si>
    <r>
      <t>MADDE 5-</t>
    </r>
    <r>
      <rPr>
        <sz val="9"/>
        <rFont val="Calibri"/>
        <family val="2"/>
        <charset val="162"/>
      </rPr>
      <t>a) 9/6/1930 tarihli ve 1700 sayılı Kanunun ek 5 inci maddesinin birinci fıkrasının beşinci cümlesi aşağıdaki şekilde değiştirilmiş ve altıncı cümlesi yürürlükten kaldırılmıştır.</t>
    </r>
  </si>
  <si>
    <t>“İçişleri Bakanlığı teşkilatında Mülki İdare Amirliği Hizmetleri Sınıfında bulunan personele, 375 sayılı Kanun Hükmünde Kararnamenin ek 9 uncu maddesi kapsamında yapılan ek ödeme, 27/1/2000 tarihli ve 4505 sayılı Kanunun 5 inci maddesinin (c) fıkrası ile 631 sayılı Kanun Hükmünde Kararnamenin 16 ncı maddesi hükümlerinin uygulanmasında dikkate alınmaz.”</t>
  </si>
  <si>
    <t>b) 3/6/1938 tarihli ve 3423 sayılı Kanunun 1 inci maddesinin ikinci fıkrasının sekizinci cümlesi aşağıdaki şekilde değiştirilmiştir.</t>
  </si>
  <si>
    <t xml:space="preserve">“Bu fıkra kapsamında teşvik primi ve parça başı ücret ödenenlere ayrıca fazla çalışma ücreti ödenmez.” </t>
  </si>
  <si>
    <t xml:space="preserve">c) 4/1/1961 tarihli ve 209 sayılı Kanunun; </t>
  </si>
  <si>
    <t>1) 5 inci maddesinin ikinci fıkrasında yer alan “Bu fıkra uyarınca personele her ay yapılacak ek ödeme tutarı, 375 sayılı Kanun Hükmünde Kararnamenin ek 3 üncü maddesi uyarınca kadro ve görev unvanı veya pozisyon unvanı itibarıyla belirlenmiş olan ek ödeme tutarından az olamaz. Bu kapsamdaki personel için 375 sayılı Kanun Hükmünde Kararnamenin ek 3 üncü maddesinin üçüncü fıkrası hükmü uygulanmaz.” ibaresi “Bu fıkra uyarınca personele her ay yapılacak ek ödeme net tutarı, 375 sayılı Kanun Hükmünde Kararnamenin ek 9 uncu maddesi uyarınca kadro ve görev unvanı veya pozisyon unvanı itibarıyla belirlenmiş olan ek ödeme net tutarından az olamaz. Bu madde uyarınca yapılacak ödeme sigorta prim kesintisine tabi tutulmaz.” şeklinde ve aynı maddenin altıncı fıkrası aşağıdaki şekilde değiştirilmiştir.</t>
  </si>
  <si>
    <t>“Türkiye Halk Sağlığı Kurumu merkez ve taşra teşkilatı ile Türkiye Kamu Hastaneleri Kurumunun merkez teşkilatında görev yapan personele 375 sayılı Kanun Hükmünde Kararnamenin ek 9 uncu maddesi uyarınca ek ödeme yapılabilmesi amacıyla Bakanlık tarafından kaynak aktarılabilir.”</t>
  </si>
  <si>
    <t>2) Ek 3 üncü maddesinin ikinci fıkrasında yer alan “ek 3 üncü” ibaresi “ek 9 uncu” şeklinde değiştirilmiştir.</t>
  </si>
  <si>
    <t xml:space="preserve">ç) 657 sayılı Devlet Memurları Kanununun; </t>
  </si>
  <si>
    <t xml:space="preserve">1) 36 ncı maddesinin “Ortak Hükümler” bölümünün (A) fıkrasının (11) numaralı bendine “Başbakanlık Uzman Yardımcıları,” ibaresinden sonra gelmek üzere “Adalet Uzman Yardımcıları, Dışişleri Uzman Yardımcıları, İçişleri Uzman Yardımcıları, Millî Savunma Uzman Yardımcıları, Yükseköğretim Kurulu Uzman Yardımcıları, Özelleştirme İdaresi Başkanlığı Uzman Yardımcıları,” ibaresi ve “Başbakanlık Uzmanlığına,” ibaresinden sonra gelmek üzere “Adalet Uzmanlığına, Dışişleri Uzmanlığına, İçişleri Uzmanlığına, Millî Savunma Uzmanlığına, Yükseköğretim Kurulu Uzmanlığına, Özelleştirme İdaresi Başkanlığı Uzmanlığına,” ibaresi eklenmiştir. </t>
  </si>
  <si>
    <t>2) 36 ncı maddesinin “Ortak Hükümler” bölümünün (F) fıkrasında yer alan “, ek gösterge, makam tazminatı ve benzeri mali haklar ile intibak ve diğer özlük haklarının” ibaresi “ile intibak ve diğer haklarının” şeklinde değiştirilmiştir.</t>
  </si>
  <si>
    <t xml:space="preserve">3) 104 üncü maddesinin (E) fıkrasında yer alan “sırasında” ibaresinden sonra gelmek üzere “fiili çalışmaya bağlı her türlü ödemeler hariç” ibaresi eklenmiştir. </t>
  </si>
  <si>
    <t>4) 152 nci maddesinin “II- Tazminatlar” kısmının;</t>
  </si>
  <si>
    <t>- “F) Denetim Tazminatı” bölümünün (b) bendinde yer alan “(h), (i), (j) ve (k) sırasında sayılanlar” ibaresi “(ğ), (h), (i) ve (j) sırasında sayılanlar” olarak değiştirilmiştir.</t>
  </si>
  <si>
    <t>5) Eki (I) sayılı Ek Gösterge Cetvelinin;</t>
  </si>
  <si>
    <t>- “I- Genel İdare Hizmetleri Sınıfı” bölümünün (b) bendine “Müsteşarlar,” ibaresinden sonra gelmek üzere “Milli Güvenlik Kurulu Genel Sekreteri,”, (d) bendine “Müsteşar Yardımcıları,” ibaresinden sonra gelmek üzere “Milli Güvenlik Kurulu Genel Sekreter Yardımcısı,” ibaresi eklenmiştir.</t>
  </si>
  <si>
    <t xml:space="preserve">- “I- Genel İdare Hizmetleri Sınıfı” bölümünün (h) bendinde yer alan “Devlet Personel Uzmanları, Afet ve Acil Durum Yönetimi Uzmanları, Maliye Bakanlığı Devlet Bütçe Uzmanları, Konsolosluk ve İhtisas Memurları, Çalışma Uzmanları, Yurt Dışı İşçi Hizmetleri Uzmanları, İş Sağlığı ve Güvenliği Uzmanları, Çalışma ve Sosyal Güvenlik Eğitim Uzmanları, Mali Suçları Araştırma Uzmanları Devlet Muhasebe Uzmanları, Devlet Gelir Politikaları Uzmanları, Devlet Gelir Uzmanları, Devlet Malları Uzmanları,”, “Milli Emlak Uzmanları”, “Bakanlık ve bağlı kuruluşların A.B Uzmanları,”, “Kültür ve Turizm Uzmanları, Yazma Eser Uzmanları, Vakıf Uzmanları, Tapu ve Kadastro Uzmanları, Diyanet İşleri Uzmanları, Din İşleri Yüksek Kurulu Uzmanları, Yurtdışı Türkler ve Akraba Topluluklar Uzmanları, Ölçme, Seçme ve Yerleştirme Merkezi Uzmanları, TİKA Uzmanları, Sanayi ve Teknoloji Uzmanları, Çevre ve Şehircilik Uzmanları, Orman ve Su İşleri Uzmanları, Meteoroloji Uzmanları, Gençlik ve Spor Uzmanları, Aile ve Sosyal Politikalar Uzmanları, Gıda, Tarım ve Hayvancılık Uzmanları, Gümrük ve Ticaret Uzmanları, İhracatı Geliştirme Uzmanları, Savunma Sanayii Uzmanları, Basın ve Enformasyon Uzmanları,”, “Yüksek Kurum Uzmanları”, “Enerji ve Tabii Kaynaklar Uzmanları,”, “Muhasebe Denetmeni ve Milli Emlak Denetmeni,” ve “İstihdam Uzmanları,”, “Marka Uzmanı, Patent Uzmanı,” ibareleri yürürlükten kaldırılmış ve aynı bölümün (g) bendine “Başbakanlık Uzmanları,” ibaresinden sonra gelmek üzere “Adalet Uzmanları, Millî Savunma Uzmanları, İçişleri Uzmanları, Dışişleri Uzmanları, Çalışma Uzmanları, Yurt Dışı İşçi Hizmetleri Uzmanları, İş Sağlığı ve Güvenliği Uzmanları, Enerji ve Tabii Kaynaklar Uzmanları, Kültür ve Turizm Uzmanları, Aile ve Sosyal Politikalar Uzmanları, Sanayi ve Teknoloji Uzmanları, Çevre ve Şehircilik Uzmanları, Gençlik ve Spor Uzmanları, Gıda, Tarım ve Hayvancılık Uzmanları, Gümrük ve Ticaret Uzmanları, İhracatı Geliştirme Uzmanları, Orman ve Su İşleri Uzmanları, Diyanet İşleri Uzmanları, Din İşleri Yüksek Kurulu Uzmanları, Devlet Personel Uzmanları, Milli Güvenlik Kurulu Genel Sekreterliği Uzmanları, Afet ve Acil Durum Yönetimi Uzmanları, Devlet Gelir Uzmanları, Tapu ve Kadastro Uzmanları, Meteoroloji Uzmanları, Basın ve Enformasyon Uzmanları, Yüksek Kurum Uzmanları, Ölçme, Seçme ve Yerleştirme Merkezi Uzmanları, Savunma Sanayii Uzmanları, Vakıf Uzmanları, Marka Uzmanları, Patent Uzmanları, TİKA Uzmanları, Özelleştirme İdaresi Başkanlığı Uzmanları, Yurtdışı Türkler ve Akraba Topluluklar Uzmanları, Yazma Eser Uzmanları, İstihdam Uzmanları, Çalışma ve Sosyal Güvenlik Eğitim Uzmanları, Bakanlık ve Bağlı Kuruluşların Avrupa Birliği Uzmanları, Yükseköğretim Kurulu Uzmanları,” ibaresi eklenmiş ve aynı bentte yer alan “Dışişleri Meslek Memurları” ibaresi “Dışişleri Meslek Memurları ile Konsolosluk ve İhtisas Memurları” şeklinde değiştirilmiştir. </t>
  </si>
  <si>
    <t>- “VIII- Mülki İdare Amirliği Hizmetleri Sınıfı” bölümünün (a) bendine “Müsteşar,” ibaresinden sonra gelmek üzere “Vali,” ibaresi eklenmiş ve (b) bendi yürürlükten kaldırılmıştır.</t>
  </si>
  <si>
    <t>6) Eki (II) sayılı Ek Gösterge Cetvelinin “2. Yargı Kuruluşları, Bağlı ve İlgili Kuruluşlar ile Yüksek Öğretim Kuruluşlarında” başlıklı bölümüne “Türkiye İstatistik Kurumu Daire Başkanı,” ibaresinden sonra gelmek üzere “Milli Güvenlik Kurulu Genel Sekreterliği Daire Başkanı ve Genel Sekreter Müşaviri,”, “5- Yargı Kuruluşları Bağlı ve İlgili Kuruluşlar ile Yükseköğretim Kuruluşlarında” başlıklı bölümüne “Gelir İdaresi Grup Başkanı,” ibaresinden sonra gelmek üzere “Milli Güvenlik Kurulu Genel Sekreterliği Grup Başkanı ve Müşaviri,” ibaresi eklenmiştir.</t>
  </si>
  <si>
    <t>7) Eki (IV) sayılı Makam Tazminatı Cetvelinin;</t>
  </si>
  <si>
    <t>- 2 nci sırasının (b) bendine “, Vali, Milli Güvenlik Kurulu Genel Sekreteri” ve 7 nci sırasına “Gelir İdaresi Grup Başkanı,” ibaresinden sonra gelmek üzere “Milli Güvenlik Kurulu Genel Sekreterliği 1. Hukuk Müşaviri, Daire Başkanı ve Grup Başkanı,” ibareleri eklenmiştir.</t>
  </si>
  <si>
    <t xml:space="preserve">- 8 inci sırasının (b) bendi aşağıdaki şekilde değiştirilmiştir. </t>
  </si>
  <si>
    <t>“b) En az dört yıl süreli yükseköğrenim veren fakülte veya yüksekokulları bitirmiş ve birinci dereceli kadroya atanmış olmak şartıyla, 152 nci maddenin “II- Tazminatlar” kısmının “(A) Özel Hizmet Tazminatı” bölümünün (ğ) bendinde yer alanlardan merkez teşkilatına ait uzman unvanlı kadrolarda bulunanlar  2000”</t>
  </si>
  <si>
    <t>d) 27/7/1967 tarihli ve 926 sayılı Kanunun ek 17 nci maddesinin (Ç) fıkrasının son paragrafında yer alan “bu maddenin (C) fıkrası ile” ibaresi yürürlükten kaldırılmış ve aynı paragrafta yer alan “ek 3 üncü” ibaresi “ek 9 uncu” şeklinde değiştirilmiş ve aynı maddenin (D) fıkrasında yer alan “Sözkonusu” ibaresi “(Ç) fıkrası hariç sözkonusu” şeklinde değiştirilmiştir.</t>
  </si>
  <si>
    <t>e) 21/12/1967 tarihli ve 969 sayılı Kanunun 3 üncü maddesinin dördüncü fıkrasının birinci cümlesine “%80’i,” ibaresinden sonra gelmek üzere “Bakanlık kadro ve pozisyonlarında çalışan personelden” ibaresi eklenmiştir.</t>
  </si>
  <si>
    <t>f) 4/11/1981 tarihli ve 2547 sayılı Kanunun 58 inci maddesinin; (c) fıkrasının (2) numaralı bendinin birinci paragrafına “Bu fıkra uyarınca yapılacak ödeme sigorta prim kesintisine tabi tutulmaz.” cümlesi eklenmiş, (d) fıkrasında yer alan “personele” ibaresi “öğretim elemanlarına” şeklinde, (e) fıkrasında yer alan “, memurlara ve sözleşmeli personele ödenir.” ibaresi “ödenir.” şeklinde, (g) fıkrasının ikinci paragrafı “Bu maddenin (c) ve (f) fıkraları kapsamında bulunanlar dışındaki 657 sayılı Devlet Memurları Kanununa tabi memurlar ile aynı Kanunun 4 üncü maddesinin (B) fıkrasına göre sözleşmeli olarak çalışan personele 375 sayılı Kanun Hükmünde Kararnamenin ek 9 uncu maddesi kapsamında ödeme yapılır ve bunlara bu madde uyarınca ayrıca ek ödeme yapılmaz.” şeklinde, (h) fıkrasının üçüncü paragrafı “Üniversitelerin (c) ve (f) fıkraları kapsamındaki personeline bu madde uyarınca her ay yapılacak ek ödemenin net tutarı, 375 sayılı Kanun Hükmünde Kararnamenin ek 9 uncu maddesi uyarınca kadro ve görev unvanı veya pozisyon unvanı itibarıyla belirlenmiş olan ek ödemenin net tutarından az olamaz. Bu kapsamda ek ödemeden yararlanan personele, ayrıca 375 sayılı Kanun Hükmünde Kararnamenin ek 9 uncu maddesi uyarınca ödeme yapılmaz.” şeklinde değiştirilmiştir.</t>
  </si>
  <si>
    <r>
      <t>g)</t>
    </r>
    <r>
      <rPr>
        <b/>
        <sz val="9"/>
        <rFont val="Calibri"/>
        <family val="2"/>
        <charset val="162"/>
      </rPr>
      <t xml:space="preserve"> </t>
    </r>
    <r>
      <rPr>
        <sz val="9"/>
        <rFont val="Calibri"/>
        <family val="2"/>
        <charset val="162"/>
      </rPr>
      <t>20/11/1981 tarihli ve 2560 sayılı Kanunun 9 uncu maddesinin birinci fıkrasının (b) bendinde yer alan “taslakları ile personele verilecek ikramiye miktar ve zamanlarına” ibaresi “taslaklarına” şeklinde değiştirilmiştir.</t>
    </r>
  </si>
  <si>
    <t>ğ) 14/4/1982 tarihli ve 2659 sayılı Kanunun 30 uncu maddesinin ikinci fıkrasına aşağıdaki cümle eklenmiştir.</t>
  </si>
  <si>
    <t>“Bu fıkra uyarınca personele her ay yapılacak ek ödeme net tutarı, 375 sayılı Kanun Hükmünde Kararnamenin ek 9 uncu maddesi uyarınca kadro ve görev unvanı veya pozisyon unvanı itibarıyla belirlenmiş olan ek ödeme net tutarından az olamaz.”</t>
  </si>
  <si>
    <t>h) 9/11/1983 tarihli ve 2945 sayılı Kanunun;</t>
  </si>
  <si>
    <t>1) 16 ncı maddesinin ikinci fıkrası aşağıdaki şekilde değiştirilmiştir.</t>
  </si>
  <si>
    <t>“Genel Sekreterlikte genel sekreter, genel sekreter yardımcısı, daire başkanı, 1 inci hukuk müşaviri ve müşavir kadrolarına müşterek kararla, diğer kadrolardan 1 ila 4 üncü dereceli kadrolara Genel Sekreterin teklifi üzerine Başbakanın onayı ile 5 ila 15 inci dereceli kadrolara Genel Sekreterin onayı ile atama yapılır.”</t>
  </si>
  <si>
    <t>2) 17 nci maddesinin ikinci fıkrası aşağıdaki şekilde değiştirilmiş ve üçüncü fıkrası yürürlükten kaldırılmıştır.</t>
  </si>
  <si>
    <t>“Milli Güvenlik Kurulu Genel Sekreterliği kadroları genel hükümlere uygun olarak Genel Sekreterin teklifi ve Başbakanın onayı ile ihdas edilir veya kaldırılır.”</t>
  </si>
  <si>
    <t>ı) 10/10/1984 tarihli ve 3056 sayılı Kanunun 36 ncı maddesinin birinci fıkrasında yer alan “sözleşmeli olarak” ibaresi "Daire Başkanı ve daha üst ünvanlı kadrolarda" şeklinde değiştirilmiş ve aynı fıkraya dördüncü cümleden sonra gelmek üzere aşağıdaki cümle eklenmiştir.</t>
  </si>
  <si>
    <t xml:space="preserve">“Bu fıkra kapsamında istihdam edilen personel istihdam edildikleri kadro için ilgili mevzuatta öngörülen her türlü mali ve sosyal haklardan aynen yararlanır.” </t>
  </si>
  <si>
    <t>i) 14/2/1985 tarihli ve 3152 sayılı Kanunun 37 nci maddesinin birinci fıkrasına aşağıdaki cümle eklenmiştir.</t>
  </si>
  <si>
    <t xml:space="preserve">“Genel Müdür ve ek göstergesi bu düzeyde veya daha yüksek tespit edilmiş kadrolara atanan veya bu kadrolarda görevlendirilen valilere, 375 sayılı Kanun Hükmünde Kararnamenin ek 10 uncu maddesi kapsamında il valilerine yapılan ödemeler aynı usul ve esaslar dahilinde ödenir.” </t>
  </si>
  <si>
    <t>j) 27/10/1999 tarihli ve 4458 sayılı Kanunun 221 inci maddesinin üçüncü fıkrası aşağıdaki şekilde değiştirilmiş ve dördüncü fıkrasının birinci cümlesi yürürlükten kaldırılmıştır.</t>
  </si>
  <si>
    <t>“İlgililerden tahsil edilecek fazla çalışma ücretlerinin miktarı ve tahsiline ilişkin usul ve esaslar Bakanlar Kurulunca belirlenir. Fazla çalışma ücreti olarak yatırılan tutarlar, personelin fazla çalışma süresi, görev yapmış olduğu yer, görevinin önem ve güçlüğü, sınıfı, kadro unvanı gibi hususlar dikkate alınmak suretiyle belirlenecek usul ve esaslar dahilinde Gümrük ve Ticaret Bakanlığı taşra teşkilatına ait kadro ve pozisyonlarda bulunanlardan ithalat ve ihracat, giriş ve çıkış işlemlerinin yapıldığı gümrük idarelerinde gümrük işlemlerini yürüten memurlar (375 sayılı Kanun Hükmünde Kararname eki (II) sayılı Cetvel kapsamında yer alan kadrolarda bulunanlar hariç) ve 657 sayılı Devlet Memurları Kanununun 4 üncü maddesinin (B) fıkrasına göre çalışan sözleşmeli personele ödenmek üzere Ankara Gümrük Muhasebe Birimi hesabına aktarılır. Sözkonusu ödemeler, Maliye Bakanlığının uygun görüşü alınarak aylık miktarı (36.500) gösterge rakamının memur aylık katsayısıyla çarpımı sonucu bulunacak tutarı geçmemek üzere, Gümrük ve Ticaret Bakanıtarafından belirlenir. Bu fıkra uyarınca personele her ay yapılacak fazla çalışma ücretinin net tutarı, 375 sayılı Kanun Hükmünde Kararnamenin ek 9 uncu maddesi uyarınca kadro ve görev unvanı veya pozisyon unvanı itibarıyla belirlenmiş olan ek ödemenin net tutarından az olamaz. 375 sayılı Kanun Hükmünde Kararnamenin ek 9 uncu maddesi uyarınca Gümrük ve Ticaret Bakanlığı personeline yapılacak ödemeler de Ankara Gümrük Muhasebe Birimine aktarılan tutarlardan karşılanır. Bu madde uyarınca yapılan ödemelerden sonra yılsonu itibarıyla hesapta kalan tutar, takip eden Ocak ayı sonuna kadar bütçeye gelir kaydedilir. Bu madde kapsamında personele yapılması gereken ödemelerin Ankara Gümrük Muhasebe Birimi hesabına aktarılan tutarı aşması halinde, aradaki fark Maliye Bakanlığı tarafından personel giderlerini karşılama ödeneğinden Bakanlık bütçesine bu amaçla aktarılacak ödenekten karşılanır.”</t>
  </si>
  <si>
    <t>k) 29/6/2001 tarihli ve 4706 sayılı Kanunun 7 nci maddesinin altıncı fıkrasında yer alan “merkez denetim elemanlarınca” ibaresi “merkez denetim elemanları ve Maliye Uzmanlarınca” şeklinde değiştirilmiştir.</t>
  </si>
  <si>
    <t>l) 22/2/2005 tarihli ve 5302 sayılı Kanunun 28 inci maddesinin birinci fıkrasında yer alan “Encümen” ibaresi “Encümenin memur olmayan” şeklinde ve “Encümenin” ibaresi “Encümen başkanı hariç encümenin” şeklinde değiştirilmiştir.</t>
  </si>
  <si>
    <t xml:space="preserve">m) 16/5/2006 tarihli ve 5502 sayılı Kanunun 28 inci maddesine aşağıdaki fıkra eklenmiştir. </t>
  </si>
  <si>
    <r>
      <t>“Kurumun merkez ve taşra teşkilatı kadrolarında bulunup, sağlık harcamalarına esas olan fatura ve reçetelerin incelenmesi işlerinde ve Kurum sağlık kurullarında çalışan; tabip, diş tabibi, eczacı ve tıpta uzmanlık mevzuatında belirtilen dallarda bu mevzuat hükümlerine göre uzman olanlara en yüksek Devlet memuru aylığının (ek gösterge dahil) %700’ünü, sağlık hizmetleri ve yardımcı sağlık hizmetleri sınıfına dahil diğer personele ise %225’ini geçmemek üzere ek ödeme yapılabilir.</t>
    </r>
    <r>
      <rPr>
        <b/>
        <sz val="9"/>
        <rFont val="Calibri"/>
        <family val="2"/>
        <charset val="162"/>
      </rPr>
      <t xml:space="preserve"> </t>
    </r>
    <r>
      <rPr>
        <sz val="9"/>
        <rFont val="Calibri"/>
        <family val="2"/>
        <charset val="162"/>
      </rPr>
      <t xml:space="preserve">Yapılacak ek ödemelerden damga vergisi hariç herhangi bir vergi kesintisi yapılmaz. İş hacmi, görev mahalli, görevin önem ve güçlüğü, personelin kadro unvanı, derecesi, performansı ile kullanılan izin ve istirahat raporları gibi kriterler göz önünde bulundurularak yapılacak ek ödeme tutarları ile ödemeye ilişkin diğer usul ve esaslar, Yönetim Kurulunun teklifi ve Maliye Bakanlığının uygun görüşü üzerine Bakan tarafından belirlenir.” </t>
    </r>
  </si>
  <si>
    <t>n) 10/11/2005 tarihli ve 5429 sayılı Kanunun 49 uncu maddesinin üçüncü fıkrasında yer alan “bu Kanunun 45 inci maddesinin dördüncü fıkrası kapsamında verilecek fazla çalışma ücreti, 15-11 inci dereceden aylık alanlar için tespit edilen tutar kadar ödenir.” ibaresi “ayrıca en yüksek Devlet memuru aylığının (ek gösterge dâhil) %20’si oranında ödeme yapılır ve bu ödeme damga vergisi hariç herhangi bir vergiye tabi tutulmaz.” şeklinde değiştirilmiştir.</t>
  </si>
  <si>
    <t xml:space="preserve">o) 31/5/2006 tarihli ve 5510 sayılı Kanunun; </t>
  </si>
  <si>
    <t>1) 80 inci maddesinin üçüncü fıkrasının (a) bendinin (3) numaralı alt bendinde yer alan “657 sayılı Devlet Memurları Kanununun 152 nci maddesi uyarınca ödenen tazminatlar (bölge, kurum, birim, çalışma mahalli, görevin niteliği ve benzeri kriterlere dayalı olarak asıl tazminatlara ilave, ek veya ayrıca ödenen tazminatlar hariç)” ibaresi “657 sayılı Devlet Memurları Kanununun 152 nci maddesi uyarınca (bölge, kurum, birim, çalışma mahalli, görevin niteliği ve benzeri kriterlere dayalı olarak asıl tazminatlara ilave, ek veya ayrıca ödenen tazminatlar hariç) ödenen tazminatlar (375 sayılı Kanun Hükmünde Kararname eki (III) sayılı Cetvelin 1 inci ve 2 nci sıralarında sayılanlar ile düzenleyici ve denetleyici kurumların emsali personeli için, 152 nci maddenin “II- Tazminatlar” kısmının “A- Özel Hizmet Tazminatı” bölümünün (ğ) bendi ile “F- Denetim Tazminatı” bölümünün (b) bendinde yer alan tazminatlar esas alınır)” şeklinde değiştirilmiştir.</t>
  </si>
  <si>
    <t xml:space="preserve">2) 80 inci maddesinin üçüncü fıkrasının (b) bendinde yer alan “sigortalılar” ibaresi “sigortalılar ile 375 sayılı Kanun Hükmünde Kararnamenin ek 10 uncu maddesi kapsamındaki sigortalılar” şeklinde değiştirilmiştir. </t>
  </si>
  <si>
    <t xml:space="preserve">3) Geçici 4 üncü maddesinin dördüncü fıkrasına aşağıdaki cümle eklenmiştir. </t>
  </si>
  <si>
    <t>“Bu fıkra kapsamına girenlerden 375 sayılı Kanun Hükmünde Kararnamenin ek 10 uncu maddesi kapsamında bulunanların emekli kesenekleri ile kurum karşılıklarının hesabında, işgal ettikleri kadrolar için ilgili mevzuatında belirlenen unsurlar esas alınır.”</t>
  </si>
  <si>
    <t xml:space="preserve">ö) 17/2/2011 tarihli ve 6114 sayılı Kanunun 6 ncı maddesinin onüçüncü fıkrasının dördüncü cümlesinde yer alan “kadroları karşılık gösterilmek suretiyle çalıştırılanlar” ile aynı maddenin onbeşinci fıkrasında yer alan “dördüncü” ibareleri “Daire Başkanı, I. Hukuk Müşaviri, Basın ve Halkla İlişkiler Müşaviri, Hukuk Müşaviri, Ölçme, Seçme ve Yerleştirme Merkezi Uzmanı ve Ölçme, Seçme ve Yerleştirme Merkezi Uzman Yardımcısı ile Şube Müdürü olarak çalıştırılanlar” şeklinde değiştirilmiştir. </t>
  </si>
  <si>
    <t>p) 178 sayılı Kanun Hükmünde Kararnamenin geçici 12 nci maddesinin sekizinci fıkrasına aşağıdaki cümle eklenmiştir.</t>
  </si>
  <si>
    <t>“Bu madde uyarınca Vergi Müfettişi kadrolarına atanmış sayılanlardan halen bu kadrolarda bulunanlar, 657 sayılı Kanuna ekli (I) sayılı Ek Gösterge Cetvelinin “I- Genel İdare Hizmetleri Sınıfı” bölümünün (g) bendinde öngörülen ek göstergelerden, anılan bentte belirtilen şartlar aranmaksızın yararlanır.”</t>
  </si>
  <si>
    <t>r) 375 sayılı Kanun Hükmünde Kararnamenin 28 inci maddesinin (A) fıkrasına dördüncü paragraftan sonra gelmek üzere aşağıdaki paragraf eklenmiştir.</t>
  </si>
  <si>
    <t>“Emniyet Genel Müdürlüğü Emniyet Hizmetleri Sınıfı kadrolarında bulunan personelden, özel harekat kursuna katılarak özel harekat sertifikası almış ve özel harekat birimlerinde fiilen görev yapanlar ile terörle yaygın ve yoğun bir şekilde mücadeleye yönelik olarak Genelkurmay Başkanlığınca belirlenen birliklerde fiilen görev yapan subay, astsubay, uzman jandarma, uzman erbaş ve sözleşmeli erbaş ve erlere, (10.750) gösterge rakamının memur aylıklarına uygulanan katsayı ile çarpımı sonucu bulunacak aylık miktarı geçmemek üzere, fiilen görev yapıldığı sürece ve bu süre ile orantılı olarak bu fıkra uyarınca ödenen tazminata ilave ek tazminat ödenebilir. Yerleşim birimi, fiilen yapılan görevin riski, zorluğu ve önemi gibi kriterler birlikte veya ayrı ayrı dikkate alınmak suretiyle günlük veya aylık olarak hesaplanmak üzere, ödenecek ilave ek tazminatın miktarı, ödenme usul ve esasları ile hangi hallerde kesileceği Milli Savunma ve İçişleri Bakanlarının müşterek teklifi ve Maliye Bakanlığının görüşü üzerine Başbakan onayı ile tespit edilir.”</t>
  </si>
  <si>
    <t>s) 4/7/2001 tarihli ve 631 sayılı Kanun Hükmünde Kararnamenin 12 nci maddesinin birinci fıkrasında yer alan “asli kadro ve görevleri dışında” ibaresi yürürlükten kaldırılmış ve aynı maddede yer alan “bu görevlerinden sadece biri için ücret ödenebilir” ibaresi “kurum içi ve kurum dışı ayrımı yapılmaksızın bu görevlerinden sadece biri için ücret ödenebilir” şeklinde değiştirilmiştir.</t>
  </si>
  <si>
    <r>
      <t>MADDE 6-</t>
    </r>
    <r>
      <rPr>
        <sz val="9"/>
        <rFont val="Calibri"/>
        <family val="2"/>
        <charset val="162"/>
      </rPr>
      <t xml:space="preserve"> 28/2/1982 tarihli ve 2629 sayılı Kanunun;</t>
    </r>
  </si>
  <si>
    <t>1) 1 inci maddesi aşağıdaki şekilde değiştirilmiştir.</t>
  </si>
  <si>
    <t xml:space="preserve">“MADDE 1- Bu Kanun, Türk Silahlı Kuvvetlerine mensup pilot, silah sistem subayı, seyrüsefer subayı, taktik koordine subayı, uçuş ekibi personeli, görev ekibi personeli, paraşütçü, denizaltıcı, atmosferik dalış sistemi pilotu, dalgıç ve kurbağa adamlar ve bunların adayları ile hava ve deniz vasıtaları içinde bulunan veya görevlendirilen diğer personel hakkında uygulanır.” </t>
  </si>
  <si>
    <r>
      <t>2)</t>
    </r>
    <r>
      <rPr>
        <b/>
        <sz val="9"/>
        <rFont val="Times New Roman"/>
        <family val="1"/>
        <charset val="162"/>
      </rPr>
      <t xml:space="preserve"> </t>
    </r>
    <r>
      <rPr>
        <sz val="9"/>
        <rFont val="Times New Roman"/>
        <family val="1"/>
        <charset val="162"/>
      </rPr>
      <t>3 üncü maddesi başlığı ile birlikte aşağıdaki şekilde değiştirilmiştir.</t>
    </r>
  </si>
  <si>
    <t xml:space="preserve">“Tanımlar: </t>
  </si>
  <si>
    <t>MADDE 3- Bu Kanunun uygulanmasında;</t>
  </si>
  <si>
    <t>a) ADS pilotu, dalgıç ve kurbağa adam hizmeti: Bu hizmetler, sağlık nedenleri hariç zorunlu olup, Türk Silahlı Kuvvetleri kadrolarında ADS pilotu, dalgıç ve kurbağa adam olarak gösterilen görevler ile bunların sevk ve idaresi ile bilfiil görevli ADS pilotu, dalgıç ve kurbağa adam niteliklerini taşıyan personelin hizmetlerine denir.</t>
  </si>
  <si>
    <t>b) ADS pilotu, dalgıç ve kurbağa adam hizmet süresi: ADS pilotu, dalgıç ve kurbağa adamların, ADS pilotu, dalgıç ve kurbağa adam kursunda ilk dalışa başlama tarihinden itibaren dalgıç ve kurbağa adamlar için dalıcılıktan, ADS pilotu için ADS pilotu kadrosundan ayrılmasına kadar geçen süredir.</t>
  </si>
  <si>
    <t xml:space="preserve">c) Atmosferik dalış sistemi pilotu, dalgıç ve kurbağa adam, ADS pilotu adayı, dalgıç ve kurbağa adam adayı: Dalgıç ve kurbağa adam okul ve kurslarından diploma alan ve diploması usulüne göre onaylanan kimselere dalgıç ve kurbağa adam; bu personel arasından yurt içi veya yurt dışında müfredatı özel olarak belirlenmiş ADS pilotu kursundan diploma alan ve diploması usulüne göre onaylanan kimselere ADS pilotu; dalgıç ve kurbağa adam olmak için sayılan yerlerde fiilen eğitim ve öğrenime başlayanlara dalgıç ve kurbağa adam adayı; ADS pilotu olmak için fiilen eğitim ve öğrenime başlayanlara da ADS pilotu adayı denir. Kurbağa adamlar solunum yaptıkları gaza göre; “Havadan başka gazla dalış yapan kurbağa adamlar” ve “Hava ile dalış yapan kurbağa adamlar” olmak üzere ikiye ayrılırlar. </t>
  </si>
  <si>
    <t>ç) Denizaltıcı ve denizaltıcı adayı: Denizaltı kurslarından diploma alan ve diploması usulüne göre onaylanan kimselere denizaltıcı, denizaltıcı olmak için fiilen eğitim ve öğrenime başlayanlara denizaltıcı adayı denir.</t>
  </si>
  <si>
    <t xml:space="preserve">d) Denizaltı hizmeti: Bu hizmet, sağlık nedenleri hariç zorunlu olup, Türk Silahlı Kuvvetleri kadrolarında denizaltı olarak gösterilen görevler ile bunların sevk ve idaresi ile bilfiil görevli denizaltıcı niteliklerini taşıyan personelin hizmetlerine denir. </t>
  </si>
  <si>
    <t>e) Denizaltıcı hizmet süresi: Denizaltıcıların denizaltı kurslarında ilk dalışa başlama tarihinden itibaren dalıcılıktan ayrılmalarına kadar geçen sürelerdir.</t>
  </si>
  <si>
    <t>f) Diğer personel: Hava vasıtası veya denizaltı vasıtaları içinde fiilen uçmak veya dalmak suretiyle bu vasıtaların uçmasında veya dalmasında görev alanlar dışında hangi meslek ve sınıftan olursa olsun, bu vasıtalarda bulunan veya kontrol ve tecrübe maksatları için görevlendirilen personeldir.</t>
  </si>
  <si>
    <t>g) Görev ekibi ve görev ekibi adayı: Uçmakta olan bir hava vasıtasının içindeki pilot, silah sistem subayı, seyrüsefer subayı, taktik koordine subayı ve uçuş ekibinin dışında; uçağa verilen görevin yapılması için uçakta bulunması gerekli olan ve statüleri, Genelkurmay Başkanlığı, kuvvet komutanlıkları, Jandarma Genel Komutanlığı veya Sahil Güvenlik Komutanlığınca onaylanan, hava vasıtalarının uçurulması ile ilgili direkt bir sorumluluğu bulunmayan ve sadece ilgili uçuşlarda bulunarak hava vasıtasına verilen görevin yerine getirilmesi için uçakta bulunması gerekli olan kişilerdir. Görev ekibi olmak için ilgili hava vasıtasında fiilen eğitime başlayan kişi veya kişilere de görev ekibi adayı denir.</t>
  </si>
  <si>
    <t>ğ) Hizmet yılı: 1 Eylül tarihinde başlayıp 31 Ağustos tarihinde biten 12 aylık dönemdir.</t>
  </si>
  <si>
    <t>h) Kıstas aylık: En yüksek Devlet memuru aylığının (Ek gösterge dahil) brüt tutarıdır.</t>
  </si>
  <si>
    <t xml:space="preserve">ı) Paraşütçülük hizmeti: Bu hizmet, sağlık nedenleri hariç zorunlu olup, Türk Silahlı Kuvvetleri kadrolarında paraşütçü, arama-kurtarma, iz bulucu, Özel Kuvvetler Komutanlığı personeli ve paraşütçü komando olarak gösterilen görevler ile bunların sevk ve idaresinde bilfiil görevli paraşütçü niteliklerini taşıyan personelin hizmetlerine denir. </t>
  </si>
  <si>
    <t xml:space="preserve">i) Paraşütçülük hizmet süresi: Paraşütçülerin, okul veya paraşütçü kurslarında ilk atlayışa başlama tarihinden itibaren paraşütçülükten ayrılmalarına kadar geçen sürelerdir. </t>
  </si>
  <si>
    <t xml:space="preserve">j) Paraşütçü ve paraşütçü adayı: Türk Silahlı Kuvvetlerinde paraşüt kursu açma yetkisine sahip komutanlık/birliklerden veya yurt içi, yurt dışı kurslarından paraşütçülük diploması alan ve diploması usulüne uygun olarak onaylananlara paraşütçü; paraşütçü olmak için sayılan yerlerde fiilen paraşütçülük eğitim ve öğrenimine başlayanlara, paraşütçü adayı denir. </t>
  </si>
  <si>
    <t>k) Pilot ve pilot adayı: Türk Silahlı Kuvvetleri uçuş eğitimi teşkillerinden veya yabancı bir devlet uçuş okul veya kurslarından pilotluk diploması alan ve diploması usulüne göre onaylanan kimseye pilot; pilot olmak için sayılan yerlerde fiilen uçuşa başlayanlara pilot adayı denir. Pilotlar, statülerine göre jet pilotu ve pervaneli pilotu olmak üzere ikiye ayrılır.</t>
  </si>
  <si>
    <t>1. Jet uçuş birliklerinin ihtiyacını karşılamak üzere Hava Kuvvetleri Komutanlığı tarafından jet pilotu olarak yetiştirilenler, jet pilotu sağlık kriterlerini ve kazandıkları nitelikleri muhafaza ettikleri sürece, jet pilotu statüsünde,</t>
  </si>
  <si>
    <t>2. Jet pilotu statüsü dışında kalan diğer pilotlar pervaneli pilotu statüsünde,</t>
  </si>
  <si>
    <t xml:space="preserve">kabul edilir. Jet pilotu statüsünün devamı için jet pilotlarının 7 nci maddenin birinci fıkrasının (a) bendinde belirtilen zorunlu uçuş saatlerini jet uçağında uçmaları şarttır. </t>
  </si>
  <si>
    <t>l) Seyrüsefer subayı ve seyrüsefer subayı adayı: Hava vasıtalarında pilot ile birlikte kokpit içinde fiilen uçarak, uçaktaki seyrüsefer sistemlerini kullanan ve vazifenin icra edilmesini planlama, uygulama ve takip suretiyle gerçekleştirmek üzere yetiştirilerek Seyrüsefer Subayı Sertifikası alan ve bu niteliğini muhafaza eden, sertifikaları Kuvvet Komutanlıkları, Jandarma Genel Komutanlığı veya Sahil Güvenlik Komutanlığınca onaylanan kişiye seyrüsefer subayı, seyrüsefer subayı olmak için uçuşa başlayanlara seyrüsefer subayı adayı denir.</t>
  </si>
  <si>
    <t xml:space="preserve">m) Silah sistem subayı ve silah sistem subayı adayı: Türk Silahlı Kuvvetleri uçuş teşkillerinde veya yabancı bir devlet uçuş okulu veya kurslarından silah sistem subayı diploması alan ve diploması usulüne göre onaylanan jet uçağında; darbe, av-bombardıman, av-önleme ve keşif görevleri yapılması için pilotla birlikte uçarak uçaktaki silah sistemlerini kullanan kişiye silah sistem subayı; silah sistem subayı olmak için jet uçağında uçuşa başlayan kişiye silah sistem subayı adayı denir. </t>
  </si>
  <si>
    <t>n) Taktik koordine subayı ve taktik koordine subayı adayı: Hava vasıtalarında pilot ile birlikte kokpit içinde fiilen uçarak, görevin icrasını sağlayan, uçuş görevinin taktik koordinasyon işlevini yapan, taktik koordine subayı diploması alan ve bu niteliğini muhafaza eden, sertifikaları Kuvvet Komutanlıkları, Jandarma Genel Komutanlığı veya Sahil Güvenlik Komutanlığınca onaylanan kişiye taktik koordine subayı, taktik koordine subayı olmak için uçuşa başlayanlara taktik koordine subayı adayı denir.</t>
  </si>
  <si>
    <t>o) Uçucu: Pilot, silah sistem subayı, seyrüsefer subayı, taktik koordine subayı, uçuş ekibi ve bunların adaylarıdır.</t>
  </si>
  <si>
    <t xml:space="preserve">ö) Uçuş: pilot, silah sistem subayı, seyrüsefer subayı, taktik koordine subayı, uçuş ekibi, görev ekibi ve bunların adayları tarafından hava vasıtalarının içinde bulunmak suretiyle hava vasıtalarının uçurulması faaliyetidir. </t>
  </si>
  <si>
    <t>p) Uçuş ekibi ve uçuş ekibi adayı: Uçmakta olan bir hava vasıtasının içinde pilot ile beraber fiilen uçarak, hava vasıtasının uçurulmasına katılmaları gerekli olan ve uçuş ekibi sertifikası Genelkurmay Başkanlığı, Kuvvet Komutanlıkları, Jandarma Genel Komutanlığı veya Sahil Güvenlik Komutanlığınca onaylanan ve bu niteliğini muhafaza eden, pilot, silah sistem subayı, seyrüsefer subayı ve taktik koordine subayı dışında kalan kişilerdir. Uçuş ekibi olmak için ilgili hava vasıtasında fiilen eğitime başlayan kişi veya kişilere de uçuş ekibi adayı denir.</t>
  </si>
  <si>
    <t xml:space="preserve">r) Uçuş hizmet süresi: Uçucuların, okul veya uçuş kurslarında ilk uçuşa başlama tarihlerinden itibaren uçuculuktan ayrılmalarına kadar geçen uçuculuk süreleridir. </t>
  </si>
  <si>
    <t>s) Yıl: 1 Eylül tarihinde başlayıp 31 Ağustos tarihinde biten 12 aylık dönemdir.”</t>
  </si>
  <si>
    <t>3) 4 üncü maddesi aşağıdaki şekilde değiştirilmiştir.</t>
  </si>
  <si>
    <t>“MADDE 4- a) Jet pilot ve jet pilot adaylarına; uçuş hizmet yılı 15 yıl ve daha yukarı olanlar için kıstas aylığın % 130’u, uçuş hizmet yılı 15 yıldan az olanlar için ise kıstas aylığın % 116’sı,</t>
  </si>
  <si>
    <t>b) Pervaneli pilot ve pervaneli pilot adaylarına; uçuş hizmet yılı 15 yıl ve daha yukarı olanlar için kıstas aylığın % 95’i, uçuş hizmet yılı 15 yıldan az olanlar için ise kıstas aylığın % 83’ü,</t>
  </si>
  <si>
    <t xml:space="preserve">c) Silah sistem subayı ve silah sistem subayı adaylarına kıstas aylığın % 100’ü, </t>
  </si>
  <si>
    <t>ç) Seyrüsefer subayı ve seyrüsefer subayı adaylarına kıstas aylığın % 73’ü,</t>
  </si>
  <si>
    <t>d) Taktik koordine subayı ve taktik koordine subayı adaylarına kıstas aylığın % 73’ü,</t>
  </si>
  <si>
    <t>e) Uçuş ekibi subayları ile adaylarına kıstas aylığın % 73’ü,</t>
  </si>
  <si>
    <t>f) Uçuş ekibi astsubayları ile adaylarına kıstas aylığın % 71’i,</t>
  </si>
  <si>
    <t>g) Görev ekibi subayları ile adaylarına kıstas aylığın % 71’i,</t>
  </si>
  <si>
    <t>ğ) Görev ekibi astsubayları ile adaylarına kıstas aylığın % 70’i,</t>
  </si>
  <si>
    <t xml:space="preserve">h) Görev ekibi uzman jandarma ve uzman erbaşlar ile adaylarına kıstas aylığın %69’u, </t>
  </si>
  <si>
    <t xml:space="preserve">üzerinden bu Kanuna ek cetvelde hizmet yılları (adaylar için birinci hizmet yılı) karşılığında gösterilen oranda aylık uçuş tazminatı ödenir. </t>
  </si>
  <si>
    <t>Harp okulu öğrencileri ile sözleşmeli subay adaylarına pilotluk eğitimine başlamadan önce havacılık ders konuları içerisinde yapacakları fiili uçuş eğitiminin her uçuş saati başına kıstas aylığın %5’i tazminat olarak ödenir.”</t>
  </si>
  <si>
    <t>4) 5 inci maddesi aşağıdaki şekilde değiştirilmiştir.</t>
  </si>
  <si>
    <t xml:space="preserve">“MADDE 5- Askeri paraşütçü hizmet kadrolarına atanan paraşütçü ve paraşütçü adayı subay, sözleşmeli subay, astsubay, sözleşmeli astsubay, uzman jandarma ve uzman erbaşlarla, askeri paraşütçü niteliklerini korudukları halde kadro ve hizmet gerekleri nedeniyle Silahlı Kuvvetlerin diğer görevlerine atanan subay, sözleşmeli subay, astsubay, sözleşmeli astsubay, uzman jandarma ve uzman erbaşlardan Kuvvet Komutanı, Jandarma Genel Komutanı veya Sahil Güvenlik Komutanının onayı ile daha sonra tekrar paraşütçülük hizmetlerinde görevlendirilmeleri gerekli görülenlere zorunlu yıllık atlayış miktarının yarısını tamamladıkları sürece, kıstas aylığın %68’i üzerinden bu Kanuna ek cetvelde hizmet yılları (adaylar için 1’inci hizmet yılı) karşılığında gösterilen oranda aylık atlayış tazminatı ödenir. </t>
  </si>
  <si>
    <t xml:space="preserve">Paraşütçülerden, Özel Kuvvetler Komutanlığında veya Kuvvet Komutanlığına bağlı taburlarda bilfiil görev yapanlara, yıllık zorunlu atlayış miktarlarını tamamladıkları sürece ek cetvelde hizmet yılları karşılığında gösterilen aylık tazminat oranları subaylar ve sözleşmeli subaylar için 20, astsubaylar ve sözleşmeli astsubaylar için 15, uzman jandarma ve uzman erbaşlar için 10’ar puan artırılarak ödenir. Görev esnasında sakatlanarak sağlık kurullarından “paraşütle atlayamaz” raporu alan personel de diğer kadro görevlerine ataması yapılıncaya kadar bu fıkra hükmünden istifade etmeye devam eder. </t>
  </si>
  <si>
    <t xml:space="preserve">Paraşütçülerden, görevinin ihtisası gereği aynı zamanda dalgıç ve kurbağa adam olarak eğitim ve görev yapan subay, sözleşmeli subay, astsubay, sözleşmeli astsubay, uzman jandarma ve uzman erbaşlara bu Kanunda gösterilen zorunlu yıllık dalış süresinin üçte birini tamamladıkları sürece ek cetvelde hizmet yılları karşılığında gösterilen aylık tazminat oranları 10’ar puan artırılarak ödenir. </t>
  </si>
  <si>
    <t xml:space="preserve">Askeri öğrencilerden (Sözleşmeli subay adayları ve sözleşmeli subaylar dahil) paraşütle atlayış eğitimine katılanlar ile askeri paraşütçü olmak üzere seçilen erbaş ve erlere, okul veya kursta her atlayış başına kıstas aylığın %2’si, temel atlayışlarını tamamlayarak paraşüt eğitimine devam eden askeri öğrenciler ile paraşütçü kadrolarında görevlendirilen erbaş ve erlere görevlendirildikleri müddetçe her atlayış başına kıstas aylığın %4’ü, atlayış tazminatı olarak ödenir. Yılda 40 atlayıştan fazlası tazminat yönünden dikkate alınmaz.” </t>
  </si>
  <si>
    <r>
      <t>5)</t>
    </r>
    <r>
      <rPr>
        <b/>
        <sz val="9"/>
        <rFont val="Times New Roman"/>
        <family val="1"/>
        <charset val="162"/>
      </rPr>
      <t xml:space="preserve"> </t>
    </r>
    <r>
      <rPr>
        <sz val="9"/>
        <rFont val="Times New Roman"/>
        <family val="1"/>
        <charset val="162"/>
      </rPr>
      <t>6 ncı maddesi başlığı ile birlikte aşağıdaki şekilde değiştirilmiştir.</t>
    </r>
  </si>
  <si>
    <t>“Denizaltıcı, ADS pilotu, dalgıç ve kurbağa adamlara ödenecek tazminat:</t>
  </si>
  <si>
    <t>MADDE 6- Denizaltıcı, ADS pilotu, dalgıç ve kurbağa adam kadrolarına atanan veya denizaltıcı, ADS pilotu, dalgıç ve kurbağa adam olmak üzere seçilerek eğitime başlayan personelden;</t>
  </si>
  <si>
    <t>a) ADS pilotu ile ADS pilotu kursiyerlerine kıstas aylığın %82’si,</t>
  </si>
  <si>
    <t xml:space="preserve">b) Denizaltıcı subaylar ve sözleşmeli subaylar ile denizaltıcı kursiyer ve stajyer subay ve sözleşmeli subaylara kıstas aylığın %82’si, </t>
  </si>
  <si>
    <t>c) Denizaltıcı astsubaylar ve sözleşmeli astsubaylar ile denizaltıcı kursiyer ve stajyer astsubaylar ve sözleşmeli astsubaylara kıstas aylığın %73’ü,</t>
  </si>
  <si>
    <t xml:space="preserve">ç) Dalgıç ve havadan başka gazla dalış yapan kurbağa adamlara kıstas aylığın %67’si, </t>
  </si>
  <si>
    <t xml:space="preserve">d) Hava ile dalış yapan kurbağa adamlara kıstas aylığın %65’i, </t>
  </si>
  <si>
    <t xml:space="preserve">üzerinden bu kanuna ek cetvelde hizmet yılları (adaylar için birinci hizmet yılı) karşılığında gösterilen oranda aylık dalış tazminatı ödenir. </t>
  </si>
  <si>
    <t xml:space="preserve">Denizaltıcı, ADS pilotu, dalgıç ve kurbağa adam kursu gören sözleşmeli subay adayları ile kurbağa adam kursu gören harp okulu öğrencilerine kurs süresince kıstas aylığın %10’u oranında aylık dalış tazminatı ödenir. Denizaltıcı, dalgıç ve kurbağa adam olmak üzere seçilen erbaş ve erlere kursa katılmalarını takip eden aybaşından itibaren kıstas aylığın %5’i, kursu başarmalarından itibaren denizaltıcı, dalgıç ve kurbağa adam kadrolarında görevlendirildikleri müddetçe kıstas aylığın %10’u oranında aylık dalış tazminatı ödenir. </t>
  </si>
  <si>
    <t xml:space="preserve">Denizaltıcı, ADS pilotu, dalgıç ve kurbağa adam niteliklerini korudukları halde kadro ve hizmet gerekleriyle Silahlı Kuvvetlerin diğer görevlerine atananlardan, kuvvet komutanlarının, Jandarma Genel Komutanının veya Sahil Güvenlik Komutanının onayı ile tekrar denizaltıcı, ADS pilotu, dalgıç ve kurbağa adam hizmetlerinde görevlendirilmeleri gerekli görülen ve sağlık durumları elverişli olan denizaltıcı, ADS pilotu, dalgıç ve kurbağa adamlara yıllık zorunlu dalış saatini tamamladıkları sürece hizmet yıllarına bağlı olarak denizaltıcı, ADS pilotu, dalgıç ve kurbağa adamlara ödenen oranda aylık tazminat ödenir.” </t>
  </si>
  <si>
    <t>6) 7 nci maddesi aşağıdaki şekilde değiştirilmiştir.</t>
  </si>
  <si>
    <t xml:space="preserve">“MADDE 7- a) Pilot, silah sistem subayı, seyrüsefer subayı, taktik koordine subayı, uçuş ekibi ve görev ekibi personelinin uçuş tazminatı alabilmeleri için bir yılda en az; </t>
  </si>
  <si>
    <t xml:space="preserve">1. Uçuş hizmeti 10 yıldan az veya tüm uçuşu 1500 saatin altında olanların 60 saat, </t>
  </si>
  <si>
    <t xml:space="preserve">2. Uçuş hizmeti 10-20 yıl veya tüm uçuşu 1500-2500 saat arasında olanların 30 saat, </t>
  </si>
  <si>
    <t xml:space="preserve">3. Uçuş hizmeti 20 yıldan veya tüm uçuşu 2500 saatten fazla olanların 15 saat, </t>
  </si>
  <si>
    <t xml:space="preserve">uçuş yapmaları şarttır. </t>
  </si>
  <si>
    <t xml:space="preserve">b) Paraşütçülerin aylık atlayış tazminatı alabilmeleri için bir yılda en az; </t>
  </si>
  <si>
    <t xml:space="preserve">1. Asteğmen-yüzbaşı rütbelerindeki subaylar ile astsubay çavuş-kıdemli üstçavuş rütbelerindeki astsubayların; 24, </t>
  </si>
  <si>
    <t xml:space="preserve">2. Binbaşı-general rütbelerindeki subaylar ile astsubay kademeli kıdemli üstçavuş ve üzeri rütbesindeki astsubayların; 12, </t>
  </si>
  <si>
    <t>3. 1-15 yıl hizmet yılını dolduran uzman jandarma ve uzman erbaşların; 24, 16 yıl ve üzeri hizmet yılında olanların; 12,</t>
  </si>
  <si>
    <t xml:space="preserve">paraşüt atlayışı yapmaları şarttır. </t>
  </si>
  <si>
    <t xml:space="preserve">c) Denizaltıcıların aylık dalış tazminatı alabilmeleri için bir yılda en az; </t>
  </si>
  <si>
    <t xml:space="preserve">1. Dalış hizmeti 10 yıldan az veya tüm dalışı 1500 saatin altında olanların 60 saat, </t>
  </si>
  <si>
    <t xml:space="preserve">2. Dalış hizmeti 10-20 yıl veya tüm dalışı 1500-2500 saat arasında olanların 30 saat, </t>
  </si>
  <si>
    <t>3. Dalış hizmeti 20 yıldan veya dalışı 2500 saatten fazla olanların 15 saat,</t>
  </si>
  <si>
    <t xml:space="preserve">dalış yapmaları şarttır. </t>
  </si>
  <si>
    <t xml:space="preserve">ç) Dalgıç ve kurbağa adamların aylık dalış tazminatı alabilmeleri için bir yılda en az; </t>
  </si>
  <si>
    <t xml:space="preserve">1. Dalış hizmeti 10 yıldan az veya tüm dalışı 600 saatin altında olanların 60 saat, </t>
  </si>
  <si>
    <t xml:space="preserve">2. Dalış hizmeti 10-20 yıl veya tüm dalışı 600-900 saat arasında olanların 30 saat, </t>
  </si>
  <si>
    <t>3. Dalış hizmeti 20 yıldan veya dalışı 900 saatten fazla olanların 15 saat,</t>
  </si>
  <si>
    <t>ADS pilotları kadro görevlerinde görevlendirildikleri sürece (ç) bendinde yer alan yıllık dalış saatlerinin %50’sini ADS ile tamamlamak zorundadırlar. ADS ile %50 dalış süresini tamamlayamayanlar, dalış tazminatına hak kazanabilmek için kalan süreleri (ç) bendine göre ADS haricinde tamamlamak zorundadırlar.</t>
  </si>
  <si>
    <t xml:space="preserve">d) Kuvvet komutanlıkları, Jandarma Genel Komutanlığı veya Sahil Güvenlik Komutanlığınca Genelkurmay Başkanlığının onayı alınmak kaydıyla; </t>
  </si>
  <si>
    <t>1. Bu maddede belirtilen yıllık zorunlu uçuş, atlayış ve dalış süreleri malzeme, araç ve teknik zorunluluk veya imkânsızlıklar nedeniyle veya olağanüstü durumlarda azaltılabilir. 2. Pilot, silah sistem subayı, seyrüsefer subayı, taktik koordine subayı, uçuş ekibi personeli, paraşütçü, denizaltıcı, ADS pilotu, dalgıç ve kurbağa adamlardan;</t>
  </si>
  <si>
    <t>(a) 20 uçuş/dalış hizmet yılı veya 2500 saatten fazla uçuşu/dalışı olan pilot, silah sistem subayı, seyrüsefer subayı, taktik koordine subayı, uçuş ekibi personeli ve denizaltıcılar,</t>
  </si>
  <si>
    <t xml:space="preserve">(b) 20 dalış hizmet yılı veya 900 saatten fazla dalışı olan ADS pilotu, dalgıç ve kurbağa adamlar, </t>
  </si>
  <si>
    <t>(c) Binbaşı-General ve kademeli kıdemli üstçavuş ve üzeri rütbelerindekiler ile 15 yıllık hizmete haiz uzman jandarma ve uzman erbaşlar veya 500’den fazla atlayışı olan paraşütçülerin,</t>
  </si>
  <si>
    <t xml:space="preserve">statü ve hakları saklı kalmak üzere, 3 yıla kadar yıllık zorunlu uçuş, atlayış ve dalış süre ve miktarları aranmayabilir. </t>
  </si>
  <si>
    <t xml:space="preserve">e) Yıllık zorunlu uçuş saati, atlayış miktarı veya dalış süresini tamamlamayanların uçuş, atlayış ve dalış tazminatının %50’si müteakip hizmet yılı başlangıcından itibaren kesilir. Normal tazminat önceki yıldan noksan kalan süre veya miktarın tamamlanmasını takip eden aybaşından itibaren ödenmeye başlanır. </t>
  </si>
  <si>
    <t>f) Pilot, silah sistem subayı, seyrüsefer subayı, taktik koordine subayı, uçuş ekibi personeli, görev ekibi, paraşütçü, denizaltıcı, ADS pilotu, dalgıç ve kurbağa adamların aylık tazminat alabilmeleri için görev ve hizmete ilişkin istekleri gereği gibi yerine getirmedikleri yolunda bir yıl içinde emrinde çalıştığı en yakın iki üst derece amirlerinin imzasını taşıyan yazılı iki ihtar veya aylık bir fena faaliyet raporu almamış olmaları şarttır. Bu şartı taşımayanların tazminatının %50’si tebliğ tarihini izleyen aybaşından itibaren kesilir. Bu kesilme durumunu düzelttiğine dair en yakın iki üst derece amirlerinden olumlu kanaat raporu alıncaya kadar devam eder. Normal tazminat, olumlu kanaat raporunun alındığı tarihi izleyen aybaşından itibaren ödenir.</t>
  </si>
  <si>
    <t xml:space="preserve">g) Uçuş, paraşütle atlayış ve dalış hizmetine ilişkin görevler sırasındaki kazalar ve diğer sağlık nedenleri sonucunda hava değişimi alan veya geçici olarak uçuştan, paraşütçülükten veya dalıştan başka hizmetlere nakledilen pilot, silah sistem subayı, seyrüsefer subayı, taktik koordine subayı, uçuş ekibi, görev ekibi, paraşütçü, ADS pilotu, denizaltıcı, dalgıç ve kurbağa adamlara iki yıl süre, ruh sağlığı hastalıkları nedeniyle hava değişimi alan personele bir yıl süre ile son aldıkları aylık tazminat ödenir. Bu süreler uçuş, atlayış, dalış hizmetinden sayılır ve bu süre zarfında uçuş, atlayış, dalış zorunluluğu aranmaz. Ruh sağlığı hastalıkları nedeniyle bir yıldan fazla hava değişimi alan personelin aylık uçuş, atlayış, dalış tazminatı kesilir. Bunların hizmet süreleri ilerletilmeye devam edilir. Bunlar tekrar göreve başladıklarında diğer şartları haiz iseler aylık tazminatları göreve başladıkları tarihi izleyen aybaşından itibaren ödenir.  </t>
  </si>
  <si>
    <t xml:space="preserve">ğ) Uçuş, paraşütle atlayış, dalış tazminatı alan personelden uçuş, paraşütle atlayış ve dalışla ilgisi olmayan yurt dışı daimi görevlere atananların yurt dışı daimi görevlerde geçen süreleri uçuş, atlayış, dalış hizmet süresinden sayılır. Ancak, bu görevlere atananların yurttan ayrılış tarihini izleyen aybaşından itibaren aylık uçuş, atlayış ve dalış tazminatı kesilir. </t>
  </si>
  <si>
    <t>h) (a) bendi kapsamına giren personele; aynı bentte belirtilen zorunlu uçuş saatinden fazla uçtukları her uçuş saati için uçuş hizmet yılının son ayındaki uçuş tazminatının jet pilotları ve pervaneli pilotları için %5,2’si, silah sistem subayları, seyrüsefer subayları ve taktik koordine subayları ile uçuş ekibi ve görev ekibi personeli için %5,5’i oranında ayrıca her yıl toptan ödeme yapılır. Bu ödemenin yapılmasında 80 saatten fazla uçuşlar dikkate alınmaz. Ancak, görev ve hizmet ihtiyaçları nedeniyle kuvvet komutanlıkları, Jandarma Genel Komutanlığı ve Sahil Güvenlik Komutanlığınca belirlenen ve Genelkurmay Başkanlığınca onaylanan bilfiil uçuş gerektirmeyen kadro görev yerlerine atanan veya bu kadro görev yerlerinde görevlendirilenlerden, 10’uncu uçuş hizmet yılını tamamlamış ve toplam uçuşu 1000 saatten fazla olan pilot, silah sistem subayları ve seyrüsefer subaylarına (a) bendinde belirtilen zorunlu uçuş saatlerini tamamlamaları şartı ile 80 saatlik uçuş karşılığının %80’i yıllık uçuş tazminatı olarak ödenir. Bu şekilde ödenen tazminat, damga vergisi hariç hiçbir vergiye tabi tutulmaz. Zorunlu uçuş veya dalış saatlerinin (d) bendinin (1) numaralı alt bendi uyarınca indirilmesi halinde, bu ödemelerin hesabında indirimli süreler dikkate alınır.”</t>
  </si>
  <si>
    <t>7) 8 inci maddesi aşağıdaki şekilde değiştirilmiştir.</t>
  </si>
  <si>
    <t>“MADDE 8- Yıpranma tazminatının ödenme usul ve şartları aşağıda gösterilmiştir.</t>
  </si>
  <si>
    <t>a) Uçuş, atlayış veya dalış kıymetlendirme kurulu kararı ile;</t>
  </si>
  <si>
    <t xml:space="preserve">1. Sekiz uçuş hizmet yılını tamamladıktan sonra daimi olarak yer hizmetine nakledilen pilot, silah sistem subaylarına, seyrüsefer subaylarına veya taktik koordine subaylarına, </t>
  </si>
  <si>
    <t xml:space="preserve">2. Oniki uçuş hizmet yılını tamamladıktan sonra daimi olarak yer hizmetine nakledilen uçuş ekibi ve görev ekibi personeline, </t>
  </si>
  <si>
    <t xml:space="preserve">3. Sekiz paraşütle atlayış hizmet yılını tamamladıktan sonra daimi olarak diğer sınıf görevlerine nakledilen veya paraşütçülük görevi yapamayan askeri paraşütçülere, </t>
  </si>
  <si>
    <t xml:space="preserve">4. Denizaltıcı, ADS pilotu, dalgıç ve kurbağa adam subay, sözleşmeli subay, astsubay ve sözleşmeli astsubaylar için sekiz dalış hizmet yılını tamamladıktan sonra denizaltı, dalgıç ve kurbağa adam hizmet kadrolarında görev alamayacak duruma gelerek daimi olarak diğer görevlere nakledilen denizaltıcı, ADS pilotu, dalgıç ve kurbağa adamlara, </t>
  </si>
  <si>
    <t xml:space="preserve">b) Uçuş, atlayış, dalış hizmetine ilişkin görevler sırasındaki kazalar sonucunda veya diğer sağlık nedenleri ile yetkili sağlık kurulları raporlarına dayanılarak daimi olarak yer hizmetine veya diğer sınıf görevlerine nakledilen uçucu, paraşütçü, denizaltıcı, ADS pilotu, dalgıç ve kurbağa adamlara, </t>
  </si>
  <si>
    <t xml:space="preserve">Silahlı Kuvvetlerde görevde bulundukları sürece uçuş, atlayış, dalış görevlerinden ayrıldıkları tarihteki derece ve kademelerinin karşılığı gösterge ve ek gösterge rakamlarının ödeme yapılacak aydaki aylık katsayısı ile çarpılması sonucu bulunacak tutarın %10’u kadar aylık yıpranma tazminatı ödenir. Ancak bu tazminat 10 yıldan sonra ödenmez. </t>
  </si>
  <si>
    <t>c) Uçuş, atlayış, dalış görevlerinden disiplinsizlik nedeniyle veya kendi istekleri ile ayrılanlara yıpranma tazminatı ödenmez.”</t>
  </si>
  <si>
    <t>8) 9 uncu maddesi aşağıdaki şekilde değiştirilmiştir.</t>
  </si>
  <si>
    <t>“MADDE 9- Hava vasıtası veya denizaltı vasıtaları içinde fiilen uçmak veya dalmak suretiyle bu vasıtaların uçmasında veya dalmasında görev alanlar dışında hangi meslek ve sınıftan olursa olsun, bu vasıtalarda bulunan veya kontrol ve tecrübe maksatları için görevlendirilen ve aylık uçuş veya dalış tazminatı almayan personele her uçuş veya dalış saati başına, kıstas aylığın %1’i oranında tazminat ödenir. Ancak bu şekilde görev yapanlara bir ay içinde ödenecek tazminat miktarı, kıstas aylığın %10’unu geçemez.”</t>
  </si>
  <si>
    <t>9) 10 uncu maddesi aşağıdaki şekilde değiştirilmiştir.</t>
  </si>
  <si>
    <t xml:space="preserve">“MADDE 10- a) Hava Harp Okulu, hava okulları, uçuş okulları ve kursları ile kıtalarda çift kumandalı hava vasıtalarıyla öğrenci ve pilotları fiilen uçuranlara uçuş saati başına, </t>
  </si>
  <si>
    <t xml:space="preserve">b) Paraşütçü okul ve kurslarında öğrencilerini aynı hava vasıtalarından fiilen paraşütle atlatmak suretiyle yetiştiren öğretmenler ile kıtalarda paraşütçülük eğitimi için uçaktan paraşütle atlatma öğretmenliği yapanlara, uçaktan yaptıkları her atlayış grubu başına, </t>
  </si>
  <si>
    <t xml:space="preserve">c) Dalgıç veya kurbağa adam okul ve kurslarında öğrencileri fiilen dalmak suretiyle yetiştiren öğretmenlerin her dalış saati başına, </t>
  </si>
  <si>
    <t>ç) Denizaltı özel ihtisas kurslarındaki öğrencilerini denizaltı gemisinde fiilen daldırmak suretiyle yetiştiren öğretmenlere her dalış saati başına,</t>
  </si>
  <si>
    <t>d) Dikey rüzgar tünelinde eğitim veren öğretmenlerin uçuş odasında bilfiil görev yaptıkları her uçuş saati başına,</t>
  </si>
  <si>
    <t xml:space="preserve">kıstas aylığın %0,6’sı tutarında, yetiştirme ikramiyesi ayrıca ödenir. Bu ikramiye öğretmenliğin yapıldığı ayın sonunda verilir.” </t>
  </si>
  <si>
    <t>10) 11 inci maddesi başlığı ile birlikte aşağıdaki şekilde değiştirilmiştir.</t>
  </si>
  <si>
    <t xml:space="preserve">“Hava vasıtası ve gemi tipi: </t>
  </si>
  <si>
    <t xml:space="preserve">MADDE 11- Silahlı Kuvvetlerde uçucuların, paraşütçülerin ve denizaltıcıların bu hizmetlerini yapacakları her türlü hava vasıtası ve gemi tipi, görev ve ihtiyaca göre kuvvet komutanlıkları, Jandarma Genel Komutanlığı veya Sahil Güvenlik Komutanlığınca saptanır.” </t>
  </si>
  <si>
    <t>11) 12 nci maddesi aşağıdaki şekilde değiştirilmiştir.</t>
  </si>
  <si>
    <t xml:space="preserve">“MADDE 12- Uçuş, paraşütle atlayış ve dalış hizmet sürelerinin hesabında başlangıç tarihi; okul veya kurslarda ilk uçuşa, atlayışa, dalışa başlanılan tarihtir. </t>
  </si>
  <si>
    <t>Uçuştan, atlayıştan, dalıştan ayrılma tarihi ise durumlarına göre,</t>
  </si>
  <si>
    <t xml:space="preserve">a) Uçuş, atlayış, dalış kıymetlendirme kurullarının karar tasdik tarihidir. </t>
  </si>
  <si>
    <t>b) Yetkili Sağlık Kurulu raporunun tasdik tarihidir.</t>
  </si>
  <si>
    <t>c) Uçuculardan istekleri üzerine ayrılmaları kabul edilenlerin dilekçe tarihidir.</t>
  </si>
  <si>
    <t>ç) Görev ekibinde yer alan personelin kadro görev yeri dışına atanması üzerine ilişik kestiği tarihtir.</t>
  </si>
  <si>
    <t xml:space="preserve">Başlangıç ve ayrılma tarihleri arasındaki süre; uçuş, atlayış, dalış hizmet süresidir. </t>
  </si>
  <si>
    <t xml:space="preserve">Uçuş, paraşüt, denizaltı, dalgıç ve kurbağa adam hizmet süreleri, hizmet yılı başlangıcına göre tespit edilir. Hizmet yılı hesabında ilk uçuşa, dalışa veya atlayışa başlayan personelin hizmet yılı birinci yıl olarak kabul edilir ve hizmet yılı sonraki yıllarda artarak devam eder. Yıl hesabında 6 ay ve daha fazla süreler tam yıla tamamlanır. 6 aydan az süreler dikkate alınmaz. Hizmet yılları her yıl 1 Eylül tarihine göre düzenlenerek Genelkurmay Başkanlığı, kuvvet komutanlıkları, Jandarma Genel Komutanlığı veya Sahil Güvenlik Komutanlığınca onaylandıktan sonra ilgililere duyurulur. </t>
  </si>
  <si>
    <t>Pilot, silah sistem subayı, seyrüsefer subayı, taktik koordine subayı, uçuş ekibi personeli, görev ekibi personeli, paraşütçü, denizaltıcı, ADS pilotu, dalgıç ve kurbağa adamlardan 23 yıl ve daha fazla uçuculuk, paraşütçülük, dalıcılık hizmet süresi olanlara 23 üncü hizmet yılı karşılığında gösterilen oranda aylık tazminat ödenir.”</t>
  </si>
  <si>
    <t>12) 13 üncü maddesi aşağıdaki şekilde değiştirilmiştir.</t>
  </si>
  <si>
    <t xml:space="preserve">“MADDE 13- a) Pilot, silah sistem subayı, seyrüsefer subayı, taktik koordine subayı, uçuş ekibi personeli, görev ekibi personeli ve bunların adaylarının uçuş hizmet faaliyetlerinden, </t>
  </si>
  <si>
    <t xml:space="preserve">b) Paraşütçü ve paraşütçü adaylarının uçuş faaliyetleri ile paraşüt atlayışlarından, </t>
  </si>
  <si>
    <t xml:space="preserve">c) Denizaltıcı, ADS pilotu, dalgıç ve kurbağa adamlar ile bunların adaylarının denizaltı, ADS pilotu, dalgıç ve kurbağa adam hizmet faaliyetlerinden, </t>
  </si>
  <si>
    <t xml:space="preserve">ç) Hangi meslek ve sınıftan olursa olsun; vazifeli olarak askeri hava vasıtası veya askeri maksatla kullanılan hava vasıtası veya denizaltıda bulunan askeri personel ile bir askeri hizmetin ifası için veya pilot yetiştirilmek üzere Türk Silahlı Kuvvetlerindeki teşkillere seçim veya bu teşkillerdeki fiili eğitimleri maksadıyla bu vasıtalarda bulunanlar, hava vasıtası veya denizaltıda bulundukları esnada veya paraşütle atlayış faaliyetlerinin etkisiyle, </t>
  </si>
  <si>
    <t xml:space="preserve">şehit olan veya sakat kalanlara bu Kanun hükümlerine göre tazminat verilir.”  </t>
  </si>
  <si>
    <r>
      <t>13)</t>
    </r>
    <r>
      <rPr>
        <b/>
        <sz val="9"/>
        <rFont val="Calibri"/>
        <family val="2"/>
        <charset val="162"/>
      </rPr>
      <t xml:space="preserve"> </t>
    </r>
    <r>
      <rPr>
        <sz val="9"/>
        <rFont val="Calibri"/>
        <family val="2"/>
        <charset val="162"/>
      </rPr>
      <t>14 üncü maddesinin (a) ve (b) bentleri aşağıdaki şekilde değiştirilmiştir.</t>
    </r>
  </si>
  <si>
    <t xml:space="preserve">“a) Şehit olanların kanuni mirasçılarına kıstas aylığın 100 katı, </t>
  </si>
  <si>
    <t xml:space="preserve">b) Yaşamak için gerekli hareketleri yapmaktan aciz ve hayatını başkasının yardım ve desteği ile sürdürebilecek şekilde malul olanlara kıstas aylığın 200 katı, diğerlerine ise vazife malulü olanlar hakkında esas alınan 13/7/1953 tarihli ve 1053 sayılı Vazife Malullüklerinin Nevileri ile Dereceleri Hakkındaki Nizamnamede gösterilen sakatlık derecelerine göre (a) bendinde belirtilen tutarın; </t>
  </si>
  <si>
    <t xml:space="preserve">1 inci dereceye  %75’i, </t>
  </si>
  <si>
    <t xml:space="preserve">2 nci dereceye  %65’i, </t>
  </si>
  <si>
    <t xml:space="preserve">3 üncü dereceye  %55’i, </t>
  </si>
  <si>
    <t xml:space="preserve">4 üncü dereceye  %45’i, </t>
  </si>
  <si>
    <t xml:space="preserve">5 inci dereceye  %35’i, </t>
  </si>
  <si>
    <t>6 ncı dereceye  %25’i,”</t>
  </si>
  <si>
    <t>14) 15 inci maddesinin birinci fıkrasına “denizaltıcı,” ibaresinden sonra gelmek üzere “ADS pilotu,” ibaresi eklenmiştir.</t>
  </si>
  <si>
    <t>15) 16 ncı maddesinin birinci fıkrasının birinci cümlesi ve (a) bendi aşağıdaki şekilde değiştirilmiş ve aynı fıkranın (b) bendine “denizaltıcı,” ibaresinden sonra gelmek üzere “ADS pilotu,” ibaresi eklenmiştir.</t>
  </si>
  <si>
    <t xml:space="preserve">“Olağanüstü hallerde Türk Silahlı Kuvvetlerinin uçucu, paraşütçü, denizaltıcı, ADS pilotu, dalgıç ve kurbağa adam personel ihtiyacını karşılamak üzere silah altına alınan subay, sözleşmeli subay, astsubay, sözleşmeli astsubay, uzman jandarma, uzman erbaşlar ile erbaş ve erlerden gerekli görülenler branşları ile ilgili okul, birlik veya kurslarda, eğitime tabi tutulurlar. </t>
  </si>
  <si>
    <t xml:space="preserve">a) Kurs esnasında subay, sözleşmeli subay, astsubay, sözleşmeli astsubay, uzman jandarma, uzman erbaşlar kendi statüsünde bulundukları adaylar gibi tazminat alırlar. Subay, sözleşmeli subay, astsubay ve sözleşmeli astsubaylara kurslardan ve okullardan mezuniyeti müteakip Silahlı Kuvvetler içinde veya dışında geçmiş uçuculuk, paraşütçülük, dalıcılık hizmet yılları da dikkate alınarak aylık uçuş, paraşüt, dalış tazminatı ödenir.” </t>
  </si>
  <si>
    <t>16) 17 nci maddesinin birinci fıkrasında yer alan “resmi” ibaresi “vergisi” şeklinde değiştirilmiştir.</t>
  </si>
  <si>
    <r>
      <t>17)</t>
    </r>
    <r>
      <rPr>
        <b/>
        <sz val="9"/>
        <rFont val="Times New Roman"/>
        <family val="1"/>
        <charset val="162"/>
      </rPr>
      <t xml:space="preserve"> </t>
    </r>
    <r>
      <rPr>
        <sz val="9"/>
        <rFont val="Times New Roman"/>
        <family val="1"/>
        <charset val="162"/>
      </rPr>
      <t>18 inci maddesinin (c) bendine “Denizaltı,” ibaresinden sonra gelmek üzere “ADS pilotu,” ibaresi eklenmiştir.</t>
    </r>
  </si>
  <si>
    <t>18) Eki Ek Cetvelde yer alan hizmet grupları aşağıdaki şekilde değiştirilmiştir.</t>
  </si>
  <si>
    <t xml:space="preserve">“A- Hizmet Grubu: Jet Pilotu, Pervaneli Pilotu, Silah Sistem Subayı, </t>
  </si>
  <si>
    <t xml:space="preserve">B- Hizmet Grubu: ADS Pilotu, Denizaltıcı Subay, Denizaltıcı Astsubay, Dalgıç, Kurbağa Adam, </t>
  </si>
  <si>
    <t xml:space="preserve">C- Hizmet Grubu: Seyrüsefer Subayı, Taktik Koordine Subayı, Uçuş Ekibi Personeli, Görev Ekibi Personeli, Paraşütçü.” </t>
  </si>
  <si>
    <t>19) Geçici 5 inci, geçici 6 ncı ve geçici 7 nci maddeleri yürürlükten kaldırılmıştır.</t>
  </si>
  <si>
    <r>
      <t>MADDE 7-</t>
    </r>
    <r>
      <rPr>
        <sz val="9"/>
        <rFont val="Times New Roman"/>
        <family val="1"/>
        <charset val="162"/>
      </rPr>
      <t xml:space="preserve">a) 18/3/1986 tarihli ve 3269 sayılı Kanunun 16 ncı maddesinin birinci fıkrasının beşinci cümlesi yürürlükten kaldırılmıştır. </t>
    </r>
  </si>
  <si>
    <r>
      <t>b)</t>
    </r>
    <r>
      <rPr>
        <b/>
        <sz val="9"/>
        <rFont val="Times New Roman"/>
        <family val="1"/>
        <charset val="162"/>
      </rPr>
      <t xml:space="preserve"> </t>
    </r>
    <r>
      <rPr>
        <sz val="9"/>
        <rFont val="Times New Roman"/>
        <family val="1"/>
        <charset val="162"/>
      </rPr>
      <t xml:space="preserve">28/5/1988 tarihli ve 3466 sayılı Kanunun 21 inci maddesinin beşinci fıkrası yürürlükten kaldırılmıştır. </t>
    </r>
  </si>
  <si>
    <r>
      <t>MADDE 8-</t>
    </r>
    <r>
      <rPr>
        <sz val="9"/>
        <rFont val="Calibri"/>
        <family val="2"/>
        <charset val="162"/>
      </rPr>
      <t>Bu Kanun Hükmünde Kararnamenin;</t>
    </r>
  </si>
  <si>
    <r>
      <t xml:space="preserve">b) 2 nci maddesiyle 375 sayılı Kanun Hükmünde Kararnameye eklenen geçici 19 uncu madde, </t>
    </r>
    <r>
      <rPr>
        <sz val="9"/>
        <color indexed="10"/>
        <rFont val="Calibri"/>
        <family val="2"/>
        <charset val="162"/>
      </rPr>
      <t>5 inci maddesinin (p</t>
    </r>
    <r>
      <rPr>
        <sz val="9"/>
        <rFont val="Calibri"/>
        <family val="2"/>
        <charset val="162"/>
      </rPr>
      <t xml:space="preserve">) fıkrası, 6 ncı ve 7 nci maddeleri </t>
    </r>
    <r>
      <rPr>
        <sz val="9"/>
        <color indexed="10"/>
        <rFont val="Calibri"/>
        <family val="2"/>
        <charset val="162"/>
      </rPr>
      <t>15/11/2011,</t>
    </r>
  </si>
  <si>
    <t xml:space="preserve">c) 5 inci maddesinin (r) fıkrası 1/12/2011, </t>
  </si>
  <si>
    <r>
      <t xml:space="preserve">ç) 2 nci maddesiyle 375 sayılı Kanun Hükmünde Kararnameye eklenen geçici 13 üncü madde ile </t>
    </r>
    <r>
      <rPr>
        <sz val="9"/>
        <color indexed="10"/>
        <rFont val="Calibri"/>
        <family val="2"/>
        <charset val="162"/>
      </rPr>
      <t>5 inci maddesinin (g) fıkrası 31/12/2011,</t>
    </r>
  </si>
  <si>
    <r>
      <t xml:space="preserve">d) 2 nci maddesiyle 375 sayılı Kanun Hükmünde Kararnameye eklenen geçici 15 inci madde ile </t>
    </r>
    <r>
      <rPr>
        <sz val="9"/>
        <color indexed="10"/>
        <rFont val="Calibri"/>
        <family val="2"/>
        <charset val="162"/>
      </rPr>
      <t>5 inci maddesinin (b), (e) ve (j) fıkraları 1/1/2012,</t>
    </r>
  </si>
  <si>
    <t>tarihinde yürürlüğe girer.</t>
  </si>
  <si>
    <r>
      <t xml:space="preserve">MADDE 9- </t>
    </r>
    <r>
      <rPr>
        <sz val="9"/>
        <rFont val="Calibri"/>
        <family val="2"/>
        <charset val="162"/>
      </rPr>
      <t>Bu Kanun Hükmünde Kararname hükümlerini Bakanlar Kurulu yürütür.</t>
    </r>
  </si>
  <si>
    <t>Ek Ödeme Oranı</t>
  </si>
  <si>
    <t>1- Kadroları Genel İdare Hizmetleri Sınıfında yer alan personel ile Teknik Hizmetler, Sağlık ve Yardımcı Sağlık Hizmetleri ile Avukatlık Hizmetleri sınıflarında bulunan personelden ek ödeme oranları ilgili gruplarında düzenlenmeyen ve kadro unvanları bu bölümde yer alan personel;</t>
  </si>
  <si>
    <t>i) Diğer belediyeler ve bunlara bağlı genel müdürlüklerin başmüfettiş ve müfettişlerinden;</t>
  </si>
  <si>
    <t>2- Kadroları Teknik Hizmetler Sınıfında yer alan personel;</t>
  </si>
  <si>
    <t>a) Başmühendis, başmimar, mühendis, mimar, bölge plancısı ve şehir plancısı kadrolarında bulunanlardan;</t>
  </si>
  <si>
    <t>3- Kadroları Sağlık Hizmetleri ve Yardımcı Sağlık Hizmetleri Sınıfında yer alan personel;</t>
  </si>
  <si>
    <t>d) Eczacı kadrolarında bulunanlardan;</t>
  </si>
  <si>
    <t>4- Kadroları Eğitim ve Öğretim Hizmetleri Sınıfında yer alan personel;</t>
  </si>
  <si>
    <t>5- Kadroları Avukatlık Hizmetleri Sınıfında yer alan personel;</t>
  </si>
  <si>
    <t>6- Kadroları Din Hizmetleri Sınıfında yer alan personel;</t>
  </si>
  <si>
    <t>7- Mülki İdare Amirliği Hizmetleri Sınıfında yer alan personel;</t>
  </si>
  <si>
    <t>8- Kadroları Emniyet Hizmetleri Sınıfında yer alan personel;</t>
  </si>
  <si>
    <t>9- Kadroları Yardımcı Hizmetler Sınıfında yer alan personel;</t>
  </si>
  <si>
    <t>Tazminat</t>
  </si>
  <si>
    <t>Göstergesi</t>
  </si>
  <si>
    <t>Aile ve Sosyal Politikalar, Bilim, Sanayi ve Teknoloji, Çevre ve Şehircilik, Ekonomi, Gıda, Tarım ve Hayvancılık, Gümrük ve Ticaret, Kültür ve Turizm, Milli Eğitim, Orman ve Su İşleri, Sağlık, Ulaştırma, Denizcilik ve Haberleşme Bakanlıklarının bakanlık il müdürü ve bakanlık bölge müdürü, Defterdar, İl Emniyet Müdürü, İl Müftüsü, Vergi Dairesi Başkanı, Türkiye İstatistik Kurumu ve Türkiye Yazma Eserler Başkanlıkları, Devlet Su İşleri, Karayolları, Maden Tetkik ve Arama, Meteoroloji, Orman, Tapu ve Kadastro, Vakıflar ve Yükseköğrenim Kredi ve Yurtlar Kurumu Genel Müdürlüklerinin bölge müdürü, Sosyal Güvenlik Kurumu Başkanlığı, Basın-Yayın ve Enformasyon, Spor, Türkiye İş Kurumu Genel Müdürlüklerinin il müdürü, Kamu İktisadi Teşebbüslerinin bölge müdürü kadrolarında bulunanlardan;</t>
  </si>
  <si>
    <t>Ek Göstergeler</t>
  </si>
  <si>
    <t>ç) Devlet Denetleme Kurulu Üyesi, Başdanışmanlar ve</t>
  </si>
  <si>
    <t>Başkan Başmüşavirleri, Başkan, Cumhurbaşkanlığı Özel</t>
  </si>
  <si>
    <t>Kalem Müdürü, Daire Başkanı</t>
  </si>
  <si>
    <t>e) Grup Başkanı, Müşavir, Hukuk Müşaviri, Müdür</t>
  </si>
  <si>
    <t>Yardımcısı, Saray Müdürü, İşletme Müdürü, Fabrika Müdürü</t>
  </si>
  <si>
    <t>SIRA</t>
  </si>
  <si>
    <t>KADRO VE GÖREV UNVANLARI</t>
  </si>
  <si>
    <t>TAZMİNAT GÖSTERGELERİ</t>
  </si>
  <si>
    <t xml:space="preserve">c) Merkez teşkilatlarında; Dışişleri Meslek Memuru ve Konsolosluk ve İhtisas Memurları, özel yarışma sınavı sonucunda mesleğe yardımcı veya stajyer olarak alınıp belirli süreli yetiştirme döneminden sonra özel bir yeterlik sınavı sonunda müfettiş, uzman, denetçi, kontrolör, aktüer ve stenograf unvanlı kadrolara (mevzuatı uyarınca sözkonusu kadrolara atananlar dahil) atananlar ve bunların yardımcı ve stajyerleri ile iç denetçilerden ekli (III) sayılı Cetvelde yer alan unvanlı kadrolarda yer alanlardan, aylıklarını 657 sayılı Devlet Memurları Kanununa göre almakta olanlara anılan Cetvellerde kadro unvanlarına karşılık gelen gösterge rakamlarının memur aylık katsayısı ile çarpımı sonucu bulunacak tutarlarda ücret ve tazminat verilir. Bu ödemelere hak kazanılmasında ve bunların ödenmesinde aylıklara ilişkin hükümler uygulanır. Ekli (II) ve (III) sayılı Cetvellerde atandıkları kadro dereceleri esas alınarak belirlenen ücret ve tazminatlar, 657 sayılı Kanunun 45 inci maddesine göre atananlar ile haklarında aynı Kanunun 67 nci maddesi uygulananlar için kazanılmış hak aylık dereceleri dikkate alınarak ödenir. Tazminat damga vergisi hariç herhangi bir vergiye tabi tutulmaz. </t>
  </si>
  <si>
    <t xml:space="preserve">     “EK MADDE 9- Aylıklarını 657 sayılı Devlet Memurları Kanunu ile 2914 sayılı Yükseköğretim Personel Kanununa göre almakta olan personele, 399 sayılı Kanun Hükmünde Kararnameye ekli (II) sayılı Cetvele dahil pozisyonlarda istihdam edilen sözleşmeli personele, subay, sözleşmeli subay, astsubay, sözleşmeli astsubay, sözleşmeli subay ve astsubay adayları ile uzman jandarma ve uzman erbaşlara, mali haklar kapsamında yapılan her türlü ödemeler dahil almakta oldukları toplam ödeme tutarı dikkate alınmak suretiyle aynı veya benzer kadro ve görevlerde bulunan personel arasındaki ücret dengesini sağlamak amacıyla, en yüksek Devlet memuru aylığına (ek gösterge dahil), ekli (I) sayılı Cetvelde yer alan kadro ve görev unvanlarına karşılık gelen oranların uygulanması suretiyle hesaplanan tutarda ek ödeme yapılır.</t>
  </si>
  <si>
    <t xml:space="preserve">GENEL BÜTÇE KAPSAMINDAKİ KAMU İDARELERİ VE ÖZEL BÜTÇELİ İDARELERDE HUKUK HİZMETLERİNİN </t>
  </si>
  <si>
    <t>YÜRÜTÜLMESİNE İLİŞKİN KANUN HÜKMÜNDE KARARNAME</t>
  </si>
  <si>
    <t>Kanun Hük. Kar. nin Tarihi : 26/9/2011, No : 659</t>
  </si>
  <si>
    <t>Yetki Kanununun Tarihi : 6/4/2011, No : 6223</t>
  </si>
  <si>
    <t xml:space="preserve">Yayımlandığı R.G. Tarihi : 2/11/2011, No : 28103 </t>
  </si>
  <si>
    <t xml:space="preserve">Yayımlandığı Düstur : Tertip : 5 Cilt : 51 </t>
  </si>
  <si>
    <t>Amaç ve kapsam</t>
  </si>
  <si>
    <t>Tanımlar</t>
  </si>
  <si>
    <t>a) Hukuk birimi: İdarelerde hukuk hizmetlerini yürüten birimi,</t>
  </si>
  <si>
    <t>b) Hukuk hizmetleri: Muhakemat hizmetleri ile hukuk danışmanlığına ilişkin her türlü iş ve işlemleri,</t>
  </si>
  <si>
    <t xml:space="preserve">c) Hukuki uyuşmazlık değerlendirme komisyonu: İdareler bünyesinde, üst yönetici tarafından oluşturulan, hukuk birimi amiri ve hukuki uyuşmazlıkla ilgili birim amirinin bulunduğu en az üç üyeden oluşan komisyonu, </t>
  </si>
  <si>
    <t>ç) İdare: 10/12/2003 tarihli ve 5018 sayılı Kamu Malî Yönetimi ve Kontrol Kanununa ekli (I) ve (II) sayılı cetvellerde belirtilen kamu idarelerini,</t>
  </si>
  <si>
    <t>d) İlgili bakan: İdarelerin bağlı, ilgili veya ilişkili olduğu bakanı, Yükseköğretim Kurulu ile Ölçme, Seçme ve Yerleştirme Merkezi Başkanlığı, üniversiteler ve yüksek teknoloji enstitüleri için Milli Eğitim Bakanını,</t>
  </si>
  <si>
    <t>e) Üst yönetici: Milli Savunma Bakanlığında Bakanı, diğer bakanlıklarda müsteşarı ve kamu idarelerinde en üst yöneticiyi,</t>
  </si>
  <si>
    <t>ifade eder.</t>
  </si>
  <si>
    <t>İlkeler</t>
  </si>
  <si>
    <r>
      <t>MADDE 3</t>
    </r>
    <r>
      <rPr>
        <sz val="9"/>
        <rFont val="Arial"/>
        <family val="2"/>
        <charset val="162"/>
      </rPr>
      <t xml:space="preserve"> </t>
    </r>
    <r>
      <rPr>
        <sz val="9"/>
        <rFont val="MS Mincho"/>
        <family val="3"/>
        <charset val="162"/>
      </rPr>
      <t>‒</t>
    </r>
    <r>
      <rPr>
        <sz val="9"/>
        <rFont val="Arial"/>
        <family val="2"/>
        <charset val="162"/>
      </rPr>
      <t xml:space="preserve"> (1) Bu Kanun Hükmünde Kararnamenin uygulanmasında;</t>
    </r>
  </si>
  <si>
    <t xml:space="preserve">a) İdarelerin taraf oldukları uyuşmazlıkların, tarafların hak ve menfaatlerinin dengeli olarak değerlendirilerek, adil ve hakkaniyete uygun olarak çözümlenmesi, </t>
  </si>
  <si>
    <t>b) İdarelerin taraf oldukları davaların, usul ekonomisine uygun olarak, imkânlar ölçüsünde idarelerde istihdam edilen hukuk müşavirleri ve avukatları tarafından takibi,</t>
  </si>
  <si>
    <t xml:space="preserve">c) Davaların takibinde, mahkeme kararlarının hukuka uygun olarak, adil, süratli ve en az masrafla verilebilmesine yardımcı olunması, </t>
  </si>
  <si>
    <t>esastır.</t>
  </si>
  <si>
    <t xml:space="preserve">Hukuk birimlerinin görevleri </t>
  </si>
  <si>
    <r>
      <t>MADDE 4</t>
    </r>
    <r>
      <rPr>
        <sz val="9"/>
        <rFont val="Arial"/>
        <family val="2"/>
        <charset val="162"/>
      </rPr>
      <t xml:space="preserve"> </t>
    </r>
    <r>
      <rPr>
        <sz val="9"/>
        <rFont val="MS Mincho"/>
        <family val="3"/>
        <charset val="162"/>
      </rPr>
      <t>‒</t>
    </r>
    <r>
      <rPr>
        <sz val="9"/>
        <rFont val="Arial"/>
        <family val="2"/>
        <charset val="162"/>
      </rPr>
      <t xml:space="preserve"> (1) Hukuk birimleri; idarelerde muhakemat hizmetleri ile hukuk danışmanlığına ilişkin iş ve işlemleri yürütmekle görevli ve sorumludur. </t>
    </r>
  </si>
  <si>
    <t xml:space="preserve">(2) Hukuk birimleri muhakemat hizmetleri kapsamında; </t>
  </si>
  <si>
    <r>
      <t>a) İdarenin taraf olduğu adli ve idari davalarda, iç ve dış tahkim yargılamasında, icra işlemlerinde ve yargıya intikal eden diğer her türlü hukuki</t>
    </r>
    <r>
      <rPr>
        <sz val="9"/>
        <color indexed="10"/>
        <rFont val="Arial"/>
        <family val="2"/>
        <charset val="162"/>
      </rPr>
      <t xml:space="preserve"> </t>
    </r>
    <r>
      <rPr>
        <sz val="9"/>
        <rFont val="Arial"/>
        <family val="2"/>
        <charset val="162"/>
      </rPr>
      <t xml:space="preserve">uyuşmazlıklarda idareyi temsil eder, dava ve icra işlemlerini vekil sıfatı ile takip eder. </t>
    </r>
  </si>
  <si>
    <t xml:space="preserve">b) İdarece hizmet satın alma yoluyla temsil ettirilecek dava ve icra takipleri ve tahkim ile ilgili işlemleri koordine eder, izler ve denetler. </t>
  </si>
  <si>
    <t xml:space="preserve">(3) Hukuk birimleri hukuk danışmanlığı kapsamında; </t>
  </si>
  <si>
    <t>a) İdare hizmetleriyle ilgili olarak diğer kamu kurum ve kuruluşları tarafından hazırlanan mevzuat taslaklarını, idare birimleri tarafından hazırlanan mevzuat taslakları ile düzenlenecek her türlü sözleşme ve şartname taslaklarını, idare ile üçüncü kişiler arasında çıkan uyuşmazlıklara ilişkin işleri ve idare birimlerince sorulacak diğer işleri inceleyip hukuki mütalaasını bildirir.</t>
  </si>
  <si>
    <t>b) Anlaşmazlıkları önleyici hukuki tedbirleri zamanında alır, uyuşmazlıkların sulh yoluyla çözümü konusunda mütalaa verir.</t>
  </si>
  <si>
    <t xml:space="preserve">c) İdarenin amaçlarını daha iyi gerçekleştirmek, mevzuata, plan ve programa uygun çalışmalarını temin etmek amacıyla gerekli hukuki teklifleri hazırlar. </t>
  </si>
  <si>
    <t>(4) Hukuk birimleri, hukuki uyuşmazlık değerlendirme komisyonunun sekreterya hizmetlerini ve idaresince verilen diğer görevleri yürütür.</t>
  </si>
  <si>
    <t xml:space="preserve">(5) Başbakanlık ve Maliye Bakanlığı hukuk birimlerinin teşkilat kanunlarındaki hükümler saklıdır. </t>
  </si>
  <si>
    <t>(6) Teşkilat kanunlarına göre hukuk birimi kurulmayan idarelerde, bu Kanun Hükmünde Kararnamede belirtilen hukuk hizmetleri, istihdam edilen avukatlar tarafından yerine getirilir. İdarelerin merkez birimlerinde istihdam edilen avukatlardan birisi, üst yönetici onayı ile hukuk birimi amiri olarak görevlendirilir.</t>
  </si>
  <si>
    <t>Muhakemat hizmeti temini</t>
  </si>
  <si>
    <r>
      <t xml:space="preserve">MADDE 5 </t>
    </r>
    <r>
      <rPr>
        <b/>
        <sz val="9"/>
        <rFont val="MS Mincho"/>
        <family val="3"/>
        <charset val="162"/>
      </rPr>
      <t>‒</t>
    </r>
    <r>
      <rPr>
        <b/>
        <sz val="9"/>
        <rFont val="Arial"/>
        <family val="2"/>
        <charset val="162"/>
      </rPr>
      <t xml:space="preserve"> </t>
    </r>
    <r>
      <rPr>
        <sz val="9"/>
        <rFont val="Arial"/>
        <family val="2"/>
        <charset val="162"/>
      </rPr>
      <t>(1) İdareler, muhakemat hizmetleri ihtiyaçlarını;</t>
    </r>
  </si>
  <si>
    <r>
      <t>a) Hukuk birimlerinde istihdam edecekleri hukuk müşavirleri ve avukatlardan,</t>
    </r>
    <r>
      <rPr>
        <b/>
        <sz val="9"/>
        <rFont val="Arial"/>
        <family val="2"/>
        <charset val="162"/>
      </rPr>
      <t xml:space="preserve"> </t>
    </r>
  </si>
  <si>
    <r>
      <t>b)</t>
    </r>
    <r>
      <rPr>
        <b/>
        <sz val="9"/>
        <rFont val="Arial"/>
        <family val="2"/>
        <charset val="162"/>
      </rPr>
      <t xml:space="preserve"> </t>
    </r>
    <r>
      <rPr>
        <sz val="9"/>
        <rFont val="Arial"/>
        <family val="2"/>
        <charset val="162"/>
      </rPr>
      <t>İhtiyaç duyulması halinde Maliye Bakanlığından talep etmek suretiyle,</t>
    </r>
  </si>
  <si>
    <t xml:space="preserve">sağlayabilirler. </t>
  </si>
  <si>
    <t xml:space="preserve">(2) Bakanlıklar ve bağlı kuruluşları muhakemat hizmetlerini yürütmek üzere birbirlerinden hizmet talebinde bulunabilirler. </t>
  </si>
  <si>
    <t>(3) Birinci ve ikinci fıkraya göre muhakemat hizmetlerinin temin edilememesi veya özel uzmanlık gerektirdiği ilgili bakanın onayı ile belirlenen hallerde muhakemat hizmetlerini yürütmek üzere Bakanlar Kurulu kararıyla belirlenen usul ve esaslar çerçevesinde, 4/1/2002 tarihli ve 4734 sayılı Kamu İhale Kanununun 22 nci maddesine göre doğrudan temin usulüyle serbest avukatlardan veya avukatlık ortaklıklarından hizmet satın alınabilir.</t>
  </si>
  <si>
    <t xml:space="preserve">(4) Hizmet satın alınarak kendisine vekalet verilen serbest avukatlar ve avukatlık ortaklıkları kendilerine vekalet verilen dava ve icra işlemlerinin takibiyle ilgili olarak, ilgili mevzuatla idareleri vekil sıfatıyla temsile yetkili olan görevlilerle aynı yetki ve sorumlulukları haizdir. </t>
  </si>
  <si>
    <t>Takip ve temsil yetkileri ile bunların kapsamı, niteliği ve kullanılması</t>
  </si>
  <si>
    <r>
      <t xml:space="preserve">MADDE 6 </t>
    </r>
    <r>
      <rPr>
        <b/>
        <sz val="9"/>
        <rFont val="MS Mincho"/>
        <family val="3"/>
        <charset val="162"/>
      </rPr>
      <t>‒</t>
    </r>
    <r>
      <rPr>
        <b/>
        <sz val="9"/>
        <rFont val="Arial"/>
        <family val="2"/>
        <charset val="162"/>
      </rPr>
      <t xml:space="preserve"> </t>
    </r>
    <r>
      <rPr>
        <sz val="9"/>
        <rFont val="Arial"/>
        <family val="2"/>
        <charset val="162"/>
      </rPr>
      <t>(1) İdareler, kendi iş ve işlemleriyle ilgili olarak açılacak adli ve idari davalar ile tahkim yargılaması ve icra işlemlerinde taraf sıfatını haizdir.</t>
    </r>
  </si>
  <si>
    <t xml:space="preserve">(2) İdareleri adli ve idari yargıda, icra mercileri ve hakemler nezdinde vekil sıfatıyla doğrudan temsil yetkisi; hukuk birimi amirleri, hukuk müşavirleri, muhakemat müdürleri ve avukatlara aittir. </t>
  </si>
  <si>
    <t>(3) 5 inci maddenin birinci ve ikinci fıkralarında belirtilen usullere göre muhakemat hizmeti temin edilemeyen hallerde adli ve idari davalar ile icra takiplerini yürütmek üzere merkez ve taşra birim amirlerine üst yönetici tarafından temsil yetkisi verilebilir. Üst yönetici bu yetkisini hukuk birimi amirine devredebilir.</t>
  </si>
  <si>
    <t>(4) İdari davalarda; gerekli görülmesi halinde, idarede görevli bir personel, uzmanlığından faydalanılmak üzere idare vekili veya temsilcisi ile birlikte duruşmalara iştirak ettirilebilir.</t>
  </si>
  <si>
    <r>
      <t>(5) İdareleri vekil sıfatıyla temsile yetkili olan hukuk birimi amiri, hukuk müşaviri ve avukatların bir listesi, idaresince yazılı olarak veya Adalet Bakanlığınca belirlenen esaslar dairesinde elektronik ortamda ilgili Cumhuriyet başsavcılığına, bölge idare mahkemesi başkanlıklarına; askeri savcılıklara ve Askeri Yüksek İdare Mahkemesi Başkanlığına</t>
    </r>
    <r>
      <rPr>
        <sz val="9"/>
        <color indexed="10"/>
        <rFont val="Arial"/>
        <family val="2"/>
        <charset val="162"/>
      </rPr>
      <t xml:space="preserve"> </t>
    </r>
    <r>
      <rPr>
        <sz val="9"/>
        <rFont val="Arial"/>
        <family val="2"/>
        <charset val="162"/>
      </rPr>
      <t>verilir. Bu listeler, Cumhuriyet başsavcılığı tarafından adli yargı çevresinde, bölge idare mahkemesi başkanlığınca idari yargı çevresinde bulunan mahkemelere gönderilir. Yüksek mahkemeler ve bölge adliye mahkemesindeki duruşmalarda temsil yetkisini kullanacakların isimleri ilgili mahkemelerin başsavcılıklarına veya başkanlıklarına bildirilir. Listede isimleri yer alanlar, baroya kayıt ve vekaletname ibrazı gerekmeksizin idare vekili sıfatıyla her türlü dava ve icra işlemlerini takip edebilirler. Vekil sıfatıyla temsil yetkisi sona erenlerin isimleri anılan mercilere aynı usulle derhal bildirilir.</t>
    </r>
  </si>
  <si>
    <t>Özel takip ve temsil yetkileri</t>
  </si>
  <si>
    <r>
      <t>MADDE 7</t>
    </r>
    <r>
      <rPr>
        <sz val="9"/>
        <rFont val="Arial"/>
        <family val="2"/>
        <charset val="162"/>
      </rPr>
      <t xml:space="preserve"> </t>
    </r>
    <r>
      <rPr>
        <sz val="9"/>
        <rFont val="MS Mincho"/>
        <family val="3"/>
        <charset val="162"/>
      </rPr>
      <t>‒</t>
    </r>
    <r>
      <rPr>
        <sz val="9"/>
        <rFont val="Arial"/>
        <family val="2"/>
        <charset val="162"/>
      </rPr>
      <t xml:space="preserve"> (1) Birden fazla idarenin taraf olduğu idari davalardan;</t>
    </r>
  </si>
  <si>
    <t>a) Müşterek kararnamelerle ilgili olarak açılanlar ve bunlarla ilgili icra işlemleri, davaya taraf olan tüm idarelerin vekili sıfatıyla, müşterek kararnameyi teklif eden bakanlığın hukuk birimince takip ve müdafaa edilir.</t>
  </si>
  <si>
    <t>b) Bakanlar Kurulu kararları ve düzenleyici işlemlerle ilgili açılan ve Başbakanlığın da taraf olduğu davalardan Başbakanlıkça bu hususta takip yetkisi verilenler ile bu davalarla ilgili icra işlemleri, Başbakanlığın da vekili sıfatıyla, takip yetkisi verilen ilgili idare hukuk birimince takip ve müdafaa edilir.</t>
  </si>
  <si>
    <t>(2) Ulusal ve uluslararası mahkeme ve tahkim mercilerinde Türkiye Cumhuriyeti Hükümeti veya idarelerin taraf ya da müdahil oldukları, birinci fıkrada belirtilen davalar dahil her türlü davadan, Başbakanlıkça Başbakanlık hukuk birimi tarafından takibi gerekli görülenler ve bunlarla ilgili icra işlemleri, ilgili idarenin de vekili sıfatıyla Başbakanlık hukuk birimince takip ve müdafaa edilir.</t>
  </si>
  <si>
    <t xml:space="preserve">Davaların açılması </t>
  </si>
  <si>
    <r>
      <t xml:space="preserve">MADDE 8 </t>
    </r>
    <r>
      <rPr>
        <b/>
        <sz val="9"/>
        <rFont val="MS Mincho"/>
        <family val="3"/>
        <charset val="162"/>
      </rPr>
      <t>‒</t>
    </r>
    <r>
      <rPr>
        <b/>
        <sz val="9"/>
        <rFont val="Arial"/>
        <family val="2"/>
        <charset val="162"/>
      </rPr>
      <t xml:space="preserve"> </t>
    </r>
    <r>
      <rPr>
        <sz val="9"/>
        <rFont val="Arial"/>
        <family val="2"/>
        <charset val="162"/>
      </rPr>
      <t>(1) İdareler adına dava açma veya icra takibine başlama talebi, üst yönetici veya iş ve işlemle ilgili merkez veya taşra birim amiri tarafından yapılır. Merkez veya taşra birim amirince yapılan talep üzerine davayı açmakla yetkili ve görevli olanlarca, maddi ve hukuki sebeplerle dava açılmasında kamu menfaati bulunmadığı yönünde görüş belirtilmesi halinde, üst yöneticinin talimatına göre işlem yapılır.</t>
    </r>
  </si>
  <si>
    <t>(2) Dava açılması veya icra takibinde bulunulmasını isteyen idare veya birim, dava açılması talebi ile birlikte davaya dair bilgi ve belgeleri zamanaşımı ve hak düşürücü süreleri dikkate alarak hukuk birimine gönderir. Süresinde gönderilmeyen veya eksik ya da yanlış gönderilen bilgi ve belgeden kaynaklanan sorumluluk bunu gönderen idareye veya birime aittir.</t>
  </si>
  <si>
    <t xml:space="preserve">(3) İdarelere karşı açılan davaların takibine, dava takipleriyle görevli ve yetkili merkez veya taşra birimlerince doğrudan başlanır. </t>
  </si>
  <si>
    <t>(4) Üst yönetici bu maddedeki yetkilerini sınırlarını belirterek yardımcılarına veya hukuk birimi amirine devredebilir.</t>
  </si>
  <si>
    <t xml:space="preserve">Adli uyuşmazlıklarda sulh </t>
  </si>
  <si>
    <r>
      <t xml:space="preserve">MADDE 9 </t>
    </r>
    <r>
      <rPr>
        <b/>
        <sz val="9"/>
        <rFont val="MS Mincho"/>
        <family val="3"/>
        <charset val="162"/>
      </rPr>
      <t>‒</t>
    </r>
    <r>
      <rPr>
        <b/>
        <sz val="9"/>
        <rFont val="Arial"/>
        <family val="2"/>
        <charset val="162"/>
      </rPr>
      <t xml:space="preserve"> </t>
    </r>
    <r>
      <rPr>
        <sz val="9"/>
        <rFont val="Arial"/>
        <family val="2"/>
        <charset val="162"/>
      </rPr>
      <t xml:space="preserve">(1) İdarelerin adli yargıda dava açmadan veya icra takibine başlamadan önce karşı tarafı sulhe davet etmesi esastır. İdareler, kendi aleyhlerine dava açılacağını veya icra takibine başlanılacağını öğrenmeleri durumunda da karşı tarafı sulhe davet edebilirler. Sulhe davet, uyuşmazlığın tarafı olan gerçek veya tüzel kişilerce de yapılabilir. İlgili mevzuatında daha uzun bir süre öngörülmediği takdirde, sulhe davette karşı tarafa, ifa, itiraz veya sulh teklifinde bulunmak üzere otuz güne kadar süre verilir. </t>
    </r>
  </si>
  <si>
    <t xml:space="preserve">(2) Gecikmesinde sakınca bulunan veya işin mahiyeti gereği süre verilmesinde fayda görülmeyen hallerde doğrudan dava ve icra yoluna başvurulabilir. </t>
  </si>
  <si>
    <t xml:space="preserve">(3) Dava konusu edilmiş veya icraya intikal etmiş uyuşmazlıklarda da taraflarca sulh teklifinde bulunulabilir. </t>
  </si>
  <si>
    <t xml:space="preserve">(4) 21/7/1953 tarihli ve 6183 sayılı Amme Alacaklarının Tahsil Usulü Hakkında Kanun kapsamı dışında kalan tüm taksit tekliflerinin değerlendirilmesi de bu madde kapsamında yapılır. </t>
  </si>
  <si>
    <t xml:space="preserve">(5) Sulh başvurularının altmış gün içinde sonuçlandırılması zorunludur. Sulh başvurusu altmış gün içinde sonuçlandırılmamışsa istek reddedilmiş sayılır. </t>
  </si>
  <si>
    <t xml:space="preserve">Adli uyuşmazlıklarda sulhün usul ve esasları </t>
  </si>
  <si>
    <r>
      <t xml:space="preserve">MADDE 10 </t>
    </r>
    <r>
      <rPr>
        <b/>
        <sz val="9"/>
        <rFont val="MS Mincho"/>
        <family val="3"/>
        <charset val="162"/>
      </rPr>
      <t>‒</t>
    </r>
    <r>
      <rPr>
        <b/>
        <sz val="9"/>
        <rFont val="Arial"/>
        <family val="2"/>
        <charset val="162"/>
      </rPr>
      <t xml:space="preserve"> </t>
    </r>
    <r>
      <rPr>
        <sz val="9"/>
        <rFont val="Arial"/>
        <family val="2"/>
        <charset val="162"/>
      </rPr>
      <t>(1) Sulh anlaşması, anlaşma tutanağında belirtilen tutar kadar bir hakkın tanınması, menfaatin terki, bir şeyin verilmesi, yapılması ya da yapılmaması konusunda anlaşmalar veya sözleşme değişikliklerini kapsar. Sulhe konu işte birden çok ihtilaf bulunduğu takdirde asıl olan, ihtilafın tamamının çözümlenmesidir. Ancak kamu menfaati görüldüğünde kısmi sulh de mümkündür.</t>
    </r>
  </si>
  <si>
    <t>(2) Maddi ve hukuki nedenlerle kamu menfaati görülmesi halinde, 11 inci maddedeki yetkiler çerçevesinde asıl alacak ve fer’ilerinden kısmen ya da tamamen vazgeçilebilir.</t>
  </si>
  <si>
    <r>
      <t>(3) Bu Kanun Hükmünde Kararname çerçevesinde yapılan sulh anlaşmalarına ilişkin tutanak ilam hükmünde olup ilamların icrasına dair genel hükümlere göre infaz olunur. Ancak vadeye bağlanmamış alacaklarda tutanağın imzalandığı tarihten itibaren iki aylık sürenin dolmasından, vadeye bağlanmış alacaklarda ise vadenin dolmasından önce tutanak icraya konulamaz. Sulh anlaşması hükümleri yerine getirilmediği takdirde alacak muaccel olur ve sulhe konu edilen hak veya alacaklar, alacağın muaccel olduğu tarihten itibaren 6183 sayılı Kanunun 51 inci maddesine göre belirlenen gecikme zammı oranında hesaplanan faizi ile birlikte takip ve tahsil edilir.</t>
    </r>
    <r>
      <rPr>
        <b/>
        <sz val="9"/>
        <color indexed="12"/>
        <rFont val="Arial"/>
        <family val="2"/>
        <charset val="162"/>
      </rPr>
      <t xml:space="preserve"> </t>
    </r>
  </si>
  <si>
    <t xml:space="preserve">(4) Sulh halinde üzerinde anlaşılan hususlar hakkında taraflarca dava açılamaz. </t>
  </si>
  <si>
    <t xml:space="preserve">(5) Tarafların sulhe davet yazısının diğer tarafa tebliği ile uyuşmazlık konusu hak ve alacağın tabi olduğu kanuni süreler durur. Sulhün sağlanamaması halinde bu husus tutanağa bağlanır, tutanak tarihinden itibaren uyuşmazlığın niteliğine göre kanuni süreler yeniden işlemeye başlar. Mücbir sebep halinde genel hükümlere göre işlem yapılır. </t>
  </si>
  <si>
    <t>Adli uyuşmazlıkların sulh yoluyla halli, uzlaşma ve vazgeçme yetkileri</t>
  </si>
  <si>
    <r>
      <t xml:space="preserve">MADDE 11 </t>
    </r>
    <r>
      <rPr>
        <b/>
        <sz val="9"/>
        <rFont val="MS Mincho"/>
        <family val="3"/>
        <charset val="162"/>
      </rPr>
      <t>‒</t>
    </r>
    <r>
      <rPr>
        <b/>
        <sz val="9"/>
        <rFont val="Arial"/>
        <family val="2"/>
        <charset val="162"/>
      </rPr>
      <t xml:space="preserve"> </t>
    </r>
    <r>
      <rPr>
        <sz val="9"/>
        <rFont val="Arial"/>
        <family val="2"/>
        <charset val="162"/>
      </rPr>
      <t>(1) İdarelerin;</t>
    </r>
  </si>
  <si>
    <t xml:space="preserve">a) Kendi aralarında ortaya çıkan her türlü hukuki uyuşmazlığın sulh yoluyla hallinde, dava açılmasında, bunlardan yargı veya icra mercilerine intikal etmiş olanların takiplerinden veya davalarda verilen kararlara karşı kanun yollarına gidilmesinden vazgeçilmesinde, sözleşmelerin değiştirilmesinde veya sona erdirilmesinde, </t>
  </si>
  <si>
    <t xml:space="preserve">(2) Birinci fıkrada belirtilenler dışında, idarelerin, herhangi bir sözleşmeye dayanıp dayanmadığına, yargıya intikal edip etmediğine bakılmaksızın gerçek veya tüzel kişilerle aralarında çıkan her türlü hukuki uyuşmazlığın sulh yoluyla halline, her türlü dava açılmasından veya icra takibine başlanılmasından, bunlardan yargı veya icra mercilerine intikal etmiş olanların takiplerinden veya verilen kararlara karşı karar düzeltme yoluna gidilmesi dışındaki kanun yollarına gidilmesinden vazgeçmeye, davaları kabule, ceza uyuşmazlıklarında şikayetten vazgeçmeye veya uzlaşmaya, davadan feragat etmeye, sözleşmede belirtilmeyen sebeplerle sözleşmelerin değiştirilmesinde veya sona erdirilmesinde maddi ve hukuki sebeplerle kamu menfaati görülmesi halinde, buna dair onay veya anlaşmaları imzalamaya, vazgeçilen veya tanınan ya da terkin edilen hak ve menfaatin değeri dikkate alınmak suretiyle; </t>
  </si>
  <si>
    <t xml:space="preserve">a) Tutara ilişkin olmayanlar ile 1.000.000 Türk Lirasına kadar olanlarda (1.000.000 Türk Lirası dahil) hukuk biriminin görüşü alınarak, ilgili harcama yetkilisinin teklifi üzerine üst yönetici, </t>
  </si>
  <si>
    <r>
      <t>b) 1.000.000 Türk Lirasından fazla olanlardan 10.000.000 Türk Lirasına kadar olanlarda (10.000.000 Türk Lirası dahil), hukuki uyuşmazlık değerlendirme komisyonunun görüşü alınarak, üst yöneticinin teklifi üzerine ilgili bakan,</t>
    </r>
    <r>
      <rPr>
        <sz val="9"/>
        <color indexed="10"/>
        <rFont val="Arial"/>
        <family val="2"/>
        <charset val="162"/>
      </rPr>
      <t xml:space="preserve"> </t>
    </r>
    <r>
      <rPr>
        <sz val="9"/>
        <rFont val="Arial"/>
        <family val="2"/>
        <charset val="162"/>
      </rPr>
      <t>Milli Savunma Bakanlığında Müsteşarın teklifi üzerine Bakan,</t>
    </r>
  </si>
  <si>
    <t>(3) Açılmasında ve takibinde Hazine veya idareye ait herhangi bir hak ve menfaat bulunmayan, yanlışlıkla açılan veya konusu kalmayan dava ve icra takipleri ile her türlü davada karar düzeltme yoluna başvurulmasından vazgeçmeye, davayı takip eden hukuk müşaviri veya avukatın gerekçeli teklifi üzerine hukuk birimi amiri yetkilidir. Hukuk birimi amiri bu yetkisini alt kademelere devredebilir.</t>
  </si>
  <si>
    <r>
      <t>(4) 7 nci maddeye göre başka idare tarafından takip edilen davalar ile Maliye Bakanlığı tarafından takip edilen diğer idarelere ait dava ve icra işlerindeki vazgeçme, feragat ve kabul işlemleri ile yargıya intikal etmiş uyuşmazlıkların sulhen çözümlenmesine ilişkin işlemler,</t>
    </r>
    <r>
      <rPr>
        <b/>
        <sz val="9"/>
        <rFont val="Arial"/>
        <family val="2"/>
        <charset val="162"/>
      </rPr>
      <t xml:space="preserve"> </t>
    </r>
    <r>
      <rPr>
        <sz val="9"/>
        <rFont val="Arial"/>
        <family val="2"/>
        <charset val="162"/>
      </rPr>
      <t xml:space="preserve">dava veya icra dosyasını takip eden idarenin tabi olduğu usulde yapılır. </t>
    </r>
  </si>
  <si>
    <t xml:space="preserve">İdari uyuşmazlıkların sulh yoluyla halli ve vazgeçme yetkileri </t>
  </si>
  <si>
    <r>
      <t xml:space="preserve">MADDE 12 </t>
    </r>
    <r>
      <rPr>
        <b/>
        <sz val="9"/>
        <rFont val="MS Mincho"/>
        <family val="3"/>
        <charset val="162"/>
      </rPr>
      <t>‒</t>
    </r>
    <r>
      <rPr>
        <b/>
        <sz val="9"/>
        <rFont val="Arial"/>
        <family val="2"/>
        <charset val="162"/>
      </rPr>
      <t xml:space="preserve"> </t>
    </r>
    <r>
      <rPr>
        <sz val="9"/>
        <rFont val="Arial"/>
        <family val="2"/>
        <charset val="162"/>
      </rPr>
      <t>(1) İdari işlemler dolayısıyla haklarının ihlal edildiğini iddia edenler idareye başvurarak, uğramış oldukları zararın sulh yoluyla giderilmesini dava açma süresi içinde isteyebilirler. İdari eylemler nedeniyle hakları ihlal edilenlerce, idari dava açmadan önce 6/1/1982 tarihli ve 2577 sayılı İdari Yargılama Usulü Kanununun 13 üncü maddesinin birinci fıkrası uyarınca yapılan başvurular da sulh başvurusu olarak kabul edilir ve bu maddede yer alan hükümler çerçevesinde incelenir.</t>
    </r>
  </si>
  <si>
    <t>(2) Sulh istemine ilişkin başvuru, işlemeye başlamış olan dava açma süresini durdurur. Başvuru sonuçlanmadan dava açılamaz.</t>
  </si>
  <si>
    <t>(3) Sulh başvurularının altmış gün içinde sonuçlandırılması zorunludur. Sulh başvurusu altmış gün içinde sonuçlandırılmamışsa istek reddedilmiş sayılır.</t>
  </si>
  <si>
    <t>(4) Sulh başvurusu, belli bir konuyu ve somut bir talebi içermiyorsa, idari makam tarafından reddedilir. Bu Kanun Hükmünde Kararnameye uygun olarak yapılan ve idare tarafından reddedilmeyen başvurular, hukuki uyuşmazlık değerlendirme komisyonuna gönderilir. Hak ihlaline neden olan birden fazla idarenin varlığı halinde, ortak hukuki uyuşmazlık değerlendirme komisyonu oluşturulabilir.</t>
  </si>
  <si>
    <t>(5) Sulh başvurularının incelenmesinde, başvurunun konusu, zarara yol açan olay ve nedenleri, zararın idari eylem veya işlemden doğup doğmadığı ve meydana geliş şekli, idarenin tazmin sorumluluğunun olup olmadığı, zararın miktarı ve ödenecek tazminat tutarı tespit edilir. Hukuki uyuşmazlık değerlendirme komisyonu tarafından, bilirkişi incelemesi dahil olmak üzere gerekli her türlü araştırma ve inceleme yapılır, olayla ilgili bilgisi bulunan kişiler dinlenebilir.</t>
  </si>
  <si>
    <t>(6) Hukuki uyuşmazlık değerlendirme komisyonunun inceleme sonunda hazırlayacağı rapor 11 inci madde uyarınca karar vermeye yetkili mercilere sunulur. Bu mercilerin sulh başvurusunu kabul etmesi halinde başvuru sahibine, hazırlanan sulh tutanağının imzalanması için en az onbeş günlük süre verilir. Davet yazısında, belirtilen tarihte gelmesi veya yetkili temsilcisini göndermesi gerektiği, aksi takdirde sulh tutanağını kabul etmemiş sayılacağı ve yargı yoluna başvurarak zararının tazmin edilmesini talep etme hakkının bulunduğu belirtilir.</t>
  </si>
  <si>
    <t>(7) Tazminat miktarı ve ödeme şekli üzerinde idare ve istemde bulunanın sulh olmaları halinde buna ilişkin bir tutanak düzenlenir ve taraflarca imzalanır. Bu tutanak ilam hükmündedir. Sulh olunan miktar idare bütçesinden ödenir. Vadeye bağlanmamış alacaklarda tutanağın imzalandığı tarihten itibaren iki aylık sürenin dolmasından, vadeye bağlanmış alacaklarda ise vadenin dolmasından önce tutanak icraya konulamaz.</t>
  </si>
  <si>
    <t>(8) Sulh tutanağının kabul edilmemesi veya kabul edilmemiş sayılması hallerinde bir uyuşmazlık tutanağı düzenlenerek bir örneği ilgiliye verilir.</t>
  </si>
  <si>
    <t>(9) Sulh olunan konu ya da miktara ilişkin olarak dava yoluna başvurulamaz.</t>
  </si>
  <si>
    <t>(10) Bu madde kapsamındaki idari uyuşmazlıkların sulhen halli ile idari davaların açılmasından, takibinden, davayı kabul ve feragatten, kanun yollarına başvurulmasından vazgeçilmesi, 11 inci maddede belirtilen esaslara ve tutarlara göre belirlenir.</t>
  </si>
  <si>
    <t>Dış temsilciliklerde görevlendirme</t>
  </si>
  <si>
    <r>
      <t xml:space="preserve">MADDE 13 </t>
    </r>
    <r>
      <rPr>
        <b/>
        <sz val="9"/>
        <rFont val="MS Mincho"/>
        <family val="3"/>
        <charset val="162"/>
      </rPr>
      <t>‒</t>
    </r>
    <r>
      <rPr>
        <b/>
        <sz val="9"/>
        <rFont val="Arial"/>
        <family val="2"/>
        <charset val="162"/>
      </rPr>
      <t xml:space="preserve"> </t>
    </r>
    <r>
      <rPr>
        <sz val="9"/>
        <rFont val="Arial"/>
        <family val="2"/>
        <charset val="162"/>
      </rPr>
      <t xml:space="preserve">(1) Avrupa İnsan Hakları Mahkemesine yapılan başvuruların incelenmesi sırasında Adalet veya Dışişleri Bakanlıklarınca ihtiyaç duyulması halinde Avrupa Konseyi nezdindeki Türkiye Daimi Temsilciliğinde, başvuruyla ilgili idareden hukuk birimi amiri veya hukuk müşaviri ya da avukat görevlendirilebilir. </t>
    </r>
  </si>
  <si>
    <t>Davalardaki temsilin niteliği ve vekalet ücretine hükmedilmesi ve dağıtımı</t>
  </si>
  <si>
    <r>
      <t xml:space="preserve">MADDE 14 </t>
    </r>
    <r>
      <rPr>
        <b/>
        <sz val="9"/>
        <rFont val="MS Mincho"/>
        <family val="3"/>
        <charset val="162"/>
      </rPr>
      <t>‒</t>
    </r>
    <r>
      <rPr>
        <b/>
        <sz val="9"/>
        <rFont val="Arial"/>
        <family val="2"/>
        <charset val="162"/>
      </rPr>
      <t xml:space="preserve"> </t>
    </r>
    <r>
      <rPr>
        <sz val="9"/>
        <rFont val="Arial"/>
        <family val="2"/>
        <charset val="162"/>
      </rPr>
      <t xml:space="preserve">(1) Tahkim usulüne tabi olanlar dahil adli ve idari davalar ile icra dairelerinde idarelerin vekili sıfatıyla hukuk birimi amirleri, muhakemat müdürleri, hukuk müşavirleri ve avukatlar tarafından </t>
    </r>
    <r>
      <rPr>
        <sz val="9"/>
        <color indexed="8"/>
        <rFont val="Arial"/>
        <family val="2"/>
        <charset val="162"/>
      </rPr>
      <t>yapılan takip ve duruşmalar için, bu davaların idareler lehine neticelenmesi halinde, bunlar tarafından temsil ve takip edilen dava ve işlerde ilgili mevzuata göre hükmedilmesi gereken tutar üzerinden idareler lehine vekalet ücreti</t>
    </r>
    <r>
      <rPr>
        <sz val="9"/>
        <rFont val="Arial"/>
        <family val="2"/>
        <charset val="162"/>
      </rPr>
      <t xml:space="preserve"> takdir edilir. </t>
    </r>
  </si>
  <si>
    <t xml:space="preserve">(2) İdareler lehine karara bağlanan ve tahsil olunan vekalet ücretleri, hukuk biriminin bağlı olduğu idarenin merkez teşkilatında bir emanet hesabında toplanarak idare hukuk biriminde fiilen görev yapan personele aşağıdaki usul ve sınırlar dahilinde ödenir. </t>
  </si>
  <si>
    <t>a) Vekalet ücretinin; dava ve icra dosyasını takip eden hukuk birimi amiri, hukuk müşaviri, muhakemat müdürü veya avukata %55’i, dağıtımın yapıldığı yıl içerisinde altı aydan fazla süreyle hukuk biriminde fiilen görev yapmış olmak şartıyla, hukuk birimi amiri, hukuk müşaviri, muhakemat müdürü ve avukatlara %40’ı, hukuk biriminde görev yapan diğer personele %5’i eşit olarak ödenir.</t>
  </si>
  <si>
    <t>b) Ödenecek vekalet ücretinin yıllık tutarı; hukuk birimi amiri, hukuk müşaviri, muhakemat müdürü, avukatlar için (10.000) gösterge, diğerleri için (6.000) gösterge rakamının, memur aylıklarına uygulanan katsayı ile çarpımı sonucu bulunacak aylık brüt tutarının oniki katını geçemez.</t>
  </si>
  <si>
    <t xml:space="preserve">c) Yapılacak dağıtım sonunda arta kalan tutar, hukuk biriminde görev yapan ve (b) bendindeki tutarları dolduramayan hukuk birimi amiri, hukuk müşaviri, muhakemat müdürü ve avukatlara ödenir. Bu dağıtım sonunda arta kalan tutar üçüncü bütçe yılı sonunda ilgili idarenin bütçesine gelir kaydedilir. </t>
  </si>
  <si>
    <t xml:space="preserve">(3) Hizmet satın alınan avukatlara yapılacak ödemeler bu madde kapsamı dışındadır. </t>
  </si>
  <si>
    <t>Parasal sınırlar</t>
  </si>
  <si>
    <r>
      <t xml:space="preserve">MADDE 15 </t>
    </r>
    <r>
      <rPr>
        <b/>
        <sz val="9"/>
        <rFont val="MS Mincho"/>
        <family val="3"/>
        <charset val="162"/>
      </rPr>
      <t>‒</t>
    </r>
    <r>
      <rPr>
        <b/>
        <sz val="9"/>
        <rFont val="Arial"/>
        <family val="2"/>
        <charset val="162"/>
      </rPr>
      <t xml:space="preserve"> </t>
    </r>
    <r>
      <rPr>
        <sz val="9"/>
        <rFont val="Arial"/>
        <family val="2"/>
        <charset val="162"/>
      </rPr>
      <t>(1) Bu Kanun Hükmünde Kararnamede yer alan parasal sınırlar, her takvim yılı başından geçerli olmak üzere, Bakanlar Kurulunca daha yüksek tutarlar belirlenmedikçe, o yıl için 4/1/1961 tarihli ve 213 sayılı Vergi Usul Kanununun mükerrer 298 inci maddesi hükümleri uyarınca tespit ve ilan edilen yeniden değerleme oranında artırılarak uygulanır. Uygulanacak tutarlar her yıl Ocak ayı içerisinde Maliye Bakanlığı tarafından yayımlanır.</t>
    </r>
  </si>
  <si>
    <t>Yönetmelik</t>
  </si>
  <si>
    <r>
      <t xml:space="preserve">MADDE 16 </t>
    </r>
    <r>
      <rPr>
        <b/>
        <sz val="9"/>
        <rFont val="MS Mincho"/>
        <family val="3"/>
        <charset val="162"/>
      </rPr>
      <t>‒</t>
    </r>
    <r>
      <rPr>
        <b/>
        <sz val="9"/>
        <rFont val="Arial"/>
        <family val="2"/>
        <charset val="162"/>
      </rPr>
      <t xml:space="preserve"> </t>
    </r>
    <r>
      <rPr>
        <sz val="9"/>
        <rFont val="Arial"/>
        <family val="2"/>
        <charset val="162"/>
      </rPr>
      <t>(1)</t>
    </r>
    <r>
      <rPr>
        <b/>
        <sz val="9"/>
        <rFont val="Arial"/>
        <family val="2"/>
        <charset val="162"/>
      </rPr>
      <t xml:space="preserve"> </t>
    </r>
    <r>
      <rPr>
        <sz val="9"/>
        <rFont val="Arial"/>
        <family val="2"/>
        <charset val="162"/>
      </rPr>
      <t xml:space="preserve">Bu Kanun Hükmünde Kararname kapsamında hukuki uyuşmazlık değerlendirme komisyonunun çalışma usul ve esasları, avukatlık hizmeti satın alınmasıyla ilgili usul ve esaslar ile bunların takip ve denetimine ilişkin hususlar ve vekalet ücretlerinin dağıtımına dair usuller Maliye Bakanlığının teklifi üzerine Bakanlar Kurulunca yürürlüğe konulan yönetmelikle belirlenir. </t>
    </r>
  </si>
  <si>
    <r>
      <t xml:space="preserve">MADDE 17 </t>
    </r>
    <r>
      <rPr>
        <b/>
        <sz val="9"/>
        <rFont val="MS Mincho"/>
        <family val="3"/>
        <charset val="162"/>
      </rPr>
      <t>‒</t>
    </r>
    <r>
      <rPr>
        <b/>
        <sz val="9"/>
        <rFont val="Arial"/>
        <family val="2"/>
        <charset val="162"/>
      </rPr>
      <t xml:space="preserve"> </t>
    </r>
    <r>
      <rPr>
        <sz val="9"/>
        <rFont val="Arial"/>
        <family val="2"/>
        <charset val="162"/>
      </rPr>
      <t xml:space="preserve">(1) </t>
    </r>
    <r>
      <rPr>
        <b/>
        <sz val="9"/>
        <rFont val="Arial"/>
        <family val="2"/>
        <charset val="162"/>
      </rPr>
      <t>(14/7/1965 tarihli ve 657 sayılı Devlet Memurları Kanunu ile ilgili olup yerine işlenmiştir.)</t>
    </r>
  </si>
  <si>
    <t>Yürürlükten kaldırılan ve uygulanmayacak hükümler ile atıflar</t>
  </si>
  <si>
    <r>
      <t xml:space="preserve">MADDE 18 </t>
    </r>
    <r>
      <rPr>
        <b/>
        <sz val="9"/>
        <rFont val="MS Mincho"/>
        <family val="3"/>
        <charset val="162"/>
      </rPr>
      <t>‒</t>
    </r>
    <r>
      <rPr>
        <b/>
        <sz val="9"/>
        <rFont val="Arial"/>
        <family val="2"/>
        <charset val="162"/>
      </rPr>
      <t xml:space="preserve"> </t>
    </r>
    <r>
      <rPr>
        <sz val="9"/>
        <rFont val="Arial"/>
        <family val="2"/>
        <charset val="162"/>
      </rPr>
      <t>(1)</t>
    </r>
    <r>
      <rPr>
        <b/>
        <sz val="9"/>
        <rFont val="Arial"/>
        <family val="2"/>
        <charset val="162"/>
      </rPr>
      <t xml:space="preserve"> </t>
    </r>
    <r>
      <rPr>
        <sz val="9"/>
        <rFont val="Arial"/>
        <family val="2"/>
        <charset val="162"/>
      </rPr>
      <t>2/2/1929 tarihli ve 1389 sayılı Devlet Davalarını İntaç Eden Avukat ve Saireye Verilecek Ücreti Vekâlet Hakkında Kanun yürürlükten kaldırılmıştır. Diğer mevzuatta 1389 sayılı Kanuna yapılan atıflar bu Kanun Hükmünde Kararnameye yapılmış sayılır.</t>
    </r>
  </si>
  <si>
    <t>(2) 8/1/1943 tarihli ve 4353 sayılı Maliye Vekâleti Başhukuk Müşavirliğinin ve Muhakemat Umum Müdürlüğünün Vazifelerine, Devlet Dâvalarının Takibi Usullerine ve Merkez ve Vilâyetler Kadrolarında Bazı Değişiklikler Yapılmasına Dair Kanun yürürlükten kaldırılmıştır. Diğer mevzuatta 4353 sayılı Kanuna yapılan atıflar ilgisine göre bu Kanun Hükmünde Kararnameye ve 178 sayılı Kanun Hükmünde Kararnameye yapılmış sayılır.</t>
  </si>
  <si>
    <t>(3) 14/7/1965 tarihli ve 657 sayılı Devlet Memurları Kanununun 146 ncı maddesinin üçüncü fıkrası yürürlükten kaldırılmıştır. Diğer mevzuatta vekalet ücretinin ödenmesine ilişkin olarak 657 sayılı Kanunun 146 ncı maddesine yapılan atıflar bu Kanun Hükmünde Kararnameye yapılmış sayılır.</t>
  </si>
  <si>
    <t xml:space="preserve">(4) İdarelerin hukuk hizmetlerine, uyuşmazlıkların sulh yoluyla halline, avukatlık hizmeti satın alınmasına ve davalarla ilgili vazgeçme yetkilerine dair diğer kanunlarda yer alan hükümlerden bu Kanun Hükmünde Kararname hükümlerine aykırı olanlar uygulanmaz. </t>
  </si>
  <si>
    <t xml:space="preserve">(5) Diğer mevzuatta Başbakanlık Hukuk Müşavirliğine ve Başbakanlık I. Hukuk Müşavirine yapılan atıflar, Başbakanlık Hukuk Hizmetleri Başkanlığına ve Başbakanlık Hukuk Hizmetleri Başkanına yapılmış sayılır. </t>
  </si>
  <si>
    <t>(6) Ekli listede yer alan kadrolar ihdas edilerek 190 sayılı Kanun Hükmünde Kararnamenin eki (I) sayılı cetvelin Başbakanlığa ait bölümüne eklenmiştir.</t>
  </si>
  <si>
    <t>Dosyaların devri</t>
  </si>
  <si>
    <r>
      <t xml:space="preserve">GEÇİCİ MADDE 1 </t>
    </r>
    <r>
      <rPr>
        <b/>
        <sz val="9"/>
        <rFont val="MS Mincho"/>
        <family val="3"/>
        <charset val="162"/>
      </rPr>
      <t>‒</t>
    </r>
    <r>
      <rPr>
        <b/>
        <sz val="9"/>
        <rFont val="Arial"/>
        <family val="2"/>
        <charset val="162"/>
      </rPr>
      <t xml:space="preserve"> </t>
    </r>
    <r>
      <rPr>
        <sz val="9"/>
        <rFont val="Arial"/>
        <family val="2"/>
        <charset val="162"/>
      </rPr>
      <t>(1) Bu Kanun Hükmünde Kararnamenin yayımı tarihinde diğer idarelere ait olan ve Maliye Bakanlığınca takip edilen dava ve icra takiplerine ilişkin derdest dosyalardan ilgili idarece talep edilenler, ilgili idare ile Maliye Bakanlığı tarafından müştereken belirlenen esaslara göre ilgili idarelere devredilir.</t>
    </r>
    <r>
      <rPr>
        <b/>
        <sz val="9"/>
        <rFont val="Arial"/>
        <family val="2"/>
        <charset val="162"/>
      </rPr>
      <t xml:space="preserve"> </t>
    </r>
  </si>
  <si>
    <r>
      <t>(2) Bu Kanun Hükmünde Kararname kapsamındaki derdest dosyalar ile özel takip yetkileri çerçevesinde devredilecek derdest dosyaların devirleri, bu Kanun Hükmünde Kararnamenin yayımı tarihinden itibaren bir yıl içinde tamamlanır. Dosya devirleri yapılıncaya kadar bu dosyaların takibiyle ilgili olarak devir öncesi dosyayı takip eden idarece yapılan işlemler, ilgili idaresince yapılmış sayılır.</t>
    </r>
    <r>
      <rPr>
        <sz val="9"/>
        <color indexed="10"/>
        <rFont val="Arial"/>
        <family val="2"/>
        <charset val="162"/>
      </rPr>
      <t xml:space="preserve"> </t>
    </r>
  </si>
  <si>
    <r>
      <t>(3)</t>
    </r>
    <r>
      <rPr>
        <b/>
        <sz val="9"/>
        <rFont val="Arial"/>
        <family val="2"/>
        <charset val="162"/>
      </rPr>
      <t xml:space="preserve"> </t>
    </r>
    <r>
      <rPr>
        <sz val="9"/>
        <rFont val="Arial"/>
        <family val="2"/>
        <charset val="162"/>
      </rPr>
      <t>Bu Kanun Hükmünde Kararnamenin yayımı tarihinden sonra diğer idarelerle ilgili açılacak dava ve başlayacak icra takipleri, ilgili idarelere</t>
    </r>
    <r>
      <rPr>
        <b/>
        <sz val="9"/>
        <rFont val="Arial"/>
        <family val="2"/>
        <charset val="162"/>
      </rPr>
      <t xml:space="preserve"> </t>
    </r>
    <r>
      <rPr>
        <sz val="9"/>
        <rFont val="Arial"/>
        <family val="2"/>
        <charset val="162"/>
      </rPr>
      <t xml:space="preserve">dosyalar devredilinceye kadar Maliye Bakanlığı tarafından takip edilir. </t>
    </r>
  </si>
  <si>
    <r>
      <t>(4)</t>
    </r>
    <r>
      <rPr>
        <b/>
        <sz val="9"/>
        <rFont val="Arial"/>
        <family val="2"/>
        <charset val="162"/>
      </rPr>
      <t xml:space="preserve"> </t>
    </r>
    <r>
      <rPr>
        <sz val="9"/>
        <rFont val="Arial"/>
        <family val="2"/>
        <charset val="162"/>
      </rPr>
      <t>Yukarıdaki fıkralar uyarınca Başbakanlık ve</t>
    </r>
    <r>
      <rPr>
        <sz val="9"/>
        <color indexed="10"/>
        <rFont val="Arial"/>
        <family val="2"/>
        <charset val="162"/>
      </rPr>
      <t xml:space="preserve"> </t>
    </r>
    <r>
      <rPr>
        <sz val="9"/>
        <rFont val="Arial"/>
        <family val="2"/>
        <charset val="162"/>
      </rPr>
      <t>Maliye Bakanlığı tarafından diğer idareleri temsilen takip edilen dava ve icra işlerine ilişkin giderler, devir tarihine kadar Başbakanlık ve Maliye Bakanlığı bütçesinden karşılanır.</t>
    </r>
  </si>
  <si>
    <t>Kadrolar</t>
  </si>
  <si>
    <r>
      <t xml:space="preserve">GEÇİCİ MADDE 2 </t>
    </r>
    <r>
      <rPr>
        <b/>
        <sz val="9"/>
        <rFont val="MS Mincho"/>
        <family val="3"/>
        <charset val="162"/>
      </rPr>
      <t>‒</t>
    </r>
    <r>
      <rPr>
        <b/>
        <sz val="9"/>
        <rFont val="Arial"/>
        <family val="2"/>
        <charset val="162"/>
      </rPr>
      <t xml:space="preserve"> </t>
    </r>
    <r>
      <rPr>
        <sz val="9"/>
        <rFont val="Arial"/>
        <family val="2"/>
        <charset val="162"/>
      </rPr>
      <t xml:space="preserve">(1) İdarelerin hukuk hizmetlerini yürütmek amacıyla avukatlık hizmetleri sınıfından dokuzuncu dereceli yediyüzelli Avukat unvanlı kadro ihdas edilmiştir. Bu kadroları, derece değişikliği yapmak suretiyle idarelerden uygun görülenlere tahsis etmeye Devlet Personel Başkanlığının görüşü ve Maliye Bakanlığının teklifi üzerine Bakanlar Kurulu yetkilidir. Bu madde hükmüne göre idarelere tahsis edilen kadrolar 190 sayılı Kanun Hükmünde Kararnameye ekli cetvellerin ilgili bölümüne eklenmiş sayılır. </t>
    </r>
  </si>
  <si>
    <r>
      <t>(2)</t>
    </r>
    <r>
      <rPr>
        <b/>
        <sz val="9"/>
        <rFont val="Arial"/>
        <family val="2"/>
        <charset val="162"/>
      </rPr>
      <t xml:space="preserve"> </t>
    </r>
    <r>
      <rPr>
        <sz val="9"/>
        <rFont val="Arial"/>
        <family val="2"/>
        <charset val="162"/>
      </rPr>
      <t>Hazine avukatları talepleri halinde, idarelerin avukat kadrolarına 6091 sayılı 2011 Yılı Merkezi Yönetim Bütçe Kanunundaki sınırlamalara tabi olmadan atanabilir.</t>
    </r>
  </si>
  <si>
    <t>(3) 190 sayılı Kanun Hükmünde Kararnamenin eki (I) sayılı cetvelin Başbakanlığa ait bölümünde yer alan “I. Hukuk Müşaviri” kadrosunun unvanı “Hukuk Hizmetleri Başkanı” şeklinde değiştirilmiştir. Bu kadroda bulunan personel hiçbir işleme gerek kalmaksızın Hukuk Hizmetleri Başkanı kadrosuna atanmış sayılır.</t>
  </si>
  <si>
    <r>
      <t xml:space="preserve">MADDE 20 </t>
    </r>
    <r>
      <rPr>
        <b/>
        <sz val="9"/>
        <rFont val="MS Mincho"/>
        <family val="3"/>
        <charset val="162"/>
      </rPr>
      <t>‒</t>
    </r>
    <r>
      <rPr>
        <b/>
        <sz val="9"/>
        <rFont val="Arial"/>
        <family val="2"/>
        <charset val="162"/>
      </rPr>
      <t xml:space="preserve"> </t>
    </r>
    <r>
      <rPr>
        <sz val="9"/>
        <rFont val="Arial"/>
        <family val="2"/>
        <charset val="162"/>
      </rPr>
      <t>Bu Kanun Hükmünde Kararname hükümlerini Bakanlar Kurulu yürütür.</t>
    </r>
  </si>
  <si>
    <t xml:space="preserve">b) Gerçek veya tüzel kişilerle aralarındaki sözleşmelerde belirtilen sebeplerle yapılan her türlü sözleşme değişikliklerinin yapılmasında, bu hususlarla ilgili olarak çıkabilecek uyuşmazlıkların sözleşme hükümleri çerçevesinde sulh yoluyla hallinde, hukuk birimlerinin uyuşmazlığın bu şekilde sonlandırılmasında maddi ve hukuki sebeplerle kamu menfaati bulunduğu yönündeki görüşü üzerine, buna dair onay ve anlaşmaları imzalamaya bakanlıklarda bakan, diğer idarelerde üst yönetici yetkilidir. Bakan ya da üst yönetici bu yetkisini sınırlarını açıkça belirlemek suretiyle alt kademelere devredebilir. </t>
  </si>
  <si>
    <t xml:space="preserve">c) 10.000.000 Türk Lirasından fazla olanlarda, ilgili bakanlık hukuki uyuşmazlık değerlendirme komisyonunun ve Maliye Bakanlığının görüşü alınarak, ilgili bakanlığın teklifi üzerine Bakanlar Kurulu, yetkilidir. Bakan ya da üst yönetici bu yetkisini sınırlarını açıkça belirlemek suretiyle alt kademelere, münhasıran taşra birimlerinin iş ve işlemleriyle ilgili olup illerde valilik, ilçelerde kaymakamlık onayına bağlanan iş ve işlemlerden kaynaklanan uyuşmazlıklarda vali ve kaymakamlara devredebilir. </t>
  </si>
  <si>
    <r>
      <t xml:space="preserve">MADDE 19 </t>
    </r>
    <r>
      <rPr>
        <b/>
        <sz val="9"/>
        <color indexed="10"/>
        <rFont val="MS Mincho"/>
        <family val="3"/>
        <charset val="162"/>
      </rPr>
      <t>‒</t>
    </r>
    <r>
      <rPr>
        <b/>
        <sz val="9"/>
        <color indexed="10"/>
        <rFont val="Arial"/>
        <family val="2"/>
        <charset val="162"/>
      </rPr>
      <t xml:space="preserve"> </t>
    </r>
    <r>
      <rPr>
        <sz val="9"/>
        <color indexed="10"/>
        <rFont val="Arial"/>
        <family val="2"/>
        <charset val="162"/>
      </rPr>
      <t>Bu Kanun Hükmünde Kararname yayımı tarihinde yürürlüğe girer.</t>
    </r>
  </si>
  <si>
    <r>
      <t xml:space="preserve">                       (2) </t>
    </r>
    <r>
      <rPr>
        <b/>
        <sz val="9"/>
        <rFont val="Arial"/>
        <family val="2"/>
        <charset val="162"/>
      </rPr>
      <t>(10/10/1984 tarihli ve 3056 sayılı Başbakanlık Teşkilatı Hakkında Kanun Hükmünde Kararname</t>
    </r>
    <r>
      <rPr>
        <sz val="9"/>
        <rFont val="Arial"/>
        <family val="2"/>
        <charset val="162"/>
      </rPr>
      <t xml:space="preserve"> </t>
    </r>
    <r>
      <rPr>
        <b/>
        <sz val="9"/>
        <rFont val="Arial"/>
        <family val="2"/>
        <charset val="162"/>
      </rPr>
      <t>ile ilgili olup yerine işlenmiştir.)</t>
    </r>
  </si>
  <si>
    <t>GENEL BÜTÇE KAPSAMINDAKİ KAMU İDARELERİ VE ÖZEL BÜTÇELİ</t>
  </si>
  <si>
    <t>İDARELERDE HUKUK HİZMETLERİNİN YÜRÜTÜLMESİNE</t>
  </si>
  <si>
    <t>İLİŞKİN KANUN HÜKMÜNDE KARARNAME</t>
  </si>
  <si>
    <t>Karar Sayısı: KHK/659</t>
  </si>
  <si>
    <t>Genel bütçe kapsamındaki kamu idarelerinde ve özel bütçeli idarelerde hukuk hizmetlerinin yürütülmesine ilişkin esasların belirlenmesi ile bazı kanun ve kanun hükmünde kararnamelerde değişiklik yapılması; 6/4/2011 tarihli ve 6223 sayılı Kanunun verdiği yetkiye dayanılarak, Bakanlar Kurulu’nca 26/9/2011 tarihinde kararlaştırılmıştır.</t>
  </si>
  <si>
    <t>(6) Hukuki uyuşmazlık değerlendirme komisyonunun inceleme sonunda hazırlayacağı rapor 11 inci madde uyarınca karar vermeye yetkili mercilere sunulur. Bu mercilerin sulh başvurusunu kabul etmesi halinde başvuru sahibine, hazırlanan sulh tutanağının imzalanması için en az onbeşgünlük süre verilir. Davet yazısında, belirtilen tarihte gelmesi veya yetkili temsilcisini göndermesi gerektiği, aksi takdirde sulh tutanağını kabul etmemiş sayılacağı ve yargı yoluna başvurarak zararının tazmin edilmesini talep etme hakkının bulunduğu belirtilir.</t>
  </si>
  <si>
    <t>a) 36 ncı maddesinin “Ortak Hükümler” bölümünün (A) fıkrasının (11) numaralı bendinde yer alan “Devlet Bütçe Uzman Yardımcıları, Mali Suçları Araştırma Uzman Yardımcıları,”, “Muhasebe ve Milli Emlak Denetmen Yardımcıları”, “Devlet Muhasebe Uzman Yardımcıları, Devlet Gelir Politikaları Uzman Yardımcıları, Devlet Malları Uzman Yardımcıları,”, “Devlet Bütçe Uzmanlığına, Mali Suçları Araştırma Uzmanlığına,”, “Muhasebe ve Milli Emlak Denetmenliğine”, “Devlet Muhasebe Uzmanlığına, Devlet Gelir Politikaları Uzmanlığına,” ve “Devlet Malları Uzmanlığına,” ibareleri yürürlükten kaldırılmış ve aynı bentte yer alan “Milli Emlak Uzman Yardımcıları,” ibaresi “Defterdarlık Uzman Yardımcıları,” ve “Milli Emlak Uzmanlığına,” ibaresi “Defterdarlık Uzmanlığına,” şeklinde değiştirilmiştir.</t>
  </si>
  <si>
    <t>b) 152 nci maddesinin “II ‒ Tazminatlar” kısmının “(A) Özel Hizmet Tazminatı” bölümünün (h) bendinde yer alan “Devlet Bütçe Uzmanları,” ibaresi “Maliye Uzmanları” şeklinde “Maliye Bakanlığı Muhasebe ve Milli Emlak Denetmenleri” ibaresi “Defterdarlık Uzmanları” şeklinde değiştirilmiş ve aynı bölümün (i) bendinde yer alan “Mali Suçları Araştırma Uzmanları, Devlet Muhasebe Uzmanları, Devlet Gelir Politikaları Uzmanları,”, “Devlet Malları Uzmanları, Maliye Uzmanları” ve “Milli Emlak Uzmanları,” ibareleri yürürlükten kaldırılmıştır.</t>
  </si>
  <si>
    <t>ç) Eki (IV) sayılı Makam Tazminatı Cetvelinin 8 inci sırasının (b) bendinde yer alan “kazanılmış hak aylıkları birinci derecede” ibaresi “birinci dereceli kadroya atanmış” şeklinde değiştirilmiş ve aynı bende “Kalkınma Bakanlığı Planlama Uzmanları,” ibaresinden sonra gelmek üzere “Maliye Uzmanları,” ibaresi eklenmiştir.</t>
  </si>
  <si>
    <t xml:space="preserve">a) 19 uncu maddesinin birinci fıkrasının (c) bendinde yer alan “Hukuk Müşavirliği” ibaresi “Hukuk Hizmetleri Başkanlığı” şeklinde değiştirilmiştir. </t>
  </si>
  <si>
    <t>b) 22 nci maddesi başlığı ile birlikte aşağıdaki şekilde değiştirilmiştir.</t>
  </si>
  <si>
    <t xml:space="preserve">“Hukuk Hizmetleri Başkanlığı: </t>
  </si>
  <si>
    <t>MADDE 22 ‒ Hukuk Hizmetleri Başkanlığının görevleri şunlardır:</t>
  </si>
  <si>
    <t>a) Makamca veya bakanlıklarca sorulan hukuki konular ile hukuki, mali ve cezai sonuçlar doğuracak işlemler ve diğer hukuki uyuşmazlıklar hakkında görüş bildirmek,</t>
  </si>
  <si>
    <t>b) Başbakanlığın taraf olduğu hukuki uyuşmazlıkların sulh yoluyla halli veya vazgeçme işlemleri ile idarelerin taraf olduğu hukuki uyuşmazlıkların sulh yoluyla halli veya vazgeçme işlemlerinden Bakanlar Kurulu kararı alınması gerekenler hakkında hukuki görüş bildirmek,</t>
  </si>
  <si>
    <t xml:space="preserve">c) Başbakanlıkça Danıştay görüşü alınmasına ihtiyaç duyulan konularla ilgili işlemleri yürütmek, </t>
  </si>
  <si>
    <t>d) Başbakanlığın taraf veya müdahil olduğu, tahkim usulüne tabi olanlar dahil her türlü adli ve idari davalar ile icra işlerini takip ve müdafaa etmek, bunlara dair avukatlık hizmeti alınmasıyla ilgili işleri yürütmek ve bu hizmetleri denetlemek,</t>
  </si>
  <si>
    <t xml:space="preserve">e) Ulusal ve uluslararası mahkeme ve tahkim mercilerinde Türkiye Cumhuriyeti Hükümeti ya da idarelerin taraf veya müdahil oldukları her türlü davadan Başbakanlıkça takip edilmesi gerekli görülenleri ve bunlarla ilgili icra işlemlerini davaya taraf idarenin vekili sıfatıyla takip ve müdafaa etmek, birden fazla idarenin taraf olduğu dava ve icra işlemlerinin takibini koordine etmek. </t>
  </si>
  <si>
    <t>f) Makamca verilen benzeri görevleri yapmak.”</t>
  </si>
  <si>
    <t xml:space="preserve">c) Eki “Başbakanlık Merkez Teşkilatı” cetvelinin “Danışma ve Denetim Birimleri” bölümünde yer alan “3.Hukuk Müşavirliği” ibaresi “3.Hukuk Hizmetleri Başkanlığı” şeklinde değiştirilmiştir. </t>
  </si>
  <si>
    <t>a) 16 ncı maddesinin ikinci fıkrasında yer alan “Mayıs ayının sonuna kadar” ibaresi “en geç Eylül ayının ilk haftası sonuna kadar” şeklinde, üçüncü fıkrasında yer alan “Haziran” ibaresi “en geç Eylül” şeklinde ve dördüncü fıkrasında yer alan “Haziran ayının sonuna kadar” ibaresi “en geç Eylül ayının onbeşine kadar” şeklinde değiştirilmiştir.</t>
  </si>
  <si>
    <t>b) 17 nci maddesinin dördüncü fıkrasında yer alan “Temmuz” ibaresi “en geç Eylül” şeklinde değiştirilmiştir.</t>
  </si>
  <si>
    <t>(4) 11/10/2006 tarihli ve 5549 sayılı Suç Gelirlerinin Aklanmasının Önlenmesi Hakkında Kanunun;</t>
  </si>
  <si>
    <t xml:space="preserve">a) 21 inci maddesi başlığı ile birlikte aşağıdaki şekilde değiştirilmiştir. </t>
  </si>
  <si>
    <t>“Bildirim ve bilgilerin değerlendirilmesi</t>
  </si>
  <si>
    <t>MADDE 21 ‒ (1) Bu Kanun kapsamında alınan bildirim ve bilgiler Başkanlıkta istihdam edilen Maliye Uzmanı ve Maliye Uzman Yardımcıları tarafından değerlendirilir.”</t>
  </si>
  <si>
    <t>b) 28 inci maddesinden sonra gelmek üzere aşağıdaki ek madde eklenmiştir.</t>
  </si>
  <si>
    <t xml:space="preserve">“EK MADDE 1 ‒ Başkanlık, aklama suçunun araştırılması ve incelenmesi ile yükümlülük denetimi görevlerini, denetim elemanları arasından Başkanın talebi üzerine ilgili birim amirinin teklifi ve bağlı veya ilgili bulundukları bakanın onayı ile belirlenerek Başkanlık emrinde üç yıla kadar geçici süreyle görevlendirilen denetim elemanları vasıtasıyla da yerine getirebilir. Bu süre aynı usul ve esaslar dahilinde üç yıla kadar daha uzatılabilir. Başkanlık emrinde görevlendirilen denetim elemanlarına görev süresi boyunca 25 inci madde uyarınca süre sınırlamasına tabi olmaksızın ek ödeme yapılır.” </t>
  </si>
  <si>
    <t xml:space="preserve">a) 2 nci maddesinin birinci fıkrasının (b) bendi aşağıdaki şekilde değiştirilmiştir. </t>
  </si>
  <si>
    <t>“b) Genel bütçe kapsamındaki kamu idareleri ve özel bütçeli idarelerin hukuk danışmanlığını ve muhakemat hizmetlerini talepleri halinde yerine getirmek,”</t>
  </si>
  <si>
    <t xml:space="preserve">b) 9 uncu maddesi aşağıdaki şekilde değiştirilmiştir. </t>
  </si>
  <si>
    <t xml:space="preserve">“MADDE 9 ‒ Başhukuk Müşavirliği ve Muhakemat Genel Müdürlüğünün görevleri şunlardır: </t>
  </si>
  <si>
    <t>a) Bakanlığın ve talep halinde genel bütçe kapsamındaki kamu idareleri ve özel bütçeli idarelerin hukuk danışmanlığını ve muhakemat hizmetlerini yapmak,</t>
  </si>
  <si>
    <t>b) Talep halinde kanun, tüzük ve yönetmelik tasarı ve taslakları hakkında görüş vermek,</t>
  </si>
  <si>
    <t>c) Uyuşmazlıkların sulh yoluyla çözümlenmesine ilişkin işlerde mütalaa vermek,</t>
  </si>
  <si>
    <t>d) Hazinenin mülkiyetindeki taşınmazlar ile Devletin hüküm ve tasarrufu altındaki taşınmazların ayn’ıyla ilgili her türlü davaları takip etmek ve icra işlemlerini yapmak,</t>
  </si>
  <si>
    <t>e) Gerekli koordinasyonu sağlamak suretiyle Maliye Bakanlığına veya Maliye Hazinesine ait her türlü davayı açmak ve takip etmek, Maliye Bakanlığı veya Maliye Hazinesi aleyhine açılan her türlü davayı takip etmek ve icra takibini yapmak,</t>
  </si>
  <si>
    <t>f) Özel kanun hükümlerine göre Hazine alacağı sayılan alacaklara ilişkin davaları açmak, takip etmek ve alacakları tahsil etmek,</t>
  </si>
  <si>
    <t>g) Mevzuatında başkaca bir takip mercii ve usulü öngörülmeyen alacaklar ile diğer kurumların taraf olamayacağı davaları açmak, takip etmek ve alacağı tahsil etmek,</t>
  </si>
  <si>
    <t>h) Avrupa İnsan Hakları Mahkemesine yapılan başvurulara karşı Devlet adına savunmaların hazırlanması çalışmalarına katılmak, dostane çözüm önerilerini değerlendirmek, dostane çözüm mütalaaları düzenlemek, Adalet ve Dışişleri Bakanlığınca ihtiyaç duyulması halinde oturumlara temsilci göndermek,</t>
  </si>
  <si>
    <t>i) Gerekli koordinasyonu sağlamak suretiyle yabancı mahkemelerde, uluslararası yargı organlarında ve uluslararası tahkim mercilerinde açılan davalarda Maliye Bakanlığını temsil etmek,</t>
  </si>
  <si>
    <t>j) Diğer kanunlarla verilen görevleri yapmak.</t>
  </si>
  <si>
    <t>Yukarıda sayılan görevler Başhukuk Müşaviri ve Muhakemat Genel Müdürü, hukuk müşavirleri, muhakemat müdürleri, müşavir hazine avukatları ve hazine avukatları tarafından yerine getirilir.”</t>
  </si>
  <si>
    <t>c) 10 uncu maddesinin birinci fıkrasına aşağıdaki bent eklenmiştir.</t>
  </si>
  <si>
    <t>“s) Teşkilat ve görev alanına giren işlemleri maliye uzmanları vasıtasıyla incelemek ve denetlemek.”</t>
  </si>
  <si>
    <t xml:space="preserve">ç) 11 inci maddesinin birinci fıkrasının (m) bendinde yer alan “kontrolörleri” ibaresi “maliye uzmanları” şeklinde değiştirilmiştir. </t>
  </si>
  <si>
    <t>d) 13 üncü maddesinin birinci fıkrasının (p) bendinde yer alan “kontrolörleri” ibaresi “maliye uzmanları” şeklinde değiştirilmiştir.</t>
  </si>
  <si>
    <t>e) 25 inci maddesinin birinci fıkrasına (f) bendinden sonra gelmek üzere aşağıdaki bent eklenmiş ve mevcut (g) bendi (ğ) bendi olarak teselsül ettirilmiştir.</t>
  </si>
  <si>
    <t>“g) Teşkilat ve görev alanına giren işlemleri maliye uzmanları vasıtasıyla incelemek ve denetlemek,”</t>
  </si>
  <si>
    <t xml:space="preserve">f) 42 nci maddesinin (c) fıkrasında yer alan “Teknik daire başkanlıklarına atanacaklarda, Maliye Bakanlığında üç yıl çalışmış olma şartı aranmaz.” cümlesi “Defterdar Yardımcısı, Milli Emlak Dairesi Başkanı, Bilgi İşlem Merkezi Müdürü, Şube Müdürü, Muhakemat Müdürü, Muhasebe Müdürü, Saymanlık Müdürü, Malmüdürü, Milli Emlak Müdürü, Emlak Müdürü, Personel Müdürü kadroları ile bunların yardımcılıklarına ilişkin kadrolara atanacakların yapılacak yazılı ve sözlü sınavlarda başarılı olmaları gerekir.” şeklinde değiştirilmiştir. </t>
  </si>
  <si>
    <t xml:space="preserve">g) 43 üncü maddesi başlığı ile birlikte aşağıdaki şekilde değiştirilmiştir. </t>
  </si>
  <si>
    <t>“Maliye Uzmanlığı ve Defterdarlık Uzmanlığı</t>
  </si>
  <si>
    <t>MADDE 43 ‒ Bakanlık merkez teşkilatında Maliye Uzmanı ve Maliye Uzman Yardımcısı çalıştırılabilir. Maliye Uzmanı ve Maliye Uzman Yardımcılarına diğer görevlerinin yanısıra görev yaptıkları başkanlık ve genel müdürlüklerin görev alanına giren konularda ilgili kuruluşlar nezdinde araştırma, inceleme ve analiz işleri ile mevzuatla kendilerine verilen diğer görevler yaptırılabilir. Bütçe ve Mali Kontrol Genel Müdürlüğü, Muhasebat Genel Müdürlüğü, Milli Emlak Genel Müdürlüğü ve Personel Genel Müdürlüğünde görev yapan Maliye Uzmanlarına, yönetmelikle belirlenen usul ve esaslar çerçevesinde genel müdürlüklerin görev alanına giren konularda teftiş, denetim, inceleme ve soruşturma işleri yaptırılabilir.</t>
  </si>
  <si>
    <t>Bakanlık taşra teşkilatında Defterdarlık Uzmanı ve Defterdarlık Uzman Yardımcısı çalıştırılabilir. Defterdarlık Uzmanı ve Defterdarlık Uzman Yardımcılarına diğer görevlerinin yanısıra genel bütçe kapsamındaki kamu idareleri ile özel bütçeli idareler ve bunlara bağlı işletmelerdeki saymanlıklar ve defterdarlık birimlerinde yönetmelikle belirlenen usul ve esaslar çerçevesinde denetim ve inceleme yaptırılabilir. Defterdarlık uzmanlarından denetim yapmakla görevlendirilenler yer değiştirme suretiyle atamaya tabi olup, bunların görevlendirme, çalışma ve yer değiştirmelerine ilişkin usul ve esaslar yönetmelikle düzenlenir.</t>
  </si>
  <si>
    <t xml:space="preserve">Maliye Uzman Yardımcılığına ve Defterdarlık Uzman Yardımcılığına atanabilmek için 657 sayılı Devlet Memurları Kanununun 48 inci maddesinde sayılan genel şartlara ek olarak en az dört yıllık eğitim veren yükseköğretim kurumlarının hukuk, siyasal bilgiler, iktisat, işletme, iktisadi ve idari bilimler fakülteleri ile Bakanlığın görev alanına giren ve yönetmelikle belirlenen yükseköğretim kurumlarından ya da bunlara denkliği Yükseköğretim Kurulunca kabul edilen yükseköğretim kurumlarından mezun olmak ve yapılacak özel yarışma sınavında başarılı olmak gerekir. Maliye Uzman Yardımcılığı ve Defterdarlık Uzman Yardımcılığı yarışma sınavı, yazılı ve sözlü aşamalardan oluşur. </t>
  </si>
  <si>
    <t xml:space="preserve">Maliye Uzman Yardımcılığına atananlar, en az üç yıl fiilen çalışmak ve istihdam edildikleri birimlerce belirlenecek konularda hazırlayacakları uzmanlık tezinin oluşturulacak komisyon tarafından kabul edilmesi kaydıyla, yapılacak yeterlik sınavına girmeye hak kazanırlar. Süresi içinde tezlerini sunmayan veya tezleri kabul edilmeyenlere tezlerini sunmaları veya yeni bir tez hazırlamaları için altı ayı aşmamak üzere ilave süre verilir. Yeterlik sınavında başarılı olanların Maliye Uzmanı kadrolarına atanabilmeleri, Kamu Personeli Yabancı Dil Bilgisi Seviye Tespit Sınavından asgari (C) düzeyinde veya dil yeterliği bakımından buna denkliği kabul edilen ve uluslararası geçerliliği bulunan başka bir belgeye yeterlik sınavından itibaren en geç iki yıl içinde sahip olma şartına bağlıdır. Sınavda başarılı olamayanlar veya sınava girmeye hak kazandığı halde geçerli mazereti olmaksızın sınav hakkını kullanmayanlara, bir yıl içinde ikinci kez sınav hakkı verilir. Verilen ilave süre içinde tezlerini sunmayan veya ikinci defa hazırladıkları tezleri kabul edilmeyenler, ikinci sınavda başarı gösteremeyen veya sınav hakkını kullanmayanlar ile süresi içinde yabancı dil yeterliği şartını yerine getirmeyenler Maliye Uzman Yardımcısı unvanını kaybederler ve durumlarına uygun memur unvanlı kadrolara atanırlar.  </t>
  </si>
  <si>
    <t>Defterdarlık Uzman Yardımcılığına atananlar, en az üç yıl fiilen çalışmak kaydıyla açılacak yeterlik sınavına girme hakkını kazanırlar. Sınavda başarılı olamayanlar veya geçerli mazereti olmaksızın sınav hakkını kullanmayanlara, bir yıl içinde ikinci kez sınav hakkı verilir. İkinci sınavda başarı gösteremeyen veya sınav hakkını kullanmayanlar Defterdarlık Uzman Yardımcısı unvanını kaybederler ve durumlarına uygun memur unvanlı kadrolara atanırlar.</t>
  </si>
  <si>
    <t xml:space="preserve">Bu madde kapsamında bulunan uzman ve uzman yardımcılarına teftiş, denetim, inceleme ve soruşturma işlerine ilişkin görevlendirmelerinde, 10/2/1954 tarihli ve 6245 sayılı Harcırah Kanununun 33 üncü maddesinin (b) fıkrası hükmü uygulanır. </t>
  </si>
  <si>
    <t>Maliye Uzmanı, Maliye Uzman Yardımcısı, Defterdarlık Uzmanı ve Defterdarlık Uzman Yardımcılarının mesleğe alınmaları, yarışma sınavı, komisyonların oluşumu, yetiştirilmeleri, tez hazırlama ve yeterlik sınavları, atanmaları, eğitimleri, çalışma ve görevlendirilmelerine ilişkin usul ve esaslar ile diğer hususlar yönetmelikle düzenlenir.”</t>
  </si>
  <si>
    <t>ğ) Ek 32 nci maddesinden sonra gelmek üzere aşağıdaki ek maddeler eklenmiştir.</t>
  </si>
  <si>
    <t>“Sözlü sınavı</t>
  </si>
  <si>
    <t xml:space="preserve">EK MADDE 33 ‒ 43 üncü madde, ek 29 uncu madde ve 10/12/2003 tarihli ve 5018 sayılı Kamu Malî Yönetimi ve Kontrol Kanununun 60 ıncı maddesi uyarınca yapılacak giriş sınavlarının sözlü aşaması ile 42 nci maddenin (c) fıkrası uyarınca yapılacak sınavların sözlü aşaması, adayın; </t>
  </si>
  <si>
    <t>a) Bir konuyu kavrayıp özetleme, ifade yeteneği ve muhakeme gücünün,</t>
  </si>
  <si>
    <t>b) Liyakati, temsil kabiliyeti, bilgi düzeyi, davranış ve tepkilerinin mesleğe veya göreve uygunluğunun,</t>
  </si>
  <si>
    <t>c) Özgüveni, ikna kabiliyeti ve inandırıcılığının,</t>
  </si>
  <si>
    <t>ç) Genel yetenek ve genel kültürünün,</t>
  </si>
  <si>
    <t>d) Bilimsel ve teknolojik gelişmelere açıklığının,</t>
  </si>
  <si>
    <t>değerlendirilmesi suretiyle yapılır. Sınav komisyonu, adaylar hakkında yukarıda yazılı özelliklerin her biri için değerlendirme yapar. Yapılan değerlendirmeye göre verilen puanlar tutanağa geçirilir. Bunun dışında sözlü sınav ile ilgili herhangi bir kayıt sistemi kullanılmaz.</t>
  </si>
  <si>
    <t>h) Geçici 13 üncü maddesinden sonra gelmek üzere aşağıdaki geçici madde eklenmiştir.</t>
  </si>
  <si>
    <t>“GEÇİCİ MADDE 14 ‒ Bu Kanun Hükmünde Kararnamenin yayımı tarihinde;</t>
  </si>
  <si>
    <t>a) Muhasebat Başkontrolörü, Milli Emlak Başkontrolörü, Muhasebat Kontrolörü, Milli Emlak Kontrolörü, Devlet Bütçe Uzmanı, Mali Suçları Araştırma Uzmanı, Devlet Muhasebe Uzmanı, Devlet Gelir Politikaları Uzmanı ve Devlet Malları Uzmanı kadrolarında bulunanlar, Maliye Uzmanı kadrolarına ve bunların yardımcıları ile stajyerleri, Maliye Uzman Yardımcısı kadrolarına,</t>
  </si>
  <si>
    <t xml:space="preserve">başka bir işleme gerek kalmaksızın halen bulundukları kadro dereceleriyle atanmış sayılırlar. </t>
  </si>
  <si>
    <t xml:space="preserve">Muhasebat Başkontrolörü, Milli Emlak Başkontrolörü, Muhasebat Kontrolörü, Milli Emlak Kontrolörü, Devlet Bütçe Uzmanı, Mali Suçları Araştırma Uzmanı, Devlet Muhasebe Uzmanı, Devlet Gelir Politikaları Uzmanı ve Devlet Malları Uzmanı kadrolarında geçirilen süreler Maliye Uzmanı kadrosunda; Muhasebe Denetmeni, Milli Emlak Denetmeni, Muhasebe Uzmanı ve Milli Emlak Uzmanı kadrolarında geçirilen süreler Defterdarlık Uzmanı kadrosunda; Stajyer Muhasebat Kontrolörü, Stajyer Milli Emlak Kontrolörü, Devlet Bütçe Uzman Yardımcısı, Mali Suçları Araştırma Uzman Yardımcısı, Devlet Muhasebe Uzman Yardımcısı, Devlet Gelir Politikaları Uzman Yardımcısı ve Devlet Malları Uzman Yardımcısı kadrolarında geçirilen süreler Maliye Uzman Yardımcısı kadrosunda; Muhasebe Denetmen Yardımcısı, Milli Emlak Denetmen Yardımcısı, Muhasebe Uzman Yardımcısı ve Milli Emlak Uzman Yardımcısı kadrolarında geçirilen süreler ise Defterdarlık Uzman Yardımcısı kadrosunda geçmiş sayılır. </t>
  </si>
  <si>
    <t>Bu maddenin yayımı tarihinden önce birinci fıkranın (a) bendinde sayılan kontrolör ve uzman unvanlarını ihraz etmiş olanlardan Daire Başkanı ve üstü kadrolarda görev yapanlar, bu maddenin yayımı tarihinde Maliye Uzmanı unvanını ihraz etmiş sayılır. Bunların stajyer veya yardımcılıklarına ilişkin kadrolarda geçirdikleri süreler Maliye Uzman Yardımcısı; Kontrolör veya Uzman kadrolarında geçirdikleri süreler Maliye Uzmanı kadrosunda geçmiş sayılır.</t>
  </si>
  <si>
    <t>İlgili mevzuatında düzenleme yapılıncaya kadar, Maliye Uzmanı ve Maliye Uzman Yardımcılarına 657 sayılı Kanunun 152 nci maddesine göre yapılacak zam ve tazminat ödemelerinde Devlet Bütçe Uzmanı ve Devlet Bütçe Uzman Yardımcıları için belirlenmiş olan puan ve oranlar esas alınır. Bu madde uyarınca Maliye Uzmanı ve Maliye Uzman Yardımcısı kadrolarına atanmış sayılan Başkontrolör, Kontrolör ve Stajyer Kontrolörler, bu maddenin yayımı tarihinde 657 sayılı Kanunun 152 nci maddesi uyarınca Maliye Bakanlığı merkez denetim elemanları için belirlenmiş olan zam puanları ile özel hizmet ve denetim tazminatı oranlarından, aynı usul ve esaslar çerçevesinde yararlanmaya devam ederler. Bu zam ve tazminatlardan yararlananlara Maliye Uzmanı ve Maliye Uzman Yardımcıları için öngörülen zamlar ile özel hizmet ve denetim tazminatı ödenmez.</t>
  </si>
  <si>
    <t>Birinci fıkraya göre Maliye Uzman Yardımcısı veya Defterdarlık Uzman Yardımcısı kadrolarına atanmış sayılanlar ile halen Maliye Uzman Yardımcısı kadrosunda bulunanların yeterlik sınavları bu atamadan önce tabi oldukları yönetmelik hükümlerine göre yapılarak başarılı olanlar ilgisine göre Maliye Uzmanı veya Defterdarlık Uzmanı kadrolarına atanırlar.</t>
  </si>
  <si>
    <t>Bu Kanun Hükmünde Kararnamenin yayımı tarihinden önce yürürlükte bulunan 43 üncü maddenin (b) bendinin (5) numaralı alt bendine göre bu Kanun Hükmünde Kararnamenin yayımı tarihinden önce yapılmış olan özel sınavı kazanmış olanlardan ilgili mevzuatında öngörülen hükümlere göre uzmanlık eğitiminde başarılı olarak Muhasebe Uzmanı veya Milli Emlak Uzmanı kadrolarına atanabilme hakkını elde edecekler Defterdarlık Uzmanı kadrolarına atanırlar.”</t>
  </si>
  <si>
    <t>ı) Ek 20 nci maddesinin birinci fıkrasında yer alan “muhakemat” ibaresi “Hazine avukatlığı” şeklinde değiştirilmiştir.</t>
  </si>
  <si>
    <t>i) Ek 24 üncü maddesi başlığı ile birlikte aşağıdaki şekilde değiştirilmiştir.</t>
  </si>
  <si>
    <t>“Muhakemat birimleri</t>
  </si>
  <si>
    <t xml:space="preserve">EK MADDE 24 ‒ Muhakemat birimleri, muhakemat müdürlükleri ve müdürlük olmayan yerlerde Hazine avukatlığı servisinden oluşur. </t>
  </si>
  <si>
    <t>Başhukuk Müşavirliği ve Muhakemat Genel Müdürlüğünün görevlerinin il ve ilçeye ilişkin olanlarını muhakemat müdürlükleri ve Hazine avukatlıkları yürütür.”</t>
  </si>
  <si>
    <t>(6) 3/6/2011 tarihli ve 641 sayılı Kalkınma Bakanlığının Teşkilat ve Görevleri Hakkında Kanun Hükmünde Kararnamenin 31 inci maddesinin ikinci fıkrasında yer alan “Mayıs ayı sonuna kadar” ibaresi “en geç Eylül ayının ilk haftası sonuna kadar” şeklinde değiştirilmiştir.</t>
  </si>
  <si>
    <r>
      <t xml:space="preserve">MADDE 1 ‒ </t>
    </r>
    <r>
      <rPr>
        <sz val="9"/>
        <rFont val="Arial"/>
        <family val="2"/>
        <charset val="162"/>
      </rPr>
      <t>(1) Bu Kanun Hükmünde Kararnamenin amacı; genel bütçe kapsamındaki kamu idareleri ve özel bütçeli idarelerin hukuk hizmetlerinin etkili, verimli ve usul ekonomisine uygun şekilde yerine getirilmesine ve bu hizmetlerin yürütülmesinde uygulama birliğinin sağlanmasına yönelik usul ve esasların belirlenmesidir.</t>
    </r>
  </si>
  <si>
    <r>
      <t xml:space="preserve">MADDE 2 ‒ </t>
    </r>
    <r>
      <rPr>
        <sz val="9"/>
        <rFont val="Arial"/>
        <family val="2"/>
        <charset val="162"/>
      </rPr>
      <t>(1) Bu Kanun Hükmünde Kararnamenin uygulanmasında;</t>
    </r>
  </si>
  <si>
    <r>
      <t>MADDE 3</t>
    </r>
    <r>
      <rPr>
        <sz val="9"/>
        <rFont val="Arial"/>
        <family val="2"/>
        <charset val="162"/>
      </rPr>
      <t xml:space="preserve"> ‒ (1) Bu Kanun Hükmünde Kararnamenin uygulanmasında;</t>
    </r>
  </si>
  <si>
    <r>
      <t>MADDE 4</t>
    </r>
    <r>
      <rPr>
        <sz val="9"/>
        <rFont val="Arial"/>
        <family val="2"/>
        <charset val="162"/>
      </rPr>
      <t xml:space="preserve"> ‒ (1) Hukuk birimleri; idarelerde muhakemat hizmetleri ile hukuk danışmanlığına ilişkin iş ve işlemleri yürütmekle görevli ve sorumludur. </t>
    </r>
  </si>
  <si>
    <r>
      <t xml:space="preserve">MADDE 5 ‒ </t>
    </r>
    <r>
      <rPr>
        <sz val="9"/>
        <rFont val="Arial"/>
        <family val="2"/>
        <charset val="162"/>
      </rPr>
      <t>(1) İdareler, muhakemat hizmetleri ihtiyaçlarını;</t>
    </r>
  </si>
  <si>
    <r>
      <t xml:space="preserve">MADDE 6 ‒ </t>
    </r>
    <r>
      <rPr>
        <sz val="9"/>
        <rFont val="Arial"/>
        <family val="2"/>
        <charset val="162"/>
      </rPr>
      <t>(1) İdareler, kendi iş ve işlemleriyle ilgili olarak açılacak adli ve idari davalar ile tahkim yargılaması ve icra işlemlerinde taraf sıfatını haizdir.</t>
    </r>
  </si>
  <si>
    <r>
      <t>MADDE 7</t>
    </r>
    <r>
      <rPr>
        <sz val="9"/>
        <rFont val="Arial"/>
        <family val="2"/>
        <charset val="162"/>
      </rPr>
      <t xml:space="preserve"> ‒ (1) Birden fazla idarenin taraf olduğu idari davalardan;</t>
    </r>
  </si>
  <si>
    <r>
      <t xml:space="preserve">MADDE 8 ‒ </t>
    </r>
    <r>
      <rPr>
        <sz val="9"/>
        <rFont val="Arial"/>
        <family val="2"/>
        <charset val="162"/>
      </rPr>
      <t>(1) İdareler adına dava açma veya icra takibine başlama talebi, üst yönetici veya iş ve işlemle ilgili merkez veya taşra birim amiri tarafından yapılır. Merkez veya taşra birim amirince yapılan talep üzerine davayı açmakla yetkili ve görevli olanlarca, maddi ve hukuki sebeplerle dava açılmasında kamu menfaati bulunmadığı yönünde görüş belirtilmesi halinde, üst yöneticinin talimatına göre işlem yapılır.</t>
    </r>
  </si>
  <si>
    <r>
      <t xml:space="preserve">MADDE 9 ‒ </t>
    </r>
    <r>
      <rPr>
        <sz val="9"/>
        <rFont val="Arial"/>
        <family val="2"/>
        <charset val="162"/>
      </rPr>
      <t xml:space="preserve">(1) İdarelerin adli yargıda dava açmadan veya icra takibine başlamadan önce karşı tarafı sulhe davet etmesi esastır. İdareler, kendi aleyhlerine dava açılacağını veya icra takibine başlanılacağını öğrenmeleri durumunda da karşı tarafı sulhe davet edebilirler. Sulhe davet, uyuşmazlığın tarafı olan gerçek veya tüzel kişilerce de yapılabilir. İlgili mevzuatında daha uzun bir süre öngörülmediği takdirde, sulhe davette karşı tarafa, ifa, itiraz veya sulh teklifinde bulunmak üzere otuz güne kadar süre verilir. </t>
    </r>
  </si>
  <si>
    <r>
      <t xml:space="preserve">MADDE 10 ‒ </t>
    </r>
    <r>
      <rPr>
        <sz val="9"/>
        <rFont val="Arial"/>
        <family val="2"/>
        <charset val="162"/>
      </rPr>
      <t>(1) Sulh anlaşması, anlaşma tutanağında belirtilen tutar kadar bir hakkın tanınması, menfaatin terki, bir şeyin verilmesi, yapılması ya da yapılmaması konusunda anlaşmalar veya sözleşme değişikliklerini kapsar. Sulhe konu işte birden çok ihtilaf bulunduğu takdirde asıl olan, ihtilafın tamamının çözümlenmesidir. Ancak kamu menfaati görüldüğünde kısmi sulh de mümkündür.</t>
    </r>
  </si>
  <si>
    <r>
      <t>(3) Bu Kanun Hükmünde Kararname çerçevesinde yapılan sulh anlaşmalarına ilişkin tutanak ilam hükmünde olup ilamların icrasına dair genel hükümlere göre infaz olunur. Ancak vadeye bağlanmamış alacaklarda tutanağın imzalandığı tarihten itibaren iki aylık sürenin dolmasından, vadeye bağlanmış alacaklarda ise vadenin dolmasından önce tutanak icraya konulamaz. Sulh anlaşması hükümleri yerine getirilmediği takdirde alacak muaccel olur ve sulhe konu edilen hak veya alacaklar, alacağın muaccel olduğu tarihten itibaren 6183 sayılı Kanunun 51 inci maddesine göre belirlenen gecikme zammı oranında hesaplanan faizi ile birlikte takip ve tahsil edilir.</t>
    </r>
    <r>
      <rPr>
        <b/>
        <sz val="9"/>
        <color indexed="12"/>
        <rFont val="Arial"/>
        <family val="2"/>
        <charset val="162"/>
      </rPr>
      <t xml:space="preserve">  </t>
    </r>
  </si>
  <si>
    <r>
      <t xml:space="preserve">MADDE 11 ‒ </t>
    </r>
    <r>
      <rPr>
        <sz val="9"/>
        <rFont val="Arial"/>
        <family val="2"/>
        <charset val="162"/>
      </rPr>
      <t>(1) İdarelerin;</t>
    </r>
  </si>
  <si>
    <r>
      <t xml:space="preserve">MADDE 12 ‒ </t>
    </r>
    <r>
      <rPr>
        <sz val="9"/>
        <rFont val="Arial"/>
        <family val="2"/>
        <charset val="162"/>
      </rPr>
      <t>(1) İdari işlemler dolayısıyla haklarının ihlal edildiğini iddia edenler idareye başvurarak, uğramış oldukları zararın sulh yoluyla giderilmesini dava açma süresi içinde isteyebilirler. İdari eylemler nedeniyle hakları ihlal edilenlerce, idari dava açmadan önce 6/1/1982 tarihli ve 2577 sayılı İdari Yargılama Usulü Kanununun 13 üncü maddesinin birinci fıkrası uyarınca yapılan başvurular da sulh başvurusu olarak kabul edilir ve bu maddede yer alan hükümler çerçevesinde incelenir.</t>
    </r>
  </si>
  <si>
    <r>
      <t xml:space="preserve">MADDE 13 ‒ </t>
    </r>
    <r>
      <rPr>
        <sz val="9"/>
        <rFont val="Arial"/>
        <family val="2"/>
        <charset val="162"/>
      </rPr>
      <t xml:space="preserve">(1) Avrupa İnsan Hakları Mahkemesine yapılan başvuruların incelenmesi sırasında Adalet veya Dışişleri Bakanlıklarınca ihtiyaç duyulması halinde Avrupa Konseyi nezdindeki Türkiye Daimi Temsilciliğinde, başvuruyla ilgili idareden hukuk birimi amiri veya hukuk müşaviri ya da avukat görevlendirilebilir. </t>
    </r>
  </si>
  <si>
    <r>
      <t xml:space="preserve">MADDE 14 ‒ </t>
    </r>
    <r>
      <rPr>
        <sz val="9"/>
        <rFont val="Arial"/>
        <family val="2"/>
        <charset val="162"/>
      </rPr>
      <t xml:space="preserve">(1) Tahkim usulüne tabi olanlar dahil adli ve idari davalar ile icra dairelerinde idarelerin vekili sıfatıyla hukuk birimi amirleri, muhakemat müdürleri, hukuk müşavirleri ve avukatlar tarafından </t>
    </r>
    <r>
      <rPr>
        <sz val="9"/>
        <color indexed="8"/>
        <rFont val="Arial"/>
        <family val="2"/>
        <charset val="162"/>
      </rPr>
      <t>yapılan takip ve duruşmalar için, bu davaların idareler lehine neticelenmesi halinde, bunlar tarafından temsil ve takip edilen dava ve işlerde ilgili mevzuata göre hükmedilmesi gereken tutar üzerinden idareler lehine vekalet ücreti</t>
    </r>
    <r>
      <rPr>
        <sz val="9"/>
        <rFont val="Arial"/>
        <family val="2"/>
        <charset val="162"/>
      </rPr>
      <t xml:space="preserve"> takdir edilir. </t>
    </r>
  </si>
  <si>
    <r>
      <t xml:space="preserve">MADDE 15 ‒ </t>
    </r>
    <r>
      <rPr>
        <sz val="9"/>
        <rFont val="Arial"/>
        <family val="2"/>
        <charset val="162"/>
      </rPr>
      <t>(1) Bu Kanun Hükmünde Kararnamede yer alan parasal sınırlar, her takvim yılı başından geçerli olmak üzere, Bakanlar Kurulunca daha yüksek tutarlar belirlenmedikçe, o yıl için 4/1/1961 tarihli ve 213 sayılı Vergi Usul Kanununun mükerrer 298 inci maddesi hükümleri uyarınca tespit ve ilan edilen yeniden değerleme oranında artırılarak uygulanır. Uygulanacak tutarlar her yıl Ocak ayı içerisinde Maliye Bakanlığı tarafından yayımlanır.</t>
    </r>
  </si>
  <si>
    <r>
      <t xml:space="preserve">MADDE 16 ‒ </t>
    </r>
    <r>
      <rPr>
        <sz val="9"/>
        <rFont val="Arial"/>
        <family val="2"/>
        <charset val="162"/>
      </rPr>
      <t>(1)</t>
    </r>
    <r>
      <rPr>
        <b/>
        <sz val="9"/>
        <rFont val="Arial"/>
        <family val="2"/>
        <charset val="162"/>
      </rPr>
      <t xml:space="preserve"> </t>
    </r>
    <r>
      <rPr>
        <sz val="9"/>
        <rFont val="Arial"/>
        <family val="2"/>
        <charset val="162"/>
      </rPr>
      <t xml:space="preserve">Bu Kanun Hükmünde Kararname kapsamında hukuki uyuşmazlık değerlendirme komisyonunun çalışma usul ve esasları, avukatlık hizmeti satın alınmasıyla ilgili usul ve esaslar ile bunların takip ve denetimine ilişkin hususlar ve vekalet ücretlerinin dağıtımına dair usuller Maliye Bakanlığının teklifi üzerine Bakanlar Kurulunca yürürlüğe konulan yönetmelikle belirlenir. </t>
    </r>
  </si>
  <si>
    <r>
      <t xml:space="preserve">MADDE 17 ‒ </t>
    </r>
    <r>
      <rPr>
        <sz val="9"/>
        <rFont val="Arial"/>
        <family val="2"/>
        <charset val="162"/>
      </rPr>
      <t>(1) 14/7/1965 tarihli ve 657 sayılı Devlet Memurları Kanununun;</t>
    </r>
  </si>
  <si>
    <r>
      <t>(3)</t>
    </r>
    <r>
      <rPr>
        <b/>
        <sz val="9"/>
        <rFont val="Arial"/>
        <family val="2"/>
        <charset val="162"/>
      </rPr>
      <t xml:space="preserve"> </t>
    </r>
    <r>
      <rPr>
        <sz val="9"/>
        <rFont val="Arial"/>
        <family val="2"/>
        <charset val="162"/>
      </rPr>
      <t>10/12/2003 tarihli ve 5018 sayılı Kamu Malî Yönetimi ve Kontrol Kanununun;</t>
    </r>
  </si>
  <si>
    <r>
      <t>(5) 13/12/1983 tarihli ve 178 sayılı Maliye Bakanlığının Teşkilat ve Görevleri Hakkında Kanun Hükmünde</t>
    </r>
    <r>
      <rPr>
        <b/>
        <sz val="9"/>
        <rFont val="Arial"/>
        <family val="2"/>
        <charset val="162"/>
      </rPr>
      <t xml:space="preserve"> </t>
    </r>
    <r>
      <rPr>
        <sz val="9"/>
        <rFont val="Arial"/>
        <family val="2"/>
        <charset val="162"/>
      </rPr>
      <t>Kararnamenin;</t>
    </r>
  </si>
  <si>
    <r>
      <t xml:space="preserve">MADDE 18 ‒ </t>
    </r>
    <r>
      <rPr>
        <sz val="9"/>
        <rFont val="Arial"/>
        <family val="2"/>
        <charset val="162"/>
      </rPr>
      <t>(1)</t>
    </r>
    <r>
      <rPr>
        <b/>
        <sz val="9"/>
        <rFont val="Arial"/>
        <family val="2"/>
        <charset val="162"/>
      </rPr>
      <t xml:space="preserve"> </t>
    </r>
    <r>
      <rPr>
        <sz val="9"/>
        <rFont val="Arial"/>
        <family val="2"/>
        <charset val="162"/>
      </rPr>
      <t>2/2/1929 tarihli ve 1389 sayılı Devlet Davalarını İntaç Eden Avukat ve Saireye Verilecek Ücreti Vekâlet Hakkında Kanun yürürlükten kaldırılmıştır. Diğer mevzuatta 1389 sayılı Kanuna yapılan atıflar bu Kanun Hükmünde Kararnameye yapılmış sayılır.</t>
    </r>
  </si>
  <si>
    <r>
      <t xml:space="preserve">GEÇİCİ MADDE 1 ‒ </t>
    </r>
    <r>
      <rPr>
        <sz val="9"/>
        <rFont val="Arial"/>
        <family val="2"/>
        <charset val="162"/>
      </rPr>
      <t>(1) Bu Kanun Hükmünde Kararnamenin yayımı tarihinde diğer idarelere ait olan ve Maliye Bakanlığınca takip edilen dava ve icra takiplerine ilişkin derdest dosyalardan ilgili idarece talep edilenler, ilgili idare ile Maliye Bakanlığı tarafından müştereken belirlenen esaslara göre ilgili idarelere devredilir.</t>
    </r>
    <r>
      <rPr>
        <b/>
        <sz val="9"/>
        <rFont val="Arial"/>
        <family val="2"/>
        <charset val="162"/>
      </rPr>
      <t xml:space="preserve"> </t>
    </r>
  </si>
  <si>
    <r>
      <t xml:space="preserve">GEÇİCİ MADDE 2 ‒ </t>
    </r>
    <r>
      <rPr>
        <sz val="9"/>
        <rFont val="Arial"/>
        <family val="2"/>
        <charset val="162"/>
      </rPr>
      <t xml:space="preserve">(1) İdarelerin hukuk hizmetlerini yürütmek amacıyla avukatlık hizmetleri sınıfından dokuzuncu dereceli yediyüzelli Avukat unvanlı kadro ihdas edilmiştir. Bu kadroları, derece değişikliği yapmak suretiyle idarelerden uygun görülenlere tahsis etmeye Devlet Personel Başkanlığının görüşü ve Maliye Bakanlığının teklifi üzerine Bakanlar Kurulu yetkilidir. Bu madde hükmüne göre idarelere tahsis edilen kadrolar 190 sayılı Kanun Hükmünde Kararnameye ekli cetvellerin ilgili bölümüne eklenmiş sayılır. </t>
    </r>
  </si>
  <si>
    <r>
      <t xml:space="preserve">MADDE 20 ‒ </t>
    </r>
    <r>
      <rPr>
        <sz val="9"/>
        <rFont val="Arial"/>
        <family val="2"/>
        <charset val="162"/>
      </rPr>
      <t>Bu Kanun Hükmünde Kararname hükümlerini Bakanlar Kurulu yürütür.</t>
    </r>
  </si>
  <si>
    <t xml:space="preserve">         (2) 10/10/1984 tarihli ve 3056 sayılı Başbakanlık Teşkilatı Hakkında Kanun Hükmünde Kararnamenin Değiştirilerek Kabulü Hakkında Kanunun;</t>
  </si>
  <si>
    <r>
      <t xml:space="preserve">EK MADDE 34 ‒ 13/12/1983 tarihli ve 190 sayılı Genel Kadro ve Usulü Hakkında Kanun Hükmünde Kararnamenin eki (I) sayılı cetvelin Maliye Bakanlığına ait bölümünde yer alan “Muhasebat Başkontrolörü”, “Milli Emlak Başkontrolörü”, “Başkontrolör”, “Muhasebat Kontrolörü”, “Milli Emlak Kontrolörü”, “Kontrolör”, “Devlet Bütçe Uzmanı”, “Mali Suçları Araştırma Uzmanı”, “Devlet Muhasebe Uzmanı”, “Devlet Gelir Politikaları Uzmanı” ve “Devlet Malları Uzmanı” kadro unvanları “Maliye Uzmanı” şeklinde; “Stajyer Muhasebat Kontrolörü”, “Stajyer Milli Emlak Kontrolörü”, “Stajyer Kontrolör”, “Devlet Bütçe Uzman Yardımcısı”, “Mali Suçları Araştırma Uzman Yardımcısı”, “Devlet Muhasebe Uzman Yardımcısı”, “Devlet Gelir Politikaları Uzman Yardımcısı” ve “Devlet Malları Uzman Yardımcısı” kadro unvanları “Maliye Uzman Yardımcısı” şeklinde; “Muhasebe Denetmeni”, “Milli Emlak Denetmeni”, “Muhasebe Uzmanı” ve “Milli Emlak Uzmanı” kadro unvanları “Defterdarlık Uzmanı” şeklinde ve “Muhasebe Denetmen Yardımcısı”, “Milli Emlak Denetmen Yardımcısı”, “Muhasebe Uzman Yardımcısı” ve “Milli Emlak Uzman Yardımcısı” kadro unvanları ise </t>
    </r>
    <r>
      <rPr>
        <b/>
        <sz val="12"/>
        <color indexed="10"/>
        <rFont val="Arial"/>
        <family val="2"/>
        <charset val="162"/>
      </rPr>
      <t>“Defterdarlık Uzman Yardımcısı”</t>
    </r>
    <r>
      <rPr>
        <sz val="9"/>
        <color indexed="10"/>
        <rFont val="Arial"/>
        <family val="2"/>
        <charset val="162"/>
      </rPr>
      <t xml:space="preserve"> şeklinde değiştirilmiştir.”</t>
    </r>
  </si>
  <si>
    <r>
      <t xml:space="preserve">b) Muhasebe Denetmeni, Milli Emlak Denetmeni, Muhasebe Uzmanı ve Milli Emlak Uzmanı kadrolarında bulunanlar, </t>
    </r>
    <r>
      <rPr>
        <b/>
        <sz val="12"/>
        <color indexed="10"/>
        <rFont val="Arial"/>
        <family val="2"/>
        <charset val="162"/>
      </rPr>
      <t>Defterdarlık Uzmanı kadrolarına ve bunların yardımcıları Defterdarlık Uzman Yardımcısı</t>
    </r>
    <r>
      <rPr>
        <sz val="9"/>
        <color indexed="10"/>
        <rFont val="Arial"/>
        <family val="2"/>
        <charset val="162"/>
      </rPr>
      <t xml:space="preserve"> kadrolarına,</t>
    </r>
  </si>
  <si>
    <r>
      <t xml:space="preserve">Mevzuatta Muhasebat Kontrolörü, Milli Emlak Kontrolörü, Devlet Bütçe Uzmanı, Mali Suçları Araştırma Uzmanı, Devlet Muhasebe Uzmanı, Devlet Gelir Politikaları Uzmanı ve Devlet Malları Uzmanı ve bunların yardımcıları ile stajyerlerine yapılan atıflar ilgisine göre Maliye Uzmanı veya Maliye Uzman Yardımcısına; Muhasebe Denetmeni, Milli Emlak Denetmeni, Muhasebe Uzmanı ve Milli Emlak Uzmanı ile bunların yardımcılarına yapılan atıflar ise ilgisine göre </t>
    </r>
    <r>
      <rPr>
        <b/>
        <sz val="12"/>
        <color indexed="10"/>
        <rFont val="Arial"/>
        <family val="2"/>
        <charset val="162"/>
      </rPr>
      <t>Defterdarlık Uzmanı veya Defterdarlık Uzman Yardımcısına yapılmış sayılır</t>
    </r>
    <r>
      <rPr>
        <sz val="9"/>
        <color indexed="10"/>
        <rFont val="Arial"/>
        <family val="2"/>
        <charset val="162"/>
      </rPr>
      <t>. Atıflar, anılan yardımcılık ve stajyerlikler için açılmış olan giriş sınavları ve bu sınav sonucuna göre yapılacak atamalarda da dikkate alınır.</t>
    </r>
  </si>
  <si>
    <r>
      <t>Bu maddenin yayımı tarihinden önce; Muhasebat Başkontrolörü, Milli Emlak Başkontrolörü, Muhasebat Kontrolörü, Milli Emlak Kontrolörü, Devlet Bütçe Uzmanı, Mali Suçları Araştırma Uzmanı, Devlet Muhasebe Uzmanı, Devlet Gelir Politikaları Uzmanı ve Devlet Malları Uzmanı unvanını ihraz etmiş olanlardan Bakanlık ve bağlı, ilgili ve ilişkili kuruluşlarının kadrolarında bulunanlar, talep etmeleri halinde durumlarına uygun Maliye Uzmanı kadrolarına; Muhasebe Denetmeni, Milli Emlak Denetmeni, Muhasebe Uzmanı ve Milli Emlak Uzmanı unvanını ihraz etmiş olanlardan Bakanlık ve bağlı, ilgili ve ilişkili kuruluşlarının kadrolarında bulunanlar, talep etmeleri hâlinde durumlarına uygun</t>
    </r>
    <r>
      <rPr>
        <b/>
        <sz val="12"/>
        <color indexed="10"/>
        <rFont val="Arial"/>
        <family val="2"/>
        <charset val="162"/>
      </rPr>
      <t xml:space="preserve"> Defterdarlık Uzmanı kadrolarına</t>
    </r>
    <r>
      <rPr>
        <sz val="9"/>
        <color indexed="10"/>
        <rFont val="Arial"/>
        <family val="2"/>
        <charset val="162"/>
      </rPr>
      <t xml:space="preserve"> atanabilirler.</t>
    </r>
  </si>
  <si>
    <r>
      <t xml:space="preserve">Bu madde uyarınca Maliye Uzmanı, Maliye Uzman Yardımcısı, </t>
    </r>
    <r>
      <rPr>
        <b/>
        <u/>
        <sz val="12"/>
        <color indexed="10"/>
        <rFont val="Arial"/>
        <family val="2"/>
        <charset val="162"/>
      </rPr>
      <t>Defterdarlık Uzmanı ve Defterdarlık Uzman Yardımcısı kadrolarına atanmış sayılan personelin bu kadrolara atanmış sayıldıkları tarih itibarıyla eski kadrolarına ilişkin olarak en son ayda aldıkları aylık, ek gösterge, her türlü zam ve tazminatlar, makam tazminatı, görev tazminatı, ek ödeme ve benzeri adlarla yapılan her türlü ödemelerin (fazla mesai ücreti hariç) toplam net tutarının (bu tutar sabit bir değer olarak esas alınır); atanmış sayıldıkları kadrolara ilişkin olarak yapılan aylık, ek gösterge, her türlü zam ve tazminatlar, makam tazminatı, görev tazminatı, ek ödeme ve benzeri adlarla yapılan her türlü ödemelerin (fazla mesai ücreti hariç) toplam net tutarından fazla olması halinde aradaki fark tutarı, herhangi bir vergi ve kesintiye tabi tutulmaksızın fark kapanıncaya kadar ayrıca tazminat olarak ödenir. Atanmış sayıldıkları kadro unvanlarında isteğe bağlı olarak herhangi bir değişiklik olanlar ile kendi istekleriyle başka kurumlara atananlara fark tazminatı ödenmesine son verilir.</t>
    </r>
  </si>
  <si>
    <r>
      <t xml:space="preserve">c) Eki (I) sayılı Ek Gösterge Cetvelinin “I ‒ Genel İdare Hizmetleri Sınıfı” bölümünün (g) bendinin sonuna “, Maliye Uzmanları” ibaresi eklenmiş, aynı bölümün (h) bendinde yer alan “Maliye Uzmanı,” ibaresi yürürlükten kaldırılmış ve aynı bende “Ürün Denetmenleri,” ibaresinden sonra gelmek üzere </t>
    </r>
    <r>
      <rPr>
        <u/>
        <sz val="12"/>
        <color indexed="10"/>
        <rFont val="Arial"/>
        <family val="2"/>
        <charset val="162"/>
      </rPr>
      <t>“Defterdarlık Uzmanları,” ibares</t>
    </r>
    <r>
      <rPr>
        <sz val="12"/>
        <color indexed="10"/>
        <rFont val="Arial"/>
        <family val="2"/>
        <charset val="162"/>
      </rPr>
      <t>i eklenmiştir.</t>
    </r>
  </si>
  <si>
    <r>
      <t xml:space="preserve">Devlet Malları Uzmanı, </t>
    </r>
    <r>
      <rPr>
        <sz val="10"/>
        <color indexed="10"/>
        <rFont val="Arial"/>
        <family val="2"/>
        <charset val="162"/>
      </rPr>
      <t xml:space="preserve">Maliye Uzmanı, </t>
    </r>
  </si>
  <si>
    <r>
      <t>e) Diğer hükümleri</t>
    </r>
    <r>
      <rPr>
        <sz val="9"/>
        <color indexed="10"/>
        <rFont val="Calibri"/>
        <family val="2"/>
        <charset val="162"/>
      </rPr>
      <t xml:space="preserve"> 15/1/2012, </t>
    </r>
  </si>
  <si>
    <r>
      <t>a) 1 inci maddesiyle 375 sayılı Kanun Hükmünde Kararnameye eklenen ek 12 nci madde, 2 nci maddesiyle aynı Kanun Hükmünde Kararnameye eklenen geçici 10, geçici 20 ve geçici 21 inci maddeler, 3 üncü maddesi, 4 üncü maddesiyle 657 sayılı Kanuna eklenen geçici 39 uncu maddenin birinci ve üçüncü fıkraları</t>
    </r>
    <r>
      <rPr>
        <sz val="9"/>
        <color indexed="10"/>
        <rFont val="Calibri"/>
        <family val="2"/>
        <charset val="162"/>
      </rPr>
      <t xml:space="preserve">, 5 inci maddesinin (ç) fıkrasının </t>
    </r>
    <r>
      <rPr>
        <sz val="9"/>
        <rFont val="Calibri"/>
        <family val="2"/>
        <charset val="162"/>
      </rPr>
      <t>(1), (2) ve (3) numaralı bentleri ile (k) fıkrası, 8 inci ve 9 uncu maddeleri</t>
    </r>
    <r>
      <rPr>
        <sz val="9"/>
        <color indexed="10"/>
        <rFont val="Calibri"/>
        <family val="2"/>
        <charset val="162"/>
      </rPr>
      <t xml:space="preserve"> yayımı,</t>
    </r>
  </si>
  <si>
    <t xml:space="preserve">RESMİ GAZETDEKİ TAM METNİ </t>
  </si>
  <si>
    <t>MEVZUAT GOV TR DEKİ İŞLENDİ İBARELİ ŞEKLİ</t>
  </si>
  <si>
    <t>EK GÖSTERGE CETVELLERİ</t>
  </si>
  <si>
    <r>
      <t xml:space="preserve">I Sayılı Ek Gösterge Cetveli </t>
    </r>
    <r>
      <rPr>
        <b/>
        <sz val="10"/>
        <rFont val="Times New Roman"/>
        <family val="1"/>
        <charset val="162"/>
      </rPr>
      <t>(Ek: 9/4/1990 - KHK - 418/17 md.; İptal: Ana.Mah.'nin 5/2/1992 tarih ve E. 1990/22, K. 1992/6 sayılı Kararı ile; Yeniden düzenleme: 18/5/1994 -KHK - 527/14 md.)</t>
    </r>
  </si>
  <si>
    <t>(Subaylar İçin)</t>
  </si>
  <si>
    <r>
      <t xml:space="preserve">II Sayılı Ek Gösterge Cetveli </t>
    </r>
    <r>
      <rPr>
        <b/>
        <sz val="10"/>
        <rFont val="Times New Roman"/>
        <family val="1"/>
        <charset val="162"/>
      </rPr>
      <t>(Ek: 9/4/1990 - KHK - 418/17 md.; Mülga: 9/8/1993 - KHK - 499/36 md.)</t>
    </r>
  </si>
  <si>
    <t>(Astsubaylıktan Subaylığa Geçenler İçin)</t>
  </si>
  <si>
    <r>
      <t xml:space="preserve">III Sayılı Ek Gösterge Cetveli </t>
    </r>
    <r>
      <rPr>
        <b/>
        <sz val="10"/>
        <rFont val="Times New Roman"/>
        <family val="1"/>
        <charset val="162"/>
      </rPr>
      <t>(Ek: 9/4/1990 - KHK - 418/17 md.; İptal: Ana. Mah.'nin 5/2/1992 tarih ve E. 1990/22, K. 1992/6 sayılı Kararı ile; Yeniden düzenleme: 18/5/1994 -KHK - 527/14 md.)</t>
    </r>
  </si>
  <si>
    <t>(Astsubaylar İçin)</t>
  </si>
  <si>
    <r>
      <t xml:space="preserve">IV Sayılı Ek Gösterge Cetveli </t>
    </r>
    <r>
      <rPr>
        <b/>
        <sz val="10"/>
        <rFont val="Times New Roman"/>
        <family val="1"/>
        <charset val="162"/>
      </rPr>
      <t>(Ek: 9/4/1990 - KHK - 418/17 md.; İptal Ana. Mah.'nin 5/2/1992 tarih ve E. 1990/22, K. 1992/6 sayılı Kararı ile; Yeniden düzenleme: 18/5/1994 -KHK - 527/14 md.)</t>
    </r>
  </si>
  <si>
    <t>(Askeri Hakim ve Savcılar İçin)</t>
  </si>
  <si>
    <r>
      <t xml:space="preserve">V SAYILI MAKAM TAZMİNATI CETVELİ </t>
    </r>
    <r>
      <rPr>
        <b/>
        <sz val="10"/>
        <rFont val="Times New Roman"/>
        <family val="1"/>
        <charset val="162"/>
      </rPr>
      <t>(Ek: 9/4/1990 - KHK - 418/21 md.; Değişik: 19/12/1996 - KHK - 568/3 md.)</t>
    </r>
  </si>
  <si>
    <t>Sıra Tazminat</t>
  </si>
  <si>
    <t>No Kadro ve Rütbe Ünvanı Göstergeleri</t>
  </si>
  <si>
    <t>1) Genelkurmay Başkanı 30.000</t>
  </si>
  <si>
    <t>3) Orgeneral ve Oramiral 15.000</t>
  </si>
  <si>
    <t>4) Korgeneral ve Koramiral 10.000</t>
  </si>
  <si>
    <t>5) Tümgeneral ve Tümamiral 8.000</t>
  </si>
  <si>
    <t>6) Tuğgeneral ve Tuğamiral 7.000</t>
  </si>
  <si>
    <t>7) Kıdemli Albay 4.500</t>
  </si>
  <si>
    <t>8) Albay 3.500</t>
  </si>
  <si>
    <t>9) Yarbay 2.000</t>
  </si>
  <si>
    <t>27/7/1967 TARİHLİ VE 926 SAYILI ANA KANUNA İŞLENEMİYEN HÜKÜMLER</t>
  </si>
  <si>
    <t>1 – 31/7/1970 tarihli ve 1323 sayılı Kanunun 18 inci maddesi:</t>
  </si>
  <si>
    <r>
      <t xml:space="preserve">Madde 18 – </t>
    </r>
    <r>
      <rPr>
        <sz val="10"/>
        <rFont val="Times New Roman"/>
        <family val="1"/>
        <charset val="162"/>
      </rPr>
      <t>926 sayılı Türk Silahlı Kuvvetleri Personel Kanununun mali hükümlerinin yürürlüğe girmesi;</t>
    </r>
  </si>
  <si>
    <t>b) Mahrumiyet yeri ödeneği, öğrenim yurtları ve bursları, aile yardımı ödeneği, doğum yardımı ödeneği, ölüm yardımı ödeneği, temsil giderleri ve yakacak yardımına ait hükümleri 657 sayılı Devlet Memurları Kanununun bu konuları düzenleyen hükümleri ile birlikte uygulanır.</t>
  </si>
  <si>
    <t>c) Öğrenci harçlıkları ile ilgili hükümleri bu maddenin (a) fıkrası esaslarına göre uygulanır.</t>
  </si>
  <si>
    <t>d) 926 sayılı Türk Silahlı Kuvvetleri Personel Kanununun 153, 158, 176 ve 181 inci maddeleri 1970 mali yılında uygulanamaz.2005 sayılı Kanunun pansiyon ücret indirimi hakkındaki 2 nci maddesi hükmü ile çocuk zammı ödenmesine ilişkin 5049 ve doğum yardımı ödenmesine ilişkin 5504 sayılı Kanun hükümlerinin uygulanmasına 1970 mali yılında da devam olunur.</t>
  </si>
  <si>
    <t>e) Bu kanunun ders ücretleri ile ilgili hükümleri yayımı tarihinde Ek 2, Ek 5 ve Ek 6 ncı maddelerinin hükümleri 657 sayılı Devlet Memurları Kanunu hükümlerine göre çıkarılacak Genel Kadro Kanununun yürürlüğe girdiği tarihi takibeden aybaşından itibaren uygulanır.</t>
  </si>
  <si>
    <t>f) Bu maddenin (a) ve (c) fıkrası hükümleri uygulanıncaya kadar bu konuları düzenleyen eski kanunların uygulanmasına devam olunur.</t>
  </si>
  <si>
    <t>2) 27/6/1989 tarihli ve 375 sayılı Kanun Hükmünde Kararnamenin Hükmü.</t>
  </si>
  <si>
    <r>
      <t xml:space="preserve">Madde 3 – </t>
    </r>
    <r>
      <rPr>
        <sz val="10"/>
        <rFont val="Times New Roman"/>
        <family val="1"/>
        <charset val="162"/>
      </rPr>
      <t>657 sayılı Devlet Memurları Kanunu, 926 sayılı Türk Silahlı Kuvvetleri Personel Kanunu, 2914 sayılı Yükseköğretim Personel Kanunu, 2802 sayılı Hakimler ve Savcılar Kanunu ve diğer kanunlar uyarınca ek göstergeden yararlanan personelin ek gösterge rakamları aşağıdaki şekilde değiştirilmiştir.</t>
    </r>
  </si>
  <si>
    <t>a) Genelkurmay Başkanı, 4500</t>
  </si>
  <si>
    <r>
      <t xml:space="preserve">e) </t>
    </r>
    <r>
      <rPr>
        <b/>
        <sz val="10"/>
        <rFont val="Times New Roman"/>
        <family val="1"/>
        <charset val="162"/>
      </rPr>
      <t xml:space="preserve">(Değişik: 25/1/1990 - KHK - 402/2 md.) </t>
    </r>
    <r>
      <rPr>
        <sz val="10"/>
        <rFont val="Times New Roman"/>
        <family val="1"/>
        <charset val="162"/>
      </rPr>
      <t>Tümgeneral-Tümamiraller, Anayasa Mahkemesi, Yargıtay ve Danıştay Üyeleri, Yargıtay Cumhuriyet Başsavcısı Vekili, Birinci Sınıf Hakim ve Savcılar, Müsteşarlar, Talim Terbiye Kurulu Başkanı, 3500</t>
    </r>
  </si>
  <si>
    <t>f) Başbakanlık Müsteşar Yardımcıları. 2600</t>
  </si>
  <si>
    <r>
      <t xml:space="preserve">g) </t>
    </r>
    <r>
      <rPr>
        <b/>
        <sz val="10"/>
        <rFont val="Times New Roman"/>
        <family val="1"/>
        <charset val="162"/>
      </rPr>
      <t>(Ek: 23/10/1989 - KHK - 386/2 md.)</t>
    </r>
    <r>
      <rPr>
        <sz val="10"/>
        <rFont val="Times New Roman"/>
        <family val="1"/>
        <charset val="162"/>
      </rPr>
      <t xml:space="preserve"> Talim ve Terbiye Kurulu Üyesi) 2400</t>
    </r>
  </si>
  <si>
    <t>Yukarıda unvan olarak sayılanlar dışında kalan personelin halen uygulanmakta olan ek gösterge rakamları, aşağıda gösterildiği şekilde değiştirilmiştir.</t>
  </si>
  <si>
    <t>3) 13/3/1969 tarihli ve 1134 sayılı Kanunun geçici maddesi:</t>
  </si>
  <si>
    <r>
      <t xml:space="preserve">Geçici Madde – </t>
    </r>
    <r>
      <rPr>
        <sz val="10"/>
        <rFont val="Times New Roman"/>
        <family val="1"/>
        <charset val="162"/>
      </rPr>
      <t>Bu kanunun şümulüne giripte, yayımı tarihinde sivil sektörde vazife alan müstafi subaylar da bu kanunun getirdiği haklardan istifade ederler.</t>
    </r>
  </si>
  <si>
    <t>4) 12/2/1982 tarihli ve 2596 sayılı Kanunun geçici maddesi:</t>
  </si>
  <si>
    <r>
      <t xml:space="preserve">Geçici Madde – </t>
    </r>
    <r>
      <rPr>
        <sz val="10"/>
        <rFont val="Times New Roman"/>
        <family val="1"/>
        <charset val="162"/>
      </rPr>
      <t>Bu Kanun ile aylık gösterge tablolarında yapılmış olan değişiklik nedeniyle aylıklarda meydana gelecek artışlar hakkında 5434 sayılı Kanunun 14 üncü maddesinin (c) bendi hükmü uygulanmaz.</t>
    </r>
  </si>
  <si>
    <t>5) 14/1/1988 tarihli ve 311 sayılı Kanun Hükmünde Kararnamenin geçici maddesi:</t>
  </si>
  <si>
    <r>
      <t xml:space="preserve">Geçici Madde 1 – </t>
    </r>
    <r>
      <rPr>
        <sz val="10"/>
        <rFont val="Times New Roman"/>
        <family val="1"/>
        <charset val="162"/>
      </rPr>
      <t>926 sayılı Türk Silahlı Kuvvetleri Personel Kanununun değişik 49 uncu maddesinin bu Kanun Hükmünde Kararnamenin 3 üncü maddesi ile değişik hükmü kapsamına girenlerden halen emekli olanlar da yürürlük tarihini takip eden aybaşından itibaren 65 yaşına kadar bu hükümden yararlandırılırlar.</t>
    </r>
  </si>
  <si>
    <t>6) 7/12/1989 tarih ve 3593 sayılı Kanunun geçici maddesi:</t>
  </si>
  <si>
    <t>Geçici Madde – (Mülga: 6/5/1993 - 3909/2 md. )</t>
  </si>
  <si>
    <t>7) 9/4/1990 tarih ve 418 sayılı KHK'nin hükümleri:</t>
  </si>
  <si>
    <r>
      <t xml:space="preserve">Madde 36 – </t>
    </r>
    <r>
      <rPr>
        <sz val="10"/>
        <rFont val="Times New Roman"/>
        <family val="1"/>
        <charset val="162"/>
      </rPr>
      <t>Aylıklarını 657 sayılı Devlet Memurları Kanunu ile ek ve değişikliklerine, 926 sayılı Türk Silahlı Kuvvetleri Personel Kanununa, 2914 sayılı Yükseköğretim Personel Kanununa ve 2802 sayılı Hakimler ve Savcılar Kanununa göre almayan personele özel mevzuatları gereği daha yüksek bir tespit yapılmadıkça, genel idare hizmetleri sınıfında görev yapan genel müdürler için belirlenen ek gösterge rakamına geçmemek üzere, ifa ettikleri görevleri itibariyle 657 sayılı Devlet Memurları Kanununa göre girebilecekleri sınıflardaki benzer görevlerin aynı kadro, unvan veya derecesi için belirlenmiş olan ek göstergeler uygulanır.</t>
    </r>
  </si>
  <si>
    <r>
      <t xml:space="preserve">Madde 44 – </t>
    </r>
    <r>
      <rPr>
        <sz val="10"/>
        <rFont val="Times New Roman"/>
        <family val="1"/>
        <charset val="162"/>
      </rPr>
      <t>Bu Kanun Hükmünde Kararname ile yapılan değişiklikler yürürlüğe girinceye kadar mevcut hükümlerin uygulanmasına devam edilir. Bu Kanun Hükmünde Kararnamenin uygulanması sırasında doğacak tereddütleri gidermeye Maliye ve Gümrük Bakanlığı yetkilidir.</t>
    </r>
  </si>
  <si>
    <t>8) 23/1/1992 tarih ve 3768 sayılı Kanunun geçici maddesi:</t>
  </si>
  <si>
    <r>
      <t xml:space="preserve">Geçici Madde 1 – </t>
    </r>
    <r>
      <rPr>
        <sz val="10"/>
        <rFont val="Times New Roman"/>
        <family val="1"/>
        <charset val="162"/>
      </rPr>
      <t>9.6.1991 tarihli 3755 sayılı Kamu Kurum ve Kuruluşlarının Görev ve Yetkileri ile Bunların Personelinin Mali ve Sosyal Haklarında Düzenleme Yapılmasına Dair Yetki Kanunu İle Bakanlar Kuruluna verilen Kanun Hükmünde Kararname Çıkarma Yetkisi "Türk Silahlı Kuvvetleri Personel Kanunu" için adı geçen Yetki Kanunuyla verilen süre bitimine kadar geçerlidir.</t>
    </r>
  </si>
  <si>
    <t>9) 6/5/1993 tarih ve 3909 sayılı Kanunun geçici maddesi:</t>
  </si>
  <si>
    <r>
      <t xml:space="preserve">Geçici Madde – </t>
    </r>
    <r>
      <rPr>
        <sz val="10"/>
        <rFont val="Times New Roman"/>
        <family val="1"/>
        <charset val="162"/>
      </rPr>
      <t>10 Eylül 1992 tarihinden, bu Kanunun yürürlüğe girdiği tarihe kadar geçen süre içerisinde, asteğmen rütbesi ile terhis edilen yedek subaylar, sicil notu ortalaması sicil tam notunun % 60 ve daha yukarısı olmak kaydıyla terhis tarihinden geçerli olmak üzere teğmenliğe yükseltilirler.</t>
    </r>
  </si>
  <si>
    <t>1.1.1994'den 1.1.1995'den  İtibaren Uy- İtibaren Uygulanacak Ek gulanacak Ek  Göstergeler</t>
  </si>
  <si>
    <t xml:space="preserve">a) Genel Kurmay Başkanı </t>
  </si>
  <si>
    <t>b) Kuvvet Komutanları ve Jandarma Genel Komutanı (Orgeneral ve Oramiral olmak kaydıyla)</t>
  </si>
  <si>
    <t xml:space="preserve">c) Orgeneral-Oramiral </t>
  </si>
  <si>
    <t xml:space="preserve">d) Korgeneral-Koramiral </t>
  </si>
  <si>
    <t xml:space="preserve">e) Tümgeneral-Tümamiral </t>
  </si>
  <si>
    <t xml:space="preserve">f) Tuğgeneral-Tugamiral </t>
  </si>
  <si>
    <t>g) Kıdemli Albay</t>
  </si>
  <si>
    <t xml:space="preserve">h) Albay </t>
  </si>
  <si>
    <t xml:space="preserve">j) Diğer Subaylar (Bu Kanunun 109 uncu maddesine göre astsubaylıktan subay olanlar dahil) </t>
  </si>
  <si>
    <t>1.1.1994'den 1.1.1995'den itibaren itibaren Uygulanacak Uygulanacak</t>
  </si>
  <si>
    <t>1.1.1994'den 1.1.1995'den itibaren itibaren Uygulanacak Uygulanacak gulanacak Ek gulanacak Ek</t>
  </si>
  <si>
    <t xml:space="preserve">a) I inci derecede 6 yılını tamamlamış ve askeri yüksek yargı organları üyeliğine seçilme hakkını kaybetmemiş olanlara, </t>
  </si>
  <si>
    <t>b) 1 inci derece aylığını almış, 1 inci sınıfa geçirilmiş ve niteliklerini muhafaza edenlere,</t>
  </si>
  <si>
    <t xml:space="preserve">c) Diğerlerine, </t>
  </si>
  <si>
    <t>2) Orgeneral veya Oramiral olmak şartıyla; Kuvvet Komutanları ve Jandarma Genel Komutanı 20.000</t>
  </si>
  <si>
    <t>c) Orgeneral-Oramiraller, Anayasa Mahkemesi Başkanı, Yargıtay Başkanı, Danıştay Başkanı ve Başbakanlık Müsteşarı, 4000</t>
  </si>
  <si>
    <t>d) Korgeneral-Koramiraller, Uyuşmazlık Mahkemesi Başkanı, Sayıştay Başkanı, Yargıtay Cumhuriyet Başsavcısı, Danıştay Başsavcısı, 3800</t>
  </si>
  <si>
    <t>a) 926 sayılı Türk Silahlı Kuvvetleri Personel Kanununun aylık ödemeleri ile ilgili hükümleri "14/7/1965 gün ve 657 sayılı Devlet Memurları Kanununun bazı maddelerinin değiştirilmesi ve bu kanuna bazı maddeler eklenmesine ve bu kanunun kapsamı dışında kalan kamu personelinin aylık ve ücretlerinin dair Kanun’un aylık ödemelerinin yürürlüğü ile ilgili hükümleri ile birlikte ve aynı usul ve esaslara göre uygulanır.</t>
  </si>
  <si>
    <t>30.6.1989 itibariyle 15.7.1989 tarihinden uygulanmakta olan itibaren uygulanacak</t>
  </si>
  <si>
    <t>01/01/2010 Yılından İtibaren GSS Pirim Kesintisi yapılır %12</t>
  </si>
  <si>
    <t xml:space="preserve">15/10/2008 Yılından İtibaren GSS Pirim Kesintisi yapılır  % 7,5 D.Katkısı  ve % 5 Kişi Katkısı </t>
  </si>
  <si>
    <t>Gösterge farklarının toplamı ile o yılı ait maaş katsayısı çarpılarak temel maaş bulunur. % 11 ve % 9</t>
  </si>
  <si>
    <t>Gösterge farklarının toplamı ile o yılı ait maaş katsayısı çarpılarak temel maaş bulunur. % 20 ve % 16</t>
  </si>
  <si>
    <t>Gelir Vergisi temel maaştan %  9 ve % 5 düşüldükten sonra kalanın %15’idir.</t>
  </si>
  <si>
    <t>Damga Vergisi ise temel maaşa %100 artışın biri eklenerek bulunan tutarın %0,66’dır.</t>
  </si>
  <si>
    <t>Toplam Matrahın   % 11 ve  % 7,5   sı bulunur. Gün sayısı ile çarpılır.</t>
  </si>
  <si>
    <t xml:space="preserve">Şu anda uygulanmakta olan katsayı </t>
  </si>
  <si>
    <t>'tir.</t>
  </si>
  <si>
    <t>En yüksek devlet memuru aylığı ise</t>
  </si>
  <si>
    <t>'dir.</t>
  </si>
  <si>
    <t>=</t>
  </si>
  <si>
    <t>3 aylık 20 gün çıkış yapan bir mühendisin eline :</t>
  </si>
  <si>
    <t xml:space="preserve">GÜNLÜK </t>
  </si>
  <si>
    <r>
      <t>Mühendislerin</t>
    </r>
    <r>
      <rPr>
        <sz val="12"/>
        <rFont val="Times New Roman"/>
        <family val="1"/>
        <charset val="162"/>
      </rPr>
      <t xml:space="preserve"> ek özel hizmet tazminatı oranı günlük %3, teknikerlerin %2 ve teknisyenlerin ise %1,2'dir. Toplamda ise mühendisler en çok %60, teknikerler en çok %40 ve teknisyenler de en çok %24 ek özel hizmet tazminatı alabilirler. Tüm personelin maksimum oranda alabilmesi için 
 </t>
    </r>
    <r>
      <rPr>
        <b/>
        <sz val="12"/>
        <rFont val="Times New Roman"/>
        <family val="1"/>
        <charset val="162"/>
      </rPr>
      <t>3 aylık en az 20 gün çıkış yapmaları gerekmektedir.</t>
    </r>
  </si>
  <si>
    <r>
      <t xml:space="preserve">3 aylık 20 gün çıkış yapan bir </t>
    </r>
    <r>
      <rPr>
        <b/>
        <sz val="12"/>
        <rFont val="Times New Roman"/>
        <family val="1"/>
        <charset val="162"/>
      </rPr>
      <t>teknikerin</t>
    </r>
    <r>
      <rPr>
        <sz val="12"/>
        <rFont val="Times New Roman"/>
        <family val="1"/>
        <charset val="162"/>
      </rPr>
      <t xml:space="preserve"> eline :</t>
    </r>
  </si>
  <si>
    <r>
      <t xml:space="preserve">3 aylık 20 gün çıkış yapan bir </t>
    </r>
    <r>
      <rPr>
        <b/>
        <sz val="12"/>
        <rFont val="Times New Roman"/>
        <family val="1"/>
        <charset val="162"/>
      </rPr>
      <t>teknisyenin</t>
    </r>
    <r>
      <rPr>
        <sz val="12"/>
        <rFont val="Times New Roman"/>
        <family val="1"/>
        <charset val="162"/>
      </rPr>
      <t xml:space="preserve"> eline : </t>
    </r>
  </si>
  <si>
    <t xml:space="preserve"> Bu tutarları asla geçemez.</t>
  </si>
  <si>
    <t>geçer.</t>
  </si>
  <si>
    <t>Bu tutarlardan binde 66 oranında damga vergisi kesilir.</t>
  </si>
  <si>
    <t>Toplantı sayısı önemli değil.</t>
  </si>
  <si>
    <t>*</t>
  </si>
  <si>
    <t>yi geçmeyecek o kadar. </t>
  </si>
  <si>
    <r>
      <t xml:space="preserve">    Hakem heyeti başkan ve üyeleri ile raportörlere</t>
    </r>
    <r>
      <rPr>
        <sz val="12"/>
        <color indexed="63"/>
        <rFont val="Times New Roman"/>
        <family val="1"/>
        <charset val="162"/>
      </rPr>
      <t xml:space="preserve">, huzur hakkı veya huzur ücreti olarak, her ay 2000 gösterge rakamının memur aylık katsayısı ile çarpımı sonucu bulunacak miktarı geçmemek üzere Maliye Bakanlığının uygun görüşü alınarak Bakanlıkça belirlenen miktarlarda ödeme yapılır. Gündemde görüşülecek uyuşmazlık konusu olmadığı için toplantı yapılmayan aylarda ücret tahakkuk ettirilmez. </t>
    </r>
  </si>
  <si>
    <t xml:space="preserve">     Hakem heyeti başkan, üye ve raportörlerinin alacakları huzur hakkı ve ücretinin hesaplanmasında, ay içinde yapılan toplantılardan katıldıkları toplantı sayısı dikkate alınır. </t>
  </si>
  <si>
    <t>Vekalet edilen Kadronun 1 kademesi ile varsa ekgöstergesinin, katsayı ile çarpımı sonucu 1/3 ü</t>
  </si>
  <si>
    <t xml:space="preserve">Çıkan Sonuçu, ilgili ayın gününe bölünmesi sonucu,  fiilen çalışılan gün kadar ödenir. </t>
  </si>
  <si>
    <t xml:space="preserve">Ayrıcı  86 ncı maddesine göre vekalet olduğu takdirde ise Özel Hizmet ve Yanödeme kendi kadrosu </t>
  </si>
  <si>
    <t xml:space="preserve">arasındaki vakalet edilen kadronun farklarının Çıkan Sonuçu, ilgili ayın gününe bölünmesi sonucu,  fiilen çalışılan gün kadar ödenir. </t>
  </si>
  <si>
    <t xml:space="preserve">Ödül alan kişinin (Taban Maaş+Ek Gösterge)* Maaş Katsayısı sonucu miktar ödenir. </t>
  </si>
  <si>
    <t>Gelir Vergisi ( %15; %20; %27 veya %35 ), %,066 damga vergisi kesilir.</t>
  </si>
  <si>
    <t>[(Ek gösterge+Gösterge)*Maaş katsayı = 2/3 nün fiilen çalışılan gün göre 2. görev aylığı bulunur.</t>
  </si>
  <si>
    <t xml:space="preserve">Çıkan Sonuç Gelir Vergisi ( %15; %20; %27 veya %35 ), %,066 damga vergisi kesilir. </t>
  </si>
  <si>
    <t>2-  Emekli keseneği +sigorta poliçesi+askerlik borçlanması + Sakatlık İndirimi (1-2-3 Derecelere Göre ) + (Oyak ve İlksan Üye Aidatları)</t>
  </si>
  <si>
    <t>1-2= bulduğun tutarının  (%15; %20; %27 veya %35 )  Gelir verisi miktarıdır.</t>
  </si>
  <si>
    <t>Bulduğun miktardan asgari geçim indirimini düşülürse, kesilmesi gereken gelir vergisi bulunur.</t>
  </si>
  <si>
    <t>Taban aylık+maaş+kıdem aylığı+ekgösterge bunların toplamı ile (En yüksek devlet memuru maaş katsayısı(9,500)*maaş Katsayısı * ( % 40-70-130-150-200 veya 240 ) Toplamı</t>
  </si>
  <si>
    <t xml:space="preserve">çıkan sonucun %16 Şahıs Katkısı olarak </t>
  </si>
  <si>
    <t xml:space="preserve">çıkan sonucun %20 Devlet Katkısı olarak </t>
  </si>
  <si>
    <t>burada dikkat etmen gereken %40 sabit değil ekgösterge olmayanlarda  ve</t>
  </si>
  <si>
    <t xml:space="preserve">2200 altında ekgösterge varsa :%40 </t>
  </si>
  <si>
    <t>Taban aylık+maaş+kıdem aylığı+ekgösterge bunların toplamı ile  Özel Hizmet Tazminatı</t>
  </si>
  <si>
    <t xml:space="preserve">çıkan sonucun %11 Devlet Katkısı olarak </t>
  </si>
  <si>
    <t xml:space="preserve">çıkan sonucun % 9 Şahıs Katkısı olarak </t>
  </si>
  <si>
    <t xml:space="preserve">Çıkan sonucun% 5 GSS Şahıs katkısı  olarak </t>
  </si>
  <si>
    <t xml:space="preserve">Çıkan sonucun% 7,5 GSS Devlet katkısı  olarak </t>
  </si>
  <si>
    <t xml:space="preserve">Çıkan sonucun%12 GSS olarak Devlet öder.  Ücretsiz izinlerde kesilmeye devam eder.  </t>
  </si>
  <si>
    <t xml:space="preserve">Çıkan sonucun Ücretsiz izinlerde%12 GSS olarak Devlet öder. </t>
  </si>
  <si>
    <t>Bireysel sigorta; Maaşın tahakkuk toplamından %20 emekli keseneği, devletçe verilen GGS sigorta primi ve aile çocuk yardımı düşüldükten sonra kalan tutarın %10 unu geçemez.</t>
  </si>
  <si>
    <t>Şahıs sigorta; Maaşın tahakkuk toplamından %20 emekli keseneği, devletçe verilen GSS sigorta primi ve aile çocuk yardımı düşüldükten sonra kalan tutarın %5 ini geçemez.</t>
  </si>
  <si>
    <t xml:space="preserve">Maaşın tahakkuk toplamından %20 emekli keseneği, devletçe verilen GGS sigorta primi ve aile çocuk yardımı düşüldükten sonra kalan tutarın Maaş Kesim Oranını göre kesilir. </t>
  </si>
  <si>
    <t xml:space="preserve">01.02.2010 Tarihinhden itibaren Bu ceza Bütceye Gelir Kaydedilir. (Bütçe ve Mali Kontrol Genel Müdürlüğünün 21/01/2010 tarih ve 778 sayılı görüşleri gereği) - (830- 05.9.1.99 - Yukarıda Tanımlanmayan Diğer Çeşitli Gelirler Ekonomik Kodunda ) </t>
  </si>
  <si>
    <t>dir.</t>
  </si>
  <si>
    <t>sene hizmeti olan bir memurun kıdem aylığı:</t>
  </si>
  <si>
    <t>4 üncü dereceli Yüksek Okul Mezunu bir kadroda görev yapmakta olan V.H.K.İşletmeni ek gösterge aylığı:</t>
  </si>
  <si>
    <t>4 üncü dereceli Lise Mezunu bir kadroda görev yapmakta olan V.H.K.İşletmeni ek gösterge aylığı:</t>
  </si>
  <si>
    <t>Yan Ödeme Katsayısı</t>
  </si>
  <si>
    <t>KATSAYILAR  (Maaş Hesaplamalarında kullanılacak temel veriler şunlardır:)</t>
  </si>
  <si>
    <t>+</t>
  </si>
  <si>
    <t xml:space="preserve">TOPLAM </t>
  </si>
  <si>
    <t xml:space="preserve">KATSAYISI </t>
  </si>
  <si>
    <t xml:space="preserve">İş Güçlüğü </t>
  </si>
  <si>
    <t>İş Riski</t>
  </si>
  <si>
    <t>Tem.Güç.</t>
  </si>
  <si>
    <t xml:space="preserve">DERECELER </t>
  </si>
  <si>
    <t xml:space="preserve">inci derecenin </t>
  </si>
  <si>
    <t>üncü kademesinde yer alan bir memurun gösterge aylığı:</t>
  </si>
  <si>
    <t>Damga Vergisi  /   %,066 =Çıkan Tutar, Çıkan Tutar * Sendika Oranı = Sendika Kesinti Tutarı</t>
  </si>
  <si>
    <t xml:space="preserve">Damga Vergisine Tabi unsurlardan bulunur. Sendika Aidat oranına göre hesaplanır.  </t>
  </si>
  <si>
    <t xml:space="preserve">EK GÖSTERGEYE AİT  TABLODAN BULABİLİRSİZ İLGİLİ PERSONEL AİT EK GÖSTERGE MİKTARLARINI </t>
  </si>
  <si>
    <t xml:space="preserve">YAN ÖDEME VE ZAMLARA  AİT  TABLODAN BULABİLİRSİZ İLGİLİ PERSONEL AİT YAN ÖDEME VE ZAM ORANLARININ </t>
  </si>
  <si>
    <r>
      <t>En yüksek Devlet Memuru aylığından,</t>
    </r>
    <r>
      <rPr>
        <sz val="12"/>
        <rFont val="Times New Roman"/>
        <family val="1"/>
        <charset val="162"/>
      </rPr>
      <t xml:space="preserve"> en yüksek gösterge ile en yüksek ek gösterge rakamları toplamının maaş katsayısı ile çarpımından oluşan tutar anlaşılmalıdır. </t>
    </r>
  </si>
  <si>
    <t xml:space="preserve"> Ek Gösterge</t>
  </si>
  <si>
    <t>Yani: Gösterge 1/4 ü</t>
  </si>
  <si>
    <t xml:space="preserve">E.Y.D. M. A. Göstergesi </t>
  </si>
  <si>
    <t>En Yüksek Devlet Memuru Aylığı</t>
  </si>
  <si>
    <t xml:space="preserve">ncı dereceli bir kadroda görev yapan V.H.K. İşletmeninin  ödenecek tazminat oranı </t>
  </si>
  <si>
    <t xml:space="preserve">ncı dereceli bir kadroda görev yapan V.H.K. İşletmeninin  ödenecek tazminatın hesaplanması </t>
  </si>
  <si>
    <t>(2) 21/3/2006 tarihli ve 5473 sayılı Kanunun 3 üncü maddesiyle; bu fıkrada yer alan "250" rakamı "1500", "50" rakamı "250", "5 katına" ibaresi ise "3 katına" şeklinde değiştirilmiş ve metne işlenmiştir.</t>
  </si>
  <si>
    <r>
      <t>6- Aile Yardımı:</t>
    </r>
    <r>
      <rPr>
        <sz val="12"/>
        <rFont val="Times New Roman"/>
        <family val="1"/>
        <charset val="162"/>
      </rPr>
      <t xml:space="preserve"> 657 sayılı Kanunun 202-206 ncı maddeleri uyarınca,(Değişik: 27/6/1989 - KHK - 375/10 md.) Bu yardım, memurun her ne şekilde olursa olsun menfaat karşılığı çalışmayan veya herhangi bir sosyal güvenlik kuruluşundan aylık almayan eşi için </t>
    </r>
    <r>
      <rPr>
        <sz val="12"/>
        <color indexed="10"/>
        <rFont val="Times New Roman"/>
        <family val="1"/>
        <charset val="162"/>
      </rPr>
      <t>1500</t>
    </r>
    <r>
      <rPr>
        <sz val="12"/>
        <rFont val="Times New Roman"/>
        <family val="1"/>
        <charset val="162"/>
      </rPr>
      <t xml:space="preserve">, çocuklarından herbiri için de </t>
    </r>
    <r>
      <rPr>
        <sz val="12"/>
        <color indexed="10"/>
        <rFont val="Times New Roman"/>
        <family val="1"/>
        <charset val="162"/>
      </rPr>
      <t>250</t>
    </r>
    <r>
      <rPr>
        <sz val="12"/>
        <rFont val="Times New Roman"/>
        <family val="1"/>
        <charset val="162"/>
      </rPr>
      <t xml:space="preserve"> gösterge rakamının (</t>
    </r>
    <r>
      <rPr>
        <sz val="12"/>
        <color indexed="10"/>
        <rFont val="Times New Roman"/>
        <family val="1"/>
        <charset val="162"/>
      </rPr>
      <t xml:space="preserve">72 nci ay dahil olmak üzere 0-6 yaş grubunda yer alan çocuklar için </t>
    </r>
    <r>
      <rPr>
        <sz val="14"/>
        <color indexed="10"/>
        <rFont val="Times New Roman"/>
        <family val="1"/>
        <charset val="162"/>
      </rPr>
      <t>bir kat artırımlı</t>
    </r>
    <r>
      <rPr>
        <sz val="12"/>
        <color indexed="10"/>
        <rFont val="Times New Roman"/>
        <family val="1"/>
        <charset val="162"/>
      </rPr>
      <t>)</t>
    </r>
    <r>
      <rPr>
        <sz val="12"/>
        <rFont val="Times New Roman"/>
        <family val="1"/>
        <charset val="162"/>
      </rPr>
      <t xml:space="preserve"> aylık katsayısı ile çarpılması sonucu elde edilecek miktar üzerinden ödenir. (Mülga ikinci cümle: 13/2/2011-6111/117 md.) Eşlerden birine iş akdi veya toplu sözleşme gereği çocukları için yapılan aile yardımı ödeneği daha düşük ise, yalnız aradaki fark ödenir. (Ek: 9/4/1990 - KHK - 418/7 md.; iptal: Ana. Mah'nin 5/2/1992 tarih ve E. 1990/22, K. 1992/6 sayılı Kararı ile, Yeniden düzenleme:18/5/1994 - KHK - 527/9 md.) Bu fıkrada yer alan gösterge rakamlarını 3 katına kadar artırmaya Bakanlar Kurulu yetkilidir.(2)(3) memur aylık katsayısı ile çarpımı sonucu bulunacak tutar üzerinden ödenen miktarı ifade etmektedir.</t>
    </r>
  </si>
  <si>
    <t>——————————</t>
  </si>
  <si>
    <t xml:space="preserve">(1) 3/1/2011 tarihli ve 2011/1241 sayılı Bakanlar Kurulu Kararı Eki Kararın 4 üncü maddesiyle, bu maddede yer alan ve eş için ödenmekte olan aile yardımı ödeneğine esas (1.500) gösterge rakamının 1/1/2011 tarihinden itibaren (1.823) olarak uygulacağı hüküm altına alınmıştır. </t>
  </si>
  <si>
    <t>(3) 21/4/2005 tarihli ve 5335 sayılı Kanunun 28 inci maddesiyle bu fıkraya "50 gösterge rakamının" ibaresinden sonra gelmek üzere, "(72 nci ay dahil olmak üzere 0-6 yaş grubunda yer alan çocuklar için bir kat artırımlı) " ibaresi eklenmiş ve metne işlenmiştir.</t>
  </si>
  <si>
    <t>Dul memurların çocukları için yukarıki fıkralar hükmü uygulanır.</t>
  </si>
  <si>
    <t>Boşanma veya ayrılık vukuunda mahkeme bu yardımın hangi tarafa ve ne oranda verileceğini de kararında belirtir.</t>
  </si>
  <si>
    <t>Devlet memurunun, geçimini sağladığı üvey çocukları için de bu ödenek verilir.</t>
  </si>
  <si>
    <t>Aile yardımı ödeneğinin ödeme usulü:</t>
  </si>
  <si>
    <r>
      <t xml:space="preserve">Madde 203 – </t>
    </r>
    <r>
      <rPr>
        <sz val="12"/>
        <rFont val="Times New Roman"/>
        <family val="1"/>
        <charset val="162"/>
      </rPr>
      <t xml:space="preserve">Aile yardımı ödeneği Devlet memurlarına her ay aylıklariyle birlikte ödenir. </t>
    </r>
  </si>
  <si>
    <t>Karı ve kocanın her ikisi de memur iseler bu ödenek yalnız kocaya verilir.</t>
  </si>
  <si>
    <t>Aile yardımı ödenekleri hiç bir vergi ve kesintiye tabi tutulmaksızın ödenir ve borç için haczedilemez.</t>
  </si>
  <si>
    <t>Aile yardımı ödeneğine hak kazanma:</t>
  </si>
  <si>
    <r>
      <t xml:space="preserve">Madde 204 – </t>
    </r>
    <r>
      <rPr>
        <sz val="12"/>
        <color indexed="60"/>
        <rFont val="Times New Roman"/>
        <family val="1"/>
        <charset val="162"/>
      </rPr>
      <t>Memur, eş için ödenen aile yardımı ödeneğine evlendiği; çocuk için ödenen yardıma da çocuğunun doğduğu tarihi takip eden ay başından itibaren hak kazanır.</t>
    </r>
  </si>
  <si>
    <t>Aile yardımı ödeneği hakkını kaybetme:</t>
  </si>
  <si>
    <r>
      <t xml:space="preserve">Madde 205 – </t>
    </r>
    <r>
      <rPr>
        <sz val="12"/>
        <color indexed="60"/>
        <rFont val="Times New Roman"/>
        <family val="1"/>
        <charset val="162"/>
      </rPr>
      <t>Memur, eş için ödenen aile yardımı ödeneği hakkını eşinden boşanma veya eşinin ölümü, çocuk için ödenen yardım ödeneği hakkını da çocuğun ölümü veya 206 ncı maddedeki hallerin vukuunu takip eden ay başından itibaren kaybeder.</t>
    </r>
  </si>
  <si>
    <t>Çocuk için aile yardımı ödeneği verilmiyecek haller:</t>
  </si>
  <si>
    <r>
      <t xml:space="preserve">Madde 206 – </t>
    </r>
    <r>
      <rPr>
        <sz val="12"/>
        <rFont val="Times New Roman"/>
        <family val="1"/>
        <charset val="162"/>
      </rPr>
      <t xml:space="preserve">Aşağıdaki hallerde çocuklar için aile yardımı ödeneği verilmez: </t>
    </r>
  </si>
  <si>
    <t>1. Evlenen çocuklar,</t>
  </si>
  <si>
    <r>
      <t xml:space="preserve">2. </t>
    </r>
    <r>
      <rPr>
        <b/>
        <sz val="12"/>
        <rFont val="Times New Roman"/>
        <family val="1"/>
        <charset val="162"/>
      </rPr>
      <t xml:space="preserve">(Değişik: 21/4/2005-5335/28 md.) </t>
    </r>
    <r>
      <rPr>
        <sz val="12"/>
        <rFont val="Times New Roman"/>
        <family val="1"/>
        <charset val="162"/>
      </rPr>
      <t>25 yaşını dolduran çocuklar (25 yaşını bitirdiği halde evlenmemiş kız çocukları ile çalışamayacak derecede malûllükleri resmi sağlık kurulu raporuyla tespit edilenler için süresiz olarak ödeneğin verilmesine devam olunur.),</t>
    </r>
  </si>
  <si>
    <t xml:space="preserve">3. Kendileri hesabına ticaret yapan veya gerçek veya tüzel kişiler yanında her ne şekilde olursa olsun menfeat karşılığı çalışan çocuklar (Öğrenim yapmakta iken tatil devresinde çalışanlar hariç), </t>
  </si>
  <si>
    <t>4. Burs alan veya Devletçe okutulan çocuklar.</t>
  </si>
  <si>
    <t xml:space="preserve">Doğum yardımı ödeneği: </t>
  </si>
  <si>
    <t>Madde 207 – (Değişik birinci ve ikinci fıkralar: 20/6/l984 - KHK 241/11 md.)</t>
  </si>
  <si>
    <r>
      <t xml:space="preserve">Devlet memurlarından çocuğu dünyaya gelenlere </t>
    </r>
    <r>
      <rPr>
        <sz val="12"/>
        <color indexed="10"/>
        <rFont val="Times New Roman"/>
        <family val="1"/>
        <charset val="162"/>
      </rPr>
      <t>2500 gösterge rakamının aylık katsayısı ile çarpılması sonucu elde edilecek miktarda doğum yardımı ödeneği verilir</t>
    </r>
    <r>
      <rPr>
        <sz val="12"/>
        <rFont val="Times New Roman"/>
        <family val="1"/>
        <charset val="162"/>
      </rPr>
      <t>.</t>
    </r>
    <r>
      <rPr>
        <vertAlign val="superscript"/>
        <sz val="12"/>
        <rFont val="Times New Roman"/>
        <family val="1"/>
        <charset val="162"/>
      </rPr>
      <t>(1)</t>
    </r>
  </si>
  <si>
    <t>Mahkemelerce verilen ayrılık süresi içinde doğan çocuklar için bu yardım anaya verilir.</t>
  </si>
  <si>
    <t>–––––––––––––––––––––––</t>
  </si>
  <si>
    <t>(1) 21/4/2005 tarihli ve 5335 sayılı Kanunun 28 inci maddesiyle, bu fıkrada yer alan “75” gösterge rakamı, “ 2500” olarak değiştirilmiş ve metne işlenmiştir.</t>
  </si>
  <si>
    <t>Doğum yardımı Ödeneği hiç bir vergi ve kesintiye tabi tutulmaksızın ve ödeme emri aranmaksızın saymanlarca derhal ödenir. Bu yardım borç için haczedilemez.</t>
  </si>
  <si>
    <t>Ölüm yardımı ödeneği:</t>
  </si>
  <si>
    <r>
      <t>Madde 208 – (Değişik birinci fıkra: 6/7/1995 - KHK - 562/4 md</t>
    </r>
    <r>
      <rPr>
        <b/>
        <sz val="12"/>
        <color indexed="60"/>
        <rFont val="Times New Roman"/>
        <family val="1"/>
        <charset val="162"/>
      </rPr>
      <t>.)</t>
    </r>
    <r>
      <rPr>
        <sz val="12"/>
        <color indexed="60"/>
        <rFont val="Times New Roman"/>
        <family val="1"/>
        <charset val="162"/>
      </rPr>
      <t xml:space="preserve"> Devlet memurlarından: memur olmayan eşi ile (…) </t>
    </r>
    <r>
      <rPr>
        <vertAlign val="superscript"/>
        <sz val="12"/>
        <color indexed="60"/>
        <rFont val="Times New Roman"/>
        <family val="1"/>
        <charset val="162"/>
      </rPr>
      <t>(1)</t>
    </r>
    <r>
      <rPr>
        <sz val="12"/>
        <color indexed="60"/>
        <rFont val="Times New Roman"/>
        <family val="1"/>
        <charset val="162"/>
      </rPr>
      <t xml:space="preserve"> aile yardımı ödeneğine müstehak çocuğu ölenlere en yüksek Devlet memuru aylığı (ek gösterge dahil) tutarında, memurun ölümü halinde sağlığında bildiri ile gösterdiği kimseye, eğer bildiri vermemiş ise eşine ve çocuklarına, bunlar yoksa ana ve babasına, bunlar da yoksa kardeşlerine en yüksek Devlet memuru aylığının (ek gösterge dahil) iki katı tutarında, ölüm yardımı ödeneği verilir. </t>
    </r>
    <r>
      <rPr>
        <vertAlign val="superscript"/>
        <sz val="12"/>
        <color indexed="60"/>
        <rFont val="Times New Roman"/>
        <family val="1"/>
        <charset val="162"/>
      </rPr>
      <t>(1)</t>
    </r>
  </si>
  <si>
    <t>Ölüm yardımı ödeneği, hiçbir vergi ve kesintiye tabi tutulmaksızın ve ödeme emri aranmaksızın saymanlarca derhal ödenir. Bu yardım borç için hacizedilemez.</t>
  </si>
  <si>
    <t>Yurt dışında sürekli görevde bulunan memurlara verilecek ölüm yardımı ödeneğinde 156 ıncı maddede yazılı katsayı uygulanmaz.</t>
  </si>
  <si>
    <r>
      <rPr>
        <sz val="14"/>
        <color indexed="10"/>
        <rFont val="Times New Roman"/>
        <family val="1"/>
        <charset val="162"/>
      </rPr>
      <t>Ana ve babanın her ikisi de Devlet memuru iseler ödenek yalnız babaya verilir.</t>
    </r>
    <r>
      <rPr>
        <sz val="12"/>
        <rFont val="Times New Roman"/>
        <family val="1"/>
        <charset val="162"/>
      </rPr>
      <t xml:space="preserve"> Eşlerden birine iş akdi veya toplu sözleşme gereği yapılan doğum yardımı ödeneği daha yüksek ise, memur olan eşe ayrıca doğum yardımı ödeneği ödenmez, daha düşük ise yalnız aradaki fark ödenir.</t>
    </r>
  </si>
  <si>
    <t>(1) Bu fıkrada yer alan “memur olmayan eşi ile” ibaresinden sonra gelmek üzere “ikiden fazla dahi olsa” ibaresi 4/7/2001 tarihli ve 631 sayılı K.H K.’nin 7 nci maddesiyle eklenmiş olup, daha sonra 13/2/2011 tarihli ve 6111 sayılı Kanunun 117 nci maddesiyle yürürlükten kaldırılmıştır.</t>
  </si>
  <si>
    <t xml:space="preserve">Eş için Aile Yardımı </t>
  </si>
  <si>
    <t>Çocuk Yardımı 0-6 yaş (1 Çocuk )</t>
  </si>
  <si>
    <r>
      <t xml:space="preserve">“ğ) Adalet Uzmanları, Afet ve Acil Durum Yönetimi Uzmanları, Aile ve Sosyal Politikalar Uzmanları, Avrupa Birliği İşleri Uzmanları, Bakanlık ve Bağlı Kuruluşların Avrupa Birliği Uzmanları, Basın ve Enformasyon Uzmanları, Başbakanlık Uzmanları, Çalışma ve Sosyal Güvenlik Eğitim Uzmanları, Çalışma Uzmanları, Çevre ve Şehircilik Uzmanları, Denizcilik Uzmanları, Devlet Gelir Uzmanları, Devlet Personel Uzmanları, Dış Ticaret Uzmanları, Dışişleri Uzmanları, Din İşleri Yüksek Kurulu Uzmanları, Diyanet İşleri Uzmanları, Enerji ve Tabii Kaynaklar Uzmanları, Gençlik ve Spor Uzmanları, Gıda, Tarım ve Hayvancılık Uzmanları, Gümrük ve Ticaret Uzmanları, Havacılık ve Uzay Teknolojileri Uzmanları, Hazine Uzmanları, İçişleri Uzmanları, İhracatı Geliştirme Uzmanları, İstihdam Uzmanları, İş Sağlığı ve Güvenliği Uzmanları, Kalkınma Bakanlığı Planlama Uzmanları, Kültür ve Turizm Uzmanları, Maliye Uzmanları, Marka Uzmanları, Meteoroloji Uzmanları, Millî Eğitim Uzmanları, Milli Güvenlik Kurulu Genel Sekreterliği Uzmanları, Millî Savunma Uzmanları, Orman ve Su İşleri Uzmanları, Ölçme, Seçme ve Yerleştirme Merkezi Uzmanları, Özelleştirme İdaresi Başkanlığı Uzmanları, Patent Uzmanları, Sağlık Uzmanları, Sanayi ve Teknoloji Uzmanları, Savunma Sanayii Uzmanları, Sosyal Güvenlik Uzmanları, Tapu ve Kadastro Uzmanları, TİKA Uzmanları, Türkiye İstatistik Kurumu Uzmanları, Ulaştırma ve Haberleşme Uzmanları, Vakıf Uzmanları, Yazma Eser Uzmanları, Yurt Dışı İşçi Hizmetleri Uzmanları, Yurtdışı Türkler ve Akraba Topluluklar Uzmanları, Yüksek Kurum Uzmanları, Yükseköğretim Kurulu Uzmanları ve </t>
    </r>
    <r>
      <rPr>
        <sz val="14"/>
        <color indexed="10"/>
        <rFont val="Calibri"/>
        <family val="2"/>
        <charset val="162"/>
      </rPr>
      <t>bunların yardımcıları için % 130 una,”</t>
    </r>
  </si>
  <si>
    <r>
      <t xml:space="preserve"> “A- Özel Hizmet Tazminatı” bölümünün; (g) bendine “Büyükşehir Belediyesi,” ibaresinden sonra gelmek üzere “Büyükşehir Belediyelerine bağlı genel müdürlük,” ibaresi eklenmiş, (h) bendinde yer alan “Başbakanlık Uzmanları, Kalkınma Bakanlığı Planlama Uzmanları, Hazine Uzmanları, Dış Ticaret Uzmanları, Diyanet İşleri Uzmanları, Din İşleri Yüksek Kurulu Uzmanları, Avrupa Birliği İşleri Uzmanları, Yurtdışı Türkler ve Akraba Topluluklar Uzmanları, Ölçme, Seçme ve Yerleştirme Merkezi Uzmanları, Türkiye İstatistik Kurumu Uzmanları, Devlet Personel Uzmanları, Afet ve Acil Durum Yönetimi Uzmanları, Maliye Uzmanları, Sosyal Güvenlik Uzmanları, Ulaştırma ve Haberleşme Uzmanları, Havacılık ve Uzay Teknolojileri Uzmanları, Denizcilik Uzmanları, Çalışma Uzmanları, Yurt Dışı İşçi Hizmetleri Uzmanları, İş Sağlığı ve Güvenliği Uzmanları,”, “Millî Eğitim Uzmanları, TİKA Uzmanları ve”, “Sağlık Uzmanları,” ibareleri ile (i) bendinde yer alan “Devlet Gelir Uzmanları,”, “Marka Uzmanları, Patent Uzmanları, Özelleştirme İdaresi Başkanlığı Uzmanları, Bakanlık ve Bağlı Kuruluşların A.B. Uzmanları, Savunma Sanayi Müsteşarlığı Uzmanları, Çalışma ve Sosyal Güvenlik Eğitim Uzmanları, İstihdam Uzmanları,”, “Kültür ve Turizm Uzmanları, Yazma Eser Uzmanları, Vakıf Uzmanları, Tapu ve Kadastro Uzmanları, Sanayi ve Teknoloji Uzmanları, Çevre ve Şehircilik Uzmanları, Orman ve Su İşleri Uzmanları, Meteoroloji Uzmanları, Gençlik ve Spor Uzmanları, Gümrük ve Ticaret Uzmanları, İhracatı Geliştirme Uzmanları, Aile ve Sosyal Politikalar Uzmanları, Gıda, Tarım ve Hayvancılık Uzmanları, Basın ve Enformasyon Uzmanları,”, “Yüksek Kurum Uzmanları,” ve “Enerji ve Tabii Kaynaklar Uzmanları,” ibareleri yürürlükten kaldırılmış,</t>
    </r>
    <r>
      <rPr>
        <u/>
        <sz val="12"/>
        <color indexed="10"/>
        <rFont val="Calibri"/>
        <family val="2"/>
        <charset val="162"/>
      </rPr>
      <t xml:space="preserve"> (h) bendine “Defterdarlık Uzmanları,”</t>
    </r>
    <r>
      <rPr>
        <sz val="9"/>
        <color indexed="10"/>
        <rFont val="Calibri"/>
        <family val="2"/>
        <charset val="162"/>
      </rPr>
      <t xml:space="preserve"> ibaresinden sonra gelmek üzere “İçişleri Bakanlığı İl Planlama Uzmanları,” ibaresi ile aynı bölüme aşağıdaki (ğ) bendi eklenmiş ve aynı bölümün (k) bendi yürürlükten kaldırılmıştır.</t>
    </r>
  </si>
  <si>
    <t>[(Gösterge Aylığı+Ek Gösterge Aylığı+Taban Aylığı+Kıdem Aylığı) + En Yüksek Devlet Memuru Aylığının (9500*Maaş Katsayısı ) Ek Göstergeye Bağlı Olarak Belirli Bir Oranı] * %20</t>
  </si>
  <si>
    <t>[(Gösterge Aylığı+Ek Gösterge Aylığı+Taban Aylığı+Kıdem Aylığı) + En Yüksek Devlet Memuru Aylığının (9500*Maaş Katsayısı ) Ek Göstergeye Bağlı Olarak Belirli Bir Oranı] * %16</t>
  </si>
  <si>
    <t>En Yüksek Devlet Memuru Aylığının (9500*Maaş Katsayısı) Ek Göstergeye Bağlı Olarak Belirli Bir Oranı ise:</t>
  </si>
  <si>
    <t>Bu emekli keseneğinin kişi ve  kurum karşılğı  için hesaplanan miktarıdır. Ayrıca GSS (Genel Sağlık Sigortası) için  %12 olduğundan formül şu şekilde olacaktır:</t>
  </si>
  <si>
    <t>[(Gösterge Aylığı+Ek Gösterge Aylığı+Taban Aylığı+Kıdem Aylığı) + En Yüksek Devlet Memuru Aylığının (9500*Maaş Katsayısı ) Ek Göstergeye Bağlı Olarak Belirli Bir Oranı] * %12</t>
  </si>
  <si>
    <t>dir</t>
  </si>
  <si>
    <r>
      <t>3-Damga Vergisi:</t>
    </r>
    <r>
      <rPr>
        <sz val="12"/>
        <rFont val="Times New Roman"/>
        <family val="1"/>
        <charset val="162"/>
      </rPr>
      <t xml:space="preserve"> 01.07.1964 tarih ve 484 sayılı Damga Vergisi Kanununa göre kesilmektedir. Yukarıda yer verilen temel ödeme kalemlerinden aile yardımı ödeneği hariç tüm ödeme kalemlerinden kesilmektedir. (Binde 66)</t>
    </r>
  </si>
  <si>
    <t>Damga Vergisi=[Gösterge Aylığı+Ek Gösterge Aylığı+Taban Aylığı+Kıdem Aylığı+Yabancı Dil Tazminatı +Sendika Ödeneği  Tazminatı +Yan Ödeme Aylığı(Zam ve Tazminatlar)]*% 0,66</t>
  </si>
  <si>
    <t>Bu emekli keseneğinin kişi için hesaplanan miktarıdır. Kurum karşılığı ise % 11 olduğundan formül şu şekilde olacaktır:</t>
  </si>
  <si>
    <t>[(Gösterge Aylığı+Ek Gösterge Aylığı+Taban Aylığı+Kıdem Aylığı) + En Yüksek Devlet Memuru Aylığının (9500*Maaş Katsayısı ) Özel Hizmet Tazminatı Olarak Belirli Bir Oranı] * % 9</t>
  </si>
  <si>
    <t>[(Gösterge Aylığı+Ek Gösterge Aylığı+Taban Aylığı+Kıdem Aylığı) + En Yüksek Devlet Memuru Aylığının (9500*Maaş Katsayısı ) Özel Hizmet Tazminatı Olarak Belirli Bir Oranı] * % 11</t>
  </si>
  <si>
    <r>
      <t>1-Emekli Sandığı Kesintisi:</t>
    </r>
    <r>
      <rPr>
        <sz val="12"/>
        <rFont val="Times New Roman"/>
        <family val="1"/>
        <charset val="162"/>
      </rPr>
      <t xml:space="preserve"> Kesenek şu şekilde formüle edilebilir:  Emekli Pirim Oranları </t>
    </r>
  </si>
  <si>
    <r>
      <t>2-Emekli Sandığı Kesintisi:</t>
    </r>
    <r>
      <rPr>
        <sz val="12"/>
        <rFont val="Times New Roman"/>
        <family val="1"/>
        <charset val="162"/>
      </rPr>
      <t xml:space="preserve"> Kesenek şu şekilde formüle edilebilir:  Sağlık  Pirim Oranları </t>
    </r>
  </si>
  <si>
    <t>[(Gösterge Aylığı+Ek Gösterge Aylığı+Taban Aylığı+Kıdem Aylığı) + En Yüksek Devlet Memuru Aylığının (9500*Maaş Katsayısı ) Özel Hizmet Tazminatı Olarak Belirli Bir Oranı] * % 5</t>
  </si>
  <si>
    <t>Bu emekli keseneğinin kişi için hesaplanan miktarıdır. Kurum karşılığı ise % 7,5 olduğundan formül şu şekilde olacaktır:</t>
  </si>
  <si>
    <t>[(Gösterge Aylığı+Ek Gösterge Aylığı+Taban Aylığı+Kıdem Aylığı) + En Yüksek Devlet Memuru Aylığının (9500*Maaş Katsayısı ) Özel Hizmet Tazminatı Olarak Belirli Bir Oranı] * %  7,5</t>
  </si>
  <si>
    <r>
      <t>2-Emekli Sandığı Kesintisi:</t>
    </r>
    <r>
      <rPr>
        <sz val="12"/>
        <rFont val="Times New Roman"/>
        <family val="1"/>
        <charset val="162"/>
      </rPr>
      <t xml:space="preserve"> Kesenek şu şekilde formüle edilebilir:  Ücretsiz izinde GSS PİRİMİ </t>
    </r>
  </si>
  <si>
    <t>Halil ibrahim ALACA</t>
  </si>
  <si>
    <t>Maliye Bakanlığından:</t>
  </si>
  <si>
    <t>DEVLET MEMURLARI KANUNU GENEL TEBLİĞİ (SERİ NO: 161)</t>
  </si>
  <si>
    <t>(666 SAYILI KANUN HÜKMÜNDE KARARNAME HÜKÜMLERİNE İLİŞKİN)</t>
  </si>
  <si>
    <t>e) Adli Tıp Kurumu personeli,</t>
  </si>
  <si>
    <t>ğ) Bir kadroya açıktan vekil olarak atananlar,</t>
  </si>
  <si>
    <t>Ek Ödeme</t>
  </si>
  <si>
    <t>Brüt Ek Ödeme (TL)</t>
  </si>
  <si>
    <t>Damga Vergisi (TL)</t>
  </si>
  <si>
    <t>Net Tutar (TL)</t>
  </si>
  <si>
    <t>Şef (Asli kadro)</t>
  </si>
  <si>
    <t>9500x0,06446x1,15 = 704,23</t>
  </si>
  <si>
    <t>704,23x0,0066 = 4,65</t>
  </si>
  <si>
    <t>Şube müdürü (Vekalet edilen kadro)</t>
  </si>
  <si>
    <t>9500x0,06446x1,70 = 1.041,03</t>
  </si>
  <si>
    <t>1.041,03x0,0066 = 6,87</t>
  </si>
  <si>
    <t>Fark ödemesi</t>
  </si>
  <si>
    <t>Vekalet edilen kadro ek ödeme tutarı - Asli kadro ek ödeme tutan 1.034,16 - 699,58</t>
  </si>
  <si>
    <t>karşılanacaktır.</t>
  </si>
  <si>
    <t>Mühendis</t>
  </si>
  <si>
    <t>Ek Ödeme Oranı (%) / Üretimi Teşvik Primi (TL)</t>
  </si>
  <si>
    <t>Brüt Ek Ödeme / Üretimi Teşvik Primi (TL)</t>
  </si>
  <si>
    <t>Gelir Vergisi (TL) Damga Vegisi (TL)</t>
  </si>
  <si>
    <t>375 sayılı KHK'niıı ck 9 uncu maddesine göre yapılması öngörülen ek ödeme</t>
  </si>
  <si>
    <t>9500x0,06446x1.50 = 918,56</t>
  </si>
  <si>
    <t>918,56x0,0066 = 6,06</t>
  </si>
  <si>
    <t>969 sayılı Kanunun 3 üncü maddesinin son fikrası uyarınca ödenen üretimi teşvik primi</t>
  </si>
  <si>
    <t>6.000.00</t>
  </si>
  <si>
    <t>6.000x0,15 = 900,00</t>
  </si>
  <si>
    <t>6.000x0,0066 = 39,60</t>
  </si>
  <si>
    <t>15 Şubat 2012 -14 Şubat 2013 döneminde ilgiliye yapılacak ödemeler</t>
  </si>
  <si>
    <t>Tarih</t>
  </si>
  <si>
    <t>Yapılan Ödemelerin net tutan (TL)</t>
  </si>
  <si>
    <t>Ödemenin Türü</t>
  </si>
  <si>
    <t>Ek ödemenin teşvik primi ile kıyası (TL)</t>
  </si>
  <si>
    <t>Kıyaslamada dikkate alınacak kümülatif ek ödeme hesabı</t>
  </si>
  <si>
    <t>Hesaplamanın açıklaması</t>
  </si>
  <si>
    <t>Üretimi Teşvik Primi</t>
  </si>
  <si>
    <t>Prim ödemesinin yapıldığı tarih ile bir sonraki yılda yapılacağı tarih arasındaki dönemde, 375 sayılı KHK'ya göre ödenmesi öngörülen ek ödemenin toplam net tutarı, prim net tutarına ulaşıncaya kadar, ilgiliye ek ödeme yapılmaz. Ek ödemenin toplam net tutarı, ödenen primin net tutarına ulaştığı tarihten itibaren ek ödeme yapılmaya başlanacaktır.</t>
  </si>
  <si>
    <t>Kist ek ödeme</t>
  </si>
  <si>
    <t>9- 666 sayılı Kanun Hükmünde Kararnameyle;</t>
  </si>
  <si>
    <t>Memur</t>
  </si>
  <si>
    <t>Ek Ödeme Oranı (%) İkramiye Tutarı (TL)</t>
  </si>
  <si>
    <t>Brüt Ek Ödeırıe / İkramiye (TL)</t>
  </si>
  <si>
    <t>Net Tutar</t>
  </si>
  <si>
    <t>5502 sayılı Kanunun 28 inci maddesinin kinci fikrasına göre hesaplanan ek ödeme</t>
  </si>
  <si>
    <t>9500x0,06446x0,95 - 581,75</t>
  </si>
  <si>
    <t>581,75x0.0066 = 3,84</t>
  </si>
  <si>
    <t>5502 sayılı Kanunun 28 inci maddesinin</t>
  </si>
  <si>
    <t>139,50x0,15 = 20,93</t>
  </si>
  <si>
    <t>dördüncü fikrasına göre hesaplanan ikramiye</t>
  </si>
  <si>
    <t>139,50x0,0066 = 0,92</t>
  </si>
  <si>
    <t>375 sayılı KHK'nın ek 9 uncu maddesine göre yapılması öngörülen ek ödeme</t>
  </si>
  <si>
    <t>9500x0,06446x0,90 = 551,13</t>
  </si>
  <si>
    <t>551,13x0,0066 = 3,64</t>
  </si>
  <si>
    <t>Fark Ödemesi</t>
  </si>
  <si>
    <t>(5502/28 ek ödeme ve ikramiye toplam net tutarı) - (375/ek 9 ek ödeme net tutarı) (577,91 + 117,65 = 695,56) - 547,49</t>
  </si>
  <si>
    <t>Birinci Sınıf Kaymakam (1 inci derece 1 inci kademeden aylık alan)</t>
  </si>
  <si>
    <t>Ek Ödeme Oranı (%) / Ödenek Göstergesi</t>
  </si>
  <si>
    <t>Brüt Ek Ödeme /Ödenek (TL)</t>
  </si>
  <si>
    <t>1700 sayılı Kanunun ek 5 inci maddesi hükmüne göre hesaplanan ek ödeme</t>
  </si>
  <si>
    <t>9500x0,06446x1 = 612,37</t>
  </si>
  <si>
    <t>612,37x0.0066 = 4,04</t>
  </si>
  <si>
    <t>5302 sayılı Kanunun 63 üncü maddesi hükmüne göre hesaplanan ödenek</t>
  </si>
  <si>
    <t>12.000x0,06446 = 773,52</t>
  </si>
  <si>
    <t>773,52x0,15 = 116,03</t>
  </si>
  <si>
    <t>773,52x0,0066 = 5,11</t>
  </si>
  <si>
    <t>9500x0,06446x2 1.224,74</t>
  </si>
  <si>
    <t>1.224,74x0,0066 = 8,08</t>
  </si>
  <si>
    <t>(1700/ek 5 ek ödeme net tutan 15302/ 63 ödenek net tutarı)-(375/ek 9 ek ödeme net tutarı) (608,33 + 652,38 = 1.260,71) - 1.216,66</t>
  </si>
  <si>
    <t>Şube Müdürü</t>
  </si>
  <si>
    <t>Brüt Fazla Çalışma Ücreti/ Ek Ödeme (TL)</t>
  </si>
  <si>
    <t>4458 sayılı Kanunun 666 sayılı KIIK ile değiştirilmeden önceki 221 inci maddesi uyarınca ödenen fazla çalışma ücreti</t>
  </si>
  <si>
    <t>26.000x0,06446 = 1.675,96</t>
  </si>
  <si>
    <t>4458 sayılı Kanunun 666 sayılı KHK ile yürürlükten kaldırılmadan önceki 222 nci maddesi uyarınca ödenmesi öngörülen ek ödeme</t>
  </si>
  <si>
    <t>9500x0,06446x1,55 - 949,17</t>
  </si>
  <si>
    <t>949,17x0,0066 = 6,26</t>
  </si>
  <si>
    <t>4458 sayılı Kanuna göre yapılan mahsup işlemi</t>
  </si>
  <si>
    <t>Fazla çalışına ücretinin net tutarı ek ödemenin net tutarından mahsup edildiği ve örneğimizde de 4458 sayılı Kanuna göre ödenmesi gereken ek ödeme (942,91 TL), fazla çalışma ücretinden (1.413,51 TL) daha düşük olduğu için ilgiliye fazla çalışma ücretinin dışında ek ödeme adı altında ayrıca herhangi bir ödeme yapılmamaktadır.</t>
  </si>
  <si>
    <t>375 sayılı KHK'nııı ek 9 uncu maddesine göre yapılması öngörülen ek ödeme</t>
  </si>
  <si>
    <t>(4458/221 fazla çalışma ücreti nettutan-375/ek 9 ek ödeme net tutarı) 1.413,51 - 1,034,16</t>
  </si>
  <si>
    <t>Hizmetli</t>
  </si>
  <si>
    <t>Damga Vegisi (TL)</t>
  </si>
  <si>
    <t>3146 sayılı Kanunun 39 uncu maddesinin yedinci fıkrasına göre hesaplanan ek ödeme</t>
  </si>
  <si>
    <t>9500x0,06446x0,80 = 489,90</t>
  </si>
  <si>
    <t>489,90x0,0066 = 3,23</t>
  </si>
  <si>
    <t>9500x0,06446x0,70 = 428,66</t>
  </si>
  <si>
    <t>428,66x0,0066 = 2,83</t>
  </si>
  <si>
    <t>(3146/39 ek ödeme net tutarı - 375/ek 9 ek ödeme net tutarı) 486,67 - 425,83</t>
  </si>
  <si>
    <t>375 sayılı KHK'nın ek 3 iıncü maddesine göre yapılması öngörülen ek ödeme</t>
  </si>
  <si>
    <t>9500x0,06446x0,65 = 398,04</t>
  </si>
  <si>
    <t>398,04x0,0066 = 2,63</t>
  </si>
  <si>
    <t>9500x0,06446x1,10 = 673,61</t>
  </si>
  <si>
    <t>673,61x0,0066 = 4,45</t>
  </si>
  <si>
    <t>Fark</t>
  </si>
  <si>
    <t>(375/ek 3 ek ödeme net tutarı - 375/ek 9 ek ödeme net tutarı) 395,41 - 669,16</t>
  </si>
  <si>
    <t>375 sayılı KHK'nın ek 3 üncü maddesine göre yapılması öngörülen ck ödeme</t>
  </si>
  <si>
    <t>9500x0,06446x0,96 = 587,88</t>
  </si>
  <si>
    <t>587,88 x0,0066 = 3,88</t>
  </si>
  <si>
    <t>9500x0,06446x1,50 = 918,56</t>
  </si>
  <si>
    <t>918,56 x0,0066 - 6,06</t>
  </si>
  <si>
    <t>(375/ek 3 ek ödeme net tutarı - 375/ek 9 ek ödeme net tutarı) 584,00 - 912,50</t>
  </si>
  <si>
    <t>Hemşire</t>
  </si>
  <si>
    <t>209 sayılı Kanunun 5 inci maddesine göre yapılan ek ödeme</t>
  </si>
  <si>
    <t>900x0,15 = 135,00</t>
  </si>
  <si>
    <t>900x0,0066 = 5,94</t>
  </si>
  <si>
    <t>375 sayılı KHK'nin ck 9 uncu maddesine göre yapılması öngörülen ek ödeme</t>
  </si>
  <si>
    <t>209/5 net ek ödeme tutarı - 375/ek 9 net ek ödeme tutarı 759,06 - 699,58</t>
  </si>
  <si>
    <t>Ek Öde me Oranı (%)</t>
  </si>
  <si>
    <t>2547 sayılı Kanunun 58 inci maddesine göre yapılan ek ödeme</t>
  </si>
  <si>
    <t>375 sayılı KHK'nin ek 9 uncu maddesine göre yapılması öngörülen ek ödeme</t>
  </si>
  <si>
    <t>9500x0,06446x1,15 - 704,23</t>
  </si>
  <si>
    <t>2547/58 net ek ödeme tutan - 375/ek 9 net ek ödeme tutarı _ 615,68 - 699,58</t>
  </si>
  <si>
    <t>Fark tutarının hesaplanması</t>
  </si>
  <si>
    <t>Net llrk / (1-toplam vergi oranı)</t>
  </si>
  <si>
    <t>99,48x0,15 = 14,92</t>
  </si>
  <si>
    <t>99,48x0,0066 = 0,66</t>
  </si>
  <si>
    <t>Yardımcı Doçent</t>
  </si>
  <si>
    <t>Ek Ödeme Oram (%)</t>
  </si>
  <si>
    <t>3000x0,15 = 450,00</t>
  </si>
  <si>
    <t>3000x0,0066 = 19,80</t>
  </si>
  <si>
    <t>375 sayılı KHK'nin ek 9 ıtncıı maddesine göre yapılması öngörülen ek ödeme</t>
  </si>
  <si>
    <t>9500x0,06446x0,67 = 410,29</t>
  </si>
  <si>
    <t>410,29x0,0066 = 2,71</t>
  </si>
  <si>
    <t>2547/58 net ek ödeme tutarı - 375/ek 9 net ek ödeme tutarı _ 2.530,20 - 407,58</t>
  </si>
  <si>
    <t>Unsurlar / Genel Miidür 1/4</t>
  </si>
  <si>
    <t>Hesaplanışı</t>
  </si>
  <si>
    <t>Tutar (TL)</t>
  </si>
  <si>
    <t>1-Ücrct</t>
  </si>
  <si>
    <t>Ücret Göstergesi x Aylık Katsayı / (67300x0,06446)</t>
  </si>
  <si>
    <t>2-Tazminat</t>
  </si>
  <si>
    <t>Tazminat Göstergesi x Aylık Katsayı / (37050x0,06446)</t>
  </si>
  <si>
    <t>Brüt Ödeme</t>
  </si>
  <si>
    <t>(1+2)</t>
  </si>
  <si>
    <t>4- İlave Genel Sağlık Sigortası Primi</t>
  </si>
  <si>
    <t>Yukarıdaki emekli keseneği matrahı üzerinden %12</t>
  </si>
  <si>
    <t>Brüt Gelir</t>
  </si>
  <si>
    <t>(1+2+3+4)</t>
  </si>
  <si>
    <t>5- Emekli Keseneği İşveren Payı</t>
  </si>
  <si>
    <t>6- İlave Genci Sağlık Sigortası Primi</t>
  </si>
  <si>
    <t>7- Emekli Keseneği Kişi Payı</t>
  </si>
  <si>
    <t>Emekli keseneği matrahı üzerinden %16</t>
  </si>
  <si>
    <t>8- Gelir Vergisi</t>
  </si>
  <si>
    <t>[(Ücret Tutarı-Emekli keseneği kişi payı) x Matraha bağlı vergi oranı %15]-Asgari Geçim İndirimi Tutarı</t>
  </si>
  <si>
    <t>9- Damga Vergisi</t>
  </si>
  <si>
    <t>Brüt Ödeme x 0,0066</t>
  </si>
  <si>
    <t>KcsintilerToplanıı</t>
  </si>
  <si>
    <t>(5+6+7+8+9)</t>
  </si>
  <si>
    <t>Net Ödeme</t>
  </si>
  <si>
    <t>(Brüt Gelir - Kesintiler Toplamı)</t>
  </si>
  <si>
    <t>Unsurlar/ Çevre ve Şehircilik Uzmanı 4/1</t>
  </si>
  <si>
    <t>1 -Ücrct</t>
  </si>
  <si>
    <t>Ücret Göstergesi x Aylık Katsayı / (39300x0,06446)</t>
  </si>
  <si>
    <t>Tazminat Göstergesi x Aylık Katsayı / (21625x0,06446)</t>
  </si>
  <si>
    <t>6- İlave Genel Sağlık Sigortası Primi</t>
  </si>
  <si>
    <t>Emekli keseneği matrahı üzerinden % 16</t>
  </si>
  <si>
    <t>[(Ücret Tutarı-Emekli keseneği kişi payı) x Matraha bağlı vergi oranı %15] - Asgari Geçim İndirimi Tutarı</t>
  </si>
  <si>
    <t>Kesintiler Toplamı</t>
  </si>
  <si>
    <t>Net Öde ine</t>
  </si>
  <si>
    <t>(Brüt Gelir- Kesintiler Toplamı)</t>
  </si>
  <si>
    <t>Unsurlar / Maliye Uzman Yardımcısı 9/1</t>
  </si>
  <si>
    <t>1-Ücret</t>
  </si>
  <si>
    <t>Ücret Göstergesi x Aylık Katsayı / (30575x0,06446)</t>
  </si>
  <si>
    <t>Tazminat Göstergesi x Aylık Katsayı / (16800x0,06446)</t>
  </si>
  <si>
    <t>(1+2+3)</t>
  </si>
  <si>
    <t>4- Sigorta Primi İşveren Payı</t>
  </si>
  <si>
    <t>5- Sigorta Primi Kişi Payı</t>
  </si>
  <si>
    <t>Sigorta prim matrahı üzerinden %14</t>
  </si>
  <si>
    <t>6- Gelir Vergisi</t>
  </si>
  <si>
    <t>[(Ücret Tutan - Sigorta primi kişi payı) x Matraha bağlı vergi oranı %151 - Asgari Gccim İndirimi Tutarı</t>
  </si>
  <si>
    <t>7- Damga Vergisi</t>
  </si>
  <si>
    <t>(4+5+6+7)</t>
  </si>
  <si>
    <t>Hake diş 1er</t>
  </si>
  <si>
    <t>Zam Tutarı</t>
  </si>
  <si>
    <t>1.700x0,02044=34,75</t>
  </si>
  <si>
    <t>1.950xx0,02044=39,86</t>
  </si>
  <si>
    <t>Özel Hizmet Tazminatı Tutarı</t>
  </si>
  <si>
    <t>9.500x0,06446x2,10=1.285,98</t>
  </si>
  <si>
    <t>9.500x0,06446x3,30=2.020,82</t>
  </si>
  <si>
    <t>Zara ve ÖHT Toplamı</t>
  </si>
  <si>
    <t>Kesintiler</t>
  </si>
  <si>
    <t>Damga Vergisi</t>
  </si>
  <si>
    <t>1.320,73x0,0066=8,72</t>
  </si>
  <si>
    <t>2.060,68x0,0066=13,60</t>
  </si>
  <si>
    <t>Gelir Vergisi</t>
  </si>
  <si>
    <t>34,75x0,15=5,21</t>
  </si>
  <si>
    <t>39,86x0,15=5,98</t>
  </si>
  <si>
    <t>Kesinti Toplamı</t>
  </si>
  <si>
    <t>Şube Müdürü (Asli Kadro)</t>
  </si>
  <si>
    <t>1.100x0,02044=22,48</t>
  </si>
  <si>
    <t>1.700xx0,02044=34,75</t>
  </si>
  <si>
    <t>9.500x0,06446x1,35=826,70</t>
  </si>
  <si>
    <t>9.500x0,06446x2,00=1.224,74</t>
  </si>
  <si>
    <t>Zam ve ÖIIT Toplamı</t>
  </si>
  <si>
    <t>849,18x0,0066=5,60</t>
  </si>
  <si>
    <t>1.259,49x0,0066=8,31</t>
  </si>
  <si>
    <t>22,48x0,15=3,37</t>
  </si>
  <si>
    <t>anlaşılması gerekmektedir.</t>
  </si>
  <si>
    <t>Unsurlar /Genel Müdür 1/4</t>
  </si>
  <si>
    <t>1- Sözleşme ücreti</t>
  </si>
  <si>
    <t>Bakanlar Kurulunca belirlenen brüt sözleşme ücreti</t>
  </si>
  <si>
    <t>2- İkramive</t>
  </si>
  <si>
    <t>Teşvik dahil bir yılda alınacak ikramiyenin bir aya isabet eden tutarı</t>
  </si>
  <si>
    <t>3- Özel hizmet tazminatı tutarında ödeme</t>
  </si>
  <si>
    <t>9500 x Aylık Katsayı x Özel Hizmet Tazminatı Oranı (9500x0,06446x3,30)</t>
  </si>
  <si>
    <t>4- Fazla Çalışma Ücreti</t>
  </si>
  <si>
    <t>9500 x Aylık Katsayı x Fazla Çalışma Ücreti Oranı (9500x0,06446x0,35)</t>
  </si>
  <si>
    <t>[(1.500x0,06446)+(6.400x0,06446)+(l .000x0,86251)+ (21x20x0,06446)+(9500x0,06446x1,80)] x 0,20</t>
  </si>
  <si>
    <t>6- ilave Genel Sağlık Sigortası Primi</t>
  </si>
  <si>
    <t>Emekli keseneği matrahı Çizerinden %12</t>
  </si>
  <si>
    <t>(1+2+3+4+5+6)</t>
  </si>
  <si>
    <t>7- Emekli Keseneği İşveren Payı</t>
  </si>
  <si>
    <t>8- İlave Genel Sağlık Sigortası Primi</t>
  </si>
  <si>
    <t>9- Emekli Keseneği Kişi Payı</t>
  </si>
  <si>
    <t>10- Ortalama Aylık Gelir Vergisi</t>
  </si>
  <si>
    <t>{[(Sözleşme ücretifİkramiye-Emekli keseneği kişi payı) x 12 x matraha bağlı vergi oranı %15 ila %351 /12}-Asgari Geçim İnd. Tutarı</t>
  </si>
  <si>
    <t>11 - Damga Vergisi</t>
  </si>
  <si>
    <t>(7+8+9+10+11)</t>
  </si>
  <si>
    <t>Ortalama Aylık Net Ödeme</t>
  </si>
  <si>
    <t>Unsurlar / Genel Müdür 1/4</t>
  </si>
  <si>
    <t>Briit Ödeme</t>
  </si>
  <si>
    <t>Emekli keseneği matrahı üzerinden %12</t>
  </si>
  <si>
    <t>5- Emekli Keseneği jşveren Payı</t>
  </si>
  <si>
    <t>8- Ortalama Aylık Gelir Vergisi</t>
  </si>
  <si>
    <t>{[(Ücret Tutarı-Emekli keseneği kişi payı) x 12 x matraha bağlı vergi oranı %15 ila %35] /12}-Asgari Geçim İndirimi Tutarı</t>
  </si>
  <si>
    <t>Briit Ödeme x 0,0066</t>
  </si>
  <si>
    <t>Unsurlar/ Ha/iııc Uzmanı 4/1</t>
  </si>
  <si>
    <t>2- İkramiye</t>
  </si>
  <si>
    <t>9500 x Aylık Katsayı x Özel Hizmet Tazminatı Oranı (9500x0,06446x1,25)</t>
  </si>
  <si>
    <t>9500 x Aylık Katsayı x Fazla Çalışma Ücreti Oranı (9500x0,06446x0,30)</t>
  </si>
  <si>
    <t>[(915x0,06446)+(l 600x0,06446)+( l .000x0,86251)+ (12x20x0,06446)+(9500x0,06446x0,40)] x 0,20</t>
  </si>
  <si>
    <t>{[(Sözleşme ücrctH-İkramiye-Emekli keseneği kişi payı) xl2 x matraha bağlı vergi oranı % 15 ila %3 5] /12} - Asgari Geçim İnd. Tutarı</t>
  </si>
  <si>
    <t>11- Damga Vergisi</t>
  </si>
  <si>
    <t>Ortalama Aylık Net Maaş</t>
  </si>
  <si>
    <t>Unsurlar / Hazine Uzmanı 4/1</t>
  </si>
  <si>
    <t>1-Ucrct</t>
  </si>
  <si>
    <t>Ücret Göstergesi x Avlık Katsayı / (39300x0,06446)</t>
  </si>
  <si>
    <t>5- Emekli Keseneği işveren Payı</t>
  </si>
  <si>
    <t>Emekli keseneği matrahı üzerinden %I6</t>
  </si>
  <si>
    <t>{[(Ücrct Tutarı-Emckli keseneği kişi payı) x 12 x matraha bağlı vergi oranı %15 ila %35] /12 } - Asgari Geçim İndirimi Tutarı</t>
  </si>
  <si>
    <t>Unsurlar / İç Denetçi 1/4</t>
  </si>
  <si>
    <t>1- Gösterge Aylığı</t>
  </si>
  <si>
    <t>Gösterge x Aylık Katsayı / (1500x0,06446)</t>
  </si>
  <si>
    <t>2- Kk Gösterge Aylığı</t>
  </si>
  <si>
    <t>Ek Gösterge x Aylık Katsayı / (3600x0,06446)</t>
  </si>
  <si>
    <t>3- Taban Aylığı</t>
  </si>
  <si>
    <t>Taban Aylığı Göstergesi x Taban Aylık Katsayısı / (1000x0.86251)</t>
  </si>
  <si>
    <t>4- Kıdem Aylığı</t>
  </si>
  <si>
    <t>Hizmet Yılı x 20 x Aylık Katsayı / (25x20x0,06446)</t>
  </si>
  <si>
    <t>5-Yan Ödeme Aylığı</t>
  </si>
  <si>
    <t>Puan x Yan Ödeme Katsayısı / (2700x0.02044)</t>
  </si>
  <si>
    <t>6- Tazminat Tutarı</t>
  </si>
  <si>
    <t>9500 x Tazminat Oranı x Aylık Katsayı / (9500x(2.10.0.30)x0,06446)</t>
  </si>
  <si>
    <t>7- Ek Ödeme Tutarı</t>
  </si>
  <si>
    <t>9500 x Ek Ödeme Oranı x Aylık Katsayı / (9500x1,75x0,06446)</t>
  </si>
  <si>
    <t>8- Makam Tazminatı</t>
  </si>
  <si>
    <t>Makam Tazminatı Göstergesi x Aylık Katsayı / (2000x0,06446)</t>
  </si>
  <si>
    <t>9- Görev Tazminatı</t>
  </si>
  <si>
    <t>Görev Tazminatı Göstergesi x Aylık Katsayı x 0,80 /' (8000x0,06446x0,80)</t>
  </si>
  <si>
    <t>Brüt Odcıııc</t>
  </si>
  <si>
    <t>(1+2+3+4+5+6+7+8+9)</t>
  </si>
  <si>
    <t>1 1- İlave Genel Sağlık Sigortası Primi</t>
  </si>
  <si>
    <t>Briit Gelir</t>
  </si>
  <si>
    <t>(1+2+3+4+5+6+7+8+9+10+11)</t>
  </si>
  <si>
    <t>12- Emekli Keseneği İşveren Payı</t>
  </si>
  <si>
    <t>13- İlave Genel Sağlık Sigortası Primi</t>
  </si>
  <si>
    <t>14- Emekli Keseneği Kişi Payı</t>
  </si>
  <si>
    <t>15- Ortalama Aylık Gelir Vergisi</t>
  </si>
  <si>
    <t>{[(Ücret Tutarı-Emekli keseneği kişi payı) x 12 x matraha bağlı vergi oranı %15 ila %35] / 12} - Asgari Geçim İndirimi Tutarı</t>
  </si>
  <si>
    <t>16- Damga Vergisi</t>
  </si>
  <si>
    <t>Brüt Ödeme x 0.0066</t>
  </si>
  <si>
    <t>(12+13+14+15+16)</t>
  </si>
  <si>
    <t>Ücret Göstergesi x Aylık Katsayı / (46450x0,06446)</t>
  </si>
  <si>
    <t>Tazminat Göstergesi x Aylık Katsayı / (25560x0,06446)</t>
  </si>
  <si>
    <t>403,9)</t>
  </si>
  <si>
    <t>4- ilave Genel Sağlık Sigortası Primi</t>
  </si>
  <si>
    <t>488,1 1</t>
  </si>
  <si>
    <t>(Briit Gelir - Kesintiler Toplamı)</t>
  </si>
  <si>
    <t>C) Kadro Karşılığı Sözleşmeli Personele İlişkin Açıklamalar</t>
  </si>
  <si>
    <t>Tebliğ olunur.</t>
  </si>
  <si>
    <t>1-    375 sayılı Kanun Hükmünde Kararnamenin ek 9 uncu maddesinin birinci fıkrası uyarınca;</t>
  </si>
  <si>
    <t>a)  Aylıklarını 657 sayılı Devlet Memurları Kanununa göre almakta olan personele.</t>
  </si>
  <si>
    <t>b)     Aylıklarını 2914 sayılı Yükseköğretim Personel Kanununa göre almakta olan personele,</t>
  </si>
  <si>
    <t>f)    Türkiye Hudut ve Sahiller Sağlık Genel Müdürlüğü taşra teşkilatında görev yapan tabipler,</t>
  </si>
  <si>
    <t>83,90 / 0,8434=99,48</t>
  </si>
  <si>
    <t>-   Taşra teşkilatlarına ait kadrolarda bulunup, kadro unvanları ekli (II) sayılı Cetvelde yer alanlardan,</t>
  </si>
  <si>
    <t>3- Emekli Keseneği İşveren Payı (5434 sayılı Kamın hükümlerine göre kesenek kapsamına giren unsurlar ile oranlar esas alınacaktır.)</t>
  </si>
  <si>
    <t>[(Aylık gösterge x Aylık katsayı) + (Ek gösterge x Aylık katsayı) l (Taban aylık göstergesi x Taban aylık katsayısı) + (Hizmet yılı x 20 x Aylık katsayı) + (9500 x Ek Göstergeye bağlı tazminat oranı x Aylık katsayı)] x Prim oranı [(1.500x0,06446)+(6.400x0,06446)+(1.000x0,86251)+ (21x20x0,06446) + (9500x1,80x0,06446)]x 0,20</t>
  </si>
  <si>
    <t>[(Aylık gösterge x Aylık katsayı) + (Ek gösterge x Aylık katsayı) + (Taban aylık göstergesi x Taban aylık katsayısı) + (Hizmet yılı x 20 x Aylık katsayı) + (9500 x Ek Göstergeye bağlı tazminat oranı x Aylık katsayı)] x Prim oranı [(915x0,06446)+(l 600x0,06446)+(l .000x0,86251)+ (12x20x0,06446)+ (9500x0,40x0,06446)]x0,20</t>
  </si>
  <si>
    <t>3- Sigorta Primi İşveren Payı (5510 sayılı Kanun hükümlerine göre kesenek kapsamına giren unsurlar ile oranlar esas alınacaktır.)</t>
  </si>
  <si>
    <t>(1.320,73-13,93)=1.306,80</t>
  </si>
  <si>
    <t>(2.060,68-19,58)=2.041,10</t>
  </si>
  <si>
    <t>2.041,10-1.306,80=734,30</t>
  </si>
  <si>
    <t>(849,18-8,97)=840,21</t>
  </si>
  <si>
    <t>(1.259,49-13,52)=1.245,97</t>
  </si>
  <si>
    <t>1.245,97-840,21=405,76</t>
  </si>
  <si>
    <t>b)    Diğer personel için anılan tarihten önce yürürlükte bulunan ve bunlar hakkında 375 sayılı Kanun Hükmünde Kararnamenin ek 12 nci maddesinin birinci fıkrasıyla yürürlükten kaldırılan hükümler ile 209 sayılı Kanunun 5 inci ve 4458 sayılı Kanunun 221 inci maddelerinin 666 sayılı Kanun Hükmünde Kararnameyle değiştirilmeden önceki hükümleri uyarınca ek ödeme, ikramiye ve tazminat gibi değişik adlar altında yapılmakta olan ödemeler de dahil olmak üzere uygulanmakta olan mali ve sosyal hakların belirlendiği mevzuat hükümlerinin,</t>
  </si>
  <si>
    <t>5- Emekli Keseneği İşveren Payı (5434 sayılı Kanun hükümlerine göre kesenek kapsamına giren unsurlar ile oranlar esas alınacaktır.)</t>
  </si>
  <si>
    <t>3- Emekli Keseneği İşveren Payı (5434 sayılı Kanun hükümlerine göre kesenek kapsamına giren unsurlar ile oranlar esas alınacaktır.)</t>
  </si>
  <si>
    <t>5- Emekli Keseneği işveren Payı (5434 sayılı Kanım hükümlerine göre kesenek kapsamına giren unsurlar ile oranlar esas alınacaktır.)</t>
  </si>
  <si>
    <t>     Bu Genel Tebliğde yer alan örneklerde, 2011 yılının ikinci yarısında uygulanmakta olan memur aylık katsayısı, asgari ücret tutarı ile hizmet sözleşmesi esaslarında yer alan sözleşme ücretleri dikkate alınmıştır.</t>
  </si>
  <si>
    <t>     375 sayılı Kanun Hükmünde Kararnamenin ek 9 ve ek 10 uncu maddeleri uyarınca yapılan ek ödeme, ücret ve tazminat ödemelerinden; sözleşmeli statüde istihdam edilenlerin ek ödemeleri "01.2.2 Zamlar ve Tazminatlar" ekonomik koduna, diğer personelin ücret ödemeleri "01.1.1 Temel Maaşlar", ek ödeme ve tazminat ödemeleri ise "Oi.1.2 Zamlar ve Tazminatlar" ekonomik kodlarına gider kaydedilmek suretiyle yapılacaktır.</t>
  </si>
  <si>
    <t xml:space="preserve">          Bilindiği üzere, 2/11/2011 tarihli ve 28103 (Mükerrer) sayılı Resmi Gazetede yayımlanmış olan 666 sayılı Kanun Hükmünde Kararname ile 375 sayılı Kanun Hükmünde Kararnamede vc bazı kanun ve kanun hükmünde kararnamelerde kamu görevlilerinin mali haklarına ilişkin çeşitli düzenlemeler yapılmıştır.</t>
  </si>
  <si>
    <t xml:space="preserve">          Yapılan düzenlemelere ilişkin olarak uygulama birliğinin sağlanması ve oluşabilecek tereddütlerin giderilmesi amacıyla aşağıdaki açıklamaların yapılması gerekli görülmüştür.</t>
  </si>
  <si>
    <t xml:space="preserve">          A) 375 sayılı Kanun Hükmünde Kararnamenin Ek 9 uncu Maddesi Uyarınca Yapılacak Ek Ödemeye İlişkin Açıklamalar</t>
  </si>
  <si>
    <t xml:space="preserve">          375 sayılı Kanun Hükmünde Kararnamenin ek 3 üncü maddesine göre yapılan genel ek ödeme ile mevzuatı uyarınca yapılmakta olan tüm kurumsal ek ödemeler, ikramiye ödemeleri ve fazla çalışma ücreti gibi çeşitli adlar altında yapılan ilave ödemeler kaldırılmış ve yerine tek bir ek ödeme getirilmiştir.</t>
  </si>
  <si>
    <t xml:space="preserve">c)   399 sayılı Kanun Hükmünde Kararnameye ekli (II) sayılı Cetvele dahil pozisyonlarda istihdam </t>
  </si>
  <si>
    <t>edilen sözleşmeli personele,</t>
  </si>
  <si>
    <t>ç) Subay, sözleşmeli subay, astsubay, sözleşmeli astsubay, sözleşmeli subay ve astsubay adayları</t>
  </si>
  <si>
    <t>ile uzman jandarma ve uzman erbaşlara,</t>
  </si>
  <si>
    <t xml:space="preserve">       15/1/2012 tarihinden itibaren yapılacak ek ödeme, en yüksek Devlet memuru aylığına (9500 gösterge rakamı ile memur aylık katsayısının çarpımı sonucu bulunacak tutara), 375 sayılı Kanun Hükmünde Kararnameye ekli (1) sayılı Cetvelde yer alan kadro, görev ve pozisyon unvanlarına karşılık gelen oranların uygulanması suretiyle hesaplanacaktır.</t>
  </si>
  <si>
    <t xml:space="preserve">       2-    375 sayılı Kanun Hükmünde Kararnamenin ek 9 uncu maddesinin birinci fıkrası kapsamına giren personelden, anılan maddenin üçüncü ve altıncı fıkraları ile söz konusu Kanun Hükmünde Kararnamenin ek 10 uncu, geçici 12 nci, geçici 14 üncü ve geçici 16 ncı maddelerinde yer alan hükümlere istinaden;</t>
  </si>
  <si>
    <t xml:space="preserve">       a)     209 sayılı Kanunun 5 inci maddesinin ikinci fıkrası uyarınca döner sermaye gelirlerinden ek ödeme yapılan personel,</t>
  </si>
  <si>
    <t xml:space="preserve">       b)    375 sayılı Kanun Hükmünde Kararnamenin geçici 17 nci maddesine göre ek ödeme yapılanlar hariç olmak üzere yükseköğretim kurumlarının rektör, rektör yardımcısı, genel sekreter, dekan, dekan yardımcısı, başhekim, başhekim yardımcısı, enstitü ve yüksekokul müdürleri, enstitü ve yüksekokul müdür yardımcıları, tıp ve diş hekimliği fakülteleri ile sağlık uygulama ve araştırma merkezlerinde görev yapan personel,</t>
  </si>
  <si>
    <t xml:space="preserve">       ç) 926 sayılı Kanunun ek 17 nci maddesinin (Ç) fıkrası uyarınca sağlık hizmetleri tazminatından yararlanan Türk Silahlı Kuvvetleri personeli,</t>
  </si>
  <si>
    <t xml:space="preserve">       d)       Gümrük ve Ticaret Bakanlığı taşra teşkilatına ait kadro ve pozisyonlarda bulunanlardan 4458 sayılı Kanunun 221 inci maddesi uyarınca fazla çalışma ücretinden yararlanan personel,</t>
  </si>
  <si>
    <t xml:space="preserve">       e)    Sosyal Güvenlik Kurumunun merkez ve taşra teşkilatı kadrolarında bulunup, sağlık harcamalarına esas olan fatura ve reçetelerin incelenmesi işlerinde ve Kurum sağlık kurullarında çalışan sağlık hizmetleri ve yardımcı sağlık hizmetleri sınıfına dahil personel,</t>
  </si>
  <si>
    <t xml:space="preserve">       g)    375 sayılı Kanun Hükmünde Kararnamenin ek 10 uncu maddesi uyarınca ücret ve tazminat ödenenler ile geçici 12 nci, geçici 14 üncü ve geçici 16 ncı maddeleri uyarınca haklarında 15/1/2012 tarihinden önce yürürlükte bulunan mevzuat hükümleri uygulanacak personel,</t>
  </si>
  <si>
    <t xml:space="preserve">       h)     5018 sayılı Kanuna ekli (III) sayılı Cetvelde sayılan düzenleyici ve denetleyici kurumlarda görev yapan personel,</t>
  </si>
  <si>
    <t xml:space="preserve">       ı) 2547 sayılı Kanunun 36 ncı maddesinin altıncı fıkrası ile 2955 sayılı Kanunun 32 nci maddesinin altıncı fıkrası kapsamında yer alanlar,</t>
  </si>
  <si>
    <t xml:space="preserve">      3-     Kamu idarelerinin kapsama dahil personelinden 375 sayılı Kanun Hükmünde Kararnamenin ek 9 uncu maddesinin birinci fıkrası uyarınca ek ödeme yapılacakların belirlenmesinde; öncelikle ilgili kamu idaresinin ek 10 uncu madde kapsamına girip girmediği tespit edilccck, kapsama girmesi halinde ilgili personelin kadro ve görev unvanlarının ek 10 uncu madde uyarınca ödeme yapılacakların sayıldığı anılan Kanun Hükmünde Kararnameye ekli (II) ve (III) sayılı Cetvellerde yer alıp almadığına bakılacaktır. Ek 10 uncu madde vc söz konusu Cetveller kapsamında yer almayan personele (I) sayılı Cetvele göre ek ödeme yapılacaktır.</t>
  </si>
  <si>
    <t xml:space="preserve">       4-   375 sayılı Kanun Hükmünde Kararnameye ekli (I) sayılı Cetvelde derece esasına göre belirlenmiş olan ek ödeme oranlarının tespitinde, ilgililerin aylık aldıkları derecclcr esas alınacaktır.</t>
  </si>
  <si>
    <t xml:space="preserve">       5-     Ek ödemeye hak kazanılmasında ve bu ödemenin yapılmasında aylıklara ilişkin hükümler uygulanacak vc bu ödeme damga vergisi hariç herhangi bir vergiye tabi tutulmayacaktır. Bu ödeme, personelin mali haklarına bağlı olarak, ilgili mevzuatı uyarınca ödenmekte olan zam, tazminat, ödenek, döner sermaye payı, ikramiye, ücret ve her nc ad altında olursa olsun yapılan benzeri ödemelerin hesabında dikkate alınmayacaktır.</t>
  </si>
  <si>
    <t xml:space="preserve">       6-    375 sayılı Kanun Hükmünde Kararnamenin ek 9 uncu maddesinin birinci fıkrası uyarınca ek ödeme yapılan personelden; kurumlarınca bir kadroya kurum içinden veya kurum dışından vekalet ettirilenlere, vekaletin 657 sayılı Kanunun 86 ncı maddesine istinaden yapılmış ve bu hususun onayda belirtilmiş olması, vekalet görevinin Bakanlar Kurulu kararı veya müşterek karar ile atama yapılması gereken kadrolar için ilgili bakan, diğer kadrolar için asili atamaya yetkili amir tarafından verilmesi, vekalet eden personelin asaleten atanmada aranan tüm şartları (asaleten atanmada sınav şartı aranılan kadrolar için bu sınavlara girebilme hakkının elde edilmiş olması dahil) taşıması kaydıyla vekalet ettikleri kadro için öngörülen ek ödemenin asli kadroları için öngörülen ek ödemeden fazla olması halinde, aradaki fark, ek 9 uncu maddenin beşinci fıkrası uyarınca vekalet görevine başlanıldığı tarihten itibaren ve bu görev fiilen yapıldığı sürece ödenecektir.</t>
  </si>
  <si>
    <t xml:space="preserve">       Ancak mehil müddeti, yıllık izin, mazeret izni, hastalık ve refakat izni, geçici görev, vekalet, görevden uzaklaştırma, hizmet içi eğitim, seminer ve kurs nedenleriyle görevlerinden ayrılanlara vekalet edenler ile ek 9 uncu maddenin beşinci fıkrasında öngörülen tüm şartları bir arada taşımadıkları için tedviren görevlendirildikleri kabul edilecek olanlara ek ödeme farkı ödenmeyecektir.</t>
  </si>
  <si>
    <t xml:space="preserve">       Söz konusu ek 9 uncu madde 15/1/2012 tarihinden itibaren yürürlüğe girdiğinden, vekaleten yürütülen görevler için anılan tarihten önceki döneme ilişkin olarak bu maddeye göre ek ödeme farkı ödenmeyecektir.</t>
  </si>
  <si>
    <r>
      <t xml:space="preserve">      </t>
    </r>
    <r>
      <rPr>
        <b/>
        <sz val="10"/>
        <rFont val="Arial"/>
        <family val="2"/>
        <charset val="162"/>
      </rPr>
      <t xml:space="preserve"> Örnek 1- </t>
    </r>
    <r>
      <rPr>
        <sz val="10"/>
        <rFont val="Arial"/>
        <family val="2"/>
        <charset val="162"/>
      </rPr>
      <t>Şef kadrosunda bulunan ve 1 inci dereceden aylık alan bir memurun boş şube müdürü kadrosuna vekaleten atanması halinde ilgiliye vekalet nedeniyle yapılacak ek ödeme farkı aşağıdaki şekilde hesaplanacaktır.</t>
    </r>
  </si>
  <si>
    <t xml:space="preserve">       375 sayılı Kanun Hükmünde Kararnameye ekli (T) sayılı cetvelde, 1 inci dereceden aylık alan şef için %\ 15 ve şube müdürü için %170 oranında ek ödeme yapılması öngörülmüştür.</t>
  </si>
  <si>
    <t xml:space="preserve">   704,23x0,0066 = 4,65</t>
  </si>
  <si>
    <t>Oranı (%)</t>
  </si>
  <si>
    <t>9500x0,06446x115 = 704,23</t>
  </si>
  <si>
    <t>9500x0,06446x170 =1.041,02</t>
  </si>
  <si>
    <t xml:space="preserve">       Buna göre ilgili personele, asli kadrosu için hesaplanan 699,58 TL net ek ödemeye ilave olarak ayrıca vekaleten atandığı şube müdürü kadrosu için 334,58 TL net ek ödeme farkı, vekalet görevinin fiilen yapılmasını müteakip ödenecektir. Ancak, vekalet nedeniyle bu ödemenin yapılabilmesi için vekalet eden personelin, 375 sayılı Kanun Hükmünde Kararnamenin ek 9 uncu maddesinin beşinci fıkrasındaki şartları taşıması gerekmektedir.</t>
  </si>
  <si>
    <t xml:space="preserve">       7-   375 sayılı Kanun Hükmünde Kararnamenin ek 9 uncu maddesine göre yapılacak ek ödemeler anılan maddenin sekizinci fıkrası ve 4458 sayılı Kanunun 221 inci maddesi hükümleri uyarınca;</t>
  </si>
  <si>
    <t xml:space="preserve">       a)    Kültür ve Turizm Bakanlığının, Sağlık Bakanlığının, Türkiye Kamu Hastaneleri Kurumunun ve Meteoroloji Genel Müdürlüğünün merkez teşkilatı personeli ile Ulaştırma, Denizcilik ve Haberleşme Bakanlığı, Türkiye Halk Sağlığı Kurumu, Karayolları Genel Müdürlüğü, Orman Genel Müdürlüğü, Tapu ve Kadastro Genel Müdürlüğü personeli için döner sermaye bütçelerinden,</t>
  </si>
  <si>
    <t xml:space="preserve">       b)    Gümrük ve Ticaret Bakanlığı personeli için Ankara Gümrük Muhasebe Birimi hesabına aktarılan tutarlardan,</t>
  </si>
  <si>
    <t xml:space="preserve">       Ek 9 uncu madde uyarınca diğer personele yapılacak ek ödeme ise ilgililerin aylık ve ücretlerinin ödendiği bütçeden yapılacaktır.</t>
  </si>
  <si>
    <t xml:space="preserve">      8-  375 sayılı Kanun Hükmünde Kararnamenin ek 9 uncu maddesinin dördüncü fıkrasında yer alan hükme istinaden; Gıda, Tarım ve Hayvancılık Bakanlığının üretimi teşvik priminden yararlanan personeline anılan maddenin birinci fıkrasına göre ek ödeme yapılmayacaktır. Ancak söz konusu personele, üretimi teşvik primi ödemesinin yapıldığı tarih ile bir sonraki yılda bu ödemenin yapılacağı tarih arasındaki dönemde 375 sayılı Kanun Hükmünde Kararnameye ekli (1) sayılı Cetvelde kadro veya pozisyon unvanları için ödenmesi öngörülen ek ödemenin toplam net tutarı, ödenen üretimi teşvik priminin net tutarına ulaştığı tarihten itibaren aylıklara ilişkin hükümler göz önünde bulundurulmak suretiyle ek ödeme yapılmaya başlanacaktır.</t>
  </si>
  <si>
    <t xml:space="preserve">       Ayrıca, 375 sayılı Kanun Hükmünde Kararnamenin söz konusu personel için bir önceki yıl yapılan üretimi teşvik primi ödemeleriyle kıyas suretiyle ek ödeme yapılmasını öngören ek 3 üncü maddesi 14/1/2012 tarihi itibarıyla yürürlükten kaldırıldığından, bu kapsamdaki personel</t>
  </si>
  <si>
    <t xml:space="preserve">      2012   yılında üretimi teşvik priminin ödeneceği tarihe kadar, ek 9 uncu madde uyarınca (I) sayılı Cetvelde kadro ve görev unvanları için öngörülen ek ödemeden yararlandırılacaktır.</t>
  </si>
  <si>
    <t xml:space="preserve">       liretimi teşvik primi ödemelerinin ayın 15'inden sonraki bir tarihte yapılması halinde peşin olarak ödenmiş olan ek ödemenin, üretimi teşvik primi ödemesinin yapıldığı tarihten sonraya isabet eden kısmı geri alınacaktır.</t>
  </si>
  <si>
    <t xml:space="preserve">       666 sayılı Kanun Hükmünde Kararnamenin 5 inci maddesinin (e) fıkrasıyla 969 sayılı Kanunda yapılan düzenlemeye istinaden de Gıda, Tarım ve Hayvancılık Bakanlığı kadro ve pozisyonlarında çalışmayanlara, anılan Kanunun 3 üncü maddesi uyarınca üretimi teşvik primi ödenmeyecektir.</t>
  </si>
  <si>
    <r>
      <rPr>
        <b/>
        <sz val="10"/>
        <rFont val="Arial"/>
        <family val="2"/>
        <charset val="162"/>
      </rPr>
      <t xml:space="preserve">        Örnek 2-</t>
    </r>
    <r>
      <rPr>
        <sz val="10"/>
        <rFont val="Arial"/>
        <family val="2"/>
        <charset val="162"/>
      </rPr>
      <t xml:space="preserve"> Gıda, Tarım ve Hayvancılık Bakanlığının mühendis kadrosunda görev yapan vc 1 inci dereccden aylık alan mühendise, 375 sayılı Kanun Hükmünde Kararnamenin ek 9 uncu maddesine göre % 150 oranında ek ödeme yapılması öngörülmüştür. Söz konusu personele 969 sayılı Kanunun 3 üncü maddesinin son fıkrası uyarınca, 15 Şubat 2012 tarihinde üretimi teşvik primi olarak 6.000 TL tutarında ödeme yapılacağı ve bir sonraki teşvik priminin ise 15 Şubat   2013    tarihinde ödeneceği varsayımı altında 15/2/2012 - 14/2/2013 döneminde yapılacak üretimi teşvik primi ve ek ödemelerin hesaplanması ve karşılaştırılması aşağıdaki şekilde yapılacaktır.</t>
    </r>
  </si>
  <si>
    <t>6000
(15 Şubat 2012 tarihinde yapılan ödeme)</t>
  </si>
  <si>
    <t xml:space="preserve">       Diğer taraftan, bu örnekte yer alan verilere ve ek ödeme tutarına ilişkin rakamlar dikkate alındığında, 15/2/2012 tarihinde 10.950 TL veya daha fazla net tutarda üretimi teşvik primi ödenmiş olması halinde, aynı derecedeki mühendislere, 15/2/2012 - 14/2/2013 döneminde hiçbir şekilde 375 sayılı Kanun Hükmünde Kararnamenin ek 9 uncu maddesi uyarınca ek ödeme yapılmayacaktır.</t>
  </si>
  <si>
    <t xml:space="preserve">       a)     375 sayılı Kanun Hükmünde Kararnameye eklenen ek 12 nci maddenin birinci fıkrasıyla ek ödeme, ikramiye, tazminat, döner sermaye ödemesi, fiilen yapılmayan ders karşılığı ck ders ücreti ödemeleri gibi değişik adlar altında yapılan ödemelere ilişkin yürürlükten kaldırılan hükümler,</t>
  </si>
  <si>
    <t xml:space="preserve">       b)    209 sayılı Kanunun 5 inci maddesi ve 4458 sayılı Kanunun 221 inci maddesinin değiştirilmeden önceki hükümleri, uyarınca yapılan ödemelerden yararlanmakta iken, 15/1/2012 tarihinden itibaren 375 sayılı Kanun Hükmünde Kararnamenin ek 9 uncu maddesine göre ck ödemeden yararlanmaya başlayan personele, 375 sayılı Kanun Hükmünde Kararnamenin geçici 11 inci maddesinde belirtilen ilgili mevzuat hükümleri uyarınca ikramiyelerin bir aya isabet eden tutarı da dahil olmak üzere 14/1/2012 tarihi itibarıyla hesaplanacak aylık net ödeme tutarının, (I) sayılı Cetvelde kadro ve görev unvanları için ödenmesi öngörülen aylık net ek ödeme tutarından fazla olması halinde aradaki fark, herhangi bir vergi ve kesintiye tabi tutulmaksızın, bu fark giderilinceye kadar ayrıca tazminat olarak ödenecek ve aradaki farkın sona erdiği tarihten itibaren sadece ek 9 uncu maddeye göre ek ödeme yapılacaktır.</t>
  </si>
  <si>
    <t xml:space="preserve">       İlgililer için 14/1/2012 tarihi itibarıyla söz konusu hükümler uyarınca ve anılan tarih itibarıyla geçerli olan memur aylık katsayısı ile asgari ücret tutarı dikkate alınarak geçici 11 inci maddeye göre hesaplanacak aylık net ödeme tutarı sabit olup hiçbir şekilde değiştirilmeyeccktir.</t>
  </si>
  <si>
    <t xml:space="preserve">       Fark tazminatı ödemesine, 14/1/2012 tarihi itibarıyla ilgililerin bulundukları kadro ve pozisyonlarda kaldıkları sürece devam edilecek, personelin kendi isteği olmaksızın aynı kurumda yapılan kadro ve pozisyon unvanı değişiklikleri de bu kapsamda değerlendirilecektir. Ancak isteğe bağlı olarak; kadro veya pozisyon unvanında değişiklik olanlar ile başka kurumlara atananlar hakkında fark tazminatı ödemesine son verilecektir.</t>
  </si>
  <si>
    <r>
      <rPr>
        <b/>
        <sz val="10"/>
        <rFont val="Arial"/>
        <family val="2"/>
        <charset val="162"/>
      </rPr>
      <t xml:space="preserve">       Örnek 3-</t>
    </r>
    <r>
      <rPr>
        <sz val="10"/>
        <rFont val="Arial"/>
        <family val="2"/>
        <charset val="162"/>
      </rPr>
      <t xml:space="preserve"> Sosyal Güvenlik Kurumunda memur kadrosunda görev yapan ve 5 inci dereceden aylık alan personele, 5502 sayılı Kanunun 28 inci maddesinin 14/1/2012 tarihi itibarıyla yürürlükten kaldırılması öngörülen ikinci fıkrasına göre %95 oranında ek ödeme ve dördüncü fıkrasına göre ikramiye ödemesi yapılmakta iken, 15/1/2012 tarihinden itibaren 375 sayılı Kanun Hükmünde Kararnamenin ek 9 uncu maddesine göre %90 oranında ek ödeme yapılması öngörülmüş bulunmaktadır. Bu personele, 15/1/2012 tarihinde 375 sayılı Kanun Hükmünde Kararnamenin geçici 11 inci maddesi uyarınca ödenecek fark tazminatı aşağıdaki şekilde hesaplanacaktır.</t>
    </r>
  </si>
  <si>
    <t>837
(1 0cak-30 1 laziran 2012 dönemi için asgari ücret tutarı)</t>
  </si>
  <si>
    <t>İkramiyenin bir aya isabet eden tutan 
(837/6=139,50)</t>
  </si>
  <si>
    <t xml:space="preserve">       Buna göre ilgiliye, 15/1/2012 tarihindeki mali ve sosyal haklan ödenirken 148,07 TL tutarındaki fark, herhangi bir vergi ve kesintiye tabi tutulmaksızın tazminat olarak ayrıca ödenecektir. 5502 sayılı Kanunun 28 inci maddesinin yürürlükten kaldırılması öngörülen ikinci ve dördüncü fıkraları uyarınca 14/1/2012 tarihi itibarıyla hesaplanmış olan ikramiye ve ek ödemenin toplam net tutarı olan 695,56 TL sabit olup, bu tutar hiçbir şekilde değiştirilmeyecektir. Yeni ek ödemenin hesaplanmasında memur aylık katsayısındaki artışlar dikkate alınarak hesaplama yapılacak, farkın herhangi bir şekilde kapanması halinde ise fark tazminatı ödenmesine ilişkin uygulamaya son verilecektir.</t>
  </si>
  <si>
    <r>
      <rPr>
        <b/>
        <sz val="10"/>
        <rFont val="Arial"/>
        <family val="2"/>
        <charset val="162"/>
      </rPr>
      <t xml:space="preserve">       Örnek 4- </t>
    </r>
    <r>
      <rPr>
        <sz val="10"/>
        <rFont val="Arial"/>
        <family val="2"/>
        <charset val="162"/>
      </rPr>
      <t>Birinci sınıf olup, 1 inci derecenin birinci kademesinden aylık alan kaymakamlara 14/1/2012 tarihi itibarıyla yürürlükten kaldırılması öngörülen hükümlerden, 1700 sayılı Kanunun ek 5 inci maddesine göre %100 oranında ek ödeme yapılmakta ve 5302 sayılı Kanunun 63 üncü maddesine göre ise 12.000 gösterge rakamı üzerinden aylık ödenek verilmekte iken, 15/1/2012 tarihinden itibaren 375 sayılı Kanun Hükmünde Kararnamenin ek 9 uncu maddesine göre %200 oranında ek ödeme yapılması öngörülmüş bulunmaktadır. Bu personele 15/1/2012 tarihinde 375 sayılı Kanun Hükmünde Kararnamenin geçici 11 inci maddesi uyarınca ödenecek fark tazminatı aşağıdaki şekilde hesaplanacaktır.</t>
    </r>
  </si>
  <si>
    <t xml:space="preserve">       Buna göre ilgiliye, 15/1/2012 tarihindeki mali ve sosyal hakları ödenirken 44,05 TL tutarındaki fark, herhangi bir vergi ve kesintiye tabi tutulmaksızın tazminat olarak ayrıca ödenecektir. 14/1/2012 tarihi itibarıyla hesaplanan ve fark tazminatı hesabına esas net tutar olan 1.260,71 TL sabit olup bu tutar hiçbir şekilde değiştirilmeyecektir. Yeni ek ödemenin hesaplanmasında memur aylık katsayısmdaki artışlar dikkate alınarak hesaplama yapılacak, farkın herhangi bir şekilde kapanması halinde ise fark tazminatı ödenmesine ilişkin uygulamaya son verilecektir.</t>
  </si>
  <si>
    <t xml:space="preserve">       Örnek 5- Kaymakam adaylarına, 1700 sayılı Kanunun 14/1/2012 tarihi itibarıyla yürürlükten kaldırılması öngörülen ek 5 inci maddesine göre %145 oranında ek ödeme yapılmakta iken, 15/1/2012 tarihinden itibaren 375 sayılı Kanun Hükmünde Kararnamenin ek 9 uncu maddesine göre de %145 oranında ek ödeme yapılması öngörülmüş bulunmaktadır. Bu personele 15/1/2012 tarihinde 375 sayılı Kanun Hükmünde Kararnamenin geçici 11 inci maddesi uyarınca herhangi bir fark tazminatı ödenmeyecektir.</t>
  </si>
  <si>
    <r>
      <rPr>
        <b/>
        <sz val="10"/>
        <rFont val="Arial"/>
        <family val="2"/>
        <charset val="162"/>
      </rPr>
      <t xml:space="preserve">       Örnek 6</t>
    </r>
    <r>
      <rPr>
        <sz val="10"/>
        <rFont val="Arial"/>
        <family val="2"/>
        <charset val="162"/>
      </rPr>
      <t>- Gümrük ve Ticaret Bakanlığı merkez teşkilatının şube müdürü kadrosunda görev yapan personele, 4458 sayılı Kanunun 221 inci maddesinin 666 sayılı Kanun Hükmünde Kararname ile değiştirilmeden önceki hükmüne göre 26.000 gösterge rakamı üzerinden hesaplanan fazla çalışma ücreti, aynı Kanunun 222 nci maddesine göre yapılması öngörülen %155 oranındaki net ek ödeme tutarından mahsup edilerek ödenmekte iken, 15/1/2012 tarihinden itibaren 375 sayılı Kanun Hükmünde Kararnamenin ek 9 uncu maddesine göre %170 oranında ek ödeme yapılması öngörülmüş bulunmaktadır. Bu personele 15/1/2012 tarihinde 375 sayılı Kanun Hükmünde Kararnamenin geçici 11 inci maddesi uyarınca ödcnecck fark tazminatı aşağıdaki şekilde hesaplanacaktır.</t>
    </r>
  </si>
  <si>
    <t xml:space="preserve">       Buna göre ilgiliye, 15/1/2012 tarihindeki mali ve sosyal haklan ödenirken, 60,84 TL tutarındaki fark, herhangi bir vergi ve kesintiye tabi tutulmaksızın tazminat olarak ayrıca ödenecektir. 3146 sayılı Kanunun 39 uncu maddesinin 14/1/2012 tarihi itibarıyla yürürlükten kaldırılması öngörülen yedinci fıkrasına göre anılan tarih itibarıyla hesaplanmış olan ek ödemenin net tutarı olan 486,67 TL sabit olup, bu tutar hiçbir şekilde değiştirilmeyecektir. Yeni ek ödemenin hesaplanmasında memur aylık katsayısmdaki artışlar dikkate alınarak hesaplama yapılacak, farkın herhangi bir şekilde kapanması halinde ise fark tazminatı ödenmesine ilişkin uygulamaya son verilecektir.</t>
  </si>
  <si>
    <r>
      <rPr>
        <b/>
        <sz val="10"/>
        <rFont val="Arial"/>
        <family val="2"/>
        <charset val="162"/>
      </rPr>
      <t xml:space="preserve">       Örnek 8- </t>
    </r>
    <r>
      <rPr>
        <sz val="10"/>
        <rFont val="Arial"/>
        <family val="2"/>
        <charset val="162"/>
      </rPr>
      <t>375 sayılı Kanun Hükmünde Kararnamenin 14/1/2012 tarihi itibarıyla yürürlükten kaldırılması öngörülen ck 3 üncü maddesinin birinci fıkrasında sayılan kurumlar arasında yer alan Kültür ve Turizm Bakanlığında 5 inci dereceli kadroda bulunup 1 inci dereceden aylık alan memur unvanlı personele, söz konusu ek 3 üncü maddeye göre %65 oranında ek ödeme yapılmakta iken, 15/1/2012 tarihinden itibaren 375 sayılı Kanun Hükmünde Kararnamenin ck 9 uncu maddesine göre %110 oranında ek ödeme yapılması öngörülmüştür.</t>
    </r>
  </si>
  <si>
    <t xml:space="preserve">       Yukarıda yer alan tablodan da görülcceği üzere, ilgiliye 15/1/2012 tarihinde yapılacak ek ödeme tutarı 273,75 TL daha fazla olduğundan 375 sayılı Kanun Hükmünde Kararnamenin geçici 11 inci maddesi uyarınca herhangi bir fark tazminatı ödemesi yapılmayacaktır.</t>
  </si>
  <si>
    <r>
      <t xml:space="preserve">       </t>
    </r>
    <r>
      <rPr>
        <b/>
        <sz val="10"/>
        <rFont val="Arial"/>
        <family val="2"/>
        <charset val="162"/>
      </rPr>
      <t xml:space="preserve">Örnek 9- </t>
    </r>
    <r>
      <rPr>
        <sz val="10"/>
        <rFont val="Arial"/>
        <family val="2"/>
        <charset val="162"/>
      </rPr>
      <t>375 sayılı Kanun Hükmünde Kararnamenin 14/1/2012 tarihi itibarıyla yürürlükten kaldırılması öngörülen ek 3 üncü maddesinin birinci fıkrasında sayılan kurumlar arasında yer alan Çevre, Orman ve Şehircilik Bakanlığında görev yapan ve 1 inci dereceden aylık alan mühendis kadrosunda bulunan personele, söz konusu ek 3 üncü maddeye göre %96 oranında ek ödeme yapılmakta iken, 15/1/2012 tarihinden itibaren 375 sayılı Kanun Hükmünde Kararnamenin ck 9 uncu maddesine göre %150 oranında ek ödeme yapılması öngörülmüştür.</t>
    </r>
  </si>
  <si>
    <t xml:space="preserve">       Buna göre ilgiliye, 15/1/2012 tarihindeki mali ve sosyal haklan ödenirken 379,35 TL tutarındaki fark, herhangi bir vergi ve kesintiye tabi tutulmaksızın tazminat olarak ayrıca ödenecektir. 14/1/2012 tarihi itibarıyla hesaplanan ve fark tazminatı hesabına esas net tutar olan 1.413,51 TL sabit olup bu tutar hiçbir şekilde değiştirilmeyecektir. Yeni ek ödemenin hesaplanmasında memur aylık katsayısmdaki artışlar dikkate alınarak hesaplama yapılacak, farkın herhangi bir şekilde kapanması halinde ise fark tazminatı ödenmesine ilişkin uygulamaya son verilecektir.</t>
  </si>
  <si>
    <r>
      <rPr>
        <b/>
        <sz val="10"/>
        <rFont val="Arial"/>
        <family val="2"/>
        <charset val="162"/>
      </rPr>
      <t xml:space="preserve">       Örnek 7-</t>
    </r>
    <r>
      <rPr>
        <sz val="10"/>
        <rFont val="Arial"/>
        <family val="2"/>
        <charset val="162"/>
      </rPr>
      <t xml:space="preserve"> 3146 sayılı Kanunun 39 uncu maddesinin 14/1/2012 tarihi itibarıyla yürürlükten kaldırılması öngörülen yedinci fıkrasına göre Çalışma ve Sosyal Güvenlik Bakanlığında görev yapan ve 8 inci dereceden aylık alan hizmetli kadrosunda bulunan personele, %80 oranında ek ödeme verilmekte iken, 15/1/2012 tarihinden itibaren 375 sayılı Kanun Hükmünde Kararnamenin ek 9 uncu maddesine göre %70 oranında ek ödeme yapılması öngörülmüştür. Bu personele 15/1/2012 tarihinde 375 sayılı Kanun Hükmünde Kararnamenin geçici 11 inci maddesi uyarınca ödenecek fark tazminatı aşağıdaki şekilde hesaplanacaktır.</t>
    </r>
  </si>
  <si>
    <t>Fazla Çalışma Ücreti Göst. / Ek Ödeme Oranı (%)</t>
  </si>
  <si>
    <t>1.675,96x0,15 = 251,39
1.675,96x0,0066 = 11,06</t>
  </si>
  <si>
    <t xml:space="preserve">       Yukarıda yer alan tablodan da görüleceği iizere, 15/1/2012 tarihinde yapılacak ek ödeme tutarı 328,50 TL daha fazla olduğundan, ilgiliye 375 sayılı Kanun Hükmünde Kararnamenin gcçici 11 inci maddesi uyarınca herhangi bir fark tazminatı ödemesi yapılmayacaktır.</t>
  </si>
  <si>
    <t xml:space="preserve">       10-    Sağlık Bakanlığı, Milli Savunma Bakanlığı, Adli Tıp Kurumu ile yükseköğretim kurumlarının döner sermaye saymanlık hizmetlerini yürüten personele döner sermaye gelirlerinden, Gümrük ve Ticaret Bakanlığının saymanlık hizmetlerini yürüten personele ise 4458 sayılı Kanunun 221 inci maddesine göre Ankara Gümrük Muhasebe Birimi hesabına aktarılan tutarlardan, mevzuatı uyarınca herhangi bir ödeme yapılmayacak, ilgililere 375 sayılı Kanun Llükmiinde Kararnamenin ek 9 uncu maddesine göre ek ödeme yapılacaktır.</t>
  </si>
  <si>
    <t xml:space="preserve">       11-   375 sayılı Kanun Hükmünde Kararnameye ekli (I) sayılı Cetvelin "A- Aylıklarım 657 sayılı Devlet Memurları Kanununa Göre Alanlar" başlıklı kısmının l/g sırasında "müdür" unvanlı kadrolarda bulunanlar için ek ödeme oranı %170 olarak belirlenmiştir. Söz konusu "müdür" ibaresi, döner sermaye işletmesi merkez müdürü, işletme müdürü, atölye müdürü, malmüdürü, milli emlak müdürü, bilgi işlem müdürü, ikmal müdürü, meteoroloji istasyon müdürü ve ilçe müdürü gibi kadrolardan, söz konusu Cetvelin diğer sıralarında özel bir ek ödeme oranı belirlenmemiş olan tüm müdür unvanlı kadroları ifade etmektedir.</t>
  </si>
  <si>
    <t xml:space="preserve">       12-   375 sayılı Kanun Hükmünde Kararnamenin ek 12 nci maddesiyle 14/1/2012 tarihi itibarıyla yürürlükten kaldırılması öngörülen hükümlere göre ikramiye ödenen personelden 15/1/2012 tarihinden itibaren 375 sayılı Kanun Hükmünde Kararnamenin ek 9 uncu maddesine göre ek ödeme yapılacaklara, mevzuatında 2012 yılı Ocak ayında ödenmesi öngörülen ikramiyeler bir defaya mahsus olmak üzere 14/1/2012 tarihine kadar ödenecektir.</t>
  </si>
  <si>
    <t xml:space="preserve">       13-    15/1/2012 tarihinden itibaren 375 sayılı Kanun Hükmünde Kararnamenin ek 9 uncu maddesinin birinci fıkrası uyarınca ek ödeme yapılacak personele;</t>
  </si>
  <si>
    <t xml:space="preserve">       a)    Anılan Kanun Hükmünde Kararnamenin ek 12 nci maddesinin birinci fıkrasıyla 14/1/2012 tarihi itibarıyla yürürlükten kaldırılan hükümler ile 209 sayılı Kanunun 5 inci maddesinin 666 sayılı Kanun Hükmünde Kararnameyle değiştirilmeden önceki hükümleri uyarınca 15/1/2012 tarihinden itibaren ek ödeme, ikramiye, fazla çalışma ücreti ve fiilen yapılmayan ders karşılığı ek ders ücreti ödemeleri (Öğretmenler ile Milli Eğitim Bakanlığına bağlı örgün ve yaygın eğilim kurumlarında öğretmen unvanlı kadrolarda görev yapan yöneticiler hariç) gibi değişik adlar altında herhangi bir ödeme yapılmayacaktır.</t>
  </si>
  <si>
    <t xml:space="preserve">       b)  4458 sayılı Kanunun 221 inci maddesinin 666 sayılı Kanun Hükmünde Kararnameyle değiştirilmeden önceki hükümleri uyarınca 1/1/2012 tarihinden sonraki döneme ilişkin olarak fazla çalışma ücreti ödenmeyecektir.</t>
  </si>
  <si>
    <t xml:space="preserve">       14-   399 sayılı Kanun Hükmünde Kararnameye ekli (II) sayılı Cetvele dahil pozisyonlarda istihdam edilen sözleşmeli personele 375 sayılı Kanun Hükmünde Kararnameye ekli (I) sayılı Cetvelde pozisyon unvanları itibarıyla belirlenen oranlar esas alınmak suretiyle hesaplanan tutarda ek ödeme yapılacaktır.</t>
  </si>
  <si>
    <t xml:space="preserve">       15-   Kadro karşılığı sözleşmeli personel ile 399 sayılı Kanun Hükmünde Kararnameye ekli (11) sayılı Cetvele dahil pozisyonlarda istihdam edilen sözleşmeli personel hariç olmak üzere, çeşitli statülerde istihdam edilen sözleşmeli personelden ek ödeme yapılacak olanlar ve ek ödeme oranları Maliye Bakanlığının teklifi üzerine Bakanlar Kurulu tarafından ayrıca belirlenecektir. Bunlara yapılacak ek ödemeler damga vergisi hariç herhangi bir vergi ile sigorta prim kesintisine tabi tutulmayacaktır.</t>
  </si>
  <si>
    <t xml:space="preserve">       16-    İlgili mevzuatı uyarınca bazı kurumların personeline yapılacak ödemelere ilişkin uygulama aşağıdaki açıklamalar çerçevesinde yapılacaktır.</t>
  </si>
  <si>
    <t xml:space="preserve">       a) 375 sayılı Kanun Hükmünde Kararnamenin ek 9 uncu maddesinin üçüncü fıkrasında; 209 sayılı Kanunun 5 inci maddesinin ikinci fıkrası, 2659 sayılı Kanunun 30 uncu maddesi, 2547 sayılı Kanunun 58 inci maddesinin (c) ve (f) fıkraları ile 4458 sayılı Kanunun 221 inci maddesi kapsamında ödeme yapılan personele, söz konusu mevzuat hükümlerine göre ödeme yapılmaya devam olunacağı hiiküm altına alınmıştır.</t>
  </si>
  <si>
    <t xml:space="preserve">       Ayrıca, yukarıda yer alan mevzuat bükümlerine göre personele her ay yapılacak ödemelerin net tutarı, 375 sayılı Kanun Hükmünde Kararnamenin ek 9 uncu maddesi uyarınca kadro, görev veya pozisyon unvanları için ödenmesi öngörülen ek ödeme net tutarından az olamayacaktır.</t>
  </si>
  <si>
    <t xml:space="preserve">        Buna göre, ilgili personel için önce, mevzuatı hükümlerine göre ödenecek ödeme net tutarı tespit edilecek, bu tutarın 375 sayılı Kanun Hükmünde Kararnamenin ek 9 uncu maddesi uyarınca kadro, görev veya pozisyon unvanı itibarıyla belirlenmiş olan ek ödemenin net tutarından;</t>
  </si>
  <si>
    <t xml:space="preserve">       - Fazla olması halinde ilgililer hakkında bu kapsamda herhangi bir işlem yapılmayacaktır.</t>
  </si>
  <si>
    <t xml:space="preserve">       - Az olması halinde ise ilgililere tabi olunan mevzuatı uyarınca yasal kesintiler de dikkate alınmak suretiyle yapılacak ödeme, 375 sayılı Kanun Hükmünde Kararnamenin ek 9 uncu maddesi uyarınca kadro, görev veya pozisyon unvanı itibarıyla belirlenmiş olan ek ödeme net tutarına yükseltilerek ödenecektir.</t>
  </si>
  <si>
    <t xml:space="preserve">        Sağlık Bakanlığı ile yükseköğretim kurumlarının tıp ve diş hekimliği fakülteleri ile sağlık uygulama araştırma merkezlerinde görev yapan sözleşmeli personele, döner sermaye gelirlerinden 209 sayılı Kanunun 5 inci maddesi ile 2547 sayılı Kanunun 58 inci maddesi uyarınca yapılan ödemeler sigorta prim kesintisine tabi tutulmayacaktır.</t>
  </si>
  <si>
    <t xml:space="preserve">       Örnek 10- 1 inci dereceden aylık alan bir hemşireye 375 sayılı Kanun Hükmünde Kararnamenin ek 9 uncu maddesine göre %115 oranında ek ödeme yapılması öngörülmüştür. Sağlık Bakanlığı taşra teşkilatında sağlık kurum ve kuruluşlarında görev yapan, 209 sayılı Kanunun 5 inci maddesine göre döner sermaye gelirlerinden ek ödeme yapılan ve 1 inci dereceden aylık alan bir hemşireye 2012 yılı Şubat ayında brüt 900 TL ek ödeme yapılması halinde, söz konusu personele 2012 yılı Şubat ayında döner sermaye gelirlerinden yapılacak ek ödemeler aşağıdaki şekilde hesaplanacaktır.</t>
  </si>
  <si>
    <t>704,23x0,0066 = 4,66</t>
  </si>
  <si>
    <t xml:space="preserve">       Buna göre ilgiliye 209 sayılı Kanunun 5 inci maddesine göre 2012 yılı Şubat ayında döner sermaye gelirlerinden yapılan ek ödeme net tutarı, 375 sayılı Kanun Hükmünde Kararnamenin ek 9 uncu maddesine göre hesaplanan ek ödeme net tutarından 59,48 TL fazla olduğundan, ilgili hakkında bu kapsamda herhangi bir işlem yapılmayacaktır.</t>
  </si>
  <si>
    <r>
      <rPr>
        <b/>
        <sz val="10"/>
        <rFont val="Arial"/>
        <family val="2"/>
        <charset val="162"/>
      </rPr>
      <t xml:space="preserve">       Örnek 11-</t>
    </r>
    <r>
      <rPr>
        <sz val="10"/>
        <rFont val="Arial"/>
        <family val="2"/>
        <charset val="162"/>
      </rPr>
      <t xml:space="preserve"> 1 inci dereceden aylık alan bir hemşireye 375 sayılı Kanun Hükmünde Kararnamenin ek 9 uncu maddesine göre %115 oranında ek ödeme yapılması öngörülmüştür. Yükseköğretim kurumunun tıp fakültesinde görev yapan, 2547 sayılı Kanunun 58 inci maddesine göre döner sermaye gelirlerinden ek ödeme yapılan ve 1 inci dereceden aylık alan bir hemşireye 2012 yılı Şubat ayında brüt 730 TL ek ödeme yapılması halinde, söz konusu personele 2012 yılı Şubat ayında döner sermaye gelirlerinden yapılacak ek ödeme aşağıdaki şekilde hesaplanacaktır.</t>
    </r>
  </si>
  <si>
    <t>730x0,15 = 109,50
730x0,0066 = 4,82</t>
  </si>
  <si>
    <t xml:space="preserve">       Buna göre ilgiliye, 2547 sayılı Kanunun 58 inci maddesine göre 2012 yılı Şubat ayında döner sermaye gelirlerinden yapılan net ek ödeme tutarı, 375 sayılı Kanun Hükmünde Kararnamenin ek 9 uncu maddesine göre hesaplanan net ek ödeme tutarından 83,90 TL düşüktür. Döner sermaye gelirlerinden mevzuatına göre yapılan ek ödeme net tutarı, 375 sayılı Kanun Hükmünde Kararnamenin ek 9 uncu maddesi uyarınca kadro veya pozisyon unvanları için ödenmesi öngörülen ek ödeme net tutarından az olamayacağından, ilgiliye döner sermaye gelirlerinden anılan ayda ayrıca 83,90 TL ilave net ek ödeme hesaplanacak ve böylece ilgiliye döner sermaye gelirlerinden toplam 699,58 TL net ek ödeme yapılmış olacaktır.</t>
  </si>
  <si>
    <t xml:space="preserve">       -   Merkez teşkilatlarında; Dışişleri Meslek Memuru ve Konsolosluk ve İhtisas Memurları, özel yarışma sınavı sonucunda mesleğe yardımcı veya stajyer olarak alınıp belirli süreli yetiştirme döneminden sonra özel bir yeterlik sınavı sonunda uzman, müfettiş, denetçi, kontrolör, aktücr ve stenograf unvanlı kadrolara atananlar (mevzuatı uyarınca söz konusu kadrolara atananlar dahil) ve bunların yardımcı ve stajyerleri ile iç denetçilerden ekli (III) sayılı Cetvelde yer alan unvanlı kadrolarda yer alanlardan,aylıklarını 657 sayılı Devlet Memurları Kanununa göre almakta olanlara (aşağıda kapsam dışında olduğu belirtilen memurlar hariç) ek 10 uncu madde uyarınca ekli (II) ve (III) sayılı Cetvellerde belirlenmiş olan göstergeler üzerinden ücret ve tazminat ödemesi yapılacaktır.</t>
  </si>
  <si>
    <t xml:space="preserve">      -   Merkez teşkilatlarında bu Kanun Hükmünde Kararnameye ekli (II) sayılı Cetvelde yer alan unvanlı kadrolarda bulunanlardan,</t>
  </si>
  <si>
    <t xml:space="preserve">       a) Cumhurbaşkanlığı Genel Sekreterliği, Türkiye Büyük Millet Meclisi İdari Teşkilatı, Başbakanlık vc bakanlıklar ile bunların bağlı ve ilgili kuruluşları, sosyal güvenlik kurumlan, Yükseköğretim Kurulu Başkanlığı, Üniversitelerarası Kurul Genel Sekreterliği ve Ölçme, Seçme ve Yerleştirme Merkezi Başkanlığının;</t>
  </si>
  <si>
    <t xml:space="preserve">       1- 375 sayılı Kanun Hükmünde Kararnamenin ek 10 uncu maddesinde, madde kapsamına giren kamu kurum ve kuruluşları, bu kurum ve kuruluşların kadrolarında olup iicrct vc tazminat ödemelerinden yararlanacaklar ve kapsam dışında tutulanlar ile ücret ve tazminat ödemesine ilişkin diğer hususlar düzenlenmiştir. Buna göre;</t>
  </si>
  <si>
    <t xml:space="preserve">       b)    Söz konusu ücret ve tazminatlardan yararlanacakların belirlenmesinde, ek 10 uncu madde hükümleri ile ekli (II) ve (III) sayılı Cetvellerin birlikte değerlendirilmesi gerekmektedir. Kadro unvanları (II) ve (III) sayılı Cetvellerde yer almakla birlikte kadrolarının bulunduğu kamu kurum ve kuruluşları ek 10 uncu madde kapsamında olmayanların belirtilen ücret ve tazminatlardan yararlanma imkanı bulunmamaktadır. Örneğin, mahalli idareler vc bunların bağlı kuruluşları, yükseköğretim kurumları ve yargı kuruluşları ek 10 uncu madde kapsamında yer almadığından, bu idarelere ait kadrolarda bulunan memurlara, (II) ve (III) sayılı Cetvellerde öngörülen ücret ve tazminat ödenmeyecektir.</t>
  </si>
  <si>
    <r>
      <rPr>
        <b/>
        <sz val="10"/>
        <rFont val="Arial"/>
        <family val="2"/>
        <charset val="162"/>
      </rPr>
      <t xml:space="preserve">      Örnek 12</t>
    </r>
    <r>
      <rPr>
        <sz val="10"/>
        <rFont val="Arial"/>
        <family val="2"/>
        <charset val="162"/>
      </rPr>
      <t>- 2914 sayılı Kanuna tabi olup 3 üncü dereccdcn aylık alan bir yardımcı doçente 375 sayılı Kanun Hükmünde Kararnamenin ek 9 uncu maddesine göre %67 oranında ek ödeme yapılması öngörülmüştür. Yükseköğretim kurumunun tıp fakültesinde görev yapan, 2547 sayılı Kanunun 58 inci maddesine göre döner sermaye gelirlerinden ek ödeme yapılan ve 3 üncü dereceden aylık alan bir yardımcı doçente 2012 yılı Şubat ayında brüt 3.000 TL ek ödeme yapılması halinde, söz konusu personele 2012 yılı Şubat ayında döner sermaye gelirlerinden yapılacak ek ödeme aşağıdaki şekilde hesaplanacaktır.</t>
    </r>
  </si>
  <si>
    <t xml:space="preserve">       b) Yükseköğretim kurumlarının 2547 sayılı Kanunun 58 inci maddesinin (c) ve (f) fıkraları kapsamında bulunanlar dışındaki;</t>
  </si>
  <si>
    <t xml:space="preserve">       Buna göre ilgiliye; 2547 sayılı Kanunun 58 inci maddesi uyarınca 2012 yılı Şubat ayında döner sermaye gelirlerinden yapılan ek ödeme net tutarı, 375 sayılı Kanun Hükmünde Kararnamenin ek 9 uncu maddesine göre hesaplanan ek ödeme net tutarından 2.122,62 TL fazla olduğundan, ilgili hakkında bu kapsamda herhangi bir işlem yapılmayacaktır.</t>
  </si>
  <si>
    <t xml:space="preserve">       - 657 sayılı Kanuna tabi memurları ile aynı Kanunun 4 üncü maddesinin (B) fıkrasına göre sözleşmeli olarak çalışan personeline 15/1/2012 tarihinden itibaren sadece 375 sayılı Kanun Hükmünde Kararnamenin ek 9 uncu maddesi kapsamında ek ödeme yapılacak ve bu ek ödeme ilgililerinin aylık veya ücretlerinin ödendiği bütçeden karşılanacaktır. Anılan tarihten itibaren söz konusu personele 58 inci madde kapsamında herhangi bir ek ödeme yapılmayacaktır. Ayrıca, 375 sayılı Kanun Hükmünde Kararnamenin ck 3 üncü maddesi 14/1/2012 tarihinden geçerli olmak üzere yürürlükten kaldırıldığından, 2011 yılında ilgililere 58 inci madde uyarınca ek ödeme yapılmış olması halinde söz konusu ödemeler için 15/1/2012 tarihinden itibaren herhangi bir kıyaslama işlemi yapılmayacaktır.</t>
  </si>
  <si>
    <t xml:space="preserve">      - Öğretim elemanlarına, 2547 sayılı Kanunun 58 inci maddesi uyarınca katkılarına bağlı olarak yapılacak ek ödeme döner sermaye bütçesinden, 375 sayılı Kanun Hükmünde Kararnamenin ek 9 uncu maddesi uyarınca yapılacak ek ödeme ise özel bütçeden yapılacaktır.</t>
  </si>
  <si>
    <t xml:space="preserve">       c) 375 sayılı Kanun Hükmünde Kararnamenin geçici 17 nci maddesi uyarınca 1/3/2006 tarihinden sonra kurulan üniversitelerin 2547 sayılı Kanunun 58 inci maddesinin (c) vc (f) fıkraları kapsamında bulunan personeline, döner sermaye gelirlerinden söz konusu 58 inci madde uyarınca ödeme yapılmaya başlanıncaya kadar 375 sayılı Kanun Hükmünde Kararnamenin ek 9 uncu maddesi uyarınca ilgililerin aylık veya ücretlerinin ödendiği bütçeden ck ödeme verilecektir. Ancak, 58 inci madde kapsamında herhangi bir şekilde ödeme yapılmaya başlanılması halinde, yapılan bu ödemelerin bir kısmının döner sermaye bütçesinden, bir kısmının özel bütçeden yapılması söz konusu olmayacak, yapılan ödemelerin miktarına bakılmaksızın 58 inci maddeye göre ck ödeme yapılmaya başlanıldığı tarihten itibaren 375 sayılı Kanun Hükmünde Kararnamenin geçici 17 nci maddesi uyarınca yürütülen uygulamaya son verilerek döner sermaye gelirlerinden anılan 58 inci madde uyarınca ek ödeme vcrilcccktir.</t>
  </si>
  <si>
    <t xml:space="preserve">      Söz konusu geçici 17 nci madde kapsamında bulunanlar açısından yürütülecek olan uygulamaya maddenin yürürlük tarihi olan 15/1/2012 tarihinden itibaren başlanılacaktır.</t>
  </si>
  <si>
    <t xml:space="preserve">      375 sayılı Kanun Hükmünde Kararnamenin gcçici 17 nci maddesinin uygulanmasında; tıp ve diş hekimliği fakülteleri ile sağlık uygulama ve araştırma merkezlerinin (hastaneler dâhil) kuruluş tarihine bakılmaksızın, üniversitelerin 1/3/2006 tarihinden önce veya sonra kurulup kurulmadığının dikkate alınması gerekmektedir.</t>
  </si>
  <si>
    <t xml:space="preserve">      17- 4505 sayılı Kanunun 5 inci maddesinin (c) fıkrası ile 631 sayılı Kanun Hükmünde Kararnamenin 16 nci maddesi ve bu maddeler uyarınca yürürlüğe konulan 10/3/2000 tarihli ve 2000/457 sayılı ve 12/5/2008 tarihli vc 2008/13694 sayılı Bakanlar Kurulu kararlarında herhangi bir değişiklik yapılmadığından, anılan mevzuat hükümlerine göre yapılan mahsup işlemine mevcut durumda olduğu gibi aynı usul ve esaslar dahilinde devam edilecektir.</t>
  </si>
  <si>
    <r>
      <t xml:space="preserve">     </t>
    </r>
    <r>
      <rPr>
        <b/>
        <sz val="10"/>
        <rFont val="Arial"/>
        <family val="2"/>
        <charset val="162"/>
      </rPr>
      <t xml:space="preserve">  B) 375 sayılı Kanun Hükmünde Kararnamenin Ek 10 uncu Maddesi Uyarınca Ödenecek Ücret ve Tazminata İlişkin Açıklamalar</t>
    </r>
  </si>
  <si>
    <t xml:space="preserve">      375 sayılı Kanun Hükmünde Kararnamenin ek 10 uncu maddesinde, bu madde kapsamında bulunan ve ekli (II) ve (III) sayılı Cetvellerde unvanlarına yer verilen memurlara (geçici 12 nci maddede öngörülen durumlar hariç), ücret ve tazminattan oluşan iki unsur üzerinden ödeme yapılması öngörülmüştür.</t>
  </si>
  <si>
    <t xml:space="preserve">      c)      Milli İstihbarat Teşkilatı Müsteşarlığı personeli, 2659 sayılı Adli Tıp Kurumu Kanununun 30 uncu maddesi kapsamında bulunan personel, Devlet Hava Meydanları İşletmesi Genel Müdürlüğünde görev yapan memurlar ile kapsama dahil idarelerin merkez teşkilatlarında mülki idare amirliği hizmetleri sınıfına ait kadrolarda bulunan memurlar ek 10 uncu madde kapsamı dışında tutulduğundan, bunlara da bu madde uyarınca ücret ve tazminat ödemesi yapılmayacaktır.</t>
  </si>
  <si>
    <t xml:space="preserve">      ç) Ekli (II) ve (III) sayılı Cetvellerde belirlenen ücret ve tazminatlara hak kazanılmasında ve bunların ödenmesinde aylıklara ilişkin hükümler uygulanacaktır. Ücret ödemesi gelir ve damga vergisine tabi tutulacak, tazminat ödemesi ise damga vergisi hariç herhangi bir vergiye tabi tutulmayacaktır.</t>
  </si>
  <si>
    <t xml:space="preserve">      d)     Kadro dereceleri esas alınarak belirlenmiş olan ücret ve tazminatlar, personelin atandığı kadro derecesi dikkate alınarak ödenecek, ancak 657 sayılı Kanunun 45 inci maddesine göre atananlar ile haklarında aynı Kanunun 67 nci maddesi hükmü uygulananlara yapılacak ödemelerde kazanılmış hak aylık dereceleri dikkate alınacaktır.</t>
  </si>
  <si>
    <t xml:space="preserve">       e)    Söz konusu ücret ve tazminatlar, ek 10 uncu madde kapsamında bulunan ve ekli (II) ve (III) sayılı Cetvellerde belirlenen ücret ve tazminatlardan yararlananların sosyal güvenlik primine esas kazançlarının veya emekli keseneğine esas aylıklarının hesabında dikkate alınmayacak, bunların prime esas kazançları veya emekli keseneğine esas aylıkları 15/1/2012 tarihinden önce olduğu gibi 5510 sayılı Kanunun 80 inci maddesinin üçüncü fıkrasının (a) vc (b) bentleri ile anılan Kanunun geçici 4 üncü maddesinin dördüncü fıkrası gereğincc 5434 sayılı Türkiye Cumhuriyeti Emekli Sandığı Kanununa göre tespit edilmeye devam edilecektir. Ancak, 5510 sayılı Kanunun 80 inci maddesinin üçüncü fıkrasının (a) bendinin (3) numaralı alt bendinin uygulanmasında, ekli (III) sayılı Cetvelin 1 inci ve 2 nci sıralarında sayılanlar ile düzenleyici ve denetleyici kurumların emsali personeli için, 657 sayılı Kanunun 152 nci maddesinin "II- Tazminatlar" kısmının "A- Özel Hizmet Tazminatı" bölümünün (ğ) bendi ile "F- Denetim Tazminatı" bölümünün (b) bendinde yer alan tazminatlar esas alınacaktır.</t>
  </si>
  <si>
    <t xml:space="preserve">       2- Ek 10 uncu madde kapsamında ödeme yapılacak personele 375 sayılı Kanun Hükmünde Kararnamenin 1 inci maddesine göre ödenen taban aylığı, kıdem aylığı ve görev tazminatı, ek 9 uncu maddesinde öngörülen ek ödeme ile bu maddenin üçüncü ve dördüncü fıkralarında belirtilen mevzuat hükümlerine göre yapılan ödemeler, ek 14 üncü maddesi uyarınca yapılan ilave ek ödeme, 657 sayılı Kanunda ödenmesi öngörülen aylık, ek gösterge, zam ve tazminatlar ve makam tazminatı ile avukatlık vekalet ücreti ve temsil tazminatı ödenmeyecektir. 375 sayılı Kanun Hükmünde Kararnamenin 1 inci maddesinin (D) bendi, 2 nci, 28 inci ve ek 13 üncü maddelerinde düzenlenmiş olan ödemeler ile 657 sayılı Kanunda öngörülen sosyal haklar ve yardımlar mevcut durumda olduğu gibi aynı usul ve esaslar dahilinde ödenmeye devam edilecektir.</t>
  </si>
  <si>
    <r>
      <rPr>
        <sz val="10"/>
        <rFont val="Arial"/>
        <family val="2"/>
        <charset val="162"/>
      </rPr>
      <t xml:space="preserve">       Örnek 1</t>
    </r>
    <r>
      <rPr>
        <sz val="10"/>
        <rFont val="Arial"/>
        <family val="2"/>
        <charset val="162"/>
      </rPr>
      <t>- 375 sayılı Kanun Hükmünde Kararnamenin geçici 12 nci maddesi uyarınca yapılan karşılaştırma sonucunda, ek 10 uncu maddeye göre kendisine ücret ve tazminat ödenmesi gerektiği anlaşılan Genel Müdür unvanlı bir kadroda, sosyal güvenlik açısından 5434 sayılı Kanun hükümlerine tabi olan, 21 yıl hizmeti bulunan vc 1 inci derecenin 4 üncü kademesinde görev yapan bir personele 15/1/2012 tarihinde yapılacak mali haklara ilişkin ödemeler aşağıdaki şekilde hesaplanacaktır.</t>
    </r>
  </si>
  <si>
    <r>
      <rPr>
        <b/>
        <sz val="10"/>
        <rFont val="Arial"/>
        <family val="2"/>
        <charset val="162"/>
      </rPr>
      <t xml:space="preserve">       Örnek 2-</t>
    </r>
    <r>
      <rPr>
        <sz val="10"/>
        <rFont val="Arial"/>
        <family val="2"/>
        <charset val="162"/>
      </rPr>
      <t xml:space="preserve"> 375 sayılı Kanun Hükmünde Kararnamenin geçici 12 nci maddesi uyarınca yapılan karşılaştırma sonucunda, ek 10 uncu maddeye göre kendisine ücret ve tazminat ödenmesi gerektiği anlaşılan Çevre ve Şehircilik Uzmanı unvanlı bir kadroda, sosyal güvenlik açısından 5434 sayılı Kanun hükümlerine tabi olan, 12 yıl hizmeti bulunan ve 4 üncü derecenin 1 inci kademesinde görev yapan bir personele 15/1/2012 tarihinde yapılacak mali haklara ilişkin ödemeler aşağıdaki şekilde hesaplanacaktır.</t>
    </r>
  </si>
  <si>
    <r>
      <rPr>
        <b/>
        <sz val="10"/>
        <rFont val="Arial"/>
        <family val="2"/>
        <charset val="162"/>
      </rPr>
      <t xml:space="preserve">       Örnek 3</t>
    </r>
    <r>
      <rPr>
        <sz val="10"/>
        <rFont val="Arial"/>
        <family val="2"/>
        <charset val="162"/>
      </rPr>
      <t>- 375 sayılı Kanun Hükmünde Kararnamenin geçici 12 nci maddesi uyarınca yapılan karşılaştırma sonucunda, ek 10 uncu maddeye göre kendisine ücret ve tazminat ödenmesi gerektiği anlaşılan Maliye Uzman Yardımcısı unvanlı bir kadroda, sosyal güvenlik açısından 5510 sayılı Kanun hükümlerine tabi olan, bir yıldan az hizmeti bulunan ve 9 uncu derecenin 1 inci kademesinde görev yapan bir personele 15/1/2012 tarihinde yapılacak mali haklara ilişkin ödemeler aşağıdaki şekilde hesaplanacaktır.</t>
    </r>
  </si>
  <si>
    <t>[(Aylık gösterge x Aylık katsayı) + (Ek gösterge x Aylık katsayı) (Taban aylık göstergesi x Taban aylık katsayısı) + (Hizmet yılı x 20 x Aylık katsayı) + (Makam tazminatı göstergesi x Aylık katsayı) + (Temsil veya görev tazminatı göstergesi x Aylık katsayı) + (9500 x 657 sayılı Kanunun 152 nci maddesinde öngörülen tazminatlar x Aylık katsayı)] x Prim oranı 
[(620x0,06446) ı (0x0,06446)+(l.000x0,86251)+(0x2üx0,06446) i-(0x0,06446)+(0x0,06446)+(9500xl, 12x0,06446)] x 0,185</t>
  </si>
  <si>
    <t xml:space="preserve">       Bu durumdakiler ile kadro unvanları (II) ve (III) sayılı Cetvellerde bulunanlardan anılan Cetvellerde yer almayan bir kadroya vekalet edenlere, mevcut uygulamada olduğu gibi 657 sayılı Kanunun 86 ve 175 inci maddeleri ile 152 nci maddesi uyarınca yürürlüğe konulan Bakanlar Kurulu kararının vekalete ilişkin hükümlerine göre, vekaleten atanılan kadrolar için belirlenmiş olan aylık göstergeleri ve ek göstergeler esas alınarak vekalet aylığı, işgal ettikleri kadrolar ve vekaleten atandıkları kadrolar için belirlenmiş olan zam ve tazminatların toplam tutarı esas alınarak zam ve tazminat farkı ödenecektir.</t>
  </si>
  <si>
    <t xml:space="preserve">        4-    (II) sayılı Cetvel kapsamında yer alan kadrolara vekaleten atananlara, vekalet görevi nedeniyle vekalet ettikleri kadro unvanı için öngörülen ücret ve tazminat ödemeleri yapılmayacaktır.</t>
  </si>
  <si>
    <t xml:space="preserve">        3-     375 sayılı Kanun Hükmünde Kararnamenin ek 12 nci maddesiyle yürürlükten kaldırılan hükümler uyarınca ikramiye ödenen personelden 15/1/2012 tarihinden itibaren ek 10 uncu maddeye göre ödeme yapılacaklara, geçici 13 üncü madde hükmüne istinaden, mevzuatında Ocak ayında ödenmesi öngörülen ikramiye adı altındaki ödemelerin hiçbiri yapılmayacaktır.</t>
  </si>
  <si>
    <r>
      <rPr>
        <b/>
        <sz val="10"/>
        <rFont val="Arial"/>
        <family val="2"/>
        <charset val="162"/>
      </rPr>
      <t xml:space="preserve">       Örnek 4-</t>
    </r>
    <r>
      <rPr>
        <sz val="10"/>
        <rFont val="Arial"/>
        <family val="2"/>
        <charset val="162"/>
      </rPr>
      <t xml:space="preserve"> Kültür ve Turizm Bakanlığında Genel Müdür Yardımcısı kadrosunda görev yapan ve aynı Bakanlıkta boş bulunan Genel Müdür kadrosuna vekaleten atanan bir Devlet memuruna, vekalet görevi nedeniyle vekalet edilen Genel Müdür kadro unvanı için ekli (II) sayılı Cetvelde öngörülen ücret ve tazminat ödemeleri yapılmayacak, 657 sayılı Kanunun 152 nci maddesi uyarınca 17/4/2006 tarihli vc 2006/10344 sayılı Bakanlar Kurulu Kararı ile yürürlüğe konulan Devlet Memurlarına Ödenecek Zam ve Tazminatlara İlişkin Kararın "Vekalet" başlıklı 9 uncu maddesinde belirtilen şartların taşınması halinde, işgal edilen kadro ile vekalet edilen kadroya ilişkin zam vc tazminat farkı ödenecektir.</t>
    </r>
  </si>
  <si>
    <t xml:space="preserve">       Bu çerçevede, Genel Müdür Yardımcısı kadrosu için anılan Karara ekli I sayılı Cetvelin (A) bölümünün 7 nci sırasından (800) puan iş güçlüğü zammı ile (900) puan temininde güçlük zammı olmak üzere toplam (1700) puan zam ve II sayılı Cetvelin (A) bölümünün 5 inci Grubunun 4 üncü sırasından %210 oranında özel hizmet tazminatı, Genel Müdür kadrosu için I sayılı Cetvelin (A) bölümünün 6 ncı sırasından (975) puan iş güçlüğü zammı ile (975) puan temininde güçlük zammı olmak üzere toplam (1950) puan zam ile II sayılı Cetvelin (A) bölümünün 4 üncü Grubunun 2 nci sırasından %330 oranında özel hizmet tazminatı öngörüldüğü dikkate alınarak, vekalet nedeniyle ödenecek zam ve tazminat farkı aşağıdaki şekilde hesaplanacaktır.</t>
  </si>
  <si>
    <t>Genel Müdür Yardımcısı 
(Asli Kadro)</t>
  </si>
  <si>
    <t>Genel Müdür
 (Vekalet Edilen Kadro)</t>
  </si>
  <si>
    <r>
      <rPr>
        <b/>
        <sz val="10"/>
        <rFont val="Arial"/>
        <family val="2"/>
        <charset val="162"/>
      </rPr>
      <t xml:space="preserve">       Örnek 5-</t>
    </r>
    <r>
      <rPr>
        <sz val="10"/>
        <rFont val="Arial"/>
        <family val="2"/>
        <charset val="162"/>
      </rPr>
      <t xml:space="preserve"> Kültür ve Turizm Bakanlığında Şube Müdürü kadrosunda görev yapan ve aynı Bakanlık bünyesinde bir Genel Müdürlükte boş bulunan Daire Başkanı kadrosuna vekaleten atanan bir Devlet memuruna, vekalet görevi nedeniyle vekalet edilen Daire Başkanı kadro unvanı için ekli (II) sayılı Cetvelde öngörülen ücret ve tazminat ödemeleri yapılmayacak, 657 sayılı Kanunun 152 nci maddesi uyarınca 17/4/2006 tarihli ve 2006/10344 sayılı Bakanlar Kurulu Kararı ile yürürlüğe konulan Devlet Memurlarına Ödenecek Zam ve Tazminatlara İlişkin Karar'ın "Vekalet" başlıklı 9 uncu maddesinde belirtilen şartların taşınması halinde, işgal edilen kadro ile vekalet edilen kadroya ilişkin zam ve tazminat farkı ödenecektir.</t>
    </r>
  </si>
  <si>
    <t xml:space="preserve">       Görüleceği üzere, vekil memura, vekalet edilen Genel Müdürlük için anılan Karar uyarınca öngörülen zam ve tazminatların toplam net tutarının, asli kadro ve görevi karşılığında fiilen alman zam ve tazminatların toplam net tutarından fazla olması nedeniyle, aradaki 734,30 TL'lik fark, 657 sayılı Kanunun 175 inci maddesindeki oranlar dikkate alınmaksızın, vekalet görevine başlanıldığı tarihten itibaren ve vekalet görevinin fiilen yapılmasını müteakip ödenecektir.</t>
  </si>
  <si>
    <t xml:space="preserve">       Bu çerçevede, Şube Müdürü kadrosu için anılan Karara ekli I sayılı Cetvelin (A) bölümünün 25/a sırasından (600) puan iş güçlüğü zammı ile (500) puan temininde güçlük zammı olmak üzere toplam (1100) puan zam ve II sayılı Cetvelin (A) bölümünün 10 uncu Grup 5 inci sırasından %135 oranında özel hizmet tazminatı, Daire Başkanı kadrosu için, I sayılı Cetvelin (A) bölümünün 8 inci sırasından (800) puan iş güçlüğü zammı ile (900) puan temininde güçlük zammı olmak üzere toplam (1700) puan zam ve II sayılı Cetvelin (A) bölümünün 6 nci Grubunun 1 inci sırasından %200 oranında özel hizmet tazminatı öngörüldüğü dikkate alınarak, vekalet nedeniyle ödenecek zam ve tazminat farkı aşağıdaki şekilde hesaplanacaktır.</t>
  </si>
  <si>
    <t>Daire Başkam 
(Vekalet Edilen Kadro)</t>
  </si>
  <si>
    <t xml:space="preserve">       Görüleceği üzere, vekil memura, vekalet edilen Daire Başkanı için anılan Karar uyarınca öngörülen zam ve tazminatların toplam net tutarının, asli kadro ve görevi karşılığında fiilen alman zam ve tazminatların toplam net tutarından fazla olması nedeniyle, aradaki 405,76 TL'lik fark, 657 sayılı Kanunun 175 inci maddesindeki oranlar dikkate alınmaksızın, vekalet görevine başlanıldığı tarihten itibaren ve vekalet görevinin fiilen yapılmasını müteakip ödenecektir.</t>
  </si>
  <si>
    <t xml:space="preserve">       5- 375 sayılı Kanun Hükmünde Kararnamenin ek 10 uncu maddesi kapsamında olup, geçici 12 nci maddesinin yürürlüğe girdiği 15/1/2012 tarihinden önce yürürlükte bulunan mevzuat hükümlerine göre fiili çalışmaya bağlı ödemeler hariç olmak üzere kadrolarına bağlı olarak mali haklar kapsamında ikramiyelerin bir aya isabet eden tutarı da dahil olmak üzere fiilen yapılan her türlü ödemeler toplamı net tutarının; ek 10 uncu madde ve ekli (II) ve (III) sayılı Cetvellere göre kadro unvanları için öngörülen ücret ve tazminat toplamı net tutarından fazla olması halinde, 15/1/2012 tarihinde anılan kadro unvanlarında bulunanlar hakkında, bu tarihten önce yürürlükte bulunan mevzuat hükümlerinin uygulanmasına, aynı usul ve esaslar çerçevesinde geçici 10 uncu ve geçici 15 inci madde hükümleri dikkate alınmak suretiyle devam olunacaktır. 15/1/2012 tarihinden önce yürürlükte bulunan mevzuat hükümlerinden;</t>
  </si>
  <si>
    <t xml:space="preserve">        a)     Tebliğin (C) bölümünde de belirtildiği üzere, kadro karşılığı sözleşmeli olarak istihdam edilen personel için bu tarihten önce yürürlükte bulunan ve bunlar hakkında uygulanmakta olan mali ve sosyal hakların belirlendiği mevzuat hükümlerinin,</t>
  </si>
  <si>
    <t xml:space="preserve">       İlgililerin mali haklar kapsamında herhangi bir hak kaybına uğramaması için, bu maddede öngörülen karşılaştırma yıllık olarak hesaplanacak ortalama aylık tutarlar üzerinden yapılacaktır. Her yılın başında 1 Ocak tarihi itibarıyla geçerli olan katsayı ve sözleşme ücreti ile hesaplamaya ilişkin diğer tüm hususlar dikkate alınarak yılın tamamı için; ek 10 uncu madde uyarınca ödenebilecek ortalama aylık net tutar ile 15/1/2012 tarihinden önce yürürlükte bulunan mevzuat hükümlerine göre ödenebilecek ortalama aylık net tutar karşılaştırılacak ve buna göre işlem yapılacaktır. Bu şekilde yapılacak karşılaştırmalara, 15/1/2012 tarihinden önce yürürlükte bulunan mevzuat uyarınca ödenecek olan tutarın daha düşük kalacağı yıla kadar devam edilecektir.</t>
  </si>
  <si>
    <t xml:space="preserve">       Kadro karşılığı sözleşmeli personel statüsünde çalışanlar için 14/1/2012 tarihinde ve diğerleri için 15/1/2012 tarihinde yardımcı veya stajyer unvanlı kadrolarda bulunanlardan uzman, müfettiş, denetçi, kontrolör ve aktüer unvanlı kadrolara anılan tarihlerden sonra atananlar ile bu mesleklere mensup olup 15/1/2012 tarihinde idari görevlerde bulunanlardan uzman, müfettiş, kontrolör, aktüer, denetçi ve iç denetçi unvanlı kadrolara yeniden atananlar hakkında da aynı şekilde işlem yapılacak, bunlar dışında kadro unvanı değişenler ile kadro karşılığı sözleşmeli personel statüsünde çalışanlar için 14/1/2012 tarihinden ve diğerleri için 15/1/2012 tarihinden sonra ekli (II) ve (111) sayılı Cetvellerde yer alan kadrolara atananlar hakkında ise anılan tarihten önce yürürlükte bulunan mevzuat hükümleri uygulanmayacaktır. Geçici 12 nci maddenin uygulanması açısından müfettiş, kontrolör ve denetçi ibarelerinden, 657 sayılı Kanuna ekli ek gösterge ve makam tazminatı cetvellerinde olduğu gibi başmüfettiş, başkontrolör ve başdenetçilerin de anlaşılması gerekmektedir.</t>
  </si>
  <si>
    <t xml:space="preserve">       a) 15/1/2012 tarihinden önce yürürlükte olan mevzuat hükümlerine göre söz konusu Genel Müdür için hesaplanacak 2012 yılma ilişkin ortalama aylık net ödeme aşağıda gösterilmiştir.</t>
  </si>
  <si>
    <r>
      <rPr>
        <b/>
        <sz val="10"/>
        <rFont val="Arial"/>
        <family val="2"/>
        <charset val="162"/>
      </rPr>
      <t xml:space="preserve">        Örnek 6-</t>
    </r>
    <r>
      <rPr>
        <sz val="10"/>
        <rFont val="Arial"/>
        <family val="2"/>
        <charset val="162"/>
      </rPr>
      <t xml:space="preserve"> Başbakanlıkta kadro karşılığı sözleşmeli olarak istihdam edilen, sosyal güvenlik açısından 5434 sayılı Kanun hükümlerine tabi, 21 yıl hizmeti bulunan ve 1 inci derecenin 4 üncü kademesinde görev yapan bir Genel Müdür için geçici 12 nci madde uyarınca mali hak karşılaştırması aşağıdaki şekilde yapılacaktır.</t>
    </r>
  </si>
  <si>
    <t xml:space="preserve">       b) Ek 10 uncu maddeye göre söz konusu Genel Müdür için hesaplanacak ücret ve tazminata ilişkin ortalama aylık net ödeme aşağıda gösterilmiştir.</t>
  </si>
  <si>
    <t>[(Aylık gösterge x Aylık katsayı) + (Ek gösterge x Aylık katsayı) + (Taban aylık göstergesi x Taban aylık katsayısı) + (Hizmet yılı x 20 x Aylık katsayı) + (9500 x Ek Göstergeye bağlı tazminat oranı x Aylık katsayı)] x Prim oranı 
[(1.500x0,06446)+(6.400x0,06446)+(l.000x0,86251) + (21x20x0,06446) + (9500x1,80x0,06446)] x 0,20</t>
  </si>
  <si>
    <t xml:space="preserve">       Başbakanlıkta kadro karşılığı sözleşmeli olarak istihdam edilen bir Genel Müdür için 15/1/2012 tarihinden önce yürürlükte bulunan mevzuat hükümlerine göre hesaplanan bir yıllık ortalama aylık net ödeme tutarı 5.419,29 TL vc ck 10 uncu madde uyarınca hesaplanan bir yıllık ortalama aylık net ödeme tutarı ise 5.451,66 TL dir. Buna göre, 15/1/2012 tarihinden itibaren söz konusu Genel Müdüre ek 10 uncu madde hükümleri çerçevesinde ödeme yapılacaktır. Bu Genel Müdür için daha sonraki dönemlerde bir daha karşılaştırma işlemi yapılmayacağı gibi 15/1/2012 tarihinden önce yürürlükte bulunan mevzuat hükümlerine göre de herhangi bir ödeme yapılmayacaktır.</t>
  </si>
  <si>
    <t xml:space="preserve">       Örnek 7- Hazine Müsteşarlığında kadro karşılığı sözleşmeli olarak istihdam edilen, sosyal güvenlik açısından 5434 sayılı Kanun hükümlerine tabi, 12 yıl hizmeti bulunan ve 4 üncü derecenin 1 inci kademesinde görev yapan bir Hazine Uzmanı için geçici 12 nci madde uyarınca mali hak karşılaştırması aşağıdaki şekilde yapılacaktır.</t>
  </si>
  <si>
    <t xml:space="preserve">       a) 15/1/2012 tarihinden önce yürürlükte olan mevzuat hükümlerine göre söz konusu Hazine Uzmanı için hesaplanacak 2012 yılma ilişkin ortalama aylık net ödeme aşağıda gösterilmiştir.</t>
  </si>
  <si>
    <t xml:space="preserve">      b) Ek 10 uncu maddeye göre söz konusu Hazine Uzmanı için hesaplanacak ücrct ve tazminata ilişkin ortalama aylık net ödeme aşağıda gösterilmiştir.</t>
  </si>
  <si>
    <t>[(Aylık gösterge x Aylık katsayı) + (Ek gösterge x Aylık katsayı) + (Taban aylık göstergesi x Taban aylık katsayısı) + (Hizmet yılı x 20 x Aylık katsayı) + (9500 x Ek Göstergeye bağlı tazminat oranı x Aylık katsayı)] x Prim oranı [(915x0,06446)+( 1600x0,06446)+( 1.000x0,86251 )+ (12x20x0,06446)+ (9500x0,40x0,06446)] x 0,20</t>
  </si>
  <si>
    <t xml:space="preserve">       a) 15/1/2012 tarihinden önce yürürlükte olan mevzuat hükümlerine göre söz konusu İç Denetçi için hesaplanacak 2012 yılma ilişkin ortalama aylık net ödeme aşağıda gösterilmiştir.</t>
  </si>
  <si>
    <r>
      <rPr>
        <b/>
        <sz val="10"/>
        <rFont val="Arial"/>
        <family val="2"/>
        <charset val="162"/>
      </rPr>
      <t xml:space="preserve">       örnek 8-</t>
    </r>
    <r>
      <rPr>
        <sz val="10"/>
        <rFont val="Arial"/>
        <family val="2"/>
        <charset val="162"/>
      </rPr>
      <t xml:space="preserve"> Maliye Bakanlığında sosyal güvenlik açısından 5434 sayılı Kanun hükümlerine tabi, 25 yıl hizmeti bulunan ve 1 inci derecenin 4 üncü kademesinde görev yapan bir İç Denetçi için geçici 12 nci madde uyarınca mali hak karşılaştırması aşağıdaki şekilde yapılacaktır.</t>
    </r>
  </si>
  <si>
    <t xml:space="preserve">       Hazine Müsteşarlığında kadro karşılığı sözleşmeli olarak istihdam edilen 4 üncü derecenin birinci kademesindeki bir Hazine Uzmanı için 15/1/2012 tarihinden önce yürürlükte bulunan mevzuat hükümlerine göre hesaplanan bir yıllık ortalama aylık net ödeme tutarı 3.722,96 TL ve ek 10 uncu madde uyarınca hesaplanan bir yıllık ortalama aylık net ödeme tutarı ise 3.300,30 TL dir. Buna göre, söz konusu Hazine Uzmanına 2012 yılında 15/1/2012 tarihinden önce yürürlükte bulunan mevzuat hükümlerine göre ödeme yapılmaya devam olunacaktır. 2013 yılı ve daha sonraki dönemlerde bu şekilde yapılacak karşılaştırmalara, 15/1/2012 tarihinden önce yürürlükte bulunan mevzuat uyarınca ödenecek olan tutarın, ek 10 uncu maddeye göre yapılacak tutardan daha düşük kalacağı yıla kadar devam edilecektir.</t>
  </si>
  <si>
    <t xml:space="preserve">       b) Ek 10 uncu maddeye göre söz konusu İç Denetçi için hesaplanacak ücret ve tazminata ilişkin ortalama aylık net ödeme aşağıda gösterilmiştir.</t>
  </si>
  <si>
    <t>10- Emekli Keseneği İşveren Payı (5434 sayılı Kanun hükümlerine göre kesenek kapsamına giren unsurlar ile oranlar esas alınacaktır.)</t>
  </si>
  <si>
    <t>[(Aylık gösterge x Aylık katsayı) + (F.k gösterge x Aylık katsayı) + (Taban aylık göstergesi x Taban aylık katsayısı) + (Hizmet yılı x 20 x Aylık katsayı) + (9500 x Ek Göstergeye bağlı tazminat oranı x Aylık katsayı)] x Prim oram [(1500x0.06446)+(3600x0,06446)+( 1.000x0,86251)+ (25x20x0.06446)1- (9500x1.30x0.06446)1 x 0.20</t>
  </si>
  <si>
    <t>3- Emekli Keseneği İşveren Payı (5434 saydı Kanun hükümlerine göre kesenek kapsamına giren unsurlar ile oranlar esas alınacaktır.)</t>
  </si>
  <si>
    <t>[(Aylık gösterge x Aylık katsayı) + (Ek gösterge x Aylık katsayı) + (Taban aylık göstergesi x Taban aylık katsayısı) + (Hizmet yılı x 20 x Aylık katsayı) + (9500 x Ek Göstergeye bağlı tazminat oranı x Aylık katsayı)] x Prim oranı 1/1500x0,06446) ı (3600x0,06446)+( 1.000x0,86251)+ (25x20x0.06446)+ (9500x1,30x0.06446)1 x 0.20</t>
  </si>
  <si>
    <t xml:space="preserve">       Maliye Bakanlığında 1 inci derecenin dördüncü kademesindeki bir İç Denetçi için 15/1/2012 tarihinden önce yürürlükte bulunan mevzuat hükümlerine göre hesaplanan bir yıllık ortalama aylık net ödeme tutarı 3.917,36 TL ve ek 10 uncu madde uyarınca hesaplanan bir yıllık ortalama aylık net ödeme tutarı ise 3.799,89 TL dir. Buna göre, söz konusu îç Denetçiye 2012 yılında 15/1/2012 tarihinden önce yürürlükte bulunan mevzuat hükümlerine göre ödeme yapılmaya devam olunacaktır. 2013 yılı ve daha sonraki dönemlerde bu şekilde yapılacak karşılaştırmalara, 15/1/2012 tarihinden önce yürürlükte bulunan mevzuat uyarınca ödcnccek olan tutarın, ek 10 uncu maddeye göre yapılacak tutardan daha düşük kalacağı yıla kadar devam edilecektir.</t>
  </si>
  <si>
    <t xml:space="preserve">       375 sayılı Kanun Hükmünde Kararnamenin ek 12 nci maddesinin üçüncü fıkrası ile kamu kurum ve kuruluşlarında kadro karşılığı sözleşmeli personel çalıştırılmasına imkan sağlayan mevzuat hükümleri 14/1/2012 tarihinden geçerli olmak üzere yürürlükten kaldırılmış ve bu tarihten sonra söz konusu mevzuat hükümleri kapsamında yeni kadro karşılığı sözleşmeli personel istihdamı uygulamasına son verilmiştir.</t>
  </si>
  <si>
    <t xml:space="preserve">      -  İstihdam edilen personelden bu tarihten sonra herhangi bir nedenle kurumlarında (kurul başkan ve üyeliklerinden kurumu kadrolarına dönenler dahil) kadro veya pozisyon unvanları değişenlerin,</t>
  </si>
  <si>
    <t xml:space="preserve">      -  İstihdam edilen personelin (aylıksız izinde bulunanlar dahil),</t>
  </si>
  <si>
    <t xml:space="preserve">       4-   375 sayılı Kanun Hükmünde Kararnamenin geçici 12 nci ve geçici 16 nci maddeleri uyarınca kadro karşılığı sözleşmeli personel statüsü devam ettirilenler hakkında 15/1/2012 tarihinden önce yürürlükte bulunan mevzuat hükümlerinin uygulanmasına devam olunacağından, mevcut durumda olduğu gibi söz konusu personelle sözleşme yapılmaya devam edilecektir.</t>
  </si>
  <si>
    <t xml:space="preserve">       D) Cumhurbaşkanlığı Genel Sekreterliği, Türkiye lîüyük Millet Meclisi İdari Teşkilatı ve Milli Güvenlik Kurulu Genel Sekreterliği Personeline İlişkin Açıklamalar</t>
  </si>
  <si>
    <t xml:space="preserve">       666 sayılı Kanun Hükmünde Kararnamenin 1 inci ve 2 nci maddeleriyle 375 sayılı Kanun Hükmünde Kararnameye eklenen ek 11 inci maddenin birinci fıkrasının (a) ve (d) bentleri ve aynı maddenin ikinci fıkrası ile ek 14 üncü, geçici 10 uncu ve geçici 14 üncü maddeleri, 5 inci maddesinin (o) fıkrasıyla 5510 sayılı Kanunun 80 inci maddesinde yapılan değişiklik ve 8 inci maddesi hükümlerine göre;</t>
  </si>
  <si>
    <t xml:space="preserve">       1-   Cumhurbaşkanlığı Genel Sekreterliği, Türkiye Büyük Millet Meclisi İdari Teşkilatı ve Milli Güvenlik Kurulu Genel Sekreterliğine ait kadro veya pozisyonlarda 15/1/2012 tarihi itibarıyla istihdam edilen personel (aylıksız izinde bulunanlar dahil) ile anılan tarih itibarıyla bu kurumlarda istihdam edilen personelden bu tarihten sonra herhangi bir nedenle kadro veya pozisyon unvanları değişenlerin mali ve sosyal hakları hakkında 2/11/2011 tarihinde yürürlükte bulunan mevzuat hükümlerinin uygulanmasına, kurumlarında istihdam edildikleri sürece aynı usul ve esaslar çerçevesinde devam olunacaktır. Aynı şekilde 15/1/2012 tarihi itibarıyla bu kurumlarda geçici olarak görev yapan personel hakkında da 2/11/2011 tarihinde yürürlükte bulunan mevzuat hükümlerinin uygulanmasına, görevlendirildikleri kurumda görev yaptıkları sürece aynı usul ve esaslar çerçevesinde devam edilecektir.</t>
  </si>
  <si>
    <t xml:space="preserve">      Ancak anılan tarihte söz konusu mevzuat hükümleri kapsamında kadro karşılığı sözleşmeli olarak istihdam edilen personel, aşağıda belirtilen durumlarda bu tarihten sonra da aynı usul ve esaslar dahilinde istihdam edilmeye devam olunacaktır.</t>
  </si>
  <si>
    <t xml:space="preserve">      375 sayılı Kanun Hükmünde Kararnamenin ek 12 nci maddesinin üçüncü fıkrası, geçici 10 uncu, geçici 12 nci ve geçici 16 ncı maddelerinde yer alan hükümlere istinaden;</t>
  </si>
  <si>
    <t xml:space="preserve">      1-    14/1/2012 tarihi itibarıyla kadro karşılığı sözleşmeli personel statüsünde olup (3056 sayılı Kanunun 36 ncı maddesine göre istihdam edilenler dahil), 375 sayılı Kanun Hükmünde Kararnameye ekli (II) ve (III) sayılı Cetveller kapsamında yer alan personel hakkında, geçici 12 nci maddenin yürürlüğe girdiği 15/1/2012 tarihinden önce yürürlükte bulunan mevzuat hükümlerine göre fiili çalışmaya bağlı ödemeler hariç olmak üzere, kadrolarına bağlı olarak ikramiyelerin (teşvik ikramiyesi dahil) bir aya isabet eden tutarı dahil mali haklar kapsamında fiilen yapılan her türlü ödemeler toplamı net tutarının; anılan Kanun Hükmünde Kararnamenin ek 10 uncu maddesine göre söz konusu kadro unvanları için öngörülen ücret ve tazminat toplamı net tutarından fazla olması halinde, bu tarihten önce yürürlükte bulunan mevzuat hükümlerinin geçici 10 uncu madde hükümleri dikkate alınmak suretiyle uygulanmasına devam olunacaktır.</t>
  </si>
  <si>
    <t xml:space="preserve">      14/1/2012 tarihinde kadro karşılığı sözleşmeli personel olarak istihdam edilen yardımcı veya stajyerlerden 14/1/2012 tarihinden sonra uzman, müfettiş, denetçi, kontrolör ve aktüer unvanlı kadrolara atananlar ile bu mesleklere mensup olup 15/1/2012 tarihinde idari görevlerde bulunanlardan anılan kadrolara yeniden atananlar hakkında da aynı şekilde işlem yapılacaktır. Bunlar dışında kadro unvanı değişenler ile başka unvanlı kadrolara 14/1/2012 tarihinden sonra atananlar hakkında ise bu tarihten önce yürürlükte bulunan mevzuat hükümleri uygulanmayacaktır.</t>
  </si>
  <si>
    <t xml:space="preserve">      Bu kapsamda yer alan personelden, 375 sayılı Kanun Hükmünde Kararnamenin geçici 12 nci ve geçici 16 ncı madde hükümleri uyarınca haklarında 15/1/2012 tarihinden önce yürürlükte bulunan mevzuat hükümleri uygulanmasına devam olunacak sözleşmeli personele, mevzuatında ödenmesi öngörülen teşvik dahil ikramiye ödemeleri (Ocak ayı dahil) aynı usul ve esaslar dahilinde yapılmaya devam olunacaktır.</t>
  </si>
  <si>
    <t xml:space="preserve">       Diğer taraftan, geçici 12 nci maddede öngörülen mali hak karşılaştırması için bu Tebliğin (B) bölümünde yapılan açıklama ve hesaplamaların dikkate alınması gerekmektedir.</t>
  </si>
  <si>
    <t xml:space="preserve">       2-  Ek 10 uncu madde kapsamında yer alan kamu idarelerinde, 14/1/2012 tarihinde kadro karşılığı sözleşmeli personel olarak istihdam edilmekte olan, ancak 375 sayılı Kanun Hükmünde Kararnameye ekli (II) ve (III) sayılı Cetveller kapsamında yer almayan personelin mali ve sosyal hakları hakkında, aynı kadrolarda (yardımcılıktan uzmanlığa atananlar dahil) bulundukları sürece, 15/1/2012 tarihinden önce yürürlükte olan mevzuat hükümlerinin geçici 10 uncu madde hükümleri dikkate alınmak suretiyle uygulanmasına devam olunacaktır. Anılan tarihte aylıksız izinde bulunanlar ile geçici 16 ncı madde uyarınca kadro karşılığı sözleşmeli personel statüsünde istihdam edilmeye devam olunurken aylıksız izne ayrılanlardan görevlerine dönenler hakkında da aynı şekilde işlem yapılacaktır.</t>
  </si>
  <si>
    <r>
      <rPr>
        <b/>
        <sz val="10"/>
        <rFont val="Arial"/>
        <family val="2"/>
        <charset val="162"/>
      </rPr>
      <t xml:space="preserve">      Örneğin</t>
    </r>
    <r>
      <rPr>
        <sz val="10"/>
        <rFont val="Arial"/>
        <family val="2"/>
        <charset val="162"/>
      </rPr>
      <t>, 14/1/2012 tarihinde Spor Genel Müdürlüğünde kadro karşılığı sözleşmeli olarak çalışmakla olan ve unvanı ekli (II) ve (III) sayılı Cetvellerde yer almadığı için geçici 16 nci madde uyarınca kadro karşılığı sözleşmeli personel statüsü devam ettirilen bir şube müdürünün anılan tarihten sonra daire başkanı kadrosuna atanması halinde kadro karşılığı sözleşmeli personel statüsü sona erecek ve ekli (II) sayılı Cetvele göre ücret ve tazminattan oluşan ödemeden yararlanmaya başlayacaktır. Aynı şekilde Vakıflar Genel Müdürlüğünde kadro karşılığı sözleşmeli olarak mühendis kadrosunda görev yapan personelin 14/1/2012 tarihinden sonra herhangi bir tarihte şube müdürü kadrosuna atanması halinde kadro karşılığı sözleşmeli personel statüsü sona erecektir.</t>
    </r>
  </si>
  <si>
    <t xml:space="preserve">       3-   15/1/2012 tarihinden önce yürürlükte bulunan mevzuat hükümlerinin uygulanmasına devam olunurken, 2/11/2011 tarihi itibarıyla yürürlükte bulunan mali ve sosyal haklara ilişkin mevcut karar, onay veya diğer mevzuatı uyarınca yapılmış bulunan belirlemelerde herhangi bir değişiklik yapılmayacak ve yeni bir unsur cklcnmeyecektir. Yılın belirli dönemlerinde kamu görevlilerinin mali ve sosyal haklarında yapılan artışlar çerçevesinde sözleşme ücreti ve ikramiye gibi ödeme unsurları mevcut durumda olduğu gibi aynı usul ve esaslar çerçevesinde artırılmaya devam olunacaktır.</t>
  </si>
  <si>
    <t xml:space="preserve">      2-   2/11/2011 tarihi itibarıyla yürürlükte bulunan mali ve sosyal haklara ilişkin mevcut karar, onay veya diğer mevzuatı uyarınca yapılmış bulunan belirlemelerde herhangi bir değişiklik yapılmayacak ve yeni bir unsur ekienmeyecektir. Yılın belirli dönemlerinde kamu görevlilerinin mali ve sosyal haklarında yapılan artışlar çerçevesinde sözleşme ücreti ve ikramiye gibi ödeme unsurları mevcut durumda olduğu gibi aynı usul ve esaslar çerçevesinde artırılmaya devam olunacaktır.</t>
  </si>
  <si>
    <t xml:space="preserve">      4-   Cumhurbaşkanı, Türkiye Büyük Millet Meclisi Başkanı ve Başbakanın yakın koruma ve makam hizmetlerinde görev yapan personele 375 sayılı Kanun Hükmünde Kararnamenin ek 14 üncü maddesi uyarınca, ilgisine göre Cumhurbaşkanı, Türkiye Büyük Millet Meclisi Başkanı ve Başbakan tarafından belirlenecek tutarda ilave ek ödeme yapılabilecektir. Bu kapsamda görev yapan personele, görevlendirilmelerinden dolayı mevzuatı uyarınca da herhangi bir ad altında ödeme yapılmasının öngörülmüş olması halinde, bu ödemelerden yalnızca biri yapılacaktır.</t>
  </si>
  <si>
    <t xml:space="preserve">       3-    15/1/2012 tarihinden sonra Cumhurbaşkanlığı Genel Sekreterliği, Türkiye Büyük Millet Meclisi İdari Teşkilatı ve Milli Güvenlik Kurulu Genel Sekreterliğine ait kadro veya pozisyonlara ilk defa atanacak personel ile bu kurumların kadro veya pozisyonlarında bulunup, ayrılanlardan bu kurumların kadro veya pozisyonlarına yeniden atanacak personelin mali ve sosyal haklan hakkında 657 sayılı Kanun, 375 sayılı Kanun Hükmünde Kararname ile anılan Kanun ve Kanun Hükmünde Kararnameye istinaden yürürlüğe konulan diğer mevzuat hükümleri uygulanacaktır. Bu kapsamda yer alan personele, 15/1/2012 tarihi itibarıyla anılan kurumların kadro veya pozisyonlarında yer alan personele uygulanan mali ve sosyal haklar kapsamındaki mevzuat hükümleri uygulanmayacaktır. 15/1/2012 tarihinden sonra bu kurumlarda mali ve sosyal haklan kurumları tarafından ödenmek suretiyle geçici olarak görevlendirilenlere, 375 sayılı Kanun Hükmünde Kararnamenin ek 14 üncü maddesi ile 2443 sayılı Kanunun 8 inci maddesinin üçüncü fıkrasında öngörülen ödemeler hariç mali ve sosyal haklar kapsamında geçici olarak görev yaptıkları kurum tarafından herhangi bir ödeme yapılmayacaktır.</t>
  </si>
  <si>
    <t xml:space="preserve">       E) 5018 sayılı Kaııuııa Ekli (III) Sayılı Cetvelde Sayılan Düzenleyici ve Dcnctleyici Kurumlar ile Türk Akreditasyon Kurumu Genel Sekreterliği, Ulusal Bor Araştırma Enstitüsü Başkanlığı, Küçük vc Orta Ölçekli İşletmeleri Geliştirme ve Destekleme İdaresi Başkanlığı, Türk Standardları Enstitüsü Başkanlığı, Kalkınma Ajansları ve Mesleki Yeterlilik Kurumu Personeline İlişkin Hükümler</t>
  </si>
  <si>
    <t xml:space="preserve">       666 sayılı Kanun Hükmünde Kararnamenin 1 inci ve 2 nci maddeleriyle 375 sayılı Kanun Hükmünde Kararnameye eklenen ek 11 inci maddenin birinci fıkrasının (b), (c) ve (ç) bentleri ve aynı maddenin ikinci fıkrası ve geçici 10 uncu maddesi, 3 üncü ve 4 üncü maddeleriyle 657 sayılı Kanuna eklenen ek 41 inci ve ek 42 nci maddeleri ve geçici 39 uncu maddesi, 5 inci maddesinin (o) fıkrasıyla 5510 sayılı Kanunun 80 inci maddesinde yapılan değişiklik ve 8 inci maddesi hükümlerine göre;</t>
  </si>
  <si>
    <t xml:space="preserve">       a)     Düzenleyici ve denetleyici kurumlar ile Türk Akreditasyon Kurumu Genel Sekreterliği, Ulusal Bor Araştırma Enstitüsü Başkanlığı, Küçük ve Orta Ölçekli İşletmeleri Geliştirme ve Destekleme İdaresi Başkanlığı, Türk Standardları Enstitüsü Başkanlığı, kalkınma ajansları ve Mesleki Yeterlilik Kurumuna ait kadro veya pozisyonlarda;</t>
  </si>
  <si>
    <t xml:space="preserve">      b)   Düzenleyici ve denetleyici kurumlarda kurul başkanı veya kurul üyesi olarak görev yapmakta olanların,</t>
  </si>
  <si>
    <t xml:space="preserve">        t - 15/1/2012 tarihi itibarıyla;</t>
  </si>
  <si>
    <t xml:space="preserve">       mali ve sosyal hakları hakkında, kurumlarında görev yaptıkları sürece 2/11/2011 tarihinde yürürlükte bulunan mevzuat hükümlerinin aynı usul vc esaslar çerçevesinde uygulanmasına devam olunacaktır. Bunlardan 631 sayılı Kanun Hükmünde Kararnamenin 14 üncü maddesi kapsamında yer alanların mali ve sosyal haklan konusunda anılan madde ve bu madde uyarınca yürürlüğe konulan 8/2/2002 tarihli ve 2002/3729 sayılı Bakanlar Kurulu Karan hükümleri de uygulanmaya devam edecektir. Bu kapsamda yer alan personelin mali ve sosyal haklan, yılın belirli dönemlerinde kamu görevlilerinin mali ve sosyal haklarında yapılan artışlar ile 2002/3729 sayılı Kararda yer alan hükümler çerçevesinde mevcut durumda olduğu gibi aynı usul ve esaslar çerçevesinde artırılmaya devam olunacaktır.</t>
  </si>
  <si>
    <t xml:space="preserve">        2- 2/11/2011 tarihi itibarıyla yürürlükte bulunan mali vc sosyal haklara ilişkin mevzuatına uygun olarak yürürlüğe konulmuş mevcut karar, onay veya diğer mevzuatı uyarınca yapılmış bulunan belirlemelerde herhangi bir değişiklik yapılmayacak ve yeni bir unsur eklenmeyecektir.</t>
  </si>
  <si>
    <t xml:space="preserve">       3- 15/1/2012 tarihinden sonra;</t>
  </si>
  <si>
    <t xml:space="preserve">       a)    Söz konusu kurumlara ait kadro veya pozisyonlara ilk defa atanan personel ile bu kurumların kadro veya pozisyonlarında bulunup, ayrılanlardan bu kurumların kadro veya pozisyonlarına yeniden atanacak personelin,</t>
  </si>
  <si>
    <t xml:space="preserve">       b)   Düzenleyici ve denetleyici kurumlara kurul başkanı veya kurul üyesi olarak ilk defa veya yeniden atananların,</t>
  </si>
  <si>
    <t xml:space="preserve">        mali ve sosyal hakları, 375 sayılı Kanun Hükmünde Kararnamenin ek 11 inci maddesi ve bu madde uyarınca yürürlüğe konulacak Bakanlar Kurulu kararında yer alacak hükümlere ve belirlemelere göre tespit edilecektir.</t>
  </si>
  <si>
    <t xml:space="preserve">        F)   Fazla Çalışma Ücreti vc Geçici Görevlendirmelerde Yapılan Ödemelere Yönelik Hükümlere İlişkin Açıklamalar</t>
  </si>
  <si>
    <t xml:space="preserve">      G)  Diğer Hususlar</t>
  </si>
  <si>
    <t xml:space="preserve">       3-     5952 sayılı Kanunun 12 nci maddesi uyarınca Kamu Düzeni ve Güvenliği Müsteşarlığında ve 6114 sayılı Kanunun 6 nci maddesi uyarınca Ölçme, Seçme ve Yerleştirme Merkezi Başkanlığında geçici olarak görev yapan personele yapılan ödemelere ilişkin hükümlerin uygulanmasına, 31/12/2011 tarihi itibarıyla anılan hükümler uyarınca yapılan ödemelerden yararlanan personel bakımından 375 sayılı Kanun Hükmünde Kararnamenin geçici 15 inci maddesinin (b) bendi uyarınca 31/12/2014 tarihine kadar devam olunacak, ancak 1/1/2012 tarihînden itibaren görevlendirilenler açısından bu uygulama yapılmayacaktır.</t>
  </si>
  <si>
    <t xml:space="preserve">       2-   375 sayılı Kanun Hükmünde Kararnamenin geçici 12 nci maddesi hükmü uyarınca haklarında 15/1/2012 tarihinden önce yürürlükte bulunan mevzuat hükümlerinin uygulanmasına devam olunacaklardan, yukarıda belirtilen hükümlere göre fazla çalışma ücreti ödemelerinden yararlananlar için söz konusu ödemelere ilişkin hükümlerin uygulanmasına, geçici 15 inci maddenin (a) bendi uyarınca 31/12/2012 tarihine kadar devam olunacaktır.</t>
  </si>
  <si>
    <t xml:space="preserve">       Ancak, 375 sayılı Kanun Hükmünde Kararnamenin geçici 15 inci maddesi uyarınca söz konusu ödemelere ilişkin hükümler 31/12/2012 tarihine kadar uygulanmaya devam olunacak, bu süre içinde 6831 sayılı Kanunun 71 inci maddesine göre Orman Genel Müdürlüğü merkez teşkilatı personeli için öngörülen fazla çalışma ücretinin yarısı ödenecektir. Söz konusu fazla çalışma ücretleri, 375 sayılı Kanun Hükmünde Kararnamenin ek 10 uncu maddesi kapsamında ödeme yapılacak personele 1/1/2012 tarihinden itibaren ödenmeyecektir.</t>
  </si>
  <si>
    <t xml:space="preserve">        yer alan fazla çalışma ücreti ödemelerine ilişkin hükümler 31/12/2011 tarihi itibarıyla yürürlti kten kaldırı 1 m ı ştı r.</t>
  </si>
  <si>
    <t xml:space="preserve">       ı) 6831 sayılı Kanunun 71 inci maddesinin son fıkrasında,</t>
  </si>
  <si>
    <t xml:space="preserve">       h)   6085 sayılı Kanunun 63 üncü maddesinin sekizinci fıkrasında,</t>
  </si>
  <si>
    <t xml:space="preserve">       ğ) 5502 sayılı Kanunun 28 inci maddesinin beşinci fıkrasında,</t>
  </si>
  <si>
    <t xml:space="preserve">      g)   5490 sayılı Kanunun 66 nci maddesinde,</t>
  </si>
  <si>
    <t xml:space="preserve">      t) 5003 sayılı Kanunun 6 nci maddesinin ikinci, üçüncü ve dördüncü fıkralarında,</t>
  </si>
  <si>
    <t xml:space="preserve">      e)   4904 sayılı Kanunun 15 inci maddesinin yedinci fıkrasında,</t>
  </si>
  <si>
    <t xml:space="preserve">      d)   3843 sayılı Kanunun 12 nci maddesinin birinci ve ikinci fıkralarında,</t>
  </si>
  <si>
    <t xml:space="preserve">      ç) 3717 sayılı Kanunun 2/A maddesinde,</t>
  </si>
  <si>
    <t xml:space="preserve">      c)   3402 sayılı Kanunun geçici 9 uncu maddesinde,</t>
  </si>
  <si>
    <t xml:space="preserve">      b)  633 sayılı Kanunun 13 üncü maddesinin son fıkrasında,</t>
  </si>
  <si>
    <t xml:space="preserve">      a)    213 sayılı Kanunun ek 13 üncü maddesinin dördüncü fıkrasının (b), (c) ve (d) bentlerinde,</t>
  </si>
  <si>
    <t xml:space="preserve">      1-  375 sayılı Kanun Hükmünde Kararnamenin ek 12 nci maddesinin ikinci fıkrasıyla;</t>
  </si>
  <si>
    <t xml:space="preserve">       Birinci fıkra kapsamına giren personelden; 4/1/1961 tarihli ve 209 sayılı Kanunun 5 inci maddesinin ikinci fıkrası, 4/11/1981 tarihli ve 2547 sayılı Kanunun 58 inci maddesinin (c) ve (f) fıkraları ve 14/4/1982 tarihli ve 2659 sayılı Kanunun 30 uncu maddesi kapsamında döner sermayeden ek ödeme yapılan personele, 27/7/1967 tarihli ve 926 sayılı Kanunun ek 17 nci maddesinin (Ç) fıkrası uyarınca sağlık hizmetleri tazminatı ödenen personele, 27/10/1999 tarihli ve 4458 sayılı Kanunun 221 inci maddesi, 16/5/2006 tarihli ve 5502 sayılı Kanunun 28 inci maddesinin sekizinci fıkrası ve 663 sayılı Kanun Hükmünde Kararnamenin 28 inci maddesinin dördüncü fıkrası uyarınca ödeme yapılan personele, sözkonusu mevzuat hükümlerine göre ödeme yapılmaya devam olunur ve bunlara bu maddeye göre ayrıca ek ödeme yapılmaz. Bu fıkra kapsamında yer alan idarelerin döner sermaye saymanlık hizmetlerini yürüten personele sözkonusu mevzuat uyarınca döner sermaye gelirlerinden herhangi bir ödeme yapılmaz.</t>
  </si>
  <si>
    <t xml:space="preserve">      Ek ödemeye hak kazanılmasında ve bu ödemenin yapılmasında aylıklara ilişkin hükümler uygulanır. Bu maddeye göre yapılacak ek ödeme damga vergisi hariç herhangi bir vergiye tabi tutulmaz ve ilgili mevzuatı uyarınca ödenmekte olan zam, tazminat, ödenek, döner sermaye ödemesi, ikramiye, ücret ve her ne ad altında olursa olsun yapılan benzeri ödemelerin hesabında dikkate alınmaz.</t>
  </si>
  <si>
    <r>
      <t>puan</t>
    </r>
    <r>
      <rPr>
        <sz val="10"/>
        <color indexed="10"/>
        <rFont val="Arial"/>
        <family val="2"/>
        <charset val="162"/>
      </rPr>
      <t xml:space="preserve"> Temininde Güçlük Zammı</t>
    </r>
    <r>
      <rPr>
        <sz val="10"/>
        <rFont val="Arial"/>
        <family val="2"/>
        <charset val="162"/>
      </rPr>
      <t xml:space="preserve"> verilir.</t>
    </r>
  </si>
  <si>
    <r>
      <t xml:space="preserve">Bunlara (a) ve (b) fıkralarına göre verilen </t>
    </r>
    <r>
      <rPr>
        <sz val="10"/>
        <color indexed="10"/>
        <rFont val="Arial"/>
        <family val="2"/>
        <charset val="162"/>
      </rPr>
      <t xml:space="preserve">Temininde Güçlük Zammı puanının %50’si oranında İş Güçlüğü Zammı </t>
    </r>
    <r>
      <rPr>
        <sz val="10"/>
        <rFont val="Arial"/>
        <family val="2"/>
        <charset val="162"/>
      </rPr>
      <t>ayrıca ödenir.</t>
    </r>
  </si>
  <si>
    <r>
      <t xml:space="preserve">  </t>
    </r>
    <r>
      <rPr>
        <sz val="10"/>
        <color indexed="10"/>
        <rFont val="Arial"/>
        <family val="2"/>
        <charset val="162"/>
      </rPr>
      <t>Yardımcı</t>
    </r>
    <r>
      <rPr>
        <sz val="10"/>
        <rFont val="Arial"/>
        <family val="2"/>
        <charset val="162"/>
      </rPr>
      <t>, Stajyer veya aday durumunda olanlara</t>
    </r>
  </si>
  <si>
    <r>
      <t xml:space="preserve">     b) Bu Karar kapsamına dahil personelin ödemeye esas alınacak</t>
    </r>
    <r>
      <rPr>
        <b/>
        <u/>
        <sz val="10"/>
        <color indexed="10"/>
        <rFont val="Arial"/>
        <family val="2"/>
        <charset val="162"/>
      </rPr>
      <t xml:space="preserve"> İş Güçlüğü Zammı,</t>
    </r>
    <r>
      <rPr>
        <sz val="10"/>
        <color indexed="10"/>
        <rFont val="Arial"/>
        <family val="2"/>
        <charset val="162"/>
      </rPr>
      <t xml:space="preserve"> </t>
    </r>
    <r>
      <rPr>
        <b/>
        <u/>
        <sz val="10"/>
        <color indexed="10"/>
        <rFont val="Arial"/>
        <family val="2"/>
        <charset val="162"/>
      </rPr>
      <t>kadro unvanlarının I sayılı Cetvelde yer alıp almadığına bakılmaksızın (500) puandan az olamaz</t>
    </r>
    <r>
      <rPr>
        <sz val="10"/>
        <color indexed="10"/>
        <rFont val="Arial"/>
        <family val="2"/>
        <charset val="162"/>
      </rPr>
      <t xml:space="preserve"> (İlave olarak verilen İş Güçlüğü Zammı puanları hariç).</t>
    </r>
  </si>
  <si>
    <r>
      <t>b) Bölge ve</t>
    </r>
    <r>
      <rPr>
        <sz val="10"/>
        <color indexed="10"/>
        <rFont val="Arial"/>
        <family val="2"/>
        <charset val="162"/>
      </rPr>
      <t xml:space="preserve"> İl düzeyinde teftiş, denetim veya inceleme yetkisine sahip olup,</t>
    </r>
  </si>
  <si>
    <t>Asgari Geçim İndirimi</t>
  </si>
  <si>
    <t>Derece Sakatlık
İndirim Miktarı TL</t>
  </si>
  <si>
    <t>MEMUR MAAŞ HESAPLAMALARINDA KULLANILAN  KATSAYILAR</t>
  </si>
  <si>
    <t>Yıl / Ay</t>
  </si>
  <si>
    <t>Aylık Katsayı</t>
  </si>
  <si>
    <t>Taban Aylık Katsayısı</t>
  </si>
  <si>
    <t>2012 YILI GELİR VERGİSİ TARİFESİ (Ücret Gelirleri İçin)</t>
  </si>
  <si>
    <t xml:space="preserve">               </t>
  </si>
  <si>
    <t xml:space="preserve">       hiçbir suretle söz konusu ek 9 uncu maddenin birinci fıkrasında belirtilen ek ödemeden yararlandırılmayacaktır.</t>
  </si>
  <si>
    <t>Ödenen A.G.İ. Miktarı (3)</t>
  </si>
  <si>
    <t>G.V.  (1*2)</t>
  </si>
  <si>
    <t>Kesilen G V  (6-4)</t>
  </si>
  <si>
    <t>Aylık G.V.Matrahı (1)</t>
  </si>
  <si>
    <t>Matrah (8-5)</t>
  </si>
  <si>
    <t>G.V. (9*2)</t>
  </si>
  <si>
    <t>Ödenmesi Gereken Agi</t>
  </si>
  <si>
    <t>Fazla ödenen Agi  (4-11)</t>
  </si>
  <si>
    <r>
      <t xml:space="preserve">        c) </t>
    </r>
    <r>
      <rPr>
        <sz val="10"/>
        <color indexed="10"/>
        <rFont val="Arial"/>
        <family val="2"/>
        <charset val="162"/>
      </rPr>
      <t>16 ve 17</t>
    </r>
    <r>
      <rPr>
        <sz val="10"/>
        <rFont val="Arial"/>
        <family val="2"/>
        <charset val="162"/>
      </rPr>
      <t xml:space="preserve"> nci sırada sayılanlara </t>
    </r>
    <r>
      <rPr>
        <sz val="10"/>
        <color indexed="10"/>
        <rFont val="Arial"/>
        <family val="2"/>
        <charset val="162"/>
      </rPr>
      <t>(500)</t>
    </r>
    <r>
      <rPr>
        <sz val="10"/>
        <rFont val="Arial"/>
        <family val="2"/>
        <charset val="162"/>
      </rPr>
      <t xml:space="preserve"> puana kadar İş Riski Zammı, kadro unvanları ile ilgili görevleri fiilen yaptıkları sürece ayrıca verilebilir.</t>
    </r>
  </si>
  <si>
    <r>
      <t xml:space="preserve">c) Çözümleyici, </t>
    </r>
    <r>
      <rPr>
        <sz val="10"/>
        <color indexed="10"/>
        <rFont val="Arial"/>
        <family val="2"/>
        <charset val="162"/>
      </rPr>
      <t>Programcı</t>
    </r>
    <r>
      <rPr>
        <sz val="10"/>
        <rFont val="Arial"/>
        <family val="2"/>
        <charset val="162"/>
      </rPr>
      <t>....................................</t>
    </r>
  </si>
  <si>
    <r>
      <t xml:space="preserve">3-     a) 16/a sırasında sayılanlara (1300), </t>
    </r>
    <r>
      <rPr>
        <sz val="10"/>
        <color indexed="10"/>
        <rFont val="Arial"/>
        <family val="2"/>
        <charset val="162"/>
      </rPr>
      <t>16/b ve c</t>
    </r>
    <r>
      <rPr>
        <sz val="10"/>
        <rFont val="Arial"/>
        <family val="2"/>
        <charset val="162"/>
      </rPr>
      <t xml:space="preserve"> sıralarında sayılanlara </t>
    </r>
    <r>
      <rPr>
        <sz val="10"/>
        <color indexed="10"/>
        <rFont val="Arial"/>
        <family val="2"/>
        <charset val="162"/>
      </rPr>
      <t>(1100)</t>
    </r>
    <r>
      <rPr>
        <sz val="10"/>
        <rFont val="Arial"/>
        <family val="2"/>
        <charset val="162"/>
      </rPr>
      <t>, 16/d ve e sıralarında sayılanlara ise (750) puana kadar Temininde Güçlük Zammı,</t>
    </r>
  </si>
  <si>
    <t xml:space="preserve"> (01.01.2012-30.06.2012 döneminde)</t>
  </si>
  <si>
    <t xml:space="preserve"> (01.01.2013-30.06.2013 döneminde)</t>
  </si>
  <si>
    <r>
      <t xml:space="preserve"> Şube Müdürü, Müdür, </t>
    </r>
    <r>
      <rPr>
        <sz val="10"/>
        <color indexed="10"/>
        <rFont val="Arial"/>
        <family val="2"/>
        <charset val="162"/>
      </rPr>
      <t>Muhakemat Müdürü</t>
    </r>
    <r>
      <rPr>
        <sz val="10"/>
        <rFont val="Arial"/>
        <family val="2"/>
        <charset val="162"/>
      </rPr>
      <t>, Sayman, Başkan, Başuzman (KİT) ……………</t>
    </r>
  </si>
  <si>
    <t>29 Temmuz 2007 PAZAR</t>
  </si>
  <si>
    <t>Sayı : 26597</t>
  </si>
  <si>
    <t>Karar Sayısı : 2007/12394</t>
  </si>
  <si>
    <t>             Ekli “Devlet Memurlarına Ödenecek Zam ve Tazminatlara İlişkin Kararda Değişiklik Yapılması Hakkında Karar”ın yürürlüğe konulması; Devlet Personel Başkanlığının görüşüne dayanan Maliye Bakanlığının 18/6/2007 tarihli ve 11755 sayılı yazısı üzerine, 657 sayılı Devlet Memurları Kanununun 152 nci maddesine göre, Bakanlar Kurulu’nca 3/7/2007 tarihinde kararlaştırılmıştır.</t>
  </si>
  <si>
    <t>                                                                                                                                  Ahmet Necdet SEZER</t>
  </si>
  <si>
    <t>                                                                                                                                   CUMHURBAŞKANI</t>
  </si>
  <si>
    <t>    Recep Tayyip ERDOĞAN</t>
  </si>
  <si>
    <t>                  Başbakan</t>
  </si>
  <si>
    <t>                   A. GÜL                                         A. ŞENER                                M. A. ŞAHİN                      B. ATALAY</t>
  </si>
  <si>
    <t>    Dışişleri Bak. ve Başb. Yrd.             Devlet Bak. ve Başb. Yrd.          Devlet Bak. ve Başb. Yrd.            Devlet Bakanı</t>
  </si>
  <si>
    <t>              A. BABACAN                                 B. ATALAY                             N. ÇUBUKÇU                    K. TÜZMEN</t>
  </si>
  <si>
    <t xml:space="preserve">               Devlet Bakanı                               Devlet Bakanı V.                           Devlet Bakanı                     Devlet  Bakanı </t>
  </si>
  <si>
    <t>               F. KASIRGA                                 M. V.GÖNÜL                               O. GÜNEŞ                     K. UNAKITAN</t>
  </si>
  <si>
    <t>               Adalet Bakanı                           Milli Savunma Bakanı                       İçişleri Bakanı                     Maliye Bakanı</t>
  </si>
  <si>
    <t>                  H. ÇELİK                                     F. N. ÖZAK                                R.AKDAĞ                         İ. YILMAZ</t>
  </si>
  <si>
    <t>          Milli Eğitim Bakanı                  Bayındırlık ve İskan Bakanı                   Sağlık Bakanı                    Ulaştırma Bakanı</t>
  </si>
  <si>
    <t>                           M. M. EKER                                    M. BAŞESGİOĞLU                            A. COŞKUN</t>
  </si>
  <si>
    <t>                 Tarım ve Köyişleri Bakanı                    Çalışma ve Sos. Güv. Bakanı             Sanayi ve Ticaret Bakanı</t>
  </si>
  <si>
    <t>                           M.H.GÜLER                                              A. KOÇ                                          O. PEPE</t>
  </si>
  <si>
    <t>            Enerji ve Tabii Kaynaklar Bakanı                 Kültür ve Turizm Bakanı                 Çevre ve Orman Bakanı</t>
  </si>
  <si>
    <t>DEVLET MEMURLARINA ÖDENECEK ZAM VE TAZMİNATLARA</t>
  </si>
  <si>
    <t xml:space="preserve">İLİŞKİN KARARDA DEĞİŞİKLİK YAPILMASI </t>
  </si>
  <si>
    <t>HAKKINDA KARAR</t>
  </si>
  <si>
    <t>             MADDE 1 – 17/4/2006 tarihli ve 2006/10344 sayılı Bakanlar Kurulu Kararı ile yürürlüğe konulan Devlet Memurlarına Ödenecek Zam ve Tazminatlara İlişkin Karar’ın eki II sayılı Cetvelin “(A) Üst Yönetim Ve Genel İdare Hizmetleri” bölümünün 10 uncu grubunun beşinci sırasında yer alan “Muhakemat Müdürü” unvanı kaldırılmış, 8 inci grubuna aşağıdaki sıra eklenmiştir.</t>
  </si>
  <si>
    <t>             “8      Muhakemat Müdürü.......................................................................: 1”</t>
  </si>
  <si>
    <t>             MADDE 2 – Bu Karar, 15/4/2007 tarihinden geçerli olmak üzere yayımı tarihinde yürürlüğe girer.</t>
  </si>
  <si>
    <t>             MADDE 3 – Bu Kararı Bakanlar Kurulu yürütür.</t>
  </si>
  <si>
    <r>
      <t xml:space="preserve">Bölge Müdür Yardımcısı, </t>
    </r>
    <r>
      <rPr>
        <sz val="10"/>
        <color indexed="10"/>
        <rFont val="Arial"/>
        <family val="2"/>
        <charset val="162"/>
      </rPr>
      <t>Muhakemat Müdürü</t>
    </r>
    <r>
      <rPr>
        <sz val="10"/>
        <rFont val="Arial"/>
        <family val="2"/>
        <charset val="162"/>
      </rPr>
      <t xml:space="preserve"> (Belediye ve KİT’ler hariç) ....</t>
    </r>
  </si>
  <si>
    <t>( 01.01.2012 TARİHİNDEN İTİBAREN )</t>
  </si>
  <si>
    <t>2013 YILI ASGARİ GEÇİM İNDİRİMİ TUTARLARI</t>
  </si>
  <si>
    <t>2014 YILI ASGARİ GEÇİM İNDİRİMİ TUTARLARI</t>
  </si>
  <si>
    <t>( 01.01.2013 TARİHİNDEN İTİBAREN )</t>
  </si>
  <si>
    <t>2013 YILI GELİR VERGİSİ TARİFESİ (Ücret Gelirleri İçin)</t>
  </si>
  <si>
    <r>
      <t xml:space="preserve">  h) En az 3 yıl süreli yükseköğrenim veren fakülte ve yüksekokulları bitirerek mesleğe özel yarışma sınavı ile giren ve belirli süreli meslek içi eğitimden sonra özel bir yeterlik sınavı sonunda atanan Devlet Personel Uzmanları, Afet ve Acil Durum Yönetimi Uzmanları, (21) Maliye Bakanlığı Devlet Bütçe Uzmanları, Konsolosluk ve İhtisas Memurları,(26)(…)(17), Çalışma Uzmanları, Yurt Dışı İşçi Hizmetleri Uzmanları, İş Sağlığı ve Güvenliği Uzmanları, Çalışma ve Sosyal Güvenlik Eğitim Uzmanları,(7) Mali Suçları Araştırma Uzmanları Devlet Muhasebe Uzmanları, Devlet Gelir Politikaları Uzmanları, (32) Devlet Gelir Uzmanları, Devlet Malları Uzmanları, Gelir Uzmanları, İl İstihdam Uzmanları, (40) Mali Hizmetler Uzmanları,(16) Milli Emlak Uzmanları,Vergi İstihbarat Uzmanları, (…)(38), Bakanlık ve bağlı kuruluşların A.B Uzmanları, İçişleri Bakanlığı Planlama Uzmanları, (…)(5) (…)(31) (…) (13) (…)(12) (…) (11) (…)(17) ,(8) Kültür ve Turizm Uzmanları,(4) Yazma Eser Uzmanları,(28) (…)(39) Vakıf Uzmanları,(18) Tapu ve Kadastro Uzmanları,(27) Diyanet İşleri Uzmanları, Din İşleri Yüksek Kurulu Uzmanları,(25) (…)(30) (...)(2) (…)(39) (…)(30) Yurtdışı Türkler ve Akraba Topluluklar Uzmanları, (23) Ölçme, Seçme ve Yerleştirme Merkezi Uzmanları,(29) (…) (17) , TİKA Uzmanları(37), Sanayi ve Teknoloji Uzmanları, Çevre ve Şehircilik Uzmanları, Orman ve Su İşleri Uzmanları, Gençlik ve Spor Uzmanları, Aile ve Sosyal Politikalar Uzmanları, Gıda, Tarım ve Hayvancılık Uzmanları, Gümrük ve Ticaret Uzmanları, İhracatı Geliştirme Uzmanları,(30) Savunma Sanayii Uzmanları,(33) Basın ve Enformasyon Uzmanları,(34) Yüksek Kurum Uzmanları,(41) (Ek İbare: 19/6/1994-KHK-543) </t>
    </r>
    <r>
      <rPr>
        <u/>
        <sz val="8"/>
        <color rgb="FFFF0000"/>
        <rFont val="Times New Roman"/>
        <family val="1"/>
        <charset val="162"/>
      </rPr>
      <t>En az üç yıl süreli Yüksek Öğretim veren Fakülte veya Yüksekokulu bitirerek yapılacak sınav sonucunda denetmen yardımcısı kadrolarına atanmış ve en az üç yıl bu kadrolarda çalıştıktan sonra bu süredeki çalışmaları olumlu bulunmak kaydıyla</t>
    </r>
    <r>
      <rPr>
        <sz val="8"/>
        <color theme="1"/>
        <rFont val="Times New Roman"/>
        <family val="1"/>
        <charset val="162"/>
      </rPr>
      <t xml:space="preserve"> Muhasebe Denetmeni (..) (32) ve Milli Emlak Denetmeni, Ürün Denetmenleri (30) , </t>
    </r>
    <r>
      <rPr>
        <sz val="8"/>
        <color indexed="10"/>
        <rFont val="Times New Roman"/>
        <family val="1"/>
        <charset val="162"/>
      </rPr>
      <t>Defterdarlık Uzmanları (38)</t>
    </r>
    <r>
      <rPr>
        <sz val="8"/>
        <color indexed="8"/>
        <rFont val="Times New Roman"/>
        <family val="1"/>
        <charset val="162"/>
      </rPr>
      <t xml:space="preserve"> , (…)(27) İstihdam Uzmanları, (40) (6) Marka Uzmanı, Patent Uzmanı, kadrosuna atanmış olanlar. (1)(10)(20)(25)(26)(27)(28)(29)(30)(31)(32)(33)(34) (39)(40)(41)</t>
    </r>
  </si>
  <si>
    <t>2012 YILI İÇİN BAZI DAMGA VERGİSİ NİSPETLERİ VE MAKTU TUTARLAR</t>
  </si>
  <si>
    <t>2013 YILI İÇİN BAZI DAMGA VERGİSİ NİSPETLERİ VE MAKTU TUTARLAR</t>
  </si>
  <si>
    <t>Binde 7,59</t>
  </si>
  <si>
    <t>http://www.mevzuat.gov.tr/Metin.Aspx?MevzuatKod=1.3.6245&amp;MevzuatIliski=0&amp;sourceXmlSearch=</t>
  </si>
  <si>
    <t>KANUNLAR</t>
  </si>
  <si>
    <t>S.K.</t>
  </si>
  <si>
    <t>http://www.mevzuat.gov.tr/MevzuatMetin/1.5.657.pdf</t>
  </si>
  <si>
    <t>http://www.alomaliye.com/pratik_bilgiler_ana.htm</t>
  </si>
  <si>
    <t xml:space="preserve">Pratik Bilgiler </t>
  </si>
  <si>
    <t>http://www.bumko.gov.tr/TR,909/maas-istatistikleri--verileri.html</t>
  </si>
  <si>
    <t xml:space="preserve">BUMKO </t>
  </si>
  <si>
    <t>AİLE YARDIMI ÖDENEĞİ</t>
  </si>
  <si>
    <t xml:space="preserve"> (Eş İçin Yapılan Ödeme)</t>
  </si>
  <si>
    <t>Yürürlük Tarihi</t>
  </si>
  <si>
    <t xml:space="preserve">Gösterge </t>
  </si>
  <si>
    <t>Tutar (TL/YTL)</t>
  </si>
  <si>
    <t>1 Ekim 1978</t>
  </si>
  <si>
    <t>1 Mart 1979</t>
  </si>
  <si>
    <t>1 Mart 1980</t>
  </si>
  <si>
    <t>1 Mart 1981</t>
  </si>
  <si>
    <t>1 Mart 1982</t>
  </si>
  <si>
    <t>1 Ocak 1983</t>
  </si>
  <si>
    <t>1 Mart 1984</t>
  </si>
  <si>
    <t xml:space="preserve"> 01 ocak 1986</t>
  </si>
  <si>
    <t>(Bir Çocuk için Yapılan Ödeme)</t>
  </si>
  <si>
    <t>GEÇERLİLİK TARİHİ</t>
  </si>
  <si>
    <t>GÖSTERGE</t>
  </si>
  <si>
    <t>MİKTAR (TL/YTL)</t>
  </si>
  <si>
    <t>İlkokul</t>
  </si>
  <si>
    <t>Orta-Lise</t>
  </si>
  <si>
    <t>Yüksek Okul</t>
  </si>
  <si>
    <t>Diğer</t>
  </si>
  <si>
    <t>1 Mart 1972</t>
  </si>
  <si>
    <t>1 Mart 1973</t>
  </si>
  <si>
    <t>Not: Çocuk için ödenmekte olan aile yardımı ödeneği, 15/1/2005 tarihinden itibaren (0-6) yaş grubunda yer alan çocuklar için bir kat artırımlı ödenmektedir.</t>
  </si>
  <si>
    <t>AYLIK
KATSAYI</t>
  </si>
  <si>
    <t>EN YÜKSEK DEVLET MEMURU AYLIĞI</t>
  </si>
  <si>
    <t>Gösterge</t>
  </si>
  <si>
    <t>Ek Gösterge</t>
  </si>
  <si>
    <t>En Yüksek Devlet Memuru Aylığı (TL/YTL)</t>
  </si>
  <si>
    <t>1 Mart 1970</t>
  </si>
  <si>
    <t>1 Aralık 1971</t>
  </si>
  <si>
    <t>1 Mart 1974</t>
  </si>
  <si>
    <t>1 Mart 1975</t>
  </si>
  <si>
    <t>1 Mart 1976</t>
  </si>
  <si>
    <t>1 Mart 1977</t>
  </si>
  <si>
    <t>1 Mart 1978</t>
  </si>
  <si>
    <t>1 Kasım 1978</t>
  </si>
  <si>
    <t>1 Ocak 1984</t>
  </si>
  <si>
    <t>1 Temmuz 1984</t>
  </si>
  <si>
    <t>1 Ocak 1985</t>
  </si>
  <si>
    <t>1 Temmuz 1985</t>
  </si>
  <si>
    <t>1 Ocak 1986</t>
  </si>
  <si>
    <t>1 Temmuz 1986</t>
  </si>
  <si>
    <t>1 Ocak 1987</t>
  </si>
  <si>
    <t>1 Temmuz 1987</t>
  </si>
  <si>
    <t>1 Ocak 1988</t>
  </si>
  <si>
    <t>1 Temmuz 1988</t>
  </si>
  <si>
    <t>1 Ocak 1989</t>
  </si>
  <si>
    <t>15 Nisan 1989</t>
  </si>
  <si>
    <t>1 Temmuz 1989</t>
  </si>
  <si>
    <t>15 Temmuz 1989</t>
  </si>
  <si>
    <t>1 Ocak 1990</t>
  </si>
  <si>
    <t>1 Temmuz 1990</t>
  </si>
  <si>
    <t>1 Ocak 1991</t>
  </si>
  <si>
    <t>1 Temmuz 1991</t>
  </si>
  <si>
    <t>1 Ocak 1992</t>
  </si>
  <si>
    <t>1 Temmuz 1992</t>
  </si>
  <si>
    <t>1 Ocak 1993</t>
  </si>
  <si>
    <t>1 Temmuz 1993</t>
  </si>
  <si>
    <t>1 Ekim 1993</t>
  </si>
  <si>
    <t>1 Ocak 1994</t>
  </si>
  <si>
    <t>1 Nisan 1994</t>
  </si>
  <si>
    <t>1 Ocak 1995</t>
  </si>
  <si>
    <t>1 Nisan 1995</t>
  </si>
  <si>
    <t>15 Kasım 1995</t>
  </si>
  <si>
    <t>1 Temmuz 1996</t>
  </si>
  <si>
    <t>1 Ocak 1997</t>
  </si>
  <si>
    <t>1 Temmuz 1997</t>
  </si>
  <si>
    <t>1 Ocak 1998</t>
  </si>
  <si>
    <t>1 Temmuz 1998</t>
  </si>
  <si>
    <t>1 Ekim 1998</t>
  </si>
  <si>
    <t>1 Ocak 1999</t>
  </si>
  <si>
    <t>1 Temmuz 1999</t>
  </si>
  <si>
    <t>1 Ocak 2000</t>
  </si>
  <si>
    <t>15 Haziran 2000</t>
  </si>
  <si>
    <t>1 Temmuz 2000</t>
  </si>
  <si>
    <t>15 Aralık 2000</t>
  </si>
  <si>
    <t>1 Ocak 2001</t>
  </si>
  <si>
    <t>15 Nisan 2001</t>
  </si>
  <si>
    <t>15 Mayıs 2001</t>
  </si>
  <si>
    <t>15 Haziran 2001</t>
  </si>
  <si>
    <t>1 Temmuz 2001</t>
  </si>
  <si>
    <t>15 Eylül 2001</t>
  </si>
  <si>
    <t>15 Ekim 2001</t>
  </si>
  <si>
    <t>15 Kasım 2001</t>
  </si>
  <si>
    <t>15 Aralık 2001</t>
  </si>
  <si>
    <t>1 Ocak 2002</t>
  </si>
  <si>
    <t>15 Mayıs 2002</t>
  </si>
  <si>
    <t>1 Temmuz 2002</t>
  </si>
  <si>
    <t>1 Ocak 2003</t>
  </si>
  <si>
    <t>1 Ocak 2004</t>
  </si>
  <si>
    <t>1 Temmuz 2004</t>
  </si>
  <si>
    <t>1 Ocak 2005</t>
  </si>
  <si>
    <t>1 Temmuz 2005</t>
  </si>
  <si>
    <t>1 Ocak 2006</t>
  </si>
  <si>
    <t>1 Temmuz 2006</t>
  </si>
  <si>
    <t>1 Ocak 2007</t>
  </si>
  <si>
    <t>1 Temmuz 2007</t>
  </si>
  <si>
    <t>1 Ocak 2008</t>
  </si>
  <si>
    <t>1 Temmuz 2008</t>
  </si>
  <si>
    <t>1 Ocak 2009</t>
  </si>
  <si>
    <t>1 Temmuz 2009</t>
  </si>
  <si>
    <t>1 Ocak 2010</t>
  </si>
  <si>
    <t>1 Temmuz 2010</t>
  </si>
  <si>
    <t>1 Ocak 2011</t>
  </si>
  <si>
    <t>1 Temmuz 2011</t>
  </si>
  <si>
    <t>1 Ocak 2012</t>
  </si>
  <si>
    <t>1 Temmuz 2012</t>
  </si>
  <si>
    <t>http://www.memurlar.net/haber/36809/</t>
  </si>
  <si>
    <t>http://www.memurlar.net/</t>
  </si>
  <si>
    <t>http://www.memurlar.net/haber/36809/#.UQqB3KP5uZQ</t>
  </si>
</sst>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42" formatCode="_-* #,##0\ &quot;TL&quot;_-;\-* #,##0\ &quot;TL&quot;_-;_-* &quot;-&quot;\ &quot;TL&quot;_-;_-@_-"/>
    <numFmt numFmtId="43" formatCode="_-* #,##0.00\ _T_L_-;\-* #,##0.00\ _T_L_-;_-* &quot;-&quot;??\ _T_L_-;_-@_-"/>
    <numFmt numFmtId="164" formatCode="#,##0.00\ _T_L"/>
    <numFmt numFmtId="165" formatCode="#,##0.00\ "/>
    <numFmt numFmtId="166" formatCode="yyyy"/>
    <numFmt numFmtId="167" formatCode="#\ ###\ ###\ ###\ "/>
    <numFmt numFmtId="168" formatCode="_-* #,##0\ _T_L_-;\-* #,##0\ _T_L_-;_-* &quot;-&quot;??\ _T_L_-;_-@_-"/>
    <numFmt numFmtId="169" formatCode="#,##0.00\ &quot;TL&quot;"/>
    <numFmt numFmtId="170" formatCode="0.0"/>
    <numFmt numFmtId="171" formatCode="#,##0\ &quot;TL&quot;"/>
    <numFmt numFmtId="172" formatCode="[$-41F]d\ mmmm\ yyyy;@"/>
    <numFmt numFmtId="173" formatCode="#,##0.0000"/>
    <numFmt numFmtId="174" formatCode="#,##0.000"/>
    <numFmt numFmtId="175" formatCode="#,##0.00000"/>
    <numFmt numFmtId="176" formatCode="#,##0.000000"/>
    <numFmt numFmtId="177" formatCode="#,##0.0000000"/>
    <numFmt numFmtId="178" formatCode="dd/mmmm/yyyy"/>
  </numFmts>
  <fonts count="226">
    <font>
      <sz val="10"/>
      <name val="Arial"/>
      <charset val="162"/>
    </font>
    <font>
      <sz val="10"/>
      <name val="Arial"/>
      <family val="2"/>
      <charset val="162"/>
    </font>
    <font>
      <b/>
      <sz val="11"/>
      <color indexed="9"/>
      <name val="Times New Roman"/>
      <family val="1"/>
    </font>
    <font>
      <sz val="11"/>
      <color indexed="8"/>
      <name val="Times New Roman"/>
      <family val="1"/>
    </font>
    <font>
      <sz val="11"/>
      <name val="Times New Roman"/>
      <family val="1"/>
    </font>
    <font>
      <b/>
      <sz val="11"/>
      <color indexed="8"/>
      <name val="Times New Roman"/>
      <family val="1"/>
    </font>
    <font>
      <b/>
      <sz val="11"/>
      <name val="Times New Roman"/>
      <family val="1"/>
    </font>
    <font>
      <sz val="11"/>
      <color indexed="10"/>
      <name val="Times New Roman"/>
      <family val="1"/>
    </font>
    <font>
      <u/>
      <sz val="10"/>
      <color indexed="12"/>
      <name val="Arial"/>
      <family val="2"/>
      <charset val="162"/>
    </font>
    <font>
      <sz val="10"/>
      <name val="Arial Narrow"/>
      <family val="2"/>
    </font>
    <font>
      <sz val="10"/>
      <name val="Arial"/>
      <family val="2"/>
      <charset val="162"/>
    </font>
    <font>
      <sz val="10"/>
      <name val="Arial Tur"/>
      <family val="2"/>
      <charset val="162"/>
    </font>
    <font>
      <b/>
      <u/>
      <sz val="30"/>
      <name val="Cooper Black"/>
      <family val="1"/>
    </font>
    <font>
      <b/>
      <sz val="14"/>
      <name val="Arial Tur"/>
      <charset val="162"/>
    </font>
    <font>
      <sz val="16"/>
      <name val="Arial Tur"/>
      <family val="2"/>
      <charset val="162"/>
    </font>
    <font>
      <b/>
      <sz val="10"/>
      <name val="Arial Tur"/>
      <charset val="162"/>
    </font>
    <font>
      <b/>
      <sz val="12"/>
      <name val="Arial Tur"/>
      <family val="2"/>
      <charset val="162"/>
    </font>
    <font>
      <b/>
      <sz val="12"/>
      <name val="Arial"/>
      <family val="2"/>
      <charset val="162"/>
    </font>
    <font>
      <b/>
      <sz val="12"/>
      <name val="Arial Tur"/>
      <charset val="162"/>
    </font>
    <font>
      <sz val="12"/>
      <name val="Arial Tur"/>
      <family val="2"/>
      <charset val="162"/>
    </font>
    <font>
      <sz val="10"/>
      <name val="Arial"/>
      <family val="2"/>
      <charset val="162"/>
    </font>
    <font>
      <b/>
      <sz val="10"/>
      <name val="Arial"/>
      <family val="2"/>
      <charset val="162"/>
    </font>
    <font>
      <b/>
      <sz val="9"/>
      <name val="Arial"/>
      <family val="2"/>
      <charset val="162"/>
    </font>
    <font>
      <sz val="10"/>
      <name val="Arial Tur"/>
      <charset val="162"/>
    </font>
    <font>
      <sz val="14"/>
      <name val="Arial Tur"/>
      <family val="2"/>
      <charset val="162"/>
    </font>
    <font>
      <sz val="8"/>
      <name val="Arial Tur"/>
      <family val="2"/>
      <charset val="162"/>
    </font>
    <font>
      <b/>
      <sz val="11"/>
      <name val="Arial Tur"/>
      <family val="2"/>
      <charset val="162"/>
    </font>
    <font>
      <b/>
      <sz val="10"/>
      <name val="Arial Tur"/>
      <family val="2"/>
      <charset val="162"/>
    </font>
    <font>
      <sz val="12"/>
      <name val="Arial"/>
      <family val="2"/>
      <charset val="162"/>
    </font>
    <font>
      <b/>
      <sz val="12"/>
      <color indexed="8"/>
      <name val="Times New Roman"/>
      <family val="1"/>
      <charset val="162"/>
    </font>
    <font>
      <sz val="9"/>
      <color indexed="8"/>
      <name val="Times New Roman"/>
      <family val="1"/>
      <charset val="162"/>
    </font>
    <font>
      <b/>
      <sz val="9"/>
      <color indexed="8"/>
      <name val="Times New Roman"/>
      <family val="1"/>
      <charset val="162"/>
    </font>
    <font>
      <sz val="9"/>
      <color indexed="60"/>
      <name val="Times New Roman"/>
      <family val="1"/>
      <charset val="162"/>
    </font>
    <font>
      <u/>
      <sz val="12"/>
      <color indexed="60"/>
      <name val="Times New Roman"/>
      <family val="1"/>
      <charset val="162"/>
    </font>
    <font>
      <b/>
      <u/>
      <sz val="12"/>
      <color indexed="60"/>
      <name val="Times New Roman"/>
      <family val="1"/>
      <charset val="162"/>
    </font>
    <font>
      <b/>
      <u/>
      <sz val="9"/>
      <color indexed="60"/>
      <name val="Times New Roman"/>
      <family val="1"/>
      <charset val="162"/>
    </font>
    <font>
      <sz val="7"/>
      <color indexed="8"/>
      <name val="Times New Roman"/>
      <family val="1"/>
      <charset val="162"/>
    </font>
    <font>
      <vertAlign val="superscript"/>
      <sz val="9"/>
      <color indexed="8"/>
      <name val="Times New Roman"/>
      <family val="1"/>
      <charset val="162"/>
    </font>
    <font>
      <b/>
      <sz val="11"/>
      <color indexed="8"/>
      <name val="Times New Roman"/>
      <family val="1"/>
      <charset val="162"/>
    </font>
    <font>
      <sz val="11"/>
      <color indexed="8"/>
      <name val="Times New Roman"/>
      <family val="1"/>
      <charset val="162"/>
    </font>
    <font>
      <sz val="8"/>
      <color indexed="8"/>
      <name val="Times New Roman"/>
      <family val="1"/>
      <charset val="162"/>
    </font>
    <font>
      <u/>
      <sz val="9"/>
      <color indexed="8"/>
      <name val="Times New Roman"/>
      <family val="1"/>
      <charset val="162"/>
    </font>
    <font>
      <i/>
      <sz val="8"/>
      <color indexed="8"/>
      <name val="Times New Roman"/>
      <family val="1"/>
      <charset val="162"/>
    </font>
    <font>
      <vertAlign val="superscript"/>
      <sz val="8"/>
      <color indexed="8"/>
      <name val="Times New Roman"/>
      <family val="1"/>
      <charset val="162"/>
    </font>
    <font>
      <i/>
      <sz val="7"/>
      <color indexed="8"/>
      <name val="Times New Roman"/>
      <family val="1"/>
      <charset val="162"/>
    </font>
    <font>
      <sz val="9"/>
      <color indexed="8"/>
      <name val="TimesTürk"/>
    </font>
    <font>
      <sz val="11"/>
      <name val="Arial"/>
      <family val="2"/>
      <charset val="162"/>
    </font>
    <font>
      <b/>
      <sz val="10"/>
      <color indexed="8"/>
      <name val="Times New Roman"/>
      <family val="1"/>
      <charset val="162"/>
    </font>
    <font>
      <vertAlign val="superscript"/>
      <sz val="12"/>
      <color indexed="8"/>
      <name val="Times New Roman"/>
      <family val="1"/>
      <charset val="162"/>
    </font>
    <font>
      <b/>
      <vertAlign val="superscript"/>
      <sz val="10"/>
      <color indexed="8"/>
      <name val="Times New Roman"/>
      <family val="1"/>
      <charset val="162"/>
    </font>
    <font>
      <sz val="9"/>
      <name val="Arial"/>
      <family val="2"/>
      <charset val="162"/>
    </font>
    <font>
      <sz val="10"/>
      <color indexed="8"/>
      <name val="Times New Roman"/>
      <family val="1"/>
      <charset val="162"/>
    </font>
    <font>
      <b/>
      <sz val="9"/>
      <name val="Times New Roman"/>
      <family val="1"/>
      <charset val="162"/>
    </font>
    <font>
      <sz val="9"/>
      <name val="Times New Roman"/>
      <family val="1"/>
      <charset val="162"/>
    </font>
    <font>
      <sz val="8"/>
      <name val="Times New Roman"/>
      <family val="1"/>
      <charset val="162"/>
    </font>
    <font>
      <vertAlign val="superscript"/>
      <sz val="8"/>
      <name val="Times New Roman"/>
      <family val="1"/>
      <charset val="162"/>
    </font>
    <font>
      <vertAlign val="superscript"/>
      <sz val="9"/>
      <name val="Times New Roman"/>
      <family val="1"/>
      <charset val="162"/>
    </font>
    <font>
      <i/>
      <sz val="8"/>
      <name val="Times New Roman"/>
      <family val="1"/>
      <charset val="162"/>
    </font>
    <font>
      <i/>
      <sz val="7"/>
      <name val="Times New Roman"/>
      <family val="1"/>
      <charset val="162"/>
    </font>
    <font>
      <sz val="7"/>
      <name val="Times New Roman"/>
      <family val="1"/>
      <charset val="162"/>
    </font>
    <font>
      <sz val="8"/>
      <color indexed="10"/>
      <name val="Times New Roman"/>
      <family val="1"/>
      <charset val="162"/>
    </font>
    <font>
      <sz val="7.5"/>
      <name val="Times New Roman"/>
      <family val="1"/>
      <charset val="162"/>
    </font>
    <font>
      <vertAlign val="superscript"/>
      <sz val="10"/>
      <color indexed="8"/>
      <name val="Times New Roman"/>
      <family val="1"/>
      <charset val="162"/>
    </font>
    <font>
      <sz val="10"/>
      <name val="Times New Roman"/>
      <family val="1"/>
      <charset val="162"/>
    </font>
    <font>
      <vertAlign val="superscript"/>
      <sz val="10"/>
      <name val="Times New Roman"/>
      <family val="1"/>
      <charset val="162"/>
    </font>
    <font>
      <sz val="48"/>
      <name val="Times New Roman Bold"/>
      <family val="1"/>
    </font>
    <font>
      <sz val="10"/>
      <name val="Times New Roman Bold"/>
      <family val="1"/>
    </font>
    <font>
      <b/>
      <sz val="8"/>
      <name val="Arial"/>
      <family val="2"/>
      <charset val="162"/>
    </font>
    <font>
      <b/>
      <sz val="14"/>
      <name val="Arial"/>
      <family val="2"/>
      <charset val="162"/>
    </font>
    <font>
      <sz val="8"/>
      <name val="Arial"/>
      <family val="2"/>
      <charset val="162"/>
    </font>
    <font>
      <b/>
      <u/>
      <sz val="14"/>
      <name val="Arial"/>
      <family val="2"/>
      <charset val="162"/>
    </font>
    <font>
      <sz val="9"/>
      <color indexed="10"/>
      <name val="Times New Roman"/>
      <family val="1"/>
      <charset val="162"/>
    </font>
    <font>
      <vertAlign val="superscript"/>
      <sz val="9"/>
      <color indexed="10"/>
      <name val="Times New Roman"/>
      <family val="1"/>
      <charset val="162"/>
    </font>
    <font>
      <sz val="14"/>
      <name val="Arial"/>
      <family val="2"/>
      <charset val="162"/>
    </font>
    <font>
      <sz val="10"/>
      <color indexed="10"/>
      <name val="Arial"/>
      <family val="2"/>
      <charset val="162"/>
    </font>
    <font>
      <sz val="14"/>
      <color indexed="10"/>
      <name val="Arial"/>
      <family val="2"/>
      <charset val="162"/>
    </font>
    <font>
      <b/>
      <sz val="7"/>
      <name val="Arial"/>
      <family val="2"/>
      <charset val="162"/>
    </font>
    <font>
      <sz val="12"/>
      <name val="Times New Roman"/>
      <family val="1"/>
      <charset val="162"/>
    </font>
    <font>
      <b/>
      <sz val="12"/>
      <name val="Times New Roman"/>
      <family val="1"/>
      <charset val="162"/>
    </font>
    <font>
      <b/>
      <u/>
      <sz val="12"/>
      <name val="Times New Roman"/>
      <family val="1"/>
      <charset val="162"/>
    </font>
    <font>
      <b/>
      <u/>
      <sz val="10"/>
      <color indexed="10"/>
      <name val="Arial"/>
      <family val="2"/>
      <charset val="162"/>
    </font>
    <font>
      <b/>
      <sz val="8"/>
      <color indexed="81"/>
      <name val="Tahoma"/>
      <family val="2"/>
      <charset val="162"/>
    </font>
    <font>
      <sz val="12"/>
      <name val="Arial Unicode MS"/>
      <family val="2"/>
      <charset val="162"/>
    </font>
    <font>
      <sz val="12"/>
      <color indexed="63"/>
      <name val="Times New Roman"/>
      <family val="1"/>
      <charset val="162"/>
    </font>
    <font>
      <sz val="9"/>
      <color indexed="10"/>
      <name val="TimesTürk"/>
    </font>
    <font>
      <sz val="11"/>
      <name val="Calibri"/>
      <family val="2"/>
      <charset val="162"/>
    </font>
    <font>
      <b/>
      <sz val="9"/>
      <name val="Calibri"/>
      <family val="2"/>
      <charset val="162"/>
    </font>
    <font>
      <b/>
      <u/>
      <sz val="9"/>
      <name val="TR Arial"/>
    </font>
    <font>
      <sz val="9"/>
      <name val="Calibri"/>
      <family val="2"/>
      <charset val="162"/>
    </font>
    <font>
      <strike/>
      <sz val="9"/>
      <name val="Times New Roman"/>
      <family val="1"/>
      <charset val="162"/>
    </font>
    <font>
      <sz val="9"/>
      <color indexed="10"/>
      <name val="Calibri"/>
      <family val="2"/>
      <charset val="162"/>
    </font>
    <font>
      <sz val="8"/>
      <color indexed="81"/>
      <name val="Tahoma"/>
      <family val="2"/>
      <charset val="162"/>
    </font>
    <font>
      <b/>
      <sz val="11"/>
      <name val="Arial"/>
      <family val="2"/>
      <charset val="162"/>
    </font>
    <font>
      <sz val="10"/>
      <name val="Times"/>
    </font>
    <font>
      <b/>
      <sz val="9"/>
      <name val="MS Mincho"/>
      <family val="3"/>
      <charset val="162"/>
    </font>
    <font>
      <sz val="9"/>
      <name val="MS Mincho"/>
      <family val="3"/>
      <charset val="162"/>
    </font>
    <font>
      <sz val="9"/>
      <color indexed="10"/>
      <name val="Arial"/>
      <family val="2"/>
      <charset val="162"/>
    </font>
    <font>
      <b/>
      <sz val="9"/>
      <color indexed="12"/>
      <name val="Arial"/>
      <family val="2"/>
      <charset val="162"/>
    </font>
    <font>
      <sz val="9"/>
      <color indexed="8"/>
      <name val="Arial"/>
      <family val="2"/>
      <charset val="162"/>
    </font>
    <font>
      <b/>
      <sz val="9"/>
      <color indexed="10"/>
      <name val="Arial"/>
      <family val="2"/>
      <charset val="162"/>
    </font>
    <font>
      <b/>
      <sz val="9"/>
      <color indexed="10"/>
      <name val="MS Mincho"/>
      <family val="3"/>
      <charset val="162"/>
    </font>
    <font>
      <b/>
      <u/>
      <sz val="9"/>
      <name val="Arial"/>
      <family val="2"/>
      <charset val="162"/>
    </font>
    <font>
      <sz val="12"/>
      <color indexed="10"/>
      <name val="Arial"/>
      <family val="2"/>
      <charset val="162"/>
    </font>
    <font>
      <b/>
      <sz val="12"/>
      <color indexed="10"/>
      <name val="Arial"/>
      <family val="2"/>
      <charset val="162"/>
    </font>
    <font>
      <b/>
      <u/>
      <sz val="12"/>
      <color indexed="10"/>
      <name val="Arial"/>
      <family val="2"/>
      <charset val="162"/>
    </font>
    <font>
      <u/>
      <sz val="12"/>
      <color indexed="10"/>
      <name val="Arial"/>
      <family val="2"/>
      <charset val="162"/>
    </font>
    <font>
      <b/>
      <sz val="10"/>
      <name val="Times New Roman"/>
      <family val="1"/>
      <charset val="162"/>
    </font>
    <font>
      <u/>
      <sz val="10"/>
      <name val="Times New Roman"/>
      <family val="1"/>
      <charset val="162"/>
    </font>
    <font>
      <b/>
      <sz val="18"/>
      <name val="Times New Roman"/>
      <family val="1"/>
      <charset val="162"/>
    </font>
    <font>
      <b/>
      <sz val="11"/>
      <color indexed="10"/>
      <name val="Arial"/>
      <family val="2"/>
      <charset val="162"/>
    </font>
    <font>
      <i/>
      <sz val="12"/>
      <name val="Times New Roman"/>
      <family val="1"/>
      <charset val="162"/>
    </font>
    <font>
      <sz val="14"/>
      <color indexed="10"/>
      <name val="Times New Roman"/>
      <family val="1"/>
      <charset val="162"/>
    </font>
    <font>
      <sz val="12"/>
      <color indexed="60"/>
      <name val="Times New Roman"/>
      <family val="1"/>
      <charset val="162"/>
    </font>
    <font>
      <sz val="12"/>
      <color indexed="10"/>
      <name val="Times New Roman"/>
      <family val="1"/>
      <charset val="162"/>
    </font>
    <font>
      <b/>
      <sz val="12"/>
      <color indexed="60"/>
      <name val="Times New Roman"/>
      <family val="1"/>
      <charset val="162"/>
    </font>
    <font>
      <i/>
      <sz val="9"/>
      <name val="Times New Roman"/>
      <family val="1"/>
      <charset val="162"/>
    </font>
    <font>
      <vertAlign val="superscript"/>
      <sz val="12"/>
      <name val="Times New Roman"/>
      <family val="1"/>
      <charset val="162"/>
    </font>
    <font>
      <vertAlign val="superscript"/>
      <sz val="12"/>
      <color indexed="60"/>
      <name val="Times New Roman"/>
      <family val="1"/>
      <charset val="162"/>
    </font>
    <font>
      <sz val="14"/>
      <color indexed="10"/>
      <name val="Calibri"/>
      <family val="2"/>
      <charset val="162"/>
    </font>
    <font>
      <u/>
      <sz val="12"/>
      <color indexed="10"/>
      <name val="Calibri"/>
      <family val="2"/>
      <charset val="162"/>
    </font>
    <font>
      <sz val="12"/>
      <name val="Calibri"/>
      <family val="2"/>
      <charset val="162"/>
    </font>
    <font>
      <sz val="7"/>
      <name val="Arial"/>
      <family val="2"/>
      <charset val="162"/>
    </font>
    <font>
      <sz val="6"/>
      <name val="Arial"/>
      <family val="2"/>
      <charset val="162"/>
    </font>
    <font>
      <b/>
      <sz val="11"/>
      <color indexed="8"/>
      <name val="Calibri"/>
      <family val="2"/>
      <charset val="162"/>
    </font>
    <font>
      <sz val="10"/>
      <color indexed="53"/>
      <name val="Arial"/>
      <family val="2"/>
      <charset val="162"/>
    </font>
    <font>
      <b/>
      <sz val="8"/>
      <color indexed="8"/>
      <name val="Calibri"/>
      <family val="2"/>
      <charset val="162"/>
    </font>
    <font>
      <b/>
      <sz val="12"/>
      <name val="Times New Roman Tur"/>
      <family val="1"/>
      <charset val="162"/>
    </font>
    <font>
      <sz val="12"/>
      <name val="Times New Roman Tur"/>
      <family val="1"/>
      <charset val="162"/>
    </font>
    <font>
      <sz val="14"/>
      <color indexed="81"/>
      <name val="Tahoma"/>
      <family val="2"/>
      <charset val="162"/>
    </font>
    <font>
      <b/>
      <sz val="11"/>
      <color theme="1"/>
      <name val="Calibri"/>
      <family val="2"/>
      <charset val="162"/>
      <scheme val="minor"/>
    </font>
    <font>
      <sz val="11"/>
      <color rgb="FFC00000"/>
      <name val="Calibri"/>
      <family val="2"/>
      <scheme val="minor"/>
    </font>
    <font>
      <sz val="14"/>
      <color theme="1"/>
      <name val="Calibri"/>
      <family val="2"/>
      <scheme val="minor"/>
    </font>
    <font>
      <sz val="11"/>
      <color theme="0"/>
      <name val="Calibri"/>
      <family val="2"/>
      <scheme val="minor"/>
    </font>
    <font>
      <sz val="10"/>
      <color theme="9" tint="-0.249977111117893"/>
      <name val="Arial"/>
      <family val="2"/>
      <charset val="162"/>
    </font>
    <font>
      <b/>
      <sz val="12"/>
      <color theme="1"/>
      <name val="Calibri"/>
      <family val="2"/>
      <charset val="162"/>
      <scheme val="minor"/>
    </font>
    <font>
      <b/>
      <sz val="11"/>
      <color theme="1"/>
      <name val="Arial"/>
      <family val="2"/>
      <charset val="162"/>
    </font>
    <font>
      <b/>
      <sz val="11"/>
      <color theme="1"/>
      <name val="Calibri"/>
      <family val="2"/>
      <scheme val="minor"/>
    </font>
    <font>
      <sz val="9"/>
      <color theme="1"/>
      <name val="Times New Roman"/>
      <family val="1"/>
      <charset val="162"/>
    </font>
    <font>
      <b/>
      <sz val="9"/>
      <color theme="1"/>
      <name val="Times New Roman"/>
      <family val="1"/>
      <charset val="162"/>
    </font>
    <font>
      <b/>
      <sz val="11"/>
      <color rgb="FF800080"/>
      <name val="Palatino Linotype"/>
      <family val="1"/>
      <charset val="162"/>
    </font>
    <font>
      <b/>
      <sz val="12"/>
      <color theme="1"/>
      <name val="Arial"/>
      <family val="2"/>
      <charset val="162"/>
    </font>
    <font>
      <b/>
      <sz val="12"/>
      <color rgb="FFFF0000"/>
      <name val="Times New Roman"/>
      <family val="1"/>
      <charset val="162"/>
    </font>
    <font>
      <b/>
      <sz val="12"/>
      <color theme="1"/>
      <name val="Times New Roman"/>
      <family val="1"/>
      <charset val="162"/>
    </font>
    <font>
      <b/>
      <sz val="12"/>
      <color theme="1"/>
      <name val="Calibri"/>
      <family val="2"/>
      <scheme val="minor"/>
    </font>
    <font>
      <b/>
      <sz val="9"/>
      <color rgb="FFC00000"/>
      <name val="Times New Roman"/>
      <family val="1"/>
      <charset val="162"/>
    </font>
    <font>
      <sz val="12"/>
      <color theme="1"/>
      <name val="Times New Roman"/>
      <family val="1"/>
      <charset val="162"/>
    </font>
    <font>
      <b/>
      <sz val="11"/>
      <color rgb="FFFF0000"/>
      <name val="Calibri"/>
      <family val="2"/>
      <scheme val="minor"/>
    </font>
    <font>
      <b/>
      <sz val="12"/>
      <color rgb="FFFF0000"/>
      <name val="Calibri"/>
      <family val="2"/>
      <scheme val="minor"/>
    </font>
    <font>
      <b/>
      <sz val="18"/>
      <color theme="1"/>
      <name val="Times New Roman"/>
      <family val="1"/>
      <charset val="162"/>
    </font>
    <font>
      <b/>
      <sz val="8"/>
      <color theme="1"/>
      <name val="Times New Roman"/>
      <family val="1"/>
      <charset val="162"/>
    </font>
    <font>
      <sz val="8"/>
      <color theme="1"/>
      <name val="Times New Roman"/>
      <family val="1"/>
      <charset val="162"/>
    </font>
    <font>
      <sz val="11"/>
      <color theme="1"/>
      <name val="Times New Roman"/>
      <family val="1"/>
      <charset val="162"/>
    </font>
    <font>
      <b/>
      <sz val="14"/>
      <color theme="1"/>
      <name val="Times New Roman"/>
      <family val="1"/>
      <charset val="162"/>
    </font>
    <font>
      <sz val="11"/>
      <color rgb="FF000000"/>
      <name val="Times New Roman"/>
      <family val="1"/>
      <charset val="162"/>
    </font>
    <font>
      <i/>
      <sz val="8"/>
      <color theme="1"/>
      <name val="Times New Roman"/>
      <family val="1"/>
      <charset val="162"/>
    </font>
    <font>
      <sz val="10"/>
      <color theme="1"/>
      <name val="Times New Roman"/>
      <family val="1"/>
      <charset val="162"/>
    </font>
    <font>
      <b/>
      <sz val="11"/>
      <color theme="1"/>
      <name val="Times New Roman"/>
      <family val="1"/>
      <charset val="162"/>
    </font>
    <font>
      <i/>
      <sz val="9"/>
      <color theme="1"/>
      <name val="Times New Roman"/>
      <family val="1"/>
      <charset val="162"/>
    </font>
    <font>
      <sz val="12"/>
      <color rgb="FF000000"/>
      <name val="Times New Roman"/>
      <family val="1"/>
      <charset val="162"/>
    </font>
    <font>
      <sz val="7"/>
      <color theme="1"/>
      <name val="Times New Roman"/>
      <family val="1"/>
      <charset val="162"/>
    </font>
    <font>
      <sz val="10"/>
      <color theme="9" tint="-0.499984740745262"/>
      <name val="Arial"/>
      <family val="2"/>
      <charset val="162"/>
    </font>
    <font>
      <sz val="10"/>
      <color rgb="FF444444"/>
      <name val="Tahoma"/>
      <family val="2"/>
      <charset val="162"/>
    </font>
    <font>
      <sz val="12"/>
      <color rgb="FF444444"/>
      <name val="Times New Roman"/>
      <family val="1"/>
      <charset val="162"/>
    </font>
    <font>
      <sz val="12"/>
      <color rgb="FFFF0000"/>
      <name val="Times New Roman"/>
      <family val="1"/>
      <charset val="162"/>
    </font>
    <font>
      <sz val="12"/>
      <color rgb="FFC00000"/>
      <name val="Times New Roman"/>
      <family val="1"/>
      <charset val="162"/>
    </font>
    <font>
      <b/>
      <sz val="9"/>
      <color rgb="FFFF0000"/>
      <name val="Times New Roman"/>
      <family val="1"/>
      <charset val="162"/>
    </font>
    <font>
      <b/>
      <i/>
      <sz val="9"/>
      <color rgb="FFFF0000"/>
      <name val="Times New Roman"/>
      <family val="1"/>
      <charset val="162"/>
    </font>
    <font>
      <b/>
      <sz val="14"/>
      <color theme="1"/>
      <name val="Calibri"/>
      <family val="2"/>
      <charset val="162"/>
      <scheme val="minor"/>
    </font>
    <font>
      <sz val="10"/>
      <color rgb="FFFF0000"/>
      <name val="Arial"/>
      <family val="2"/>
      <charset val="162"/>
    </font>
    <font>
      <b/>
      <sz val="11"/>
      <color rgb="FFFF0000"/>
      <name val="Times New Roman"/>
      <family val="1"/>
      <charset val="162"/>
    </font>
    <font>
      <b/>
      <sz val="10"/>
      <color rgb="FFFF0000"/>
      <name val="Arial"/>
      <family val="2"/>
      <charset val="162"/>
    </font>
    <font>
      <b/>
      <sz val="11"/>
      <color rgb="FFFF0000"/>
      <name val="Times New Roman"/>
      <family val="1"/>
    </font>
    <font>
      <b/>
      <sz val="18"/>
      <color rgb="FFFF0000"/>
      <name val="Times New Roman"/>
      <family val="1"/>
    </font>
    <font>
      <sz val="14"/>
      <color rgb="FFC00000"/>
      <name val="Times New Roman"/>
      <family val="1"/>
    </font>
    <font>
      <sz val="16"/>
      <color rgb="FF000000"/>
      <name val="Times New Roman"/>
      <family val="1"/>
      <charset val="162"/>
    </font>
    <font>
      <i/>
      <sz val="8"/>
      <color rgb="FFFF0000"/>
      <name val="Times New Roman"/>
      <family val="1"/>
      <charset val="162"/>
    </font>
    <font>
      <i/>
      <sz val="8"/>
      <color rgb="FF000000"/>
      <name val="Times New Roman"/>
      <family val="1"/>
      <charset val="162"/>
    </font>
    <font>
      <i/>
      <sz val="7"/>
      <color theme="1"/>
      <name val="Times New Roman"/>
      <family val="1"/>
      <charset val="162"/>
    </font>
    <font>
      <sz val="16"/>
      <color theme="1"/>
      <name val="Times New Roman"/>
      <family val="1"/>
      <charset val="162"/>
    </font>
    <font>
      <b/>
      <sz val="10"/>
      <color theme="1"/>
      <name val="Times New Roman"/>
      <family val="1"/>
      <charset val="162"/>
    </font>
    <font>
      <b/>
      <u/>
      <sz val="9"/>
      <color theme="1"/>
      <name val="Times New Roman"/>
      <family val="1"/>
      <charset val="162"/>
    </font>
    <font>
      <sz val="9"/>
      <color rgb="FF000000"/>
      <name val="Times New Roman"/>
      <family val="1"/>
      <charset val="162"/>
    </font>
    <font>
      <b/>
      <u/>
      <sz val="9"/>
      <color rgb="FF000080"/>
      <name val="Arial"/>
      <family val="2"/>
      <charset val="162"/>
    </font>
    <font>
      <b/>
      <sz val="9"/>
      <color rgb="FF000080"/>
      <name val="Arial"/>
      <family val="2"/>
      <charset val="162"/>
    </font>
    <font>
      <sz val="9"/>
      <color rgb="FFC00000"/>
      <name val="Times New Roman"/>
      <family val="1"/>
      <charset val="162"/>
    </font>
    <font>
      <u/>
      <sz val="9"/>
      <color theme="1"/>
      <name val="Times New Roman"/>
      <family val="1"/>
      <charset val="162"/>
    </font>
    <font>
      <b/>
      <sz val="10"/>
      <color rgb="FFC00000"/>
      <name val="Times New Roman"/>
      <family val="1"/>
      <charset val="162"/>
    </font>
    <font>
      <b/>
      <u/>
      <sz val="10"/>
      <color rgb="FFC00000"/>
      <name val="Times New Roman"/>
      <family val="1"/>
      <charset val="162"/>
    </font>
    <font>
      <b/>
      <sz val="16"/>
      <color theme="1"/>
      <name val="Times New Roman"/>
      <family val="1"/>
      <charset val="162"/>
    </font>
    <font>
      <b/>
      <sz val="14"/>
      <color rgb="FFFF0000"/>
      <name val="Calibri"/>
      <family val="2"/>
      <scheme val="minor"/>
    </font>
    <font>
      <sz val="12"/>
      <color rgb="FF000080"/>
      <name val="Arial"/>
      <family val="2"/>
      <charset val="162"/>
    </font>
    <font>
      <sz val="10"/>
      <color theme="4" tint="-0.249977111117893"/>
      <name val="Arial"/>
      <family val="2"/>
      <charset val="162"/>
    </font>
    <font>
      <b/>
      <i/>
      <u/>
      <sz val="10"/>
      <color rgb="FFFF0000"/>
      <name val="Arial"/>
      <family val="2"/>
      <charset val="162"/>
    </font>
    <font>
      <sz val="10"/>
      <color rgb="FF0070C0"/>
      <name val="Arial"/>
      <family val="2"/>
      <charset val="162"/>
    </font>
    <font>
      <sz val="9"/>
      <color rgb="FFC00000"/>
      <name val="Calibri"/>
      <family val="2"/>
      <charset val="162"/>
    </font>
    <font>
      <sz val="9"/>
      <color rgb="FF7030A0"/>
      <name val="Calibri"/>
      <family val="2"/>
      <charset val="162"/>
    </font>
    <font>
      <sz val="9"/>
      <color rgb="FFFF0000"/>
      <name val="Calibri"/>
      <family val="2"/>
      <charset val="162"/>
    </font>
    <font>
      <sz val="11"/>
      <color rgb="FFC00000"/>
      <name val="Calibri"/>
      <family val="2"/>
      <charset val="162"/>
    </font>
    <font>
      <sz val="9"/>
      <color theme="3" tint="-0.249977111117893"/>
      <name val="Calibri"/>
      <family val="2"/>
      <charset val="162"/>
    </font>
    <font>
      <sz val="9"/>
      <color rgb="FFFFFFFF"/>
      <name val="Times New Roman"/>
      <family val="1"/>
      <charset val="162"/>
    </font>
    <font>
      <sz val="9"/>
      <color theme="1"/>
      <name val="Calibri"/>
      <family val="2"/>
      <charset val="162"/>
    </font>
    <font>
      <b/>
      <sz val="9"/>
      <color rgb="FF000080"/>
      <name val="Times New Roman"/>
      <family val="1"/>
      <charset val="162"/>
    </font>
    <font>
      <sz val="9"/>
      <color rgb="FF7030A0"/>
      <name val="Times New Roman"/>
      <family val="1"/>
      <charset val="162"/>
    </font>
    <font>
      <sz val="16"/>
      <color rgb="FFFF0000"/>
      <name val="Calibri"/>
      <family val="2"/>
      <charset val="162"/>
    </font>
    <font>
      <b/>
      <sz val="9"/>
      <color rgb="FF365F91"/>
      <name val="Times New Roman"/>
      <family val="1"/>
      <charset val="162"/>
    </font>
    <font>
      <sz val="14"/>
      <color rgb="FFFF0000"/>
      <name val="Times New Roman"/>
      <family val="1"/>
      <charset val="162"/>
    </font>
    <font>
      <sz val="12"/>
      <color rgb="FFFF0000"/>
      <name val="Arial"/>
      <family val="2"/>
      <charset val="162"/>
    </font>
    <font>
      <b/>
      <sz val="9"/>
      <color rgb="FFFF0000"/>
      <name val="Arial"/>
      <family val="2"/>
      <charset val="162"/>
    </font>
    <font>
      <sz val="9"/>
      <color rgb="FFFF0000"/>
      <name val="Arial"/>
      <family val="2"/>
      <charset val="162"/>
    </font>
    <font>
      <b/>
      <sz val="10"/>
      <color rgb="FFC00000"/>
      <name val="Arial"/>
      <family val="2"/>
      <charset val="162"/>
    </font>
    <font>
      <sz val="10"/>
      <color rgb="FFC00000"/>
      <name val="Arial"/>
      <family val="2"/>
      <charset val="162"/>
    </font>
    <font>
      <i/>
      <sz val="11"/>
      <color rgb="FFC00000"/>
      <name val="Times New Roman"/>
      <family val="1"/>
      <charset val="162"/>
    </font>
    <font>
      <sz val="10"/>
      <color rgb="FF000000"/>
      <name val="Arial"/>
      <family val="2"/>
      <charset val="162"/>
    </font>
    <font>
      <b/>
      <u/>
      <sz val="12"/>
      <color rgb="FF444444"/>
      <name val="Times New Roman"/>
      <family val="1"/>
      <charset val="162"/>
    </font>
    <font>
      <b/>
      <u/>
      <sz val="12"/>
      <color rgb="FF000000"/>
      <name val="Times New Roman"/>
      <family val="1"/>
      <charset val="162"/>
    </font>
    <font>
      <sz val="12"/>
      <color rgb="FFFF0000"/>
      <name val="Arial Tur"/>
      <family val="2"/>
      <charset val="162"/>
    </font>
    <font>
      <b/>
      <sz val="12"/>
      <color rgb="FFC00000"/>
      <name val="Times New Roman"/>
      <family val="1"/>
      <charset val="162"/>
    </font>
    <font>
      <sz val="16"/>
      <color rgb="FFC00000"/>
      <name val="Times New Roman"/>
      <family val="1"/>
      <charset val="162"/>
    </font>
    <font>
      <b/>
      <i/>
      <u/>
      <sz val="10"/>
      <color rgb="FFFF0000"/>
      <name val="Times New Roman"/>
      <family val="1"/>
      <charset val="162"/>
    </font>
    <font>
      <b/>
      <u/>
      <sz val="11"/>
      <color indexed="81"/>
      <name val="Tahoma"/>
      <family val="2"/>
      <charset val="162"/>
    </font>
    <font>
      <u/>
      <sz val="8"/>
      <color rgb="FFFF0000"/>
      <name val="Times New Roman"/>
      <family val="1"/>
      <charset val="162"/>
    </font>
    <font>
      <b/>
      <sz val="7"/>
      <name val="Times New Roman"/>
      <family val="1"/>
      <charset val="162"/>
    </font>
    <font>
      <b/>
      <sz val="15"/>
      <name val="Times New Roman Tur"/>
      <family val="1"/>
      <charset val="162"/>
    </font>
    <font>
      <b/>
      <sz val="11"/>
      <name val="Times New Roman Tur"/>
      <family val="1"/>
      <charset val="162"/>
    </font>
    <font>
      <sz val="11"/>
      <name val="Times New Roman Tur"/>
      <family val="1"/>
      <charset val="162"/>
    </font>
    <font>
      <sz val="11"/>
      <color rgb="FFFF0000"/>
      <name val="Times New Roman Tur"/>
      <family val="1"/>
      <charset val="162"/>
    </font>
  </fonts>
  <fills count="20">
    <fill>
      <patternFill patternType="none"/>
    </fill>
    <fill>
      <patternFill patternType="gray125"/>
    </fill>
    <fill>
      <patternFill patternType="solid">
        <fgColor indexed="9"/>
        <bgColor indexed="10"/>
      </patternFill>
    </fill>
    <fill>
      <patternFill patternType="solid">
        <fgColor indexed="22"/>
        <bgColor indexed="64"/>
      </patternFill>
    </fill>
    <fill>
      <patternFill patternType="solid">
        <fgColor indexed="8"/>
        <bgColor indexed="64"/>
      </patternFill>
    </fill>
    <fill>
      <patternFill patternType="solid">
        <fgColor indexed="9"/>
        <bgColor indexed="64"/>
      </patternFill>
    </fill>
    <fill>
      <patternFill patternType="solid">
        <fgColor indexed="55"/>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92D050"/>
        <bgColor indexed="64"/>
      </patternFill>
    </fill>
    <fill>
      <patternFill patternType="solid">
        <fgColor theme="0"/>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rgb="FFFFC000"/>
        <bgColor indexed="64"/>
      </patternFill>
    </fill>
    <fill>
      <patternFill patternType="solid">
        <fgColor rgb="FF00B0F0"/>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6" tint="-0.249977111117893"/>
        <bgColor indexed="64"/>
      </patternFill>
    </fill>
  </fills>
  <borders count="191">
    <border>
      <left/>
      <right/>
      <top/>
      <bottom/>
      <diagonal/>
    </border>
    <border>
      <left/>
      <right style="medium">
        <color indexed="64"/>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diagonal/>
    </border>
    <border>
      <left style="medium">
        <color indexed="64"/>
      </left>
      <right/>
      <top/>
      <bottom/>
      <diagonal/>
    </border>
    <border>
      <left style="thin">
        <color indexed="8"/>
      </left>
      <right/>
      <top/>
      <bottom/>
      <diagonal/>
    </border>
    <border>
      <left/>
      <right style="thin">
        <color indexed="8"/>
      </right>
      <top/>
      <bottom/>
      <diagonal/>
    </border>
    <border>
      <left style="medium">
        <color indexed="8"/>
      </left>
      <right style="medium">
        <color indexed="64"/>
      </right>
      <top style="thin">
        <color indexed="8"/>
      </top>
      <bottom style="medium">
        <color indexed="64"/>
      </bottom>
      <diagonal/>
    </border>
    <border>
      <left style="medium">
        <color indexed="8"/>
      </left>
      <right style="medium">
        <color indexed="64"/>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medium">
        <color indexed="8"/>
      </left>
      <right style="thin">
        <color indexed="8"/>
      </right>
      <top style="thin">
        <color indexed="8"/>
      </top>
      <bottom style="medium">
        <color indexed="64"/>
      </bottom>
      <diagonal/>
    </border>
    <border>
      <left style="medium">
        <color indexed="8"/>
      </left>
      <right style="thin">
        <color indexed="8"/>
      </right>
      <top style="medium">
        <color indexed="8"/>
      </top>
      <bottom style="medium">
        <color indexed="64"/>
      </bottom>
      <diagonal/>
    </border>
    <border>
      <left style="thin">
        <color indexed="8"/>
      </left>
      <right style="medium">
        <color indexed="64"/>
      </right>
      <top style="medium">
        <color indexed="8"/>
      </top>
      <bottom style="thin">
        <color indexed="8"/>
      </bottom>
      <diagonal/>
    </border>
    <border>
      <left style="medium">
        <color indexed="8"/>
      </left>
      <right style="medium">
        <color indexed="64"/>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right/>
      <top/>
      <bottom style="thin">
        <color indexed="64"/>
      </bottom>
      <diagonal/>
    </border>
    <border>
      <left/>
      <right/>
      <top/>
      <bottom style="medium">
        <color indexed="64"/>
      </bottom>
      <diagonal/>
    </border>
    <border>
      <left/>
      <right style="medium">
        <color indexed="8"/>
      </right>
      <top/>
      <bottom/>
      <diagonal/>
    </border>
    <border>
      <left/>
      <right style="medium">
        <color indexed="64"/>
      </right>
      <top style="medium">
        <color indexed="8"/>
      </top>
      <bottom style="medium">
        <color indexed="64"/>
      </bottom>
      <diagonal/>
    </border>
    <border>
      <left/>
      <right style="medium">
        <color indexed="64"/>
      </right>
      <top style="medium">
        <color indexed="8"/>
      </top>
      <bottom style="thin">
        <color indexed="8"/>
      </bottom>
      <diagonal/>
    </border>
    <border>
      <left style="medium">
        <color indexed="8"/>
      </left>
      <right/>
      <top style="thin">
        <color indexed="8"/>
      </top>
      <bottom style="medium">
        <color indexed="64"/>
      </bottom>
      <diagonal/>
    </border>
    <border>
      <left style="medium">
        <color indexed="8"/>
      </left>
      <right/>
      <top style="medium">
        <color indexed="8"/>
      </top>
      <bottom style="medium">
        <color indexed="64"/>
      </bottom>
      <diagonal/>
    </border>
    <border>
      <left style="medium">
        <color indexed="8"/>
      </left>
      <right/>
      <top style="medium">
        <color indexed="8"/>
      </top>
      <bottom style="thin">
        <color indexed="8"/>
      </bottom>
      <diagonal/>
    </border>
    <border>
      <left style="medium">
        <color indexed="8"/>
      </left>
      <right style="medium">
        <color indexed="64"/>
      </right>
      <top/>
      <bottom style="medium">
        <color indexed="64"/>
      </bottom>
      <diagonal/>
    </border>
    <border>
      <left style="medium">
        <color indexed="8"/>
      </left>
      <right style="thin">
        <color indexed="8"/>
      </right>
      <top/>
      <bottom style="medium">
        <color indexed="64"/>
      </bottom>
      <diagonal/>
    </border>
    <border>
      <left style="medium">
        <color indexed="64"/>
      </left>
      <right style="medium">
        <color indexed="8"/>
      </right>
      <top style="medium">
        <color indexed="64"/>
      </top>
      <bottom style="medium">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8"/>
      </top>
      <bottom/>
      <diagonal/>
    </border>
    <border>
      <left/>
      <right/>
      <top style="thin">
        <color indexed="8"/>
      </top>
      <bottom/>
      <diagonal/>
    </border>
    <border>
      <left style="thin">
        <color indexed="8"/>
      </left>
      <right style="medium">
        <color indexed="64"/>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style="medium">
        <color indexed="8"/>
      </right>
      <top style="medium">
        <color indexed="64"/>
      </top>
      <bottom style="thin">
        <color indexed="8"/>
      </bottom>
      <diagonal/>
    </border>
    <border>
      <left style="medium">
        <color indexed="8"/>
      </left>
      <right style="medium">
        <color indexed="64"/>
      </right>
      <top style="medium">
        <color indexed="64"/>
      </top>
      <bottom style="thin">
        <color indexed="8"/>
      </bottom>
      <diagonal/>
    </border>
    <border>
      <left style="medium">
        <color indexed="8"/>
      </left>
      <right/>
      <top style="medium">
        <color indexed="64"/>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ashed">
        <color indexed="64"/>
      </right>
      <top style="thin">
        <color indexed="64"/>
      </top>
      <bottom style="thin">
        <color indexed="64"/>
      </bottom>
      <diagonal/>
    </border>
    <border>
      <left style="dashed">
        <color indexed="64"/>
      </left>
      <right style="thin">
        <color indexed="64"/>
      </right>
      <top style="thin">
        <color indexed="64"/>
      </top>
      <bottom style="thin">
        <color indexed="64"/>
      </bottom>
      <diagonal/>
    </border>
    <border>
      <left style="dashed">
        <color indexed="64"/>
      </left>
      <right style="double">
        <color indexed="64"/>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top style="thin">
        <color indexed="64"/>
      </top>
      <bottom style="double">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dotted">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diagonal/>
    </border>
    <border>
      <left/>
      <right style="medium">
        <color indexed="64"/>
      </right>
      <top/>
      <bottom style="dotted">
        <color indexed="64"/>
      </bottom>
      <diagonal/>
    </border>
    <border>
      <left style="medium">
        <color indexed="64"/>
      </left>
      <right style="medium">
        <color indexed="64"/>
      </right>
      <top/>
      <bottom style="hair">
        <color indexed="64"/>
      </bottom>
      <diagonal/>
    </border>
    <border>
      <left/>
      <right/>
      <top style="medium">
        <color indexed="64"/>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diagonal/>
    </border>
    <border>
      <left/>
      <right style="medium">
        <color indexed="64"/>
      </right>
      <top/>
      <bottom style="hair">
        <color indexed="64"/>
      </bottom>
      <diagonal/>
    </border>
    <border>
      <left style="medium">
        <color indexed="64"/>
      </left>
      <right style="medium">
        <color indexed="64"/>
      </right>
      <top style="thick">
        <color indexed="64"/>
      </top>
      <bottom style="hair">
        <color indexed="64"/>
      </bottom>
      <diagonal/>
    </border>
    <border>
      <left/>
      <right style="medium">
        <color indexed="64"/>
      </right>
      <top style="thick">
        <color indexed="64"/>
      </top>
      <bottom style="hair">
        <color indexed="64"/>
      </bottom>
      <diagonal/>
    </border>
    <border>
      <left/>
      <right style="medium">
        <color indexed="64"/>
      </right>
      <top style="hair">
        <color indexed="64"/>
      </top>
      <bottom style="hair">
        <color indexed="64"/>
      </bottom>
      <diagonal/>
    </border>
    <border>
      <left style="medium">
        <color indexed="64"/>
      </left>
      <right style="medium">
        <color indexed="64"/>
      </right>
      <top style="hair">
        <color indexed="64"/>
      </top>
      <bottom style="thick">
        <color indexed="64"/>
      </bottom>
      <diagonal/>
    </border>
    <border>
      <left/>
      <right style="medium">
        <color indexed="64"/>
      </right>
      <top style="hair">
        <color indexed="64"/>
      </top>
      <bottom style="thick">
        <color indexed="64"/>
      </bottom>
      <diagonal/>
    </border>
    <border>
      <left/>
      <right style="medium">
        <color indexed="64"/>
      </right>
      <top style="hair">
        <color indexed="64"/>
      </top>
      <bottom style="medium">
        <color indexed="64"/>
      </bottom>
      <diagonal/>
    </border>
    <border>
      <left/>
      <right style="medium">
        <color indexed="64"/>
      </right>
      <top style="thick">
        <color indexed="64"/>
      </top>
      <bottom/>
      <diagonal/>
    </border>
    <border>
      <left style="medium">
        <color indexed="64"/>
      </left>
      <right style="medium">
        <color indexed="64"/>
      </right>
      <top style="thick">
        <color indexed="64"/>
      </top>
      <bottom/>
      <diagonal/>
    </border>
    <border>
      <left/>
      <right/>
      <top style="dotted">
        <color indexed="64"/>
      </top>
      <bottom/>
      <diagonal/>
    </border>
    <border>
      <left/>
      <right/>
      <top style="hair">
        <color indexed="64"/>
      </top>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right/>
      <top style="thin">
        <color indexed="64"/>
      </top>
      <bottom/>
      <diagonal/>
    </border>
    <border>
      <left style="hair">
        <color indexed="64"/>
      </left>
      <right style="hair">
        <color indexed="64"/>
      </right>
      <top style="hair">
        <color indexed="64"/>
      </top>
      <bottom/>
      <diagonal/>
    </border>
    <border>
      <left/>
      <right/>
      <top/>
      <bottom style="hair">
        <color indexed="64"/>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style="thin">
        <color indexed="64"/>
      </top>
      <bottom style="hair">
        <color indexed="64"/>
      </bottom>
      <diagonal/>
    </border>
    <border>
      <left style="hair">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medium">
        <color indexed="64"/>
      </left>
      <right/>
      <top style="thin">
        <color indexed="64"/>
      </top>
      <bottom style="medium">
        <color indexed="64"/>
      </bottom>
      <diagonal/>
    </border>
    <border>
      <left/>
      <right style="medium">
        <color indexed="8"/>
      </right>
      <top style="thin">
        <color indexed="64"/>
      </top>
      <bottom style="medium">
        <color indexed="64"/>
      </bottom>
      <diagonal/>
    </border>
    <border>
      <left style="medium">
        <color indexed="64"/>
      </left>
      <right style="thin">
        <color indexed="64"/>
      </right>
      <top style="thin">
        <color indexed="64"/>
      </top>
      <bottom/>
      <diagonal/>
    </border>
    <border>
      <left/>
      <right style="medium">
        <color indexed="8"/>
      </right>
      <top style="medium">
        <color indexed="64"/>
      </top>
      <bottom/>
      <diagonal/>
    </border>
    <border>
      <left style="medium">
        <color indexed="64"/>
      </left>
      <right/>
      <top/>
      <bottom style="thin">
        <color indexed="64"/>
      </bottom>
      <diagonal/>
    </border>
    <border>
      <left/>
      <right style="medium">
        <color indexed="8"/>
      </right>
      <top/>
      <bottom style="thin">
        <color indexed="64"/>
      </bottom>
      <diagonal/>
    </border>
    <border>
      <left style="thin">
        <color indexed="8"/>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8"/>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medium">
        <color indexed="8"/>
      </bottom>
      <diagonal/>
    </border>
    <border>
      <left style="thin">
        <color indexed="8"/>
      </left>
      <right/>
      <top/>
      <bottom style="medium">
        <color indexed="64"/>
      </bottom>
      <diagonal/>
    </border>
    <border>
      <left style="medium">
        <color indexed="64"/>
      </left>
      <right style="thin">
        <color indexed="64"/>
      </right>
      <top/>
      <bottom/>
      <diagonal/>
    </border>
    <border>
      <left/>
      <right/>
      <top style="medium">
        <color indexed="64"/>
      </top>
      <bottom style="thin">
        <color indexed="64"/>
      </bottom>
      <diagonal/>
    </border>
    <border>
      <left/>
      <right style="medium">
        <color indexed="8"/>
      </right>
      <top style="medium">
        <color indexed="64"/>
      </top>
      <bottom style="thin">
        <color indexed="64"/>
      </bottom>
      <diagonal/>
    </border>
    <border>
      <left/>
      <right style="medium">
        <color indexed="8"/>
      </right>
      <top style="thin">
        <color indexed="64"/>
      </top>
      <bottom style="thin">
        <color indexed="64"/>
      </bottom>
      <diagonal/>
    </border>
    <border>
      <left/>
      <right style="medium">
        <color indexed="8"/>
      </right>
      <top style="medium">
        <color indexed="64"/>
      </top>
      <bottom style="medium">
        <color indexed="64"/>
      </bottom>
      <diagonal/>
    </border>
    <border>
      <left/>
      <right style="thin">
        <color indexed="8"/>
      </right>
      <top style="thin">
        <color indexed="8"/>
      </top>
      <bottom/>
      <diagonal/>
    </border>
    <border>
      <left style="medium">
        <color indexed="64"/>
      </left>
      <right/>
      <top style="medium">
        <color indexed="64"/>
      </top>
      <bottom style="medium">
        <color indexed="8"/>
      </bottom>
      <diagonal/>
    </border>
    <border>
      <left/>
      <right style="medium">
        <color indexed="8"/>
      </right>
      <top style="medium">
        <color indexed="64"/>
      </top>
      <bottom style="medium">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style="double">
        <color indexed="64"/>
      </left>
      <right style="hair">
        <color indexed="64"/>
      </right>
      <top style="double">
        <color indexed="64"/>
      </top>
      <bottom style="double">
        <color indexed="64"/>
      </bottom>
      <diagonal/>
    </border>
    <border>
      <left/>
      <right style="hair">
        <color indexed="64"/>
      </right>
      <top style="double">
        <color indexed="64"/>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top style="double">
        <color indexed="64"/>
      </top>
      <bottom style="double">
        <color indexed="64"/>
      </bottom>
      <diagonal/>
    </border>
    <border>
      <left style="hair">
        <color indexed="64"/>
      </left>
      <right style="double">
        <color indexed="64"/>
      </right>
      <top style="double">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diagonal/>
    </border>
    <border>
      <left/>
      <right style="thin">
        <color indexed="64"/>
      </right>
      <top style="thin">
        <color indexed="64"/>
      </top>
      <bottom/>
      <diagonal/>
    </border>
    <border>
      <left style="double">
        <color indexed="64"/>
      </left>
      <right/>
      <top/>
      <bottom style="thin">
        <color indexed="64"/>
      </bottom>
      <diagonal/>
    </border>
    <border>
      <left style="double">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top style="dotted">
        <color indexed="64"/>
      </top>
      <bottom style="dotted">
        <color indexed="64"/>
      </bottom>
      <diagonal/>
    </border>
    <border>
      <left style="medium">
        <color indexed="64"/>
      </left>
      <right style="medium">
        <color indexed="64"/>
      </right>
      <top/>
      <bottom style="thick">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indexed="64"/>
      </left>
      <right style="thin">
        <color indexed="64"/>
      </right>
      <top style="medium">
        <color indexed="64"/>
      </top>
      <bottom/>
      <diagonal/>
    </border>
    <border>
      <left style="medium">
        <color indexed="64"/>
      </left>
      <right style="medium">
        <color indexed="64"/>
      </right>
      <top style="dotted">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bottom/>
      <diagonal/>
    </border>
    <border>
      <left/>
      <right/>
      <top/>
      <bottom style="medium">
        <color rgb="FF660066"/>
      </bottom>
      <diagonal/>
    </border>
    <border>
      <left style="thin">
        <color rgb="FF000000"/>
      </left>
      <right style="thin">
        <color rgb="FF000000"/>
      </right>
      <top style="thin">
        <color rgb="FF000000"/>
      </top>
      <bottom style="thin">
        <color rgb="FF000000"/>
      </bottom>
      <diagonal/>
    </border>
    <border>
      <left/>
      <right/>
      <top style="medium">
        <color rgb="FF660066"/>
      </top>
      <bottom/>
      <diagonal/>
    </border>
    <border>
      <left/>
      <right/>
      <top style="thin">
        <color rgb="FF000000"/>
      </top>
      <bottom/>
      <diagonal/>
    </border>
    <border>
      <left style="thin">
        <color rgb="FF000000"/>
      </left>
      <right/>
      <top/>
      <bottom/>
      <diagonal/>
    </border>
    <border>
      <left/>
      <right style="thin">
        <color rgb="FF000000"/>
      </right>
      <top/>
      <bottom/>
      <diagonal/>
    </border>
  </borders>
  <cellStyleXfs count="4">
    <xf numFmtId="0" fontId="0" fillId="0" borderId="0"/>
    <xf numFmtId="0" fontId="8" fillId="0" borderId="0" applyNumberFormat="0" applyFill="0" applyBorder="0" applyAlignment="0" applyProtection="0">
      <alignment vertical="top"/>
      <protection locked="0"/>
    </xf>
    <xf numFmtId="0" fontId="20" fillId="2" borderId="0">
      <alignment horizontal="center" vertical="center"/>
    </xf>
    <xf numFmtId="43" fontId="1" fillId="0" borderId="0" applyFont="0" applyFill="0" applyBorder="0" applyAlignment="0" applyProtection="0"/>
  </cellStyleXfs>
  <cellXfs count="2042">
    <xf numFmtId="0" fontId="0" fillId="0" borderId="0" xfId="0"/>
    <xf numFmtId="0" fontId="3" fillId="0" borderId="1" xfId="0" applyFont="1" applyBorder="1" applyAlignment="1">
      <alignment horizontal="right" wrapText="1"/>
    </xf>
    <xf numFmtId="0" fontId="3" fillId="0" borderId="2" xfId="0" applyFont="1" applyBorder="1" applyAlignment="1">
      <alignment wrapText="1"/>
    </xf>
    <xf numFmtId="0" fontId="3" fillId="0" borderId="3" xfId="0" applyFont="1" applyBorder="1" applyAlignment="1">
      <alignment horizontal="right" wrapText="1"/>
    </xf>
    <xf numFmtId="0" fontId="4" fillId="0" borderId="3" xfId="0" applyFont="1" applyBorder="1" applyAlignment="1">
      <alignment horizontal="right" wrapText="1"/>
    </xf>
    <xf numFmtId="0" fontId="4" fillId="0" borderId="1" xfId="0" applyFont="1" applyBorder="1" applyAlignment="1">
      <alignment horizontal="right" wrapText="1"/>
    </xf>
    <xf numFmtId="0" fontId="4" fillId="0" borderId="2" xfId="0" applyFont="1" applyBorder="1" applyAlignment="1">
      <alignment wrapText="1"/>
    </xf>
    <xf numFmtId="0" fontId="4" fillId="0" borderId="4" xfId="0" applyFont="1" applyBorder="1" applyAlignment="1">
      <alignment wrapText="1"/>
    </xf>
    <xf numFmtId="0" fontId="4" fillId="0" borderId="5" xfId="0" applyFont="1" applyBorder="1" applyAlignment="1">
      <alignment horizontal="right" wrapText="1"/>
    </xf>
    <xf numFmtId="0" fontId="4" fillId="0" borderId="2" xfId="0" applyFont="1" applyBorder="1" applyAlignment="1">
      <alignment horizontal="left" wrapText="1"/>
    </xf>
    <xf numFmtId="0" fontId="4" fillId="0" borderId="4" xfId="0" applyFont="1" applyBorder="1" applyAlignment="1">
      <alignment horizontal="left" wrapText="1"/>
    </xf>
    <xf numFmtId="0" fontId="3" fillId="0" borderId="4" xfId="0" applyFont="1" applyBorder="1" applyAlignment="1">
      <alignment wrapText="1"/>
    </xf>
    <xf numFmtId="0" fontId="3" fillId="0" borderId="5" xfId="0" applyFont="1" applyBorder="1" applyAlignment="1">
      <alignment horizontal="right" wrapText="1"/>
    </xf>
    <xf numFmtId="0" fontId="6" fillId="3" borderId="6" xfId="0" applyFont="1" applyFill="1" applyBorder="1" applyAlignment="1">
      <alignment horizontal="left" vertical="top" wrapText="1"/>
    </xf>
    <xf numFmtId="0" fontId="4" fillId="0" borderId="0" xfId="0" applyFont="1"/>
    <xf numFmtId="0" fontId="4" fillId="0" borderId="6" xfId="0" applyFont="1" applyBorder="1" applyAlignment="1">
      <alignment wrapText="1"/>
    </xf>
    <xf numFmtId="0" fontId="4" fillId="0" borderId="7" xfId="0" applyFont="1" applyBorder="1" applyAlignment="1">
      <alignment wrapText="1"/>
    </xf>
    <xf numFmtId="3" fontId="6" fillId="3" borderId="1" xfId="0" applyNumberFormat="1" applyFont="1" applyFill="1" applyBorder="1" applyAlignment="1">
      <alignment horizontal="center" vertical="top" wrapText="1"/>
    </xf>
    <xf numFmtId="3" fontId="4" fillId="0" borderId="1" xfId="0" applyNumberFormat="1" applyFont="1" applyBorder="1" applyAlignment="1">
      <alignment horizontal="right" wrapText="1"/>
    </xf>
    <xf numFmtId="3" fontId="4" fillId="0" borderId="5" xfId="0" applyNumberFormat="1" applyFont="1" applyBorder="1" applyAlignment="1">
      <alignment horizontal="right" wrapText="1"/>
    </xf>
    <xf numFmtId="3" fontId="4" fillId="0" borderId="0" xfId="0" applyNumberFormat="1" applyFont="1"/>
    <xf numFmtId="3" fontId="0" fillId="0" borderId="0" xfId="0" applyNumberFormat="1"/>
    <xf numFmtId="0" fontId="4" fillId="0" borderId="0" xfId="0" applyFont="1" applyAlignment="1">
      <alignment horizontal="left" vertical="top" wrapText="1"/>
    </xf>
    <xf numFmtId="0" fontId="4" fillId="0" borderId="0" xfId="0" applyFont="1" applyAlignment="1">
      <alignment vertical="top" wrapText="1"/>
    </xf>
    <xf numFmtId="2" fontId="4" fillId="0" borderId="8" xfId="0" applyNumberFormat="1" applyFont="1" applyBorder="1" applyAlignment="1">
      <alignment horizontal="right" vertical="top" wrapText="1"/>
    </xf>
    <xf numFmtId="2" fontId="4" fillId="0" borderId="0" xfId="0" applyNumberFormat="1" applyFont="1"/>
    <xf numFmtId="2" fontId="4" fillId="0" borderId="0" xfId="0" applyNumberFormat="1" applyFont="1" applyAlignment="1">
      <alignment vertical="top" wrapText="1"/>
    </xf>
    <xf numFmtId="2" fontId="0" fillId="0" borderId="0" xfId="0" applyNumberFormat="1"/>
    <xf numFmtId="4" fontId="4" fillId="0" borderId="9" xfId="0" applyNumberFormat="1" applyFont="1" applyBorder="1" applyAlignment="1">
      <alignment horizontal="right" vertical="top" wrapText="1"/>
    </xf>
    <xf numFmtId="4" fontId="4" fillId="0" borderId="0" xfId="0" applyNumberFormat="1" applyFont="1"/>
    <xf numFmtId="4" fontId="4" fillId="0" borderId="0" xfId="0" applyNumberFormat="1" applyFont="1" applyAlignment="1">
      <alignment vertical="top" wrapText="1"/>
    </xf>
    <xf numFmtId="4" fontId="0" fillId="0" borderId="0" xfId="0" applyNumberFormat="1"/>
    <xf numFmtId="3" fontId="4" fillId="0" borderId="0" xfId="0" applyNumberFormat="1" applyFont="1" applyAlignment="1">
      <alignment horizontal="right" vertical="top" wrapText="1"/>
    </xf>
    <xf numFmtId="3" fontId="4" fillId="0" borderId="0" xfId="0" applyNumberFormat="1" applyFont="1" applyAlignment="1">
      <alignment vertical="top" wrapText="1"/>
    </xf>
    <xf numFmtId="3" fontId="4" fillId="0" borderId="9" xfId="0" applyNumberFormat="1" applyFont="1" applyBorder="1" applyAlignment="1">
      <alignment horizontal="right" vertical="top" wrapText="1"/>
    </xf>
    <xf numFmtId="0" fontId="4" fillId="3" borderId="6" xfId="0" applyFont="1" applyFill="1" applyBorder="1" applyAlignment="1">
      <alignment vertical="top" wrapText="1"/>
    </xf>
    <xf numFmtId="0" fontId="4" fillId="3" borderId="1" xfId="0" applyFont="1" applyFill="1" applyBorder="1" applyAlignment="1">
      <alignment horizontal="right" vertical="top" wrapText="1"/>
    </xf>
    <xf numFmtId="0" fontId="4" fillId="0" borderId="6" xfId="0" applyFont="1" applyBorder="1" applyAlignment="1">
      <alignment vertical="top" wrapText="1"/>
    </xf>
    <xf numFmtId="0" fontId="4" fillId="0" borderId="1" xfId="0" applyFont="1" applyBorder="1" applyAlignment="1">
      <alignment horizontal="right" vertical="top" wrapText="1"/>
    </xf>
    <xf numFmtId="0" fontId="4" fillId="3" borderId="6" xfId="0" applyFont="1" applyFill="1" applyBorder="1" applyAlignment="1">
      <alignment horizontal="right" vertical="top" wrapText="1"/>
    </xf>
    <xf numFmtId="0" fontId="4" fillId="3" borderId="6" xfId="0" applyFont="1" applyFill="1" applyBorder="1" applyAlignment="1">
      <alignment wrapText="1"/>
    </xf>
    <xf numFmtId="0" fontId="4" fillId="3" borderId="1" xfId="0" applyFont="1" applyFill="1" applyBorder="1" applyAlignment="1">
      <alignment horizontal="right" wrapText="1"/>
    </xf>
    <xf numFmtId="0" fontId="2" fillId="0" borderId="10" xfId="0" applyFont="1" applyBorder="1" applyAlignment="1">
      <alignment vertical="top" wrapText="1"/>
    </xf>
    <xf numFmtId="0" fontId="2" fillId="0" borderId="11" xfId="0" applyFont="1" applyBorder="1" applyAlignment="1">
      <alignment vertical="top" wrapText="1"/>
    </xf>
    <xf numFmtId="0" fontId="8" fillId="0" borderId="0" xfId="1" applyFont="1" applyAlignment="1" applyProtection="1"/>
    <xf numFmtId="0" fontId="6" fillId="3" borderId="12" xfId="0" applyFont="1" applyFill="1" applyBorder="1" applyAlignment="1">
      <alignment horizontal="center" wrapText="1"/>
    </xf>
    <xf numFmtId="0" fontId="4" fillId="0" borderId="13" xfId="0" applyFont="1" applyBorder="1" applyAlignment="1">
      <alignment horizontal="center" wrapText="1"/>
    </xf>
    <xf numFmtId="0" fontId="9" fillId="0" borderId="13" xfId="0" applyFont="1" applyBorder="1" applyAlignment="1">
      <alignment horizontal="center" wrapText="1"/>
    </xf>
    <xf numFmtId="0" fontId="6" fillId="3" borderId="14" xfId="0" applyFont="1" applyFill="1" applyBorder="1" applyAlignment="1">
      <alignment horizontal="center" wrapText="1"/>
    </xf>
    <xf numFmtId="0" fontId="6" fillId="3" borderId="15" xfId="0" applyFont="1" applyFill="1" applyBorder="1" applyAlignment="1">
      <alignment horizontal="center" wrapText="1"/>
    </xf>
    <xf numFmtId="0" fontId="4" fillId="0" borderId="14" xfId="0" applyFont="1" applyBorder="1" applyAlignment="1">
      <alignment horizontal="center" wrapText="1"/>
    </xf>
    <xf numFmtId="0" fontId="4" fillId="0" borderId="16" xfId="0" applyFont="1" applyBorder="1" applyAlignment="1">
      <alignment horizontal="center" wrapText="1"/>
    </xf>
    <xf numFmtId="0" fontId="4" fillId="0" borderId="17" xfId="0" applyFont="1" applyBorder="1" applyAlignment="1">
      <alignment horizontal="center" wrapText="1"/>
    </xf>
    <xf numFmtId="0" fontId="4" fillId="0" borderId="18" xfId="0" applyFont="1" applyBorder="1" applyAlignment="1">
      <alignment horizontal="center" wrapText="1"/>
    </xf>
    <xf numFmtId="0" fontId="4" fillId="0" borderId="19" xfId="0" applyFont="1" applyBorder="1" applyAlignment="1">
      <alignment horizontal="center" wrapText="1"/>
    </xf>
    <xf numFmtId="0" fontId="9" fillId="0" borderId="16" xfId="0" applyFont="1" applyBorder="1" applyAlignment="1">
      <alignment horizontal="center" wrapText="1"/>
    </xf>
    <xf numFmtId="0" fontId="3" fillId="0" borderId="20" xfId="0" applyFont="1" applyBorder="1" applyAlignment="1">
      <alignment wrapText="1"/>
    </xf>
    <xf numFmtId="0" fontId="4" fillId="0" borderId="20" xfId="0" applyFont="1" applyBorder="1" applyAlignment="1">
      <alignment wrapText="1"/>
    </xf>
    <xf numFmtId="0" fontId="4" fillId="0" borderId="20" xfId="0" applyFont="1" applyBorder="1" applyAlignment="1">
      <alignment horizontal="left" wrapText="1"/>
    </xf>
    <xf numFmtId="0" fontId="4" fillId="0" borderId="21" xfId="0" applyFont="1" applyBorder="1" applyAlignment="1">
      <alignment wrapText="1"/>
    </xf>
    <xf numFmtId="0" fontId="4" fillId="0" borderId="21" xfId="0" applyFont="1" applyBorder="1" applyAlignment="1">
      <alignment horizontal="left" wrapText="1"/>
    </xf>
    <xf numFmtId="0" fontId="3" fillId="0" borderId="21" xfId="0" applyFont="1" applyBorder="1" applyAlignment="1">
      <alignment wrapText="1"/>
    </xf>
    <xf numFmtId="4" fontId="3" fillId="0" borderId="1" xfId="0" applyNumberFormat="1" applyFont="1" applyBorder="1" applyAlignment="1">
      <alignment horizontal="right" wrapText="1"/>
    </xf>
    <xf numFmtId="0" fontId="3" fillId="0" borderId="9" xfId="0" applyFont="1" applyBorder="1" applyAlignment="1">
      <alignment horizontal="left" wrapText="1"/>
    </xf>
    <xf numFmtId="0" fontId="3" fillId="0" borderId="0" xfId="0" applyFont="1" applyBorder="1" applyAlignment="1">
      <alignment horizontal="left" wrapText="1"/>
    </xf>
    <xf numFmtId="0" fontId="3" fillId="0" borderId="22" xfId="0" applyFont="1" applyBorder="1" applyAlignment="1">
      <alignment horizontal="left" wrapText="1"/>
    </xf>
    <xf numFmtId="0" fontId="0" fillId="0" borderId="0" xfId="0" applyAlignment="1">
      <alignment horizontal="center"/>
    </xf>
    <xf numFmtId="0" fontId="7" fillId="0" borderId="1" xfId="0" applyFont="1" applyBorder="1" applyAlignment="1">
      <alignment horizontal="right" wrapText="1"/>
    </xf>
    <xf numFmtId="0" fontId="6" fillId="3" borderId="5" xfId="0" applyFont="1" applyFill="1" applyBorder="1" applyAlignment="1">
      <alignment horizontal="center" wrapText="1"/>
    </xf>
    <xf numFmtId="0" fontId="4" fillId="0" borderId="23" xfId="0" applyFont="1" applyBorder="1" applyAlignment="1">
      <alignment horizontal="center" wrapText="1"/>
    </xf>
    <xf numFmtId="0" fontId="4" fillId="0" borderId="24" xfId="0" applyFont="1" applyBorder="1" applyAlignment="1">
      <alignment horizontal="center" wrapText="1"/>
    </xf>
    <xf numFmtId="0" fontId="6" fillId="3" borderId="25" xfId="0" applyFont="1" applyFill="1" applyBorder="1" applyAlignment="1">
      <alignment horizontal="center" wrapText="1"/>
    </xf>
    <xf numFmtId="0" fontId="4" fillId="0" borderId="26" xfId="0" applyFont="1" applyBorder="1" applyAlignment="1">
      <alignment horizontal="center" wrapText="1"/>
    </xf>
    <xf numFmtId="0" fontId="4" fillId="0" borderId="27" xfId="0" applyFont="1" applyBorder="1" applyAlignment="1">
      <alignment horizontal="center" wrapText="1"/>
    </xf>
    <xf numFmtId="0" fontId="9" fillId="0" borderId="26" xfId="0" applyFont="1" applyBorder="1" applyAlignment="1">
      <alignment horizontal="center" wrapText="1"/>
    </xf>
    <xf numFmtId="49" fontId="4" fillId="0" borderId="23" xfId="0" applyNumberFormat="1" applyFont="1" applyBorder="1" applyAlignment="1">
      <alignment horizontal="center" wrapText="1"/>
    </xf>
    <xf numFmtId="0" fontId="6" fillId="3" borderId="14" xfId="0" applyFont="1" applyFill="1" applyBorder="1" applyAlignment="1">
      <alignment horizontal="center" vertical="center" wrapText="1"/>
    </xf>
    <xf numFmtId="0" fontId="6" fillId="3" borderId="28" xfId="0" applyFont="1" applyFill="1" applyBorder="1" applyAlignment="1">
      <alignment horizontal="center" vertical="center" wrapText="1"/>
    </xf>
    <xf numFmtId="0" fontId="6" fillId="3" borderId="29" xfId="0" applyFont="1" applyFill="1" applyBorder="1" applyAlignment="1">
      <alignment horizontal="center" vertical="center" wrapText="1"/>
    </xf>
    <xf numFmtId="0" fontId="0" fillId="0" borderId="0" xfId="0" applyAlignment="1">
      <alignment vertical="center"/>
    </xf>
    <xf numFmtId="164" fontId="6" fillId="3" borderId="28" xfId="0" applyNumberFormat="1" applyFont="1" applyFill="1" applyBorder="1" applyAlignment="1">
      <alignment horizontal="center" vertical="center" wrapText="1"/>
    </xf>
    <xf numFmtId="49" fontId="4" fillId="0" borderId="26" xfId="0" applyNumberFormat="1" applyFont="1" applyBorder="1" applyAlignment="1">
      <alignment horizontal="center" wrapText="1"/>
    </xf>
    <xf numFmtId="165" fontId="0" fillId="0" borderId="30" xfId="0" applyNumberFormat="1" applyBorder="1"/>
    <xf numFmtId="0" fontId="3" fillId="0" borderId="31" xfId="0" applyFont="1" applyBorder="1" applyAlignment="1">
      <alignment wrapText="1"/>
    </xf>
    <xf numFmtId="0" fontId="3" fillId="0" borderId="32" xfId="0" applyFont="1" applyBorder="1" applyAlignment="1">
      <alignment wrapText="1"/>
    </xf>
    <xf numFmtId="0" fontId="2" fillId="4" borderId="33" xfId="0" applyFont="1" applyFill="1" applyBorder="1" applyAlignment="1">
      <alignment vertical="top" wrapText="1"/>
    </xf>
    <xf numFmtId="0" fontId="2" fillId="4" borderId="34" xfId="0" applyFont="1" applyFill="1" applyBorder="1" applyAlignment="1">
      <alignment vertical="top" wrapText="1"/>
    </xf>
    <xf numFmtId="166" fontId="2" fillId="4" borderId="34" xfId="0" applyNumberFormat="1" applyFont="1" applyFill="1" applyBorder="1" applyAlignment="1">
      <alignment vertical="top" wrapText="1"/>
    </xf>
    <xf numFmtId="0" fontId="4" fillId="0" borderId="35" xfId="0" applyFont="1" applyBorder="1" applyAlignment="1">
      <alignment horizontal="center" wrapText="1"/>
    </xf>
    <xf numFmtId="0" fontId="4" fillId="0" borderId="36" xfId="0" applyFont="1" applyBorder="1" applyAlignment="1">
      <alignment horizontal="center" wrapText="1"/>
    </xf>
    <xf numFmtId="165" fontId="0" fillId="0" borderId="37" xfId="0" applyNumberFormat="1" applyBorder="1"/>
    <xf numFmtId="0" fontId="4" fillId="0" borderId="38" xfId="0" applyFont="1" applyBorder="1" applyAlignment="1">
      <alignment horizontal="center" wrapText="1"/>
    </xf>
    <xf numFmtId="49" fontId="4" fillId="0" borderId="36" xfId="0" applyNumberFormat="1" applyFont="1" applyBorder="1" applyAlignment="1">
      <alignment horizontal="center" wrapText="1"/>
    </xf>
    <xf numFmtId="49" fontId="4" fillId="0" borderId="39" xfId="0" applyNumberFormat="1" applyFont="1" applyBorder="1" applyAlignment="1">
      <alignment horizontal="center" wrapText="1"/>
    </xf>
    <xf numFmtId="0" fontId="4" fillId="0" borderId="0" xfId="0" applyFont="1" applyBorder="1" applyAlignment="1">
      <alignment horizontal="center" wrapText="1"/>
    </xf>
    <xf numFmtId="165" fontId="0" fillId="0" borderId="0" xfId="0" applyNumberFormat="1" applyBorder="1"/>
    <xf numFmtId="49" fontId="4" fillId="0" borderId="0" xfId="0" applyNumberFormat="1" applyFont="1" applyBorder="1" applyAlignment="1">
      <alignment horizontal="center" wrapText="1"/>
    </xf>
    <xf numFmtId="0" fontId="4" fillId="7" borderId="40" xfId="0" applyFont="1" applyFill="1" applyBorder="1" applyAlignment="1">
      <alignment horizontal="center" wrapText="1"/>
    </xf>
    <xf numFmtId="0" fontId="0" fillId="0" borderId="41" xfId="0" applyBorder="1" applyAlignment="1">
      <alignment vertical="center" wrapText="1"/>
    </xf>
    <xf numFmtId="0" fontId="0" fillId="0" borderId="0" xfId="0" applyAlignment="1">
      <alignment vertical="center" wrapText="1"/>
    </xf>
    <xf numFmtId="0" fontId="4" fillId="0" borderId="41" xfId="0" applyFont="1" applyFill="1" applyBorder="1" applyAlignment="1">
      <alignment horizontal="center" vertical="center" wrapText="1"/>
    </xf>
    <xf numFmtId="0" fontId="0" fillId="0" borderId="42" xfId="0" applyBorder="1"/>
    <xf numFmtId="165" fontId="130" fillId="0" borderId="43" xfId="0" applyNumberFormat="1" applyFont="1" applyBorder="1"/>
    <xf numFmtId="165" fontId="130" fillId="0" borderId="42" xfId="0" applyNumberFormat="1" applyFont="1" applyBorder="1"/>
    <xf numFmtId="4" fontId="0" fillId="0" borderId="44" xfId="0" applyNumberFormat="1" applyBorder="1"/>
    <xf numFmtId="0" fontId="0" fillId="0" borderId="45" xfId="0" applyBorder="1"/>
    <xf numFmtId="165" fontId="130" fillId="0" borderId="46" xfId="0" applyNumberFormat="1" applyFont="1" applyBorder="1"/>
    <xf numFmtId="165" fontId="130" fillId="0" borderId="45" xfId="0" applyNumberFormat="1" applyFont="1" applyBorder="1"/>
    <xf numFmtId="4" fontId="0" fillId="0" borderId="47" xfId="0" applyNumberFormat="1" applyBorder="1"/>
    <xf numFmtId="0" fontId="130" fillId="0" borderId="45" xfId="0" applyFont="1" applyBorder="1"/>
    <xf numFmtId="0" fontId="0" fillId="8" borderId="40" xfId="0" applyFill="1" applyBorder="1"/>
    <xf numFmtId="4" fontId="0" fillId="8" borderId="40" xfId="0" applyNumberFormat="1" applyFill="1" applyBorder="1"/>
    <xf numFmtId="0" fontId="0" fillId="0" borderId="47" xfId="0" applyBorder="1"/>
    <xf numFmtId="0" fontId="0" fillId="7" borderId="40" xfId="0" applyFill="1" applyBorder="1"/>
    <xf numFmtId="165" fontId="131" fillId="0" borderId="46" xfId="0" applyNumberFormat="1" applyFont="1" applyBorder="1"/>
    <xf numFmtId="165" fontId="131" fillId="0" borderId="45" xfId="0" applyNumberFormat="1" applyFont="1" applyBorder="1"/>
    <xf numFmtId="4" fontId="131" fillId="0" borderId="47" xfId="0" applyNumberFormat="1" applyFont="1" applyBorder="1"/>
    <xf numFmtId="0" fontId="0" fillId="0" borderId="48" xfId="0" applyBorder="1" applyAlignment="1">
      <alignment horizontal="right"/>
    </xf>
    <xf numFmtId="0" fontId="132" fillId="0" borderId="0" xfId="0" applyFont="1"/>
    <xf numFmtId="0" fontId="11" fillId="0" borderId="0" xfId="0" applyFont="1" applyAlignment="1">
      <alignment horizontal="center" vertical="center" wrapText="1"/>
    </xf>
    <xf numFmtId="0" fontId="11" fillId="5" borderId="0" xfId="0" applyFont="1" applyFill="1" applyAlignment="1">
      <alignment horizontal="center" vertical="center" wrapText="1"/>
    </xf>
    <xf numFmtId="0" fontId="11" fillId="5" borderId="49" xfId="0" applyFont="1" applyFill="1" applyBorder="1" applyAlignment="1">
      <alignment horizontal="center" vertical="center" wrapText="1"/>
    </xf>
    <xf numFmtId="0" fontId="11" fillId="5" borderId="50" xfId="0" applyFont="1" applyFill="1" applyBorder="1" applyAlignment="1">
      <alignment horizontal="center" vertical="center" wrapText="1"/>
    </xf>
    <xf numFmtId="0" fontId="15" fillId="3" borderId="40" xfId="0" applyFont="1" applyFill="1" applyBorder="1" applyAlignment="1">
      <alignment vertical="center" wrapText="1"/>
    </xf>
    <xf numFmtId="0" fontId="16" fillId="3" borderId="40" xfId="0" applyFont="1" applyFill="1" applyBorder="1" applyAlignment="1">
      <alignment vertical="center" wrapText="1"/>
    </xf>
    <xf numFmtId="0" fontId="18" fillId="3" borderId="40" xfId="0" applyFont="1" applyFill="1" applyBorder="1" applyAlignment="1">
      <alignment horizontal="center" vertical="center"/>
    </xf>
    <xf numFmtId="0" fontId="13" fillId="3" borderId="40" xfId="0" applyFont="1" applyFill="1" applyBorder="1" applyAlignment="1">
      <alignment horizontal="left" vertical="center" wrapText="1" shrinkToFit="1"/>
    </xf>
    <xf numFmtId="0" fontId="19" fillId="5" borderId="40" xfId="0" applyFont="1" applyFill="1" applyBorder="1" applyAlignment="1" applyProtection="1">
      <alignment horizontal="center" vertical="center" wrapText="1"/>
      <protection locked="0"/>
    </xf>
    <xf numFmtId="0" fontId="19" fillId="3" borderId="40" xfId="0" applyFont="1" applyFill="1" applyBorder="1" applyAlignment="1" applyProtection="1">
      <alignment horizontal="center" vertical="center" wrapText="1"/>
    </xf>
    <xf numFmtId="0" fontId="19" fillId="3" borderId="51" xfId="0" applyFont="1" applyFill="1" applyBorder="1" applyAlignment="1" applyProtection="1">
      <alignment horizontal="center" vertical="center" wrapText="1"/>
    </xf>
    <xf numFmtId="0" fontId="19" fillId="5" borderId="40" xfId="0" applyNumberFormat="1" applyFont="1" applyFill="1" applyBorder="1" applyAlignment="1" applyProtection="1">
      <alignment horizontal="center" vertical="center" wrapText="1"/>
      <protection locked="0"/>
    </xf>
    <xf numFmtId="0" fontId="19" fillId="5" borderId="52" xfId="0" applyNumberFormat="1" applyFont="1" applyFill="1" applyBorder="1" applyAlignment="1" applyProtection="1">
      <alignment horizontal="center" vertical="center" wrapText="1"/>
    </xf>
    <xf numFmtId="0" fontId="19" fillId="5" borderId="53" xfId="0" quotePrefix="1" applyNumberFormat="1" applyFont="1" applyFill="1" applyBorder="1" applyAlignment="1" applyProtection="1">
      <alignment horizontal="center" vertical="center" wrapText="1"/>
      <protection locked="0"/>
    </xf>
    <xf numFmtId="0" fontId="18" fillId="3" borderId="40" xfId="0" applyFont="1" applyFill="1" applyBorder="1" applyAlignment="1">
      <alignment horizontal="center" vertical="center" wrapText="1"/>
    </xf>
    <xf numFmtId="0" fontId="16" fillId="5" borderId="40" xfId="0" applyNumberFormat="1" applyFont="1" applyFill="1" applyBorder="1" applyAlignment="1" applyProtection="1">
      <alignment horizontal="center" vertical="center" wrapText="1"/>
      <protection locked="0"/>
    </xf>
    <xf numFmtId="0" fontId="19" fillId="5" borderId="54" xfId="0" quotePrefix="1" applyFont="1" applyFill="1" applyBorder="1" applyAlignment="1" applyProtection="1">
      <alignment horizontal="center" vertical="center" wrapText="1"/>
      <protection locked="0"/>
    </xf>
    <xf numFmtId="0" fontId="11" fillId="5" borderId="50" xfId="0" applyFont="1" applyFill="1" applyBorder="1" applyAlignment="1">
      <alignment vertical="center" wrapText="1"/>
    </xf>
    <xf numFmtId="0" fontId="19" fillId="5" borderId="55" xfId="0" applyFont="1" applyFill="1" applyBorder="1" applyAlignment="1" applyProtection="1">
      <alignment horizontal="left" vertical="center" wrapText="1"/>
      <protection locked="0"/>
    </xf>
    <xf numFmtId="0" fontId="19" fillId="5" borderId="56" xfId="0" applyFont="1" applyFill="1" applyBorder="1" applyAlignment="1" applyProtection="1">
      <alignment horizontal="left" vertical="center" wrapText="1"/>
      <protection locked="0"/>
    </xf>
    <xf numFmtId="0" fontId="11" fillId="3" borderId="50" xfId="0" applyFont="1" applyFill="1" applyBorder="1" applyAlignment="1">
      <alignment vertical="center" wrapText="1"/>
    </xf>
    <xf numFmtId="0" fontId="19" fillId="3" borderId="40" xfId="0" applyFont="1" applyFill="1" applyBorder="1" applyAlignment="1" applyProtection="1">
      <alignment horizontal="center" vertical="center" wrapText="1"/>
      <protection locked="0"/>
    </xf>
    <xf numFmtId="168" fontId="19" fillId="5" borderId="55" xfId="3" applyNumberFormat="1" applyFont="1" applyFill="1" applyBorder="1" applyAlignment="1" applyProtection="1">
      <alignment horizontal="left" vertical="center"/>
      <protection locked="0"/>
    </xf>
    <xf numFmtId="169" fontId="19" fillId="5" borderId="40" xfId="0" applyNumberFormat="1" applyFont="1" applyFill="1" applyBorder="1" applyAlignment="1" applyProtection="1">
      <alignment horizontal="left" vertical="center" wrapText="1"/>
      <protection locked="0"/>
    </xf>
    <xf numFmtId="169" fontId="19" fillId="5" borderId="57" xfId="0" applyNumberFormat="1" applyFont="1" applyFill="1" applyBorder="1" applyAlignment="1" applyProtection="1">
      <alignment horizontal="right" vertical="center" wrapText="1"/>
      <protection locked="0"/>
    </xf>
    <xf numFmtId="0" fontId="24" fillId="5" borderId="50" xfId="0" applyFont="1" applyFill="1" applyBorder="1" applyAlignment="1" applyProtection="1">
      <alignment horizontal="left" vertical="center" shrinkToFit="1"/>
    </xf>
    <xf numFmtId="0" fontId="11" fillId="5" borderId="58" xfId="0" applyFont="1" applyFill="1" applyBorder="1" applyAlignment="1" applyProtection="1">
      <alignment vertical="center" wrapText="1"/>
    </xf>
    <xf numFmtId="0" fontId="25" fillId="5" borderId="59" xfId="0" applyFont="1" applyFill="1" applyBorder="1" applyAlignment="1">
      <alignment horizontal="left" vertical="center" wrapText="1"/>
    </xf>
    <xf numFmtId="0" fontId="11" fillId="5" borderId="60" xfId="0" applyFont="1" applyFill="1" applyBorder="1" applyAlignment="1">
      <alignment horizontal="center" vertical="center" wrapText="1"/>
    </xf>
    <xf numFmtId="0" fontId="11" fillId="5" borderId="61" xfId="0" applyFont="1" applyFill="1" applyBorder="1" applyAlignment="1">
      <alignment horizontal="center" vertical="center" wrapText="1"/>
    </xf>
    <xf numFmtId="0" fontId="11" fillId="5" borderId="62" xfId="0" applyFont="1" applyFill="1" applyBorder="1" applyAlignment="1">
      <alignment horizontal="center" vertical="center" wrapText="1"/>
    </xf>
    <xf numFmtId="0" fontId="11" fillId="5" borderId="0" xfId="0" applyFont="1" applyFill="1" applyBorder="1" applyAlignment="1">
      <alignment horizontal="center" vertical="center" wrapText="1"/>
    </xf>
    <xf numFmtId="0" fontId="11" fillId="5" borderId="63" xfId="0" applyFont="1" applyFill="1" applyBorder="1" applyAlignment="1">
      <alignment horizontal="center" vertical="center" wrapText="1"/>
    </xf>
    <xf numFmtId="0" fontId="26" fillId="5" borderId="0" xfId="0" applyFont="1" applyFill="1" applyBorder="1" applyAlignment="1">
      <alignment horizontal="center" vertical="center" wrapText="1"/>
    </xf>
    <xf numFmtId="0" fontId="11" fillId="5" borderId="0" xfId="0" applyFont="1" applyFill="1" applyBorder="1" applyAlignment="1" applyProtection="1">
      <alignment horizontal="center" vertical="center" shrinkToFit="1"/>
      <protection locked="0"/>
    </xf>
    <xf numFmtId="0" fontId="11" fillId="5" borderId="0" xfId="0" applyFont="1" applyFill="1" applyBorder="1" applyAlignment="1" applyProtection="1">
      <alignment horizontal="center" vertical="center" wrapText="1"/>
      <protection locked="0"/>
    </xf>
    <xf numFmtId="0" fontId="11" fillId="5" borderId="64" xfId="0" applyFont="1" applyFill="1" applyBorder="1" applyAlignment="1">
      <alignment horizontal="center" vertical="center" wrapText="1"/>
    </xf>
    <xf numFmtId="0" fontId="11" fillId="5" borderId="65" xfId="0" applyFont="1" applyFill="1" applyBorder="1" applyAlignment="1">
      <alignment horizontal="center" vertical="center" wrapText="1"/>
    </xf>
    <xf numFmtId="0" fontId="11" fillId="5" borderId="66" xfId="0" applyFont="1" applyFill="1" applyBorder="1" applyAlignment="1">
      <alignment horizontal="center" vertical="center" wrapText="1"/>
    </xf>
    <xf numFmtId="0" fontId="23" fillId="5" borderId="0" xfId="0" applyFont="1" applyFill="1"/>
    <xf numFmtId="0" fontId="25" fillId="5" borderId="60" xfId="0" applyFont="1" applyFill="1" applyBorder="1" applyAlignment="1">
      <alignment horizontal="left" vertical="center" wrapText="1"/>
    </xf>
    <xf numFmtId="168" fontId="23" fillId="5" borderId="0" xfId="0" applyNumberFormat="1" applyFont="1" applyFill="1" applyAlignment="1">
      <alignment horizontal="right" vertical="center" wrapText="1"/>
    </xf>
    <xf numFmtId="0" fontId="23" fillId="5" borderId="0" xfId="0" applyFont="1" applyFill="1" applyAlignment="1">
      <alignment horizontal="center" vertical="center" wrapText="1"/>
    </xf>
    <xf numFmtId="0" fontId="25" fillId="5" borderId="0" xfId="0" applyFont="1" applyFill="1" applyAlignment="1">
      <alignment horizontal="right"/>
    </xf>
    <xf numFmtId="14" fontId="25" fillId="5" borderId="0" xfId="0" applyNumberFormat="1" applyFont="1" applyFill="1" applyAlignment="1">
      <alignment horizontal="right"/>
    </xf>
    <xf numFmtId="0" fontId="23" fillId="0" borderId="0" xfId="0" applyFont="1"/>
    <xf numFmtId="170" fontId="27" fillId="0" borderId="0" xfId="0" applyNumberFormat="1" applyFont="1" applyAlignment="1">
      <alignment horizontal="center"/>
    </xf>
    <xf numFmtId="0" fontId="23" fillId="0" borderId="0" xfId="0" applyFont="1" applyAlignment="1">
      <alignment horizontal="center"/>
    </xf>
    <xf numFmtId="0" fontId="25" fillId="0" borderId="0" xfId="0" applyFont="1" applyAlignment="1">
      <alignment horizontal="right"/>
    </xf>
    <xf numFmtId="168" fontId="23" fillId="0" borderId="0" xfId="0" applyNumberFormat="1" applyFont="1" applyAlignment="1">
      <alignment horizontal="right" vertical="center" wrapText="1"/>
    </xf>
    <xf numFmtId="0" fontId="23" fillId="0" borderId="0" xfId="0" applyFont="1" applyAlignment="1">
      <alignment horizontal="center" vertical="center" wrapText="1"/>
    </xf>
    <xf numFmtId="14" fontId="25" fillId="0" borderId="0" xfId="0" applyNumberFormat="1" applyFont="1" applyAlignment="1">
      <alignment horizontal="right"/>
    </xf>
    <xf numFmtId="4" fontId="0" fillId="0" borderId="40" xfId="0" applyNumberFormat="1" applyBorder="1"/>
    <xf numFmtId="0" fontId="0" fillId="0" borderId="0" xfId="0" applyAlignment="1">
      <alignment horizontal="left"/>
    </xf>
    <xf numFmtId="4" fontId="129" fillId="0" borderId="40" xfId="0" applyNumberFormat="1" applyFont="1" applyBorder="1"/>
    <xf numFmtId="4" fontId="10" fillId="9" borderId="40" xfId="0" applyNumberFormat="1" applyFont="1" applyFill="1" applyBorder="1"/>
    <xf numFmtId="4" fontId="133" fillId="0" borderId="40" xfId="0" applyNumberFormat="1" applyFont="1" applyBorder="1" applyProtection="1">
      <protection locked="0"/>
    </xf>
    <xf numFmtId="9" fontId="133" fillId="0" borderId="40" xfId="0" applyNumberFormat="1" applyFont="1" applyBorder="1" applyProtection="1">
      <protection locked="0"/>
    </xf>
    <xf numFmtId="4" fontId="10" fillId="0" borderId="40" xfId="0" applyNumberFormat="1" applyFont="1" applyBorder="1" applyProtection="1">
      <protection locked="0"/>
    </xf>
    <xf numFmtId="17" fontId="0" fillId="0" borderId="40" xfId="0" applyNumberFormat="1" applyBorder="1" applyAlignment="1">
      <alignment horizontal="center" vertical="center"/>
    </xf>
    <xf numFmtId="49" fontId="134" fillId="0" borderId="40" xfId="0" applyNumberFormat="1" applyFont="1" applyBorder="1" applyAlignment="1">
      <alignment horizontal="center" vertical="center"/>
    </xf>
    <xf numFmtId="4" fontId="134" fillId="0" borderId="40" xfId="0" applyNumberFormat="1" applyFont="1" applyBorder="1" applyAlignment="1">
      <alignment horizontal="center" vertical="center"/>
    </xf>
    <xf numFmtId="0" fontId="0" fillId="0" borderId="0" xfId="0" applyAlignment="1">
      <alignment horizontal="center" vertical="center"/>
    </xf>
    <xf numFmtId="0" fontId="129" fillId="9" borderId="40" xfId="0" applyFont="1" applyFill="1" applyBorder="1" applyAlignment="1">
      <alignment horizontal="left" vertical="center" wrapText="1" shrinkToFit="1"/>
    </xf>
    <xf numFmtId="0" fontId="0" fillId="0" borderId="0" xfId="0" applyAlignment="1">
      <alignment shrinkToFit="1"/>
    </xf>
    <xf numFmtId="0" fontId="135" fillId="10" borderId="40" xfId="0" applyFont="1" applyFill="1" applyBorder="1" applyAlignment="1">
      <alignment horizontal="center" vertical="center" wrapText="1"/>
    </xf>
    <xf numFmtId="0" fontId="0" fillId="0" borderId="0" xfId="0" applyAlignment="1">
      <alignment wrapText="1"/>
    </xf>
    <xf numFmtId="0" fontId="136" fillId="0" borderId="0" xfId="0" applyFont="1" applyAlignment="1">
      <alignment horizontal="center" wrapText="1"/>
    </xf>
    <xf numFmtId="0" fontId="137" fillId="0" borderId="67" xfId="0" applyFont="1" applyBorder="1" applyAlignment="1">
      <alignment vertical="center" wrapText="1"/>
    </xf>
    <xf numFmtId="0" fontId="137" fillId="0" borderId="68" xfId="0" applyFont="1" applyBorder="1" applyAlignment="1">
      <alignment vertical="center" wrapText="1"/>
    </xf>
    <xf numFmtId="0" fontId="137" fillId="0" borderId="69" xfId="0" applyFont="1" applyBorder="1" applyAlignment="1">
      <alignment vertical="center" wrapText="1"/>
    </xf>
    <xf numFmtId="0" fontId="138" fillId="0" borderId="0" xfId="0" applyFont="1" applyAlignment="1">
      <alignment horizontal="justify" vertical="center" wrapText="1"/>
    </xf>
    <xf numFmtId="0" fontId="139" fillId="10" borderId="40" xfId="0" applyFont="1" applyFill="1" applyBorder="1" applyAlignment="1">
      <alignment horizontal="center" vertical="center" wrapText="1"/>
    </xf>
    <xf numFmtId="0" fontId="137" fillId="0" borderId="0" xfId="0" applyFont="1" applyAlignment="1">
      <alignment vertical="center" wrapText="1"/>
    </xf>
    <xf numFmtId="0" fontId="140" fillId="10" borderId="185" xfId="0" applyFont="1" applyFill="1" applyBorder="1" applyAlignment="1">
      <alignment horizontal="center" vertical="center" wrapText="1"/>
    </xf>
    <xf numFmtId="0" fontId="137" fillId="0" borderId="0" xfId="0" applyFont="1" applyAlignment="1">
      <alignment horizontal="justify" vertical="center" wrapText="1"/>
    </xf>
    <xf numFmtId="0" fontId="138" fillId="0" borderId="67" xfId="0" applyFont="1" applyBorder="1" applyAlignment="1">
      <alignment horizontal="center" vertical="center" wrapText="1"/>
    </xf>
    <xf numFmtId="0" fontId="138" fillId="0" borderId="68" xfId="0" applyFont="1" applyBorder="1" applyAlignment="1">
      <alignment vertical="center" wrapText="1"/>
    </xf>
    <xf numFmtId="0" fontId="136" fillId="0" borderId="67" xfId="0" applyFont="1" applyBorder="1" applyAlignment="1">
      <alignment horizontal="center" wrapText="1"/>
    </xf>
    <xf numFmtId="0" fontId="138" fillId="0" borderId="70" xfId="0" applyFont="1" applyBorder="1" applyAlignment="1">
      <alignment vertical="center" wrapText="1"/>
    </xf>
    <xf numFmtId="0" fontId="136" fillId="0" borderId="71" xfId="0" applyFont="1" applyBorder="1" applyAlignment="1">
      <alignment horizontal="center" wrapText="1"/>
    </xf>
    <xf numFmtId="0" fontId="137" fillId="0" borderId="72" xfId="0" applyFont="1" applyBorder="1" applyAlignment="1">
      <alignment horizontal="justify" vertical="center" wrapText="1"/>
    </xf>
    <xf numFmtId="0" fontId="136" fillId="0" borderId="68" xfId="0" applyFont="1" applyBorder="1" applyAlignment="1">
      <alignment horizontal="center" wrapText="1"/>
    </xf>
    <xf numFmtId="0" fontId="141" fillId="0" borderId="73" xfId="0" applyFont="1" applyBorder="1" applyAlignment="1">
      <alignment horizontal="center" vertical="center" wrapText="1"/>
    </xf>
    <xf numFmtId="0" fontId="136" fillId="0" borderId="73" xfId="0" applyFont="1" applyBorder="1" applyAlignment="1">
      <alignment horizontal="center" wrapText="1"/>
    </xf>
    <xf numFmtId="0" fontId="141" fillId="0" borderId="74" xfId="0" applyFont="1" applyBorder="1" applyAlignment="1">
      <alignment horizontal="center" vertical="center" wrapText="1"/>
    </xf>
    <xf numFmtId="0" fontId="136" fillId="0" borderId="74" xfId="0" applyFont="1" applyBorder="1" applyAlignment="1">
      <alignment horizontal="center" wrapText="1"/>
    </xf>
    <xf numFmtId="0" fontId="137" fillId="0" borderId="70" xfId="0" applyFont="1" applyBorder="1" applyAlignment="1">
      <alignment horizontal="justify" vertical="center" wrapText="1"/>
    </xf>
    <xf numFmtId="0" fontId="137" fillId="0" borderId="68" xfId="0" applyFont="1" applyBorder="1" applyAlignment="1">
      <alignment horizontal="justify" vertical="center" wrapText="1"/>
    </xf>
    <xf numFmtId="0" fontId="141" fillId="0" borderId="75" xfId="0" applyFont="1" applyBorder="1" applyAlignment="1">
      <alignment horizontal="center" vertical="center" wrapText="1"/>
    </xf>
    <xf numFmtId="0" fontId="136" fillId="0" borderId="76" xfId="0" applyFont="1" applyBorder="1" applyAlignment="1">
      <alignment horizontal="center" wrapText="1"/>
    </xf>
    <xf numFmtId="0" fontId="136" fillId="0" borderId="75" xfId="0" applyFont="1" applyBorder="1" applyAlignment="1">
      <alignment horizontal="center" wrapText="1"/>
    </xf>
    <xf numFmtId="0" fontId="141" fillId="0" borderId="77" xfId="0" applyFont="1" applyBorder="1" applyAlignment="1">
      <alignment horizontal="center" vertical="center" wrapText="1"/>
    </xf>
    <xf numFmtId="0" fontId="141" fillId="0" borderId="8" xfId="0" applyFont="1" applyBorder="1" applyAlignment="1">
      <alignment horizontal="center" vertical="center" wrapText="1"/>
    </xf>
    <xf numFmtId="0" fontId="136" fillId="0" borderId="70" xfId="0" applyFont="1" applyBorder="1" applyAlignment="1">
      <alignment horizontal="center" wrapText="1"/>
    </xf>
    <xf numFmtId="0" fontId="136" fillId="0" borderId="78" xfId="0" applyFont="1" applyBorder="1" applyAlignment="1">
      <alignment horizontal="center" wrapText="1"/>
    </xf>
    <xf numFmtId="0" fontId="137" fillId="0" borderId="72" xfId="0" applyFont="1" applyBorder="1" applyAlignment="1">
      <alignment vertical="center" wrapText="1"/>
    </xf>
    <xf numFmtId="0" fontId="137" fillId="0" borderId="70" xfId="0" applyFont="1" applyBorder="1" applyAlignment="1">
      <alignment vertical="center" wrapText="1"/>
    </xf>
    <xf numFmtId="0" fontId="142" fillId="0" borderId="77" xfId="0" applyFont="1" applyBorder="1" applyAlignment="1">
      <alignment horizontal="center" vertical="center" wrapText="1"/>
    </xf>
    <xf numFmtId="0" fontId="142" fillId="0" borderId="8" xfId="0" applyFont="1" applyBorder="1" applyAlignment="1">
      <alignment horizontal="center" vertical="center" wrapText="1"/>
    </xf>
    <xf numFmtId="0" fontId="141" fillId="0" borderId="5" xfId="0" applyFont="1" applyBorder="1" applyAlignment="1">
      <alignment horizontal="center" vertical="center" wrapText="1"/>
    </xf>
    <xf numFmtId="0" fontId="142" fillId="0" borderId="5" xfId="0" applyFont="1" applyBorder="1" applyAlignment="1">
      <alignment horizontal="center" vertical="center" wrapText="1"/>
    </xf>
    <xf numFmtId="0" fontId="137" fillId="0" borderId="0" xfId="0" applyFont="1" applyBorder="1" applyAlignment="1">
      <alignment horizontal="justify" vertical="center" wrapText="1"/>
    </xf>
    <xf numFmtId="0" fontId="141" fillId="0" borderId="0" xfId="0" applyFont="1" applyBorder="1" applyAlignment="1">
      <alignment horizontal="center" vertical="center" wrapText="1"/>
    </xf>
    <xf numFmtId="0" fontId="142" fillId="0" borderId="0" xfId="0" applyFont="1" applyBorder="1" applyAlignment="1">
      <alignment horizontal="center" vertical="center" wrapText="1"/>
    </xf>
    <xf numFmtId="0" fontId="143" fillId="0" borderId="5" xfId="0" applyFont="1" applyBorder="1" applyAlignment="1">
      <alignment horizontal="center" wrapText="1"/>
    </xf>
    <xf numFmtId="0" fontId="138" fillId="0" borderId="70" xfId="0" applyFont="1" applyBorder="1" applyAlignment="1">
      <alignment horizontal="justify" vertical="center" wrapText="1"/>
    </xf>
    <xf numFmtId="0" fontId="138" fillId="0" borderId="72" xfId="0" applyFont="1" applyBorder="1" applyAlignment="1">
      <alignment horizontal="justify" vertical="center" wrapText="1"/>
    </xf>
    <xf numFmtId="0" fontId="137" fillId="0" borderId="79" xfId="0" applyFont="1" applyBorder="1" applyAlignment="1">
      <alignment vertical="center" wrapText="1"/>
    </xf>
    <xf numFmtId="0" fontId="141" fillId="0" borderId="79" xfId="0" applyFont="1" applyBorder="1" applyAlignment="1">
      <alignment horizontal="center" vertical="center" wrapText="1"/>
    </xf>
    <xf numFmtId="0" fontId="142" fillId="0" borderId="79" xfId="0" applyFont="1" applyBorder="1" applyAlignment="1">
      <alignment horizontal="center" vertical="center" wrapText="1"/>
    </xf>
    <xf numFmtId="0" fontId="138" fillId="0" borderId="72" xfId="0" applyFont="1" applyBorder="1" applyAlignment="1">
      <alignment vertical="center" wrapText="1"/>
    </xf>
    <xf numFmtId="0" fontId="0" fillId="0" borderId="72" xfId="0" applyBorder="1" applyAlignment="1">
      <alignment vertical="center" wrapText="1"/>
    </xf>
    <xf numFmtId="0" fontId="138" fillId="0" borderId="68" xfId="0" applyFont="1" applyBorder="1" applyAlignment="1">
      <alignment horizontal="justify" vertical="center" wrapText="1"/>
    </xf>
    <xf numFmtId="0" fontId="142" fillId="0" borderId="67" xfId="0" applyFont="1" applyBorder="1" applyAlignment="1">
      <alignment horizontal="center" vertical="center" wrapText="1"/>
    </xf>
    <xf numFmtId="0" fontId="138" fillId="0" borderId="67" xfId="0" applyFont="1" applyBorder="1" applyAlignment="1">
      <alignment vertical="center" wrapText="1"/>
    </xf>
    <xf numFmtId="0" fontId="138" fillId="0" borderId="80" xfId="0" applyFont="1" applyBorder="1" applyAlignment="1">
      <alignment horizontal="center" vertical="center" wrapText="1"/>
    </xf>
    <xf numFmtId="0" fontId="144" fillId="0" borderId="5" xfId="0" applyFont="1" applyBorder="1" applyAlignment="1">
      <alignment horizontal="center" vertical="center" wrapText="1"/>
    </xf>
    <xf numFmtId="0" fontId="138" fillId="0" borderId="5" xfId="0" applyFont="1" applyBorder="1" applyAlignment="1">
      <alignment horizontal="center" vertical="center" wrapText="1"/>
    </xf>
    <xf numFmtId="0" fontId="145" fillId="0" borderId="0" xfId="0" applyFont="1" applyAlignment="1">
      <alignment horizontal="justify" vertical="center" wrapText="1"/>
    </xf>
    <xf numFmtId="0" fontId="138" fillId="0" borderId="79" xfId="0" applyFont="1" applyBorder="1" applyAlignment="1">
      <alignment vertical="center" wrapText="1"/>
    </xf>
    <xf numFmtId="0" fontId="145" fillId="0" borderId="0" xfId="0" applyFont="1" applyAlignment="1">
      <alignment horizontal="justify" vertical="center" wrapText="1"/>
    </xf>
    <xf numFmtId="0" fontId="138" fillId="0" borderId="68" xfId="0" applyFont="1" applyBorder="1" applyAlignment="1">
      <alignment horizontal="center" vertical="center" wrapText="1"/>
    </xf>
    <xf numFmtId="0" fontId="136" fillId="0" borderId="68" xfId="0" applyFont="1" applyBorder="1" applyAlignment="1">
      <alignment horizontal="center" vertical="center" wrapText="1"/>
    </xf>
    <xf numFmtId="0" fontId="136" fillId="0" borderId="67" xfId="0" applyFont="1" applyBorder="1" applyAlignment="1">
      <alignment horizontal="center" vertical="center" wrapText="1"/>
    </xf>
    <xf numFmtId="0" fontId="142" fillId="0" borderId="71" xfId="0" applyFont="1" applyBorder="1" applyAlignment="1">
      <alignment horizontal="center" vertical="center" wrapText="1"/>
    </xf>
    <xf numFmtId="0" fontId="142" fillId="0" borderId="68" xfId="0" applyFont="1" applyBorder="1" applyAlignment="1">
      <alignment horizontal="center" vertical="center" wrapText="1"/>
    </xf>
    <xf numFmtId="0" fontId="138" fillId="0" borderId="0" xfId="0" applyFont="1" applyAlignment="1">
      <alignment horizontal="center" vertical="center" wrapText="1"/>
    </xf>
    <xf numFmtId="0" fontId="136" fillId="0" borderId="0" xfId="0" applyFont="1" applyAlignment="1">
      <alignment horizontal="center" vertical="center" wrapText="1"/>
    </xf>
    <xf numFmtId="0" fontId="136" fillId="0" borderId="71" xfId="0" applyFont="1" applyBorder="1" applyAlignment="1">
      <alignment horizontal="center" vertical="center" wrapText="1"/>
    </xf>
    <xf numFmtId="0" fontId="136" fillId="0" borderId="73" xfId="0" applyFont="1" applyBorder="1" applyAlignment="1">
      <alignment horizontal="center" vertical="center" wrapText="1"/>
    </xf>
    <xf numFmtId="0" fontId="136" fillId="0" borderId="74" xfId="0" applyFont="1" applyBorder="1" applyAlignment="1">
      <alignment horizontal="center" vertical="center" wrapText="1"/>
    </xf>
    <xf numFmtId="0" fontId="136" fillId="0" borderId="76" xfId="0" applyFont="1" applyBorder="1" applyAlignment="1">
      <alignment horizontal="center" vertical="center" wrapText="1"/>
    </xf>
    <xf numFmtId="0" fontId="136" fillId="0" borderId="75" xfId="0" applyFont="1" applyBorder="1" applyAlignment="1">
      <alignment horizontal="center" vertical="center" wrapText="1"/>
    </xf>
    <xf numFmtId="0" fontId="136" fillId="0" borderId="0" xfId="0" applyFont="1" applyBorder="1" applyAlignment="1">
      <alignment horizontal="center" vertical="center" wrapText="1"/>
    </xf>
    <xf numFmtId="0" fontId="136" fillId="0" borderId="78" xfId="0" applyFont="1" applyBorder="1" applyAlignment="1">
      <alignment horizontal="center" vertical="center" wrapText="1"/>
    </xf>
    <xf numFmtId="0" fontId="143" fillId="0" borderId="5" xfId="0" applyFont="1" applyBorder="1" applyAlignment="1">
      <alignment horizontal="center" vertical="center" wrapText="1"/>
    </xf>
    <xf numFmtId="0" fontId="136" fillId="0" borderId="79" xfId="0" applyFont="1" applyBorder="1" applyAlignment="1">
      <alignment horizontal="center" vertical="center" wrapText="1"/>
    </xf>
    <xf numFmtId="0" fontId="146" fillId="0" borderId="73" xfId="0" applyFont="1" applyBorder="1" applyAlignment="1">
      <alignment horizontal="center" vertical="center" wrapText="1"/>
    </xf>
    <xf numFmtId="0" fontId="146" fillId="0" borderId="74" xfId="0" applyFont="1" applyBorder="1" applyAlignment="1">
      <alignment horizontal="center" vertical="center" wrapText="1"/>
    </xf>
    <xf numFmtId="0" fontId="146" fillId="0" borderId="75" xfId="0" applyFont="1" applyBorder="1" applyAlignment="1">
      <alignment horizontal="center" vertical="center" wrapText="1"/>
    </xf>
    <xf numFmtId="0" fontId="146" fillId="0" borderId="76" xfId="0" applyFont="1" applyBorder="1" applyAlignment="1">
      <alignment horizontal="center" vertical="center" wrapText="1"/>
    </xf>
    <xf numFmtId="0" fontId="146" fillId="0" borderId="70" xfId="0" applyFont="1" applyBorder="1" applyAlignment="1">
      <alignment horizontal="center" vertical="center" wrapText="1"/>
    </xf>
    <xf numFmtId="0" fontId="146" fillId="0" borderId="78" xfId="0" applyFont="1" applyBorder="1" applyAlignment="1">
      <alignment horizontal="center" vertical="center" wrapText="1"/>
    </xf>
    <xf numFmtId="0" fontId="147" fillId="0" borderId="5" xfId="0" applyFont="1" applyBorder="1" applyAlignment="1">
      <alignment horizontal="center" vertical="center" wrapText="1"/>
    </xf>
    <xf numFmtId="0" fontId="148" fillId="9" borderId="68" xfId="0" applyFont="1" applyFill="1" applyBorder="1" applyAlignment="1">
      <alignment horizontal="center" vertical="center" wrapText="1"/>
    </xf>
    <xf numFmtId="0" fontId="149" fillId="9" borderId="81" xfId="0" applyFont="1" applyFill="1" applyBorder="1" applyAlignment="1">
      <alignment horizontal="center" vertical="center" wrapText="1"/>
    </xf>
    <xf numFmtId="0" fontId="149" fillId="9" borderId="67" xfId="0" applyFont="1" applyFill="1" applyBorder="1" applyAlignment="1">
      <alignment horizontal="center" vertical="center" wrapText="1"/>
    </xf>
    <xf numFmtId="0" fontId="145" fillId="0" borderId="8" xfId="0" applyFont="1" applyBorder="1" applyAlignment="1">
      <alignment horizontal="center" vertical="top" wrapText="1"/>
    </xf>
    <xf numFmtId="0" fontId="150" fillId="0" borderId="8" xfId="0" applyFont="1" applyBorder="1" applyAlignment="1">
      <alignment horizontal="center" vertical="top" wrapText="1"/>
    </xf>
    <xf numFmtId="0" fontId="151" fillId="0" borderId="8" xfId="0" applyFont="1" applyBorder="1" applyAlignment="1">
      <alignment horizontal="center" vertical="top" wrapText="1"/>
    </xf>
    <xf numFmtId="0" fontId="137" fillId="0" borderId="8" xfId="0" applyFont="1" applyBorder="1" applyAlignment="1">
      <alignment horizontal="center" vertical="top" wrapText="1"/>
    </xf>
    <xf numFmtId="0" fontId="28" fillId="0" borderId="0" xfId="0" applyFont="1" applyAlignment="1">
      <alignment vertical="top"/>
    </xf>
    <xf numFmtId="0" fontId="0" fillId="0" borderId="0" xfId="0" applyAlignment="1">
      <alignment vertical="top"/>
    </xf>
    <xf numFmtId="0" fontId="46" fillId="0" borderId="0" xfId="0" applyFont="1" applyAlignment="1">
      <alignment vertical="top"/>
    </xf>
    <xf numFmtId="0" fontId="152" fillId="9" borderId="67" xfId="0" applyFont="1" applyFill="1" applyBorder="1" applyAlignment="1">
      <alignment horizontal="center" vertical="center" textRotation="90" wrapText="1"/>
    </xf>
    <xf numFmtId="0" fontId="153" fillId="0" borderId="8" xfId="0" applyFont="1" applyBorder="1" applyAlignment="1">
      <alignment horizontal="center" vertical="top" wrapText="1"/>
    </xf>
    <xf numFmtId="0" fontId="154" fillId="0" borderId="0" xfId="0" applyFont="1" applyAlignment="1">
      <alignment horizontal="justify" vertical="center" wrapText="1"/>
    </xf>
    <xf numFmtId="0" fontId="150" fillId="0" borderId="71" xfId="0" applyFont="1" applyBorder="1" applyAlignment="1">
      <alignment horizontal="justify" vertical="center" wrapText="1"/>
    </xf>
    <xf numFmtId="0" fontId="154" fillId="0" borderId="79" xfId="0" applyFont="1" applyBorder="1" applyAlignment="1">
      <alignment horizontal="justify" vertical="center" wrapText="1"/>
    </xf>
    <xf numFmtId="0" fontId="155" fillId="0" borderId="0" xfId="0" applyFont="1" applyAlignment="1">
      <alignment horizontal="left" vertical="center" wrapText="1"/>
    </xf>
    <xf numFmtId="0" fontId="145" fillId="0" borderId="70" xfId="0" applyFont="1" applyBorder="1" applyAlignment="1">
      <alignment horizontal="justify" vertical="center" wrapText="1"/>
    </xf>
    <xf numFmtId="0" fontId="148" fillId="9" borderId="67" xfId="0" applyFont="1" applyFill="1" applyBorder="1" applyAlignment="1">
      <alignment horizontal="center" vertical="center" wrapText="1"/>
    </xf>
    <xf numFmtId="0" fontId="155" fillId="0" borderId="82" xfId="0" applyFont="1" applyBorder="1" applyAlignment="1">
      <alignment vertical="center" wrapText="1"/>
    </xf>
    <xf numFmtId="0" fontId="145" fillId="0" borderId="79" xfId="0" applyFont="1" applyBorder="1" applyAlignment="1">
      <alignment vertical="top" wrapText="1"/>
    </xf>
    <xf numFmtId="0" fontId="138" fillId="0" borderId="79" xfId="0" applyFont="1" applyBorder="1" applyAlignment="1">
      <alignment horizontal="center" vertical="top" wrapText="1"/>
    </xf>
    <xf numFmtId="0" fontId="156" fillId="0" borderId="81" xfId="0" applyFont="1" applyBorder="1" applyAlignment="1">
      <alignment horizontal="center" vertical="top" wrapText="1"/>
    </xf>
    <xf numFmtId="0" fontId="145" fillId="0" borderId="0" xfId="0" applyFont="1" applyBorder="1" applyAlignment="1">
      <alignment vertical="top" wrapText="1"/>
    </xf>
    <xf numFmtId="0" fontId="138" fillId="0" borderId="0" xfId="0" applyFont="1" applyBorder="1" applyAlignment="1">
      <alignment horizontal="center" vertical="top" wrapText="1"/>
    </xf>
    <xf numFmtId="0" fontId="145" fillId="0" borderId="21" xfId="0" applyFont="1" applyBorder="1" applyAlignment="1">
      <alignment vertical="top" wrapText="1"/>
    </xf>
    <xf numFmtId="0" fontId="138" fillId="0" borderId="21" xfId="0" applyFont="1" applyBorder="1" applyAlignment="1">
      <alignment horizontal="center" vertical="top" wrapText="1"/>
    </xf>
    <xf numFmtId="0" fontId="154" fillId="0" borderId="0" xfId="0" applyFont="1" applyBorder="1" applyAlignment="1">
      <alignment horizontal="justify" vertical="center" wrapText="1"/>
    </xf>
    <xf numFmtId="0" fontId="154" fillId="0" borderId="21" xfId="0" applyFont="1" applyBorder="1" applyAlignment="1">
      <alignment horizontal="justify" vertical="center" wrapText="1"/>
    </xf>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horizontal="left" wrapText="1"/>
    </xf>
    <xf numFmtId="0" fontId="0" fillId="0" borderId="0" xfId="0" applyAlignment="1">
      <alignment horizontal="left" vertical="center" wrapText="1"/>
    </xf>
    <xf numFmtId="0" fontId="0" fillId="0" borderId="45" xfId="0" applyBorder="1" applyAlignment="1">
      <alignment wrapText="1"/>
    </xf>
    <xf numFmtId="0" fontId="0" fillId="0" borderId="45" xfId="0" applyBorder="1" applyAlignment="1">
      <alignment horizontal="center" wrapText="1"/>
    </xf>
    <xf numFmtId="0" fontId="10" fillId="0" borderId="45" xfId="0" applyFont="1" applyBorder="1" applyAlignment="1">
      <alignment horizontal="center" vertical="center" wrapText="1"/>
    </xf>
    <xf numFmtId="0" fontId="0" fillId="0" borderId="45" xfId="0" applyBorder="1" applyAlignment="1">
      <alignment horizontal="center" vertical="top" wrapText="1"/>
    </xf>
    <xf numFmtId="0" fontId="0" fillId="0" borderId="0" xfId="0" applyFill="1" applyAlignment="1">
      <alignment wrapText="1"/>
    </xf>
    <xf numFmtId="0" fontId="0" fillId="0" borderId="0" xfId="0" applyFill="1" applyAlignment="1">
      <alignment horizontal="center" wrapText="1"/>
    </xf>
    <xf numFmtId="0" fontId="0" fillId="0" borderId="0" xfId="0" applyFill="1" applyAlignment="1">
      <alignment horizontal="center" vertical="center" wrapText="1"/>
    </xf>
    <xf numFmtId="0" fontId="0" fillId="0" borderId="0" xfId="0" applyFill="1" applyAlignment="1">
      <alignment vertical="center" wrapText="1"/>
    </xf>
    <xf numFmtId="0" fontId="0" fillId="0" borderId="45" xfId="0" applyBorder="1" applyAlignment="1">
      <alignment horizontal="left" vertical="center" wrapText="1"/>
    </xf>
    <xf numFmtId="0" fontId="10" fillId="0" borderId="45" xfId="0" applyFont="1" applyBorder="1" applyAlignment="1">
      <alignment horizontal="center" vertical="top" wrapText="1"/>
    </xf>
    <xf numFmtId="0" fontId="21" fillId="0" borderId="0" xfId="0" applyFont="1" applyAlignment="1">
      <alignment horizontal="left" vertical="center" wrapText="1"/>
    </xf>
    <xf numFmtId="0" fontId="0" fillId="0" borderId="45" xfId="0" applyBorder="1" applyAlignment="1">
      <alignment horizontal="center" vertical="center" wrapText="1"/>
    </xf>
    <xf numFmtId="0" fontId="0" fillId="0" borderId="45" xfId="0" applyBorder="1" applyAlignment="1">
      <alignment vertical="center" wrapText="1"/>
    </xf>
    <xf numFmtId="0" fontId="10" fillId="0" borderId="0" xfId="0" applyFont="1" applyAlignment="1">
      <alignment horizontal="center" vertical="center" wrapText="1"/>
    </xf>
    <xf numFmtId="0" fontId="0" fillId="0" borderId="0" xfId="0" applyAlignment="1">
      <alignment horizontal="right" vertical="center" wrapText="1"/>
    </xf>
    <xf numFmtId="0" fontId="0" fillId="0" borderId="83" xfId="0" applyBorder="1" applyAlignment="1">
      <alignment wrapText="1"/>
    </xf>
    <xf numFmtId="0" fontId="21" fillId="0" borderId="0" xfId="0" applyFont="1" applyAlignment="1">
      <alignment horizontal="center" vertical="center" wrapText="1"/>
    </xf>
    <xf numFmtId="0" fontId="0" fillId="0" borderId="84" xfId="0" applyBorder="1" applyAlignment="1">
      <alignment horizontal="center" vertical="center" wrapText="1"/>
    </xf>
    <xf numFmtId="0" fontId="21" fillId="0" borderId="0" xfId="0" applyFont="1" applyAlignment="1">
      <alignment vertical="center" wrapText="1"/>
    </xf>
    <xf numFmtId="0" fontId="21" fillId="0" borderId="0" xfId="0" applyFont="1" applyAlignment="1">
      <alignment wrapText="1"/>
    </xf>
    <xf numFmtId="0" fontId="0" fillId="0" borderId="0" xfId="0" applyBorder="1" applyAlignment="1">
      <alignment horizontal="center" vertical="center" wrapText="1"/>
    </xf>
    <xf numFmtId="0" fontId="0" fillId="0" borderId="0" xfId="0" applyBorder="1" applyAlignment="1">
      <alignment horizontal="left" vertical="center" wrapText="1"/>
    </xf>
    <xf numFmtId="0" fontId="0" fillId="0" borderId="85" xfId="0" applyBorder="1" applyAlignment="1">
      <alignment horizontal="left" vertical="center" wrapText="1"/>
    </xf>
    <xf numFmtId="0" fontId="137" fillId="0" borderId="0" xfId="0" applyFont="1" applyAlignment="1">
      <alignment horizontal="justify" vertical="center" wrapText="1"/>
    </xf>
    <xf numFmtId="0" fontId="154" fillId="0" borderId="0" xfId="0" applyFont="1" applyAlignment="1">
      <alignment horizontal="justify" vertical="center" wrapText="1"/>
    </xf>
    <xf numFmtId="0" fontId="154" fillId="0" borderId="79" xfId="0" applyFont="1" applyBorder="1" applyAlignment="1">
      <alignment horizontal="justify" vertical="center" wrapText="1"/>
    </xf>
    <xf numFmtId="0" fontId="157" fillId="0" borderId="0" xfId="0" applyFont="1" applyAlignment="1">
      <alignment horizontal="left" vertical="center" wrapText="1"/>
    </xf>
    <xf numFmtId="0" fontId="59" fillId="0" borderId="21" xfId="0" applyFont="1" applyBorder="1" applyAlignment="1">
      <alignment horizontal="left" vertical="center"/>
    </xf>
    <xf numFmtId="0" fontId="0" fillId="0" borderId="0" xfId="0" applyBorder="1" applyAlignment="1">
      <alignment vertical="top" wrapText="1"/>
    </xf>
    <xf numFmtId="0" fontId="148" fillId="9" borderId="70" xfId="0" applyFont="1" applyFill="1" applyBorder="1" applyAlignment="1">
      <alignment horizontal="center" vertical="center" wrapText="1"/>
    </xf>
    <xf numFmtId="0" fontId="152" fillId="9" borderId="71" xfId="0" applyFont="1" applyFill="1" applyBorder="1" applyAlignment="1">
      <alignment horizontal="center" vertical="center" textRotation="90" wrapText="1"/>
    </xf>
    <xf numFmtId="0" fontId="149" fillId="9" borderId="71" xfId="0" applyFont="1" applyFill="1" applyBorder="1" applyAlignment="1">
      <alignment horizontal="center" vertical="center" wrapText="1"/>
    </xf>
    <xf numFmtId="0" fontId="145" fillId="0" borderId="86" xfId="0" applyFont="1" applyBorder="1" applyAlignment="1">
      <alignment horizontal="center" vertical="top" wrapText="1"/>
    </xf>
    <xf numFmtId="0" fontId="150" fillId="0" borderId="86" xfId="0" applyFont="1" applyBorder="1" applyAlignment="1">
      <alignment horizontal="center" vertical="top" wrapText="1"/>
    </xf>
    <xf numFmtId="0" fontId="151" fillId="0" borderId="86" xfId="0" applyFont="1" applyBorder="1" applyAlignment="1">
      <alignment horizontal="center" vertical="top" wrapText="1"/>
    </xf>
    <xf numFmtId="0" fontId="150" fillId="0" borderId="87" xfId="0" applyFont="1" applyBorder="1" applyAlignment="1">
      <alignment horizontal="justify" vertical="center" wrapText="1"/>
    </xf>
    <xf numFmtId="0" fontId="145" fillId="0" borderId="88" xfId="0" applyFont="1" applyBorder="1" applyAlignment="1">
      <alignment horizontal="center" vertical="top" wrapText="1"/>
    </xf>
    <xf numFmtId="0" fontId="150" fillId="0" borderId="88" xfId="0" applyFont="1" applyBorder="1" applyAlignment="1">
      <alignment horizontal="center" vertical="top" wrapText="1"/>
    </xf>
    <xf numFmtId="0" fontId="151" fillId="0" borderId="88" xfId="0" applyFont="1" applyBorder="1" applyAlignment="1">
      <alignment horizontal="center" vertical="top" wrapText="1"/>
    </xf>
    <xf numFmtId="0" fontId="155" fillId="0" borderId="74" xfId="0" applyFont="1" applyBorder="1" applyAlignment="1">
      <alignment vertical="center" wrapText="1"/>
    </xf>
    <xf numFmtId="0" fontId="145" fillId="0" borderId="89" xfId="0" applyFont="1" applyBorder="1" applyAlignment="1">
      <alignment horizontal="center" vertical="top" wrapText="1"/>
    </xf>
    <xf numFmtId="0" fontId="150" fillId="0" borderId="89" xfId="0" applyFont="1" applyBorder="1" applyAlignment="1">
      <alignment horizontal="center" vertical="top" wrapText="1"/>
    </xf>
    <xf numFmtId="0" fontId="151" fillId="0" borderId="89" xfId="0" applyFont="1" applyBorder="1" applyAlignment="1">
      <alignment horizontal="center" vertical="top" wrapText="1"/>
    </xf>
    <xf numFmtId="0" fontId="62" fillId="0" borderId="74" xfId="0" applyFont="1" applyBorder="1" applyAlignment="1">
      <alignment vertical="center" wrapText="1"/>
    </xf>
    <xf numFmtId="0" fontId="155" fillId="0" borderId="74" xfId="0" applyFont="1" applyBorder="1" applyAlignment="1">
      <alignment horizontal="justify" vertical="center" wrapText="1"/>
    </xf>
    <xf numFmtId="0" fontId="63" fillId="0" borderId="90" xfId="0" applyFont="1" applyBorder="1" applyAlignment="1">
      <alignment horizontal="justify" vertical="center" wrapText="1"/>
    </xf>
    <xf numFmtId="0" fontId="145" fillId="0" borderId="91" xfId="0" applyFont="1" applyBorder="1" applyAlignment="1">
      <alignment horizontal="center" vertical="top" wrapText="1"/>
    </xf>
    <xf numFmtId="0" fontId="150" fillId="0" borderId="91" xfId="0" applyFont="1" applyBorder="1" applyAlignment="1">
      <alignment horizontal="center" vertical="top" wrapText="1"/>
    </xf>
    <xf numFmtId="0" fontId="151" fillId="0" borderId="91" xfId="0" applyFont="1" applyBorder="1" applyAlignment="1">
      <alignment horizontal="center" vertical="top" wrapText="1"/>
    </xf>
    <xf numFmtId="0" fontId="63" fillId="0" borderId="0" xfId="0" applyFont="1" applyBorder="1" applyAlignment="1">
      <alignment horizontal="justify" vertical="center" wrapText="1"/>
    </xf>
    <xf numFmtId="0" fontId="145" fillId="0" borderId="0" xfId="0" applyFont="1" applyBorder="1" applyAlignment="1">
      <alignment horizontal="center" vertical="top" wrapText="1"/>
    </xf>
    <xf numFmtId="0" fontId="150" fillId="0" borderId="0" xfId="0" applyFont="1" applyBorder="1" applyAlignment="1">
      <alignment horizontal="center" vertical="top" wrapText="1"/>
    </xf>
    <xf numFmtId="0" fontId="151" fillId="0" borderId="0" xfId="0" applyFont="1" applyBorder="1" applyAlignment="1">
      <alignment horizontal="center" vertical="top" wrapText="1"/>
    </xf>
    <xf numFmtId="0" fontId="59" fillId="0" borderId="0" xfId="0" applyFont="1" applyBorder="1" applyAlignment="1">
      <alignment horizontal="left" vertical="center"/>
    </xf>
    <xf numFmtId="0" fontId="148" fillId="9" borderId="71" xfId="0" applyFont="1" applyFill="1" applyBorder="1" applyAlignment="1">
      <alignment horizontal="center" vertical="center" wrapText="1"/>
    </xf>
    <xf numFmtId="0" fontId="137" fillId="0" borderId="89" xfId="0" applyFont="1" applyBorder="1" applyAlignment="1">
      <alignment horizontal="center" vertical="top" wrapText="1"/>
    </xf>
    <xf numFmtId="0" fontId="145" fillId="0" borderId="89" xfId="0" applyFont="1" applyBorder="1" applyAlignment="1">
      <alignment vertical="top" wrapText="1"/>
    </xf>
    <xf numFmtId="0" fontId="150" fillId="0" borderId="89" xfId="0" applyFont="1" applyBorder="1" applyAlignment="1">
      <alignment vertical="top" wrapText="1"/>
    </xf>
    <xf numFmtId="0" fontId="151" fillId="0" borderId="89" xfId="0" applyFont="1" applyBorder="1" applyAlignment="1">
      <alignment vertical="top" wrapText="1"/>
    </xf>
    <xf numFmtId="0" fontId="150" fillId="0" borderId="0" xfId="0" applyFont="1" applyBorder="1" applyAlignment="1">
      <alignment horizontal="left" vertical="top" wrapText="1"/>
    </xf>
    <xf numFmtId="0" fontId="150" fillId="0" borderId="0" xfId="0" applyFont="1" applyBorder="1" applyAlignment="1">
      <alignment vertical="top" wrapText="1"/>
    </xf>
    <xf numFmtId="0" fontId="145" fillId="0" borderId="91" xfId="0" applyFont="1" applyBorder="1" applyAlignment="1">
      <alignment vertical="top" wrapText="1"/>
    </xf>
    <xf numFmtId="0" fontId="150" fillId="0" borderId="91" xfId="0" applyFont="1" applyBorder="1" applyAlignment="1">
      <alignment vertical="top" wrapText="1"/>
    </xf>
    <xf numFmtId="0" fontId="151" fillId="0" borderId="91" xfId="0" applyFont="1" applyBorder="1" applyAlignment="1">
      <alignment vertical="top" wrapText="1"/>
    </xf>
    <xf numFmtId="0" fontId="151" fillId="0" borderId="0" xfId="0" applyFont="1" applyBorder="1" applyAlignment="1">
      <alignment vertical="top" wrapText="1"/>
    </xf>
    <xf numFmtId="0" fontId="0" fillId="0" borderId="0" xfId="0" applyBorder="1"/>
    <xf numFmtId="0" fontId="57" fillId="0" borderId="0" xfId="0" applyFont="1" applyBorder="1" applyAlignment="1">
      <alignment horizontal="left" vertical="center" wrapText="1"/>
    </xf>
    <xf numFmtId="0" fontId="145" fillId="0" borderId="78" xfId="0" applyFont="1" applyBorder="1" applyAlignment="1">
      <alignment horizontal="justify" vertical="center" wrapText="1"/>
    </xf>
    <xf numFmtId="0" fontId="137" fillId="0" borderId="86" xfId="0" applyFont="1" applyBorder="1" applyAlignment="1">
      <alignment horizontal="center" vertical="top" wrapText="1"/>
    </xf>
    <xf numFmtId="0" fontId="145" fillId="0" borderId="74" xfId="0" applyFont="1" applyBorder="1" applyAlignment="1">
      <alignment vertical="center" wrapText="1"/>
    </xf>
    <xf numFmtId="0" fontId="145" fillId="0" borderId="92" xfId="0" applyFont="1" applyBorder="1" applyAlignment="1">
      <alignment vertical="top" wrapText="1"/>
    </xf>
    <xf numFmtId="0" fontId="0" fillId="0" borderId="92" xfId="0" applyBorder="1" applyAlignment="1">
      <alignment vertical="top" wrapText="1"/>
    </xf>
    <xf numFmtId="0" fontId="46" fillId="0" borderId="92" xfId="0" applyFont="1" applyBorder="1" applyAlignment="1">
      <alignment vertical="top" wrapText="1"/>
    </xf>
    <xf numFmtId="0" fontId="154" fillId="0" borderId="0" xfId="0" applyFont="1" applyBorder="1" applyAlignment="1">
      <alignment vertical="center" wrapText="1"/>
    </xf>
    <xf numFmtId="0" fontId="149" fillId="9" borderId="93" xfId="0" applyFont="1" applyFill="1" applyBorder="1" applyAlignment="1">
      <alignment horizontal="center" vertical="center" wrapText="1"/>
    </xf>
    <xf numFmtId="0" fontId="148" fillId="9" borderId="94" xfId="0" applyFont="1" applyFill="1" applyBorder="1" applyAlignment="1">
      <alignment horizontal="center" vertical="center" wrapText="1"/>
    </xf>
    <xf numFmtId="0" fontId="152" fillId="9" borderId="94" xfId="0" applyFont="1" applyFill="1" applyBorder="1" applyAlignment="1">
      <alignment horizontal="center" vertical="center" textRotation="90" wrapText="1"/>
    </xf>
    <xf numFmtId="0" fontId="149" fillId="9" borderId="94" xfId="0" applyFont="1" applyFill="1" applyBorder="1" applyAlignment="1">
      <alignment horizontal="center" vertical="center" wrapText="1"/>
    </xf>
    <xf numFmtId="0" fontId="137" fillId="0" borderId="87" xfId="0" applyFont="1" applyBorder="1" applyAlignment="1">
      <alignment horizontal="justify" vertical="center" wrapText="1"/>
    </xf>
    <xf numFmtId="0" fontId="137" fillId="0" borderId="88" xfId="0" applyFont="1" applyBorder="1" applyAlignment="1">
      <alignment horizontal="center" vertical="top" wrapText="1"/>
    </xf>
    <xf numFmtId="0" fontId="137" fillId="0" borderId="74" xfId="0" applyFont="1" applyBorder="1" applyAlignment="1">
      <alignment horizontal="justify" vertical="center" wrapText="1"/>
    </xf>
    <xf numFmtId="0" fontId="137" fillId="0" borderId="91" xfId="0" applyFont="1" applyBorder="1" applyAlignment="1">
      <alignment horizontal="center" vertical="top" wrapText="1"/>
    </xf>
    <xf numFmtId="0" fontId="155" fillId="0" borderId="78" xfId="0" applyFont="1" applyBorder="1" applyAlignment="1">
      <alignment horizontal="justify" vertical="center" wrapText="1"/>
    </xf>
    <xf numFmtId="0" fontId="0" fillId="0" borderId="89" xfId="0" applyBorder="1" applyAlignment="1">
      <alignment vertical="top" wrapText="1"/>
    </xf>
    <xf numFmtId="0" fontId="145" fillId="0" borderId="92" xfId="0" applyFont="1" applyBorder="1" applyAlignment="1">
      <alignment horizontal="center" vertical="top" wrapText="1"/>
    </xf>
    <xf numFmtId="0" fontId="151" fillId="0" borderId="92" xfId="0" applyFont="1" applyBorder="1" applyAlignment="1">
      <alignment horizontal="center" vertical="top" wrapText="1"/>
    </xf>
    <xf numFmtId="0" fontId="137" fillId="0" borderId="87" xfId="0" applyFont="1" applyBorder="1" applyAlignment="1">
      <alignment vertical="center" wrapText="1"/>
    </xf>
    <xf numFmtId="0" fontId="137" fillId="0" borderId="74" xfId="0" applyFont="1" applyBorder="1" applyAlignment="1">
      <alignment vertical="center" wrapText="1"/>
    </xf>
    <xf numFmtId="0" fontId="151" fillId="0" borderId="89" xfId="0" applyNumberFormat="1" applyFont="1" applyBorder="1" applyAlignment="1">
      <alignment horizontal="center" vertical="top" wrapText="1"/>
    </xf>
    <xf numFmtId="0" fontId="158" fillId="0" borderId="74" xfId="0" applyFont="1" applyBorder="1" applyAlignment="1">
      <alignment horizontal="justify" vertical="center" wrapText="1"/>
    </xf>
    <xf numFmtId="0" fontId="153" fillId="0" borderId="89" xfId="0" applyFont="1" applyBorder="1" applyAlignment="1">
      <alignment horizontal="center" vertical="top" wrapText="1"/>
    </xf>
    <xf numFmtId="0" fontId="137" fillId="0" borderId="74" xfId="0" applyFont="1" applyBorder="1" applyAlignment="1">
      <alignment horizontal="left" vertical="top" wrapText="1"/>
    </xf>
    <xf numFmtId="0" fontId="159" fillId="0" borderId="89" xfId="0" applyFont="1" applyBorder="1" applyAlignment="1">
      <alignment horizontal="center" vertical="center" textRotation="90" wrapText="1"/>
    </xf>
    <xf numFmtId="0" fontId="54" fillId="0" borderId="68" xfId="0" applyFont="1" applyBorder="1" applyAlignment="1">
      <alignment horizontal="left" vertical="top" wrapText="1"/>
    </xf>
    <xf numFmtId="0" fontId="53" fillId="0" borderId="0" xfId="0" applyFont="1" applyBorder="1" applyAlignment="1">
      <alignment horizontal="left" vertical="top" wrapText="1"/>
    </xf>
    <xf numFmtId="0" fontId="137" fillId="0" borderId="0" xfId="0" applyFont="1" applyBorder="1" applyAlignment="1">
      <alignment horizontal="center" vertical="top" wrapText="1"/>
    </xf>
    <xf numFmtId="0" fontId="53" fillId="0" borderId="74" xfId="0" applyFont="1" applyBorder="1" applyAlignment="1">
      <alignment horizontal="left" vertical="top" wrapText="1"/>
    </xf>
    <xf numFmtId="0" fontId="150" fillId="0" borderId="74" xfId="0" applyFont="1" applyBorder="1" applyAlignment="1">
      <alignment horizontal="left" vertical="center" wrapText="1"/>
    </xf>
    <xf numFmtId="0" fontId="54" fillId="0" borderId="74" xfId="0" applyFont="1" applyBorder="1" applyAlignment="1">
      <alignment horizontal="left" vertical="top" wrapText="1"/>
    </xf>
    <xf numFmtId="0" fontId="53" fillId="0" borderId="90" xfId="0" applyFont="1" applyBorder="1" applyAlignment="1">
      <alignment horizontal="left" vertical="top" wrapText="1"/>
    </xf>
    <xf numFmtId="0" fontId="57" fillId="0" borderId="21" xfId="0" applyFont="1" applyBorder="1" applyAlignment="1">
      <alignment horizontal="left" vertical="center" wrapText="1"/>
    </xf>
    <xf numFmtId="0" fontId="57" fillId="0" borderId="95" xfId="0" applyFont="1" applyBorder="1" applyAlignment="1">
      <alignment horizontal="left" vertical="center" wrapText="1"/>
    </xf>
    <xf numFmtId="0" fontId="145" fillId="0" borderId="88" xfId="0" applyFont="1" applyBorder="1" applyAlignment="1">
      <alignment vertical="top" wrapText="1"/>
    </xf>
    <xf numFmtId="0" fontId="53" fillId="0" borderId="75" xfId="0" applyFont="1" applyBorder="1" applyAlignment="1">
      <alignment horizontal="left" vertical="top" wrapText="1"/>
    </xf>
    <xf numFmtId="0" fontId="137" fillId="0" borderId="92" xfId="0" applyFont="1" applyBorder="1" applyAlignment="1">
      <alignment horizontal="center" vertical="top" wrapText="1"/>
    </xf>
    <xf numFmtId="0" fontId="54" fillId="0" borderId="0" xfId="0" applyFont="1" applyBorder="1" applyAlignment="1">
      <alignment horizontal="left" vertical="top" wrapText="1"/>
    </xf>
    <xf numFmtId="0" fontId="149" fillId="0" borderId="0" xfId="0" applyFont="1" applyBorder="1" applyAlignment="1">
      <alignment horizontal="center" vertical="top" wrapText="1"/>
    </xf>
    <xf numFmtId="0" fontId="156" fillId="0" borderId="0" xfId="0" applyFont="1" applyBorder="1" applyAlignment="1">
      <alignment horizontal="center" vertical="top" wrapText="1"/>
    </xf>
    <xf numFmtId="0" fontId="149" fillId="9" borderId="80" xfId="0" applyFont="1" applyFill="1" applyBorder="1" applyAlignment="1">
      <alignment horizontal="center" vertical="center" wrapText="1"/>
    </xf>
    <xf numFmtId="0" fontId="61" fillId="0" borderId="73" xfId="0" applyFont="1" applyBorder="1" applyAlignment="1">
      <alignment vertical="center" wrapText="1"/>
    </xf>
    <xf numFmtId="0" fontId="61" fillId="0" borderId="74" xfId="0" applyFont="1" applyBorder="1" applyAlignment="1">
      <alignment vertical="center" wrapText="1"/>
    </xf>
    <xf numFmtId="0" fontId="61" fillId="0" borderId="74" xfId="0" applyFont="1" applyBorder="1" applyAlignment="1">
      <alignment horizontal="justify" vertical="center" wrapText="1"/>
    </xf>
    <xf numFmtId="0" fontId="155" fillId="0" borderId="75" xfId="0" applyFont="1" applyBorder="1" applyAlignment="1">
      <alignment vertical="center" wrapText="1"/>
    </xf>
    <xf numFmtId="0" fontId="155" fillId="0" borderId="0" xfId="0" applyFont="1" applyBorder="1" applyAlignment="1">
      <alignment vertical="center" wrapText="1"/>
    </xf>
    <xf numFmtId="0" fontId="155" fillId="0" borderId="21" xfId="0" applyFont="1" applyBorder="1" applyAlignment="1">
      <alignment vertical="center" wrapText="1"/>
    </xf>
    <xf numFmtId="0" fontId="156" fillId="0" borderId="21" xfId="0" applyFont="1" applyBorder="1" applyAlignment="1">
      <alignment horizontal="center" vertical="top" wrapText="1"/>
    </xf>
    <xf numFmtId="0" fontId="54" fillId="0" borderId="78" xfId="0" applyFont="1" applyBorder="1" applyAlignment="1">
      <alignment horizontal="left" vertical="top" wrapText="1"/>
    </xf>
    <xf numFmtId="0" fontId="145" fillId="0" borderId="86" xfId="0" applyFont="1" applyBorder="1" applyAlignment="1">
      <alignment vertical="top" wrapText="1"/>
    </xf>
    <xf numFmtId="0" fontId="150" fillId="0" borderId="74" xfId="0" applyFont="1" applyBorder="1" applyAlignment="1">
      <alignment vertical="center" wrapText="1"/>
    </xf>
    <xf numFmtId="0" fontId="150" fillId="0" borderId="74" xfId="0" applyFont="1" applyBorder="1" applyAlignment="1">
      <alignment horizontal="justify" vertical="center" wrapText="1"/>
    </xf>
    <xf numFmtId="0" fontId="0" fillId="0" borderId="75" xfId="0" applyBorder="1" applyAlignment="1">
      <alignment vertical="top" wrapText="1"/>
    </xf>
    <xf numFmtId="0" fontId="145" fillId="0" borderId="0" xfId="0" applyFont="1" applyBorder="1" applyAlignment="1">
      <alignment horizontal="left" vertical="top" wrapText="1"/>
    </xf>
    <xf numFmtId="0" fontId="0" fillId="0" borderId="96" xfId="0" applyBorder="1" applyAlignment="1">
      <alignment horizontal="center" vertical="center" wrapText="1"/>
    </xf>
    <xf numFmtId="0" fontId="0" fillId="0" borderId="97" xfId="0" applyBorder="1" applyAlignment="1">
      <alignment horizontal="left" vertical="center" wrapText="1"/>
    </xf>
    <xf numFmtId="0" fontId="0" fillId="0" borderId="84" xfId="0" applyBorder="1" applyAlignment="1">
      <alignment horizontal="left" vertical="center" wrapText="1"/>
    </xf>
    <xf numFmtId="0" fontId="0" fillId="0" borderId="98" xfId="0" applyBorder="1" applyAlignment="1">
      <alignment horizontal="left" vertical="center" wrapText="1"/>
    </xf>
    <xf numFmtId="0" fontId="10" fillId="0" borderId="45" xfId="0" applyFont="1" applyBorder="1" applyAlignment="1">
      <alignment horizontal="left" wrapText="1"/>
    </xf>
    <xf numFmtId="0" fontId="0" fillId="0" borderId="45" xfId="0" applyBorder="1" applyAlignment="1">
      <alignment horizontal="left" wrapText="1"/>
    </xf>
    <xf numFmtId="0" fontId="10" fillId="0" borderId="45" xfId="0" applyFont="1" applyBorder="1" applyAlignment="1">
      <alignment horizontal="left" vertical="center" wrapText="1"/>
    </xf>
    <xf numFmtId="0" fontId="21" fillId="0" borderId="45" xfId="0" applyFont="1" applyBorder="1" applyAlignment="1">
      <alignment horizontal="left" vertical="center" wrapText="1"/>
    </xf>
    <xf numFmtId="0" fontId="21" fillId="0" borderId="98" xfId="0" applyFont="1" applyBorder="1" applyAlignment="1">
      <alignment horizontal="left" vertical="center" wrapText="1"/>
    </xf>
    <xf numFmtId="0" fontId="21" fillId="0" borderId="98" xfId="0" applyFont="1" applyBorder="1" applyAlignment="1">
      <alignment vertical="center" wrapText="1"/>
    </xf>
    <xf numFmtId="0" fontId="0" fillId="7" borderId="99" xfId="0" applyFill="1" applyBorder="1" applyAlignment="1">
      <alignment horizontal="center" vertical="center" wrapText="1"/>
    </xf>
    <xf numFmtId="0" fontId="0" fillId="0" borderId="83" xfId="0" applyBorder="1" applyAlignment="1">
      <alignment horizontal="left" vertical="center" wrapText="1"/>
    </xf>
    <xf numFmtId="0" fontId="21" fillId="0" borderId="0" xfId="0" applyFont="1" applyAlignment="1">
      <alignment horizontal="left" wrapText="1"/>
    </xf>
    <xf numFmtId="0" fontId="0" fillId="0" borderId="100" xfId="0" applyBorder="1" applyAlignment="1">
      <alignment wrapText="1"/>
    </xf>
    <xf numFmtId="0" fontId="17" fillId="0" borderId="0" xfId="0" applyFont="1" applyAlignment="1">
      <alignment horizontal="left" vertical="center" wrapText="1"/>
    </xf>
    <xf numFmtId="0" fontId="0" fillId="0" borderId="101" xfId="0" applyBorder="1" applyAlignment="1">
      <alignment horizontal="left" vertical="center" wrapText="1"/>
    </xf>
    <xf numFmtId="0" fontId="0" fillId="0" borderId="84" xfId="0" applyBorder="1" applyAlignment="1">
      <alignment vertical="center" wrapText="1"/>
    </xf>
    <xf numFmtId="0" fontId="0" fillId="0" borderId="98" xfId="0" applyBorder="1" applyAlignment="1">
      <alignment vertical="center" wrapText="1"/>
    </xf>
    <xf numFmtId="0" fontId="21" fillId="0" borderId="101" xfId="0" applyFont="1" applyBorder="1" applyAlignment="1">
      <alignment horizontal="left" vertical="center" wrapText="1"/>
    </xf>
    <xf numFmtId="0" fontId="0" fillId="0" borderId="96" xfId="0" applyBorder="1" applyAlignment="1">
      <alignment vertical="center" wrapText="1"/>
    </xf>
    <xf numFmtId="0" fontId="21" fillId="0" borderId="0" xfId="0" applyFont="1" applyBorder="1" applyAlignment="1">
      <alignment horizontal="left" vertical="center" wrapText="1"/>
    </xf>
    <xf numFmtId="0" fontId="0" fillId="0" borderId="83" xfId="0" applyBorder="1" applyAlignment="1">
      <alignment vertical="center" wrapText="1"/>
    </xf>
    <xf numFmtId="0" fontId="0" fillId="0" borderId="100" xfId="0" applyBorder="1" applyAlignment="1">
      <alignment horizontal="left" vertical="center" wrapText="1"/>
    </xf>
    <xf numFmtId="0" fontId="0" fillId="0" borderId="102" xfId="0" applyBorder="1" applyAlignment="1">
      <alignment horizontal="left" vertical="center" wrapText="1"/>
    </xf>
    <xf numFmtId="0" fontId="10" fillId="0" borderId="45" xfId="0" applyFont="1" applyBorder="1" applyAlignment="1">
      <alignment wrapText="1"/>
    </xf>
    <xf numFmtId="0" fontId="0" fillId="7" borderId="0" xfId="0" applyFill="1" applyBorder="1" applyAlignment="1">
      <alignment horizontal="center" vertical="center" wrapText="1"/>
    </xf>
    <xf numFmtId="0" fontId="0" fillId="7" borderId="20" xfId="0" applyFill="1" applyBorder="1" applyAlignment="1">
      <alignment horizontal="center" vertical="center" wrapText="1"/>
    </xf>
    <xf numFmtId="0" fontId="0" fillId="0" borderId="103" xfId="0" applyBorder="1" applyAlignment="1">
      <alignment horizontal="left" vertical="center" wrapText="1"/>
    </xf>
    <xf numFmtId="0" fontId="0" fillId="0" borderId="104" xfId="0" applyBorder="1" applyAlignment="1">
      <alignment horizontal="left" vertical="center" wrapText="1"/>
    </xf>
    <xf numFmtId="0" fontId="10" fillId="0" borderId="84" xfId="0" applyFont="1" applyBorder="1" applyAlignment="1">
      <alignment horizontal="left" wrapText="1"/>
    </xf>
    <xf numFmtId="0" fontId="0" fillId="0" borderId="103" xfId="0" applyBorder="1" applyAlignment="1">
      <alignment vertical="center" wrapText="1"/>
    </xf>
    <xf numFmtId="0" fontId="0" fillId="0" borderId="104" xfId="0" applyBorder="1" applyAlignment="1">
      <alignment horizontal="left" wrapText="1"/>
    </xf>
    <xf numFmtId="0" fontId="0" fillId="0" borderId="104" xfId="0" applyBorder="1" applyAlignment="1">
      <alignment vertical="center" wrapText="1"/>
    </xf>
    <xf numFmtId="0" fontId="0" fillId="0" borderId="0" xfId="0" applyAlignment="1">
      <alignment textRotation="90" wrapText="1"/>
    </xf>
    <xf numFmtId="0" fontId="0" fillId="0" borderId="0" xfId="0" applyAlignment="1"/>
    <xf numFmtId="49" fontId="0" fillId="0" borderId="0" xfId="0" applyNumberFormat="1" applyAlignment="1">
      <alignment horizontal="left" vertical="center" wrapText="1"/>
    </xf>
    <xf numFmtId="0" fontId="0" fillId="0" borderId="0" xfId="0" applyAlignment="1">
      <alignment horizontal="left" vertical="top" wrapText="1"/>
    </xf>
    <xf numFmtId="0" fontId="0" fillId="0" borderId="98" xfId="0" applyBorder="1" applyAlignment="1">
      <alignment horizontal="center" vertical="center" wrapText="1"/>
    </xf>
    <xf numFmtId="0" fontId="0" fillId="0" borderId="83" xfId="0" applyBorder="1" applyAlignment="1">
      <alignment horizontal="center" vertical="center" wrapText="1"/>
    </xf>
    <xf numFmtId="49" fontId="0" fillId="0" borderId="0" xfId="0" applyNumberFormat="1" applyAlignment="1">
      <alignment vertical="center" wrapText="1"/>
    </xf>
    <xf numFmtId="49" fontId="0" fillId="0" borderId="0" xfId="0" applyNumberFormat="1" applyAlignment="1">
      <alignment horizontal="left" wrapText="1"/>
    </xf>
    <xf numFmtId="49" fontId="10" fillId="0" borderId="0" xfId="0" applyNumberFormat="1" applyFont="1" applyAlignment="1">
      <alignment horizontal="left" wrapText="1"/>
    </xf>
    <xf numFmtId="49" fontId="0" fillId="0" borderId="0" xfId="0" applyNumberFormat="1" applyAlignment="1">
      <alignment horizontal="center" vertical="center" wrapText="1"/>
    </xf>
    <xf numFmtId="49" fontId="0" fillId="0" borderId="45" xfId="0" applyNumberFormat="1" applyBorder="1" applyAlignment="1">
      <alignment horizontal="left" vertical="center" wrapText="1"/>
    </xf>
    <xf numFmtId="49" fontId="0" fillId="0" borderId="45" xfId="0" applyNumberFormat="1" applyBorder="1" applyAlignment="1">
      <alignment vertical="center" wrapText="1"/>
    </xf>
    <xf numFmtId="49" fontId="0" fillId="0" borderId="45" xfId="0" applyNumberFormat="1" applyBorder="1" applyAlignment="1">
      <alignment horizontal="center" vertical="center" wrapText="1"/>
    </xf>
    <xf numFmtId="49" fontId="0" fillId="0" borderId="45" xfId="0" applyNumberFormat="1" applyBorder="1" applyAlignment="1">
      <alignment horizontal="center" wrapText="1"/>
    </xf>
    <xf numFmtId="49" fontId="0" fillId="0" borderId="0" xfId="0" applyNumberFormat="1" applyAlignment="1">
      <alignment wrapText="1"/>
    </xf>
    <xf numFmtId="49" fontId="0" fillId="0" borderId="0" xfId="0" applyNumberFormat="1" applyBorder="1" applyAlignment="1">
      <alignment horizontal="left" vertical="center" wrapText="1"/>
    </xf>
    <xf numFmtId="49" fontId="0" fillId="0" borderId="96" xfId="0" applyNumberFormat="1" applyBorder="1" applyAlignment="1">
      <alignment horizontal="left" vertical="center" wrapText="1"/>
    </xf>
    <xf numFmtId="49" fontId="0" fillId="0" borderId="96" xfId="0" applyNumberFormat="1" applyBorder="1" applyAlignment="1">
      <alignment vertical="center" wrapText="1"/>
    </xf>
    <xf numFmtId="0" fontId="0" fillId="0" borderId="0" xfId="0" applyAlignment="1">
      <alignment vertical="top" wrapText="1"/>
    </xf>
    <xf numFmtId="0" fontId="0" fillId="0" borderId="45" xfId="0" applyBorder="1" applyAlignment="1">
      <alignment horizontal="center" vertical="center" textRotation="90" wrapText="1"/>
    </xf>
    <xf numFmtId="0" fontId="0" fillId="0" borderId="45" xfId="0" applyBorder="1" applyAlignment="1">
      <alignment vertical="center" textRotation="90" wrapText="1"/>
    </xf>
    <xf numFmtId="0" fontId="0" fillId="0" borderId="45" xfId="0" applyBorder="1" applyAlignment="1">
      <alignment vertical="top" wrapText="1"/>
    </xf>
    <xf numFmtId="0" fontId="0" fillId="0" borderId="105" xfId="0" applyBorder="1" applyAlignment="1">
      <alignment horizontal="right" vertical="top" wrapText="1"/>
    </xf>
    <xf numFmtId="0" fontId="10" fillId="0" borderId="105" xfId="0" applyFont="1" applyBorder="1" applyAlignment="1">
      <alignment horizontal="right" vertical="top" wrapText="1"/>
    </xf>
    <xf numFmtId="0" fontId="21" fillId="0" borderId="0" xfId="0" applyFont="1" applyAlignment="1">
      <alignment horizontal="center" vertical="top" wrapText="1"/>
    </xf>
    <xf numFmtId="49" fontId="0" fillId="0" borderId="83" xfId="0" applyNumberFormat="1" applyBorder="1" applyAlignment="1">
      <alignment horizontal="center" vertical="center" wrapText="1"/>
    </xf>
    <xf numFmtId="0" fontId="0" fillId="0" borderId="40" xfId="0" applyBorder="1" applyAlignment="1">
      <alignment horizontal="center" vertical="center" wrapText="1"/>
    </xf>
    <xf numFmtId="0" fontId="0" fillId="0" borderId="42" xfId="0" applyBorder="1" applyAlignment="1">
      <alignment horizontal="center" vertical="center" wrapText="1"/>
    </xf>
    <xf numFmtId="49" fontId="10" fillId="0" borderId="45" xfId="0" applyNumberFormat="1" applyFont="1" applyBorder="1" applyAlignment="1">
      <alignment horizontal="center" vertical="center" wrapText="1"/>
    </xf>
    <xf numFmtId="0" fontId="10" fillId="0" borderId="40" xfId="0" applyFont="1" applyBorder="1" applyAlignment="1">
      <alignment horizontal="center" vertical="center" wrapText="1"/>
    </xf>
    <xf numFmtId="0" fontId="10" fillId="0" borderId="83" xfId="0" applyFont="1" applyBorder="1" applyAlignment="1">
      <alignment horizontal="center" vertical="center" wrapText="1"/>
    </xf>
    <xf numFmtId="49" fontId="0" fillId="0" borderId="40" xfId="0" applyNumberFormat="1" applyBorder="1" applyAlignment="1">
      <alignment horizontal="center" vertical="center" wrapText="1"/>
    </xf>
    <xf numFmtId="0" fontId="0" fillId="0" borderId="106" xfId="0" applyBorder="1" applyAlignment="1">
      <alignment vertical="center" wrapText="1"/>
    </xf>
    <xf numFmtId="0" fontId="0" fillId="0" borderId="106" xfId="0" applyBorder="1" applyAlignment="1">
      <alignment horizontal="center" vertical="center" wrapText="1"/>
    </xf>
    <xf numFmtId="0" fontId="0" fillId="0" borderId="45" xfId="0" applyFill="1" applyBorder="1" applyAlignment="1">
      <alignment horizontal="center" vertical="center" wrapText="1"/>
    </xf>
    <xf numFmtId="0" fontId="0" fillId="0" borderId="98" xfId="0" applyBorder="1" applyAlignment="1">
      <alignment horizontal="left" wrapText="1"/>
    </xf>
    <xf numFmtId="0" fontId="10" fillId="0" borderId="98" xfId="0" applyFont="1" applyBorder="1" applyAlignment="1">
      <alignment horizontal="left" vertical="center" wrapText="1"/>
    </xf>
    <xf numFmtId="49" fontId="0" fillId="0" borderId="84" xfId="0" applyNumberFormat="1" applyBorder="1" applyAlignment="1">
      <alignment vertical="center" wrapText="1"/>
    </xf>
    <xf numFmtId="0" fontId="21" fillId="7" borderId="45" xfId="0" applyFont="1" applyFill="1" applyBorder="1" applyAlignment="1">
      <alignment horizontal="center" vertical="center" wrapText="1"/>
    </xf>
    <xf numFmtId="0" fontId="21" fillId="7" borderId="45" xfId="0" applyFont="1" applyFill="1" applyBorder="1" applyAlignment="1">
      <alignment horizontal="center" vertical="center" textRotation="90" wrapText="1"/>
    </xf>
    <xf numFmtId="0" fontId="21" fillId="7" borderId="45" xfId="0" applyFont="1" applyFill="1" applyBorder="1" applyAlignment="1">
      <alignment vertical="center" textRotation="90" wrapText="1"/>
    </xf>
    <xf numFmtId="0" fontId="21" fillId="0" borderId="83" xfId="0" applyFont="1" applyBorder="1" applyAlignment="1">
      <alignment horizontal="center" vertical="top" wrapText="1"/>
    </xf>
    <xf numFmtId="0" fontId="21" fillId="0" borderId="45" xfId="0" applyFont="1" applyBorder="1" applyAlignment="1">
      <alignment horizontal="center" vertical="top" wrapText="1"/>
    </xf>
    <xf numFmtId="0" fontId="21" fillId="0" borderId="84" xfId="0" applyFont="1" applyBorder="1" applyAlignment="1">
      <alignment horizontal="center" vertical="top" wrapText="1"/>
    </xf>
    <xf numFmtId="0" fontId="21" fillId="0" borderId="100" xfId="0" applyFont="1" applyBorder="1" applyAlignment="1">
      <alignment horizontal="center" vertical="top" wrapText="1"/>
    </xf>
    <xf numFmtId="0" fontId="21" fillId="0" borderId="102" xfId="0" applyFont="1" applyBorder="1" applyAlignment="1">
      <alignment horizontal="center" vertical="top" wrapText="1"/>
    </xf>
    <xf numFmtId="0" fontId="21" fillId="0" borderId="104" xfId="0" applyFont="1" applyBorder="1" applyAlignment="1">
      <alignment horizontal="center" vertical="top" wrapText="1"/>
    </xf>
    <xf numFmtId="0" fontId="21" fillId="0" borderId="103" xfId="0" applyFont="1" applyBorder="1" applyAlignment="1">
      <alignment horizontal="center" vertical="top" wrapText="1"/>
    </xf>
    <xf numFmtId="0" fontId="21" fillId="0" borderId="0" xfId="0" applyFont="1" applyBorder="1" applyAlignment="1">
      <alignment horizontal="center" vertical="top" wrapText="1"/>
    </xf>
    <xf numFmtId="0" fontId="21" fillId="0" borderId="96" xfId="0" applyFont="1" applyBorder="1" applyAlignment="1">
      <alignment horizontal="center" vertical="top" wrapText="1"/>
    </xf>
    <xf numFmtId="0" fontId="21" fillId="0" borderId="101" xfId="0" applyFont="1" applyBorder="1" applyAlignment="1">
      <alignment horizontal="center" vertical="top" wrapText="1"/>
    </xf>
    <xf numFmtId="0" fontId="21" fillId="7" borderId="40" xfId="0" applyFont="1" applyFill="1" applyBorder="1" applyAlignment="1">
      <alignment horizontal="center" vertical="top" wrapText="1"/>
    </xf>
    <xf numFmtId="0" fontId="21" fillId="0" borderId="42" xfId="0" applyFont="1" applyBorder="1" applyAlignment="1">
      <alignment horizontal="center" vertical="top" wrapText="1"/>
    </xf>
    <xf numFmtId="0" fontId="0" fillId="0" borderId="45" xfId="0" applyBorder="1" applyAlignment="1">
      <alignment horizontal="right" vertical="center" wrapText="1"/>
    </xf>
    <xf numFmtId="0" fontId="0" fillId="0" borderId="84" xfId="0" applyBorder="1" applyAlignment="1">
      <alignment horizontal="right" vertical="center" wrapText="1"/>
    </xf>
    <xf numFmtId="0" fontId="0" fillId="0" borderId="85" xfId="0" applyBorder="1" applyAlignment="1">
      <alignment horizontal="right" vertical="center" wrapText="1"/>
    </xf>
    <xf numFmtId="0" fontId="0" fillId="0" borderId="0" xfId="0" applyAlignment="1">
      <alignment horizontal="right" wrapText="1"/>
    </xf>
    <xf numFmtId="0" fontId="10" fillId="0" borderId="0" xfId="0" applyFont="1" applyAlignment="1">
      <alignment horizontal="right" vertical="top" wrapText="1"/>
    </xf>
    <xf numFmtId="0" fontId="0" fillId="0" borderId="0" xfId="0" applyAlignment="1">
      <alignment horizontal="right" vertical="top" wrapText="1"/>
    </xf>
    <xf numFmtId="0" fontId="0" fillId="0" borderId="0" xfId="0" applyBorder="1" applyAlignment="1">
      <alignment horizontal="right" vertical="center" wrapText="1"/>
    </xf>
    <xf numFmtId="0" fontId="0" fillId="0" borderId="96" xfId="0" applyBorder="1" applyAlignment="1">
      <alignment horizontal="right" vertical="center" wrapText="1"/>
    </xf>
    <xf numFmtId="0" fontId="0" fillId="0" borderId="97" xfId="0" applyBorder="1" applyAlignment="1">
      <alignment horizontal="right" vertical="center" wrapText="1"/>
    </xf>
    <xf numFmtId="0" fontId="0" fillId="0" borderId="45" xfId="0" applyBorder="1" applyAlignment="1">
      <alignment horizontal="right" vertical="top" wrapText="1"/>
    </xf>
    <xf numFmtId="0" fontId="0" fillId="0" borderId="107" xfId="0" applyBorder="1" applyAlignment="1">
      <alignment horizontal="left" vertical="center" wrapText="1"/>
    </xf>
    <xf numFmtId="0" fontId="50" fillId="0" borderId="98" xfId="0" applyFont="1" applyBorder="1" applyAlignment="1">
      <alignment horizontal="left" vertical="center" wrapText="1"/>
    </xf>
    <xf numFmtId="0" fontId="0" fillId="0" borderId="98" xfId="0" applyBorder="1" applyAlignment="1">
      <alignment wrapText="1"/>
    </xf>
    <xf numFmtId="0" fontId="0" fillId="0" borderId="45" xfId="0" applyBorder="1" applyAlignment="1">
      <alignment vertical="top"/>
    </xf>
    <xf numFmtId="0" fontId="21" fillId="7" borderId="40" xfId="0" applyFont="1" applyFill="1" applyBorder="1" applyAlignment="1">
      <alignment textRotation="90"/>
    </xf>
    <xf numFmtId="0" fontId="17" fillId="0" borderId="0" xfId="0" applyFont="1" applyAlignment="1">
      <alignment horizontal="center"/>
    </xf>
    <xf numFmtId="0" fontId="17" fillId="0" borderId="0" xfId="0" applyFont="1" applyAlignment="1">
      <alignment wrapText="1"/>
    </xf>
    <xf numFmtId="0" fontId="0" fillId="0" borderId="100" xfId="0" applyBorder="1" applyAlignment="1">
      <alignment vertical="top"/>
    </xf>
    <xf numFmtId="0" fontId="0" fillId="0" borderId="0" xfId="0" applyAlignment="1">
      <alignment horizontal="center" vertical="top"/>
    </xf>
    <xf numFmtId="0" fontId="0" fillId="0" borderId="0" xfId="0" applyAlignment="1">
      <alignment horizontal="left" vertical="top"/>
    </xf>
    <xf numFmtId="0" fontId="0" fillId="0" borderId="0" xfId="0" applyAlignment="1">
      <alignment horizontal="left" vertical="center"/>
    </xf>
    <xf numFmtId="0" fontId="0" fillId="0" borderId="45" xfId="0" applyBorder="1" applyAlignment="1">
      <alignment horizontal="left" vertical="top"/>
    </xf>
    <xf numFmtId="0" fontId="17" fillId="0" borderId="45" xfId="0" applyFont="1" applyBorder="1" applyAlignment="1">
      <alignment horizontal="left"/>
    </xf>
    <xf numFmtId="0" fontId="10" fillId="0" borderId="0" xfId="0" applyFont="1" applyAlignment="1"/>
    <xf numFmtId="0" fontId="17" fillId="0" borderId="0" xfId="0" applyFont="1" applyAlignment="1"/>
    <xf numFmtId="0" fontId="0" fillId="0" borderId="104" xfId="0" applyBorder="1" applyAlignment="1">
      <alignment horizontal="center" vertical="center" wrapText="1"/>
    </xf>
    <xf numFmtId="0" fontId="0" fillId="0" borderId="101" xfId="0" applyBorder="1" applyAlignment="1">
      <alignment horizontal="center" vertical="center" wrapText="1"/>
    </xf>
    <xf numFmtId="0" fontId="0" fillId="0" borderId="0" xfId="0" applyBorder="1" applyAlignment="1">
      <alignment vertical="center" wrapText="1"/>
    </xf>
    <xf numFmtId="0" fontId="0" fillId="0" borderId="101" xfId="0" applyBorder="1" applyAlignment="1">
      <alignment vertical="center" wrapText="1"/>
    </xf>
    <xf numFmtId="0" fontId="0" fillId="0" borderId="102" xfId="0" applyBorder="1" applyAlignment="1">
      <alignment vertical="center" wrapText="1"/>
    </xf>
    <xf numFmtId="0" fontId="0" fillId="0" borderId="96" xfId="0" applyBorder="1"/>
    <xf numFmtId="0" fontId="0" fillId="0" borderId="96" xfId="0" applyBorder="1" applyAlignment="1">
      <alignment horizontal="left" vertical="top"/>
    </xf>
    <xf numFmtId="0" fontId="0" fillId="0" borderId="96" xfId="0" applyBorder="1" applyAlignment="1">
      <alignment horizontal="center"/>
    </xf>
    <xf numFmtId="0" fontId="0" fillId="0" borderId="96" xfId="0" applyBorder="1" applyAlignment="1">
      <alignment horizontal="center" vertical="center"/>
    </xf>
    <xf numFmtId="0" fontId="10" fillId="0" borderId="103" xfId="0" applyFont="1" applyBorder="1" applyAlignment="1">
      <alignment vertical="center" wrapText="1"/>
    </xf>
    <xf numFmtId="0" fontId="10" fillId="0" borderId="108" xfId="0" applyFont="1" applyBorder="1" applyAlignment="1">
      <alignment vertical="center" wrapText="1"/>
    </xf>
    <xf numFmtId="0" fontId="10" fillId="0" borderId="104" xfId="0" applyFont="1" applyBorder="1" applyAlignment="1">
      <alignment vertical="center" wrapText="1"/>
    </xf>
    <xf numFmtId="0" fontId="10" fillId="0" borderId="96" xfId="0" applyFont="1" applyBorder="1" applyAlignment="1">
      <alignment vertical="center" wrapText="1"/>
    </xf>
    <xf numFmtId="0" fontId="10" fillId="0" borderId="0" xfId="0" applyFont="1" applyBorder="1" applyAlignment="1">
      <alignment vertical="center" wrapText="1"/>
    </xf>
    <xf numFmtId="0" fontId="10" fillId="0" borderId="101" xfId="0" applyFont="1" applyBorder="1" applyAlignment="1">
      <alignment vertical="center" wrapText="1"/>
    </xf>
    <xf numFmtId="0" fontId="10" fillId="0" borderId="0" xfId="0" applyFont="1" applyBorder="1" applyAlignment="1">
      <alignment horizontal="left" vertical="center" wrapText="1"/>
    </xf>
    <xf numFmtId="0" fontId="10" fillId="0" borderId="20" xfId="0" applyFont="1" applyBorder="1" applyAlignment="1">
      <alignment vertical="center" wrapText="1"/>
    </xf>
    <xf numFmtId="0" fontId="0" fillId="0" borderId="20" xfId="0" applyBorder="1" applyAlignment="1">
      <alignment horizontal="center" vertical="center" wrapText="1"/>
    </xf>
    <xf numFmtId="0" fontId="10" fillId="0" borderId="20" xfId="0" applyFont="1" applyBorder="1" applyAlignment="1">
      <alignment horizontal="left" vertical="center" wrapText="1"/>
    </xf>
    <xf numFmtId="0" fontId="69" fillId="0" borderId="0" xfId="0" applyFont="1" applyAlignment="1"/>
    <xf numFmtId="0" fontId="69" fillId="0" borderId="0" xfId="0" applyFont="1"/>
    <xf numFmtId="0" fontId="160" fillId="0" borderId="0" xfId="0" applyFont="1" applyAlignment="1">
      <alignment vertical="top" wrapText="1"/>
    </xf>
    <xf numFmtId="0" fontId="77" fillId="0" borderId="0" xfId="0" applyFont="1" applyAlignment="1">
      <alignment vertical="center" wrapText="1"/>
    </xf>
    <xf numFmtId="0" fontId="77" fillId="0" borderId="0" xfId="0" applyFont="1" applyAlignment="1">
      <alignment horizontal="left" vertical="center" wrapText="1"/>
    </xf>
    <xf numFmtId="0" fontId="82" fillId="0" borderId="0" xfId="0" applyFont="1" applyAlignment="1">
      <alignment vertical="center" wrapText="1"/>
    </xf>
    <xf numFmtId="0" fontId="161" fillId="0" borderId="0" xfId="0" applyFont="1" applyAlignment="1">
      <alignment vertical="center" wrapText="1"/>
    </xf>
    <xf numFmtId="0" fontId="85" fillId="0" borderId="186" xfId="0" applyFont="1" applyBorder="1" applyAlignment="1">
      <alignment vertical="center" wrapText="1"/>
    </xf>
    <xf numFmtId="0" fontId="85" fillId="0" borderId="21" xfId="0" applyFont="1" applyBorder="1" applyAlignment="1">
      <alignment vertical="center" wrapText="1"/>
    </xf>
    <xf numFmtId="0" fontId="85" fillId="0" borderId="5" xfId="0" applyFont="1" applyBorder="1" applyAlignment="1">
      <alignment vertical="center" wrapText="1"/>
    </xf>
    <xf numFmtId="0" fontId="10" fillId="0" borderId="0" xfId="0" applyFont="1" applyAlignment="1">
      <alignment vertical="top"/>
    </xf>
    <xf numFmtId="0" fontId="63" fillId="0" borderId="0" xfId="0" applyFont="1" applyAlignment="1">
      <alignment vertical="top" wrapText="1"/>
    </xf>
    <xf numFmtId="0" fontId="86" fillId="0" borderId="40" xfId="0" applyFont="1" applyBorder="1" applyAlignment="1">
      <alignment horizontal="center" vertical="center" wrapText="1"/>
    </xf>
    <xf numFmtId="0" fontId="88" fillId="0" borderId="40" xfId="0" applyFont="1" applyBorder="1" applyAlignment="1">
      <alignment horizontal="center" vertical="center" wrapText="1"/>
    </xf>
    <xf numFmtId="0" fontId="86" fillId="0" borderId="40" xfId="0" applyFont="1" applyBorder="1" applyAlignment="1">
      <alignment vertical="center" wrapText="1"/>
    </xf>
    <xf numFmtId="0" fontId="0" fillId="0" borderId="45" xfId="0" applyBorder="1" applyAlignment="1">
      <alignment horizontal="center" vertical="center"/>
    </xf>
    <xf numFmtId="0" fontId="79" fillId="0" borderId="0" xfId="0" applyFont="1" applyAlignment="1">
      <alignment vertical="center" wrapText="1"/>
    </xf>
    <xf numFmtId="0" fontId="77" fillId="0" borderId="0" xfId="0" applyFont="1" applyAlignment="1">
      <alignment horizontal="center" vertical="center" wrapText="1"/>
    </xf>
    <xf numFmtId="0" fontId="78" fillId="0" borderId="0" xfId="0" applyFont="1" applyAlignment="1">
      <alignment vertical="center" wrapText="1"/>
    </xf>
    <xf numFmtId="0" fontId="162" fillId="0" borderId="0" xfId="0" applyFont="1" applyAlignment="1">
      <alignment vertical="center" wrapText="1"/>
    </xf>
    <xf numFmtId="0" fontId="63" fillId="0" borderId="0" xfId="0" applyFont="1" applyAlignment="1">
      <alignment vertical="center"/>
    </xf>
    <xf numFmtId="0" fontId="0" fillId="0" borderId="0" xfId="0" applyBorder="1" applyAlignment="1">
      <alignment horizontal="center" vertical="center"/>
    </xf>
    <xf numFmtId="0" fontId="0" fillId="0" borderId="0" xfId="0" applyFill="1" applyBorder="1" applyAlignment="1">
      <alignment horizontal="center" vertical="center"/>
    </xf>
    <xf numFmtId="0" fontId="10" fillId="0" borderId="0" xfId="0" applyFont="1" applyAlignment="1">
      <alignment horizontal="center" wrapText="1"/>
    </xf>
    <xf numFmtId="0" fontId="77" fillId="0" borderId="45" xfId="0" applyFont="1" applyBorder="1" applyAlignment="1">
      <alignment horizontal="center" vertical="center" wrapText="1"/>
    </xf>
    <xf numFmtId="0" fontId="77" fillId="0" borderId="84" xfId="0" applyFont="1" applyBorder="1" applyAlignment="1">
      <alignment horizontal="center" vertical="center" wrapText="1"/>
    </xf>
    <xf numFmtId="0" fontId="11" fillId="5" borderId="50" xfId="0" applyFont="1" applyFill="1" applyBorder="1" applyAlignment="1" applyProtection="1">
      <alignment vertical="center" wrapText="1"/>
    </xf>
    <xf numFmtId="0" fontId="92" fillId="5" borderId="40" xfId="2" applyFont="1" applyFill="1" applyBorder="1" applyAlignment="1" applyProtection="1">
      <alignment vertical="center"/>
    </xf>
    <xf numFmtId="0" fontId="92" fillId="5" borderId="109" xfId="2" applyFont="1" applyFill="1" applyBorder="1" applyAlignment="1" applyProtection="1">
      <alignment vertical="center"/>
    </xf>
    <xf numFmtId="0" fontId="92" fillId="5" borderId="110" xfId="2" applyFont="1" applyFill="1" applyBorder="1" applyAlignment="1" applyProtection="1">
      <alignment vertical="center"/>
    </xf>
    <xf numFmtId="0" fontId="92" fillId="2" borderId="99" xfId="2" applyFont="1" applyFill="1" applyBorder="1" applyAlignment="1" applyProtection="1">
      <alignment vertical="center"/>
    </xf>
    <xf numFmtId="0" fontId="92" fillId="2" borderId="40" xfId="2" applyFont="1" applyFill="1" applyBorder="1" applyAlignment="1" applyProtection="1">
      <alignment vertical="center"/>
    </xf>
    <xf numFmtId="0" fontId="92" fillId="2" borderId="109" xfId="2" applyFont="1" applyFill="1" applyBorder="1" applyAlignment="1" applyProtection="1">
      <alignment vertical="center"/>
    </xf>
    <xf numFmtId="0" fontId="92" fillId="5" borderId="111" xfId="2" applyFont="1" applyFill="1" applyBorder="1" applyAlignment="1" applyProtection="1">
      <alignment vertical="center"/>
    </xf>
    <xf numFmtId="0" fontId="92" fillId="2" borderId="112" xfId="2" applyFont="1" applyFill="1" applyBorder="1" applyAlignment="1" applyProtection="1">
      <alignment vertical="center"/>
    </xf>
    <xf numFmtId="0" fontId="92" fillId="2" borderId="113" xfId="2" applyFont="1" applyFill="1" applyBorder="1" applyAlignment="1" applyProtection="1">
      <alignment vertical="center"/>
    </xf>
    <xf numFmtId="0" fontId="92" fillId="2" borderId="114" xfId="2" applyFont="1" applyFill="1" applyBorder="1" applyAlignment="1" applyProtection="1">
      <alignment vertical="center"/>
    </xf>
    <xf numFmtId="0" fontId="163" fillId="0" borderId="0" xfId="0" applyFont="1" applyAlignment="1">
      <alignment vertical="center" wrapText="1"/>
    </xf>
    <xf numFmtId="0" fontId="163" fillId="0" borderId="0" xfId="0" applyFont="1" applyAlignment="1">
      <alignment horizontal="center" vertical="center" wrapText="1"/>
    </xf>
    <xf numFmtId="0" fontId="19" fillId="5" borderId="45" xfId="0" applyNumberFormat="1" applyFont="1" applyFill="1" applyBorder="1" applyAlignment="1" applyProtection="1">
      <alignment horizontal="center" vertical="center" wrapText="1"/>
    </xf>
    <xf numFmtId="0" fontId="77" fillId="0" borderId="45" xfId="0" applyNumberFormat="1" applyFont="1" applyBorder="1" applyAlignment="1">
      <alignment vertical="center" wrapText="1"/>
    </xf>
    <xf numFmtId="0" fontId="78" fillId="0" borderId="0" xfId="0" applyFont="1" applyAlignment="1">
      <alignment horizontal="center" vertical="center" wrapText="1"/>
    </xf>
    <xf numFmtId="0" fontId="78" fillId="0" borderId="0" xfId="0" applyFont="1" applyAlignment="1">
      <alignment horizontal="left" vertical="center" wrapText="1"/>
    </xf>
    <xf numFmtId="0" fontId="109" fillId="0" borderId="79" xfId="2" applyFont="1" applyFill="1" applyBorder="1" applyAlignment="1" applyProtection="1">
      <alignment vertical="center" wrapText="1"/>
    </xf>
    <xf numFmtId="0" fontId="109" fillId="0" borderId="0" xfId="2" applyFont="1" applyFill="1" applyBorder="1" applyAlignment="1" applyProtection="1">
      <alignment vertical="center" wrapText="1"/>
    </xf>
    <xf numFmtId="0" fontId="77" fillId="0" borderId="0" xfId="0" applyFont="1" applyBorder="1" applyAlignment="1">
      <alignment horizontal="center" vertical="center" wrapText="1"/>
    </xf>
    <xf numFmtId="0" fontId="10" fillId="0" borderId="0" xfId="0" applyFont="1" applyBorder="1" applyAlignment="1">
      <alignment horizontal="center" vertical="center" wrapText="1"/>
    </xf>
    <xf numFmtId="169" fontId="77" fillId="0" borderId="0" xfId="0" applyNumberFormat="1" applyFont="1" applyBorder="1" applyAlignment="1">
      <alignment horizontal="right" vertical="center" wrapText="1"/>
    </xf>
    <xf numFmtId="0" fontId="164" fillId="0" borderId="0" xfId="0" applyFont="1" applyAlignment="1" applyProtection="1">
      <alignment horizontal="center" vertical="center" wrapText="1"/>
      <protection locked="0"/>
    </xf>
    <xf numFmtId="0" fontId="77" fillId="0" borderId="0" xfId="0" applyFont="1" applyAlignment="1" applyProtection="1">
      <alignment horizontal="center" vertical="center" wrapText="1"/>
    </xf>
    <xf numFmtId="0" fontId="77" fillId="0" borderId="0" xfId="0" applyFont="1" applyBorder="1" applyAlignment="1">
      <alignment horizontal="right" vertical="center" wrapText="1"/>
    </xf>
    <xf numFmtId="49" fontId="77" fillId="0" borderId="0" xfId="0" applyNumberFormat="1" applyFont="1" applyBorder="1" applyAlignment="1">
      <alignment horizontal="right" vertical="center" wrapText="1"/>
    </xf>
    <xf numFmtId="0" fontId="77" fillId="0" borderId="0" xfId="0" applyNumberFormat="1" applyFont="1" applyBorder="1" applyAlignment="1">
      <alignment horizontal="right" vertical="center" wrapText="1"/>
    </xf>
    <xf numFmtId="0" fontId="109" fillId="0" borderId="0" xfId="2" applyFont="1" applyFill="1" applyBorder="1" applyAlignment="1" applyProtection="1">
      <alignment horizontal="left" vertical="center"/>
    </xf>
    <xf numFmtId="0" fontId="77" fillId="0" borderId="0" xfId="0" applyFont="1" applyAlignment="1">
      <alignment horizontal="justify" vertical="center"/>
    </xf>
    <xf numFmtId="0" fontId="165" fillId="0" borderId="0" xfId="0" applyFont="1" applyFill="1" applyBorder="1" applyAlignment="1">
      <alignment vertical="center"/>
    </xf>
    <xf numFmtId="0" fontId="166" fillId="0" borderId="0" xfId="0" applyFont="1" applyFill="1" applyBorder="1" applyAlignment="1">
      <alignment vertical="center"/>
    </xf>
    <xf numFmtId="0" fontId="163" fillId="0" borderId="0" xfId="0" applyFont="1" applyFill="1" applyAlignment="1">
      <alignment vertical="center" wrapText="1"/>
    </xf>
    <xf numFmtId="2" fontId="4" fillId="0" borderId="8" xfId="0" applyNumberFormat="1" applyFont="1" applyBorder="1" applyAlignment="1">
      <alignment vertical="top" wrapText="1"/>
    </xf>
    <xf numFmtId="0" fontId="10" fillId="11" borderId="0" xfId="0" applyFont="1" applyFill="1" applyAlignment="1">
      <alignment vertical="top"/>
    </xf>
    <xf numFmtId="4" fontId="10" fillId="0" borderId="40" xfId="0" applyNumberFormat="1" applyFont="1" applyBorder="1"/>
    <xf numFmtId="165" fontId="167" fillId="9" borderId="40" xfId="0" applyNumberFormat="1" applyFont="1" applyFill="1" applyBorder="1" applyAlignment="1">
      <alignment shrinkToFit="1"/>
    </xf>
    <xf numFmtId="4" fontId="0" fillId="0" borderId="0" xfId="0" applyNumberFormat="1" applyAlignment="1">
      <alignment vertical="center"/>
    </xf>
    <xf numFmtId="0" fontId="21" fillId="0" borderId="0" xfId="0" applyFont="1" applyAlignment="1">
      <alignment horizontal="center" vertical="center"/>
    </xf>
    <xf numFmtId="0" fontId="21" fillId="0" borderId="0" xfId="0" applyFont="1" applyAlignment="1">
      <alignment vertical="center"/>
    </xf>
    <xf numFmtId="0" fontId="168" fillId="0" borderId="0" xfId="0" applyFont="1" applyAlignment="1">
      <alignment wrapText="1"/>
    </xf>
    <xf numFmtId="4" fontId="124" fillId="0" borderId="40" xfId="0" applyNumberFormat="1" applyFont="1" applyBorder="1" applyProtection="1">
      <protection locked="0"/>
    </xf>
    <xf numFmtId="9" fontId="124" fillId="0" borderId="40" xfId="0" applyNumberFormat="1" applyFont="1" applyBorder="1" applyProtection="1">
      <protection locked="0"/>
    </xf>
    <xf numFmtId="17" fontId="123" fillId="6" borderId="40" xfId="0" applyNumberFormat="1" applyFont="1" applyFill="1" applyBorder="1"/>
    <xf numFmtId="2" fontId="123" fillId="6" borderId="40" xfId="0" applyNumberFormat="1" applyFont="1" applyFill="1" applyBorder="1" applyAlignment="1">
      <alignment wrapText="1"/>
    </xf>
    <xf numFmtId="2" fontId="125" fillId="6" borderId="40" xfId="0" applyNumberFormat="1" applyFont="1" applyFill="1" applyBorder="1" applyAlignment="1">
      <alignment wrapText="1"/>
    </xf>
    <xf numFmtId="0" fontId="123" fillId="6" borderId="40" xfId="0" applyFont="1" applyFill="1" applyBorder="1"/>
    <xf numFmtId="0" fontId="127" fillId="0" borderId="40" xfId="0" quotePrefix="1" applyFont="1" applyBorder="1" applyAlignment="1">
      <alignment horizontal="right" vertical="center"/>
    </xf>
    <xf numFmtId="0" fontId="127" fillId="0" borderId="115" xfId="0" quotePrefix="1" applyFont="1" applyBorder="1" applyAlignment="1">
      <alignment horizontal="right" vertical="center"/>
    </xf>
    <xf numFmtId="0" fontId="127" fillId="0" borderId="116" xfId="0" quotePrefix="1" applyFont="1" applyBorder="1" applyAlignment="1">
      <alignment horizontal="right" vertical="center"/>
    </xf>
    <xf numFmtId="3" fontId="127" fillId="0" borderId="115" xfId="0" applyNumberFormat="1" applyFont="1" applyBorder="1" applyAlignment="1">
      <alignment horizontal="right" vertical="center"/>
    </xf>
    <xf numFmtId="3" fontId="127" fillId="0" borderId="116" xfId="0" applyNumberFormat="1" applyFont="1" applyBorder="1" applyAlignment="1">
      <alignment horizontal="right" vertical="center"/>
    </xf>
    <xf numFmtId="3" fontId="127" fillId="0" borderId="117" xfId="0" applyNumberFormat="1" applyFont="1" applyBorder="1" applyAlignment="1">
      <alignment horizontal="right" vertical="center"/>
    </xf>
    <xf numFmtId="3" fontId="127" fillId="0" borderId="118" xfId="0" applyNumberFormat="1" applyFont="1" applyBorder="1" applyAlignment="1">
      <alignment horizontal="right" vertical="center"/>
    </xf>
    <xf numFmtId="3" fontId="127" fillId="0" borderId="119" xfId="0" applyNumberFormat="1" applyFont="1" applyBorder="1" applyAlignment="1">
      <alignment horizontal="right" vertical="center"/>
    </xf>
    <xf numFmtId="173" fontId="127" fillId="0" borderId="118" xfId="0" applyNumberFormat="1" applyFont="1" applyBorder="1" applyAlignment="1">
      <alignment horizontal="right" vertical="center"/>
    </xf>
    <xf numFmtId="174" fontId="127" fillId="0" borderId="118" xfId="0" applyNumberFormat="1" applyFont="1" applyBorder="1" applyAlignment="1">
      <alignment horizontal="right" vertical="center"/>
    </xf>
    <xf numFmtId="173" fontId="127" fillId="0" borderId="116" xfId="0" applyNumberFormat="1" applyFont="1" applyBorder="1" applyAlignment="1">
      <alignment horizontal="right" vertical="center"/>
    </xf>
    <xf numFmtId="175" fontId="127" fillId="0" borderId="116" xfId="0" applyNumberFormat="1" applyFont="1" applyBorder="1" applyAlignment="1">
      <alignment horizontal="right" vertical="center"/>
    </xf>
    <xf numFmtId="175" fontId="127" fillId="0" borderId="118" xfId="0" applyNumberFormat="1" applyFont="1" applyBorder="1" applyAlignment="1">
      <alignment horizontal="right" vertical="center"/>
    </xf>
    <xf numFmtId="176" fontId="127" fillId="0" borderId="116" xfId="0" applyNumberFormat="1" applyFont="1" applyBorder="1" applyAlignment="1">
      <alignment horizontal="right" vertical="center"/>
    </xf>
    <xf numFmtId="176" fontId="127" fillId="0" borderId="118" xfId="0" applyNumberFormat="1" applyFont="1" applyBorder="1" applyAlignment="1">
      <alignment horizontal="right" vertical="center"/>
    </xf>
    <xf numFmtId="176" fontId="127" fillId="0" borderId="120" xfId="0" applyNumberFormat="1" applyFont="1" applyBorder="1" applyAlignment="1">
      <alignment horizontal="right" vertical="center"/>
    </xf>
    <xf numFmtId="175" fontId="127" fillId="0" borderId="120" xfId="0" applyNumberFormat="1" applyFont="1" applyBorder="1" applyAlignment="1">
      <alignment horizontal="right" vertical="center"/>
    </xf>
    <xf numFmtId="176" fontId="127" fillId="0" borderId="121" xfId="0" applyNumberFormat="1" applyFont="1" applyBorder="1" applyAlignment="1">
      <alignment horizontal="right" vertical="center"/>
    </xf>
    <xf numFmtId="173" fontId="127" fillId="0" borderId="121" xfId="0" applyNumberFormat="1" applyFont="1" applyBorder="1" applyAlignment="1">
      <alignment horizontal="right" vertical="center"/>
    </xf>
    <xf numFmtId="175" fontId="127" fillId="0" borderId="121" xfId="0" applyNumberFormat="1" applyFont="1" applyBorder="1" applyAlignment="1">
      <alignment horizontal="right" vertical="center"/>
    </xf>
    <xf numFmtId="0" fontId="0" fillId="0" borderId="0" xfId="0" applyAlignment="1">
      <alignment horizontal="right"/>
    </xf>
    <xf numFmtId="2" fontId="169" fillId="0" borderId="8" xfId="0" applyNumberFormat="1" applyFont="1" applyBorder="1" applyAlignment="1">
      <alignment horizontal="right" vertical="top" wrapText="1"/>
    </xf>
    <xf numFmtId="3" fontId="169" fillId="0" borderId="0" xfId="0" applyNumberFormat="1" applyFont="1" applyAlignment="1">
      <alignment horizontal="right" vertical="top" wrapText="1"/>
    </xf>
    <xf numFmtId="3" fontId="169" fillId="0" borderId="9" xfId="0" applyNumberFormat="1" applyFont="1" applyBorder="1" applyAlignment="1">
      <alignment horizontal="right" vertical="top" wrapText="1"/>
    </xf>
    <xf numFmtId="0" fontId="10" fillId="0" borderId="0" xfId="0" applyFont="1"/>
    <xf numFmtId="0" fontId="4" fillId="0" borderId="9" xfId="0" applyFont="1" applyBorder="1" applyAlignment="1">
      <alignment wrapText="1"/>
    </xf>
    <xf numFmtId="3" fontId="4" fillId="0" borderId="0" xfId="0" applyNumberFormat="1" applyFont="1" applyBorder="1" applyAlignment="1">
      <alignment horizontal="right" wrapText="1"/>
    </xf>
    <xf numFmtId="2" fontId="85" fillId="6" borderId="40" xfId="0" applyNumberFormat="1" applyFont="1" applyFill="1" applyBorder="1" applyAlignment="1">
      <alignment shrinkToFit="1"/>
    </xf>
    <xf numFmtId="0" fontId="170" fillId="0" borderId="45" xfId="0" applyFont="1" applyBorder="1" applyAlignment="1">
      <alignment horizontal="center" vertical="top" wrapText="1"/>
    </xf>
    <xf numFmtId="0" fontId="170" fillId="0" borderId="0" xfId="0" applyFont="1" applyAlignment="1">
      <alignment horizontal="center" vertical="top" wrapText="1"/>
    </xf>
    <xf numFmtId="0" fontId="3" fillId="0" borderId="9" xfId="0" applyFont="1" applyBorder="1" applyAlignment="1">
      <alignment horizontal="center" vertical="center" wrapText="1"/>
    </xf>
    <xf numFmtId="0" fontId="3" fillId="0" borderId="0" xfId="0" applyFont="1" applyBorder="1" applyAlignment="1">
      <alignment wrapText="1"/>
    </xf>
    <xf numFmtId="4" fontId="3" fillId="0" borderId="0" xfId="0" applyNumberFormat="1" applyFont="1" applyBorder="1" applyAlignment="1">
      <alignment horizontal="right" wrapText="1"/>
    </xf>
    <xf numFmtId="0" fontId="168" fillId="0" borderId="45" xfId="0" applyFont="1" applyBorder="1" applyAlignment="1">
      <alignment horizontal="center" vertical="center" wrapText="1"/>
    </xf>
    <xf numFmtId="49" fontId="168" fillId="0" borderId="45" xfId="0" applyNumberFormat="1" applyFont="1" applyBorder="1" applyAlignment="1">
      <alignment horizontal="center" vertical="center" wrapText="1"/>
    </xf>
    <xf numFmtId="0" fontId="0" fillId="0" borderId="0" xfId="0"/>
    <xf numFmtId="0" fontId="4" fillId="0" borderId="0" xfId="0" applyFont="1" applyAlignment="1">
      <alignment vertical="top" wrapText="1"/>
    </xf>
    <xf numFmtId="0" fontId="0" fillId="0" borderId="0" xfId="0"/>
    <xf numFmtId="3" fontId="4" fillId="0" borderId="0" xfId="0" applyNumberFormat="1" applyFont="1" applyAlignment="1">
      <alignment horizontal="right" vertical="top" wrapText="1"/>
    </xf>
    <xf numFmtId="0" fontId="0" fillId="0" borderId="0" xfId="0"/>
    <xf numFmtId="0" fontId="0" fillId="0" borderId="0" xfId="0"/>
    <xf numFmtId="0" fontId="0" fillId="0" borderId="0" xfId="0"/>
    <xf numFmtId="0" fontId="0" fillId="0" borderId="0" xfId="0"/>
    <xf numFmtId="0" fontId="8" fillId="0" borderId="0" xfId="1" applyAlignment="1" applyProtection="1"/>
    <xf numFmtId="0" fontId="1" fillId="0" borderId="0" xfId="0" applyFont="1"/>
    <xf numFmtId="176" fontId="127" fillId="0" borderId="40" xfId="0" applyNumberFormat="1" applyFont="1" applyBorder="1" applyAlignment="1">
      <alignment horizontal="right" vertical="center"/>
    </xf>
    <xf numFmtId="177" fontId="127" fillId="0" borderId="40" xfId="0" applyNumberFormat="1" applyFont="1" applyBorder="1" applyAlignment="1">
      <alignment horizontal="right" vertical="center"/>
    </xf>
    <xf numFmtId="175" fontId="127" fillId="0" borderId="40" xfId="0" applyNumberFormat="1" applyFont="1" applyBorder="1" applyAlignment="1">
      <alignment horizontal="right" vertical="center"/>
    </xf>
    <xf numFmtId="0" fontId="78" fillId="0" borderId="40" xfId="0" applyFont="1" applyBorder="1" applyAlignment="1">
      <alignment horizontal="center" vertical="center" wrapText="1"/>
    </xf>
    <xf numFmtId="3" fontId="78" fillId="0" borderId="40" xfId="0" applyNumberFormat="1" applyFont="1" applyBorder="1" applyAlignment="1">
      <alignment horizontal="center" vertical="center" wrapText="1"/>
    </xf>
    <xf numFmtId="0" fontId="77" fillId="0" borderId="40" xfId="0" quotePrefix="1" applyFont="1" applyBorder="1" applyAlignment="1">
      <alignment horizontal="center" vertical="center" wrapText="1"/>
    </xf>
    <xf numFmtId="0" fontId="77" fillId="0" borderId="40" xfId="0" applyFont="1" applyBorder="1" applyAlignment="1">
      <alignment horizontal="center" vertical="center" wrapText="1"/>
    </xf>
    <xf numFmtId="3" fontId="77" fillId="0" borderId="40" xfId="0" applyNumberFormat="1" applyFont="1" applyBorder="1" applyAlignment="1">
      <alignment horizontal="right" vertical="center" wrapText="1"/>
    </xf>
    <xf numFmtId="0" fontId="77" fillId="0" borderId="121" xfId="0" quotePrefix="1" applyFont="1" applyFill="1" applyBorder="1" applyAlignment="1">
      <alignment horizontal="center" vertical="center" wrapText="1"/>
    </xf>
    <xf numFmtId="0" fontId="77" fillId="0" borderId="121" xfId="0" applyFont="1" applyFill="1" applyBorder="1" applyAlignment="1">
      <alignment horizontal="center" vertical="center" wrapText="1"/>
    </xf>
    <xf numFmtId="3" fontId="77" fillId="0" borderId="121" xfId="0" applyNumberFormat="1" applyFont="1" applyFill="1" applyBorder="1" applyAlignment="1">
      <alignment horizontal="right" vertical="center" wrapText="1"/>
    </xf>
    <xf numFmtId="0" fontId="77" fillId="0" borderId="116" xfId="0" applyFont="1" applyFill="1" applyBorder="1" applyAlignment="1">
      <alignment horizontal="center" vertical="center" wrapText="1"/>
    </xf>
    <xf numFmtId="3" fontId="77" fillId="0" borderId="116" xfId="0" applyNumberFormat="1" applyFont="1" applyFill="1" applyBorder="1" applyAlignment="1">
      <alignment horizontal="right" vertical="center" wrapText="1"/>
    </xf>
    <xf numFmtId="0" fontId="77" fillId="0" borderId="116" xfId="0" quotePrefix="1" applyFont="1" applyFill="1" applyBorder="1" applyAlignment="1">
      <alignment horizontal="center" vertical="center" wrapText="1"/>
    </xf>
    <xf numFmtId="3" fontId="77" fillId="0" borderId="121" xfId="0" applyNumberFormat="1" applyFont="1" applyFill="1" applyBorder="1" applyAlignment="1">
      <alignment horizontal="center" vertical="center" wrapText="1"/>
    </xf>
    <xf numFmtId="3" fontId="77" fillId="0" borderId="116" xfId="0" applyNumberFormat="1" applyFont="1" applyFill="1" applyBorder="1" applyAlignment="1">
      <alignment horizontal="center" vertical="center" wrapText="1"/>
    </xf>
    <xf numFmtId="3" fontId="77" fillId="0" borderId="117" xfId="0" applyNumberFormat="1" applyFont="1" applyFill="1" applyBorder="1" applyAlignment="1">
      <alignment horizontal="center" vertical="center" wrapText="1"/>
    </xf>
    <xf numFmtId="0" fontId="77" fillId="0" borderId="117" xfId="0" applyFont="1" applyFill="1" applyBorder="1" applyAlignment="1">
      <alignment horizontal="center" vertical="center" wrapText="1"/>
    </xf>
    <xf numFmtId="3" fontId="77" fillId="0" borderId="117" xfId="0" applyNumberFormat="1" applyFont="1" applyFill="1" applyBorder="1" applyAlignment="1">
      <alignment horizontal="right" vertical="center" wrapText="1"/>
    </xf>
    <xf numFmtId="3" fontId="77" fillId="0" borderId="116" xfId="0" applyNumberFormat="1" applyFont="1" applyBorder="1" applyAlignment="1">
      <alignment horizontal="center" vertical="center" wrapText="1"/>
    </xf>
    <xf numFmtId="0" fontId="77" fillId="0" borderId="116" xfId="0" applyFont="1" applyBorder="1" applyAlignment="1">
      <alignment horizontal="center" vertical="center" wrapText="1"/>
    </xf>
    <xf numFmtId="3" fontId="77" fillId="0" borderId="116" xfId="0" applyNumberFormat="1" applyFont="1" applyBorder="1" applyAlignment="1">
      <alignment horizontal="right" vertical="center" wrapText="1"/>
    </xf>
    <xf numFmtId="3" fontId="77" fillId="0" borderId="121" xfId="0" applyNumberFormat="1" applyFont="1" applyBorder="1" applyAlignment="1">
      <alignment horizontal="center" vertical="center" wrapText="1"/>
    </xf>
    <xf numFmtId="0" fontId="77" fillId="0" borderId="121" xfId="0" applyFont="1" applyBorder="1" applyAlignment="1">
      <alignment horizontal="center" vertical="center" wrapText="1"/>
    </xf>
    <xf numFmtId="3" fontId="77" fillId="0" borderId="121" xfId="0" applyNumberFormat="1" applyFont="1" applyBorder="1" applyAlignment="1">
      <alignment horizontal="right" vertical="center" wrapText="1"/>
    </xf>
    <xf numFmtId="3" fontId="77" fillId="0" borderId="117" xfId="0" applyNumberFormat="1" applyFont="1" applyBorder="1" applyAlignment="1">
      <alignment horizontal="center" vertical="center" wrapText="1"/>
    </xf>
    <xf numFmtId="0" fontId="77" fillId="0" borderId="117" xfId="0" applyFont="1" applyBorder="1" applyAlignment="1">
      <alignment horizontal="center" vertical="center" wrapText="1"/>
    </xf>
    <xf numFmtId="3" fontId="77" fillId="0" borderId="117" xfId="0" applyNumberFormat="1" applyFont="1" applyBorder="1" applyAlignment="1">
      <alignment horizontal="right" vertical="center" wrapText="1"/>
    </xf>
    <xf numFmtId="173" fontId="77" fillId="0" borderId="121" xfId="0" applyNumberFormat="1" applyFont="1" applyBorder="1" applyAlignment="1">
      <alignment horizontal="center" vertical="center" wrapText="1"/>
    </xf>
    <xf numFmtId="4" fontId="77" fillId="0" borderId="121" xfId="0" applyNumberFormat="1" applyFont="1" applyBorder="1" applyAlignment="1">
      <alignment horizontal="right" vertical="center" wrapText="1"/>
    </xf>
    <xf numFmtId="173" fontId="77" fillId="0" borderId="116" xfId="0" applyNumberFormat="1" applyFont="1" applyBorder="1" applyAlignment="1">
      <alignment horizontal="center" vertical="center" wrapText="1"/>
    </xf>
    <xf numFmtId="4" fontId="77" fillId="0" borderId="116" xfId="0" applyNumberFormat="1" applyFont="1" applyBorder="1" applyAlignment="1">
      <alignment horizontal="right" vertical="center" wrapText="1"/>
    </xf>
    <xf numFmtId="175" fontId="77" fillId="0" borderId="121" xfId="0" applyNumberFormat="1" applyFont="1" applyBorder="1" applyAlignment="1">
      <alignment horizontal="center" vertical="center" wrapText="1"/>
    </xf>
    <xf numFmtId="175" fontId="77" fillId="0" borderId="117" xfId="0" applyNumberFormat="1" applyFont="1" applyBorder="1" applyAlignment="1">
      <alignment horizontal="center" vertical="center" wrapText="1"/>
    </xf>
    <xf numFmtId="4" fontId="77" fillId="0" borderId="117" xfId="0" applyNumberFormat="1" applyFont="1" applyBorder="1" applyAlignment="1">
      <alignment horizontal="right" vertical="center" wrapText="1"/>
    </xf>
    <xf numFmtId="176" fontId="77" fillId="0" borderId="116" xfId="0" applyNumberFormat="1" applyFont="1" applyBorder="1" applyAlignment="1">
      <alignment horizontal="center" vertical="center" wrapText="1"/>
    </xf>
    <xf numFmtId="176" fontId="77" fillId="0" borderId="121" xfId="0" applyNumberFormat="1" applyFont="1" applyBorder="1" applyAlignment="1">
      <alignment horizontal="center" vertical="center" wrapText="1"/>
    </xf>
    <xf numFmtId="175" fontId="77" fillId="0" borderId="116" xfId="0" applyNumberFormat="1" applyFont="1" applyBorder="1" applyAlignment="1">
      <alignment horizontal="center" vertical="center" wrapText="1"/>
    </xf>
    <xf numFmtId="176" fontId="77" fillId="0" borderId="120" xfId="0" applyNumberFormat="1" applyFont="1" applyBorder="1" applyAlignment="1">
      <alignment horizontal="center" vertical="center" wrapText="1"/>
    </xf>
    <xf numFmtId="0" fontId="77" fillId="0" borderId="120" xfId="0" applyFont="1" applyBorder="1" applyAlignment="1">
      <alignment horizontal="center" vertical="center" wrapText="1"/>
    </xf>
    <xf numFmtId="4" fontId="77" fillId="0" borderId="120" xfId="0" applyNumberFormat="1" applyFont="1" applyBorder="1" applyAlignment="1">
      <alignment horizontal="right" vertical="center" wrapText="1"/>
    </xf>
    <xf numFmtId="176" fontId="77" fillId="0" borderId="121" xfId="0" applyNumberFormat="1" applyFont="1" applyFill="1" applyBorder="1" applyAlignment="1">
      <alignment horizontal="center" vertical="center" wrapText="1"/>
    </xf>
    <xf numFmtId="176" fontId="77" fillId="0" borderId="117" xfId="0" applyNumberFormat="1" applyFont="1" applyFill="1" applyBorder="1" applyAlignment="1">
      <alignment horizontal="center" vertical="center" wrapText="1"/>
    </xf>
    <xf numFmtId="176" fontId="77" fillId="0" borderId="40" xfId="0" applyNumberFormat="1" applyFont="1" applyBorder="1" applyAlignment="1">
      <alignment horizontal="center" vertical="center" wrapText="1"/>
    </xf>
    <xf numFmtId="4" fontId="77" fillId="0" borderId="40" xfId="0" applyNumberFormat="1" applyFont="1" applyBorder="1" applyAlignment="1">
      <alignment horizontal="right" vertical="center" wrapText="1"/>
    </xf>
    <xf numFmtId="0" fontId="78" fillId="0" borderId="40" xfId="0" applyFont="1" applyBorder="1" applyAlignment="1">
      <alignment horizontal="center" vertical="center"/>
    </xf>
    <xf numFmtId="0" fontId="77" fillId="0" borderId="40" xfId="0" quotePrefix="1" applyFont="1" applyFill="1" applyBorder="1" applyAlignment="1">
      <alignment horizontal="center" vertical="center" wrapText="1"/>
    </xf>
    <xf numFmtId="0" fontId="77" fillId="0" borderId="40" xfId="0" applyFont="1" applyFill="1" applyBorder="1" applyAlignment="1">
      <alignment horizontal="center" vertical="center" wrapText="1"/>
    </xf>
    <xf numFmtId="3" fontId="77" fillId="0" borderId="118" xfId="0" applyNumberFormat="1" applyFont="1" applyBorder="1" applyAlignment="1">
      <alignment horizontal="center" vertical="center" wrapText="1"/>
    </xf>
    <xf numFmtId="0" fontId="77" fillId="0" borderId="118" xfId="0" applyFont="1" applyBorder="1" applyAlignment="1">
      <alignment horizontal="center" vertical="center" wrapText="1"/>
    </xf>
    <xf numFmtId="49" fontId="78" fillId="15" borderId="41" xfId="0" applyNumberFormat="1" applyFont="1" applyFill="1" applyBorder="1" applyAlignment="1">
      <alignment horizontal="right" vertical="center"/>
    </xf>
    <xf numFmtId="0" fontId="78" fillId="16" borderId="40" xfId="0" applyFont="1" applyFill="1" applyBorder="1" applyAlignment="1">
      <alignment horizontal="center" vertical="center" wrapText="1"/>
    </xf>
    <xf numFmtId="0" fontId="78" fillId="18" borderId="40" xfId="0" applyFont="1" applyFill="1" applyBorder="1" applyAlignment="1">
      <alignment horizontal="center" vertical="center" wrapText="1"/>
    </xf>
    <xf numFmtId="0" fontId="78" fillId="18" borderId="40" xfId="0" applyFont="1" applyFill="1" applyBorder="1" applyAlignment="1">
      <alignment horizontal="center" vertical="center"/>
    </xf>
    <xf numFmtId="3" fontId="78" fillId="18" borderId="40" xfId="0" applyNumberFormat="1" applyFont="1" applyFill="1" applyBorder="1" applyAlignment="1">
      <alignment horizontal="center" vertical="center" wrapText="1"/>
    </xf>
    <xf numFmtId="49" fontId="78" fillId="18" borderId="41" xfId="0" applyNumberFormat="1" applyFont="1" applyFill="1" applyBorder="1" applyAlignment="1">
      <alignment horizontal="right" vertical="center"/>
    </xf>
    <xf numFmtId="0" fontId="78" fillId="16" borderId="40" xfId="0" applyFont="1" applyFill="1" applyBorder="1" applyAlignment="1">
      <alignment vertical="center" wrapText="1"/>
    </xf>
    <xf numFmtId="0" fontId="106" fillId="16" borderId="40" xfId="0" applyFont="1" applyFill="1" applyBorder="1" applyAlignment="1">
      <alignment horizontal="center" vertical="center" wrapText="1"/>
    </xf>
    <xf numFmtId="0" fontId="52" fillId="16" borderId="40" xfId="0" applyFont="1" applyFill="1" applyBorder="1" applyAlignment="1">
      <alignment horizontal="center" vertical="center" wrapText="1"/>
    </xf>
    <xf numFmtId="49" fontId="77" fillId="15" borderId="41" xfId="0" applyNumberFormat="1" applyFont="1" applyFill="1" applyBorder="1" applyAlignment="1">
      <alignment horizontal="right" vertical="center"/>
    </xf>
    <xf numFmtId="49" fontId="77" fillId="15" borderId="40" xfId="0" applyNumberFormat="1" applyFont="1" applyFill="1" applyBorder="1" applyAlignment="1">
      <alignment horizontal="right" vertical="center" wrapText="1"/>
    </xf>
    <xf numFmtId="49" fontId="77" fillId="15" borderId="121" xfId="0" applyNumberFormat="1" applyFont="1" applyFill="1" applyBorder="1" applyAlignment="1">
      <alignment horizontal="right" vertical="center" wrapText="1"/>
    </xf>
    <xf numFmtId="0" fontId="77" fillId="15" borderId="116" xfId="0" applyNumberFormat="1" applyFont="1" applyFill="1" applyBorder="1" applyAlignment="1">
      <alignment horizontal="right" vertical="center" wrapText="1"/>
    </xf>
    <xf numFmtId="14" fontId="77" fillId="15" borderId="116" xfId="0" applyNumberFormat="1" applyFont="1" applyFill="1" applyBorder="1" applyAlignment="1">
      <alignment horizontal="right" vertical="center" wrapText="1"/>
    </xf>
    <xf numFmtId="3" fontId="77" fillId="0" borderId="118" xfId="0" applyNumberFormat="1" applyFont="1" applyBorder="1" applyAlignment="1">
      <alignment horizontal="right" vertical="center" wrapText="1"/>
    </xf>
    <xf numFmtId="0" fontId="106" fillId="16" borderId="40" xfId="0" applyFont="1" applyFill="1" applyBorder="1" applyAlignment="1">
      <alignment horizontal="right" vertical="center" wrapText="1"/>
    </xf>
    <xf numFmtId="172" fontId="63" fillId="15" borderId="40" xfId="0" applyNumberFormat="1" applyFont="1" applyFill="1" applyBorder="1" applyAlignment="1">
      <alignment horizontal="right" vertical="center" wrapText="1"/>
    </xf>
    <xf numFmtId="172" fontId="63" fillId="15" borderId="121" xfId="0" applyNumberFormat="1" applyFont="1" applyFill="1" applyBorder="1" applyAlignment="1">
      <alignment horizontal="right" vertical="center" wrapText="1"/>
    </xf>
    <xf numFmtId="172" fontId="63" fillId="15" borderId="116" xfId="0" applyNumberFormat="1" applyFont="1" applyFill="1" applyBorder="1" applyAlignment="1">
      <alignment horizontal="right" vertical="center" wrapText="1"/>
    </xf>
    <xf numFmtId="172" fontId="63" fillId="15" borderId="121" xfId="0" quotePrefix="1" applyNumberFormat="1" applyFont="1" applyFill="1" applyBorder="1" applyAlignment="1">
      <alignment horizontal="right" vertical="center" wrapText="1"/>
    </xf>
    <xf numFmtId="172" fontId="63" fillId="15" borderId="116" xfId="0" quotePrefix="1" applyNumberFormat="1" applyFont="1" applyFill="1" applyBorder="1" applyAlignment="1">
      <alignment horizontal="right" vertical="center" wrapText="1"/>
    </xf>
    <xf numFmtId="172" fontId="63" fillId="15" borderId="117" xfId="0" quotePrefix="1" applyNumberFormat="1" applyFont="1" applyFill="1" applyBorder="1" applyAlignment="1">
      <alignment horizontal="right" vertical="center" wrapText="1"/>
    </xf>
    <xf numFmtId="172" fontId="63" fillId="15" borderId="118" xfId="0" applyNumberFormat="1" applyFont="1" applyFill="1" applyBorder="1" applyAlignment="1">
      <alignment horizontal="right" vertical="center" wrapText="1"/>
    </xf>
    <xf numFmtId="172" fontId="63" fillId="15" borderId="118" xfId="0" quotePrefix="1" applyNumberFormat="1" applyFont="1" applyFill="1" applyBorder="1" applyAlignment="1">
      <alignment horizontal="right" vertical="center" wrapText="1"/>
    </xf>
    <xf numFmtId="172" fontId="63" fillId="15" borderId="117" xfId="0" applyNumberFormat="1" applyFont="1" applyFill="1" applyBorder="1" applyAlignment="1">
      <alignment horizontal="right" vertical="center" wrapText="1"/>
    </xf>
    <xf numFmtId="172" fontId="63" fillId="15" borderId="120" xfId="0" applyNumberFormat="1" applyFont="1" applyFill="1" applyBorder="1" applyAlignment="1">
      <alignment horizontal="right" vertical="center" wrapText="1"/>
    </xf>
    <xf numFmtId="0" fontId="1" fillId="0" borderId="0" xfId="0" applyFont="1" applyAlignment="1">
      <alignment horizontal="right"/>
    </xf>
    <xf numFmtId="0" fontId="221" fillId="16" borderId="40" xfId="0" applyFont="1" applyFill="1" applyBorder="1" applyAlignment="1">
      <alignment horizontal="center" vertical="center" wrapText="1"/>
    </xf>
    <xf numFmtId="0" fontId="224" fillId="0" borderId="40" xfId="0" quotePrefix="1" applyFont="1" applyBorder="1" applyAlignment="1">
      <alignment horizontal="center" vertical="center"/>
    </xf>
    <xf numFmtId="0" fontId="224" fillId="0" borderId="40" xfId="0" quotePrefix="1" applyFont="1" applyFill="1" applyBorder="1" applyAlignment="1">
      <alignment horizontal="center" vertical="center"/>
    </xf>
    <xf numFmtId="3" fontId="224" fillId="0" borderId="40" xfId="0" quotePrefix="1" applyNumberFormat="1" applyFont="1" applyBorder="1" applyAlignment="1">
      <alignment horizontal="center" vertical="center"/>
    </xf>
    <xf numFmtId="3" fontId="224" fillId="0" borderId="40" xfId="0" quotePrefix="1" applyNumberFormat="1" applyFont="1" applyBorder="1" applyAlignment="1">
      <alignment horizontal="right" vertical="center"/>
    </xf>
    <xf numFmtId="3" fontId="224" fillId="0" borderId="40" xfId="0" quotePrefix="1" applyNumberFormat="1" applyFont="1" applyFill="1" applyBorder="1" applyAlignment="1">
      <alignment horizontal="center" vertical="center"/>
    </xf>
    <xf numFmtId="0" fontId="224" fillId="0" borderId="115" xfId="0" quotePrefix="1" applyFont="1" applyBorder="1" applyAlignment="1">
      <alignment horizontal="center" vertical="center"/>
    </xf>
    <xf numFmtId="0" fontId="224" fillId="0" borderId="115" xfId="0" quotePrefix="1" applyFont="1" applyFill="1" applyBorder="1" applyAlignment="1">
      <alignment horizontal="center" vertical="center"/>
    </xf>
    <xf numFmtId="3" fontId="224" fillId="0" borderId="115" xfId="0" quotePrefix="1" applyNumberFormat="1" applyFont="1" applyFill="1" applyBorder="1" applyAlignment="1">
      <alignment horizontal="center" vertical="center"/>
    </xf>
    <xf numFmtId="3" fontId="224" fillId="0" borderId="115" xfId="0" quotePrefix="1" applyNumberFormat="1" applyFont="1" applyBorder="1" applyAlignment="1">
      <alignment horizontal="right" vertical="center"/>
    </xf>
    <xf numFmtId="0" fontId="224" fillId="0" borderId="116" xfId="0" quotePrefix="1" applyFont="1" applyBorder="1" applyAlignment="1">
      <alignment horizontal="center" vertical="center"/>
    </xf>
    <xf numFmtId="0" fontId="224" fillId="0" borderId="116" xfId="0" quotePrefix="1" applyFont="1" applyFill="1" applyBorder="1" applyAlignment="1">
      <alignment horizontal="center" vertical="center"/>
    </xf>
    <xf numFmtId="3" fontId="224" fillId="0" borderId="116" xfId="0" quotePrefix="1" applyNumberFormat="1" applyFont="1" applyFill="1" applyBorder="1" applyAlignment="1">
      <alignment horizontal="center" vertical="center"/>
    </xf>
    <xf numFmtId="3" fontId="224" fillId="0" borderId="116" xfId="0" quotePrefix="1" applyNumberFormat="1" applyFont="1" applyBorder="1" applyAlignment="1">
      <alignment horizontal="right" vertical="center"/>
    </xf>
    <xf numFmtId="0" fontId="224" fillId="0" borderId="121" xfId="0" quotePrefix="1" applyFont="1" applyBorder="1" applyAlignment="1">
      <alignment horizontal="center" vertical="center"/>
    </xf>
    <xf numFmtId="0" fontId="224" fillId="0" borderId="121" xfId="0" quotePrefix="1" applyFont="1" applyFill="1" applyBorder="1" applyAlignment="1">
      <alignment horizontal="center" vertical="center"/>
    </xf>
    <xf numFmtId="3" fontId="224" fillId="0" borderId="121" xfId="0" quotePrefix="1" applyNumberFormat="1" applyFont="1" applyFill="1" applyBorder="1" applyAlignment="1">
      <alignment horizontal="center" vertical="center"/>
    </xf>
    <xf numFmtId="3" fontId="224" fillId="0" borderId="121" xfId="0" quotePrefix="1" applyNumberFormat="1" applyFont="1" applyBorder="1" applyAlignment="1">
      <alignment horizontal="right" vertical="center"/>
    </xf>
    <xf numFmtId="0" fontId="224" fillId="0" borderId="41" xfId="0" quotePrefix="1" applyFont="1" applyBorder="1" applyAlignment="1">
      <alignment horizontal="center" vertical="center"/>
    </xf>
    <xf numFmtId="0" fontId="224" fillId="0" borderId="41" xfId="0" quotePrefix="1" applyFont="1" applyFill="1" applyBorder="1" applyAlignment="1">
      <alignment horizontal="center" vertical="center"/>
    </xf>
    <xf numFmtId="3" fontId="224" fillId="0" borderId="41" xfId="0" quotePrefix="1" applyNumberFormat="1" applyFont="1" applyFill="1" applyBorder="1" applyAlignment="1">
      <alignment horizontal="center" vertical="center"/>
    </xf>
    <xf numFmtId="3" fontId="224" fillId="0" borderId="41" xfId="0" quotePrefix="1" applyNumberFormat="1" applyFont="1" applyBorder="1" applyAlignment="1">
      <alignment horizontal="right" vertical="center"/>
    </xf>
    <xf numFmtId="3" fontId="224" fillId="0" borderId="115" xfId="0" quotePrefix="1" applyNumberFormat="1" applyFont="1" applyBorder="1" applyAlignment="1">
      <alignment horizontal="center" vertical="center"/>
    </xf>
    <xf numFmtId="3" fontId="224" fillId="0" borderId="116" xfId="0" quotePrefix="1" applyNumberFormat="1" applyFont="1" applyBorder="1" applyAlignment="1">
      <alignment horizontal="center" vertical="center"/>
    </xf>
    <xf numFmtId="3" fontId="224" fillId="0" borderId="115" xfId="0" applyNumberFormat="1" applyFont="1" applyBorder="1" applyAlignment="1">
      <alignment horizontal="center" vertical="center"/>
    </xf>
    <xf numFmtId="3" fontId="224" fillId="0" borderId="115" xfId="0" applyNumberFormat="1" applyFont="1" applyBorder="1" applyAlignment="1">
      <alignment horizontal="right" vertical="center"/>
    </xf>
    <xf numFmtId="3" fontId="224" fillId="0" borderId="116" xfId="0" applyNumberFormat="1" applyFont="1" applyBorder="1" applyAlignment="1">
      <alignment horizontal="center" vertical="center"/>
    </xf>
    <xf numFmtId="3" fontId="224" fillId="0" borderId="116" xfId="0" applyNumberFormat="1" applyFont="1" applyBorder="1" applyAlignment="1">
      <alignment horizontal="right" vertical="center"/>
    </xf>
    <xf numFmtId="3" fontId="224" fillId="0" borderId="117" xfId="0" applyNumberFormat="1" applyFont="1" applyBorder="1" applyAlignment="1">
      <alignment horizontal="center" vertical="center"/>
    </xf>
    <xf numFmtId="0" fontId="224" fillId="0" borderId="117" xfId="0" quotePrefix="1" applyFont="1" applyFill="1" applyBorder="1" applyAlignment="1">
      <alignment horizontal="center" vertical="center"/>
    </xf>
    <xf numFmtId="3" fontId="224" fillId="0" borderId="117" xfId="0" quotePrefix="1" applyNumberFormat="1" applyFont="1" applyBorder="1" applyAlignment="1">
      <alignment horizontal="center" vertical="center"/>
    </xf>
    <xf numFmtId="3" fontId="224" fillId="0" borderId="117" xfId="0" applyNumberFormat="1" applyFont="1" applyBorder="1" applyAlignment="1">
      <alignment horizontal="right" vertical="center"/>
    </xf>
    <xf numFmtId="3" fontId="224" fillId="0" borderId="119" xfId="0" applyNumberFormat="1" applyFont="1" applyBorder="1" applyAlignment="1">
      <alignment horizontal="center" vertical="center"/>
    </xf>
    <xf numFmtId="0" fontId="224" fillId="0" borderId="118" xfId="0" quotePrefix="1" applyFont="1" applyFill="1" applyBorder="1" applyAlignment="1">
      <alignment horizontal="center" vertical="center"/>
    </xf>
    <xf numFmtId="3" fontId="224" fillId="0" borderId="118" xfId="0" quotePrefix="1" applyNumberFormat="1" applyFont="1" applyBorder="1" applyAlignment="1">
      <alignment horizontal="center" vertical="center"/>
    </xf>
    <xf numFmtId="3" fontId="224" fillId="0" borderId="119" xfId="0" applyNumberFormat="1" applyFont="1" applyBorder="1" applyAlignment="1">
      <alignment horizontal="right" vertical="center"/>
    </xf>
    <xf numFmtId="3" fontId="224" fillId="0" borderId="41" xfId="0" quotePrefix="1" applyNumberFormat="1" applyFont="1" applyBorder="1" applyAlignment="1">
      <alignment horizontal="center" vertical="center"/>
    </xf>
    <xf numFmtId="3" fontId="224" fillId="0" borderId="115" xfId="0" applyNumberFormat="1" applyFont="1" applyFill="1" applyBorder="1" applyAlignment="1">
      <alignment horizontal="center" vertical="center"/>
    </xf>
    <xf numFmtId="3" fontId="224" fillId="0" borderId="116" xfId="0" applyNumberFormat="1" applyFont="1" applyFill="1" applyBorder="1" applyAlignment="1">
      <alignment horizontal="center" vertical="center"/>
    </xf>
    <xf numFmtId="3" fontId="224" fillId="0" borderId="117" xfId="0" applyNumberFormat="1" applyFont="1" applyFill="1" applyBorder="1" applyAlignment="1">
      <alignment horizontal="center" vertical="center"/>
    </xf>
    <xf numFmtId="3" fontId="224" fillId="0" borderId="40" xfId="0" applyNumberFormat="1" applyFont="1" applyBorder="1" applyAlignment="1">
      <alignment horizontal="center" vertical="center"/>
    </xf>
    <xf numFmtId="3" fontId="224" fillId="0" borderId="40" xfId="0" applyNumberFormat="1" applyFont="1" applyFill="1" applyBorder="1" applyAlignment="1">
      <alignment horizontal="center" vertical="center"/>
    </xf>
    <xf numFmtId="3" fontId="224" fillId="0" borderId="40" xfId="0" applyNumberFormat="1" applyFont="1" applyBorder="1" applyAlignment="1">
      <alignment horizontal="right" vertical="center"/>
    </xf>
    <xf numFmtId="3" fontId="224" fillId="0" borderId="118" xfId="0" applyNumberFormat="1" applyFont="1" applyBorder="1" applyAlignment="1">
      <alignment horizontal="center" vertical="center"/>
    </xf>
    <xf numFmtId="3" fontId="224" fillId="0" borderId="118" xfId="0" applyNumberFormat="1" applyFont="1" applyBorder="1" applyAlignment="1">
      <alignment horizontal="right" vertical="center"/>
    </xf>
    <xf numFmtId="173" fontId="224" fillId="0" borderId="118" xfId="0" applyNumberFormat="1" applyFont="1" applyBorder="1" applyAlignment="1">
      <alignment horizontal="center" vertical="center"/>
    </xf>
    <xf numFmtId="4" fontId="224" fillId="0" borderId="118" xfId="0" applyNumberFormat="1" applyFont="1" applyBorder="1" applyAlignment="1">
      <alignment horizontal="right" vertical="center"/>
    </xf>
    <xf numFmtId="173" fontId="224" fillId="0" borderId="116" xfId="0" applyNumberFormat="1" applyFont="1" applyBorder="1" applyAlignment="1">
      <alignment horizontal="center" vertical="center"/>
    </xf>
    <xf numFmtId="4" fontId="224" fillId="0" borderId="116" xfId="0" applyNumberFormat="1" applyFont="1" applyBorder="1" applyAlignment="1">
      <alignment horizontal="right" vertical="center"/>
    </xf>
    <xf numFmtId="175" fontId="224" fillId="0" borderId="118" xfId="0" applyNumberFormat="1" applyFont="1" applyBorder="1" applyAlignment="1">
      <alignment horizontal="center" vertical="center"/>
    </xf>
    <xf numFmtId="176" fontId="224" fillId="0" borderId="116" xfId="0" applyNumberFormat="1" applyFont="1" applyBorder="1" applyAlignment="1">
      <alignment horizontal="center" vertical="center"/>
    </xf>
    <xf numFmtId="176" fontId="224" fillId="0" borderId="118" xfId="0" applyNumberFormat="1" applyFont="1" applyBorder="1" applyAlignment="1">
      <alignment horizontal="center" vertical="center"/>
    </xf>
    <xf numFmtId="175" fontId="224" fillId="0" borderId="116" xfId="0" applyNumberFormat="1" applyFont="1" applyBorder="1" applyAlignment="1">
      <alignment horizontal="center" vertical="center"/>
    </xf>
    <xf numFmtId="176" fontId="224" fillId="0" borderId="121" xfId="0" applyNumberFormat="1" applyFont="1" applyBorder="1" applyAlignment="1">
      <alignment horizontal="center" vertical="center"/>
    </xf>
    <xf numFmtId="3" fontId="224" fillId="0" borderId="121" xfId="0" applyNumberFormat="1" applyFont="1" applyFill="1" applyBorder="1" applyAlignment="1">
      <alignment horizontal="center" vertical="center"/>
    </xf>
    <xf numFmtId="3" fontId="224" fillId="0" borderId="121" xfId="0" applyNumberFormat="1" applyFont="1" applyBorder="1" applyAlignment="1">
      <alignment horizontal="center" vertical="center"/>
    </xf>
    <xf numFmtId="4" fontId="224" fillId="0" borderId="121" xfId="0" applyNumberFormat="1" applyFont="1" applyBorder="1" applyAlignment="1">
      <alignment horizontal="right" vertical="center"/>
    </xf>
    <xf numFmtId="3" fontId="224" fillId="0" borderId="118" xfId="0" applyNumberFormat="1" applyFont="1" applyFill="1" applyBorder="1" applyAlignment="1">
      <alignment horizontal="center" vertical="center"/>
    </xf>
    <xf numFmtId="176" fontId="224" fillId="0" borderId="40" xfId="0" applyNumberFormat="1" applyFont="1" applyBorder="1" applyAlignment="1">
      <alignment horizontal="center" vertical="center"/>
    </xf>
    <xf numFmtId="4" fontId="224" fillId="0" borderId="40" xfId="0" applyNumberFormat="1" applyFont="1" applyBorder="1" applyAlignment="1">
      <alignment horizontal="right" vertical="center"/>
    </xf>
    <xf numFmtId="3" fontId="225" fillId="0" borderId="40" xfId="0" applyNumberFormat="1" applyFont="1" applyFill="1" applyBorder="1" applyAlignment="1" applyProtection="1">
      <alignment horizontal="center" vertical="center"/>
      <protection locked="0"/>
    </xf>
    <xf numFmtId="3" fontId="225" fillId="0" borderId="40" xfId="0" applyNumberFormat="1" applyFont="1" applyBorder="1" applyAlignment="1" applyProtection="1">
      <alignment horizontal="center" vertical="center"/>
      <protection locked="0"/>
    </xf>
    <xf numFmtId="49" fontId="224" fillId="13" borderId="40" xfId="0" applyNumberFormat="1" applyFont="1" applyFill="1" applyBorder="1" applyAlignment="1">
      <alignment horizontal="right" vertical="center"/>
    </xf>
    <xf numFmtId="49" fontId="224" fillId="13" borderId="115" xfId="0" applyNumberFormat="1" applyFont="1" applyFill="1" applyBorder="1" applyAlignment="1">
      <alignment horizontal="right" vertical="center"/>
    </xf>
    <xf numFmtId="49" fontId="224" fillId="13" borderId="116" xfId="0" quotePrefix="1" applyNumberFormat="1" applyFont="1" applyFill="1" applyBorder="1" applyAlignment="1">
      <alignment horizontal="right" vertical="center"/>
    </xf>
    <xf numFmtId="49" fontId="224" fillId="13" borderId="121" xfId="0" applyNumberFormat="1" applyFont="1" applyFill="1" applyBorder="1" applyAlignment="1">
      <alignment horizontal="right" vertical="center"/>
    </xf>
    <xf numFmtId="49" fontId="224" fillId="13" borderId="41" xfId="0" applyNumberFormat="1" applyFont="1" applyFill="1" applyBorder="1" applyAlignment="1">
      <alignment horizontal="right" vertical="center"/>
    </xf>
    <xf numFmtId="49" fontId="224" fillId="13" borderId="116" xfId="0" applyNumberFormat="1" applyFont="1" applyFill="1" applyBorder="1" applyAlignment="1">
      <alignment horizontal="right" vertical="center"/>
    </xf>
    <xf numFmtId="49" fontId="224" fillId="13" borderId="117" xfId="0" applyNumberFormat="1" applyFont="1" applyFill="1" applyBorder="1" applyAlignment="1">
      <alignment horizontal="right" vertical="center"/>
    </xf>
    <xf numFmtId="49" fontId="224" fillId="13" borderId="119" xfId="0" applyNumberFormat="1" applyFont="1" applyFill="1" applyBorder="1" applyAlignment="1">
      <alignment horizontal="right" vertical="center"/>
    </xf>
    <xf numFmtId="49" fontId="224" fillId="13" borderId="118" xfId="0" applyNumberFormat="1" applyFont="1" applyFill="1" applyBorder="1" applyAlignment="1">
      <alignment horizontal="right" vertical="center"/>
    </xf>
    <xf numFmtId="0" fontId="0" fillId="13" borderId="0" xfId="0" applyFill="1" applyAlignment="1">
      <alignment horizontal="right"/>
    </xf>
    <xf numFmtId="178" fontId="224" fillId="13" borderId="40" xfId="0" applyNumberFormat="1" applyFont="1" applyFill="1" applyBorder="1" applyAlignment="1">
      <alignment horizontal="right" vertical="center"/>
    </xf>
    <xf numFmtId="0" fontId="163" fillId="0" borderId="121" xfId="0" applyFont="1" applyBorder="1" applyAlignment="1" applyProtection="1">
      <alignment horizontal="center" vertical="center" wrapText="1"/>
      <protection locked="0"/>
    </xf>
    <xf numFmtId="0" fontId="163" fillId="0" borderId="117" xfId="0" applyFont="1" applyBorder="1" applyAlignment="1" applyProtection="1">
      <alignment horizontal="center" vertical="center" wrapText="1"/>
      <protection locked="0"/>
    </xf>
    <xf numFmtId="0" fontId="163" fillId="0" borderId="116" xfId="0" applyFont="1" applyBorder="1" applyAlignment="1" applyProtection="1">
      <alignment horizontal="center" vertical="center" wrapText="1"/>
      <protection locked="0"/>
    </xf>
    <xf numFmtId="49" fontId="78" fillId="18" borderId="40" xfId="0" applyNumberFormat="1" applyFont="1" applyFill="1" applyBorder="1" applyAlignment="1">
      <alignment horizontal="center" vertical="center" wrapText="1"/>
    </xf>
    <xf numFmtId="49" fontId="78" fillId="18" borderId="40" xfId="0" applyNumberFormat="1" applyFont="1" applyFill="1" applyBorder="1" applyAlignment="1">
      <alignment horizontal="center" vertical="center" shrinkToFit="1"/>
    </xf>
    <xf numFmtId="49" fontId="78" fillId="18" borderId="41" xfId="0" applyNumberFormat="1" applyFont="1" applyFill="1" applyBorder="1" applyAlignment="1">
      <alignment horizontal="right" vertical="center" shrinkToFit="1"/>
    </xf>
    <xf numFmtId="49" fontId="78" fillId="15" borderId="41" xfId="0" applyNumberFormat="1" applyFont="1" applyFill="1" applyBorder="1" applyAlignment="1">
      <alignment horizontal="right" vertical="center" shrinkToFit="1"/>
    </xf>
    <xf numFmtId="49" fontId="77" fillId="15" borderId="41" xfId="0" applyNumberFormat="1" applyFont="1" applyFill="1" applyBorder="1" applyAlignment="1">
      <alignment horizontal="right" vertical="center" shrinkToFit="1"/>
    </xf>
    <xf numFmtId="49" fontId="77" fillId="15" borderId="40" xfId="0" applyNumberFormat="1" applyFont="1" applyFill="1" applyBorder="1" applyAlignment="1">
      <alignment horizontal="right" vertical="center" shrinkToFit="1"/>
    </xf>
    <xf numFmtId="49" fontId="77" fillId="15" borderId="121" xfId="0" applyNumberFormat="1" applyFont="1" applyFill="1" applyBorder="1" applyAlignment="1">
      <alignment horizontal="right" vertical="center" shrinkToFit="1"/>
    </xf>
    <xf numFmtId="172" fontId="77" fillId="15" borderId="116" xfId="0" applyNumberFormat="1" applyFont="1" applyFill="1" applyBorder="1" applyAlignment="1">
      <alignment horizontal="right" vertical="center" shrinkToFit="1"/>
    </xf>
    <xf numFmtId="172" fontId="77" fillId="15" borderId="121" xfId="0" applyNumberFormat="1" applyFont="1" applyFill="1" applyBorder="1" applyAlignment="1">
      <alignment horizontal="right" vertical="center" shrinkToFit="1"/>
    </xf>
    <xf numFmtId="172" fontId="77" fillId="15" borderId="121" xfId="0" quotePrefix="1" applyNumberFormat="1" applyFont="1" applyFill="1" applyBorder="1" applyAlignment="1">
      <alignment horizontal="right" vertical="center" shrinkToFit="1"/>
    </xf>
    <xf numFmtId="172" fontId="77" fillId="15" borderId="116" xfId="0" quotePrefix="1" applyNumberFormat="1" applyFont="1" applyFill="1" applyBorder="1" applyAlignment="1">
      <alignment horizontal="right" vertical="center" shrinkToFit="1"/>
    </xf>
    <xf numFmtId="172" fontId="77" fillId="15" borderId="117" xfId="0" quotePrefix="1" applyNumberFormat="1" applyFont="1" applyFill="1" applyBorder="1" applyAlignment="1">
      <alignment horizontal="right" vertical="center" shrinkToFit="1"/>
    </xf>
    <xf numFmtId="172" fontId="77" fillId="15" borderId="117" xfId="0" applyNumberFormat="1" applyFont="1" applyFill="1" applyBorder="1" applyAlignment="1">
      <alignment horizontal="right" vertical="center" shrinkToFit="1"/>
    </xf>
    <xf numFmtId="172" fontId="77" fillId="15" borderId="118" xfId="0" quotePrefix="1" applyNumberFormat="1" applyFont="1" applyFill="1" applyBorder="1" applyAlignment="1">
      <alignment horizontal="right" vertical="center" shrinkToFit="1"/>
    </xf>
    <xf numFmtId="172" fontId="77" fillId="15" borderId="120" xfId="0" applyNumberFormat="1" applyFont="1" applyFill="1" applyBorder="1" applyAlignment="1">
      <alignment horizontal="right" vertical="center" shrinkToFit="1"/>
    </xf>
    <xf numFmtId="172" fontId="77" fillId="15" borderId="40" xfId="0" applyNumberFormat="1" applyFont="1" applyFill="1" applyBorder="1" applyAlignment="1">
      <alignment horizontal="right" vertical="center" shrinkToFit="1"/>
    </xf>
    <xf numFmtId="0" fontId="0" fillId="0" borderId="0" xfId="0" applyAlignment="1">
      <alignment horizontal="right" shrinkToFit="1"/>
    </xf>
    <xf numFmtId="172" fontId="63" fillId="15" borderId="41" xfId="0" applyNumberFormat="1" applyFont="1" applyFill="1" applyBorder="1" applyAlignment="1">
      <alignment horizontal="right" vertical="center" wrapText="1"/>
    </xf>
    <xf numFmtId="176" fontId="77" fillId="0" borderId="41" xfId="0" applyNumberFormat="1" applyFont="1" applyBorder="1" applyAlignment="1">
      <alignment horizontal="center" vertical="center" wrapText="1"/>
    </xf>
    <xf numFmtId="0" fontId="77" fillId="0" borderId="41" xfId="0" applyFont="1" applyBorder="1" applyAlignment="1">
      <alignment horizontal="center" vertical="center" wrapText="1"/>
    </xf>
    <xf numFmtId="172" fontId="127" fillId="15" borderId="40" xfId="0" applyNumberFormat="1" applyFont="1" applyFill="1" applyBorder="1" applyAlignment="1">
      <alignment horizontal="left" vertical="center"/>
    </xf>
    <xf numFmtId="172" fontId="127" fillId="15" borderId="115" xfId="0" quotePrefix="1" applyNumberFormat="1" applyFont="1" applyFill="1" applyBorder="1" applyAlignment="1">
      <alignment horizontal="left" vertical="center"/>
    </xf>
    <xf numFmtId="172" fontId="127" fillId="15" borderId="116" xfId="0" quotePrefix="1" applyNumberFormat="1" applyFont="1" applyFill="1" applyBorder="1" applyAlignment="1">
      <alignment horizontal="left" vertical="center"/>
    </xf>
    <xf numFmtId="172" fontId="127" fillId="15" borderId="115" xfId="0" applyNumberFormat="1" applyFont="1" applyFill="1" applyBorder="1" applyAlignment="1">
      <alignment horizontal="left" vertical="center"/>
    </xf>
    <xf numFmtId="172" fontId="127" fillId="15" borderId="116" xfId="0" applyNumberFormat="1" applyFont="1" applyFill="1" applyBorder="1" applyAlignment="1">
      <alignment horizontal="left" vertical="center"/>
    </xf>
    <xf numFmtId="172" fontId="127" fillId="15" borderId="117" xfId="0" applyNumberFormat="1" applyFont="1" applyFill="1" applyBorder="1" applyAlignment="1">
      <alignment horizontal="left" vertical="center"/>
    </xf>
    <xf numFmtId="172" fontId="127" fillId="15" borderId="118" xfId="0" applyNumberFormat="1" applyFont="1" applyFill="1" applyBorder="1" applyAlignment="1">
      <alignment horizontal="left" vertical="center"/>
    </xf>
    <xf numFmtId="172" fontId="127" fillId="15" borderId="119" xfId="0" applyNumberFormat="1" applyFont="1" applyFill="1" applyBorder="1" applyAlignment="1">
      <alignment horizontal="left" vertical="center"/>
    </xf>
    <xf numFmtId="172" fontId="127" fillId="15" borderId="120" xfId="0" applyNumberFormat="1" applyFont="1" applyFill="1" applyBorder="1" applyAlignment="1">
      <alignment horizontal="left" vertical="center"/>
    </xf>
    <xf numFmtId="172" fontId="127" fillId="15" borderId="121" xfId="0" applyNumberFormat="1" applyFont="1" applyFill="1" applyBorder="1" applyAlignment="1">
      <alignment horizontal="left" vertical="center"/>
    </xf>
    <xf numFmtId="172" fontId="127" fillId="15" borderId="116" xfId="0" applyNumberFormat="1" applyFont="1" applyFill="1" applyBorder="1" applyAlignment="1" applyProtection="1">
      <alignment horizontal="left" vertical="center"/>
      <protection locked="0"/>
    </xf>
    <xf numFmtId="176" fontId="127" fillId="0" borderId="116" xfId="0" applyNumberFormat="1" applyFont="1" applyBorder="1" applyAlignment="1" applyProtection="1">
      <alignment horizontal="right" vertical="center"/>
      <protection locked="0"/>
    </xf>
    <xf numFmtId="175" fontId="127" fillId="0" borderId="116" xfId="0" applyNumberFormat="1" applyFont="1" applyBorder="1" applyAlignment="1" applyProtection="1">
      <alignment horizontal="right" vertical="center"/>
      <protection locked="0"/>
    </xf>
    <xf numFmtId="172" fontId="127" fillId="15" borderId="121" xfId="0" applyNumberFormat="1" applyFont="1" applyFill="1" applyBorder="1" applyAlignment="1" applyProtection="1">
      <alignment horizontal="left" vertical="center"/>
      <protection locked="0"/>
    </xf>
    <xf numFmtId="172" fontId="127" fillId="15" borderId="116" xfId="0" applyNumberFormat="1" applyFont="1" applyFill="1" applyBorder="1" applyAlignment="1" applyProtection="1">
      <alignment horizontal="left" vertical="center" shrinkToFit="1"/>
      <protection locked="0"/>
    </xf>
    <xf numFmtId="0" fontId="0" fillId="0" borderId="0" xfId="0" applyAlignment="1">
      <alignment horizontal="center"/>
    </xf>
    <xf numFmtId="2" fontId="126" fillId="17" borderId="20" xfId="0" applyNumberFormat="1" applyFont="1" applyFill="1" applyBorder="1" applyAlignment="1">
      <alignment horizontal="center" vertical="center" wrapText="1"/>
    </xf>
    <xf numFmtId="2" fontId="126" fillId="17" borderId="120" xfId="0" applyNumberFormat="1" applyFont="1" applyFill="1" applyBorder="1" applyAlignment="1">
      <alignment horizontal="center" vertical="center"/>
    </xf>
    <xf numFmtId="2" fontId="126" fillId="17" borderId="118" xfId="0" applyNumberFormat="1" applyFont="1" applyFill="1" applyBorder="1" applyAlignment="1">
      <alignment horizontal="center" vertical="center"/>
    </xf>
    <xf numFmtId="2" fontId="126" fillId="17" borderId="120" xfId="0" applyNumberFormat="1" applyFont="1" applyFill="1" applyBorder="1" applyAlignment="1">
      <alignment horizontal="center" vertical="center" wrapText="1"/>
    </xf>
    <xf numFmtId="2" fontId="126" fillId="17" borderId="118" xfId="0" applyNumberFormat="1" applyFont="1" applyFill="1" applyBorder="1" applyAlignment="1">
      <alignment horizontal="center" vertical="center" wrapText="1"/>
    </xf>
    <xf numFmtId="0" fontId="6" fillId="3" borderId="126" xfId="0" applyFont="1" applyFill="1" applyBorder="1" applyAlignment="1">
      <alignment horizontal="center" vertical="top" wrapText="1"/>
    </xf>
    <xf numFmtId="0" fontId="6" fillId="3" borderId="20" xfId="0" applyFont="1" applyFill="1" applyBorder="1" applyAlignment="1">
      <alignment horizontal="center" vertical="top" wrapText="1"/>
    </xf>
    <xf numFmtId="0" fontId="6" fillId="3" borderId="127" xfId="0" applyFont="1" applyFill="1" applyBorder="1" applyAlignment="1">
      <alignment horizontal="center" vertical="top" wrapText="1"/>
    </xf>
    <xf numFmtId="0" fontId="3" fillId="0" borderId="31" xfId="0" applyFont="1" applyBorder="1" applyAlignment="1">
      <alignment wrapText="1"/>
    </xf>
    <xf numFmtId="0" fontId="3" fillId="0" borderId="32" xfId="0" applyFont="1" applyBorder="1" applyAlignment="1">
      <alignment wrapText="1"/>
    </xf>
    <xf numFmtId="0" fontId="6" fillId="3" borderId="82" xfId="0" applyFont="1" applyFill="1" applyBorder="1" applyAlignment="1">
      <alignment horizontal="center" vertical="top" wrapText="1"/>
    </xf>
    <xf numFmtId="0" fontId="6" fillId="3" borderId="79" xfId="0" applyFont="1" applyFill="1" applyBorder="1" applyAlignment="1">
      <alignment horizontal="center" vertical="top" wrapText="1"/>
    </xf>
    <xf numFmtId="0" fontId="6" fillId="3" borderId="125" xfId="0" applyFont="1" applyFill="1" applyBorder="1" applyAlignment="1">
      <alignment horizontal="center" vertical="top" wrapText="1"/>
    </xf>
    <xf numFmtId="0" fontId="6" fillId="3" borderId="9" xfId="0" applyFont="1" applyFill="1" applyBorder="1" applyAlignment="1">
      <alignment horizontal="center" vertical="top" wrapText="1"/>
    </xf>
    <xf numFmtId="0" fontId="6" fillId="3" borderId="0" xfId="0" applyFont="1" applyFill="1" applyBorder="1" applyAlignment="1">
      <alignment horizontal="center" vertical="top" wrapText="1"/>
    </xf>
    <xf numFmtId="0" fontId="6" fillId="3" borderId="22" xfId="0" applyFont="1" applyFill="1" applyBorder="1" applyAlignment="1">
      <alignment horizontal="center" vertical="top" wrapText="1"/>
    </xf>
    <xf numFmtId="0" fontId="3" fillId="0" borderId="122" xfId="0" applyFont="1" applyBorder="1" applyAlignment="1">
      <alignment horizontal="left" wrapText="1"/>
    </xf>
    <xf numFmtId="0" fontId="3" fillId="0" borderId="112" xfId="0" applyFont="1" applyBorder="1" applyAlignment="1">
      <alignment horizontal="left" wrapText="1"/>
    </xf>
    <xf numFmtId="0" fontId="3" fillId="0" borderId="123" xfId="0" applyFont="1" applyBorder="1" applyAlignment="1">
      <alignment horizontal="left" wrapText="1"/>
    </xf>
    <xf numFmtId="0" fontId="3" fillId="0" borderId="124" xfId="0" applyFont="1" applyBorder="1" applyAlignment="1">
      <alignment horizontal="center" vertical="center" wrapText="1"/>
    </xf>
    <xf numFmtId="0" fontId="3" fillId="0" borderId="6" xfId="0" applyFont="1" applyBorder="1" applyAlignment="1">
      <alignment horizontal="center" vertical="center" wrapText="1"/>
    </xf>
    <xf numFmtId="0" fontId="4" fillId="0" borderId="128" xfId="0" applyFont="1" applyBorder="1" applyAlignment="1">
      <alignment horizontal="center" wrapText="1"/>
    </xf>
    <xf numFmtId="0" fontId="4" fillId="0" borderId="129" xfId="0" applyFont="1" applyBorder="1" applyAlignment="1">
      <alignment horizontal="center" wrapText="1"/>
    </xf>
    <xf numFmtId="0" fontId="5" fillId="3" borderId="82" xfId="0" applyFont="1" applyFill="1" applyBorder="1" applyAlignment="1">
      <alignment horizontal="center" vertical="top" wrapText="1"/>
    </xf>
    <xf numFmtId="0" fontId="5" fillId="3" borderId="79" xfId="0" applyFont="1" applyFill="1" applyBorder="1" applyAlignment="1">
      <alignment horizontal="center" vertical="top" wrapText="1"/>
    </xf>
    <xf numFmtId="0" fontId="5" fillId="3" borderId="125" xfId="0" applyFont="1" applyFill="1" applyBorder="1" applyAlignment="1">
      <alignment horizontal="center" vertical="top" wrapText="1"/>
    </xf>
    <xf numFmtId="0" fontId="5" fillId="3" borderId="9" xfId="0" applyFont="1" applyFill="1" applyBorder="1" applyAlignment="1">
      <alignment horizontal="center" vertical="top" wrapText="1"/>
    </xf>
    <xf numFmtId="0" fontId="5" fillId="3" borderId="0" xfId="0" applyFont="1" applyFill="1" applyBorder="1" applyAlignment="1">
      <alignment horizontal="center" vertical="top" wrapText="1"/>
    </xf>
    <xf numFmtId="0" fontId="5" fillId="3" borderId="22" xfId="0" applyFont="1" applyFill="1" applyBorder="1" applyAlignment="1">
      <alignment horizontal="center" vertical="top" wrapText="1"/>
    </xf>
    <xf numFmtId="0" fontId="5" fillId="3" borderId="130" xfId="0" applyFont="1" applyFill="1" applyBorder="1" applyAlignment="1">
      <alignment horizontal="center" vertical="top" wrapText="1"/>
    </xf>
    <xf numFmtId="0" fontId="5" fillId="3" borderId="21" xfId="0" applyFont="1" applyFill="1" applyBorder="1" applyAlignment="1">
      <alignment horizontal="center" vertical="top" wrapText="1"/>
    </xf>
    <xf numFmtId="0" fontId="5" fillId="3" borderId="131" xfId="0" applyFont="1" applyFill="1" applyBorder="1" applyAlignment="1">
      <alignment horizontal="center" vertical="top" wrapText="1"/>
    </xf>
    <xf numFmtId="0" fontId="3" fillId="0" borderId="132" xfId="0" applyFont="1" applyBorder="1" applyAlignment="1">
      <alignment wrapText="1"/>
    </xf>
    <xf numFmtId="0" fontId="3" fillId="0" borderId="133" xfId="0" applyFont="1" applyBorder="1" applyAlignment="1">
      <alignment wrapText="1"/>
    </xf>
    <xf numFmtId="0" fontId="4" fillId="0" borderId="132" xfId="0" applyFont="1" applyBorder="1" applyAlignment="1">
      <alignment wrapText="1"/>
    </xf>
    <xf numFmtId="0" fontId="4" fillId="0" borderId="133" xfId="0" applyFont="1" applyBorder="1" applyAlignment="1">
      <alignment wrapText="1"/>
    </xf>
    <xf numFmtId="0" fontId="4" fillId="0" borderId="31" xfId="0" applyFont="1" applyBorder="1" applyAlignment="1">
      <alignment wrapText="1"/>
    </xf>
    <xf numFmtId="0" fontId="4" fillId="0" borderId="32" xfId="0" applyFont="1" applyBorder="1" applyAlignment="1">
      <alignment wrapText="1"/>
    </xf>
    <xf numFmtId="0" fontId="4" fillId="5" borderId="122" xfId="0" applyFont="1" applyFill="1" applyBorder="1" applyAlignment="1">
      <alignment horizontal="justify" wrapText="1"/>
    </xf>
    <xf numFmtId="0" fontId="4" fillId="5" borderId="112" xfId="0" applyFont="1" applyFill="1" applyBorder="1" applyAlignment="1">
      <alignment horizontal="justify" wrapText="1"/>
    </xf>
    <xf numFmtId="0" fontId="4" fillId="5" borderId="123" xfId="0" applyFont="1" applyFill="1" applyBorder="1" applyAlignment="1">
      <alignment horizontal="justify" wrapText="1"/>
    </xf>
    <xf numFmtId="0" fontId="4" fillId="0" borderId="132" xfId="0" applyFont="1" applyBorder="1" applyAlignment="1">
      <alignment horizontal="left" wrapText="1"/>
    </xf>
    <xf numFmtId="0" fontId="4" fillId="0" borderId="133" xfId="0" applyFont="1" applyBorder="1" applyAlignment="1">
      <alignment horizontal="left" wrapText="1"/>
    </xf>
    <xf numFmtId="0" fontId="3" fillId="0" borderId="122" xfId="0" applyFont="1" applyBorder="1" applyAlignment="1">
      <alignment wrapText="1"/>
    </xf>
    <xf numFmtId="0" fontId="3" fillId="0" borderId="112" xfId="0" applyFont="1" applyBorder="1" applyAlignment="1">
      <alignment wrapText="1"/>
    </xf>
    <xf numFmtId="0" fontId="3" fillId="0" borderId="123" xfId="0" applyFont="1" applyBorder="1" applyAlignment="1">
      <alignment wrapText="1"/>
    </xf>
    <xf numFmtId="0" fontId="4" fillId="0" borderId="31" xfId="0" applyFont="1" applyBorder="1" applyAlignment="1">
      <alignment horizontal="left" wrapText="1"/>
    </xf>
    <xf numFmtId="0" fontId="4" fillId="0" borderId="32" xfId="0" applyFont="1" applyBorder="1" applyAlignment="1">
      <alignment horizontal="left" wrapText="1"/>
    </xf>
    <xf numFmtId="0" fontId="4" fillId="0" borderId="122" xfId="0" applyFont="1" applyBorder="1" applyAlignment="1">
      <alignment horizontal="center" wrapText="1"/>
    </xf>
    <xf numFmtId="0" fontId="4" fillId="0" borderId="112" xfId="0" applyFont="1" applyBorder="1" applyAlignment="1">
      <alignment horizontal="center" wrapText="1"/>
    </xf>
    <xf numFmtId="0" fontId="4" fillId="0" borderId="123" xfId="0" applyFont="1" applyBorder="1" applyAlignment="1">
      <alignment horizontal="center" wrapText="1"/>
    </xf>
    <xf numFmtId="0" fontId="3" fillId="0" borderId="134" xfId="0" applyFont="1" applyBorder="1" applyAlignment="1">
      <alignment horizontal="center" vertical="center" wrapText="1"/>
    </xf>
    <xf numFmtId="0" fontId="4" fillId="0" borderId="135" xfId="0" applyFont="1" applyBorder="1" applyAlignment="1">
      <alignment horizontal="center" wrapText="1"/>
    </xf>
    <xf numFmtId="0" fontId="4" fillId="0" borderId="21" xfId="0" applyFont="1" applyBorder="1" applyAlignment="1">
      <alignment horizontal="center" wrapText="1"/>
    </xf>
    <xf numFmtId="0" fontId="3" fillId="0" borderId="13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32" xfId="0" applyFont="1" applyBorder="1" applyAlignment="1">
      <alignment horizontal="center" vertical="top" wrapText="1"/>
    </xf>
    <xf numFmtId="0" fontId="3" fillId="0" borderId="137" xfId="0" applyFont="1" applyBorder="1" applyAlignment="1">
      <alignment horizontal="center" vertical="top" wrapText="1"/>
    </xf>
    <xf numFmtId="0" fontId="3" fillId="0" borderId="138" xfId="0" applyFont="1" applyBorder="1" applyAlignment="1">
      <alignment horizontal="center" vertical="top" wrapText="1"/>
    </xf>
    <xf numFmtId="2" fontId="222" fillId="19" borderId="20" xfId="0" applyNumberFormat="1" applyFont="1" applyFill="1" applyBorder="1" applyAlignment="1">
      <alignment horizontal="center" vertical="center" wrapText="1"/>
    </xf>
    <xf numFmtId="49" fontId="223" fillId="19" borderId="120" xfId="0" applyNumberFormat="1" applyFont="1" applyFill="1" applyBorder="1" applyAlignment="1">
      <alignment horizontal="right" vertical="center"/>
    </xf>
    <xf numFmtId="49" fontId="223" fillId="19" borderId="41" xfId="0" applyNumberFormat="1" applyFont="1" applyFill="1" applyBorder="1" applyAlignment="1">
      <alignment horizontal="right" vertical="center"/>
    </xf>
    <xf numFmtId="2" fontId="223" fillId="19" borderId="120" xfId="0" applyNumberFormat="1" applyFont="1" applyFill="1" applyBorder="1" applyAlignment="1">
      <alignment horizontal="center" vertical="center" wrapText="1"/>
    </xf>
    <xf numFmtId="2" fontId="223" fillId="19" borderId="41" xfId="0" applyNumberFormat="1" applyFont="1" applyFill="1" applyBorder="1" applyAlignment="1">
      <alignment horizontal="center" vertical="center" wrapText="1"/>
    </xf>
    <xf numFmtId="3" fontId="223" fillId="19" borderId="120" xfId="0" applyNumberFormat="1" applyFont="1" applyFill="1" applyBorder="1" applyAlignment="1">
      <alignment horizontal="center" vertical="center" wrapText="1"/>
    </xf>
    <xf numFmtId="3" fontId="223" fillId="19" borderId="41" xfId="0" applyNumberFormat="1" applyFont="1" applyFill="1" applyBorder="1" applyAlignment="1">
      <alignment horizontal="center" vertical="center" wrapText="1"/>
    </xf>
    <xf numFmtId="4" fontId="77" fillId="0" borderId="121" xfId="0" applyNumberFormat="1" applyFont="1" applyBorder="1" applyAlignment="1">
      <alignment horizontal="center" vertical="center" wrapText="1"/>
    </xf>
    <xf numFmtId="0" fontId="77" fillId="15" borderId="120" xfId="0" applyNumberFormat="1" applyFont="1" applyFill="1" applyBorder="1" applyAlignment="1">
      <alignment horizontal="right" vertical="center" wrapText="1"/>
    </xf>
    <xf numFmtId="0" fontId="77" fillId="15" borderId="41" xfId="0" applyNumberFormat="1" applyFont="1" applyFill="1" applyBorder="1" applyAlignment="1">
      <alignment horizontal="right" vertical="center" wrapText="1"/>
    </xf>
    <xf numFmtId="14" fontId="77" fillId="15" borderId="120" xfId="0" applyNumberFormat="1" applyFont="1" applyFill="1" applyBorder="1" applyAlignment="1">
      <alignment horizontal="right" vertical="center" wrapText="1"/>
    </xf>
    <xf numFmtId="14" fontId="77" fillId="15" borderId="41" xfId="0" applyNumberFormat="1" applyFont="1" applyFill="1" applyBorder="1" applyAlignment="1">
      <alignment horizontal="right" vertical="center" wrapText="1"/>
    </xf>
    <xf numFmtId="172" fontId="63" fillId="15" borderId="120" xfId="0" applyNumberFormat="1" applyFont="1" applyFill="1" applyBorder="1" applyAlignment="1">
      <alignment horizontal="right" vertical="center" wrapText="1"/>
    </xf>
    <xf numFmtId="172" fontId="63" fillId="15" borderId="41" xfId="0" applyNumberFormat="1" applyFont="1" applyFill="1" applyBorder="1" applyAlignment="1">
      <alignment horizontal="right" vertical="center" wrapText="1"/>
    </xf>
    <xf numFmtId="176" fontId="77" fillId="0" borderId="120" xfId="0" applyNumberFormat="1" applyFont="1" applyBorder="1" applyAlignment="1">
      <alignment horizontal="center" vertical="center" wrapText="1"/>
    </xf>
    <xf numFmtId="176" fontId="77" fillId="0" borderId="41" xfId="0" applyNumberFormat="1" applyFont="1" applyBorder="1" applyAlignment="1">
      <alignment horizontal="center" vertical="center" wrapText="1"/>
    </xf>
    <xf numFmtId="0" fontId="77" fillId="0" borderId="120" xfId="0" applyFont="1" applyBorder="1" applyAlignment="1">
      <alignment horizontal="center" vertical="center" wrapText="1"/>
    </xf>
    <xf numFmtId="0" fontId="77" fillId="0" borderId="41" xfId="0" applyFont="1" applyBorder="1" applyAlignment="1">
      <alignment horizontal="center" vertical="center" wrapText="1"/>
    </xf>
    <xf numFmtId="4" fontId="77" fillId="0" borderId="120" xfId="0" applyNumberFormat="1" applyFont="1" applyBorder="1" applyAlignment="1">
      <alignment horizontal="center" vertical="center" wrapText="1"/>
    </xf>
    <xf numFmtId="4" fontId="77" fillId="0" borderId="41" xfId="0" applyNumberFormat="1" applyFont="1" applyBorder="1" applyAlignment="1">
      <alignment horizontal="center" vertical="center" wrapText="1"/>
    </xf>
    <xf numFmtId="4" fontId="77" fillId="0" borderId="116" xfId="0" applyNumberFormat="1" applyFont="1" applyBorder="1" applyAlignment="1">
      <alignment horizontal="center" vertical="center" wrapText="1"/>
    </xf>
    <xf numFmtId="4" fontId="77" fillId="0" borderId="117" xfId="0" applyNumberFormat="1" applyFont="1" applyBorder="1" applyAlignment="1">
      <alignment horizontal="center" vertical="center" wrapText="1"/>
    </xf>
    <xf numFmtId="3" fontId="77" fillId="0" borderId="116" xfId="0" applyNumberFormat="1" applyFont="1" applyBorder="1" applyAlignment="1">
      <alignment horizontal="center" vertical="center" wrapText="1"/>
    </xf>
    <xf numFmtId="3" fontId="77" fillId="0" borderId="117" xfId="0" applyNumberFormat="1" applyFont="1" applyBorder="1" applyAlignment="1">
      <alignment horizontal="center" vertical="center" wrapText="1"/>
    </xf>
    <xf numFmtId="3" fontId="77" fillId="0" borderId="121" xfId="0" applyNumberFormat="1" applyFont="1" applyFill="1" applyBorder="1" applyAlignment="1">
      <alignment horizontal="center" vertical="center" wrapText="1"/>
    </xf>
    <xf numFmtId="3" fontId="77" fillId="0" borderId="117" xfId="0" applyNumberFormat="1" applyFont="1" applyFill="1" applyBorder="1" applyAlignment="1">
      <alignment horizontal="center" vertical="center" wrapText="1"/>
    </xf>
    <xf numFmtId="3" fontId="77" fillId="0" borderId="116" xfId="0" applyNumberFormat="1" applyFont="1" applyFill="1" applyBorder="1" applyAlignment="1">
      <alignment horizontal="center" vertical="center" wrapText="1"/>
    </xf>
    <xf numFmtId="3" fontId="77" fillId="0" borderId="121" xfId="0" applyNumberFormat="1" applyFont="1" applyBorder="1" applyAlignment="1">
      <alignment horizontal="center" vertical="center" wrapText="1"/>
    </xf>
    <xf numFmtId="0" fontId="78" fillId="18" borderId="0" xfId="0" applyFont="1" applyFill="1" applyBorder="1" applyAlignment="1">
      <alignment horizontal="center" vertical="center" wrapText="1"/>
    </xf>
    <xf numFmtId="0" fontId="78" fillId="18" borderId="20" xfId="0" applyFont="1" applyFill="1" applyBorder="1" applyAlignment="1">
      <alignment horizontal="center" vertical="center" wrapText="1"/>
    </xf>
    <xf numFmtId="172" fontId="78" fillId="16" borderId="40" xfId="0" applyNumberFormat="1" applyFont="1" applyFill="1" applyBorder="1" applyAlignment="1">
      <alignment horizontal="center" vertical="center" wrapText="1"/>
    </xf>
    <xf numFmtId="0" fontId="78" fillId="16" borderId="40" xfId="0" applyFont="1" applyFill="1" applyBorder="1" applyAlignment="1">
      <alignment horizontal="center" vertical="center" wrapText="1"/>
    </xf>
    <xf numFmtId="0" fontId="6" fillId="3" borderId="132" xfId="0" applyFont="1" applyFill="1" applyBorder="1" applyAlignment="1">
      <alignment horizontal="center" vertical="top" wrapText="1"/>
    </xf>
    <xf numFmtId="0" fontId="6" fillId="3" borderId="138" xfId="0" applyFont="1" applyFill="1" applyBorder="1" applyAlignment="1">
      <alignment horizontal="center" vertical="top" wrapText="1"/>
    </xf>
    <xf numFmtId="0" fontId="6" fillId="3" borderId="31" xfId="0" applyFont="1" applyFill="1" applyBorder="1" applyAlignment="1">
      <alignment horizontal="center" vertical="top" wrapText="1"/>
    </xf>
    <xf numFmtId="0" fontId="6" fillId="3" borderId="139" xfId="0" applyFont="1" applyFill="1" applyBorder="1" applyAlignment="1">
      <alignment horizontal="center" vertical="top" wrapText="1"/>
    </xf>
    <xf numFmtId="0" fontId="2" fillId="4" borderId="132" xfId="0" applyFont="1" applyFill="1" applyBorder="1" applyAlignment="1">
      <alignment horizontal="center" vertical="top" wrapText="1"/>
    </xf>
    <xf numFmtId="0" fontId="2" fillId="4" borderId="138" xfId="0" applyFont="1" applyFill="1" applyBorder="1" applyAlignment="1">
      <alignment horizontal="center" vertical="top" wrapText="1"/>
    </xf>
    <xf numFmtId="0" fontId="2" fillId="4" borderId="31" xfId="0" applyFont="1" applyFill="1" applyBorder="1" applyAlignment="1">
      <alignment horizontal="center" vertical="top" wrapText="1"/>
    </xf>
    <xf numFmtId="0" fontId="2" fillId="4" borderId="139" xfId="0" applyFont="1" applyFill="1" applyBorder="1" applyAlignment="1">
      <alignment horizontal="center" vertical="top" wrapText="1"/>
    </xf>
    <xf numFmtId="0" fontId="2" fillId="4" borderId="82" xfId="0" applyFont="1" applyFill="1" applyBorder="1" applyAlignment="1">
      <alignment horizontal="center" vertical="top" wrapText="1"/>
    </xf>
    <xf numFmtId="0" fontId="2" fillId="4" borderId="79" xfId="0" applyFont="1" applyFill="1" applyBorder="1" applyAlignment="1">
      <alignment horizontal="center" vertical="top" wrapText="1"/>
    </xf>
    <xf numFmtId="0" fontId="2" fillId="4" borderId="125" xfId="0" applyFont="1" applyFill="1" applyBorder="1" applyAlignment="1">
      <alignment horizontal="center" vertical="top" wrapText="1"/>
    </xf>
    <xf numFmtId="0" fontId="4" fillId="0" borderId="0" xfId="0" applyFont="1" applyAlignment="1">
      <alignment vertical="top" wrapText="1"/>
    </xf>
    <xf numFmtId="0" fontId="4" fillId="0" borderId="69" xfId="0" applyFont="1" applyBorder="1" applyAlignment="1">
      <alignment horizontal="right" vertical="top" wrapText="1"/>
    </xf>
    <xf numFmtId="0" fontId="4" fillId="0" borderId="129" xfId="0" applyFont="1" applyBorder="1" applyAlignment="1">
      <alignment horizontal="right" vertical="top" wrapText="1"/>
    </xf>
    <xf numFmtId="0" fontId="4" fillId="0" borderId="140" xfId="0" applyFont="1" applyBorder="1" applyAlignment="1">
      <alignment horizontal="right" vertical="top" wrapText="1"/>
    </xf>
    <xf numFmtId="0" fontId="4" fillId="0" borderId="0" xfId="0" applyFont="1" applyAlignment="1">
      <alignment horizontal="left" vertical="top" wrapText="1"/>
    </xf>
    <xf numFmtId="0" fontId="5" fillId="3" borderId="69" xfId="0" applyFont="1" applyFill="1" applyBorder="1" applyAlignment="1">
      <alignment horizontal="center" vertical="top" wrapText="1"/>
    </xf>
    <xf numFmtId="0" fontId="5" fillId="3" borderId="129" xfId="0" applyFont="1" applyFill="1" applyBorder="1" applyAlignment="1">
      <alignment horizontal="center" vertical="top" wrapText="1"/>
    </xf>
    <xf numFmtId="0" fontId="5" fillId="3" borderId="140" xfId="0" applyFont="1" applyFill="1" applyBorder="1" applyAlignment="1">
      <alignment horizontal="center" vertical="top" wrapText="1"/>
    </xf>
    <xf numFmtId="0" fontId="4" fillId="0" borderId="69" xfId="0" applyFont="1" applyBorder="1" applyAlignment="1">
      <alignment vertical="top" wrapText="1"/>
    </xf>
    <xf numFmtId="0" fontId="4" fillId="0" borderId="129" xfId="0" applyFont="1" applyBorder="1" applyAlignment="1">
      <alignment vertical="top" wrapText="1"/>
    </xf>
    <xf numFmtId="0" fontId="4" fillId="0" borderId="140" xfId="0" applyFont="1" applyBorder="1" applyAlignment="1">
      <alignment vertical="top" wrapText="1"/>
    </xf>
    <xf numFmtId="0" fontId="2" fillId="4" borderId="132" xfId="0" applyFont="1" applyFill="1" applyBorder="1" applyAlignment="1">
      <alignment horizontal="center" wrapText="1"/>
    </xf>
    <xf numFmtId="0" fontId="2" fillId="4" borderId="138" xfId="0" applyFont="1" applyFill="1" applyBorder="1" applyAlignment="1">
      <alignment horizontal="center" wrapText="1"/>
    </xf>
    <xf numFmtId="0" fontId="2" fillId="4" borderId="132" xfId="0" applyFont="1" applyFill="1" applyBorder="1" applyAlignment="1">
      <alignment horizontal="left" wrapText="1"/>
    </xf>
    <xf numFmtId="0" fontId="2" fillId="4" borderId="138" xfId="0" applyFont="1" applyFill="1" applyBorder="1" applyAlignment="1">
      <alignment horizontal="left" wrapText="1"/>
    </xf>
    <xf numFmtId="0" fontId="5" fillId="3" borderId="132" xfId="0" applyFont="1" applyFill="1" applyBorder="1" applyAlignment="1">
      <alignment horizontal="center" wrapText="1"/>
    </xf>
    <xf numFmtId="0" fontId="5" fillId="3" borderId="138" xfId="0" applyFont="1" applyFill="1" applyBorder="1" applyAlignment="1">
      <alignment horizontal="center" wrapText="1"/>
    </xf>
    <xf numFmtId="0" fontId="5" fillId="3" borderId="132" xfId="0" applyFont="1" applyFill="1" applyBorder="1" applyAlignment="1">
      <alignment horizontal="left" wrapText="1"/>
    </xf>
    <xf numFmtId="0" fontId="5" fillId="3" borderId="138" xfId="0" applyFont="1" applyFill="1" applyBorder="1" applyAlignment="1">
      <alignment horizontal="left" wrapText="1"/>
    </xf>
    <xf numFmtId="0" fontId="5" fillId="3" borderId="122" xfId="0" applyFont="1" applyFill="1" applyBorder="1" applyAlignment="1">
      <alignment vertical="top" wrapText="1"/>
    </xf>
    <xf numFmtId="0" fontId="5" fillId="3" borderId="123" xfId="0" applyFont="1" applyFill="1" applyBorder="1" applyAlignment="1">
      <alignment vertical="top" wrapText="1"/>
    </xf>
    <xf numFmtId="0" fontId="5" fillId="3" borderId="122" xfId="0" applyFont="1" applyFill="1" applyBorder="1" applyAlignment="1">
      <alignment horizontal="left" wrapText="1"/>
    </xf>
    <xf numFmtId="0" fontId="5" fillId="3" borderId="123" xfId="0" applyFont="1" applyFill="1" applyBorder="1" applyAlignment="1">
      <alignment horizontal="left" wrapText="1"/>
    </xf>
    <xf numFmtId="0" fontId="6" fillId="3" borderId="33" xfId="0" applyFont="1" applyFill="1" applyBorder="1" applyAlignment="1">
      <alignment horizontal="center" vertical="top" wrapText="1"/>
    </xf>
    <xf numFmtId="0" fontId="6" fillId="3" borderId="34" xfId="0" applyFont="1" applyFill="1" applyBorder="1" applyAlignment="1">
      <alignment horizontal="center" vertical="top" wrapText="1"/>
    </xf>
    <xf numFmtId="0" fontId="6" fillId="3" borderId="141" xfId="0" applyFont="1" applyFill="1" applyBorder="1" applyAlignment="1">
      <alignment horizontal="center" vertical="top" wrapText="1"/>
    </xf>
    <xf numFmtId="0" fontId="171" fillId="3" borderId="142" xfId="0" applyFont="1" applyFill="1" applyBorder="1" applyAlignment="1">
      <alignment horizontal="left" vertical="center" wrapText="1"/>
    </xf>
    <xf numFmtId="0" fontId="171" fillId="3" borderId="143" xfId="0" applyFont="1" applyFill="1" applyBorder="1" applyAlignment="1">
      <alignment horizontal="left" vertical="center" wrapText="1"/>
    </xf>
    <xf numFmtId="164" fontId="6" fillId="3" borderId="142" xfId="0" applyNumberFormat="1" applyFont="1" applyFill="1" applyBorder="1" applyAlignment="1">
      <alignment horizontal="right" vertical="center" wrapText="1"/>
    </xf>
    <xf numFmtId="164" fontId="6" fillId="3" borderId="143" xfId="0" applyNumberFormat="1" applyFont="1" applyFill="1" applyBorder="1" applyAlignment="1">
      <alignment horizontal="right" vertical="center" wrapText="1"/>
    </xf>
    <xf numFmtId="0" fontId="2" fillId="4" borderId="33" xfId="0" applyFont="1" applyFill="1" applyBorder="1" applyAlignment="1">
      <alignment horizontal="center" vertical="top" wrapText="1"/>
    </xf>
    <xf numFmtId="0" fontId="2" fillId="4" borderId="34" xfId="0" applyFont="1" applyFill="1" applyBorder="1" applyAlignment="1">
      <alignment horizontal="center" vertical="top" wrapText="1"/>
    </xf>
    <xf numFmtId="0" fontId="2" fillId="4" borderId="141" xfId="0" applyFont="1" applyFill="1" applyBorder="1" applyAlignment="1">
      <alignment horizontal="center" vertical="top" wrapText="1"/>
    </xf>
    <xf numFmtId="0" fontId="28" fillId="9" borderId="20" xfId="0" applyFont="1" applyFill="1" applyBorder="1" applyAlignment="1">
      <alignment horizontal="center" vertical="center"/>
    </xf>
    <xf numFmtId="4" fontId="131" fillId="0" borderId="146" xfId="0" applyNumberFormat="1" applyFont="1" applyBorder="1" applyAlignment="1">
      <alignment horizontal="right"/>
    </xf>
    <xf numFmtId="4" fontId="131" fillId="0" borderId="147" xfId="0" applyNumberFormat="1" applyFont="1" applyBorder="1" applyAlignment="1">
      <alignment horizontal="right"/>
    </xf>
    <xf numFmtId="4" fontId="131" fillId="0" borderId="148" xfId="0" applyNumberFormat="1" applyFont="1" applyBorder="1" applyAlignment="1">
      <alignment horizontal="right"/>
    </xf>
    <xf numFmtId="0" fontId="2" fillId="4" borderId="144" xfId="0" applyFont="1" applyFill="1" applyBorder="1" applyAlignment="1">
      <alignment horizontal="left" vertical="top" wrapText="1"/>
    </xf>
    <xf numFmtId="0" fontId="2" fillId="4" borderId="145" xfId="0" applyFont="1" applyFill="1" applyBorder="1" applyAlignment="1">
      <alignment horizontal="left" vertical="top" wrapText="1"/>
    </xf>
    <xf numFmtId="0" fontId="172" fillId="12" borderId="142" xfId="0" applyFont="1" applyFill="1" applyBorder="1" applyAlignment="1">
      <alignment horizontal="right" vertical="center" wrapText="1"/>
    </xf>
    <xf numFmtId="0" fontId="172" fillId="12" borderId="143" xfId="0" applyFont="1" applyFill="1" applyBorder="1" applyAlignment="1">
      <alignment horizontal="right" vertical="center" wrapText="1"/>
    </xf>
    <xf numFmtId="0" fontId="4" fillId="7" borderId="40" xfId="0" applyFont="1" applyFill="1" applyBorder="1" applyAlignment="1">
      <alignment horizontal="center" wrapText="1"/>
    </xf>
    <xf numFmtId="0" fontId="173" fillId="0" borderId="40" xfId="0" applyFont="1" applyFill="1" applyBorder="1" applyAlignment="1">
      <alignment horizontal="left" shrinkToFit="1"/>
    </xf>
    <xf numFmtId="49" fontId="11" fillId="0" borderId="65" xfId="0" applyNumberFormat="1" applyFont="1" applyBorder="1" applyAlignment="1">
      <alignment horizontal="right" vertical="center" wrapText="1"/>
    </xf>
    <xf numFmtId="0" fontId="12" fillId="3" borderId="149" xfId="0" applyFont="1" applyFill="1" applyBorder="1" applyAlignment="1">
      <alignment horizontal="center" vertical="center" wrapText="1"/>
    </xf>
    <xf numFmtId="0" fontId="12" fillId="3" borderId="150" xfId="0" applyFont="1" applyFill="1" applyBorder="1" applyAlignment="1">
      <alignment horizontal="center" vertical="center" wrapText="1"/>
    </xf>
    <xf numFmtId="0" fontId="12" fillId="3" borderId="151" xfId="0" applyFont="1" applyFill="1" applyBorder="1" applyAlignment="1">
      <alignment horizontal="center" vertical="center" wrapText="1"/>
    </xf>
    <xf numFmtId="0" fontId="12" fillId="3" borderId="152" xfId="0" applyFont="1" applyFill="1" applyBorder="1" applyAlignment="1">
      <alignment horizontal="center" vertical="center" wrapText="1"/>
    </xf>
    <xf numFmtId="0" fontId="12" fillId="3" borderId="153" xfId="0" applyFont="1" applyFill="1" applyBorder="1" applyAlignment="1">
      <alignment horizontal="center" vertical="center" wrapText="1"/>
    </xf>
    <xf numFmtId="0" fontId="13" fillId="3" borderId="154" xfId="0" applyFont="1" applyFill="1" applyBorder="1" applyAlignment="1">
      <alignment vertical="center" wrapText="1" shrinkToFit="1"/>
    </xf>
    <xf numFmtId="0" fontId="13" fillId="3" borderId="155" xfId="0" applyFont="1" applyFill="1" applyBorder="1" applyAlignment="1">
      <alignment vertical="center" wrapText="1" shrinkToFit="1"/>
    </xf>
    <xf numFmtId="167" fontId="14" fillId="5" borderId="156" xfId="0" applyNumberFormat="1" applyFont="1" applyFill="1" applyBorder="1" applyAlignment="1" applyProtection="1">
      <alignment horizontal="left" vertical="center" wrapText="1"/>
      <protection locked="0"/>
    </xf>
    <xf numFmtId="167" fontId="14" fillId="5" borderId="157" xfId="0" applyNumberFormat="1" applyFont="1" applyFill="1" applyBorder="1" applyAlignment="1" applyProtection="1">
      <alignment horizontal="left" vertical="center" wrapText="1"/>
      <protection locked="0"/>
    </xf>
    <xf numFmtId="0" fontId="13" fillId="3" borderId="158" xfId="0" applyFont="1" applyFill="1" applyBorder="1" applyAlignment="1">
      <alignment vertical="center" wrapText="1" shrinkToFit="1"/>
    </xf>
    <xf numFmtId="0" fontId="13" fillId="3" borderId="40" xfId="0" applyFont="1" applyFill="1" applyBorder="1" applyAlignment="1">
      <alignment vertical="center" wrapText="1" shrinkToFit="1"/>
    </xf>
    <xf numFmtId="167" fontId="14" fillId="5" borderId="55" xfId="0" applyNumberFormat="1" applyFont="1" applyFill="1" applyBorder="1" applyAlignment="1" applyProtection="1">
      <alignment horizontal="left" vertical="center" wrapText="1"/>
      <protection locked="0"/>
    </xf>
    <xf numFmtId="167" fontId="14" fillId="5" borderId="56" xfId="0" applyNumberFormat="1" applyFont="1" applyFill="1" applyBorder="1" applyAlignment="1" applyProtection="1">
      <alignment horizontal="left" vertical="center" wrapText="1"/>
      <protection locked="0"/>
    </xf>
    <xf numFmtId="0" fontId="13" fillId="3" borderId="159" xfId="0" applyFont="1" applyFill="1" applyBorder="1" applyAlignment="1">
      <alignment vertical="center" wrapText="1" shrinkToFit="1"/>
    </xf>
    <xf numFmtId="0" fontId="13" fillId="3" borderId="32" xfId="0" applyFont="1" applyFill="1" applyBorder="1" applyAlignment="1">
      <alignment vertical="center" wrapText="1" shrinkToFit="1"/>
    </xf>
    <xf numFmtId="0" fontId="13" fillId="3" borderId="50" xfId="0" applyFont="1" applyFill="1" applyBorder="1" applyAlignment="1" applyProtection="1">
      <alignment horizontal="center" vertical="center" wrapText="1"/>
    </xf>
    <xf numFmtId="0" fontId="13" fillId="3" borderId="32" xfId="0" applyFont="1" applyFill="1" applyBorder="1" applyAlignment="1" applyProtection="1">
      <alignment horizontal="center" vertical="center" wrapText="1"/>
    </xf>
    <xf numFmtId="0" fontId="14" fillId="5" borderId="50" xfId="0" applyFont="1" applyFill="1" applyBorder="1" applyAlignment="1" applyProtection="1">
      <alignment horizontal="center" vertical="center" wrapText="1"/>
      <protection locked="0"/>
    </xf>
    <xf numFmtId="0" fontId="14" fillId="5" borderId="55" xfId="0" applyFont="1" applyFill="1" applyBorder="1" applyAlignment="1" applyProtection="1">
      <alignment horizontal="center" vertical="center" wrapText="1"/>
      <protection locked="0"/>
    </xf>
    <xf numFmtId="0" fontId="14" fillId="5" borderId="32" xfId="0" applyFont="1" applyFill="1" applyBorder="1" applyAlignment="1" applyProtection="1">
      <alignment horizontal="center" vertical="center" wrapText="1"/>
      <protection locked="0"/>
    </xf>
    <xf numFmtId="167" fontId="14" fillId="5" borderId="40" xfId="0" applyNumberFormat="1" applyFont="1" applyFill="1" applyBorder="1" applyAlignment="1" applyProtection="1">
      <alignment horizontal="center" vertical="center" wrapText="1"/>
      <protection locked="0"/>
    </xf>
    <xf numFmtId="167" fontId="14" fillId="5" borderId="50" xfId="0" applyNumberFormat="1" applyFont="1" applyFill="1" applyBorder="1" applyAlignment="1" applyProtection="1">
      <alignment horizontal="center" vertical="center" wrapText="1"/>
      <protection locked="0"/>
    </xf>
    <xf numFmtId="167" fontId="14" fillId="5" borderId="51" xfId="0" applyNumberFormat="1" applyFont="1" applyFill="1" applyBorder="1" applyAlignment="1" applyProtection="1">
      <alignment horizontal="center" vertical="center" wrapText="1"/>
      <protection locked="0"/>
    </xf>
    <xf numFmtId="0" fontId="17" fillId="5" borderId="40" xfId="0" applyFont="1" applyFill="1" applyBorder="1" applyAlignment="1" applyProtection="1">
      <alignment horizontal="left" vertical="center" wrapText="1"/>
      <protection locked="0"/>
    </xf>
    <xf numFmtId="0" fontId="17" fillId="5" borderId="50" xfId="0" applyFont="1" applyFill="1" applyBorder="1" applyAlignment="1" applyProtection="1">
      <alignment horizontal="left" vertical="center" wrapText="1"/>
      <protection locked="0"/>
    </xf>
    <xf numFmtId="0" fontId="17" fillId="5" borderId="51" xfId="0" applyFont="1" applyFill="1" applyBorder="1" applyAlignment="1" applyProtection="1">
      <alignment horizontal="left" vertical="center" wrapText="1"/>
      <protection locked="0"/>
    </xf>
    <xf numFmtId="0" fontId="13" fillId="3" borderId="158" xfId="0" applyFont="1" applyFill="1" applyBorder="1" applyAlignment="1">
      <alignment horizontal="left" vertical="center" wrapText="1" shrinkToFit="1"/>
    </xf>
    <xf numFmtId="0" fontId="13" fillId="3" borderId="40" xfId="0" applyFont="1" applyFill="1" applyBorder="1" applyAlignment="1">
      <alignment horizontal="left" vertical="center" wrapText="1" shrinkToFit="1"/>
    </xf>
    <xf numFmtId="0" fontId="19" fillId="5" borderId="40" xfId="0" applyFont="1" applyFill="1" applyBorder="1" applyAlignment="1" applyProtection="1">
      <alignment horizontal="center" vertical="center" wrapText="1"/>
      <protection locked="0"/>
    </xf>
    <xf numFmtId="0" fontId="19" fillId="5" borderId="50" xfId="0" applyFont="1" applyFill="1" applyBorder="1" applyAlignment="1" applyProtection="1">
      <alignment horizontal="center" vertical="center" wrapText="1"/>
      <protection locked="0"/>
    </xf>
    <xf numFmtId="0" fontId="19" fillId="5" borderId="51" xfId="0" applyFont="1" applyFill="1" applyBorder="1" applyAlignment="1" applyProtection="1">
      <alignment horizontal="center" vertical="center" wrapText="1"/>
      <protection locked="0"/>
    </xf>
    <xf numFmtId="0" fontId="18" fillId="3" borderId="160" xfId="0" applyFont="1" applyFill="1" applyBorder="1" applyAlignment="1">
      <alignment horizontal="left" wrapText="1" shrinkToFit="1"/>
    </xf>
    <xf numFmtId="0" fontId="18" fillId="3" borderId="161" xfId="0" applyFont="1" applyFill="1" applyBorder="1" applyAlignment="1">
      <alignment horizontal="left" wrapText="1" shrinkToFit="1"/>
    </xf>
    <xf numFmtId="0" fontId="18" fillId="3" borderId="162" xfId="0" applyFont="1" applyFill="1" applyBorder="1" applyAlignment="1">
      <alignment horizontal="left" wrapText="1" shrinkToFit="1"/>
    </xf>
    <xf numFmtId="0" fontId="18" fillId="3" borderId="2" xfId="0" applyFont="1" applyFill="1" applyBorder="1" applyAlignment="1">
      <alignment horizontal="left" wrapText="1" shrinkToFit="1"/>
    </xf>
    <xf numFmtId="0" fontId="16" fillId="3" borderId="50" xfId="0" applyFont="1" applyFill="1" applyBorder="1" applyAlignment="1">
      <alignment horizontal="center" vertical="center" wrapText="1"/>
    </xf>
    <xf numFmtId="0" fontId="16" fillId="3" borderId="55" xfId="0" applyFont="1" applyFill="1" applyBorder="1" applyAlignment="1">
      <alignment horizontal="center" vertical="center" wrapText="1"/>
    </xf>
    <xf numFmtId="0" fontId="16" fillId="3" borderId="32" xfId="0" applyFont="1" applyFill="1" applyBorder="1" applyAlignment="1">
      <alignment horizontal="center" vertical="center" wrapText="1"/>
    </xf>
    <xf numFmtId="0" fontId="18" fillId="3" borderId="50" xfId="0" applyFont="1" applyFill="1" applyBorder="1" applyAlignment="1" applyProtection="1">
      <alignment horizontal="center" vertical="center"/>
    </xf>
    <xf numFmtId="0" fontId="18" fillId="3" borderId="55" xfId="0" applyFont="1" applyFill="1" applyBorder="1" applyAlignment="1" applyProtection="1">
      <alignment horizontal="center" vertical="center"/>
    </xf>
    <xf numFmtId="0" fontId="18" fillId="3" borderId="32" xfId="0" applyFont="1" applyFill="1" applyBorder="1" applyAlignment="1" applyProtection="1">
      <alignment horizontal="center" vertical="center"/>
    </xf>
    <xf numFmtId="0" fontId="18" fillId="3" borderId="158" xfId="0" applyFont="1" applyFill="1" applyBorder="1" applyAlignment="1">
      <alignment horizontal="left" vertical="center" wrapText="1" shrinkToFit="1"/>
    </xf>
    <xf numFmtId="0" fontId="18" fillId="3" borderId="40" xfId="0" applyFont="1" applyFill="1" applyBorder="1" applyAlignment="1">
      <alignment horizontal="left" vertical="center" wrapText="1" shrinkToFit="1"/>
    </xf>
    <xf numFmtId="14" fontId="19" fillId="5" borderId="55" xfId="0" quotePrefix="1" applyNumberFormat="1" applyFont="1" applyFill="1" applyBorder="1" applyAlignment="1" applyProtection="1">
      <alignment horizontal="left" vertical="center" wrapText="1"/>
      <protection locked="0"/>
    </xf>
    <xf numFmtId="0" fontId="19" fillId="5" borderId="55" xfId="0" applyFont="1" applyFill="1" applyBorder="1" applyAlignment="1" applyProtection="1">
      <alignment horizontal="left" vertical="center" wrapText="1"/>
      <protection locked="0"/>
    </xf>
    <xf numFmtId="0" fontId="19" fillId="5" borderId="56" xfId="0" applyFont="1" applyFill="1" applyBorder="1" applyAlignment="1" applyProtection="1">
      <alignment horizontal="left" vertical="center" wrapText="1"/>
      <protection locked="0"/>
    </xf>
    <xf numFmtId="14" fontId="19" fillId="5" borderId="56" xfId="0" quotePrefix="1" applyNumberFormat="1" applyFont="1" applyFill="1" applyBorder="1" applyAlignment="1" applyProtection="1">
      <alignment horizontal="left" vertical="center" wrapText="1"/>
      <protection locked="0"/>
    </xf>
    <xf numFmtId="14" fontId="19" fillId="5" borderId="55" xfId="0" applyNumberFormat="1" applyFont="1" applyFill="1" applyBorder="1" applyAlignment="1" applyProtection="1">
      <alignment horizontal="left" vertical="center" wrapText="1"/>
      <protection locked="0"/>
    </xf>
    <xf numFmtId="0" fontId="18" fillId="3" borderId="160" xfId="0" applyFont="1" applyFill="1" applyBorder="1" applyAlignment="1">
      <alignment horizontal="center" vertical="center" wrapText="1" shrinkToFit="1"/>
    </xf>
    <xf numFmtId="0" fontId="18" fillId="3" borderId="161" xfId="0" applyFont="1" applyFill="1" applyBorder="1" applyAlignment="1">
      <alignment horizontal="center" vertical="center" wrapText="1" shrinkToFit="1"/>
    </xf>
    <xf numFmtId="0" fontId="18" fillId="3" borderId="162" xfId="0" applyFont="1" applyFill="1" applyBorder="1" applyAlignment="1">
      <alignment horizontal="center" vertical="center" wrapText="1" shrinkToFit="1"/>
    </xf>
    <xf numFmtId="0" fontId="18" fillId="3" borderId="2" xfId="0" applyFont="1" applyFill="1" applyBorder="1" applyAlignment="1">
      <alignment horizontal="center" vertical="center" wrapText="1" shrinkToFit="1"/>
    </xf>
    <xf numFmtId="0" fontId="19" fillId="3" borderId="55" xfId="0" applyFont="1" applyFill="1" applyBorder="1" applyAlignment="1" applyProtection="1">
      <alignment horizontal="center" vertical="center" wrapText="1"/>
      <protection locked="0"/>
    </xf>
    <xf numFmtId="0" fontId="19" fillId="3" borderId="32" xfId="0" applyFont="1" applyFill="1" applyBorder="1" applyAlignment="1" applyProtection="1">
      <alignment horizontal="center" vertical="center" wrapText="1"/>
      <protection locked="0"/>
    </xf>
    <xf numFmtId="0" fontId="19" fillId="5" borderId="55" xfId="0" applyFont="1" applyFill="1" applyBorder="1" applyAlignment="1" applyProtection="1">
      <alignment horizontal="center" vertical="center" wrapText="1"/>
      <protection locked="0"/>
    </xf>
    <xf numFmtId="0" fontId="19" fillId="5" borderId="32" xfId="0" applyFont="1" applyFill="1" applyBorder="1" applyAlignment="1" applyProtection="1">
      <alignment horizontal="center" vertical="center" wrapText="1"/>
      <protection locked="0"/>
    </xf>
    <xf numFmtId="0" fontId="19" fillId="5" borderId="55" xfId="0" quotePrefix="1" applyFont="1" applyFill="1" applyBorder="1" applyAlignment="1" applyProtection="1">
      <alignment horizontal="left" vertical="center" wrapText="1"/>
      <protection locked="0"/>
    </xf>
    <xf numFmtId="42" fontId="19" fillId="5" borderId="55" xfId="3" applyNumberFormat="1" applyFont="1" applyFill="1" applyBorder="1" applyAlignment="1" applyProtection="1">
      <alignment horizontal="left" vertical="center" wrapText="1"/>
      <protection locked="0"/>
    </xf>
    <xf numFmtId="168" fontId="19" fillId="5" borderId="55" xfId="3" applyNumberFormat="1" applyFont="1" applyFill="1" applyBorder="1" applyAlignment="1">
      <alignment horizontal="center" vertical="center"/>
    </xf>
    <xf numFmtId="168" fontId="19" fillId="5" borderId="56" xfId="3" applyNumberFormat="1" applyFont="1" applyFill="1" applyBorder="1" applyAlignment="1">
      <alignment horizontal="center" vertical="center"/>
    </xf>
    <xf numFmtId="169" fontId="19" fillId="5" borderId="55" xfId="0" applyNumberFormat="1" applyFont="1" applyFill="1" applyBorder="1" applyAlignment="1" applyProtection="1">
      <alignment horizontal="left" vertical="center" wrapText="1"/>
    </xf>
    <xf numFmtId="169" fontId="19" fillId="5" borderId="32" xfId="0" applyNumberFormat="1" applyFont="1" applyFill="1" applyBorder="1" applyAlignment="1" applyProtection="1">
      <alignment horizontal="left" vertical="center" wrapText="1"/>
    </xf>
    <xf numFmtId="169" fontId="19" fillId="5" borderId="50" xfId="0" applyNumberFormat="1" applyFont="1" applyFill="1" applyBorder="1" applyAlignment="1" applyProtection="1">
      <alignment horizontal="right" vertical="center" wrapText="1"/>
      <protection locked="0"/>
    </xf>
    <xf numFmtId="169" fontId="19" fillId="5" borderId="55" xfId="0" applyNumberFormat="1" applyFont="1" applyFill="1" applyBorder="1" applyAlignment="1" applyProtection="1">
      <alignment horizontal="right" vertical="center" wrapText="1"/>
      <protection locked="0"/>
    </xf>
    <xf numFmtId="169" fontId="19" fillId="5" borderId="32" xfId="0" applyNumberFormat="1" applyFont="1" applyFill="1" applyBorder="1" applyAlignment="1" applyProtection="1">
      <alignment horizontal="right" vertical="center" wrapText="1"/>
      <protection locked="0"/>
    </xf>
    <xf numFmtId="0" fontId="15" fillId="3" borderId="158" xfId="0" applyFont="1" applyFill="1" applyBorder="1" applyAlignment="1">
      <alignment horizontal="left" vertical="center" wrapText="1" shrinkToFit="1"/>
    </xf>
    <xf numFmtId="0" fontId="15" fillId="3" borderId="40" xfId="0" applyFont="1" applyFill="1" applyBorder="1" applyAlignment="1">
      <alignment horizontal="left" vertical="center" wrapText="1" shrinkToFit="1"/>
    </xf>
    <xf numFmtId="0" fontId="13" fillId="3" borderId="159" xfId="0" applyFont="1" applyFill="1" applyBorder="1" applyAlignment="1">
      <alignment horizontal="left" vertical="center" wrapText="1" shrinkToFit="1"/>
    </xf>
    <xf numFmtId="0" fontId="13" fillId="3" borderId="32" xfId="0" applyFont="1" applyFill="1" applyBorder="1" applyAlignment="1">
      <alignment horizontal="left" vertical="center" wrapText="1" shrinkToFit="1"/>
    </xf>
    <xf numFmtId="42" fontId="19" fillId="5" borderId="55" xfId="3" quotePrefix="1" applyNumberFormat="1" applyFont="1" applyFill="1" applyBorder="1" applyAlignment="1" applyProtection="1">
      <alignment horizontal="left" vertical="center" wrapText="1"/>
      <protection locked="0"/>
    </xf>
    <xf numFmtId="42" fontId="19" fillId="5" borderId="56" xfId="3" quotePrefix="1" applyNumberFormat="1" applyFont="1" applyFill="1" applyBorder="1" applyAlignment="1" applyProtection="1">
      <alignment horizontal="left" vertical="center" wrapText="1"/>
      <protection locked="0"/>
    </xf>
    <xf numFmtId="0" fontId="13" fillId="3" borderId="159" xfId="0" applyFont="1" applyFill="1" applyBorder="1" applyAlignment="1" applyProtection="1">
      <alignment horizontal="left" vertical="center" wrapText="1" shrinkToFit="1"/>
      <protection locked="0"/>
    </xf>
    <xf numFmtId="0" fontId="13" fillId="3" borderId="32" xfId="0" applyFont="1" applyFill="1" applyBorder="1" applyAlignment="1" applyProtection="1">
      <alignment horizontal="left" vertical="center" wrapText="1" shrinkToFit="1"/>
      <protection locked="0"/>
    </xf>
    <xf numFmtId="0" fontId="24" fillId="5" borderId="55" xfId="0" applyFont="1" applyFill="1" applyBorder="1" applyAlignment="1" applyProtection="1">
      <alignment horizontal="left" vertical="center" shrinkToFit="1"/>
      <protection locked="0"/>
    </xf>
    <xf numFmtId="0" fontId="24" fillId="5" borderId="56" xfId="0" applyFont="1" applyFill="1" applyBorder="1" applyAlignment="1" applyProtection="1">
      <alignment horizontal="left" vertical="center" shrinkToFit="1"/>
      <protection locked="0"/>
    </xf>
    <xf numFmtId="0" fontId="13" fillId="3" borderId="163" xfId="0" applyFont="1" applyFill="1" applyBorder="1" applyAlignment="1" applyProtection="1">
      <alignment horizontal="left" vertical="center" wrapText="1" shrinkToFit="1"/>
    </xf>
    <xf numFmtId="0" fontId="13" fillId="3" borderId="164" xfId="0" applyFont="1" applyFill="1" applyBorder="1" applyAlignment="1" applyProtection="1">
      <alignment horizontal="left" vertical="center" wrapText="1" shrinkToFit="1"/>
    </xf>
    <xf numFmtId="0" fontId="19" fillId="5" borderId="165" xfId="0" applyFont="1" applyFill="1" applyBorder="1" applyAlignment="1" applyProtection="1">
      <alignment horizontal="left" vertical="center" wrapText="1"/>
      <protection locked="0"/>
    </xf>
    <xf numFmtId="0" fontId="19" fillId="5" borderId="166" xfId="0" applyFont="1" applyFill="1" applyBorder="1" applyAlignment="1" applyProtection="1">
      <alignment horizontal="left" vertical="center" wrapText="1"/>
      <protection locked="0"/>
    </xf>
    <xf numFmtId="0" fontId="26" fillId="5" borderId="0" xfId="0" applyFont="1" applyFill="1" applyBorder="1" applyAlignment="1">
      <alignment horizontal="center" vertical="center" wrapText="1"/>
    </xf>
    <xf numFmtId="0" fontId="26" fillId="5" borderId="63" xfId="0" applyFont="1" applyFill="1" applyBorder="1" applyAlignment="1">
      <alignment horizontal="center" vertical="center" wrapText="1"/>
    </xf>
    <xf numFmtId="0" fontId="109" fillId="2" borderId="132" xfId="2" applyFont="1" applyFill="1" applyBorder="1" applyAlignment="1" applyProtection="1">
      <alignment horizontal="center" vertical="center"/>
    </xf>
    <xf numFmtId="0" fontId="109" fillId="2" borderId="137" xfId="2" applyFont="1" applyFill="1" applyBorder="1" applyAlignment="1" applyProtection="1">
      <alignment horizontal="center" vertical="center"/>
    </xf>
    <xf numFmtId="0" fontId="109" fillId="2" borderId="167" xfId="2" applyFont="1" applyFill="1" applyBorder="1" applyAlignment="1" applyProtection="1">
      <alignment horizontal="center" vertical="center"/>
    </xf>
    <xf numFmtId="0" fontId="109" fillId="2" borderId="50" xfId="2" applyFont="1" applyFill="1" applyBorder="1" applyAlignment="1" applyProtection="1">
      <alignment horizontal="center" vertical="center"/>
    </xf>
    <xf numFmtId="0" fontId="109" fillId="2" borderId="55" xfId="2" applyFont="1" applyFill="1" applyBorder="1" applyAlignment="1" applyProtection="1">
      <alignment horizontal="center" vertical="center"/>
    </xf>
    <xf numFmtId="0" fontId="109" fillId="2" borderId="3" xfId="2" applyFont="1" applyFill="1" applyBorder="1" applyAlignment="1" applyProtection="1">
      <alignment horizontal="center" vertical="center"/>
    </xf>
    <xf numFmtId="0" fontId="67" fillId="2" borderId="124" xfId="2" applyFont="1" applyFill="1" applyBorder="1" applyAlignment="1" applyProtection="1">
      <alignment horizontal="center" textRotation="90"/>
    </xf>
    <xf numFmtId="0" fontId="67" fillId="2" borderId="6" xfId="2" applyFont="1" applyFill="1" applyBorder="1" applyAlignment="1" applyProtection="1">
      <alignment horizontal="center" textRotation="90"/>
    </xf>
    <xf numFmtId="0" fontId="11" fillId="5" borderId="0" xfId="0" applyFont="1" applyFill="1" applyBorder="1" applyAlignment="1">
      <alignment horizontal="center" vertical="center" wrapText="1"/>
    </xf>
    <xf numFmtId="0" fontId="11" fillId="5" borderId="0" xfId="0" applyFont="1" applyFill="1" applyBorder="1" applyAlignment="1" applyProtection="1">
      <alignment horizontal="center" vertical="center" shrinkToFit="1"/>
      <protection locked="0"/>
    </xf>
    <xf numFmtId="0" fontId="11" fillId="5" borderId="63" xfId="0" applyFont="1" applyFill="1" applyBorder="1" applyAlignment="1" applyProtection="1">
      <alignment horizontal="center" vertical="center" shrinkToFit="1"/>
      <protection locked="0"/>
    </xf>
    <xf numFmtId="0" fontId="11" fillId="5" borderId="0" xfId="0" applyFont="1" applyFill="1" applyBorder="1" applyAlignment="1" applyProtection="1">
      <alignment horizontal="center" vertical="center" wrapText="1"/>
      <protection locked="0"/>
    </xf>
    <xf numFmtId="0" fontId="11" fillId="5" borderId="63" xfId="0" applyFont="1" applyFill="1" applyBorder="1" applyAlignment="1" applyProtection="1">
      <alignment horizontal="center" vertical="center" wrapText="1"/>
      <protection locked="0"/>
    </xf>
    <xf numFmtId="0" fontId="11" fillId="5" borderId="63" xfId="0" applyFont="1" applyFill="1" applyBorder="1" applyAlignment="1">
      <alignment horizontal="center" vertical="center" wrapText="1"/>
    </xf>
    <xf numFmtId="0" fontId="28" fillId="0" borderId="0" xfId="0" applyFont="1" applyAlignment="1">
      <alignment horizontal="center" vertical="top"/>
    </xf>
    <xf numFmtId="0" fontId="10" fillId="0" borderId="0" xfId="0" applyFont="1" applyAlignment="1">
      <alignment horizontal="center"/>
    </xf>
    <xf numFmtId="14" fontId="0" fillId="0" borderId="0" xfId="0" applyNumberFormat="1" applyAlignment="1">
      <alignment horizontal="center"/>
    </xf>
    <xf numFmtId="0" fontId="10" fillId="0" borderId="20" xfId="0" applyFont="1" applyBorder="1" applyAlignment="1">
      <alignment horizontal="center"/>
    </xf>
    <xf numFmtId="0" fontId="0" fillId="0" borderId="20" xfId="0" applyBorder="1" applyAlignment="1">
      <alignment horizontal="center"/>
    </xf>
    <xf numFmtId="0" fontId="65" fillId="0" borderId="0" xfId="0" applyFont="1" applyAlignment="1">
      <alignment horizontal="center"/>
    </xf>
    <xf numFmtId="0" fontId="66" fillId="0" borderId="0" xfId="0" applyFont="1" applyAlignment="1">
      <alignment horizontal="center"/>
    </xf>
    <xf numFmtId="0" fontId="137" fillId="0" borderId="74" xfId="0" applyFont="1" applyBorder="1" applyAlignment="1">
      <alignment horizontal="left" vertical="top" wrapText="1"/>
    </xf>
    <xf numFmtId="0" fontId="137" fillId="0" borderId="90" xfId="0" applyFont="1" applyBorder="1" applyAlignment="1">
      <alignment horizontal="left" vertical="top" wrapText="1"/>
    </xf>
    <xf numFmtId="0" fontId="145" fillId="0" borderId="168" xfId="0" applyFont="1" applyBorder="1" applyAlignment="1">
      <alignment horizontal="left" vertical="top" wrapText="1"/>
    </xf>
    <xf numFmtId="0" fontId="145" fillId="0" borderId="106" xfId="0" applyFont="1" applyBorder="1" applyAlignment="1">
      <alignment horizontal="left" vertical="top" wrapText="1"/>
    </xf>
    <xf numFmtId="0" fontId="145" fillId="0" borderId="89" xfId="0" applyFont="1" applyBorder="1" applyAlignment="1">
      <alignment horizontal="left" vertical="top" wrapText="1"/>
    </xf>
    <xf numFmtId="0" fontId="145" fillId="0" borderId="169" xfId="0" applyFont="1" applyBorder="1" applyAlignment="1">
      <alignment horizontal="left" vertical="top" wrapText="1"/>
    </xf>
    <xf numFmtId="0" fontId="145" fillId="0" borderId="170" xfId="0" applyFont="1" applyBorder="1" applyAlignment="1">
      <alignment horizontal="left" vertical="top" wrapText="1"/>
    </xf>
    <xf numFmtId="0" fontId="145" fillId="0" borderId="92" xfId="0" applyFont="1" applyBorder="1" applyAlignment="1">
      <alignment horizontal="left" vertical="top" wrapText="1"/>
    </xf>
    <xf numFmtId="0" fontId="137" fillId="0" borderId="0" xfId="0" applyFont="1" applyAlignment="1">
      <alignment horizontal="center" vertical="center" wrapText="1"/>
    </xf>
    <xf numFmtId="0" fontId="54" fillId="0" borderId="171" xfId="0" applyFont="1" applyBorder="1" applyAlignment="1">
      <alignment horizontal="left" vertical="center" wrapText="1"/>
    </xf>
    <xf numFmtId="0" fontId="57" fillId="0" borderId="171" xfId="0" applyFont="1" applyBorder="1" applyAlignment="1">
      <alignment horizontal="left" vertical="center" wrapText="1"/>
    </xf>
    <xf numFmtId="0" fontId="174" fillId="0" borderId="74" xfId="0" applyFont="1" applyBorder="1" applyAlignment="1">
      <alignment horizontal="left" vertical="top" wrapText="1"/>
    </xf>
    <xf numFmtId="0" fontId="174" fillId="0" borderId="90" xfId="0" applyFont="1" applyBorder="1" applyAlignment="1">
      <alignment horizontal="left" vertical="top" wrapText="1"/>
    </xf>
    <xf numFmtId="0" fontId="145" fillId="0" borderId="70" xfId="0" applyFont="1" applyBorder="1" applyAlignment="1">
      <alignment horizontal="left" vertical="top" wrapText="1"/>
    </xf>
    <xf numFmtId="0" fontId="154" fillId="0" borderId="0" xfId="0" applyFont="1" applyAlignment="1">
      <alignment horizontal="justify" vertical="center" wrapText="1"/>
    </xf>
    <xf numFmtId="0" fontId="154" fillId="0" borderId="79" xfId="0" applyFont="1" applyBorder="1" applyAlignment="1">
      <alignment horizontal="justify" vertical="center" wrapText="1"/>
    </xf>
    <xf numFmtId="0" fontId="177" fillId="0" borderId="0" xfId="0" applyFont="1" applyAlignment="1">
      <alignment horizontal="justify" vertical="center" wrapText="1"/>
    </xf>
    <xf numFmtId="0" fontId="178" fillId="0" borderId="70" xfId="0" applyFont="1" applyBorder="1" applyAlignment="1">
      <alignment horizontal="left" vertical="top" wrapText="1"/>
    </xf>
    <xf numFmtId="0" fontId="178" fillId="0" borderId="68" xfId="0" applyFont="1" applyBorder="1" applyAlignment="1">
      <alignment horizontal="left" vertical="top" wrapText="1"/>
    </xf>
    <xf numFmtId="0" fontId="154" fillId="0" borderId="171" xfId="0" applyFont="1" applyBorder="1" applyAlignment="1">
      <alignment vertical="center" wrapText="1"/>
    </xf>
    <xf numFmtId="0" fontId="154" fillId="0" borderId="171" xfId="0" applyFont="1" applyBorder="1" applyAlignment="1">
      <alignment horizontal="justify" vertical="center" wrapText="1"/>
    </xf>
    <xf numFmtId="0" fontId="179" fillId="0" borderId="0" xfId="0" applyFont="1" applyAlignment="1">
      <alignment horizontal="center" vertical="center" wrapText="1"/>
    </xf>
    <xf numFmtId="0" fontId="137" fillId="0" borderId="74" xfId="0" applyFont="1" applyBorder="1" applyAlignment="1">
      <alignment horizontal="center" vertical="center" wrapText="1"/>
    </xf>
    <xf numFmtId="0" fontId="137" fillId="0" borderId="75" xfId="0" applyFont="1" applyBorder="1" applyAlignment="1">
      <alignment horizontal="center" vertical="center" wrapText="1"/>
    </xf>
    <xf numFmtId="0" fontId="145" fillId="0" borderId="76" xfId="0" applyFont="1" applyBorder="1" applyAlignment="1">
      <alignment horizontal="left" vertical="top" wrapText="1"/>
    </xf>
    <xf numFmtId="0" fontId="145" fillId="0" borderId="78" xfId="0" applyFont="1" applyBorder="1" applyAlignment="1">
      <alignment horizontal="left" vertical="top" wrapText="1"/>
    </xf>
    <xf numFmtId="0" fontId="151" fillId="0" borderId="76" xfId="0" applyFont="1" applyBorder="1" applyAlignment="1">
      <alignment horizontal="left" vertical="top" wrapText="1"/>
    </xf>
    <xf numFmtId="0" fontId="151" fillId="0" borderId="70" xfId="0" applyFont="1" applyBorder="1" applyAlignment="1">
      <alignment horizontal="left" vertical="top" wrapText="1"/>
    </xf>
    <xf numFmtId="0" fontId="151" fillId="0" borderId="78" xfId="0" applyFont="1" applyBorder="1" applyAlignment="1">
      <alignment horizontal="left" vertical="top" wrapText="1"/>
    </xf>
    <xf numFmtId="0" fontId="151" fillId="0" borderId="79" xfId="0" applyFont="1" applyBorder="1" applyAlignment="1">
      <alignment horizontal="center" vertical="center" wrapText="1"/>
    </xf>
    <xf numFmtId="0" fontId="176" fillId="0" borderId="171" xfId="0" applyFont="1" applyBorder="1" applyAlignment="1">
      <alignment horizontal="justify" vertical="center" wrapText="1"/>
    </xf>
    <xf numFmtId="0" fontId="175" fillId="0" borderId="171" xfId="0" applyFont="1" applyBorder="1" applyAlignment="1">
      <alignment horizontal="left" vertical="center" wrapText="1"/>
    </xf>
    <xf numFmtId="0" fontId="176" fillId="0" borderId="171" xfId="0" applyFont="1" applyBorder="1" applyAlignment="1">
      <alignment horizontal="left" vertical="center" wrapText="1"/>
    </xf>
    <xf numFmtId="0" fontId="177" fillId="0" borderId="171" xfId="0" applyFont="1" applyBorder="1" applyAlignment="1">
      <alignment horizontal="justify" vertical="center" wrapText="1"/>
    </xf>
    <xf numFmtId="0" fontId="138" fillId="0" borderId="0" xfId="0" applyFont="1" applyAlignment="1">
      <alignment horizontal="center" vertical="center" wrapText="1"/>
    </xf>
    <xf numFmtId="0" fontId="138" fillId="0" borderId="21" xfId="0" applyFont="1" applyBorder="1" applyAlignment="1">
      <alignment horizontal="center" vertical="center" wrapText="1"/>
    </xf>
    <xf numFmtId="0" fontId="57" fillId="0" borderId="171" xfId="0" applyFont="1" applyBorder="1" applyAlignment="1">
      <alignment vertical="center" wrapText="1"/>
    </xf>
    <xf numFmtId="0" fontId="154" fillId="0" borderId="171" xfId="0" applyFont="1" applyBorder="1" applyAlignment="1">
      <alignment horizontal="left" vertical="center" wrapText="1"/>
    </xf>
    <xf numFmtId="0" fontId="54" fillId="0" borderId="171" xfId="0" applyFont="1" applyBorder="1" applyAlignment="1">
      <alignment vertical="center" wrapText="1"/>
    </xf>
    <xf numFmtId="0" fontId="137" fillId="0" borderId="168" xfId="0" applyFont="1" applyBorder="1" applyAlignment="1">
      <alignment horizontal="left" vertical="top" wrapText="1"/>
    </xf>
    <xf numFmtId="0" fontId="137" fillId="0" borderId="173" xfId="0" applyFont="1" applyBorder="1" applyAlignment="1">
      <alignment horizontal="left" vertical="top" wrapText="1"/>
    </xf>
    <xf numFmtId="0" fontId="145" fillId="0" borderId="106" xfId="0" applyFont="1" applyBorder="1" applyAlignment="1">
      <alignment horizontal="center" vertical="top" wrapText="1"/>
    </xf>
    <xf numFmtId="0" fontId="145" fillId="0" borderId="89" xfId="0" applyFont="1" applyBorder="1" applyAlignment="1">
      <alignment horizontal="center" vertical="top" wrapText="1"/>
    </xf>
    <xf numFmtId="0" fontId="145" fillId="0" borderId="96" xfId="0" applyFont="1" applyBorder="1" applyAlignment="1">
      <alignment horizontal="center" vertical="top" wrapText="1"/>
    </xf>
    <xf numFmtId="0" fontId="145" fillId="0" borderId="174" xfId="0" applyFont="1" applyBorder="1" applyAlignment="1">
      <alignment horizontal="center" vertical="top" wrapText="1"/>
    </xf>
    <xf numFmtId="0" fontId="150" fillId="0" borderId="74" xfId="0" applyFont="1" applyBorder="1" applyAlignment="1">
      <alignment horizontal="left" vertical="top" wrapText="1"/>
    </xf>
    <xf numFmtId="0" fontId="150" fillId="0" borderId="90" xfId="0" applyFont="1" applyBorder="1" applyAlignment="1">
      <alignment horizontal="left" vertical="top" wrapText="1"/>
    </xf>
    <xf numFmtId="0" fontId="178" fillId="0" borderId="74" xfId="0" applyFont="1" applyBorder="1" applyAlignment="1">
      <alignment horizontal="left" vertical="top" wrapText="1"/>
    </xf>
    <xf numFmtId="0" fontId="177" fillId="0" borderId="0" xfId="0" applyFont="1" applyBorder="1" applyAlignment="1">
      <alignment horizontal="justify" vertical="center" wrapText="1"/>
    </xf>
    <xf numFmtId="0" fontId="58" fillId="0" borderId="171" xfId="0" applyFont="1" applyBorder="1" applyAlignment="1">
      <alignment horizontal="left" vertical="center" wrapText="1"/>
    </xf>
    <xf numFmtId="0" fontId="145" fillId="0" borderId="71" xfId="0" applyFont="1" applyBorder="1" applyAlignment="1">
      <alignment vertical="top" wrapText="1"/>
    </xf>
    <xf numFmtId="0" fontId="145" fillId="0" borderId="68" xfId="0" applyFont="1" applyBorder="1" applyAlignment="1">
      <alignment vertical="top" wrapText="1"/>
    </xf>
    <xf numFmtId="0" fontId="149" fillId="0" borderId="71" xfId="0" applyFont="1" applyBorder="1" applyAlignment="1">
      <alignment horizontal="center" vertical="top" wrapText="1"/>
    </xf>
    <xf numFmtId="0" fontId="149" fillId="0" borderId="68" xfId="0" applyFont="1" applyBorder="1" applyAlignment="1">
      <alignment horizontal="center" vertical="top" wrapText="1"/>
    </xf>
    <xf numFmtId="0" fontId="156" fillId="0" borderId="71" xfId="0" applyFont="1" applyBorder="1" applyAlignment="1">
      <alignment horizontal="center" vertical="top" wrapText="1"/>
    </xf>
    <xf numFmtId="0" fontId="156" fillId="0" borderId="68" xfId="0" applyFont="1" applyBorder="1" applyAlignment="1">
      <alignment horizontal="center" vertical="top" wrapText="1"/>
    </xf>
    <xf numFmtId="0" fontId="177" fillId="0" borderId="171" xfId="0" applyFont="1" applyBorder="1" applyAlignment="1">
      <alignment horizontal="left" vertical="center" wrapText="1"/>
    </xf>
    <xf numFmtId="0" fontId="145" fillId="0" borderId="73" xfId="0" applyFont="1" applyBorder="1" applyAlignment="1">
      <alignment vertical="top" wrapText="1"/>
    </xf>
    <xf numFmtId="0" fontId="145" fillId="0" borderId="74" xfId="0" applyFont="1" applyBorder="1" applyAlignment="1">
      <alignment vertical="top" wrapText="1"/>
    </xf>
    <xf numFmtId="0" fontId="145" fillId="0" borderId="75" xfId="0" applyFont="1" applyBorder="1" applyAlignment="1">
      <alignment vertical="top" wrapText="1"/>
    </xf>
    <xf numFmtId="0" fontId="138" fillId="0" borderId="73" xfId="0" applyFont="1" applyBorder="1" applyAlignment="1">
      <alignment horizontal="center" vertical="top" wrapText="1"/>
    </xf>
    <xf numFmtId="0" fontId="138" fillId="0" borderId="74" xfId="0" applyFont="1" applyBorder="1" applyAlignment="1">
      <alignment horizontal="center" vertical="top" wrapText="1"/>
    </xf>
    <xf numFmtId="0" fontId="138" fillId="0" borderId="75" xfId="0" applyFont="1" applyBorder="1" applyAlignment="1">
      <alignment horizontal="center" vertical="top" wrapText="1"/>
    </xf>
    <xf numFmtId="0" fontId="156" fillId="0" borderId="73" xfId="0" applyFont="1" applyBorder="1" applyAlignment="1">
      <alignment horizontal="center" vertical="top" wrapText="1"/>
    </xf>
    <xf numFmtId="0" fontId="156" fillId="0" borderId="74" xfId="0" applyFont="1" applyBorder="1" applyAlignment="1">
      <alignment horizontal="center" vertical="top" wrapText="1"/>
    </xf>
    <xf numFmtId="0" fontId="156" fillId="0" borderId="75" xfId="0" applyFont="1" applyBorder="1" applyAlignment="1">
      <alignment horizontal="center" vertical="top" wrapText="1"/>
    </xf>
    <xf numFmtId="0" fontId="157" fillId="0" borderId="0" xfId="0" applyFont="1" applyAlignment="1">
      <alignment horizontal="left" vertical="center" wrapText="1"/>
    </xf>
    <xf numFmtId="0" fontId="137" fillId="0" borderId="0" xfId="0" applyFont="1" applyAlignment="1">
      <alignment horizontal="justify" vertical="center" wrapText="1"/>
    </xf>
    <xf numFmtId="0" fontId="138" fillId="0" borderId="0" xfId="0" applyFont="1" applyAlignment="1">
      <alignment horizontal="justify" vertical="center" wrapText="1"/>
    </xf>
    <xf numFmtId="0" fontId="180" fillId="0" borderId="0" xfId="0" applyFont="1" applyAlignment="1">
      <alignment horizontal="justify" vertical="center" wrapText="1"/>
    </xf>
    <xf numFmtId="0" fontId="30" fillId="0" borderId="0" xfId="0" applyFont="1" applyAlignment="1">
      <alignment horizontal="justify" vertical="center" wrapText="1"/>
    </xf>
    <xf numFmtId="0" fontId="181" fillId="0" borderId="0" xfId="0" applyFont="1" applyAlignment="1">
      <alignment horizontal="justify" vertical="center" wrapText="1"/>
    </xf>
    <xf numFmtId="0" fontId="137" fillId="0" borderId="0" xfId="0" applyFont="1" applyAlignment="1">
      <alignment horizontal="left" vertical="center" wrapText="1"/>
    </xf>
    <xf numFmtId="0" fontId="137" fillId="0" borderId="0" xfId="0" applyFont="1" applyAlignment="1">
      <alignment vertical="center" wrapText="1"/>
    </xf>
    <xf numFmtId="0" fontId="150" fillId="0" borderId="0" xfId="0" applyFont="1" applyAlignment="1">
      <alignment horizontal="justify" vertical="center" wrapText="1"/>
    </xf>
    <xf numFmtId="0" fontId="157" fillId="0" borderId="171" xfId="0" applyFont="1" applyBorder="1" applyAlignment="1">
      <alignment horizontal="left" vertical="center" wrapText="1"/>
    </xf>
    <xf numFmtId="0" fontId="137" fillId="0" borderId="0" xfId="0" applyFont="1" applyAlignment="1">
      <alignment horizontal="left" vertical="center" wrapText="1" indent="7"/>
    </xf>
    <xf numFmtId="0" fontId="150" fillId="0" borderId="171" xfId="0" applyFont="1" applyBorder="1" applyAlignment="1">
      <alignment horizontal="left" vertical="center" wrapText="1"/>
    </xf>
    <xf numFmtId="0" fontId="155" fillId="0" borderId="0" xfId="0" applyFont="1" applyAlignment="1">
      <alignment horizontal="justify" vertical="center" wrapText="1"/>
    </xf>
    <xf numFmtId="0" fontId="157" fillId="0" borderId="0" xfId="0" applyFont="1" applyAlignment="1">
      <alignment horizontal="left" vertical="center" wrapText="1" indent="2"/>
    </xf>
    <xf numFmtId="0" fontId="157" fillId="0" borderId="0" xfId="0" applyFont="1" applyAlignment="1">
      <alignment horizontal="justify" vertical="center" wrapText="1"/>
    </xf>
    <xf numFmtId="0" fontId="178" fillId="0" borderId="75" xfId="0" applyFont="1" applyBorder="1" applyAlignment="1">
      <alignment horizontal="left" vertical="top" wrapText="1"/>
    </xf>
    <xf numFmtId="0" fontId="155" fillId="0" borderId="0" xfId="0" applyFont="1" applyAlignment="1">
      <alignment horizontal="left" vertical="center" wrapText="1"/>
    </xf>
    <xf numFmtId="0" fontId="145" fillId="0" borderId="172" xfId="0" applyFont="1" applyBorder="1" applyAlignment="1">
      <alignment horizontal="left" vertical="top" wrapText="1"/>
    </xf>
    <xf numFmtId="0" fontId="106" fillId="0" borderId="0" xfId="0" applyFont="1" applyAlignment="1">
      <alignment vertical="center" wrapText="1"/>
    </xf>
    <xf numFmtId="0" fontId="63" fillId="0" borderId="0" xfId="0" applyFont="1" applyAlignment="1">
      <alignment horizontal="left" vertical="center" wrapText="1"/>
    </xf>
    <xf numFmtId="0" fontId="63" fillId="0" borderId="0" xfId="0" applyFont="1" applyAlignment="1">
      <alignment vertical="center" wrapText="1"/>
    </xf>
    <xf numFmtId="0" fontId="0" fillId="0" borderId="45" xfId="0" applyFill="1" applyBorder="1" applyAlignment="1">
      <alignment horizontal="center" vertical="center"/>
    </xf>
    <xf numFmtId="0" fontId="0" fillId="0" borderId="45" xfId="0" applyBorder="1" applyAlignment="1">
      <alignment horizontal="center" vertical="center"/>
    </xf>
    <xf numFmtId="0" fontId="0" fillId="10" borderId="45" xfId="0" applyFill="1" applyBorder="1" applyAlignment="1">
      <alignment horizontal="center" vertical="center" wrapText="1"/>
    </xf>
    <xf numFmtId="0" fontId="50" fillId="10" borderId="45" xfId="0" applyFont="1" applyFill="1" applyBorder="1" applyAlignment="1">
      <alignment horizontal="center" vertical="center" wrapText="1"/>
    </xf>
    <xf numFmtId="0" fontId="0" fillId="10" borderId="45" xfId="0" applyFill="1" applyBorder="1" applyAlignment="1">
      <alignment horizontal="center" vertical="center"/>
    </xf>
    <xf numFmtId="0" fontId="0" fillId="0" borderId="0" xfId="0" applyAlignment="1">
      <alignment horizontal="center" vertical="center"/>
    </xf>
    <xf numFmtId="0" fontId="63" fillId="0" borderId="45" xfId="0" applyFont="1" applyBorder="1" applyAlignment="1">
      <alignment vertical="center" wrapText="1"/>
    </xf>
    <xf numFmtId="0" fontId="63" fillId="0" borderId="45" xfId="0" applyFont="1" applyBorder="1" applyAlignment="1">
      <alignment horizontal="center" vertical="center" wrapText="1"/>
    </xf>
    <xf numFmtId="0" fontId="63" fillId="0" borderId="45" xfId="0" applyFont="1" applyBorder="1" applyAlignment="1">
      <alignment horizontal="left" vertical="center" wrapText="1"/>
    </xf>
    <xf numFmtId="0" fontId="63" fillId="0" borderId="0" xfId="0" applyFont="1" applyAlignment="1">
      <alignment horizontal="center" vertical="center" wrapText="1"/>
    </xf>
    <xf numFmtId="0" fontId="63" fillId="0" borderId="45" xfId="0" applyFont="1" applyBorder="1" applyAlignment="1">
      <alignment vertical="center"/>
    </xf>
    <xf numFmtId="0" fontId="106" fillId="0" borderId="0" xfId="0" applyFont="1" applyAlignment="1">
      <alignment horizontal="center" vertical="center"/>
    </xf>
    <xf numFmtId="0" fontId="63" fillId="0" borderId="0" xfId="0" applyFont="1" applyAlignment="1">
      <alignment horizontal="center" vertical="center"/>
    </xf>
    <xf numFmtId="0" fontId="106" fillId="0" borderId="0" xfId="0" applyFont="1" applyAlignment="1">
      <alignment horizontal="left" vertical="center"/>
    </xf>
    <xf numFmtId="0" fontId="63" fillId="0" borderId="103" xfId="0" applyFont="1" applyBorder="1" applyAlignment="1">
      <alignment horizontal="left" vertical="top" wrapText="1"/>
    </xf>
    <xf numFmtId="0" fontId="63" fillId="0" borderId="96" xfId="0" applyFont="1" applyBorder="1" applyAlignment="1">
      <alignment horizontal="left" vertical="top" wrapText="1"/>
    </xf>
    <xf numFmtId="0" fontId="63" fillId="0" borderId="85" xfId="0" applyFont="1" applyBorder="1" applyAlignment="1">
      <alignment horizontal="left" vertical="top" wrapText="1"/>
    </xf>
    <xf numFmtId="0" fontId="63" fillId="0" borderId="108" xfId="0" applyFont="1" applyBorder="1" applyAlignment="1">
      <alignment horizontal="left" vertical="top" wrapText="1"/>
    </xf>
    <xf numFmtId="0" fontId="63" fillId="0" borderId="0" xfId="0" applyFont="1" applyBorder="1" applyAlignment="1">
      <alignment horizontal="left" vertical="top" wrapText="1"/>
    </xf>
    <xf numFmtId="0" fontId="63" fillId="0" borderId="105" xfId="0" applyFont="1" applyBorder="1" applyAlignment="1">
      <alignment horizontal="left" vertical="top" wrapText="1"/>
    </xf>
    <xf numFmtId="0" fontId="63" fillId="0" borderId="104" xfId="0" applyFont="1" applyBorder="1" applyAlignment="1">
      <alignment horizontal="left" vertical="top" wrapText="1"/>
    </xf>
    <xf numFmtId="0" fontId="63" fillId="0" borderId="101" xfId="0" applyFont="1" applyBorder="1" applyAlignment="1">
      <alignment horizontal="left" vertical="top" wrapText="1"/>
    </xf>
    <xf numFmtId="0" fontId="63" fillId="0" borderId="97" xfId="0" applyFont="1" applyBorder="1" applyAlignment="1">
      <alignment horizontal="left" vertical="top" wrapText="1"/>
    </xf>
    <xf numFmtId="0" fontId="107" fillId="0" borderId="0" xfId="0" applyFont="1" applyAlignment="1">
      <alignment horizontal="center" vertical="center"/>
    </xf>
    <xf numFmtId="0" fontId="63" fillId="10" borderId="45" xfId="0" applyFont="1" applyFill="1" applyBorder="1" applyAlignment="1">
      <alignment horizontal="center" vertical="center"/>
    </xf>
    <xf numFmtId="0" fontId="0" fillId="0" borderId="45" xfId="0" applyBorder="1" applyAlignment="1">
      <alignment horizontal="center" vertical="center" wrapText="1"/>
    </xf>
    <xf numFmtId="0" fontId="108" fillId="10" borderId="0" xfId="0" applyFont="1" applyFill="1" applyAlignment="1">
      <alignment horizontal="center" vertical="center" wrapText="1"/>
    </xf>
    <xf numFmtId="0" fontId="0" fillId="0" borderId="0" xfId="0" applyAlignment="1">
      <alignment vertical="center" wrapText="1"/>
    </xf>
    <xf numFmtId="0" fontId="63" fillId="0" borderId="103" xfId="0" applyFont="1" applyBorder="1" applyAlignment="1">
      <alignment horizontal="left" vertical="top"/>
    </xf>
    <xf numFmtId="0" fontId="63" fillId="0" borderId="96" xfId="0" applyFont="1" applyBorder="1" applyAlignment="1">
      <alignment horizontal="left" vertical="top"/>
    </xf>
    <xf numFmtId="0" fontId="63" fillId="0" borderId="85" xfId="0" applyFont="1" applyBorder="1" applyAlignment="1">
      <alignment horizontal="left" vertical="top"/>
    </xf>
    <xf numFmtId="0" fontId="63" fillId="0" borderId="108" xfId="0" applyFont="1" applyBorder="1" applyAlignment="1">
      <alignment horizontal="left" vertical="top"/>
    </xf>
    <xf numFmtId="0" fontId="63" fillId="0" borderId="0" xfId="0" applyFont="1" applyBorder="1" applyAlignment="1">
      <alignment horizontal="left" vertical="top"/>
    </xf>
    <xf numFmtId="0" fontId="63" fillId="0" borderId="105" xfId="0" applyFont="1" applyBorder="1" applyAlignment="1">
      <alignment horizontal="left" vertical="top"/>
    </xf>
    <xf numFmtId="0" fontId="63" fillId="0" borderId="104" xfId="0" applyFont="1" applyBorder="1" applyAlignment="1">
      <alignment horizontal="left" vertical="top"/>
    </xf>
    <xf numFmtId="0" fontId="63" fillId="0" borderId="101" xfId="0" applyFont="1" applyBorder="1" applyAlignment="1">
      <alignment horizontal="left" vertical="top"/>
    </xf>
    <xf numFmtId="0" fontId="63" fillId="0" borderId="97" xfId="0" applyFont="1" applyBorder="1" applyAlignment="1">
      <alignment horizontal="left" vertical="top"/>
    </xf>
    <xf numFmtId="0" fontId="135" fillId="10" borderId="40" xfId="0" applyFont="1" applyFill="1" applyBorder="1" applyAlignment="1">
      <alignment horizontal="center" vertical="center" wrapText="1"/>
    </xf>
    <xf numFmtId="0" fontId="182" fillId="0" borderId="0" xfId="0" applyFont="1" applyBorder="1" applyAlignment="1">
      <alignment horizontal="center" vertical="center" wrapText="1"/>
    </xf>
    <xf numFmtId="0" fontId="142" fillId="0" borderId="0" xfId="0" applyFont="1" applyAlignment="1">
      <alignment horizontal="center" vertical="center" wrapText="1"/>
    </xf>
    <xf numFmtId="0" fontId="142" fillId="0" borderId="0" xfId="0" applyFont="1" applyAlignment="1">
      <alignment horizontal="justify" vertical="center" wrapText="1"/>
    </xf>
    <xf numFmtId="0" fontId="145" fillId="0" borderId="0" xfId="0" applyFont="1" applyAlignment="1">
      <alignment horizontal="left" vertical="center" wrapText="1"/>
    </xf>
    <xf numFmtId="0" fontId="156" fillId="0" borderId="0" xfId="0" applyFont="1" applyAlignment="1">
      <alignment horizontal="left" vertical="center" wrapText="1"/>
    </xf>
    <xf numFmtId="0" fontId="151" fillId="0" borderId="0" xfId="0" applyFont="1" applyAlignment="1">
      <alignment horizontal="left" vertical="center" wrapText="1"/>
    </xf>
    <xf numFmtId="0" fontId="151" fillId="0" borderId="0" xfId="0" applyFont="1" applyAlignment="1">
      <alignment horizontal="justify" vertical="center" wrapText="1"/>
    </xf>
    <xf numFmtId="0" fontId="145" fillId="0" borderId="0" xfId="0" applyFont="1" applyAlignment="1">
      <alignment horizontal="justify" vertical="center" wrapText="1"/>
    </xf>
    <xf numFmtId="0" fontId="149" fillId="0" borderId="50" xfId="0" applyFont="1" applyBorder="1" applyAlignment="1">
      <alignment horizontal="center" vertical="center" wrapText="1"/>
    </xf>
    <xf numFmtId="0" fontId="149" fillId="0" borderId="55" xfId="0" applyFont="1" applyBorder="1" applyAlignment="1">
      <alignment horizontal="center" vertical="center" wrapText="1"/>
    </xf>
    <xf numFmtId="0" fontId="149" fillId="0" borderId="32" xfId="0" applyFont="1" applyBorder="1" applyAlignment="1">
      <alignment horizontal="center" vertical="center" wrapText="1"/>
    </xf>
    <xf numFmtId="0" fontId="183" fillId="0" borderId="0" xfId="0" applyFont="1" applyBorder="1" applyAlignment="1">
      <alignment horizontal="center" vertical="center" wrapText="1"/>
    </xf>
    <xf numFmtId="0" fontId="180" fillId="0" borderId="0" xfId="0" applyFont="1" applyAlignment="1">
      <alignment vertical="center" wrapText="1"/>
    </xf>
    <xf numFmtId="0" fontId="184" fillId="7" borderId="0" xfId="0" applyFont="1" applyFill="1" applyAlignment="1">
      <alignment horizontal="left" vertical="center" wrapText="1"/>
    </xf>
    <xf numFmtId="0" fontId="140" fillId="10" borderId="0" xfId="0" applyFont="1" applyFill="1" applyBorder="1" applyAlignment="1">
      <alignment horizontal="center" vertical="center" wrapText="1"/>
    </xf>
    <xf numFmtId="0" fontId="183" fillId="0" borderId="187" xfId="0" applyFont="1" applyBorder="1" applyAlignment="1">
      <alignment horizontal="center" vertical="center" wrapText="1"/>
    </xf>
    <xf numFmtId="0" fontId="185" fillId="0" borderId="0" xfId="0" applyFont="1" applyAlignment="1">
      <alignment vertical="center" wrapText="1"/>
    </xf>
    <xf numFmtId="0" fontId="150" fillId="0" borderId="0" xfId="0" applyFont="1" applyAlignment="1">
      <alignment horizontal="center" vertical="center" wrapText="1"/>
    </xf>
    <xf numFmtId="0" fontId="138" fillId="0" borderId="0" xfId="0" applyFont="1" applyAlignment="1">
      <alignment horizontal="left" vertical="center" wrapText="1"/>
    </xf>
    <xf numFmtId="0" fontId="150" fillId="0" borderId="0" xfId="0" applyFont="1" applyAlignment="1">
      <alignment horizontal="left" vertical="center" wrapText="1"/>
    </xf>
    <xf numFmtId="0" fontId="186" fillId="7" borderId="0" xfId="0" applyFont="1" applyFill="1" applyAlignment="1">
      <alignment horizontal="left" vertical="center" wrapText="1"/>
    </xf>
    <xf numFmtId="0" fontId="187" fillId="7" borderId="0" xfId="0" applyFont="1" applyFill="1" applyAlignment="1">
      <alignment horizontal="left" vertical="top" wrapText="1"/>
    </xf>
    <xf numFmtId="0" fontId="188" fillId="10" borderId="120" xfId="0" applyFont="1" applyFill="1" applyBorder="1" applyAlignment="1">
      <alignment horizontal="center" vertical="center" wrapText="1"/>
    </xf>
    <xf numFmtId="0" fontId="188" fillId="10" borderId="118" xfId="0" applyFont="1" applyFill="1" applyBorder="1" applyAlignment="1">
      <alignment horizontal="center" vertical="center" wrapText="1"/>
    </xf>
    <xf numFmtId="0" fontId="188" fillId="10" borderId="41" xfId="0" applyFont="1" applyFill="1" applyBorder="1" applyAlignment="1">
      <alignment horizontal="center" vertical="center" wrapText="1"/>
    </xf>
    <xf numFmtId="0" fontId="138" fillId="10" borderId="40" xfId="0" applyFont="1" applyFill="1" applyBorder="1" applyAlignment="1">
      <alignment horizontal="center" vertical="center" wrapText="1"/>
    </xf>
    <xf numFmtId="0" fontId="136" fillId="10" borderId="40" xfId="0" applyFont="1" applyFill="1" applyBorder="1" applyAlignment="1">
      <alignment horizontal="center" vertical="center" wrapText="1"/>
    </xf>
    <xf numFmtId="0" fontId="136" fillId="10" borderId="40" xfId="0" applyFont="1" applyFill="1" applyBorder="1" applyAlignment="1">
      <alignment horizontal="center" wrapText="1"/>
    </xf>
    <xf numFmtId="0" fontId="138" fillId="0" borderId="70" xfId="0" applyFont="1" applyBorder="1" applyAlignment="1">
      <alignment horizontal="center" vertical="center" wrapText="1"/>
    </xf>
    <xf numFmtId="0" fontId="138" fillId="0" borderId="68" xfId="0" applyFont="1" applyBorder="1" applyAlignment="1">
      <alignment horizontal="center" vertical="center" wrapText="1"/>
    </xf>
    <xf numFmtId="0" fontId="136" fillId="0" borderId="68" xfId="0" applyFont="1" applyBorder="1" applyAlignment="1">
      <alignment horizontal="center" vertical="center" wrapText="1"/>
    </xf>
    <xf numFmtId="0" fontId="136" fillId="0" borderId="67" xfId="0" applyFont="1" applyBorder="1" applyAlignment="1">
      <alignment horizontal="center" vertical="center" wrapText="1"/>
    </xf>
    <xf numFmtId="0" fontId="189" fillId="0" borderId="68" xfId="0" applyFont="1" applyBorder="1" applyAlignment="1">
      <alignment horizontal="center" vertical="center" wrapText="1"/>
    </xf>
    <xf numFmtId="0" fontId="189" fillId="0" borderId="67" xfId="0" applyFont="1" applyBorder="1" applyAlignment="1">
      <alignment horizontal="center" vertical="center" wrapText="1"/>
    </xf>
    <xf numFmtId="0" fontId="188" fillId="10" borderId="175" xfId="0" applyFont="1" applyFill="1" applyBorder="1" applyAlignment="1">
      <alignment horizontal="center" vertical="center" wrapText="1"/>
    </xf>
    <xf numFmtId="0" fontId="138" fillId="10" borderId="175" xfId="0" applyFont="1" applyFill="1" applyBorder="1" applyAlignment="1">
      <alignment horizontal="center" vertical="center" wrapText="1"/>
    </xf>
    <xf numFmtId="0" fontId="138" fillId="10" borderId="41" xfId="0" applyFont="1" applyFill="1" applyBorder="1" applyAlignment="1">
      <alignment horizontal="center" vertical="center" wrapText="1"/>
    </xf>
    <xf numFmtId="0" fontId="136" fillId="10" borderId="120" xfId="0" applyFont="1" applyFill="1" applyBorder="1" applyAlignment="1">
      <alignment horizontal="center" vertical="center" wrapText="1"/>
    </xf>
    <xf numFmtId="0" fontId="136" fillId="10" borderId="41" xfId="0" applyFont="1" applyFill="1" applyBorder="1" applyAlignment="1">
      <alignment horizontal="center" vertical="center" wrapText="1"/>
    </xf>
    <xf numFmtId="0" fontId="136" fillId="10" borderId="175" xfId="0" applyFont="1" applyFill="1" applyBorder="1" applyAlignment="1">
      <alignment horizontal="center" wrapText="1"/>
    </xf>
    <xf numFmtId="0" fontId="136" fillId="10" borderId="41" xfId="0" applyFont="1" applyFill="1" applyBorder="1" applyAlignment="1">
      <alignment horizontal="center" wrapText="1"/>
    </xf>
    <xf numFmtId="0" fontId="138" fillId="10" borderId="120" xfId="0" applyFont="1" applyFill="1" applyBorder="1" applyAlignment="1">
      <alignment horizontal="center" vertical="center" wrapText="1"/>
    </xf>
    <xf numFmtId="0" fontId="137" fillId="0" borderId="71" xfId="0" applyFont="1" applyBorder="1" applyAlignment="1">
      <alignment horizontal="justify" vertical="center" wrapText="1"/>
    </xf>
    <xf numFmtId="0" fontId="137" fillId="0" borderId="70" xfId="0" applyFont="1" applyBorder="1" applyAlignment="1">
      <alignment horizontal="justify" vertical="center" wrapText="1"/>
    </xf>
    <xf numFmtId="0" fontId="137" fillId="0" borderId="68" xfId="0" applyFont="1" applyBorder="1" applyAlignment="1">
      <alignment horizontal="justify" vertical="center" wrapText="1"/>
    </xf>
    <xf numFmtId="0" fontId="137" fillId="0" borderId="176" xfId="0" applyFont="1" applyBorder="1" applyAlignment="1">
      <alignment horizontal="justify" vertical="center" wrapText="1"/>
    </xf>
    <xf numFmtId="0" fontId="137" fillId="0" borderId="72" xfId="0" applyFont="1" applyBorder="1" applyAlignment="1">
      <alignment horizontal="justify" vertical="center" wrapText="1"/>
    </xf>
    <xf numFmtId="0" fontId="142" fillId="0" borderId="71" xfId="0" applyFont="1" applyBorder="1" applyAlignment="1">
      <alignment horizontal="center" vertical="center" wrapText="1"/>
    </xf>
    <xf numFmtId="0" fontId="142" fillId="0" borderId="68" xfId="0" applyFont="1" applyBorder="1" applyAlignment="1">
      <alignment horizontal="center" vertical="center" wrapText="1"/>
    </xf>
    <xf numFmtId="0" fontId="190" fillId="0" borderId="0" xfId="0" applyFont="1" applyAlignment="1">
      <alignment horizontal="center" vertical="center" wrapText="1"/>
    </xf>
    <xf numFmtId="0" fontId="137" fillId="0" borderId="176" xfId="0" applyFont="1" applyBorder="1" applyAlignment="1">
      <alignment vertical="center" wrapText="1"/>
    </xf>
    <xf numFmtId="0" fontId="137" fillId="0" borderId="72" xfId="0" applyFont="1" applyBorder="1" applyAlignment="1">
      <alignment vertical="center" wrapText="1"/>
    </xf>
    <xf numFmtId="0" fontId="138" fillId="0" borderId="0" xfId="0" applyFont="1" applyAlignment="1">
      <alignment vertical="center" wrapText="1"/>
    </xf>
    <xf numFmtId="0" fontId="138" fillId="0" borderId="71" xfId="0" applyFont="1" applyBorder="1" applyAlignment="1">
      <alignment horizontal="justify" vertical="center" wrapText="1"/>
    </xf>
    <xf numFmtId="0" fontId="138" fillId="0" borderId="68" xfId="0" applyFont="1" applyBorder="1" applyAlignment="1">
      <alignment horizontal="justify" vertical="center" wrapText="1"/>
    </xf>
    <xf numFmtId="0" fontId="141" fillId="0" borderId="71" xfId="0" applyFont="1" applyBorder="1" applyAlignment="1">
      <alignment horizontal="center" vertical="center" wrapText="1"/>
    </xf>
    <xf numFmtId="0" fontId="141" fillId="0" borderId="68" xfId="0" applyFont="1" applyBorder="1" applyAlignment="1">
      <alignment horizontal="center" vertical="center" wrapText="1"/>
    </xf>
    <xf numFmtId="0" fontId="0" fillId="0" borderId="84" xfId="0" applyBorder="1" applyAlignment="1">
      <alignment horizontal="center" vertical="center" wrapText="1"/>
    </xf>
    <xf numFmtId="0" fontId="0" fillId="0" borderId="106" xfId="0" applyBorder="1" applyAlignment="1">
      <alignment horizontal="center" vertical="center" wrapText="1"/>
    </xf>
    <xf numFmtId="0" fontId="0" fillId="0" borderId="98" xfId="0" applyBorder="1" applyAlignment="1">
      <alignment horizontal="center" vertical="center" wrapText="1"/>
    </xf>
    <xf numFmtId="0" fontId="10" fillId="0" borderId="0" xfId="0" applyFont="1" applyAlignment="1">
      <alignment vertical="center" wrapText="1"/>
    </xf>
    <xf numFmtId="0" fontId="10" fillId="0" borderId="84" xfId="0" applyFont="1" applyBorder="1" applyAlignment="1">
      <alignment vertical="center" wrapText="1"/>
    </xf>
    <xf numFmtId="0" fontId="10" fillId="0" borderId="106" xfId="0" applyFont="1" applyBorder="1" applyAlignment="1">
      <alignment vertical="center" wrapText="1"/>
    </xf>
    <xf numFmtId="0" fontId="10" fillId="0" borderId="98" xfId="0" applyFont="1" applyBorder="1" applyAlignment="1">
      <alignment vertical="center" wrapText="1"/>
    </xf>
    <xf numFmtId="0" fontId="0" fillId="0" borderId="85" xfId="0" applyBorder="1" applyAlignment="1">
      <alignment horizontal="center" vertical="center" wrapText="1"/>
    </xf>
    <xf numFmtId="0" fontId="0" fillId="0" borderId="105" xfId="0" applyBorder="1" applyAlignment="1">
      <alignment horizontal="center" vertical="center" wrapText="1"/>
    </xf>
    <xf numFmtId="0" fontId="0" fillId="0" borderId="97" xfId="0" applyBorder="1" applyAlignment="1">
      <alignment horizontal="center" vertical="center" wrapText="1"/>
    </xf>
    <xf numFmtId="0" fontId="191" fillId="0" borderId="0" xfId="0" applyFont="1" applyAlignment="1">
      <alignment vertical="center" wrapText="1"/>
    </xf>
    <xf numFmtId="0" fontId="21" fillId="0" borderId="84" xfId="0" applyFont="1" applyBorder="1" applyAlignment="1">
      <alignment horizontal="left" vertical="center" wrapText="1"/>
    </xf>
    <xf numFmtId="0" fontId="21" fillId="0" borderId="106" xfId="0" applyFont="1" applyBorder="1" applyAlignment="1">
      <alignment horizontal="left" vertical="center" wrapText="1"/>
    </xf>
    <xf numFmtId="0" fontId="21" fillId="0" borderId="98" xfId="0" applyFont="1" applyBorder="1" applyAlignment="1">
      <alignment horizontal="left" vertical="center" wrapText="1"/>
    </xf>
    <xf numFmtId="0" fontId="168" fillId="0" borderId="0" xfId="0" applyFont="1" applyAlignment="1">
      <alignment vertical="center" wrapText="1"/>
    </xf>
    <xf numFmtId="0" fontId="21" fillId="7" borderId="40" xfId="0" applyFont="1" applyFill="1" applyBorder="1" applyAlignment="1">
      <alignment horizontal="center" vertical="center" wrapText="1"/>
    </xf>
    <xf numFmtId="0" fontId="21" fillId="7" borderId="40" xfId="0" applyFont="1" applyFill="1" applyBorder="1" applyAlignment="1">
      <alignment horizontal="center" vertical="center"/>
    </xf>
    <xf numFmtId="0" fontId="170" fillId="0" borderId="0" xfId="0" applyFont="1" applyAlignment="1">
      <alignment vertical="center" wrapText="1"/>
    </xf>
    <xf numFmtId="0" fontId="0" fillId="0" borderId="0" xfId="0" applyAlignment="1">
      <alignment horizontal="left" vertical="center" wrapText="1"/>
    </xf>
    <xf numFmtId="0" fontId="50" fillId="0" borderId="0" xfId="0" applyFont="1" applyAlignment="1">
      <alignment vertical="center" wrapText="1"/>
    </xf>
    <xf numFmtId="0" fontId="69" fillId="0" borderId="45" xfId="0" applyFont="1" applyBorder="1" applyAlignment="1">
      <alignment wrapText="1"/>
    </xf>
    <xf numFmtId="0" fontId="17" fillId="7" borderId="0" xfId="0" applyFont="1" applyFill="1" applyAlignment="1">
      <alignment horizontal="center"/>
    </xf>
    <xf numFmtId="0" fontId="0" fillId="0" borderId="45" xfId="0" applyBorder="1" applyAlignment="1">
      <alignment horizontal="center"/>
    </xf>
    <xf numFmtId="0" fontId="10" fillId="0" borderId="45" xfId="0" applyFont="1" applyBorder="1" applyAlignment="1"/>
    <xf numFmtId="0" fontId="0" fillId="0" borderId="45" xfId="0" applyBorder="1" applyAlignment="1"/>
    <xf numFmtId="0" fontId="10" fillId="0" borderId="45" xfId="0" applyFont="1" applyBorder="1" applyAlignment="1">
      <alignment horizontal="left" wrapText="1"/>
    </xf>
    <xf numFmtId="0" fontId="0" fillId="0" borderId="45" xfId="0" applyBorder="1" applyAlignment="1">
      <alignment horizontal="left" wrapText="1"/>
    </xf>
    <xf numFmtId="0" fontId="10" fillId="0" borderId="45" xfId="0" applyFont="1" applyBorder="1" applyAlignment="1">
      <alignment horizontal="left" vertical="top" wrapText="1"/>
    </xf>
    <xf numFmtId="0" fontId="0" fillId="0" borderId="45" xfId="0" applyBorder="1" applyAlignment="1">
      <alignment horizontal="left" vertical="top" wrapText="1"/>
    </xf>
    <xf numFmtId="0" fontId="0" fillId="0" borderId="100" xfId="0" applyBorder="1" applyAlignment="1">
      <alignment horizontal="center"/>
    </xf>
    <xf numFmtId="0" fontId="0" fillId="0" borderId="102" xfId="0" applyBorder="1" applyAlignment="1">
      <alignment horizontal="center"/>
    </xf>
    <xf numFmtId="0" fontId="0" fillId="0" borderId="83" xfId="0" applyBorder="1" applyAlignment="1">
      <alignment horizontal="center"/>
    </xf>
    <xf numFmtId="0" fontId="0" fillId="0" borderId="84" xfId="0" applyBorder="1" applyAlignment="1">
      <alignment horizontal="left" vertical="top" wrapText="1"/>
    </xf>
    <xf numFmtId="0" fontId="0" fillId="0" borderId="106" xfId="0" applyBorder="1" applyAlignment="1">
      <alignment horizontal="left" vertical="top" wrapText="1"/>
    </xf>
    <xf numFmtId="0" fontId="0" fillId="0" borderId="98" xfId="0" applyBorder="1" applyAlignment="1">
      <alignment horizontal="left" vertical="top" wrapText="1"/>
    </xf>
    <xf numFmtId="0" fontId="17" fillId="10" borderId="0" xfId="0" applyFont="1" applyFill="1" applyAlignment="1">
      <alignment horizontal="center"/>
    </xf>
    <xf numFmtId="3" fontId="0" fillId="0" borderId="45" xfId="0" applyNumberFormat="1" applyBorder="1" applyAlignment="1">
      <alignment horizontal="center" vertical="center"/>
    </xf>
    <xf numFmtId="0" fontId="22" fillId="7" borderId="40" xfId="0" applyFont="1" applyFill="1" applyBorder="1" applyAlignment="1">
      <alignment horizontal="center" vertical="center" wrapText="1"/>
    </xf>
    <xf numFmtId="0" fontId="21" fillId="7" borderId="50" xfId="0" applyFont="1" applyFill="1" applyBorder="1" applyAlignment="1">
      <alignment horizontal="center" vertical="center"/>
    </xf>
    <xf numFmtId="0" fontId="21" fillId="7" borderId="55" xfId="0" applyFont="1" applyFill="1" applyBorder="1" applyAlignment="1">
      <alignment horizontal="center" vertical="center"/>
    </xf>
    <xf numFmtId="0" fontId="21" fillId="7" borderId="32" xfId="0" applyFont="1" applyFill="1" applyBorder="1" applyAlignment="1">
      <alignment horizontal="center" vertical="center"/>
    </xf>
    <xf numFmtId="0" fontId="0" fillId="0" borderId="45" xfId="0" applyBorder="1" applyAlignment="1">
      <alignment horizontal="left" vertical="top"/>
    </xf>
    <xf numFmtId="0" fontId="0" fillId="0" borderId="98" xfId="0" applyBorder="1" applyAlignment="1">
      <alignment horizontal="center" vertical="top"/>
    </xf>
    <xf numFmtId="0" fontId="17" fillId="0" borderId="0" xfId="0" applyFont="1" applyAlignment="1">
      <alignment horizontal="left"/>
    </xf>
    <xf numFmtId="0" fontId="17" fillId="0" borderId="0" xfId="0" applyFont="1"/>
    <xf numFmtId="0" fontId="0" fillId="0" borderId="84" xfId="0" applyBorder="1" applyAlignment="1">
      <alignment horizontal="center"/>
    </xf>
    <xf numFmtId="0" fontId="22" fillId="7" borderId="40" xfId="0" applyFont="1" applyFill="1" applyBorder="1" applyAlignment="1">
      <alignment horizontal="center" vertical="center"/>
    </xf>
    <xf numFmtId="0" fontId="0" fillId="0" borderId="45" xfId="0" applyBorder="1" applyAlignment="1">
      <alignment vertical="top" wrapText="1"/>
    </xf>
    <xf numFmtId="0" fontId="10" fillId="0" borderId="45" xfId="0" applyFont="1" applyBorder="1" applyAlignment="1">
      <alignment vertical="top" wrapText="1"/>
    </xf>
    <xf numFmtId="0" fontId="0" fillId="0" borderId="45" xfId="0" applyBorder="1"/>
    <xf numFmtId="0" fontId="0" fillId="0" borderId="45" xfId="0" applyBorder="1" applyAlignment="1">
      <alignment horizontal="center" vertical="top"/>
    </xf>
    <xf numFmtId="0" fontId="76" fillId="7" borderId="40" xfId="0" applyFont="1" applyFill="1" applyBorder="1" applyAlignment="1">
      <alignment horizontal="center" vertical="center" wrapText="1"/>
    </xf>
    <xf numFmtId="0" fontId="0" fillId="0" borderId="45" xfId="0" applyBorder="1" applyAlignment="1">
      <alignment wrapText="1"/>
    </xf>
    <xf numFmtId="0" fontId="0" fillId="0" borderId="45" xfId="0" applyBorder="1" applyAlignment="1">
      <alignment horizontal="left"/>
    </xf>
    <xf numFmtId="0" fontId="17" fillId="10" borderId="0" xfId="0" applyFont="1" applyFill="1" applyAlignment="1">
      <alignment horizontal="center" wrapText="1"/>
    </xf>
    <xf numFmtId="0" fontId="0" fillId="0" borderId="45" xfId="0" applyNumberFormat="1" applyBorder="1" applyAlignment="1">
      <alignment wrapText="1"/>
    </xf>
    <xf numFmtId="0" fontId="21" fillId="0" borderId="84" xfId="0" applyFont="1" applyBorder="1" applyAlignment="1">
      <alignment horizontal="center" vertical="center" wrapText="1"/>
    </xf>
    <xf numFmtId="0" fontId="21" fillId="0" borderId="106" xfId="0" applyFont="1" applyBorder="1" applyAlignment="1">
      <alignment horizontal="center" vertical="center" wrapText="1"/>
    </xf>
    <xf numFmtId="0" fontId="21" fillId="0" borderId="98" xfId="0" applyFont="1" applyBorder="1" applyAlignment="1">
      <alignment horizontal="center" vertical="center" wrapText="1"/>
    </xf>
    <xf numFmtId="0" fontId="0" fillId="0" borderId="84" xfId="0" applyBorder="1" applyAlignment="1">
      <alignment vertical="center" wrapText="1"/>
    </xf>
    <xf numFmtId="0" fontId="0" fillId="0" borderId="106" xfId="0" applyBorder="1" applyAlignment="1">
      <alignment vertical="center" wrapText="1"/>
    </xf>
    <xf numFmtId="0" fontId="0" fillId="0" borderId="98" xfId="0" applyBorder="1" applyAlignment="1">
      <alignment vertical="center" wrapText="1"/>
    </xf>
    <xf numFmtId="0" fontId="0" fillId="0" borderId="103" xfId="0" applyBorder="1" applyAlignment="1">
      <alignment vertical="center" wrapText="1"/>
    </xf>
    <xf numFmtId="0" fontId="0" fillId="0" borderId="96" xfId="0" applyBorder="1" applyAlignment="1">
      <alignment vertical="center" wrapText="1"/>
    </xf>
    <xf numFmtId="0" fontId="0" fillId="0" borderId="85" xfId="0" applyBorder="1" applyAlignment="1">
      <alignment vertical="center" wrapText="1"/>
    </xf>
    <xf numFmtId="0" fontId="0" fillId="0" borderId="103" xfId="0" applyBorder="1" applyAlignment="1">
      <alignment horizontal="center" vertical="center" wrapText="1"/>
    </xf>
    <xf numFmtId="0" fontId="0" fillId="0" borderId="108" xfId="0" applyBorder="1" applyAlignment="1">
      <alignment horizontal="center" vertical="center" wrapText="1"/>
    </xf>
    <xf numFmtId="0" fontId="0" fillId="0" borderId="104" xfId="0" applyBorder="1" applyAlignment="1">
      <alignment horizontal="center" vertical="center" wrapText="1"/>
    </xf>
    <xf numFmtId="0" fontId="21" fillId="0" borderId="84" xfId="0" applyFont="1" applyBorder="1" applyAlignment="1">
      <alignment vertical="center" wrapText="1"/>
    </xf>
    <xf numFmtId="0" fontId="21" fillId="0" borderId="106" xfId="0" applyFont="1" applyBorder="1" applyAlignment="1">
      <alignment vertical="center" wrapText="1"/>
    </xf>
    <xf numFmtId="0" fontId="21" fillId="0" borderId="98" xfId="0" applyFont="1" applyBorder="1" applyAlignment="1">
      <alignment vertical="center" wrapText="1"/>
    </xf>
    <xf numFmtId="0" fontId="0" fillId="0" borderId="84" xfId="0" applyBorder="1" applyAlignment="1">
      <alignment horizontal="left" vertical="center" wrapText="1"/>
    </xf>
    <xf numFmtId="0" fontId="0" fillId="0" borderId="106" xfId="0" applyBorder="1" applyAlignment="1">
      <alignment horizontal="left" vertical="center" wrapText="1"/>
    </xf>
    <xf numFmtId="0" fontId="0" fillId="0" borderId="98" xfId="0" applyBorder="1" applyAlignment="1">
      <alignment horizontal="left" vertical="center" wrapText="1"/>
    </xf>
    <xf numFmtId="0" fontId="0" fillId="0" borderId="100" xfId="0" applyBorder="1" applyAlignment="1">
      <alignment horizontal="center" vertical="center" wrapText="1"/>
    </xf>
    <xf numFmtId="0" fontId="0" fillId="0" borderId="102" xfId="0" applyBorder="1" applyAlignment="1">
      <alignment horizontal="center" vertical="center" wrapText="1"/>
    </xf>
    <xf numFmtId="0" fontId="0" fillId="0" borderId="96" xfId="0" applyBorder="1" applyAlignment="1">
      <alignment horizontal="center" vertical="center" wrapText="1"/>
    </xf>
    <xf numFmtId="0" fontId="0" fillId="0" borderId="0" xfId="0" applyBorder="1" applyAlignment="1">
      <alignment horizontal="center" vertical="center" wrapText="1"/>
    </xf>
    <xf numFmtId="0" fontId="0" fillId="0" borderId="101" xfId="0" applyBorder="1" applyAlignment="1">
      <alignment horizontal="center" vertical="center" wrapText="1"/>
    </xf>
    <xf numFmtId="0" fontId="0" fillId="0" borderId="45" xfId="0" applyBorder="1" applyAlignment="1">
      <alignment vertical="center" wrapText="1"/>
    </xf>
    <xf numFmtId="0" fontId="21" fillId="0" borderId="45" xfId="0" applyFont="1" applyBorder="1" applyAlignment="1">
      <alignment vertical="center" wrapText="1"/>
    </xf>
    <xf numFmtId="0" fontId="21" fillId="0" borderId="45" xfId="0" applyFont="1" applyBorder="1" applyAlignment="1">
      <alignment horizontal="left" vertical="center" wrapText="1"/>
    </xf>
    <xf numFmtId="0" fontId="10" fillId="0" borderId="84" xfId="0" applyFont="1" applyBorder="1" applyAlignment="1">
      <alignment horizontal="left" vertical="center" wrapText="1"/>
    </xf>
    <xf numFmtId="0" fontId="10" fillId="0" borderId="106" xfId="0" applyFont="1" applyBorder="1" applyAlignment="1">
      <alignment horizontal="left" vertical="center" wrapText="1"/>
    </xf>
    <xf numFmtId="0" fontId="10" fillId="0" borderId="98" xfId="0" applyFont="1" applyBorder="1" applyAlignment="1">
      <alignment horizontal="left" vertical="center" wrapText="1"/>
    </xf>
    <xf numFmtId="0" fontId="0" fillId="0" borderId="83" xfId="0" applyBorder="1" applyAlignment="1">
      <alignment horizontal="center" vertical="center" wrapText="1"/>
    </xf>
    <xf numFmtId="0" fontId="68" fillId="10" borderId="0" xfId="0" applyFont="1" applyFill="1" applyAlignment="1">
      <alignment horizontal="center" vertical="center" wrapText="1"/>
    </xf>
    <xf numFmtId="0" fontId="0" fillId="0" borderId="0" xfId="0"/>
    <xf numFmtId="0" fontId="168" fillId="0" borderId="45" xfId="0" applyFont="1" applyBorder="1" applyAlignment="1">
      <alignment vertical="center" wrapText="1"/>
    </xf>
    <xf numFmtId="0" fontId="10" fillId="0" borderId="45" xfId="0" applyFont="1" applyBorder="1" applyAlignment="1">
      <alignment vertical="center" wrapText="1"/>
    </xf>
    <xf numFmtId="0" fontId="10" fillId="0" borderId="84" xfId="0" applyFont="1" applyBorder="1" applyAlignment="1">
      <alignment horizontal="center" vertical="center" wrapText="1"/>
    </xf>
    <xf numFmtId="0" fontId="10" fillId="0" borderId="106" xfId="0" applyFont="1" applyBorder="1" applyAlignment="1">
      <alignment horizontal="center" vertical="center" wrapText="1"/>
    </xf>
    <xf numFmtId="0" fontId="10" fillId="0" borderId="98" xfId="0" applyFont="1" applyBorder="1" applyAlignment="1">
      <alignment horizontal="center" vertical="center" wrapText="1"/>
    </xf>
    <xf numFmtId="0" fontId="0" fillId="0" borderId="0" xfId="0" applyAlignment="1">
      <alignment wrapText="1"/>
    </xf>
    <xf numFmtId="0" fontId="168" fillId="0" borderId="45" xfId="0" applyFont="1" applyBorder="1" applyAlignment="1">
      <alignment horizontal="center" wrapText="1"/>
    </xf>
    <xf numFmtId="0" fontId="17" fillId="10" borderId="20" xfId="0" applyFont="1" applyFill="1" applyBorder="1" applyAlignment="1">
      <alignment horizontal="center"/>
    </xf>
    <xf numFmtId="0" fontId="168" fillId="0" borderId="45" xfId="0" applyFont="1" applyBorder="1" applyAlignment="1">
      <alignment wrapText="1"/>
    </xf>
    <xf numFmtId="0" fontId="10" fillId="0" borderId="100" xfId="0" applyFont="1" applyBorder="1" applyAlignment="1">
      <alignment horizontal="center"/>
    </xf>
    <xf numFmtId="0" fontId="10" fillId="0" borderId="102" xfId="0" applyFont="1" applyBorder="1" applyAlignment="1">
      <alignment horizontal="center"/>
    </xf>
    <xf numFmtId="0" fontId="10" fillId="0" borderId="83" xfId="0" applyFont="1" applyBorder="1" applyAlignment="1">
      <alignment horizontal="center"/>
    </xf>
    <xf numFmtId="0" fontId="0" fillId="0" borderId="84" xfId="0" applyBorder="1" applyAlignment="1"/>
    <xf numFmtId="0" fontId="0" fillId="0" borderId="106" xfId="0" applyBorder="1" applyAlignment="1"/>
    <xf numFmtId="0" fontId="0" fillId="0" borderId="98" xfId="0" applyBorder="1" applyAlignment="1"/>
    <xf numFmtId="0" fontId="10" fillId="0" borderId="84" xfId="0" applyFont="1" applyBorder="1"/>
    <xf numFmtId="0" fontId="0" fillId="0" borderId="106" xfId="0" applyBorder="1"/>
    <xf numFmtId="0" fontId="0" fillId="0" borderId="98" xfId="0" applyBorder="1"/>
    <xf numFmtId="0" fontId="10" fillId="0" borderId="84" xfId="0" applyFont="1" applyBorder="1" applyAlignment="1"/>
    <xf numFmtId="0" fontId="69" fillId="0" borderId="45" xfId="0" applyFont="1" applyBorder="1" applyAlignment="1">
      <alignment horizontal="center" wrapText="1"/>
    </xf>
    <xf numFmtId="0" fontId="10" fillId="0" borderId="45" xfId="0" applyFont="1" applyBorder="1" applyAlignment="1">
      <alignment horizontal="center" wrapText="1"/>
    </xf>
    <xf numFmtId="0" fontId="0" fillId="0" borderId="45" xfId="0" applyBorder="1" applyAlignment="1">
      <alignment horizontal="center" wrapText="1"/>
    </xf>
    <xf numFmtId="0" fontId="0" fillId="10" borderId="0" xfId="0" applyFill="1" applyAlignment="1">
      <alignment vertical="center" wrapText="1"/>
    </xf>
    <xf numFmtId="0" fontId="10" fillId="0" borderId="0" xfId="0" applyFont="1" applyAlignment="1">
      <alignment wrapText="1"/>
    </xf>
    <xf numFmtId="0" fontId="68" fillId="10" borderId="20" xfId="0" applyFont="1" applyFill="1" applyBorder="1" applyAlignment="1">
      <alignment horizontal="center"/>
    </xf>
    <xf numFmtId="0" fontId="69" fillId="0" borderId="0" xfId="0" applyFont="1" applyAlignment="1">
      <alignment horizontal="center"/>
    </xf>
    <xf numFmtId="0" fontId="21" fillId="7" borderId="0" xfId="0" applyFont="1" applyFill="1" applyAlignment="1">
      <alignment horizontal="center"/>
    </xf>
    <xf numFmtId="0" fontId="68" fillId="10" borderId="0" xfId="0" applyFont="1" applyFill="1" applyAlignment="1">
      <alignment horizontal="center"/>
    </xf>
    <xf numFmtId="0" fontId="10" fillId="0" borderId="45" xfId="0" applyFont="1" applyBorder="1" applyAlignment="1">
      <alignment horizontal="center"/>
    </xf>
    <xf numFmtId="0" fontId="10" fillId="0" borderId="84" xfId="0" applyFont="1" applyBorder="1" applyAlignment="1">
      <alignment vertical="top" wrapText="1"/>
    </xf>
    <xf numFmtId="0" fontId="10" fillId="0" borderId="106" xfId="0" applyFont="1" applyBorder="1" applyAlignment="1">
      <alignment vertical="top" wrapText="1"/>
    </xf>
    <xf numFmtId="0" fontId="10" fillId="0" borderId="98" xfId="0" applyFont="1" applyBorder="1" applyAlignment="1">
      <alignment vertical="top" wrapText="1"/>
    </xf>
    <xf numFmtId="0" fontId="10" fillId="0" borderId="0" xfId="0" applyFont="1" applyAlignment="1">
      <alignment horizontal="left"/>
    </xf>
    <xf numFmtId="0" fontId="0" fillId="0" borderId="0" xfId="0" applyAlignment="1">
      <alignment horizontal="left"/>
    </xf>
    <xf numFmtId="0" fontId="0" fillId="0" borderId="0" xfId="0" applyAlignment="1">
      <alignment vertical="center"/>
    </xf>
    <xf numFmtId="0" fontId="69" fillId="0" borderId="0" xfId="0" applyFont="1" applyAlignment="1">
      <alignment vertical="center" wrapText="1"/>
    </xf>
    <xf numFmtId="0" fontId="192" fillId="0" borderId="0" xfId="0" applyFont="1" applyAlignment="1">
      <alignment vertical="center" wrapText="1"/>
    </xf>
    <xf numFmtId="0" fontId="168" fillId="8" borderId="0" xfId="0" applyFont="1" applyFill="1" applyAlignment="1">
      <alignment vertical="center" wrapText="1"/>
    </xf>
    <xf numFmtId="0" fontId="160" fillId="0" borderId="0" xfId="0" applyFont="1" applyAlignment="1">
      <alignment horizontal="center" vertical="top" wrapText="1"/>
    </xf>
    <xf numFmtId="0" fontId="0" fillId="0" borderId="0" xfId="0" applyAlignment="1">
      <alignment horizontal="center" vertical="center" wrapText="1"/>
    </xf>
    <xf numFmtId="0" fontId="168" fillId="0" borderId="0" xfId="0" applyFont="1" applyAlignment="1">
      <alignment horizontal="right" vertical="center" wrapText="1"/>
    </xf>
    <xf numFmtId="49" fontId="0" fillId="0" borderId="0" xfId="0" applyNumberFormat="1" applyAlignment="1">
      <alignment vertical="center" wrapText="1"/>
    </xf>
    <xf numFmtId="49" fontId="10" fillId="0" borderId="0" xfId="0" applyNumberFormat="1" applyFont="1" applyAlignment="1">
      <alignment vertical="center" wrapText="1"/>
    </xf>
    <xf numFmtId="0" fontId="10" fillId="0" borderId="0" xfId="0" applyFont="1" applyAlignment="1">
      <alignment horizontal="left" vertical="center" wrapText="1"/>
    </xf>
    <xf numFmtId="0" fontId="0" fillId="0" borderId="0" xfId="0" applyAlignment="1">
      <alignment horizontal="right" vertical="center" wrapText="1"/>
    </xf>
    <xf numFmtId="49" fontId="10" fillId="0" borderId="102" xfId="0" applyNumberFormat="1" applyFont="1" applyBorder="1" applyAlignment="1">
      <alignment horizontal="left" wrapText="1"/>
    </xf>
    <xf numFmtId="49" fontId="0" fillId="0" borderId="102" xfId="0" applyNumberFormat="1" applyBorder="1" applyAlignment="1">
      <alignment horizontal="left" vertical="center" wrapText="1"/>
    </xf>
    <xf numFmtId="49" fontId="0" fillId="0" borderId="83" xfId="0" applyNumberFormat="1" applyBorder="1" applyAlignment="1">
      <alignment horizontal="left" vertical="center" wrapText="1"/>
    </xf>
    <xf numFmtId="49" fontId="10" fillId="0" borderId="45" xfId="0" applyNumberFormat="1" applyFont="1" applyBorder="1" applyAlignment="1">
      <alignment vertical="center" wrapText="1"/>
    </xf>
    <xf numFmtId="49" fontId="0" fillId="0" borderId="45" xfId="0" applyNumberFormat="1" applyBorder="1" applyAlignment="1">
      <alignment vertical="center" wrapText="1"/>
    </xf>
    <xf numFmtId="49" fontId="10" fillId="0" borderId="45" xfId="0" applyNumberFormat="1" applyFont="1" applyBorder="1" applyAlignment="1">
      <alignment horizontal="left" vertical="center" wrapText="1"/>
    </xf>
    <xf numFmtId="49" fontId="0" fillId="0" borderId="45" xfId="0" applyNumberFormat="1" applyBorder="1" applyAlignment="1">
      <alignment horizontal="left" vertical="center" wrapText="1"/>
    </xf>
    <xf numFmtId="49" fontId="0" fillId="0" borderId="100" xfId="0" applyNumberFormat="1" applyBorder="1" applyAlignment="1">
      <alignment vertical="center" wrapText="1"/>
    </xf>
    <xf numFmtId="0" fontId="21" fillId="0" borderId="0" xfId="0" applyFont="1" applyAlignment="1">
      <alignment horizontal="center" vertical="top" wrapText="1"/>
    </xf>
    <xf numFmtId="0" fontId="21" fillId="0" borderId="45" xfId="0" applyFont="1" applyBorder="1" applyAlignment="1">
      <alignment horizontal="center" vertical="top" wrapText="1"/>
    </xf>
    <xf numFmtId="0" fontId="73" fillId="0" borderId="0" xfId="0" applyFont="1" applyAlignment="1">
      <alignment horizontal="center" wrapText="1"/>
    </xf>
    <xf numFmtId="0" fontId="73" fillId="0" borderId="0" xfId="0" applyFont="1" applyAlignment="1">
      <alignment horizontal="center" vertical="top" wrapText="1"/>
    </xf>
    <xf numFmtId="49" fontId="10" fillId="7" borderId="50" xfId="0" applyNumberFormat="1" applyFont="1" applyFill="1" applyBorder="1" applyAlignment="1">
      <alignment horizontal="center" vertical="center" wrapText="1"/>
    </xf>
    <xf numFmtId="49" fontId="10" fillId="7" borderId="55" xfId="0" applyNumberFormat="1" applyFont="1" applyFill="1" applyBorder="1" applyAlignment="1">
      <alignment horizontal="center" vertical="center" wrapText="1"/>
    </xf>
    <xf numFmtId="49" fontId="10" fillId="7" borderId="32" xfId="0" applyNumberFormat="1" applyFont="1" applyFill="1" applyBorder="1" applyAlignment="1">
      <alignment horizontal="center" vertical="center" wrapText="1"/>
    </xf>
    <xf numFmtId="0" fontId="50" fillId="7" borderId="40" xfId="0" applyFont="1" applyFill="1" applyBorder="1" applyAlignment="1">
      <alignment horizontal="center" vertical="center" wrapText="1"/>
    </xf>
    <xf numFmtId="0" fontId="21" fillId="0" borderId="100" xfId="0" applyFont="1" applyBorder="1" applyAlignment="1">
      <alignment horizontal="center" vertical="top" wrapText="1"/>
    </xf>
    <xf numFmtId="0" fontId="21" fillId="0" borderId="102" xfId="0" applyFont="1" applyBorder="1" applyAlignment="1">
      <alignment horizontal="center" vertical="top" wrapText="1"/>
    </xf>
    <xf numFmtId="0" fontId="21" fillId="0" borderId="83" xfId="0" applyFont="1" applyBorder="1" applyAlignment="1">
      <alignment horizontal="center" vertical="top" wrapText="1"/>
    </xf>
    <xf numFmtId="0" fontId="10" fillId="0" borderId="84" xfId="0" applyFont="1" applyBorder="1" applyAlignment="1">
      <alignment horizontal="left" vertical="top" wrapText="1"/>
    </xf>
    <xf numFmtId="0" fontId="10" fillId="0" borderId="106" xfId="0" applyFont="1" applyBorder="1" applyAlignment="1">
      <alignment horizontal="left" vertical="top" wrapText="1"/>
    </xf>
    <xf numFmtId="0" fontId="10" fillId="0" borderId="98" xfId="0" applyFont="1" applyBorder="1" applyAlignment="1">
      <alignment horizontal="left" vertical="top" wrapText="1"/>
    </xf>
    <xf numFmtId="49" fontId="10" fillId="0" borderId="84" xfId="0" applyNumberFormat="1" applyFont="1" applyBorder="1" applyAlignment="1">
      <alignment horizontal="left" vertical="center" wrapText="1"/>
    </xf>
    <xf numFmtId="49" fontId="10" fillId="0" borderId="106" xfId="0" applyNumberFormat="1" applyFont="1" applyBorder="1" applyAlignment="1">
      <alignment horizontal="left" vertical="center" wrapText="1"/>
    </xf>
    <xf numFmtId="49" fontId="10" fillId="0" borderId="98" xfId="0" applyNumberFormat="1" applyFont="1" applyBorder="1" applyAlignment="1">
      <alignment horizontal="left" vertical="center" wrapText="1"/>
    </xf>
    <xf numFmtId="49" fontId="10" fillId="0" borderId="84" xfId="0" applyNumberFormat="1" applyFont="1" applyBorder="1" applyAlignment="1">
      <alignment wrapText="1"/>
    </xf>
    <xf numFmtId="49" fontId="10" fillId="0" borderId="106" xfId="0" applyNumberFormat="1" applyFont="1" applyBorder="1" applyAlignment="1">
      <alignment wrapText="1"/>
    </xf>
    <xf numFmtId="49" fontId="10" fillId="0" borderId="98" xfId="0" applyNumberFormat="1" applyFont="1" applyBorder="1" applyAlignment="1">
      <alignment wrapText="1"/>
    </xf>
    <xf numFmtId="49" fontId="10" fillId="0" borderId="45" xfId="0" applyNumberFormat="1" applyFont="1" applyBorder="1" applyAlignment="1">
      <alignment horizontal="left"/>
    </xf>
    <xf numFmtId="49" fontId="0" fillId="0" borderId="45" xfId="0" applyNumberFormat="1" applyBorder="1" applyAlignment="1">
      <alignment horizontal="left"/>
    </xf>
    <xf numFmtId="0" fontId="21" fillId="0" borderId="103" xfId="0" applyFont="1" applyBorder="1" applyAlignment="1">
      <alignment horizontal="center" vertical="top" wrapText="1"/>
    </xf>
    <xf numFmtId="0" fontId="21" fillId="0" borderId="108" xfId="0" applyFont="1" applyBorder="1" applyAlignment="1">
      <alignment horizontal="center" vertical="top" wrapText="1"/>
    </xf>
    <xf numFmtId="0" fontId="21" fillId="0" borderId="104" xfId="0" applyFont="1" applyBorder="1" applyAlignment="1">
      <alignment horizontal="center" vertical="top" wrapText="1"/>
    </xf>
    <xf numFmtId="49" fontId="168" fillId="0" borderId="84" xfId="0" applyNumberFormat="1" applyFont="1" applyBorder="1" applyAlignment="1">
      <alignment vertical="center" wrapText="1"/>
    </xf>
    <xf numFmtId="49" fontId="168" fillId="0" borderId="106" xfId="0" applyNumberFormat="1" applyFont="1" applyBorder="1" applyAlignment="1">
      <alignment vertical="center" wrapText="1"/>
    </xf>
    <xf numFmtId="49" fontId="168" fillId="0" borderId="98" xfId="0" applyNumberFormat="1" applyFont="1" applyBorder="1" applyAlignment="1">
      <alignment vertical="center" wrapText="1"/>
    </xf>
    <xf numFmtId="0" fontId="168" fillId="0" borderId="84" xfId="0" applyFont="1" applyBorder="1" applyAlignment="1">
      <alignment vertical="center" wrapText="1"/>
    </xf>
    <xf numFmtId="0" fontId="168" fillId="0" borderId="106" xfId="0" applyFont="1" applyBorder="1" applyAlignment="1">
      <alignment vertical="center" wrapText="1"/>
    </xf>
    <xf numFmtId="0" fontId="168" fillId="0" borderId="98" xfId="0" applyFont="1" applyBorder="1" applyAlignment="1">
      <alignment vertical="center" wrapText="1"/>
    </xf>
    <xf numFmtId="0" fontId="0" fillId="0" borderId="96" xfId="0" applyBorder="1" applyAlignment="1">
      <alignment horizontal="center" vertical="top" wrapText="1"/>
    </xf>
    <xf numFmtId="0" fontId="168" fillId="0" borderId="96" xfId="0" applyFont="1" applyBorder="1" applyAlignment="1">
      <alignment horizontal="center" vertical="top" wrapText="1"/>
    </xf>
    <xf numFmtId="0" fontId="168" fillId="0" borderId="45" xfId="0" applyFont="1" applyBorder="1" applyAlignment="1">
      <alignment horizontal="center" vertical="center" wrapText="1"/>
    </xf>
    <xf numFmtId="0" fontId="10" fillId="0" borderId="45" xfId="0" applyFont="1" applyBorder="1" applyAlignment="1">
      <alignment horizontal="left" vertical="center" wrapText="1"/>
    </xf>
    <xf numFmtId="0" fontId="0" fillId="0" borderId="45" xfId="0" applyBorder="1" applyAlignment="1">
      <alignment horizontal="left" vertical="center" wrapText="1"/>
    </xf>
    <xf numFmtId="0" fontId="0" fillId="0" borderId="45" xfId="0" applyBorder="1" applyAlignment="1">
      <alignment horizontal="center" vertical="top" wrapText="1"/>
    </xf>
    <xf numFmtId="0" fontId="168" fillId="0" borderId="45" xfId="0" applyFont="1" applyBorder="1" applyAlignment="1">
      <alignment horizontal="left" vertical="center" wrapText="1"/>
    </xf>
    <xf numFmtId="0" fontId="170" fillId="0" borderId="100" xfId="0" applyFont="1" applyBorder="1" applyAlignment="1">
      <alignment horizontal="center" vertical="top" wrapText="1"/>
    </xf>
    <xf numFmtId="0" fontId="170" fillId="0" borderId="102" xfId="0" applyFont="1" applyBorder="1" applyAlignment="1">
      <alignment horizontal="center" vertical="top" wrapText="1"/>
    </xf>
    <xf numFmtId="0" fontId="170" fillId="0" borderId="83" xfId="0" applyFont="1" applyBorder="1" applyAlignment="1">
      <alignment horizontal="center" vertical="top" wrapText="1"/>
    </xf>
    <xf numFmtId="0" fontId="193" fillId="0" borderId="96" xfId="0" applyFont="1" applyBorder="1" applyAlignment="1">
      <alignment horizontal="center" vertical="top" wrapText="1"/>
    </xf>
    <xf numFmtId="0" fontId="0" fillId="0" borderId="0" xfId="0" applyAlignment="1">
      <alignment horizontal="center" vertical="top" wrapText="1"/>
    </xf>
    <xf numFmtId="0" fontId="10" fillId="0" borderId="83" xfId="0" applyFont="1" applyBorder="1" applyAlignment="1">
      <alignment vertical="center" wrapText="1"/>
    </xf>
    <xf numFmtId="0" fontId="0" fillId="0" borderId="83" xfId="0" applyBorder="1" applyAlignment="1">
      <alignment vertical="center" wrapText="1"/>
    </xf>
    <xf numFmtId="0" fontId="0" fillId="0" borderId="0" xfId="0" applyBorder="1" applyAlignment="1">
      <alignment horizontal="center" vertical="top" wrapText="1"/>
    </xf>
    <xf numFmtId="0" fontId="0" fillId="0" borderId="40" xfId="0" applyBorder="1" applyAlignment="1">
      <alignment horizontal="center" vertical="center" wrapText="1"/>
    </xf>
    <xf numFmtId="0" fontId="50" fillId="7" borderId="32" xfId="0" applyFont="1" applyFill="1" applyBorder="1" applyAlignment="1">
      <alignment horizontal="center" vertical="center" wrapText="1"/>
    </xf>
    <xf numFmtId="49" fontId="21" fillId="0" borderId="40" xfId="0" applyNumberFormat="1" applyFont="1" applyBorder="1" applyAlignment="1">
      <alignment horizontal="right" vertical="center" wrapText="1"/>
    </xf>
    <xf numFmtId="0" fontId="0" fillId="0" borderId="83" xfId="0" applyBorder="1" applyAlignment="1">
      <alignment horizontal="left" vertical="center" wrapText="1"/>
    </xf>
    <xf numFmtId="0" fontId="0" fillId="0" borderId="99" xfId="0" applyFill="1" applyBorder="1" applyAlignment="1">
      <alignment horizontal="center" vertical="top" wrapText="1"/>
    </xf>
    <xf numFmtId="49" fontId="10" fillId="0" borderId="83" xfId="0" applyNumberFormat="1" applyFont="1" applyBorder="1" applyAlignment="1">
      <alignment horizontal="center" vertical="center" wrapText="1"/>
    </xf>
    <xf numFmtId="49" fontId="0" fillId="0" borderId="83" xfId="0" applyNumberFormat="1" applyBorder="1" applyAlignment="1">
      <alignment horizontal="center" vertical="center" wrapText="1"/>
    </xf>
    <xf numFmtId="49" fontId="0" fillId="0" borderId="45" xfId="0" applyNumberFormat="1" applyBorder="1" applyAlignment="1">
      <alignment horizontal="center" vertical="center" wrapText="1"/>
    </xf>
    <xf numFmtId="0" fontId="10" fillId="0" borderId="177" xfId="0" applyFont="1" applyBorder="1" applyAlignment="1">
      <alignment wrapText="1"/>
    </xf>
    <xf numFmtId="0" fontId="10" fillId="0" borderId="178" xfId="0" applyFont="1" applyBorder="1" applyAlignment="1">
      <alignment wrapText="1"/>
    </xf>
    <xf numFmtId="0" fontId="10" fillId="0" borderId="107" xfId="0" applyFont="1" applyBorder="1" applyAlignment="1">
      <alignment wrapText="1"/>
    </xf>
    <xf numFmtId="0" fontId="10" fillId="0" borderId="83" xfId="0" applyFont="1" applyBorder="1" applyAlignment="1">
      <alignment horizontal="left" vertical="center" wrapText="1"/>
    </xf>
    <xf numFmtId="0" fontId="0" fillId="0" borderId="83" xfId="0" applyBorder="1" applyAlignment="1">
      <alignment horizontal="center" wrapText="1"/>
    </xf>
    <xf numFmtId="0" fontId="10" fillId="0" borderId="45" xfId="0" applyFont="1" applyBorder="1" applyAlignment="1">
      <alignment horizontal="center" vertical="center" wrapText="1"/>
    </xf>
    <xf numFmtId="0" fontId="0" fillId="0" borderId="108" xfId="0" applyBorder="1" applyAlignment="1">
      <alignment horizontal="center" wrapText="1"/>
    </xf>
    <xf numFmtId="0" fontId="0" fillId="0" borderId="85" xfId="0" applyBorder="1" applyAlignment="1">
      <alignment horizontal="center" wrapText="1"/>
    </xf>
    <xf numFmtId="0" fontId="0" fillId="0" borderId="105" xfId="0" applyBorder="1" applyAlignment="1">
      <alignment horizontal="center" wrapText="1"/>
    </xf>
    <xf numFmtId="0" fontId="0" fillId="0" borderId="104" xfId="0" applyBorder="1" applyAlignment="1">
      <alignment horizontal="center" wrapText="1"/>
    </xf>
    <xf numFmtId="0" fontId="0" fillId="0" borderId="97" xfId="0" applyBorder="1" applyAlignment="1">
      <alignment horizontal="center" wrapText="1"/>
    </xf>
    <xf numFmtId="0" fontId="21" fillId="0" borderId="0" xfId="0" applyFont="1" applyAlignment="1">
      <alignment horizontal="left" vertical="center" wrapText="1"/>
    </xf>
    <xf numFmtId="49" fontId="0" fillId="0" borderId="0" xfId="0" applyNumberFormat="1" applyAlignment="1">
      <alignment horizontal="left" vertical="center" wrapText="1"/>
    </xf>
    <xf numFmtId="0" fontId="0" fillId="0" borderId="102" xfId="0" applyBorder="1" applyAlignment="1">
      <alignment horizontal="left" vertical="center" wrapText="1"/>
    </xf>
    <xf numFmtId="0" fontId="10" fillId="0" borderId="0" xfId="0" applyFont="1" applyAlignment="1">
      <alignment horizontal="center" vertical="center" wrapText="1"/>
    </xf>
    <xf numFmtId="0" fontId="10" fillId="0" borderId="45" xfId="0" applyFont="1" applyBorder="1" applyAlignment="1">
      <alignment wrapText="1"/>
    </xf>
    <xf numFmtId="0" fontId="21" fillId="0" borderId="101" xfId="0" applyFont="1" applyBorder="1" applyAlignment="1">
      <alignment horizontal="left" vertical="center" wrapText="1"/>
    </xf>
    <xf numFmtId="49" fontId="0" fillId="0" borderId="83" xfId="0" applyNumberFormat="1" applyBorder="1" applyAlignment="1">
      <alignment vertical="center" wrapText="1"/>
    </xf>
    <xf numFmtId="49" fontId="0" fillId="0" borderId="96" xfId="0" applyNumberFormat="1" applyBorder="1" applyAlignment="1">
      <alignment horizontal="center" vertical="center" wrapText="1"/>
    </xf>
    <xf numFmtId="0" fontId="21" fillId="0" borderId="0" xfId="0" applyFont="1" applyBorder="1" applyAlignment="1">
      <alignment horizontal="left" vertical="center" wrapText="1"/>
    </xf>
    <xf numFmtId="49" fontId="0" fillId="0" borderId="83" xfId="0" applyNumberFormat="1" applyBorder="1" applyAlignment="1">
      <alignment wrapText="1"/>
    </xf>
    <xf numFmtId="0" fontId="17" fillId="0" borderId="0" xfId="0" applyFont="1" applyAlignment="1">
      <alignment horizontal="left" vertical="center" wrapText="1"/>
    </xf>
    <xf numFmtId="0" fontId="21" fillId="0" borderId="0" xfId="0" applyFont="1" applyAlignment="1">
      <alignment vertical="center" wrapText="1"/>
    </xf>
    <xf numFmtId="49" fontId="0" fillId="0" borderId="100" xfId="0" applyNumberFormat="1" applyBorder="1" applyAlignment="1">
      <alignment wrapText="1"/>
    </xf>
    <xf numFmtId="49" fontId="0" fillId="0" borderId="45" xfId="0" applyNumberFormat="1" applyBorder="1" applyAlignment="1">
      <alignment wrapText="1"/>
    </xf>
    <xf numFmtId="0" fontId="21" fillId="0" borderId="84" xfId="0" applyFont="1" applyBorder="1" applyAlignment="1">
      <alignment horizontal="center" vertical="top" wrapText="1"/>
    </xf>
    <xf numFmtId="0" fontId="0" fillId="0" borderId="98" xfId="0" applyBorder="1" applyAlignment="1">
      <alignment horizontal="right" vertical="center" wrapText="1"/>
    </xf>
    <xf numFmtId="0" fontId="68" fillId="0" borderId="0" xfId="0" applyFont="1" applyAlignment="1">
      <alignment horizontal="center" wrapText="1"/>
    </xf>
    <xf numFmtId="49" fontId="10" fillId="0" borderId="45" xfId="0" applyNumberFormat="1" applyFont="1" applyBorder="1" applyAlignment="1">
      <alignment horizontal="left" wrapText="1"/>
    </xf>
    <xf numFmtId="49" fontId="0" fillId="0" borderId="45" xfId="0" applyNumberFormat="1" applyBorder="1" applyAlignment="1">
      <alignment horizontal="left" wrapText="1"/>
    </xf>
    <xf numFmtId="0" fontId="0" fillId="0" borderId="100" xfId="0" applyBorder="1" applyAlignment="1">
      <alignment horizontal="left" vertical="center" wrapText="1"/>
    </xf>
    <xf numFmtId="0" fontId="0" fillId="0" borderId="0" xfId="0" applyAlignment="1">
      <alignment horizontal="left" wrapText="1"/>
    </xf>
    <xf numFmtId="0" fontId="21" fillId="0" borderId="0" xfId="0" applyFont="1" applyAlignment="1">
      <alignment horizontal="left" wrapText="1"/>
    </xf>
    <xf numFmtId="0" fontId="0" fillId="0" borderId="96" xfId="0" applyBorder="1" applyAlignment="1">
      <alignment horizontal="left" vertical="center" wrapText="1"/>
    </xf>
    <xf numFmtId="0" fontId="0" fillId="0" borderId="85" xfId="0" applyBorder="1" applyAlignment="1">
      <alignment horizontal="left" vertical="center" wrapText="1"/>
    </xf>
    <xf numFmtId="0" fontId="0" fillId="0" borderId="101" xfId="0" applyBorder="1" applyAlignment="1">
      <alignment horizontal="left" vertical="center" wrapText="1"/>
    </xf>
    <xf numFmtId="0" fontId="0" fillId="0" borderId="97" xfId="0" applyBorder="1" applyAlignment="1">
      <alignment horizontal="left" vertical="center" wrapText="1"/>
    </xf>
    <xf numFmtId="0" fontId="0" fillId="0" borderId="103" xfId="0" applyBorder="1" applyAlignment="1">
      <alignment horizontal="center" wrapText="1"/>
    </xf>
    <xf numFmtId="0" fontId="10" fillId="0" borderId="103" xfId="0" applyFont="1" applyBorder="1" applyAlignment="1">
      <alignment horizontal="center" wrapText="1"/>
    </xf>
    <xf numFmtId="0" fontId="10" fillId="0" borderId="85" xfId="0" applyFont="1" applyBorder="1" applyAlignment="1">
      <alignment horizontal="center" wrapText="1"/>
    </xf>
    <xf numFmtId="0" fontId="10" fillId="0" borderId="104" xfId="0" applyFont="1" applyBorder="1" applyAlignment="1">
      <alignment horizontal="center" wrapText="1"/>
    </xf>
    <xf numFmtId="0" fontId="10" fillId="0" borderId="97" xfId="0" applyFont="1" applyBorder="1" applyAlignment="1">
      <alignment horizontal="center" wrapText="1"/>
    </xf>
    <xf numFmtId="0" fontId="0" fillId="0" borderId="100" xfId="0" applyBorder="1" applyAlignment="1">
      <alignment horizontal="right" vertical="center" wrapText="1"/>
    </xf>
    <xf numFmtId="0" fontId="0" fillId="0" borderId="83" xfId="0" applyBorder="1" applyAlignment="1">
      <alignment horizontal="right" vertical="center" wrapText="1"/>
    </xf>
    <xf numFmtId="49" fontId="0" fillId="0" borderId="84" xfId="0" applyNumberFormat="1" applyBorder="1" applyAlignment="1">
      <alignment horizontal="left" vertical="center" wrapText="1"/>
    </xf>
    <xf numFmtId="49" fontId="0" fillId="0" borderId="106" xfId="0" applyNumberFormat="1" applyBorder="1" applyAlignment="1">
      <alignment horizontal="left" vertical="center" wrapText="1"/>
    </xf>
    <xf numFmtId="49" fontId="0" fillId="0" borderId="98" xfId="0" applyNumberFormat="1" applyBorder="1" applyAlignment="1">
      <alignment horizontal="left" vertical="center" wrapText="1"/>
    </xf>
    <xf numFmtId="0" fontId="0" fillId="7" borderId="118" xfId="0" applyFill="1" applyBorder="1" applyAlignment="1">
      <alignment horizontal="center" vertical="center" wrapText="1"/>
    </xf>
    <xf numFmtId="0" fontId="0" fillId="7" borderId="41" xfId="0" applyFill="1" applyBorder="1" applyAlignment="1">
      <alignment horizontal="center" vertical="center" wrapText="1"/>
    </xf>
    <xf numFmtId="0" fontId="0" fillId="0" borderId="0" xfId="0" applyAlignment="1">
      <alignment horizontal="center" wrapText="1"/>
    </xf>
    <xf numFmtId="0" fontId="21" fillId="7" borderId="40" xfId="0" applyFont="1" applyFill="1" applyBorder="1" applyAlignment="1">
      <alignment horizontal="center" vertical="top" wrapText="1"/>
    </xf>
    <xf numFmtId="0" fontId="0" fillId="7" borderId="50" xfId="0" applyFill="1" applyBorder="1" applyAlignment="1">
      <alignment horizontal="center" vertical="center" wrapText="1"/>
    </xf>
    <xf numFmtId="0" fontId="0" fillId="7" borderId="55" xfId="0" applyFill="1" applyBorder="1" applyAlignment="1">
      <alignment horizontal="center" vertical="center" wrapText="1"/>
    </xf>
    <xf numFmtId="0" fontId="0" fillId="7" borderId="161" xfId="0" applyFill="1" applyBorder="1" applyAlignment="1">
      <alignment horizontal="center" vertical="center" wrapText="1"/>
    </xf>
    <xf numFmtId="0" fontId="0" fillId="7" borderId="179" xfId="0" applyFill="1" applyBorder="1" applyAlignment="1">
      <alignment horizontal="center" vertical="center" wrapText="1"/>
    </xf>
    <xf numFmtId="0" fontId="0" fillId="7" borderId="2" xfId="0" applyFill="1" applyBorder="1" applyAlignment="1">
      <alignment horizontal="center" vertical="center" wrapText="1"/>
    </xf>
    <xf numFmtId="0" fontId="0" fillId="7" borderId="120" xfId="0" applyFill="1" applyBorder="1" applyAlignment="1">
      <alignment horizontal="center" vertical="center" wrapText="1"/>
    </xf>
    <xf numFmtId="0" fontId="10" fillId="0" borderId="0" xfId="0" applyFont="1" applyAlignment="1">
      <alignment horizontal="left" wrapText="1"/>
    </xf>
    <xf numFmtId="0" fontId="168" fillId="0" borderId="0" xfId="0" applyFont="1" applyAlignment="1">
      <alignment horizontal="left" wrapText="1"/>
    </xf>
    <xf numFmtId="0" fontId="0" fillId="7" borderId="0" xfId="0" applyFill="1" applyAlignment="1">
      <alignment horizontal="center" vertical="center" wrapText="1"/>
    </xf>
    <xf numFmtId="0" fontId="28" fillId="7" borderId="0" xfId="0" applyFont="1" applyFill="1" applyAlignment="1">
      <alignment horizontal="center" wrapText="1"/>
    </xf>
    <xf numFmtId="0" fontId="50" fillId="0" borderId="0" xfId="0" applyFont="1" applyAlignment="1">
      <alignment horizontal="left" vertical="center" wrapText="1"/>
    </xf>
    <xf numFmtId="0" fontId="170" fillId="0" borderId="0" xfId="0" applyFont="1" applyAlignment="1">
      <alignment horizontal="left" wrapText="1"/>
    </xf>
    <xf numFmtId="0" fontId="0" fillId="0" borderId="45" xfId="0" applyFill="1" applyBorder="1" applyAlignment="1">
      <alignment horizontal="center" vertical="center" wrapText="1"/>
    </xf>
    <xf numFmtId="0" fontId="0" fillId="0" borderId="84" xfId="0" applyFill="1" applyBorder="1" applyAlignment="1">
      <alignment horizontal="center" vertical="center" wrapText="1"/>
    </xf>
    <xf numFmtId="0" fontId="0" fillId="0" borderId="106" xfId="0" applyFill="1" applyBorder="1" applyAlignment="1">
      <alignment horizontal="center" vertical="center" wrapText="1"/>
    </xf>
    <xf numFmtId="0" fontId="0" fillId="0" borderId="98" xfId="0" applyFill="1" applyBorder="1" applyAlignment="1">
      <alignment horizontal="center" vertical="center" wrapText="1"/>
    </xf>
    <xf numFmtId="0" fontId="10" fillId="0" borderId="45" xfId="0" applyFont="1" applyFill="1" applyBorder="1" applyAlignment="1">
      <alignment horizontal="center" vertical="center" wrapText="1"/>
    </xf>
    <xf numFmtId="49" fontId="0" fillId="0" borderId="84" xfId="0" applyNumberFormat="1" applyBorder="1" applyAlignment="1">
      <alignment horizontal="center" vertical="center" wrapText="1"/>
    </xf>
    <xf numFmtId="49" fontId="50" fillId="0" borderId="45" xfId="0" applyNumberFormat="1" applyFont="1" applyBorder="1" applyAlignment="1">
      <alignment horizontal="left" vertical="center" wrapText="1"/>
    </xf>
    <xf numFmtId="49" fontId="50" fillId="0" borderId="84" xfId="0" applyNumberFormat="1" applyFont="1" applyBorder="1" applyAlignment="1">
      <alignment horizontal="left" vertical="center" wrapText="1"/>
    </xf>
    <xf numFmtId="0" fontId="0" fillId="0" borderId="103" xfId="0" applyFill="1" applyBorder="1" applyAlignment="1">
      <alignment horizontal="center" vertical="center" wrapText="1"/>
    </xf>
    <xf numFmtId="0" fontId="0" fillId="0" borderId="96" xfId="0" applyFill="1" applyBorder="1" applyAlignment="1">
      <alignment horizontal="center" vertical="center" wrapText="1"/>
    </xf>
    <xf numFmtId="0" fontId="0" fillId="0" borderId="85" xfId="0" applyFill="1" applyBorder="1" applyAlignment="1">
      <alignment horizontal="center" vertical="center" wrapText="1"/>
    </xf>
    <xf numFmtId="0" fontId="0" fillId="0" borderId="104" xfId="0" applyFill="1" applyBorder="1" applyAlignment="1">
      <alignment horizontal="center" vertical="center" wrapText="1"/>
    </xf>
    <xf numFmtId="0" fontId="0" fillId="0" borderId="101" xfId="0" applyFill="1" applyBorder="1" applyAlignment="1">
      <alignment horizontal="center" vertical="center" wrapText="1"/>
    </xf>
    <xf numFmtId="0" fontId="0" fillId="0" borderId="97" xfId="0" applyFill="1" applyBorder="1" applyAlignment="1">
      <alignment horizontal="center" vertical="center" wrapText="1"/>
    </xf>
    <xf numFmtId="0" fontId="0" fillId="0" borderId="104" xfId="0" applyBorder="1" applyAlignment="1">
      <alignment horizontal="left" vertical="center" wrapText="1"/>
    </xf>
    <xf numFmtId="0" fontId="21" fillId="0" borderId="0" xfId="0" applyFont="1" applyAlignment="1">
      <alignment horizontal="center" wrapText="1"/>
    </xf>
    <xf numFmtId="49" fontId="0" fillId="0" borderId="103" xfId="0" applyNumberFormat="1" applyBorder="1" applyAlignment="1">
      <alignment horizontal="left" vertical="center" wrapText="1"/>
    </xf>
    <xf numFmtId="49" fontId="0" fillId="0" borderId="96" xfId="0" applyNumberFormat="1" applyBorder="1" applyAlignment="1">
      <alignment horizontal="left" vertical="center" wrapText="1"/>
    </xf>
    <xf numFmtId="49" fontId="0" fillId="0" borderId="85" xfId="0" applyNumberFormat="1" applyBorder="1" applyAlignment="1">
      <alignment horizontal="left" vertical="center" wrapText="1"/>
    </xf>
    <xf numFmtId="49" fontId="0" fillId="0" borderId="104" xfId="0" applyNumberFormat="1" applyBorder="1" applyAlignment="1">
      <alignment horizontal="left" vertical="center" wrapText="1"/>
    </xf>
    <xf numFmtId="49" fontId="0" fillId="0" borderId="101" xfId="0" applyNumberFormat="1" applyBorder="1" applyAlignment="1">
      <alignment horizontal="left" vertical="center" wrapText="1"/>
    </xf>
    <xf numFmtId="49" fontId="0" fillId="0" borderId="97" xfId="0" applyNumberFormat="1" applyBorder="1" applyAlignment="1">
      <alignment horizontal="left" vertical="center" wrapText="1"/>
    </xf>
    <xf numFmtId="0" fontId="21" fillId="7" borderId="120" xfId="0" applyFont="1" applyFill="1" applyBorder="1" applyAlignment="1">
      <alignment horizontal="center" vertical="top" wrapText="1"/>
    </xf>
    <xf numFmtId="0" fontId="0" fillId="7" borderId="180" xfId="0" applyFill="1" applyBorder="1" applyAlignment="1">
      <alignment horizontal="center" vertical="center" wrapText="1"/>
    </xf>
    <xf numFmtId="0" fontId="0" fillId="7" borderId="99" xfId="0" applyFill="1" applyBorder="1" applyAlignment="1">
      <alignment horizontal="center" vertical="center" wrapText="1"/>
    </xf>
    <xf numFmtId="0" fontId="0" fillId="0" borderId="84" xfId="0" applyBorder="1" applyAlignment="1">
      <alignment horizontal="left" wrapText="1"/>
    </xf>
    <xf numFmtId="0" fontId="0" fillId="0" borderId="84" xfId="0" applyBorder="1" applyAlignment="1">
      <alignment wrapText="1"/>
    </xf>
    <xf numFmtId="0" fontId="21" fillId="0" borderId="0" xfId="0" applyFont="1" applyAlignment="1">
      <alignment horizontal="center" vertical="center" wrapText="1"/>
    </xf>
    <xf numFmtId="49" fontId="0" fillId="0" borderId="45" xfId="0" applyNumberFormat="1" applyBorder="1" applyAlignment="1">
      <alignment horizontal="center" wrapText="1"/>
    </xf>
    <xf numFmtId="0" fontId="0" fillId="0" borderId="100" xfId="0" applyBorder="1" applyAlignment="1">
      <alignment horizontal="center" wrapText="1"/>
    </xf>
    <xf numFmtId="0" fontId="21" fillId="0" borderId="40" xfId="0" applyFont="1" applyBorder="1" applyAlignment="1">
      <alignment horizontal="right" wrapText="1"/>
    </xf>
    <xf numFmtId="0" fontId="10" fillId="0" borderId="83" xfId="0" applyFont="1" applyBorder="1" applyAlignment="1">
      <alignment horizontal="left" wrapText="1"/>
    </xf>
    <xf numFmtId="0" fontId="0" fillId="0" borderId="83" xfId="0" applyBorder="1" applyAlignment="1">
      <alignment horizontal="left" wrapText="1"/>
    </xf>
    <xf numFmtId="0" fontId="10" fillId="0" borderId="42" xfId="0" applyFont="1" applyBorder="1" applyAlignment="1">
      <alignment horizontal="left" wrapText="1"/>
    </xf>
    <xf numFmtId="0" fontId="0" fillId="0" borderId="42" xfId="0" applyBorder="1" applyAlignment="1">
      <alignment horizontal="center" vertical="center" wrapText="1"/>
    </xf>
    <xf numFmtId="0" fontId="21" fillId="0" borderId="40" xfId="0" applyFont="1" applyBorder="1" applyAlignment="1">
      <alignment horizontal="right" vertical="center" wrapText="1"/>
    </xf>
    <xf numFmtId="0" fontId="0" fillId="0" borderId="45" xfId="0" applyNumberFormat="1" applyBorder="1" applyAlignment="1">
      <alignment horizontal="center" vertical="top" wrapText="1"/>
    </xf>
    <xf numFmtId="49" fontId="10" fillId="0" borderId="45" xfId="0" applyNumberFormat="1" applyFont="1" applyBorder="1" applyAlignment="1">
      <alignment vertical="top" wrapText="1"/>
    </xf>
    <xf numFmtId="49" fontId="10" fillId="0" borderId="45" xfId="0" applyNumberFormat="1" applyFont="1" applyBorder="1" applyAlignment="1">
      <alignment horizontal="left" vertical="top" wrapText="1"/>
    </xf>
    <xf numFmtId="49" fontId="0" fillId="0" borderId="45" xfId="0" applyNumberFormat="1" applyBorder="1" applyAlignment="1">
      <alignment horizontal="left" vertical="top" wrapText="1"/>
    </xf>
    <xf numFmtId="49" fontId="10" fillId="0" borderId="45" xfId="0" applyNumberFormat="1" applyFont="1" applyBorder="1" applyAlignment="1">
      <alignment horizontal="center" vertical="center" wrapText="1"/>
    </xf>
    <xf numFmtId="0" fontId="0" fillId="0" borderId="84" xfId="0" applyBorder="1" applyAlignment="1">
      <alignment horizontal="center" vertical="top" wrapText="1"/>
    </xf>
    <xf numFmtId="0" fontId="0" fillId="0" borderId="106" xfId="0" applyBorder="1" applyAlignment="1">
      <alignment horizontal="center" vertical="top" wrapText="1"/>
    </xf>
    <xf numFmtId="0" fontId="0" fillId="0" borderId="98" xfId="0" applyBorder="1" applyAlignment="1">
      <alignment horizontal="center" vertical="top" wrapText="1"/>
    </xf>
    <xf numFmtId="0" fontId="0" fillId="0" borderId="85" xfId="0" applyBorder="1" applyAlignment="1">
      <alignment horizontal="right" vertical="top" wrapText="1"/>
    </xf>
    <xf numFmtId="0" fontId="0" fillId="0" borderId="97" xfId="0" applyBorder="1" applyAlignment="1">
      <alignment horizontal="right" vertical="top" wrapText="1"/>
    </xf>
    <xf numFmtId="0" fontId="0" fillId="0" borderId="108" xfId="0" applyBorder="1" applyAlignment="1">
      <alignment horizontal="center" vertical="top" wrapText="1"/>
    </xf>
    <xf numFmtId="0" fontId="0" fillId="0" borderId="85" xfId="0" applyBorder="1" applyAlignment="1">
      <alignment horizontal="center" vertical="top" wrapText="1"/>
    </xf>
    <xf numFmtId="0" fontId="0" fillId="0" borderId="104" xfId="0" applyBorder="1" applyAlignment="1">
      <alignment horizontal="center" vertical="top" wrapText="1"/>
    </xf>
    <xf numFmtId="0" fontId="0" fillId="0" borderId="97" xfId="0" applyBorder="1" applyAlignment="1">
      <alignment horizontal="center" vertical="top" wrapText="1"/>
    </xf>
    <xf numFmtId="49" fontId="0" fillId="0" borderId="45" xfId="0" applyNumberFormat="1" applyBorder="1" applyAlignment="1">
      <alignment vertical="top" wrapText="1"/>
    </xf>
    <xf numFmtId="49" fontId="0" fillId="0" borderId="45" xfId="0" applyNumberFormat="1" applyBorder="1" applyAlignment="1">
      <alignment horizontal="center" vertical="top" wrapText="1"/>
    </xf>
    <xf numFmtId="49" fontId="10" fillId="0" borderId="84" xfId="0" applyNumberFormat="1" applyFont="1" applyBorder="1" applyAlignment="1">
      <alignment vertical="center" wrapText="1"/>
    </xf>
    <xf numFmtId="49" fontId="10" fillId="0" borderId="106" xfId="0" applyNumberFormat="1" applyFont="1" applyBorder="1" applyAlignment="1">
      <alignment vertical="center" wrapText="1"/>
    </xf>
    <xf numFmtId="49" fontId="10" fillId="0" borderId="98" xfId="0" applyNumberFormat="1" applyFont="1" applyBorder="1" applyAlignment="1">
      <alignment vertical="center" wrapText="1"/>
    </xf>
    <xf numFmtId="0" fontId="10" fillId="0" borderId="106" xfId="0" applyFont="1" applyBorder="1" applyAlignment="1">
      <alignment horizontal="left" wrapText="1"/>
    </xf>
    <xf numFmtId="0" fontId="0" fillId="0" borderId="106" xfId="0" applyBorder="1" applyAlignment="1">
      <alignment horizontal="left" wrapText="1"/>
    </xf>
    <xf numFmtId="0" fontId="0" fillId="0" borderId="98" xfId="0" applyBorder="1" applyAlignment="1">
      <alignment horizontal="left" wrapText="1"/>
    </xf>
    <xf numFmtId="0" fontId="21" fillId="7" borderId="45" xfId="0" applyFont="1" applyFill="1" applyBorder="1" applyAlignment="1">
      <alignment horizontal="center" vertical="center" wrapText="1"/>
    </xf>
    <xf numFmtId="0" fontId="0" fillId="0" borderId="45" xfId="0" applyNumberFormat="1" applyBorder="1" applyAlignment="1">
      <alignment horizontal="center" vertical="center" wrapText="1"/>
    </xf>
    <xf numFmtId="0" fontId="21" fillId="0" borderId="103" xfId="0" applyFont="1" applyBorder="1" applyAlignment="1">
      <alignment horizontal="center" vertical="center" wrapText="1"/>
    </xf>
    <xf numFmtId="0" fontId="21" fillId="0" borderId="96" xfId="0" applyFont="1" applyBorder="1" applyAlignment="1">
      <alignment horizontal="center" vertical="center" wrapText="1"/>
    </xf>
    <xf numFmtId="0" fontId="21" fillId="0" borderId="85" xfId="0" applyFont="1" applyBorder="1" applyAlignment="1">
      <alignment horizontal="center" vertical="center" wrapText="1"/>
    </xf>
    <xf numFmtId="0" fontId="21" fillId="0" borderId="104" xfId="0" applyFont="1" applyBorder="1" applyAlignment="1">
      <alignment horizontal="center" vertical="center" wrapText="1"/>
    </xf>
    <xf numFmtId="0" fontId="21" fillId="0" borderId="101" xfId="0" applyFont="1" applyBorder="1" applyAlignment="1">
      <alignment horizontal="center" vertical="center" wrapText="1"/>
    </xf>
    <xf numFmtId="0" fontId="21" fillId="0" borderId="97" xfId="0" applyFont="1" applyBorder="1" applyAlignment="1">
      <alignment horizontal="center" vertical="center" wrapText="1"/>
    </xf>
    <xf numFmtId="0" fontId="10" fillId="0" borderId="83" xfId="0" applyFont="1" applyBorder="1" applyAlignment="1">
      <alignment horizontal="left" vertical="top" wrapText="1"/>
    </xf>
    <xf numFmtId="0" fontId="70" fillId="0" borderId="0" xfId="0" applyFont="1" applyAlignment="1">
      <alignment horizontal="center" vertical="center" wrapText="1"/>
    </xf>
    <xf numFmtId="0" fontId="69" fillId="0" borderId="45" xfId="0" applyFont="1" applyBorder="1" applyAlignment="1">
      <alignment horizontal="center" vertical="center" wrapText="1"/>
    </xf>
    <xf numFmtId="0" fontId="0" fillId="0" borderId="100" xfId="0" applyBorder="1" applyAlignment="1">
      <alignment horizontal="left" vertical="top" wrapText="1"/>
    </xf>
    <xf numFmtId="0" fontId="70" fillId="0" borderId="0" xfId="0" applyFont="1" applyAlignment="1">
      <alignment horizontal="center" wrapText="1"/>
    </xf>
    <xf numFmtId="0" fontId="67" fillId="7" borderId="45" xfId="0" applyFont="1" applyFill="1" applyBorder="1" applyAlignment="1">
      <alignment horizontal="center" vertical="center" wrapText="1"/>
    </xf>
    <xf numFmtId="0" fontId="10" fillId="0" borderId="45" xfId="0" applyFont="1" applyBorder="1" applyAlignment="1">
      <alignment horizontal="left"/>
    </xf>
    <xf numFmtId="0" fontId="0" fillId="0" borderId="105" xfId="0" applyBorder="1" applyAlignment="1">
      <alignment horizontal="right" vertical="top" wrapText="1"/>
    </xf>
    <xf numFmtId="0" fontId="21" fillId="0" borderId="40" xfId="0" applyFont="1" applyBorder="1" applyAlignment="1">
      <alignment horizontal="left" wrapText="1"/>
    </xf>
    <xf numFmtId="0" fontId="0" fillId="0" borderId="45" xfId="0" applyBorder="1" applyAlignment="1">
      <alignment horizontal="right" vertical="top" wrapText="1"/>
    </xf>
    <xf numFmtId="0" fontId="21" fillId="0" borderId="101" xfId="0" applyFont="1" applyBorder="1" applyAlignment="1">
      <alignment horizontal="center" vertical="top" wrapText="1"/>
    </xf>
    <xf numFmtId="0" fontId="21" fillId="0" borderId="96" xfId="0" applyFont="1" applyBorder="1" applyAlignment="1">
      <alignment horizontal="center" vertical="top" wrapText="1"/>
    </xf>
    <xf numFmtId="0" fontId="10" fillId="0" borderId="45" xfId="0" applyFont="1" applyBorder="1" applyAlignment="1">
      <alignment horizontal="center" vertical="top" wrapText="1"/>
    </xf>
    <xf numFmtId="0" fontId="10" fillId="0" borderId="45" xfId="0" applyFont="1" applyBorder="1" applyAlignment="1">
      <alignment horizontal="right" vertical="top" wrapText="1"/>
    </xf>
    <xf numFmtId="0" fontId="0" fillId="0" borderId="103" xfId="0" applyBorder="1" applyAlignment="1">
      <alignment horizontal="left" vertical="center" wrapText="1"/>
    </xf>
    <xf numFmtId="0" fontId="0" fillId="0" borderId="108" xfId="0" applyBorder="1" applyAlignment="1">
      <alignment horizontal="left" vertical="center" wrapText="1"/>
    </xf>
    <xf numFmtId="0" fontId="0" fillId="0" borderId="0" xfId="0" applyBorder="1" applyAlignment="1">
      <alignment horizontal="left" vertical="center" wrapText="1"/>
    </xf>
    <xf numFmtId="0" fontId="0" fillId="0" borderId="105" xfId="0" applyBorder="1" applyAlignment="1">
      <alignment horizontal="left" vertical="center" wrapText="1"/>
    </xf>
    <xf numFmtId="0" fontId="0" fillId="0" borderId="177" xfId="0" applyBorder="1" applyAlignment="1">
      <alignment horizontal="left" vertical="center" wrapText="1"/>
    </xf>
    <xf numFmtId="0" fontId="0" fillId="0" borderId="178" xfId="0" applyBorder="1" applyAlignment="1">
      <alignment horizontal="left" vertical="center" wrapText="1"/>
    </xf>
    <xf numFmtId="0" fontId="0" fillId="0" borderId="107" xfId="0" applyBorder="1" applyAlignment="1">
      <alignment horizontal="left" vertical="center" wrapText="1"/>
    </xf>
    <xf numFmtId="49" fontId="0" fillId="0" borderId="84" xfId="0" applyNumberFormat="1" applyBorder="1" applyAlignment="1">
      <alignment vertical="center" wrapText="1"/>
    </xf>
    <xf numFmtId="49" fontId="0" fillId="0" borderId="106" xfId="0" applyNumberFormat="1" applyBorder="1" applyAlignment="1">
      <alignment vertical="center" wrapText="1"/>
    </xf>
    <xf numFmtId="49" fontId="0" fillId="0" borderId="98" xfId="0" applyNumberFormat="1" applyBorder="1" applyAlignment="1">
      <alignment vertical="center" wrapText="1"/>
    </xf>
    <xf numFmtId="0" fontId="0" fillId="0" borderId="108" xfId="0" applyBorder="1" applyAlignment="1">
      <alignment vertical="center" wrapText="1"/>
    </xf>
    <xf numFmtId="0" fontId="0" fillId="0" borderId="0" xfId="0" applyBorder="1" applyAlignment="1">
      <alignment vertical="center" wrapText="1"/>
    </xf>
    <xf numFmtId="0" fontId="0" fillId="0" borderId="105" xfId="0" applyBorder="1" applyAlignment="1">
      <alignment vertical="center" wrapText="1"/>
    </xf>
    <xf numFmtId="0" fontId="0" fillId="0" borderId="104" xfId="0" applyBorder="1" applyAlignment="1">
      <alignment vertical="center" wrapText="1"/>
    </xf>
    <xf numFmtId="0" fontId="0" fillId="0" borderId="101" xfId="0" applyBorder="1" applyAlignment="1">
      <alignment vertical="center" wrapText="1"/>
    </xf>
    <xf numFmtId="0" fontId="0" fillId="0" borderId="97" xfId="0" applyBorder="1" applyAlignment="1">
      <alignment vertical="center" wrapText="1"/>
    </xf>
    <xf numFmtId="49" fontId="0" fillId="0" borderId="108" xfId="0" applyNumberFormat="1" applyBorder="1" applyAlignment="1">
      <alignment horizontal="left" vertical="center" wrapText="1"/>
    </xf>
    <xf numFmtId="49" fontId="0" fillId="0" borderId="0" xfId="0" applyNumberFormat="1" applyBorder="1" applyAlignment="1">
      <alignment horizontal="left" vertical="center" wrapText="1"/>
    </xf>
    <xf numFmtId="49" fontId="0" fillId="0" borderId="105" xfId="0" applyNumberFormat="1" applyBorder="1" applyAlignment="1">
      <alignment horizontal="left" vertical="center" wrapText="1"/>
    </xf>
    <xf numFmtId="49" fontId="10" fillId="0" borderId="45" xfId="0" applyNumberFormat="1" applyFont="1" applyBorder="1" applyAlignment="1">
      <alignment wrapText="1"/>
    </xf>
    <xf numFmtId="0" fontId="21" fillId="0" borderId="20" xfId="0" applyFont="1" applyBorder="1" applyAlignment="1">
      <alignment horizontal="center" vertical="top" wrapText="1"/>
    </xf>
    <xf numFmtId="49" fontId="21" fillId="0" borderId="40" xfId="0" applyNumberFormat="1" applyFont="1" applyBorder="1" applyAlignment="1">
      <alignment horizontal="right" wrapText="1"/>
    </xf>
    <xf numFmtId="0" fontId="0" fillId="0" borderId="83" xfId="0" applyBorder="1" applyAlignment="1">
      <alignment horizontal="left" vertical="top" wrapText="1"/>
    </xf>
    <xf numFmtId="0" fontId="10" fillId="0" borderId="177" xfId="0" applyFont="1" applyBorder="1" applyAlignment="1">
      <alignment vertical="center" wrapText="1"/>
    </xf>
    <xf numFmtId="0" fontId="10" fillId="0" borderId="178" xfId="0" applyFont="1" applyBorder="1" applyAlignment="1">
      <alignment vertical="center" wrapText="1"/>
    </xf>
    <xf numFmtId="0" fontId="10" fillId="0" borderId="107" xfId="0" applyFont="1" applyBorder="1" applyAlignment="1">
      <alignment vertical="center" wrapText="1"/>
    </xf>
    <xf numFmtId="0" fontId="10" fillId="0" borderId="96" xfId="0" applyFont="1" applyBorder="1" applyAlignment="1">
      <alignment horizontal="center" vertical="top" wrapText="1"/>
    </xf>
    <xf numFmtId="0" fontId="170" fillId="0" borderId="0" xfId="0" applyFont="1" applyAlignment="1">
      <alignment horizontal="center" vertical="top" wrapText="1"/>
    </xf>
    <xf numFmtId="0" fontId="168" fillId="0" borderId="84" xfId="0" applyFont="1" applyBorder="1" applyAlignment="1">
      <alignment horizontal="center" vertical="center" wrapText="1"/>
    </xf>
    <xf numFmtId="0" fontId="168" fillId="0" borderId="106" xfId="0" applyFont="1" applyBorder="1" applyAlignment="1">
      <alignment horizontal="center" vertical="center" wrapText="1"/>
    </xf>
    <xf numFmtId="0" fontId="168" fillId="0" borderId="98" xfId="0" applyFont="1" applyBorder="1" applyAlignment="1">
      <alignment horizontal="center" vertical="center" wrapText="1"/>
    </xf>
    <xf numFmtId="0" fontId="168" fillId="0" borderId="45" xfId="0" applyFont="1" applyBorder="1" applyAlignment="1">
      <alignment horizontal="left" wrapText="1"/>
    </xf>
    <xf numFmtId="49" fontId="168" fillId="0" borderId="45" xfId="0" applyNumberFormat="1" applyFont="1" applyBorder="1" applyAlignment="1">
      <alignment horizontal="left" vertical="center" wrapText="1"/>
    </xf>
    <xf numFmtId="49" fontId="168" fillId="0" borderId="45" xfId="0" applyNumberFormat="1" applyFont="1" applyBorder="1" applyAlignment="1">
      <alignment horizontal="left" wrapText="1"/>
    </xf>
    <xf numFmtId="49" fontId="10" fillId="0" borderId="45" xfId="0" applyNumberFormat="1" applyFont="1" applyBorder="1" applyAlignment="1">
      <alignment horizontal="right" vertical="top" wrapText="1"/>
    </xf>
    <xf numFmtId="49" fontId="10" fillId="0" borderId="45" xfId="0" applyNumberFormat="1" applyFont="1" applyBorder="1" applyAlignment="1">
      <alignment horizontal="center" vertical="top" wrapText="1"/>
    </xf>
    <xf numFmtId="0" fontId="86" fillId="0" borderId="40" xfId="0" applyFont="1" applyBorder="1" applyAlignment="1">
      <alignment horizontal="center" vertical="center" wrapText="1"/>
    </xf>
    <xf numFmtId="0" fontId="86" fillId="0" borderId="0" xfId="0" applyFont="1" applyAlignment="1">
      <alignment horizontal="center" vertical="center" wrapText="1"/>
    </xf>
    <xf numFmtId="0" fontId="88" fillId="0" borderId="69" xfId="0" applyFont="1" applyBorder="1" applyAlignment="1">
      <alignment horizontal="center" vertical="center" wrapText="1"/>
    </xf>
    <xf numFmtId="0" fontId="88" fillId="0" borderId="80" xfId="0" applyFont="1" applyBorder="1" applyAlignment="1">
      <alignment horizontal="center" vertical="center" wrapText="1"/>
    </xf>
    <xf numFmtId="0" fontId="85" fillId="0" borderId="69" xfId="0" applyFont="1" applyBorder="1" applyAlignment="1">
      <alignment wrapText="1"/>
    </xf>
    <xf numFmtId="0" fontId="85" fillId="0" borderId="80" xfId="0" applyFont="1" applyBorder="1" applyAlignment="1">
      <alignment wrapText="1"/>
    </xf>
    <xf numFmtId="0" fontId="88" fillId="0" borderId="40" xfId="0" applyFont="1" applyBorder="1" applyAlignment="1">
      <alignment horizontal="center" vertical="center" wrapText="1"/>
    </xf>
    <xf numFmtId="0" fontId="88" fillId="0" borderId="0" xfId="0" applyFont="1" applyAlignment="1">
      <alignment vertical="center" wrapText="1"/>
    </xf>
    <xf numFmtId="0" fontId="86" fillId="0" borderId="0" xfId="0" applyFont="1" applyAlignment="1">
      <alignment vertical="center" wrapText="1"/>
    </xf>
    <xf numFmtId="0" fontId="88" fillId="0" borderId="9" xfId="0" applyFont="1" applyBorder="1" applyAlignment="1">
      <alignment horizontal="justify" vertical="center" wrapText="1"/>
    </xf>
    <xf numFmtId="0" fontId="88" fillId="0" borderId="0" xfId="0" applyFont="1" applyBorder="1" applyAlignment="1">
      <alignment horizontal="justify" vertical="center" wrapText="1"/>
    </xf>
    <xf numFmtId="0" fontId="88" fillId="0" borderId="8" xfId="0" applyFont="1" applyBorder="1" applyAlignment="1">
      <alignment horizontal="justify" vertical="center" wrapText="1"/>
    </xf>
    <xf numFmtId="0" fontId="88" fillId="0" borderId="40" xfId="0" applyFont="1" applyBorder="1" applyAlignment="1">
      <alignment horizontal="justify" vertical="center" wrapText="1"/>
    </xf>
    <xf numFmtId="3" fontId="88" fillId="0" borderId="40" xfId="0" applyNumberFormat="1" applyFont="1" applyBorder="1" applyAlignment="1">
      <alignment horizontal="center" vertical="center" wrapText="1"/>
    </xf>
    <xf numFmtId="0" fontId="85" fillId="0" borderId="189" xfId="0" applyFont="1" applyBorder="1" applyAlignment="1">
      <alignment vertical="center" wrapText="1"/>
    </xf>
    <xf numFmtId="0" fontId="85" fillId="0" borderId="0" xfId="0" applyFont="1" applyBorder="1" applyAlignment="1">
      <alignment vertical="center" wrapText="1"/>
    </xf>
    <xf numFmtId="0" fontId="85" fillId="0" borderId="190" xfId="0" applyFont="1" applyBorder="1" applyAlignment="1">
      <alignment vertical="center" wrapText="1"/>
    </xf>
    <xf numFmtId="0" fontId="88" fillId="0" borderId="9" xfId="0" applyFont="1" applyBorder="1" applyAlignment="1">
      <alignment vertical="center" wrapText="1"/>
    </xf>
    <xf numFmtId="0" fontId="88" fillId="0" borderId="0" xfId="0" applyFont="1" applyBorder="1" applyAlignment="1">
      <alignment vertical="center" wrapText="1"/>
    </xf>
    <xf numFmtId="0" fontId="88" fillId="0" borderId="8" xfId="0" applyFont="1" applyBorder="1" applyAlignment="1">
      <alignment vertical="center" wrapText="1"/>
    </xf>
    <xf numFmtId="0" fontId="69" fillId="0" borderId="20" xfId="0" applyFont="1" applyBorder="1" applyAlignment="1">
      <alignment vertical="center" wrapText="1"/>
    </xf>
    <xf numFmtId="0" fontId="86" fillId="0" borderId="9" xfId="0" applyFont="1" applyBorder="1" applyAlignment="1">
      <alignment horizontal="justify" vertical="center" wrapText="1"/>
    </xf>
    <xf numFmtId="0" fontId="86" fillId="0" borderId="0" xfId="0" applyFont="1" applyBorder="1" applyAlignment="1">
      <alignment horizontal="justify" vertical="center" wrapText="1"/>
    </xf>
    <xf numFmtId="0" fontId="86" fillId="0" borderId="8" xfId="0" applyFont="1" applyBorder="1" applyAlignment="1">
      <alignment horizontal="justify" vertical="center" wrapText="1"/>
    </xf>
    <xf numFmtId="0" fontId="86" fillId="0" borderId="9" xfId="0" applyFont="1" applyBorder="1" applyAlignment="1">
      <alignment vertical="center" wrapText="1"/>
    </xf>
    <xf numFmtId="0" fontId="86" fillId="0" borderId="0" xfId="0" applyFont="1" applyBorder="1" applyAlignment="1">
      <alignment vertical="center" wrapText="1"/>
    </xf>
    <xf numFmtId="0" fontId="86" fillId="0" borderId="8" xfId="0" applyFont="1" applyBorder="1" applyAlignment="1">
      <alignment vertical="center" wrapText="1"/>
    </xf>
    <xf numFmtId="0" fontId="88" fillId="0" borderId="0" xfId="0" applyFont="1" applyAlignment="1">
      <alignment horizontal="justify" vertical="center" wrapText="1"/>
    </xf>
    <xf numFmtId="0" fontId="194" fillId="13" borderId="0" xfId="0" applyFont="1" applyFill="1" applyAlignment="1">
      <alignment horizontal="justify" vertical="center" wrapText="1"/>
    </xf>
    <xf numFmtId="0" fontId="195" fillId="13" borderId="0" xfId="0" applyFont="1" applyFill="1" applyAlignment="1">
      <alignment horizontal="justify" vertical="center" wrapText="1"/>
    </xf>
    <xf numFmtId="0" fontId="120" fillId="0" borderId="0" xfId="0" applyFont="1" applyAlignment="1">
      <alignment horizontal="justify" vertical="center" wrapText="1"/>
    </xf>
    <xf numFmtId="0" fontId="53" fillId="0" borderId="0" xfId="0" applyFont="1" applyAlignment="1">
      <alignment horizontal="justify" vertical="center" wrapText="1"/>
    </xf>
    <xf numFmtId="0" fontId="86" fillId="0" borderId="0" xfId="0" applyFont="1" applyAlignment="1">
      <alignment horizontal="justify" vertical="center" wrapText="1"/>
    </xf>
    <xf numFmtId="49" fontId="196" fillId="14" borderId="0" xfId="0" applyNumberFormat="1" applyFont="1" applyFill="1" applyAlignment="1">
      <alignment horizontal="justify" vertical="center" wrapText="1"/>
    </xf>
    <xf numFmtId="0" fontId="196" fillId="14" borderId="0" xfId="0" applyFont="1" applyFill="1" applyAlignment="1">
      <alignment horizontal="justify" vertical="center" wrapText="1"/>
    </xf>
    <xf numFmtId="0" fontId="194" fillId="14" borderId="0" xfId="0" applyFont="1" applyFill="1" applyAlignment="1">
      <alignment horizontal="justify" vertical="center" wrapText="1"/>
    </xf>
    <xf numFmtId="0" fontId="196" fillId="0" borderId="0" xfId="0" applyFont="1" applyAlignment="1">
      <alignment horizontal="justify" vertical="center" wrapText="1"/>
    </xf>
    <xf numFmtId="0" fontId="197" fillId="13" borderId="0" xfId="0" applyFont="1" applyFill="1" applyAlignment="1">
      <alignment horizontal="justify" vertical="center" wrapText="1"/>
    </xf>
    <xf numFmtId="0" fontId="85" fillId="0" borderId="69" xfId="0" applyFont="1" applyBorder="1" applyAlignment="1">
      <alignment vertical="center" wrapText="1"/>
    </xf>
    <xf numFmtId="0" fontId="85" fillId="0" borderId="80" xfId="0" applyFont="1" applyBorder="1" applyAlignment="1">
      <alignment vertical="center" wrapText="1"/>
    </xf>
    <xf numFmtId="0" fontId="198" fillId="0" borderId="9" xfId="0" applyFont="1" applyBorder="1" applyAlignment="1">
      <alignment vertical="center" wrapText="1"/>
    </xf>
    <xf numFmtId="0" fontId="198" fillId="0" borderId="0" xfId="0" applyFont="1" applyBorder="1" applyAlignment="1">
      <alignment vertical="center" wrapText="1"/>
    </xf>
    <xf numFmtId="0" fontId="198" fillId="0" borderId="8" xfId="0" applyFont="1" applyBorder="1" applyAlignment="1">
      <alignment vertical="center" wrapText="1"/>
    </xf>
    <xf numFmtId="0" fontId="198" fillId="0" borderId="9" xfId="0" applyFont="1" applyBorder="1" applyAlignment="1">
      <alignment horizontal="justify" vertical="center" wrapText="1"/>
    </xf>
    <xf numFmtId="0" fontId="198" fillId="0" borderId="0" xfId="0" applyFont="1" applyBorder="1" applyAlignment="1">
      <alignment horizontal="justify" vertical="center" wrapText="1"/>
    </xf>
    <xf numFmtId="0" fontId="198" fillId="0" borderId="8" xfId="0" applyFont="1" applyBorder="1" applyAlignment="1">
      <alignment horizontal="justify" vertical="center" wrapText="1"/>
    </xf>
    <xf numFmtId="0" fontId="52" fillId="0" borderId="0" xfId="0" applyFont="1" applyAlignment="1">
      <alignment horizontal="justify" vertical="center" wrapText="1"/>
    </xf>
    <xf numFmtId="0" fontId="86" fillId="0" borderId="79" xfId="0" applyFont="1" applyBorder="1" applyAlignment="1">
      <alignment horizontal="center" vertical="center" wrapText="1"/>
    </xf>
    <xf numFmtId="0" fontId="86" fillId="0" borderId="81" xfId="0" applyFont="1" applyBorder="1" applyAlignment="1">
      <alignment horizontal="center" vertical="center" wrapText="1"/>
    </xf>
    <xf numFmtId="0" fontId="86" fillId="0" borderId="21" xfId="0" applyFont="1" applyBorder="1" applyAlignment="1">
      <alignment horizontal="center" vertical="center" wrapText="1"/>
    </xf>
    <xf numFmtId="0" fontId="86" fillId="0" borderId="5" xfId="0" applyFont="1" applyBorder="1" applyAlignment="1">
      <alignment horizontal="center" vertical="center" wrapText="1"/>
    </xf>
    <xf numFmtId="0" fontId="86" fillId="0" borderId="181" xfId="0" applyFont="1" applyBorder="1" applyAlignment="1">
      <alignment horizontal="center" vertical="center" wrapText="1"/>
    </xf>
    <xf numFmtId="0" fontId="86" fillId="0" borderId="20" xfId="0" applyFont="1" applyBorder="1" applyAlignment="1">
      <alignment horizontal="center" vertical="center" wrapText="1"/>
    </xf>
    <xf numFmtId="0" fontId="86" fillId="0" borderId="2" xfId="0" applyFont="1" applyBorder="1" applyAlignment="1">
      <alignment horizontal="center" vertical="center" wrapText="1"/>
    </xf>
    <xf numFmtId="0" fontId="86" fillId="0" borderId="182" xfId="0" applyFont="1" applyBorder="1" applyAlignment="1">
      <alignment horizontal="justify" vertical="center" wrapText="1"/>
    </xf>
    <xf numFmtId="0" fontId="86" fillId="0" borderId="99" xfId="0" applyFont="1" applyBorder="1" applyAlignment="1">
      <alignment horizontal="justify" vertical="center" wrapText="1"/>
    </xf>
    <xf numFmtId="0" fontId="86" fillId="0" borderId="183" xfId="0" applyFont="1" applyBorder="1" applyAlignment="1">
      <alignment horizontal="justify" vertical="center" wrapText="1"/>
    </xf>
    <xf numFmtId="0" fontId="204" fillId="0" borderId="0" xfId="0" applyFont="1" applyAlignment="1">
      <alignment horizontal="justify" vertical="center" wrapText="1"/>
    </xf>
    <xf numFmtId="0" fontId="196" fillId="13" borderId="0" xfId="0" applyFont="1" applyFill="1" applyAlignment="1">
      <alignment horizontal="justify" vertical="center" wrapText="1"/>
    </xf>
    <xf numFmtId="0" fontId="199" fillId="0" borderId="0" xfId="0" applyFont="1" applyAlignment="1">
      <alignment horizontal="justify" vertical="center" wrapText="1"/>
    </xf>
    <xf numFmtId="0" fontId="203" fillId="0" borderId="0" xfId="0" applyFont="1" applyAlignment="1">
      <alignment horizontal="justify" vertical="center" wrapText="1"/>
    </xf>
    <xf numFmtId="0" fontId="88" fillId="0" borderId="0" xfId="0" applyFont="1" applyAlignment="1">
      <alignment horizontal="left" vertical="center" wrapText="1"/>
    </xf>
    <xf numFmtId="0" fontId="87" fillId="0" borderId="0" xfId="0" applyFont="1" applyAlignment="1">
      <alignment horizontal="justify" vertical="center" wrapText="1"/>
    </xf>
    <xf numFmtId="0" fontId="200" fillId="0" borderId="0" xfId="0" applyFont="1" applyAlignment="1">
      <alignment horizontal="justify" vertical="center" wrapText="1"/>
    </xf>
    <xf numFmtId="0" fontId="201" fillId="0" borderId="0" xfId="0" applyFont="1" applyAlignment="1">
      <alignment horizontal="center" vertical="center" wrapText="1"/>
    </xf>
    <xf numFmtId="0" fontId="88" fillId="0" borderId="40" xfId="0" applyFont="1" applyBorder="1" applyAlignment="1">
      <alignment vertical="center" wrapText="1"/>
    </xf>
    <xf numFmtId="0" fontId="88" fillId="0" borderId="40" xfId="0" applyFont="1" applyBorder="1" applyAlignment="1">
      <alignment horizontal="left" vertical="center" wrapText="1" indent="1"/>
    </xf>
    <xf numFmtId="0" fontId="0" fillId="0" borderId="40" xfId="0" applyBorder="1" applyAlignment="1">
      <alignment vertical="top" wrapText="1"/>
    </xf>
    <xf numFmtId="0" fontId="88" fillId="0" borderId="0" xfId="0" applyFont="1" applyAlignment="1">
      <alignment horizontal="center" vertical="center" wrapText="1"/>
    </xf>
    <xf numFmtId="0" fontId="139" fillId="0" borderId="20" xfId="0" applyFont="1" applyBorder="1" applyAlignment="1">
      <alignment horizontal="center" vertical="center" wrapText="1"/>
    </xf>
    <xf numFmtId="0" fontId="69" fillId="0" borderId="20" xfId="0" applyFont="1" applyBorder="1" applyAlignment="1">
      <alignment horizontal="right" vertical="center" wrapText="1"/>
    </xf>
    <xf numFmtId="0" fontId="183" fillId="0" borderId="99" xfId="0" applyFont="1" applyBorder="1" applyAlignment="1">
      <alignment horizontal="center" vertical="center" wrapText="1"/>
    </xf>
    <xf numFmtId="0" fontId="202" fillId="13" borderId="0" xfId="0" applyFont="1" applyFill="1" applyAlignment="1">
      <alignment horizontal="justify" vertical="center" wrapText="1"/>
    </xf>
    <xf numFmtId="0" fontId="205" fillId="13" borderId="0" xfId="0" applyFont="1" applyFill="1" applyAlignment="1">
      <alignment horizontal="justify" vertical="center" wrapText="1"/>
    </xf>
    <xf numFmtId="0" fontId="86" fillId="0" borderId="180" xfId="0" applyFont="1" applyBorder="1" applyAlignment="1">
      <alignment horizontal="center" vertical="center" wrapText="1"/>
    </xf>
    <xf numFmtId="0" fontId="86" fillId="0" borderId="99" xfId="0" applyFont="1" applyBorder="1" applyAlignment="1">
      <alignment horizontal="center" vertical="center" wrapText="1"/>
    </xf>
    <xf numFmtId="0" fontId="86" fillId="0" borderId="161" xfId="0" applyFont="1" applyBorder="1" applyAlignment="1">
      <alignment horizontal="center" vertical="center" wrapText="1"/>
    </xf>
    <xf numFmtId="0" fontId="86" fillId="0" borderId="188" xfId="0" applyFont="1" applyBorder="1" applyAlignment="1">
      <alignment horizontal="center" vertical="center" wrapText="1"/>
    </xf>
    <xf numFmtId="0" fontId="88" fillId="0" borderId="40" xfId="0" applyFont="1" applyBorder="1" applyAlignment="1">
      <alignment horizontal="left" vertical="center" wrapText="1" indent="2"/>
    </xf>
    <xf numFmtId="0" fontId="85" fillId="0" borderId="40" xfId="0" applyFont="1" applyBorder="1" applyAlignment="1">
      <alignment vertical="center" wrapText="1"/>
    </xf>
    <xf numFmtId="0" fontId="0" fillId="0" borderId="40" xfId="0" applyBorder="1" applyAlignment="1">
      <alignment vertical="center" wrapText="1"/>
    </xf>
    <xf numFmtId="0" fontId="85" fillId="0" borderId="180" xfId="0" applyFont="1" applyBorder="1" applyAlignment="1">
      <alignment horizontal="center" vertical="center" wrapText="1"/>
    </xf>
    <xf numFmtId="0" fontId="85" fillId="0" borderId="99" xfId="0" applyFont="1" applyBorder="1" applyAlignment="1">
      <alignment horizontal="center" vertical="center" wrapText="1"/>
    </xf>
    <xf numFmtId="0" fontId="85" fillId="0" borderId="161" xfId="0" applyFont="1" applyBorder="1" applyAlignment="1">
      <alignment horizontal="center" vertical="center" wrapText="1"/>
    </xf>
    <xf numFmtId="0" fontId="85" fillId="0" borderId="181" xfId="0" applyFont="1" applyBorder="1" applyAlignment="1">
      <alignment horizontal="center" vertical="center" wrapText="1"/>
    </xf>
    <xf numFmtId="0" fontId="85" fillId="0" borderId="20" xfId="0" applyFont="1" applyBorder="1" applyAlignment="1">
      <alignment horizontal="center" vertical="center" wrapText="1"/>
    </xf>
    <xf numFmtId="0" fontId="85" fillId="0" borderId="2" xfId="0" applyFont="1" applyBorder="1" applyAlignment="1">
      <alignment horizontal="center" vertical="center" wrapText="1"/>
    </xf>
    <xf numFmtId="3" fontId="88" fillId="0" borderId="40" xfId="0" applyNumberFormat="1" applyFont="1" applyBorder="1" applyAlignment="1">
      <alignment horizontal="center" vertical="center"/>
    </xf>
    <xf numFmtId="0" fontId="85" fillId="0" borderId="50" xfId="0" applyFont="1" applyBorder="1" applyAlignment="1">
      <alignment horizontal="center"/>
    </xf>
    <xf numFmtId="0" fontId="85" fillId="0" borderId="55" xfId="0" applyFont="1" applyBorder="1" applyAlignment="1">
      <alignment horizontal="center"/>
    </xf>
    <xf numFmtId="0" fontId="85" fillId="0" borderId="32" xfId="0" applyFont="1" applyBorder="1" applyAlignment="1">
      <alignment horizontal="center"/>
    </xf>
    <xf numFmtId="0" fontId="85" fillId="0" borderId="40" xfId="0" applyFont="1" applyBorder="1" applyAlignment="1">
      <alignment wrapText="1"/>
    </xf>
    <xf numFmtId="0" fontId="22" fillId="0" borderId="0" xfId="0" applyFont="1" applyAlignment="1">
      <alignment horizontal="center" vertical="top" wrapText="1"/>
    </xf>
    <xf numFmtId="0" fontId="50" fillId="0" borderId="0" xfId="0" applyFont="1" applyAlignment="1">
      <alignment horizontal="justify" vertical="top" wrapText="1"/>
    </xf>
    <xf numFmtId="0" fontId="22" fillId="0" borderId="0" xfId="0" applyFont="1" applyAlignment="1">
      <alignment horizontal="justify" vertical="top" wrapText="1"/>
    </xf>
    <xf numFmtId="0" fontId="21" fillId="0" borderId="0" xfId="0" applyFont="1" applyAlignment="1">
      <alignment horizontal="justify" vertical="top" wrapText="1"/>
    </xf>
    <xf numFmtId="0" fontId="206" fillId="14" borderId="0" xfId="0" applyFont="1" applyFill="1" applyAlignment="1">
      <alignment horizontal="center" vertical="top"/>
    </xf>
    <xf numFmtId="0" fontId="101" fillId="0" borderId="0" xfId="0" applyFont="1" applyAlignment="1">
      <alignment horizontal="justify" vertical="top" wrapText="1"/>
    </xf>
    <xf numFmtId="0" fontId="22" fillId="0" borderId="0" xfId="0" applyFont="1" applyAlignment="1">
      <alignment vertical="top" wrapText="1"/>
    </xf>
    <xf numFmtId="0" fontId="50" fillId="0" borderId="0" xfId="0" applyFont="1" applyAlignment="1">
      <alignment horizontal="left" vertical="top" wrapText="1"/>
    </xf>
    <xf numFmtId="0" fontId="92" fillId="0" borderId="0" xfId="0" applyFont="1" applyAlignment="1">
      <alignment horizontal="center" vertical="top" wrapText="1"/>
    </xf>
    <xf numFmtId="0" fontId="93" fillId="0" borderId="0" xfId="0" applyFont="1" applyAlignment="1">
      <alignment vertical="top" wrapText="1"/>
    </xf>
    <xf numFmtId="0" fontId="63" fillId="0" borderId="0" xfId="0" applyFont="1" applyAlignment="1">
      <alignment vertical="top" wrapText="1"/>
    </xf>
    <xf numFmtId="0" fontId="207" fillId="13" borderId="0" xfId="0" applyFont="1" applyFill="1" applyAlignment="1">
      <alignment vertical="top" wrapText="1"/>
    </xf>
    <xf numFmtId="0" fontId="206" fillId="14" borderId="0" xfId="0" applyFont="1" applyFill="1" applyAlignment="1">
      <alignment horizontal="justify" vertical="top" wrapText="1"/>
    </xf>
    <xf numFmtId="0" fontId="208" fillId="0" borderId="0" xfId="0" applyFont="1" applyAlignment="1">
      <alignment horizontal="justify" vertical="top" wrapText="1"/>
    </xf>
    <xf numFmtId="0" fontId="92" fillId="0" borderId="0" xfId="0" applyFont="1" applyAlignment="1">
      <alignment vertical="top" wrapText="1"/>
    </xf>
    <xf numFmtId="0" fontId="50" fillId="0" borderId="0" xfId="0" applyFont="1" applyAlignment="1">
      <alignment vertical="top" wrapText="1"/>
    </xf>
    <xf numFmtId="0" fontId="208" fillId="14" borderId="0" xfId="0" applyFont="1" applyFill="1" applyAlignment="1">
      <alignment horizontal="justify" vertical="top" wrapText="1"/>
    </xf>
    <xf numFmtId="0" fontId="50" fillId="0" borderId="0" xfId="0" applyFont="1" applyAlignment="1">
      <alignment horizontal="justify" vertical="center" wrapText="1"/>
    </xf>
    <xf numFmtId="0" fontId="92" fillId="0" borderId="0" xfId="0" applyFont="1" applyAlignment="1">
      <alignment horizontal="justify" vertical="top" wrapText="1"/>
    </xf>
    <xf numFmtId="0" fontId="183" fillId="0" borderId="0" xfId="0" applyFont="1" applyAlignment="1">
      <alignment horizontal="center" vertical="top" wrapText="1"/>
    </xf>
    <xf numFmtId="0" fontId="208" fillId="14" borderId="0" xfId="0" applyFont="1" applyFill="1" applyAlignment="1">
      <alignment horizontal="justify" vertical="center" wrapText="1"/>
    </xf>
    <xf numFmtId="0" fontId="0" fillId="0" borderId="40" xfId="0" applyBorder="1" applyAlignment="1">
      <alignment horizontal="center" vertical="center"/>
    </xf>
    <xf numFmtId="4" fontId="0" fillId="0" borderId="40" xfId="0" applyNumberFormat="1" applyBorder="1" applyAlignment="1">
      <alignment horizontal="left" vertical="center"/>
    </xf>
    <xf numFmtId="164" fontId="0" fillId="0" borderId="40" xfId="0" applyNumberFormat="1" applyBorder="1" applyAlignment="1">
      <alignment horizontal="left" vertical="center"/>
    </xf>
    <xf numFmtId="0" fontId="121" fillId="0" borderId="40" xfId="0" applyFont="1" applyBorder="1" applyAlignment="1">
      <alignment vertical="center" wrapText="1"/>
    </xf>
    <xf numFmtId="0" fontId="0" fillId="0" borderId="40" xfId="0" applyBorder="1" applyAlignment="1">
      <alignment horizontal="center" vertical="top"/>
    </xf>
    <xf numFmtId="0" fontId="69" fillId="0" borderId="40" xfId="0" applyFont="1" applyBorder="1" applyAlignment="1">
      <alignment vertical="center" wrapText="1"/>
    </xf>
    <xf numFmtId="0" fontId="0" fillId="0" borderId="40" xfId="0" applyBorder="1" applyAlignment="1">
      <alignment horizontal="center" vertical="top" wrapText="1"/>
    </xf>
    <xf numFmtId="0" fontId="8" fillId="0" borderId="0" xfId="1" applyAlignment="1" applyProtection="1">
      <alignment vertical="center" wrapText="1"/>
    </xf>
    <xf numFmtId="0" fontId="10" fillId="0" borderId="40" xfId="0" applyFont="1" applyBorder="1" applyAlignment="1">
      <alignment vertical="center" shrinkToFit="1"/>
    </xf>
    <xf numFmtId="0" fontId="0" fillId="0" borderId="40" xfId="0" applyBorder="1" applyAlignment="1">
      <alignment vertical="center"/>
    </xf>
    <xf numFmtId="0" fontId="28" fillId="0" borderId="0" xfId="0" applyFont="1" applyAlignment="1">
      <alignment horizontal="center" vertical="center"/>
    </xf>
    <xf numFmtId="0" fontId="0" fillId="0" borderId="40" xfId="0" applyBorder="1" applyAlignment="1">
      <alignment vertical="center" shrinkToFit="1"/>
    </xf>
    <xf numFmtId="0" fontId="10" fillId="0" borderId="0" xfId="0" applyFont="1" applyAlignment="1">
      <alignment vertical="center"/>
    </xf>
    <xf numFmtId="0" fontId="0" fillId="0" borderId="40" xfId="0" applyBorder="1" applyAlignment="1">
      <alignment horizontal="left" vertical="center" shrinkToFit="1"/>
    </xf>
    <xf numFmtId="4" fontId="0" fillId="0" borderId="40" xfId="0" applyNumberFormat="1" applyBorder="1" applyAlignment="1">
      <alignment vertical="center"/>
    </xf>
    <xf numFmtId="0" fontId="10" fillId="0" borderId="40" xfId="0" applyFont="1" applyBorder="1" applyAlignment="1">
      <alignment vertical="center"/>
    </xf>
    <xf numFmtId="14" fontId="0" fillId="0" borderId="40" xfId="0" applyNumberFormat="1" applyBorder="1" applyAlignment="1">
      <alignment vertical="center" shrinkToFit="1"/>
    </xf>
    <xf numFmtId="164" fontId="0" fillId="0" borderId="40" xfId="0" applyNumberFormat="1" applyBorder="1" applyAlignment="1">
      <alignment horizontal="center" vertical="center"/>
    </xf>
    <xf numFmtId="3" fontId="69" fillId="0" borderId="40" xfId="0" applyNumberFormat="1" applyFont="1" applyBorder="1" applyAlignment="1">
      <alignment horizontal="center" vertical="top" wrapText="1"/>
    </xf>
    <xf numFmtId="0" fontId="21" fillId="0" borderId="0" xfId="0" applyFont="1" applyAlignment="1">
      <alignment horizontal="center" vertical="center"/>
    </xf>
    <xf numFmtId="0" fontId="0" fillId="0" borderId="40" xfId="0" applyBorder="1" applyAlignment="1">
      <alignment horizontal="left" vertical="top"/>
    </xf>
    <xf numFmtId="4" fontId="0" fillId="0" borderId="40" xfId="0" applyNumberFormat="1" applyBorder="1" applyAlignment="1">
      <alignment horizontal="left" vertical="top"/>
    </xf>
    <xf numFmtId="0" fontId="69" fillId="0" borderId="40" xfId="0" applyFont="1" applyBorder="1" applyAlignment="1">
      <alignment horizontal="center" vertical="center" wrapText="1"/>
    </xf>
    <xf numFmtId="0" fontId="0" fillId="0" borderId="40" xfId="0" applyBorder="1" applyAlignment="1">
      <alignment vertical="top"/>
    </xf>
    <xf numFmtId="0" fontId="210" fillId="0" borderId="0" xfId="0" applyFont="1" applyAlignment="1">
      <alignment vertical="center" wrapText="1"/>
    </xf>
    <xf numFmtId="0" fontId="10" fillId="0" borderId="40" xfId="0" applyFont="1" applyBorder="1" applyAlignment="1">
      <alignment horizontal="center" vertical="top" wrapText="1"/>
    </xf>
    <xf numFmtId="0" fontId="50" fillId="0" borderId="40" xfId="0" applyFont="1" applyBorder="1" applyAlignment="1">
      <alignment vertical="top"/>
    </xf>
    <xf numFmtId="0" fontId="50" fillId="0" borderId="40" xfId="0" applyFont="1" applyBorder="1" applyAlignment="1">
      <alignment vertical="center"/>
    </xf>
    <xf numFmtId="0" fontId="209" fillId="0" borderId="0" xfId="0" applyFont="1" applyAlignment="1">
      <alignment vertical="center" wrapText="1"/>
    </xf>
    <xf numFmtId="0" fontId="10" fillId="0" borderId="40" xfId="0" applyFont="1" applyBorder="1" applyAlignment="1">
      <alignment vertical="center" wrapText="1"/>
    </xf>
    <xf numFmtId="0" fontId="121" fillId="0" borderId="180" xfId="0" applyFont="1" applyBorder="1" applyAlignment="1">
      <alignment vertical="center" wrapText="1"/>
    </xf>
    <xf numFmtId="0" fontId="121" fillId="0" borderId="99" xfId="0" applyFont="1" applyBorder="1" applyAlignment="1">
      <alignment vertical="center" wrapText="1"/>
    </xf>
    <xf numFmtId="0" fontId="121" fillId="0" borderId="161" xfId="0" applyFont="1" applyBorder="1" applyAlignment="1">
      <alignment vertical="center" wrapText="1"/>
    </xf>
    <xf numFmtId="0" fontId="121" fillId="0" borderId="184" xfId="0" applyFont="1" applyBorder="1" applyAlignment="1">
      <alignment vertical="center" wrapText="1"/>
    </xf>
    <xf numFmtId="0" fontId="121" fillId="0" borderId="0" xfId="0" applyFont="1" applyBorder="1" applyAlignment="1">
      <alignment vertical="center" wrapText="1"/>
    </xf>
    <xf numFmtId="0" fontId="121" fillId="0" borderId="179" xfId="0" applyFont="1" applyBorder="1" applyAlignment="1">
      <alignment vertical="center" wrapText="1"/>
    </xf>
    <xf numFmtId="0" fontId="121" fillId="0" borderId="181" xfId="0" applyFont="1" applyBorder="1" applyAlignment="1">
      <alignment vertical="center" wrapText="1"/>
    </xf>
    <xf numFmtId="0" fontId="121" fillId="0" borderId="20" xfId="0" applyFont="1" applyBorder="1" applyAlignment="1">
      <alignment vertical="center" wrapText="1"/>
    </xf>
    <xf numFmtId="0" fontId="121" fillId="0" borderId="2" xfId="0" applyFont="1" applyBorder="1" applyAlignment="1">
      <alignment vertical="center" wrapText="1"/>
    </xf>
    <xf numFmtId="0" fontId="121" fillId="0" borderId="40" xfId="0" applyFont="1" applyBorder="1" applyAlignment="1">
      <alignment horizontal="left" vertical="top" wrapText="1"/>
    </xf>
    <xf numFmtId="0" fontId="10" fillId="0" borderId="40" xfId="0" applyFont="1" applyBorder="1" applyAlignment="1">
      <alignment horizontal="center" vertical="top"/>
    </xf>
    <xf numFmtId="0" fontId="69" fillId="0" borderId="40" xfId="0" applyFont="1" applyBorder="1" applyAlignment="1">
      <alignment horizontal="center" vertical="top" wrapText="1"/>
    </xf>
    <xf numFmtId="0" fontId="10" fillId="0" borderId="40" xfId="0" applyFont="1" applyBorder="1" applyAlignment="1"/>
    <xf numFmtId="0" fontId="69" fillId="0" borderId="180" xfId="0" applyFont="1" applyBorder="1" applyAlignment="1">
      <alignment horizontal="left" vertical="top" wrapText="1"/>
    </xf>
    <xf numFmtId="0" fontId="69" fillId="0" borderId="99" xfId="0" applyFont="1" applyBorder="1" applyAlignment="1">
      <alignment horizontal="left" vertical="top" wrapText="1"/>
    </xf>
    <xf numFmtId="0" fontId="69" fillId="0" borderId="161" xfId="0" applyFont="1" applyBorder="1" applyAlignment="1">
      <alignment horizontal="left" vertical="top" wrapText="1"/>
    </xf>
    <xf numFmtId="0" fontId="69" fillId="0" borderId="184" xfId="0" applyFont="1" applyBorder="1" applyAlignment="1">
      <alignment horizontal="left" vertical="top" wrapText="1"/>
    </xf>
    <xf numFmtId="0" fontId="69" fillId="0" borderId="0" xfId="0" applyFont="1" applyBorder="1" applyAlignment="1">
      <alignment horizontal="left" vertical="top" wrapText="1"/>
    </xf>
    <xf numFmtId="0" fontId="69" fillId="0" borderId="179" xfId="0" applyFont="1" applyBorder="1" applyAlignment="1">
      <alignment horizontal="left" vertical="top" wrapText="1"/>
    </xf>
    <xf numFmtId="0" fontId="69" fillId="0" borderId="181" xfId="0" applyFont="1" applyBorder="1" applyAlignment="1">
      <alignment horizontal="left" vertical="top" wrapText="1"/>
    </xf>
    <xf numFmtId="0" fontId="69" fillId="0" borderId="20" xfId="0" applyFont="1" applyBorder="1" applyAlignment="1">
      <alignment horizontal="left" vertical="top" wrapText="1"/>
    </xf>
    <xf numFmtId="0" fontId="69" fillId="0" borderId="2" xfId="0" applyFont="1" applyBorder="1" applyAlignment="1">
      <alignment horizontal="left" vertical="top" wrapText="1"/>
    </xf>
    <xf numFmtId="0" fontId="10" fillId="0" borderId="180" xfId="0" applyFont="1" applyBorder="1" applyAlignment="1">
      <alignment vertical="center" wrapText="1"/>
    </xf>
    <xf numFmtId="0" fontId="10" fillId="0" borderId="99" xfId="0" applyFont="1" applyBorder="1" applyAlignment="1">
      <alignment vertical="center" wrapText="1"/>
    </xf>
    <xf numFmtId="0" fontId="10" fillId="0" borderId="161" xfId="0" applyFont="1" applyBorder="1" applyAlignment="1">
      <alignment vertical="center" wrapText="1"/>
    </xf>
    <xf numFmtId="0" fontId="10" fillId="0" borderId="184" xfId="0" applyFont="1" applyBorder="1" applyAlignment="1">
      <alignment vertical="center" wrapText="1"/>
    </xf>
    <xf numFmtId="0" fontId="10" fillId="0" borderId="0" xfId="0" applyFont="1" applyBorder="1" applyAlignment="1">
      <alignment vertical="center" wrapText="1"/>
    </xf>
    <xf numFmtId="0" fontId="10" fillId="0" borderId="179" xfId="0" applyFont="1" applyBorder="1" applyAlignment="1">
      <alignment vertical="center" wrapText="1"/>
    </xf>
    <xf numFmtId="0" fontId="10" fillId="0" borderId="181" xfId="0" applyFont="1" applyBorder="1" applyAlignment="1">
      <alignment vertical="center" wrapText="1"/>
    </xf>
    <xf numFmtId="0" fontId="10" fillId="0" borderId="20" xfId="0" applyFont="1" applyBorder="1" applyAlignment="1">
      <alignment vertical="center" wrapText="1"/>
    </xf>
    <xf numFmtId="0" fontId="10" fillId="0" borderId="2" xfId="0" applyFont="1" applyBorder="1" applyAlignment="1">
      <alignment vertical="center" wrapText="1"/>
    </xf>
    <xf numFmtId="0" fontId="10" fillId="0" borderId="180" xfId="0" applyFont="1" applyBorder="1" applyAlignment="1">
      <alignment horizontal="center" vertical="top"/>
    </xf>
    <xf numFmtId="0" fontId="10" fillId="0" borderId="99" xfId="0" applyFont="1" applyBorder="1" applyAlignment="1">
      <alignment horizontal="center" vertical="top"/>
    </xf>
    <xf numFmtId="0" fontId="10" fillId="0" borderId="161" xfId="0" applyFont="1" applyBorder="1" applyAlignment="1">
      <alignment horizontal="center" vertical="top"/>
    </xf>
    <xf numFmtId="0" fontId="10" fillId="0" borderId="184" xfId="0" applyFont="1" applyBorder="1" applyAlignment="1">
      <alignment horizontal="center" vertical="top"/>
    </xf>
    <xf numFmtId="0" fontId="10" fillId="0" borderId="0" xfId="0" applyFont="1" applyBorder="1" applyAlignment="1">
      <alignment horizontal="center" vertical="top"/>
    </xf>
    <xf numFmtId="0" fontId="10" fillId="0" borderId="179" xfId="0" applyFont="1" applyBorder="1" applyAlignment="1">
      <alignment horizontal="center" vertical="top"/>
    </xf>
    <xf numFmtId="0" fontId="10" fillId="0" borderId="181" xfId="0" applyFont="1" applyBorder="1" applyAlignment="1">
      <alignment horizontal="center" vertical="top"/>
    </xf>
    <xf numFmtId="0" fontId="10" fillId="0" borderId="20" xfId="0" applyFont="1" applyBorder="1" applyAlignment="1">
      <alignment horizontal="center" vertical="top"/>
    </xf>
    <xf numFmtId="0" fontId="10" fillId="0" borderId="2" xfId="0" applyFont="1" applyBorder="1" applyAlignment="1">
      <alignment horizontal="center" vertical="top"/>
    </xf>
    <xf numFmtId="0" fontId="10" fillId="0" borderId="180" xfId="0" applyFont="1" applyBorder="1" applyAlignment="1">
      <alignment vertical="top"/>
    </xf>
    <xf numFmtId="0" fontId="10" fillId="0" borderId="99" xfId="0" applyFont="1" applyBorder="1" applyAlignment="1">
      <alignment vertical="top"/>
    </xf>
    <xf numFmtId="0" fontId="10" fillId="0" borderId="161" xfId="0" applyFont="1" applyBorder="1" applyAlignment="1">
      <alignment vertical="top"/>
    </xf>
    <xf numFmtId="0" fontId="10" fillId="0" borderId="184" xfId="0" applyFont="1" applyBorder="1" applyAlignment="1">
      <alignment vertical="top"/>
    </xf>
    <xf numFmtId="0" fontId="10" fillId="0" borderId="0" xfId="0" applyFont="1" applyBorder="1" applyAlignment="1">
      <alignment vertical="top"/>
    </xf>
    <xf numFmtId="0" fontId="10" fillId="0" borderId="179" xfId="0" applyFont="1" applyBorder="1" applyAlignment="1">
      <alignment vertical="top"/>
    </xf>
    <xf numFmtId="0" fontId="10" fillId="0" borderId="181" xfId="0" applyFont="1" applyBorder="1" applyAlignment="1">
      <alignment vertical="top"/>
    </xf>
    <xf numFmtId="0" fontId="10" fillId="0" borderId="20" xfId="0" applyFont="1" applyBorder="1" applyAlignment="1">
      <alignment vertical="top"/>
    </xf>
    <xf numFmtId="0" fontId="10" fillId="0" borderId="2" xfId="0" applyFont="1" applyBorder="1" applyAlignment="1">
      <alignment vertical="top"/>
    </xf>
    <xf numFmtId="0" fontId="69" fillId="0" borderId="180" xfId="0" applyFont="1" applyBorder="1" applyAlignment="1">
      <alignment vertical="top" wrapText="1"/>
    </xf>
    <xf numFmtId="0" fontId="69" fillId="0" borderId="99" xfId="0" applyFont="1" applyBorder="1" applyAlignment="1">
      <alignment vertical="top" wrapText="1"/>
    </xf>
    <xf numFmtId="0" fontId="69" fillId="0" borderId="161" xfId="0" applyFont="1" applyBorder="1" applyAlignment="1">
      <alignment vertical="top" wrapText="1"/>
    </xf>
    <xf numFmtId="0" fontId="69" fillId="0" borderId="184" xfId="0" applyFont="1" applyBorder="1" applyAlignment="1">
      <alignment vertical="top" wrapText="1"/>
    </xf>
    <xf numFmtId="0" fontId="69" fillId="0" borderId="0" xfId="0" applyFont="1" applyBorder="1" applyAlignment="1">
      <alignment vertical="top" wrapText="1"/>
    </xf>
    <xf numFmtId="0" fontId="69" fillId="0" borderId="179" xfId="0" applyFont="1" applyBorder="1" applyAlignment="1">
      <alignment vertical="top" wrapText="1"/>
    </xf>
    <xf numFmtId="0" fontId="69" fillId="0" borderId="181" xfId="0" applyFont="1" applyBorder="1" applyAlignment="1">
      <alignment vertical="top" wrapText="1"/>
    </xf>
    <xf numFmtId="0" fontId="69" fillId="0" borderId="20" xfId="0" applyFont="1" applyBorder="1" applyAlignment="1">
      <alignment vertical="top" wrapText="1"/>
    </xf>
    <xf numFmtId="0" fontId="69" fillId="0" borderId="2" xfId="0" applyFont="1" applyBorder="1" applyAlignment="1">
      <alignment vertical="top" wrapText="1"/>
    </xf>
    <xf numFmtId="0" fontId="10" fillId="0" borderId="40" xfId="0" applyFont="1" applyBorder="1" applyAlignment="1">
      <alignment horizontal="center" vertical="center" wrapText="1"/>
    </xf>
    <xf numFmtId="0" fontId="122" fillId="0" borderId="40" xfId="0" applyFont="1" applyBorder="1" applyAlignment="1">
      <alignment horizontal="center" vertical="center" wrapText="1"/>
    </xf>
    <xf numFmtId="0" fontId="122" fillId="0" borderId="180" xfId="0" applyFont="1" applyBorder="1" applyAlignment="1">
      <alignment vertical="center" wrapText="1"/>
    </xf>
    <xf numFmtId="0" fontId="122" fillId="0" borderId="99" xfId="0" applyFont="1" applyBorder="1" applyAlignment="1">
      <alignment vertical="center" wrapText="1"/>
    </xf>
    <xf numFmtId="0" fontId="122" fillId="0" borderId="161" xfId="0" applyFont="1" applyBorder="1" applyAlignment="1">
      <alignment vertical="center" wrapText="1"/>
    </xf>
    <xf numFmtId="0" fontId="122" fillId="0" borderId="184" xfId="0" applyFont="1" applyBorder="1" applyAlignment="1">
      <alignment vertical="center" wrapText="1"/>
    </xf>
    <xf numFmtId="0" fontId="122" fillId="0" borderId="0" xfId="0" applyFont="1" applyBorder="1" applyAlignment="1">
      <alignment vertical="center" wrapText="1"/>
    </xf>
    <xf numFmtId="0" fontId="122" fillId="0" borderId="179" xfId="0" applyFont="1" applyBorder="1" applyAlignment="1">
      <alignment vertical="center" wrapText="1"/>
    </xf>
    <xf numFmtId="0" fontId="122" fillId="0" borderId="181" xfId="0" applyFont="1" applyBorder="1" applyAlignment="1">
      <alignment vertical="center" wrapText="1"/>
    </xf>
    <xf numFmtId="0" fontId="122" fillId="0" borderId="20" xfId="0" applyFont="1" applyBorder="1" applyAlignment="1">
      <alignment vertical="center" wrapText="1"/>
    </xf>
    <xf numFmtId="0" fontId="122" fillId="0" borderId="2" xfId="0" applyFont="1" applyBorder="1" applyAlignment="1">
      <alignment vertical="center" wrapText="1"/>
    </xf>
    <xf numFmtId="4" fontId="0" fillId="0" borderId="40" xfId="0" applyNumberFormat="1" applyBorder="1" applyAlignment="1">
      <alignment vertical="center" wrapText="1"/>
    </xf>
    <xf numFmtId="0" fontId="21" fillId="0" borderId="40" xfId="0" applyFont="1" applyBorder="1" applyAlignment="1">
      <alignment horizontal="center" vertical="center" wrapText="1"/>
    </xf>
    <xf numFmtId="0" fontId="21" fillId="0" borderId="40" xfId="0" applyFont="1" applyBorder="1" applyAlignment="1">
      <alignment vertical="center" wrapText="1"/>
    </xf>
    <xf numFmtId="0" fontId="21" fillId="0" borderId="40" xfId="0" applyFont="1" applyBorder="1" applyAlignment="1">
      <alignment vertical="center"/>
    </xf>
    <xf numFmtId="4" fontId="21" fillId="0" borderId="40" xfId="0" applyNumberFormat="1" applyFont="1" applyBorder="1" applyAlignment="1">
      <alignment vertical="center" wrapText="1"/>
    </xf>
    <xf numFmtId="4" fontId="21" fillId="0" borderId="40" xfId="0" applyNumberFormat="1" applyFont="1" applyBorder="1" applyAlignment="1">
      <alignment vertical="center"/>
    </xf>
    <xf numFmtId="0" fontId="0" fillId="0" borderId="180" xfId="0" applyBorder="1" applyAlignment="1">
      <alignment vertical="top"/>
    </xf>
    <xf numFmtId="0" fontId="0" fillId="0" borderId="99" xfId="0" applyBorder="1" applyAlignment="1">
      <alignment vertical="top"/>
    </xf>
    <xf numFmtId="0" fontId="0" fillId="0" borderId="161" xfId="0" applyBorder="1" applyAlignment="1">
      <alignment vertical="top"/>
    </xf>
    <xf numFmtId="0" fontId="0" fillId="0" borderId="184" xfId="0" applyBorder="1" applyAlignment="1">
      <alignment vertical="top"/>
    </xf>
    <xf numFmtId="0" fontId="0" fillId="0" borderId="0" xfId="0" applyBorder="1" applyAlignment="1">
      <alignment vertical="top"/>
    </xf>
    <xf numFmtId="0" fontId="0" fillId="0" borderId="179" xfId="0" applyBorder="1" applyAlignment="1">
      <alignment vertical="top"/>
    </xf>
    <xf numFmtId="0" fontId="0" fillId="0" borderId="181" xfId="0" applyBorder="1" applyAlignment="1">
      <alignment vertical="top"/>
    </xf>
    <xf numFmtId="0" fontId="0" fillId="0" borderId="20" xfId="0" applyBorder="1" applyAlignment="1">
      <alignment vertical="top"/>
    </xf>
    <xf numFmtId="0" fontId="0" fillId="0" borderId="2" xfId="0" applyBorder="1" applyAlignment="1">
      <alignment vertical="top"/>
    </xf>
    <xf numFmtId="0" fontId="21" fillId="0" borderId="50" xfId="0" applyFont="1" applyBorder="1" applyAlignment="1">
      <alignment horizontal="center" vertical="center"/>
    </xf>
    <xf numFmtId="0" fontId="21" fillId="0" borderId="55" xfId="0" applyFont="1" applyBorder="1" applyAlignment="1">
      <alignment horizontal="center" vertical="center"/>
    </xf>
    <xf numFmtId="0" fontId="21" fillId="0" borderId="32" xfId="0" applyFont="1" applyBorder="1" applyAlignment="1">
      <alignment horizontal="center" vertical="center"/>
    </xf>
    <xf numFmtId="0" fontId="21" fillId="0" borderId="40" xfId="0" applyFont="1" applyBorder="1" applyAlignment="1">
      <alignment horizontal="center" vertical="center"/>
    </xf>
    <xf numFmtId="4" fontId="21" fillId="0" borderId="40" xfId="0" applyNumberFormat="1" applyFont="1" applyBorder="1" applyAlignment="1">
      <alignment vertical="top"/>
    </xf>
    <xf numFmtId="0" fontId="10" fillId="0" borderId="180" xfId="0" applyFont="1" applyBorder="1" applyAlignment="1">
      <alignment horizontal="center" vertical="top" wrapText="1"/>
    </xf>
    <xf numFmtId="0" fontId="10" fillId="0" borderId="99" xfId="0" applyFont="1" applyBorder="1" applyAlignment="1">
      <alignment horizontal="center" vertical="top" wrapText="1"/>
    </xf>
    <xf numFmtId="0" fontId="10" fillId="0" borderId="161" xfId="0" applyFont="1" applyBorder="1" applyAlignment="1">
      <alignment horizontal="center" vertical="top" wrapText="1"/>
    </xf>
    <xf numFmtId="0" fontId="10" fillId="0" borderId="184" xfId="0" applyFont="1" applyBorder="1" applyAlignment="1">
      <alignment horizontal="center" vertical="top" wrapText="1"/>
    </xf>
    <xf numFmtId="0" fontId="10" fillId="0" borderId="0" xfId="0" applyFont="1" applyBorder="1" applyAlignment="1">
      <alignment horizontal="center" vertical="top" wrapText="1"/>
    </xf>
    <xf numFmtId="0" fontId="10" fillId="0" borderId="179" xfId="0" applyFont="1" applyBorder="1" applyAlignment="1">
      <alignment horizontal="center" vertical="top" wrapText="1"/>
    </xf>
    <xf numFmtId="0" fontId="10" fillId="0" borderId="181" xfId="0" applyFont="1" applyBorder="1" applyAlignment="1">
      <alignment horizontal="center" vertical="top" wrapText="1"/>
    </xf>
    <xf numFmtId="0" fontId="10" fillId="0" borderId="20" xfId="0" applyFont="1" applyBorder="1" applyAlignment="1">
      <alignment horizontal="center" vertical="top" wrapText="1"/>
    </xf>
    <xf numFmtId="0" fontId="10" fillId="0" borderId="2" xfId="0" applyFont="1" applyBorder="1" applyAlignment="1">
      <alignment horizontal="center" vertical="top" wrapText="1"/>
    </xf>
    <xf numFmtId="0" fontId="21" fillId="0" borderId="50" xfId="0" applyFont="1" applyBorder="1" applyAlignment="1">
      <alignment vertical="center" wrapText="1"/>
    </xf>
    <xf numFmtId="0" fontId="21" fillId="0" borderId="55" xfId="0" applyFont="1" applyBorder="1" applyAlignment="1">
      <alignment vertical="center" wrapText="1"/>
    </xf>
    <xf numFmtId="0" fontId="21" fillId="0" borderId="32" xfId="0" applyFont="1" applyBorder="1" applyAlignment="1">
      <alignment vertical="center" wrapText="1"/>
    </xf>
    <xf numFmtId="0" fontId="0" fillId="0" borderId="180" xfId="0" applyBorder="1" applyAlignment="1">
      <alignment vertical="center"/>
    </xf>
    <xf numFmtId="0" fontId="0" fillId="0" borderId="99" xfId="0" applyBorder="1" applyAlignment="1">
      <alignment vertical="center"/>
    </xf>
    <xf numFmtId="0" fontId="0" fillId="0" borderId="161" xfId="0" applyBorder="1" applyAlignment="1">
      <alignment vertical="center"/>
    </xf>
    <xf numFmtId="0" fontId="0" fillId="0" borderId="184" xfId="0" applyBorder="1" applyAlignment="1">
      <alignment vertical="center"/>
    </xf>
    <xf numFmtId="0" fontId="0" fillId="0" borderId="0" xfId="0" applyBorder="1" applyAlignment="1">
      <alignment vertical="center"/>
    </xf>
    <xf numFmtId="0" fontId="0" fillId="0" borderId="179" xfId="0" applyBorder="1" applyAlignment="1">
      <alignment vertical="center"/>
    </xf>
    <xf numFmtId="0" fontId="0" fillId="0" borderId="181" xfId="0" applyBorder="1" applyAlignment="1">
      <alignment vertical="center"/>
    </xf>
    <xf numFmtId="0" fontId="0" fillId="0" borderId="20" xfId="0" applyBorder="1" applyAlignment="1">
      <alignment vertical="center"/>
    </xf>
    <xf numFmtId="0" fontId="0" fillId="0" borderId="2" xfId="0" applyBorder="1" applyAlignment="1">
      <alignment vertical="center"/>
    </xf>
    <xf numFmtId="0" fontId="0" fillId="0" borderId="180" xfId="0" applyBorder="1" applyAlignment="1">
      <alignment vertical="center" wrapText="1"/>
    </xf>
    <xf numFmtId="0" fontId="0" fillId="0" borderId="99" xfId="0" applyBorder="1" applyAlignment="1">
      <alignment vertical="center" wrapText="1"/>
    </xf>
    <xf numFmtId="0" fontId="0" fillId="0" borderId="161" xfId="0" applyBorder="1" applyAlignment="1">
      <alignment vertical="center" wrapText="1"/>
    </xf>
    <xf numFmtId="0" fontId="0" fillId="0" borderId="181" xfId="0" applyBorder="1" applyAlignment="1">
      <alignment vertical="center" wrapText="1"/>
    </xf>
    <xf numFmtId="0" fontId="0" fillId="0" borderId="20" xfId="0" applyBorder="1" applyAlignment="1">
      <alignment vertical="center" wrapText="1"/>
    </xf>
    <xf numFmtId="0" fontId="0" fillId="0" borderId="2" xfId="0" applyBorder="1" applyAlignment="1">
      <alignment vertical="center" wrapText="1"/>
    </xf>
    <xf numFmtId="0" fontId="21" fillId="0" borderId="180" xfId="0" applyFont="1" applyBorder="1" applyAlignment="1">
      <alignment horizontal="left" vertical="top"/>
    </xf>
    <xf numFmtId="0" fontId="21" fillId="0" borderId="99" xfId="0" applyFont="1" applyBorder="1" applyAlignment="1">
      <alignment horizontal="left" vertical="top"/>
    </xf>
    <xf numFmtId="0" fontId="21" fillId="0" borderId="161" xfId="0" applyFont="1" applyBorder="1" applyAlignment="1">
      <alignment horizontal="left" vertical="top"/>
    </xf>
    <xf numFmtId="0" fontId="21" fillId="0" borderId="181" xfId="0" applyFont="1" applyBorder="1" applyAlignment="1">
      <alignment horizontal="left" vertical="top"/>
    </xf>
    <xf numFmtId="0" fontId="21" fillId="0" borderId="20" xfId="0" applyFont="1" applyBorder="1" applyAlignment="1">
      <alignment horizontal="left" vertical="top"/>
    </xf>
    <xf numFmtId="0" fontId="21" fillId="0" borderId="2" xfId="0" applyFont="1" applyBorder="1" applyAlignment="1">
      <alignment horizontal="left" vertical="top"/>
    </xf>
    <xf numFmtId="0" fontId="21" fillId="0" borderId="50" xfId="0" applyFont="1" applyBorder="1" applyAlignment="1">
      <alignment horizontal="left" vertical="top"/>
    </xf>
    <xf numFmtId="0" fontId="21" fillId="0" borderId="55" xfId="0" applyFont="1" applyBorder="1" applyAlignment="1">
      <alignment horizontal="left" vertical="top"/>
    </xf>
    <xf numFmtId="0" fontId="21" fillId="0" borderId="32" xfId="0" applyFont="1" applyBorder="1" applyAlignment="1">
      <alignment horizontal="left" vertical="top"/>
    </xf>
    <xf numFmtId="4" fontId="0" fillId="0" borderId="40" xfId="0" applyNumberFormat="1" applyBorder="1" applyAlignment="1">
      <alignment vertical="top"/>
    </xf>
    <xf numFmtId="4" fontId="0" fillId="0" borderId="180" xfId="0" applyNumberFormat="1" applyBorder="1" applyAlignment="1">
      <alignment vertical="top"/>
    </xf>
    <xf numFmtId="4" fontId="0" fillId="0" borderId="99" xfId="0" applyNumberFormat="1" applyBorder="1" applyAlignment="1">
      <alignment vertical="top"/>
    </xf>
    <xf numFmtId="4" fontId="0" fillId="0" borderId="161" xfId="0" applyNumberFormat="1" applyBorder="1" applyAlignment="1">
      <alignment vertical="top"/>
    </xf>
    <xf numFmtId="4" fontId="0" fillId="0" borderId="181" xfId="0" applyNumberFormat="1" applyBorder="1" applyAlignment="1">
      <alignment vertical="top"/>
    </xf>
    <xf numFmtId="4" fontId="0" fillId="0" borderId="20" xfId="0" applyNumberFormat="1" applyBorder="1" applyAlignment="1">
      <alignment vertical="top"/>
    </xf>
    <xf numFmtId="4" fontId="0" fillId="0" borderId="2" xfId="0" applyNumberFormat="1" applyBorder="1" applyAlignment="1">
      <alignment vertical="top"/>
    </xf>
    <xf numFmtId="0" fontId="0" fillId="0" borderId="184" xfId="0" applyBorder="1" applyAlignment="1">
      <alignment vertical="center" wrapText="1"/>
    </xf>
    <xf numFmtId="0" fontId="0" fillId="0" borderId="179" xfId="0" applyBorder="1" applyAlignment="1">
      <alignment vertical="center" wrapText="1"/>
    </xf>
    <xf numFmtId="0" fontId="0" fillId="0" borderId="180" xfId="0" applyBorder="1" applyAlignment="1">
      <alignment horizontal="right" vertical="top"/>
    </xf>
    <xf numFmtId="0" fontId="0" fillId="0" borderId="99" xfId="0" applyBorder="1" applyAlignment="1">
      <alignment horizontal="right" vertical="top"/>
    </xf>
    <xf numFmtId="0" fontId="0" fillId="0" borderId="161" xfId="0" applyBorder="1" applyAlignment="1">
      <alignment horizontal="right" vertical="top"/>
    </xf>
    <xf numFmtId="0" fontId="0" fillId="0" borderId="184" xfId="0" applyBorder="1" applyAlignment="1">
      <alignment horizontal="right" vertical="top"/>
    </xf>
    <xf numFmtId="0" fontId="0" fillId="0" borderId="0" xfId="0" applyBorder="1" applyAlignment="1">
      <alignment horizontal="right" vertical="top"/>
    </xf>
    <xf numFmtId="0" fontId="0" fillId="0" borderId="179" xfId="0" applyBorder="1" applyAlignment="1">
      <alignment horizontal="right" vertical="top"/>
    </xf>
    <xf numFmtId="0" fontId="0" fillId="0" borderId="181" xfId="0" applyBorder="1" applyAlignment="1">
      <alignment horizontal="right" vertical="top"/>
    </xf>
    <xf numFmtId="0" fontId="0" fillId="0" borderId="20" xfId="0" applyBorder="1" applyAlignment="1">
      <alignment horizontal="right" vertical="top"/>
    </xf>
    <xf numFmtId="0" fontId="0" fillId="0" borderId="2" xfId="0" applyBorder="1" applyAlignment="1">
      <alignment horizontal="right" vertical="top"/>
    </xf>
    <xf numFmtId="0" fontId="77" fillId="0" borderId="0" xfId="0" applyFont="1" applyAlignment="1">
      <alignment horizontal="justify" vertical="center"/>
    </xf>
    <xf numFmtId="169" fontId="77" fillId="0" borderId="45" xfId="0" applyNumberFormat="1" applyFont="1" applyBorder="1" applyAlignment="1">
      <alignment horizontal="right" vertical="center" wrapText="1"/>
    </xf>
    <xf numFmtId="0" fontId="184" fillId="0" borderId="0" xfId="0" applyFont="1" applyAlignment="1">
      <alignment horizontal="justify" vertical="center"/>
    </xf>
    <xf numFmtId="0" fontId="53" fillId="0" borderId="0" xfId="0" applyFont="1" applyAlignment="1">
      <alignment horizontal="justify" vertical="center"/>
    </xf>
    <xf numFmtId="0" fontId="78" fillId="0" borderId="0" xfId="0" applyFont="1" applyAlignment="1">
      <alignment horizontal="justify" vertical="center"/>
    </xf>
    <xf numFmtId="0" fontId="211" fillId="0" borderId="0" xfId="0" applyFont="1" applyAlignment="1">
      <alignment horizontal="justify" vertical="center"/>
    </xf>
    <xf numFmtId="0" fontId="164" fillId="0" borderId="0" xfId="0" applyFont="1" applyAlignment="1">
      <alignment horizontal="justify" vertical="center"/>
    </xf>
    <xf numFmtId="0" fontId="77" fillId="0" borderId="45" xfId="0" applyFont="1" applyBorder="1" applyAlignment="1">
      <alignment horizontal="right" vertical="center" wrapText="1"/>
    </xf>
    <xf numFmtId="49" fontId="77" fillId="0" borderId="45" xfId="0" applyNumberFormat="1" applyFont="1" applyBorder="1" applyAlignment="1">
      <alignment horizontal="right" vertical="center" wrapText="1"/>
    </xf>
    <xf numFmtId="0" fontId="77" fillId="0" borderId="45" xfId="0" applyNumberFormat="1" applyFont="1" applyBorder="1" applyAlignment="1">
      <alignment horizontal="right" vertical="center" wrapText="1"/>
    </xf>
    <xf numFmtId="0" fontId="77" fillId="0" borderId="0" xfId="0" applyFont="1" applyAlignment="1">
      <alignment horizontal="left" wrapText="1"/>
    </xf>
    <xf numFmtId="169" fontId="0" fillId="0" borderId="0" xfId="0" applyNumberFormat="1" applyAlignment="1">
      <alignment horizontal="center" wrapText="1"/>
    </xf>
    <xf numFmtId="9" fontId="0" fillId="0" borderId="0" xfId="0" applyNumberFormat="1" applyAlignment="1">
      <alignment horizontal="center" wrapText="1"/>
    </xf>
    <xf numFmtId="169" fontId="0" fillId="0" borderId="0" xfId="0" applyNumberFormat="1" applyAlignment="1">
      <alignment horizontal="right" wrapText="1"/>
    </xf>
    <xf numFmtId="0" fontId="0" fillId="0" borderId="0" xfId="0" applyAlignment="1">
      <alignment horizontal="right" wrapText="1"/>
    </xf>
    <xf numFmtId="0" fontId="77" fillId="0" borderId="0" xfId="0" applyFont="1" applyAlignment="1">
      <alignment horizontal="center" vertical="center" wrapText="1"/>
    </xf>
    <xf numFmtId="0" fontId="77" fillId="0" borderId="0" xfId="0" applyFont="1" applyAlignment="1">
      <alignment horizontal="right" vertical="center" wrapText="1"/>
    </xf>
    <xf numFmtId="0" fontId="79" fillId="0" borderId="0" xfId="0" applyFont="1" applyAlignment="1">
      <alignment horizontal="center" vertical="center" wrapText="1"/>
    </xf>
    <xf numFmtId="0" fontId="77" fillId="0" borderId="0" xfId="0" applyFont="1" applyAlignment="1">
      <alignment horizontal="left" vertical="center" wrapText="1"/>
    </xf>
    <xf numFmtId="0" fontId="79" fillId="0" borderId="0" xfId="0" applyFont="1" applyAlignment="1">
      <alignment vertical="center" wrapText="1"/>
    </xf>
    <xf numFmtId="0" fontId="77" fillId="0" borderId="0" xfId="0" applyFont="1" applyAlignment="1">
      <alignment vertical="center" wrapText="1"/>
    </xf>
    <xf numFmtId="9" fontId="164" fillId="0" borderId="0" xfId="0" applyNumberFormat="1" applyFont="1" applyAlignment="1" applyProtection="1">
      <alignment horizontal="center" vertical="center" wrapText="1"/>
      <protection locked="0"/>
    </xf>
    <xf numFmtId="0" fontId="164" fillId="0" borderId="0" xfId="0" applyFont="1" applyAlignment="1" applyProtection="1">
      <alignment horizontal="center" vertical="center" wrapText="1"/>
      <protection locked="0"/>
    </xf>
    <xf numFmtId="0" fontId="77" fillId="0" borderId="0" xfId="0" applyNumberFormat="1" applyFont="1" applyAlignment="1" applyProtection="1">
      <alignment horizontal="center" vertical="center" wrapText="1"/>
      <protection locked="0"/>
    </xf>
    <xf numFmtId="0" fontId="78" fillId="0" borderId="0" xfId="0" applyFont="1" applyAlignment="1">
      <alignment vertical="center" wrapText="1"/>
    </xf>
    <xf numFmtId="0" fontId="78" fillId="0" borderId="0" xfId="0" applyFont="1" applyAlignment="1">
      <alignment horizontal="justify" vertical="center" wrapText="1"/>
    </xf>
    <xf numFmtId="49" fontId="77" fillId="0" borderId="0" xfId="0" applyNumberFormat="1" applyFont="1" applyAlignment="1">
      <alignment horizontal="center" vertical="center" wrapText="1"/>
    </xf>
    <xf numFmtId="0" fontId="77" fillId="0" borderId="0" xfId="0" applyNumberFormat="1" applyFont="1" applyAlignment="1">
      <alignment horizontal="center" vertical="center" wrapText="1"/>
    </xf>
    <xf numFmtId="169" fontId="77" fillId="0" borderId="0" xfId="0" applyNumberFormat="1" applyFont="1" applyAlignment="1">
      <alignment horizontal="right" vertical="center" wrapText="1"/>
    </xf>
    <xf numFmtId="0" fontId="212" fillId="0" borderId="0" xfId="0" applyFont="1" applyAlignment="1">
      <alignment horizontal="left" vertical="center" wrapText="1"/>
    </xf>
    <xf numFmtId="0" fontId="162" fillId="0" borderId="0" xfId="0" applyFont="1" applyFill="1" applyAlignment="1">
      <alignment vertical="center" wrapText="1"/>
    </xf>
    <xf numFmtId="0" fontId="213" fillId="0" borderId="0" xfId="0" applyFont="1" applyFill="1" applyAlignment="1">
      <alignment vertical="center" wrapText="1"/>
    </xf>
    <xf numFmtId="0" fontId="79" fillId="0" borderId="0" xfId="0" applyFont="1" applyAlignment="1">
      <alignment horizontal="justify" vertical="center" wrapText="1"/>
    </xf>
    <xf numFmtId="0" fontId="77" fillId="0" borderId="0" xfId="0" applyFont="1" applyAlignment="1">
      <alignment horizontal="justify" vertical="center" wrapText="1"/>
    </xf>
    <xf numFmtId="0" fontId="214" fillId="0" borderId="0" xfId="0" applyFont="1" applyAlignment="1">
      <alignment vertical="center" wrapText="1"/>
    </xf>
    <xf numFmtId="0" fontId="212" fillId="0" borderId="0" xfId="0" applyFont="1" applyAlignment="1">
      <alignment vertical="center" wrapText="1"/>
    </xf>
    <xf numFmtId="0" fontId="79" fillId="0" borderId="0" xfId="0" applyFont="1" applyAlignment="1">
      <alignment horizontal="left" vertical="center" wrapText="1"/>
    </xf>
    <xf numFmtId="0" fontId="164" fillId="0" borderId="0" xfId="0" applyFont="1" applyAlignment="1">
      <alignment horizontal="left" wrapText="1"/>
    </xf>
    <xf numFmtId="0" fontId="110" fillId="0" borderId="0" xfId="0" applyFont="1" applyAlignment="1">
      <alignment horizontal="left" vertical="center" wrapText="1"/>
    </xf>
    <xf numFmtId="0" fontId="77" fillId="0" borderId="105" xfId="0" applyFont="1" applyBorder="1" applyAlignment="1">
      <alignment horizontal="center" vertical="center" wrapText="1"/>
    </xf>
    <xf numFmtId="0" fontId="77" fillId="0" borderId="106" xfId="0" applyFont="1" applyBorder="1" applyAlignment="1">
      <alignment horizontal="center" vertical="center" wrapText="1"/>
    </xf>
    <xf numFmtId="0" fontId="77" fillId="0" borderId="98" xfId="0" applyFont="1" applyBorder="1" applyAlignment="1">
      <alignment horizontal="center" vertical="center" wrapText="1"/>
    </xf>
    <xf numFmtId="0" fontId="77" fillId="0" borderId="45" xfId="0" applyFont="1" applyBorder="1" applyAlignment="1">
      <alignment horizontal="center" vertical="center" wrapText="1"/>
    </xf>
    <xf numFmtId="0" fontId="77" fillId="0" borderId="84" xfId="0" applyFont="1" applyBorder="1" applyAlignment="1">
      <alignment horizontal="center" vertical="center" wrapText="1"/>
    </xf>
    <xf numFmtId="0" fontId="67" fillId="2" borderId="124" xfId="2" applyFont="1" applyFill="1" applyBorder="1" applyAlignment="1" applyProtection="1">
      <alignment horizontal="center" vertical="center"/>
    </xf>
    <xf numFmtId="0" fontId="67" fillId="2" borderId="6" xfId="2" applyFont="1" applyFill="1" applyBorder="1" applyAlignment="1" applyProtection="1">
      <alignment horizontal="center" vertical="center"/>
    </xf>
    <xf numFmtId="0" fontId="19" fillId="5" borderId="45" xfId="0" applyNumberFormat="1" applyFont="1" applyFill="1" applyBorder="1" applyAlignment="1" applyProtection="1">
      <alignment horizontal="center" vertical="center" wrapText="1"/>
    </xf>
    <xf numFmtId="0" fontId="77" fillId="0" borderId="84" xfId="0" applyNumberFormat="1" applyFont="1" applyBorder="1" applyAlignment="1">
      <alignment horizontal="center" vertical="center" wrapText="1"/>
    </xf>
    <xf numFmtId="0" fontId="77" fillId="0" borderId="106" xfId="0" applyNumberFormat="1" applyFont="1" applyBorder="1" applyAlignment="1">
      <alignment horizontal="center" vertical="center" wrapText="1"/>
    </xf>
    <xf numFmtId="0" fontId="77" fillId="0" borderId="98" xfId="0" applyNumberFormat="1" applyFont="1" applyBorder="1" applyAlignment="1">
      <alignment horizontal="center" vertical="center" wrapText="1"/>
    </xf>
    <xf numFmtId="0" fontId="215" fillId="5" borderId="84" xfId="0" applyNumberFormat="1" applyFont="1" applyFill="1" applyBorder="1" applyAlignment="1" applyProtection="1">
      <alignment horizontal="center" vertical="center" wrapText="1"/>
      <protection locked="0"/>
    </xf>
    <xf numFmtId="0" fontId="215" fillId="5" borderId="98" xfId="0" applyNumberFormat="1" applyFont="1" applyFill="1" applyBorder="1" applyAlignment="1" applyProtection="1">
      <alignment horizontal="center" vertical="center" wrapText="1"/>
      <protection locked="0"/>
    </xf>
    <xf numFmtId="0" fontId="78" fillId="0" borderId="0" xfId="0" applyFont="1" applyAlignment="1">
      <alignment horizontal="left" vertical="center" wrapText="1"/>
    </xf>
    <xf numFmtId="169" fontId="77" fillId="0" borderId="84" xfId="0" applyNumberFormat="1" applyFont="1" applyBorder="1" applyAlignment="1">
      <alignment horizontal="right" vertical="center" wrapText="1"/>
    </xf>
    <xf numFmtId="169" fontId="77" fillId="0" borderId="106" xfId="0" applyNumberFormat="1" applyFont="1" applyBorder="1" applyAlignment="1">
      <alignment horizontal="right" vertical="center" wrapText="1"/>
    </xf>
    <xf numFmtId="169" fontId="77" fillId="0" borderId="98" xfId="0" applyNumberFormat="1" applyFont="1" applyBorder="1" applyAlignment="1">
      <alignment horizontal="right" vertical="center" wrapText="1"/>
    </xf>
    <xf numFmtId="49" fontId="77" fillId="0" borderId="84" xfId="0" applyNumberFormat="1" applyFont="1" applyBorder="1" applyAlignment="1">
      <alignment horizontal="center" vertical="center" wrapText="1"/>
    </xf>
    <xf numFmtId="49" fontId="77" fillId="0" borderId="106" xfId="0" applyNumberFormat="1" applyFont="1" applyBorder="1" applyAlignment="1">
      <alignment horizontal="center" vertical="center" wrapText="1"/>
    </xf>
    <xf numFmtId="49" fontId="77" fillId="0" borderId="98" xfId="0" applyNumberFormat="1" applyFont="1" applyBorder="1" applyAlignment="1">
      <alignment horizontal="center" vertical="center" wrapText="1"/>
    </xf>
    <xf numFmtId="0" fontId="109" fillId="2" borderId="82" xfId="2" applyFont="1" applyFill="1" applyBorder="1" applyAlignment="1" applyProtection="1">
      <alignment horizontal="left" vertical="center" wrapText="1"/>
    </xf>
    <xf numFmtId="0" fontId="109" fillId="2" borderId="79" xfId="2" applyFont="1" applyFill="1" applyBorder="1" applyAlignment="1" applyProtection="1">
      <alignment horizontal="left" vertical="center" wrapText="1"/>
    </xf>
    <xf numFmtId="0" fontId="109" fillId="2" borderId="81" xfId="2" applyFont="1" applyFill="1" applyBorder="1" applyAlignment="1" applyProtection="1">
      <alignment horizontal="left" vertical="center" wrapText="1"/>
    </xf>
    <xf numFmtId="0" fontId="109" fillId="2" borderId="9" xfId="2" applyFont="1" applyFill="1" applyBorder="1" applyAlignment="1" applyProtection="1">
      <alignment horizontal="left" vertical="center" wrapText="1"/>
    </xf>
    <xf numFmtId="0" fontId="109" fillId="2" borderId="0" xfId="2" applyFont="1" applyFill="1" applyBorder="1" applyAlignment="1" applyProtection="1">
      <alignment horizontal="left" vertical="center" wrapText="1"/>
    </xf>
    <xf numFmtId="0" fontId="109" fillId="2" borderId="8" xfId="2" applyFont="1" applyFill="1" applyBorder="1" applyAlignment="1" applyProtection="1">
      <alignment horizontal="left" vertical="center" wrapText="1"/>
    </xf>
    <xf numFmtId="0" fontId="109" fillId="2" borderId="130" xfId="2" applyFont="1" applyFill="1" applyBorder="1" applyAlignment="1" applyProtection="1">
      <alignment horizontal="left" vertical="center" wrapText="1"/>
    </xf>
    <xf numFmtId="0" fontId="109" fillId="2" borderId="21" xfId="2" applyFont="1" applyFill="1" applyBorder="1" applyAlignment="1" applyProtection="1">
      <alignment horizontal="left" vertical="center" wrapText="1"/>
    </xf>
    <xf numFmtId="0" fontId="109" fillId="2" borderId="5" xfId="2" applyFont="1" applyFill="1" applyBorder="1" applyAlignment="1" applyProtection="1">
      <alignment horizontal="left" vertical="center" wrapText="1"/>
    </xf>
    <xf numFmtId="0" fontId="110" fillId="0" borderId="0" xfId="0" applyFont="1" applyAlignment="1">
      <alignment vertical="center" wrapText="1"/>
    </xf>
    <xf numFmtId="0" fontId="54" fillId="0" borderId="0" xfId="0" applyFont="1" applyAlignment="1">
      <alignment horizontal="center" vertical="center" wrapText="1"/>
    </xf>
    <xf numFmtId="0" fontId="217" fillId="0" borderId="0" xfId="0" applyFont="1" applyAlignment="1">
      <alignment horizontal="justify" vertical="center"/>
    </xf>
    <xf numFmtId="0" fontId="218" fillId="0" borderId="0" xfId="0" applyFont="1" applyAlignment="1">
      <alignment horizontal="justify" vertical="center"/>
    </xf>
    <xf numFmtId="0" fontId="106" fillId="0" borderId="0" xfId="0" applyFont="1" applyAlignment="1">
      <alignment horizontal="justify" vertical="center"/>
    </xf>
    <xf numFmtId="0" fontId="115" fillId="0" borderId="0" xfId="0" applyFont="1" applyAlignment="1">
      <alignment horizontal="justify" vertical="center"/>
    </xf>
    <xf numFmtId="0" fontId="163" fillId="0" borderId="0" xfId="0" applyFont="1" applyAlignment="1">
      <alignment horizontal="justify" vertical="center"/>
    </xf>
    <xf numFmtId="0" fontId="161" fillId="0" borderId="0" xfId="0" applyFont="1" applyAlignment="1">
      <alignment vertical="center" wrapText="1"/>
    </xf>
    <xf numFmtId="2" fontId="4" fillId="0" borderId="0" xfId="0" applyNumberFormat="1" applyFont="1" applyBorder="1" applyAlignment="1">
      <alignment vertical="top" wrapText="1"/>
    </xf>
    <xf numFmtId="0" fontId="163" fillId="0" borderId="0" xfId="0" applyFont="1" applyFill="1" applyAlignment="1">
      <alignment vertical="center" wrapText="1"/>
    </xf>
    <xf numFmtId="9" fontId="77" fillId="0" borderId="84" xfId="0" applyNumberFormat="1" applyFont="1" applyBorder="1" applyAlignment="1">
      <alignment horizontal="center" vertical="center" wrapText="1"/>
    </xf>
    <xf numFmtId="3" fontId="4" fillId="0" borderId="0" xfId="0" applyNumberFormat="1" applyFont="1" applyAlignment="1">
      <alignment vertical="top" wrapText="1"/>
    </xf>
    <xf numFmtId="3" fontId="4" fillId="0" borderId="0" xfId="0" applyNumberFormat="1" applyFont="1" applyAlignment="1">
      <alignment horizontal="right" vertical="top" wrapText="1"/>
    </xf>
    <xf numFmtId="3" fontId="4" fillId="0" borderId="9" xfId="0" applyNumberFormat="1" applyFont="1" applyBorder="1" applyAlignment="1">
      <alignment horizontal="right" vertical="top" wrapText="1"/>
    </xf>
    <xf numFmtId="3" fontId="4" fillId="0" borderId="0" xfId="0" applyNumberFormat="1" applyFont="1" applyBorder="1" applyAlignment="1">
      <alignment horizontal="right" vertical="top" wrapText="1"/>
    </xf>
    <xf numFmtId="0" fontId="78" fillId="11" borderId="0" xfId="0" applyFont="1" applyFill="1" applyAlignment="1">
      <alignment horizontal="center" vertical="center" wrapText="1"/>
    </xf>
    <xf numFmtId="169" fontId="77" fillId="0" borderId="0" xfId="0" applyNumberFormat="1" applyFont="1" applyAlignment="1">
      <alignment vertical="center" wrapText="1"/>
    </xf>
    <xf numFmtId="3" fontId="77" fillId="0" borderId="0" xfId="0" applyNumberFormat="1" applyFont="1" applyAlignment="1">
      <alignment horizontal="center" vertical="center" wrapText="1"/>
    </xf>
    <xf numFmtId="171" fontId="77" fillId="0" borderId="0" xfId="0" applyNumberFormat="1" applyFont="1" applyAlignment="1">
      <alignment horizontal="right" vertical="center" wrapText="1"/>
    </xf>
    <xf numFmtId="14" fontId="77" fillId="0" borderId="0" xfId="0" applyNumberFormat="1" applyFont="1" applyAlignment="1">
      <alignment vertical="center" wrapText="1"/>
    </xf>
    <xf numFmtId="49" fontId="77" fillId="0" borderId="45" xfId="0" applyNumberFormat="1" applyFont="1" applyBorder="1" applyAlignment="1">
      <alignment horizontal="center" vertical="center" wrapText="1"/>
    </xf>
    <xf numFmtId="0" fontId="106" fillId="0" borderId="0" xfId="0" applyFont="1" applyAlignment="1">
      <alignment horizontal="left" vertical="center" wrapText="1"/>
    </xf>
    <xf numFmtId="0" fontId="216" fillId="0" borderId="0" xfId="0" applyFont="1" applyAlignment="1" applyProtection="1">
      <alignment horizontal="center" vertical="center" wrapText="1"/>
      <protection locked="0"/>
    </xf>
    <xf numFmtId="0" fontId="78" fillId="0" borderId="0" xfId="0" applyFont="1" applyAlignment="1">
      <alignment horizontal="center" vertical="center" wrapText="1"/>
    </xf>
    <xf numFmtId="0" fontId="77" fillId="0" borderId="108" xfId="0" applyFont="1" applyBorder="1" applyAlignment="1">
      <alignment horizontal="center" vertical="center" wrapText="1"/>
    </xf>
    <xf numFmtId="0" fontId="4" fillId="0" borderId="9" xfId="0" applyFont="1" applyBorder="1" applyAlignment="1">
      <alignment horizontal="right" vertical="top" wrapText="1"/>
    </xf>
    <xf numFmtId="0" fontId="4" fillId="0" borderId="0" xfId="0" applyFont="1" applyBorder="1" applyAlignment="1">
      <alignment horizontal="right" vertical="top" wrapText="1"/>
    </xf>
    <xf numFmtId="0" fontId="2" fillId="4" borderId="9" xfId="0" applyFont="1" applyFill="1" applyBorder="1" applyAlignment="1">
      <alignment horizontal="center" vertical="top" wrapText="1"/>
    </xf>
    <xf numFmtId="0" fontId="2" fillId="4" borderId="0" xfId="0" applyFont="1" applyFill="1" applyBorder="1" applyAlignment="1">
      <alignment horizontal="center" vertical="top" wrapText="1"/>
    </xf>
    <xf numFmtId="0" fontId="8" fillId="0" borderId="0" xfId="1" applyAlignment="1" applyProtection="1">
      <alignment vertical="center"/>
    </xf>
  </cellXfs>
  <cellStyles count="4">
    <cellStyle name="Köprü" xfId="1" builtinId="8"/>
    <cellStyle name="Normal" xfId="0" builtinId="0"/>
    <cellStyle name="Normal_Sayfa1" xfId="2"/>
    <cellStyle name="Virgül" xfId="3"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http://www.memurlar.net/common/images/press/0.gif" TargetMode="Externa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0</xdr:colOff>
      <xdr:row>441</xdr:row>
      <xdr:rowOff>0</xdr:rowOff>
    </xdr:from>
    <xdr:to>
      <xdr:col>0</xdr:col>
      <xdr:colOff>9525</xdr:colOff>
      <xdr:row>441</xdr:row>
      <xdr:rowOff>9525</xdr:rowOff>
    </xdr:to>
    <xdr:pic>
      <xdr:nvPicPr>
        <xdr:cNvPr id="23572" name="Resim 1" descr="http://www.memurlar.net/common/images/press/0.gif"/>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0" y="1020984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24</xdr:col>
      <xdr:colOff>19050</xdr:colOff>
      <xdr:row>166</xdr:row>
      <xdr:rowOff>142874</xdr:rowOff>
    </xdr:from>
    <xdr:to>
      <xdr:col>26</xdr:col>
      <xdr:colOff>28575</xdr:colOff>
      <xdr:row>168</xdr:row>
      <xdr:rowOff>47624</xdr:rowOff>
    </xdr:to>
    <xdr:sp macro="" textlink="">
      <xdr:nvSpPr>
        <xdr:cNvPr id="2" name="Sağ Ok 1"/>
        <xdr:cNvSpPr/>
      </xdr:nvSpPr>
      <xdr:spPr>
        <a:xfrm>
          <a:off x="5848350" y="40738424"/>
          <a:ext cx="714375" cy="2762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tr-TR"/>
        </a:p>
      </xdr:txBody>
    </xdr:sp>
    <xdr:clientData/>
  </xdr:twoCellAnchor>
  <xdr:twoCellAnchor>
    <xdr:from>
      <xdr:col>24</xdr:col>
      <xdr:colOff>38100</xdr:colOff>
      <xdr:row>186</xdr:row>
      <xdr:rowOff>171450</xdr:rowOff>
    </xdr:from>
    <xdr:to>
      <xdr:col>26</xdr:col>
      <xdr:colOff>47625</xdr:colOff>
      <xdr:row>188</xdr:row>
      <xdr:rowOff>47625</xdr:rowOff>
    </xdr:to>
    <xdr:sp macro="" textlink="">
      <xdr:nvSpPr>
        <xdr:cNvPr id="4" name="Sağ Ok 3"/>
        <xdr:cNvSpPr/>
      </xdr:nvSpPr>
      <xdr:spPr>
        <a:xfrm>
          <a:off x="5867400" y="44729400"/>
          <a:ext cx="714375" cy="2762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tr-TR"/>
        </a:p>
      </xdr:txBody>
    </xdr:sp>
    <xdr:clientData/>
  </xdr:twoCellAnchor>
  <xdr:twoCellAnchor>
    <xdr:from>
      <xdr:col>24</xdr:col>
      <xdr:colOff>0</xdr:colOff>
      <xdr:row>199</xdr:row>
      <xdr:rowOff>0</xdr:rowOff>
    </xdr:from>
    <xdr:to>
      <xdr:col>26</xdr:col>
      <xdr:colOff>9525</xdr:colOff>
      <xdr:row>199</xdr:row>
      <xdr:rowOff>276225</xdr:rowOff>
    </xdr:to>
    <xdr:sp macro="" textlink="">
      <xdr:nvSpPr>
        <xdr:cNvPr id="5" name="Sağ Ok 4"/>
        <xdr:cNvSpPr/>
      </xdr:nvSpPr>
      <xdr:spPr>
        <a:xfrm>
          <a:off x="5829300" y="47129700"/>
          <a:ext cx="714375" cy="2762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tr-TR"/>
        </a:p>
      </xdr:txBody>
    </xdr:sp>
    <xdr:clientData/>
  </xdr:twoCellAnchor>
  <xdr:twoCellAnchor>
    <xdr:from>
      <xdr:col>24</xdr:col>
      <xdr:colOff>0</xdr:colOff>
      <xdr:row>221</xdr:row>
      <xdr:rowOff>0</xdr:rowOff>
    </xdr:from>
    <xdr:to>
      <xdr:col>26</xdr:col>
      <xdr:colOff>9525</xdr:colOff>
      <xdr:row>222</xdr:row>
      <xdr:rowOff>76200</xdr:rowOff>
    </xdr:to>
    <xdr:sp macro="" textlink="">
      <xdr:nvSpPr>
        <xdr:cNvPr id="7" name="Sağ Ok 6"/>
        <xdr:cNvSpPr/>
      </xdr:nvSpPr>
      <xdr:spPr>
        <a:xfrm>
          <a:off x="5829300" y="52368450"/>
          <a:ext cx="714375" cy="2762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tr-TR"/>
        </a:p>
      </xdr:txBody>
    </xdr:sp>
    <xdr:clientData/>
  </xdr:twoCellAnchor>
</xdr:wsDr>
</file>

<file path=xl/theme/theme1.xml><?xml version="1.0" encoding="utf-8"?>
<a:theme xmlns:a="http://schemas.openxmlformats.org/drawingml/2006/main" name="Ofis Teması">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s">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i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alomaliye.com/pratik_bilgiler_ana.htm" TargetMode="External"/><Relationship Id="rId7" Type="http://schemas.openxmlformats.org/officeDocument/2006/relationships/hyperlink" Target="http://www.memurlar.net/haber/36809/" TargetMode="External"/><Relationship Id="rId2" Type="http://schemas.openxmlformats.org/officeDocument/2006/relationships/hyperlink" Target="http://www.mevzuat.gov.tr/MevzuatMetin/1.5.657.pdf" TargetMode="External"/><Relationship Id="rId1" Type="http://schemas.openxmlformats.org/officeDocument/2006/relationships/hyperlink" Target="http://www.mevzuat.gov.tr/Metin.Aspx?MevzuatKod=1.3.6245&amp;MevzuatIliski=0&amp;sourceXmlSearch=" TargetMode="External"/><Relationship Id="rId6" Type="http://schemas.openxmlformats.org/officeDocument/2006/relationships/hyperlink" Target="http://www.memurlar.net/haber/36809/" TargetMode="External"/><Relationship Id="rId5" Type="http://schemas.openxmlformats.org/officeDocument/2006/relationships/hyperlink" Target="http://www.memurlar.net/" TargetMode="External"/><Relationship Id="rId4" Type="http://schemas.openxmlformats.org/officeDocument/2006/relationships/hyperlink" Target="http://www.bumko.gov.tr/TR,909/maas-istatistikleri--verileri.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yaklasim.com/malibilgiler/pratikbilgiler/maddeler/011.ht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0.bin"/><Relationship Id="rId1" Type="http://schemas.openxmlformats.org/officeDocument/2006/relationships/hyperlink" Target="mailto:hialaca@muhasebat.gov.tr"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tabSelected="1" workbookViewId="0">
      <selection activeCell="D8" sqref="D8"/>
    </sheetView>
  </sheetViews>
  <sheetFormatPr defaultRowHeight="12.75"/>
  <cols>
    <col min="1" max="1" width="11.85546875" style="661" customWidth="1"/>
    <col min="2" max="2" width="4.42578125" style="661" customWidth="1"/>
    <col min="3" max="3" width="4.42578125" customWidth="1"/>
    <col min="4" max="4" width="81.7109375" customWidth="1"/>
  </cols>
  <sheetData>
    <row r="1" spans="1:4" ht="26.25" customHeight="1">
      <c r="A1" s="853" t="s">
        <v>4823</v>
      </c>
      <c r="B1" s="853"/>
      <c r="D1" s="661"/>
    </row>
    <row r="2" spans="1:4">
      <c r="A2" s="664" t="s">
        <v>4827</v>
      </c>
      <c r="C2">
        <v>1</v>
      </c>
      <c r="D2" s="663" t="s">
        <v>4826</v>
      </c>
    </row>
    <row r="3" spans="1:4">
      <c r="A3" s="661">
        <v>6245</v>
      </c>
      <c r="B3" s="664" t="s">
        <v>4824</v>
      </c>
      <c r="C3">
        <v>2</v>
      </c>
      <c r="D3" s="663" t="s">
        <v>4822</v>
      </c>
    </row>
    <row r="4" spans="1:4">
      <c r="A4" s="661">
        <v>657</v>
      </c>
      <c r="B4" s="664" t="s">
        <v>4824</v>
      </c>
      <c r="C4">
        <v>3</v>
      </c>
      <c r="D4" s="663" t="s">
        <v>4825</v>
      </c>
    </row>
    <row r="5" spans="1:4">
      <c r="A5" s="664" t="s">
        <v>4829</v>
      </c>
      <c r="C5">
        <v>4</v>
      </c>
      <c r="D5" s="663" t="s">
        <v>4828</v>
      </c>
    </row>
    <row r="6" spans="1:4">
      <c r="D6" s="2041" t="s">
        <v>4939</v>
      </c>
    </row>
    <row r="7" spans="1:4">
      <c r="D7" s="2041" t="s">
        <v>4938</v>
      </c>
    </row>
    <row r="8" spans="1:4">
      <c r="D8" s="663" t="s">
        <v>4940</v>
      </c>
    </row>
  </sheetData>
  <mergeCells count="1">
    <mergeCell ref="A1:B1"/>
  </mergeCells>
  <hyperlinks>
    <hyperlink ref="D3" r:id="rId1"/>
    <hyperlink ref="D4" r:id="rId2"/>
    <hyperlink ref="D2" r:id="rId3"/>
    <hyperlink ref="D5" r:id="rId4"/>
    <hyperlink ref="D6" r:id="rId5"/>
    <hyperlink ref="D7" r:id="rId6"/>
    <hyperlink ref="D8" r:id="rId7" location=".UQqB3KP5uZQ"/>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0"/>
  <sheetViews>
    <sheetView zoomScale="115" zoomScaleNormal="115" workbookViewId="0">
      <pane xSplit="4" ySplit="3" topLeftCell="E89" activePane="bottomRight" state="frozen"/>
      <selection pane="topRight" activeCell="E1" sqref="E1"/>
      <selection pane="bottomLeft" activeCell="A4" sqref="A4"/>
      <selection pane="bottomRight" activeCell="G105" sqref="G105"/>
    </sheetView>
  </sheetViews>
  <sheetFormatPr defaultRowHeight="12.75"/>
  <cols>
    <col min="1" max="1" width="15.7109375" style="662" bestFit="1" customWidth="1"/>
    <col min="2" max="2" width="10.7109375" style="640" bestFit="1" customWidth="1"/>
    <col min="3" max="3" width="10.42578125" style="640" customWidth="1"/>
    <col min="4" max="4" width="9.5703125" style="662" bestFit="1" customWidth="1"/>
    <col min="5" max="16384" width="9.140625" style="662"/>
  </cols>
  <sheetData>
    <row r="1" spans="1:4" ht="15.75">
      <c r="A1" s="854" t="s">
        <v>4764</v>
      </c>
      <c r="B1" s="854"/>
      <c r="C1" s="854"/>
      <c r="D1" s="854"/>
    </row>
    <row r="2" spans="1:4">
      <c r="A2" s="855" t="s">
        <v>4765</v>
      </c>
      <c r="B2" s="857" t="s">
        <v>4766</v>
      </c>
      <c r="C2" s="857" t="s">
        <v>4183</v>
      </c>
      <c r="D2" s="857" t="s">
        <v>4767</v>
      </c>
    </row>
    <row r="3" spans="1:4">
      <c r="A3" s="856"/>
      <c r="B3" s="858"/>
      <c r="C3" s="858"/>
      <c r="D3" s="858"/>
    </row>
    <row r="4" spans="1:4" ht="15.75">
      <c r="A4" s="838">
        <v>25628</v>
      </c>
      <c r="B4" s="620">
        <v>7</v>
      </c>
      <c r="C4" s="620"/>
      <c r="D4" s="620"/>
    </row>
    <row r="5" spans="1:4" ht="15.75">
      <c r="A5" s="838">
        <v>25993</v>
      </c>
      <c r="B5" s="620">
        <v>7</v>
      </c>
      <c r="C5" s="620"/>
      <c r="D5" s="620"/>
    </row>
    <row r="6" spans="1:4" ht="15.75">
      <c r="A6" s="838">
        <v>26359</v>
      </c>
      <c r="B6" s="620">
        <v>7</v>
      </c>
      <c r="C6" s="620"/>
      <c r="D6" s="620"/>
    </row>
    <row r="7" spans="1:4" ht="15.75">
      <c r="A7" s="838">
        <v>26724</v>
      </c>
      <c r="B7" s="620">
        <v>7</v>
      </c>
      <c r="C7" s="620"/>
      <c r="D7" s="620"/>
    </row>
    <row r="8" spans="1:4" ht="15.75">
      <c r="A8" s="838">
        <v>27089</v>
      </c>
      <c r="B8" s="620">
        <v>8</v>
      </c>
      <c r="C8" s="620">
        <v>4</v>
      </c>
      <c r="D8" s="620"/>
    </row>
    <row r="9" spans="1:4" ht="15.75">
      <c r="A9" s="838">
        <v>27454</v>
      </c>
      <c r="B9" s="620">
        <v>9</v>
      </c>
      <c r="C9" s="620">
        <v>4</v>
      </c>
      <c r="D9" s="620"/>
    </row>
    <row r="10" spans="1:4" ht="15.75">
      <c r="A10" s="838">
        <v>27820</v>
      </c>
      <c r="B10" s="620">
        <v>9</v>
      </c>
      <c r="C10" s="620">
        <v>4</v>
      </c>
      <c r="D10" s="620"/>
    </row>
    <row r="11" spans="1:4" ht="15.75">
      <c r="A11" s="838">
        <v>28185</v>
      </c>
      <c r="B11" s="620">
        <v>12</v>
      </c>
      <c r="C11" s="620">
        <v>4</v>
      </c>
      <c r="D11" s="620"/>
    </row>
    <row r="12" spans="1:4" ht="15.75">
      <c r="A12" s="838">
        <v>28550</v>
      </c>
      <c r="B12" s="620">
        <v>14</v>
      </c>
      <c r="C12" s="620">
        <v>4</v>
      </c>
      <c r="D12" s="620"/>
    </row>
    <row r="13" spans="1:4" ht="15.75">
      <c r="A13" s="838">
        <v>28915</v>
      </c>
      <c r="B13" s="620">
        <v>16</v>
      </c>
      <c r="C13" s="620">
        <v>6</v>
      </c>
      <c r="D13" s="620"/>
    </row>
    <row r="14" spans="1:4" ht="15.75">
      <c r="A14" s="838">
        <v>29281</v>
      </c>
      <c r="B14" s="620">
        <v>25</v>
      </c>
      <c r="C14" s="620">
        <v>6</v>
      </c>
      <c r="D14" s="620"/>
    </row>
    <row r="15" spans="1:4" ht="15.75">
      <c r="A15" s="838">
        <v>29646</v>
      </c>
      <c r="B15" s="620">
        <v>25</v>
      </c>
      <c r="C15" s="620">
        <v>6</v>
      </c>
      <c r="D15" s="620"/>
    </row>
    <row r="16" spans="1:4" ht="15.75">
      <c r="A16" s="838">
        <v>30011</v>
      </c>
      <c r="B16" s="620">
        <v>30</v>
      </c>
      <c r="C16" s="620">
        <v>8</v>
      </c>
      <c r="D16" s="620"/>
    </row>
    <row r="17" spans="1:4" ht="15.75">
      <c r="A17" s="838">
        <v>30317</v>
      </c>
      <c r="B17" s="620">
        <v>34</v>
      </c>
      <c r="C17" s="620">
        <v>9</v>
      </c>
      <c r="D17" s="620"/>
    </row>
    <row r="18" spans="1:4" ht="15.75">
      <c r="A18" s="839">
        <v>30682</v>
      </c>
      <c r="B18" s="621">
        <v>40</v>
      </c>
      <c r="C18" s="621">
        <v>11</v>
      </c>
      <c r="D18" s="621"/>
    </row>
    <row r="19" spans="1:4" ht="15.75">
      <c r="A19" s="840">
        <v>30864</v>
      </c>
      <c r="B19" s="622">
        <v>41</v>
      </c>
      <c r="C19" s="622">
        <v>12</v>
      </c>
      <c r="D19" s="622"/>
    </row>
    <row r="20" spans="1:4" ht="15.75">
      <c r="A20" s="839">
        <v>31048</v>
      </c>
      <c r="B20" s="621">
        <v>46</v>
      </c>
      <c r="C20" s="621">
        <v>13</v>
      </c>
      <c r="D20" s="621"/>
    </row>
    <row r="21" spans="1:4" ht="15.75">
      <c r="A21" s="840">
        <v>31229</v>
      </c>
      <c r="B21" s="622">
        <v>49</v>
      </c>
      <c r="C21" s="622">
        <v>15</v>
      </c>
      <c r="D21" s="622"/>
    </row>
    <row r="22" spans="1:4" ht="15.75">
      <c r="A22" s="839">
        <v>31413</v>
      </c>
      <c r="B22" s="621">
        <v>56</v>
      </c>
      <c r="C22" s="621">
        <v>18</v>
      </c>
      <c r="D22" s="621"/>
    </row>
    <row r="23" spans="1:4" ht="15.75">
      <c r="A23" s="840">
        <v>31594</v>
      </c>
      <c r="B23" s="622">
        <v>62</v>
      </c>
      <c r="C23" s="622">
        <v>19</v>
      </c>
      <c r="D23" s="622"/>
    </row>
    <row r="24" spans="1:4" ht="15.75">
      <c r="A24" s="839">
        <v>31778</v>
      </c>
      <c r="B24" s="621">
        <v>66</v>
      </c>
      <c r="C24" s="621">
        <v>20</v>
      </c>
      <c r="D24" s="621"/>
    </row>
    <row r="25" spans="1:4" ht="15.75">
      <c r="A25" s="840">
        <v>31959</v>
      </c>
      <c r="B25" s="622">
        <v>70</v>
      </c>
      <c r="C25" s="622">
        <v>22</v>
      </c>
      <c r="D25" s="622"/>
    </row>
    <row r="26" spans="1:4" ht="15.75">
      <c r="A26" s="841">
        <v>32143</v>
      </c>
      <c r="B26" s="623">
        <v>84</v>
      </c>
      <c r="C26" s="623">
        <v>28</v>
      </c>
      <c r="D26" s="623"/>
    </row>
    <row r="27" spans="1:4" ht="15.75">
      <c r="A27" s="842">
        <v>32325</v>
      </c>
      <c r="B27" s="624">
        <v>100</v>
      </c>
      <c r="C27" s="624">
        <v>34</v>
      </c>
      <c r="D27" s="624"/>
    </row>
    <row r="28" spans="1:4" ht="15.75">
      <c r="A28" s="841">
        <v>32509</v>
      </c>
      <c r="B28" s="623">
        <v>128</v>
      </c>
      <c r="C28" s="623">
        <v>43</v>
      </c>
      <c r="D28" s="623"/>
    </row>
    <row r="29" spans="1:4" ht="15.75">
      <c r="A29" s="842">
        <v>32690</v>
      </c>
      <c r="B29" s="624">
        <v>205</v>
      </c>
      <c r="C29" s="624">
        <v>80</v>
      </c>
      <c r="D29" s="624">
        <v>220</v>
      </c>
    </row>
    <row r="30" spans="1:4" ht="15.75">
      <c r="A30" s="841">
        <v>32874</v>
      </c>
      <c r="B30" s="623">
        <v>255</v>
      </c>
      <c r="C30" s="623">
        <v>96</v>
      </c>
      <c r="D30" s="623">
        <v>280</v>
      </c>
    </row>
    <row r="31" spans="1:4" ht="15.75">
      <c r="A31" s="842">
        <v>33055</v>
      </c>
      <c r="B31" s="624">
        <v>320</v>
      </c>
      <c r="C31" s="624">
        <v>120</v>
      </c>
      <c r="D31" s="624">
        <v>355</v>
      </c>
    </row>
    <row r="32" spans="1:4" ht="15.75">
      <c r="A32" s="841">
        <v>33239</v>
      </c>
      <c r="B32" s="623">
        <v>352</v>
      </c>
      <c r="C32" s="623">
        <v>135</v>
      </c>
      <c r="D32" s="623">
        <v>480</v>
      </c>
    </row>
    <row r="33" spans="1:4" ht="15.75">
      <c r="A33" s="842">
        <v>33420</v>
      </c>
      <c r="B33" s="624">
        <v>470</v>
      </c>
      <c r="C33" s="624">
        <v>180</v>
      </c>
      <c r="D33" s="624">
        <v>640</v>
      </c>
    </row>
    <row r="34" spans="1:4" ht="15.75">
      <c r="A34" s="841">
        <v>33604</v>
      </c>
      <c r="B34" s="623">
        <v>523</v>
      </c>
      <c r="C34" s="623">
        <v>202</v>
      </c>
      <c r="D34" s="623">
        <v>823</v>
      </c>
    </row>
    <row r="35" spans="1:4" ht="15.75">
      <c r="A35" s="842">
        <v>33786</v>
      </c>
      <c r="B35" s="624">
        <v>651</v>
      </c>
      <c r="C35" s="624">
        <v>231</v>
      </c>
      <c r="D35" s="624">
        <v>1137</v>
      </c>
    </row>
    <row r="36" spans="1:4" ht="15.75">
      <c r="A36" s="841">
        <v>33970</v>
      </c>
      <c r="B36" s="623">
        <v>740</v>
      </c>
      <c r="C36" s="623">
        <v>255</v>
      </c>
      <c r="D36" s="623">
        <v>1575</v>
      </c>
    </row>
    <row r="37" spans="1:4" ht="15.75">
      <c r="A37" s="843">
        <v>34151</v>
      </c>
      <c r="B37" s="625">
        <v>835</v>
      </c>
      <c r="C37" s="625">
        <v>280</v>
      </c>
      <c r="D37" s="625">
        <v>1775</v>
      </c>
    </row>
    <row r="38" spans="1:4" ht="15.75">
      <c r="A38" s="842">
        <v>34243</v>
      </c>
      <c r="B38" s="624">
        <v>940</v>
      </c>
      <c r="C38" s="624">
        <v>310</v>
      </c>
      <c r="D38" s="624">
        <v>2000</v>
      </c>
    </row>
    <row r="39" spans="1:4" ht="15.75">
      <c r="A39" s="841">
        <v>34335</v>
      </c>
      <c r="B39" s="623">
        <v>980</v>
      </c>
      <c r="C39" s="623">
        <v>320</v>
      </c>
      <c r="D39" s="623">
        <v>2275</v>
      </c>
    </row>
    <row r="40" spans="1:4" ht="15.75">
      <c r="A40" s="843">
        <v>34425</v>
      </c>
      <c r="B40" s="625">
        <v>1100</v>
      </c>
      <c r="C40" s="625">
        <v>360</v>
      </c>
      <c r="D40" s="625">
        <v>2570</v>
      </c>
    </row>
    <row r="41" spans="1:4" ht="15.75">
      <c r="A41" s="843">
        <v>34516</v>
      </c>
      <c r="B41" s="625">
        <v>1100</v>
      </c>
      <c r="C41" s="625">
        <v>360</v>
      </c>
      <c r="D41" s="625">
        <v>2925</v>
      </c>
    </row>
    <row r="42" spans="1:4" ht="15.75">
      <c r="A42" s="842">
        <v>34608</v>
      </c>
      <c r="B42" s="624">
        <v>1100</v>
      </c>
      <c r="C42" s="624">
        <v>360</v>
      </c>
      <c r="D42" s="624">
        <v>3575</v>
      </c>
    </row>
    <row r="43" spans="1:4" ht="15.75">
      <c r="A43" s="841">
        <v>34700</v>
      </c>
      <c r="B43" s="623">
        <v>1140</v>
      </c>
      <c r="C43" s="623">
        <v>380</v>
      </c>
      <c r="D43" s="623">
        <v>4135</v>
      </c>
    </row>
    <row r="44" spans="1:4" ht="15.75">
      <c r="A44" s="843">
        <v>34790</v>
      </c>
      <c r="B44" s="625">
        <v>1225</v>
      </c>
      <c r="C44" s="625">
        <v>415</v>
      </c>
      <c r="D44" s="625">
        <v>4490</v>
      </c>
    </row>
    <row r="45" spans="1:4" ht="15.75">
      <c r="A45" s="842">
        <v>35018</v>
      </c>
      <c r="B45" s="624">
        <v>1695</v>
      </c>
      <c r="C45" s="624">
        <v>565</v>
      </c>
      <c r="D45" s="624">
        <v>10175</v>
      </c>
    </row>
    <row r="46" spans="1:4" ht="15.75">
      <c r="A46" s="841">
        <v>35065</v>
      </c>
      <c r="B46" s="623">
        <v>1695</v>
      </c>
      <c r="C46" s="623">
        <v>565</v>
      </c>
      <c r="D46" s="623">
        <v>10175</v>
      </c>
    </row>
    <row r="47" spans="1:4" ht="15.75">
      <c r="A47" s="842">
        <v>35247</v>
      </c>
      <c r="B47" s="624">
        <v>2550</v>
      </c>
      <c r="C47" s="624">
        <v>850</v>
      </c>
      <c r="D47" s="624">
        <v>15700</v>
      </c>
    </row>
    <row r="48" spans="1:4" ht="15.75">
      <c r="A48" s="841">
        <v>35431</v>
      </c>
      <c r="B48" s="623">
        <v>3315</v>
      </c>
      <c r="C48" s="623">
        <v>1100</v>
      </c>
      <c r="D48" s="623">
        <v>20450</v>
      </c>
    </row>
    <row r="49" spans="1:4" ht="15.75">
      <c r="A49" s="842">
        <v>35612</v>
      </c>
      <c r="B49" s="624">
        <v>4475</v>
      </c>
      <c r="C49" s="624">
        <v>1485</v>
      </c>
      <c r="D49" s="624">
        <v>28100</v>
      </c>
    </row>
    <row r="50" spans="1:4" ht="15.75">
      <c r="A50" s="841">
        <v>35796</v>
      </c>
      <c r="B50" s="623">
        <v>5820</v>
      </c>
      <c r="C50" s="623">
        <v>1930</v>
      </c>
      <c r="D50" s="623">
        <v>36500</v>
      </c>
    </row>
    <row r="51" spans="1:4" ht="15.75">
      <c r="A51" s="843">
        <v>35977</v>
      </c>
      <c r="B51" s="625">
        <v>7030</v>
      </c>
      <c r="C51" s="625">
        <v>2350</v>
      </c>
      <c r="D51" s="625">
        <v>44600</v>
      </c>
    </row>
    <row r="52" spans="1:4" ht="15.75">
      <c r="A52" s="842">
        <v>36069</v>
      </c>
      <c r="B52" s="624">
        <v>7750</v>
      </c>
      <c r="C52" s="624">
        <v>2560</v>
      </c>
      <c r="D52" s="624">
        <v>49500</v>
      </c>
    </row>
    <row r="53" spans="1:4" ht="15.75">
      <c r="A53" s="841">
        <v>36161</v>
      </c>
      <c r="B53" s="623">
        <v>9975</v>
      </c>
      <c r="C53" s="623">
        <v>3200</v>
      </c>
      <c r="D53" s="623">
        <v>63400</v>
      </c>
    </row>
    <row r="54" spans="1:4" ht="15.75">
      <c r="A54" s="842">
        <v>36342</v>
      </c>
      <c r="B54" s="624">
        <v>12000</v>
      </c>
      <c r="C54" s="624">
        <v>3850</v>
      </c>
      <c r="D54" s="624">
        <v>77000</v>
      </c>
    </row>
    <row r="55" spans="1:4" ht="15.75">
      <c r="A55" s="841">
        <v>36526</v>
      </c>
      <c r="B55" s="623">
        <v>13810</v>
      </c>
      <c r="C55" s="623">
        <v>4410</v>
      </c>
      <c r="D55" s="623">
        <v>88500</v>
      </c>
    </row>
    <row r="56" spans="1:4" ht="15.75">
      <c r="A56" s="843">
        <v>36692</v>
      </c>
      <c r="B56" s="625">
        <v>14310</v>
      </c>
      <c r="C56" s="625">
        <v>4570</v>
      </c>
      <c r="D56" s="625">
        <v>91750</v>
      </c>
    </row>
    <row r="57" spans="1:4" ht="15.75">
      <c r="A57" s="843">
        <v>36708</v>
      </c>
      <c r="B57" s="625">
        <v>15760</v>
      </c>
      <c r="C57" s="625">
        <v>5030</v>
      </c>
      <c r="D57" s="625">
        <v>101400</v>
      </c>
    </row>
    <row r="58" spans="1:4" ht="15.75">
      <c r="A58" s="842">
        <v>36875</v>
      </c>
      <c r="B58" s="624">
        <v>16580</v>
      </c>
      <c r="C58" s="624">
        <v>5290</v>
      </c>
      <c r="D58" s="624">
        <v>106900</v>
      </c>
    </row>
    <row r="59" spans="1:4" ht="15.75">
      <c r="A59" s="844">
        <v>36892</v>
      </c>
      <c r="B59" s="626">
        <v>18240</v>
      </c>
      <c r="C59" s="626">
        <v>5820</v>
      </c>
      <c r="D59" s="626">
        <v>117600</v>
      </c>
    </row>
    <row r="60" spans="1:4" ht="15.75">
      <c r="A60" s="845">
        <v>36996</v>
      </c>
      <c r="B60" s="627">
        <v>18700</v>
      </c>
      <c r="C60" s="627">
        <v>5960</v>
      </c>
      <c r="D60" s="627">
        <v>120700</v>
      </c>
    </row>
    <row r="61" spans="1:4" ht="15.75">
      <c r="A61" s="845">
        <v>37026</v>
      </c>
      <c r="B61" s="627">
        <v>20600</v>
      </c>
      <c r="C61" s="627">
        <v>6560</v>
      </c>
      <c r="D61" s="627">
        <v>133300</v>
      </c>
    </row>
    <row r="62" spans="1:4" ht="15.75">
      <c r="A62" s="845">
        <v>37057</v>
      </c>
      <c r="B62" s="627">
        <v>21650</v>
      </c>
      <c r="C62" s="627">
        <v>6890</v>
      </c>
      <c r="D62" s="627">
        <v>140250</v>
      </c>
    </row>
    <row r="63" spans="1:4" ht="15.75">
      <c r="A63" s="845">
        <v>37073</v>
      </c>
      <c r="B63" s="627">
        <v>22750</v>
      </c>
      <c r="C63" s="627">
        <v>7235</v>
      </c>
      <c r="D63" s="627">
        <v>147750</v>
      </c>
    </row>
    <row r="64" spans="1:4" ht="15.75">
      <c r="A64" s="845">
        <v>37149</v>
      </c>
      <c r="B64" s="627">
        <v>23550</v>
      </c>
      <c r="C64" s="627">
        <v>7485</v>
      </c>
      <c r="D64" s="627">
        <v>153000</v>
      </c>
    </row>
    <row r="65" spans="1:4" ht="15.75">
      <c r="A65" s="845">
        <v>37179</v>
      </c>
      <c r="B65" s="627">
        <v>24920</v>
      </c>
      <c r="C65" s="627">
        <v>7920</v>
      </c>
      <c r="D65" s="627">
        <v>162150</v>
      </c>
    </row>
    <row r="66" spans="1:4" ht="15.75">
      <c r="A66" s="845">
        <v>37210</v>
      </c>
      <c r="B66" s="627">
        <v>26420</v>
      </c>
      <c r="C66" s="627">
        <v>8395</v>
      </c>
      <c r="D66" s="627">
        <v>172150</v>
      </c>
    </row>
    <row r="67" spans="1:4" ht="15.75">
      <c r="A67" s="842">
        <v>37240</v>
      </c>
      <c r="B67" s="624">
        <v>27530</v>
      </c>
      <c r="C67" s="624">
        <v>8750</v>
      </c>
      <c r="D67" s="624">
        <v>179650</v>
      </c>
    </row>
    <row r="68" spans="1:4" ht="15.75">
      <c r="A68" s="844">
        <v>37257</v>
      </c>
      <c r="B68" s="626">
        <v>30300</v>
      </c>
      <c r="C68" s="626">
        <v>9625</v>
      </c>
      <c r="D68" s="626">
        <v>197700</v>
      </c>
    </row>
    <row r="69" spans="1:4" ht="15.75">
      <c r="A69" s="845">
        <v>37391</v>
      </c>
      <c r="B69" s="627">
        <v>31060</v>
      </c>
      <c r="C69" s="627">
        <v>9865</v>
      </c>
      <c r="D69" s="627">
        <v>202800</v>
      </c>
    </row>
    <row r="70" spans="1:4" ht="15.75">
      <c r="A70" s="845">
        <v>37438</v>
      </c>
      <c r="B70" s="627">
        <v>32650</v>
      </c>
      <c r="C70" s="627">
        <v>10365</v>
      </c>
      <c r="D70" s="627">
        <v>213300</v>
      </c>
    </row>
    <row r="71" spans="1:4" ht="15.75">
      <c r="A71" s="842">
        <v>37530</v>
      </c>
      <c r="B71" s="624">
        <v>32650</v>
      </c>
      <c r="C71" s="624">
        <v>10365</v>
      </c>
      <c r="D71" s="624">
        <v>313300</v>
      </c>
    </row>
    <row r="72" spans="1:4" ht="15.75">
      <c r="A72" s="844">
        <v>37622</v>
      </c>
      <c r="B72" s="626">
        <v>34300</v>
      </c>
      <c r="C72" s="626">
        <v>10885</v>
      </c>
      <c r="D72" s="626">
        <v>329250</v>
      </c>
    </row>
    <row r="73" spans="1:4" ht="15.75">
      <c r="A73" s="842">
        <v>37803</v>
      </c>
      <c r="B73" s="624">
        <v>34300</v>
      </c>
      <c r="C73" s="624">
        <v>10885</v>
      </c>
      <c r="D73" s="624">
        <v>395250</v>
      </c>
    </row>
    <row r="74" spans="1:4" ht="15.75">
      <c r="A74" s="844">
        <v>37987</v>
      </c>
      <c r="B74" s="626">
        <v>36420</v>
      </c>
      <c r="C74" s="626">
        <v>11550</v>
      </c>
      <c r="D74" s="626">
        <v>429250</v>
      </c>
    </row>
    <row r="75" spans="1:4" ht="15.75">
      <c r="A75" s="842">
        <v>38169</v>
      </c>
      <c r="B75" s="624">
        <v>38610</v>
      </c>
      <c r="C75" s="624">
        <v>12240</v>
      </c>
      <c r="D75" s="624">
        <v>455050</v>
      </c>
    </row>
    <row r="76" spans="1:4" ht="15.75">
      <c r="A76" s="844">
        <v>38353</v>
      </c>
      <c r="B76" s="628">
        <v>4.0099999999999997E-2</v>
      </c>
      <c r="C76" s="628">
        <v>1.26E-2</v>
      </c>
      <c r="D76" s="629">
        <v>0.48599999999999999</v>
      </c>
    </row>
    <row r="77" spans="1:4" ht="15.75">
      <c r="A77" s="842">
        <v>38534</v>
      </c>
      <c r="B77" s="630">
        <v>4.1599999999999998E-2</v>
      </c>
      <c r="C77" s="630">
        <v>1.32E-2</v>
      </c>
      <c r="D77" s="631">
        <v>0.52075000000000005</v>
      </c>
    </row>
    <row r="78" spans="1:4" ht="15.75">
      <c r="A78" s="844">
        <v>38718</v>
      </c>
      <c r="B78" s="632">
        <v>4.265E-2</v>
      </c>
      <c r="C78" s="632">
        <v>1.353E-2</v>
      </c>
      <c r="D78" s="632">
        <v>0.53376999999999997</v>
      </c>
    </row>
    <row r="79" spans="1:4" ht="15.75">
      <c r="A79" s="842">
        <v>38899</v>
      </c>
      <c r="B79" s="633">
        <v>4.4745E-2</v>
      </c>
      <c r="C79" s="633">
        <v>1.4192E-2</v>
      </c>
      <c r="D79" s="631">
        <v>0.55983000000000005</v>
      </c>
    </row>
    <row r="80" spans="1:4" ht="15.75">
      <c r="A80" s="844">
        <v>39083</v>
      </c>
      <c r="B80" s="634">
        <v>4.6984999999999999E-2</v>
      </c>
      <c r="C80" s="628">
        <v>1.49E-2</v>
      </c>
      <c r="D80" s="632">
        <v>0.59811999999999999</v>
      </c>
    </row>
    <row r="81" spans="1:4" ht="15.75">
      <c r="A81" s="842">
        <v>39264</v>
      </c>
      <c r="B81" s="631">
        <v>4.8349999999999997E-2</v>
      </c>
      <c r="C81" s="631">
        <v>1.533E-2</v>
      </c>
      <c r="D81" s="631">
        <v>0.62804000000000004</v>
      </c>
    </row>
    <row r="82" spans="1:4" ht="15.75">
      <c r="A82" s="846">
        <v>39448</v>
      </c>
      <c r="B82" s="635">
        <v>4.9486000000000002E-2</v>
      </c>
      <c r="C82" s="636">
        <v>1.5689999999999999E-2</v>
      </c>
      <c r="D82" s="636">
        <v>0.65283000000000002</v>
      </c>
    </row>
    <row r="83" spans="1:4" ht="15.75">
      <c r="A83" s="842">
        <v>39630</v>
      </c>
      <c r="B83" s="633">
        <v>5.1448000000000001E-2</v>
      </c>
      <c r="C83" s="633">
        <v>1.6313000000000001E-2</v>
      </c>
      <c r="D83" s="630">
        <v>0.68120000000000003</v>
      </c>
    </row>
    <row r="84" spans="1:4" ht="15.75">
      <c r="A84" s="847">
        <v>39814</v>
      </c>
      <c r="B84" s="637">
        <v>5.3504999999999997E-2</v>
      </c>
      <c r="C84" s="637">
        <v>1.6965000000000001E-2</v>
      </c>
      <c r="D84" s="638">
        <v>0.70840000000000003</v>
      </c>
    </row>
    <row r="85" spans="1:4" ht="15.75">
      <c r="A85" s="842">
        <v>39995</v>
      </c>
      <c r="B85" s="633">
        <v>5.5919999999999997E-2</v>
      </c>
      <c r="C85" s="631">
        <v>1.7729999999999999E-2</v>
      </c>
      <c r="D85" s="631">
        <v>0.74348000000000003</v>
      </c>
    </row>
    <row r="86" spans="1:4" ht="15.75">
      <c r="A86" s="847">
        <v>40179</v>
      </c>
      <c r="B86" s="637">
        <v>5.7383000000000003E-2</v>
      </c>
      <c r="C86" s="639">
        <v>1.8190000000000001E-2</v>
      </c>
      <c r="D86" s="639">
        <v>0.76293</v>
      </c>
    </row>
    <row r="87" spans="1:4" ht="15.75">
      <c r="A87" s="842">
        <v>40360</v>
      </c>
      <c r="B87" s="633">
        <v>5.9444999999999998E-2</v>
      </c>
      <c r="C87" s="633">
        <v>1.8842999999999999E-2</v>
      </c>
      <c r="D87" s="630">
        <v>0.79310000000000003</v>
      </c>
    </row>
    <row r="88" spans="1:4" ht="15.75">
      <c r="A88" s="847">
        <v>40544</v>
      </c>
      <c r="B88" s="637">
        <v>6.1954000000000002E-2</v>
      </c>
      <c r="C88" s="637">
        <v>1.9637999999999999E-2</v>
      </c>
      <c r="D88" s="639">
        <v>0.82655999999999996</v>
      </c>
    </row>
    <row r="89" spans="1:4" ht="15.75">
      <c r="A89" s="842">
        <v>40725</v>
      </c>
      <c r="B89" s="633">
        <v>6.4460000000000003E-2</v>
      </c>
      <c r="C89" s="633">
        <v>2.044E-2</v>
      </c>
      <c r="D89" s="631">
        <v>0.86251</v>
      </c>
    </row>
    <row r="90" spans="1:4" ht="15.75">
      <c r="A90" s="847">
        <v>40909</v>
      </c>
      <c r="B90" s="637">
        <v>6.8834999999999993E-2</v>
      </c>
      <c r="C90" s="637">
        <v>2.1826999999999999E-2</v>
      </c>
      <c r="D90" s="639">
        <v>0.92105000000000004</v>
      </c>
    </row>
    <row r="91" spans="1:4" ht="15.75">
      <c r="A91" s="842">
        <v>41091</v>
      </c>
      <c r="B91" s="633">
        <v>7.1589E-2</v>
      </c>
      <c r="C91" s="633">
        <v>2.2700000000000001E-2</v>
      </c>
      <c r="D91" s="631">
        <v>0.95789999999999997</v>
      </c>
    </row>
    <row r="92" spans="1:4" ht="15.75">
      <c r="A92" s="847">
        <v>41275</v>
      </c>
      <c r="B92" s="665">
        <v>7.3837E-2</v>
      </c>
      <c r="C92" s="666">
        <v>2.3412800000000001E-2</v>
      </c>
      <c r="D92" s="667">
        <v>0.98797999999999997</v>
      </c>
    </row>
    <row r="93" spans="1:4" ht="15.75">
      <c r="A93" s="848">
        <v>41456</v>
      </c>
      <c r="B93" s="849"/>
      <c r="C93" s="849"/>
      <c r="D93" s="850"/>
    </row>
    <row r="94" spans="1:4" ht="15.75">
      <c r="A94" s="851">
        <v>41640</v>
      </c>
      <c r="B94" s="849"/>
      <c r="C94" s="849"/>
      <c r="D94" s="850"/>
    </row>
    <row r="95" spans="1:4" ht="15.75">
      <c r="A95" s="852">
        <v>41821</v>
      </c>
      <c r="B95" s="849"/>
      <c r="C95" s="849"/>
      <c r="D95" s="850"/>
    </row>
    <row r="96" spans="1:4" ht="15.75">
      <c r="A96" s="852"/>
      <c r="B96" s="849"/>
      <c r="C96" s="849"/>
      <c r="D96" s="850"/>
    </row>
    <row r="97" spans="1:4" ht="15.75">
      <c r="A97" s="852"/>
      <c r="B97" s="849"/>
      <c r="C97" s="849"/>
      <c r="D97" s="850"/>
    </row>
    <row r="98" spans="1:4" ht="15.75">
      <c r="A98" s="852"/>
      <c r="B98" s="849"/>
      <c r="C98" s="849"/>
      <c r="D98" s="850"/>
    </row>
    <row r="99" spans="1:4" ht="15.75">
      <c r="A99" s="852"/>
      <c r="B99" s="849"/>
      <c r="C99" s="849"/>
      <c r="D99" s="850"/>
    </row>
    <row r="100" spans="1:4" ht="15.75">
      <c r="A100" s="852"/>
      <c r="B100" s="849"/>
      <c r="C100" s="849"/>
      <c r="D100" s="850"/>
    </row>
    <row r="101" spans="1:4" ht="15.75">
      <c r="A101" s="852"/>
      <c r="B101" s="849"/>
      <c r="C101" s="849"/>
      <c r="D101" s="850"/>
    </row>
    <row r="102" spans="1:4" ht="15.75">
      <c r="A102" s="852"/>
      <c r="B102" s="849"/>
      <c r="C102" s="849"/>
      <c r="D102" s="850"/>
    </row>
    <row r="103" spans="1:4" ht="15.75">
      <c r="A103" s="852"/>
      <c r="B103" s="849"/>
      <c r="C103" s="849"/>
      <c r="D103" s="850"/>
    </row>
    <row r="104" spans="1:4" ht="15.75">
      <c r="A104" s="852"/>
      <c r="B104" s="849"/>
      <c r="C104" s="849"/>
      <c r="D104" s="850"/>
    </row>
    <row r="105" spans="1:4" ht="15.75">
      <c r="A105" s="852"/>
      <c r="B105" s="849"/>
      <c r="C105" s="849"/>
      <c r="D105" s="850"/>
    </row>
    <row r="106" spans="1:4" ht="15.75">
      <c r="A106" s="852"/>
      <c r="B106" s="849"/>
      <c r="C106" s="849"/>
      <c r="D106" s="850"/>
    </row>
    <row r="107" spans="1:4" ht="15.75">
      <c r="A107" s="852"/>
      <c r="B107" s="849"/>
      <c r="C107" s="849"/>
      <c r="D107" s="850"/>
    </row>
    <row r="108" spans="1:4" ht="15.75">
      <c r="A108" s="852"/>
      <c r="B108" s="849"/>
      <c r="C108" s="849"/>
      <c r="D108" s="850"/>
    </row>
    <row r="109" spans="1:4" ht="15.75">
      <c r="A109" s="852"/>
      <c r="B109" s="849"/>
      <c r="C109" s="849"/>
      <c r="D109" s="850"/>
    </row>
    <row r="110" spans="1:4" ht="15.75">
      <c r="A110" s="852"/>
      <c r="B110" s="849"/>
      <c r="C110" s="849"/>
      <c r="D110" s="850"/>
    </row>
  </sheetData>
  <sheetProtection password="C7EB" sheet="1" objects="1" scenarios="1"/>
  <mergeCells count="5">
    <mergeCell ref="A1:D1"/>
    <mergeCell ref="A2:A3"/>
    <mergeCell ref="B2:B3"/>
    <mergeCell ref="C2:C3"/>
    <mergeCell ref="D2:D3"/>
  </mergeCells>
  <printOptions horizontalCentered="1"/>
  <pageMargins left="0.70866141732283472" right="0.70866141732283472" top="0.74803149606299213" bottom="0.74803149606299213" header="0.31496062992125984" footer="0.31496062992125984"/>
  <pageSetup paperSize="9" orientation="portrait" r:id="rId1"/>
  <headerFooter>
    <oddFooter>Sayfa &amp;P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1"/>
  <sheetViews>
    <sheetView topLeftCell="A31" zoomScaleNormal="100" workbookViewId="0">
      <selection activeCell="D32" sqref="D32"/>
    </sheetView>
  </sheetViews>
  <sheetFormatPr defaultRowHeight="12.75"/>
  <cols>
    <col min="1" max="1" width="29.140625" customWidth="1"/>
    <col min="2" max="2" width="39" customWidth="1"/>
    <col min="3" max="3" width="6" customWidth="1"/>
    <col min="4" max="4" width="18.28515625" customWidth="1"/>
  </cols>
  <sheetData>
    <row r="1" spans="1:4" ht="14.25">
      <c r="A1" s="864" t="s">
        <v>0</v>
      </c>
      <c r="B1" s="865"/>
      <c r="C1" s="865"/>
      <c r="D1" s="866"/>
    </row>
    <row r="2" spans="1:4" ht="14.25">
      <c r="A2" s="867" t="s">
        <v>1</v>
      </c>
      <c r="B2" s="868"/>
      <c r="C2" s="868"/>
      <c r="D2" s="869"/>
    </row>
    <row r="3" spans="1:4" ht="14.25">
      <c r="A3" s="859" t="str">
        <f>B4</f>
        <v xml:space="preserve"> (01.01.2013-30.06.2013 döneminde)</v>
      </c>
      <c r="B3" s="860"/>
      <c r="C3" s="860"/>
      <c r="D3" s="861"/>
    </row>
    <row r="4" spans="1:4" ht="15">
      <c r="A4" s="83" t="s">
        <v>477</v>
      </c>
      <c r="B4" s="84" t="s">
        <v>4783</v>
      </c>
      <c r="C4" s="56"/>
      <c r="D4" s="67">
        <f>'KATSAYILAR '!B95</f>
        <v>0</v>
      </c>
    </row>
    <row r="5" spans="1:4" ht="15">
      <c r="A5" s="862" t="s">
        <v>472</v>
      </c>
      <c r="B5" s="863"/>
      <c r="C5" s="56"/>
      <c r="D5" s="67">
        <f>'KATSAYILAR '!D95</f>
        <v>0</v>
      </c>
    </row>
    <row r="6" spans="1:4" ht="15">
      <c r="A6" s="862" t="s">
        <v>473</v>
      </c>
      <c r="B6" s="863"/>
      <c r="C6" s="56"/>
      <c r="D6" s="67">
        <f>'KATSAYILAR '!C95</f>
        <v>0</v>
      </c>
    </row>
    <row r="7" spans="1:4" ht="15">
      <c r="A7" s="862" t="s">
        <v>6</v>
      </c>
      <c r="B7" s="863"/>
      <c r="C7" s="56">
        <v>20</v>
      </c>
      <c r="D7" s="62">
        <f>C7*D4</f>
        <v>0</v>
      </c>
    </row>
    <row r="8" spans="1:4" ht="15">
      <c r="A8" s="862" t="s">
        <v>478</v>
      </c>
      <c r="B8" s="863"/>
      <c r="C8" s="56">
        <v>9500</v>
      </c>
      <c r="D8" s="62">
        <f>C8*D4</f>
        <v>0</v>
      </c>
    </row>
    <row r="9" spans="1:4" ht="15">
      <c r="A9" s="862" t="s">
        <v>479</v>
      </c>
      <c r="B9" s="863"/>
      <c r="C9" s="56">
        <v>2134</v>
      </c>
      <c r="D9" s="62">
        <f>C9*D4</f>
        <v>0</v>
      </c>
    </row>
    <row r="10" spans="1:4" ht="15">
      <c r="A10" s="862" t="s">
        <v>480</v>
      </c>
      <c r="B10" s="863"/>
      <c r="C10" s="56">
        <v>250</v>
      </c>
      <c r="D10" s="62">
        <f>C10*D4</f>
        <v>0</v>
      </c>
    </row>
    <row r="11" spans="1:4" ht="15">
      <c r="A11" s="862" t="s">
        <v>481</v>
      </c>
      <c r="B11" s="863"/>
      <c r="C11" s="56">
        <v>2500</v>
      </c>
      <c r="D11" s="62">
        <f>C11*D4</f>
        <v>0</v>
      </c>
    </row>
    <row r="12" spans="1:4" ht="30">
      <c r="A12" s="873" t="s">
        <v>244</v>
      </c>
      <c r="B12" s="2" t="s">
        <v>455</v>
      </c>
      <c r="C12" s="56">
        <v>9500</v>
      </c>
      <c r="D12" s="62">
        <f>C12*D4</f>
        <v>0</v>
      </c>
    </row>
    <row r="13" spans="1:4" ht="30">
      <c r="A13" s="874"/>
      <c r="B13" s="2" t="s">
        <v>456</v>
      </c>
      <c r="C13" s="56">
        <v>9500</v>
      </c>
      <c r="D13" s="62">
        <f>(C13*D4)*2</f>
        <v>0</v>
      </c>
    </row>
    <row r="14" spans="1:4" ht="15.75" thickBot="1">
      <c r="A14" s="650"/>
      <c r="B14" s="651"/>
      <c r="C14" s="651"/>
      <c r="D14" s="652"/>
    </row>
    <row r="15" spans="1:4" ht="14.25">
      <c r="A15" s="864" t="s">
        <v>0</v>
      </c>
      <c r="B15" s="865"/>
      <c r="C15" s="865"/>
      <c r="D15" s="866"/>
    </row>
    <row r="16" spans="1:4" ht="14.25">
      <c r="A16" s="867" t="s">
        <v>1</v>
      </c>
      <c r="B16" s="868"/>
      <c r="C16" s="868"/>
      <c r="D16" s="869"/>
    </row>
    <row r="17" spans="1:4" ht="14.25">
      <c r="A17" s="859" t="str">
        <f>B18</f>
        <v xml:space="preserve"> (01.01.2013-30.06.2013 döneminde)</v>
      </c>
      <c r="B17" s="860"/>
      <c r="C17" s="860"/>
      <c r="D17" s="861"/>
    </row>
    <row r="18" spans="1:4" ht="15">
      <c r="A18" s="83" t="s">
        <v>477</v>
      </c>
      <c r="B18" s="84" t="s">
        <v>4783</v>
      </c>
      <c r="C18" s="56"/>
      <c r="D18" s="67">
        <f>'KATSAYILAR '!B94</f>
        <v>0</v>
      </c>
    </row>
    <row r="19" spans="1:4" ht="15">
      <c r="A19" s="862" t="s">
        <v>472</v>
      </c>
      <c r="B19" s="863"/>
      <c r="C19" s="56"/>
      <c r="D19" s="67">
        <f>'KATSAYILAR '!D94</f>
        <v>0</v>
      </c>
    </row>
    <row r="20" spans="1:4" ht="15">
      <c r="A20" s="862" t="s">
        <v>473</v>
      </c>
      <c r="B20" s="863"/>
      <c r="C20" s="56"/>
      <c r="D20" s="67">
        <f>'KATSAYILAR '!C94</f>
        <v>0</v>
      </c>
    </row>
    <row r="21" spans="1:4" ht="15">
      <c r="A21" s="862" t="s">
        <v>6</v>
      </c>
      <c r="B21" s="863"/>
      <c r="C21" s="56">
        <v>20</v>
      </c>
      <c r="D21" s="62">
        <f>C21*D18</f>
        <v>0</v>
      </c>
    </row>
    <row r="22" spans="1:4" ht="15">
      <c r="A22" s="862" t="s">
        <v>478</v>
      </c>
      <c r="B22" s="863"/>
      <c r="C22" s="56">
        <v>9500</v>
      </c>
      <c r="D22" s="62">
        <f>C22*D18</f>
        <v>0</v>
      </c>
    </row>
    <row r="23" spans="1:4" ht="15">
      <c r="A23" s="862" t="s">
        <v>479</v>
      </c>
      <c r="B23" s="863"/>
      <c r="C23" s="56">
        <v>2134</v>
      </c>
      <c r="D23" s="62">
        <f>C23*D18</f>
        <v>0</v>
      </c>
    </row>
    <row r="24" spans="1:4" ht="15">
      <c r="A24" s="862" t="s">
        <v>480</v>
      </c>
      <c r="B24" s="863"/>
      <c r="C24" s="56">
        <v>250</v>
      </c>
      <c r="D24" s="62">
        <f>C24*D18</f>
        <v>0</v>
      </c>
    </row>
    <row r="25" spans="1:4" ht="15">
      <c r="A25" s="862" t="s">
        <v>481</v>
      </c>
      <c r="B25" s="863"/>
      <c r="C25" s="56">
        <v>2500</v>
      </c>
      <c r="D25" s="62">
        <f>C25*D18</f>
        <v>0</v>
      </c>
    </row>
    <row r="26" spans="1:4" ht="30">
      <c r="A26" s="873" t="s">
        <v>244</v>
      </c>
      <c r="B26" s="2" t="s">
        <v>455</v>
      </c>
      <c r="C26" s="56">
        <v>9500</v>
      </c>
      <c r="D26" s="62">
        <f>C26*D18</f>
        <v>0</v>
      </c>
    </row>
    <row r="27" spans="1:4" ht="30">
      <c r="A27" s="874"/>
      <c r="B27" s="2" t="s">
        <v>456</v>
      </c>
      <c r="C27" s="56">
        <v>9500</v>
      </c>
      <c r="D27" s="62">
        <f>(C27*D18)*2</f>
        <v>0</v>
      </c>
    </row>
    <row r="28" spans="1:4" ht="13.5" thickBot="1"/>
    <row r="29" spans="1:4" ht="14.25">
      <c r="A29" s="864" t="s">
        <v>0</v>
      </c>
      <c r="B29" s="865"/>
      <c r="C29" s="865"/>
      <c r="D29" s="866"/>
    </row>
    <row r="30" spans="1:4" ht="14.25">
      <c r="A30" s="867" t="s">
        <v>1</v>
      </c>
      <c r="B30" s="868"/>
      <c r="C30" s="868"/>
      <c r="D30" s="869"/>
    </row>
    <row r="31" spans="1:4" ht="14.25">
      <c r="A31" s="859" t="str">
        <f>B32</f>
        <v xml:space="preserve"> (01.01.2013-30.06.2013 döneminde)</v>
      </c>
      <c r="B31" s="860"/>
      <c r="C31" s="860"/>
      <c r="D31" s="861"/>
    </row>
    <row r="32" spans="1:4" ht="15">
      <c r="A32" s="83" t="s">
        <v>477</v>
      </c>
      <c r="B32" s="84" t="s">
        <v>4783</v>
      </c>
      <c r="C32" s="56"/>
      <c r="D32" s="67">
        <f>'KATSAYILAR '!B93</f>
        <v>0</v>
      </c>
    </row>
    <row r="33" spans="1:4" ht="15">
      <c r="A33" s="862" t="s">
        <v>472</v>
      </c>
      <c r="B33" s="863"/>
      <c r="C33" s="56"/>
      <c r="D33" s="67">
        <f>'KATSAYILAR '!D93</f>
        <v>0</v>
      </c>
    </row>
    <row r="34" spans="1:4" ht="15">
      <c r="A34" s="862" t="s">
        <v>473</v>
      </c>
      <c r="B34" s="863"/>
      <c r="C34" s="56"/>
      <c r="D34" s="67">
        <f>'KATSAYILAR '!C93</f>
        <v>0</v>
      </c>
    </row>
    <row r="35" spans="1:4" ht="15">
      <c r="A35" s="862" t="s">
        <v>6</v>
      </c>
      <c r="B35" s="863"/>
      <c r="C35" s="56">
        <v>20</v>
      </c>
      <c r="D35" s="62">
        <f>C35*D32</f>
        <v>0</v>
      </c>
    </row>
    <row r="36" spans="1:4" ht="15">
      <c r="A36" s="862" t="s">
        <v>478</v>
      </c>
      <c r="B36" s="863"/>
      <c r="C36" s="56">
        <v>9500</v>
      </c>
      <c r="D36" s="62">
        <f>C36*D32</f>
        <v>0</v>
      </c>
    </row>
    <row r="37" spans="1:4" ht="15">
      <c r="A37" s="862" t="s">
        <v>479</v>
      </c>
      <c r="B37" s="863"/>
      <c r="C37" s="56">
        <v>2134</v>
      </c>
      <c r="D37" s="62">
        <f>C37*D32</f>
        <v>0</v>
      </c>
    </row>
    <row r="38" spans="1:4" ht="15">
      <c r="A38" s="862" t="s">
        <v>480</v>
      </c>
      <c r="B38" s="863"/>
      <c r="C38" s="56">
        <v>250</v>
      </c>
      <c r="D38" s="62">
        <f>C38*D32</f>
        <v>0</v>
      </c>
    </row>
    <row r="39" spans="1:4" ht="15">
      <c r="A39" s="862" t="s">
        <v>481</v>
      </c>
      <c r="B39" s="863"/>
      <c r="C39" s="56">
        <v>2500</v>
      </c>
      <c r="D39" s="62">
        <f>C39*D32</f>
        <v>0</v>
      </c>
    </row>
    <row r="40" spans="1:4" ht="30">
      <c r="A40" s="873" t="s">
        <v>244</v>
      </c>
      <c r="B40" s="2" t="s">
        <v>455</v>
      </c>
      <c r="C40" s="56">
        <v>9500</v>
      </c>
      <c r="D40" s="62">
        <f>C40*D32</f>
        <v>0</v>
      </c>
    </row>
    <row r="41" spans="1:4" ht="30">
      <c r="A41" s="874"/>
      <c r="B41" s="2" t="s">
        <v>456</v>
      </c>
      <c r="C41" s="56">
        <v>9500</v>
      </c>
      <c r="D41" s="62">
        <f>(C41*D32)*2</f>
        <v>0</v>
      </c>
    </row>
    <row r="42" spans="1:4" ht="13.5" thickBot="1"/>
    <row r="43" spans="1:4" ht="14.25">
      <c r="A43" s="864" t="s">
        <v>0</v>
      </c>
      <c r="B43" s="865"/>
      <c r="C43" s="865"/>
      <c r="D43" s="866"/>
    </row>
    <row r="44" spans="1:4" ht="14.25">
      <c r="A44" s="867" t="s">
        <v>1</v>
      </c>
      <c r="B44" s="868"/>
      <c r="C44" s="868"/>
      <c r="D44" s="869"/>
    </row>
    <row r="45" spans="1:4" ht="14.25">
      <c r="A45" s="859" t="str">
        <f>B46</f>
        <v xml:space="preserve"> (01.01.2013-30.06.2013 döneminde)</v>
      </c>
      <c r="B45" s="860"/>
      <c r="C45" s="860"/>
      <c r="D45" s="861"/>
    </row>
    <row r="46" spans="1:4" ht="15">
      <c r="A46" s="83" t="s">
        <v>477</v>
      </c>
      <c r="B46" s="84" t="s">
        <v>4783</v>
      </c>
      <c r="C46" s="56"/>
      <c r="D46" s="67">
        <f>'KATSAYILAR '!B92</f>
        <v>7.3837E-2</v>
      </c>
    </row>
    <row r="47" spans="1:4" ht="15">
      <c r="A47" s="862" t="s">
        <v>472</v>
      </c>
      <c r="B47" s="863"/>
      <c r="C47" s="56"/>
      <c r="D47" s="67">
        <f>'KATSAYILAR '!D92</f>
        <v>0.98797999999999997</v>
      </c>
    </row>
    <row r="48" spans="1:4" ht="15">
      <c r="A48" s="862" t="s">
        <v>473</v>
      </c>
      <c r="B48" s="863"/>
      <c r="C48" s="56"/>
      <c r="D48" s="67">
        <f>'KATSAYILAR '!C92</f>
        <v>2.3412800000000001E-2</v>
      </c>
    </row>
    <row r="49" spans="1:4" ht="15">
      <c r="A49" s="862" t="s">
        <v>6</v>
      </c>
      <c r="B49" s="863"/>
      <c r="C49" s="56">
        <v>20</v>
      </c>
      <c r="D49" s="62">
        <f>C49*D46</f>
        <v>1.4767399999999999</v>
      </c>
    </row>
    <row r="50" spans="1:4" ht="15">
      <c r="A50" s="862" t="s">
        <v>478</v>
      </c>
      <c r="B50" s="863"/>
      <c r="C50" s="56">
        <v>9500</v>
      </c>
      <c r="D50" s="62">
        <f>C50*D46</f>
        <v>701.45150000000001</v>
      </c>
    </row>
    <row r="51" spans="1:4" ht="15">
      <c r="A51" s="862" t="s">
        <v>479</v>
      </c>
      <c r="B51" s="863"/>
      <c r="C51" s="56">
        <v>2134</v>
      </c>
      <c r="D51" s="62">
        <f>C51*D46</f>
        <v>157.56815800000001</v>
      </c>
    </row>
    <row r="52" spans="1:4" ht="15">
      <c r="A52" s="862" t="s">
        <v>480</v>
      </c>
      <c r="B52" s="863"/>
      <c r="C52" s="56">
        <v>250</v>
      </c>
      <c r="D52" s="62">
        <f>C52*D46</f>
        <v>18.459250000000001</v>
      </c>
    </row>
    <row r="53" spans="1:4" ht="15">
      <c r="A53" s="862" t="s">
        <v>481</v>
      </c>
      <c r="B53" s="863"/>
      <c r="C53" s="56">
        <v>2500</v>
      </c>
      <c r="D53" s="62">
        <f>C53*D46</f>
        <v>184.5925</v>
      </c>
    </row>
    <row r="54" spans="1:4" ht="30">
      <c r="A54" s="873" t="s">
        <v>244</v>
      </c>
      <c r="B54" s="2" t="s">
        <v>455</v>
      </c>
      <c r="C54" s="56">
        <v>9500</v>
      </c>
      <c r="D54" s="62">
        <f>C54*D46</f>
        <v>701.45150000000001</v>
      </c>
    </row>
    <row r="55" spans="1:4" ht="30">
      <c r="A55" s="874"/>
      <c r="B55" s="2" t="s">
        <v>456</v>
      </c>
      <c r="C55" s="56">
        <v>9500</v>
      </c>
      <c r="D55" s="62">
        <f>(C55*D46)*2</f>
        <v>1402.903</v>
      </c>
    </row>
    <row r="56" spans="1:4" ht="33" customHeight="1" thickBot="1">
      <c r="A56" s="870"/>
      <c r="B56" s="871"/>
      <c r="C56" s="871"/>
      <c r="D56" s="872"/>
    </row>
    <row r="57" spans="1:4" ht="14.25">
      <c r="A57" s="864" t="s">
        <v>0</v>
      </c>
      <c r="B57" s="865"/>
      <c r="C57" s="865"/>
      <c r="D57" s="866"/>
    </row>
    <row r="58" spans="1:4" ht="14.25">
      <c r="A58" s="867" t="s">
        <v>1</v>
      </c>
      <c r="B58" s="868"/>
      <c r="C58" s="868"/>
      <c r="D58" s="869"/>
    </row>
    <row r="59" spans="1:4" ht="14.25" customHeight="1">
      <c r="A59" s="859" t="str">
        <f>B60</f>
        <v xml:space="preserve"> (01.07.2012-31.12.2012 döneminde)</v>
      </c>
      <c r="B59" s="860"/>
      <c r="C59" s="860"/>
      <c r="D59" s="861"/>
    </row>
    <row r="60" spans="1:4" ht="15">
      <c r="A60" s="83" t="s">
        <v>477</v>
      </c>
      <c r="B60" s="84" t="s">
        <v>470</v>
      </c>
      <c r="C60" s="56"/>
      <c r="D60" s="67">
        <f>'KATSAYILAR '!B91</f>
        <v>7.1589E-2</v>
      </c>
    </row>
    <row r="61" spans="1:4" ht="15">
      <c r="A61" s="862" t="s">
        <v>472</v>
      </c>
      <c r="B61" s="863"/>
      <c r="C61" s="56"/>
      <c r="D61" s="67">
        <f>'KATSAYILAR '!D91</f>
        <v>0.95789999999999997</v>
      </c>
    </row>
    <row r="62" spans="1:4" ht="15">
      <c r="A62" s="862" t="s">
        <v>473</v>
      </c>
      <c r="B62" s="863"/>
      <c r="C62" s="56"/>
      <c r="D62" s="67">
        <f>'KATSAYILAR '!C91</f>
        <v>2.2700000000000001E-2</v>
      </c>
    </row>
    <row r="63" spans="1:4" ht="15">
      <c r="A63" s="862" t="s">
        <v>6</v>
      </c>
      <c r="B63" s="863"/>
      <c r="C63" s="56">
        <v>20</v>
      </c>
      <c r="D63" s="62">
        <f>C63*D60</f>
        <v>1.4317800000000001</v>
      </c>
    </row>
    <row r="64" spans="1:4" ht="15">
      <c r="A64" s="862" t="s">
        <v>478</v>
      </c>
      <c r="B64" s="863"/>
      <c r="C64" s="56">
        <v>9500</v>
      </c>
      <c r="D64" s="62">
        <f>C64*D60</f>
        <v>680.09550000000002</v>
      </c>
    </row>
    <row r="65" spans="1:4" ht="15">
      <c r="A65" s="862" t="s">
        <v>479</v>
      </c>
      <c r="B65" s="863"/>
      <c r="C65" s="56">
        <v>2134</v>
      </c>
      <c r="D65" s="62">
        <f>C65*D60</f>
        <v>152.770926</v>
      </c>
    </row>
    <row r="66" spans="1:4" ht="15">
      <c r="A66" s="862" t="s">
        <v>480</v>
      </c>
      <c r="B66" s="863"/>
      <c r="C66" s="56">
        <v>250</v>
      </c>
      <c r="D66" s="62">
        <f>C66*D60</f>
        <v>17.89725</v>
      </c>
    </row>
    <row r="67" spans="1:4" ht="15">
      <c r="A67" s="862" t="s">
        <v>481</v>
      </c>
      <c r="B67" s="863"/>
      <c r="C67" s="56">
        <v>2500</v>
      </c>
      <c r="D67" s="62">
        <f>C67*D60</f>
        <v>178.9725</v>
      </c>
    </row>
    <row r="68" spans="1:4" ht="30">
      <c r="A68" s="873" t="s">
        <v>244</v>
      </c>
      <c r="B68" s="2" t="s">
        <v>455</v>
      </c>
      <c r="C68" s="56">
        <v>9500</v>
      </c>
      <c r="D68" s="62">
        <f>C68*D60</f>
        <v>680.09550000000002</v>
      </c>
    </row>
    <row r="69" spans="1:4" ht="30">
      <c r="A69" s="874"/>
      <c r="B69" s="2" t="s">
        <v>456</v>
      </c>
      <c r="C69" s="56">
        <v>9500</v>
      </c>
      <c r="D69" s="62">
        <f>(C69*D60)*2</f>
        <v>1360.191</v>
      </c>
    </row>
    <row r="70" spans="1:4" ht="33" customHeight="1" thickBot="1">
      <c r="A70" s="870"/>
      <c r="B70" s="871"/>
      <c r="C70" s="871"/>
      <c r="D70" s="872"/>
    </row>
    <row r="71" spans="1:4" ht="15.75" thickBot="1">
      <c r="A71" s="63"/>
      <c r="B71" s="64"/>
      <c r="C71" s="64"/>
      <c r="D71" s="65"/>
    </row>
    <row r="72" spans="1:4" ht="14.25">
      <c r="A72" s="864" t="s">
        <v>0</v>
      </c>
      <c r="B72" s="865"/>
      <c r="C72" s="865"/>
      <c r="D72" s="866"/>
    </row>
    <row r="73" spans="1:4" ht="14.25">
      <c r="A73" s="867" t="s">
        <v>1</v>
      </c>
      <c r="B73" s="868"/>
      <c r="C73" s="868"/>
      <c r="D73" s="869"/>
    </row>
    <row r="74" spans="1:4" ht="14.25">
      <c r="A74" s="859" t="str">
        <f>B75</f>
        <v xml:space="preserve"> (01.01.2012-30.06.2012 döneminde)</v>
      </c>
      <c r="B74" s="860"/>
      <c r="C74" s="860"/>
      <c r="D74" s="861"/>
    </row>
    <row r="75" spans="1:4" ht="15" customHeight="1">
      <c r="A75" s="83" t="s">
        <v>469</v>
      </c>
      <c r="B75" s="84" t="s">
        <v>4782</v>
      </c>
      <c r="C75" s="56"/>
      <c r="D75" s="67">
        <f>'KATSAYILAR '!B90</f>
        <v>6.8834999999999993E-2</v>
      </c>
    </row>
    <row r="76" spans="1:4" ht="15" customHeight="1">
      <c r="A76" s="83" t="s">
        <v>472</v>
      </c>
      <c r="B76" s="84"/>
      <c r="C76" s="56"/>
      <c r="D76" s="67">
        <f>'KATSAYILAR '!D90</f>
        <v>0.92105000000000004</v>
      </c>
    </row>
    <row r="77" spans="1:4" ht="15" customHeight="1">
      <c r="A77" s="83" t="s">
        <v>473</v>
      </c>
      <c r="B77" s="84"/>
      <c r="C77" s="56"/>
      <c r="D77" s="67">
        <f>'KATSAYILAR '!C90</f>
        <v>2.1826999999999999E-2</v>
      </c>
    </row>
    <row r="78" spans="1:4" ht="15">
      <c r="A78" s="83" t="s">
        <v>6</v>
      </c>
      <c r="B78" s="84"/>
      <c r="C78" s="56">
        <v>20</v>
      </c>
      <c r="D78" s="62">
        <f>C78*D75</f>
        <v>1.3766999999999998</v>
      </c>
    </row>
    <row r="79" spans="1:4" ht="15" customHeight="1">
      <c r="A79" s="862" t="s">
        <v>471</v>
      </c>
      <c r="B79" s="863"/>
      <c r="C79" s="56">
        <v>9500</v>
      </c>
      <c r="D79" s="62">
        <f>C79*D75</f>
        <v>653.93249999999989</v>
      </c>
    </row>
    <row r="80" spans="1:4" ht="15" customHeight="1">
      <c r="A80" s="862" t="s">
        <v>474</v>
      </c>
      <c r="B80" s="863"/>
      <c r="C80" s="56">
        <v>2134</v>
      </c>
      <c r="D80" s="62">
        <f>C80*D75</f>
        <v>146.89389</v>
      </c>
    </row>
    <row r="81" spans="1:5" ht="15" customHeight="1">
      <c r="A81" s="862" t="s">
        <v>475</v>
      </c>
      <c r="B81" s="863"/>
      <c r="C81" s="56">
        <v>250</v>
      </c>
      <c r="D81" s="62">
        <f>C81*D75</f>
        <v>17.208749999999998</v>
      </c>
    </row>
    <row r="82" spans="1:5" ht="15" customHeight="1">
      <c r="A82" s="862" t="s">
        <v>476</v>
      </c>
      <c r="B82" s="863"/>
      <c r="C82" s="56">
        <v>2500</v>
      </c>
      <c r="D82" s="62">
        <f>C82*D75</f>
        <v>172.08749999999998</v>
      </c>
    </row>
    <row r="83" spans="1:5" ht="30">
      <c r="A83" s="873" t="s">
        <v>244</v>
      </c>
      <c r="B83" s="2" t="s">
        <v>455</v>
      </c>
      <c r="C83" s="56">
        <v>9500</v>
      </c>
      <c r="D83" s="62">
        <f>C83*D75</f>
        <v>653.93249999999989</v>
      </c>
    </row>
    <row r="84" spans="1:5" ht="30">
      <c r="A84" s="874"/>
      <c r="B84" s="2" t="s">
        <v>456</v>
      </c>
      <c r="C84" s="56">
        <v>9500</v>
      </c>
      <c r="D84" s="62">
        <f>(C84*D75)*2</f>
        <v>1307.8649999999998</v>
      </c>
    </row>
    <row r="85" spans="1:5" ht="34.5" customHeight="1" thickBot="1">
      <c r="A85" s="870"/>
      <c r="B85" s="871"/>
      <c r="C85" s="871"/>
      <c r="D85" s="872"/>
    </row>
    <row r="86" spans="1:5" ht="15.75" thickBot="1">
      <c r="A86" s="63"/>
      <c r="B86" s="64"/>
      <c r="C86" s="64"/>
      <c r="D86" s="65"/>
    </row>
    <row r="87" spans="1:5" ht="14.25">
      <c r="A87" s="864" t="s">
        <v>0</v>
      </c>
      <c r="B87" s="865"/>
      <c r="C87" s="865"/>
      <c r="D87" s="866"/>
    </row>
    <row r="88" spans="1:5" ht="14.25">
      <c r="A88" s="867" t="s">
        <v>1</v>
      </c>
      <c r="B88" s="868"/>
      <c r="C88" s="868"/>
      <c r="D88" s="869"/>
    </row>
    <row r="89" spans="1:5" ht="14.25">
      <c r="A89" s="859" t="s">
        <v>453</v>
      </c>
      <c r="B89" s="860"/>
      <c r="C89" s="860"/>
      <c r="D89" s="861"/>
    </row>
    <row r="90" spans="1:5" ht="15">
      <c r="A90" s="862" t="s">
        <v>458</v>
      </c>
      <c r="B90" s="863"/>
      <c r="C90" s="56"/>
      <c r="D90" s="67">
        <v>6.4460000000000003E-2</v>
      </c>
    </row>
    <row r="91" spans="1:5" ht="15">
      <c r="A91" s="862" t="s">
        <v>459</v>
      </c>
      <c r="B91" s="863"/>
      <c r="C91" s="56"/>
      <c r="D91" s="67">
        <v>0.86251</v>
      </c>
    </row>
    <row r="92" spans="1:5" ht="15">
      <c r="A92" s="862" t="s">
        <v>468</v>
      </c>
      <c r="B92" s="863"/>
      <c r="C92" s="56"/>
      <c r="D92" s="67">
        <v>2.044E-2</v>
      </c>
    </row>
    <row r="93" spans="1:5" ht="15">
      <c r="A93" s="862" t="s">
        <v>6</v>
      </c>
      <c r="B93" s="863"/>
      <c r="C93" s="56">
        <v>20</v>
      </c>
      <c r="D93" s="62">
        <f>C93*D90</f>
        <v>1.2892000000000001</v>
      </c>
    </row>
    <row r="94" spans="1:5" ht="30.75" customHeight="1">
      <c r="A94" s="862" t="s">
        <v>457</v>
      </c>
      <c r="B94" s="863"/>
      <c r="C94" s="56">
        <v>9500</v>
      </c>
      <c r="D94" s="62">
        <f>C94*D90</f>
        <v>612.37</v>
      </c>
    </row>
    <row r="95" spans="1:5" ht="15">
      <c r="A95" s="862" t="s">
        <v>467</v>
      </c>
      <c r="B95" s="863"/>
      <c r="C95" s="56">
        <v>2134</v>
      </c>
      <c r="D95" s="62">
        <f>C95*D90</f>
        <v>137.55764000000002</v>
      </c>
      <c r="E95" s="27"/>
    </row>
    <row r="96" spans="1:5" ht="15">
      <c r="A96" s="862" t="s">
        <v>460</v>
      </c>
      <c r="B96" s="863"/>
      <c r="C96" s="56">
        <v>250</v>
      </c>
      <c r="D96" s="62">
        <f>C96*D90</f>
        <v>16.115000000000002</v>
      </c>
    </row>
    <row r="97" spans="1:8" ht="15">
      <c r="A97" s="862" t="s">
        <v>461</v>
      </c>
      <c r="B97" s="863"/>
      <c r="C97" s="56">
        <v>2500</v>
      </c>
      <c r="D97" s="62">
        <f>C97*D90</f>
        <v>161.15</v>
      </c>
    </row>
    <row r="98" spans="1:8" ht="30">
      <c r="A98" s="873" t="s">
        <v>10</v>
      </c>
      <c r="B98" s="2" t="s">
        <v>455</v>
      </c>
      <c r="C98" s="56">
        <v>9500</v>
      </c>
      <c r="D98" s="62">
        <f>C98*D90</f>
        <v>612.37</v>
      </c>
    </row>
    <row r="99" spans="1:8" ht="30">
      <c r="A99" s="874"/>
      <c r="B99" s="2" t="s">
        <v>456</v>
      </c>
      <c r="C99" s="56">
        <v>9500</v>
      </c>
      <c r="D99" s="62">
        <f>(C99*D90)*2</f>
        <v>1224.74</v>
      </c>
    </row>
    <row r="100" spans="1:8" ht="38.25" customHeight="1" thickBot="1">
      <c r="A100" s="870" t="s">
        <v>466</v>
      </c>
      <c r="B100" s="871"/>
      <c r="C100" s="871"/>
      <c r="D100" s="872"/>
      <c r="H100" s="66"/>
    </row>
    <row r="101" spans="1:8" ht="15.75" thickBot="1">
      <c r="A101" s="63"/>
      <c r="B101" s="64"/>
      <c r="C101" s="64"/>
      <c r="D101" s="65"/>
    </row>
    <row r="102" spans="1:8" ht="14.25">
      <c r="A102" s="864" t="s">
        <v>0</v>
      </c>
      <c r="B102" s="865"/>
      <c r="C102" s="865"/>
      <c r="D102" s="866"/>
    </row>
    <row r="103" spans="1:8" ht="14.25">
      <c r="A103" s="867" t="s">
        <v>1</v>
      </c>
      <c r="B103" s="868"/>
      <c r="C103" s="868"/>
      <c r="D103" s="869"/>
    </row>
    <row r="104" spans="1:8" ht="14.25">
      <c r="A104" s="859" t="s">
        <v>2</v>
      </c>
      <c r="B104" s="860"/>
      <c r="C104" s="860"/>
      <c r="D104" s="861"/>
    </row>
    <row r="105" spans="1:8" ht="15">
      <c r="A105" s="862" t="s">
        <v>3</v>
      </c>
      <c r="B105" s="863"/>
      <c r="C105" s="56"/>
      <c r="D105" s="1">
        <v>6.1954000000000002E-2</v>
      </c>
    </row>
    <row r="106" spans="1:8" ht="15">
      <c r="A106" s="862" t="s">
        <v>4</v>
      </c>
      <c r="B106" s="863"/>
      <c r="C106" s="56"/>
      <c r="D106" s="1">
        <v>0.82655999999999996</v>
      </c>
    </row>
    <row r="107" spans="1:8" ht="15">
      <c r="A107" s="862" t="s">
        <v>5</v>
      </c>
      <c r="B107" s="863"/>
      <c r="C107" s="56"/>
      <c r="D107" s="1">
        <v>1.9637999999999999E-2</v>
      </c>
    </row>
    <row r="108" spans="1:8" ht="15">
      <c r="A108" s="862" t="s">
        <v>6</v>
      </c>
      <c r="B108" s="863"/>
      <c r="C108" s="56">
        <v>20</v>
      </c>
      <c r="D108" s="62">
        <f>C108*D105</f>
        <v>1.23908</v>
      </c>
    </row>
    <row r="109" spans="1:8" ht="15">
      <c r="A109" s="862" t="s">
        <v>7</v>
      </c>
      <c r="B109" s="863"/>
      <c r="C109" s="56">
        <v>9500</v>
      </c>
      <c r="D109" s="62">
        <f>C109*D105</f>
        <v>588.56299999999999</v>
      </c>
    </row>
    <row r="110" spans="1:8" ht="15">
      <c r="A110" s="862" t="s">
        <v>454</v>
      </c>
      <c r="B110" s="863"/>
      <c r="C110" s="56">
        <v>1823</v>
      </c>
      <c r="D110" s="62">
        <f>C110*D105</f>
        <v>112.942142</v>
      </c>
    </row>
    <row r="111" spans="1:8" ht="15">
      <c r="A111" s="862" t="s">
        <v>8</v>
      </c>
      <c r="B111" s="863"/>
      <c r="C111" s="56">
        <v>250</v>
      </c>
      <c r="D111" s="62">
        <f>C111*D105</f>
        <v>15.4885</v>
      </c>
    </row>
    <row r="112" spans="1:8" ht="15">
      <c r="A112" s="862" t="s">
        <v>9</v>
      </c>
      <c r="B112" s="863"/>
      <c r="C112" s="56">
        <v>2500</v>
      </c>
      <c r="D112" s="62">
        <f>C112*D105</f>
        <v>154.88500000000002</v>
      </c>
    </row>
    <row r="113" spans="1:4" ht="30">
      <c r="A113" s="873" t="s">
        <v>10</v>
      </c>
      <c r="B113" s="2" t="s">
        <v>11</v>
      </c>
      <c r="C113" s="56">
        <v>9500</v>
      </c>
      <c r="D113" s="62">
        <f>C113*D105</f>
        <v>588.56299999999999</v>
      </c>
    </row>
    <row r="114" spans="1:4" ht="30">
      <c r="A114" s="874"/>
      <c r="B114" s="2" t="s">
        <v>12</v>
      </c>
      <c r="C114" s="56">
        <v>9500</v>
      </c>
      <c r="D114" s="62">
        <f>(C114*D105)*2</f>
        <v>1177.126</v>
      </c>
    </row>
    <row r="115" spans="1:4" ht="30" customHeight="1" thickBot="1">
      <c r="A115" s="870" t="s">
        <v>13</v>
      </c>
      <c r="B115" s="871"/>
      <c r="C115" s="871"/>
      <c r="D115" s="872"/>
    </row>
    <row r="116" spans="1:4" ht="15.75" thickBot="1">
      <c r="A116" s="875"/>
      <c r="B116" s="876"/>
      <c r="C116" s="876"/>
      <c r="D116" s="876"/>
    </row>
    <row r="117" spans="1:4" ht="14.25">
      <c r="A117" s="864" t="s">
        <v>0</v>
      </c>
      <c r="B117" s="865"/>
      <c r="C117" s="865"/>
      <c r="D117" s="866"/>
    </row>
    <row r="118" spans="1:4" ht="14.25">
      <c r="A118" s="867" t="s">
        <v>1</v>
      </c>
      <c r="B118" s="868"/>
      <c r="C118" s="868"/>
      <c r="D118" s="869"/>
    </row>
    <row r="119" spans="1:4" ht="14.25">
      <c r="A119" s="859" t="s">
        <v>14</v>
      </c>
      <c r="B119" s="860"/>
      <c r="C119" s="860"/>
      <c r="D119" s="861"/>
    </row>
    <row r="120" spans="1:4" ht="15">
      <c r="A120" s="862" t="s">
        <v>15</v>
      </c>
      <c r="B120" s="863"/>
      <c r="C120" s="56"/>
      <c r="D120" s="1">
        <v>5.9444999999999998E-2</v>
      </c>
    </row>
    <row r="121" spans="1:4" ht="15">
      <c r="A121" s="862" t="s">
        <v>16</v>
      </c>
      <c r="B121" s="863"/>
      <c r="C121" s="56"/>
      <c r="D121" s="1">
        <v>0.79310000000000003</v>
      </c>
    </row>
    <row r="122" spans="1:4" ht="15">
      <c r="A122" s="862" t="s">
        <v>17</v>
      </c>
      <c r="B122" s="863"/>
      <c r="C122" s="56"/>
      <c r="D122" s="1">
        <v>1.8842999999999999E-2</v>
      </c>
    </row>
    <row r="123" spans="1:4" ht="15">
      <c r="A123" s="862" t="s">
        <v>6</v>
      </c>
      <c r="B123" s="863"/>
      <c r="C123" s="56"/>
      <c r="D123" s="1">
        <v>20</v>
      </c>
    </row>
    <row r="124" spans="1:4" ht="15">
      <c r="A124" s="862" t="s">
        <v>18</v>
      </c>
      <c r="B124" s="863"/>
      <c r="C124" s="56"/>
      <c r="D124" s="1">
        <v>564.73</v>
      </c>
    </row>
    <row r="125" spans="1:4" ht="15">
      <c r="A125" s="862" t="s">
        <v>19</v>
      </c>
      <c r="B125" s="863"/>
      <c r="C125" s="56"/>
      <c r="D125" s="1">
        <v>89.17</v>
      </c>
    </row>
    <row r="126" spans="1:4" ht="15">
      <c r="A126" s="862" t="s">
        <v>20</v>
      </c>
      <c r="B126" s="863"/>
      <c r="C126" s="56"/>
      <c r="D126" s="1">
        <v>14.86</v>
      </c>
    </row>
    <row r="127" spans="1:4" ht="15">
      <c r="A127" s="862" t="s">
        <v>21</v>
      </c>
      <c r="B127" s="863"/>
      <c r="C127" s="56"/>
      <c r="D127" s="1">
        <v>148.61000000000001</v>
      </c>
    </row>
    <row r="128" spans="1:4" ht="30">
      <c r="A128" s="873" t="s">
        <v>22</v>
      </c>
      <c r="B128" s="2" t="s">
        <v>23</v>
      </c>
      <c r="C128" s="56"/>
      <c r="D128" s="1">
        <v>564.73</v>
      </c>
    </row>
    <row r="129" spans="1:7" ht="30">
      <c r="A129" s="874"/>
      <c r="B129" s="2" t="s">
        <v>24</v>
      </c>
      <c r="C129" s="56"/>
      <c r="D129" s="1">
        <v>1129.46</v>
      </c>
    </row>
    <row r="130" spans="1:7" ht="30" customHeight="1" thickBot="1">
      <c r="A130" s="870" t="s">
        <v>25</v>
      </c>
      <c r="B130" s="871"/>
      <c r="C130" s="871"/>
      <c r="D130" s="872"/>
    </row>
    <row r="131" spans="1:7" ht="15.75" thickBot="1">
      <c r="A131" s="875"/>
      <c r="B131" s="876"/>
      <c r="C131" s="876"/>
      <c r="D131" s="876"/>
      <c r="F131" s="66"/>
    </row>
    <row r="132" spans="1:7" ht="14.25">
      <c r="A132" s="877" t="s">
        <v>0</v>
      </c>
      <c r="B132" s="878"/>
      <c r="C132" s="878"/>
      <c r="D132" s="879"/>
    </row>
    <row r="133" spans="1:7" ht="14.25">
      <c r="A133" s="880" t="s">
        <v>1</v>
      </c>
      <c r="B133" s="881"/>
      <c r="C133" s="881"/>
      <c r="D133" s="882"/>
    </row>
    <row r="134" spans="1:7" ht="15" thickBot="1">
      <c r="A134" s="883" t="s">
        <v>26</v>
      </c>
      <c r="B134" s="884"/>
      <c r="C134" s="884"/>
      <c r="D134" s="885"/>
      <c r="G134" s="659">
        <v>5.7383000000000003E-2</v>
      </c>
    </row>
    <row r="135" spans="1:7" ht="15">
      <c r="A135" s="886" t="s">
        <v>27</v>
      </c>
      <c r="B135" s="887"/>
      <c r="C135" s="56"/>
      <c r="D135" s="3">
        <v>5.7383000000000003E-2</v>
      </c>
    </row>
    <row r="136" spans="1:7" ht="15">
      <c r="A136" s="862" t="s">
        <v>28</v>
      </c>
      <c r="B136" s="863"/>
      <c r="C136" s="56"/>
      <c r="D136" s="1">
        <v>0.76176999999999995</v>
      </c>
    </row>
    <row r="137" spans="1:7" ht="15">
      <c r="A137" s="862" t="s">
        <v>29</v>
      </c>
      <c r="B137" s="863"/>
      <c r="C137" s="56"/>
      <c r="D137" s="1">
        <v>1.8172000000000001E-2</v>
      </c>
    </row>
    <row r="138" spans="1:7" ht="15">
      <c r="A138" s="862" t="s">
        <v>6</v>
      </c>
      <c r="B138" s="863"/>
      <c r="C138" s="56"/>
      <c r="D138" s="1">
        <v>20</v>
      </c>
    </row>
    <row r="139" spans="1:7" ht="15">
      <c r="A139" s="862" t="s">
        <v>30</v>
      </c>
      <c r="B139" s="863"/>
      <c r="C139" s="56"/>
      <c r="D139" s="1">
        <v>544.48</v>
      </c>
    </row>
    <row r="140" spans="1:7" ht="15">
      <c r="A140" s="862" t="s">
        <v>31</v>
      </c>
      <c r="B140" s="863"/>
      <c r="C140" s="56"/>
      <c r="D140" s="1">
        <v>85.97</v>
      </c>
    </row>
    <row r="141" spans="1:7" ht="15">
      <c r="A141" s="862" t="s">
        <v>32</v>
      </c>
      <c r="B141" s="863"/>
      <c r="C141" s="56"/>
      <c r="D141" s="1">
        <v>14.33</v>
      </c>
    </row>
    <row r="142" spans="1:7" ht="15">
      <c r="A142" s="862" t="s">
        <v>33</v>
      </c>
      <c r="B142" s="863"/>
      <c r="C142" s="56"/>
      <c r="D142" s="1">
        <v>143.29</v>
      </c>
    </row>
    <row r="143" spans="1:7" ht="30">
      <c r="A143" s="873" t="s">
        <v>34</v>
      </c>
      <c r="B143" s="2" t="s">
        <v>35</v>
      </c>
      <c r="C143" s="56"/>
      <c r="D143" s="1">
        <v>544.48</v>
      </c>
    </row>
    <row r="144" spans="1:7" ht="30">
      <c r="A144" s="874"/>
      <c r="B144" s="2" t="s">
        <v>36</v>
      </c>
      <c r="C144" s="56"/>
      <c r="D144" s="1">
        <v>1088.97</v>
      </c>
    </row>
    <row r="145" spans="1:4" ht="32.25" customHeight="1" thickBot="1">
      <c r="A145" s="870" t="s">
        <v>37</v>
      </c>
      <c r="B145" s="871"/>
      <c r="C145" s="871"/>
      <c r="D145" s="872"/>
    </row>
    <row r="146" spans="1:4" ht="34.5" customHeight="1" thickBot="1">
      <c r="A146" s="875"/>
      <c r="B146" s="876"/>
      <c r="C146" s="876"/>
      <c r="D146" s="876"/>
    </row>
    <row r="147" spans="1:4" ht="14.25">
      <c r="A147" s="877" t="s">
        <v>0</v>
      </c>
      <c r="B147" s="878"/>
      <c r="C147" s="878"/>
      <c r="D147" s="879"/>
    </row>
    <row r="148" spans="1:4" ht="14.25">
      <c r="A148" s="880" t="s">
        <v>1</v>
      </c>
      <c r="B148" s="881"/>
      <c r="C148" s="881"/>
      <c r="D148" s="882"/>
    </row>
    <row r="149" spans="1:4" ht="15" thickBot="1">
      <c r="A149" s="883" t="s">
        <v>38</v>
      </c>
      <c r="B149" s="884"/>
      <c r="C149" s="884"/>
      <c r="D149" s="885"/>
    </row>
    <row r="150" spans="1:4" ht="15">
      <c r="A150" s="886" t="s">
        <v>39</v>
      </c>
      <c r="B150" s="887"/>
      <c r="C150" s="56"/>
      <c r="D150" s="1">
        <v>5.5919999999999997E-2</v>
      </c>
    </row>
    <row r="151" spans="1:4" ht="15">
      <c r="A151" s="862" t="s">
        <v>40</v>
      </c>
      <c r="B151" s="863"/>
      <c r="C151" s="56"/>
      <c r="D151" s="1">
        <v>0.74348000000000003</v>
      </c>
    </row>
    <row r="152" spans="1:4" ht="15">
      <c r="A152" s="862" t="s">
        <v>41</v>
      </c>
      <c r="B152" s="863"/>
      <c r="C152" s="56"/>
      <c r="D152" s="1">
        <v>1.7729999999999999E-2</v>
      </c>
    </row>
    <row r="153" spans="1:4" ht="15">
      <c r="A153" s="862" t="s">
        <v>6</v>
      </c>
      <c r="B153" s="863"/>
      <c r="C153" s="56"/>
      <c r="D153" s="1">
        <v>20</v>
      </c>
    </row>
    <row r="154" spans="1:4" ht="15">
      <c r="A154" s="862" t="s">
        <v>42</v>
      </c>
      <c r="B154" s="863"/>
      <c r="C154" s="56"/>
      <c r="D154" s="1">
        <v>531.24</v>
      </c>
    </row>
    <row r="155" spans="1:4" ht="15">
      <c r="A155" s="862" t="s">
        <v>43</v>
      </c>
      <c r="B155" s="863"/>
      <c r="C155" s="56"/>
      <c r="D155" s="1">
        <v>83.88</v>
      </c>
    </row>
    <row r="156" spans="1:4" ht="15">
      <c r="A156" s="862" t="s">
        <v>44</v>
      </c>
      <c r="B156" s="863"/>
      <c r="C156" s="56"/>
      <c r="D156" s="1">
        <v>13.98</v>
      </c>
    </row>
    <row r="157" spans="1:4" ht="15">
      <c r="A157" s="862" t="s">
        <v>45</v>
      </c>
      <c r="B157" s="863"/>
      <c r="C157" s="56"/>
      <c r="D157" s="1">
        <v>139.80000000000001</v>
      </c>
    </row>
    <row r="158" spans="1:4" ht="30">
      <c r="A158" s="873" t="s">
        <v>46</v>
      </c>
      <c r="B158" s="2" t="s">
        <v>47</v>
      </c>
      <c r="C158" s="56"/>
      <c r="D158" s="1">
        <v>531.24</v>
      </c>
    </row>
    <row r="159" spans="1:4" ht="30">
      <c r="A159" s="874"/>
      <c r="B159" s="2" t="s">
        <v>48</v>
      </c>
      <c r="C159" s="56"/>
      <c r="D159" s="1">
        <v>1062.48</v>
      </c>
    </row>
    <row r="160" spans="1:4" ht="31.5" customHeight="1" thickBot="1">
      <c r="A160" s="870" t="s">
        <v>49</v>
      </c>
      <c r="B160" s="871"/>
      <c r="C160" s="871"/>
      <c r="D160" s="872"/>
    </row>
    <row r="161" spans="1:4" ht="15.75" thickBot="1">
      <c r="A161" s="875"/>
      <c r="B161" s="876"/>
      <c r="C161" s="876"/>
      <c r="D161" s="876"/>
    </row>
    <row r="162" spans="1:4" ht="14.25">
      <c r="A162" s="877" t="s">
        <v>0</v>
      </c>
      <c r="B162" s="878"/>
      <c r="C162" s="878"/>
      <c r="D162" s="879"/>
    </row>
    <row r="163" spans="1:4" ht="14.25">
      <c r="A163" s="880" t="s">
        <v>1</v>
      </c>
      <c r="B163" s="881"/>
      <c r="C163" s="881"/>
      <c r="D163" s="882"/>
    </row>
    <row r="164" spans="1:4" ht="15" thickBot="1">
      <c r="A164" s="883" t="s">
        <v>50</v>
      </c>
      <c r="B164" s="884"/>
      <c r="C164" s="884"/>
      <c r="D164" s="885"/>
    </row>
    <row r="165" spans="1:4" ht="15">
      <c r="A165" s="886" t="s">
        <v>51</v>
      </c>
      <c r="B165" s="887"/>
      <c r="C165" s="56"/>
      <c r="D165" s="3">
        <v>5.3504999999999997E-2</v>
      </c>
    </row>
    <row r="166" spans="1:4" ht="15">
      <c r="A166" s="862" t="s">
        <v>52</v>
      </c>
      <c r="B166" s="863"/>
      <c r="C166" s="56"/>
      <c r="D166" s="1">
        <v>0.70840000000000003</v>
      </c>
    </row>
    <row r="167" spans="1:4" ht="15">
      <c r="A167" s="862" t="s">
        <v>53</v>
      </c>
      <c r="B167" s="863"/>
      <c r="C167" s="56"/>
      <c r="D167" s="1">
        <v>1.6965000000000001E-2</v>
      </c>
    </row>
    <row r="168" spans="1:4" ht="15">
      <c r="A168" s="862" t="s">
        <v>6</v>
      </c>
      <c r="B168" s="863"/>
      <c r="C168" s="56"/>
      <c r="D168" s="1">
        <v>20</v>
      </c>
    </row>
    <row r="169" spans="1:4" ht="15">
      <c r="A169" s="862" t="s">
        <v>54</v>
      </c>
      <c r="B169" s="863"/>
      <c r="C169" s="56"/>
      <c r="D169" s="1">
        <v>508.3</v>
      </c>
    </row>
    <row r="170" spans="1:4" ht="15">
      <c r="A170" s="862" t="s">
        <v>55</v>
      </c>
      <c r="B170" s="863"/>
      <c r="C170" s="56"/>
      <c r="D170" s="1">
        <v>80.260000000000005</v>
      </c>
    </row>
    <row r="171" spans="1:4" ht="15">
      <c r="A171" s="862" t="s">
        <v>56</v>
      </c>
      <c r="B171" s="863"/>
      <c r="C171" s="56"/>
      <c r="D171" s="1">
        <v>13.38</v>
      </c>
    </row>
    <row r="172" spans="1:4" ht="15">
      <c r="A172" s="862" t="s">
        <v>57</v>
      </c>
      <c r="B172" s="863"/>
      <c r="C172" s="56"/>
      <c r="D172" s="1">
        <v>133.76</v>
      </c>
    </row>
    <row r="173" spans="1:4" ht="30">
      <c r="A173" s="873" t="s">
        <v>58</v>
      </c>
      <c r="B173" s="2" t="s">
        <v>59</v>
      </c>
      <c r="C173" s="56"/>
      <c r="D173" s="1">
        <v>508.3</v>
      </c>
    </row>
    <row r="174" spans="1:4" ht="30">
      <c r="A174" s="874"/>
      <c r="B174" s="2" t="s">
        <v>60</v>
      </c>
      <c r="C174" s="56"/>
      <c r="D174" s="1">
        <v>1016.6</v>
      </c>
    </row>
    <row r="175" spans="1:4" ht="51" customHeight="1" thickBot="1">
      <c r="A175" s="870" t="s">
        <v>61</v>
      </c>
      <c r="B175" s="871"/>
      <c r="C175" s="871"/>
      <c r="D175" s="872"/>
    </row>
    <row r="176" spans="1:4" ht="15.75" thickBot="1">
      <c r="A176" s="875"/>
      <c r="B176" s="876"/>
      <c r="C176" s="876"/>
      <c r="D176" s="876"/>
    </row>
    <row r="177" spans="1:4" ht="14.25">
      <c r="A177" s="877" t="s">
        <v>0</v>
      </c>
      <c r="B177" s="878"/>
      <c r="C177" s="878"/>
      <c r="D177" s="879"/>
    </row>
    <row r="178" spans="1:4" ht="14.25">
      <c r="A178" s="880" t="s">
        <v>1</v>
      </c>
      <c r="B178" s="881"/>
      <c r="C178" s="881"/>
      <c r="D178" s="882"/>
    </row>
    <row r="179" spans="1:4" ht="15" thickBot="1">
      <c r="A179" s="883" t="s">
        <v>62</v>
      </c>
      <c r="B179" s="884"/>
      <c r="C179" s="884"/>
      <c r="D179" s="885"/>
    </row>
    <row r="180" spans="1:4" ht="15">
      <c r="A180" s="888" t="s">
        <v>63</v>
      </c>
      <c r="B180" s="889"/>
      <c r="C180" s="57"/>
      <c r="D180" s="4">
        <v>5.1448000000000001E-2</v>
      </c>
    </row>
    <row r="181" spans="1:4" ht="15">
      <c r="A181" s="890" t="s">
        <v>64</v>
      </c>
      <c r="B181" s="891"/>
      <c r="C181" s="57"/>
      <c r="D181" s="5">
        <v>0.68120000000000003</v>
      </c>
    </row>
    <row r="182" spans="1:4" ht="15">
      <c r="A182" s="890" t="s">
        <v>65</v>
      </c>
      <c r="B182" s="891"/>
      <c r="C182" s="57"/>
      <c r="D182" s="5">
        <v>1.6313000000000001E-2</v>
      </c>
    </row>
    <row r="183" spans="1:4" ht="15">
      <c r="A183" s="890" t="s">
        <v>6</v>
      </c>
      <c r="B183" s="891"/>
      <c r="C183" s="57"/>
      <c r="D183" s="5">
        <v>20</v>
      </c>
    </row>
    <row r="184" spans="1:4" ht="15">
      <c r="A184" s="890" t="s">
        <v>66</v>
      </c>
      <c r="B184" s="891"/>
      <c r="C184" s="57"/>
      <c r="D184" s="5" t="s">
        <v>67</v>
      </c>
    </row>
    <row r="185" spans="1:4" ht="15">
      <c r="A185" s="890" t="s">
        <v>68</v>
      </c>
      <c r="B185" s="891"/>
      <c r="C185" s="57"/>
      <c r="D185" s="5" t="s">
        <v>69</v>
      </c>
    </row>
    <row r="186" spans="1:4" ht="15">
      <c r="A186" s="890" t="s">
        <v>70</v>
      </c>
      <c r="B186" s="891"/>
      <c r="C186" s="57"/>
      <c r="D186" s="5" t="s">
        <v>71</v>
      </c>
    </row>
    <row r="187" spans="1:4" ht="15">
      <c r="A187" s="890" t="s">
        <v>72</v>
      </c>
      <c r="B187" s="891"/>
      <c r="C187" s="57"/>
      <c r="D187" s="5" t="s">
        <v>73</v>
      </c>
    </row>
    <row r="188" spans="1:4" ht="30">
      <c r="A188" s="873" t="s">
        <v>74</v>
      </c>
      <c r="B188" s="6" t="s">
        <v>75</v>
      </c>
      <c r="C188" s="57"/>
      <c r="D188" s="5" t="s">
        <v>67</v>
      </c>
    </row>
    <row r="189" spans="1:4" ht="30">
      <c r="A189" s="874"/>
      <c r="B189" s="6" t="s">
        <v>76</v>
      </c>
      <c r="C189" s="57"/>
      <c r="D189" s="5" t="s">
        <v>77</v>
      </c>
    </row>
    <row r="190" spans="1:4" ht="31.5" customHeight="1" thickBot="1">
      <c r="A190" s="892" t="s">
        <v>78</v>
      </c>
      <c r="B190" s="893"/>
      <c r="C190" s="893"/>
      <c r="D190" s="894"/>
    </row>
    <row r="191" spans="1:4" ht="6" customHeight="1" thickBot="1">
      <c r="A191" s="875"/>
      <c r="B191" s="876"/>
      <c r="C191" s="876"/>
      <c r="D191" s="876"/>
    </row>
    <row r="192" spans="1:4" ht="14.25">
      <c r="A192" s="877" t="s">
        <v>0</v>
      </c>
      <c r="B192" s="878"/>
      <c r="C192" s="878"/>
      <c r="D192" s="879"/>
    </row>
    <row r="193" spans="1:4" ht="14.25">
      <c r="A193" s="880" t="s">
        <v>1</v>
      </c>
      <c r="B193" s="881"/>
      <c r="C193" s="881"/>
      <c r="D193" s="882"/>
    </row>
    <row r="194" spans="1:4" ht="15" thickBot="1">
      <c r="A194" s="883" t="s">
        <v>79</v>
      </c>
      <c r="B194" s="884"/>
      <c r="C194" s="884"/>
      <c r="D194" s="885"/>
    </row>
    <row r="195" spans="1:4" ht="15">
      <c r="A195" s="888" t="s">
        <v>80</v>
      </c>
      <c r="B195" s="889"/>
      <c r="C195" s="57"/>
      <c r="D195" s="4">
        <v>4.9486000000000002E-2</v>
      </c>
    </row>
    <row r="196" spans="1:4" ht="15">
      <c r="A196" s="890" t="s">
        <v>81</v>
      </c>
      <c r="B196" s="891"/>
      <c r="C196" s="57"/>
      <c r="D196" s="5">
        <v>0.65283000000000002</v>
      </c>
    </row>
    <row r="197" spans="1:4" ht="15">
      <c r="A197" s="890" t="s">
        <v>82</v>
      </c>
      <c r="B197" s="891"/>
      <c r="C197" s="57"/>
      <c r="D197" s="5">
        <v>1.5689999999999999E-2</v>
      </c>
    </row>
    <row r="198" spans="1:4" ht="15">
      <c r="A198" s="890" t="s">
        <v>6</v>
      </c>
      <c r="B198" s="891"/>
      <c r="C198" s="57"/>
      <c r="D198" s="5">
        <v>20</v>
      </c>
    </row>
    <row r="199" spans="1:4" ht="15">
      <c r="A199" s="890" t="s">
        <v>83</v>
      </c>
      <c r="B199" s="891"/>
      <c r="C199" s="57"/>
      <c r="D199" s="5" t="s">
        <v>84</v>
      </c>
    </row>
    <row r="200" spans="1:4" ht="15">
      <c r="A200" s="890" t="s">
        <v>85</v>
      </c>
      <c r="B200" s="891"/>
      <c r="C200" s="57"/>
      <c r="D200" s="5" t="s">
        <v>86</v>
      </c>
    </row>
    <row r="201" spans="1:4" ht="15">
      <c r="A201" s="890" t="s">
        <v>87</v>
      </c>
      <c r="B201" s="891"/>
      <c r="C201" s="57"/>
      <c r="D201" s="5" t="s">
        <v>88</v>
      </c>
    </row>
    <row r="202" spans="1:4" ht="15">
      <c r="A202" s="890" t="s">
        <v>89</v>
      </c>
      <c r="B202" s="891"/>
      <c r="C202" s="57"/>
      <c r="D202" s="5" t="s">
        <v>90</v>
      </c>
    </row>
    <row r="203" spans="1:4" ht="30">
      <c r="A203" s="873" t="s">
        <v>91</v>
      </c>
      <c r="B203" s="6" t="s">
        <v>92</v>
      </c>
      <c r="C203" s="57"/>
      <c r="D203" s="5" t="s">
        <v>84</v>
      </c>
    </row>
    <row r="204" spans="1:4" ht="30">
      <c r="A204" s="874"/>
      <c r="B204" s="6" t="s">
        <v>93</v>
      </c>
      <c r="C204" s="57"/>
      <c r="D204" s="5" t="s">
        <v>94</v>
      </c>
    </row>
    <row r="205" spans="1:4" ht="32.25" customHeight="1" thickBot="1">
      <c r="A205" s="892" t="s">
        <v>95</v>
      </c>
      <c r="B205" s="893"/>
      <c r="C205" s="893"/>
      <c r="D205" s="894"/>
    </row>
    <row r="206" spans="1:4" ht="15.75" thickBot="1">
      <c r="A206" s="875"/>
      <c r="B206" s="876"/>
      <c r="C206" s="876"/>
      <c r="D206" s="876"/>
    </row>
    <row r="207" spans="1:4" ht="14.25">
      <c r="A207" s="877" t="s">
        <v>0</v>
      </c>
      <c r="B207" s="878"/>
      <c r="C207" s="878"/>
      <c r="D207" s="879"/>
    </row>
    <row r="208" spans="1:4" ht="14.25">
      <c r="A208" s="880" t="s">
        <v>1</v>
      </c>
      <c r="B208" s="881"/>
      <c r="C208" s="881"/>
      <c r="D208" s="882"/>
    </row>
    <row r="209" spans="1:4" ht="15" thickBot="1">
      <c r="A209" s="883" t="s">
        <v>96</v>
      </c>
      <c r="B209" s="884"/>
      <c r="C209" s="884"/>
      <c r="D209" s="885"/>
    </row>
    <row r="210" spans="1:4" ht="15">
      <c r="A210" s="888" t="s">
        <v>97</v>
      </c>
      <c r="B210" s="889"/>
      <c r="C210" s="57"/>
      <c r="D210" s="4">
        <v>4.8349999999999997E-2</v>
      </c>
    </row>
    <row r="211" spans="1:4" ht="15">
      <c r="A211" s="890" t="s">
        <v>98</v>
      </c>
      <c r="B211" s="891"/>
      <c r="C211" s="57"/>
      <c r="D211" s="5">
        <v>0.62804000000000004</v>
      </c>
    </row>
    <row r="212" spans="1:4" ht="15">
      <c r="A212" s="890" t="s">
        <v>99</v>
      </c>
      <c r="B212" s="891"/>
      <c r="C212" s="57"/>
      <c r="D212" s="5">
        <v>1.533E-2</v>
      </c>
    </row>
    <row r="213" spans="1:4" ht="15">
      <c r="A213" s="890" t="s">
        <v>6</v>
      </c>
      <c r="B213" s="891"/>
      <c r="C213" s="57"/>
      <c r="D213" s="5">
        <v>20</v>
      </c>
    </row>
    <row r="214" spans="1:4" ht="15">
      <c r="A214" s="890" t="s">
        <v>100</v>
      </c>
      <c r="B214" s="891"/>
      <c r="C214" s="57"/>
      <c r="D214" s="5" t="s">
        <v>101</v>
      </c>
    </row>
    <row r="215" spans="1:4" ht="15">
      <c r="A215" s="890" t="s">
        <v>102</v>
      </c>
      <c r="B215" s="891"/>
      <c r="C215" s="57"/>
      <c r="D215" s="5" t="s">
        <v>103</v>
      </c>
    </row>
    <row r="216" spans="1:4" ht="15">
      <c r="A216" s="890" t="s">
        <v>104</v>
      </c>
      <c r="B216" s="891"/>
      <c r="C216" s="57"/>
      <c r="D216" s="5" t="s">
        <v>105</v>
      </c>
    </row>
    <row r="217" spans="1:4" ht="15">
      <c r="A217" s="890" t="s">
        <v>106</v>
      </c>
      <c r="B217" s="891"/>
      <c r="C217" s="57"/>
      <c r="D217" s="5" t="s">
        <v>107</v>
      </c>
    </row>
    <row r="218" spans="1:4" ht="30">
      <c r="A218" s="873" t="s">
        <v>108</v>
      </c>
      <c r="B218" s="6" t="s">
        <v>109</v>
      </c>
      <c r="C218" s="57"/>
      <c r="D218" s="5" t="s">
        <v>110</v>
      </c>
    </row>
    <row r="219" spans="1:4" ht="30">
      <c r="A219" s="874"/>
      <c r="B219" s="6" t="s">
        <v>111</v>
      </c>
      <c r="C219" s="57"/>
      <c r="D219" s="5" t="s">
        <v>112</v>
      </c>
    </row>
    <row r="220" spans="1:4" ht="51" customHeight="1" thickBot="1">
      <c r="A220" s="897" t="s">
        <v>113</v>
      </c>
      <c r="B220" s="898"/>
      <c r="C220" s="898"/>
      <c r="D220" s="899"/>
    </row>
    <row r="221" spans="1:4" ht="15.75" thickBot="1">
      <c r="A221" s="875"/>
      <c r="B221" s="876"/>
      <c r="C221" s="876"/>
      <c r="D221" s="876"/>
    </row>
    <row r="222" spans="1:4" ht="14.25">
      <c r="A222" s="877" t="s">
        <v>0</v>
      </c>
      <c r="B222" s="878"/>
      <c r="C222" s="878"/>
      <c r="D222" s="879"/>
    </row>
    <row r="223" spans="1:4" ht="14.25">
      <c r="A223" s="880" t="s">
        <v>1</v>
      </c>
      <c r="B223" s="881"/>
      <c r="C223" s="881"/>
      <c r="D223" s="882"/>
    </row>
    <row r="224" spans="1:4" ht="15" thickBot="1">
      <c r="A224" s="883" t="s">
        <v>114</v>
      </c>
      <c r="B224" s="884"/>
      <c r="C224" s="884"/>
      <c r="D224" s="885"/>
    </row>
    <row r="225" spans="1:4" ht="15">
      <c r="A225" s="895" t="s">
        <v>115</v>
      </c>
      <c r="B225" s="896"/>
      <c r="C225" s="58"/>
      <c r="D225" s="4">
        <v>4.6984999999999999E-2</v>
      </c>
    </row>
    <row r="226" spans="1:4" ht="15">
      <c r="A226" s="900" t="s">
        <v>116</v>
      </c>
      <c r="B226" s="901"/>
      <c r="C226" s="58"/>
      <c r="D226" s="5">
        <v>0.59811999999999999</v>
      </c>
    </row>
    <row r="227" spans="1:4" ht="15">
      <c r="A227" s="900" t="s">
        <v>117</v>
      </c>
      <c r="B227" s="901"/>
      <c r="C227" s="58"/>
      <c r="D227" s="5">
        <v>1.49E-2</v>
      </c>
    </row>
    <row r="228" spans="1:4" ht="15">
      <c r="A228" s="900" t="s">
        <v>6</v>
      </c>
      <c r="B228" s="901"/>
      <c r="C228" s="58"/>
      <c r="D228" s="5">
        <v>20</v>
      </c>
    </row>
    <row r="229" spans="1:4" ht="15">
      <c r="A229" s="900" t="s">
        <v>118</v>
      </c>
      <c r="B229" s="901"/>
      <c r="C229" s="58"/>
      <c r="D229" s="5" t="s">
        <v>119</v>
      </c>
    </row>
    <row r="230" spans="1:4" ht="15">
      <c r="A230" s="900" t="s">
        <v>120</v>
      </c>
      <c r="B230" s="901"/>
      <c r="C230" s="58"/>
      <c r="D230" s="5" t="s">
        <v>121</v>
      </c>
    </row>
    <row r="231" spans="1:4" ht="15">
      <c r="A231" s="900" t="s">
        <v>122</v>
      </c>
      <c r="B231" s="901"/>
      <c r="C231" s="58"/>
      <c r="D231" s="5" t="s">
        <v>123</v>
      </c>
    </row>
    <row r="232" spans="1:4" ht="15">
      <c r="A232" s="900" t="s">
        <v>124</v>
      </c>
      <c r="B232" s="901"/>
      <c r="C232" s="58"/>
      <c r="D232" s="5" t="s">
        <v>125</v>
      </c>
    </row>
    <row r="233" spans="1:4" ht="30">
      <c r="A233" s="873" t="s">
        <v>126</v>
      </c>
      <c r="B233" s="6" t="s">
        <v>127</v>
      </c>
      <c r="C233" s="57"/>
      <c r="D233" s="5" t="s">
        <v>119</v>
      </c>
    </row>
    <row r="234" spans="1:4" ht="30">
      <c r="A234" s="874"/>
      <c r="B234" s="6" t="s">
        <v>128</v>
      </c>
      <c r="C234" s="57"/>
      <c r="D234" s="5" t="s">
        <v>129</v>
      </c>
    </row>
    <row r="235" spans="1:4" ht="49.5" customHeight="1" thickBot="1">
      <c r="A235" s="902" t="s">
        <v>130</v>
      </c>
      <c r="B235" s="903"/>
      <c r="C235" s="903"/>
      <c r="D235" s="904"/>
    </row>
    <row r="236" spans="1:4" ht="5.25" customHeight="1" thickBot="1">
      <c r="A236" s="875"/>
      <c r="B236" s="876"/>
      <c r="C236" s="876"/>
      <c r="D236" s="876"/>
    </row>
    <row r="237" spans="1:4" ht="14.25">
      <c r="A237" s="877" t="s">
        <v>0</v>
      </c>
      <c r="B237" s="878"/>
      <c r="C237" s="878"/>
      <c r="D237" s="879"/>
    </row>
    <row r="238" spans="1:4" ht="14.25">
      <c r="A238" s="880" t="s">
        <v>1</v>
      </c>
      <c r="B238" s="881"/>
      <c r="C238" s="881"/>
      <c r="D238" s="882"/>
    </row>
    <row r="239" spans="1:4" ht="15" thickBot="1">
      <c r="A239" s="883" t="s">
        <v>131</v>
      </c>
      <c r="B239" s="884"/>
      <c r="C239" s="884"/>
      <c r="D239" s="885"/>
    </row>
    <row r="240" spans="1:4" ht="15">
      <c r="A240" s="895" t="s">
        <v>132</v>
      </c>
      <c r="B240" s="896"/>
      <c r="C240" s="58"/>
      <c r="D240" s="4">
        <v>4.4745E-2</v>
      </c>
    </row>
    <row r="241" spans="1:4" ht="15">
      <c r="A241" s="900" t="s">
        <v>133</v>
      </c>
      <c r="B241" s="901"/>
      <c r="C241" s="58"/>
      <c r="D241" s="5">
        <v>0.55983000000000005</v>
      </c>
    </row>
    <row r="242" spans="1:4" ht="15">
      <c r="A242" s="900" t="s">
        <v>134</v>
      </c>
      <c r="B242" s="901"/>
      <c r="C242" s="58"/>
      <c r="D242" s="5">
        <v>1.4192E-2</v>
      </c>
    </row>
    <row r="243" spans="1:4" ht="15">
      <c r="A243" s="900" t="s">
        <v>6</v>
      </c>
      <c r="B243" s="901"/>
      <c r="C243" s="58"/>
      <c r="D243" s="5">
        <v>20</v>
      </c>
    </row>
    <row r="244" spans="1:4" ht="15">
      <c r="A244" s="900" t="s">
        <v>135</v>
      </c>
      <c r="B244" s="901"/>
      <c r="C244" s="58"/>
      <c r="D244" s="5" t="s">
        <v>136</v>
      </c>
    </row>
    <row r="245" spans="1:4" ht="15">
      <c r="A245" s="900" t="s">
        <v>137</v>
      </c>
      <c r="B245" s="901"/>
      <c r="C245" s="58"/>
      <c r="D245" s="5" t="s">
        <v>138</v>
      </c>
    </row>
    <row r="246" spans="1:4" ht="15">
      <c r="A246" s="900" t="s">
        <v>139</v>
      </c>
      <c r="B246" s="901"/>
      <c r="C246" s="58"/>
      <c r="D246" s="5" t="s">
        <v>140</v>
      </c>
    </row>
    <row r="247" spans="1:4" ht="15">
      <c r="A247" s="900" t="s">
        <v>141</v>
      </c>
      <c r="B247" s="901"/>
      <c r="C247" s="58"/>
      <c r="D247" s="5" t="s">
        <v>142</v>
      </c>
    </row>
    <row r="248" spans="1:4" ht="30">
      <c r="A248" s="873" t="s">
        <v>143</v>
      </c>
      <c r="B248" s="6" t="s">
        <v>144</v>
      </c>
      <c r="C248" s="57"/>
      <c r="D248" s="5" t="s">
        <v>136</v>
      </c>
    </row>
    <row r="249" spans="1:4" ht="30">
      <c r="A249" s="874"/>
      <c r="B249" s="6" t="s">
        <v>145</v>
      </c>
      <c r="C249" s="57"/>
      <c r="D249" s="5" t="s">
        <v>146</v>
      </c>
    </row>
    <row r="250" spans="1:4" ht="45" customHeight="1" thickBot="1">
      <c r="A250" s="897" t="s">
        <v>147</v>
      </c>
      <c r="B250" s="898"/>
      <c r="C250" s="898"/>
      <c r="D250" s="899"/>
    </row>
    <row r="251" spans="1:4" ht="15.75" thickBot="1">
      <c r="A251" s="875"/>
      <c r="B251" s="876"/>
      <c r="C251" s="876"/>
      <c r="D251" s="876"/>
    </row>
    <row r="252" spans="1:4" ht="14.25">
      <c r="A252" s="877" t="s">
        <v>0</v>
      </c>
      <c r="B252" s="878"/>
      <c r="C252" s="878"/>
      <c r="D252" s="879"/>
    </row>
    <row r="253" spans="1:4" ht="14.25">
      <c r="A253" s="880" t="s">
        <v>1</v>
      </c>
      <c r="B253" s="881"/>
      <c r="C253" s="881"/>
      <c r="D253" s="882"/>
    </row>
    <row r="254" spans="1:4" ht="15" thickBot="1">
      <c r="A254" s="883" t="s">
        <v>131</v>
      </c>
      <c r="B254" s="884"/>
      <c r="C254" s="884"/>
      <c r="D254" s="885"/>
    </row>
    <row r="255" spans="1:4" ht="15">
      <c r="A255" s="888" t="s">
        <v>132</v>
      </c>
      <c r="B255" s="889"/>
      <c r="C255" s="57"/>
      <c r="D255" s="4">
        <v>4.3729999999999998E-2</v>
      </c>
    </row>
    <row r="256" spans="1:4" ht="15">
      <c r="A256" s="890" t="s">
        <v>133</v>
      </c>
      <c r="B256" s="891"/>
      <c r="C256" s="57"/>
      <c r="D256" s="5">
        <v>0.54710999999999999</v>
      </c>
    </row>
    <row r="257" spans="1:4" ht="15">
      <c r="A257" s="890" t="s">
        <v>134</v>
      </c>
      <c r="B257" s="891"/>
      <c r="C257" s="57"/>
      <c r="D257" s="5">
        <v>1.387E-2</v>
      </c>
    </row>
    <row r="258" spans="1:4" ht="15">
      <c r="A258" s="890" t="s">
        <v>6</v>
      </c>
      <c r="B258" s="891"/>
      <c r="C258" s="57"/>
      <c r="D258" s="5">
        <v>20</v>
      </c>
    </row>
    <row r="259" spans="1:4" ht="15">
      <c r="A259" s="890" t="s">
        <v>148</v>
      </c>
      <c r="B259" s="891"/>
      <c r="C259" s="57"/>
      <c r="D259" s="5" t="s">
        <v>149</v>
      </c>
    </row>
    <row r="260" spans="1:4" ht="15">
      <c r="A260" s="890" t="s">
        <v>150</v>
      </c>
      <c r="B260" s="891"/>
      <c r="C260" s="57"/>
      <c r="D260" s="5" t="s">
        <v>151</v>
      </c>
    </row>
    <row r="261" spans="1:4" ht="15">
      <c r="A261" s="890" t="s">
        <v>152</v>
      </c>
      <c r="B261" s="891"/>
      <c r="C261" s="57"/>
      <c r="D261" s="5" t="s">
        <v>153</v>
      </c>
    </row>
    <row r="262" spans="1:4" ht="15">
      <c r="A262" s="890" t="s">
        <v>154</v>
      </c>
      <c r="B262" s="891"/>
      <c r="C262" s="57"/>
      <c r="D262" s="5" t="s">
        <v>155</v>
      </c>
    </row>
    <row r="263" spans="1:4" ht="30">
      <c r="A263" s="873" t="s">
        <v>143</v>
      </c>
      <c r="B263" s="6" t="s">
        <v>156</v>
      </c>
      <c r="C263" s="57"/>
      <c r="D263" s="5" t="s">
        <v>157</v>
      </c>
    </row>
    <row r="264" spans="1:4" ht="30">
      <c r="A264" s="874"/>
      <c r="B264" s="6" t="s">
        <v>158</v>
      </c>
      <c r="C264" s="57"/>
      <c r="D264" s="5" t="s">
        <v>159</v>
      </c>
    </row>
    <row r="265" spans="1:4" ht="35.25" customHeight="1" thickBot="1">
      <c r="A265" s="897" t="s">
        <v>160</v>
      </c>
      <c r="B265" s="898"/>
      <c r="C265" s="898"/>
      <c r="D265" s="899"/>
    </row>
    <row r="266" spans="1:4" ht="15.75" thickBot="1">
      <c r="A266" s="875"/>
      <c r="B266" s="876"/>
      <c r="C266" s="876"/>
      <c r="D266" s="876"/>
    </row>
    <row r="267" spans="1:4" ht="14.25">
      <c r="A267" s="877" t="s">
        <v>0</v>
      </c>
      <c r="B267" s="878"/>
      <c r="C267" s="878"/>
      <c r="D267" s="879"/>
    </row>
    <row r="268" spans="1:4" ht="14.25">
      <c r="A268" s="880" t="s">
        <v>161</v>
      </c>
      <c r="B268" s="881"/>
      <c r="C268" s="881"/>
      <c r="D268" s="882"/>
    </row>
    <row r="269" spans="1:4" ht="15" thickBot="1">
      <c r="A269" s="883" t="s">
        <v>162</v>
      </c>
      <c r="B269" s="884"/>
      <c r="C269" s="884"/>
      <c r="D269" s="885"/>
    </row>
    <row r="270" spans="1:4" ht="15">
      <c r="A270" s="888" t="s">
        <v>163</v>
      </c>
      <c r="B270" s="889"/>
      <c r="C270" s="57"/>
      <c r="D270" s="4">
        <v>4.265E-2</v>
      </c>
    </row>
    <row r="271" spans="1:4" ht="15">
      <c r="A271" s="890" t="s">
        <v>164</v>
      </c>
      <c r="B271" s="891"/>
      <c r="C271" s="57"/>
      <c r="D271" s="5">
        <v>0.53376999999999997</v>
      </c>
    </row>
    <row r="272" spans="1:4" ht="15">
      <c r="A272" s="890" t="s">
        <v>165</v>
      </c>
      <c r="B272" s="891"/>
      <c r="C272" s="57"/>
      <c r="D272" s="5">
        <v>1.353E-2</v>
      </c>
    </row>
    <row r="273" spans="1:4" ht="15">
      <c r="A273" s="890" t="s">
        <v>6</v>
      </c>
      <c r="B273" s="891"/>
      <c r="C273" s="57"/>
      <c r="D273" s="5">
        <v>20</v>
      </c>
    </row>
    <row r="274" spans="1:4" ht="15">
      <c r="A274" s="890" t="s">
        <v>166</v>
      </c>
      <c r="B274" s="891"/>
      <c r="C274" s="57"/>
      <c r="D274" s="5" t="s">
        <v>167</v>
      </c>
    </row>
    <row r="275" spans="1:4" ht="15">
      <c r="A275" s="890" t="s">
        <v>168</v>
      </c>
      <c r="B275" s="891"/>
      <c r="C275" s="57"/>
      <c r="D275" s="5" t="s">
        <v>169</v>
      </c>
    </row>
    <row r="276" spans="1:4" ht="15">
      <c r="A276" s="890" t="s">
        <v>170</v>
      </c>
      <c r="B276" s="891"/>
      <c r="C276" s="57"/>
      <c r="D276" s="5" t="s">
        <v>171</v>
      </c>
    </row>
    <row r="277" spans="1:4" ht="15">
      <c r="A277" s="890" t="s">
        <v>172</v>
      </c>
      <c r="B277" s="891"/>
      <c r="C277" s="57"/>
      <c r="D277" s="5" t="s">
        <v>173</v>
      </c>
    </row>
    <row r="278" spans="1:4" ht="30">
      <c r="A278" s="873" t="s">
        <v>174</v>
      </c>
      <c r="B278" s="6" t="s">
        <v>175</v>
      </c>
      <c r="C278" s="57"/>
      <c r="D278" s="5" t="s">
        <v>167</v>
      </c>
    </row>
    <row r="279" spans="1:4" ht="39" customHeight="1" thickBot="1">
      <c r="A279" s="905"/>
      <c r="B279" s="7" t="s">
        <v>176</v>
      </c>
      <c r="C279" s="59"/>
      <c r="D279" s="8" t="s">
        <v>177</v>
      </c>
    </row>
    <row r="280" spans="1:4" ht="30" customHeight="1" thickBot="1">
      <c r="A280" s="906"/>
      <c r="B280" s="907"/>
      <c r="C280" s="907"/>
      <c r="D280" s="907"/>
    </row>
    <row r="281" spans="1:4" ht="14.25">
      <c r="A281" s="877" t="s">
        <v>0</v>
      </c>
      <c r="B281" s="878"/>
      <c r="C281" s="878"/>
      <c r="D281" s="879"/>
    </row>
    <row r="282" spans="1:4" ht="14.25">
      <c r="A282" s="880" t="s">
        <v>161</v>
      </c>
      <c r="B282" s="881"/>
      <c r="C282" s="881"/>
      <c r="D282" s="882"/>
    </row>
    <row r="283" spans="1:4" ht="15" thickBot="1">
      <c r="A283" s="883" t="s">
        <v>178</v>
      </c>
      <c r="B283" s="884"/>
      <c r="C283" s="884"/>
      <c r="D283" s="885"/>
    </row>
    <row r="284" spans="1:4" ht="15">
      <c r="A284" s="895" t="s">
        <v>179</v>
      </c>
      <c r="B284" s="896"/>
      <c r="C284" s="58"/>
      <c r="D284" s="4">
        <v>4.1599999999999998E-2</v>
      </c>
    </row>
    <row r="285" spans="1:4" ht="15">
      <c r="A285" s="900" t="s">
        <v>180</v>
      </c>
      <c r="B285" s="901"/>
      <c r="C285" s="58"/>
      <c r="D285" s="5">
        <v>0.52075000000000005</v>
      </c>
    </row>
    <row r="286" spans="1:4" ht="15">
      <c r="A286" s="900" t="s">
        <v>181</v>
      </c>
      <c r="B286" s="901"/>
      <c r="C286" s="58"/>
      <c r="D286" s="5">
        <v>1.32E-2</v>
      </c>
    </row>
    <row r="287" spans="1:4" ht="15">
      <c r="A287" s="900" t="s">
        <v>6</v>
      </c>
      <c r="B287" s="901"/>
      <c r="C287" s="58"/>
      <c r="D287" s="5">
        <v>20</v>
      </c>
    </row>
    <row r="288" spans="1:4" ht="15">
      <c r="A288" s="900" t="s">
        <v>182</v>
      </c>
      <c r="B288" s="901"/>
      <c r="C288" s="58"/>
      <c r="D288" s="5" t="s">
        <v>183</v>
      </c>
    </row>
    <row r="289" spans="1:4" ht="15">
      <c r="A289" s="900" t="s">
        <v>184</v>
      </c>
      <c r="B289" s="901"/>
      <c r="C289" s="58"/>
      <c r="D289" s="5" t="s">
        <v>185</v>
      </c>
    </row>
    <row r="290" spans="1:4" ht="15">
      <c r="A290" s="900" t="s">
        <v>186</v>
      </c>
      <c r="B290" s="901"/>
      <c r="C290" s="58"/>
      <c r="D290" s="5" t="s">
        <v>187</v>
      </c>
    </row>
    <row r="291" spans="1:4" ht="15">
      <c r="A291" s="900" t="s">
        <v>188</v>
      </c>
      <c r="B291" s="901"/>
      <c r="C291" s="58"/>
      <c r="D291" s="5" t="s">
        <v>189</v>
      </c>
    </row>
    <row r="292" spans="1:4" ht="30">
      <c r="A292" s="873" t="s">
        <v>190</v>
      </c>
      <c r="B292" s="9" t="s">
        <v>191</v>
      </c>
      <c r="C292" s="58"/>
      <c r="D292" s="5" t="s">
        <v>183</v>
      </c>
    </row>
    <row r="293" spans="1:4" ht="30.75" thickBot="1">
      <c r="A293" s="905"/>
      <c r="B293" s="10" t="s">
        <v>192</v>
      </c>
      <c r="C293" s="60"/>
      <c r="D293" s="8" t="s">
        <v>193</v>
      </c>
    </row>
    <row r="294" spans="1:4" ht="15.75" thickBot="1">
      <c r="A294" s="906"/>
      <c r="B294" s="907"/>
      <c r="C294" s="907"/>
      <c r="D294" s="907"/>
    </row>
    <row r="295" spans="1:4" ht="14.25">
      <c r="A295" s="877" t="s">
        <v>0</v>
      </c>
      <c r="B295" s="878"/>
      <c r="C295" s="878"/>
      <c r="D295" s="879"/>
    </row>
    <row r="296" spans="1:4" ht="14.25">
      <c r="A296" s="880" t="s">
        <v>161</v>
      </c>
      <c r="B296" s="881"/>
      <c r="C296" s="881"/>
      <c r="D296" s="882"/>
    </row>
    <row r="297" spans="1:4" ht="15" thickBot="1">
      <c r="A297" s="883" t="s">
        <v>194</v>
      </c>
      <c r="B297" s="884"/>
      <c r="C297" s="884"/>
      <c r="D297" s="885"/>
    </row>
    <row r="298" spans="1:4" ht="15">
      <c r="A298" s="895" t="s">
        <v>195</v>
      </c>
      <c r="B298" s="896"/>
      <c r="C298" s="58"/>
      <c r="D298" s="4">
        <v>4.0099999999999997E-2</v>
      </c>
    </row>
    <row r="299" spans="1:4" ht="15">
      <c r="A299" s="900" t="s">
        <v>196</v>
      </c>
      <c r="B299" s="901"/>
      <c r="C299" s="58"/>
      <c r="D299" s="5">
        <v>0.48599999999999999</v>
      </c>
    </row>
    <row r="300" spans="1:4" ht="15">
      <c r="A300" s="900" t="s">
        <v>197</v>
      </c>
      <c r="B300" s="901"/>
      <c r="C300" s="58"/>
      <c r="D300" s="5">
        <v>1.26E-2</v>
      </c>
    </row>
    <row r="301" spans="1:4" ht="15">
      <c r="A301" s="900" t="s">
        <v>6</v>
      </c>
      <c r="B301" s="901"/>
      <c r="C301" s="58"/>
      <c r="D301" s="5">
        <v>20</v>
      </c>
    </row>
    <row r="302" spans="1:4" ht="15">
      <c r="A302" s="900" t="s">
        <v>198</v>
      </c>
      <c r="B302" s="901"/>
      <c r="C302" s="58"/>
      <c r="D302" s="5" t="s">
        <v>199</v>
      </c>
    </row>
    <row r="303" spans="1:4" ht="15">
      <c r="A303" s="900" t="s">
        <v>200</v>
      </c>
      <c r="B303" s="901"/>
      <c r="C303" s="58"/>
      <c r="D303" s="5" t="s">
        <v>201</v>
      </c>
    </row>
    <row r="304" spans="1:4" ht="15">
      <c r="A304" s="900" t="s">
        <v>202</v>
      </c>
      <c r="B304" s="901"/>
      <c r="C304" s="58"/>
      <c r="D304" s="5" t="s">
        <v>203</v>
      </c>
    </row>
    <row r="305" spans="1:4" ht="15">
      <c r="A305" s="900" t="s">
        <v>204</v>
      </c>
      <c r="B305" s="901"/>
      <c r="C305" s="58"/>
      <c r="D305" s="5" t="s">
        <v>205</v>
      </c>
    </row>
    <row r="306" spans="1:4" ht="30">
      <c r="A306" s="873" t="s">
        <v>206</v>
      </c>
      <c r="B306" s="9" t="s">
        <v>207</v>
      </c>
      <c r="C306" s="58"/>
      <c r="D306" s="5" t="s">
        <v>199</v>
      </c>
    </row>
    <row r="307" spans="1:4" ht="30.75" thickBot="1">
      <c r="A307" s="905"/>
      <c r="B307" s="10" t="s">
        <v>208</v>
      </c>
      <c r="C307" s="60"/>
      <c r="D307" s="8" t="s">
        <v>209</v>
      </c>
    </row>
    <row r="308" spans="1:4" ht="15.75" thickBot="1">
      <c r="A308" s="906"/>
      <c r="B308" s="907"/>
      <c r="C308" s="907"/>
      <c r="D308" s="907"/>
    </row>
    <row r="309" spans="1:4" ht="14.25">
      <c r="A309" s="877" t="s">
        <v>0</v>
      </c>
      <c r="B309" s="878"/>
      <c r="C309" s="878"/>
      <c r="D309" s="879"/>
    </row>
    <row r="310" spans="1:4" ht="14.25">
      <c r="A310" s="880" t="s">
        <v>161</v>
      </c>
      <c r="B310" s="881"/>
      <c r="C310" s="881"/>
      <c r="D310" s="882"/>
    </row>
    <row r="311" spans="1:4" ht="15" thickBot="1">
      <c r="A311" s="883" t="s">
        <v>210</v>
      </c>
      <c r="B311" s="884"/>
      <c r="C311" s="884"/>
      <c r="D311" s="885"/>
    </row>
    <row r="312" spans="1:4" ht="15">
      <c r="A312" s="888" t="s">
        <v>211</v>
      </c>
      <c r="B312" s="889"/>
      <c r="C312" s="57"/>
      <c r="D312" s="4">
        <v>38610</v>
      </c>
    </row>
    <row r="313" spans="1:4" ht="15">
      <c r="A313" s="890" t="s">
        <v>212</v>
      </c>
      <c r="B313" s="891"/>
      <c r="C313" s="57"/>
      <c r="D313" s="5">
        <v>455050</v>
      </c>
    </row>
    <row r="314" spans="1:4" ht="15">
      <c r="A314" s="890" t="s">
        <v>213</v>
      </c>
      <c r="B314" s="891"/>
      <c r="C314" s="57"/>
      <c r="D314" s="5">
        <v>12240</v>
      </c>
    </row>
    <row r="315" spans="1:4" ht="15">
      <c r="A315" s="890" t="s">
        <v>6</v>
      </c>
      <c r="B315" s="891"/>
      <c r="C315" s="57"/>
      <c r="D315" s="5">
        <v>20</v>
      </c>
    </row>
    <row r="316" spans="1:4" ht="15">
      <c r="A316" s="890" t="s">
        <v>214</v>
      </c>
      <c r="B316" s="891"/>
      <c r="C316" s="57"/>
      <c r="D316" s="5">
        <v>366795000</v>
      </c>
    </row>
    <row r="317" spans="1:4" ht="15">
      <c r="A317" s="890" t="s">
        <v>215</v>
      </c>
      <c r="B317" s="891"/>
      <c r="C317" s="57"/>
      <c r="D317" s="5">
        <v>48262500</v>
      </c>
    </row>
    <row r="318" spans="1:4" ht="15">
      <c r="A318" s="890" t="s">
        <v>216</v>
      </c>
      <c r="B318" s="891"/>
      <c r="C318" s="57"/>
      <c r="D318" s="5">
        <v>9652500</v>
      </c>
    </row>
    <row r="319" spans="1:4" ht="15">
      <c r="A319" s="890" t="s">
        <v>217</v>
      </c>
      <c r="B319" s="891"/>
      <c r="C319" s="57"/>
      <c r="D319" s="5">
        <v>2895750</v>
      </c>
    </row>
    <row r="320" spans="1:4" ht="30">
      <c r="A320" s="873" t="s">
        <v>218</v>
      </c>
      <c r="B320" s="6" t="s">
        <v>219</v>
      </c>
      <c r="C320" s="57"/>
      <c r="D320" s="5">
        <v>366795000</v>
      </c>
    </row>
    <row r="321" spans="1:4" ht="30">
      <c r="A321" s="874"/>
      <c r="B321" s="6" t="s">
        <v>220</v>
      </c>
      <c r="C321" s="57"/>
      <c r="D321" s="5">
        <v>733590000</v>
      </c>
    </row>
    <row r="322" spans="1:4" ht="15">
      <c r="A322" s="873" t="s">
        <v>221</v>
      </c>
      <c r="B322" s="6" t="s">
        <v>222</v>
      </c>
      <c r="C322" s="57"/>
      <c r="D322" s="5">
        <v>600000</v>
      </c>
    </row>
    <row r="323" spans="1:4" ht="15">
      <c r="A323" s="908"/>
      <c r="B323" s="6" t="s">
        <v>223</v>
      </c>
      <c r="C323" s="57"/>
      <c r="D323" s="5">
        <v>400000</v>
      </c>
    </row>
    <row r="324" spans="1:4" ht="15.75" thickBot="1">
      <c r="A324" s="909"/>
      <c r="B324" s="7" t="s">
        <v>224</v>
      </c>
      <c r="C324" s="59"/>
      <c r="D324" s="8">
        <v>200000</v>
      </c>
    </row>
    <row r="325" spans="1:4" ht="75.75" customHeight="1" thickBot="1">
      <c r="A325" s="875"/>
      <c r="B325" s="876"/>
      <c r="C325" s="876"/>
      <c r="D325" s="876"/>
    </row>
    <row r="326" spans="1:4" ht="14.25">
      <c r="A326" s="877" t="s">
        <v>0</v>
      </c>
      <c r="B326" s="878"/>
      <c r="C326" s="878"/>
      <c r="D326" s="879"/>
    </row>
    <row r="327" spans="1:4" ht="14.25">
      <c r="A327" s="880" t="s">
        <v>161</v>
      </c>
      <c r="B327" s="881"/>
      <c r="C327" s="881"/>
      <c r="D327" s="882"/>
    </row>
    <row r="328" spans="1:4" ht="15" thickBot="1">
      <c r="A328" s="883" t="s">
        <v>225</v>
      </c>
      <c r="B328" s="884"/>
      <c r="C328" s="884"/>
      <c r="D328" s="885"/>
    </row>
    <row r="329" spans="1:4" ht="15">
      <c r="A329" s="888" t="s">
        <v>226</v>
      </c>
      <c r="B329" s="889"/>
      <c r="C329" s="57"/>
      <c r="D329" s="4">
        <v>36420</v>
      </c>
    </row>
    <row r="330" spans="1:4" ht="15">
      <c r="A330" s="890" t="s">
        <v>227</v>
      </c>
      <c r="B330" s="891"/>
      <c r="C330" s="57"/>
      <c r="D330" s="5">
        <v>429250</v>
      </c>
    </row>
    <row r="331" spans="1:4" ht="15">
      <c r="A331" s="890" t="s">
        <v>228</v>
      </c>
      <c r="B331" s="891"/>
      <c r="C331" s="57"/>
      <c r="D331" s="5">
        <v>11550</v>
      </c>
    </row>
    <row r="332" spans="1:4" ht="15">
      <c r="A332" s="890" t="s">
        <v>6</v>
      </c>
      <c r="B332" s="891"/>
      <c r="C332" s="57"/>
      <c r="D332" s="5">
        <v>20</v>
      </c>
    </row>
    <row r="333" spans="1:4" ht="15">
      <c r="A333" s="890" t="s">
        <v>229</v>
      </c>
      <c r="B333" s="891"/>
      <c r="C333" s="57"/>
      <c r="D333" s="5">
        <v>345990000</v>
      </c>
    </row>
    <row r="334" spans="1:4" ht="15">
      <c r="A334" s="890" t="s">
        <v>230</v>
      </c>
      <c r="B334" s="891"/>
      <c r="C334" s="57"/>
      <c r="D334" s="5">
        <v>45525000</v>
      </c>
    </row>
    <row r="335" spans="1:4" ht="15">
      <c r="A335" s="890" t="s">
        <v>231</v>
      </c>
      <c r="B335" s="891"/>
      <c r="C335" s="57"/>
      <c r="D335" s="5">
        <v>9105000</v>
      </c>
    </row>
    <row r="336" spans="1:4" ht="15">
      <c r="A336" s="890" t="s">
        <v>232</v>
      </c>
      <c r="B336" s="891"/>
      <c r="C336" s="57"/>
      <c r="D336" s="5">
        <v>2731500</v>
      </c>
    </row>
    <row r="337" spans="1:4" ht="30">
      <c r="A337" s="873" t="s">
        <v>233</v>
      </c>
      <c r="B337" s="6" t="s">
        <v>234</v>
      </c>
      <c r="C337" s="57"/>
      <c r="D337" s="5">
        <v>345990000</v>
      </c>
    </row>
    <row r="338" spans="1:4" ht="30">
      <c r="A338" s="874"/>
      <c r="B338" s="6" t="s">
        <v>235</v>
      </c>
      <c r="C338" s="57"/>
      <c r="D338" s="5">
        <v>691980000</v>
      </c>
    </row>
    <row r="339" spans="1:4" ht="15">
      <c r="A339" s="873" t="s">
        <v>221</v>
      </c>
      <c r="B339" s="6" t="s">
        <v>222</v>
      </c>
      <c r="C339" s="57"/>
      <c r="D339" s="5">
        <v>600000</v>
      </c>
    </row>
    <row r="340" spans="1:4" ht="15">
      <c r="A340" s="908"/>
      <c r="B340" s="6" t="s">
        <v>223</v>
      </c>
      <c r="C340" s="57"/>
      <c r="D340" s="5">
        <v>400000</v>
      </c>
    </row>
    <row r="341" spans="1:4" ht="15.75" thickBot="1">
      <c r="A341" s="909"/>
      <c r="B341" s="7" t="s">
        <v>224</v>
      </c>
      <c r="C341" s="59"/>
      <c r="D341" s="8">
        <v>200000</v>
      </c>
    </row>
    <row r="342" spans="1:4" ht="15.75" thickBot="1">
      <c r="A342" s="875"/>
      <c r="B342" s="876"/>
      <c r="C342" s="876"/>
      <c r="D342" s="876"/>
    </row>
    <row r="343" spans="1:4" ht="14.25">
      <c r="A343" s="877" t="s">
        <v>0</v>
      </c>
      <c r="B343" s="878"/>
      <c r="C343" s="878"/>
      <c r="D343" s="879"/>
    </row>
    <row r="344" spans="1:4" ht="14.25">
      <c r="A344" s="880" t="s">
        <v>161</v>
      </c>
      <c r="B344" s="881"/>
      <c r="C344" s="881"/>
      <c r="D344" s="882"/>
    </row>
    <row r="345" spans="1:4" ht="15" thickBot="1">
      <c r="A345" s="883" t="s">
        <v>236</v>
      </c>
      <c r="B345" s="884"/>
      <c r="C345" s="884"/>
      <c r="D345" s="885"/>
    </row>
    <row r="346" spans="1:4" ht="15">
      <c r="A346" s="910"/>
      <c r="B346" s="911"/>
      <c r="C346" s="911"/>
      <c r="D346" s="912"/>
    </row>
    <row r="347" spans="1:4" ht="15">
      <c r="A347" s="862" t="s">
        <v>237</v>
      </c>
      <c r="B347" s="863"/>
      <c r="C347" s="56"/>
      <c r="D347" s="1">
        <v>34300</v>
      </c>
    </row>
    <row r="348" spans="1:4" ht="15">
      <c r="A348" s="862" t="s">
        <v>238</v>
      </c>
      <c r="B348" s="863"/>
      <c r="C348" s="56"/>
      <c r="D348" s="1">
        <v>395250</v>
      </c>
    </row>
    <row r="349" spans="1:4" ht="15">
      <c r="A349" s="862" t="s">
        <v>239</v>
      </c>
      <c r="B349" s="863"/>
      <c r="C349" s="56"/>
      <c r="D349" s="1">
        <v>10885</v>
      </c>
    </row>
    <row r="350" spans="1:4" ht="15">
      <c r="A350" s="862" t="s">
        <v>6</v>
      </c>
      <c r="B350" s="863"/>
      <c r="C350" s="56"/>
      <c r="D350" s="1">
        <v>20</v>
      </c>
    </row>
    <row r="351" spans="1:4" ht="15">
      <c r="A351" s="862" t="s">
        <v>240</v>
      </c>
      <c r="B351" s="863"/>
      <c r="C351" s="56"/>
      <c r="D351" s="1">
        <v>325850000</v>
      </c>
    </row>
    <row r="352" spans="1:4" ht="15">
      <c r="A352" s="862" t="s">
        <v>241</v>
      </c>
      <c r="B352" s="863"/>
      <c r="C352" s="56"/>
      <c r="D352" s="1">
        <v>42875000</v>
      </c>
    </row>
    <row r="353" spans="1:4" ht="15">
      <c r="A353" s="862" t="s">
        <v>242</v>
      </c>
      <c r="B353" s="863"/>
      <c r="C353" s="56"/>
      <c r="D353" s="1">
        <v>8525000</v>
      </c>
    </row>
    <row r="354" spans="1:4" ht="15">
      <c r="A354" s="862" t="s">
        <v>243</v>
      </c>
      <c r="B354" s="863"/>
      <c r="C354" s="56"/>
      <c r="D354" s="1">
        <v>2572500</v>
      </c>
    </row>
    <row r="355" spans="1:4" ht="30">
      <c r="A355" s="873" t="s">
        <v>244</v>
      </c>
      <c r="B355" s="2" t="s">
        <v>245</v>
      </c>
      <c r="C355" s="56"/>
      <c r="D355" s="1">
        <v>325850000</v>
      </c>
    </row>
    <row r="356" spans="1:4" ht="30">
      <c r="A356" s="874"/>
      <c r="B356" s="2" t="s">
        <v>246</v>
      </c>
      <c r="C356" s="56"/>
      <c r="D356" s="1">
        <v>651700000</v>
      </c>
    </row>
    <row r="357" spans="1:4" ht="15">
      <c r="A357" s="873" t="s">
        <v>221</v>
      </c>
      <c r="B357" s="2" t="s">
        <v>222</v>
      </c>
      <c r="C357" s="56"/>
      <c r="D357" s="1">
        <v>600000</v>
      </c>
    </row>
    <row r="358" spans="1:4" ht="15">
      <c r="A358" s="908"/>
      <c r="B358" s="2" t="s">
        <v>223</v>
      </c>
      <c r="C358" s="56"/>
      <c r="D358" s="1">
        <v>400000</v>
      </c>
    </row>
    <row r="359" spans="1:4" ht="15.75" thickBot="1">
      <c r="A359" s="905"/>
      <c r="B359" s="11" t="s">
        <v>224</v>
      </c>
      <c r="C359" s="61"/>
      <c r="D359" s="12">
        <v>200000</v>
      </c>
    </row>
    <row r="361" spans="1:4">
      <c r="A361" s="44" t="s">
        <v>274</v>
      </c>
    </row>
  </sheetData>
  <mergeCells count="314">
    <mergeCell ref="A1:D1"/>
    <mergeCell ref="A2:D2"/>
    <mergeCell ref="A3:D3"/>
    <mergeCell ref="A5:B5"/>
    <mergeCell ref="A6:B6"/>
    <mergeCell ref="A7:B7"/>
    <mergeCell ref="A8:B8"/>
    <mergeCell ref="A9:B9"/>
    <mergeCell ref="A40:A41"/>
    <mergeCell ref="A15:D15"/>
    <mergeCell ref="A16:D16"/>
    <mergeCell ref="A17:D17"/>
    <mergeCell ref="A19:B19"/>
    <mergeCell ref="A20:B20"/>
    <mergeCell ref="A21:B21"/>
    <mergeCell ref="A10:B10"/>
    <mergeCell ref="A11:B11"/>
    <mergeCell ref="A12:A13"/>
    <mergeCell ref="A25:B25"/>
    <mergeCell ref="A26:A27"/>
    <mergeCell ref="A29:D29"/>
    <mergeCell ref="A30:D30"/>
    <mergeCell ref="A31:D31"/>
    <mergeCell ref="A33:B33"/>
    <mergeCell ref="A34:B34"/>
    <mergeCell ref="A22:B22"/>
    <mergeCell ref="A23:B23"/>
    <mergeCell ref="A24:B24"/>
    <mergeCell ref="A56:D56"/>
    <mergeCell ref="A49:B49"/>
    <mergeCell ref="A50:B50"/>
    <mergeCell ref="A51:B51"/>
    <mergeCell ref="A52:B52"/>
    <mergeCell ref="A53:B53"/>
    <mergeCell ref="A54:A55"/>
    <mergeCell ref="A83:A84"/>
    <mergeCell ref="A85:D85"/>
    <mergeCell ref="A79:B79"/>
    <mergeCell ref="A80:B80"/>
    <mergeCell ref="A81:B81"/>
    <mergeCell ref="A82:B82"/>
    <mergeCell ref="A43:D43"/>
    <mergeCell ref="A44:D44"/>
    <mergeCell ref="A45:D45"/>
    <mergeCell ref="A47:B47"/>
    <mergeCell ref="A48:B48"/>
    <mergeCell ref="A70:D70"/>
    <mergeCell ref="A72:D72"/>
    <mergeCell ref="A73:D73"/>
    <mergeCell ref="A74:D74"/>
    <mergeCell ref="A63:B63"/>
    <mergeCell ref="A64:B64"/>
    <mergeCell ref="A65:B65"/>
    <mergeCell ref="A66:B66"/>
    <mergeCell ref="A67:B67"/>
    <mergeCell ref="A68:A69"/>
    <mergeCell ref="A57:D57"/>
    <mergeCell ref="A58:D58"/>
    <mergeCell ref="A61:B61"/>
    <mergeCell ref="A62:B62"/>
    <mergeCell ref="A59:D59"/>
    <mergeCell ref="A35:B35"/>
    <mergeCell ref="A36:B36"/>
    <mergeCell ref="A37:B37"/>
    <mergeCell ref="A38:B38"/>
    <mergeCell ref="A39:B39"/>
    <mergeCell ref="A349:B349"/>
    <mergeCell ref="A342:D342"/>
    <mergeCell ref="A343:D343"/>
    <mergeCell ref="A344:D344"/>
    <mergeCell ref="A345:D345"/>
    <mergeCell ref="A331:B331"/>
    <mergeCell ref="A332:B332"/>
    <mergeCell ref="A333:B333"/>
    <mergeCell ref="A334:B334"/>
    <mergeCell ref="A328:D328"/>
    <mergeCell ref="A329:B329"/>
    <mergeCell ref="A330:B330"/>
    <mergeCell ref="A320:A321"/>
    <mergeCell ref="A322:A324"/>
    <mergeCell ref="A325:D325"/>
    <mergeCell ref="A326:D326"/>
    <mergeCell ref="A335:B335"/>
    <mergeCell ref="A354:B354"/>
    <mergeCell ref="A355:A356"/>
    <mergeCell ref="A357:A359"/>
    <mergeCell ref="A350:B350"/>
    <mergeCell ref="A351:B351"/>
    <mergeCell ref="A352:B352"/>
    <mergeCell ref="A353:B353"/>
    <mergeCell ref="A337:A338"/>
    <mergeCell ref="A339:A341"/>
    <mergeCell ref="A346:D346"/>
    <mergeCell ref="A347:B347"/>
    <mergeCell ref="A348:B348"/>
    <mergeCell ref="A336:B336"/>
    <mergeCell ref="A316:B316"/>
    <mergeCell ref="A317:B317"/>
    <mergeCell ref="A318:B318"/>
    <mergeCell ref="A319:B319"/>
    <mergeCell ref="A312:B312"/>
    <mergeCell ref="A313:B313"/>
    <mergeCell ref="A314:B314"/>
    <mergeCell ref="A315:B315"/>
    <mergeCell ref="A327:D327"/>
    <mergeCell ref="A302:B302"/>
    <mergeCell ref="A295:D295"/>
    <mergeCell ref="A296:D296"/>
    <mergeCell ref="A297:D297"/>
    <mergeCell ref="A298:B298"/>
    <mergeCell ref="A308:D308"/>
    <mergeCell ref="A309:D309"/>
    <mergeCell ref="A310:D310"/>
    <mergeCell ref="A311:D311"/>
    <mergeCell ref="A303:B303"/>
    <mergeCell ref="A304:B304"/>
    <mergeCell ref="A305:B305"/>
    <mergeCell ref="A306:A307"/>
    <mergeCell ref="A292:A293"/>
    <mergeCell ref="A294:D294"/>
    <mergeCell ref="A286:B286"/>
    <mergeCell ref="A287:B287"/>
    <mergeCell ref="A288:B288"/>
    <mergeCell ref="A289:B289"/>
    <mergeCell ref="A299:B299"/>
    <mergeCell ref="A300:B300"/>
    <mergeCell ref="A301:B301"/>
    <mergeCell ref="A283:D283"/>
    <mergeCell ref="A284:B284"/>
    <mergeCell ref="A285:B285"/>
    <mergeCell ref="A277:B277"/>
    <mergeCell ref="A278:A279"/>
    <mergeCell ref="A280:D280"/>
    <mergeCell ref="A281:D281"/>
    <mergeCell ref="A290:B290"/>
    <mergeCell ref="A291:B291"/>
    <mergeCell ref="A273:B273"/>
    <mergeCell ref="A274:B274"/>
    <mergeCell ref="A275:B275"/>
    <mergeCell ref="A276:B276"/>
    <mergeCell ref="A269:D269"/>
    <mergeCell ref="A270:B270"/>
    <mergeCell ref="A271:B271"/>
    <mergeCell ref="A272:B272"/>
    <mergeCell ref="A282:D282"/>
    <mergeCell ref="A259:B259"/>
    <mergeCell ref="A252:D252"/>
    <mergeCell ref="A253:D253"/>
    <mergeCell ref="A254:D254"/>
    <mergeCell ref="A255:B255"/>
    <mergeCell ref="A265:D265"/>
    <mergeCell ref="A266:D266"/>
    <mergeCell ref="A267:D267"/>
    <mergeCell ref="A268:D268"/>
    <mergeCell ref="A260:B260"/>
    <mergeCell ref="A261:B261"/>
    <mergeCell ref="A262:B262"/>
    <mergeCell ref="A263:A264"/>
    <mergeCell ref="A250:D250"/>
    <mergeCell ref="A251:D251"/>
    <mergeCell ref="A243:B243"/>
    <mergeCell ref="A244:B244"/>
    <mergeCell ref="A245:B245"/>
    <mergeCell ref="A246:B246"/>
    <mergeCell ref="A256:B256"/>
    <mergeCell ref="A257:B257"/>
    <mergeCell ref="A258:B258"/>
    <mergeCell ref="A240:B240"/>
    <mergeCell ref="A241:B241"/>
    <mergeCell ref="A242:B242"/>
    <mergeCell ref="A235:D235"/>
    <mergeCell ref="A236:D236"/>
    <mergeCell ref="A237:D237"/>
    <mergeCell ref="A238:D238"/>
    <mergeCell ref="A247:B247"/>
    <mergeCell ref="A248:A249"/>
    <mergeCell ref="A230:B230"/>
    <mergeCell ref="A231:B231"/>
    <mergeCell ref="A232:B232"/>
    <mergeCell ref="A233:A234"/>
    <mergeCell ref="A226:B226"/>
    <mergeCell ref="A227:B227"/>
    <mergeCell ref="A228:B228"/>
    <mergeCell ref="A229:B229"/>
    <mergeCell ref="A239:D239"/>
    <mergeCell ref="A216:B216"/>
    <mergeCell ref="A209:D209"/>
    <mergeCell ref="A210:B210"/>
    <mergeCell ref="A211:B211"/>
    <mergeCell ref="A212:B212"/>
    <mergeCell ref="A222:D222"/>
    <mergeCell ref="A223:D223"/>
    <mergeCell ref="A224:D224"/>
    <mergeCell ref="A225:B225"/>
    <mergeCell ref="A217:B217"/>
    <mergeCell ref="A218:A219"/>
    <mergeCell ref="A220:D220"/>
    <mergeCell ref="A221:D221"/>
    <mergeCell ref="A207:D207"/>
    <mergeCell ref="A208:D208"/>
    <mergeCell ref="A200:B200"/>
    <mergeCell ref="A201:B201"/>
    <mergeCell ref="A202:B202"/>
    <mergeCell ref="A203:A204"/>
    <mergeCell ref="A213:B213"/>
    <mergeCell ref="A214:B214"/>
    <mergeCell ref="A215:B215"/>
    <mergeCell ref="A197:B197"/>
    <mergeCell ref="A198:B198"/>
    <mergeCell ref="A199:B199"/>
    <mergeCell ref="A192:D192"/>
    <mergeCell ref="A193:D193"/>
    <mergeCell ref="A194:D194"/>
    <mergeCell ref="A195:B195"/>
    <mergeCell ref="A205:D205"/>
    <mergeCell ref="A206:D206"/>
    <mergeCell ref="A187:B187"/>
    <mergeCell ref="A188:A189"/>
    <mergeCell ref="A190:D190"/>
    <mergeCell ref="A191:D191"/>
    <mergeCell ref="A183:B183"/>
    <mergeCell ref="A184:B184"/>
    <mergeCell ref="A185:B185"/>
    <mergeCell ref="A186:B186"/>
    <mergeCell ref="A196:B196"/>
    <mergeCell ref="A173:A174"/>
    <mergeCell ref="A166:B166"/>
    <mergeCell ref="A167:B167"/>
    <mergeCell ref="A168:B168"/>
    <mergeCell ref="A169:B169"/>
    <mergeCell ref="A179:D179"/>
    <mergeCell ref="A180:B180"/>
    <mergeCell ref="A181:B181"/>
    <mergeCell ref="A182:B182"/>
    <mergeCell ref="A175:D175"/>
    <mergeCell ref="A176:D176"/>
    <mergeCell ref="A177:D177"/>
    <mergeCell ref="A178:D178"/>
    <mergeCell ref="A164:D164"/>
    <mergeCell ref="A165:B165"/>
    <mergeCell ref="A157:B157"/>
    <mergeCell ref="A158:A159"/>
    <mergeCell ref="A160:D160"/>
    <mergeCell ref="A161:D161"/>
    <mergeCell ref="A170:B170"/>
    <mergeCell ref="A171:B171"/>
    <mergeCell ref="A172:B172"/>
    <mergeCell ref="A154:B154"/>
    <mergeCell ref="A155:B155"/>
    <mergeCell ref="A156:B156"/>
    <mergeCell ref="A149:D149"/>
    <mergeCell ref="A150:B150"/>
    <mergeCell ref="A151:B151"/>
    <mergeCell ref="A152:B152"/>
    <mergeCell ref="A162:D162"/>
    <mergeCell ref="A163:D163"/>
    <mergeCell ref="A145:D145"/>
    <mergeCell ref="A146:D146"/>
    <mergeCell ref="A147:D147"/>
    <mergeCell ref="A148:D148"/>
    <mergeCell ref="A140:B140"/>
    <mergeCell ref="A141:B141"/>
    <mergeCell ref="A142:B142"/>
    <mergeCell ref="A143:A144"/>
    <mergeCell ref="A153:B153"/>
    <mergeCell ref="A131:D131"/>
    <mergeCell ref="A123:B123"/>
    <mergeCell ref="A124:B124"/>
    <mergeCell ref="A125:B125"/>
    <mergeCell ref="A126:B126"/>
    <mergeCell ref="A136:B136"/>
    <mergeCell ref="A137:B137"/>
    <mergeCell ref="A138:B138"/>
    <mergeCell ref="A139:B139"/>
    <mergeCell ref="A132:D132"/>
    <mergeCell ref="A133:D133"/>
    <mergeCell ref="A134:D134"/>
    <mergeCell ref="A135:B135"/>
    <mergeCell ref="A121:B121"/>
    <mergeCell ref="A122:B122"/>
    <mergeCell ref="A115:D115"/>
    <mergeCell ref="A116:D116"/>
    <mergeCell ref="A117:D117"/>
    <mergeCell ref="A118:D118"/>
    <mergeCell ref="A127:B127"/>
    <mergeCell ref="A128:A129"/>
    <mergeCell ref="A130:D130"/>
    <mergeCell ref="A111:B111"/>
    <mergeCell ref="A112:B112"/>
    <mergeCell ref="A113:A114"/>
    <mergeCell ref="A106:B106"/>
    <mergeCell ref="A107:B107"/>
    <mergeCell ref="A108:B108"/>
    <mergeCell ref="A109:B109"/>
    <mergeCell ref="A119:D119"/>
    <mergeCell ref="A120:B120"/>
    <mergeCell ref="A104:D104"/>
    <mergeCell ref="A105:B105"/>
    <mergeCell ref="A87:D87"/>
    <mergeCell ref="A88:D88"/>
    <mergeCell ref="A89:D89"/>
    <mergeCell ref="A90:B90"/>
    <mergeCell ref="A91:B91"/>
    <mergeCell ref="A92:B92"/>
    <mergeCell ref="A110:B110"/>
    <mergeCell ref="A93:B93"/>
    <mergeCell ref="A94:B94"/>
    <mergeCell ref="A100:D100"/>
    <mergeCell ref="A95:B95"/>
    <mergeCell ref="A96:B96"/>
    <mergeCell ref="A97:B97"/>
    <mergeCell ref="A98:A99"/>
    <mergeCell ref="A102:D102"/>
    <mergeCell ref="A103:D103"/>
  </mergeCells>
  <phoneticPr fontId="0" type="noConversion"/>
  <hyperlinks>
    <hyperlink ref="A361" r:id="rId1"/>
  </hyperlinks>
  <printOptions horizontalCentered="1"/>
  <pageMargins left="0.74803149606299213" right="0.15748031496062992" top="0.19685039370078741" bottom="0.19685039370078741" header="0" footer="0"/>
  <pageSetup paperSize="9" orientation="portrait"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7"/>
  <sheetViews>
    <sheetView workbookViewId="0">
      <pane xSplit="5" ySplit="3" topLeftCell="F86" activePane="bottomRight" state="frozen"/>
      <selection pane="topRight" activeCell="F1" sqref="F1"/>
      <selection pane="bottomLeft" activeCell="A4" sqref="A4"/>
      <selection pane="bottomRight" activeCell="J98" sqref="J98"/>
    </sheetView>
  </sheetViews>
  <sheetFormatPr defaultRowHeight="12.75"/>
  <cols>
    <col min="1" max="1" width="15.7109375" style="640" bestFit="1" customWidth="1"/>
    <col min="3" max="3" width="10.7109375" customWidth="1"/>
    <col min="5" max="5" width="13.7109375" customWidth="1"/>
  </cols>
  <sheetData>
    <row r="1" spans="1:5" ht="19.5">
      <c r="A1" s="913" t="s">
        <v>4855</v>
      </c>
      <c r="B1" s="913"/>
      <c r="C1" s="913"/>
      <c r="D1" s="913"/>
      <c r="E1" s="913"/>
    </row>
    <row r="2" spans="1:5">
      <c r="A2" s="914" t="s">
        <v>4832</v>
      </c>
      <c r="B2" s="916" t="s">
        <v>4766</v>
      </c>
      <c r="C2" s="916" t="s">
        <v>4856</v>
      </c>
      <c r="D2" s="916" t="s">
        <v>4857</v>
      </c>
      <c r="E2" s="918" t="s">
        <v>4858</v>
      </c>
    </row>
    <row r="3" spans="1:5">
      <c r="A3" s="915"/>
      <c r="B3" s="917"/>
      <c r="C3" s="917"/>
      <c r="D3" s="917"/>
      <c r="E3" s="919"/>
    </row>
    <row r="4" spans="1:5" ht="15">
      <c r="A4" s="804" t="s">
        <v>4859</v>
      </c>
      <c r="B4" s="743">
        <v>7</v>
      </c>
      <c r="C4" s="744">
        <v>1000</v>
      </c>
      <c r="D4" s="745">
        <v>0</v>
      </c>
      <c r="E4" s="746">
        <f>(C4+D4)*B4</f>
        <v>7000</v>
      </c>
    </row>
    <row r="5" spans="1:5" ht="15">
      <c r="A5" s="804" t="s">
        <v>4860</v>
      </c>
      <c r="B5" s="743">
        <v>7</v>
      </c>
      <c r="C5" s="744">
        <v>1000</v>
      </c>
      <c r="D5" s="747">
        <v>200</v>
      </c>
      <c r="E5" s="746">
        <f t="shared" ref="E5:E71" si="0">(C5+D5)*B5</f>
        <v>8400</v>
      </c>
    </row>
    <row r="6" spans="1:5" ht="15">
      <c r="A6" s="804" t="s">
        <v>4851</v>
      </c>
      <c r="B6" s="743">
        <v>7</v>
      </c>
      <c r="C6" s="744">
        <v>1000</v>
      </c>
      <c r="D6" s="747">
        <v>200</v>
      </c>
      <c r="E6" s="746">
        <f t="shared" si="0"/>
        <v>8400</v>
      </c>
    </row>
    <row r="7" spans="1:5" ht="15">
      <c r="A7" s="804" t="s">
        <v>4852</v>
      </c>
      <c r="B7" s="743">
        <v>7</v>
      </c>
      <c r="C7" s="744">
        <v>1000</v>
      </c>
      <c r="D7" s="747">
        <v>200</v>
      </c>
      <c r="E7" s="746">
        <f t="shared" si="0"/>
        <v>8400</v>
      </c>
    </row>
    <row r="8" spans="1:5" ht="15">
      <c r="A8" s="804" t="s">
        <v>4861</v>
      </c>
      <c r="B8" s="743">
        <v>8</v>
      </c>
      <c r="C8" s="744">
        <v>1000</v>
      </c>
      <c r="D8" s="747">
        <v>200</v>
      </c>
      <c r="E8" s="746">
        <f t="shared" si="0"/>
        <v>9600</v>
      </c>
    </row>
    <row r="9" spans="1:5" ht="15">
      <c r="A9" s="804" t="s">
        <v>4862</v>
      </c>
      <c r="B9" s="743">
        <v>9</v>
      </c>
      <c r="C9" s="744">
        <v>1000</v>
      </c>
      <c r="D9" s="747">
        <v>200</v>
      </c>
      <c r="E9" s="746">
        <f t="shared" si="0"/>
        <v>10800</v>
      </c>
    </row>
    <row r="10" spans="1:5" ht="15">
      <c r="A10" s="804" t="s">
        <v>4863</v>
      </c>
      <c r="B10" s="743">
        <v>9</v>
      </c>
      <c r="C10" s="744">
        <v>1000</v>
      </c>
      <c r="D10" s="747">
        <v>200</v>
      </c>
      <c r="E10" s="746">
        <f t="shared" si="0"/>
        <v>10800</v>
      </c>
    </row>
    <row r="11" spans="1:5" ht="15">
      <c r="A11" s="804" t="s">
        <v>4864</v>
      </c>
      <c r="B11" s="743">
        <v>12</v>
      </c>
      <c r="C11" s="744">
        <v>1000</v>
      </c>
      <c r="D11" s="747">
        <v>200</v>
      </c>
      <c r="E11" s="746">
        <f t="shared" si="0"/>
        <v>14400</v>
      </c>
    </row>
    <row r="12" spans="1:5" ht="15">
      <c r="A12" s="805" t="s">
        <v>4865</v>
      </c>
      <c r="B12" s="748">
        <v>14</v>
      </c>
      <c r="C12" s="749">
        <v>1000</v>
      </c>
      <c r="D12" s="750">
        <v>200</v>
      </c>
      <c r="E12" s="751">
        <f t="shared" si="0"/>
        <v>16800</v>
      </c>
    </row>
    <row r="13" spans="1:5" ht="15">
      <c r="A13" s="806" t="s">
        <v>4866</v>
      </c>
      <c r="B13" s="752">
        <v>14</v>
      </c>
      <c r="C13" s="753">
        <v>1200</v>
      </c>
      <c r="D13" s="754">
        <v>200</v>
      </c>
      <c r="E13" s="755">
        <f t="shared" si="0"/>
        <v>19600</v>
      </c>
    </row>
    <row r="14" spans="1:5" ht="15">
      <c r="A14" s="804" t="s">
        <v>4836</v>
      </c>
      <c r="B14" s="743">
        <v>16</v>
      </c>
      <c r="C14" s="744">
        <v>1200</v>
      </c>
      <c r="D14" s="747">
        <v>600</v>
      </c>
      <c r="E14" s="746">
        <f t="shared" si="0"/>
        <v>28800</v>
      </c>
    </row>
    <row r="15" spans="1:5" ht="15">
      <c r="A15" s="804" t="s">
        <v>4837</v>
      </c>
      <c r="B15" s="743">
        <v>25</v>
      </c>
      <c r="C15" s="744">
        <v>1200</v>
      </c>
      <c r="D15" s="747">
        <v>600</v>
      </c>
      <c r="E15" s="746">
        <f t="shared" si="0"/>
        <v>45000</v>
      </c>
    </row>
    <row r="16" spans="1:5" ht="15">
      <c r="A16" s="804" t="s">
        <v>4838</v>
      </c>
      <c r="B16" s="743">
        <v>25</v>
      </c>
      <c r="C16" s="744">
        <v>1200</v>
      </c>
      <c r="D16" s="747">
        <v>600</v>
      </c>
      <c r="E16" s="746">
        <f t="shared" si="0"/>
        <v>45000</v>
      </c>
    </row>
    <row r="17" spans="1:5" ht="15">
      <c r="A17" s="804" t="s">
        <v>4839</v>
      </c>
      <c r="B17" s="743">
        <v>30</v>
      </c>
      <c r="C17" s="744">
        <v>1400</v>
      </c>
      <c r="D17" s="747">
        <v>600</v>
      </c>
      <c r="E17" s="746">
        <f t="shared" si="0"/>
        <v>60000</v>
      </c>
    </row>
    <row r="18" spans="1:5" ht="15">
      <c r="A18" s="804" t="s">
        <v>4840</v>
      </c>
      <c r="B18" s="743">
        <v>34</v>
      </c>
      <c r="C18" s="744">
        <v>1400</v>
      </c>
      <c r="D18" s="747">
        <v>600</v>
      </c>
      <c r="E18" s="746">
        <f t="shared" si="0"/>
        <v>68000</v>
      </c>
    </row>
    <row r="19" spans="1:5" ht="15">
      <c r="A19" s="807" t="s">
        <v>4867</v>
      </c>
      <c r="B19" s="756">
        <v>40</v>
      </c>
      <c r="C19" s="757">
        <v>1400</v>
      </c>
      <c r="D19" s="758">
        <v>600</v>
      </c>
      <c r="E19" s="759">
        <f t="shared" si="0"/>
        <v>80000</v>
      </c>
    </row>
    <row r="20" spans="1:5" ht="15">
      <c r="A20" s="808" t="s">
        <v>4868</v>
      </c>
      <c r="B20" s="760">
        <v>41</v>
      </c>
      <c r="C20" s="761">
        <v>1400</v>
      </c>
      <c r="D20" s="762">
        <v>1100</v>
      </c>
      <c r="E20" s="763">
        <f t="shared" si="0"/>
        <v>102500</v>
      </c>
    </row>
    <row r="21" spans="1:5" ht="15">
      <c r="A21" s="805" t="s">
        <v>4869</v>
      </c>
      <c r="B21" s="748">
        <v>46</v>
      </c>
      <c r="C21" s="749">
        <v>1400</v>
      </c>
      <c r="D21" s="750">
        <v>1650</v>
      </c>
      <c r="E21" s="751">
        <f t="shared" si="0"/>
        <v>140300</v>
      </c>
    </row>
    <row r="22" spans="1:5" ht="15">
      <c r="A22" s="809" t="s">
        <v>4870</v>
      </c>
      <c r="B22" s="752">
        <v>49</v>
      </c>
      <c r="C22" s="753">
        <v>1400</v>
      </c>
      <c r="D22" s="754">
        <v>1650</v>
      </c>
      <c r="E22" s="755">
        <f t="shared" si="0"/>
        <v>149450</v>
      </c>
    </row>
    <row r="23" spans="1:5" ht="15">
      <c r="A23" s="805" t="s">
        <v>4871</v>
      </c>
      <c r="B23" s="748">
        <v>56</v>
      </c>
      <c r="C23" s="749">
        <v>1400</v>
      </c>
      <c r="D23" s="764">
        <v>2200</v>
      </c>
      <c r="E23" s="751">
        <f t="shared" si="0"/>
        <v>201600</v>
      </c>
    </row>
    <row r="24" spans="1:5" ht="15">
      <c r="A24" s="809" t="s">
        <v>4872</v>
      </c>
      <c r="B24" s="752">
        <v>62</v>
      </c>
      <c r="C24" s="753">
        <v>1400</v>
      </c>
      <c r="D24" s="765">
        <v>2200</v>
      </c>
      <c r="E24" s="755">
        <f t="shared" si="0"/>
        <v>223200</v>
      </c>
    </row>
    <row r="25" spans="1:5" ht="15">
      <c r="A25" s="805" t="s">
        <v>4873</v>
      </c>
      <c r="B25" s="748">
        <v>66</v>
      </c>
      <c r="C25" s="749">
        <v>1400</v>
      </c>
      <c r="D25" s="764">
        <v>3300</v>
      </c>
      <c r="E25" s="751">
        <f t="shared" si="0"/>
        <v>310200</v>
      </c>
    </row>
    <row r="26" spans="1:5" ht="15">
      <c r="A26" s="809" t="s">
        <v>4874</v>
      </c>
      <c r="B26" s="752">
        <v>70</v>
      </c>
      <c r="C26" s="753">
        <v>1400</v>
      </c>
      <c r="D26" s="765">
        <v>3300</v>
      </c>
      <c r="E26" s="755">
        <f t="shared" si="0"/>
        <v>329000</v>
      </c>
    </row>
    <row r="27" spans="1:5" ht="15">
      <c r="A27" s="805" t="s">
        <v>4875</v>
      </c>
      <c r="B27" s="766">
        <v>84</v>
      </c>
      <c r="C27" s="749">
        <v>1400</v>
      </c>
      <c r="D27" s="764">
        <v>3300</v>
      </c>
      <c r="E27" s="767">
        <f t="shared" si="0"/>
        <v>394800</v>
      </c>
    </row>
    <row r="28" spans="1:5" ht="15">
      <c r="A28" s="809" t="s">
        <v>4876</v>
      </c>
      <c r="B28" s="768">
        <v>100</v>
      </c>
      <c r="C28" s="753">
        <v>1400</v>
      </c>
      <c r="D28" s="765">
        <v>3300</v>
      </c>
      <c r="E28" s="769">
        <f t="shared" si="0"/>
        <v>470000</v>
      </c>
    </row>
    <row r="29" spans="1:5" ht="15">
      <c r="A29" s="805" t="s">
        <v>4877</v>
      </c>
      <c r="B29" s="766">
        <v>128</v>
      </c>
      <c r="C29" s="749">
        <v>1400</v>
      </c>
      <c r="D29" s="764">
        <v>3300</v>
      </c>
      <c r="E29" s="767">
        <f t="shared" si="0"/>
        <v>601600</v>
      </c>
    </row>
    <row r="30" spans="1:5" ht="15">
      <c r="A30" s="810" t="s">
        <v>4878</v>
      </c>
      <c r="B30" s="770">
        <v>128</v>
      </c>
      <c r="C30" s="771">
        <v>1500</v>
      </c>
      <c r="D30" s="772">
        <v>3300</v>
      </c>
      <c r="E30" s="773">
        <f>(C30+D30)*B30</f>
        <v>614400</v>
      </c>
    </row>
    <row r="31" spans="1:5" ht="15">
      <c r="A31" s="811" t="s">
        <v>4879</v>
      </c>
      <c r="B31" s="774">
        <v>205</v>
      </c>
      <c r="C31" s="775">
        <v>1500</v>
      </c>
      <c r="D31" s="776">
        <v>3300</v>
      </c>
      <c r="E31" s="777">
        <f>(C31+D31)*B31</f>
        <v>984000</v>
      </c>
    </row>
    <row r="32" spans="1:5" ht="15">
      <c r="A32" s="809" t="s">
        <v>4880</v>
      </c>
      <c r="B32" s="768">
        <v>205</v>
      </c>
      <c r="C32" s="761">
        <v>1500</v>
      </c>
      <c r="D32" s="778">
        <v>4000</v>
      </c>
      <c r="E32" s="769">
        <f t="shared" si="0"/>
        <v>1127500</v>
      </c>
    </row>
    <row r="33" spans="1:5" ht="15">
      <c r="A33" s="805" t="s">
        <v>4881</v>
      </c>
      <c r="B33" s="766">
        <v>255</v>
      </c>
      <c r="C33" s="779">
        <v>1500</v>
      </c>
      <c r="D33" s="766">
        <v>4000</v>
      </c>
      <c r="E33" s="767">
        <f t="shared" si="0"/>
        <v>1402500</v>
      </c>
    </row>
    <row r="34" spans="1:5" ht="15">
      <c r="A34" s="809" t="s">
        <v>4882</v>
      </c>
      <c r="B34" s="768">
        <v>320</v>
      </c>
      <c r="C34" s="780">
        <v>1500</v>
      </c>
      <c r="D34" s="768">
        <v>4000</v>
      </c>
      <c r="E34" s="769">
        <f t="shared" si="0"/>
        <v>1760000</v>
      </c>
    </row>
    <row r="35" spans="1:5" ht="15">
      <c r="A35" s="805" t="s">
        <v>4883</v>
      </c>
      <c r="B35" s="766">
        <v>352</v>
      </c>
      <c r="C35" s="779">
        <v>1500</v>
      </c>
      <c r="D35" s="766">
        <v>4400</v>
      </c>
      <c r="E35" s="767">
        <f t="shared" si="0"/>
        <v>2076800</v>
      </c>
    </row>
    <row r="36" spans="1:5" ht="15">
      <c r="A36" s="809" t="s">
        <v>4884</v>
      </c>
      <c r="B36" s="768">
        <v>470</v>
      </c>
      <c r="C36" s="780">
        <v>1500</v>
      </c>
      <c r="D36" s="768">
        <v>4400</v>
      </c>
      <c r="E36" s="769">
        <f t="shared" si="0"/>
        <v>2773000</v>
      </c>
    </row>
    <row r="37" spans="1:5" ht="15">
      <c r="A37" s="805" t="s">
        <v>4885</v>
      </c>
      <c r="B37" s="766">
        <v>523</v>
      </c>
      <c r="C37" s="779">
        <v>1500</v>
      </c>
      <c r="D37" s="766">
        <v>5200</v>
      </c>
      <c r="E37" s="767">
        <f t="shared" si="0"/>
        <v>3504100</v>
      </c>
    </row>
    <row r="38" spans="1:5" ht="15">
      <c r="A38" s="809" t="s">
        <v>4886</v>
      </c>
      <c r="B38" s="768">
        <v>651</v>
      </c>
      <c r="C38" s="780">
        <v>1500</v>
      </c>
      <c r="D38" s="768">
        <v>5200</v>
      </c>
      <c r="E38" s="769">
        <f t="shared" si="0"/>
        <v>4361700</v>
      </c>
    </row>
    <row r="39" spans="1:5" ht="15">
      <c r="A39" s="805" t="s">
        <v>4887</v>
      </c>
      <c r="B39" s="766">
        <v>740</v>
      </c>
      <c r="C39" s="779">
        <v>1500</v>
      </c>
      <c r="D39" s="766">
        <v>6100</v>
      </c>
      <c r="E39" s="767">
        <f t="shared" si="0"/>
        <v>5624000</v>
      </c>
    </row>
    <row r="40" spans="1:5" ht="15">
      <c r="A40" s="810" t="s">
        <v>4888</v>
      </c>
      <c r="B40" s="770">
        <v>835</v>
      </c>
      <c r="C40" s="781">
        <v>1500</v>
      </c>
      <c r="D40" s="770">
        <v>6100</v>
      </c>
      <c r="E40" s="773">
        <f t="shared" si="0"/>
        <v>6346000</v>
      </c>
    </row>
    <row r="41" spans="1:5" ht="15">
      <c r="A41" s="809" t="s">
        <v>4889</v>
      </c>
      <c r="B41" s="768">
        <v>940</v>
      </c>
      <c r="C41" s="780">
        <v>1500</v>
      </c>
      <c r="D41" s="768">
        <v>6100</v>
      </c>
      <c r="E41" s="769">
        <f t="shared" si="0"/>
        <v>7144000</v>
      </c>
    </row>
    <row r="42" spans="1:5" ht="15">
      <c r="A42" s="805" t="s">
        <v>4890</v>
      </c>
      <c r="B42" s="766">
        <v>980</v>
      </c>
      <c r="C42" s="779">
        <v>1500</v>
      </c>
      <c r="D42" s="766">
        <v>7000</v>
      </c>
      <c r="E42" s="767">
        <f t="shared" si="0"/>
        <v>8330000</v>
      </c>
    </row>
    <row r="43" spans="1:5" ht="15">
      <c r="A43" s="809" t="s">
        <v>4891</v>
      </c>
      <c r="B43" s="768">
        <v>1100</v>
      </c>
      <c r="C43" s="780">
        <v>1500</v>
      </c>
      <c r="D43" s="768">
        <v>7000</v>
      </c>
      <c r="E43" s="769">
        <f t="shared" si="0"/>
        <v>9350000</v>
      </c>
    </row>
    <row r="44" spans="1:5" ht="15">
      <c r="A44" s="805" t="s">
        <v>4892</v>
      </c>
      <c r="B44" s="766">
        <v>1140</v>
      </c>
      <c r="C44" s="779">
        <v>1500</v>
      </c>
      <c r="D44" s="766">
        <v>8000</v>
      </c>
      <c r="E44" s="767">
        <f t="shared" si="0"/>
        <v>10830000</v>
      </c>
    </row>
    <row r="45" spans="1:5" ht="15">
      <c r="A45" s="810" t="s">
        <v>4893</v>
      </c>
      <c r="B45" s="770">
        <v>1225</v>
      </c>
      <c r="C45" s="781">
        <v>1500</v>
      </c>
      <c r="D45" s="770">
        <v>8000</v>
      </c>
      <c r="E45" s="773">
        <f t="shared" si="0"/>
        <v>11637500</v>
      </c>
    </row>
    <row r="46" spans="1:5" ht="15">
      <c r="A46" s="809" t="s">
        <v>4894</v>
      </c>
      <c r="B46" s="768">
        <v>1695</v>
      </c>
      <c r="C46" s="780">
        <v>1500</v>
      </c>
      <c r="D46" s="768">
        <v>8000</v>
      </c>
      <c r="E46" s="769">
        <f t="shared" si="0"/>
        <v>16102500</v>
      </c>
    </row>
    <row r="47" spans="1:5" ht="15">
      <c r="A47" s="804" t="s">
        <v>4895</v>
      </c>
      <c r="B47" s="782">
        <v>2550</v>
      </c>
      <c r="C47" s="783">
        <v>1500</v>
      </c>
      <c r="D47" s="782">
        <v>8000</v>
      </c>
      <c r="E47" s="784">
        <f t="shared" si="0"/>
        <v>24225000</v>
      </c>
    </row>
    <row r="48" spans="1:5" ht="15">
      <c r="A48" s="805" t="s">
        <v>4896</v>
      </c>
      <c r="B48" s="766">
        <v>3315</v>
      </c>
      <c r="C48" s="779">
        <v>1500</v>
      </c>
      <c r="D48" s="766">
        <v>8000</v>
      </c>
      <c r="E48" s="767">
        <f t="shared" si="0"/>
        <v>31492500</v>
      </c>
    </row>
    <row r="49" spans="1:5" ht="15">
      <c r="A49" s="809" t="s">
        <v>4897</v>
      </c>
      <c r="B49" s="768">
        <v>4475</v>
      </c>
      <c r="C49" s="780">
        <v>1500</v>
      </c>
      <c r="D49" s="768">
        <v>8000</v>
      </c>
      <c r="E49" s="769">
        <f t="shared" si="0"/>
        <v>42512500</v>
      </c>
    </row>
    <row r="50" spans="1:5" ht="15">
      <c r="A50" s="805" t="s">
        <v>4898</v>
      </c>
      <c r="B50" s="766">
        <v>5820</v>
      </c>
      <c r="C50" s="779">
        <v>1500</v>
      </c>
      <c r="D50" s="766">
        <v>8000</v>
      </c>
      <c r="E50" s="767">
        <f t="shared" si="0"/>
        <v>55290000</v>
      </c>
    </row>
    <row r="51" spans="1:5" ht="15">
      <c r="A51" s="810" t="s">
        <v>4899</v>
      </c>
      <c r="B51" s="770">
        <v>7030</v>
      </c>
      <c r="C51" s="781">
        <v>1500</v>
      </c>
      <c r="D51" s="770">
        <v>8000</v>
      </c>
      <c r="E51" s="773">
        <f t="shared" si="0"/>
        <v>66785000</v>
      </c>
    </row>
    <row r="52" spans="1:5" ht="15">
      <c r="A52" s="809" t="s">
        <v>4900</v>
      </c>
      <c r="B52" s="768">
        <v>7750</v>
      </c>
      <c r="C52" s="780">
        <v>1500</v>
      </c>
      <c r="D52" s="768">
        <v>8000</v>
      </c>
      <c r="E52" s="769">
        <f t="shared" si="0"/>
        <v>73625000</v>
      </c>
    </row>
    <row r="53" spans="1:5" ht="15">
      <c r="A53" s="805" t="s">
        <v>4901</v>
      </c>
      <c r="B53" s="766">
        <v>9975</v>
      </c>
      <c r="C53" s="779">
        <v>1500</v>
      </c>
      <c r="D53" s="766">
        <v>8000</v>
      </c>
      <c r="E53" s="767">
        <f t="shared" si="0"/>
        <v>94762500</v>
      </c>
    </row>
    <row r="54" spans="1:5" ht="15">
      <c r="A54" s="809" t="s">
        <v>4902</v>
      </c>
      <c r="B54" s="768">
        <v>12000</v>
      </c>
      <c r="C54" s="780">
        <v>1500</v>
      </c>
      <c r="D54" s="768">
        <v>8000</v>
      </c>
      <c r="E54" s="769">
        <f t="shared" si="0"/>
        <v>114000000</v>
      </c>
    </row>
    <row r="55" spans="1:5" ht="15">
      <c r="A55" s="805" t="s">
        <v>4903</v>
      </c>
      <c r="B55" s="766">
        <v>13810</v>
      </c>
      <c r="C55" s="779">
        <v>1500</v>
      </c>
      <c r="D55" s="766">
        <v>8000</v>
      </c>
      <c r="E55" s="767">
        <f t="shared" si="0"/>
        <v>131195000</v>
      </c>
    </row>
    <row r="56" spans="1:5" ht="15">
      <c r="A56" s="810" t="s">
        <v>4904</v>
      </c>
      <c r="B56" s="770">
        <v>14310</v>
      </c>
      <c r="C56" s="781">
        <v>1500</v>
      </c>
      <c r="D56" s="770">
        <v>8000</v>
      </c>
      <c r="E56" s="773">
        <f t="shared" si="0"/>
        <v>135945000</v>
      </c>
    </row>
    <row r="57" spans="1:5" ht="15">
      <c r="A57" s="810" t="s">
        <v>4905</v>
      </c>
      <c r="B57" s="770">
        <v>15760</v>
      </c>
      <c r="C57" s="781">
        <v>1500</v>
      </c>
      <c r="D57" s="770">
        <v>8000</v>
      </c>
      <c r="E57" s="773">
        <f t="shared" si="0"/>
        <v>149720000</v>
      </c>
    </row>
    <row r="58" spans="1:5" ht="15">
      <c r="A58" s="809" t="s">
        <v>4906</v>
      </c>
      <c r="B58" s="768">
        <v>16580</v>
      </c>
      <c r="C58" s="780">
        <v>1500</v>
      </c>
      <c r="D58" s="768">
        <v>8000</v>
      </c>
      <c r="E58" s="769">
        <f t="shared" si="0"/>
        <v>157510000</v>
      </c>
    </row>
    <row r="59" spans="1:5" ht="15">
      <c r="A59" s="812" t="s">
        <v>4907</v>
      </c>
      <c r="B59" s="785">
        <v>18240</v>
      </c>
      <c r="C59" s="779">
        <v>1500</v>
      </c>
      <c r="D59" s="766">
        <v>8000</v>
      </c>
      <c r="E59" s="786">
        <f t="shared" si="0"/>
        <v>173280000</v>
      </c>
    </row>
    <row r="60" spans="1:5" ht="15">
      <c r="A60" s="811" t="s">
        <v>4908</v>
      </c>
      <c r="B60" s="774">
        <v>18700</v>
      </c>
      <c r="C60" s="781">
        <v>1500</v>
      </c>
      <c r="D60" s="770">
        <v>8000</v>
      </c>
      <c r="E60" s="777">
        <f t="shared" si="0"/>
        <v>177650000</v>
      </c>
    </row>
    <row r="61" spans="1:5" ht="15">
      <c r="A61" s="811" t="s">
        <v>4909</v>
      </c>
      <c r="B61" s="774">
        <v>20600</v>
      </c>
      <c r="C61" s="781">
        <v>1500</v>
      </c>
      <c r="D61" s="770">
        <v>8000</v>
      </c>
      <c r="E61" s="777">
        <f t="shared" si="0"/>
        <v>195700000</v>
      </c>
    </row>
    <row r="62" spans="1:5" ht="15">
      <c r="A62" s="811" t="s">
        <v>4910</v>
      </c>
      <c r="B62" s="774">
        <v>21650</v>
      </c>
      <c r="C62" s="781">
        <v>1500</v>
      </c>
      <c r="D62" s="770">
        <v>8000</v>
      </c>
      <c r="E62" s="777">
        <f t="shared" si="0"/>
        <v>205675000</v>
      </c>
    </row>
    <row r="63" spans="1:5" ht="15">
      <c r="A63" s="811" t="s">
        <v>4911</v>
      </c>
      <c r="B63" s="774">
        <v>22750</v>
      </c>
      <c r="C63" s="781">
        <v>1500</v>
      </c>
      <c r="D63" s="770">
        <v>8000</v>
      </c>
      <c r="E63" s="777">
        <f t="shared" si="0"/>
        <v>216125000</v>
      </c>
    </row>
    <row r="64" spans="1:5" ht="15">
      <c r="A64" s="811" t="s">
        <v>4912</v>
      </c>
      <c r="B64" s="774">
        <v>23550</v>
      </c>
      <c r="C64" s="781">
        <v>1500</v>
      </c>
      <c r="D64" s="770">
        <v>8000</v>
      </c>
      <c r="E64" s="777">
        <f t="shared" si="0"/>
        <v>223725000</v>
      </c>
    </row>
    <row r="65" spans="1:5" ht="15">
      <c r="A65" s="811" t="s">
        <v>4913</v>
      </c>
      <c r="B65" s="774">
        <v>24920</v>
      </c>
      <c r="C65" s="781">
        <v>1500</v>
      </c>
      <c r="D65" s="770">
        <v>8000</v>
      </c>
      <c r="E65" s="777">
        <f t="shared" si="0"/>
        <v>236740000</v>
      </c>
    </row>
    <row r="66" spans="1:5" ht="15">
      <c r="A66" s="811" t="s">
        <v>4914</v>
      </c>
      <c r="B66" s="774">
        <v>26420</v>
      </c>
      <c r="C66" s="781">
        <v>1500</v>
      </c>
      <c r="D66" s="770">
        <v>8000</v>
      </c>
      <c r="E66" s="777">
        <f t="shared" si="0"/>
        <v>250990000</v>
      </c>
    </row>
    <row r="67" spans="1:5" ht="15">
      <c r="A67" s="809" t="s">
        <v>4915</v>
      </c>
      <c r="B67" s="768">
        <v>27530</v>
      </c>
      <c r="C67" s="780">
        <v>1500</v>
      </c>
      <c r="D67" s="768">
        <v>8000</v>
      </c>
      <c r="E67" s="769">
        <f t="shared" si="0"/>
        <v>261535000</v>
      </c>
    </row>
    <row r="68" spans="1:5" ht="15">
      <c r="A68" s="812" t="s">
        <v>4916</v>
      </c>
      <c r="B68" s="785">
        <v>30300</v>
      </c>
      <c r="C68" s="779">
        <v>1500</v>
      </c>
      <c r="D68" s="766">
        <v>8000</v>
      </c>
      <c r="E68" s="786">
        <f t="shared" si="0"/>
        <v>287850000</v>
      </c>
    </row>
    <row r="69" spans="1:5" ht="15">
      <c r="A69" s="811" t="s">
        <v>4917</v>
      </c>
      <c r="B69" s="774">
        <v>31060</v>
      </c>
      <c r="C69" s="781">
        <v>1500</v>
      </c>
      <c r="D69" s="770">
        <v>8000</v>
      </c>
      <c r="E69" s="777">
        <f t="shared" si="0"/>
        <v>295070000</v>
      </c>
    </row>
    <row r="70" spans="1:5" ht="15">
      <c r="A70" s="809" t="s">
        <v>4918</v>
      </c>
      <c r="B70" s="768">
        <v>32650</v>
      </c>
      <c r="C70" s="780">
        <v>1500</v>
      </c>
      <c r="D70" s="768">
        <v>8000</v>
      </c>
      <c r="E70" s="769">
        <f t="shared" si="0"/>
        <v>310175000</v>
      </c>
    </row>
    <row r="71" spans="1:5" ht="15">
      <c r="A71" s="804" t="s">
        <v>4919</v>
      </c>
      <c r="B71" s="782">
        <v>34300</v>
      </c>
      <c r="C71" s="783">
        <v>1500</v>
      </c>
      <c r="D71" s="782">
        <v>8000</v>
      </c>
      <c r="E71" s="784">
        <f t="shared" si="0"/>
        <v>325850000</v>
      </c>
    </row>
    <row r="72" spans="1:5" ht="15">
      <c r="A72" s="812" t="s">
        <v>4920</v>
      </c>
      <c r="B72" s="785">
        <v>36420</v>
      </c>
      <c r="C72" s="779">
        <v>1500</v>
      </c>
      <c r="D72" s="766">
        <v>8000</v>
      </c>
      <c r="E72" s="786">
        <f t="shared" ref="E72:E91" si="1">(C72+D72)*B72</f>
        <v>345990000</v>
      </c>
    </row>
    <row r="73" spans="1:5" ht="15">
      <c r="A73" s="809" t="s">
        <v>4921</v>
      </c>
      <c r="B73" s="768">
        <v>38610</v>
      </c>
      <c r="C73" s="780">
        <v>1500</v>
      </c>
      <c r="D73" s="768">
        <v>8000</v>
      </c>
      <c r="E73" s="769">
        <f t="shared" si="1"/>
        <v>366795000</v>
      </c>
    </row>
    <row r="74" spans="1:5" ht="15">
      <c r="A74" s="812" t="s">
        <v>4922</v>
      </c>
      <c r="B74" s="787">
        <v>4.0099999999999997E-2</v>
      </c>
      <c r="C74" s="779">
        <v>1500</v>
      </c>
      <c r="D74" s="766">
        <v>8000</v>
      </c>
      <c r="E74" s="788">
        <f t="shared" si="1"/>
        <v>380.95</v>
      </c>
    </row>
    <row r="75" spans="1:5" ht="15">
      <c r="A75" s="809" t="s">
        <v>4923</v>
      </c>
      <c r="B75" s="789">
        <v>4.1599999999999998E-2</v>
      </c>
      <c r="C75" s="780">
        <v>1500</v>
      </c>
      <c r="D75" s="768">
        <v>8000</v>
      </c>
      <c r="E75" s="790">
        <f t="shared" si="1"/>
        <v>395.2</v>
      </c>
    </row>
    <row r="76" spans="1:5" ht="15">
      <c r="A76" s="812" t="s">
        <v>4924</v>
      </c>
      <c r="B76" s="791">
        <v>4.265E-2</v>
      </c>
      <c r="C76" s="779">
        <v>1500</v>
      </c>
      <c r="D76" s="766">
        <v>8000</v>
      </c>
      <c r="E76" s="788">
        <f t="shared" si="1"/>
        <v>405.17500000000001</v>
      </c>
    </row>
    <row r="77" spans="1:5" ht="15">
      <c r="A77" s="809" t="s">
        <v>4925</v>
      </c>
      <c r="B77" s="792">
        <v>4.4745E-2</v>
      </c>
      <c r="C77" s="780">
        <v>1500</v>
      </c>
      <c r="D77" s="768">
        <v>8000</v>
      </c>
      <c r="E77" s="790">
        <f t="shared" si="1"/>
        <v>425.07749999999999</v>
      </c>
    </row>
    <row r="78" spans="1:5" ht="15">
      <c r="A78" s="812" t="s">
        <v>4926</v>
      </c>
      <c r="B78" s="793">
        <v>4.6984999999999999E-2</v>
      </c>
      <c r="C78" s="779">
        <v>1500</v>
      </c>
      <c r="D78" s="785">
        <v>8000</v>
      </c>
      <c r="E78" s="788">
        <f t="shared" si="1"/>
        <v>446.35750000000002</v>
      </c>
    </row>
    <row r="79" spans="1:5" ht="15">
      <c r="A79" s="809" t="s">
        <v>4927</v>
      </c>
      <c r="B79" s="794">
        <v>4.8349999999999997E-2</v>
      </c>
      <c r="C79" s="780">
        <v>1500</v>
      </c>
      <c r="D79" s="768">
        <v>8000</v>
      </c>
      <c r="E79" s="790">
        <f t="shared" si="1"/>
        <v>459.32499999999999</v>
      </c>
    </row>
    <row r="80" spans="1:5" ht="15">
      <c r="A80" s="807" t="s">
        <v>4928</v>
      </c>
      <c r="B80" s="795">
        <v>4.9486000000000002E-2</v>
      </c>
      <c r="C80" s="796">
        <v>1500</v>
      </c>
      <c r="D80" s="797">
        <v>8000</v>
      </c>
      <c r="E80" s="798">
        <f t="shared" si="1"/>
        <v>470.11700000000002</v>
      </c>
    </row>
    <row r="81" spans="1:5" ht="15">
      <c r="A81" s="809" t="s">
        <v>4929</v>
      </c>
      <c r="B81" s="792">
        <v>5.1448000000000001E-2</v>
      </c>
      <c r="C81" s="780">
        <v>1500</v>
      </c>
      <c r="D81" s="768">
        <v>8000</v>
      </c>
      <c r="E81" s="790">
        <f t="shared" si="1"/>
        <v>488.75600000000003</v>
      </c>
    </row>
    <row r="82" spans="1:5" ht="15">
      <c r="A82" s="807" t="s">
        <v>4930</v>
      </c>
      <c r="B82" s="795">
        <v>5.3504999999999997E-2</v>
      </c>
      <c r="C82" s="796">
        <v>1500</v>
      </c>
      <c r="D82" s="797">
        <v>8000</v>
      </c>
      <c r="E82" s="798">
        <f t="shared" si="1"/>
        <v>508.29749999999996</v>
      </c>
    </row>
    <row r="83" spans="1:5" ht="15">
      <c r="A83" s="809" t="s">
        <v>4931</v>
      </c>
      <c r="B83" s="792">
        <v>5.5919999999999997E-2</v>
      </c>
      <c r="C83" s="780">
        <v>1500</v>
      </c>
      <c r="D83" s="768">
        <v>8000</v>
      </c>
      <c r="E83" s="790">
        <f t="shared" si="1"/>
        <v>531.24</v>
      </c>
    </row>
    <row r="84" spans="1:5" ht="15">
      <c r="A84" s="807" t="s">
        <v>4932</v>
      </c>
      <c r="B84" s="795">
        <v>5.7383000000000003E-2</v>
      </c>
      <c r="C84" s="796">
        <v>1500</v>
      </c>
      <c r="D84" s="797">
        <v>8000</v>
      </c>
      <c r="E84" s="798">
        <f t="shared" si="1"/>
        <v>545.13850000000002</v>
      </c>
    </row>
    <row r="85" spans="1:5" ht="15">
      <c r="A85" s="809" t="s">
        <v>4933</v>
      </c>
      <c r="B85" s="792">
        <v>5.9444999999999998E-2</v>
      </c>
      <c r="C85" s="780">
        <v>1500</v>
      </c>
      <c r="D85" s="768">
        <v>8000</v>
      </c>
      <c r="E85" s="790">
        <f t="shared" si="1"/>
        <v>564.72749999999996</v>
      </c>
    </row>
    <row r="86" spans="1:5" ht="15">
      <c r="A86" s="807" t="s">
        <v>4934</v>
      </c>
      <c r="B86" s="795">
        <v>6.1954000000000002E-2</v>
      </c>
      <c r="C86" s="796">
        <v>1500</v>
      </c>
      <c r="D86" s="797">
        <v>8000</v>
      </c>
      <c r="E86" s="798">
        <f t="shared" si="1"/>
        <v>588.56299999999999</v>
      </c>
    </row>
    <row r="87" spans="1:5" ht="15">
      <c r="A87" s="809" t="s">
        <v>4935</v>
      </c>
      <c r="B87" s="792">
        <v>6.4460000000000003E-2</v>
      </c>
      <c r="C87" s="780">
        <v>1500</v>
      </c>
      <c r="D87" s="768">
        <v>8000</v>
      </c>
      <c r="E87" s="790">
        <f t="shared" si="1"/>
        <v>612.37</v>
      </c>
    </row>
    <row r="88" spans="1:5" ht="15">
      <c r="A88" s="807" t="s">
        <v>4936</v>
      </c>
      <c r="B88" s="795">
        <v>6.6186999999999996E-2</v>
      </c>
      <c r="C88" s="796">
        <v>1500</v>
      </c>
      <c r="D88" s="797">
        <v>8000</v>
      </c>
      <c r="E88" s="798">
        <f t="shared" si="1"/>
        <v>628.77649999999994</v>
      </c>
    </row>
    <row r="89" spans="1:5" ht="15">
      <c r="A89" s="812" t="s">
        <v>4936</v>
      </c>
      <c r="B89" s="793">
        <v>6.8834999999999993E-2</v>
      </c>
      <c r="C89" s="799">
        <v>1500</v>
      </c>
      <c r="D89" s="785">
        <v>8000</v>
      </c>
      <c r="E89" s="788">
        <f t="shared" si="1"/>
        <v>653.93249999999989</v>
      </c>
    </row>
    <row r="90" spans="1:5" ht="15">
      <c r="A90" s="809" t="s">
        <v>4937</v>
      </c>
      <c r="B90" s="792">
        <v>7.1589E-2</v>
      </c>
      <c r="C90" s="780">
        <v>1500</v>
      </c>
      <c r="D90" s="768">
        <v>8000</v>
      </c>
      <c r="E90" s="790">
        <f t="shared" si="1"/>
        <v>680.09550000000002</v>
      </c>
    </row>
    <row r="91" spans="1:5" ht="15">
      <c r="A91" s="814">
        <f>'KATSAYILAR '!A92</f>
        <v>41275</v>
      </c>
      <c r="B91" s="800">
        <f>'KATSAYILAR '!B92</f>
        <v>7.3837E-2</v>
      </c>
      <c r="C91" s="783">
        <v>1500</v>
      </c>
      <c r="D91" s="782">
        <v>8000</v>
      </c>
      <c r="E91" s="801">
        <f t="shared" si="1"/>
        <v>701.45150000000001</v>
      </c>
    </row>
    <row r="92" spans="1:5" ht="15">
      <c r="A92" s="814">
        <f>'KATSAYILAR '!A93</f>
        <v>41456</v>
      </c>
      <c r="B92" s="800">
        <f>'KATSAYILAR '!B93</f>
        <v>0</v>
      </c>
      <c r="C92" s="802">
        <v>1500</v>
      </c>
      <c r="D92" s="803">
        <v>8000</v>
      </c>
      <c r="E92" s="801">
        <f t="shared" ref="E92:E114" si="2">(C92+D92)*B92</f>
        <v>0</v>
      </c>
    </row>
    <row r="93" spans="1:5" ht="15">
      <c r="A93" s="814">
        <f>'KATSAYILAR '!A94</f>
        <v>41640</v>
      </c>
      <c r="B93" s="800">
        <f>'KATSAYILAR '!B94</f>
        <v>0</v>
      </c>
      <c r="C93" s="802">
        <v>1500</v>
      </c>
      <c r="D93" s="803">
        <v>8000</v>
      </c>
      <c r="E93" s="801">
        <f t="shared" si="2"/>
        <v>0</v>
      </c>
    </row>
    <row r="94" spans="1:5" ht="15">
      <c r="A94" s="814">
        <f>'KATSAYILAR '!A95</f>
        <v>41821</v>
      </c>
      <c r="B94" s="800">
        <f>'KATSAYILAR '!B95</f>
        <v>0</v>
      </c>
      <c r="C94" s="802">
        <v>1500</v>
      </c>
      <c r="D94" s="803">
        <v>8000</v>
      </c>
      <c r="E94" s="801">
        <f t="shared" si="2"/>
        <v>0</v>
      </c>
    </row>
    <row r="95" spans="1:5" ht="15">
      <c r="A95" s="814">
        <f>'KATSAYILAR '!A96</f>
        <v>0</v>
      </c>
      <c r="B95" s="800">
        <f>'KATSAYILAR '!B96</f>
        <v>0</v>
      </c>
      <c r="C95" s="802">
        <v>1500</v>
      </c>
      <c r="D95" s="803">
        <v>8000</v>
      </c>
      <c r="E95" s="801">
        <f t="shared" si="2"/>
        <v>0</v>
      </c>
    </row>
    <row r="96" spans="1:5" ht="15">
      <c r="A96" s="814">
        <f>'KATSAYILAR '!A97</f>
        <v>0</v>
      </c>
      <c r="B96" s="800">
        <f>'KATSAYILAR '!B97</f>
        <v>0</v>
      </c>
      <c r="C96" s="802">
        <v>1500</v>
      </c>
      <c r="D96" s="803">
        <v>8000</v>
      </c>
      <c r="E96" s="801">
        <f t="shared" si="2"/>
        <v>0</v>
      </c>
    </row>
    <row r="97" spans="1:5" ht="15">
      <c r="A97" s="814">
        <f>'KATSAYILAR '!A98</f>
        <v>0</v>
      </c>
      <c r="B97" s="800">
        <f>'KATSAYILAR '!B98</f>
        <v>0</v>
      </c>
      <c r="C97" s="802">
        <v>1500</v>
      </c>
      <c r="D97" s="803">
        <v>8000</v>
      </c>
      <c r="E97" s="801">
        <f t="shared" si="2"/>
        <v>0</v>
      </c>
    </row>
    <row r="98" spans="1:5" ht="15">
      <c r="A98" s="814">
        <f>'KATSAYILAR '!A99</f>
        <v>0</v>
      </c>
      <c r="B98" s="800">
        <f>'KATSAYILAR '!B99</f>
        <v>0</v>
      </c>
      <c r="C98" s="802">
        <v>1500</v>
      </c>
      <c r="D98" s="803">
        <v>8000</v>
      </c>
      <c r="E98" s="801">
        <f t="shared" si="2"/>
        <v>0</v>
      </c>
    </row>
    <row r="99" spans="1:5" ht="15">
      <c r="A99" s="814">
        <f>'KATSAYILAR '!A100</f>
        <v>0</v>
      </c>
      <c r="B99" s="800">
        <f>'KATSAYILAR '!B100</f>
        <v>0</v>
      </c>
      <c r="C99" s="802">
        <v>1500</v>
      </c>
      <c r="D99" s="803">
        <v>8000</v>
      </c>
      <c r="E99" s="801">
        <f t="shared" si="2"/>
        <v>0</v>
      </c>
    </row>
    <row r="100" spans="1:5" ht="15">
      <c r="A100" s="814">
        <f>'KATSAYILAR '!A101</f>
        <v>0</v>
      </c>
      <c r="B100" s="800">
        <f>'KATSAYILAR '!B101</f>
        <v>0</v>
      </c>
      <c r="C100" s="802">
        <v>1500</v>
      </c>
      <c r="D100" s="803">
        <v>8000</v>
      </c>
      <c r="E100" s="801">
        <f t="shared" si="2"/>
        <v>0</v>
      </c>
    </row>
    <row r="101" spans="1:5" ht="15">
      <c r="A101" s="814">
        <f>'KATSAYILAR '!A102</f>
        <v>0</v>
      </c>
      <c r="B101" s="800">
        <f>'KATSAYILAR '!B102</f>
        <v>0</v>
      </c>
      <c r="C101" s="802">
        <v>1500</v>
      </c>
      <c r="D101" s="803">
        <v>8000</v>
      </c>
      <c r="E101" s="801">
        <f t="shared" si="2"/>
        <v>0</v>
      </c>
    </row>
    <row r="102" spans="1:5" ht="15">
      <c r="A102" s="814">
        <f>'KATSAYILAR '!A103</f>
        <v>0</v>
      </c>
      <c r="B102" s="800">
        <f>'KATSAYILAR '!B103</f>
        <v>0</v>
      </c>
      <c r="C102" s="802">
        <v>1500</v>
      </c>
      <c r="D102" s="803">
        <v>8000</v>
      </c>
      <c r="E102" s="801">
        <f t="shared" si="2"/>
        <v>0</v>
      </c>
    </row>
    <row r="103" spans="1:5" ht="15">
      <c r="A103" s="814">
        <f>'KATSAYILAR '!A104</f>
        <v>0</v>
      </c>
      <c r="B103" s="800">
        <f>'KATSAYILAR '!B104</f>
        <v>0</v>
      </c>
      <c r="C103" s="802">
        <v>1500</v>
      </c>
      <c r="D103" s="803">
        <v>8000</v>
      </c>
      <c r="E103" s="801">
        <f t="shared" si="2"/>
        <v>0</v>
      </c>
    </row>
    <row r="104" spans="1:5" ht="15">
      <c r="A104" s="814">
        <f>'KATSAYILAR '!A105</f>
        <v>0</v>
      </c>
      <c r="B104" s="800">
        <f>'KATSAYILAR '!B105</f>
        <v>0</v>
      </c>
      <c r="C104" s="802">
        <v>1500</v>
      </c>
      <c r="D104" s="803">
        <v>8000</v>
      </c>
      <c r="E104" s="801">
        <f t="shared" si="2"/>
        <v>0</v>
      </c>
    </row>
    <row r="105" spans="1:5" ht="15">
      <c r="A105" s="814">
        <f>'KATSAYILAR '!A106</f>
        <v>0</v>
      </c>
      <c r="B105" s="800">
        <f>'KATSAYILAR '!B106</f>
        <v>0</v>
      </c>
      <c r="C105" s="802">
        <v>1500</v>
      </c>
      <c r="D105" s="803">
        <v>8000</v>
      </c>
      <c r="E105" s="801">
        <f t="shared" si="2"/>
        <v>0</v>
      </c>
    </row>
    <row r="106" spans="1:5" ht="15">
      <c r="A106" s="814">
        <f>'KATSAYILAR '!A107</f>
        <v>0</v>
      </c>
      <c r="B106" s="800">
        <f>'KATSAYILAR '!B107</f>
        <v>0</v>
      </c>
      <c r="C106" s="802">
        <v>1500</v>
      </c>
      <c r="D106" s="803">
        <v>8000</v>
      </c>
      <c r="E106" s="801">
        <f t="shared" si="2"/>
        <v>0</v>
      </c>
    </row>
    <row r="107" spans="1:5" ht="15">
      <c r="A107" s="814">
        <f>'KATSAYILAR '!A108</f>
        <v>0</v>
      </c>
      <c r="B107" s="800">
        <f>'KATSAYILAR '!B108</f>
        <v>0</v>
      </c>
      <c r="C107" s="802">
        <v>1500</v>
      </c>
      <c r="D107" s="803">
        <v>8000</v>
      </c>
      <c r="E107" s="801">
        <f t="shared" si="2"/>
        <v>0</v>
      </c>
    </row>
    <row r="108" spans="1:5" ht="15">
      <c r="A108" s="814">
        <f>'KATSAYILAR '!A109</f>
        <v>0</v>
      </c>
      <c r="B108" s="800">
        <f>'KATSAYILAR '!B109</f>
        <v>0</v>
      </c>
      <c r="C108" s="802">
        <v>1500</v>
      </c>
      <c r="D108" s="803">
        <v>8000</v>
      </c>
      <c r="E108" s="801">
        <f t="shared" si="2"/>
        <v>0</v>
      </c>
    </row>
    <row r="109" spans="1:5" ht="15">
      <c r="A109" s="814">
        <f>'KATSAYILAR '!A110</f>
        <v>0</v>
      </c>
      <c r="B109" s="800">
        <f>'KATSAYILAR '!B110</f>
        <v>0</v>
      </c>
      <c r="C109" s="802">
        <v>1500</v>
      </c>
      <c r="D109" s="803">
        <v>8000</v>
      </c>
      <c r="E109" s="801">
        <f t="shared" si="2"/>
        <v>0</v>
      </c>
    </row>
    <row r="110" spans="1:5" ht="15">
      <c r="A110" s="814">
        <f>'KATSAYILAR '!A111</f>
        <v>0</v>
      </c>
      <c r="B110" s="800">
        <f>'KATSAYILAR '!B111</f>
        <v>0</v>
      </c>
      <c r="C110" s="802">
        <v>1500</v>
      </c>
      <c r="D110" s="803">
        <v>8000</v>
      </c>
      <c r="E110" s="801">
        <f t="shared" si="2"/>
        <v>0</v>
      </c>
    </row>
    <row r="111" spans="1:5" ht="15">
      <c r="A111" s="814">
        <f>'KATSAYILAR '!A112</f>
        <v>0</v>
      </c>
      <c r="B111" s="800">
        <f>'KATSAYILAR '!B112</f>
        <v>0</v>
      </c>
      <c r="C111" s="802">
        <v>1500</v>
      </c>
      <c r="D111" s="803">
        <v>8000</v>
      </c>
      <c r="E111" s="801">
        <f t="shared" si="2"/>
        <v>0</v>
      </c>
    </row>
    <row r="112" spans="1:5" ht="15">
      <c r="A112" s="814">
        <f>'KATSAYILAR '!A113</f>
        <v>0</v>
      </c>
      <c r="B112" s="800">
        <f>'KATSAYILAR '!B113</f>
        <v>0</v>
      </c>
      <c r="C112" s="802">
        <v>1500</v>
      </c>
      <c r="D112" s="803">
        <v>8000</v>
      </c>
      <c r="E112" s="801">
        <f t="shared" si="2"/>
        <v>0</v>
      </c>
    </row>
    <row r="113" spans="1:5" ht="15">
      <c r="A113" s="814">
        <f>'KATSAYILAR '!A114</f>
        <v>0</v>
      </c>
      <c r="B113" s="800">
        <f>'KATSAYILAR '!B114</f>
        <v>0</v>
      </c>
      <c r="C113" s="802">
        <v>1500</v>
      </c>
      <c r="D113" s="803">
        <v>8000</v>
      </c>
      <c r="E113" s="801">
        <f t="shared" si="2"/>
        <v>0</v>
      </c>
    </row>
    <row r="114" spans="1:5" ht="15">
      <c r="A114" s="814">
        <f>'KATSAYILAR '!A115</f>
        <v>0</v>
      </c>
      <c r="B114" s="800">
        <f>'KATSAYILAR '!B115</f>
        <v>0</v>
      </c>
      <c r="C114" s="802">
        <v>1500</v>
      </c>
      <c r="D114" s="803">
        <v>8000</v>
      </c>
      <c r="E114" s="801">
        <f t="shared" si="2"/>
        <v>0</v>
      </c>
    </row>
    <row r="115" spans="1:5">
      <c r="A115" s="813"/>
    </row>
    <row r="116" spans="1:5">
      <c r="A116" s="813"/>
    </row>
    <row r="117" spans="1:5">
      <c r="A117" s="813"/>
    </row>
    <row r="118" spans="1:5">
      <c r="A118" s="813"/>
    </row>
    <row r="119" spans="1:5">
      <c r="A119" s="813"/>
    </row>
    <row r="120" spans="1:5">
      <c r="A120" s="813"/>
    </row>
    <row r="121" spans="1:5">
      <c r="A121" s="813"/>
    </row>
    <row r="122" spans="1:5">
      <c r="A122" s="813"/>
    </row>
    <row r="123" spans="1:5">
      <c r="A123" s="813"/>
    </row>
    <row r="124" spans="1:5">
      <c r="A124" s="813"/>
    </row>
    <row r="125" spans="1:5">
      <c r="A125" s="813"/>
    </row>
    <row r="126" spans="1:5">
      <c r="A126" s="813"/>
    </row>
    <row r="127" spans="1:5">
      <c r="A127" s="813"/>
    </row>
    <row r="128" spans="1:5">
      <c r="A128" s="813"/>
    </row>
    <row r="129" spans="1:1">
      <c r="A129" s="813"/>
    </row>
    <row r="130" spans="1:1">
      <c r="A130" s="813"/>
    </row>
    <row r="131" spans="1:1">
      <c r="A131" s="813"/>
    </row>
    <row r="132" spans="1:1">
      <c r="A132" s="813"/>
    </row>
    <row r="133" spans="1:1">
      <c r="A133" s="813"/>
    </row>
    <row r="134" spans="1:1">
      <c r="A134" s="813"/>
    </row>
    <row r="135" spans="1:1">
      <c r="A135" s="813"/>
    </row>
    <row r="136" spans="1:1">
      <c r="A136" s="813"/>
    </row>
    <row r="137" spans="1:1">
      <c r="A137" s="813"/>
    </row>
    <row r="138" spans="1:1">
      <c r="A138" s="813"/>
    </row>
    <row r="139" spans="1:1">
      <c r="A139" s="813"/>
    </row>
    <row r="140" spans="1:1">
      <c r="A140" s="813"/>
    </row>
    <row r="141" spans="1:1">
      <c r="A141" s="813"/>
    </row>
    <row r="142" spans="1:1">
      <c r="A142" s="813"/>
    </row>
    <row r="143" spans="1:1">
      <c r="A143" s="813"/>
    </row>
    <row r="144" spans="1:1">
      <c r="A144" s="813"/>
    </row>
    <row r="145" spans="1:1">
      <c r="A145" s="813"/>
    </row>
    <row r="146" spans="1:1">
      <c r="A146" s="813"/>
    </row>
    <row r="147" spans="1:1">
      <c r="A147" s="813"/>
    </row>
    <row r="148" spans="1:1">
      <c r="A148" s="813"/>
    </row>
    <row r="149" spans="1:1">
      <c r="A149" s="813"/>
    </row>
    <row r="150" spans="1:1">
      <c r="A150" s="813"/>
    </row>
    <row r="151" spans="1:1">
      <c r="A151" s="813"/>
    </row>
    <row r="152" spans="1:1">
      <c r="A152" s="813"/>
    </row>
    <row r="153" spans="1:1">
      <c r="A153" s="813"/>
    </row>
    <row r="154" spans="1:1">
      <c r="A154" s="813"/>
    </row>
    <row r="155" spans="1:1">
      <c r="A155" s="813"/>
    </row>
    <row r="156" spans="1:1">
      <c r="A156" s="813"/>
    </row>
    <row r="157" spans="1:1">
      <c r="A157" s="813"/>
    </row>
    <row r="158" spans="1:1">
      <c r="A158" s="813"/>
    </row>
    <row r="159" spans="1:1">
      <c r="A159" s="813"/>
    </row>
    <row r="160" spans="1:1">
      <c r="A160" s="813"/>
    </row>
    <row r="161" spans="1:1">
      <c r="A161" s="813"/>
    </row>
    <row r="162" spans="1:1">
      <c r="A162" s="813"/>
    </row>
    <row r="163" spans="1:1">
      <c r="A163" s="813"/>
    </row>
    <row r="164" spans="1:1">
      <c r="A164" s="813"/>
    </row>
    <row r="165" spans="1:1">
      <c r="A165" s="813"/>
    </row>
    <row r="166" spans="1:1">
      <c r="A166" s="813"/>
    </row>
    <row r="167" spans="1:1">
      <c r="A167" s="813"/>
    </row>
  </sheetData>
  <sheetProtection password="C7EB" sheet="1" objects="1" scenarios="1"/>
  <mergeCells count="6">
    <mergeCell ref="A1:E1"/>
    <mergeCell ref="A2:A3"/>
    <mergeCell ref="B2:B3"/>
    <mergeCell ref="C2:C3"/>
    <mergeCell ref="D2:D3"/>
    <mergeCell ref="E2:E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6"/>
  <sheetViews>
    <sheetView workbookViewId="0">
      <pane xSplit="1" ySplit="4" topLeftCell="B92" activePane="bottomRight" state="frozen"/>
      <selection pane="topRight" activeCell="B1" sqref="B1"/>
      <selection pane="bottomLeft" activeCell="A5" sqref="A5"/>
      <selection pane="bottomRight" activeCell="J86" sqref="J86:M86"/>
    </sheetView>
  </sheetViews>
  <sheetFormatPr defaultRowHeight="12.75"/>
  <cols>
    <col min="1" max="1" width="13" style="834" customWidth="1"/>
    <col min="2" max="2" width="11.28515625" style="640" customWidth="1"/>
    <col min="3" max="3" width="11.140625" style="640" customWidth="1"/>
    <col min="4" max="4" width="9.5703125" bestFit="1" customWidth="1"/>
    <col min="5" max="5" width="9.140625" customWidth="1"/>
    <col min="6" max="6" width="11.28515625" bestFit="1" customWidth="1"/>
    <col min="7" max="7" width="13.85546875" style="741" customWidth="1"/>
    <col min="8" max="8" width="9.5703125" bestFit="1" customWidth="1"/>
    <col min="9" max="9" width="9.140625" customWidth="1"/>
    <col min="11" max="11" width="6.140625" bestFit="1" customWidth="1"/>
  </cols>
  <sheetData>
    <row r="1" spans="1:13" ht="15.75" customHeight="1">
      <c r="A1" s="941" t="s">
        <v>4830</v>
      </c>
      <c r="B1" s="941"/>
      <c r="C1" s="941"/>
      <c r="D1" s="941"/>
      <c r="E1" s="941"/>
      <c r="F1" s="941"/>
      <c r="G1" s="943" t="s">
        <v>4830</v>
      </c>
      <c r="H1" s="943"/>
      <c r="I1" s="943"/>
      <c r="J1" s="943"/>
      <c r="K1" s="943"/>
      <c r="L1" s="943"/>
      <c r="M1" s="943"/>
    </row>
    <row r="2" spans="1:13" ht="15.75" customHeight="1">
      <c r="A2" s="942" t="s">
        <v>4831</v>
      </c>
      <c r="B2" s="942"/>
      <c r="C2" s="942"/>
      <c r="D2" s="942"/>
      <c r="E2" s="942"/>
      <c r="F2" s="942"/>
      <c r="G2" s="943" t="s">
        <v>4843</v>
      </c>
      <c r="H2" s="943"/>
      <c r="I2" s="943"/>
      <c r="J2" s="943"/>
      <c r="K2" s="943"/>
      <c r="L2" s="943"/>
      <c r="M2" s="943"/>
    </row>
    <row r="3" spans="1:13" ht="47.25" customHeight="1">
      <c r="A3" s="819" t="s">
        <v>4832</v>
      </c>
      <c r="B3" s="818" t="s">
        <v>4832</v>
      </c>
      <c r="C3" s="717" t="s">
        <v>4766</v>
      </c>
      <c r="D3" s="717" t="s">
        <v>4766</v>
      </c>
      <c r="E3" s="718" t="s">
        <v>4833</v>
      </c>
      <c r="F3" s="719" t="s">
        <v>4834</v>
      </c>
      <c r="G3" s="722" t="s">
        <v>4844</v>
      </c>
      <c r="H3" s="723" t="s">
        <v>4854</v>
      </c>
      <c r="I3" s="742" t="s">
        <v>4845</v>
      </c>
      <c r="J3" s="944" t="s">
        <v>4846</v>
      </c>
      <c r="K3" s="944"/>
      <c r="L3" s="944"/>
      <c r="M3" s="944"/>
    </row>
    <row r="4" spans="1:13" ht="31.5">
      <c r="A4" s="820"/>
      <c r="B4" s="720"/>
      <c r="C4" s="720"/>
      <c r="D4" s="717"/>
      <c r="E4" s="718"/>
      <c r="F4" s="719"/>
      <c r="G4" s="730"/>
      <c r="H4" s="721"/>
      <c r="I4" s="716"/>
      <c r="J4" s="716" t="s">
        <v>4847</v>
      </c>
      <c r="K4" s="716" t="s">
        <v>4848</v>
      </c>
      <c r="L4" s="716" t="s">
        <v>4849</v>
      </c>
      <c r="M4" s="716" t="s">
        <v>4850</v>
      </c>
    </row>
    <row r="5" spans="1:13" ht="15.75">
      <c r="A5" s="821"/>
      <c r="B5" s="715"/>
      <c r="C5" s="715"/>
      <c r="D5" s="668"/>
      <c r="E5" s="710"/>
      <c r="F5" s="669"/>
      <c r="G5" s="731">
        <v>25993</v>
      </c>
      <c r="H5" s="711"/>
      <c r="I5" s="712"/>
      <c r="J5" s="712">
        <v>10</v>
      </c>
      <c r="K5" s="712">
        <v>10</v>
      </c>
      <c r="L5" s="712">
        <v>10</v>
      </c>
      <c r="M5" s="712">
        <v>10</v>
      </c>
    </row>
    <row r="6" spans="1:13" ht="15.75">
      <c r="A6" s="821"/>
      <c r="B6" s="715"/>
      <c r="C6" s="715"/>
      <c r="D6" s="668"/>
      <c r="E6" s="710"/>
      <c r="F6" s="669"/>
      <c r="G6" s="731" t="s">
        <v>4851</v>
      </c>
      <c r="H6" s="711"/>
      <c r="I6" s="712"/>
      <c r="J6" s="712">
        <v>10</v>
      </c>
      <c r="K6" s="712">
        <v>10</v>
      </c>
      <c r="L6" s="712">
        <v>10</v>
      </c>
      <c r="M6" s="712">
        <v>10</v>
      </c>
    </row>
    <row r="7" spans="1:13" ht="15.75">
      <c r="A7" s="821"/>
      <c r="B7" s="715"/>
      <c r="C7" s="715"/>
      <c r="D7" s="668"/>
      <c r="E7" s="710"/>
      <c r="F7" s="669"/>
      <c r="G7" s="731" t="s">
        <v>4852</v>
      </c>
      <c r="H7" s="711"/>
      <c r="I7" s="712"/>
      <c r="J7" s="712">
        <v>10</v>
      </c>
      <c r="K7" s="712">
        <v>10</v>
      </c>
      <c r="L7" s="712">
        <v>10</v>
      </c>
      <c r="M7" s="712">
        <v>10</v>
      </c>
    </row>
    <row r="8" spans="1:13" ht="15.75">
      <c r="A8" s="821"/>
      <c r="B8" s="715"/>
      <c r="C8" s="715"/>
      <c r="D8" s="668"/>
      <c r="E8" s="710"/>
      <c r="F8" s="669"/>
      <c r="G8" s="731">
        <v>27089</v>
      </c>
      <c r="H8" s="711"/>
      <c r="I8" s="712"/>
      <c r="J8" s="712">
        <v>25</v>
      </c>
      <c r="K8" s="712">
        <v>25</v>
      </c>
      <c r="L8" s="712">
        <v>25</v>
      </c>
      <c r="M8" s="712">
        <v>25</v>
      </c>
    </row>
    <row r="9" spans="1:13" ht="15.75">
      <c r="A9" s="821"/>
      <c r="B9" s="715"/>
      <c r="C9" s="715"/>
      <c r="D9" s="668"/>
      <c r="E9" s="710"/>
      <c r="F9" s="669"/>
      <c r="G9" s="731">
        <v>27454</v>
      </c>
      <c r="H9" s="711"/>
      <c r="I9" s="712"/>
      <c r="J9" s="712">
        <v>50</v>
      </c>
      <c r="K9" s="712">
        <v>50</v>
      </c>
      <c r="L9" s="712">
        <v>50</v>
      </c>
      <c r="M9" s="712">
        <v>50</v>
      </c>
    </row>
    <row r="10" spans="1:13" ht="15.75">
      <c r="A10" s="821"/>
      <c r="B10" s="715"/>
      <c r="C10" s="715"/>
      <c r="D10" s="668"/>
      <c r="E10" s="710"/>
      <c r="F10" s="669"/>
      <c r="G10" s="731">
        <v>27820</v>
      </c>
      <c r="H10" s="711"/>
      <c r="I10" s="712"/>
      <c r="J10" s="712">
        <v>50</v>
      </c>
      <c r="K10" s="712">
        <v>50</v>
      </c>
      <c r="L10" s="712">
        <v>50</v>
      </c>
      <c r="M10" s="712">
        <v>50</v>
      </c>
    </row>
    <row r="11" spans="1:13" ht="15.75">
      <c r="A11" s="821"/>
      <c r="B11" s="715"/>
      <c r="C11" s="715"/>
      <c r="D11" s="668"/>
      <c r="E11" s="710"/>
      <c r="F11" s="669"/>
      <c r="G11" s="731">
        <v>28185</v>
      </c>
      <c r="H11" s="711"/>
      <c r="I11" s="712"/>
      <c r="J11" s="712">
        <v>50</v>
      </c>
      <c r="K11" s="712">
        <v>50</v>
      </c>
      <c r="L11" s="712">
        <v>50</v>
      </c>
      <c r="M11" s="712">
        <v>50</v>
      </c>
    </row>
    <row r="12" spans="1:13" ht="15.75">
      <c r="A12" s="821"/>
      <c r="B12" s="715"/>
      <c r="C12" s="715"/>
      <c r="D12" s="668"/>
      <c r="E12" s="710"/>
      <c r="F12" s="669"/>
      <c r="G12" s="732">
        <v>28550</v>
      </c>
      <c r="H12" s="673"/>
      <c r="I12" s="674"/>
      <c r="J12" s="674">
        <v>50</v>
      </c>
      <c r="K12" s="674">
        <v>50</v>
      </c>
      <c r="L12" s="674">
        <v>50</v>
      </c>
      <c r="M12" s="674">
        <v>50</v>
      </c>
    </row>
    <row r="13" spans="1:13" ht="15.75">
      <c r="A13" s="822" t="s">
        <v>4835</v>
      </c>
      <c r="B13" s="724"/>
      <c r="C13" s="724"/>
      <c r="D13" s="670"/>
      <c r="E13" s="671"/>
      <c r="F13" s="672">
        <v>500</v>
      </c>
      <c r="G13" s="733">
        <v>28764</v>
      </c>
      <c r="H13" s="678"/>
      <c r="I13" s="676"/>
      <c r="J13" s="676">
        <v>100</v>
      </c>
      <c r="K13" s="676">
        <v>200</v>
      </c>
      <c r="L13" s="676">
        <v>400</v>
      </c>
      <c r="M13" s="676">
        <v>100</v>
      </c>
    </row>
    <row r="14" spans="1:13" ht="15.75">
      <c r="A14" s="822" t="s">
        <v>4836</v>
      </c>
      <c r="B14" s="724"/>
      <c r="C14" s="724"/>
      <c r="D14" s="670"/>
      <c r="E14" s="671"/>
      <c r="F14" s="672">
        <v>500</v>
      </c>
      <c r="G14" s="731">
        <v>28915</v>
      </c>
      <c r="H14" s="711"/>
      <c r="I14" s="712"/>
      <c r="J14" s="712">
        <v>100</v>
      </c>
      <c r="K14" s="712">
        <v>200</v>
      </c>
      <c r="L14" s="712">
        <v>400</v>
      </c>
      <c r="M14" s="712">
        <v>100</v>
      </c>
    </row>
    <row r="15" spans="1:13" ht="15.75">
      <c r="A15" s="823" t="s">
        <v>4837</v>
      </c>
      <c r="B15" s="725"/>
      <c r="C15" s="725"/>
      <c r="D15" s="670"/>
      <c r="E15" s="671"/>
      <c r="F15" s="672">
        <v>500</v>
      </c>
      <c r="G15" s="731">
        <v>29281</v>
      </c>
      <c r="H15" s="711"/>
      <c r="I15" s="712"/>
      <c r="J15" s="712">
        <v>100</v>
      </c>
      <c r="K15" s="712">
        <v>200</v>
      </c>
      <c r="L15" s="712">
        <v>400</v>
      </c>
      <c r="M15" s="712">
        <v>100</v>
      </c>
    </row>
    <row r="16" spans="1:13" ht="15.75">
      <c r="A16" s="823" t="s">
        <v>4838</v>
      </c>
      <c r="B16" s="725"/>
      <c r="C16" s="725"/>
      <c r="D16" s="670"/>
      <c r="E16" s="671"/>
      <c r="F16" s="672">
        <v>500</v>
      </c>
      <c r="G16" s="731">
        <v>29646</v>
      </c>
      <c r="H16" s="711"/>
      <c r="I16" s="712"/>
      <c r="J16" s="712">
        <v>100</v>
      </c>
      <c r="K16" s="712">
        <v>200</v>
      </c>
      <c r="L16" s="712">
        <v>400</v>
      </c>
      <c r="M16" s="712">
        <v>100</v>
      </c>
    </row>
    <row r="17" spans="1:13" ht="15.75">
      <c r="A17" s="823" t="s">
        <v>4839</v>
      </c>
      <c r="B17" s="725"/>
      <c r="C17" s="725"/>
      <c r="D17" s="670"/>
      <c r="E17" s="671"/>
      <c r="F17" s="672">
        <v>600</v>
      </c>
      <c r="G17" s="731">
        <v>30011</v>
      </c>
      <c r="H17" s="711"/>
      <c r="I17" s="712"/>
      <c r="J17" s="712">
        <v>200</v>
      </c>
      <c r="K17" s="712">
        <v>400</v>
      </c>
      <c r="L17" s="712">
        <v>600</v>
      </c>
      <c r="M17" s="712">
        <v>100</v>
      </c>
    </row>
    <row r="18" spans="1:13" ht="15.75">
      <c r="A18" s="823" t="s">
        <v>4840</v>
      </c>
      <c r="B18" s="725"/>
      <c r="C18" s="725"/>
      <c r="D18" s="670"/>
      <c r="E18" s="671"/>
      <c r="F18" s="672">
        <v>720</v>
      </c>
      <c r="G18" s="731">
        <v>30317</v>
      </c>
      <c r="H18" s="711"/>
      <c r="I18" s="712"/>
      <c r="J18" s="712">
        <v>240</v>
      </c>
      <c r="K18" s="712">
        <v>480</v>
      </c>
      <c r="L18" s="712">
        <v>720</v>
      </c>
      <c r="M18" s="712">
        <v>120</v>
      </c>
    </row>
    <row r="19" spans="1:13" ht="15.75">
      <c r="A19" s="824" t="s">
        <v>4841</v>
      </c>
      <c r="B19" s="726"/>
      <c r="C19" s="726"/>
      <c r="D19" s="673"/>
      <c r="E19" s="674"/>
      <c r="F19" s="675">
        <v>900</v>
      </c>
      <c r="G19" s="732">
        <v>30682</v>
      </c>
      <c r="H19" s="673"/>
      <c r="I19" s="674"/>
      <c r="J19" s="674">
        <v>300</v>
      </c>
      <c r="K19" s="674">
        <v>600</v>
      </c>
      <c r="L19" s="674">
        <v>900</v>
      </c>
      <c r="M19" s="674">
        <v>150</v>
      </c>
    </row>
    <row r="20" spans="1:13" ht="15.75">
      <c r="A20" s="825">
        <v>30864</v>
      </c>
      <c r="B20" s="728">
        <f>'KATSAYILAR '!A19</f>
        <v>30864</v>
      </c>
      <c r="C20" s="727">
        <f>'KATSAYILAR '!B19</f>
        <v>41</v>
      </c>
      <c r="D20" s="676">
        <v>41</v>
      </c>
      <c r="E20" s="676">
        <v>25</v>
      </c>
      <c r="F20" s="677">
        <f>D20*E20</f>
        <v>1025</v>
      </c>
      <c r="G20" s="733">
        <v>30864</v>
      </c>
      <c r="H20" s="676">
        <v>41</v>
      </c>
      <c r="I20" s="676">
        <v>25</v>
      </c>
      <c r="J20" s="939">
        <f>H20*I20</f>
        <v>1025</v>
      </c>
      <c r="K20" s="939"/>
      <c r="L20" s="939"/>
      <c r="M20" s="939"/>
    </row>
    <row r="21" spans="1:13" ht="15.75">
      <c r="A21" s="826">
        <v>31048</v>
      </c>
      <c r="B21" s="728">
        <f>'KATSAYILAR '!A20</f>
        <v>31048</v>
      </c>
      <c r="C21" s="727">
        <f>'KATSAYILAR '!B20</f>
        <v>46</v>
      </c>
      <c r="D21" s="673">
        <v>46</v>
      </c>
      <c r="E21" s="674">
        <f>E20</f>
        <v>25</v>
      </c>
      <c r="F21" s="675">
        <f t="shared" ref="F21:F51" si="0">D21*E21</f>
        <v>1150</v>
      </c>
      <c r="G21" s="732">
        <v>31048</v>
      </c>
      <c r="H21" s="673">
        <v>46</v>
      </c>
      <c r="I21" s="674">
        <v>25</v>
      </c>
      <c r="J21" s="937">
        <f t="shared" ref="J21:J88" si="1">H21*I21</f>
        <v>1150</v>
      </c>
      <c r="K21" s="937"/>
      <c r="L21" s="937"/>
      <c r="M21" s="937"/>
    </row>
    <row r="22" spans="1:13" ht="15.75">
      <c r="A22" s="825">
        <v>31229</v>
      </c>
      <c r="B22" s="728">
        <f>'KATSAYILAR '!A21</f>
        <v>31229</v>
      </c>
      <c r="C22" s="727">
        <f>'KATSAYILAR '!B21</f>
        <v>49</v>
      </c>
      <c r="D22" s="678">
        <v>49</v>
      </c>
      <c r="E22" s="676">
        <f t="shared" ref="E22:E29" si="2">E21</f>
        <v>25</v>
      </c>
      <c r="F22" s="677">
        <f t="shared" si="0"/>
        <v>1225</v>
      </c>
      <c r="G22" s="733">
        <v>31229</v>
      </c>
      <c r="H22" s="678">
        <v>49</v>
      </c>
      <c r="I22" s="676">
        <v>25</v>
      </c>
      <c r="J22" s="939">
        <f t="shared" si="1"/>
        <v>1225</v>
      </c>
      <c r="K22" s="939"/>
      <c r="L22" s="939"/>
      <c r="M22" s="939"/>
    </row>
    <row r="23" spans="1:13" ht="15.75">
      <c r="A23" s="826" t="s">
        <v>4842</v>
      </c>
      <c r="B23" s="728">
        <f>'KATSAYILAR '!A22</f>
        <v>31413</v>
      </c>
      <c r="C23" s="727">
        <f>'KATSAYILAR '!B22</f>
        <v>56</v>
      </c>
      <c r="D23" s="673">
        <v>56</v>
      </c>
      <c r="E23" s="674">
        <f t="shared" si="2"/>
        <v>25</v>
      </c>
      <c r="F23" s="675">
        <f t="shared" si="0"/>
        <v>1400</v>
      </c>
      <c r="G23" s="732">
        <v>31413</v>
      </c>
      <c r="H23" s="673">
        <v>56</v>
      </c>
      <c r="I23" s="674">
        <v>25</v>
      </c>
      <c r="J23" s="937">
        <f t="shared" si="1"/>
        <v>1400</v>
      </c>
      <c r="K23" s="937"/>
      <c r="L23" s="937"/>
      <c r="M23" s="937"/>
    </row>
    <row r="24" spans="1:13" ht="15.75">
      <c r="A24" s="825">
        <v>31594</v>
      </c>
      <c r="B24" s="728">
        <f>'KATSAYILAR '!A23</f>
        <v>31594</v>
      </c>
      <c r="C24" s="727">
        <f>'KATSAYILAR '!B23</f>
        <v>62</v>
      </c>
      <c r="D24" s="678">
        <v>62</v>
      </c>
      <c r="E24" s="676">
        <f t="shared" si="2"/>
        <v>25</v>
      </c>
      <c r="F24" s="677">
        <f t="shared" si="0"/>
        <v>1550</v>
      </c>
      <c r="G24" s="733">
        <v>31594</v>
      </c>
      <c r="H24" s="678">
        <v>62</v>
      </c>
      <c r="I24" s="676">
        <v>25</v>
      </c>
      <c r="J24" s="939">
        <f t="shared" si="1"/>
        <v>1550</v>
      </c>
      <c r="K24" s="939"/>
      <c r="L24" s="939"/>
      <c r="M24" s="939"/>
    </row>
    <row r="25" spans="1:13" ht="15.75">
      <c r="A25" s="826">
        <v>31778</v>
      </c>
      <c r="B25" s="728">
        <f>'KATSAYILAR '!A24</f>
        <v>31778</v>
      </c>
      <c r="C25" s="727">
        <f>'KATSAYILAR '!B24</f>
        <v>66</v>
      </c>
      <c r="D25" s="673">
        <v>66</v>
      </c>
      <c r="E25" s="674">
        <f t="shared" si="2"/>
        <v>25</v>
      </c>
      <c r="F25" s="675">
        <f t="shared" si="0"/>
        <v>1650</v>
      </c>
      <c r="G25" s="732">
        <v>31778</v>
      </c>
      <c r="H25" s="673">
        <v>66</v>
      </c>
      <c r="I25" s="674">
        <v>25</v>
      </c>
      <c r="J25" s="937">
        <f t="shared" si="1"/>
        <v>1650</v>
      </c>
      <c r="K25" s="937"/>
      <c r="L25" s="937"/>
      <c r="M25" s="937"/>
    </row>
    <row r="26" spans="1:13" ht="15.75">
      <c r="A26" s="825">
        <v>31959</v>
      </c>
      <c r="B26" s="728">
        <f>'KATSAYILAR '!A25</f>
        <v>31959</v>
      </c>
      <c r="C26" s="727">
        <f>'KATSAYILAR '!B25</f>
        <v>70</v>
      </c>
      <c r="D26" s="678">
        <v>70</v>
      </c>
      <c r="E26" s="676">
        <f t="shared" si="2"/>
        <v>25</v>
      </c>
      <c r="F26" s="677">
        <f t="shared" si="0"/>
        <v>1750</v>
      </c>
      <c r="G26" s="733">
        <v>31959</v>
      </c>
      <c r="H26" s="678">
        <v>70</v>
      </c>
      <c r="I26" s="676">
        <v>25</v>
      </c>
      <c r="J26" s="939">
        <f t="shared" si="1"/>
        <v>1750</v>
      </c>
      <c r="K26" s="939"/>
      <c r="L26" s="939"/>
      <c r="M26" s="939"/>
    </row>
    <row r="27" spans="1:13" ht="15.75">
      <c r="A27" s="827">
        <v>32143</v>
      </c>
      <c r="B27" s="728">
        <f>'KATSAYILAR '!A26</f>
        <v>32143</v>
      </c>
      <c r="C27" s="727">
        <f>'KATSAYILAR '!B26</f>
        <v>84</v>
      </c>
      <c r="D27" s="679">
        <v>84</v>
      </c>
      <c r="E27" s="674">
        <f t="shared" si="2"/>
        <v>25</v>
      </c>
      <c r="F27" s="675">
        <f t="shared" si="0"/>
        <v>2100</v>
      </c>
      <c r="G27" s="734">
        <v>32143</v>
      </c>
      <c r="H27" s="679">
        <v>84</v>
      </c>
      <c r="I27" s="674">
        <v>25</v>
      </c>
      <c r="J27" s="937">
        <f t="shared" si="1"/>
        <v>2100</v>
      </c>
      <c r="K27" s="937"/>
      <c r="L27" s="937"/>
      <c r="M27" s="937"/>
    </row>
    <row r="28" spans="1:13" ht="15.75">
      <c r="A28" s="828">
        <v>32325</v>
      </c>
      <c r="B28" s="728">
        <f>'KATSAYILAR '!A27</f>
        <v>32325</v>
      </c>
      <c r="C28" s="727">
        <f>'KATSAYILAR '!B27</f>
        <v>100</v>
      </c>
      <c r="D28" s="680">
        <v>100</v>
      </c>
      <c r="E28" s="676">
        <f t="shared" si="2"/>
        <v>25</v>
      </c>
      <c r="F28" s="677">
        <f t="shared" si="0"/>
        <v>2500</v>
      </c>
      <c r="G28" s="735">
        <v>32325</v>
      </c>
      <c r="H28" s="680">
        <v>100</v>
      </c>
      <c r="I28" s="676">
        <v>25</v>
      </c>
      <c r="J28" s="939">
        <f t="shared" si="1"/>
        <v>2500</v>
      </c>
      <c r="K28" s="939"/>
      <c r="L28" s="939"/>
      <c r="M28" s="939"/>
    </row>
    <row r="29" spans="1:13" ht="15.75">
      <c r="A29" s="827">
        <v>32509</v>
      </c>
      <c r="B29" s="728">
        <f>'KATSAYILAR '!A28</f>
        <v>32509</v>
      </c>
      <c r="C29" s="727">
        <f>'KATSAYILAR '!B28</f>
        <v>128</v>
      </c>
      <c r="D29" s="679">
        <v>128</v>
      </c>
      <c r="E29" s="674">
        <f t="shared" si="2"/>
        <v>25</v>
      </c>
      <c r="F29" s="675">
        <f t="shared" si="0"/>
        <v>3200</v>
      </c>
      <c r="G29" s="734">
        <v>32509</v>
      </c>
      <c r="H29" s="679">
        <v>128</v>
      </c>
      <c r="I29" s="674">
        <v>25</v>
      </c>
      <c r="J29" s="937">
        <f t="shared" si="1"/>
        <v>3200</v>
      </c>
      <c r="K29" s="937"/>
      <c r="L29" s="937"/>
      <c r="M29" s="937"/>
    </row>
    <row r="30" spans="1:13" ht="15.75">
      <c r="A30" s="829">
        <v>32690</v>
      </c>
      <c r="B30" s="728">
        <f>'KATSAYILAR '!A29</f>
        <v>32690</v>
      </c>
      <c r="C30" s="727">
        <f>'KATSAYILAR '!B29</f>
        <v>205</v>
      </c>
      <c r="D30" s="681">
        <v>205</v>
      </c>
      <c r="E30" s="682">
        <v>25</v>
      </c>
      <c r="F30" s="683">
        <f t="shared" si="0"/>
        <v>5125</v>
      </c>
      <c r="G30" s="736">
        <v>32690</v>
      </c>
      <c r="H30" s="681">
        <v>205</v>
      </c>
      <c r="I30" s="682">
        <v>25</v>
      </c>
      <c r="J30" s="938">
        <f t="shared" si="1"/>
        <v>5125</v>
      </c>
      <c r="K30" s="938"/>
      <c r="L30" s="938"/>
      <c r="M30" s="938"/>
    </row>
    <row r="31" spans="1:13" ht="15.75">
      <c r="A31" s="828">
        <v>32704</v>
      </c>
      <c r="B31" s="728"/>
      <c r="C31" s="727"/>
      <c r="D31" s="680">
        <v>205</v>
      </c>
      <c r="E31" s="676">
        <v>250</v>
      </c>
      <c r="F31" s="677">
        <f t="shared" si="0"/>
        <v>51250</v>
      </c>
      <c r="G31" s="735">
        <v>32704</v>
      </c>
      <c r="H31" s="680">
        <v>205</v>
      </c>
      <c r="I31" s="676">
        <v>50</v>
      </c>
      <c r="J31" s="939">
        <f>H31*I31</f>
        <v>10250</v>
      </c>
      <c r="K31" s="939"/>
      <c r="L31" s="939"/>
      <c r="M31" s="939"/>
    </row>
    <row r="32" spans="1:13" ht="15.75">
      <c r="A32" s="827">
        <v>32874</v>
      </c>
      <c r="B32" s="728">
        <f>'KATSAYILAR '!A30</f>
        <v>32874</v>
      </c>
      <c r="C32" s="727">
        <f>'KATSAYILAR '!B30</f>
        <v>255</v>
      </c>
      <c r="D32" s="679">
        <v>255</v>
      </c>
      <c r="E32" s="674">
        <v>250</v>
      </c>
      <c r="F32" s="675">
        <f t="shared" si="0"/>
        <v>63750</v>
      </c>
      <c r="G32" s="734">
        <v>32874</v>
      </c>
      <c r="H32" s="687">
        <v>255</v>
      </c>
      <c r="I32" s="688">
        <v>50</v>
      </c>
      <c r="J32" s="940">
        <f t="shared" si="1"/>
        <v>12750</v>
      </c>
      <c r="K32" s="940"/>
      <c r="L32" s="940"/>
      <c r="M32" s="940"/>
    </row>
    <row r="33" spans="1:13" ht="15.75">
      <c r="A33" s="828">
        <v>33055</v>
      </c>
      <c r="B33" s="728">
        <f>'KATSAYILAR '!A31</f>
        <v>33055</v>
      </c>
      <c r="C33" s="727">
        <f>'KATSAYILAR '!B31</f>
        <v>320</v>
      </c>
      <c r="D33" s="680">
        <v>320</v>
      </c>
      <c r="E33" s="676">
        <v>250</v>
      </c>
      <c r="F33" s="677">
        <f t="shared" si="0"/>
        <v>80000</v>
      </c>
      <c r="G33" s="735">
        <v>33055</v>
      </c>
      <c r="H33" s="684">
        <v>320</v>
      </c>
      <c r="I33" s="685">
        <v>50</v>
      </c>
      <c r="J33" s="935">
        <f t="shared" si="1"/>
        <v>16000</v>
      </c>
      <c r="K33" s="935"/>
      <c r="L33" s="935"/>
      <c r="M33" s="935"/>
    </row>
    <row r="34" spans="1:13" ht="15.75">
      <c r="A34" s="827">
        <v>33239</v>
      </c>
      <c r="B34" s="728">
        <f>'KATSAYILAR '!A32</f>
        <v>33239</v>
      </c>
      <c r="C34" s="727">
        <f>'KATSAYILAR '!B32</f>
        <v>352</v>
      </c>
      <c r="D34" s="679">
        <v>352</v>
      </c>
      <c r="E34" s="674">
        <v>250</v>
      </c>
      <c r="F34" s="675">
        <f t="shared" si="0"/>
        <v>88000</v>
      </c>
      <c r="G34" s="734">
        <v>33239</v>
      </c>
      <c r="H34" s="687">
        <v>352</v>
      </c>
      <c r="I34" s="688">
        <v>50</v>
      </c>
      <c r="J34" s="940">
        <f t="shared" si="1"/>
        <v>17600</v>
      </c>
      <c r="K34" s="940"/>
      <c r="L34" s="940"/>
      <c r="M34" s="940"/>
    </row>
    <row r="35" spans="1:13" ht="15.75">
      <c r="A35" s="830">
        <v>33420</v>
      </c>
      <c r="B35" s="728">
        <f>'KATSAYILAR '!A33</f>
        <v>33420</v>
      </c>
      <c r="C35" s="727">
        <f>'KATSAYILAR '!B33</f>
        <v>470</v>
      </c>
      <c r="D35" s="681">
        <v>470</v>
      </c>
      <c r="E35" s="682">
        <v>250</v>
      </c>
      <c r="F35" s="683">
        <f>D35*E35</f>
        <v>117500</v>
      </c>
      <c r="G35" s="733">
        <v>33420</v>
      </c>
      <c r="H35" s="684">
        <v>470</v>
      </c>
      <c r="I35" s="685">
        <v>50</v>
      </c>
      <c r="J35" s="935">
        <f t="shared" si="1"/>
        <v>23500</v>
      </c>
      <c r="K35" s="935"/>
      <c r="L35" s="935"/>
      <c r="M35" s="935"/>
    </row>
    <row r="36" spans="1:13" ht="15.75">
      <c r="A36" s="825">
        <v>33434</v>
      </c>
      <c r="B36" s="728"/>
      <c r="C36" s="727"/>
      <c r="D36" s="680">
        <v>470</v>
      </c>
      <c r="E36" s="676">
        <v>300</v>
      </c>
      <c r="F36" s="677">
        <f t="shared" si="0"/>
        <v>141000</v>
      </c>
      <c r="G36" s="737"/>
      <c r="H36" s="713"/>
      <c r="I36" s="714"/>
      <c r="J36" s="713"/>
      <c r="K36" s="713"/>
      <c r="L36" s="713"/>
      <c r="M36" s="713"/>
    </row>
    <row r="37" spans="1:13" ht="15.75">
      <c r="A37" s="827">
        <v>33604</v>
      </c>
      <c r="B37" s="728">
        <f>'KATSAYILAR '!A34</f>
        <v>33604</v>
      </c>
      <c r="C37" s="727">
        <f>'KATSAYILAR '!B34</f>
        <v>523</v>
      </c>
      <c r="D37" s="679">
        <v>523</v>
      </c>
      <c r="E37" s="674">
        <v>300</v>
      </c>
      <c r="F37" s="675">
        <f t="shared" si="0"/>
        <v>156900</v>
      </c>
      <c r="G37" s="734">
        <v>33604</v>
      </c>
      <c r="H37" s="687">
        <v>523</v>
      </c>
      <c r="I37" s="688">
        <v>50</v>
      </c>
      <c r="J37" s="940">
        <f t="shared" si="1"/>
        <v>26150</v>
      </c>
      <c r="K37" s="940"/>
      <c r="L37" s="940"/>
      <c r="M37" s="940"/>
    </row>
    <row r="38" spans="1:13" ht="15.75">
      <c r="A38" s="828">
        <v>33786</v>
      </c>
      <c r="B38" s="728">
        <f>'KATSAYILAR '!A35</f>
        <v>33786</v>
      </c>
      <c r="C38" s="727">
        <f>'KATSAYILAR '!B35</f>
        <v>651</v>
      </c>
      <c r="D38" s="684">
        <v>651</v>
      </c>
      <c r="E38" s="685">
        <v>300</v>
      </c>
      <c r="F38" s="686">
        <f t="shared" si="0"/>
        <v>195300</v>
      </c>
      <c r="G38" s="735">
        <v>33786</v>
      </c>
      <c r="H38" s="684">
        <v>651</v>
      </c>
      <c r="I38" s="685">
        <v>50</v>
      </c>
      <c r="J38" s="935">
        <f t="shared" si="1"/>
        <v>32550</v>
      </c>
      <c r="K38" s="935"/>
      <c r="L38" s="935"/>
      <c r="M38" s="935"/>
    </row>
    <row r="39" spans="1:13" ht="15.75">
      <c r="A39" s="827">
        <v>33970</v>
      </c>
      <c r="B39" s="728">
        <f>'KATSAYILAR '!A36</f>
        <v>33970</v>
      </c>
      <c r="C39" s="727">
        <f>'KATSAYILAR '!B36</f>
        <v>740</v>
      </c>
      <c r="D39" s="687">
        <v>740</v>
      </c>
      <c r="E39" s="688">
        <v>300</v>
      </c>
      <c r="F39" s="689">
        <f t="shared" si="0"/>
        <v>222000</v>
      </c>
      <c r="G39" s="734">
        <v>33970</v>
      </c>
      <c r="H39" s="687">
        <v>740</v>
      </c>
      <c r="I39" s="688">
        <v>50</v>
      </c>
      <c r="J39" s="940">
        <f t="shared" si="1"/>
        <v>37000</v>
      </c>
      <c r="K39" s="940"/>
      <c r="L39" s="940"/>
      <c r="M39" s="940"/>
    </row>
    <row r="40" spans="1:13" ht="15.75">
      <c r="A40" s="829">
        <v>34151</v>
      </c>
      <c r="B40" s="728">
        <f>'KATSAYILAR '!A37</f>
        <v>34151</v>
      </c>
      <c r="C40" s="727">
        <f>'KATSAYILAR '!B37</f>
        <v>835</v>
      </c>
      <c r="D40" s="690">
        <v>835</v>
      </c>
      <c r="E40" s="691">
        <v>300</v>
      </c>
      <c r="F40" s="692">
        <f t="shared" si="0"/>
        <v>250500</v>
      </c>
      <c r="G40" s="736">
        <v>34151</v>
      </c>
      <c r="H40" s="690">
        <v>835</v>
      </c>
      <c r="I40" s="691">
        <v>50</v>
      </c>
      <c r="J40" s="936">
        <f t="shared" si="1"/>
        <v>41750</v>
      </c>
      <c r="K40" s="936"/>
      <c r="L40" s="936"/>
      <c r="M40" s="936"/>
    </row>
    <row r="41" spans="1:13" ht="15.75">
      <c r="A41" s="828">
        <v>34243</v>
      </c>
      <c r="B41" s="728">
        <f>'KATSAYILAR '!A38</f>
        <v>34243</v>
      </c>
      <c r="C41" s="727">
        <f>'KATSAYILAR '!B38</f>
        <v>940</v>
      </c>
      <c r="D41" s="684">
        <v>940</v>
      </c>
      <c r="E41" s="685">
        <v>300</v>
      </c>
      <c r="F41" s="686">
        <f t="shared" si="0"/>
        <v>282000</v>
      </c>
      <c r="G41" s="735">
        <v>34243</v>
      </c>
      <c r="H41" s="684">
        <v>940</v>
      </c>
      <c r="I41" s="685">
        <v>50</v>
      </c>
      <c r="J41" s="935">
        <f t="shared" si="1"/>
        <v>47000</v>
      </c>
      <c r="K41" s="935"/>
      <c r="L41" s="935"/>
      <c r="M41" s="935"/>
    </row>
    <row r="42" spans="1:13" ht="15.75">
      <c r="A42" s="826">
        <v>34335</v>
      </c>
      <c r="B42" s="728">
        <f>'KATSAYILAR '!A39</f>
        <v>34335</v>
      </c>
      <c r="C42" s="727">
        <f>'KATSAYILAR '!B39</f>
        <v>980</v>
      </c>
      <c r="D42" s="687">
        <v>980</v>
      </c>
      <c r="E42" s="688">
        <v>300</v>
      </c>
      <c r="F42" s="689">
        <f t="shared" si="0"/>
        <v>294000</v>
      </c>
      <c r="G42" s="732">
        <v>34335</v>
      </c>
      <c r="H42" s="687">
        <v>980</v>
      </c>
      <c r="I42" s="688">
        <v>50</v>
      </c>
      <c r="J42" s="940">
        <f t="shared" si="1"/>
        <v>49000</v>
      </c>
      <c r="K42" s="940"/>
      <c r="L42" s="940"/>
      <c r="M42" s="940"/>
    </row>
    <row r="43" spans="1:13" ht="15.75">
      <c r="A43" s="828">
        <v>34425</v>
      </c>
      <c r="B43" s="728">
        <f>'KATSAYILAR '!A40</f>
        <v>34425</v>
      </c>
      <c r="C43" s="727">
        <f>'KATSAYILAR '!B40</f>
        <v>1100</v>
      </c>
      <c r="D43" s="684">
        <v>1100</v>
      </c>
      <c r="E43" s="685">
        <v>300</v>
      </c>
      <c r="F43" s="686">
        <f t="shared" si="0"/>
        <v>330000</v>
      </c>
      <c r="G43" s="735">
        <v>34425</v>
      </c>
      <c r="H43" s="684">
        <v>1100</v>
      </c>
      <c r="I43" s="685">
        <v>50</v>
      </c>
      <c r="J43" s="935">
        <f t="shared" si="1"/>
        <v>55000</v>
      </c>
      <c r="K43" s="935"/>
      <c r="L43" s="935"/>
      <c r="M43" s="935"/>
    </row>
    <row r="44" spans="1:13" ht="15.75">
      <c r="A44" s="831"/>
      <c r="B44" s="728">
        <f>'KATSAYILAR '!A41</f>
        <v>34516</v>
      </c>
      <c r="C44" s="727">
        <f>'KATSAYILAR '!B41</f>
        <v>1100</v>
      </c>
      <c r="D44" s="713"/>
      <c r="E44" s="714"/>
      <c r="F44" s="729"/>
      <c r="G44" s="738"/>
      <c r="H44" s="713"/>
      <c r="I44" s="714"/>
      <c r="J44" s="713"/>
      <c r="K44" s="713"/>
      <c r="L44" s="713"/>
      <c r="M44" s="713"/>
    </row>
    <row r="45" spans="1:13" ht="15.75">
      <c r="A45" s="831"/>
      <c r="B45" s="728">
        <f>'KATSAYILAR '!A42</f>
        <v>34608</v>
      </c>
      <c r="C45" s="727">
        <f>'KATSAYILAR '!B42</f>
        <v>1100</v>
      </c>
      <c r="D45" s="713"/>
      <c r="E45" s="714"/>
      <c r="F45" s="729"/>
      <c r="G45" s="738"/>
      <c r="H45" s="713"/>
      <c r="I45" s="714"/>
      <c r="J45" s="713"/>
      <c r="K45" s="713"/>
      <c r="L45" s="713"/>
      <c r="M45" s="713"/>
    </row>
    <row r="46" spans="1:13" ht="15.75">
      <c r="A46" s="827">
        <v>34700</v>
      </c>
      <c r="B46" s="728">
        <f>'KATSAYILAR '!A43</f>
        <v>34700</v>
      </c>
      <c r="C46" s="727">
        <f>'KATSAYILAR '!B43</f>
        <v>1140</v>
      </c>
      <c r="D46" s="687">
        <v>1140</v>
      </c>
      <c r="E46" s="688">
        <v>300</v>
      </c>
      <c r="F46" s="689">
        <f t="shared" si="0"/>
        <v>342000</v>
      </c>
      <c r="G46" s="734">
        <v>34700</v>
      </c>
      <c r="H46" s="687">
        <v>1140</v>
      </c>
      <c r="I46" s="688">
        <v>50</v>
      </c>
      <c r="J46" s="940">
        <f t="shared" si="1"/>
        <v>57000</v>
      </c>
      <c r="K46" s="940"/>
      <c r="L46" s="940"/>
      <c r="M46" s="940"/>
    </row>
    <row r="47" spans="1:13" ht="15.75">
      <c r="A47" s="829">
        <v>34790</v>
      </c>
      <c r="B47" s="728">
        <f>'KATSAYILAR '!A44</f>
        <v>34790</v>
      </c>
      <c r="C47" s="727">
        <f>'KATSAYILAR '!B44</f>
        <v>1225</v>
      </c>
      <c r="D47" s="690">
        <v>1225</v>
      </c>
      <c r="E47" s="691">
        <v>300</v>
      </c>
      <c r="F47" s="692">
        <f t="shared" si="0"/>
        <v>367500</v>
      </c>
      <c r="G47" s="736">
        <v>34790</v>
      </c>
      <c r="H47" s="690">
        <v>1225</v>
      </c>
      <c r="I47" s="691">
        <v>50</v>
      </c>
      <c r="J47" s="936">
        <f t="shared" si="1"/>
        <v>61250</v>
      </c>
      <c r="K47" s="936"/>
      <c r="L47" s="936"/>
      <c r="M47" s="936"/>
    </row>
    <row r="48" spans="1:13" ht="15.75">
      <c r="A48" s="828">
        <v>35018</v>
      </c>
      <c r="B48" s="728">
        <f>'KATSAYILAR '!A45</f>
        <v>35018</v>
      </c>
      <c r="C48" s="727">
        <f>'KATSAYILAR '!B45</f>
        <v>1695</v>
      </c>
      <c r="D48" s="684">
        <v>1695</v>
      </c>
      <c r="E48" s="685">
        <v>300</v>
      </c>
      <c r="F48" s="686">
        <f t="shared" si="0"/>
        <v>508500</v>
      </c>
      <c r="G48" s="735">
        <v>35018</v>
      </c>
      <c r="H48" s="684">
        <v>1695</v>
      </c>
      <c r="I48" s="685">
        <v>50</v>
      </c>
      <c r="J48" s="935">
        <f t="shared" si="1"/>
        <v>84750</v>
      </c>
      <c r="K48" s="935"/>
      <c r="L48" s="935"/>
      <c r="M48" s="935"/>
    </row>
    <row r="49" spans="1:13" ht="15.75">
      <c r="A49" s="827">
        <v>35065</v>
      </c>
      <c r="B49" s="728">
        <f>'KATSAYILAR '!A46</f>
        <v>35065</v>
      </c>
      <c r="C49" s="727">
        <f>'KATSAYILAR '!B46</f>
        <v>1695</v>
      </c>
      <c r="D49" s="687">
        <v>1695</v>
      </c>
      <c r="E49" s="688">
        <v>300</v>
      </c>
      <c r="F49" s="689">
        <f t="shared" si="0"/>
        <v>508500</v>
      </c>
      <c r="G49" s="734">
        <v>35065</v>
      </c>
      <c r="H49" s="687">
        <v>1695</v>
      </c>
      <c r="I49" s="688">
        <v>50</v>
      </c>
      <c r="J49" s="940">
        <f t="shared" si="1"/>
        <v>84750</v>
      </c>
      <c r="K49" s="940"/>
      <c r="L49" s="940"/>
      <c r="M49" s="940"/>
    </row>
    <row r="50" spans="1:13" ht="15.75">
      <c r="A50" s="828">
        <v>35247</v>
      </c>
      <c r="B50" s="728">
        <f>'KATSAYILAR '!A47</f>
        <v>35247</v>
      </c>
      <c r="C50" s="727">
        <f>'KATSAYILAR '!B47</f>
        <v>2550</v>
      </c>
      <c r="D50" s="684">
        <v>2550</v>
      </c>
      <c r="E50" s="685">
        <v>300</v>
      </c>
      <c r="F50" s="686">
        <f t="shared" si="0"/>
        <v>765000</v>
      </c>
      <c r="G50" s="735">
        <v>35247</v>
      </c>
      <c r="H50" s="684">
        <v>2550</v>
      </c>
      <c r="I50" s="685">
        <v>50</v>
      </c>
      <c r="J50" s="935">
        <f t="shared" si="1"/>
        <v>127500</v>
      </c>
      <c r="K50" s="935"/>
      <c r="L50" s="935"/>
      <c r="M50" s="935"/>
    </row>
    <row r="51" spans="1:13" ht="15.75">
      <c r="A51" s="827">
        <v>35431</v>
      </c>
      <c r="B51" s="728">
        <f>'KATSAYILAR '!A48</f>
        <v>35431</v>
      </c>
      <c r="C51" s="727">
        <f>'KATSAYILAR '!B48</f>
        <v>3315</v>
      </c>
      <c r="D51" s="679">
        <v>3315</v>
      </c>
      <c r="E51" s="674">
        <v>700</v>
      </c>
      <c r="F51" s="675">
        <f t="shared" si="0"/>
        <v>2320500</v>
      </c>
      <c r="G51" s="734">
        <v>35431</v>
      </c>
      <c r="H51" s="687">
        <v>3315</v>
      </c>
      <c r="I51" s="688">
        <v>50</v>
      </c>
      <c r="J51" s="940">
        <f t="shared" si="1"/>
        <v>165750</v>
      </c>
      <c r="K51" s="940"/>
      <c r="L51" s="940"/>
      <c r="M51" s="940"/>
    </row>
    <row r="52" spans="1:13" ht="15.75">
      <c r="A52" s="828">
        <v>35612</v>
      </c>
      <c r="B52" s="728">
        <f>'KATSAYILAR '!A49</f>
        <v>35612</v>
      </c>
      <c r="C52" s="727">
        <f>'KATSAYILAR '!B49</f>
        <v>4475</v>
      </c>
      <c r="D52" s="684">
        <v>4475</v>
      </c>
      <c r="E52" s="685">
        <v>700</v>
      </c>
      <c r="F52" s="686">
        <f>D52*E52</f>
        <v>3132500</v>
      </c>
      <c r="G52" s="735">
        <v>35612</v>
      </c>
      <c r="H52" s="684">
        <v>4475</v>
      </c>
      <c r="I52" s="685">
        <v>50</v>
      </c>
      <c r="J52" s="935">
        <f t="shared" si="1"/>
        <v>223750</v>
      </c>
      <c r="K52" s="935"/>
      <c r="L52" s="935"/>
      <c r="M52" s="935"/>
    </row>
    <row r="53" spans="1:13" ht="15.75">
      <c r="A53" s="827">
        <v>35796</v>
      </c>
      <c r="B53" s="728">
        <f>'KATSAYILAR '!A50</f>
        <v>35796</v>
      </c>
      <c r="C53" s="727">
        <f>'KATSAYILAR '!B50</f>
        <v>5820</v>
      </c>
      <c r="D53" s="687">
        <v>5820</v>
      </c>
      <c r="E53" s="688">
        <v>700</v>
      </c>
      <c r="F53" s="689">
        <f t="shared" ref="F53:F73" si="3">D53*E53</f>
        <v>4074000</v>
      </c>
      <c r="G53" s="734">
        <v>35796</v>
      </c>
      <c r="H53" s="687">
        <v>5820</v>
      </c>
      <c r="I53" s="688">
        <v>50</v>
      </c>
      <c r="J53" s="940">
        <f t="shared" si="1"/>
        <v>291000</v>
      </c>
      <c r="K53" s="940"/>
      <c r="L53" s="940"/>
      <c r="M53" s="940"/>
    </row>
    <row r="54" spans="1:13" ht="15.75">
      <c r="A54" s="829">
        <v>35977</v>
      </c>
      <c r="B54" s="728">
        <f>'KATSAYILAR '!A51</f>
        <v>35977</v>
      </c>
      <c r="C54" s="727">
        <f>'KATSAYILAR '!B51</f>
        <v>7030</v>
      </c>
      <c r="D54" s="690">
        <v>7030</v>
      </c>
      <c r="E54" s="691">
        <v>700</v>
      </c>
      <c r="F54" s="692">
        <f t="shared" si="3"/>
        <v>4921000</v>
      </c>
      <c r="G54" s="736">
        <v>35977</v>
      </c>
      <c r="H54" s="690">
        <v>7030</v>
      </c>
      <c r="I54" s="691">
        <v>50</v>
      </c>
      <c r="J54" s="936">
        <f t="shared" si="1"/>
        <v>351500</v>
      </c>
      <c r="K54" s="936"/>
      <c r="L54" s="936"/>
      <c r="M54" s="936"/>
    </row>
    <row r="55" spans="1:13" ht="15.75">
      <c r="A55" s="828">
        <v>36069</v>
      </c>
      <c r="B55" s="728">
        <f>'KATSAYILAR '!A52</f>
        <v>36069</v>
      </c>
      <c r="C55" s="727">
        <f>'KATSAYILAR '!B52</f>
        <v>7750</v>
      </c>
      <c r="D55" s="684">
        <v>7750</v>
      </c>
      <c r="E55" s="685">
        <v>700</v>
      </c>
      <c r="F55" s="686">
        <f t="shared" si="3"/>
        <v>5425000</v>
      </c>
      <c r="G55" s="735">
        <v>36069</v>
      </c>
      <c r="H55" s="684">
        <v>7750</v>
      </c>
      <c r="I55" s="685">
        <v>50</v>
      </c>
      <c r="J55" s="935">
        <f t="shared" si="1"/>
        <v>387500</v>
      </c>
      <c r="K55" s="935"/>
      <c r="L55" s="935"/>
      <c r="M55" s="935"/>
    </row>
    <row r="56" spans="1:13" ht="15.75">
      <c r="A56" s="827">
        <v>36161</v>
      </c>
      <c r="B56" s="728">
        <f>'KATSAYILAR '!A53</f>
        <v>36161</v>
      </c>
      <c r="C56" s="727">
        <f>'KATSAYILAR '!B53</f>
        <v>9975</v>
      </c>
      <c r="D56" s="687">
        <v>9975</v>
      </c>
      <c r="E56" s="688">
        <v>700</v>
      </c>
      <c r="F56" s="689">
        <f t="shared" si="3"/>
        <v>6982500</v>
      </c>
      <c r="G56" s="734">
        <v>36161</v>
      </c>
      <c r="H56" s="687">
        <v>9975</v>
      </c>
      <c r="I56" s="688">
        <v>50</v>
      </c>
      <c r="J56" s="940">
        <f t="shared" si="1"/>
        <v>498750</v>
      </c>
      <c r="K56" s="940"/>
      <c r="L56" s="940"/>
      <c r="M56" s="940"/>
    </row>
    <row r="57" spans="1:13" ht="15.75">
      <c r="A57" s="828">
        <v>36342</v>
      </c>
      <c r="B57" s="728">
        <f>'KATSAYILAR '!A54</f>
        <v>36342</v>
      </c>
      <c r="C57" s="727">
        <f>'KATSAYILAR '!B54</f>
        <v>12000</v>
      </c>
      <c r="D57" s="684">
        <v>12000</v>
      </c>
      <c r="E57" s="685">
        <v>700</v>
      </c>
      <c r="F57" s="686">
        <f t="shared" si="3"/>
        <v>8400000</v>
      </c>
      <c r="G57" s="735">
        <v>36342</v>
      </c>
      <c r="H57" s="684">
        <v>12000</v>
      </c>
      <c r="I57" s="685">
        <v>50</v>
      </c>
      <c r="J57" s="935">
        <f t="shared" si="1"/>
        <v>600000</v>
      </c>
      <c r="K57" s="935"/>
      <c r="L57" s="935"/>
      <c r="M57" s="935"/>
    </row>
    <row r="58" spans="1:13" ht="15.75">
      <c r="A58" s="827">
        <v>36526</v>
      </c>
      <c r="B58" s="728">
        <f>'KATSAYILAR '!A55</f>
        <v>36526</v>
      </c>
      <c r="C58" s="727">
        <f>'KATSAYILAR '!B55</f>
        <v>13810</v>
      </c>
      <c r="D58" s="687">
        <v>13810</v>
      </c>
      <c r="E58" s="688">
        <v>700</v>
      </c>
      <c r="F58" s="689">
        <f t="shared" si="3"/>
        <v>9667000</v>
      </c>
      <c r="G58" s="734">
        <v>36526</v>
      </c>
      <c r="H58" s="687">
        <v>13810</v>
      </c>
      <c r="I58" s="688">
        <v>50</v>
      </c>
      <c r="J58" s="940">
        <f t="shared" si="1"/>
        <v>690500</v>
      </c>
      <c r="K58" s="940"/>
      <c r="L58" s="940"/>
      <c r="M58" s="940"/>
    </row>
    <row r="59" spans="1:13" ht="15.75">
      <c r="A59" s="829">
        <v>36692</v>
      </c>
      <c r="B59" s="728">
        <f>'KATSAYILAR '!A56</f>
        <v>36692</v>
      </c>
      <c r="C59" s="727">
        <f>'KATSAYILAR '!B56</f>
        <v>14310</v>
      </c>
      <c r="D59" s="690">
        <v>14310</v>
      </c>
      <c r="E59" s="691">
        <v>700</v>
      </c>
      <c r="F59" s="692">
        <f t="shared" si="3"/>
        <v>10017000</v>
      </c>
      <c r="G59" s="736">
        <v>36692</v>
      </c>
      <c r="H59" s="690">
        <v>14310</v>
      </c>
      <c r="I59" s="691">
        <v>50</v>
      </c>
      <c r="J59" s="936">
        <f t="shared" si="1"/>
        <v>715500</v>
      </c>
      <c r="K59" s="936"/>
      <c r="L59" s="936"/>
      <c r="M59" s="936"/>
    </row>
    <row r="60" spans="1:13" ht="15.75">
      <c r="A60" s="829">
        <v>36708</v>
      </c>
      <c r="B60" s="728">
        <f>'KATSAYILAR '!A57</f>
        <v>36708</v>
      </c>
      <c r="C60" s="727">
        <f>'KATSAYILAR '!B57</f>
        <v>15760</v>
      </c>
      <c r="D60" s="690">
        <v>15760</v>
      </c>
      <c r="E60" s="691">
        <v>700</v>
      </c>
      <c r="F60" s="692">
        <f t="shared" si="3"/>
        <v>11032000</v>
      </c>
      <c r="G60" s="736">
        <v>36722</v>
      </c>
      <c r="H60" s="690">
        <v>15760</v>
      </c>
      <c r="I60" s="691">
        <v>50</v>
      </c>
      <c r="J60" s="936">
        <f t="shared" si="1"/>
        <v>788000</v>
      </c>
      <c r="K60" s="936"/>
      <c r="L60" s="936"/>
      <c r="M60" s="936"/>
    </row>
    <row r="61" spans="1:13" ht="15.75">
      <c r="A61" s="828">
        <v>36875</v>
      </c>
      <c r="B61" s="728">
        <f>'KATSAYILAR '!A58</f>
        <v>36875</v>
      </c>
      <c r="C61" s="727">
        <f>'KATSAYILAR '!B58</f>
        <v>16580</v>
      </c>
      <c r="D61" s="684">
        <v>16580</v>
      </c>
      <c r="E61" s="685">
        <v>700</v>
      </c>
      <c r="F61" s="686">
        <f t="shared" si="3"/>
        <v>11606000</v>
      </c>
      <c r="G61" s="735">
        <v>36875</v>
      </c>
      <c r="H61" s="684">
        <v>16580</v>
      </c>
      <c r="I61" s="685">
        <v>50</v>
      </c>
      <c r="J61" s="935">
        <f t="shared" si="1"/>
        <v>829000</v>
      </c>
      <c r="K61" s="935"/>
      <c r="L61" s="935"/>
      <c r="M61" s="935"/>
    </row>
    <row r="62" spans="1:13" ht="15.75">
      <c r="A62" s="826">
        <v>36892</v>
      </c>
      <c r="B62" s="728">
        <f>'KATSAYILAR '!A59</f>
        <v>36892</v>
      </c>
      <c r="C62" s="727">
        <f>'KATSAYILAR '!B59</f>
        <v>18240</v>
      </c>
      <c r="D62" s="687">
        <v>18240</v>
      </c>
      <c r="E62" s="688">
        <v>700</v>
      </c>
      <c r="F62" s="689">
        <f t="shared" si="3"/>
        <v>12768000</v>
      </c>
      <c r="G62" s="732">
        <v>36892</v>
      </c>
      <c r="H62" s="687">
        <v>18240</v>
      </c>
      <c r="I62" s="688">
        <v>50</v>
      </c>
      <c r="J62" s="940">
        <f t="shared" si="1"/>
        <v>912000</v>
      </c>
      <c r="K62" s="940"/>
      <c r="L62" s="940"/>
      <c r="M62" s="940"/>
    </row>
    <row r="63" spans="1:13" ht="15.75">
      <c r="A63" s="830">
        <v>36996</v>
      </c>
      <c r="B63" s="728">
        <f>'KATSAYILAR '!A60</f>
        <v>36996</v>
      </c>
      <c r="C63" s="727">
        <f>'KATSAYILAR '!B60</f>
        <v>18700</v>
      </c>
      <c r="D63" s="690">
        <v>18700</v>
      </c>
      <c r="E63" s="691">
        <v>700</v>
      </c>
      <c r="F63" s="692">
        <f t="shared" si="3"/>
        <v>13090000</v>
      </c>
      <c r="G63" s="739">
        <v>36996</v>
      </c>
      <c r="H63" s="690">
        <v>18700</v>
      </c>
      <c r="I63" s="691">
        <v>50</v>
      </c>
      <c r="J63" s="936">
        <f t="shared" si="1"/>
        <v>935000</v>
      </c>
      <c r="K63" s="936"/>
      <c r="L63" s="936"/>
      <c r="M63" s="936"/>
    </row>
    <row r="64" spans="1:13" ht="15.75">
      <c r="A64" s="830">
        <v>37026</v>
      </c>
      <c r="B64" s="728">
        <f>'KATSAYILAR '!A61</f>
        <v>37026</v>
      </c>
      <c r="C64" s="727">
        <f>'KATSAYILAR '!B61</f>
        <v>20600</v>
      </c>
      <c r="D64" s="690">
        <v>20600</v>
      </c>
      <c r="E64" s="691">
        <v>700</v>
      </c>
      <c r="F64" s="692">
        <f t="shared" si="3"/>
        <v>14420000</v>
      </c>
      <c r="G64" s="739">
        <v>37026</v>
      </c>
      <c r="H64" s="690">
        <v>20600</v>
      </c>
      <c r="I64" s="691">
        <v>50</v>
      </c>
      <c r="J64" s="936">
        <f t="shared" si="1"/>
        <v>1030000</v>
      </c>
      <c r="K64" s="936"/>
      <c r="L64" s="936"/>
      <c r="M64" s="936"/>
    </row>
    <row r="65" spans="1:14" ht="15.75">
      <c r="A65" s="830">
        <v>37057</v>
      </c>
      <c r="B65" s="728">
        <f>'KATSAYILAR '!A62</f>
        <v>37057</v>
      </c>
      <c r="C65" s="727">
        <f>'KATSAYILAR '!B62</f>
        <v>21650</v>
      </c>
      <c r="D65" s="690">
        <v>21650</v>
      </c>
      <c r="E65" s="691">
        <v>700</v>
      </c>
      <c r="F65" s="692">
        <f t="shared" si="3"/>
        <v>15155000</v>
      </c>
      <c r="G65" s="739">
        <v>37057</v>
      </c>
      <c r="H65" s="690">
        <v>21650</v>
      </c>
      <c r="I65" s="691">
        <v>50</v>
      </c>
      <c r="J65" s="936">
        <f t="shared" si="1"/>
        <v>1082500</v>
      </c>
      <c r="K65" s="936"/>
      <c r="L65" s="936"/>
      <c r="M65" s="936"/>
    </row>
    <row r="66" spans="1:14" ht="15.75">
      <c r="A66" s="830">
        <v>37073</v>
      </c>
      <c r="B66" s="728">
        <f>'KATSAYILAR '!A63</f>
        <v>37073</v>
      </c>
      <c r="C66" s="727">
        <f>'KATSAYILAR '!B63</f>
        <v>22750</v>
      </c>
      <c r="D66" s="690">
        <v>22750</v>
      </c>
      <c r="E66" s="691">
        <v>700</v>
      </c>
      <c r="F66" s="692">
        <f t="shared" si="3"/>
        <v>15925000</v>
      </c>
      <c r="G66" s="739">
        <v>37073</v>
      </c>
      <c r="H66" s="690">
        <v>22750</v>
      </c>
      <c r="I66" s="691">
        <v>50</v>
      </c>
      <c r="J66" s="936">
        <f t="shared" si="1"/>
        <v>1137500</v>
      </c>
      <c r="K66" s="936"/>
      <c r="L66" s="936"/>
      <c r="M66" s="936"/>
    </row>
    <row r="67" spans="1:14" ht="15.75">
      <c r="A67" s="830">
        <v>37149</v>
      </c>
      <c r="B67" s="728">
        <f>'KATSAYILAR '!A64</f>
        <v>37149</v>
      </c>
      <c r="C67" s="727">
        <f>'KATSAYILAR '!B64</f>
        <v>23550</v>
      </c>
      <c r="D67" s="690">
        <v>23550</v>
      </c>
      <c r="E67" s="691">
        <v>700</v>
      </c>
      <c r="F67" s="692">
        <f t="shared" si="3"/>
        <v>16485000</v>
      </c>
      <c r="G67" s="739">
        <v>37149</v>
      </c>
      <c r="H67" s="690">
        <v>23550</v>
      </c>
      <c r="I67" s="691">
        <v>50</v>
      </c>
      <c r="J67" s="936">
        <f t="shared" si="1"/>
        <v>1177500</v>
      </c>
      <c r="K67" s="936"/>
      <c r="L67" s="936"/>
      <c r="M67" s="936"/>
    </row>
    <row r="68" spans="1:14" ht="15.75">
      <c r="A68" s="830">
        <v>37179</v>
      </c>
      <c r="B68" s="728">
        <f>'KATSAYILAR '!A65</f>
        <v>37179</v>
      </c>
      <c r="C68" s="727">
        <f>'KATSAYILAR '!B65</f>
        <v>24920</v>
      </c>
      <c r="D68" s="690">
        <v>24920</v>
      </c>
      <c r="E68" s="691">
        <v>700</v>
      </c>
      <c r="F68" s="692">
        <f t="shared" si="3"/>
        <v>17444000</v>
      </c>
      <c r="G68" s="739">
        <v>37179</v>
      </c>
      <c r="H68" s="690">
        <v>24920</v>
      </c>
      <c r="I68" s="691">
        <v>50</v>
      </c>
      <c r="J68" s="936">
        <f t="shared" si="1"/>
        <v>1246000</v>
      </c>
      <c r="K68" s="936"/>
      <c r="L68" s="936"/>
      <c r="M68" s="936"/>
    </row>
    <row r="69" spans="1:14" ht="15.75">
      <c r="A69" s="830">
        <v>37210</v>
      </c>
      <c r="B69" s="728">
        <f>'KATSAYILAR '!A66</f>
        <v>37210</v>
      </c>
      <c r="C69" s="727">
        <f>'KATSAYILAR '!B66</f>
        <v>26420</v>
      </c>
      <c r="D69" s="690">
        <v>26420</v>
      </c>
      <c r="E69" s="691">
        <v>700</v>
      </c>
      <c r="F69" s="692">
        <f t="shared" si="3"/>
        <v>18494000</v>
      </c>
      <c r="G69" s="739">
        <v>37210</v>
      </c>
      <c r="H69" s="690">
        <v>26420</v>
      </c>
      <c r="I69" s="691">
        <v>50</v>
      </c>
      <c r="J69" s="936">
        <f t="shared" si="1"/>
        <v>1321000</v>
      </c>
      <c r="K69" s="936"/>
      <c r="L69" s="936"/>
      <c r="M69" s="936"/>
    </row>
    <row r="70" spans="1:14" ht="15.75">
      <c r="A70" s="825">
        <v>37240</v>
      </c>
      <c r="B70" s="728">
        <f>'KATSAYILAR '!A67</f>
        <v>37240</v>
      </c>
      <c r="C70" s="727">
        <f>'KATSAYILAR '!B67</f>
        <v>27530</v>
      </c>
      <c r="D70" s="684">
        <v>27530</v>
      </c>
      <c r="E70" s="685">
        <v>700</v>
      </c>
      <c r="F70" s="686">
        <f t="shared" si="3"/>
        <v>19271000</v>
      </c>
      <c r="G70" s="733">
        <v>37240</v>
      </c>
      <c r="H70" s="684">
        <v>27530</v>
      </c>
      <c r="I70" s="685">
        <v>50</v>
      </c>
      <c r="J70" s="935">
        <f t="shared" si="1"/>
        <v>1376500</v>
      </c>
      <c r="K70" s="935"/>
      <c r="L70" s="935"/>
      <c r="M70" s="935"/>
    </row>
    <row r="71" spans="1:14" ht="15.75">
      <c r="A71" s="826">
        <v>37257</v>
      </c>
      <c r="B71" s="728">
        <f>'KATSAYILAR '!A68</f>
        <v>37257</v>
      </c>
      <c r="C71" s="727">
        <f>'KATSAYILAR '!B68</f>
        <v>30300</v>
      </c>
      <c r="D71" s="687">
        <v>30300</v>
      </c>
      <c r="E71" s="688">
        <v>700</v>
      </c>
      <c r="F71" s="689">
        <f t="shared" si="3"/>
        <v>21210000</v>
      </c>
      <c r="G71" s="732">
        <v>37257</v>
      </c>
      <c r="H71" s="687">
        <v>30300</v>
      </c>
      <c r="I71" s="688">
        <v>50</v>
      </c>
      <c r="J71" s="940">
        <f t="shared" si="1"/>
        <v>1515000</v>
      </c>
      <c r="K71" s="940"/>
      <c r="L71" s="940"/>
      <c r="M71" s="940"/>
    </row>
    <row r="72" spans="1:14" ht="15.75">
      <c r="A72" s="830">
        <v>37391</v>
      </c>
      <c r="B72" s="728">
        <f>'KATSAYILAR '!A69</f>
        <v>37391</v>
      </c>
      <c r="C72" s="727">
        <f>'KATSAYILAR '!B69</f>
        <v>31060</v>
      </c>
      <c r="D72" s="690">
        <v>31060</v>
      </c>
      <c r="E72" s="691">
        <v>700</v>
      </c>
      <c r="F72" s="692">
        <f t="shared" si="3"/>
        <v>21742000</v>
      </c>
      <c r="G72" s="739">
        <v>37391</v>
      </c>
      <c r="H72" s="690">
        <v>31060</v>
      </c>
      <c r="I72" s="691">
        <v>50</v>
      </c>
      <c r="J72" s="936">
        <f t="shared" si="1"/>
        <v>1553000</v>
      </c>
      <c r="K72" s="936"/>
      <c r="L72" s="936"/>
      <c r="M72" s="936"/>
    </row>
    <row r="73" spans="1:14" ht="15.75">
      <c r="A73" s="825">
        <v>37438</v>
      </c>
      <c r="B73" s="728">
        <f>'KATSAYILAR '!A70</f>
        <v>37438</v>
      </c>
      <c r="C73" s="727">
        <f>'KATSAYILAR '!B70</f>
        <v>32650</v>
      </c>
      <c r="D73" s="684">
        <v>32650</v>
      </c>
      <c r="E73" s="685">
        <v>700</v>
      </c>
      <c r="F73" s="686">
        <f t="shared" si="3"/>
        <v>22855000</v>
      </c>
      <c r="G73" s="733">
        <v>37438</v>
      </c>
      <c r="H73" s="684">
        <v>32650</v>
      </c>
      <c r="I73" s="685">
        <v>50</v>
      </c>
      <c r="J73" s="935">
        <f t="shared" si="1"/>
        <v>1632500</v>
      </c>
      <c r="K73" s="935"/>
      <c r="L73" s="935"/>
      <c r="M73" s="935"/>
    </row>
    <row r="74" spans="1:14" ht="15.75">
      <c r="A74" s="826">
        <v>37622</v>
      </c>
      <c r="B74" s="728">
        <f>'KATSAYILAR '!A71</f>
        <v>37530</v>
      </c>
      <c r="C74" s="727">
        <f>'KATSAYILAR '!B71</f>
        <v>32650</v>
      </c>
      <c r="D74" s="679">
        <v>34300</v>
      </c>
      <c r="E74" s="679">
        <v>700</v>
      </c>
      <c r="F74" s="675">
        <f>D74*E74</f>
        <v>24010000</v>
      </c>
      <c r="G74" s="732">
        <v>37622</v>
      </c>
      <c r="H74" s="679">
        <v>34300</v>
      </c>
      <c r="I74" s="674">
        <v>50</v>
      </c>
      <c r="J74" s="937">
        <f>H74*I74</f>
        <v>1715000</v>
      </c>
      <c r="K74" s="937"/>
      <c r="L74" s="937"/>
      <c r="M74" s="937"/>
    </row>
    <row r="75" spans="1:14" ht="15.75">
      <c r="A75" s="830">
        <v>37636</v>
      </c>
      <c r="B75" s="728">
        <f>'KATSAYILAR '!A72</f>
        <v>37622</v>
      </c>
      <c r="C75" s="727">
        <f>'KATSAYILAR '!B72</f>
        <v>34300</v>
      </c>
      <c r="D75" s="681">
        <v>34300</v>
      </c>
      <c r="E75" s="681">
        <v>1000</v>
      </c>
      <c r="F75" s="683">
        <f>D75*E75</f>
        <v>34300000</v>
      </c>
      <c r="G75" s="739">
        <v>37636</v>
      </c>
      <c r="H75" s="681">
        <v>34300</v>
      </c>
      <c r="I75" s="682">
        <v>100</v>
      </c>
      <c r="J75" s="938">
        <f t="shared" si="1"/>
        <v>3430000</v>
      </c>
      <c r="K75" s="938"/>
      <c r="L75" s="938"/>
      <c r="M75" s="938"/>
    </row>
    <row r="76" spans="1:14" ht="15.75">
      <c r="A76" s="825">
        <v>37803</v>
      </c>
      <c r="B76" s="728">
        <f>'KATSAYILAR '!A73</f>
        <v>37803</v>
      </c>
      <c r="C76" s="727">
        <f>'KATSAYILAR '!B73</f>
        <v>34300</v>
      </c>
      <c r="D76" s="680">
        <v>34300</v>
      </c>
      <c r="E76" s="676">
        <v>1250</v>
      </c>
      <c r="F76" s="677">
        <f>D76*E76</f>
        <v>42875000</v>
      </c>
      <c r="G76" s="733">
        <v>37803</v>
      </c>
      <c r="H76" s="680">
        <v>34300</v>
      </c>
      <c r="I76" s="676">
        <v>250</v>
      </c>
      <c r="J76" s="939">
        <f t="shared" si="1"/>
        <v>8575000</v>
      </c>
      <c r="K76" s="939"/>
      <c r="L76" s="939"/>
      <c r="M76" s="939"/>
    </row>
    <row r="77" spans="1:14" ht="15.75">
      <c r="A77" s="826">
        <v>37987</v>
      </c>
      <c r="B77" s="728">
        <f>'KATSAYILAR '!A74</f>
        <v>37987</v>
      </c>
      <c r="C77" s="727">
        <f>'KATSAYILAR '!B74</f>
        <v>36420</v>
      </c>
      <c r="D77" s="687">
        <v>36420</v>
      </c>
      <c r="E77" s="688">
        <v>1250</v>
      </c>
      <c r="F77" s="689">
        <f t="shared" ref="F77:F96" si="4">D77*E77</f>
        <v>45525000</v>
      </c>
      <c r="G77" s="732">
        <v>37987</v>
      </c>
      <c r="H77" s="687">
        <v>36420</v>
      </c>
      <c r="I77" s="688">
        <v>250</v>
      </c>
      <c r="J77" s="940">
        <f t="shared" si="1"/>
        <v>9105000</v>
      </c>
      <c r="K77" s="940"/>
      <c r="L77" s="940"/>
      <c r="M77" s="940"/>
    </row>
    <row r="78" spans="1:14" ht="15.75">
      <c r="A78" s="825">
        <v>38169</v>
      </c>
      <c r="B78" s="728">
        <f>'KATSAYILAR '!A75</f>
        <v>38169</v>
      </c>
      <c r="C78" s="727">
        <f>'KATSAYILAR '!B75</f>
        <v>38610</v>
      </c>
      <c r="D78" s="684">
        <v>38610</v>
      </c>
      <c r="E78" s="685">
        <v>1250</v>
      </c>
      <c r="F78" s="686">
        <f t="shared" si="4"/>
        <v>48262500</v>
      </c>
      <c r="G78" s="733">
        <v>38169</v>
      </c>
      <c r="H78" s="684">
        <v>38610</v>
      </c>
      <c r="I78" s="685">
        <v>250</v>
      </c>
      <c r="J78" s="935">
        <f t="shared" si="1"/>
        <v>9652500</v>
      </c>
      <c r="K78" s="935"/>
      <c r="L78" s="935"/>
      <c r="M78" s="935"/>
    </row>
    <row r="79" spans="1:14" ht="15.75">
      <c r="A79" s="826">
        <v>38353</v>
      </c>
      <c r="B79" s="728">
        <f>'KATSAYILAR '!A76</f>
        <v>38353</v>
      </c>
      <c r="C79" s="727">
        <f>'KATSAYILAR '!B76</f>
        <v>4.0099999999999997E-2</v>
      </c>
      <c r="D79" s="693">
        <v>4.0099999999999997E-2</v>
      </c>
      <c r="E79" s="688">
        <v>1250</v>
      </c>
      <c r="F79" s="694">
        <f t="shared" si="4"/>
        <v>50.124999999999993</v>
      </c>
      <c r="G79" s="732">
        <v>38353</v>
      </c>
      <c r="H79" s="697">
        <v>4.0099999999999997E-2</v>
      </c>
      <c r="I79" s="688">
        <v>250</v>
      </c>
      <c r="J79" s="920">
        <f t="shared" si="1"/>
        <v>10.024999999999999</v>
      </c>
      <c r="K79" s="920"/>
      <c r="L79" s="920"/>
      <c r="M79" s="920"/>
      <c r="N79" s="662" t="s">
        <v>4853</v>
      </c>
    </row>
    <row r="80" spans="1:14" ht="15.75">
      <c r="A80" s="825">
        <v>38534</v>
      </c>
      <c r="B80" s="728">
        <f>'KATSAYILAR '!A77</f>
        <v>38534</v>
      </c>
      <c r="C80" s="727">
        <f>'KATSAYILAR '!B77</f>
        <v>4.1599999999999998E-2</v>
      </c>
      <c r="D80" s="695">
        <v>4.1599999999999998E-2</v>
      </c>
      <c r="E80" s="685">
        <v>1250</v>
      </c>
      <c r="F80" s="696">
        <f t="shared" si="4"/>
        <v>52</v>
      </c>
      <c r="G80" s="733">
        <v>38534</v>
      </c>
      <c r="H80" s="702">
        <v>4.1599999999999998E-2</v>
      </c>
      <c r="I80" s="685">
        <v>250</v>
      </c>
      <c r="J80" s="933">
        <f t="shared" si="1"/>
        <v>10.4</v>
      </c>
      <c r="K80" s="933"/>
      <c r="L80" s="933"/>
      <c r="M80" s="933"/>
    </row>
    <row r="81" spans="1:13" ht="15.75">
      <c r="A81" s="826">
        <v>38718</v>
      </c>
      <c r="B81" s="923">
        <f>'KATSAYILAR '!A78</f>
        <v>38718</v>
      </c>
      <c r="C81" s="921">
        <f>'KATSAYILAR '!B78</f>
        <v>4.265E-2</v>
      </c>
      <c r="D81" s="697">
        <v>4.265E-2</v>
      </c>
      <c r="E81" s="688">
        <v>1250</v>
      </c>
      <c r="F81" s="694">
        <f t="shared" si="4"/>
        <v>53.3125</v>
      </c>
      <c r="G81" s="925">
        <v>38718</v>
      </c>
      <c r="H81" s="927">
        <v>4.265E-2</v>
      </c>
      <c r="I81" s="929">
        <v>250</v>
      </c>
      <c r="J81" s="931">
        <f t="shared" si="1"/>
        <v>10.6625</v>
      </c>
      <c r="K81" s="931"/>
      <c r="L81" s="931"/>
      <c r="M81" s="931"/>
    </row>
    <row r="82" spans="1:13" ht="15.75">
      <c r="A82" s="830">
        <v>38732</v>
      </c>
      <c r="B82" s="924"/>
      <c r="C82" s="922"/>
      <c r="D82" s="698">
        <v>4.265E-2</v>
      </c>
      <c r="E82" s="691">
        <v>1500</v>
      </c>
      <c r="F82" s="699">
        <f>D82*E82</f>
        <v>63.975000000000001</v>
      </c>
      <c r="G82" s="926"/>
      <c r="H82" s="928"/>
      <c r="I82" s="930"/>
      <c r="J82" s="932"/>
      <c r="K82" s="932"/>
      <c r="L82" s="932"/>
      <c r="M82" s="932"/>
    </row>
    <row r="83" spans="1:13" ht="15.75">
      <c r="A83" s="825">
        <v>38899</v>
      </c>
      <c r="B83" s="728">
        <f>'KATSAYILAR '!A79</f>
        <v>38899</v>
      </c>
      <c r="C83" s="727">
        <f>'KATSAYILAR '!B79</f>
        <v>4.4745E-2</v>
      </c>
      <c r="D83" s="700">
        <v>4.4745E-2</v>
      </c>
      <c r="E83" s="685">
        <v>1500</v>
      </c>
      <c r="F83" s="696">
        <f t="shared" si="4"/>
        <v>67.117500000000007</v>
      </c>
      <c r="G83" s="835">
        <v>38899</v>
      </c>
      <c r="H83" s="836">
        <v>4.4745E-2</v>
      </c>
      <c r="I83" s="837">
        <v>250</v>
      </c>
      <c r="J83" s="932">
        <f>H83*I83</f>
        <v>11.186249999999999</v>
      </c>
      <c r="K83" s="932"/>
      <c r="L83" s="932"/>
      <c r="M83" s="932"/>
    </row>
    <row r="84" spans="1:13" ht="15.75">
      <c r="A84" s="826">
        <v>39083</v>
      </c>
      <c r="B84" s="728">
        <f>'KATSAYILAR '!A80</f>
        <v>39083</v>
      </c>
      <c r="C84" s="727">
        <f>'KATSAYILAR '!B80</f>
        <v>4.6984999999999999E-2</v>
      </c>
      <c r="D84" s="701">
        <v>4.6984999999999999E-2</v>
      </c>
      <c r="E84" s="688">
        <v>1500</v>
      </c>
      <c r="F84" s="694">
        <f t="shared" si="4"/>
        <v>70.477499999999992</v>
      </c>
      <c r="G84" s="732">
        <v>39083</v>
      </c>
      <c r="H84" s="701">
        <v>4.6984999999999999E-2</v>
      </c>
      <c r="I84" s="688">
        <v>250</v>
      </c>
      <c r="J84" s="920">
        <f t="shared" si="1"/>
        <v>11.74625</v>
      </c>
      <c r="K84" s="920"/>
      <c r="L84" s="920"/>
      <c r="M84" s="920"/>
    </row>
    <row r="85" spans="1:13" ht="15.75">
      <c r="A85" s="825">
        <v>39264</v>
      </c>
      <c r="B85" s="728">
        <f>'KATSAYILAR '!A81</f>
        <v>39264</v>
      </c>
      <c r="C85" s="727">
        <f>'KATSAYILAR '!B81</f>
        <v>4.8349999999999997E-2</v>
      </c>
      <c r="D85" s="702">
        <v>4.8349999999999997E-2</v>
      </c>
      <c r="E85" s="685">
        <v>1500</v>
      </c>
      <c r="F85" s="696">
        <f t="shared" si="4"/>
        <v>72.524999999999991</v>
      </c>
      <c r="G85" s="733">
        <v>39264</v>
      </c>
      <c r="H85" s="702">
        <v>4.8349999999999997E-2</v>
      </c>
      <c r="I85" s="685">
        <v>250</v>
      </c>
      <c r="J85" s="933">
        <f t="shared" si="1"/>
        <v>12.087499999999999</v>
      </c>
      <c r="K85" s="933"/>
      <c r="L85" s="933"/>
      <c r="M85" s="933"/>
    </row>
    <row r="86" spans="1:13" ht="15.75">
      <c r="A86" s="832">
        <v>39448</v>
      </c>
      <c r="B86" s="728">
        <f>'KATSAYILAR '!A82</f>
        <v>39448</v>
      </c>
      <c r="C86" s="727">
        <f>'KATSAYILAR '!B82</f>
        <v>4.9486000000000002E-2</v>
      </c>
      <c r="D86" s="703">
        <v>4.9486000000000002E-2</v>
      </c>
      <c r="E86" s="704">
        <v>1500</v>
      </c>
      <c r="F86" s="705">
        <f t="shared" si="4"/>
        <v>74.228999999999999</v>
      </c>
      <c r="G86" s="740">
        <v>39448</v>
      </c>
      <c r="H86" s="703">
        <v>4.9486000000000002E-2</v>
      </c>
      <c r="I86" s="704">
        <v>250</v>
      </c>
      <c r="J86" s="931">
        <f t="shared" si="1"/>
        <v>12.371500000000001</v>
      </c>
      <c r="K86" s="931"/>
      <c r="L86" s="931"/>
      <c r="M86" s="931"/>
    </row>
    <row r="87" spans="1:13" ht="15.75">
      <c r="A87" s="825">
        <v>39630</v>
      </c>
      <c r="B87" s="728">
        <f>'KATSAYILAR '!A83</f>
        <v>39630</v>
      </c>
      <c r="C87" s="727">
        <f>'KATSAYILAR '!B83</f>
        <v>5.1448000000000001E-2</v>
      </c>
      <c r="D87" s="700">
        <v>5.1448000000000001E-2</v>
      </c>
      <c r="E87" s="685">
        <v>1500</v>
      </c>
      <c r="F87" s="696">
        <f t="shared" si="4"/>
        <v>77.171999999999997</v>
      </c>
      <c r="G87" s="733">
        <v>39630</v>
      </c>
      <c r="H87" s="700">
        <v>5.1448000000000001E-2</v>
      </c>
      <c r="I87" s="685">
        <v>250</v>
      </c>
      <c r="J87" s="933">
        <f t="shared" si="1"/>
        <v>12.862</v>
      </c>
      <c r="K87" s="933"/>
      <c r="L87" s="933"/>
      <c r="M87" s="933"/>
    </row>
    <row r="88" spans="1:13" ht="15.75">
      <c r="A88" s="826">
        <v>39814</v>
      </c>
      <c r="B88" s="728">
        <f>'KATSAYILAR '!A84</f>
        <v>39814</v>
      </c>
      <c r="C88" s="727">
        <f>'KATSAYILAR '!B84</f>
        <v>5.3504999999999997E-2</v>
      </c>
      <c r="D88" s="701">
        <v>5.3504999999999997E-2</v>
      </c>
      <c r="E88" s="688">
        <v>1500</v>
      </c>
      <c r="F88" s="694">
        <f t="shared" si="4"/>
        <v>80.257499999999993</v>
      </c>
      <c r="G88" s="732">
        <v>39814</v>
      </c>
      <c r="H88" s="701">
        <v>5.3504999999999997E-2</v>
      </c>
      <c r="I88" s="688">
        <v>250</v>
      </c>
      <c r="J88" s="920">
        <f t="shared" si="1"/>
        <v>13.376249999999999</v>
      </c>
      <c r="K88" s="920"/>
      <c r="L88" s="920"/>
      <c r="M88" s="920"/>
    </row>
    <row r="89" spans="1:13" ht="15.75">
      <c r="A89" s="825">
        <v>39995</v>
      </c>
      <c r="B89" s="728">
        <f>'KATSAYILAR '!A85</f>
        <v>39995</v>
      </c>
      <c r="C89" s="727">
        <f>'KATSAYILAR '!B85</f>
        <v>5.5919999999999997E-2</v>
      </c>
      <c r="D89" s="700">
        <v>5.5919999999999997E-2</v>
      </c>
      <c r="E89" s="685">
        <v>1500</v>
      </c>
      <c r="F89" s="696">
        <f t="shared" si="4"/>
        <v>83.88</v>
      </c>
      <c r="G89" s="733">
        <v>39995</v>
      </c>
      <c r="H89" s="700">
        <v>5.5919999999999997E-2</v>
      </c>
      <c r="I89" s="685">
        <v>250</v>
      </c>
      <c r="J89" s="933">
        <f t="shared" ref="J89:J97" si="5">H89*I89</f>
        <v>13.979999999999999</v>
      </c>
      <c r="K89" s="933"/>
      <c r="L89" s="933"/>
      <c r="M89" s="933"/>
    </row>
    <row r="90" spans="1:13" ht="15.75">
      <c r="A90" s="826">
        <v>40179</v>
      </c>
      <c r="B90" s="728">
        <f>'KATSAYILAR '!A86</f>
        <v>40179</v>
      </c>
      <c r="C90" s="727">
        <f>'KATSAYILAR '!B86</f>
        <v>5.7383000000000003E-2</v>
      </c>
      <c r="D90" s="701">
        <v>5.7383000000000003E-2</v>
      </c>
      <c r="E90" s="688">
        <v>1500</v>
      </c>
      <c r="F90" s="694">
        <f t="shared" si="4"/>
        <v>86.0745</v>
      </c>
      <c r="G90" s="732">
        <v>40179</v>
      </c>
      <c r="H90" s="701">
        <v>5.7383000000000003E-2</v>
      </c>
      <c r="I90" s="688">
        <v>250</v>
      </c>
      <c r="J90" s="920">
        <f t="shared" si="5"/>
        <v>14.345750000000001</v>
      </c>
      <c r="K90" s="920"/>
      <c r="L90" s="920"/>
      <c r="M90" s="920"/>
    </row>
    <row r="91" spans="1:13" ht="15.75">
      <c r="A91" s="825">
        <v>40360</v>
      </c>
      <c r="B91" s="728">
        <f>'KATSAYILAR '!A87</f>
        <v>40360</v>
      </c>
      <c r="C91" s="727">
        <f>'KATSAYILAR '!B87</f>
        <v>5.9444999999999998E-2</v>
      </c>
      <c r="D91" s="700">
        <v>5.9444999999999998E-2</v>
      </c>
      <c r="E91" s="685">
        <v>1500</v>
      </c>
      <c r="F91" s="696">
        <f t="shared" si="4"/>
        <v>89.16749999999999</v>
      </c>
      <c r="G91" s="733">
        <v>40360</v>
      </c>
      <c r="H91" s="700">
        <v>5.9444999999999998E-2</v>
      </c>
      <c r="I91" s="685">
        <v>250</v>
      </c>
      <c r="J91" s="933">
        <f t="shared" si="5"/>
        <v>14.86125</v>
      </c>
      <c r="K91" s="933"/>
      <c r="L91" s="933"/>
      <c r="M91" s="933"/>
    </row>
    <row r="92" spans="1:13" ht="15.75">
      <c r="A92" s="826">
        <v>40544</v>
      </c>
      <c r="B92" s="728">
        <f>'KATSAYILAR '!A88</f>
        <v>40544</v>
      </c>
      <c r="C92" s="727">
        <f>'KATSAYILAR '!B88</f>
        <v>6.1954000000000002E-2</v>
      </c>
      <c r="D92" s="701">
        <v>6.1954000000000002E-2</v>
      </c>
      <c r="E92" s="688">
        <v>1823</v>
      </c>
      <c r="F92" s="694">
        <f t="shared" si="4"/>
        <v>112.942142</v>
      </c>
      <c r="G92" s="732">
        <v>40544</v>
      </c>
      <c r="H92" s="701">
        <v>6.1954000000000002E-2</v>
      </c>
      <c r="I92" s="688">
        <v>250</v>
      </c>
      <c r="J92" s="920">
        <f t="shared" si="5"/>
        <v>15.4885</v>
      </c>
      <c r="K92" s="920"/>
      <c r="L92" s="920"/>
      <c r="M92" s="920"/>
    </row>
    <row r="93" spans="1:13" ht="15.75">
      <c r="A93" s="825">
        <v>40725</v>
      </c>
      <c r="B93" s="728">
        <f>'KATSAYILAR '!A89</f>
        <v>40725</v>
      </c>
      <c r="C93" s="727">
        <f>'KATSAYILAR '!B89</f>
        <v>6.4460000000000003E-2</v>
      </c>
      <c r="D93" s="700">
        <v>6.4460000000000003E-2</v>
      </c>
      <c r="E93" s="685">
        <v>2134</v>
      </c>
      <c r="F93" s="696">
        <f t="shared" si="4"/>
        <v>137.55764000000002</v>
      </c>
      <c r="G93" s="733">
        <v>40725</v>
      </c>
      <c r="H93" s="700">
        <v>6.4460000000000003E-2</v>
      </c>
      <c r="I93" s="685">
        <v>250</v>
      </c>
      <c r="J93" s="933">
        <f t="shared" si="5"/>
        <v>16.115000000000002</v>
      </c>
      <c r="K93" s="933"/>
      <c r="L93" s="933"/>
      <c r="M93" s="933"/>
    </row>
    <row r="94" spans="1:13" ht="15.75">
      <c r="A94" s="826">
        <v>40909</v>
      </c>
      <c r="B94" s="728"/>
      <c r="C94" s="727"/>
      <c r="D94" s="706">
        <v>6.6186999999999996E-2</v>
      </c>
      <c r="E94" s="688">
        <v>2134</v>
      </c>
      <c r="F94" s="694">
        <f t="shared" si="4"/>
        <v>141.24305799999999</v>
      </c>
      <c r="G94" s="732">
        <v>40909</v>
      </c>
      <c r="H94" s="674">
        <v>6.6186999999999996E-2</v>
      </c>
      <c r="I94" s="688">
        <v>250</v>
      </c>
      <c r="J94" s="920">
        <f t="shared" si="5"/>
        <v>16.546749999999999</v>
      </c>
      <c r="K94" s="920"/>
      <c r="L94" s="920"/>
      <c r="M94" s="920"/>
    </row>
    <row r="95" spans="1:13" ht="15.75">
      <c r="A95" s="830">
        <v>40909</v>
      </c>
      <c r="B95" s="728">
        <f>'KATSAYILAR '!A90</f>
        <v>40909</v>
      </c>
      <c r="C95" s="727">
        <f>'KATSAYILAR '!B90</f>
        <v>6.8834999999999993E-2</v>
      </c>
      <c r="D95" s="707">
        <v>6.8834999999999993E-2</v>
      </c>
      <c r="E95" s="691">
        <v>2134</v>
      </c>
      <c r="F95" s="699">
        <f t="shared" si="4"/>
        <v>146.89389</v>
      </c>
      <c r="G95" s="739">
        <v>40909</v>
      </c>
      <c r="H95" s="707">
        <v>6.8834999999999993E-2</v>
      </c>
      <c r="I95" s="691">
        <v>250</v>
      </c>
      <c r="J95" s="934">
        <f t="shared" si="5"/>
        <v>17.208749999999998</v>
      </c>
      <c r="K95" s="934"/>
      <c r="L95" s="934"/>
      <c r="M95" s="934"/>
    </row>
    <row r="96" spans="1:13" ht="15.75">
      <c r="A96" s="825">
        <v>41091</v>
      </c>
      <c r="B96" s="728">
        <f>'KATSAYILAR '!A91</f>
        <v>41091</v>
      </c>
      <c r="C96" s="727">
        <f>'KATSAYILAR '!B91</f>
        <v>7.1589E-2</v>
      </c>
      <c r="D96" s="700">
        <v>7.1589E-2</v>
      </c>
      <c r="E96" s="685">
        <v>2134</v>
      </c>
      <c r="F96" s="696">
        <f t="shared" si="4"/>
        <v>152.770926</v>
      </c>
      <c r="G96" s="733">
        <v>41091</v>
      </c>
      <c r="H96" s="700">
        <v>7.1589E-2</v>
      </c>
      <c r="I96" s="685">
        <v>250</v>
      </c>
      <c r="J96" s="933">
        <f t="shared" si="5"/>
        <v>17.89725</v>
      </c>
      <c r="K96" s="933"/>
      <c r="L96" s="933"/>
      <c r="M96" s="933"/>
    </row>
    <row r="97" spans="1:13" ht="15.75">
      <c r="A97" s="833">
        <v>41275</v>
      </c>
      <c r="B97" s="728">
        <f>'KATSAYILAR '!A92</f>
        <v>41275</v>
      </c>
      <c r="C97" s="727">
        <f>'KATSAYILAR '!B92</f>
        <v>7.3837E-2</v>
      </c>
      <c r="D97" s="708">
        <v>7.3837E-2</v>
      </c>
      <c r="E97" s="671">
        <v>2134</v>
      </c>
      <c r="F97" s="709">
        <f>D97*E97</f>
        <v>157.56815800000001</v>
      </c>
      <c r="G97" s="732">
        <v>41275</v>
      </c>
      <c r="H97" s="674">
        <v>7.3837E-2</v>
      </c>
      <c r="I97" s="688">
        <v>250</v>
      </c>
      <c r="J97" s="920">
        <f t="shared" si="5"/>
        <v>18.459250000000001</v>
      </c>
      <c r="K97" s="920"/>
      <c r="L97" s="920"/>
      <c r="M97" s="920"/>
    </row>
    <row r="98" spans="1:13" ht="15.75">
      <c r="B98" s="728">
        <f>'KATSAYILAR '!A93</f>
        <v>41456</v>
      </c>
      <c r="C98" s="727">
        <f>'KATSAYILAR '!B93</f>
        <v>0</v>
      </c>
      <c r="D98" s="708">
        <f>C98</f>
        <v>0</v>
      </c>
      <c r="E98" s="815">
        <v>2134</v>
      </c>
      <c r="F98" s="709">
        <f t="shared" ref="F98:F116" si="6">D98*E98</f>
        <v>0</v>
      </c>
      <c r="G98" s="732">
        <f>C98</f>
        <v>0</v>
      </c>
      <c r="H98" s="674">
        <f>C98</f>
        <v>0</v>
      </c>
      <c r="I98" s="817">
        <v>250</v>
      </c>
      <c r="J98" s="920">
        <f t="shared" ref="J98:J116" si="7">H98*I98</f>
        <v>0</v>
      </c>
      <c r="K98" s="920"/>
      <c r="L98" s="920"/>
      <c r="M98" s="920"/>
    </row>
    <row r="99" spans="1:13" ht="15.75">
      <c r="B99" s="728">
        <f>'KATSAYILAR '!A94</f>
        <v>41640</v>
      </c>
      <c r="C99" s="727">
        <f>'KATSAYILAR '!B94</f>
        <v>0</v>
      </c>
      <c r="D99" s="708">
        <f t="shared" ref="D99:D116" si="8">C99</f>
        <v>0</v>
      </c>
      <c r="E99" s="816">
        <v>2134</v>
      </c>
      <c r="F99" s="709">
        <f t="shared" si="6"/>
        <v>0</v>
      </c>
      <c r="G99" s="732">
        <f t="shared" ref="G99:G116" si="9">C99</f>
        <v>0</v>
      </c>
      <c r="H99" s="674">
        <f t="shared" ref="H99:H116" si="10">C99</f>
        <v>0</v>
      </c>
      <c r="I99" s="815">
        <v>250</v>
      </c>
      <c r="J99" s="920">
        <f t="shared" si="7"/>
        <v>0</v>
      </c>
      <c r="K99" s="920"/>
      <c r="L99" s="920"/>
      <c r="M99" s="920"/>
    </row>
    <row r="100" spans="1:13" ht="15.75">
      <c r="B100" s="728">
        <f>'KATSAYILAR '!A95</f>
        <v>41821</v>
      </c>
      <c r="C100" s="727">
        <f>'KATSAYILAR '!B95</f>
        <v>0</v>
      </c>
      <c r="D100" s="708">
        <f t="shared" si="8"/>
        <v>0</v>
      </c>
      <c r="E100" s="817">
        <v>2134</v>
      </c>
      <c r="F100" s="709">
        <f t="shared" si="6"/>
        <v>0</v>
      </c>
      <c r="G100" s="732">
        <f t="shared" si="9"/>
        <v>0</v>
      </c>
      <c r="H100" s="674">
        <f t="shared" si="10"/>
        <v>0</v>
      </c>
      <c r="I100" s="817">
        <v>250</v>
      </c>
      <c r="J100" s="920">
        <f t="shared" si="7"/>
        <v>0</v>
      </c>
      <c r="K100" s="920"/>
      <c r="L100" s="920"/>
      <c r="M100" s="920"/>
    </row>
    <row r="101" spans="1:13" ht="15.75">
      <c r="B101" s="728">
        <f>'KATSAYILAR '!A96</f>
        <v>0</v>
      </c>
      <c r="C101" s="727">
        <f>'KATSAYILAR '!B96</f>
        <v>0</v>
      </c>
      <c r="D101" s="708">
        <f t="shared" si="8"/>
        <v>0</v>
      </c>
      <c r="E101" s="815">
        <v>2134</v>
      </c>
      <c r="F101" s="709">
        <f t="shared" si="6"/>
        <v>0</v>
      </c>
      <c r="G101" s="732">
        <f t="shared" si="9"/>
        <v>0</v>
      </c>
      <c r="H101" s="674">
        <f t="shared" si="10"/>
        <v>0</v>
      </c>
      <c r="I101" s="815">
        <v>250</v>
      </c>
      <c r="J101" s="920">
        <f t="shared" si="7"/>
        <v>0</v>
      </c>
      <c r="K101" s="920"/>
      <c r="L101" s="920"/>
      <c r="M101" s="920"/>
    </row>
    <row r="102" spans="1:13" ht="15.75">
      <c r="B102" s="728">
        <f>'KATSAYILAR '!A97</f>
        <v>0</v>
      </c>
      <c r="C102" s="727">
        <f>'KATSAYILAR '!B97</f>
        <v>0</v>
      </c>
      <c r="D102" s="708">
        <f t="shared" si="8"/>
        <v>0</v>
      </c>
      <c r="E102" s="816">
        <v>2134</v>
      </c>
      <c r="F102" s="709">
        <f t="shared" si="6"/>
        <v>0</v>
      </c>
      <c r="G102" s="732">
        <f t="shared" si="9"/>
        <v>0</v>
      </c>
      <c r="H102" s="674">
        <f t="shared" si="10"/>
        <v>0</v>
      </c>
      <c r="I102" s="817">
        <v>250</v>
      </c>
      <c r="J102" s="920">
        <f t="shared" si="7"/>
        <v>0</v>
      </c>
      <c r="K102" s="920"/>
      <c r="L102" s="920"/>
      <c r="M102" s="920"/>
    </row>
    <row r="103" spans="1:13" ht="15.75">
      <c r="B103" s="728">
        <f>'KATSAYILAR '!A98</f>
        <v>0</v>
      </c>
      <c r="C103" s="727">
        <f>'KATSAYILAR '!B98</f>
        <v>0</v>
      </c>
      <c r="D103" s="708">
        <f t="shared" si="8"/>
        <v>0</v>
      </c>
      <c r="E103" s="817">
        <v>2134</v>
      </c>
      <c r="F103" s="709">
        <f t="shared" si="6"/>
        <v>0</v>
      </c>
      <c r="G103" s="732">
        <f t="shared" si="9"/>
        <v>0</v>
      </c>
      <c r="H103" s="674">
        <f t="shared" si="10"/>
        <v>0</v>
      </c>
      <c r="I103" s="815">
        <v>250</v>
      </c>
      <c r="J103" s="920">
        <f t="shared" si="7"/>
        <v>0</v>
      </c>
      <c r="K103" s="920"/>
      <c r="L103" s="920"/>
      <c r="M103" s="920"/>
    </row>
    <row r="104" spans="1:13" ht="15.75">
      <c r="B104" s="728">
        <f>'KATSAYILAR '!A99</f>
        <v>0</v>
      </c>
      <c r="C104" s="727">
        <f>'KATSAYILAR '!B99</f>
        <v>0</v>
      </c>
      <c r="D104" s="708">
        <f t="shared" si="8"/>
        <v>0</v>
      </c>
      <c r="E104" s="815">
        <v>2134</v>
      </c>
      <c r="F104" s="709">
        <f t="shared" si="6"/>
        <v>0</v>
      </c>
      <c r="G104" s="732">
        <f t="shared" si="9"/>
        <v>0</v>
      </c>
      <c r="H104" s="674">
        <f t="shared" si="10"/>
        <v>0</v>
      </c>
      <c r="I104" s="817">
        <v>250</v>
      </c>
      <c r="J104" s="920">
        <f t="shared" si="7"/>
        <v>0</v>
      </c>
      <c r="K104" s="920"/>
      <c r="L104" s="920"/>
      <c r="M104" s="920"/>
    </row>
    <row r="105" spans="1:13" ht="15.75">
      <c r="B105" s="728">
        <f>'KATSAYILAR '!A100</f>
        <v>0</v>
      </c>
      <c r="C105" s="727">
        <f>'KATSAYILAR '!B100</f>
        <v>0</v>
      </c>
      <c r="D105" s="708">
        <f t="shared" si="8"/>
        <v>0</v>
      </c>
      <c r="E105" s="816">
        <v>2134</v>
      </c>
      <c r="F105" s="709">
        <f t="shared" si="6"/>
        <v>0</v>
      </c>
      <c r="G105" s="732">
        <f t="shared" si="9"/>
        <v>0</v>
      </c>
      <c r="H105" s="674">
        <f t="shared" si="10"/>
        <v>0</v>
      </c>
      <c r="I105" s="815">
        <v>250</v>
      </c>
      <c r="J105" s="920">
        <f t="shared" si="7"/>
        <v>0</v>
      </c>
      <c r="K105" s="920"/>
      <c r="L105" s="920"/>
      <c r="M105" s="920"/>
    </row>
    <row r="106" spans="1:13" ht="15.75">
      <c r="B106" s="728">
        <f>'KATSAYILAR '!A101</f>
        <v>0</v>
      </c>
      <c r="C106" s="727">
        <f>'KATSAYILAR '!B101</f>
        <v>0</v>
      </c>
      <c r="D106" s="708">
        <f t="shared" si="8"/>
        <v>0</v>
      </c>
      <c r="E106" s="817">
        <v>2134</v>
      </c>
      <c r="F106" s="709">
        <f t="shared" si="6"/>
        <v>0</v>
      </c>
      <c r="G106" s="732">
        <f t="shared" si="9"/>
        <v>0</v>
      </c>
      <c r="H106" s="674">
        <f t="shared" si="10"/>
        <v>0</v>
      </c>
      <c r="I106" s="817">
        <v>250</v>
      </c>
      <c r="J106" s="920">
        <f t="shared" si="7"/>
        <v>0</v>
      </c>
      <c r="K106" s="920"/>
      <c r="L106" s="920"/>
      <c r="M106" s="920"/>
    </row>
    <row r="107" spans="1:13" ht="15.75">
      <c r="B107" s="728">
        <f>'KATSAYILAR '!A102</f>
        <v>0</v>
      </c>
      <c r="C107" s="727">
        <f>'KATSAYILAR '!B102</f>
        <v>0</v>
      </c>
      <c r="D107" s="708">
        <f t="shared" si="8"/>
        <v>0</v>
      </c>
      <c r="E107" s="815">
        <v>2134</v>
      </c>
      <c r="F107" s="709">
        <f t="shared" si="6"/>
        <v>0</v>
      </c>
      <c r="G107" s="732">
        <f t="shared" si="9"/>
        <v>0</v>
      </c>
      <c r="H107" s="674">
        <f t="shared" si="10"/>
        <v>0</v>
      </c>
      <c r="I107" s="815">
        <v>250</v>
      </c>
      <c r="J107" s="920">
        <f t="shared" si="7"/>
        <v>0</v>
      </c>
      <c r="K107" s="920"/>
      <c r="L107" s="920"/>
      <c r="M107" s="920"/>
    </row>
    <row r="108" spans="1:13" ht="15.75">
      <c r="B108" s="728">
        <f>'KATSAYILAR '!A103</f>
        <v>0</v>
      </c>
      <c r="C108" s="727">
        <f>'KATSAYILAR '!B103</f>
        <v>0</v>
      </c>
      <c r="D108" s="708">
        <f t="shared" si="8"/>
        <v>0</v>
      </c>
      <c r="E108" s="816">
        <v>2134</v>
      </c>
      <c r="F108" s="709">
        <f t="shared" si="6"/>
        <v>0</v>
      </c>
      <c r="G108" s="732">
        <f t="shared" si="9"/>
        <v>0</v>
      </c>
      <c r="H108" s="674">
        <f t="shared" si="10"/>
        <v>0</v>
      </c>
      <c r="I108" s="817">
        <v>250</v>
      </c>
      <c r="J108" s="920">
        <f t="shared" si="7"/>
        <v>0</v>
      </c>
      <c r="K108" s="920"/>
      <c r="L108" s="920"/>
      <c r="M108" s="920"/>
    </row>
    <row r="109" spans="1:13" ht="15.75">
      <c r="B109" s="728">
        <f>'KATSAYILAR '!A104</f>
        <v>0</v>
      </c>
      <c r="C109" s="727">
        <f>'KATSAYILAR '!B104</f>
        <v>0</v>
      </c>
      <c r="D109" s="708">
        <f t="shared" si="8"/>
        <v>0</v>
      </c>
      <c r="E109" s="817">
        <v>2134</v>
      </c>
      <c r="F109" s="709">
        <f t="shared" si="6"/>
        <v>0</v>
      </c>
      <c r="G109" s="732">
        <f t="shared" si="9"/>
        <v>0</v>
      </c>
      <c r="H109" s="674">
        <f t="shared" si="10"/>
        <v>0</v>
      </c>
      <c r="I109" s="815">
        <v>250</v>
      </c>
      <c r="J109" s="920">
        <f t="shared" si="7"/>
        <v>0</v>
      </c>
      <c r="K109" s="920"/>
      <c r="L109" s="920"/>
      <c r="M109" s="920"/>
    </row>
    <row r="110" spans="1:13" ht="15.75">
      <c r="B110" s="728">
        <f>'KATSAYILAR '!A105</f>
        <v>0</v>
      </c>
      <c r="C110" s="727">
        <f>'KATSAYILAR '!B105</f>
        <v>0</v>
      </c>
      <c r="D110" s="708">
        <f t="shared" si="8"/>
        <v>0</v>
      </c>
      <c r="E110" s="815">
        <v>2134</v>
      </c>
      <c r="F110" s="709">
        <f t="shared" si="6"/>
        <v>0</v>
      </c>
      <c r="G110" s="732">
        <f t="shared" si="9"/>
        <v>0</v>
      </c>
      <c r="H110" s="674">
        <f t="shared" si="10"/>
        <v>0</v>
      </c>
      <c r="I110" s="817">
        <v>250</v>
      </c>
      <c r="J110" s="920">
        <f t="shared" si="7"/>
        <v>0</v>
      </c>
      <c r="K110" s="920"/>
      <c r="L110" s="920"/>
      <c r="M110" s="920"/>
    </row>
    <row r="111" spans="1:13" ht="15.75">
      <c r="B111" s="728">
        <f>'KATSAYILAR '!A106</f>
        <v>0</v>
      </c>
      <c r="C111" s="727">
        <f>'KATSAYILAR '!B106</f>
        <v>0</v>
      </c>
      <c r="D111" s="708">
        <f t="shared" si="8"/>
        <v>0</v>
      </c>
      <c r="E111" s="816">
        <v>2134</v>
      </c>
      <c r="F111" s="709">
        <f t="shared" si="6"/>
        <v>0</v>
      </c>
      <c r="G111" s="732">
        <f t="shared" si="9"/>
        <v>0</v>
      </c>
      <c r="H111" s="674">
        <f t="shared" si="10"/>
        <v>0</v>
      </c>
      <c r="I111" s="815">
        <v>250</v>
      </c>
      <c r="J111" s="920">
        <f t="shared" si="7"/>
        <v>0</v>
      </c>
      <c r="K111" s="920"/>
      <c r="L111" s="920"/>
      <c r="M111" s="920"/>
    </row>
    <row r="112" spans="1:13" ht="15.75">
      <c r="B112" s="728">
        <f>'KATSAYILAR '!A107</f>
        <v>0</v>
      </c>
      <c r="C112" s="727">
        <f>'KATSAYILAR '!B107</f>
        <v>0</v>
      </c>
      <c r="D112" s="708">
        <f t="shared" si="8"/>
        <v>0</v>
      </c>
      <c r="E112" s="817">
        <v>2134</v>
      </c>
      <c r="F112" s="709">
        <f t="shared" si="6"/>
        <v>0</v>
      </c>
      <c r="G112" s="732">
        <f t="shared" si="9"/>
        <v>0</v>
      </c>
      <c r="H112" s="674">
        <f t="shared" si="10"/>
        <v>0</v>
      </c>
      <c r="I112" s="817">
        <v>250</v>
      </c>
      <c r="J112" s="920">
        <f t="shared" si="7"/>
        <v>0</v>
      </c>
      <c r="K112" s="920"/>
      <c r="L112" s="920"/>
      <c r="M112" s="920"/>
    </row>
    <row r="113" spans="2:13" ht="15.75">
      <c r="B113" s="728">
        <f>'KATSAYILAR '!A108</f>
        <v>0</v>
      </c>
      <c r="C113" s="727">
        <f>'KATSAYILAR '!B108</f>
        <v>0</v>
      </c>
      <c r="D113" s="708">
        <f t="shared" si="8"/>
        <v>0</v>
      </c>
      <c r="E113" s="815">
        <v>2134</v>
      </c>
      <c r="F113" s="709">
        <f t="shared" si="6"/>
        <v>0</v>
      </c>
      <c r="G113" s="732">
        <f t="shared" si="9"/>
        <v>0</v>
      </c>
      <c r="H113" s="674">
        <f t="shared" si="10"/>
        <v>0</v>
      </c>
      <c r="I113" s="815">
        <v>250</v>
      </c>
      <c r="J113" s="920">
        <f t="shared" si="7"/>
        <v>0</v>
      </c>
      <c r="K113" s="920"/>
      <c r="L113" s="920"/>
      <c r="M113" s="920"/>
    </row>
    <row r="114" spans="2:13" ht="15.75">
      <c r="B114" s="728">
        <f>'KATSAYILAR '!A109</f>
        <v>0</v>
      </c>
      <c r="C114" s="727">
        <f>'KATSAYILAR '!B109</f>
        <v>0</v>
      </c>
      <c r="D114" s="708">
        <f t="shared" si="8"/>
        <v>0</v>
      </c>
      <c r="E114" s="816">
        <v>2134</v>
      </c>
      <c r="F114" s="709">
        <f t="shared" si="6"/>
        <v>0</v>
      </c>
      <c r="G114" s="732">
        <f t="shared" si="9"/>
        <v>0</v>
      </c>
      <c r="H114" s="674">
        <f t="shared" si="10"/>
        <v>0</v>
      </c>
      <c r="I114" s="817">
        <v>250</v>
      </c>
      <c r="J114" s="920">
        <f t="shared" si="7"/>
        <v>0</v>
      </c>
      <c r="K114" s="920"/>
      <c r="L114" s="920"/>
      <c r="M114" s="920"/>
    </row>
    <row r="115" spans="2:13" ht="15.75">
      <c r="B115" s="728">
        <f>'KATSAYILAR '!A110</f>
        <v>0</v>
      </c>
      <c r="C115" s="727">
        <f>'KATSAYILAR '!B110</f>
        <v>0</v>
      </c>
      <c r="D115" s="708">
        <f t="shared" si="8"/>
        <v>0</v>
      </c>
      <c r="E115" s="817">
        <v>2134</v>
      </c>
      <c r="F115" s="709">
        <f t="shared" si="6"/>
        <v>0</v>
      </c>
      <c r="G115" s="732">
        <f t="shared" si="9"/>
        <v>0</v>
      </c>
      <c r="H115" s="674">
        <f t="shared" si="10"/>
        <v>0</v>
      </c>
      <c r="I115" s="815">
        <v>250</v>
      </c>
      <c r="J115" s="920">
        <f t="shared" si="7"/>
        <v>0</v>
      </c>
      <c r="K115" s="920"/>
      <c r="L115" s="920"/>
      <c r="M115" s="920"/>
    </row>
    <row r="116" spans="2:13" ht="15.75">
      <c r="B116" s="728">
        <f>'KATSAYILAR '!A111</f>
        <v>0</v>
      </c>
      <c r="C116" s="727">
        <f>'KATSAYILAR '!B111</f>
        <v>0</v>
      </c>
      <c r="D116" s="708">
        <f t="shared" si="8"/>
        <v>0</v>
      </c>
      <c r="E116" s="815">
        <v>2134</v>
      </c>
      <c r="F116" s="709">
        <f t="shared" si="6"/>
        <v>0</v>
      </c>
      <c r="G116" s="732">
        <f t="shared" si="9"/>
        <v>0</v>
      </c>
      <c r="H116" s="674">
        <f t="shared" si="10"/>
        <v>0</v>
      </c>
      <c r="I116" s="817">
        <v>250</v>
      </c>
      <c r="J116" s="920">
        <f t="shared" si="7"/>
        <v>0</v>
      </c>
      <c r="K116" s="920"/>
      <c r="L116" s="920"/>
      <c r="M116" s="920"/>
    </row>
  </sheetData>
  <sheetProtection password="C7EB" sheet="1" objects="1" scenarios="1"/>
  <mergeCells count="103">
    <mergeCell ref="A1:F1"/>
    <mergeCell ref="A2:F2"/>
    <mergeCell ref="G1:M1"/>
    <mergeCell ref="G2:M2"/>
    <mergeCell ref="J3:M3"/>
    <mergeCell ref="J20:M20"/>
    <mergeCell ref="J27:M27"/>
    <mergeCell ref="J28:M28"/>
    <mergeCell ref="J29:M29"/>
    <mergeCell ref="J30:M30"/>
    <mergeCell ref="J31:M31"/>
    <mergeCell ref="J32:M32"/>
    <mergeCell ref="J21:M21"/>
    <mergeCell ref="J22:M22"/>
    <mergeCell ref="J23:M23"/>
    <mergeCell ref="J24:M24"/>
    <mergeCell ref="J25:M25"/>
    <mergeCell ref="J26:M26"/>
    <mergeCell ref="J40:M40"/>
    <mergeCell ref="J41:M41"/>
    <mergeCell ref="J42:M42"/>
    <mergeCell ref="J43:M43"/>
    <mergeCell ref="J46:M46"/>
    <mergeCell ref="J47:M47"/>
    <mergeCell ref="J33:M33"/>
    <mergeCell ref="J34:M34"/>
    <mergeCell ref="J35:M35"/>
    <mergeCell ref="J37:M37"/>
    <mergeCell ref="J38:M38"/>
    <mergeCell ref="J39:M39"/>
    <mergeCell ref="J54:M54"/>
    <mergeCell ref="J55:M55"/>
    <mergeCell ref="J56:M56"/>
    <mergeCell ref="J57:M57"/>
    <mergeCell ref="J58:M58"/>
    <mergeCell ref="J59:M59"/>
    <mergeCell ref="J48:M48"/>
    <mergeCell ref="J49:M49"/>
    <mergeCell ref="J50:M50"/>
    <mergeCell ref="J51:M51"/>
    <mergeCell ref="J52:M52"/>
    <mergeCell ref="J53:M53"/>
    <mergeCell ref="J66:M66"/>
    <mergeCell ref="J67:M67"/>
    <mergeCell ref="J68:M68"/>
    <mergeCell ref="J69:M69"/>
    <mergeCell ref="J70:M70"/>
    <mergeCell ref="J71:M71"/>
    <mergeCell ref="J60:M60"/>
    <mergeCell ref="J61:M61"/>
    <mergeCell ref="J62:M62"/>
    <mergeCell ref="J63:M63"/>
    <mergeCell ref="J64:M64"/>
    <mergeCell ref="J65:M65"/>
    <mergeCell ref="J89:M89"/>
    <mergeCell ref="J90:M90"/>
    <mergeCell ref="J78:M78"/>
    <mergeCell ref="J79:M79"/>
    <mergeCell ref="J80:M80"/>
    <mergeCell ref="J83:M83"/>
    <mergeCell ref="J84:M84"/>
    <mergeCell ref="J72:M72"/>
    <mergeCell ref="J73:M73"/>
    <mergeCell ref="J74:M74"/>
    <mergeCell ref="J75:M75"/>
    <mergeCell ref="J76:M76"/>
    <mergeCell ref="J77:M77"/>
    <mergeCell ref="J99:M99"/>
    <mergeCell ref="J100:M100"/>
    <mergeCell ref="J101:M101"/>
    <mergeCell ref="J102:M102"/>
    <mergeCell ref="J103:M103"/>
    <mergeCell ref="J104:M104"/>
    <mergeCell ref="J97:M97"/>
    <mergeCell ref="C81:C82"/>
    <mergeCell ref="B81:B82"/>
    <mergeCell ref="G81:G82"/>
    <mergeCell ref="H81:H82"/>
    <mergeCell ref="I81:I82"/>
    <mergeCell ref="J81:M82"/>
    <mergeCell ref="J98:M98"/>
    <mergeCell ref="J91:M91"/>
    <mergeCell ref="J92:M92"/>
    <mergeCell ref="J93:M93"/>
    <mergeCell ref="J94:M94"/>
    <mergeCell ref="J95:M95"/>
    <mergeCell ref="J96:M96"/>
    <mergeCell ref="J85:M85"/>
    <mergeCell ref="J86:M86"/>
    <mergeCell ref="J87:M87"/>
    <mergeCell ref="J88:M88"/>
    <mergeCell ref="J111:M111"/>
    <mergeCell ref="J112:M112"/>
    <mergeCell ref="J113:M113"/>
    <mergeCell ref="J114:M114"/>
    <mergeCell ref="J115:M115"/>
    <mergeCell ref="J116:M116"/>
    <mergeCell ref="J105:M105"/>
    <mergeCell ref="J106:M106"/>
    <mergeCell ref="J107:M107"/>
    <mergeCell ref="J108:M108"/>
    <mergeCell ref="J109:M109"/>
    <mergeCell ref="J110:M1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6"/>
  <sheetViews>
    <sheetView zoomScaleNormal="100" workbookViewId="0">
      <selection activeCell="B5" sqref="B5"/>
    </sheetView>
  </sheetViews>
  <sheetFormatPr defaultRowHeight="20.25" customHeight="1"/>
  <cols>
    <col min="1" max="1" width="68.85546875" customWidth="1"/>
    <col min="2" max="2" width="14.42578125" style="21" customWidth="1"/>
  </cols>
  <sheetData>
    <row r="1" spans="1:2" s="657" customFormat="1" ht="20.25" customHeight="1">
      <c r="A1" s="949" t="s">
        <v>247</v>
      </c>
      <c r="B1" s="950"/>
    </row>
    <row r="2" spans="1:2" s="657" customFormat="1" ht="20.25" customHeight="1">
      <c r="A2" s="951" t="s">
        <v>4816</v>
      </c>
      <c r="B2" s="952"/>
    </row>
    <row r="3" spans="1:2" s="657" customFormat="1" ht="20.25" customHeight="1">
      <c r="A3" s="13" t="s">
        <v>249</v>
      </c>
      <c r="B3" s="17"/>
    </row>
    <row r="4" spans="1:2" s="657" customFormat="1" ht="20.25" customHeight="1">
      <c r="A4" s="15" t="s">
        <v>250</v>
      </c>
      <c r="B4" s="18">
        <v>800</v>
      </c>
    </row>
    <row r="5" spans="1:2" s="657" customFormat="1" ht="20.25" customHeight="1">
      <c r="A5" s="15" t="s">
        <v>251</v>
      </c>
      <c r="B5" s="18">
        <v>400</v>
      </c>
    </row>
    <row r="6" spans="1:2" s="657" customFormat="1" ht="20.25" customHeight="1" thickBot="1">
      <c r="A6" s="16" t="s">
        <v>252</v>
      </c>
      <c r="B6" s="19">
        <v>190</v>
      </c>
    </row>
    <row r="7" spans="1:2" s="657" customFormat="1" ht="20.25" customHeight="1" thickBot="1">
      <c r="A7" s="645"/>
      <c r="B7" s="646"/>
    </row>
    <row r="8" spans="1:2" ht="20.25" customHeight="1">
      <c r="A8" s="949" t="s">
        <v>247</v>
      </c>
      <c r="B8" s="950"/>
    </row>
    <row r="9" spans="1:2" ht="20.25" customHeight="1">
      <c r="A9" s="951" t="s">
        <v>4813</v>
      </c>
      <c r="B9" s="952"/>
    </row>
    <row r="10" spans="1:2" ht="20.25" customHeight="1">
      <c r="A10" s="13" t="s">
        <v>249</v>
      </c>
      <c r="B10" s="17"/>
    </row>
    <row r="11" spans="1:2" ht="20.25" customHeight="1">
      <c r="A11" s="15" t="s">
        <v>250</v>
      </c>
      <c r="B11" s="18">
        <v>770</v>
      </c>
    </row>
    <row r="12" spans="1:2" ht="20.25" customHeight="1">
      <c r="A12" s="15" t="s">
        <v>251</v>
      </c>
      <c r="B12" s="18">
        <v>380</v>
      </c>
    </row>
    <row r="13" spans="1:2" ht="20.25" customHeight="1" thickBot="1">
      <c r="A13" s="16" t="s">
        <v>252</v>
      </c>
      <c r="B13" s="19">
        <v>180</v>
      </c>
    </row>
    <row r="14" spans="1:2" ht="20.25" customHeight="1" thickBot="1">
      <c r="A14" s="645"/>
      <c r="B14" s="646"/>
    </row>
    <row r="15" spans="1:2" ht="20.25" customHeight="1">
      <c r="A15" s="949" t="s">
        <v>247</v>
      </c>
      <c r="B15" s="950"/>
    </row>
    <row r="16" spans="1:2" ht="20.25" customHeight="1">
      <c r="A16" s="951" t="s">
        <v>248</v>
      </c>
      <c r="B16" s="952"/>
    </row>
    <row r="17" spans="1:2" ht="20.25" customHeight="1">
      <c r="A17" s="13" t="s">
        <v>249</v>
      </c>
      <c r="B17" s="17"/>
    </row>
    <row r="18" spans="1:2" ht="20.25" customHeight="1">
      <c r="A18" s="15" t="s">
        <v>250</v>
      </c>
      <c r="B18" s="18">
        <v>700</v>
      </c>
    </row>
    <row r="19" spans="1:2" ht="20.25" customHeight="1">
      <c r="A19" s="15" t="s">
        <v>251</v>
      </c>
      <c r="B19" s="18">
        <v>350</v>
      </c>
    </row>
    <row r="20" spans="1:2" ht="20.25" customHeight="1" thickBot="1">
      <c r="A20" s="16" t="s">
        <v>252</v>
      </c>
      <c r="B20" s="19">
        <v>170</v>
      </c>
    </row>
    <row r="21" spans="1:2" ht="20.25" customHeight="1" thickBot="1">
      <c r="A21" s="14"/>
      <c r="B21" s="20"/>
    </row>
    <row r="22" spans="1:2" ht="20.25" customHeight="1">
      <c r="A22" s="945" t="s">
        <v>247</v>
      </c>
      <c r="B22" s="946"/>
    </row>
    <row r="23" spans="1:2" ht="20.25" customHeight="1">
      <c r="A23" s="947" t="s">
        <v>253</v>
      </c>
      <c r="B23" s="948"/>
    </row>
    <row r="24" spans="1:2" ht="20.25" customHeight="1">
      <c r="A24" s="13" t="s">
        <v>249</v>
      </c>
      <c r="B24" s="17"/>
    </row>
    <row r="25" spans="1:2" ht="20.25" customHeight="1">
      <c r="A25" s="15" t="s">
        <v>250</v>
      </c>
      <c r="B25" s="18">
        <v>680</v>
      </c>
    </row>
    <row r="26" spans="1:2" ht="20.25" customHeight="1">
      <c r="A26" s="15" t="s">
        <v>251</v>
      </c>
      <c r="B26" s="18">
        <v>330</v>
      </c>
    </row>
    <row r="27" spans="1:2" ht="20.25" customHeight="1" thickBot="1">
      <c r="A27" s="16" t="s">
        <v>252</v>
      </c>
      <c r="B27" s="19">
        <v>160</v>
      </c>
    </row>
    <row r="28" spans="1:2" ht="20.25" customHeight="1" thickBot="1">
      <c r="A28" s="14"/>
      <c r="B28" s="20"/>
    </row>
    <row r="29" spans="1:2" ht="20.25" customHeight="1">
      <c r="A29" s="945" t="s">
        <v>254</v>
      </c>
      <c r="B29" s="946"/>
    </row>
    <row r="30" spans="1:2" ht="20.25" customHeight="1">
      <c r="A30" s="947" t="s">
        <v>255</v>
      </c>
      <c r="B30" s="948"/>
    </row>
    <row r="31" spans="1:2" ht="20.25" customHeight="1">
      <c r="A31" s="13" t="s">
        <v>249</v>
      </c>
      <c r="B31" s="17"/>
    </row>
    <row r="32" spans="1:2" ht="20.25" customHeight="1">
      <c r="A32" s="15" t="s">
        <v>250</v>
      </c>
      <c r="B32" s="18">
        <v>670</v>
      </c>
    </row>
    <row r="33" spans="1:2" ht="20.25" customHeight="1">
      <c r="A33" s="15" t="s">
        <v>251</v>
      </c>
      <c r="B33" s="18">
        <v>330</v>
      </c>
    </row>
    <row r="34" spans="1:2" ht="20.25" customHeight="1" thickBot="1">
      <c r="A34" s="16" t="s">
        <v>252</v>
      </c>
      <c r="B34" s="19">
        <v>160</v>
      </c>
    </row>
    <row r="35" spans="1:2" ht="20.25" customHeight="1" thickBot="1">
      <c r="A35" s="14"/>
      <c r="B35" s="20"/>
    </row>
    <row r="36" spans="1:2" ht="20.25" customHeight="1">
      <c r="A36" s="945" t="s">
        <v>254</v>
      </c>
      <c r="B36" s="946"/>
    </row>
    <row r="37" spans="1:2" ht="20.25" customHeight="1">
      <c r="A37" s="947" t="s">
        <v>256</v>
      </c>
      <c r="B37" s="948"/>
    </row>
    <row r="38" spans="1:2" ht="20.25" customHeight="1">
      <c r="A38" s="13" t="s">
        <v>249</v>
      </c>
      <c r="B38" s="17"/>
    </row>
    <row r="39" spans="1:2" ht="20.25" customHeight="1">
      <c r="A39" s="15" t="s">
        <v>250</v>
      </c>
      <c r="B39" s="18" t="s">
        <v>257</v>
      </c>
    </row>
    <row r="40" spans="1:2" ht="20.25" customHeight="1">
      <c r="A40" s="15" t="s">
        <v>251</v>
      </c>
      <c r="B40" s="18" t="s">
        <v>258</v>
      </c>
    </row>
    <row r="41" spans="1:2" ht="20.25" customHeight="1" thickBot="1">
      <c r="A41" s="16" t="s">
        <v>252</v>
      </c>
      <c r="B41" s="19" t="s">
        <v>259</v>
      </c>
    </row>
    <row r="42" spans="1:2" ht="20.25" customHeight="1" thickBot="1">
      <c r="A42" s="14"/>
      <c r="B42" s="20"/>
    </row>
    <row r="43" spans="1:2" ht="20.25" customHeight="1">
      <c r="A43" s="945" t="s">
        <v>254</v>
      </c>
      <c r="B43" s="946"/>
    </row>
    <row r="44" spans="1:2" ht="20.25" customHeight="1">
      <c r="A44" s="947" t="s">
        <v>260</v>
      </c>
      <c r="B44" s="948"/>
    </row>
    <row r="45" spans="1:2" ht="20.25" customHeight="1">
      <c r="A45" s="13" t="s">
        <v>249</v>
      </c>
      <c r="B45" s="17"/>
    </row>
    <row r="46" spans="1:2" ht="20.25" customHeight="1">
      <c r="A46" s="15" t="s">
        <v>250</v>
      </c>
      <c r="B46" s="18" t="s">
        <v>261</v>
      </c>
    </row>
    <row r="47" spans="1:2" ht="20.25" customHeight="1">
      <c r="A47" s="15" t="s">
        <v>251</v>
      </c>
      <c r="B47" s="18" t="s">
        <v>262</v>
      </c>
    </row>
    <row r="48" spans="1:2" ht="20.25" customHeight="1" thickBot="1">
      <c r="A48" s="16" t="s">
        <v>252</v>
      </c>
      <c r="B48" s="19" t="s">
        <v>263</v>
      </c>
    </row>
    <row r="49" spans="1:2" ht="20.25" customHeight="1" thickBot="1">
      <c r="A49" s="14"/>
      <c r="B49" s="20"/>
    </row>
    <row r="50" spans="1:2" ht="20.25" customHeight="1">
      <c r="A50" s="945" t="s">
        <v>254</v>
      </c>
      <c r="B50" s="946"/>
    </row>
    <row r="51" spans="1:2" ht="20.25" customHeight="1">
      <c r="A51" s="947" t="s">
        <v>264</v>
      </c>
      <c r="B51" s="948"/>
    </row>
    <row r="52" spans="1:2" ht="20.25" customHeight="1">
      <c r="A52" s="13" t="s">
        <v>249</v>
      </c>
      <c r="B52" s="17"/>
    </row>
    <row r="53" spans="1:2" ht="20.25" customHeight="1">
      <c r="A53" s="15" t="s">
        <v>250</v>
      </c>
      <c r="B53" s="18" t="s">
        <v>265</v>
      </c>
    </row>
    <row r="54" spans="1:2" ht="20.25" customHeight="1">
      <c r="A54" s="15" t="s">
        <v>251</v>
      </c>
      <c r="B54" s="18" t="s">
        <v>266</v>
      </c>
    </row>
    <row r="55" spans="1:2" ht="20.25" customHeight="1" thickBot="1">
      <c r="A55" s="16" t="s">
        <v>252</v>
      </c>
      <c r="B55" s="19" t="s">
        <v>267</v>
      </c>
    </row>
    <row r="56" spans="1:2" ht="20.25" customHeight="1" thickBot="1">
      <c r="A56" s="14"/>
      <c r="B56" s="20"/>
    </row>
    <row r="57" spans="1:2" ht="20.25" customHeight="1">
      <c r="A57" s="945" t="s">
        <v>254</v>
      </c>
      <c r="B57" s="946"/>
    </row>
    <row r="58" spans="1:2" ht="20.25" customHeight="1">
      <c r="A58" s="947" t="s">
        <v>268</v>
      </c>
      <c r="B58" s="948"/>
    </row>
    <row r="59" spans="1:2" ht="20.25" customHeight="1">
      <c r="A59" s="13" t="s">
        <v>249</v>
      </c>
      <c r="B59" s="17"/>
    </row>
    <row r="60" spans="1:2" ht="20.25" customHeight="1">
      <c r="A60" s="15" t="s">
        <v>250</v>
      </c>
      <c r="B60" s="18" t="s">
        <v>269</v>
      </c>
    </row>
    <row r="61" spans="1:2" ht="20.25" customHeight="1">
      <c r="A61" s="15" t="s">
        <v>251</v>
      </c>
      <c r="B61" s="18" t="s">
        <v>270</v>
      </c>
    </row>
    <row r="62" spans="1:2" ht="20.25" customHeight="1" thickBot="1">
      <c r="A62" s="16" t="s">
        <v>252</v>
      </c>
      <c r="B62" s="19" t="s">
        <v>271</v>
      </c>
    </row>
    <row r="63" spans="1:2" ht="20.25" customHeight="1" thickBot="1">
      <c r="A63" s="14"/>
      <c r="B63" s="20"/>
    </row>
    <row r="64" spans="1:2" ht="20.25" customHeight="1">
      <c r="A64" s="945" t="s">
        <v>254</v>
      </c>
      <c r="B64" s="946"/>
    </row>
    <row r="65" spans="1:2" ht="20.25" customHeight="1">
      <c r="A65" s="947" t="s">
        <v>272</v>
      </c>
      <c r="B65" s="948"/>
    </row>
    <row r="66" spans="1:2" ht="20.25" customHeight="1">
      <c r="A66" s="13" t="s">
        <v>249</v>
      </c>
      <c r="B66" s="17"/>
    </row>
    <row r="67" spans="1:2" ht="20.25" customHeight="1">
      <c r="A67" s="15" t="s">
        <v>250</v>
      </c>
      <c r="B67" s="18">
        <v>440000000</v>
      </c>
    </row>
    <row r="68" spans="1:2" ht="20.25" customHeight="1">
      <c r="A68" s="15" t="s">
        <v>251</v>
      </c>
      <c r="B68" s="18">
        <v>220000000</v>
      </c>
    </row>
    <row r="69" spans="1:2" ht="20.25" customHeight="1" thickBot="1">
      <c r="A69" s="16" t="s">
        <v>252</v>
      </c>
      <c r="B69" s="19">
        <v>110000000</v>
      </c>
    </row>
    <row r="70" spans="1:2" ht="20.25" customHeight="1" thickBot="1">
      <c r="A70" s="14"/>
      <c r="B70" s="20"/>
    </row>
    <row r="71" spans="1:2" ht="20.25" customHeight="1">
      <c r="A71" s="945" t="s">
        <v>254</v>
      </c>
      <c r="B71" s="946"/>
    </row>
    <row r="72" spans="1:2" ht="20.25" customHeight="1">
      <c r="A72" s="947" t="s">
        <v>273</v>
      </c>
      <c r="B72" s="948"/>
    </row>
    <row r="73" spans="1:2" ht="20.25" customHeight="1">
      <c r="A73" s="13" t="s">
        <v>249</v>
      </c>
      <c r="B73" s="17"/>
    </row>
    <row r="74" spans="1:2" ht="20.25" customHeight="1">
      <c r="A74" s="15" t="s">
        <v>250</v>
      </c>
      <c r="B74" s="18">
        <v>360000000</v>
      </c>
    </row>
    <row r="75" spans="1:2" ht="20.25" customHeight="1">
      <c r="A75" s="15" t="s">
        <v>251</v>
      </c>
      <c r="B75" s="18">
        <v>180000000</v>
      </c>
    </row>
    <row r="76" spans="1:2" ht="20.25" customHeight="1" thickBot="1">
      <c r="A76" s="16" t="s">
        <v>252</v>
      </c>
      <c r="B76" s="19">
        <v>90000000</v>
      </c>
    </row>
  </sheetData>
  <mergeCells count="22">
    <mergeCell ref="A1:B1"/>
    <mergeCell ref="A2:B2"/>
    <mergeCell ref="A44:B44"/>
    <mergeCell ref="A8:B8"/>
    <mergeCell ref="A9:B9"/>
    <mergeCell ref="A15:B15"/>
    <mergeCell ref="A16:B16"/>
    <mergeCell ref="A22:B22"/>
    <mergeCell ref="A23:B23"/>
    <mergeCell ref="A29:B29"/>
    <mergeCell ref="A30:B30"/>
    <mergeCell ref="A36:B36"/>
    <mergeCell ref="A37:B37"/>
    <mergeCell ref="A43:B43"/>
    <mergeCell ref="A50:B50"/>
    <mergeCell ref="A51:B51"/>
    <mergeCell ref="A71:B71"/>
    <mergeCell ref="A72:B72"/>
    <mergeCell ref="A57:B57"/>
    <mergeCell ref="A58:B58"/>
    <mergeCell ref="A64:B64"/>
    <mergeCell ref="A65:B65"/>
  </mergeCells>
  <phoneticPr fontId="0" type="noConversion"/>
  <pageMargins left="0.75" right="0.75" top="1" bottom="1" header="0.5" footer="0.5"/>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6"/>
  <sheetViews>
    <sheetView workbookViewId="0">
      <selection sqref="A1:XFD1"/>
    </sheetView>
  </sheetViews>
  <sheetFormatPr defaultRowHeight="12.75"/>
  <cols>
    <col min="1" max="1" width="18.5703125" style="31" customWidth="1"/>
    <col min="2" max="2" width="11.140625" customWidth="1"/>
    <col min="3" max="3" width="14.85546875" style="21" bestFit="1" customWidth="1"/>
    <col min="4" max="4" width="10.85546875" customWidth="1"/>
    <col min="5" max="5" width="13.7109375" style="21" customWidth="1"/>
    <col min="6" max="6" width="12.7109375" customWidth="1"/>
    <col min="7" max="7" width="6.5703125" style="27" customWidth="1"/>
  </cols>
  <sheetData>
    <row r="1" spans="1:10" s="657" customFormat="1" ht="14.25">
      <c r="A1" s="953" t="s">
        <v>4817</v>
      </c>
      <c r="B1" s="954"/>
      <c r="C1" s="954"/>
      <c r="D1" s="954"/>
      <c r="E1" s="954"/>
      <c r="F1" s="954"/>
      <c r="G1" s="955"/>
    </row>
    <row r="2" spans="1:10" s="657" customFormat="1" ht="15">
      <c r="A2" s="643">
        <v>10700</v>
      </c>
      <c r="B2" s="956" t="s">
        <v>276</v>
      </c>
      <c r="C2" s="956"/>
      <c r="D2" s="956"/>
      <c r="E2" s="956"/>
      <c r="F2" s="956"/>
      <c r="G2" s="641">
        <v>0.15</v>
      </c>
    </row>
    <row r="3" spans="1:10" s="657" customFormat="1" ht="15">
      <c r="A3" s="643">
        <v>26000</v>
      </c>
      <c r="B3" s="656" t="s">
        <v>277</v>
      </c>
      <c r="C3" s="642">
        <v>10700</v>
      </c>
      <c r="D3" s="656" t="s">
        <v>278</v>
      </c>
      <c r="E3" s="658">
        <f>C3*G2</f>
        <v>1605</v>
      </c>
      <c r="F3" s="656" t="s">
        <v>279</v>
      </c>
      <c r="G3" s="641">
        <v>0.2</v>
      </c>
    </row>
    <row r="4" spans="1:10" s="657" customFormat="1" ht="15">
      <c r="A4" s="643">
        <v>94000</v>
      </c>
      <c r="B4" s="656" t="s">
        <v>277</v>
      </c>
      <c r="C4" s="642">
        <v>26000</v>
      </c>
      <c r="D4" s="656" t="s">
        <v>278</v>
      </c>
      <c r="E4" s="658">
        <f>((C4-C3)*G3)+E3</f>
        <v>4665</v>
      </c>
      <c r="F4" s="656" t="s">
        <v>279</v>
      </c>
      <c r="G4" s="641">
        <v>0.27</v>
      </c>
    </row>
    <row r="5" spans="1:10" s="657" customFormat="1" ht="30.75" thickBot="1">
      <c r="A5" s="643">
        <v>94000</v>
      </c>
      <c r="B5" s="656" t="s">
        <v>280</v>
      </c>
      <c r="C5" s="642">
        <v>94000</v>
      </c>
      <c r="D5" s="656" t="s">
        <v>278</v>
      </c>
      <c r="E5" s="658">
        <f>((C5-C4)*G4)+E4</f>
        <v>23025</v>
      </c>
      <c r="F5" s="656" t="s">
        <v>279</v>
      </c>
      <c r="G5" s="641">
        <v>0.35</v>
      </c>
    </row>
    <row r="6" spans="1:10" s="657" customFormat="1" ht="15.75" thickBot="1">
      <c r="A6" s="957"/>
      <c r="B6" s="958"/>
      <c r="C6" s="958"/>
      <c r="D6" s="958"/>
      <c r="E6" s="958"/>
      <c r="F6" s="958"/>
      <c r="G6" s="959"/>
    </row>
    <row r="7" spans="1:10" ht="14.25" customHeight="1">
      <c r="A7" s="953" t="s">
        <v>4768</v>
      </c>
      <c r="B7" s="954"/>
      <c r="C7" s="954"/>
      <c r="D7" s="954"/>
      <c r="E7" s="954"/>
      <c r="F7" s="954"/>
      <c r="G7" s="955"/>
    </row>
    <row r="8" spans="1:10" ht="15" customHeight="1">
      <c r="A8" s="643">
        <v>10000</v>
      </c>
      <c r="B8" s="956" t="s">
        <v>276</v>
      </c>
      <c r="C8" s="956"/>
      <c r="D8" s="956"/>
      <c r="E8" s="956"/>
      <c r="F8" s="956"/>
      <c r="G8" s="641">
        <v>0.15</v>
      </c>
    </row>
    <row r="9" spans="1:10" ht="15">
      <c r="A9" s="643">
        <v>25000</v>
      </c>
      <c r="B9" s="23" t="s">
        <v>277</v>
      </c>
      <c r="C9" s="642">
        <v>10000</v>
      </c>
      <c r="D9" s="23" t="s">
        <v>278</v>
      </c>
      <c r="E9" s="32">
        <f>C9*G8</f>
        <v>1500</v>
      </c>
      <c r="F9" s="23" t="s">
        <v>279</v>
      </c>
      <c r="G9" s="641">
        <v>0.2</v>
      </c>
    </row>
    <row r="10" spans="1:10" ht="15">
      <c r="A10" s="643">
        <v>88000</v>
      </c>
      <c r="B10" s="23" t="s">
        <v>277</v>
      </c>
      <c r="C10" s="642">
        <v>25000</v>
      </c>
      <c r="D10" s="23" t="s">
        <v>278</v>
      </c>
      <c r="E10" s="32">
        <f>((C10-C9)*G9)+E9</f>
        <v>4500</v>
      </c>
      <c r="F10" s="23" t="s">
        <v>279</v>
      </c>
      <c r="G10" s="641">
        <v>0.27</v>
      </c>
    </row>
    <row r="11" spans="1:10" ht="30.75" thickBot="1">
      <c r="A11" s="643">
        <v>88000</v>
      </c>
      <c r="B11" s="23" t="s">
        <v>280</v>
      </c>
      <c r="C11" s="642">
        <v>88000</v>
      </c>
      <c r="D11" s="23" t="s">
        <v>278</v>
      </c>
      <c r="E11" s="32">
        <f>((C11-C10)*G10)+E10</f>
        <v>21510</v>
      </c>
      <c r="F11" s="23" t="s">
        <v>279</v>
      </c>
      <c r="G11" s="641">
        <v>0.35</v>
      </c>
    </row>
    <row r="12" spans="1:10" ht="15.75" thickBot="1">
      <c r="A12" s="957">
        <v>0</v>
      </c>
      <c r="B12" s="958"/>
      <c r="C12" s="958"/>
      <c r="D12" s="958"/>
      <c r="E12" s="958"/>
      <c r="F12" s="958"/>
      <c r="G12" s="959"/>
    </row>
    <row r="13" spans="1:10" ht="11.25" customHeight="1" thickBot="1">
      <c r="A13" s="29"/>
      <c r="B13" s="14"/>
      <c r="C13" s="20"/>
      <c r="D13" s="14"/>
      <c r="E13" s="20"/>
      <c r="F13" s="14"/>
      <c r="G13" s="25"/>
    </row>
    <row r="14" spans="1:10" ht="14.25" customHeight="1">
      <c r="A14" s="953" t="s">
        <v>275</v>
      </c>
      <c r="B14" s="954"/>
      <c r="C14" s="954"/>
      <c r="D14" s="954"/>
      <c r="E14" s="954"/>
      <c r="F14" s="954"/>
      <c r="G14" s="955"/>
    </row>
    <row r="15" spans="1:10" ht="15" customHeight="1">
      <c r="A15" s="34">
        <v>9400</v>
      </c>
      <c r="B15" s="956" t="s">
        <v>276</v>
      </c>
      <c r="C15" s="956"/>
      <c r="D15" s="956"/>
      <c r="E15" s="956"/>
      <c r="F15" s="956"/>
      <c r="G15" s="24">
        <v>0.15</v>
      </c>
    </row>
    <row r="16" spans="1:10" ht="15">
      <c r="A16" s="34">
        <v>23000</v>
      </c>
      <c r="B16" s="23" t="s">
        <v>277</v>
      </c>
      <c r="C16" s="32">
        <v>9400</v>
      </c>
      <c r="D16" s="23" t="s">
        <v>278</v>
      </c>
      <c r="E16" s="32">
        <f>C16*G15</f>
        <v>1410</v>
      </c>
      <c r="F16" s="23" t="s">
        <v>279</v>
      </c>
      <c r="G16" s="24">
        <v>0.2</v>
      </c>
      <c r="J16" s="644" t="s">
        <v>4769</v>
      </c>
    </row>
    <row r="17" spans="1:7" ht="15">
      <c r="A17" s="34">
        <v>80000</v>
      </c>
      <c r="B17" s="23" t="s">
        <v>277</v>
      </c>
      <c r="C17" s="32">
        <v>23000</v>
      </c>
      <c r="D17" s="23" t="s">
        <v>278</v>
      </c>
      <c r="E17" s="32">
        <f>((C17-C16)*G16)+E16</f>
        <v>4130</v>
      </c>
      <c r="F17" s="23" t="s">
        <v>279</v>
      </c>
      <c r="G17" s="24">
        <v>0.27</v>
      </c>
    </row>
    <row r="18" spans="1:7" ht="30.75" thickBot="1">
      <c r="A18" s="34">
        <v>80000</v>
      </c>
      <c r="B18" s="23" t="s">
        <v>280</v>
      </c>
      <c r="C18" s="32">
        <v>80000</v>
      </c>
      <c r="D18" s="23" t="s">
        <v>278</v>
      </c>
      <c r="E18" s="32">
        <f>((C18-C17)*G17)+E17</f>
        <v>19520</v>
      </c>
      <c r="F18" s="23" t="s">
        <v>279</v>
      </c>
      <c r="G18" s="24">
        <v>0.35</v>
      </c>
    </row>
    <row r="19" spans="1:7" ht="15.75" thickBot="1">
      <c r="A19" s="957" t="s">
        <v>281</v>
      </c>
      <c r="B19" s="958"/>
      <c r="C19" s="958"/>
      <c r="D19" s="958"/>
      <c r="E19" s="958"/>
      <c r="F19" s="958"/>
      <c r="G19" s="959"/>
    </row>
    <row r="20" spans="1:7" ht="11.25" customHeight="1" thickBot="1">
      <c r="A20" s="29"/>
      <c r="B20" s="14"/>
      <c r="C20" s="20"/>
      <c r="D20" s="14"/>
      <c r="E20" s="20"/>
      <c r="F20" s="14"/>
      <c r="G20" s="25"/>
    </row>
    <row r="21" spans="1:7" ht="14.25">
      <c r="A21" s="877" t="s">
        <v>282</v>
      </c>
      <c r="B21" s="878"/>
      <c r="C21" s="878"/>
      <c r="D21" s="878"/>
      <c r="E21" s="878"/>
      <c r="F21" s="878"/>
      <c r="G21" s="879"/>
    </row>
    <row r="22" spans="1:7" ht="15">
      <c r="A22" s="28">
        <v>8800</v>
      </c>
      <c r="B22" s="960" t="s">
        <v>276</v>
      </c>
      <c r="C22" s="960"/>
      <c r="D22" s="960"/>
      <c r="E22" s="960"/>
      <c r="F22" s="960"/>
      <c r="G22" s="24">
        <v>0.15</v>
      </c>
    </row>
    <row r="23" spans="1:7" ht="15">
      <c r="A23" s="28">
        <v>22000</v>
      </c>
      <c r="B23" s="22" t="s">
        <v>277</v>
      </c>
      <c r="C23" s="32">
        <v>8800</v>
      </c>
      <c r="D23" s="23" t="s">
        <v>278</v>
      </c>
      <c r="E23" s="32">
        <f>C23*G22</f>
        <v>1320</v>
      </c>
      <c r="F23" s="23" t="s">
        <v>279</v>
      </c>
      <c r="G23" s="24">
        <v>0.2</v>
      </c>
    </row>
    <row r="24" spans="1:7" ht="15">
      <c r="A24" s="28">
        <v>50000</v>
      </c>
      <c r="B24" s="22" t="s">
        <v>277</v>
      </c>
      <c r="C24" s="32">
        <v>22000</v>
      </c>
      <c r="D24" s="23" t="s">
        <v>278</v>
      </c>
      <c r="E24" s="32">
        <f>((C24-C23)*G23)+E23</f>
        <v>3960</v>
      </c>
      <c r="F24" s="23" t="s">
        <v>279</v>
      </c>
      <c r="G24" s="24">
        <v>0.27</v>
      </c>
    </row>
    <row r="25" spans="1:7" ht="30.75" thickBot="1">
      <c r="A25" s="28">
        <v>50000</v>
      </c>
      <c r="B25" s="22" t="s">
        <v>283</v>
      </c>
      <c r="C25" s="32">
        <v>50000</v>
      </c>
      <c r="D25" s="23" t="s">
        <v>278</v>
      </c>
      <c r="E25" s="32">
        <f>((C25-C24)*G24)+E24</f>
        <v>11520</v>
      </c>
      <c r="F25" s="23" t="s">
        <v>279</v>
      </c>
      <c r="G25" s="24">
        <v>0.35</v>
      </c>
    </row>
    <row r="26" spans="1:7" ht="15.75" thickBot="1">
      <c r="A26" s="957" t="s">
        <v>281</v>
      </c>
      <c r="B26" s="958"/>
      <c r="C26" s="958"/>
      <c r="D26" s="958"/>
      <c r="E26" s="958"/>
      <c r="F26" s="958"/>
      <c r="G26" s="959"/>
    </row>
    <row r="27" spans="1:7" ht="11.25" customHeight="1" thickBot="1">
      <c r="A27" s="29"/>
      <c r="B27" s="14"/>
      <c r="C27" s="20"/>
      <c r="D27" s="14"/>
      <c r="E27" s="20"/>
      <c r="F27" s="14"/>
      <c r="G27" s="25"/>
    </row>
    <row r="28" spans="1:7" ht="14.25">
      <c r="A28" s="877" t="s">
        <v>284</v>
      </c>
      <c r="B28" s="878"/>
      <c r="C28" s="878"/>
      <c r="D28" s="878"/>
      <c r="E28" s="878"/>
      <c r="F28" s="878"/>
      <c r="G28" s="879"/>
    </row>
    <row r="29" spans="1:7" ht="15">
      <c r="A29" s="28">
        <v>8700</v>
      </c>
      <c r="B29" s="960" t="s">
        <v>276</v>
      </c>
      <c r="C29" s="960"/>
      <c r="D29" s="960"/>
      <c r="E29" s="960"/>
      <c r="F29" s="960"/>
      <c r="G29" s="24">
        <v>0.15</v>
      </c>
    </row>
    <row r="30" spans="1:7" ht="15">
      <c r="A30" s="28">
        <v>22000</v>
      </c>
      <c r="B30" s="22" t="s">
        <v>277</v>
      </c>
      <c r="C30" s="32">
        <v>8700</v>
      </c>
      <c r="D30" s="23" t="s">
        <v>278</v>
      </c>
      <c r="E30" s="32">
        <v>1305</v>
      </c>
      <c r="F30" s="23" t="s">
        <v>279</v>
      </c>
      <c r="G30" s="24">
        <v>0.2</v>
      </c>
    </row>
    <row r="31" spans="1:7" ht="15">
      <c r="A31" s="28">
        <v>50000</v>
      </c>
      <c r="B31" s="22" t="s">
        <v>277</v>
      </c>
      <c r="C31" s="32">
        <v>22000</v>
      </c>
      <c r="D31" s="23" t="s">
        <v>278</v>
      </c>
      <c r="E31" s="32">
        <v>3965</v>
      </c>
      <c r="F31" s="23" t="s">
        <v>279</v>
      </c>
      <c r="G31" s="24">
        <v>0.27</v>
      </c>
    </row>
    <row r="32" spans="1:7" ht="30.75" thickBot="1">
      <c r="A32" s="28">
        <v>50000</v>
      </c>
      <c r="B32" s="22" t="s">
        <v>283</v>
      </c>
      <c r="C32" s="32">
        <v>50000</v>
      </c>
      <c r="D32" s="23" t="s">
        <v>278</v>
      </c>
      <c r="E32" s="32">
        <v>11525</v>
      </c>
      <c r="F32" s="23" t="s">
        <v>279</v>
      </c>
      <c r="G32" s="24">
        <v>0.35</v>
      </c>
    </row>
    <row r="33" spans="1:7" ht="15" customHeight="1" thickBot="1">
      <c r="A33" s="957" t="s">
        <v>281</v>
      </c>
      <c r="B33" s="958"/>
      <c r="C33" s="958"/>
      <c r="D33" s="958"/>
      <c r="E33" s="958"/>
      <c r="F33" s="958"/>
      <c r="G33" s="959"/>
    </row>
    <row r="34" spans="1:7" ht="9" customHeight="1" thickBot="1">
      <c r="A34" s="29"/>
      <c r="B34" s="14"/>
      <c r="C34" s="20"/>
      <c r="D34" s="14"/>
      <c r="E34" s="20"/>
      <c r="F34" s="14"/>
      <c r="G34" s="25"/>
    </row>
    <row r="35" spans="1:7" ht="14.25">
      <c r="A35" s="877" t="s">
        <v>285</v>
      </c>
      <c r="B35" s="878"/>
      <c r="C35" s="878"/>
      <c r="D35" s="878"/>
      <c r="E35" s="878"/>
      <c r="F35" s="878"/>
      <c r="G35" s="879"/>
    </row>
    <row r="36" spans="1:7" ht="15">
      <c r="A36" s="28">
        <v>7800</v>
      </c>
      <c r="B36" s="960" t="s">
        <v>286</v>
      </c>
      <c r="C36" s="960"/>
      <c r="D36" s="960"/>
      <c r="E36" s="960"/>
      <c r="F36" s="960"/>
      <c r="G36" s="24">
        <v>0.15</v>
      </c>
    </row>
    <row r="37" spans="1:7" ht="15">
      <c r="A37" s="28" t="s">
        <v>287</v>
      </c>
      <c r="B37" s="22" t="s">
        <v>288</v>
      </c>
      <c r="C37" s="32" t="s">
        <v>289</v>
      </c>
      <c r="D37" s="23" t="s">
        <v>290</v>
      </c>
      <c r="E37" s="32">
        <v>1170</v>
      </c>
      <c r="F37" s="23" t="s">
        <v>291</v>
      </c>
      <c r="G37" s="24">
        <v>0.2</v>
      </c>
    </row>
    <row r="38" spans="1:7" ht="15">
      <c r="A38" s="28" t="s">
        <v>292</v>
      </c>
      <c r="B38" s="22" t="s">
        <v>288</v>
      </c>
      <c r="C38" s="32" t="s">
        <v>287</v>
      </c>
      <c r="D38" s="23" t="s">
        <v>290</v>
      </c>
      <c r="E38" s="32">
        <v>3570</v>
      </c>
      <c r="F38" s="23" t="s">
        <v>291</v>
      </c>
      <c r="G38" s="24">
        <v>0.27</v>
      </c>
    </row>
    <row r="39" spans="1:7" ht="30.75" thickBot="1">
      <c r="A39" s="28" t="s">
        <v>293</v>
      </c>
      <c r="B39" s="22" t="s">
        <v>283</v>
      </c>
      <c r="C39" s="32">
        <v>44700</v>
      </c>
      <c r="D39" s="23" t="s">
        <v>290</v>
      </c>
      <c r="E39" s="32">
        <v>10293</v>
      </c>
      <c r="F39" s="23" t="s">
        <v>291</v>
      </c>
      <c r="G39" s="24">
        <v>0.35</v>
      </c>
    </row>
    <row r="40" spans="1:7" ht="15.75" thickBot="1">
      <c r="A40" s="957" t="s">
        <v>281</v>
      </c>
      <c r="B40" s="958"/>
      <c r="C40" s="958"/>
      <c r="D40" s="958"/>
      <c r="E40" s="958"/>
      <c r="F40" s="958"/>
      <c r="G40" s="959"/>
    </row>
    <row r="41" spans="1:7" ht="10.5" customHeight="1" thickBot="1">
      <c r="A41" s="29"/>
      <c r="B41" s="14"/>
      <c r="C41" s="20"/>
      <c r="D41" s="14"/>
      <c r="E41" s="20"/>
      <c r="F41" s="14"/>
      <c r="G41" s="25"/>
    </row>
    <row r="42" spans="1:7" ht="14.25">
      <c r="A42" s="877" t="s">
        <v>294</v>
      </c>
      <c r="B42" s="878"/>
      <c r="C42" s="878"/>
      <c r="D42" s="878"/>
      <c r="E42" s="878"/>
      <c r="F42" s="878"/>
      <c r="G42" s="879"/>
    </row>
    <row r="43" spans="1:7" ht="15">
      <c r="A43" s="28">
        <v>7500</v>
      </c>
      <c r="B43" s="960" t="s">
        <v>286</v>
      </c>
      <c r="C43" s="960"/>
      <c r="D43" s="960"/>
      <c r="E43" s="960"/>
      <c r="F43" s="960"/>
      <c r="G43" s="24">
        <v>0.15</v>
      </c>
    </row>
    <row r="44" spans="1:7" ht="15">
      <c r="A44" s="28" t="s">
        <v>295</v>
      </c>
      <c r="B44" s="22" t="s">
        <v>288</v>
      </c>
      <c r="C44" s="32" t="s">
        <v>296</v>
      </c>
      <c r="D44" s="23" t="s">
        <v>290</v>
      </c>
      <c r="E44" s="32">
        <v>1125</v>
      </c>
      <c r="F44" s="23" t="s">
        <v>291</v>
      </c>
      <c r="G44" s="24">
        <v>0.2</v>
      </c>
    </row>
    <row r="45" spans="1:7" ht="15">
      <c r="A45" s="28" t="s">
        <v>297</v>
      </c>
      <c r="B45" s="22" t="s">
        <v>288</v>
      </c>
      <c r="C45" s="32" t="s">
        <v>295</v>
      </c>
      <c r="D45" s="23" t="s">
        <v>290</v>
      </c>
      <c r="E45" s="32">
        <v>3425</v>
      </c>
      <c r="F45" s="23" t="s">
        <v>291</v>
      </c>
      <c r="G45" s="24">
        <v>0.27</v>
      </c>
    </row>
    <row r="46" spans="1:7" ht="30.75" thickBot="1">
      <c r="A46" s="28" t="s">
        <v>298</v>
      </c>
      <c r="B46" s="22" t="s">
        <v>283</v>
      </c>
      <c r="C46" s="32">
        <v>43000</v>
      </c>
      <c r="D46" s="23" t="s">
        <v>290</v>
      </c>
      <c r="E46" s="32">
        <v>9905</v>
      </c>
      <c r="F46" s="23" t="s">
        <v>291</v>
      </c>
      <c r="G46" s="24">
        <v>0.35</v>
      </c>
    </row>
    <row r="47" spans="1:7" ht="15.75" thickBot="1">
      <c r="A47" s="957" t="s">
        <v>281</v>
      </c>
      <c r="B47" s="958"/>
      <c r="C47" s="958"/>
      <c r="D47" s="958"/>
      <c r="E47" s="958"/>
      <c r="F47" s="958"/>
      <c r="G47" s="959"/>
    </row>
    <row r="48" spans="1:7" ht="9" customHeight="1" thickBot="1">
      <c r="A48" s="29"/>
      <c r="B48" s="14"/>
      <c r="C48" s="20"/>
      <c r="D48" s="14"/>
      <c r="E48" s="20"/>
      <c r="F48" s="14"/>
      <c r="G48" s="25"/>
    </row>
    <row r="49" spans="1:7" ht="14.25">
      <c r="A49" s="877" t="s">
        <v>299</v>
      </c>
      <c r="B49" s="878"/>
      <c r="C49" s="878"/>
      <c r="D49" s="878"/>
      <c r="E49" s="878"/>
      <c r="F49" s="878"/>
      <c r="G49" s="879"/>
    </row>
    <row r="50" spans="1:7" ht="15">
      <c r="A50" s="28">
        <v>7000</v>
      </c>
      <c r="B50" s="960" t="s">
        <v>286</v>
      </c>
      <c r="C50" s="960"/>
      <c r="D50" s="960"/>
      <c r="E50" s="960"/>
      <c r="F50" s="960"/>
      <c r="G50" s="24">
        <v>0.15</v>
      </c>
    </row>
    <row r="51" spans="1:7" ht="15">
      <c r="A51" s="28" t="s">
        <v>300</v>
      </c>
      <c r="B51" s="22" t="s">
        <v>288</v>
      </c>
      <c r="C51" s="32" t="s">
        <v>301</v>
      </c>
      <c r="D51" s="23" t="s">
        <v>290</v>
      </c>
      <c r="E51" s="32">
        <v>1050</v>
      </c>
      <c r="F51" s="23" t="s">
        <v>291</v>
      </c>
      <c r="G51" s="24">
        <v>0.2</v>
      </c>
    </row>
    <row r="52" spans="1:7" ht="15">
      <c r="A52" s="28" t="s">
        <v>302</v>
      </c>
      <c r="B52" s="22" t="s">
        <v>288</v>
      </c>
      <c r="C52" s="32" t="s">
        <v>300</v>
      </c>
      <c r="D52" s="23" t="s">
        <v>290</v>
      </c>
      <c r="E52" s="32">
        <v>3250</v>
      </c>
      <c r="F52" s="23" t="s">
        <v>291</v>
      </c>
      <c r="G52" s="24">
        <v>0.27</v>
      </c>
    </row>
    <row r="53" spans="1:7" ht="30.75" thickBot="1">
      <c r="A53" s="28" t="s">
        <v>303</v>
      </c>
      <c r="B53" s="22" t="s">
        <v>283</v>
      </c>
      <c r="C53" s="32">
        <v>40000</v>
      </c>
      <c r="D53" s="23" t="s">
        <v>290</v>
      </c>
      <c r="E53" s="32">
        <v>9190</v>
      </c>
      <c r="F53" s="23" t="s">
        <v>291</v>
      </c>
      <c r="G53" s="24">
        <v>0.35</v>
      </c>
    </row>
    <row r="54" spans="1:7" ht="15.75" thickBot="1">
      <c r="A54" s="957" t="s">
        <v>281</v>
      </c>
      <c r="B54" s="958"/>
      <c r="C54" s="958"/>
      <c r="D54" s="958"/>
      <c r="E54" s="958"/>
      <c r="F54" s="958"/>
      <c r="G54" s="959"/>
    </row>
    <row r="55" spans="1:7" ht="9" customHeight="1" thickBot="1">
      <c r="A55" s="29"/>
      <c r="B55" s="14"/>
      <c r="C55" s="20"/>
      <c r="D55" s="14"/>
      <c r="E55" s="20"/>
      <c r="F55" s="14"/>
      <c r="G55" s="25"/>
    </row>
    <row r="56" spans="1:7" ht="14.25">
      <c r="A56" s="877" t="s">
        <v>304</v>
      </c>
      <c r="B56" s="878"/>
      <c r="C56" s="878"/>
      <c r="D56" s="878"/>
      <c r="E56" s="878"/>
      <c r="F56" s="878"/>
      <c r="G56" s="879"/>
    </row>
    <row r="57" spans="1:7" ht="15">
      <c r="A57" s="28">
        <v>6600</v>
      </c>
      <c r="B57" s="960" t="s">
        <v>286</v>
      </c>
      <c r="C57" s="960"/>
      <c r="D57" s="960"/>
      <c r="E57" s="960"/>
      <c r="F57" s="960"/>
      <c r="G57" s="24">
        <v>0.15</v>
      </c>
    </row>
    <row r="58" spans="1:7" ht="15">
      <c r="A58" s="28">
        <v>15000</v>
      </c>
      <c r="B58" s="22" t="s">
        <v>288</v>
      </c>
      <c r="C58" s="32">
        <v>6600</v>
      </c>
      <c r="D58" s="23" t="s">
        <v>305</v>
      </c>
      <c r="E58" s="32">
        <v>990</v>
      </c>
      <c r="F58" s="23" t="s">
        <v>306</v>
      </c>
      <c r="G58" s="24">
        <v>0.2</v>
      </c>
    </row>
    <row r="59" spans="1:7" ht="15">
      <c r="A59" s="28" t="s">
        <v>307</v>
      </c>
      <c r="B59" s="22" t="s">
        <v>288</v>
      </c>
      <c r="C59" s="32">
        <v>15000</v>
      </c>
      <c r="D59" s="23" t="s">
        <v>305</v>
      </c>
      <c r="E59" s="32">
        <v>2670</v>
      </c>
      <c r="F59" s="23" t="s">
        <v>306</v>
      </c>
      <c r="G59" s="24">
        <v>0.25</v>
      </c>
    </row>
    <row r="60" spans="1:7" ht="15">
      <c r="A60" s="28">
        <v>78000</v>
      </c>
      <c r="B60" s="22" t="s">
        <v>288</v>
      </c>
      <c r="C60" s="32">
        <v>30000</v>
      </c>
      <c r="D60" s="23" t="s">
        <v>305</v>
      </c>
      <c r="E60" s="32">
        <v>6420</v>
      </c>
      <c r="F60" s="23" t="s">
        <v>306</v>
      </c>
      <c r="G60" s="24">
        <v>0.3</v>
      </c>
    </row>
    <row r="61" spans="1:7" ht="30.75" thickBot="1">
      <c r="A61" s="28">
        <v>78000</v>
      </c>
      <c r="B61" s="22" t="s">
        <v>283</v>
      </c>
      <c r="C61" s="32">
        <v>78000</v>
      </c>
      <c r="D61" s="23" t="s">
        <v>305</v>
      </c>
      <c r="E61" s="32">
        <v>20820</v>
      </c>
      <c r="F61" s="23" t="s">
        <v>306</v>
      </c>
      <c r="G61" s="24">
        <v>0.35</v>
      </c>
    </row>
    <row r="62" spans="1:7" ht="18.75" customHeight="1" thickBot="1">
      <c r="A62" s="957" t="s">
        <v>281</v>
      </c>
      <c r="B62" s="958"/>
      <c r="C62" s="958"/>
      <c r="D62" s="958"/>
      <c r="E62" s="958"/>
      <c r="F62" s="958"/>
      <c r="G62" s="959"/>
    </row>
    <row r="63" spans="1:7" ht="15.75" thickBot="1">
      <c r="A63" s="29"/>
      <c r="B63" s="14"/>
      <c r="C63" s="20"/>
      <c r="D63" s="14"/>
      <c r="E63" s="20"/>
      <c r="F63" s="14"/>
      <c r="G63" s="25"/>
    </row>
    <row r="64" spans="1:7" ht="14.25">
      <c r="A64" s="877" t="s">
        <v>308</v>
      </c>
      <c r="B64" s="878"/>
      <c r="C64" s="878"/>
      <c r="D64" s="878"/>
      <c r="E64" s="878"/>
      <c r="F64" s="878"/>
      <c r="G64" s="879"/>
    </row>
    <row r="65" spans="1:7" ht="15">
      <c r="A65" s="28">
        <v>6000000000</v>
      </c>
      <c r="B65" s="960" t="s">
        <v>309</v>
      </c>
      <c r="C65" s="960"/>
      <c r="D65" s="960"/>
      <c r="E65" s="960"/>
      <c r="F65" s="960"/>
      <c r="G65" s="24">
        <v>0.15</v>
      </c>
    </row>
    <row r="66" spans="1:7" ht="15">
      <c r="A66" s="28">
        <v>14000000000</v>
      </c>
      <c r="B66" s="22" t="s">
        <v>310</v>
      </c>
      <c r="C66" s="32">
        <v>6000000000</v>
      </c>
      <c r="D66" s="23" t="s">
        <v>305</v>
      </c>
      <c r="E66" s="32">
        <v>900000000</v>
      </c>
      <c r="F66" s="23" t="s">
        <v>306</v>
      </c>
      <c r="G66" s="24">
        <v>0.2</v>
      </c>
    </row>
    <row r="67" spans="1:7" ht="15">
      <c r="A67" s="28">
        <v>28000000000</v>
      </c>
      <c r="B67" s="22" t="s">
        <v>310</v>
      </c>
      <c r="C67" s="32">
        <v>14000000000</v>
      </c>
      <c r="D67" s="23" t="s">
        <v>305</v>
      </c>
      <c r="E67" s="32">
        <v>2500000000</v>
      </c>
      <c r="F67" s="23" t="s">
        <v>306</v>
      </c>
      <c r="G67" s="24">
        <v>0.25</v>
      </c>
    </row>
    <row r="68" spans="1:7" ht="15">
      <c r="A68" s="28">
        <v>70000000000</v>
      </c>
      <c r="B68" s="22" t="s">
        <v>310</v>
      </c>
      <c r="C68" s="32">
        <v>28000000000</v>
      </c>
      <c r="D68" s="23" t="s">
        <v>305</v>
      </c>
      <c r="E68" s="32">
        <v>6000000000</v>
      </c>
      <c r="F68" s="23" t="s">
        <v>306</v>
      </c>
      <c r="G68" s="24">
        <v>0.3</v>
      </c>
    </row>
    <row r="69" spans="1:7" ht="15">
      <c r="A69" s="28">
        <v>140000000000</v>
      </c>
      <c r="B69" s="22" t="s">
        <v>310</v>
      </c>
      <c r="C69" s="32">
        <v>70000000000</v>
      </c>
      <c r="D69" s="23" t="s">
        <v>305</v>
      </c>
      <c r="E69" s="32">
        <v>18600000000</v>
      </c>
      <c r="F69" s="23" t="s">
        <v>306</v>
      </c>
      <c r="G69" s="24">
        <v>0.35</v>
      </c>
    </row>
    <row r="70" spans="1:7" ht="30.75" thickBot="1">
      <c r="A70" s="28">
        <v>140000000000</v>
      </c>
      <c r="B70" s="22" t="s">
        <v>283</v>
      </c>
      <c r="C70" s="32">
        <v>140000000000</v>
      </c>
      <c r="D70" s="23" t="s">
        <v>305</v>
      </c>
      <c r="E70" s="32">
        <v>43100000000</v>
      </c>
      <c r="F70" s="23" t="s">
        <v>306</v>
      </c>
      <c r="G70" s="24">
        <v>0.4</v>
      </c>
    </row>
    <row r="71" spans="1:7" ht="15.75" thickBot="1">
      <c r="A71" s="957" t="s">
        <v>281</v>
      </c>
      <c r="B71" s="958"/>
      <c r="C71" s="958"/>
      <c r="D71" s="958"/>
      <c r="E71" s="958"/>
      <c r="F71" s="958"/>
      <c r="G71" s="959"/>
    </row>
    <row r="72" spans="1:7" ht="15.75" thickBot="1">
      <c r="A72" s="29"/>
      <c r="B72" s="14"/>
      <c r="C72" s="20"/>
      <c r="D72" s="14"/>
      <c r="E72" s="20"/>
      <c r="F72" s="14"/>
      <c r="G72" s="25"/>
    </row>
    <row r="73" spans="1:7" ht="14.25">
      <c r="A73" s="877" t="s">
        <v>311</v>
      </c>
      <c r="B73" s="878"/>
      <c r="C73" s="878"/>
      <c r="D73" s="878"/>
      <c r="E73" s="878"/>
      <c r="F73" s="878"/>
      <c r="G73" s="879"/>
    </row>
    <row r="74" spans="1:7" ht="15">
      <c r="A74" s="28">
        <v>5000000000</v>
      </c>
      <c r="B74" s="960" t="s">
        <v>309</v>
      </c>
      <c r="C74" s="960"/>
      <c r="D74" s="960"/>
      <c r="E74" s="960"/>
      <c r="F74" s="960"/>
      <c r="G74" s="24">
        <v>0.15</v>
      </c>
    </row>
    <row r="75" spans="1:7" ht="15">
      <c r="A75" s="28">
        <v>12000000000</v>
      </c>
      <c r="B75" s="22" t="s">
        <v>310</v>
      </c>
      <c r="C75" s="32">
        <v>5000000000</v>
      </c>
      <c r="D75" s="23" t="s">
        <v>305</v>
      </c>
      <c r="E75" s="32">
        <v>750000000</v>
      </c>
      <c r="F75" s="23" t="s">
        <v>306</v>
      </c>
      <c r="G75" s="24">
        <v>0.2</v>
      </c>
    </row>
    <row r="76" spans="1:7" ht="15">
      <c r="A76" s="28">
        <v>24000000000</v>
      </c>
      <c r="B76" s="22" t="s">
        <v>310</v>
      </c>
      <c r="C76" s="32">
        <v>12000000000</v>
      </c>
      <c r="D76" s="23" t="s">
        <v>305</v>
      </c>
      <c r="E76" s="32">
        <v>2150000000</v>
      </c>
      <c r="F76" s="23" t="s">
        <v>306</v>
      </c>
      <c r="G76" s="24">
        <v>0.25</v>
      </c>
    </row>
    <row r="77" spans="1:7" ht="15">
      <c r="A77" s="28">
        <v>60000000000</v>
      </c>
      <c r="B77" s="22" t="s">
        <v>310</v>
      </c>
      <c r="C77" s="32">
        <v>24000000000</v>
      </c>
      <c r="D77" s="23" t="s">
        <v>305</v>
      </c>
      <c r="E77" s="32">
        <v>5150000000</v>
      </c>
      <c r="F77" s="23" t="s">
        <v>306</v>
      </c>
      <c r="G77" s="24">
        <v>0.3</v>
      </c>
    </row>
    <row r="78" spans="1:7" ht="15">
      <c r="A78" s="28">
        <v>120000000000</v>
      </c>
      <c r="B78" s="22" t="s">
        <v>310</v>
      </c>
      <c r="C78" s="32">
        <v>60000000000</v>
      </c>
      <c r="D78" s="23" t="s">
        <v>305</v>
      </c>
      <c r="E78" s="32">
        <v>15950000000</v>
      </c>
      <c r="F78" s="23" t="s">
        <v>306</v>
      </c>
      <c r="G78" s="24">
        <v>0.35</v>
      </c>
    </row>
    <row r="79" spans="1:7" ht="30.75" thickBot="1">
      <c r="A79" s="28">
        <v>120000000000</v>
      </c>
      <c r="B79" s="22" t="s">
        <v>283</v>
      </c>
      <c r="C79" s="32">
        <v>120000000000</v>
      </c>
      <c r="D79" s="23" t="s">
        <v>305</v>
      </c>
      <c r="E79" s="32">
        <v>36950000000</v>
      </c>
      <c r="F79" s="23" t="s">
        <v>306</v>
      </c>
      <c r="G79" s="24">
        <v>0.4</v>
      </c>
    </row>
    <row r="80" spans="1:7" ht="15.75" thickBot="1">
      <c r="A80" s="957" t="s">
        <v>281</v>
      </c>
      <c r="B80" s="958"/>
      <c r="C80" s="958"/>
      <c r="D80" s="958"/>
      <c r="E80" s="958"/>
      <c r="F80" s="958"/>
      <c r="G80" s="959"/>
    </row>
    <row r="81" spans="1:7" ht="15.75" thickBot="1">
      <c r="A81" s="29"/>
      <c r="B81" s="14"/>
      <c r="C81" s="20"/>
      <c r="D81" s="14"/>
      <c r="E81" s="20"/>
      <c r="F81" s="14"/>
      <c r="G81" s="25"/>
    </row>
    <row r="82" spans="1:7" ht="14.25">
      <c r="A82" s="877" t="s">
        <v>312</v>
      </c>
      <c r="B82" s="878"/>
      <c r="C82" s="878"/>
      <c r="D82" s="878"/>
      <c r="E82" s="878"/>
      <c r="F82" s="878"/>
      <c r="G82" s="879"/>
    </row>
    <row r="83" spans="1:7" ht="15">
      <c r="A83" s="28">
        <v>3800000000</v>
      </c>
      <c r="B83" s="960" t="s">
        <v>309</v>
      </c>
      <c r="C83" s="960"/>
      <c r="D83" s="960"/>
      <c r="E83" s="960"/>
      <c r="F83" s="960"/>
      <c r="G83" s="24">
        <v>0.15</v>
      </c>
    </row>
    <row r="84" spans="1:7" ht="15">
      <c r="A84" s="28">
        <v>9500000000</v>
      </c>
      <c r="B84" s="22" t="s">
        <v>310</v>
      </c>
      <c r="C84" s="32">
        <v>3800000000</v>
      </c>
      <c r="D84" s="23" t="s">
        <v>305</v>
      </c>
      <c r="E84" s="32">
        <v>570000000</v>
      </c>
      <c r="F84" s="23" t="s">
        <v>306</v>
      </c>
      <c r="G84" s="24">
        <v>0.2</v>
      </c>
    </row>
    <row r="85" spans="1:7" ht="15">
      <c r="A85" s="28">
        <v>19000000000</v>
      </c>
      <c r="B85" s="22" t="s">
        <v>310</v>
      </c>
      <c r="C85" s="32">
        <v>9500000000</v>
      </c>
      <c r="D85" s="23" t="s">
        <v>305</v>
      </c>
      <c r="E85" s="32">
        <v>1710000000</v>
      </c>
      <c r="F85" s="23" t="s">
        <v>306</v>
      </c>
      <c r="G85" s="24">
        <v>0.25</v>
      </c>
    </row>
    <row r="86" spans="1:7" ht="15">
      <c r="A86" s="28">
        <v>47500000000</v>
      </c>
      <c r="B86" s="22" t="s">
        <v>310</v>
      </c>
      <c r="C86" s="32">
        <v>19000000000</v>
      </c>
      <c r="D86" s="23" t="s">
        <v>305</v>
      </c>
      <c r="E86" s="32">
        <v>4085000000</v>
      </c>
      <c r="F86" s="23" t="s">
        <v>306</v>
      </c>
      <c r="G86" s="24">
        <v>0.3</v>
      </c>
    </row>
    <row r="87" spans="1:7" ht="15">
      <c r="A87" s="28">
        <v>95000000000</v>
      </c>
      <c r="B87" s="22" t="s">
        <v>310</v>
      </c>
      <c r="C87" s="32">
        <v>47500000000</v>
      </c>
      <c r="D87" s="23" t="s">
        <v>305</v>
      </c>
      <c r="E87" s="32">
        <v>12635000000</v>
      </c>
      <c r="F87" s="23" t="s">
        <v>306</v>
      </c>
      <c r="G87" s="24">
        <v>0.35</v>
      </c>
    </row>
    <row r="88" spans="1:7" ht="30.75" thickBot="1">
      <c r="A88" s="28">
        <v>95000000000</v>
      </c>
      <c r="B88" s="22" t="s">
        <v>283</v>
      </c>
      <c r="C88" s="32">
        <v>95000000000</v>
      </c>
      <c r="D88" s="23" t="s">
        <v>305</v>
      </c>
      <c r="E88" s="32">
        <v>20260000000</v>
      </c>
      <c r="F88" s="23" t="s">
        <v>306</v>
      </c>
      <c r="G88" s="24">
        <v>0.4</v>
      </c>
    </row>
    <row r="89" spans="1:7" ht="15.75" thickBot="1">
      <c r="A89" s="957" t="s">
        <v>281</v>
      </c>
      <c r="B89" s="958"/>
      <c r="C89" s="958"/>
      <c r="D89" s="958"/>
      <c r="E89" s="958"/>
      <c r="F89" s="958"/>
      <c r="G89" s="959"/>
    </row>
    <row r="90" spans="1:7" ht="15.75" thickBot="1">
      <c r="A90" s="29"/>
      <c r="B90" s="14"/>
      <c r="C90" s="20"/>
      <c r="D90" s="14"/>
      <c r="E90" s="20"/>
      <c r="F90" s="14"/>
      <c r="G90" s="25"/>
    </row>
    <row r="91" spans="1:7" ht="14.25">
      <c r="A91" s="877" t="s">
        <v>313</v>
      </c>
      <c r="B91" s="878"/>
      <c r="C91" s="878"/>
      <c r="D91" s="878"/>
      <c r="E91" s="878"/>
      <c r="F91" s="878"/>
      <c r="G91" s="879"/>
    </row>
    <row r="92" spans="1:7" ht="15">
      <c r="A92" s="28">
        <v>2800000000</v>
      </c>
      <c r="B92" s="960" t="s">
        <v>309</v>
      </c>
      <c r="C92" s="960"/>
      <c r="D92" s="960"/>
      <c r="E92" s="960"/>
      <c r="F92" s="960"/>
      <c r="G92" s="24">
        <v>0.15</v>
      </c>
    </row>
    <row r="93" spans="1:7" ht="15">
      <c r="A93" s="28">
        <v>7000000000</v>
      </c>
      <c r="B93" s="22" t="s">
        <v>310</v>
      </c>
      <c r="C93" s="32">
        <v>2800000000</v>
      </c>
      <c r="D93" s="23" t="s">
        <v>305</v>
      </c>
      <c r="E93" s="32">
        <v>420000000</v>
      </c>
      <c r="F93" s="23" t="s">
        <v>306</v>
      </c>
      <c r="G93" s="24">
        <v>0.2</v>
      </c>
    </row>
    <row r="94" spans="1:7" ht="15">
      <c r="A94" s="28">
        <v>14000000000</v>
      </c>
      <c r="B94" s="22" t="s">
        <v>310</v>
      </c>
      <c r="C94" s="32">
        <v>7000000000</v>
      </c>
      <c r="D94" s="23" t="s">
        <v>305</v>
      </c>
      <c r="E94" s="32">
        <v>1260000000</v>
      </c>
      <c r="F94" s="23" t="s">
        <v>306</v>
      </c>
      <c r="G94" s="24">
        <v>0.25</v>
      </c>
    </row>
    <row r="95" spans="1:7" ht="15">
      <c r="A95" s="28">
        <v>35000000000</v>
      </c>
      <c r="B95" s="22" t="s">
        <v>310</v>
      </c>
      <c r="C95" s="32">
        <v>14000000000</v>
      </c>
      <c r="D95" s="23" t="s">
        <v>305</v>
      </c>
      <c r="E95" s="32">
        <v>3010000000</v>
      </c>
      <c r="F95" s="23" t="s">
        <v>306</v>
      </c>
      <c r="G95" s="24">
        <v>0.3</v>
      </c>
    </row>
    <row r="96" spans="1:7" ht="15">
      <c r="A96" s="28">
        <v>70000000000</v>
      </c>
      <c r="B96" s="22" t="s">
        <v>310</v>
      </c>
      <c r="C96" s="32">
        <v>35000000000</v>
      </c>
      <c r="D96" s="23" t="s">
        <v>305</v>
      </c>
      <c r="E96" s="32">
        <v>9310000000</v>
      </c>
      <c r="F96" s="23" t="s">
        <v>306</v>
      </c>
      <c r="G96" s="24">
        <v>0.35</v>
      </c>
    </row>
    <row r="97" spans="1:7" ht="30.75" thickBot="1">
      <c r="A97" s="28">
        <v>70000000000</v>
      </c>
      <c r="B97" s="22" t="s">
        <v>283</v>
      </c>
      <c r="C97" s="32">
        <v>70000000000</v>
      </c>
      <c r="D97" s="23" t="s">
        <v>305</v>
      </c>
      <c r="E97" s="32">
        <v>21560000000</v>
      </c>
      <c r="F97" s="23" t="s">
        <v>306</v>
      </c>
      <c r="G97" s="24">
        <v>0.4</v>
      </c>
    </row>
    <row r="98" spans="1:7" ht="15.75" thickBot="1">
      <c r="A98" s="957" t="s">
        <v>281</v>
      </c>
      <c r="B98" s="958"/>
      <c r="C98" s="958"/>
      <c r="D98" s="958"/>
      <c r="E98" s="958"/>
      <c r="F98" s="958"/>
      <c r="G98" s="959"/>
    </row>
    <row r="99" spans="1:7" ht="15.75" thickBot="1">
      <c r="A99" s="29"/>
      <c r="B99" s="14"/>
      <c r="C99" s="20"/>
      <c r="D99" s="14"/>
      <c r="E99" s="20"/>
      <c r="F99" s="14"/>
      <c r="G99" s="25"/>
    </row>
    <row r="100" spans="1:7" ht="14.25">
      <c r="A100" s="877" t="s">
        <v>314</v>
      </c>
      <c r="B100" s="878"/>
      <c r="C100" s="878"/>
      <c r="D100" s="878"/>
      <c r="E100" s="878"/>
      <c r="F100" s="878"/>
      <c r="G100" s="879"/>
    </row>
    <row r="101" spans="1:7" ht="15">
      <c r="A101" s="28">
        <v>2500000000</v>
      </c>
      <c r="B101" s="960" t="s">
        <v>309</v>
      </c>
      <c r="C101" s="960"/>
      <c r="D101" s="960"/>
      <c r="E101" s="960"/>
      <c r="F101" s="960"/>
      <c r="G101" s="24">
        <v>0.15</v>
      </c>
    </row>
    <row r="102" spans="1:7" ht="15">
      <c r="A102" s="28">
        <v>6250000000</v>
      </c>
      <c r="B102" s="22" t="s">
        <v>310</v>
      </c>
      <c r="C102" s="32">
        <v>2500000000</v>
      </c>
      <c r="D102" s="23" t="s">
        <v>305</v>
      </c>
      <c r="E102" s="32">
        <v>375000000</v>
      </c>
      <c r="F102" s="23" t="s">
        <v>306</v>
      </c>
      <c r="G102" s="24">
        <v>0.2</v>
      </c>
    </row>
    <row r="103" spans="1:7" ht="15">
      <c r="A103" s="28">
        <v>12500000000</v>
      </c>
      <c r="B103" s="22" t="s">
        <v>310</v>
      </c>
      <c r="C103" s="32">
        <v>6250000000</v>
      </c>
      <c r="D103" s="23" t="s">
        <v>305</v>
      </c>
      <c r="E103" s="32">
        <v>1125000000</v>
      </c>
      <c r="F103" s="23" t="s">
        <v>306</v>
      </c>
      <c r="G103" s="24">
        <v>0.25</v>
      </c>
    </row>
    <row r="104" spans="1:7" ht="15">
      <c r="A104" s="28">
        <v>31250000000</v>
      </c>
      <c r="B104" s="22" t="s">
        <v>310</v>
      </c>
      <c r="C104" s="32">
        <v>12500000000</v>
      </c>
      <c r="D104" s="23" t="s">
        <v>305</v>
      </c>
      <c r="E104" s="32">
        <v>2687500000</v>
      </c>
      <c r="F104" s="23" t="s">
        <v>306</v>
      </c>
      <c r="G104" s="24">
        <v>0.3</v>
      </c>
    </row>
    <row r="105" spans="1:7" ht="15">
      <c r="A105" s="28">
        <v>62500000000</v>
      </c>
      <c r="B105" s="22" t="s">
        <v>310</v>
      </c>
      <c r="C105" s="32">
        <v>31250000000</v>
      </c>
      <c r="D105" s="23" t="s">
        <v>305</v>
      </c>
      <c r="E105" s="32">
        <v>8312500000</v>
      </c>
      <c r="F105" s="23" t="s">
        <v>306</v>
      </c>
      <c r="G105" s="24">
        <v>0.35</v>
      </c>
    </row>
    <row r="106" spans="1:7" ht="30.75" thickBot="1">
      <c r="A106" s="28">
        <v>62500000000</v>
      </c>
      <c r="B106" s="22" t="s">
        <v>283</v>
      </c>
      <c r="C106" s="32">
        <v>62500000000</v>
      </c>
      <c r="D106" s="23" t="s">
        <v>305</v>
      </c>
      <c r="E106" s="32">
        <v>19250000000</v>
      </c>
      <c r="F106" s="23" t="s">
        <v>306</v>
      </c>
      <c r="G106" s="24">
        <v>0.4</v>
      </c>
    </row>
    <row r="107" spans="1:7" ht="15.75" thickBot="1">
      <c r="A107" s="957" t="s">
        <v>281</v>
      </c>
      <c r="B107" s="958"/>
      <c r="C107" s="958"/>
      <c r="D107" s="958"/>
      <c r="E107" s="958"/>
      <c r="F107" s="958"/>
      <c r="G107" s="959"/>
    </row>
    <row r="108" spans="1:7" ht="93" customHeight="1" thickBot="1">
      <c r="A108" s="29"/>
      <c r="B108" s="14"/>
      <c r="C108" s="20"/>
      <c r="D108" s="14"/>
      <c r="E108" s="20"/>
      <c r="F108" s="14"/>
      <c r="G108" s="25"/>
    </row>
    <row r="109" spans="1:7" ht="14.25">
      <c r="A109" s="877" t="s">
        <v>315</v>
      </c>
      <c r="B109" s="878"/>
      <c r="C109" s="878"/>
      <c r="D109" s="878"/>
      <c r="E109" s="878"/>
      <c r="F109" s="878"/>
      <c r="G109" s="879"/>
    </row>
    <row r="110" spans="1:7" ht="15">
      <c r="A110" s="28">
        <v>2000000000</v>
      </c>
      <c r="B110" s="960" t="s">
        <v>309</v>
      </c>
      <c r="C110" s="960"/>
      <c r="D110" s="960"/>
      <c r="E110" s="960"/>
      <c r="F110" s="960"/>
      <c r="G110" s="24">
        <v>0.15</v>
      </c>
    </row>
    <row r="111" spans="1:7" ht="15">
      <c r="A111" s="28">
        <v>5000000000</v>
      </c>
      <c r="B111" s="22" t="s">
        <v>310</v>
      </c>
      <c r="C111" s="32">
        <v>2000000000</v>
      </c>
      <c r="D111" s="23" t="s">
        <v>305</v>
      </c>
      <c r="E111" s="32">
        <v>300000000</v>
      </c>
      <c r="F111" s="23" t="s">
        <v>306</v>
      </c>
      <c r="G111" s="24">
        <v>0.2</v>
      </c>
    </row>
    <row r="112" spans="1:7" ht="15">
      <c r="A112" s="28">
        <v>10000000000</v>
      </c>
      <c r="B112" s="22" t="s">
        <v>310</v>
      </c>
      <c r="C112" s="32">
        <v>5000000000</v>
      </c>
      <c r="D112" s="23" t="s">
        <v>305</v>
      </c>
      <c r="E112" s="32">
        <v>900000000</v>
      </c>
      <c r="F112" s="23" t="s">
        <v>306</v>
      </c>
      <c r="G112" s="24">
        <v>0.25</v>
      </c>
    </row>
    <row r="113" spans="1:7" ht="15">
      <c r="A113" s="28">
        <v>25000000000</v>
      </c>
      <c r="B113" s="22" t="s">
        <v>310</v>
      </c>
      <c r="C113" s="32">
        <v>10000000000</v>
      </c>
      <c r="D113" s="23" t="s">
        <v>305</v>
      </c>
      <c r="E113" s="32">
        <v>2150000000</v>
      </c>
      <c r="F113" s="23" t="s">
        <v>306</v>
      </c>
      <c r="G113" s="24">
        <v>0.3</v>
      </c>
    </row>
    <row r="114" spans="1:7" ht="15">
      <c r="A114" s="28">
        <v>50000000000</v>
      </c>
      <c r="B114" s="22" t="s">
        <v>310</v>
      </c>
      <c r="C114" s="32">
        <v>25000000000</v>
      </c>
      <c r="D114" s="23" t="s">
        <v>305</v>
      </c>
      <c r="E114" s="32">
        <v>6650000000</v>
      </c>
      <c r="F114" s="23" t="s">
        <v>306</v>
      </c>
      <c r="G114" s="24">
        <v>0.35</v>
      </c>
    </row>
    <row r="115" spans="1:7" ht="30.75" thickBot="1">
      <c r="A115" s="28">
        <v>50000000000</v>
      </c>
      <c r="B115" s="22" t="s">
        <v>283</v>
      </c>
      <c r="C115" s="32">
        <v>50000000000</v>
      </c>
      <c r="D115" s="23" t="s">
        <v>305</v>
      </c>
      <c r="E115" s="32">
        <v>15400000000</v>
      </c>
      <c r="F115" s="23" t="s">
        <v>306</v>
      </c>
      <c r="G115" s="24">
        <v>0.4</v>
      </c>
    </row>
    <row r="116" spans="1:7" ht="15.75" thickBot="1">
      <c r="A116" s="957" t="s">
        <v>281</v>
      </c>
      <c r="B116" s="958"/>
      <c r="C116" s="958"/>
      <c r="D116" s="958"/>
      <c r="E116" s="958"/>
      <c r="F116" s="958"/>
      <c r="G116" s="959"/>
    </row>
    <row r="117" spans="1:7" ht="15.75" thickBot="1">
      <c r="A117" s="29"/>
      <c r="B117" s="14"/>
      <c r="C117" s="20"/>
      <c r="D117" s="14"/>
      <c r="E117" s="20"/>
      <c r="F117" s="14"/>
      <c r="G117" s="25"/>
    </row>
    <row r="118" spans="1:7" ht="15" thickBot="1">
      <c r="A118" s="961" t="s">
        <v>316</v>
      </c>
      <c r="B118" s="962"/>
      <c r="C118" s="962"/>
      <c r="D118" s="962"/>
      <c r="E118" s="962"/>
      <c r="F118" s="962"/>
      <c r="G118" s="963"/>
    </row>
    <row r="119" spans="1:7" ht="14.25">
      <c r="A119" s="877" t="s">
        <v>317</v>
      </c>
      <c r="B119" s="878"/>
      <c r="C119" s="878"/>
      <c r="D119" s="878"/>
      <c r="E119" s="878"/>
      <c r="F119" s="878"/>
      <c r="G119" s="879"/>
    </row>
    <row r="120" spans="1:7" ht="15">
      <c r="A120" s="28">
        <v>1000000000</v>
      </c>
      <c r="B120" s="960" t="s">
        <v>309</v>
      </c>
      <c r="C120" s="960"/>
      <c r="D120" s="960"/>
      <c r="E120" s="960"/>
      <c r="F120" s="960"/>
      <c r="G120" s="24">
        <v>0.2</v>
      </c>
    </row>
    <row r="121" spans="1:7" ht="15">
      <c r="A121" s="28">
        <v>2000000000</v>
      </c>
      <c r="B121" s="22" t="s">
        <v>310</v>
      </c>
      <c r="C121" s="32">
        <v>1000000000</v>
      </c>
      <c r="D121" s="23" t="s">
        <v>305</v>
      </c>
      <c r="E121" s="32">
        <v>200000000</v>
      </c>
      <c r="F121" s="23" t="s">
        <v>306</v>
      </c>
      <c r="G121" s="24">
        <v>0.25</v>
      </c>
    </row>
    <row r="122" spans="1:7" ht="15">
      <c r="A122" s="28">
        <v>4000000000</v>
      </c>
      <c r="B122" s="22" t="s">
        <v>310</v>
      </c>
      <c r="C122" s="32">
        <v>2000000000</v>
      </c>
      <c r="D122" s="23" t="s">
        <v>305</v>
      </c>
      <c r="E122" s="32">
        <v>450000000</v>
      </c>
      <c r="F122" s="23" t="s">
        <v>306</v>
      </c>
      <c r="G122" s="24">
        <v>0.3</v>
      </c>
    </row>
    <row r="123" spans="1:7" ht="15">
      <c r="A123" s="28">
        <v>8000000000</v>
      </c>
      <c r="B123" s="22" t="s">
        <v>310</v>
      </c>
      <c r="C123" s="32">
        <v>4000000000</v>
      </c>
      <c r="D123" s="23" t="s">
        <v>305</v>
      </c>
      <c r="E123" s="32">
        <v>1050000000</v>
      </c>
      <c r="F123" s="23" t="s">
        <v>306</v>
      </c>
      <c r="G123" s="24">
        <v>0.35</v>
      </c>
    </row>
    <row r="124" spans="1:7" ht="15">
      <c r="A124" s="28">
        <v>16000000000</v>
      </c>
      <c r="B124" s="22" t="s">
        <v>310</v>
      </c>
      <c r="C124" s="32">
        <v>8000000000</v>
      </c>
      <c r="D124" s="23" t="s">
        <v>305</v>
      </c>
      <c r="E124" s="32">
        <v>2450000000</v>
      </c>
      <c r="F124" s="23" t="s">
        <v>306</v>
      </c>
      <c r="G124" s="24">
        <v>0.4</v>
      </c>
    </row>
    <row r="125" spans="1:7" ht="30.75" thickBot="1">
      <c r="A125" s="28">
        <v>16000000000</v>
      </c>
      <c r="B125" s="22" t="s">
        <v>283</v>
      </c>
      <c r="C125" s="32">
        <v>16000000000</v>
      </c>
      <c r="D125" s="23" t="s">
        <v>305</v>
      </c>
      <c r="E125" s="32">
        <v>5650000000</v>
      </c>
      <c r="F125" s="23" t="s">
        <v>306</v>
      </c>
      <c r="G125" s="24">
        <v>0.45</v>
      </c>
    </row>
    <row r="126" spans="1:7" ht="15.75" thickBot="1">
      <c r="A126" s="957" t="s">
        <v>281</v>
      </c>
      <c r="B126" s="958"/>
      <c r="C126" s="958"/>
      <c r="D126" s="958"/>
      <c r="E126" s="958"/>
      <c r="F126" s="958"/>
      <c r="G126" s="959"/>
    </row>
    <row r="127" spans="1:7" ht="15.75" thickBot="1">
      <c r="A127" s="29"/>
      <c r="B127" s="14"/>
      <c r="C127" s="20"/>
      <c r="D127" s="14"/>
      <c r="E127" s="20"/>
      <c r="F127" s="14"/>
      <c r="G127" s="25"/>
    </row>
    <row r="128" spans="1:7" ht="14.25">
      <c r="A128" s="877" t="s">
        <v>318</v>
      </c>
      <c r="B128" s="878"/>
      <c r="C128" s="878"/>
      <c r="D128" s="878"/>
      <c r="E128" s="878"/>
      <c r="F128" s="878"/>
      <c r="G128" s="879"/>
    </row>
    <row r="129" spans="1:7" ht="15">
      <c r="A129" s="28">
        <v>750000000</v>
      </c>
      <c r="B129" s="960" t="s">
        <v>309</v>
      </c>
      <c r="C129" s="960"/>
      <c r="D129" s="960"/>
      <c r="E129" s="960"/>
      <c r="F129" s="960"/>
      <c r="G129" s="24">
        <v>0.25</v>
      </c>
    </row>
    <row r="130" spans="1:7" ht="15">
      <c r="A130" s="28">
        <v>1500000000</v>
      </c>
      <c r="B130" s="22" t="s">
        <v>310</v>
      </c>
      <c r="C130" s="32">
        <v>750000000</v>
      </c>
      <c r="D130" s="23" t="s">
        <v>305</v>
      </c>
      <c r="E130" s="32">
        <v>187500000</v>
      </c>
      <c r="F130" s="23" t="s">
        <v>306</v>
      </c>
      <c r="G130" s="24">
        <v>0.3</v>
      </c>
    </row>
    <row r="131" spans="1:7" ht="15">
      <c r="A131" s="28">
        <v>3000000000</v>
      </c>
      <c r="B131" s="22" t="s">
        <v>310</v>
      </c>
      <c r="C131" s="32">
        <v>1500000000</v>
      </c>
      <c r="D131" s="23" t="s">
        <v>305</v>
      </c>
      <c r="E131" s="32">
        <v>412500000</v>
      </c>
      <c r="F131" s="23" t="s">
        <v>306</v>
      </c>
      <c r="G131" s="24">
        <v>0.35</v>
      </c>
    </row>
    <row r="132" spans="1:7" ht="15">
      <c r="A132" s="28">
        <v>6000000000</v>
      </c>
      <c r="B132" s="22" t="s">
        <v>310</v>
      </c>
      <c r="C132" s="32">
        <v>3000000000</v>
      </c>
      <c r="D132" s="23" t="s">
        <v>305</v>
      </c>
      <c r="E132" s="32">
        <v>927500000</v>
      </c>
      <c r="F132" s="23" t="s">
        <v>306</v>
      </c>
      <c r="G132" s="24">
        <v>0.4</v>
      </c>
    </row>
    <row r="133" spans="1:7" ht="15">
      <c r="A133" s="28">
        <v>12000000000</v>
      </c>
      <c r="B133" s="22" t="s">
        <v>310</v>
      </c>
      <c r="C133" s="32">
        <v>6000000000</v>
      </c>
      <c r="D133" s="23" t="s">
        <v>305</v>
      </c>
      <c r="E133" s="32">
        <v>2137500000</v>
      </c>
      <c r="F133" s="23" t="s">
        <v>306</v>
      </c>
      <c r="G133" s="24">
        <v>0.45</v>
      </c>
    </row>
    <row r="134" spans="1:7" ht="15">
      <c r="A134" s="28">
        <v>24000000000</v>
      </c>
      <c r="B134" s="22" t="s">
        <v>310</v>
      </c>
      <c r="C134" s="32">
        <v>12000000000</v>
      </c>
      <c r="D134" s="23" t="s">
        <v>305</v>
      </c>
      <c r="E134" s="32">
        <v>4837500000</v>
      </c>
      <c r="F134" s="23" t="s">
        <v>306</v>
      </c>
      <c r="G134" s="24">
        <v>0.5</v>
      </c>
    </row>
    <row r="135" spans="1:7" ht="30.75" thickBot="1">
      <c r="A135" s="28">
        <v>24000000000</v>
      </c>
      <c r="B135" s="22" t="s">
        <v>283</v>
      </c>
      <c r="C135" s="32">
        <v>24000000000</v>
      </c>
      <c r="D135" s="23" t="s">
        <v>305</v>
      </c>
      <c r="E135" s="32">
        <v>10837500000</v>
      </c>
      <c r="F135" s="23" t="s">
        <v>306</v>
      </c>
      <c r="G135" s="24">
        <v>0.55000000000000004</v>
      </c>
    </row>
    <row r="136" spans="1:7" ht="15.75" thickBot="1">
      <c r="A136" s="957" t="s">
        <v>281</v>
      </c>
      <c r="B136" s="958"/>
      <c r="C136" s="958"/>
      <c r="D136" s="958"/>
      <c r="E136" s="958"/>
      <c r="F136" s="958"/>
      <c r="G136" s="959"/>
    </row>
    <row r="137" spans="1:7" ht="15.75" thickBot="1">
      <c r="A137" s="29"/>
      <c r="B137" s="14"/>
      <c r="C137" s="20"/>
      <c r="D137" s="14"/>
      <c r="E137" s="20"/>
      <c r="F137" s="14"/>
      <c r="G137" s="25"/>
    </row>
    <row r="138" spans="1:7" ht="14.25">
      <c r="A138" s="877" t="s">
        <v>319</v>
      </c>
      <c r="B138" s="878"/>
      <c r="C138" s="878"/>
      <c r="D138" s="878"/>
      <c r="E138" s="878"/>
      <c r="F138" s="878"/>
      <c r="G138" s="879"/>
    </row>
    <row r="139" spans="1:7" ht="15">
      <c r="A139" s="28">
        <v>500000000</v>
      </c>
      <c r="B139" s="960" t="s">
        <v>309</v>
      </c>
      <c r="C139" s="960"/>
      <c r="D139" s="960"/>
      <c r="E139" s="960"/>
      <c r="F139" s="960"/>
      <c r="G139" s="24">
        <v>0.25</v>
      </c>
    </row>
    <row r="140" spans="1:7" ht="15">
      <c r="A140" s="28">
        <v>1000000000</v>
      </c>
      <c r="B140" s="22" t="s">
        <v>310</v>
      </c>
      <c r="C140" s="32">
        <v>500000000</v>
      </c>
      <c r="D140" s="23" t="s">
        <v>305</v>
      </c>
      <c r="E140" s="32">
        <v>125000000</v>
      </c>
      <c r="F140" s="23" t="s">
        <v>306</v>
      </c>
      <c r="G140" s="24">
        <v>0.3</v>
      </c>
    </row>
    <row r="141" spans="1:7" ht="15">
      <c r="A141" s="28">
        <v>2000000000</v>
      </c>
      <c r="B141" s="22" t="s">
        <v>310</v>
      </c>
      <c r="C141" s="32">
        <v>1000000000</v>
      </c>
      <c r="D141" s="23" t="s">
        <v>305</v>
      </c>
      <c r="E141" s="32">
        <v>275000000</v>
      </c>
      <c r="F141" s="23" t="s">
        <v>306</v>
      </c>
      <c r="G141" s="24">
        <v>0.35</v>
      </c>
    </row>
    <row r="142" spans="1:7" ht="15">
      <c r="A142" s="28">
        <v>4000000000</v>
      </c>
      <c r="B142" s="22" t="s">
        <v>310</v>
      </c>
      <c r="C142" s="32">
        <v>2000000000</v>
      </c>
      <c r="D142" s="23" t="s">
        <v>305</v>
      </c>
      <c r="E142" s="32">
        <v>625000000</v>
      </c>
      <c r="F142" s="23" t="s">
        <v>306</v>
      </c>
      <c r="G142" s="24">
        <v>0.4</v>
      </c>
    </row>
    <row r="143" spans="1:7" ht="15">
      <c r="A143" s="28">
        <v>8000000000</v>
      </c>
      <c r="B143" s="22" t="s">
        <v>310</v>
      </c>
      <c r="C143" s="32">
        <v>4000000000</v>
      </c>
      <c r="D143" s="23" t="s">
        <v>305</v>
      </c>
      <c r="E143" s="32">
        <v>1425000000</v>
      </c>
      <c r="F143" s="23" t="s">
        <v>306</v>
      </c>
      <c r="G143" s="24">
        <v>0.45</v>
      </c>
    </row>
    <row r="144" spans="1:7" ht="15">
      <c r="A144" s="28">
        <v>16000000000</v>
      </c>
      <c r="B144" s="22" t="s">
        <v>310</v>
      </c>
      <c r="C144" s="32">
        <v>8000000000</v>
      </c>
      <c r="D144" s="23" t="s">
        <v>305</v>
      </c>
      <c r="E144" s="32">
        <v>3225000000</v>
      </c>
      <c r="F144" s="23" t="s">
        <v>306</v>
      </c>
      <c r="G144" s="24">
        <v>0.5</v>
      </c>
    </row>
    <row r="145" spans="1:7" ht="30.75" thickBot="1">
      <c r="A145" s="28">
        <v>16000000000</v>
      </c>
      <c r="B145" s="22" t="s">
        <v>283</v>
      </c>
      <c r="C145" s="32">
        <v>16000000000</v>
      </c>
      <c r="D145" s="23" t="s">
        <v>305</v>
      </c>
      <c r="E145" s="32">
        <v>7225000000</v>
      </c>
      <c r="F145" s="23" t="s">
        <v>306</v>
      </c>
      <c r="G145" s="24">
        <v>0.55000000000000004</v>
      </c>
    </row>
    <row r="146" spans="1:7" ht="15.75" thickBot="1">
      <c r="A146" s="957" t="s">
        <v>281</v>
      </c>
      <c r="B146" s="958"/>
      <c r="C146" s="958"/>
      <c r="D146" s="958"/>
      <c r="E146" s="958"/>
      <c r="F146" s="958"/>
      <c r="G146" s="959"/>
    </row>
    <row r="147" spans="1:7" ht="15.75" thickBot="1">
      <c r="A147" s="29"/>
      <c r="B147" s="14"/>
      <c r="C147" s="20"/>
      <c r="D147" s="14"/>
      <c r="E147" s="20"/>
      <c r="F147" s="14"/>
      <c r="G147" s="25"/>
    </row>
    <row r="148" spans="1:7" ht="14.25">
      <c r="A148" s="877" t="s">
        <v>320</v>
      </c>
      <c r="B148" s="878"/>
      <c r="C148" s="878"/>
      <c r="D148" s="878"/>
      <c r="E148" s="878"/>
      <c r="F148" s="878"/>
      <c r="G148" s="879"/>
    </row>
    <row r="149" spans="1:7" ht="15">
      <c r="A149" s="28">
        <v>300000000</v>
      </c>
      <c r="B149" s="960" t="s">
        <v>309</v>
      </c>
      <c r="C149" s="960"/>
      <c r="D149" s="960"/>
      <c r="E149" s="960"/>
      <c r="F149" s="960"/>
      <c r="G149" s="24">
        <v>0.25</v>
      </c>
    </row>
    <row r="150" spans="1:7" ht="15">
      <c r="A150" s="28">
        <v>600000000</v>
      </c>
      <c r="B150" s="22" t="s">
        <v>310</v>
      </c>
      <c r="C150" s="32">
        <v>300000000</v>
      </c>
      <c r="D150" s="23" t="s">
        <v>305</v>
      </c>
      <c r="E150" s="32">
        <v>75000000</v>
      </c>
      <c r="F150" s="23" t="s">
        <v>306</v>
      </c>
      <c r="G150" s="24">
        <v>0.3</v>
      </c>
    </row>
    <row r="151" spans="1:7" ht="15">
      <c r="A151" s="28">
        <v>1200000000</v>
      </c>
      <c r="B151" s="22" t="s">
        <v>310</v>
      </c>
      <c r="C151" s="32">
        <v>600000000</v>
      </c>
      <c r="D151" s="23" t="s">
        <v>305</v>
      </c>
      <c r="E151" s="32">
        <v>165000000</v>
      </c>
      <c r="F151" s="23" t="s">
        <v>306</v>
      </c>
      <c r="G151" s="24">
        <v>0.35</v>
      </c>
    </row>
    <row r="152" spans="1:7" ht="15">
      <c r="A152" s="28">
        <v>2400000000</v>
      </c>
      <c r="B152" s="22" t="s">
        <v>310</v>
      </c>
      <c r="C152" s="32">
        <v>1200000000</v>
      </c>
      <c r="D152" s="23" t="s">
        <v>305</v>
      </c>
      <c r="E152" s="32">
        <v>375000000</v>
      </c>
      <c r="F152" s="23" t="s">
        <v>306</v>
      </c>
      <c r="G152" s="24">
        <v>0.4</v>
      </c>
    </row>
    <row r="153" spans="1:7" ht="15">
      <c r="A153" s="28">
        <v>4800000000</v>
      </c>
      <c r="B153" s="22" t="s">
        <v>310</v>
      </c>
      <c r="C153" s="32">
        <v>2400000000</v>
      </c>
      <c r="D153" s="23" t="s">
        <v>305</v>
      </c>
      <c r="E153" s="32">
        <v>855000000</v>
      </c>
      <c r="F153" s="23" t="s">
        <v>306</v>
      </c>
      <c r="G153" s="24">
        <v>0.45</v>
      </c>
    </row>
    <row r="154" spans="1:7" ht="15">
      <c r="A154" s="28">
        <v>9600000000</v>
      </c>
      <c r="B154" s="22" t="s">
        <v>310</v>
      </c>
      <c r="C154" s="32">
        <v>4800000000</v>
      </c>
      <c r="D154" s="23" t="s">
        <v>305</v>
      </c>
      <c r="E154" s="32">
        <v>1935000000</v>
      </c>
      <c r="F154" s="23" t="s">
        <v>306</v>
      </c>
      <c r="G154" s="24">
        <v>0.5</v>
      </c>
    </row>
    <row r="155" spans="1:7" ht="30.75" thickBot="1">
      <c r="A155" s="28">
        <v>9600000000</v>
      </c>
      <c r="B155" s="22" t="s">
        <v>283</v>
      </c>
      <c r="C155" s="32">
        <v>9600000000</v>
      </c>
      <c r="D155" s="23" t="s">
        <v>305</v>
      </c>
      <c r="E155" s="32">
        <v>4335000000</v>
      </c>
      <c r="F155" s="23" t="s">
        <v>306</v>
      </c>
      <c r="G155" s="24">
        <v>0.55000000000000004</v>
      </c>
    </row>
    <row r="156" spans="1:7" ht="15.75" thickBot="1">
      <c r="A156" s="957" t="s">
        <v>281</v>
      </c>
      <c r="B156" s="958"/>
      <c r="C156" s="958"/>
      <c r="D156" s="958"/>
      <c r="E156" s="958"/>
      <c r="F156" s="958"/>
      <c r="G156" s="959"/>
    </row>
    <row r="157" spans="1:7" ht="30.75" customHeight="1" thickBot="1">
      <c r="A157" s="29"/>
      <c r="B157" s="14"/>
      <c r="C157" s="20"/>
      <c r="D157" s="14"/>
      <c r="E157" s="20"/>
      <c r="F157" s="14"/>
      <c r="G157" s="25"/>
    </row>
    <row r="158" spans="1:7" ht="14.25">
      <c r="A158" s="877" t="s">
        <v>321</v>
      </c>
      <c r="B158" s="878"/>
      <c r="C158" s="878"/>
      <c r="D158" s="878"/>
      <c r="E158" s="878"/>
      <c r="F158" s="878"/>
      <c r="G158" s="879"/>
    </row>
    <row r="159" spans="1:7" ht="15">
      <c r="A159" s="28">
        <v>150000000</v>
      </c>
      <c r="B159" s="960" t="s">
        <v>309</v>
      </c>
      <c r="C159" s="960"/>
      <c r="D159" s="960"/>
      <c r="E159" s="960"/>
      <c r="F159" s="960"/>
      <c r="G159" s="24">
        <v>0.25</v>
      </c>
    </row>
    <row r="160" spans="1:7" ht="15">
      <c r="A160" s="28">
        <v>310000000</v>
      </c>
      <c r="B160" s="22" t="s">
        <v>310</v>
      </c>
      <c r="C160" s="32">
        <v>150000000</v>
      </c>
      <c r="D160" s="23" t="s">
        <v>305</v>
      </c>
      <c r="E160" s="32">
        <v>37500000</v>
      </c>
      <c r="F160" s="23" t="s">
        <v>306</v>
      </c>
      <c r="G160" s="24">
        <v>0.3</v>
      </c>
    </row>
    <row r="161" spans="1:7" ht="15">
      <c r="A161" s="28">
        <v>620000000</v>
      </c>
      <c r="B161" s="22" t="s">
        <v>310</v>
      </c>
      <c r="C161" s="32">
        <v>310000000</v>
      </c>
      <c r="D161" s="23" t="s">
        <v>305</v>
      </c>
      <c r="E161" s="32">
        <v>85500000</v>
      </c>
      <c r="F161" s="23" t="s">
        <v>306</v>
      </c>
      <c r="G161" s="24">
        <v>0.35</v>
      </c>
    </row>
    <row r="162" spans="1:7" ht="15">
      <c r="A162" s="28">
        <v>1240000000</v>
      </c>
      <c r="B162" s="22" t="s">
        <v>310</v>
      </c>
      <c r="C162" s="32">
        <v>620000000</v>
      </c>
      <c r="D162" s="23" t="s">
        <v>305</v>
      </c>
      <c r="E162" s="32">
        <v>194000000</v>
      </c>
      <c r="F162" s="23" t="s">
        <v>306</v>
      </c>
      <c r="G162" s="24">
        <v>0.4</v>
      </c>
    </row>
    <row r="163" spans="1:7" ht="15">
      <c r="A163" s="28">
        <v>2490000000</v>
      </c>
      <c r="B163" s="22" t="s">
        <v>310</v>
      </c>
      <c r="C163" s="32">
        <v>1240000000</v>
      </c>
      <c r="D163" s="23" t="s">
        <v>305</v>
      </c>
      <c r="E163" s="32">
        <v>442000000</v>
      </c>
      <c r="F163" s="23" t="s">
        <v>306</v>
      </c>
      <c r="G163" s="24">
        <v>0.45</v>
      </c>
    </row>
    <row r="164" spans="1:7" ht="15">
      <c r="A164" s="28">
        <v>4980000000</v>
      </c>
      <c r="B164" s="22" t="s">
        <v>310</v>
      </c>
      <c r="C164" s="32">
        <v>2490000000</v>
      </c>
      <c r="D164" s="23" t="s">
        <v>305</v>
      </c>
      <c r="E164" s="32">
        <v>1004500000</v>
      </c>
      <c r="F164" s="23" t="s">
        <v>306</v>
      </c>
      <c r="G164" s="24">
        <v>0.5</v>
      </c>
    </row>
    <row r="165" spans="1:7" ht="30.75" thickBot="1">
      <c r="A165" s="28">
        <v>4980000000</v>
      </c>
      <c r="B165" s="22" t="s">
        <v>283</v>
      </c>
      <c r="C165" s="32">
        <v>4980000000</v>
      </c>
      <c r="D165" s="23" t="s">
        <v>305</v>
      </c>
      <c r="E165" s="32">
        <v>2249500000</v>
      </c>
      <c r="F165" s="23" t="s">
        <v>306</v>
      </c>
      <c r="G165" s="24">
        <v>0.55000000000000004</v>
      </c>
    </row>
    <row r="166" spans="1:7" ht="15.75" thickBot="1">
      <c r="A166" s="957" t="s">
        <v>281</v>
      </c>
      <c r="B166" s="958"/>
      <c r="C166" s="958"/>
      <c r="D166" s="958"/>
      <c r="E166" s="958"/>
      <c r="F166" s="958"/>
      <c r="G166" s="959"/>
    </row>
    <row r="167" spans="1:7" ht="15.75" thickBot="1">
      <c r="A167" s="29"/>
      <c r="B167" s="14"/>
      <c r="C167" s="20"/>
      <c r="D167" s="14"/>
      <c r="E167" s="20"/>
      <c r="F167" s="14"/>
      <c r="G167" s="25"/>
    </row>
    <row r="168" spans="1:7" ht="14.25">
      <c r="A168" s="877" t="s">
        <v>322</v>
      </c>
      <c r="B168" s="878"/>
      <c r="C168" s="878"/>
      <c r="D168" s="878"/>
      <c r="E168" s="878"/>
      <c r="F168" s="878"/>
      <c r="G168" s="879"/>
    </row>
    <row r="169" spans="1:7" ht="15">
      <c r="A169" s="28">
        <v>75000000</v>
      </c>
      <c r="B169" s="960" t="s">
        <v>309</v>
      </c>
      <c r="C169" s="960"/>
      <c r="D169" s="960"/>
      <c r="E169" s="960"/>
      <c r="F169" s="960"/>
      <c r="G169" s="24">
        <v>0.25</v>
      </c>
    </row>
    <row r="170" spans="1:7" ht="15">
      <c r="A170" s="28">
        <v>150000000</v>
      </c>
      <c r="B170" s="22" t="s">
        <v>310</v>
      </c>
      <c r="C170" s="32">
        <v>75000000</v>
      </c>
      <c r="D170" s="23" t="s">
        <v>305</v>
      </c>
      <c r="E170" s="32">
        <v>18750000</v>
      </c>
      <c r="F170" s="23" t="s">
        <v>306</v>
      </c>
      <c r="G170" s="24">
        <v>0.3</v>
      </c>
    </row>
    <row r="171" spans="1:7" ht="15">
      <c r="A171" s="28">
        <v>300000000</v>
      </c>
      <c r="B171" s="22" t="s">
        <v>310</v>
      </c>
      <c r="C171" s="32">
        <v>150000000</v>
      </c>
      <c r="D171" s="23" t="s">
        <v>305</v>
      </c>
      <c r="E171" s="32">
        <v>41250000</v>
      </c>
      <c r="F171" s="23" t="s">
        <v>306</v>
      </c>
      <c r="G171" s="24">
        <v>0.35</v>
      </c>
    </row>
    <row r="172" spans="1:7" ht="15">
      <c r="A172" s="28">
        <v>600000000</v>
      </c>
      <c r="B172" s="22" t="s">
        <v>310</v>
      </c>
      <c r="C172" s="32">
        <v>300000000</v>
      </c>
      <c r="D172" s="23" t="s">
        <v>305</v>
      </c>
      <c r="E172" s="32">
        <v>93750000</v>
      </c>
      <c r="F172" s="23" t="s">
        <v>306</v>
      </c>
      <c r="G172" s="24">
        <v>0.4</v>
      </c>
    </row>
    <row r="173" spans="1:7" ht="15">
      <c r="A173" s="28">
        <v>1200000000</v>
      </c>
      <c r="B173" s="22" t="s">
        <v>310</v>
      </c>
      <c r="C173" s="32">
        <v>600000000</v>
      </c>
      <c r="D173" s="23" t="s">
        <v>305</v>
      </c>
      <c r="E173" s="32">
        <v>213750000</v>
      </c>
      <c r="F173" s="23" t="s">
        <v>306</v>
      </c>
      <c r="G173" s="24">
        <v>0.45</v>
      </c>
    </row>
    <row r="174" spans="1:7" ht="15">
      <c r="A174" s="28">
        <v>2400000000</v>
      </c>
      <c r="B174" s="22" t="s">
        <v>310</v>
      </c>
      <c r="C174" s="32">
        <v>1200000000</v>
      </c>
      <c r="D174" s="23" t="s">
        <v>305</v>
      </c>
      <c r="E174" s="32">
        <v>483750000</v>
      </c>
      <c r="F174" s="23" t="s">
        <v>306</v>
      </c>
      <c r="G174" s="24">
        <v>0.5</v>
      </c>
    </row>
    <row r="175" spans="1:7" ht="30.75" thickBot="1">
      <c r="A175" s="28">
        <v>2400000000</v>
      </c>
      <c r="B175" s="22" t="s">
        <v>283</v>
      </c>
      <c r="C175" s="32">
        <v>2400000000</v>
      </c>
      <c r="D175" s="23" t="s">
        <v>305</v>
      </c>
      <c r="E175" s="32">
        <v>1083750000</v>
      </c>
      <c r="F175" s="23" t="s">
        <v>306</v>
      </c>
      <c r="G175" s="24">
        <v>0.55000000000000004</v>
      </c>
    </row>
    <row r="176" spans="1:7" ht="15.75" thickBot="1">
      <c r="A176" s="957" t="s">
        <v>281</v>
      </c>
      <c r="B176" s="958"/>
      <c r="C176" s="958"/>
      <c r="D176" s="958"/>
      <c r="E176" s="958"/>
      <c r="F176" s="958"/>
      <c r="G176" s="959"/>
    </row>
    <row r="177" spans="1:7" ht="15.75" thickBot="1">
      <c r="A177" s="29"/>
      <c r="B177" s="14"/>
      <c r="C177" s="20"/>
      <c r="D177" s="14"/>
      <c r="E177" s="20"/>
      <c r="F177" s="14"/>
      <c r="G177" s="25"/>
    </row>
    <row r="178" spans="1:7" ht="14.25">
      <c r="A178" s="877" t="s">
        <v>323</v>
      </c>
      <c r="B178" s="878"/>
      <c r="C178" s="878"/>
      <c r="D178" s="878"/>
      <c r="E178" s="878"/>
      <c r="F178" s="878"/>
      <c r="G178" s="879"/>
    </row>
    <row r="179" spans="1:7" ht="15">
      <c r="A179" s="28">
        <v>32000000</v>
      </c>
      <c r="B179" s="960" t="s">
        <v>309</v>
      </c>
      <c r="C179" s="960"/>
      <c r="D179" s="960"/>
      <c r="E179" s="960"/>
      <c r="F179" s="960"/>
      <c r="G179" s="24">
        <v>0.25</v>
      </c>
    </row>
    <row r="180" spans="1:7" ht="15">
      <c r="A180" s="28">
        <v>64000000</v>
      </c>
      <c r="B180" s="22" t="s">
        <v>310</v>
      </c>
      <c r="C180" s="32">
        <v>32000000</v>
      </c>
      <c r="D180" s="23" t="s">
        <v>305</v>
      </c>
      <c r="E180" s="32">
        <v>8000000</v>
      </c>
      <c r="F180" s="23" t="s">
        <v>306</v>
      </c>
      <c r="G180" s="24">
        <v>0.3</v>
      </c>
    </row>
    <row r="181" spans="1:7" ht="15">
      <c r="A181" s="28">
        <v>128000000</v>
      </c>
      <c r="B181" s="22" t="s">
        <v>310</v>
      </c>
      <c r="C181" s="32">
        <v>64000000</v>
      </c>
      <c r="D181" s="23" t="s">
        <v>305</v>
      </c>
      <c r="E181" s="32">
        <v>17600000</v>
      </c>
      <c r="F181" s="23" t="s">
        <v>306</v>
      </c>
      <c r="G181" s="24">
        <v>0.35</v>
      </c>
    </row>
    <row r="182" spans="1:7" ht="15">
      <c r="A182" s="28">
        <v>256000000</v>
      </c>
      <c r="B182" s="22" t="s">
        <v>310</v>
      </c>
      <c r="C182" s="32">
        <v>128000000</v>
      </c>
      <c r="D182" s="23" t="s">
        <v>305</v>
      </c>
      <c r="E182" s="32">
        <v>40000000</v>
      </c>
      <c r="F182" s="23" t="s">
        <v>306</v>
      </c>
      <c r="G182" s="24">
        <v>0.4</v>
      </c>
    </row>
    <row r="183" spans="1:7" ht="15">
      <c r="A183" s="28">
        <v>512000000</v>
      </c>
      <c r="B183" s="22" t="s">
        <v>310</v>
      </c>
      <c r="C183" s="32">
        <v>256000000</v>
      </c>
      <c r="D183" s="23" t="s">
        <v>305</v>
      </c>
      <c r="E183" s="32">
        <v>91200000</v>
      </c>
      <c r="F183" s="23" t="s">
        <v>306</v>
      </c>
      <c r="G183" s="24">
        <v>0.45</v>
      </c>
    </row>
    <row r="184" spans="1:7" ht="30.75" thickBot="1">
      <c r="A184" s="28">
        <v>512000000</v>
      </c>
      <c r="B184" s="22" t="s">
        <v>283</v>
      </c>
      <c r="C184" s="32">
        <v>512000000</v>
      </c>
      <c r="D184" s="23" t="s">
        <v>305</v>
      </c>
      <c r="E184" s="32">
        <v>206400000</v>
      </c>
      <c r="F184" s="23" t="s">
        <v>306</v>
      </c>
      <c r="G184" s="24">
        <v>0.5</v>
      </c>
    </row>
    <row r="185" spans="1:7" ht="15.75" thickBot="1">
      <c r="A185" s="957" t="s">
        <v>281</v>
      </c>
      <c r="B185" s="958"/>
      <c r="C185" s="958"/>
      <c r="D185" s="958"/>
      <c r="E185" s="958"/>
      <c r="F185" s="958"/>
      <c r="G185" s="959"/>
    </row>
    <row r="186" spans="1:7" ht="15.75" thickBot="1">
      <c r="A186" s="964" t="s">
        <v>324</v>
      </c>
      <c r="B186" s="965"/>
      <c r="C186" s="965"/>
      <c r="D186" s="965"/>
      <c r="E186" s="965"/>
      <c r="F186" s="965"/>
      <c r="G186" s="966"/>
    </row>
    <row r="187" spans="1:7" ht="15.75" thickBot="1">
      <c r="A187" s="30"/>
      <c r="B187" s="23"/>
      <c r="C187" s="33"/>
      <c r="D187" s="23"/>
      <c r="E187" s="33"/>
      <c r="F187" s="23"/>
      <c r="G187" s="26"/>
    </row>
    <row r="188" spans="1:7" ht="14.25">
      <c r="A188" s="877" t="s">
        <v>325</v>
      </c>
      <c r="B188" s="878"/>
      <c r="C188" s="878"/>
      <c r="D188" s="878"/>
      <c r="E188" s="878"/>
      <c r="F188" s="878"/>
      <c r="G188" s="879"/>
    </row>
    <row r="189" spans="1:7" ht="15">
      <c r="A189" s="28">
        <v>20000000</v>
      </c>
      <c r="B189" s="960" t="s">
        <v>309</v>
      </c>
      <c r="C189" s="960"/>
      <c r="D189" s="960"/>
      <c r="E189" s="960"/>
      <c r="F189" s="960"/>
      <c r="G189" s="24">
        <v>0.25</v>
      </c>
    </row>
    <row r="190" spans="1:7" ht="15">
      <c r="A190" s="28">
        <v>40000000</v>
      </c>
      <c r="B190" s="22" t="s">
        <v>310</v>
      </c>
      <c r="C190" s="32">
        <v>20000000</v>
      </c>
      <c r="D190" s="23" t="s">
        <v>305</v>
      </c>
      <c r="E190" s="32">
        <v>5000000</v>
      </c>
      <c r="F190" s="23" t="s">
        <v>306</v>
      </c>
      <c r="G190" s="24">
        <v>0.3</v>
      </c>
    </row>
    <row r="191" spans="1:7" ht="15">
      <c r="A191" s="28">
        <v>80000000</v>
      </c>
      <c r="B191" s="22" t="s">
        <v>310</v>
      </c>
      <c r="C191" s="32">
        <v>40000000</v>
      </c>
      <c r="D191" s="23" t="s">
        <v>305</v>
      </c>
      <c r="E191" s="32">
        <v>11000000</v>
      </c>
      <c r="F191" s="23" t="s">
        <v>306</v>
      </c>
      <c r="G191" s="24">
        <v>0.35</v>
      </c>
    </row>
    <row r="192" spans="1:7" ht="15">
      <c r="A192" s="28">
        <v>160000000</v>
      </c>
      <c r="B192" s="22" t="s">
        <v>310</v>
      </c>
      <c r="C192" s="32">
        <v>80000000</v>
      </c>
      <c r="D192" s="23" t="s">
        <v>305</v>
      </c>
      <c r="E192" s="32">
        <v>25000000</v>
      </c>
      <c r="F192" s="23" t="s">
        <v>306</v>
      </c>
      <c r="G192" s="24">
        <v>0.4</v>
      </c>
    </row>
    <row r="193" spans="1:7" ht="15">
      <c r="A193" s="28">
        <v>320000000</v>
      </c>
      <c r="B193" s="22" t="s">
        <v>310</v>
      </c>
      <c r="C193" s="32">
        <v>160000000</v>
      </c>
      <c r="D193" s="23" t="s">
        <v>305</v>
      </c>
      <c r="E193" s="32">
        <v>57000000</v>
      </c>
      <c r="F193" s="23" t="s">
        <v>306</v>
      </c>
      <c r="G193" s="24">
        <v>0.45</v>
      </c>
    </row>
    <row r="194" spans="1:7" ht="30.75" thickBot="1">
      <c r="A194" s="28">
        <v>320000000</v>
      </c>
      <c r="B194" s="22" t="s">
        <v>283</v>
      </c>
      <c r="C194" s="32">
        <v>320000000</v>
      </c>
      <c r="D194" s="23" t="s">
        <v>305</v>
      </c>
      <c r="E194" s="32">
        <v>129000000</v>
      </c>
      <c r="F194" s="23" t="s">
        <v>306</v>
      </c>
      <c r="G194" s="24">
        <v>0.5</v>
      </c>
    </row>
    <row r="195" spans="1:7" ht="15.75" thickBot="1">
      <c r="A195" s="957" t="s">
        <v>281</v>
      </c>
      <c r="B195" s="958"/>
      <c r="C195" s="958"/>
      <c r="D195" s="958"/>
      <c r="E195" s="958"/>
      <c r="F195" s="958"/>
      <c r="G195" s="959"/>
    </row>
    <row r="196" spans="1:7" ht="15.75" thickBot="1">
      <c r="A196" s="964" t="s">
        <v>324</v>
      </c>
      <c r="B196" s="965"/>
      <c r="C196" s="965"/>
      <c r="D196" s="965"/>
      <c r="E196" s="965"/>
      <c r="F196" s="965"/>
      <c r="G196" s="966"/>
    </row>
  </sheetData>
  <mergeCells count="72">
    <mergeCell ref="A1:G1"/>
    <mergeCell ref="B2:F2"/>
    <mergeCell ref="A6:G6"/>
    <mergeCell ref="A7:G7"/>
    <mergeCell ref="B8:F8"/>
    <mergeCell ref="A12:G12"/>
    <mergeCell ref="A195:G195"/>
    <mergeCell ref="A196:G196"/>
    <mergeCell ref="A185:G185"/>
    <mergeCell ref="A186:G186"/>
    <mergeCell ref="A188:G188"/>
    <mergeCell ref="B189:F189"/>
    <mergeCell ref="B169:F169"/>
    <mergeCell ref="A176:G176"/>
    <mergeCell ref="A178:G178"/>
    <mergeCell ref="B179:F179"/>
    <mergeCell ref="A158:G158"/>
    <mergeCell ref="B159:F159"/>
    <mergeCell ref="A166:G166"/>
    <mergeCell ref="A168:G168"/>
    <mergeCell ref="A146:G146"/>
    <mergeCell ref="A148:G148"/>
    <mergeCell ref="B149:F149"/>
    <mergeCell ref="A156:G156"/>
    <mergeCell ref="B129:F129"/>
    <mergeCell ref="A136:G136"/>
    <mergeCell ref="A138:G138"/>
    <mergeCell ref="B139:F139"/>
    <mergeCell ref="A119:G119"/>
    <mergeCell ref="B120:F120"/>
    <mergeCell ref="A126:G126"/>
    <mergeCell ref="A128:G128"/>
    <mergeCell ref="A109:G109"/>
    <mergeCell ref="B110:F110"/>
    <mergeCell ref="A116:G116"/>
    <mergeCell ref="A118:G118"/>
    <mergeCell ref="A98:G98"/>
    <mergeCell ref="A100:G100"/>
    <mergeCell ref="B101:F101"/>
    <mergeCell ref="A107:G107"/>
    <mergeCell ref="B83:F83"/>
    <mergeCell ref="A89:G89"/>
    <mergeCell ref="A91:G91"/>
    <mergeCell ref="B92:F92"/>
    <mergeCell ref="A73:G73"/>
    <mergeCell ref="B74:F74"/>
    <mergeCell ref="A80:G80"/>
    <mergeCell ref="A82:G82"/>
    <mergeCell ref="A62:G62"/>
    <mergeCell ref="A64:G64"/>
    <mergeCell ref="B65:F65"/>
    <mergeCell ref="A71:G71"/>
    <mergeCell ref="A54:G54"/>
    <mergeCell ref="A56:G56"/>
    <mergeCell ref="B57:F57"/>
    <mergeCell ref="B43:F43"/>
    <mergeCell ref="A47:G47"/>
    <mergeCell ref="A49:G49"/>
    <mergeCell ref="A14:G14"/>
    <mergeCell ref="B15:F15"/>
    <mergeCell ref="A19:G19"/>
    <mergeCell ref="A21:G21"/>
    <mergeCell ref="B50:F50"/>
    <mergeCell ref="A42:G42"/>
    <mergeCell ref="A33:G33"/>
    <mergeCell ref="B22:F22"/>
    <mergeCell ref="A26:G26"/>
    <mergeCell ref="A28:G28"/>
    <mergeCell ref="B29:F29"/>
    <mergeCell ref="A35:G35"/>
    <mergeCell ref="B36:F36"/>
    <mergeCell ref="A40:G40"/>
  </mergeCells>
  <phoneticPr fontId="0" type="noConversion"/>
  <printOptions horizontalCentered="1"/>
  <pageMargins left="0.74803149606299213" right="0.35433070866141736" top="0.19685039370078741" bottom="0.19685039370078741" header="0" footer="0"/>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2"/>
  <sheetViews>
    <sheetView topLeftCell="A4" workbookViewId="0">
      <selection activeCell="B3" sqref="B3"/>
    </sheetView>
  </sheetViews>
  <sheetFormatPr defaultRowHeight="12.75"/>
  <cols>
    <col min="1" max="1" width="70" customWidth="1"/>
    <col min="2" max="2" width="13.85546875" customWidth="1"/>
  </cols>
  <sheetData>
    <row r="1" spans="1:2" s="660" customFormat="1" ht="14.25" customHeight="1">
      <c r="A1" s="967" t="s">
        <v>4820</v>
      </c>
      <c r="B1" s="968"/>
    </row>
    <row r="2" spans="1:2" s="660" customFormat="1" ht="15">
      <c r="A2" s="35" t="s">
        <v>327</v>
      </c>
      <c r="B2" s="36" t="s">
        <v>4821</v>
      </c>
    </row>
    <row r="3" spans="1:2" s="660" customFormat="1" ht="30">
      <c r="A3" s="37" t="s">
        <v>329</v>
      </c>
      <c r="B3" s="38" t="s">
        <v>330</v>
      </c>
    </row>
    <row r="4" spans="1:2" s="660" customFormat="1" ht="15">
      <c r="A4" s="35" t="s">
        <v>331</v>
      </c>
      <c r="B4" s="39" t="s">
        <v>330</v>
      </c>
    </row>
    <row r="5" spans="1:2" s="660" customFormat="1" ht="15">
      <c r="A5" s="37" t="s">
        <v>332</v>
      </c>
      <c r="B5" s="38" t="s">
        <v>333</v>
      </c>
    </row>
    <row r="6" spans="1:2" s="660" customFormat="1" ht="15">
      <c r="A6" s="35" t="s">
        <v>334</v>
      </c>
      <c r="B6" s="39" t="s">
        <v>330</v>
      </c>
    </row>
    <row r="7" spans="1:2" s="660" customFormat="1" ht="15">
      <c r="A7" s="37" t="s">
        <v>335</v>
      </c>
      <c r="B7" s="38" t="s">
        <v>330</v>
      </c>
    </row>
    <row r="8" spans="1:2" s="660" customFormat="1" ht="15">
      <c r="A8" s="35" t="s">
        <v>336</v>
      </c>
      <c r="B8" s="36" t="s">
        <v>333</v>
      </c>
    </row>
    <row r="9" spans="1:2" s="660" customFormat="1" ht="15">
      <c r="A9" s="37" t="s">
        <v>337</v>
      </c>
      <c r="B9" s="38" t="s">
        <v>333</v>
      </c>
    </row>
    <row r="10" spans="1:2" s="660" customFormat="1" ht="15">
      <c r="A10" s="35" t="s">
        <v>338</v>
      </c>
      <c r="B10" s="36" t="s">
        <v>339</v>
      </c>
    </row>
    <row r="11" spans="1:2" s="660" customFormat="1" ht="15">
      <c r="A11" s="37" t="s">
        <v>340</v>
      </c>
      <c r="B11" s="38">
        <v>27.9</v>
      </c>
    </row>
    <row r="12" spans="1:2" s="660" customFormat="1" ht="15">
      <c r="A12" s="35" t="s">
        <v>341</v>
      </c>
      <c r="B12" s="36">
        <v>37.270000000000003</v>
      </c>
    </row>
    <row r="13" spans="1:2" s="660" customFormat="1" ht="15">
      <c r="A13" s="37" t="s">
        <v>342</v>
      </c>
      <c r="B13" s="38">
        <v>18.55</v>
      </c>
    </row>
    <row r="14" spans="1:2" s="660" customFormat="1" ht="15">
      <c r="A14" s="35" t="s">
        <v>343</v>
      </c>
      <c r="B14" s="36">
        <v>18.55</v>
      </c>
    </row>
    <row r="15" spans="1:2" s="660" customFormat="1" ht="15">
      <c r="A15" s="37" t="s">
        <v>344</v>
      </c>
      <c r="B15" s="38">
        <v>18.55</v>
      </c>
    </row>
    <row r="16" spans="1:2" s="660" customFormat="1" ht="15">
      <c r="A16" s="35" t="s">
        <v>345</v>
      </c>
      <c r="B16" s="36">
        <v>13.75</v>
      </c>
    </row>
    <row r="17" spans="1:2" s="660" customFormat="1" ht="15">
      <c r="A17" s="37" t="s">
        <v>346</v>
      </c>
      <c r="B17" s="38">
        <v>13.75</v>
      </c>
    </row>
    <row r="18" spans="1:2" s="660" customFormat="1" ht="15">
      <c r="A18" s="35" t="s">
        <v>347</v>
      </c>
      <c r="B18" s="36">
        <v>37.25</v>
      </c>
    </row>
    <row r="19" spans="1:2" s="660" customFormat="1" ht="15">
      <c r="A19" s="37" t="s">
        <v>348</v>
      </c>
      <c r="B19" s="38">
        <v>21.55</v>
      </c>
    </row>
    <row r="20" spans="1:2" s="660" customFormat="1" ht="15">
      <c r="A20" s="35" t="s">
        <v>349</v>
      </c>
      <c r="B20" s="36">
        <v>10.55</v>
      </c>
    </row>
    <row r="21" spans="1:2" s="660" customFormat="1" ht="15.75" thickBot="1">
      <c r="A21" s="37" t="s">
        <v>350</v>
      </c>
      <c r="B21" s="38">
        <v>10.55</v>
      </c>
    </row>
    <row r="22" spans="1:2" s="660" customFormat="1" ht="14.25" customHeight="1">
      <c r="A22" s="969" t="s">
        <v>351</v>
      </c>
      <c r="B22" s="970"/>
    </row>
    <row r="23" spans="1:2" s="660" customFormat="1" ht="15">
      <c r="A23" s="14"/>
      <c r="B23" s="14"/>
    </row>
    <row r="24" spans="1:2" s="660" customFormat="1" ht="13.5" thickBot="1"/>
    <row r="25" spans="1:2" s="660" customFormat="1" ht="14.25" customHeight="1">
      <c r="A25" s="967" t="s">
        <v>4819</v>
      </c>
      <c r="B25" s="968"/>
    </row>
    <row r="26" spans="1:2" s="660" customFormat="1" ht="15">
      <c r="A26" s="35" t="s">
        <v>327</v>
      </c>
      <c r="B26" s="36" t="s">
        <v>328</v>
      </c>
    </row>
    <row r="27" spans="1:2" s="660" customFormat="1" ht="30">
      <c r="A27" s="37" t="s">
        <v>329</v>
      </c>
      <c r="B27" s="38" t="s">
        <v>330</v>
      </c>
    </row>
    <row r="28" spans="1:2" s="660" customFormat="1" ht="15">
      <c r="A28" s="35" t="s">
        <v>331</v>
      </c>
      <c r="B28" s="39" t="s">
        <v>330</v>
      </c>
    </row>
    <row r="29" spans="1:2" s="660" customFormat="1" ht="15">
      <c r="A29" s="37" t="s">
        <v>332</v>
      </c>
      <c r="B29" s="38" t="s">
        <v>333</v>
      </c>
    </row>
    <row r="30" spans="1:2" s="660" customFormat="1" ht="15">
      <c r="A30" s="35" t="s">
        <v>334</v>
      </c>
      <c r="B30" s="39" t="s">
        <v>330</v>
      </c>
    </row>
    <row r="31" spans="1:2" s="660" customFormat="1" ht="15">
      <c r="A31" s="37" t="s">
        <v>335</v>
      </c>
      <c r="B31" s="38" t="s">
        <v>330</v>
      </c>
    </row>
    <row r="32" spans="1:2" s="660" customFormat="1" ht="15">
      <c r="A32" s="35" t="s">
        <v>336</v>
      </c>
      <c r="B32" s="36" t="s">
        <v>333</v>
      </c>
    </row>
    <row r="33" spans="1:2" s="660" customFormat="1" ht="15">
      <c r="A33" s="37" t="s">
        <v>337</v>
      </c>
      <c r="B33" s="38" t="s">
        <v>333</v>
      </c>
    </row>
    <row r="34" spans="1:2" s="660" customFormat="1" ht="15">
      <c r="A34" s="35" t="s">
        <v>338</v>
      </c>
      <c r="B34" s="36" t="s">
        <v>339</v>
      </c>
    </row>
    <row r="35" spans="1:2" s="660" customFormat="1" ht="15">
      <c r="A35" s="37" t="s">
        <v>340</v>
      </c>
      <c r="B35" s="38">
        <v>27.9</v>
      </c>
    </row>
    <row r="36" spans="1:2" s="660" customFormat="1" ht="15">
      <c r="A36" s="35" t="s">
        <v>341</v>
      </c>
      <c r="B36" s="36">
        <v>37.270000000000003</v>
      </c>
    </row>
    <row r="37" spans="1:2" s="660" customFormat="1" ht="15">
      <c r="A37" s="37" t="s">
        <v>342</v>
      </c>
      <c r="B37" s="38">
        <v>18.55</v>
      </c>
    </row>
    <row r="38" spans="1:2" s="660" customFormat="1" ht="15">
      <c r="A38" s="35" t="s">
        <v>343</v>
      </c>
      <c r="B38" s="36">
        <v>18.55</v>
      </c>
    </row>
    <row r="39" spans="1:2" s="660" customFormat="1" ht="15">
      <c r="A39" s="37" t="s">
        <v>344</v>
      </c>
      <c r="B39" s="38">
        <v>18.55</v>
      </c>
    </row>
    <row r="40" spans="1:2" s="660" customFormat="1" ht="15">
      <c r="A40" s="35" t="s">
        <v>345</v>
      </c>
      <c r="B40" s="36">
        <v>13.75</v>
      </c>
    </row>
    <row r="41" spans="1:2" s="660" customFormat="1" ht="15">
      <c r="A41" s="37" t="s">
        <v>346</v>
      </c>
      <c r="B41" s="38">
        <v>13.75</v>
      </c>
    </row>
    <row r="42" spans="1:2" s="660" customFormat="1" ht="15">
      <c r="A42" s="35" t="s">
        <v>347</v>
      </c>
      <c r="B42" s="36">
        <v>37.25</v>
      </c>
    </row>
    <row r="43" spans="1:2" s="660" customFormat="1" ht="15">
      <c r="A43" s="37" t="s">
        <v>348</v>
      </c>
      <c r="B43" s="38">
        <v>21.55</v>
      </c>
    </row>
    <row r="44" spans="1:2" s="660" customFormat="1" ht="15">
      <c r="A44" s="35" t="s">
        <v>349</v>
      </c>
      <c r="B44" s="36">
        <v>10.55</v>
      </c>
    </row>
    <row r="45" spans="1:2" s="660" customFormat="1" ht="15.75" thickBot="1">
      <c r="A45" s="37" t="s">
        <v>350</v>
      </c>
      <c r="B45" s="38">
        <v>10.55</v>
      </c>
    </row>
    <row r="46" spans="1:2" s="660" customFormat="1" ht="14.25" customHeight="1">
      <c r="A46" s="969" t="s">
        <v>351</v>
      </c>
      <c r="B46" s="970"/>
    </row>
    <row r="47" spans="1:2" s="660" customFormat="1" ht="15">
      <c r="A47" s="14"/>
      <c r="B47" s="14"/>
    </row>
    <row r="48" spans="1:2" s="660" customFormat="1" ht="13.5" thickBot="1"/>
    <row r="49" spans="1:2" ht="14.25">
      <c r="A49" s="967" t="s">
        <v>326</v>
      </c>
      <c r="B49" s="968"/>
    </row>
    <row r="50" spans="1:2" ht="15">
      <c r="A50" s="35" t="s">
        <v>327</v>
      </c>
      <c r="B50" s="36" t="s">
        <v>328</v>
      </c>
    </row>
    <row r="51" spans="1:2" ht="30">
      <c r="A51" s="37" t="s">
        <v>329</v>
      </c>
      <c r="B51" s="38" t="s">
        <v>330</v>
      </c>
    </row>
    <row r="52" spans="1:2" ht="15">
      <c r="A52" s="35" t="s">
        <v>331</v>
      </c>
      <c r="B52" s="39" t="s">
        <v>330</v>
      </c>
    </row>
    <row r="53" spans="1:2" ht="15">
      <c r="A53" s="37" t="s">
        <v>332</v>
      </c>
      <c r="B53" s="38" t="s">
        <v>333</v>
      </c>
    </row>
    <row r="54" spans="1:2" ht="15">
      <c r="A54" s="35" t="s">
        <v>334</v>
      </c>
      <c r="B54" s="39" t="s">
        <v>330</v>
      </c>
    </row>
    <row r="55" spans="1:2" ht="15">
      <c r="A55" s="37" t="s">
        <v>335</v>
      </c>
      <c r="B55" s="38" t="s">
        <v>330</v>
      </c>
    </row>
    <row r="56" spans="1:2" ht="15">
      <c r="A56" s="35" t="s">
        <v>336</v>
      </c>
      <c r="B56" s="36" t="s">
        <v>333</v>
      </c>
    </row>
    <row r="57" spans="1:2" ht="15">
      <c r="A57" s="37" t="s">
        <v>337</v>
      </c>
      <c r="B57" s="38" t="s">
        <v>333</v>
      </c>
    </row>
    <row r="58" spans="1:2" ht="15">
      <c r="A58" s="35" t="s">
        <v>338</v>
      </c>
      <c r="B58" s="36" t="s">
        <v>339</v>
      </c>
    </row>
    <row r="59" spans="1:2" ht="15">
      <c r="A59" s="37" t="s">
        <v>340</v>
      </c>
      <c r="B59" s="38">
        <v>27.9</v>
      </c>
    </row>
    <row r="60" spans="1:2" ht="15">
      <c r="A60" s="35" t="s">
        <v>341</v>
      </c>
      <c r="B60" s="36">
        <v>37.270000000000003</v>
      </c>
    </row>
    <row r="61" spans="1:2" ht="15">
      <c r="A61" s="37" t="s">
        <v>342</v>
      </c>
      <c r="B61" s="38">
        <v>18.55</v>
      </c>
    </row>
    <row r="62" spans="1:2" ht="15">
      <c r="A62" s="35" t="s">
        <v>343</v>
      </c>
      <c r="B62" s="36">
        <v>18.55</v>
      </c>
    </row>
    <row r="63" spans="1:2" ht="15">
      <c r="A63" s="37" t="s">
        <v>344</v>
      </c>
      <c r="B63" s="38">
        <v>18.55</v>
      </c>
    </row>
    <row r="64" spans="1:2" ht="15">
      <c r="A64" s="35" t="s">
        <v>345</v>
      </c>
      <c r="B64" s="36">
        <v>13.75</v>
      </c>
    </row>
    <row r="65" spans="1:2" ht="15">
      <c r="A65" s="37" t="s">
        <v>346</v>
      </c>
      <c r="B65" s="38">
        <v>13.75</v>
      </c>
    </row>
    <row r="66" spans="1:2" ht="15">
      <c r="A66" s="35" t="s">
        <v>347</v>
      </c>
      <c r="B66" s="36">
        <v>37.25</v>
      </c>
    </row>
    <row r="67" spans="1:2" ht="15">
      <c r="A67" s="37" t="s">
        <v>348</v>
      </c>
      <c r="B67" s="38">
        <v>21.55</v>
      </c>
    </row>
    <row r="68" spans="1:2" ht="15">
      <c r="A68" s="35" t="s">
        <v>349</v>
      </c>
      <c r="B68" s="36">
        <v>10.55</v>
      </c>
    </row>
    <row r="69" spans="1:2" ht="15.75" thickBot="1">
      <c r="A69" s="37" t="s">
        <v>350</v>
      </c>
      <c r="B69" s="38">
        <v>10.55</v>
      </c>
    </row>
    <row r="70" spans="1:2" ht="14.25">
      <c r="A70" s="969" t="s">
        <v>351</v>
      </c>
      <c r="B70" s="970"/>
    </row>
    <row r="71" spans="1:2" ht="15">
      <c r="A71" s="14"/>
      <c r="B71" s="14"/>
    </row>
    <row r="72" spans="1:2" ht="15">
      <c r="A72" s="14"/>
      <c r="B72" s="14"/>
    </row>
    <row r="73" spans="1:2" ht="15.75" thickBot="1">
      <c r="A73" s="14"/>
      <c r="B73" s="14"/>
    </row>
    <row r="74" spans="1:2" ht="14.25">
      <c r="A74" s="971" t="s">
        <v>352</v>
      </c>
      <c r="B74" s="972"/>
    </row>
    <row r="75" spans="1:2" ht="15">
      <c r="A75" s="35" t="s">
        <v>327</v>
      </c>
      <c r="B75" s="36" t="s">
        <v>328</v>
      </c>
    </row>
    <row r="76" spans="1:2" ht="30">
      <c r="A76" s="37" t="s">
        <v>329</v>
      </c>
      <c r="B76" s="38" t="s">
        <v>330</v>
      </c>
    </row>
    <row r="77" spans="1:2" ht="15">
      <c r="A77" s="35" t="s">
        <v>331</v>
      </c>
      <c r="B77" s="39" t="s">
        <v>330</v>
      </c>
    </row>
    <row r="78" spans="1:2" ht="15">
      <c r="A78" s="37" t="s">
        <v>332</v>
      </c>
      <c r="B78" s="38" t="s">
        <v>333</v>
      </c>
    </row>
    <row r="79" spans="1:2" ht="15">
      <c r="A79" s="35" t="s">
        <v>334</v>
      </c>
      <c r="B79" s="39" t="s">
        <v>330</v>
      </c>
    </row>
    <row r="80" spans="1:2" ht="15">
      <c r="A80" s="37" t="s">
        <v>335</v>
      </c>
      <c r="B80" s="38" t="s">
        <v>330</v>
      </c>
    </row>
    <row r="81" spans="1:2" ht="15">
      <c r="A81" s="35" t="s">
        <v>336</v>
      </c>
      <c r="B81" s="36" t="s">
        <v>333</v>
      </c>
    </row>
    <row r="82" spans="1:2" ht="15">
      <c r="A82" s="37" t="s">
        <v>337</v>
      </c>
      <c r="B82" s="38" t="s">
        <v>333</v>
      </c>
    </row>
    <row r="83" spans="1:2" ht="15">
      <c r="A83" s="35" t="s">
        <v>338</v>
      </c>
      <c r="B83" s="36" t="s">
        <v>339</v>
      </c>
    </row>
    <row r="84" spans="1:2" ht="15">
      <c r="A84" s="37" t="s">
        <v>340</v>
      </c>
      <c r="B84" s="38">
        <v>27.9</v>
      </c>
    </row>
    <row r="85" spans="1:2" ht="15">
      <c r="A85" s="35" t="s">
        <v>341</v>
      </c>
      <c r="B85" s="36">
        <v>37.270000000000003</v>
      </c>
    </row>
    <row r="86" spans="1:2" ht="15">
      <c r="A86" s="37" t="s">
        <v>342</v>
      </c>
      <c r="B86" s="38">
        <v>18.55</v>
      </c>
    </row>
    <row r="87" spans="1:2" ht="15">
      <c r="A87" s="35" t="s">
        <v>343</v>
      </c>
      <c r="B87" s="36">
        <v>18.55</v>
      </c>
    </row>
    <row r="88" spans="1:2" ht="15">
      <c r="A88" s="37" t="s">
        <v>344</v>
      </c>
      <c r="B88" s="38">
        <v>18.55</v>
      </c>
    </row>
    <row r="89" spans="1:2" ht="15">
      <c r="A89" s="35" t="s">
        <v>345</v>
      </c>
      <c r="B89" s="36">
        <v>13.75</v>
      </c>
    </row>
    <row r="90" spans="1:2" ht="15">
      <c r="A90" s="37" t="s">
        <v>346</v>
      </c>
      <c r="B90" s="38">
        <v>13.75</v>
      </c>
    </row>
    <row r="91" spans="1:2" ht="15">
      <c r="A91" s="35" t="s">
        <v>347</v>
      </c>
      <c r="B91" s="36">
        <v>37.25</v>
      </c>
    </row>
    <row r="92" spans="1:2" ht="15">
      <c r="A92" s="37" t="s">
        <v>348</v>
      </c>
      <c r="B92" s="38">
        <v>21.55</v>
      </c>
    </row>
    <row r="93" spans="1:2" ht="15">
      <c r="A93" s="35" t="s">
        <v>349</v>
      </c>
      <c r="B93" s="36">
        <v>10.55</v>
      </c>
    </row>
    <row r="94" spans="1:2" ht="15.75" thickBot="1">
      <c r="A94" s="37" t="s">
        <v>350</v>
      </c>
      <c r="B94" s="38">
        <v>10.55</v>
      </c>
    </row>
    <row r="95" spans="1:2" ht="14.25">
      <c r="A95" s="973" t="s">
        <v>353</v>
      </c>
      <c r="B95" s="974"/>
    </row>
    <row r="96" spans="1:2" ht="15">
      <c r="A96" s="14"/>
      <c r="B96" s="14"/>
    </row>
    <row r="97" spans="1:2" ht="15">
      <c r="A97" s="14"/>
      <c r="B97" s="14"/>
    </row>
    <row r="98" spans="1:2" ht="15.75" thickBot="1">
      <c r="A98" s="14"/>
      <c r="B98" s="14"/>
    </row>
    <row r="99" spans="1:2" ht="14.25">
      <c r="A99" s="971" t="s">
        <v>354</v>
      </c>
      <c r="B99" s="972"/>
    </row>
    <row r="100" spans="1:2" ht="15">
      <c r="A100" s="35" t="s">
        <v>355</v>
      </c>
      <c r="B100" s="36" t="s">
        <v>356</v>
      </c>
    </row>
    <row r="101" spans="1:2" ht="30">
      <c r="A101" s="37" t="s">
        <v>329</v>
      </c>
      <c r="B101" s="38" t="s">
        <v>357</v>
      </c>
    </row>
    <row r="102" spans="1:2" ht="15">
      <c r="A102" s="35" t="s">
        <v>331</v>
      </c>
      <c r="B102" s="36" t="s">
        <v>357</v>
      </c>
    </row>
    <row r="103" spans="1:2" ht="15">
      <c r="A103" s="37" t="s">
        <v>332</v>
      </c>
      <c r="B103" s="38" t="s">
        <v>358</v>
      </c>
    </row>
    <row r="104" spans="1:2" ht="15">
      <c r="A104" s="35" t="s">
        <v>334</v>
      </c>
      <c r="B104" s="36" t="s">
        <v>357</v>
      </c>
    </row>
    <row r="105" spans="1:2" ht="15">
      <c r="A105" s="37" t="s">
        <v>335</v>
      </c>
      <c r="B105" s="38" t="s">
        <v>357</v>
      </c>
    </row>
    <row r="106" spans="1:2" ht="15">
      <c r="A106" s="35" t="s">
        <v>336</v>
      </c>
      <c r="B106" s="36" t="s">
        <v>358</v>
      </c>
    </row>
    <row r="107" spans="1:2" ht="15">
      <c r="A107" s="37" t="s">
        <v>337</v>
      </c>
      <c r="B107" s="38" t="s">
        <v>358</v>
      </c>
    </row>
    <row r="108" spans="1:2" ht="15">
      <c r="A108" s="35" t="s">
        <v>338</v>
      </c>
      <c r="B108" s="36" t="s">
        <v>359</v>
      </c>
    </row>
    <row r="109" spans="1:2" ht="15">
      <c r="A109" s="37" t="s">
        <v>340</v>
      </c>
      <c r="B109" s="38" t="s">
        <v>360</v>
      </c>
    </row>
    <row r="110" spans="1:2" ht="15">
      <c r="A110" s="35" t="s">
        <v>341</v>
      </c>
      <c r="B110" s="36" t="s">
        <v>361</v>
      </c>
    </row>
    <row r="111" spans="1:2" ht="15">
      <c r="A111" s="37" t="s">
        <v>342</v>
      </c>
      <c r="B111" s="38" t="s">
        <v>362</v>
      </c>
    </row>
    <row r="112" spans="1:2" ht="15">
      <c r="A112" s="35" t="s">
        <v>343</v>
      </c>
      <c r="B112" s="36" t="s">
        <v>362</v>
      </c>
    </row>
    <row r="113" spans="1:2" ht="15">
      <c r="A113" s="37" t="s">
        <v>344</v>
      </c>
      <c r="B113" s="38" t="s">
        <v>362</v>
      </c>
    </row>
    <row r="114" spans="1:2" ht="15">
      <c r="A114" s="35" t="s">
        <v>345</v>
      </c>
      <c r="B114" s="36" t="s">
        <v>363</v>
      </c>
    </row>
    <row r="115" spans="1:2" ht="15">
      <c r="A115" s="37" t="s">
        <v>346</v>
      </c>
      <c r="B115" s="38" t="s">
        <v>364</v>
      </c>
    </row>
    <row r="116" spans="1:2" ht="15">
      <c r="A116" s="35" t="s">
        <v>347</v>
      </c>
      <c r="B116" s="36" t="s">
        <v>361</v>
      </c>
    </row>
    <row r="117" spans="1:2" ht="15">
      <c r="A117" s="37" t="s">
        <v>348</v>
      </c>
      <c r="B117" s="38" t="s">
        <v>365</v>
      </c>
    </row>
    <row r="118" spans="1:2" ht="15">
      <c r="A118" s="35" t="s">
        <v>349</v>
      </c>
      <c r="B118" s="36" t="s">
        <v>366</v>
      </c>
    </row>
    <row r="119" spans="1:2" ht="15">
      <c r="A119" s="37" t="s">
        <v>350</v>
      </c>
      <c r="B119" s="38" t="s">
        <v>366</v>
      </c>
    </row>
    <row r="120" spans="1:2" ht="15" thickBot="1">
      <c r="A120" s="975" t="s">
        <v>367</v>
      </c>
      <c r="B120" s="976"/>
    </row>
    <row r="121" spans="1:2" ht="15">
      <c r="A121" s="14"/>
      <c r="B121" s="14"/>
    </row>
    <row r="122" spans="1:2" ht="15">
      <c r="A122" s="14"/>
      <c r="B122" s="14"/>
    </row>
    <row r="123" spans="1:2" ht="15.75" thickBot="1">
      <c r="A123" s="14"/>
      <c r="B123" s="14"/>
    </row>
    <row r="124" spans="1:2" ht="14.25">
      <c r="A124" s="971" t="s">
        <v>368</v>
      </c>
      <c r="B124" s="972"/>
    </row>
    <row r="125" spans="1:2" ht="15">
      <c r="A125" s="35" t="s">
        <v>369</v>
      </c>
      <c r="B125" s="36" t="s">
        <v>356</v>
      </c>
    </row>
    <row r="126" spans="1:2" ht="30">
      <c r="A126" s="37" t="s">
        <v>370</v>
      </c>
      <c r="B126" s="38" t="s">
        <v>357</v>
      </c>
    </row>
    <row r="127" spans="1:2" ht="15">
      <c r="A127" s="35" t="s">
        <v>371</v>
      </c>
      <c r="B127" s="36" t="s">
        <v>357</v>
      </c>
    </row>
    <row r="128" spans="1:2" ht="15">
      <c r="A128" s="37" t="s">
        <v>372</v>
      </c>
      <c r="B128" s="38" t="s">
        <v>358</v>
      </c>
    </row>
    <row r="129" spans="1:2" ht="15">
      <c r="A129" s="35" t="s">
        <v>373</v>
      </c>
      <c r="B129" s="36" t="s">
        <v>357</v>
      </c>
    </row>
    <row r="130" spans="1:2" ht="15">
      <c r="A130" s="37" t="s">
        <v>374</v>
      </c>
      <c r="B130" s="38" t="s">
        <v>357</v>
      </c>
    </row>
    <row r="131" spans="1:2" ht="15">
      <c r="A131" s="35" t="s">
        <v>375</v>
      </c>
      <c r="B131" s="36" t="s">
        <v>358</v>
      </c>
    </row>
    <row r="132" spans="1:2" ht="15">
      <c r="A132" s="37" t="s">
        <v>376</v>
      </c>
      <c r="B132" s="38" t="s">
        <v>358</v>
      </c>
    </row>
    <row r="133" spans="1:2" ht="15">
      <c r="A133" s="35" t="s">
        <v>338</v>
      </c>
      <c r="B133" s="36" t="s">
        <v>359</v>
      </c>
    </row>
    <row r="134" spans="1:2" ht="15">
      <c r="A134" s="37" t="s">
        <v>340</v>
      </c>
      <c r="B134" s="38" t="s">
        <v>377</v>
      </c>
    </row>
    <row r="135" spans="1:2" ht="15">
      <c r="A135" s="35" t="s">
        <v>341</v>
      </c>
      <c r="B135" s="36" t="s">
        <v>378</v>
      </c>
    </row>
    <row r="136" spans="1:2" ht="15">
      <c r="A136" s="37" t="s">
        <v>342</v>
      </c>
      <c r="B136" s="38" t="s">
        <v>379</v>
      </c>
    </row>
    <row r="137" spans="1:2" ht="15">
      <c r="A137" s="35" t="s">
        <v>343</v>
      </c>
      <c r="B137" s="36" t="s">
        <v>379</v>
      </c>
    </row>
    <row r="138" spans="1:2" ht="15">
      <c r="A138" s="37" t="s">
        <v>344</v>
      </c>
      <c r="B138" s="38" t="s">
        <v>379</v>
      </c>
    </row>
    <row r="139" spans="1:2" ht="15">
      <c r="A139" s="35" t="s">
        <v>345</v>
      </c>
      <c r="B139" s="36" t="s">
        <v>380</v>
      </c>
    </row>
    <row r="140" spans="1:2" ht="15">
      <c r="A140" s="37" t="s">
        <v>346</v>
      </c>
      <c r="B140" s="38" t="s">
        <v>380</v>
      </c>
    </row>
    <row r="141" spans="1:2" ht="15">
      <c r="A141" s="35" t="s">
        <v>347</v>
      </c>
      <c r="B141" s="36" t="s">
        <v>378</v>
      </c>
    </row>
    <row r="142" spans="1:2" ht="15">
      <c r="A142" s="37" t="s">
        <v>348</v>
      </c>
      <c r="B142" s="38" t="s">
        <v>381</v>
      </c>
    </row>
    <row r="143" spans="1:2" ht="15">
      <c r="A143" s="35" t="s">
        <v>349</v>
      </c>
      <c r="B143" s="36" t="s">
        <v>382</v>
      </c>
    </row>
    <row r="144" spans="1:2" ht="15">
      <c r="A144" s="37" t="s">
        <v>350</v>
      </c>
      <c r="B144" s="38" t="s">
        <v>382</v>
      </c>
    </row>
    <row r="145" spans="1:2" ht="15" thickBot="1">
      <c r="A145" s="975" t="s">
        <v>383</v>
      </c>
      <c r="B145" s="976"/>
    </row>
    <row r="146" spans="1:2" ht="15">
      <c r="A146" s="14"/>
      <c r="B146" s="14"/>
    </row>
    <row r="147" spans="1:2" ht="15">
      <c r="A147" s="14"/>
      <c r="B147" s="14"/>
    </row>
    <row r="148" spans="1:2" ht="15.75" thickBot="1">
      <c r="A148" s="14"/>
      <c r="B148" s="14"/>
    </row>
    <row r="149" spans="1:2" ht="14.25">
      <c r="A149" s="971" t="s">
        <v>384</v>
      </c>
      <c r="B149" s="972"/>
    </row>
    <row r="150" spans="1:2" ht="15">
      <c r="A150" s="35" t="s">
        <v>369</v>
      </c>
      <c r="B150" s="36" t="s">
        <v>356</v>
      </c>
    </row>
    <row r="151" spans="1:2" ht="30">
      <c r="A151" s="37" t="s">
        <v>370</v>
      </c>
      <c r="B151" s="38" t="s">
        <v>357</v>
      </c>
    </row>
    <row r="152" spans="1:2" ht="15">
      <c r="A152" s="35" t="s">
        <v>371</v>
      </c>
      <c r="B152" s="36" t="s">
        <v>357</v>
      </c>
    </row>
    <row r="153" spans="1:2" ht="15">
      <c r="A153" s="37" t="s">
        <v>372</v>
      </c>
      <c r="B153" s="38" t="s">
        <v>358</v>
      </c>
    </row>
    <row r="154" spans="1:2" ht="15">
      <c r="A154" s="35" t="s">
        <v>373</v>
      </c>
      <c r="B154" s="36" t="s">
        <v>357</v>
      </c>
    </row>
    <row r="155" spans="1:2" ht="15">
      <c r="A155" s="37" t="s">
        <v>374</v>
      </c>
      <c r="B155" s="38" t="s">
        <v>357</v>
      </c>
    </row>
    <row r="156" spans="1:2" ht="15">
      <c r="A156" s="35" t="s">
        <v>375</v>
      </c>
      <c r="B156" s="36" t="s">
        <v>358</v>
      </c>
    </row>
    <row r="157" spans="1:2" ht="15">
      <c r="A157" s="37" t="s">
        <v>338</v>
      </c>
      <c r="B157" s="38" t="s">
        <v>359</v>
      </c>
    </row>
    <row r="158" spans="1:2" ht="15">
      <c r="A158" s="35" t="s">
        <v>340</v>
      </c>
      <c r="B158" s="36" t="s">
        <v>385</v>
      </c>
    </row>
    <row r="159" spans="1:2" ht="15">
      <c r="A159" s="37" t="s">
        <v>341</v>
      </c>
      <c r="B159" s="38" t="s">
        <v>386</v>
      </c>
    </row>
    <row r="160" spans="1:2" ht="15">
      <c r="A160" s="35" t="s">
        <v>342</v>
      </c>
      <c r="B160" s="36" t="s">
        <v>387</v>
      </c>
    </row>
    <row r="161" spans="1:2" ht="15">
      <c r="A161" s="37" t="s">
        <v>343</v>
      </c>
      <c r="B161" s="38" t="s">
        <v>387</v>
      </c>
    </row>
    <row r="162" spans="1:2" ht="15">
      <c r="A162" s="35" t="s">
        <v>344</v>
      </c>
      <c r="B162" s="36" t="s">
        <v>387</v>
      </c>
    </row>
    <row r="163" spans="1:2" ht="15">
      <c r="A163" s="37" t="s">
        <v>345</v>
      </c>
      <c r="B163" s="38" t="s">
        <v>388</v>
      </c>
    </row>
    <row r="164" spans="1:2" ht="15">
      <c r="A164" s="35" t="s">
        <v>346</v>
      </c>
      <c r="B164" s="36" t="s">
        <v>388</v>
      </c>
    </row>
    <row r="165" spans="1:2" ht="15">
      <c r="A165" s="37" t="s">
        <v>347</v>
      </c>
      <c r="B165" s="38" t="s">
        <v>386</v>
      </c>
    </row>
    <row r="166" spans="1:2" ht="15">
      <c r="A166" s="35" t="s">
        <v>348</v>
      </c>
      <c r="B166" s="36" t="s">
        <v>389</v>
      </c>
    </row>
    <row r="167" spans="1:2" ht="15">
      <c r="A167" s="37" t="s">
        <v>349</v>
      </c>
      <c r="B167" s="38" t="s">
        <v>390</v>
      </c>
    </row>
    <row r="168" spans="1:2" ht="15">
      <c r="A168" s="35" t="s">
        <v>350</v>
      </c>
      <c r="B168" s="36" t="s">
        <v>390</v>
      </c>
    </row>
    <row r="169" spans="1:2" ht="15" thickBot="1">
      <c r="A169" s="975" t="s">
        <v>391</v>
      </c>
      <c r="B169" s="976"/>
    </row>
    <row r="170" spans="1:2" ht="15">
      <c r="A170" s="14"/>
      <c r="B170" s="14"/>
    </row>
    <row r="171" spans="1:2" ht="15">
      <c r="A171" s="14"/>
      <c r="B171" s="14"/>
    </row>
    <row r="172" spans="1:2" ht="15.75" thickBot="1">
      <c r="A172" s="14"/>
      <c r="B172" s="14"/>
    </row>
    <row r="173" spans="1:2" ht="14.25">
      <c r="A173" s="971" t="s">
        <v>392</v>
      </c>
      <c r="B173" s="972"/>
    </row>
    <row r="174" spans="1:2" ht="15">
      <c r="A174" s="35" t="s">
        <v>369</v>
      </c>
      <c r="B174" s="36" t="s">
        <v>356</v>
      </c>
    </row>
    <row r="175" spans="1:2" ht="30">
      <c r="A175" s="37" t="s">
        <v>370</v>
      </c>
      <c r="B175" s="38" t="s">
        <v>357</v>
      </c>
    </row>
    <row r="176" spans="1:2" ht="15">
      <c r="A176" s="35" t="s">
        <v>371</v>
      </c>
      <c r="B176" s="36" t="s">
        <v>357</v>
      </c>
    </row>
    <row r="177" spans="1:2" ht="15">
      <c r="A177" s="37" t="s">
        <v>372</v>
      </c>
      <c r="B177" s="38" t="s">
        <v>358</v>
      </c>
    </row>
    <row r="178" spans="1:2" ht="15">
      <c r="A178" s="35" t="s">
        <v>373</v>
      </c>
      <c r="B178" s="36" t="s">
        <v>357</v>
      </c>
    </row>
    <row r="179" spans="1:2" ht="15">
      <c r="A179" s="37" t="s">
        <v>374</v>
      </c>
      <c r="B179" s="38" t="s">
        <v>357</v>
      </c>
    </row>
    <row r="180" spans="1:2" ht="15">
      <c r="A180" s="35" t="s">
        <v>375</v>
      </c>
      <c r="B180" s="36" t="s">
        <v>358</v>
      </c>
    </row>
    <row r="181" spans="1:2" ht="15">
      <c r="A181" s="37" t="s">
        <v>338</v>
      </c>
      <c r="B181" s="38" t="s">
        <v>359</v>
      </c>
    </row>
    <row r="182" spans="1:2" ht="15">
      <c r="A182" s="35" t="s">
        <v>340</v>
      </c>
      <c r="B182" s="36" t="s">
        <v>393</v>
      </c>
    </row>
    <row r="183" spans="1:2" ht="15">
      <c r="A183" s="37" t="s">
        <v>341</v>
      </c>
      <c r="B183" s="38" t="s">
        <v>394</v>
      </c>
    </row>
    <row r="184" spans="1:2" ht="15">
      <c r="A184" s="35" t="s">
        <v>342</v>
      </c>
      <c r="B184" s="36" t="s">
        <v>395</v>
      </c>
    </row>
    <row r="185" spans="1:2" ht="15">
      <c r="A185" s="37" t="s">
        <v>343</v>
      </c>
      <c r="B185" s="38" t="s">
        <v>395</v>
      </c>
    </row>
    <row r="186" spans="1:2" ht="15">
      <c r="A186" s="35" t="s">
        <v>344</v>
      </c>
      <c r="B186" s="36" t="s">
        <v>395</v>
      </c>
    </row>
    <row r="187" spans="1:2" ht="15">
      <c r="A187" s="37" t="s">
        <v>345</v>
      </c>
      <c r="B187" s="38" t="s">
        <v>396</v>
      </c>
    </row>
    <row r="188" spans="1:2" ht="15">
      <c r="A188" s="35" t="s">
        <v>346</v>
      </c>
      <c r="B188" s="36" t="s">
        <v>396</v>
      </c>
    </row>
    <row r="189" spans="1:2" ht="15">
      <c r="A189" s="37" t="s">
        <v>347</v>
      </c>
      <c r="B189" s="38" t="s">
        <v>394</v>
      </c>
    </row>
    <row r="190" spans="1:2" ht="15">
      <c r="A190" s="35" t="s">
        <v>348</v>
      </c>
      <c r="B190" s="36" t="s">
        <v>397</v>
      </c>
    </row>
    <row r="191" spans="1:2" ht="15">
      <c r="A191" s="37" t="s">
        <v>349</v>
      </c>
      <c r="B191" s="38" t="s">
        <v>398</v>
      </c>
    </row>
    <row r="192" spans="1:2" ht="15">
      <c r="A192" s="35" t="s">
        <v>350</v>
      </c>
      <c r="B192" s="36" t="s">
        <v>398</v>
      </c>
    </row>
    <row r="193" spans="1:2" ht="15" thickBot="1">
      <c r="A193" s="977" t="s">
        <v>399</v>
      </c>
      <c r="B193" s="978"/>
    </row>
    <row r="194" spans="1:2" ht="15">
      <c r="A194" s="14"/>
      <c r="B194" s="14"/>
    </row>
    <row r="195" spans="1:2" ht="15">
      <c r="A195" s="14"/>
      <c r="B195" s="14"/>
    </row>
    <row r="196" spans="1:2" ht="15.75" thickBot="1">
      <c r="A196" s="14"/>
      <c r="B196" s="14"/>
    </row>
    <row r="197" spans="1:2" ht="14.25">
      <c r="A197" s="971" t="s">
        <v>400</v>
      </c>
      <c r="B197" s="972"/>
    </row>
    <row r="198" spans="1:2" ht="15">
      <c r="A198" s="40" t="s">
        <v>369</v>
      </c>
      <c r="B198" s="41" t="s">
        <v>356</v>
      </c>
    </row>
    <row r="199" spans="1:2" ht="15">
      <c r="A199" s="15" t="s">
        <v>401</v>
      </c>
      <c r="B199" s="5" t="s">
        <v>357</v>
      </c>
    </row>
    <row r="200" spans="1:2" ht="15">
      <c r="A200" s="15" t="s">
        <v>402</v>
      </c>
      <c r="B200" s="5" t="s">
        <v>357</v>
      </c>
    </row>
    <row r="201" spans="1:2" ht="15">
      <c r="A201" s="40" t="s">
        <v>371</v>
      </c>
      <c r="B201" s="41" t="s">
        <v>357</v>
      </c>
    </row>
    <row r="202" spans="1:2" ht="15">
      <c r="A202" s="15" t="s">
        <v>372</v>
      </c>
      <c r="B202" s="5" t="s">
        <v>358</v>
      </c>
    </row>
    <row r="203" spans="1:2" ht="15">
      <c r="A203" s="40" t="s">
        <v>373</v>
      </c>
      <c r="B203" s="41" t="s">
        <v>357</v>
      </c>
    </row>
    <row r="204" spans="1:2" ht="15">
      <c r="A204" s="15" t="s">
        <v>374</v>
      </c>
      <c r="B204" s="5" t="s">
        <v>357</v>
      </c>
    </row>
    <row r="205" spans="1:2" ht="15">
      <c r="A205" s="15" t="s">
        <v>375</v>
      </c>
      <c r="B205" s="5" t="s">
        <v>358</v>
      </c>
    </row>
    <row r="206" spans="1:2" ht="15">
      <c r="A206" s="40" t="s">
        <v>338</v>
      </c>
      <c r="B206" s="41" t="s">
        <v>359</v>
      </c>
    </row>
    <row r="207" spans="1:2" ht="15">
      <c r="A207" s="15" t="s">
        <v>340</v>
      </c>
      <c r="B207" s="5" t="s">
        <v>403</v>
      </c>
    </row>
    <row r="208" spans="1:2" ht="15">
      <c r="A208" s="40" t="s">
        <v>341</v>
      </c>
      <c r="B208" s="41" t="s">
        <v>404</v>
      </c>
    </row>
    <row r="209" spans="1:2" ht="15">
      <c r="A209" s="15" t="s">
        <v>342</v>
      </c>
      <c r="B209" s="5" t="s">
        <v>405</v>
      </c>
    </row>
    <row r="210" spans="1:2" ht="15">
      <c r="A210" s="40" t="s">
        <v>343</v>
      </c>
      <c r="B210" s="41" t="s">
        <v>405</v>
      </c>
    </row>
    <row r="211" spans="1:2" ht="15">
      <c r="A211" s="15" t="s">
        <v>344</v>
      </c>
      <c r="B211" s="5" t="s">
        <v>405</v>
      </c>
    </row>
    <row r="212" spans="1:2" ht="15">
      <c r="A212" s="40" t="s">
        <v>345</v>
      </c>
      <c r="B212" s="41" t="s">
        <v>406</v>
      </c>
    </row>
    <row r="213" spans="1:2" ht="15">
      <c r="A213" s="15" t="s">
        <v>346</v>
      </c>
      <c r="B213" s="5" t="s">
        <v>406</v>
      </c>
    </row>
    <row r="214" spans="1:2" ht="15">
      <c r="A214" s="40" t="s">
        <v>347</v>
      </c>
      <c r="B214" s="41" t="s">
        <v>404</v>
      </c>
    </row>
    <row r="215" spans="1:2" ht="15">
      <c r="A215" s="15" t="s">
        <v>348</v>
      </c>
      <c r="B215" s="5" t="s">
        <v>407</v>
      </c>
    </row>
    <row r="216" spans="1:2" ht="15">
      <c r="A216" s="40" t="s">
        <v>349</v>
      </c>
      <c r="B216" s="41" t="s">
        <v>408</v>
      </c>
    </row>
    <row r="217" spans="1:2" ht="15">
      <c r="A217" s="15" t="s">
        <v>350</v>
      </c>
      <c r="B217" s="5" t="s">
        <v>408</v>
      </c>
    </row>
    <row r="218" spans="1:2" ht="15" thickBot="1">
      <c r="A218" s="977" t="s">
        <v>409</v>
      </c>
      <c r="B218" s="978"/>
    </row>
    <row r="219" spans="1:2" ht="14.25">
      <c r="A219" s="42"/>
      <c r="B219" s="43"/>
    </row>
    <row r="220" spans="1:2" ht="14.25">
      <c r="A220" s="42"/>
      <c r="B220" s="43"/>
    </row>
    <row r="221" spans="1:2" ht="15" thickBot="1">
      <c r="A221" s="42"/>
      <c r="B221" s="43"/>
    </row>
    <row r="222" spans="1:2" ht="14.25">
      <c r="A222" s="971" t="s">
        <v>410</v>
      </c>
      <c r="B222" s="972"/>
    </row>
    <row r="223" spans="1:2" ht="15">
      <c r="A223" s="37" t="s">
        <v>369</v>
      </c>
      <c r="B223" s="38" t="s">
        <v>356</v>
      </c>
    </row>
    <row r="224" spans="1:2" ht="15">
      <c r="A224" s="35" t="s">
        <v>411</v>
      </c>
      <c r="B224" s="36" t="s">
        <v>412</v>
      </c>
    </row>
    <row r="225" spans="1:2" ht="15">
      <c r="A225" s="37" t="s">
        <v>402</v>
      </c>
      <c r="B225" s="38" t="s">
        <v>412</v>
      </c>
    </row>
    <row r="226" spans="1:2" ht="15">
      <c r="A226" s="35" t="s">
        <v>371</v>
      </c>
      <c r="B226" s="36" t="s">
        <v>412</v>
      </c>
    </row>
    <row r="227" spans="1:2" ht="15">
      <c r="A227" s="37" t="s">
        <v>372</v>
      </c>
      <c r="B227" s="38" t="s">
        <v>413</v>
      </c>
    </row>
    <row r="228" spans="1:2" ht="15">
      <c r="A228" s="35" t="s">
        <v>373</v>
      </c>
      <c r="B228" s="36" t="s">
        <v>412</v>
      </c>
    </row>
    <row r="229" spans="1:2" ht="15">
      <c r="A229" s="37" t="s">
        <v>414</v>
      </c>
      <c r="B229" s="38" t="s">
        <v>415</v>
      </c>
    </row>
    <row r="230" spans="1:2" ht="15">
      <c r="A230" s="35" t="s">
        <v>338</v>
      </c>
      <c r="B230" s="36" t="s">
        <v>415</v>
      </c>
    </row>
    <row r="231" spans="1:2" ht="15">
      <c r="A231" s="37" t="s">
        <v>340</v>
      </c>
      <c r="B231" s="38" t="s">
        <v>416</v>
      </c>
    </row>
    <row r="232" spans="1:2" ht="15">
      <c r="A232" s="35" t="s">
        <v>341</v>
      </c>
      <c r="B232" s="36" t="s">
        <v>417</v>
      </c>
    </row>
    <row r="233" spans="1:2" ht="15">
      <c r="A233" s="37" t="s">
        <v>342</v>
      </c>
      <c r="B233" s="38" t="s">
        <v>418</v>
      </c>
    </row>
    <row r="234" spans="1:2" ht="15">
      <c r="A234" s="35" t="s">
        <v>343</v>
      </c>
      <c r="B234" s="36" t="s">
        <v>418</v>
      </c>
    </row>
    <row r="235" spans="1:2" ht="15">
      <c r="A235" s="37" t="s">
        <v>419</v>
      </c>
      <c r="B235" s="38" t="s">
        <v>418</v>
      </c>
    </row>
    <row r="236" spans="1:2" ht="15">
      <c r="A236" s="35" t="s">
        <v>420</v>
      </c>
      <c r="B236" s="36" t="s">
        <v>421</v>
      </c>
    </row>
    <row r="237" spans="1:2" ht="15">
      <c r="A237" s="37" t="s">
        <v>422</v>
      </c>
      <c r="B237" s="38" t="s">
        <v>421</v>
      </c>
    </row>
    <row r="238" spans="1:2" ht="15">
      <c r="A238" s="35" t="s">
        <v>347</v>
      </c>
      <c r="B238" s="36" t="s">
        <v>417</v>
      </c>
    </row>
    <row r="239" spans="1:2" ht="15">
      <c r="A239" s="37" t="s">
        <v>348</v>
      </c>
      <c r="B239" s="38" t="s">
        <v>423</v>
      </c>
    </row>
    <row r="240" spans="1:2" ht="15">
      <c r="A240" s="35" t="s">
        <v>424</v>
      </c>
      <c r="B240" s="36" t="s">
        <v>425</v>
      </c>
    </row>
    <row r="241" spans="1:2" ht="15">
      <c r="A241" s="37" t="s">
        <v>426</v>
      </c>
      <c r="B241" s="38" t="s">
        <v>425</v>
      </c>
    </row>
    <row r="242" spans="1:2" ht="15" thickBot="1">
      <c r="A242" s="977" t="s">
        <v>427</v>
      </c>
      <c r="B242" s="978"/>
    </row>
    <row r="243" spans="1:2" ht="15">
      <c r="A243" s="14"/>
      <c r="B243" s="14"/>
    </row>
    <row r="244" spans="1:2" ht="15">
      <c r="A244" s="14"/>
      <c r="B244" s="14"/>
    </row>
    <row r="245" spans="1:2" ht="15.75" thickBot="1">
      <c r="A245" s="14"/>
      <c r="B245" s="14"/>
    </row>
    <row r="246" spans="1:2" ht="14.25">
      <c r="A246" s="971" t="s">
        <v>428</v>
      </c>
      <c r="B246" s="972"/>
    </row>
    <row r="247" spans="1:2" ht="15">
      <c r="A247" s="40" t="s">
        <v>369</v>
      </c>
      <c r="B247" s="41" t="s">
        <v>356</v>
      </c>
    </row>
    <row r="248" spans="1:2" ht="15">
      <c r="A248" s="15" t="s">
        <v>411</v>
      </c>
      <c r="B248" s="5" t="s">
        <v>412</v>
      </c>
    </row>
    <row r="249" spans="1:2" ht="15">
      <c r="A249" s="15" t="s">
        <v>402</v>
      </c>
      <c r="B249" s="5" t="s">
        <v>412</v>
      </c>
    </row>
    <row r="250" spans="1:2" ht="15">
      <c r="A250" s="40" t="s">
        <v>371</v>
      </c>
      <c r="B250" s="41" t="s">
        <v>412</v>
      </c>
    </row>
    <row r="251" spans="1:2" ht="15">
      <c r="A251" s="15" t="s">
        <v>372</v>
      </c>
      <c r="B251" s="5" t="s">
        <v>413</v>
      </c>
    </row>
    <row r="252" spans="1:2" ht="15">
      <c r="A252" s="40" t="s">
        <v>373</v>
      </c>
      <c r="B252" s="41" t="s">
        <v>412</v>
      </c>
    </row>
    <row r="253" spans="1:2" ht="15">
      <c r="A253" s="15" t="s">
        <v>414</v>
      </c>
      <c r="B253" s="5" t="s">
        <v>415</v>
      </c>
    </row>
    <row r="254" spans="1:2" ht="15">
      <c r="A254" s="15" t="s">
        <v>338</v>
      </c>
      <c r="B254" s="5" t="s">
        <v>415</v>
      </c>
    </row>
    <row r="255" spans="1:2" ht="15">
      <c r="A255" s="40" t="s">
        <v>340</v>
      </c>
      <c r="B255" s="41" t="s">
        <v>429</v>
      </c>
    </row>
    <row r="256" spans="1:2" ht="15">
      <c r="A256" s="15" t="s">
        <v>341</v>
      </c>
      <c r="B256" s="5" t="s">
        <v>430</v>
      </c>
    </row>
    <row r="257" spans="1:2" ht="15">
      <c r="A257" s="40" t="s">
        <v>342</v>
      </c>
      <c r="B257" s="41" t="s">
        <v>431</v>
      </c>
    </row>
    <row r="258" spans="1:2" ht="15">
      <c r="A258" s="15" t="s">
        <v>419</v>
      </c>
      <c r="B258" s="5" t="s">
        <v>432</v>
      </c>
    </row>
    <row r="259" spans="1:2" ht="15">
      <c r="A259" s="40" t="s">
        <v>348</v>
      </c>
      <c r="B259" s="41" t="s">
        <v>433</v>
      </c>
    </row>
    <row r="260" spans="1:2" ht="15">
      <c r="A260" s="15" t="s">
        <v>424</v>
      </c>
      <c r="B260" s="5" t="s">
        <v>430</v>
      </c>
    </row>
    <row r="261" spans="1:2" ht="15">
      <c r="A261" s="40" t="s">
        <v>426</v>
      </c>
      <c r="B261" s="41" t="s">
        <v>430</v>
      </c>
    </row>
    <row r="262" spans="1:2" ht="15" thickBot="1">
      <c r="A262" s="977" t="s">
        <v>434</v>
      </c>
      <c r="B262" s="978"/>
    </row>
  </sheetData>
  <mergeCells count="22">
    <mergeCell ref="A246:B246"/>
    <mergeCell ref="A262:B262"/>
    <mergeCell ref="A197:B197"/>
    <mergeCell ref="A218:B218"/>
    <mergeCell ref="A222:B222"/>
    <mergeCell ref="A242:B242"/>
    <mergeCell ref="A173:B173"/>
    <mergeCell ref="A193:B193"/>
    <mergeCell ref="A99:B99"/>
    <mergeCell ref="A120:B120"/>
    <mergeCell ref="A124:B124"/>
    <mergeCell ref="A145:B145"/>
    <mergeCell ref="A70:B70"/>
    <mergeCell ref="A74:B74"/>
    <mergeCell ref="A95:B95"/>
    <mergeCell ref="A149:B149"/>
    <mergeCell ref="A169:B169"/>
    <mergeCell ref="A1:B1"/>
    <mergeCell ref="A22:B22"/>
    <mergeCell ref="A25:B25"/>
    <mergeCell ref="A46:B46"/>
    <mergeCell ref="A49:B49"/>
  </mergeCells>
  <phoneticPr fontId="0" type="noConversion"/>
  <pageMargins left="0.75" right="0.75" top="1" bottom="1" header="0.5" footer="0.5"/>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7"/>
  <sheetViews>
    <sheetView topLeftCell="A7" workbookViewId="0">
      <selection activeCell="B14" sqref="B14"/>
    </sheetView>
  </sheetViews>
  <sheetFormatPr defaultColWidth="24.140625" defaultRowHeight="12.75"/>
  <cols>
    <col min="1" max="1" width="28.42578125" customWidth="1"/>
    <col min="2" max="2" width="4.140625" customWidth="1"/>
    <col min="3" max="3" width="6.5703125" customWidth="1"/>
    <col min="4" max="4" width="10.7109375" customWidth="1"/>
    <col min="5" max="5" width="24.5703125" customWidth="1"/>
    <col min="6" max="6" width="4" customWidth="1"/>
    <col min="7" max="7" width="6" customWidth="1"/>
    <col min="8" max="8" width="10.7109375" customWidth="1"/>
  </cols>
  <sheetData>
    <row r="1" spans="1:8" s="655" customFormat="1" ht="15" thickBot="1">
      <c r="A1" s="986" t="s">
        <v>4815</v>
      </c>
      <c r="B1" s="987"/>
      <c r="C1" s="987"/>
      <c r="D1" s="987"/>
      <c r="E1" s="987"/>
      <c r="F1" s="987"/>
      <c r="G1" s="987"/>
      <c r="H1" s="988"/>
    </row>
    <row r="2" spans="1:8" s="655" customFormat="1" ht="29.25" thickBot="1">
      <c r="A2" s="48" t="s">
        <v>436</v>
      </c>
      <c r="B2" s="68"/>
      <c r="C2" s="68"/>
      <c r="D2" s="45" t="s">
        <v>437</v>
      </c>
      <c r="E2" s="45" t="s">
        <v>436</v>
      </c>
      <c r="F2" s="71"/>
      <c r="G2" s="71"/>
      <c r="H2" s="49" t="s">
        <v>437</v>
      </c>
    </row>
    <row r="3" spans="1:8" s="655" customFormat="1" ht="29.25" thickBot="1">
      <c r="A3" s="76" t="s">
        <v>464</v>
      </c>
      <c r="B3" s="982">
        <v>0</v>
      </c>
      <c r="C3" s="983"/>
      <c r="D3" s="77">
        <v>12</v>
      </c>
      <c r="E3" s="80">
        <f>B3*D3</f>
        <v>0</v>
      </c>
      <c r="F3" s="984">
        <f>((E3*B4%)*15%)/D3</f>
        <v>0</v>
      </c>
      <c r="G3" s="985"/>
      <c r="H3" s="78"/>
    </row>
    <row r="4" spans="1:8" s="655" customFormat="1" ht="15.75" thickBot="1">
      <c r="A4" s="50" t="s">
        <v>438</v>
      </c>
      <c r="B4" s="69">
        <v>50</v>
      </c>
      <c r="C4" s="69"/>
      <c r="D4" s="82">
        <f>($F$3/50)*B4</f>
        <v>0</v>
      </c>
      <c r="E4" s="46"/>
      <c r="F4" s="69">
        <v>50</v>
      </c>
      <c r="G4" s="72"/>
      <c r="H4" s="51"/>
    </row>
    <row r="5" spans="1:8" s="655" customFormat="1" ht="15.75" thickBot="1">
      <c r="A5" s="50" t="s">
        <v>439</v>
      </c>
      <c r="B5" s="69">
        <v>10</v>
      </c>
      <c r="C5" s="69">
        <f>B4+B5</f>
        <v>60</v>
      </c>
      <c r="D5" s="82">
        <f>($F$3/50)*C5</f>
        <v>0</v>
      </c>
      <c r="E5" s="46" t="s">
        <v>440</v>
      </c>
      <c r="F5" s="69">
        <v>50</v>
      </c>
      <c r="G5" s="72">
        <f>F5</f>
        <v>50</v>
      </c>
      <c r="H5" s="82">
        <f>($F$3/$F$24)*G5</f>
        <v>0</v>
      </c>
    </row>
    <row r="6" spans="1:8" s="655" customFormat="1" ht="30.75" thickBot="1">
      <c r="A6" s="50" t="s">
        <v>441</v>
      </c>
      <c r="B6" s="69">
        <v>7.5</v>
      </c>
      <c r="C6" s="69">
        <f>C5+B6</f>
        <v>67.5</v>
      </c>
      <c r="D6" s="82">
        <f t="shared" ref="D6:D9" si="0">($F$3/50)*C6</f>
        <v>0</v>
      </c>
      <c r="E6" s="46" t="s">
        <v>442</v>
      </c>
      <c r="F6" s="75" t="s">
        <v>462</v>
      </c>
      <c r="G6" s="81">
        <f>G5+F6</f>
        <v>57.5</v>
      </c>
      <c r="H6" s="82">
        <f t="shared" ref="H6:H9" si="1">($F$3/$F$24)*G6</f>
        <v>0</v>
      </c>
    </row>
    <row r="7" spans="1:8" s="655" customFormat="1" ht="30.75" thickBot="1">
      <c r="A7" s="50" t="s">
        <v>443</v>
      </c>
      <c r="B7" s="69">
        <v>7.5</v>
      </c>
      <c r="C7" s="69">
        <f>C6+B7</f>
        <v>75</v>
      </c>
      <c r="D7" s="82">
        <f t="shared" si="0"/>
        <v>0</v>
      </c>
      <c r="E7" s="46" t="s">
        <v>444</v>
      </c>
      <c r="F7" s="75" t="s">
        <v>462</v>
      </c>
      <c r="G7" s="81">
        <f>G6+F7</f>
        <v>65</v>
      </c>
      <c r="H7" s="82">
        <f t="shared" si="1"/>
        <v>0</v>
      </c>
    </row>
    <row r="8" spans="1:8" s="655" customFormat="1" ht="30.75" thickBot="1">
      <c r="A8" s="50" t="s">
        <v>445</v>
      </c>
      <c r="B8" s="69">
        <v>5</v>
      </c>
      <c r="C8" s="69">
        <f>C7+B8</f>
        <v>80</v>
      </c>
      <c r="D8" s="82">
        <f t="shared" si="0"/>
        <v>0</v>
      </c>
      <c r="E8" s="46" t="s">
        <v>446</v>
      </c>
      <c r="F8" s="75" t="s">
        <v>463</v>
      </c>
      <c r="G8" s="81">
        <f>G7+F8</f>
        <v>70</v>
      </c>
      <c r="H8" s="82">
        <f t="shared" si="1"/>
        <v>0</v>
      </c>
    </row>
    <row r="9" spans="1:8" s="655" customFormat="1" ht="30.75" thickBot="1">
      <c r="A9" s="52" t="s">
        <v>447</v>
      </c>
      <c r="B9" s="70">
        <v>5</v>
      </c>
      <c r="C9" s="69">
        <f>C8+B9</f>
        <v>85</v>
      </c>
      <c r="D9" s="82">
        <f t="shared" si="0"/>
        <v>0</v>
      </c>
      <c r="E9" s="53" t="s">
        <v>448</v>
      </c>
      <c r="F9" s="75" t="s">
        <v>463</v>
      </c>
      <c r="G9" s="81">
        <f>G8+F9</f>
        <v>75</v>
      </c>
      <c r="H9" s="82">
        <f t="shared" si="1"/>
        <v>0</v>
      </c>
    </row>
    <row r="10" spans="1:8" s="655" customFormat="1"/>
    <row r="11" spans="1:8" s="655" customFormat="1" ht="15" thickBot="1">
      <c r="A11" s="986" t="s">
        <v>4814</v>
      </c>
      <c r="B11" s="987"/>
      <c r="C11" s="987"/>
      <c r="D11" s="987"/>
      <c r="E11" s="987"/>
      <c r="F11" s="987"/>
      <c r="G11" s="987"/>
      <c r="H11" s="988"/>
    </row>
    <row r="12" spans="1:8" s="655" customFormat="1" ht="29.25" thickBot="1">
      <c r="A12" s="48" t="s">
        <v>436</v>
      </c>
      <c r="B12" s="68"/>
      <c r="C12" s="68"/>
      <c r="D12" s="45" t="s">
        <v>437</v>
      </c>
      <c r="E12" s="45" t="s">
        <v>436</v>
      </c>
      <c r="F12" s="71"/>
      <c r="G12" s="71"/>
      <c r="H12" s="49" t="s">
        <v>437</v>
      </c>
    </row>
    <row r="13" spans="1:8" s="655" customFormat="1" ht="29.25" thickBot="1">
      <c r="A13" s="76" t="s">
        <v>464</v>
      </c>
      <c r="B13" s="982">
        <v>978.6</v>
      </c>
      <c r="C13" s="983"/>
      <c r="D13" s="77">
        <v>12</v>
      </c>
      <c r="E13" s="80">
        <f>B13*D13</f>
        <v>11743.2</v>
      </c>
      <c r="F13" s="984">
        <f>((E13*B14%)*15%)/D13</f>
        <v>73.394999999999996</v>
      </c>
      <c r="G13" s="985"/>
      <c r="H13" s="78"/>
    </row>
    <row r="14" spans="1:8" s="655" customFormat="1" ht="15.75" thickBot="1">
      <c r="A14" s="50" t="s">
        <v>438</v>
      </c>
      <c r="B14" s="69">
        <v>50</v>
      </c>
      <c r="C14" s="69"/>
      <c r="D14" s="82">
        <f>($F$13/50)*B14</f>
        <v>73.394999999999996</v>
      </c>
      <c r="E14" s="46"/>
      <c r="F14" s="69">
        <v>50</v>
      </c>
      <c r="G14" s="72"/>
      <c r="H14" s="51"/>
    </row>
    <row r="15" spans="1:8" s="655" customFormat="1" ht="15.75" thickBot="1">
      <c r="A15" s="50" t="s">
        <v>439</v>
      </c>
      <c r="B15" s="69">
        <v>10</v>
      </c>
      <c r="C15" s="69">
        <f>B14+B15</f>
        <v>60</v>
      </c>
      <c r="D15" s="82">
        <f>($F$13/50)*C15</f>
        <v>88.073999999999998</v>
      </c>
      <c r="E15" s="46" t="s">
        <v>440</v>
      </c>
      <c r="F15" s="69">
        <v>50</v>
      </c>
      <c r="G15" s="72">
        <f>F15</f>
        <v>50</v>
      </c>
      <c r="H15" s="82">
        <f>($F$13/$F$24)*G15</f>
        <v>73.394999999999996</v>
      </c>
    </row>
    <row r="16" spans="1:8" s="655" customFormat="1" ht="30.75" thickBot="1">
      <c r="A16" s="50" t="s">
        <v>441</v>
      </c>
      <c r="B16" s="69">
        <v>7.5</v>
      </c>
      <c r="C16" s="69">
        <f>C15+B16</f>
        <v>67.5</v>
      </c>
      <c r="D16" s="82">
        <f t="shared" ref="D16:D19" si="2">($F$13/50)*C16</f>
        <v>99.083249999999992</v>
      </c>
      <c r="E16" s="46" t="s">
        <v>442</v>
      </c>
      <c r="F16" s="75" t="s">
        <v>462</v>
      </c>
      <c r="G16" s="81">
        <f>G15+F16</f>
        <v>57.5</v>
      </c>
      <c r="H16" s="82">
        <f t="shared" ref="H16:H19" si="3">($F$13/$F$24)*G16</f>
        <v>84.404250000000005</v>
      </c>
    </row>
    <row r="17" spans="1:8" s="655" customFormat="1" ht="30.75" thickBot="1">
      <c r="A17" s="50" t="s">
        <v>443</v>
      </c>
      <c r="B17" s="69">
        <v>7.5</v>
      </c>
      <c r="C17" s="69">
        <f>C16+B17</f>
        <v>75</v>
      </c>
      <c r="D17" s="82">
        <f t="shared" si="2"/>
        <v>110.0925</v>
      </c>
      <c r="E17" s="46" t="s">
        <v>444</v>
      </c>
      <c r="F17" s="75" t="s">
        <v>462</v>
      </c>
      <c r="G17" s="81">
        <f>G16+F17</f>
        <v>65</v>
      </c>
      <c r="H17" s="82">
        <f t="shared" si="3"/>
        <v>95.413499999999999</v>
      </c>
    </row>
    <row r="18" spans="1:8" s="655" customFormat="1" ht="30.75" thickBot="1">
      <c r="A18" s="50" t="s">
        <v>445</v>
      </c>
      <c r="B18" s="69">
        <v>5</v>
      </c>
      <c r="C18" s="69">
        <f>C17+B18</f>
        <v>80</v>
      </c>
      <c r="D18" s="82">
        <f t="shared" si="2"/>
        <v>117.432</v>
      </c>
      <c r="E18" s="46" t="s">
        <v>446</v>
      </c>
      <c r="F18" s="75" t="s">
        <v>463</v>
      </c>
      <c r="G18" s="81">
        <f>G17+F18</f>
        <v>70</v>
      </c>
      <c r="H18" s="82">
        <f t="shared" si="3"/>
        <v>102.753</v>
      </c>
    </row>
    <row r="19" spans="1:8" s="655" customFormat="1" ht="30.75" thickBot="1">
      <c r="A19" s="52" t="s">
        <v>447</v>
      </c>
      <c r="B19" s="70">
        <v>5</v>
      </c>
      <c r="C19" s="69">
        <f>C18+B19</f>
        <v>85</v>
      </c>
      <c r="D19" s="82">
        <f t="shared" si="2"/>
        <v>124.7715</v>
      </c>
      <c r="E19" s="53" t="s">
        <v>448</v>
      </c>
      <c r="F19" s="75" t="s">
        <v>463</v>
      </c>
      <c r="G19" s="81">
        <f>G18+F19</f>
        <v>75</v>
      </c>
      <c r="H19" s="82">
        <f t="shared" si="3"/>
        <v>110.0925</v>
      </c>
    </row>
    <row r="20" spans="1:8" s="655" customFormat="1"/>
    <row r="21" spans="1:8" ht="15" customHeight="1" thickBot="1">
      <c r="A21" s="986" t="s">
        <v>465</v>
      </c>
      <c r="B21" s="987"/>
      <c r="C21" s="987"/>
      <c r="D21" s="987"/>
      <c r="E21" s="987"/>
      <c r="F21" s="987"/>
      <c r="G21" s="987"/>
      <c r="H21" s="988"/>
    </row>
    <row r="22" spans="1:8" ht="29.25" thickBot="1">
      <c r="A22" s="48" t="s">
        <v>436</v>
      </c>
      <c r="B22" s="68"/>
      <c r="C22" s="68"/>
      <c r="D22" s="45" t="s">
        <v>437</v>
      </c>
      <c r="E22" s="45" t="s">
        <v>436</v>
      </c>
      <c r="F22" s="71"/>
      <c r="G22" s="71"/>
      <c r="H22" s="49" t="s">
        <v>437</v>
      </c>
    </row>
    <row r="23" spans="1:8" ht="29.25" thickBot="1">
      <c r="A23" s="76" t="s">
        <v>464</v>
      </c>
      <c r="B23" s="982">
        <v>886.5</v>
      </c>
      <c r="C23" s="983"/>
      <c r="D23" s="77">
        <v>12</v>
      </c>
      <c r="E23" s="80">
        <f>B23*D23</f>
        <v>10638</v>
      </c>
      <c r="F23" s="984">
        <f>((E23*B24%)*15%)/D23</f>
        <v>66.487499999999997</v>
      </c>
      <c r="G23" s="985"/>
      <c r="H23" s="78"/>
    </row>
    <row r="24" spans="1:8" ht="15.75" thickBot="1">
      <c r="A24" s="50" t="s">
        <v>438</v>
      </c>
      <c r="B24" s="69">
        <v>50</v>
      </c>
      <c r="C24" s="69"/>
      <c r="D24" s="82">
        <f>($F$23/50)*B24</f>
        <v>66.487499999999997</v>
      </c>
      <c r="E24" s="46"/>
      <c r="F24" s="69">
        <v>50</v>
      </c>
      <c r="G24" s="72"/>
      <c r="H24" s="51"/>
    </row>
    <row r="25" spans="1:8" ht="15.75" thickBot="1">
      <c r="A25" s="50" t="s">
        <v>439</v>
      </c>
      <c r="B25" s="69">
        <v>10</v>
      </c>
      <c r="C25" s="69">
        <f>B24+B25</f>
        <v>60</v>
      </c>
      <c r="D25" s="82">
        <f>($F$23/50)*C25</f>
        <v>79.784999999999997</v>
      </c>
      <c r="E25" s="46" t="s">
        <v>440</v>
      </c>
      <c r="F25" s="69">
        <v>50</v>
      </c>
      <c r="G25" s="72">
        <f>F25</f>
        <v>50</v>
      </c>
      <c r="H25" s="82">
        <f>($F$23/$F$24)*G25</f>
        <v>66.487499999999997</v>
      </c>
    </row>
    <row r="26" spans="1:8" ht="30.75" thickBot="1">
      <c r="A26" s="50" t="s">
        <v>441</v>
      </c>
      <c r="B26" s="69">
        <v>7.5</v>
      </c>
      <c r="C26" s="69">
        <f>C25+B26</f>
        <v>67.5</v>
      </c>
      <c r="D26" s="82">
        <f>($F$23/50)*C26</f>
        <v>89.758124999999993</v>
      </c>
      <c r="E26" s="46" t="s">
        <v>442</v>
      </c>
      <c r="F26" s="75" t="s">
        <v>462</v>
      </c>
      <c r="G26" s="81">
        <f>G25+F26</f>
        <v>57.5</v>
      </c>
      <c r="H26" s="82">
        <f>($F$23/$F$24)*G26</f>
        <v>76.460624999999993</v>
      </c>
    </row>
    <row r="27" spans="1:8" ht="30.75" thickBot="1">
      <c r="A27" s="50" t="s">
        <v>443</v>
      </c>
      <c r="B27" s="69">
        <v>7.5</v>
      </c>
      <c r="C27" s="69">
        <f>C26+B27</f>
        <v>75</v>
      </c>
      <c r="D27" s="82">
        <f>($F$23/50)*C27</f>
        <v>99.731250000000003</v>
      </c>
      <c r="E27" s="46" t="s">
        <v>444</v>
      </c>
      <c r="F27" s="75" t="s">
        <v>462</v>
      </c>
      <c r="G27" s="81">
        <f>G26+F27</f>
        <v>65</v>
      </c>
      <c r="H27" s="82">
        <f>($F$23/$F$24)*G27</f>
        <v>86.433750000000003</v>
      </c>
    </row>
    <row r="28" spans="1:8" ht="30.75" thickBot="1">
      <c r="A28" s="50" t="s">
        <v>445</v>
      </c>
      <c r="B28" s="69">
        <v>5</v>
      </c>
      <c r="C28" s="69">
        <f>C27+B28</f>
        <v>80</v>
      </c>
      <c r="D28" s="82">
        <f>($F$23/50)*C28</f>
        <v>106.38</v>
      </c>
      <c r="E28" s="46" t="s">
        <v>446</v>
      </c>
      <c r="F28" s="75" t="s">
        <v>463</v>
      </c>
      <c r="G28" s="81">
        <f>G27+F28</f>
        <v>70</v>
      </c>
      <c r="H28" s="82">
        <f>($F$23/$F$24)*G28</f>
        <v>93.082499999999996</v>
      </c>
    </row>
    <row r="29" spans="1:8" ht="30.75" thickBot="1">
      <c r="A29" s="52" t="s">
        <v>447</v>
      </c>
      <c r="B29" s="70">
        <v>5</v>
      </c>
      <c r="C29" s="69">
        <f>C28+B29</f>
        <v>85</v>
      </c>
      <c r="D29" s="82">
        <f>($F$23/50)*C29</f>
        <v>113.02875</v>
      </c>
      <c r="E29" s="53" t="s">
        <v>448</v>
      </c>
      <c r="F29" s="75" t="s">
        <v>463</v>
      </c>
      <c r="G29" s="81">
        <f>G28+F29</f>
        <v>75</v>
      </c>
      <c r="H29" s="82">
        <f>($F$23/$F$24)*G29</f>
        <v>99.731250000000003</v>
      </c>
    </row>
    <row r="31" spans="1:8" ht="28.5" customHeight="1" thickBot="1">
      <c r="A31" s="986" t="s">
        <v>435</v>
      </c>
      <c r="B31" s="987"/>
      <c r="C31" s="987"/>
      <c r="D31" s="987"/>
      <c r="E31" s="987"/>
      <c r="F31" s="987"/>
      <c r="G31" s="987"/>
      <c r="H31" s="988"/>
    </row>
    <row r="32" spans="1:8" ht="29.25" thickBot="1">
      <c r="A32" s="48" t="s">
        <v>436</v>
      </c>
      <c r="B32" s="68"/>
      <c r="C32" s="68"/>
      <c r="D32" s="45" t="s">
        <v>437</v>
      </c>
      <c r="E32" s="45" t="s">
        <v>436</v>
      </c>
      <c r="F32" s="71"/>
      <c r="G32" s="71"/>
      <c r="H32" s="49" t="s">
        <v>437</v>
      </c>
    </row>
    <row r="33" spans="1:8" s="79" customFormat="1" ht="29.25" thickBot="1">
      <c r="A33" s="76" t="s">
        <v>464</v>
      </c>
      <c r="B33" s="982">
        <v>796.5</v>
      </c>
      <c r="C33" s="983"/>
      <c r="D33" s="77">
        <v>12</v>
      </c>
      <c r="E33" s="80">
        <f>B33*D33</f>
        <v>9558</v>
      </c>
      <c r="F33" s="984">
        <f>((E33*B34%)*15%)/D33</f>
        <v>59.737500000000004</v>
      </c>
      <c r="G33" s="985"/>
      <c r="H33" s="78"/>
    </row>
    <row r="34" spans="1:8" ht="15.75" thickBot="1">
      <c r="A34" s="50" t="s">
        <v>438</v>
      </c>
      <c r="B34" s="69">
        <v>50</v>
      </c>
      <c r="C34" s="69"/>
      <c r="D34" s="82">
        <f>($F$33/50)*B34</f>
        <v>59.737499999999997</v>
      </c>
      <c r="E34" s="46"/>
      <c r="F34" s="69">
        <v>50</v>
      </c>
      <c r="G34" s="72"/>
      <c r="H34" s="51"/>
    </row>
    <row r="35" spans="1:8" ht="15.75" thickBot="1">
      <c r="A35" s="50" t="s">
        <v>439</v>
      </c>
      <c r="B35" s="69">
        <v>10</v>
      </c>
      <c r="C35" s="69">
        <f>B34+B35</f>
        <v>60</v>
      </c>
      <c r="D35" s="82">
        <f>($F$33/50)*C35</f>
        <v>71.685000000000002</v>
      </c>
      <c r="E35" s="46" t="s">
        <v>440</v>
      </c>
      <c r="F35" s="69">
        <v>50</v>
      </c>
      <c r="G35" s="72">
        <f>F35</f>
        <v>50</v>
      </c>
      <c r="H35" s="82">
        <f>($F$33/50)*F35</f>
        <v>59.737499999999997</v>
      </c>
    </row>
    <row r="36" spans="1:8" ht="30.75" thickBot="1">
      <c r="A36" s="50" t="s">
        <v>441</v>
      </c>
      <c r="B36" s="69">
        <v>7.5</v>
      </c>
      <c r="C36" s="69">
        <f>C35+B36</f>
        <v>67.5</v>
      </c>
      <c r="D36" s="82">
        <f>($F$33/50)*C36</f>
        <v>80.645624999999995</v>
      </c>
      <c r="E36" s="46" t="s">
        <v>442</v>
      </c>
      <c r="F36" s="75" t="s">
        <v>462</v>
      </c>
      <c r="G36" s="81">
        <f>G35+F36</f>
        <v>57.5</v>
      </c>
      <c r="H36" s="82">
        <f>($F$33/50)*G36</f>
        <v>68.698125000000005</v>
      </c>
    </row>
    <row r="37" spans="1:8" ht="30.75" thickBot="1">
      <c r="A37" s="50" t="s">
        <v>443</v>
      </c>
      <c r="B37" s="69">
        <v>7.5</v>
      </c>
      <c r="C37" s="69">
        <f>C36+B37</f>
        <v>75</v>
      </c>
      <c r="D37" s="82">
        <f>($F$33/50)*C37</f>
        <v>89.606250000000003</v>
      </c>
      <c r="E37" s="46" t="s">
        <v>444</v>
      </c>
      <c r="F37" s="75" t="s">
        <v>462</v>
      </c>
      <c r="G37" s="81">
        <f>G36+F37</f>
        <v>65</v>
      </c>
      <c r="H37" s="82">
        <f>($F$33/50)*G37</f>
        <v>77.658749999999998</v>
      </c>
    </row>
    <row r="38" spans="1:8" ht="30.75" thickBot="1">
      <c r="A38" s="50" t="s">
        <v>445</v>
      </c>
      <c r="B38" s="69">
        <v>5</v>
      </c>
      <c r="C38" s="69">
        <f>C37+B38</f>
        <v>80</v>
      </c>
      <c r="D38" s="82">
        <f>($F$33/50)*C38</f>
        <v>95.58</v>
      </c>
      <c r="E38" s="46" t="s">
        <v>446</v>
      </c>
      <c r="F38" s="75" t="s">
        <v>463</v>
      </c>
      <c r="G38" s="81">
        <f>G37+F38</f>
        <v>70</v>
      </c>
      <c r="H38" s="82">
        <f>($F$33/50)*G38</f>
        <v>83.632499999999993</v>
      </c>
    </row>
    <row r="39" spans="1:8" ht="30.75" thickBot="1">
      <c r="A39" s="52" t="s">
        <v>447</v>
      </c>
      <c r="B39" s="70">
        <v>5</v>
      </c>
      <c r="C39" s="69">
        <f>C38+B39</f>
        <v>85</v>
      </c>
      <c r="D39" s="82">
        <f>($F$33/50)*C39</f>
        <v>101.55374999999999</v>
      </c>
      <c r="E39" s="53" t="s">
        <v>448</v>
      </c>
      <c r="F39" s="75" t="s">
        <v>463</v>
      </c>
      <c r="G39" s="81">
        <f>G38+F39</f>
        <v>75</v>
      </c>
      <c r="H39" s="82">
        <f>($F$33/50)*G39</f>
        <v>89.606250000000003</v>
      </c>
    </row>
    <row r="41" spans="1:8" ht="28.5" customHeight="1" thickBot="1">
      <c r="A41" s="979" t="s">
        <v>449</v>
      </c>
      <c r="B41" s="980"/>
      <c r="C41" s="980"/>
      <c r="D41" s="980"/>
      <c r="E41" s="980"/>
      <c r="F41" s="980"/>
      <c r="G41" s="980"/>
      <c r="H41" s="981"/>
    </row>
    <row r="42" spans="1:8" ht="29.25" thickBot="1">
      <c r="A42" s="48" t="s">
        <v>436</v>
      </c>
      <c r="B42" s="68"/>
      <c r="C42" s="68"/>
      <c r="D42" s="45" t="s">
        <v>437</v>
      </c>
      <c r="E42" s="45" t="s">
        <v>436</v>
      </c>
      <c r="F42" s="71"/>
      <c r="G42" s="71"/>
      <c r="H42" s="49" t="s">
        <v>437</v>
      </c>
    </row>
    <row r="43" spans="1:8" ht="15.75" thickBot="1">
      <c r="A43" s="50" t="s">
        <v>438</v>
      </c>
      <c r="B43" s="69"/>
      <c r="C43" s="69"/>
      <c r="D43" s="46">
        <v>54.68</v>
      </c>
      <c r="E43" s="46"/>
      <c r="F43" s="72"/>
      <c r="G43" s="72"/>
      <c r="H43" s="51"/>
    </row>
    <row r="44" spans="1:8" ht="15.75" thickBot="1">
      <c r="A44" s="50" t="s">
        <v>439</v>
      </c>
      <c r="B44" s="69"/>
      <c r="C44" s="69"/>
      <c r="D44" s="46">
        <v>65.61</v>
      </c>
      <c r="E44" s="46" t="s">
        <v>440</v>
      </c>
      <c r="F44" s="72"/>
      <c r="G44" s="72"/>
      <c r="H44" s="51">
        <v>54.68</v>
      </c>
    </row>
    <row r="45" spans="1:8" ht="30.75" thickBot="1">
      <c r="A45" s="50" t="s">
        <v>441</v>
      </c>
      <c r="B45" s="69"/>
      <c r="C45" s="69"/>
      <c r="D45" s="46">
        <v>73.81</v>
      </c>
      <c r="E45" s="46" t="s">
        <v>442</v>
      </c>
      <c r="F45" s="72"/>
      <c r="G45" s="72"/>
      <c r="H45" s="51">
        <v>62.88</v>
      </c>
    </row>
    <row r="46" spans="1:8" ht="30.75" thickBot="1">
      <c r="A46" s="50" t="s">
        <v>443</v>
      </c>
      <c r="B46" s="69"/>
      <c r="C46" s="69"/>
      <c r="D46" s="46">
        <v>82.01</v>
      </c>
      <c r="E46" s="46" t="s">
        <v>444</v>
      </c>
      <c r="F46" s="72"/>
      <c r="G46" s="72"/>
      <c r="H46" s="51">
        <v>71.08</v>
      </c>
    </row>
    <row r="47" spans="1:8" ht="30.75" thickBot="1">
      <c r="A47" s="50" t="s">
        <v>445</v>
      </c>
      <c r="B47" s="69"/>
      <c r="C47" s="69"/>
      <c r="D47" s="46">
        <v>87.48</v>
      </c>
      <c r="E47" s="46" t="s">
        <v>446</v>
      </c>
      <c r="F47" s="72"/>
      <c r="G47" s="72"/>
      <c r="H47" s="51">
        <v>76.55</v>
      </c>
    </row>
    <row r="48" spans="1:8" ht="30">
      <c r="A48" s="52" t="s">
        <v>447</v>
      </c>
      <c r="B48" s="70"/>
      <c r="C48" s="70"/>
      <c r="D48" s="53">
        <v>92.95</v>
      </c>
      <c r="E48" s="53" t="s">
        <v>448</v>
      </c>
      <c r="F48" s="73"/>
      <c r="G48" s="73"/>
      <c r="H48" s="54">
        <v>82.01</v>
      </c>
    </row>
    <row r="49" spans="1:8" ht="43.5" customHeight="1"/>
    <row r="50" spans="1:8" ht="28.5" customHeight="1" thickBot="1">
      <c r="A50" s="979" t="s">
        <v>450</v>
      </c>
      <c r="B50" s="980"/>
      <c r="C50" s="980"/>
      <c r="D50" s="980"/>
      <c r="E50" s="980"/>
      <c r="F50" s="980"/>
      <c r="G50" s="980"/>
      <c r="H50" s="981"/>
    </row>
    <row r="51" spans="1:8" ht="29.25" thickBot="1">
      <c r="A51" s="48" t="s">
        <v>436</v>
      </c>
      <c r="B51" s="68"/>
      <c r="C51" s="68"/>
      <c r="D51" s="45" t="s">
        <v>437</v>
      </c>
      <c r="E51" s="45" t="s">
        <v>436</v>
      </c>
      <c r="F51" s="71"/>
      <c r="G51" s="71"/>
      <c r="H51" s="49" t="s">
        <v>437</v>
      </c>
    </row>
    <row r="52" spans="1:8" ht="15.75" thickBot="1">
      <c r="A52" s="50" t="s">
        <v>438</v>
      </c>
      <c r="B52" s="69"/>
      <c r="C52" s="69"/>
      <c r="D52" s="46">
        <v>49.95</v>
      </c>
      <c r="E52" s="46"/>
      <c r="F52" s="72"/>
      <c r="G52" s="72"/>
      <c r="H52" s="51"/>
    </row>
    <row r="53" spans="1:8" ht="15.75" thickBot="1">
      <c r="A53" s="50" t="s">
        <v>439</v>
      </c>
      <c r="B53" s="69"/>
      <c r="C53" s="69"/>
      <c r="D53" s="46">
        <v>59.94</v>
      </c>
      <c r="E53" s="46" t="s">
        <v>440</v>
      </c>
      <c r="F53" s="72"/>
      <c r="G53" s="72"/>
      <c r="H53" s="51">
        <v>49.95</v>
      </c>
    </row>
    <row r="54" spans="1:8" ht="30.75" thickBot="1">
      <c r="A54" s="50" t="s">
        <v>441</v>
      </c>
      <c r="B54" s="69"/>
      <c r="C54" s="69"/>
      <c r="D54" s="46">
        <v>67.430000000000007</v>
      </c>
      <c r="E54" s="46" t="s">
        <v>442</v>
      </c>
      <c r="F54" s="72"/>
      <c r="G54" s="72"/>
      <c r="H54" s="51">
        <v>57.44</v>
      </c>
    </row>
    <row r="55" spans="1:8" ht="30.75" thickBot="1">
      <c r="A55" s="50" t="s">
        <v>443</v>
      </c>
      <c r="B55" s="69"/>
      <c r="C55" s="69"/>
      <c r="D55" s="46">
        <v>74.930000000000007</v>
      </c>
      <c r="E55" s="46" t="s">
        <v>444</v>
      </c>
      <c r="F55" s="72"/>
      <c r="G55" s="72"/>
      <c r="H55" s="51">
        <v>64.94</v>
      </c>
    </row>
    <row r="56" spans="1:8" ht="30.75" thickBot="1">
      <c r="A56" s="50" t="s">
        <v>445</v>
      </c>
      <c r="B56" s="69"/>
      <c r="C56" s="69"/>
      <c r="D56" s="46">
        <v>79.92</v>
      </c>
      <c r="E56" s="46" t="s">
        <v>446</v>
      </c>
      <c r="F56" s="72"/>
      <c r="G56" s="72"/>
      <c r="H56" s="51">
        <v>69.930000000000007</v>
      </c>
    </row>
    <row r="57" spans="1:8" ht="30">
      <c r="A57" s="52" t="s">
        <v>447</v>
      </c>
      <c r="B57" s="70"/>
      <c r="C57" s="70"/>
      <c r="D57" s="53">
        <v>84.92</v>
      </c>
      <c r="E57" s="53" t="s">
        <v>448</v>
      </c>
      <c r="F57" s="73"/>
      <c r="G57" s="73"/>
      <c r="H57" s="54">
        <v>74.930000000000007</v>
      </c>
    </row>
    <row r="60" spans="1:8" ht="28.5" customHeight="1" thickBot="1">
      <c r="A60" s="979" t="s">
        <v>451</v>
      </c>
      <c r="B60" s="980"/>
      <c r="C60" s="980"/>
      <c r="D60" s="980"/>
      <c r="E60" s="980"/>
      <c r="F60" s="980"/>
      <c r="G60" s="980"/>
      <c r="H60" s="981"/>
    </row>
    <row r="61" spans="1:8" ht="29.25" thickBot="1">
      <c r="A61" s="48" t="s">
        <v>436</v>
      </c>
      <c r="B61" s="68"/>
      <c r="C61" s="68"/>
      <c r="D61" s="45" t="s">
        <v>452</v>
      </c>
      <c r="E61" s="45" t="s">
        <v>436</v>
      </c>
      <c r="F61" s="71"/>
      <c r="G61" s="71"/>
      <c r="H61" s="49" t="s">
        <v>452</v>
      </c>
    </row>
    <row r="62" spans="1:8" ht="15.75" thickBot="1">
      <c r="A62" s="50" t="s">
        <v>438</v>
      </c>
      <c r="B62" s="69"/>
      <c r="C62" s="69"/>
      <c r="D62" s="46">
        <v>45.63</v>
      </c>
      <c r="E62" s="47"/>
      <c r="F62" s="74"/>
      <c r="G62" s="74"/>
      <c r="H62" s="55"/>
    </row>
    <row r="63" spans="1:8" ht="15.75" thickBot="1">
      <c r="A63" s="50" t="s">
        <v>439</v>
      </c>
      <c r="B63" s="69"/>
      <c r="C63" s="69"/>
      <c r="D63" s="46">
        <v>54.76</v>
      </c>
      <c r="E63" s="46" t="s">
        <v>440</v>
      </c>
      <c r="F63" s="72"/>
      <c r="G63" s="72"/>
      <c r="H63" s="51">
        <v>45.63</v>
      </c>
    </row>
    <row r="64" spans="1:8" ht="30.75" thickBot="1">
      <c r="A64" s="50" t="s">
        <v>441</v>
      </c>
      <c r="B64" s="69"/>
      <c r="C64" s="69"/>
      <c r="D64" s="46">
        <v>61.6</v>
      </c>
      <c r="E64" s="46" t="s">
        <v>442</v>
      </c>
      <c r="F64" s="72"/>
      <c r="G64" s="72"/>
      <c r="H64" s="51">
        <v>52.47</v>
      </c>
    </row>
    <row r="65" spans="1:8" ht="30.75" thickBot="1">
      <c r="A65" s="50" t="s">
        <v>443</v>
      </c>
      <c r="B65" s="69"/>
      <c r="C65" s="69"/>
      <c r="D65" s="46">
        <v>68.45</v>
      </c>
      <c r="E65" s="46" t="s">
        <v>444</v>
      </c>
      <c r="F65" s="72"/>
      <c r="G65" s="72"/>
      <c r="H65" s="51">
        <v>59.32</v>
      </c>
    </row>
    <row r="66" spans="1:8" ht="30.75" thickBot="1">
      <c r="A66" s="50" t="s">
        <v>445</v>
      </c>
      <c r="B66" s="69"/>
      <c r="C66" s="69"/>
      <c r="D66" s="46">
        <v>73.010000000000005</v>
      </c>
      <c r="E66" s="46" t="s">
        <v>446</v>
      </c>
      <c r="F66" s="72"/>
      <c r="G66" s="72"/>
      <c r="H66" s="51">
        <v>63.88</v>
      </c>
    </row>
    <row r="67" spans="1:8" ht="30">
      <c r="A67" s="52" t="s">
        <v>447</v>
      </c>
      <c r="B67" s="70"/>
      <c r="C67" s="70"/>
      <c r="D67" s="53">
        <v>77.569999999999993</v>
      </c>
      <c r="E67" s="53" t="s">
        <v>448</v>
      </c>
      <c r="F67" s="73"/>
      <c r="G67" s="73"/>
      <c r="H67" s="54">
        <v>68.45</v>
      </c>
    </row>
  </sheetData>
  <mergeCells count="15">
    <mergeCell ref="A11:H11"/>
    <mergeCell ref="B13:C13"/>
    <mergeCell ref="F13:G13"/>
    <mergeCell ref="A1:H1"/>
    <mergeCell ref="B3:C3"/>
    <mergeCell ref="F3:G3"/>
    <mergeCell ref="A60:H60"/>
    <mergeCell ref="B33:C33"/>
    <mergeCell ref="F33:G33"/>
    <mergeCell ref="A21:H21"/>
    <mergeCell ref="B23:C23"/>
    <mergeCell ref="F23:G23"/>
    <mergeCell ref="A31:H31"/>
    <mergeCell ref="A41:H41"/>
    <mergeCell ref="A50:H50"/>
  </mergeCells>
  <phoneticPr fontId="0" type="noConversion"/>
  <printOptions horizontalCentered="1"/>
  <pageMargins left="0.74803149606299213" right="0.35433070866141736" top="0.19685039370078741" bottom="0.19685039370078741" header="0" footer="0"/>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8"/>
  <sheetViews>
    <sheetView topLeftCell="C1" workbookViewId="0">
      <selection activeCell="P16" sqref="P16"/>
    </sheetView>
  </sheetViews>
  <sheetFormatPr defaultRowHeight="12.75"/>
  <cols>
    <col min="1" max="1" width="3" customWidth="1"/>
    <col min="2" max="2" width="22.28515625" customWidth="1"/>
    <col min="3" max="3" width="9.140625" bestFit="1" customWidth="1"/>
    <col min="4" max="5" width="11.5703125" customWidth="1"/>
    <col min="6" max="15" width="9.5703125" style="31" customWidth="1"/>
  </cols>
  <sheetData>
    <row r="1" spans="1:18" ht="27.75" customHeight="1">
      <c r="B1" s="989" t="s">
        <v>574</v>
      </c>
      <c r="C1" s="989"/>
      <c r="D1" s="989"/>
      <c r="E1" s="989"/>
      <c r="F1" s="989"/>
      <c r="G1" s="989"/>
      <c r="H1" s="989"/>
      <c r="I1" s="989"/>
      <c r="J1" s="989"/>
      <c r="K1" s="989"/>
      <c r="L1" s="989"/>
      <c r="M1" s="989"/>
      <c r="N1" s="989"/>
      <c r="O1" s="989"/>
    </row>
    <row r="2" spans="1:18" s="181" customFormat="1" ht="21.75" customHeight="1">
      <c r="B2" s="178" t="s">
        <v>575</v>
      </c>
      <c r="C2" s="179" t="s">
        <v>490</v>
      </c>
      <c r="D2" s="179" t="s">
        <v>491</v>
      </c>
      <c r="E2" s="179" t="s">
        <v>492</v>
      </c>
      <c r="F2" s="179" t="s">
        <v>493</v>
      </c>
      <c r="G2" s="179" t="s">
        <v>576</v>
      </c>
      <c r="H2" s="179" t="s">
        <v>500</v>
      </c>
      <c r="I2" s="179" t="s">
        <v>502</v>
      </c>
      <c r="J2" s="179" t="s">
        <v>503</v>
      </c>
      <c r="K2" s="179" t="s">
        <v>504</v>
      </c>
      <c r="L2" s="179" t="s">
        <v>505</v>
      </c>
      <c r="M2" s="179" t="s">
        <v>506</v>
      </c>
      <c r="N2" s="179" t="s">
        <v>507</v>
      </c>
      <c r="O2" s="180" t="s">
        <v>577</v>
      </c>
    </row>
    <row r="3" spans="1:18" ht="20.25" customHeight="1">
      <c r="A3">
        <v>1</v>
      </c>
      <c r="B3" s="616" t="s">
        <v>578</v>
      </c>
      <c r="C3" s="175">
        <v>916.62</v>
      </c>
      <c r="D3" s="175">
        <v>0</v>
      </c>
      <c r="E3" s="175">
        <v>0</v>
      </c>
      <c r="F3" s="175">
        <v>853.09</v>
      </c>
      <c r="G3" s="175">
        <v>855.96</v>
      </c>
      <c r="H3" s="175">
        <v>855.96</v>
      </c>
      <c r="I3" s="175">
        <v>892.7</v>
      </c>
      <c r="J3" s="175">
        <v>892.7</v>
      </c>
      <c r="K3" s="614">
        <v>892.7</v>
      </c>
      <c r="L3" s="614">
        <v>892.7</v>
      </c>
      <c r="M3" s="614">
        <v>892.7</v>
      </c>
      <c r="N3" s="614">
        <v>892.7</v>
      </c>
      <c r="O3" s="174">
        <f>SUM(C3:N3)</f>
        <v>8837.83</v>
      </c>
      <c r="R3" s="172"/>
    </row>
    <row r="4" spans="1:18" ht="20.25" customHeight="1">
      <c r="A4">
        <v>2</v>
      </c>
      <c r="B4" s="616" t="s">
        <v>579</v>
      </c>
      <c r="C4" s="176">
        <v>0.15</v>
      </c>
      <c r="D4" s="176">
        <v>0.15</v>
      </c>
      <c r="E4" s="176">
        <v>0.15</v>
      </c>
      <c r="F4" s="176">
        <v>0.15</v>
      </c>
      <c r="G4" s="176">
        <v>0.15</v>
      </c>
      <c r="H4" s="176">
        <v>0.15</v>
      </c>
      <c r="I4" s="176">
        <v>0.15</v>
      </c>
      <c r="J4" s="176">
        <v>0.15</v>
      </c>
      <c r="K4" s="615">
        <v>0.15</v>
      </c>
      <c r="L4" s="615">
        <v>0.15</v>
      </c>
      <c r="M4" s="615">
        <v>0.15</v>
      </c>
      <c r="N4" s="615">
        <v>0.15</v>
      </c>
      <c r="O4" s="174"/>
      <c r="R4" s="172"/>
    </row>
    <row r="5" spans="1:18" ht="20.25" customHeight="1">
      <c r="A5">
        <v>3</v>
      </c>
      <c r="B5" s="617" t="s">
        <v>4762</v>
      </c>
      <c r="C5" s="175">
        <v>99.73</v>
      </c>
      <c r="D5" s="175">
        <v>0</v>
      </c>
      <c r="E5" s="175">
        <v>0</v>
      </c>
      <c r="F5" s="175">
        <v>89.61</v>
      </c>
      <c r="G5" s="175">
        <v>89.61</v>
      </c>
      <c r="H5" s="175">
        <v>89.61</v>
      </c>
      <c r="I5" s="175">
        <v>89.61</v>
      </c>
      <c r="J5" s="175">
        <v>89.61</v>
      </c>
      <c r="K5" s="614">
        <v>89.61</v>
      </c>
      <c r="L5" s="614">
        <v>89.61</v>
      </c>
      <c r="M5" s="614">
        <v>89.61</v>
      </c>
      <c r="N5" s="614">
        <v>89.61</v>
      </c>
      <c r="O5" s="174">
        <f t="shared" ref="O5:O12" si="0">SUM(C5:N5)</f>
        <v>906.22</v>
      </c>
    </row>
    <row r="6" spans="1:18" ht="20.25" customHeight="1">
      <c r="A6">
        <v>4</v>
      </c>
      <c r="B6" s="647" t="s">
        <v>4771</v>
      </c>
      <c r="C6" s="608">
        <f t="shared" ref="C6:N6" si="1">C5</f>
        <v>99.73</v>
      </c>
      <c r="D6" s="608">
        <f t="shared" si="1"/>
        <v>0</v>
      </c>
      <c r="E6" s="608">
        <f t="shared" si="1"/>
        <v>0</v>
      </c>
      <c r="F6" s="608">
        <f t="shared" si="1"/>
        <v>89.61</v>
      </c>
      <c r="G6" s="608">
        <f t="shared" si="1"/>
        <v>89.61</v>
      </c>
      <c r="H6" s="608">
        <f t="shared" si="1"/>
        <v>89.61</v>
      </c>
      <c r="I6" s="608">
        <f t="shared" si="1"/>
        <v>89.61</v>
      </c>
      <c r="J6" s="608">
        <f t="shared" si="1"/>
        <v>89.61</v>
      </c>
      <c r="K6" s="608">
        <f t="shared" si="1"/>
        <v>89.61</v>
      </c>
      <c r="L6" s="608">
        <f t="shared" si="1"/>
        <v>89.61</v>
      </c>
      <c r="M6" s="608">
        <f t="shared" si="1"/>
        <v>89.61</v>
      </c>
      <c r="N6" s="608">
        <f t="shared" si="1"/>
        <v>89.61</v>
      </c>
      <c r="O6" s="174">
        <f t="shared" si="0"/>
        <v>906.22</v>
      </c>
      <c r="P6" s="31"/>
    </row>
    <row r="7" spans="1:18" ht="22.5" customHeight="1">
      <c r="A7">
        <v>5</v>
      </c>
      <c r="B7" s="618" t="s">
        <v>4763</v>
      </c>
      <c r="C7" s="175">
        <v>770</v>
      </c>
      <c r="D7" s="175"/>
      <c r="E7" s="175"/>
      <c r="F7" s="175">
        <v>700</v>
      </c>
      <c r="G7" s="175">
        <v>700</v>
      </c>
      <c r="H7" s="175">
        <v>700</v>
      </c>
      <c r="I7" s="175">
        <v>700</v>
      </c>
      <c r="J7" s="175">
        <v>700</v>
      </c>
      <c r="K7" s="175">
        <v>700</v>
      </c>
      <c r="L7" s="175">
        <v>700</v>
      </c>
      <c r="M7" s="175">
        <v>700</v>
      </c>
      <c r="N7" s="175">
        <v>700</v>
      </c>
      <c r="O7" s="174">
        <f t="shared" si="0"/>
        <v>7070</v>
      </c>
    </row>
    <row r="8" spans="1:18" ht="20.25" customHeight="1">
      <c r="A8">
        <v>6</v>
      </c>
      <c r="B8" s="616" t="s">
        <v>4772</v>
      </c>
      <c r="C8" s="171">
        <f>C3*C4</f>
        <v>137.49299999999999</v>
      </c>
      <c r="D8" s="171">
        <f t="shared" ref="D8:N8" si="2">D3*D4</f>
        <v>0</v>
      </c>
      <c r="E8" s="171">
        <f t="shared" si="2"/>
        <v>0</v>
      </c>
      <c r="F8" s="171">
        <f t="shared" si="2"/>
        <v>127.9635</v>
      </c>
      <c r="G8" s="171">
        <f t="shared" si="2"/>
        <v>128.39400000000001</v>
      </c>
      <c r="H8" s="171">
        <f t="shared" si="2"/>
        <v>128.39400000000001</v>
      </c>
      <c r="I8" s="171">
        <f t="shared" si="2"/>
        <v>133.905</v>
      </c>
      <c r="J8" s="171">
        <f t="shared" si="2"/>
        <v>133.905</v>
      </c>
      <c r="K8" s="171">
        <f t="shared" si="2"/>
        <v>133.905</v>
      </c>
      <c r="L8" s="171">
        <f t="shared" si="2"/>
        <v>133.905</v>
      </c>
      <c r="M8" s="171">
        <f t="shared" si="2"/>
        <v>133.905</v>
      </c>
      <c r="N8" s="171">
        <f t="shared" si="2"/>
        <v>133.905</v>
      </c>
      <c r="O8" s="174">
        <f t="shared" si="0"/>
        <v>1325.6744999999999</v>
      </c>
    </row>
    <row r="9" spans="1:18" ht="20.25" customHeight="1">
      <c r="A9">
        <v>7</v>
      </c>
      <c r="B9" s="617" t="s">
        <v>4773</v>
      </c>
      <c r="C9" s="173">
        <f>C8-C6</f>
        <v>37.762999999999991</v>
      </c>
      <c r="D9" s="173">
        <f t="shared" ref="D9:N9" si="3">(D8-D5)</f>
        <v>0</v>
      </c>
      <c r="E9" s="173">
        <f t="shared" si="3"/>
        <v>0</v>
      </c>
      <c r="F9" s="173">
        <f>(F8-F5)</f>
        <v>38.353499999999997</v>
      </c>
      <c r="G9" s="173">
        <f t="shared" si="3"/>
        <v>38.784000000000006</v>
      </c>
      <c r="H9" s="173">
        <f t="shared" si="3"/>
        <v>38.784000000000006</v>
      </c>
      <c r="I9" s="173">
        <f t="shared" si="3"/>
        <v>44.295000000000002</v>
      </c>
      <c r="J9" s="173">
        <f t="shared" si="3"/>
        <v>44.295000000000002</v>
      </c>
      <c r="K9" s="173">
        <f t="shared" si="3"/>
        <v>44.295000000000002</v>
      </c>
      <c r="L9" s="173">
        <f t="shared" si="3"/>
        <v>44.295000000000002</v>
      </c>
      <c r="M9" s="173">
        <f t="shared" si="3"/>
        <v>44.295000000000002</v>
      </c>
      <c r="N9" s="173">
        <f t="shared" si="3"/>
        <v>44.295000000000002</v>
      </c>
      <c r="O9" s="174">
        <f t="shared" si="0"/>
        <v>419.45450000000011</v>
      </c>
    </row>
    <row r="10" spans="1:18" ht="20.25" customHeight="1">
      <c r="A10">
        <v>8</v>
      </c>
      <c r="B10" s="616" t="s">
        <v>4774</v>
      </c>
      <c r="C10" s="177">
        <f>C3</f>
        <v>916.62</v>
      </c>
      <c r="D10" s="177">
        <f t="shared" ref="D10:N10" si="4">D3</f>
        <v>0</v>
      </c>
      <c r="E10" s="177">
        <f t="shared" si="4"/>
        <v>0</v>
      </c>
      <c r="F10" s="177">
        <f>F3</f>
        <v>853.09</v>
      </c>
      <c r="G10" s="177">
        <f t="shared" si="4"/>
        <v>855.96</v>
      </c>
      <c r="H10" s="177">
        <f t="shared" si="4"/>
        <v>855.96</v>
      </c>
      <c r="I10" s="177">
        <f t="shared" si="4"/>
        <v>892.7</v>
      </c>
      <c r="J10" s="177">
        <f t="shared" si="4"/>
        <v>892.7</v>
      </c>
      <c r="K10" s="177">
        <f t="shared" si="4"/>
        <v>892.7</v>
      </c>
      <c r="L10" s="177">
        <f t="shared" si="4"/>
        <v>892.7</v>
      </c>
      <c r="M10" s="177">
        <f t="shared" si="4"/>
        <v>892.7</v>
      </c>
      <c r="N10" s="177">
        <f t="shared" si="4"/>
        <v>892.7</v>
      </c>
      <c r="O10" s="174">
        <f t="shared" si="0"/>
        <v>8837.83</v>
      </c>
    </row>
    <row r="11" spans="1:18" ht="20.25" customHeight="1">
      <c r="A11">
        <v>9</v>
      </c>
      <c r="B11" s="619" t="s">
        <v>4775</v>
      </c>
      <c r="C11" s="171">
        <f>(C10-C7)</f>
        <v>146.62</v>
      </c>
      <c r="D11" s="171">
        <f t="shared" ref="D11:N11" si="5">(D10-D7)</f>
        <v>0</v>
      </c>
      <c r="E11" s="171">
        <f t="shared" si="5"/>
        <v>0</v>
      </c>
      <c r="F11" s="171">
        <f t="shared" si="5"/>
        <v>153.09000000000003</v>
      </c>
      <c r="G11" s="171">
        <f t="shared" si="5"/>
        <v>155.96000000000004</v>
      </c>
      <c r="H11" s="171">
        <f t="shared" si="5"/>
        <v>155.96000000000004</v>
      </c>
      <c r="I11" s="171">
        <f t="shared" si="5"/>
        <v>192.70000000000005</v>
      </c>
      <c r="J11" s="171">
        <f t="shared" si="5"/>
        <v>192.70000000000005</v>
      </c>
      <c r="K11" s="171">
        <f t="shared" si="5"/>
        <v>192.70000000000005</v>
      </c>
      <c r="L11" s="171">
        <f t="shared" si="5"/>
        <v>192.70000000000005</v>
      </c>
      <c r="M11" s="171">
        <f t="shared" si="5"/>
        <v>192.70000000000005</v>
      </c>
      <c r="N11" s="171">
        <f t="shared" si="5"/>
        <v>192.70000000000005</v>
      </c>
      <c r="O11" s="174">
        <f t="shared" si="0"/>
        <v>1767.8300000000004</v>
      </c>
    </row>
    <row r="12" spans="1:18" ht="20.25" customHeight="1">
      <c r="A12">
        <v>10</v>
      </c>
      <c r="B12" s="617" t="s">
        <v>4776</v>
      </c>
      <c r="C12" s="171">
        <f t="shared" ref="C12:N12" si="6">C11*C4</f>
        <v>21.992999999999999</v>
      </c>
      <c r="D12" s="171">
        <f t="shared" si="6"/>
        <v>0</v>
      </c>
      <c r="E12" s="171">
        <f t="shared" si="6"/>
        <v>0</v>
      </c>
      <c r="F12" s="171">
        <f t="shared" si="6"/>
        <v>22.963500000000003</v>
      </c>
      <c r="G12" s="171">
        <f t="shared" si="6"/>
        <v>23.394000000000005</v>
      </c>
      <c r="H12" s="171">
        <f t="shared" si="6"/>
        <v>23.394000000000005</v>
      </c>
      <c r="I12" s="171">
        <f t="shared" si="6"/>
        <v>28.905000000000005</v>
      </c>
      <c r="J12" s="171">
        <f t="shared" si="6"/>
        <v>28.905000000000005</v>
      </c>
      <c r="K12" s="171">
        <f t="shared" si="6"/>
        <v>28.905000000000005</v>
      </c>
      <c r="L12" s="171">
        <f t="shared" si="6"/>
        <v>28.905000000000005</v>
      </c>
      <c r="M12" s="171">
        <f t="shared" si="6"/>
        <v>28.905000000000005</v>
      </c>
      <c r="N12" s="171">
        <f t="shared" si="6"/>
        <v>28.905000000000005</v>
      </c>
      <c r="O12" s="174">
        <f t="shared" si="0"/>
        <v>265.17450000000002</v>
      </c>
      <c r="P12" s="31"/>
    </row>
    <row r="13" spans="1:18" ht="20.25" customHeight="1">
      <c r="A13">
        <v>11</v>
      </c>
      <c r="B13" s="617" t="s">
        <v>4777</v>
      </c>
      <c r="C13" s="171">
        <f>C12</f>
        <v>21.992999999999999</v>
      </c>
      <c r="D13" s="171">
        <f t="shared" ref="D13:O13" si="7">D12</f>
        <v>0</v>
      </c>
      <c r="E13" s="171">
        <f t="shared" si="7"/>
        <v>0</v>
      </c>
      <c r="F13" s="171">
        <f t="shared" si="7"/>
        <v>22.963500000000003</v>
      </c>
      <c r="G13" s="171">
        <f t="shared" si="7"/>
        <v>23.394000000000005</v>
      </c>
      <c r="H13" s="171">
        <f t="shared" si="7"/>
        <v>23.394000000000005</v>
      </c>
      <c r="I13" s="171">
        <f t="shared" si="7"/>
        <v>28.905000000000005</v>
      </c>
      <c r="J13" s="171">
        <f t="shared" si="7"/>
        <v>28.905000000000005</v>
      </c>
      <c r="K13" s="171">
        <f t="shared" si="7"/>
        <v>28.905000000000005</v>
      </c>
      <c r="L13" s="171">
        <f t="shared" si="7"/>
        <v>28.905000000000005</v>
      </c>
      <c r="M13" s="171">
        <f t="shared" si="7"/>
        <v>28.905000000000005</v>
      </c>
      <c r="N13" s="171">
        <f t="shared" si="7"/>
        <v>28.905000000000005</v>
      </c>
      <c r="O13" s="171">
        <f t="shared" si="7"/>
        <v>265.17450000000002</v>
      </c>
      <c r="P13" s="31"/>
    </row>
    <row r="14" spans="1:18" ht="20.25" customHeight="1">
      <c r="A14">
        <v>12</v>
      </c>
      <c r="B14" s="617" t="s">
        <v>4778</v>
      </c>
      <c r="C14" s="173">
        <f>C6-C13</f>
        <v>77.737000000000009</v>
      </c>
      <c r="D14" s="173">
        <f t="shared" ref="D14:O14" si="8">D6-D13</f>
        <v>0</v>
      </c>
      <c r="E14" s="173">
        <f t="shared" si="8"/>
        <v>0</v>
      </c>
      <c r="F14" s="173">
        <f t="shared" si="8"/>
        <v>66.646500000000003</v>
      </c>
      <c r="G14" s="173">
        <f t="shared" si="8"/>
        <v>66.215999999999994</v>
      </c>
      <c r="H14" s="173">
        <f t="shared" si="8"/>
        <v>66.215999999999994</v>
      </c>
      <c r="I14" s="173">
        <f t="shared" si="8"/>
        <v>60.704999999999998</v>
      </c>
      <c r="J14" s="173">
        <f t="shared" si="8"/>
        <v>60.704999999999998</v>
      </c>
      <c r="K14" s="173">
        <f t="shared" si="8"/>
        <v>60.704999999999998</v>
      </c>
      <c r="L14" s="173">
        <f t="shared" si="8"/>
        <v>60.704999999999998</v>
      </c>
      <c r="M14" s="173">
        <f t="shared" si="8"/>
        <v>60.704999999999998</v>
      </c>
      <c r="N14" s="173">
        <f t="shared" si="8"/>
        <v>60.704999999999998</v>
      </c>
      <c r="O14" s="173">
        <f t="shared" si="8"/>
        <v>641.04549999999995</v>
      </c>
      <c r="P14" s="31"/>
    </row>
    <row r="15" spans="1:18" ht="20.25" customHeight="1">
      <c r="B15" s="617"/>
      <c r="C15" s="173">
        <f>C8-C12</f>
        <v>115.5</v>
      </c>
      <c r="D15" s="173">
        <f t="shared" ref="D15:O15" si="9">D8-D12</f>
        <v>0</v>
      </c>
      <c r="E15" s="173">
        <f t="shared" si="9"/>
        <v>0</v>
      </c>
      <c r="F15" s="173">
        <f t="shared" si="9"/>
        <v>105</v>
      </c>
      <c r="G15" s="173">
        <f t="shared" si="9"/>
        <v>105</v>
      </c>
      <c r="H15" s="173">
        <f t="shared" si="9"/>
        <v>105</v>
      </c>
      <c r="I15" s="173">
        <f t="shared" si="9"/>
        <v>105</v>
      </c>
      <c r="J15" s="173">
        <f t="shared" si="9"/>
        <v>105</v>
      </c>
      <c r="K15" s="173">
        <f t="shared" si="9"/>
        <v>105</v>
      </c>
      <c r="L15" s="173">
        <f t="shared" si="9"/>
        <v>105</v>
      </c>
      <c r="M15" s="173">
        <f t="shared" si="9"/>
        <v>105</v>
      </c>
      <c r="N15" s="173">
        <f t="shared" si="9"/>
        <v>105</v>
      </c>
      <c r="O15" s="173">
        <f t="shared" si="9"/>
        <v>1060.4999999999998</v>
      </c>
      <c r="P15" s="31"/>
    </row>
    <row r="16" spans="1:18" s="183" customFormat="1" ht="45">
      <c r="B16" s="182" t="s">
        <v>580</v>
      </c>
      <c r="C16" s="609">
        <f>C15-C14</f>
        <v>37.762999999999991</v>
      </c>
      <c r="D16" s="609">
        <f t="shared" ref="D16:O16" si="10">D15-D14</f>
        <v>0</v>
      </c>
      <c r="E16" s="609">
        <f t="shared" si="10"/>
        <v>0</v>
      </c>
      <c r="F16" s="609">
        <f t="shared" si="10"/>
        <v>38.353499999999997</v>
      </c>
      <c r="G16" s="609">
        <f t="shared" si="10"/>
        <v>38.784000000000006</v>
      </c>
      <c r="H16" s="609">
        <f t="shared" si="10"/>
        <v>38.784000000000006</v>
      </c>
      <c r="I16" s="609">
        <f t="shared" si="10"/>
        <v>44.295000000000002</v>
      </c>
      <c r="J16" s="609">
        <f t="shared" si="10"/>
        <v>44.295000000000002</v>
      </c>
      <c r="K16" s="609">
        <f t="shared" si="10"/>
        <v>44.295000000000002</v>
      </c>
      <c r="L16" s="609">
        <f t="shared" si="10"/>
        <v>44.295000000000002</v>
      </c>
      <c r="M16" s="609">
        <f t="shared" si="10"/>
        <v>44.295000000000002</v>
      </c>
      <c r="N16" s="609">
        <f t="shared" si="10"/>
        <v>44.295000000000002</v>
      </c>
      <c r="O16" s="609">
        <f t="shared" si="10"/>
        <v>419.45449999999983</v>
      </c>
    </row>
    <row r="18" spans="3:3">
      <c r="C18" s="31">
        <f>C9-C14</f>
        <v>-39.974000000000018</v>
      </c>
    </row>
  </sheetData>
  <mergeCells count="1">
    <mergeCell ref="B1:O1"/>
  </mergeCells>
  <phoneticPr fontId="0" type="noConversion"/>
  <pageMargins left="0.74803149606299213" right="0.74803149606299213" top="0.98425196850393704" bottom="0.98425196850393704" header="0.51181102362204722" footer="0.51181102362204722"/>
  <pageSetup paperSize="9" scale="88"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topLeftCell="B10" workbookViewId="0">
      <selection activeCell="L14" sqref="L14"/>
    </sheetView>
  </sheetViews>
  <sheetFormatPr defaultRowHeight="12.75"/>
  <cols>
    <col min="1" max="1" width="27.7109375" customWidth="1"/>
    <col min="2" max="2" width="11.5703125" customWidth="1"/>
    <col min="3" max="3" width="6.85546875" customWidth="1"/>
    <col min="4" max="4" width="11.7109375" customWidth="1"/>
    <col min="5" max="5" width="27.42578125" customWidth="1"/>
    <col min="6" max="6" width="8" customWidth="1"/>
    <col min="8" max="8" width="11.28515625" customWidth="1"/>
  </cols>
  <sheetData>
    <row r="1" spans="1:10" ht="15.75" customHeight="1" thickBot="1">
      <c r="A1" s="85"/>
      <c r="B1" s="86"/>
      <c r="C1" s="87">
        <f ca="1">TODAY()</f>
        <v>41305</v>
      </c>
      <c r="D1" s="993" t="s">
        <v>482</v>
      </c>
      <c r="E1" s="993"/>
      <c r="F1" s="993"/>
      <c r="G1" s="993"/>
      <c r="H1" s="994"/>
    </row>
    <row r="2" spans="1:10" ht="15" thickBot="1">
      <c r="A2" s="48" t="s">
        <v>436</v>
      </c>
      <c r="B2" s="68"/>
      <c r="C2" s="68"/>
      <c r="D2" s="45" t="s">
        <v>437</v>
      </c>
      <c r="E2" s="45" t="s">
        <v>436</v>
      </c>
      <c r="F2" s="71"/>
      <c r="G2" s="71"/>
      <c r="H2" s="49" t="s">
        <v>437</v>
      </c>
    </row>
    <row r="3" spans="1:10" ht="29.25" thickBot="1">
      <c r="A3" s="76" t="s">
        <v>483</v>
      </c>
      <c r="B3" s="995">
        <v>796.5</v>
      </c>
      <c r="C3" s="996"/>
      <c r="D3" s="77">
        <v>12</v>
      </c>
      <c r="E3" s="80">
        <f>B3*D3</f>
        <v>9558</v>
      </c>
      <c r="F3" s="984">
        <f>((E3*B4%)*15%)/D3</f>
        <v>59.737500000000004</v>
      </c>
      <c r="G3" s="985"/>
      <c r="H3" s="78"/>
    </row>
    <row r="4" spans="1:10" ht="23.25" customHeight="1" thickBot="1">
      <c r="A4" s="50" t="s">
        <v>438</v>
      </c>
      <c r="B4" s="69">
        <v>50</v>
      </c>
      <c r="C4" s="69"/>
      <c r="D4" s="82">
        <f>($F$3/50)*B4</f>
        <v>59.737499999999997</v>
      </c>
      <c r="E4" s="46"/>
      <c r="F4" s="69">
        <v>50</v>
      </c>
      <c r="G4" s="72"/>
      <c r="H4" s="51"/>
    </row>
    <row r="5" spans="1:10" ht="24" customHeight="1" thickBot="1">
      <c r="A5" s="50" t="s">
        <v>439</v>
      </c>
      <c r="B5" s="69">
        <v>10</v>
      </c>
      <c r="C5" s="69">
        <f>B4+B5</f>
        <v>60</v>
      </c>
      <c r="D5" s="82">
        <f>($F$3/50)*C5</f>
        <v>71.685000000000002</v>
      </c>
      <c r="E5" s="46" t="s">
        <v>440</v>
      </c>
      <c r="F5" s="69">
        <v>50</v>
      </c>
      <c r="G5" s="72">
        <f>F5</f>
        <v>50</v>
      </c>
      <c r="H5" s="82">
        <f>($F$3/50)*F5</f>
        <v>59.737499999999997</v>
      </c>
    </row>
    <row r="6" spans="1:10" ht="24" customHeight="1" thickBot="1">
      <c r="A6" s="50" t="s">
        <v>441</v>
      </c>
      <c r="B6" s="69">
        <v>7.5</v>
      </c>
      <c r="C6" s="69">
        <f>C5+B6</f>
        <v>67.5</v>
      </c>
      <c r="D6" s="82">
        <f>($F$3/50)*C6</f>
        <v>80.645624999999995</v>
      </c>
      <c r="E6" s="46" t="s">
        <v>442</v>
      </c>
      <c r="F6" s="75" t="s">
        <v>462</v>
      </c>
      <c r="G6" s="81">
        <f>G5+F6</f>
        <v>57.5</v>
      </c>
      <c r="H6" s="82">
        <f>($F$3/50)*G6</f>
        <v>68.698125000000005</v>
      </c>
    </row>
    <row r="7" spans="1:10" ht="24" customHeight="1" thickBot="1">
      <c r="A7" s="50" t="s">
        <v>443</v>
      </c>
      <c r="B7" s="69">
        <v>7.5</v>
      </c>
      <c r="C7" s="69">
        <f>C6+B7</f>
        <v>75</v>
      </c>
      <c r="D7" s="82">
        <f>($F$3/50)*C7</f>
        <v>89.606250000000003</v>
      </c>
      <c r="E7" s="46" t="s">
        <v>444</v>
      </c>
      <c r="F7" s="75" t="s">
        <v>462</v>
      </c>
      <c r="G7" s="81">
        <f>G6+F7</f>
        <v>65</v>
      </c>
      <c r="H7" s="82">
        <f>($F$3/50)*G7</f>
        <v>77.658749999999998</v>
      </c>
    </row>
    <row r="8" spans="1:10" ht="24" customHeight="1" thickBot="1">
      <c r="A8" s="50" t="s">
        <v>445</v>
      </c>
      <c r="B8" s="69">
        <v>5</v>
      </c>
      <c r="C8" s="69">
        <f>C7+B8</f>
        <v>80</v>
      </c>
      <c r="D8" s="82">
        <f>($F$3/50)*C8</f>
        <v>95.58</v>
      </c>
      <c r="E8" s="46" t="s">
        <v>446</v>
      </c>
      <c r="F8" s="75" t="s">
        <v>463</v>
      </c>
      <c r="G8" s="81">
        <f>G7+F8</f>
        <v>70</v>
      </c>
      <c r="H8" s="82">
        <f>($F$3/50)*G8</f>
        <v>83.632499999999993</v>
      </c>
    </row>
    <row r="9" spans="1:10" ht="24" customHeight="1">
      <c r="A9" s="88" t="s">
        <v>447</v>
      </c>
      <c r="B9" s="89">
        <v>5</v>
      </c>
      <c r="C9" s="89">
        <f>C8+B9</f>
        <v>85</v>
      </c>
      <c r="D9" s="90">
        <f>($F$3/50)*C9</f>
        <v>101.55374999999999</v>
      </c>
      <c r="E9" s="91" t="s">
        <v>448</v>
      </c>
      <c r="F9" s="92" t="s">
        <v>463</v>
      </c>
      <c r="G9" s="93">
        <f>G8+F9</f>
        <v>75</v>
      </c>
      <c r="H9" s="90">
        <f>($F$3/50)*G9</f>
        <v>89.606250000000003</v>
      </c>
    </row>
    <row r="10" spans="1:10" ht="19.5" customHeight="1">
      <c r="A10" s="94"/>
      <c r="B10" s="94"/>
      <c r="C10" s="94"/>
      <c r="D10" s="95"/>
      <c r="E10" s="94"/>
      <c r="F10" s="96"/>
      <c r="G10" s="96"/>
      <c r="H10" s="95"/>
    </row>
    <row r="11" spans="1:10" ht="24.75" customHeight="1">
      <c r="A11" s="97" t="s">
        <v>484</v>
      </c>
      <c r="B11" s="997" t="s">
        <v>485</v>
      </c>
      <c r="C11" s="997"/>
      <c r="D11" s="997"/>
      <c r="E11" s="998" t="s">
        <v>4261</v>
      </c>
      <c r="F11" s="998"/>
      <c r="G11" s="998"/>
      <c r="H11" s="998"/>
    </row>
    <row r="12" spans="1:10" s="99" customFormat="1" ht="32.25" customHeight="1">
      <c r="A12" s="98" t="s">
        <v>486</v>
      </c>
      <c r="B12" s="98" t="s">
        <v>487</v>
      </c>
      <c r="D12" s="98" t="s">
        <v>488</v>
      </c>
      <c r="E12" s="100" t="s">
        <v>489</v>
      </c>
    </row>
    <row r="13" spans="1:10" ht="14.25" customHeight="1">
      <c r="A13" s="101" t="s">
        <v>490</v>
      </c>
      <c r="B13" s="102">
        <f t="shared" ref="B13:B20" si="0">$D$5</f>
        <v>71.685000000000002</v>
      </c>
      <c r="D13" s="103">
        <f>$H$7</f>
        <v>77.658749999999998</v>
      </c>
      <c r="E13" s="104">
        <f>B13-D13</f>
        <v>-5.9737499999999955</v>
      </c>
      <c r="G13" s="31"/>
    </row>
    <row r="14" spans="1:10" ht="14.25" customHeight="1">
      <c r="A14" s="105" t="s">
        <v>491</v>
      </c>
      <c r="B14" s="106">
        <f t="shared" si="0"/>
        <v>71.685000000000002</v>
      </c>
      <c r="D14" s="107">
        <f>$H$7</f>
        <v>77.658749999999998</v>
      </c>
      <c r="E14" s="108">
        <f t="shared" ref="E14:E21" si="1">B14-D14</f>
        <v>-5.9737499999999955</v>
      </c>
    </row>
    <row r="15" spans="1:10" ht="15">
      <c r="A15" s="105" t="s">
        <v>492</v>
      </c>
      <c r="B15" s="106">
        <f t="shared" si="0"/>
        <v>71.685000000000002</v>
      </c>
      <c r="D15" s="107">
        <f>$H$7</f>
        <v>77.658749999999998</v>
      </c>
      <c r="E15" s="108">
        <f t="shared" si="1"/>
        <v>-5.9737499999999955</v>
      </c>
    </row>
    <row r="16" spans="1:10" ht="15">
      <c r="A16" s="105" t="s">
        <v>493</v>
      </c>
      <c r="B16" s="106">
        <f t="shared" si="0"/>
        <v>71.685000000000002</v>
      </c>
      <c r="D16" s="109">
        <v>0</v>
      </c>
      <c r="E16" s="108">
        <f t="shared" si="1"/>
        <v>71.685000000000002</v>
      </c>
      <c r="G16" t="s">
        <v>494</v>
      </c>
      <c r="H16" t="s">
        <v>495</v>
      </c>
      <c r="I16" s="66" t="s">
        <v>496</v>
      </c>
      <c r="J16" s="66" t="s">
        <v>497</v>
      </c>
    </row>
    <row r="17" spans="1:10" ht="15">
      <c r="A17" s="105" t="s">
        <v>498</v>
      </c>
      <c r="B17" s="106">
        <f t="shared" si="0"/>
        <v>71.685000000000002</v>
      </c>
      <c r="D17" s="109">
        <v>0</v>
      </c>
      <c r="E17" s="108">
        <f t="shared" si="1"/>
        <v>71.685000000000002</v>
      </c>
      <c r="G17" s="110">
        <v>630</v>
      </c>
      <c r="H17" s="110" t="s">
        <v>499</v>
      </c>
      <c r="I17" s="111">
        <f>B26</f>
        <v>412.19375000000008</v>
      </c>
      <c r="J17" s="110"/>
    </row>
    <row r="18" spans="1:10" ht="15">
      <c r="A18" s="105" t="s">
        <v>500</v>
      </c>
      <c r="B18" s="106">
        <f t="shared" si="0"/>
        <v>71.685000000000002</v>
      </c>
      <c r="D18" s="109">
        <v>0</v>
      </c>
      <c r="E18" s="108">
        <f t="shared" si="1"/>
        <v>71.685000000000002</v>
      </c>
      <c r="G18" s="110">
        <v>810</v>
      </c>
      <c r="H18" s="110" t="s">
        <v>501</v>
      </c>
      <c r="I18" s="111">
        <f>I17</f>
        <v>412.19375000000008</v>
      </c>
      <c r="J18" s="110"/>
    </row>
    <row r="19" spans="1:10" ht="15">
      <c r="A19" s="105" t="s">
        <v>502</v>
      </c>
      <c r="B19" s="106">
        <f t="shared" si="0"/>
        <v>71.685000000000002</v>
      </c>
      <c r="D19" s="109">
        <v>0</v>
      </c>
      <c r="E19" s="108">
        <f t="shared" si="1"/>
        <v>71.685000000000002</v>
      </c>
      <c r="G19" s="110">
        <v>835</v>
      </c>
      <c r="H19" s="110"/>
      <c r="I19" s="111"/>
      <c r="J19" s="111">
        <f>I17</f>
        <v>412.19375000000008</v>
      </c>
    </row>
    <row r="20" spans="1:10" ht="15">
      <c r="A20" s="105" t="s">
        <v>503</v>
      </c>
      <c r="B20" s="106">
        <f t="shared" si="0"/>
        <v>71.685000000000002</v>
      </c>
      <c r="D20" s="109">
        <v>0</v>
      </c>
      <c r="E20" s="108">
        <f t="shared" si="1"/>
        <v>71.685000000000002</v>
      </c>
      <c r="G20" s="110">
        <v>325</v>
      </c>
      <c r="H20" s="110"/>
      <c r="I20" s="110"/>
      <c r="J20" s="111">
        <f>I17</f>
        <v>412.19375000000008</v>
      </c>
    </row>
    <row r="21" spans="1:10" ht="15">
      <c r="A21" s="105" t="s">
        <v>504</v>
      </c>
      <c r="B21" s="106">
        <v>71.69</v>
      </c>
      <c r="D21" s="109">
        <v>0</v>
      </c>
      <c r="E21" s="108">
        <f t="shared" si="1"/>
        <v>71.69</v>
      </c>
    </row>
    <row r="22" spans="1:10" ht="15">
      <c r="A22" s="105" t="s">
        <v>505</v>
      </c>
      <c r="B22" s="106">
        <v>72.69</v>
      </c>
      <c r="D22" s="109">
        <v>0</v>
      </c>
      <c r="E22" s="112"/>
    </row>
    <row r="23" spans="1:10" ht="15">
      <c r="A23" s="105" t="s">
        <v>506</v>
      </c>
      <c r="B23" s="106">
        <v>73.69</v>
      </c>
      <c r="D23" s="109">
        <v>0</v>
      </c>
      <c r="E23" s="112"/>
    </row>
    <row r="24" spans="1:10" ht="15">
      <c r="A24" s="105" t="s">
        <v>507</v>
      </c>
      <c r="B24" s="106">
        <v>74.69</v>
      </c>
      <c r="D24" s="109">
        <v>0</v>
      </c>
      <c r="E24" s="112"/>
    </row>
    <row r="25" spans="1:10" ht="21.75" customHeight="1">
      <c r="A25" s="113" t="s">
        <v>508</v>
      </c>
      <c r="B25" s="114">
        <f>SUM(B13:B21)</f>
        <v>645.17000000000007</v>
      </c>
      <c r="C25" s="105"/>
      <c r="D25" s="115">
        <f>SUM(D13:D21)</f>
        <v>232.97624999999999</v>
      </c>
      <c r="E25" s="116">
        <f>SUM(E13:E24)</f>
        <v>412.19375000000002</v>
      </c>
    </row>
    <row r="26" spans="1:10" ht="15" customHeight="1">
      <c r="A26" s="113" t="s">
        <v>487</v>
      </c>
      <c r="B26" s="990">
        <f>B25-D25</f>
        <v>412.19375000000008</v>
      </c>
      <c r="C26" s="991"/>
      <c r="D26" s="992"/>
      <c r="E26" s="117" t="str">
        <f>IF(A27=0," ",A27)</f>
        <v xml:space="preserve"> </v>
      </c>
    </row>
    <row r="27" spans="1:10" ht="15">
      <c r="A27" s="118">
        <f>IF((B26=E25),0,"HATA VAR KONTROL ET")</f>
        <v>0</v>
      </c>
    </row>
  </sheetData>
  <mergeCells count="6">
    <mergeCell ref="B26:D26"/>
    <mergeCell ref="D1:H1"/>
    <mergeCell ref="B3:C3"/>
    <mergeCell ref="F3:G3"/>
    <mergeCell ref="B11:D11"/>
    <mergeCell ref="E11:H11"/>
  </mergeCells>
  <phoneticPr fontId="0" type="noConversion"/>
  <pageMargins left="0.75" right="0.75" top="1" bottom="1" header="0.5" footer="0.5"/>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I83"/>
  <sheetViews>
    <sheetView topLeftCell="A13" zoomScale="89" zoomScaleNormal="89" workbookViewId="0">
      <selection activeCell="E22" sqref="E22:M22"/>
    </sheetView>
  </sheetViews>
  <sheetFormatPr defaultRowHeight="12.75"/>
  <cols>
    <col min="1" max="1" width="9.140625" style="119"/>
    <col min="2" max="2" width="20.5703125" style="119" customWidth="1"/>
    <col min="3" max="3" width="26.85546875" style="119" customWidth="1"/>
    <col min="4" max="4" width="7" style="119" customWidth="1"/>
    <col min="5" max="5" width="4.42578125" style="119" customWidth="1"/>
    <col min="6" max="6" width="4.140625" style="119" customWidth="1"/>
    <col min="7" max="7" width="13.7109375" style="119" customWidth="1"/>
    <col min="8" max="8" width="14.5703125" style="119" customWidth="1"/>
    <col min="9" max="9" width="8.85546875" style="119" customWidth="1"/>
    <col min="10" max="10" width="4.85546875" style="119" customWidth="1"/>
    <col min="11" max="11" width="5.140625" style="119" customWidth="1"/>
    <col min="12" max="12" width="13.140625" style="119" customWidth="1"/>
    <col min="13" max="13" width="19.5703125" style="119" customWidth="1"/>
    <col min="14" max="14" width="9.140625" style="119" customWidth="1"/>
    <col min="15" max="16" width="9.140625" style="119" hidden="1" customWidth="1"/>
    <col min="17" max="17" width="4.28515625" style="119" hidden="1" customWidth="1"/>
    <col min="18" max="27" width="9.140625" style="119" hidden="1" customWidth="1"/>
    <col min="28" max="113" width="9.140625" style="119" customWidth="1"/>
    <col min="114" max="16384" width="9.140625" style="119"/>
  </cols>
  <sheetData>
    <row r="1" spans="2:26" ht="13.5" thickBot="1">
      <c r="B1" s="999"/>
      <c r="C1" s="999"/>
      <c r="D1" s="999"/>
      <c r="E1" s="999"/>
      <c r="F1" s="999"/>
      <c r="G1" s="999"/>
      <c r="H1" s="999"/>
      <c r="I1" s="999"/>
      <c r="J1" s="999"/>
      <c r="K1" s="999"/>
      <c r="L1" s="999"/>
      <c r="M1" s="999"/>
    </row>
    <row r="2" spans="2:26" ht="50.25" customHeight="1" thickTop="1" thickBot="1">
      <c r="B2" s="1000" t="s">
        <v>509</v>
      </c>
      <c r="C2" s="1001"/>
      <c r="D2" s="1002"/>
      <c r="E2" s="1002"/>
      <c r="F2" s="1002"/>
      <c r="G2" s="1002"/>
      <c r="H2" s="1002"/>
      <c r="I2" s="1002"/>
      <c r="J2" s="1002"/>
      <c r="K2" s="1002"/>
      <c r="L2" s="1003"/>
      <c r="M2" s="1004"/>
    </row>
    <row r="3" spans="2:26" s="120" customFormat="1" ht="30.75" customHeight="1" thickTop="1">
      <c r="B3" s="1005" t="s">
        <v>510</v>
      </c>
      <c r="C3" s="1006"/>
      <c r="D3" s="121"/>
      <c r="E3" s="1007"/>
      <c r="F3" s="1007"/>
      <c r="G3" s="1007"/>
      <c r="H3" s="1007"/>
      <c r="I3" s="1007"/>
      <c r="J3" s="1007"/>
      <c r="K3" s="1007"/>
      <c r="L3" s="1007"/>
      <c r="M3" s="1008"/>
    </row>
    <row r="4" spans="2:26" s="120" customFormat="1" ht="30.75" customHeight="1">
      <c r="B4" s="1009" t="s">
        <v>511</v>
      </c>
      <c r="C4" s="1010"/>
      <c r="D4" s="122"/>
      <c r="E4" s="1011"/>
      <c r="F4" s="1011"/>
      <c r="G4" s="1011"/>
      <c r="H4" s="1011"/>
      <c r="I4" s="1011"/>
      <c r="J4" s="1011"/>
      <c r="K4" s="1011"/>
      <c r="L4" s="1011"/>
      <c r="M4" s="1012"/>
    </row>
    <row r="5" spans="2:26" s="120" customFormat="1" ht="30.75" customHeight="1">
      <c r="B5" s="1013" t="s">
        <v>512</v>
      </c>
      <c r="C5" s="1014"/>
      <c r="D5" s="122"/>
      <c r="E5" s="1011">
        <v>38719013226</v>
      </c>
      <c r="F5" s="1011"/>
      <c r="G5" s="1011"/>
      <c r="H5" s="1011"/>
      <c r="I5" s="1011"/>
      <c r="J5" s="1011"/>
      <c r="K5" s="1011"/>
      <c r="L5" s="1011"/>
      <c r="M5" s="1012"/>
    </row>
    <row r="6" spans="2:26" s="120" customFormat="1" ht="30.75" customHeight="1">
      <c r="B6" s="1013" t="s">
        <v>513</v>
      </c>
      <c r="C6" s="1014"/>
      <c r="D6" s="122"/>
      <c r="E6" s="1011"/>
      <c r="F6" s="1011"/>
      <c r="G6" s="1011"/>
      <c r="H6" s="1011"/>
      <c r="I6" s="1011"/>
      <c r="J6" s="1011"/>
      <c r="K6" s="1011"/>
      <c r="L6" s="1011"/>
      <c r="M6" s="1012"/>
    </row>
    <row r="7" spans="2:26" s="120" customFormat="1" ht="30.75" customHeight="1">
      <c r="B7" s="1009" t="s">
        <v>514</v>
      </c>
      <c r="C7" s="1010"/>
      <c r="D7" s="1015" t="s">
        <v>515</v>
      </c>
      <c r="E7" s="1016"/>
      <c r="F7" s="1017"/>
      <c r="G7" s="1018"/>
      <c r="H7" s="1019"/>
      <c r="I7" s="123" t="s">
        <v>516</v>
      </c>
      <c r="J7" s="1020">
        <v>64227045</v>
      </c>
      <c r="K7" s="1020"/>
      <c r="L7" s="1021"/>
      <c r="M7" s="1022"/>
    </row>
    <row r="8" spans="2:26" s="120" customFormat="1" ht="65.25" customHeight="1">
      <c r="B8" s="1009" t="s">
        <v>517</v>
      </c>
      <c r="C8" s="1010"/>
      <c r="D8" s="124" t="s">
        <v>518</v>
      </c>
      <c r="E8" s="1023"/>
      <c r="F8" s="1023"/>
      <c r="G8" s="1023"/>
      <c r="H8" s="1023"/>
      <c r="I8" s="125" t="s">
        <v>519</v>
      </c>
      <c r="J8" s="1023"/>
      <c r="K8" s="1023"/>
      <c r="L8" s="1024"/>
      <c r="M8" s="1025"/>
    </row>
    <row r="9" spans="2:26" s="120" customFormat="1" ht="30.75" customHeight="1">
      <c r="B9" s="1026" t="s">
        <v>520</v>
      </c>
      <c r="C9" s="1027"/>
      <c r="D9" s="124" t="s">
        <v>518</v>
      </c>
      <c r="E9" s="1028"/>
      <c r="F9" s="1028"/>
      <c r="G9" s="1028"/>
      <c r="H9" s="1028"/>
      <c r="I9" s="125" t="s">
        <v>519</v>
      </c>
      <c r="J9" s="1028"/>
      <c r="K9" s="1028"/>
      <c r="L9" s="1029"/>
      <c r="M9" s="1030"/>
    </row>
    <row r="10" spans="2:26" s="120" customFormat="1" ht="27.75" customHeight="1" thickBot="1">
      <c r="B10" s="1031" t="s">
        <v>521</v>
      </c>
      <c r="C10" s="1032"/>
      <c r="D10" s="1035"/>
      <c r="E10" s="1036"/>
      <c r="F10" s="1037"/>
      <c r="G10" s="128" t="s">
        <v>522</v>
      </c>
      <c r="H10" s="128" t="s">
        <v>523</v>
      </c>
      <c r="I10" s="1038"/>
      <c r="J10" s="1039"/>
      <c r="K10" s="1040"/>
      <c r="L10" s="128" t="s">
        <v>522</v>
      </c>
      <c r="M10" s="129" t="s">
        <v>523</v>
      </c>
    </row>
    <row r="11" spans="2:26" s="120" customFormat="1" ht="30.75" customHeight="1">
      <c r="B11" s="1033"/>
      <c r="C11" s="1034"/>
      <c r="D11" s="124" t="s">
        <v>518</v>
      </c>
      <c r="E11" s="130">
        <v>1</v>
      </c>
      <c r="F11" s="130">
        <v>3</v>
      </c>
      <c r="G11" s="131">
        <f>IF(ISBLANK($E$5),"",HLOOKUP(F11,$Q$13:$Z$28,E11+1))</f>
        <v>1440</v>
      </c>
      <c r="H11" s="132">
        <v>0</v>
      </c>
      <c r="I11" s="133" t="s">
        <v>519</v>
      </c>
      <c r="J11" s="134">
        <v>4</v>
      </c>
      <c r="K11" s="130">
        <v>1</v>
      </c>
      <c r="L11" s="131">
        <f>IF(ISBLANK($E$5),"",HLOOKUP(K11,$Q$13:$Z$28,J11+1))</f>
        <v>915</v>
      </c>
      <c r="M11" s="135">
        <v>650</v>
      </c>
      <c r="Q11" s="1081" t="s">
        <v>524</v>
      </c>
      <c r="R11" s="1082"/>
      <c r="S11" s="1082"/>
      <c r="T11" s="1082"/>
      <c r="U11" s="1082"/>
      <c r="V11" s="1082"/>
      <c r="W11" s="1082"/>
      <c r="X11" s="1082"/>
      <c r="Y11" s="1082"/>
      <c r="Z11" s="1083"/>
    </row>
    <row r="12" spans="2:26" s="120" customFormat="1" ht="30.75" customHeight="1">
      <c r="B12" s="1041" t="s">
        <v>525</v>
      </c>
      <c r="C12" s="1042"/>
      <c r="D12" s="124" t="s">
        <v>518</v>
      </c>
      <c r="E12" s="130">
        <v>3</v>
      </c>
      <c r="F12" s="130">
        <v>1</v>
      </c>
      <c r="G12" s="131">
        <f>IF(ISBLANK($E$5),"",HLOOKUP(F12,$Q$13:$Z$28,E12+1))</f>
        <v>1020</v>
      </c>
      <c r="H12" s="132">
        <v>0</v>
      </c>
      <c r="I12" s="133" t="s">
        <v>519</v>
      </c>
      <c r="J12" s="134">
        <v>4</v>
      </c>
      <c r="K12" s="130">
        <v>1</v>
      </c>
      <c r="L12" s="131">
        <f>IF(ISBLANK($E$5),"",HLOOKUP(K12,$Q$13:$Z$28,J12+1))</f>
        <v>915</v>
      </c>
      <c r="M12" s="135">
        <v>650</v>
      </c>
      <c r="Q12" s="1087" t="s">
        <v>4191</v>
      </c>
      <c r="R12" s="1084" t="s">
        <v>526</v>
      </c>
      <c r="S12" s="1085"/>
      <c r="T12" s="1085"/>
      <c r="U12" s="1085"/>
      <c r="V12" s="1085"/>
      <c r="W12" s="1085"/>
      <c r="X12" s="1085"/>
      <c r="Y12" s="1085"/>
      <c r="Z12" s="1086"/>
    </row>
    <row r="13" spans="2:26" s="120" customFormat="1" ht="27.75" customHeight="1">
      <c r="B13" s="1027" t="s">
        <v>527</v>
      </c>
      <c r="C13" s="126" t="s">
        <v>528</v>
      </c>
      <c r="D13" s="136"/>
      <c r="E13" s="1043">
        <v>39744</v>
      </c>
      <c r="F13" s="1044"/>
      <c r="G13" s="1044"/>
      <c r="H13" s="1044"/>
      <c r="I13" s="1044"/>
      <c r="J13" s="1044"/>
      <c r="K13" s="1044"/>
      <c r="L13" s="1044"/>
      <c r="M13" s="1045"/>
      <c r="Q13" s="1088"/>
      <c r="R13" s="575">
        <v>1</v>
      </c>
      <c r="S13" s="575">
        <v>2</v>
      </c>
      <c r="T13" s="575">
        <v>3</v>
      </c>
      <c r="U13" s="575">
        <v>4</v>
      </c>
      <c r="V13" s="575">
        <v>5</v>
      </c>
      <c r="W13" s="575">
        <v>6</v>
      </c>
      <c r="X13" s="575">
        <v>7</v>
      </c>
      <c r="Y13" s="575">
        <v>8</v>
      </c>
      <c r="Z13" s="576">
        <v>9</v>
      </c>
    </row>
    <row r="14" spans="2:26" s="120" customFormat="1" ht="27.75" customHeight="1">
      <c r="B14" s="1027"/>
      <c r="C14" s="126" t="s">
        <v>529</v>
      </c>
      <c r="D14" s="136"/>
      <c r="E14" s="1043"/>
      <c r="F14" s="1043"/>
      <c r="G14" s="1043"/>
      <c r="H14" s="1043"/>
      <c r="I14" s="1043"/>
      <c r="J14" s="1043"/>
      <c r="K14" s="1043"/>
      <c r="L14" s="1043"/>
      <c r="M14" s="1046"/>
      <c r="Q14" s="577">
        <v>1</v>
      </c>
      <c r="R14" s="578">
        <v>1320</v>
      </c>
      <c r="S14" s="579">
        <v>1380</v>
      </c>
      <c r="T14" s="579">
        <v>1440</v>
      </c>
      <c r="U14" s="579">
        <v>1500</v>
      </c>
      <c r="V14" s="579"/>
      <c r="W14" s="579"/>
      <c r="X14" s="579"/>
      <c r="Y14" s="579"/>
      <c r="Z14" s="580"/>
    </row>
    <row r="15" spans="2:26" s="120" customFormat="1" ht="30.75" customHeight="1">
      <c r="B15" s="1026" t="s">
        <v>530</v>
      </c>
      <c r="C15" s="1027"/>
      <c r="D15" s="136"/>
      <c r="E15" s="1047">
        <v>40016</v>
      </c>
      <c r="F15" s="1044"/>
      <c r="G15" s="1044"/>
      <c r="H15" s="1044"/>
      <c r="I15" s="1044"/>
      <c r="J15" s="1044"/>
      <c r="K15" s="1044"/>
      <c r="L15" s="1044"/>
      <c r="M15" s="1045"/>
      <c r="Q15" s="577">
        <v>2</v>
      </c>
      <c r="R15" s="578">
        <v>1155</v>
      </c>
      <c r="S15" s="579">
        <v>1210</v>
      </c>
      <c r="T15" s="579">
        <v>1265</v>
      </c>
      <c r="U15" s="579">
        <v>1320</v>
      </c>
      <c r="V15" s="579">
        <v>1380</v>
      </c>
      <c r="W15" s="579">
        <v>1440</v>
      </c>
      <c r="X15" s="579"/>
      <c r="Y15" s="579"/>
      <c r="Z15" s="580"/>
    </row>
    <row r="16" spans="2:26" s="120" customFormat="1" ht="30.75" customHeight="1">
      <c r="B16" s="1026" t="s">
        <v>531</v>
      </c>
      <c r="C16" s="1027"/>
      <c r="D16" s="136"/>
      <c r="E16" s="1044" t="s">
        <v>532</v>
      </c>
      <c r="F16" s="1044"/>
      <c r="G16" s="1044"/>
      <c r="H16" s="1044"/>
      <c r="I16" s="1044"/>
      <c r="J16" s="1044"/>
      <c r="K16" s="1044"/>
      <c r="L16" s="1044"/>
      <c r="M16" s="1045"/>
      <c r="Q16" s="577">
        <v>3</v>
      </c>
      <c r="R16" s="578">
        <v>1020</v>
      </c>
      <c r="S16" s="579">
        <v>1065</v>
      </c>
      <c r="T16" s="579">
        <v>1110</v>
      </c>
      <c r="U16" s="579">
        <v>1155</v>
      </c>
      <c r="V16" s="579">
        <v>1210</v>
      </c>
      <c r="W16" s="579">
        <v>1265</v>
      </c>
      <c r="X16" s="579">
        <v>1320</v>
      </c>
      <c r="Y16" s="579">
        <v>1380</v>
      </c>
      <c r="Z16" s="580"/>
    </row>
    <row r="17" spans="2:26" s="120" customFormat="1" ht="30.75" customHeight="1">
      <c r="B17" s="1026" t="s">
        <v>533</v>
      </c>
      <c r="C17" s="1027"/>
      <c r="D17" s="136"/>
      <c r="E17" s="1044" t="s">
        <v>534</v>
      </c>
      <c r="F17" s="1044"/>
      <c r="G17" s="1044"/>
      <c r="H17" s="1044"/>
      <c r="I17" s="1044"/>
      <c r="J17" s="1044"/>
      <c r="K17" s="1044"/>
      <c r="L17" s="1044"/>
      <c r="M17" s="1045"/>
      <c r="Q17" s="577">
        <v>4</v>
      </c>
      <c r="R17" s="578">
        <v>915</v>
      </c>
      <c r="S17" s="579">
        <v>950</v>
      </c>
      <c r="T17" s="579">
        <v>985</v>
      </c>
      <c r="U17" s="579">
        <v>1020</v>
      </c>
      <c r="V17" s="579">
        <v>1065</v>
      </c>
      <c r="W17" s="579">
        <v>1110</v>
      </c>
      <c r="X17" s="579">
        <v>1155</v>
      </c>
      <c r="Y17" s="579">
        <v>1210</v>
      </c>
      <c r="Z17" s="580">
        <v>1265</v>
      </c>
    </row>
    <row r="18" spans="2:26" s="120" customFormat="1" ht="27" customHeight="1">
      <c r="B18" s="1048" t="s">
        <v>535</v>
      </c>
      <c r="C18" s="1049"/>
      <c r="D18" s="139"/>
      <c r="E18" s="1052" t="s">
        <v>536</v>
      </c>
      <c r="F18" s="1053"/>
      <c r="G18" s="140" t="s">
        <v>537</v>
      </c>
      <c r="H18" s="140" t="s">
        <v>538</v>
      </c>
      <c r="I18" s="137"/>
      <c r="J18" s="137"/>
      <c r="K18" s="137"/>
      <c r="L18" s="137"/>
      <c r="M18" s="138"/>
      <c r="Q18" s="577">
        <v>5</v>
      </c>
      <c r="R18" s="578">
        <v>835</v>
      </c>
      <c r="S18" s="579">
        <v>865</v>
      </c>
      <c r="T18" s="579">
        <v>895</v>
      </c>
      <c r="U18" s="579">
        <v>915</v>
      </c>
      <c r="V18" s="579">
        <v>950</v>
      </c>
      <c r="W18" s="579">
        <v>985</v>
      </c>
      <c r="X18" s="579">
        <v>1020</v>
      </c>
      <c r="Y18" s="579">
        <v>1065</v>
      </c>
      <c r="Z18" s="580">
        <v>1110</v>
      </c>
    </row>
    <row r="19" spans="2:26" s="120" customFormat="1" ht="27" customHeight="1">
      <c r="B19" s="1050"/>
      <c r="C19" s="1051"/>
      <c r="D19" s="136"/>
      <c r="E19" s="1054"/>
      <c r="F19" s="1055"/>
      <c r="G19" s="127"/>
      <c r="H19" s="127">
        <v>19</v>
      </c>
      <c r="I19" s="137"/>
      <c r="J19" s="137"/>
      <c r="K19" s="137"/>
      <c r="L19" s="137"/>
      <c r="M19" s="138"/>
      <c r="Q19" s="577">
        <v>6</v>
      </c>
      <c r="R19" s="578">
        <v>760</v>
      </c>
      <c r="S19" s="579">
        <v>785</v>
      </c>
      <c r="T19" s="579">
        <v>810</v>
      </c>
      <c r="U19" s="579">
        <v>835</v>
      </c>
      <c r="V19" s="579">
        <v>865</v>
      </c>
      <c r="W19" s="579">
        <v>895</v>
      </c>
      <c r="X19" s="579">
        <v>915</v>
      </c>
      <c r="Y19" s="579">
        <v>950</v>
      </c>
      <c r="Z19" s="580">
        <v>985</v>
      </c>
    </row>
    <row r="20" spans="2:26" s="120" customFormat="1" ht="30.75" customHeight="1">
      <c r="B20" s="1041" t="s">
        <v>539</v>
      </c>
      <c r="C20" s="1042"/>
      <c r="D20" s="136"/>
      <c r="E20" s="1056" t="s">
        <v>540</v>
      </c>
      <c r="F20" s="1044"/>
      <c r="G20" s="1044"/>
      <c r="H20" s="1044"/>
      <c r="I20" s="1044"/>
      <c r="J20" s="1044"/>
      <c r="K20" s="1044"/>
      <c r="L20" s="1044"/>
      <c r="M20" s="1045"/>
      <c r="Q20" s="577">
        <v>7</v>
      </c>
      <c r="R20" s="578">
        <v>705</v>
      </c>
      <c r="S20" s="579">
        <v>720</v>
      </c>
      <c r="T20" s="579">
        <v>740</v>
      </c>
      <c r="U20" s="579">
        <v>760</v>
      </c>
      <c r="V20" s="579">
        <v>785</v>
      </c>
      <c r="W20" s="579">
        <v>810</v>
      </c>
      <c r="X20" s="579">
        <v>835</v>
      </c>
      <c r="Y20" s="579">
        <v>865</v>
      </c>
      <c r="Z20" s="580">
        <v>895</v>
      </c>
    </row>
    <row r="21" spans="2:26" s="120" customFormat="1" ht="30.75" customHeight="1">
      <c r="B21" s="1041" t="s">
        <v>541</v>
      </c>
      <c r="C21" s="1042"/>
      <c r="D21" s="136"/>
      <c r="E21" s="1047">
        <v>40037</v>
      </c>
      <c r="F21" s="1044"/>
      <c r="G21" s="1044"/>
      <c r="H21" s="1044"/>
      <c r="I21" s="1044"/>
      <c r="J21" s="1044"/>
      <c r="K21" s="1044"/>
      <c r="L21" s="1044"/>
      <c r="M21" s="1045"/>
      <c r="Q21" s="577">
        <v>8</v>
      </c>
      <c r="R21" s="578">
        <v>660</v>
      </c>
      <c r="S21" s="579">
        <v>675</v>
      </c>
      <c r="T21" s="579">
        <v>690</v>
      </c>
      <c r="U21" s="579">
        <v>705</v>
      </c>
      <c r="V21" s="579">
        <v>720</v>
      </c>
      <c r="W21" s="579">
        <v>740</v>
      </c>
      <c r="X21" s="579">
        <v>760</v>
      </c>
      <c r="Y21" s="579">
        <v>785</v>
      </c>
      <c r="Z21" s="580">
        <v>810</v>
      </c>
    </row>
    <row r="22" spans="2:26" s="120" customFormat="1" ht="30.75" customHeight="1">
      <c r="B22" s="1041" t="s">
        <v>542</v>
      </c>
      <c r="C22" s="1042"/>
      <c r="D22" s="136"/>
      <c r="E22" s="1047">
        <v>40071</v>
      </c>
      <c r="F22" s="1044"/>
      <c r="G22" s="1044"/>
      <c r="H22" s="1044"/>
      <c r="I22" s="1044"/>
      <c r="J22" s="1044"/>
      <c r="K22" s="1044"/>
      <c r="L22" s="1044"/>
      <c r="M22" s="1045"/>
      <c r="Q22" s="577">
        <v>9</v>
      </c>
      <c r="R22" s="578">
        <v>620</v>
      </c>
      <c r="S22" s="579">
        <v>630</v>
      </c>
      <c r="T22" s="579">
        <v>645</v>
      </c>
      <c r="U22" s="579">
        <v>660</v>
      </c>
      <c r="V22" s="579">
        <v>675</v>
      </c>
      <c r="W22" s="579">
        <v>690</v>
      </c>
      <c r="X22" s="579">
        <v>705</v>
      </c>
      <c r="Y22" s="579">
        <v>720</v>
      </c>
      <c r="Z22" s="580">
        <v>740</v>
      </c>
    </row>
    <row r="23" spans="2:26" s="120" customFormat="1" ht="30.75" customHeight="1">
      <c r="B23" s="1041" t="s">
        <v>543</v>
      </c>
      <c r="C23" s="1042"/>
      <c r="D23" s="136"/>
      <c r="E23" s="1056" t="s">
        <v>544</v>
      </c>
      <c r="F23" s="1044"/>
      <c r="G23" s="1044"/>
      <c r="H23" s="1044"/>
      <c r="I23" s="1044"/>
      <c r="J23" s="1044"/>
      <c r="K23" s="1044"/>
      <c r="L23" s="1044"/>
      <c r="M23" s="1045"/>
      <c r="Q23" s="577">
        <v>10</v>
      </c>
      <c r="R23" s="578">
        <v>590</v>
      </c>
      <c r="S23" s="579">
        <v>600</v>
      </c>
      <c r="T23" s="579">
        <v>610</v>
      </c>
      <c r="U23" s="579">
        <v>620</v>
      </c>
      <c r="V23" s="579">
        <v>630</v>
      </c>
      <c r="W23" s="579">
        <v>645</v>
      </c>
      <c r="X23" s="579">
        <v>660</v>
      </c>
      <c r="Y23" s="579">
        <v>675</v>
      </c>
      <c r="Z23" s="580">
        <v>690</v>
      </c>
    </row>
    <row r="24" spans="2:26" s="120" customFormat="1" ht="30.75" customHeight="1">
      <c r="B24" s="1041" t="s">
        <v>545</v>
      </c>
      <c r="C24" s="1042"/>
      <c r="D24" s="136"/>
      <c r="E24" s="1057" t="s">
        <v>546</v>
      </c>
      <c r="F24" s="1057"/>
      <c r="G24" s="1057"/>
      <c r="H24" s="141" t="s">
        <v>547</v>
      </c>
      <c r="I24" s="1058"/>
      <c r="J24" s="1058"/>
      <c r="K24" s="1058"/>
      <c r="L24" s="1058"/>
      <c r="M24" s="1059"/>
      <c r="Q24" s="577">
        <v>11</v>
      </c>
      <c r="R24" s="578">
        <v>560</v>
      </c>
      <c r="S24" s="579">
        <v>570</v>
      </c>
      <c r="T24" s="579">
        <v>580</v>
      </c>
      <c r="U24" s="579">
        <v>590</v>
      </c>
      <c r="V24" s="579">
        <v>600</v>
      </c>
      <c r="W24" s="579">
        <v>610</v>
      </c>
      <c r="X24" s="579">
        <v>620</v>
      </c>
      <c r="Y24" s="579">
        <v>630</v>
      </c>
      <c r="Z24" s="580">
        <v>645</v>
      </c>
    </row>
    <row r="25" spans="2:26" s="120" customFormat="1" ht="30.75" customHeight="1">
      <c r="B25" s="1041" t="s">
        <v>548</v>
      </c>
      <c r="C25" s="1042"/>
      <c r="D25" s="136"/>
      <c r="E25" s="1060">
        <f>I25+M25</f>
        <v>2350.5</v>
      </c>
      <c r="F25" s="1060"/>
      <c r="G25" s="1061"/>
      <c r="H25" s="142" t="s">
        <v>549</v>
      </c>
      <c r="I25" s="1062">
        <v>2350.5</v>
      </c>
      <c r="J25" s="1063"/>
      <c r="K25" s="1064"/>
      <c r="L25" s="142" t="s">
        <v>550</v>
      </c>
      <c r="M25" s="143">
        <v>0</v>
      </c>
      <c r="Q25" s="577">
        <v>12</v>
      </c>
      <c r="R25" s="578">
        <v>545</v>
      </c>
      <c r="S25" s="579">
        <v>550</v>
      </c>
      <c r="T25" s="579">
        <v>555</v>
      </c>
      <c r="U25" s="579">
        <v>560</v>
      </c>
      <c r="V25" s="579">
        <v>570</v>
      </c>
      <c r="W25" s="579">
        <v>580</v>
      </c>
      <c r="X25" s="579">
        <v>590</v>
      </c>
      <c r="Y25" s="579">
        <v>600</v>
      </c>
      <c r="Z25" s="580">
        <v>610</v>
      </c>
    </row>
    <row r="26" spans="2:26" s="120" customFormat="1" ht="30.75" customHeight="1">
      <c r="B26" s="1041" t="s">
        <v>551</v>
      </c>
      <c r="C26" s="1042"/>
      <c r="D26" s="136"/>
      <c r="E26" s="1056" t="s">
        <v>544</v>
      </c>
      <c r="F26" s="1044"/>
      <c r="G26" s="1044"/>
      <c r="H26" s="1044"/>
      <c r="I26" s="1044"/>
      <c r="J26" s="1044"/>
      <c r="K26" s="1044"/>
      <c r="L26" s="1044"/>
      <c r="M26" s="1045"/>
      <c r="Q26" s="577">
        <v>13</v>
      </c>
      <c r="R26" s="578">
        <v>530</v>
      </c>
      <c r="S26" s="579">
        <v>535</v>
      </c>
      <c r="T26" s="579">
        <v>540</v>
      </c>
      <c r="U26" s="579">
        <v>545</v>
      </c>
      <c r="V26" s="579">
        <v>550</v>
      </c>
      <c r="W26" s="579">
        <v>555</v>
      </c>
      <c r="X26" s="579">
        <v>560</v>
      </c>
      <c r="Y26" s="579">
        <v>570</v>
      </c>
      <c r="Z26" s="580">
        <v>580</v>
      </c>
    </row>
    <row r="27" spans="2:26" s="120" customFormat="1" ht="30.75" customHeight="1">
      <c r="B27" s="1041" t="s">
        <v>552</v>
      </c>
      <c r="C27" s="1042"/>
      <c r="D27" s="136"/>
      <c r="E27" s="1044" t="s">
        <v>553</v>
      </c>
      <c r="F27" s="1044"/>
      <c r="G27" s="1044"/>
      <c r="H27" s="1044"/>
      <c r="I27" s="1044"/>
      <c r="J27" s="1044"/>
      <c r="K27" s="1044"/>
      <c r="L27" s="1044"/>
      <c r="M27" s="1045"/>
      <c r="Q27" s="577">
        <v>14</v>
      </c>
      <c r="R27" s="578">
        <v>515</v>
      </c>
      <c r="S27" s="579">
        <v>520</v>
      </c>
      <c r="T27" s="579">
        <v>525</v>
      </c>
      <c r="U27" s="579">
        <v>530</v>
      </c>
      <c r="V27" s="579">
        <v>535</v>
      </c>
      <c r="W27" s="579">
        <v>540</v>
      </c>
      <c r="X27" s="579">
        <v>545</v>
      </c>
      <c r="Y27" s="579">
        <v>550</v>
      </c>
      <c r="Z27" s="580">
        <v>555</v>
      </c>
    </row>
    <row r="28" spans="2:26" s="120" customFormat="1" ht="30.75" customHeight="1" thickBot="1">
      <c r="B28" s="1041" t="s">
        <v>554</v>
      </c>
      <c r="C28" s="1042"/>
      <c r="D28" s="136"/>
      <c r="E28" s="1044" t="s">
        <v>555</v>
      </c>
      <c r="F28" s="1044"/>
      <c r="G28" s="1044"/>
      <c r="H28" s="1044"/>
      <c r="I28" s="1044"/>
      <c r="J28" s="1044"/>
      <c r="K28" s="1044"/>
      <c r="L28" s="1044"/>
      <c r="M28" s="1045"/>
      <c r="Q28" s="581">
        <v>15</v>
      </c>
      <c r="R28" s="582">
        <v>500</v>
      </c>
      <c r="S28" s="583">
        <v>505</v>
      </c>
      <c r="T28" s="583">
        <v>510</v>
      </c>
      <c r="U28" s="583">
        <v>518</v>
      </c>
      <c r="V28" s="583">
        <v>520</v>
      </c>
      <c r="W28" s="583">
        <v>525</v>
      </c>
      <c r="X28" s="583">
        <v>530</v>
      </c>
      <c r="Y28" s="583">
        <v>535</v>
      </c>
      <c r="Z28" s="584">
        <v>540</v>
      </c>
    </row>
    <row r="29" spans="2:26" s="120" customFormat="1" ht="45" customHeight="1">
      <c r="B29" s="1065" t="s">
        <v>556</v>
      </c>
      <c r="C29" s="1066"/>
      <c r="D29" s="136"/>
      <c r="E29" s="1056" t="s">
        <v>544</v>
      </c>
      <c r="F29" s="1044"/>
      <c r="G29" s="1044"/>
      <c r="H29" s="1044"/>
      <c r="I29" s="1044"/>
      <c r="J29" s="1044"/>
      <c r="K29" s="1044"/>
      <c r="L29" s="1044"/>
      <c r="M29" s="1045"/>
    </row>
    <row r="30" spans="2:26" s="120" customFormat="1" ht="44.25" customHeight="1">
      <c r="B30" s="1067" t="s">
        <v>557</v>
      </c>
      <c r="C30" s="1068"/>
      <c r="D30" s="136"/>
      <c r="E30" s="1057" t="s">
        <v>558</v>
      </c>
      <c r="F30" s="1069"/>
      <c r="G30" s="1069"/>
      <c r="H30" s="1069"/>
      <c r="I30" s="1069"/>
      <c r="J30" s="1069"/>
      <c r="K30" s="1069"/>
      <c r="L30" s="1069"/>
      <c r="M30" s="1070"/>
    </row>
    <row r="31" spans="2:26" s="120" customFormat="1" ht="44.25" customHeight="1">
      <c r="B31" s="1067" t="s">
        <v>559</v>
      </c>
      <c r="C31" s="1068"/>
      <c r="D31" s="136"/>
      <c r="E31" s="1044" t="s">
        <v>558</v>
      </c>
      <c r="F31" s="1044"/>
      <c r="G31" s="1044"/>
      <c r="H31" s="1044"/>
      <c r="I31" s="1044"/>
      <c r="J31" s="1044"/>
      <c r="K31" s="1044"/>
      <c r="L31" s="1044"/>
      <c r="M31" s="1045"/>
    </row>
    <row r="32" spans="2:26" s="120" customFormat="1" ht="45" customHeight="1">
      <c r="B32" s="1067" t="s">
        <v>560</v>
      </c>
      <c r="C32" s="1068"/>
      <c r="D32" s="136"/>
      <c r="E32" s="1044" t="s">
        <v>561</v>
      </c>
      <c r="F32" s="1044"/>
      <c r="G32" s="1044"/>
      <c r="H32" s="1044"/>
      <c r="I32" s="1044"/>
      <c r="J32" s="1044"/>
      <c r="K32" s="1044"/>
      <c r="L32" s="1044"/>
      <c r="M32" s="1045"/>
    </row>
    <row r="33" spans="2:139" s="120" customFormat="1" ht="30.75" customHeight="1">
      <c r="B33" s="1071"/>
      <c r="C33" s="1072"/>
      <c r="D33" s="144"/>
      <c r="E33" s="1073"/>
      <c r="F33" s="1073"/>
      <c r="G33" s="1073"/>
      <c r="H33" s="1073"/>
      <c r="I33" s="1073"/>
      <c r="J33" s="1073"/>
      <c r="K33" s="1073"/>
      <c r="L33" s="1073"/>
      <c r="M33" s="1074"/>
    </row>
    <row r="34" spans="2:139" s="120" customFormat="1" ht="30.75" customHeight="1">
      <c r="B34" s="1071"/>
      <c r="C34" s="1072"/>
      <c r="D34" s="574"/>
      <c r="E34" s="1044"/>
      <c r="F34" s="1044"/>
      <c r="G34" s="1044"/>
      <c r="H34" s="1044"/>
      <c r="I34" s="1044"/>
      <c r="J34" s="1044"/>
      <c r="K34" s="1044"/>
      <c r="L34" s="1044"/>
      <c r="M34" s="1045"/>
    </row>
    <row r="35" spans="2:139" s="120" customFormat="1" ht="30.75" hidden="1" customHeight="1">
      <c r="B35" s="1071" t="s">
        <v>562</v>
      </c>
      <c r="C35" s="1072"/>
      <c r="D35" s="574"/>
      <c r="E35" s="1044"/>
      <c r="F35" s="1044"/>
      <c r="G35" s="1044"/>
      <c r="H35" s="1044"/>
      <c r="I35" s="1044"/>
      <c r="J35" s="1044"/>
      <c r="K35" s="1044"/>
      <c r="L35" s="1044"/>
      <c r="M35" s="1045"/>
    </row>
    <row r="36" spans="2:139" s="120" customFormat="1" ht="30.75" customHeight="1">
      <c r="B36" s="1071"/>
      <c r="C36" s="1072"/>
      <c r="D36" s="144"/>
      <c r="E36" s="1073"/>
      <c r="F36" s="1073"/>
      <c r="G36" s="1073"/>
      <c r="H36" s="1073"/>
      <c r="I36" s="1073"/>
      <c r="J36" s="1073"/>
      <c r="K36" s="1073"/>
      <c r="L36" s="1073"/>
      <c r="M36" s="1074"/>
    </row>
    <row r="37" spans="2:139" s="120" customFormat="1" ht="30.75" customHeight="1">
      <c r="B37" s="1071"/>
      <c r="C37" s="1072"/>
      <c r="D37" s="144"/>
      <c r="E37" s="1073"/>
      <c r="F37" s="1073"/>
      <c r="G37" s="1073"/>
      <c r="H37" s="1073"/>
      <c r="I37" s="1073"/>
      <c r="J37" s="1073"/>
      <c r="K37" s="1073"/>
      <c r="L37" s="1073"/>
      <c r="M37" s="1074"/>
    </row>
    <row r="38" spans="2:139" s="120" customFormat="1" ht="30.75" customHeight="1" thickBot="1">
      <c r="B38" s="1075" t="s">
        <v>563</v>
      </c>
      <c r="C38" s="1076"/>
      <c r="D38" s="145"/>
      <c r="E38" s="1077"/>
      <c r="F38" s="1077"/>
      <c r="G38" s="1077"/>
      <c r="H38" s="1077"/>
      <c r="I38" s="1077"/>
      <c r="J38" s="1077"/>
      <c r="K38" s="1077"/>
      <c r="L38" s="1077"/>
      <c r="M38" s="1078"/>
    </row>
    <row r="39" spans="2:139" s="120" customFormat="1" ht="13.5" thickTop="1">
      <c r="B39" s="146"/>
      <c r="C39" s="147"/>
      <c r="D39" s="147"/>
      <c r="E39" s="147"/>
      <c r="F39" s="147"/>
      <c r="G39" s="147"/>
      <c r="H39" s="147"/>
      <c r="I39" s="147"/>
      <c r="J39" s="147"/>
      <c r="K39" s="147"/>
      <c r="L39" s="147"/>
      <c r="M39" s="148"/>
    </row>
    <row r="40" spans="2:139" s="120" customFormat="1">
      <c r="B40" s="149"/>
      <c r="C40" s="150"/>
      <c r="D40" s="150"/>
      <c r="E40" s="150"/>
      <c r="F40" s="150"/>
      <c r="G40" s="150"/>
      <c r="H40" s="150"/>
      <c r="I40" s="150"/>
      <c r="J40" s="150"/>
      <c r="K40" s="150"/>
      <c r="L40" s="150"/>
      <c r="M40" s="151"/>
    </row>
    <row r="41" spans="2:139" s="120" customFormat="1" ht="30" customHeight="1">
      <c r="B41" s="149"/>
      <c r="C41" s="152" t="s">
        <v>564</v>
      </c>
      <c r="D41" s="1079" t="s">
        <v>565</v>
      </c>
      <c r="E41" s="1079"/>
      <c r="F41" s="1079"/>
      <c r="G41" s="1079"/>
      <c r="H41" s="1079" t="s">
        <v>566</v>
      </c>
      <c r="I41" s="1079"/>
      <c r="J41" s="152"/>
      <c r="K41" s="1079" t="s">
        <v>567</v>
      </c>
      <c r="L41" s="1079"/>
      <c r="M41" s="1080"/>
    </row>
    <row r="42" spans="2:139" s="120" customFormat="1" ht="26.25" customHeight="1">
      <c r="B42" s="149"/>
      <c r="C42" s="150"/>
      <c r="D42" s="1089"/>
      <c r="E42" s="1089"/>
      <c r="F42" s="1089"/>
      <c r="G42" s="1089"/>
      <c r="H42" s="1089"/>
      <c r="I42" s="1089"/>
      <c r="J42" s="150"/>
      <c r="K42" s="1089"/>
      <c r="L42" s="1089"/>
      <c r="M42" s="1094"/>
    </row>
    <row r="43" spans="2:139" s="120" customFormat="1" ht="13.5" customHeight="1">
      <c r="B43" s="149" t="s">
        <v>510</v>
      </c>
      <c r="C43" s="153" t="s">
        <v>568</v>
      </c>
      <c r="D43" s="1090" t="s">
        <v>569</v>
      </c>
      <c r="E43" s="1090"/>
      <c r="F43" s="1090"/>
      <c r="G43" s="1090"/>
      <c r="H43" s="1090"/>
      <c r="I43" s="1090"/>
      <c r="J43" s="153"/>
      <c r="K43" s="1090"/>
      <c r="L43" s="1090"/>
      <c r="M43" s="1091"/>
    </row>
    <row r="44" spans="2:139" s="120" customFormat="1">
      <c r="B44" s="149" t="s">
        <v>520</v>
      </c>
      <c r="C44" s="153" t="s">
        <v>570</v>
      </c>
      <c r="D44" s="1090" t="s">
        <v>571</v>
      </c>
      <c r="E44" s="1090"/>
      <c r="F44" s="1090"/>
      <c r="G44" s="1090"/>
      <c r="H44" s="1090"/>
      <c r="I44" s="1090"/>
      <c r="J44" s="153"/>
      <c r="K44" s="1090"/>
      <c r="L44" s="1090"/>
      <c r="M44" s="1091"/>
      <c r="Q44" s="162"/>
      <c r="R44" s="162"/>
      <c r="S44" s="162"/>
      <c r="T44" s="162"/>
      <c r="U44" s="162"/>
      <c r="V44" s="162"/>
      <c r="W44" s="162"/>
      <c r="X44" s="162"/>
      <c r="Y44" s="162"/>
      <c r="Z44" s="162"/>
    </row>
    <row r="45" spans="2:139" s="120" customFormat="1">
      <c r="B45" s="149" t="s">
        <v>572</v>
      </c>
      <c r="C45" s="154"/>
      <c r="D45" s="1092"/>
      <c r="E45" s="1092"/>
      <c r="F45" s="1092"/>
      <c r="G45" s="1092"/>
      <c r="H45" s="1092"/>
      <c r="I45" s="1092"/>
      <c r="J45" s="154"/>
      <c r="K45" s="1092"/>
      <c r="L45" s="1092"/>
      <c r="M45" s="1093"/>
      <c r="Q45" s="119"/>
      <c r="R45" s="119"/>
      <c r="S45" s="119"/>
      <c r="T45" s="119"/>
      <c r="U45" s="119"/>
      <c r="V45" s="119"/>
      <c r="W45" s="119"/>
      <c r="X45" s="119"/>
      <c r="Y45" s="119"/>
      <c r="Z45" s="119"/>
    </row>
    <row r="46" spans="2:139" s="120" customFormat="1">
      <c r="B46" s="149"/>
      <c r="C46" s="150"/>
      <c r="D46" s="1089"/>
      <c r="E46" s="1089"/>
      <c r="F46" s="1089"/>
      <c r="G46" s="1089"/>
      <c r="H46" s="150"/>
      <c r="I46" s="150"/>
      <c r="J46" s="150"/>
      <c r="K46" s="150"/>
      <c r="L46" s="150"/>
      <c r="M46" s="151"/>
      <c r="Q46" s="119"/>
      <c r="R46" s="119"/>
      <c r="S46" s="119"/>
      <c r="T46" s="119"/>
      <c r="U46" s="119"/>
      <c r="V46" s="119"/>
      <c r="W46" s="119"/>
      <c r="X46" s="119"/>
      <c r="Y46" s="119"/>
      <c r="Z46" s="119"/>
    </row>
    <row r="47" spans="2:139" s="120" customFormat="1" ht="13.5" thickBot="1">
      <c r="B47" s="155"/>
      <c r="C47" s="156"/>
      <c r="D47" s="156"/>
      <c r="E47" s="156"/>
      <c r="F47" s="156"/>
      <c r="G47" s="156"/>
      <c r="H47" s="156"/>
      <c r="I47" s="156"/>
      <c r="J47" s="156"/>
      <c r="K47" s="156"/>
      <c r="L47" s="156"/>
      <c r="M47" s="157"/>
      <c r="Q47" s="119"/>
      <c r="R47" s="119"/>
      <c r="S47" s="119"/>
      <c r="T47" s="119"/>
      <c r="U47" s="119"/>
      <c r="V47" s="119"/>
      <c r="W47" s="119"/>
      <c r="X47" s="119"/>
      <c r="Y47" s="119"/>
      <c r="Z47" s="119"/>
    </row>
    <row r="48" spans="2:139" s="158" customFormat="1" ht="13.5" thickTop="1">
      <c r="B48" s="159" t="s">
        <v>573</v>
      </c>
      <c r="C48" s="160"/>
      <c r="E48" s="161"/>
      <c r="H48" s="162"/>
      <c r="I48" s="162"/>
      <c r="J48" s="162"/>
      <c r="K48" s="162"/>
      <c r="L48" s="162"/>
      <c r="M48" s="162"/>
      <c r="N48" s="162"/>
      <c r="O48" s="163"/>
      <c r="P48" s="162"/>
      <c r="Q48" s="165"/>
      <c r="R48" s="165"/>
      <c r="S48" s="165"/>
      <c r="T48" s="165"/>
      <c r="U48" s="165"/>
      <c r="V48" s="165"/>
      <c r="W48" s="165"/>
      <c r="X48" s="165"/>
      <c r="Y48" s="165"/>
      <c r="Z48" s="165"/>
      <c r="AA48" s="162"/>
      <c r="AB48" s="162"/>
      <c r="AC48" s="162"/>
      <c r="AD48" s="162"/>
      <c r="AE48" s="162"/>
      <c r="AF48" s="162"/>
      <c r="AG48" s="162"/>
      <c r="AH48" s="162"/>
      <c r="AI48" s="162"/>
      <c r="AJ48" s="162"/>
      <c r="AK48" s="162"/>
      <c r="AL48" s="162"/>
      <c r="AM48" s="162"/>
      <c r="AN48" s="162"/>
      <c r="AO48" s="162"/>
      <c r="AP48" s="162"/>
      <c r="AQ48" s="162"/>
      <c r="AR48" s="162"/>
      <c r="AS48" s="162"/>
      <c r="AT48" s="162"/>
      <c r="AU48" s="162"/>
      <c r="AV48" s="162"/>
      <c r="AW48" s="162"/>
      <c r="AX48" s="162"/>
      <c r="AY48" s="162"/>
      <c r="AZ48" s="162"/>
      <c r="BA48" s="162"/>
      <c r="BB48" s="162"/>
      <c r="BC48" s="162"/>
      <c r="BD48" s="162"/>
      <c r="BE48" s="162"/>
      <c r="BF48" s="162"/>
      <c r="BG48" s="162"/>
      <c r="BH48" s="162"/>
      <c r="BI48" s="162"/>
      <c r="BJ48" s="162"/>
      <c r="BK48" s="162"/>
      <c r="BL48" s="162"/>
      <c r="BM48" s="162"/>
      <c r="BN48" s="162"/>
      <c r="BO48" s="162"/>
      <c r="BP48" s="162"/>
      <c r="BQ48" s="162"/>
      <c r="BR48" s="162"/>
      <c r="BS48" s="162"/>
      <c r="BT48" s="162"/>
      <c r="BU48" s="162"/>
      <c r="BV48" s="162"/>
      <c r="BW48" s="162"/>
      <c r="BX48" s="162"/>
      <c r="BY48" s="162"/>
      <c r="BZ48" s="162"/>
      <c r="CA48" s="162"/>
      <c r="CB48" s="162"/>
      <c r="CC48" s="162"/>
      <c r="CD48" s="162"/>
      <c r="CE48" s="162"/>
      <c r="CF48" s="162"/>
      <c r="CG48" s="162"/>
      <c r="CH48" s="162"/>
      <c r="CI48" s="162"/>
      <c r="CJ48" s="162"/>
      <c r="CK48" s="162"/>
      <c r="CL48" s="162"/>
      <c r="CM48" s="162"/>
      <c r="CN48" s="162"/>
      <c r="CO48" s="162"/>
      <c r="CP48" s="162"/>
      <c r="CQ48" s="162"/>
      <c r="CR48" s="162"/>
      <c r="CS48" s="162"/>
      <c r="CT48" s="162"/>
      <c r="CU48" s="162"/>
      <c r="CV48" s="162"/>
      <c r="CW48" s="162"/>
      <c r="CX48" s="162"/>
      <c r="CY48" s="162"/>
      <c r="CZ48" s="162"/>
      <c r="DA48" s="162"/>
      <c r="DB48" s="162"/>
      <c r="DC48" s="162"/>
      <c r="DD48" s="162"/>
      <c r="DE48" s="162"/>
      <c r="DF48" s="162"/>
      <c r="DG48" s="162"/>
      <c r="DH48" s="162"/>
      <c r="DI48" s="162"/>
      <c r="DJ48" s="162"/>
      <c r="DK48" s="162"/>
      <c r="DL48" s="162"/>
      <c r="DM48" s="162"/>
      <c r="DN48" s="162"/>
      <c r="DO48" s="162"/>
      <c r="DP48" s="162"/>
      <c r="DQ48" s="162"/>
      <c r="DR48" s="162"/>
      <c r="DS48" s="162"/>
      <c r="DT48" s="162"/>
      <c r="DU48" s="162"/>
      <c r="DV48" s="162"/>
      <c r="DW48" s="162"/>
      <c r="DX48" s="162"/>
      <c r="DY48" s="162"/>
      <c r="DZ48" s="162"/>
      <c r="EA48" s="162"/>
      <c r="EB48" s="162"/>
      <c r="EC48" s="162"/>
      <c r="ED48" s="162"/>
      <c r="EE48" s="162"/>
      <c r="EF48" s="162"/>
      <c r="EG48" s="162"/>
      <c r="EH48" s="162"/>
      <c r="EI48" s="162"/>
    </row>
    <row r="49" spans="1:139">
      <c r="Q49" s="167"/>
      <c r="R49" s="167"/>
      <c r="S49" s="167"/>
      <c r="T49" s="167"/>
      <c r="U49" s="167"/>
      <c r="V49" s="167"/>
      <c r="W49" s="167"/>
      <c r="X49" s="167"/>
      <c r="Y49" s="167"/>
      <c r="Z49" s="167"/>
    </row>
    <row r="50" spans="1:139">
      <c r="Q50" s="167"/>
      <c r="R50" s="167"/>
      <c r="S50" s="167"/>
      <c r="T50" s="167"/>
      <c r="U50" s="167"/>
      <c r="V50" s="167"/>
      <c r="W50" s="167"/>
      <c r="X50" s="167"/>
      <c r="Y50" s="167"/>
      <c r="Z50" s="167"/>
    </row>
    <row r="51" spans="1:139">
      <c r="Q51" s="167"/>
      <c r="R51" s="167"/>
      <c r="S51" s="167"/>
      <c r="T51" s="167"/>
      <c r="U51" s="167"/>
      <c r="V51" s="167"/>
      <c r="W51" s="167"/>
      <c r="X51" s="167"/>
      <c r="Y51" s="167"/>
      <c r="Z51" s="167"/>
    </row>
    <row r="52" spans="1:139" s="164" customFormat="1">
      <c r="C52" s="165"/>
      <c r="D52" s="165"/>
      <c r="E52" s="165"/>
      <c r="F52" s="165"/>
      <c r="G52" s="165"/>
      <c r="H52" s="165"/>
      <c r="I52" s="165"/>
      <c r="J52" s="165"/>
      <c r="K52" s="165"/>
      <c r="L52" s="165"/>
      <c r="M52" s="165"/>
      <c r="N52" s="165"/>
      <c r="O52" s="165"/>
      <c r="P52" s="165"/>
      <c r="Q52" s="167"/>
      <c r="R52" s="167"/>
      <c r="S52" s="167"/>
      <c r="T52" s="167"/>
      <c r="U52" s="167"/>
      <c r="V52" s="167"/>
      <c r="W52" s="167"/>
      <c r="X52" s="167"/>
      <c r="Y52" s="167"/>
      <c r="Z52" s="167"/>
      <c r="AA52" s="165"/>
      <c r="AB52" s="165"/>
      <c r="AC52" s="165"/>
      <c r="AD52" s="165"/>
      <c r="AE52" s="165"/>
      <c r="AF52" s="165"/>
      <c r="AG52" s="165"/>
      <c r="AH52" s="165"/>
      <c r="AI52" s="165"/>
      <c r="AJ52" s="165"/>
      <c r="AK52" s="165"/>
      <c r="AL52" s="165"/>
      <c r="AM52" s="165"/>
      <c r="AN52" s="165"/>
      <c r="AO52" s="165"/>
      <c r="AP52" s="165"/>
      <c r="AQ52" s="165"/>
      <c r="AR52" s="165"/>
      <c r="AS52" s="165"/>
      <c r="AT52" s="165"/>
      <c r="AU52" s="165"/>
      <c r="AV52" s="165"/>
      <c r="AW52" s="165"/>
      <c r="AX52" s="165"/>
      <c r="AY52" s="165"/>
      <c r="AZ52" s="165"/>
      <c r="BA52" s="165"/>
      <c r="BB52" s="165"/>
      <c r="BC52" s="165"/>
      <c r="BD52" s="165"/>
      <c r="BE52" s="165"/>
      <c r="BF52" s="165"/>
      <c r="BG52" s="165"/>
      <c r="BH52" s="165"/>
      <c r="BI52" s="165"/>
      <c r="BJ52" s="165"/>
      <c r="BK52" s="165"/>
      <c r="BL52" s="165"/>
      <c r="BM52" s="165"/>
      <c r="BN52" s="165"/>
      <c r="BO52" s="165"/>
      <c r="BP52" s="165"/>
      <c r="BQ52" s="165"/>
      <c r="BR52" s="165"/>
      <c r="BS52" s="165"/>
      <c r="BT52" s="165"/>
      <c r="BU52" s="165"/>
      <c r="BV52" s="165"/>
      <c r="BW52" s="165"/>
      <c r="BX52" s="165"/>
      <c r="BY52" s="165"/>
      <c r="BZ52" s="165"/>
      <c r="CA52" s="165"/>
      <c r="CB52" s="165"/>
      <c r="CC52" s="165"/>
      <c r="CD52" s="165"/>
      <c r="CE52" s="165"/>
      <c r="CF52" s="165"/>
      <c r="CG52" s="165"/>
      <c r="CH52" s="165"/>
      <c r="CI52" s="165"/>
      <c r="CJ52" s="165"/>
      <c r="CK52" s="165"/>
      <c r="CL52" s="165"/>
      <c r="CM52" s="165"/>
      <c r="CN52" s="165"/>
      <c r="CO52" s="165"/>
      <c r="CP52" s="165"/>
      <c r="CQ52" s="165"/>
      <c r="CR52" s="165"/>
      <c r="CS52" s="165"/>
      <c r="CT52" s="165"/>
      <c r="CU52" s="165"/>
      <c r="CV52" s="165"/>
      <c r="CW52" s="165"/>
      <c r="CX52" s="165"/>
      <c r="CY52" s="165"/>
      <c r="CZ52" s="165"/>
      <c r="DA52" s="165"/>
      <c r="DB52" s="165"/>
      <c r="DC52" s="165"/>
      <c r="DD52" s="165"/>
      <c r="DE52" s="165"/>
      <c r="DF52" s="165"/>
      <c r="DG52" s="165"/>
      <c r="DH52" s="165"/>
      <c r="DI52" s="165"/>
      <c r="DJ52" s="165"/>
      <c r="DK52" s="165"/>
      <c r="DL52" s="165"/>
      <c r="DM52" s="165"/>
      <c r="DN52" s="165"/>
      <c r="DO52" s="165"/>
      <c r="DP52" s="165"/>
      <c r="DQ52" s="165"/>
      <c r="DR52" s="165"/>
      <c r="DS52" s="165"/>
      <c r="DT52" s="165"/>
      <c r="DU52" s="165"/>
      <c r="DV52" s="165"/>
      <c r="DW52" s="165"/>
      <c r="DX52" s="165"/>
      <c r="DY52" s="165"/>
      <c r="DZ52" s="165"/>
      <c r="EA52" s="165"/>
      <c r="EB52" s="165"/>
      <c r="EC52" s="165"/>
    </row>
    <row r="53" spans="1:139" s="164" customFormat="1">
      <c r="A53" s="166"/>
      <c r="F53" s="167"/>
      <c r="G53" s="167"/>
      <c r="H53" s="167"/>
      <c r="I53" s="167"/>
      <c r="J53" s="167"/>
      <c r="K53" s="167"/>
      <c r="L53" s="167"/>
      <c r="M53" s="167"/>
      <c r="N53" s="167"/>
      <c r="O53" s="167"/>
      <c r="P53" s="167"/>
      <c r="Q53" s="119"/>
      <c r="R53" s="119"/>
      <c r="S53" s="119"/>
      <c r="T53" s="119"/>
      <c r="U53" s="119"/>
      <c r="V53" s="119"/>
      <c r="W53" s="119"/>
      <c r="X53" s="119"/>
      <c r="Y53" s="119"/>
      <c r="Z53" s="119"/>
      <c r="AA53" s="167"/>
      <c r="AB53" s="167"/>
      <c r="AC53" s="167"/>
      <c r="AD53" s="167"/>
      <c r="AE53" s="167"/>
      <c r="AF53" s="167"/>
      <c r="AG53" s="167"/>
      <c r="AH53" s="167"/>
      <c r="AI53" s="167"/>
      <c r="AJ53" s="167"/>
      <c r="AK53" s="167"/>
      <c r="AL53" s="167"/>
      <c r="AM53" s="167"/>
      <c r="AN53" s="167"/>
      <c r="AO53" s="167"/>
      <c r="AP53" s="167"/>
      <c r="AQ53" s="167"/>
      <c r="AR53" s="167"/>
      <c r="AS53" s="167"/>
      <c r="AT53" s="167"/>
      <c r="AU53" s="167"/>
      <c r="AV53" s="167"/>
      <c r="AW53" s="167"/>
      <c r="AX53" s="167"/>
      <c r="AY53" s="167"/>
      <c r="AZ53" s="167"/>
      <c r="BA53" s="167"/>
      <c r="BB53" s="167"/>
      <c r="BC53" s="167"/>
      <c r="BD53" s="167"/>
      <c r="BE53" s="167"/>
      <c r="BF53" s="167"/>
      <c r="BG53" s="167"/>
      <c r="BH53" s="167"/>
      <c r="BI53" s="167"/>
      <c r="BJ53" s="167"/>
      <c r="BK53" s="167"/>
      <c r="BL53" s="167"/>
      <c r="BM53" s="167"/>
      <c r="BN53" s="167"/>
      <c r="BO53" s="167"/>
      <c r="BP53" s="167"/>
      <c r="BQ53" s="167"/>
      <c r="BR53" s="167"/>
      <c r="BS53" s="167"/>
      <c r="BT53" s="167"/>
      <c r="BU53" s="167"/>
      <c r="BV53" s="167"/>
      <c r="BW53" s="167"/>
      <c r="BX53" s="167"/>
      <c r="BY53" s="167"/>
      <c r="BZ53" s="167"/>
      <c r="CA53" s="167"/>
      <c r="CB53" s="167"/>
      <c r="CC53" s="167"/>
      <c r="CD53" s="167"/>
      <c r="CE53" s="167"/>
      <c r="CF53" s="167"/>
      <c r="CG53" s="167"/>
      <c r="CH53" s="167"/>
      <c r="CI53" s="167"/>
      <c r="CJ53" s="167"/>
      <c r="CK53" s="167"/>
      <c r="CL53" s="167"/>
      <c r="CM53" s="167"/>
      <c r="CN53" s="167"/>
      <c r="CO53" s="167"/>
      <c r="CP53" s="167"/>
      <c r="CQ53" s="167"/>
      <c r="CR53" s="167"/>
      <c r="CS53" s="167"/>
      <c r="CT53" s="167"/>
      <c r="CU53" s="167"/>
      <c r="CV53" s="167"/>
      <c r="CW53" s="167"/>
      <c r="CX53" s="167"/>
      <c r="CY53" s="167"/>
      <c r="CZ53" s="167"/>
      <c r="DA53" s="167"/>
      <c r="DB53" s="167"/>
      <c r="DC53" s="167"/>
      <c r="DD53" s="167"/>
      <c r="DE53" s="167"/>
      <c r="DF53" s="167"/>
      <c r="DG53" s="167"/>
      <c r="DH53" s="167"/>
      <c r="DI53" s="167"/>
      <c r="DJ53" s="167"/>
      <c r="DK53" s="167"/>
      <c r="DL53" s="167"/>
      <c r="DM53" s="167"/>
      <c r="DN53" s="167"/>
      <c r="DO53" s="167"/>
      <c r="DP53" s="167"/>
      <c r="DQ53" s="167"/>
      <c r="DR53" s="167"/>
      <c r="DS53" s="167"/>
      <c r="DT53" s="167"/>
      <c r="DU53" s="167"/>
      <c r="DV53" s="167"/>
      <c r="DW53" s="167"/>
      <c r="DX53" s="167"/>
      <c r="DY53" s="167"/>
      <c r="DZ53" s="167"/>
      <c r="EA53" s="167"/>
      <c r="EB53" s="167"/>
      <c r="EC53" s="167"/>
    </row>
    <row r="54" spans="1:139" s="164" customFormat="1">
      <c r="A54" s="166"/>
      <c r="F54" s="167"/>
      <c r="G54" s="167"/>
      <c r="H54" s="167"/>
      <c r="I54" s="167"/>
      <c r="J54" s="167"/>
      <c r="K54" s="167"/>
      <c r="L54" s="167"/>
      <c r="M54" s="167"/>
      <c r="N54" s="167"/>
      <c r="O54" s="167"/>
      <c r="P54" s="167"/>
      <c r="Q54" s="167"/>
      <c r="R54" s="167"/>
      <c r="S54" s="167"/>
      <c r="T54" s="167"/>
      <c r="U54" s="167"/>
      <c r="V54" s="167"/>
      <c r="W54" s="167"/>
      <c r="X54" s="167"/>
      <c r="Y54" s="167"/>
      <c r="Z54" s="167"/>
      <c r="AA54" s="167"/>
      <c r="AB54" s="167"/>
      <c r="AC54" s="167"/>
      <c r="AD54" s="167"/>
      <c r="AE54" s="167"/>
      <c r="AF54" s="167"/>
      <c r="AG54" s="167"/>
      <c r="AH54" s="167"/>
      <c r="AI54" s="167"/>
      <c r="AJ54" s="167"/>
      <c r="AK54" s="167"/>
      <c r="AL54" s="167"/>
      <c r="AM54" s="167"/>
      <c r="AN54" s="167"/>
      <c r="AO54" s="167"/>
      <c r="AP54" s="167"/>
      <c r="AQ54" s="167"/>
      <c r="AR54" s="167"/>
      <c r="AS54" s="167"/>
      <c r="AT54" s="167"/>
      <c r="AU54" s="167"/>
      <c r="AV54" s="167"/>
      <c r="AW54" s="167"/>
      <c r="AX54" s="167"/>
      <c r="AY54" s="167"/>
      <c r="AZ54" s="167"/>
      <c r="BA54" s="167"/>
      <c r="BB54" s="167"/>
      <c r="BC54" s="167"/>
      <c r="BD54" s="167"/>
      <c r="BE54" s="167"/>
      <c r="BF54" s="167"/>
      <c r="BG54" s="167"/>
      <c r="BH54" s="167"/>
      <c r="BI54" s="167"/>
      <c r="BJ54" s="167"/>
      <c r="BK54" s="167"/>
      <c r="BL54" s="167"/>
      <c r="BM54" s="167"/>
      <c r="BN54" s="167"/>
      <c r="BO54" s="167"/>
      <c r="BP54" s="167"/>
      <c r="BQ54" s="167"/>
      <c r="BR54" s="167"/>
      <c r="BS54" s="167"/>
      <c r="BT54" s="167"/>
      <c r="BU54" s="167"/>
      <c r="BV54" s="167"/>
      <c r="BW54" s="167"/>
      <c r="BX54" s="167"/>
      <c r="BY54" s="167"/>
      <c r="BZ54" s="167"/>
      <c r="CA54" s="167"/>
      <c r="CB54" s="167"/>
      <c r="CC54" s="167"/>
      <c r="CD54" s="167"/>
      <c r="CE54" s="167"/>
      <c r="CF54" s="167"/>
      <c r="CG54" s="167"/>
      <c r="CH54" s="167"/>
      <c r="CI54" s="167"/>
      <c r="CJ54" s="167"/>
      <c r="CK54" s="167"/>
      <c r="CL54" s="167"/>
      <c r="CM54" s="167"/>
      <c r="CN54" s="167"/>
      <c r="CO54" s="167"/>
      <c r="CP54" s="167"/>
      <c r="CQ54" s="167"/>
      <c r="CR54" s="167"/>
      <c r="CS54" s="167"/>
      <c r="CT54" s="167"/>
      <c r="CU54" s="167"/>
      <c r="CV54" s="167"/>
      <c r="CW54" s="167"/>
      <c r="CX54" s="167"/>
      <c r="CY54" s="167"/>
      <c r="CZ54" s="167"/>
      <c r="DA54" s="167"/>
      <c r="DB54" s="167"/>
      <c r="DC54" s="167"/>
      <c r="DD54" s="167"/>
      <c r="DE54" s="167"/>
      <c r="DF54" s="167"/>
      <c r="DG54" s="167"/>
      <c r="DH54" s="167"/>
      <c r="DI54" s="167"/>
      <c r="DJ54" s="167"/>
      <c r="DK54" s="167"/>
      <c r="DL54" s="167"/>
      <c r="DM54" s="167"/>
      <c r="DN54" s="167"/>
      <c r="DO54" s="167"/>
      <c r="DP54" s="167"/>
      <c r="DQ54" s="167"/>
      <c r="DR54" s="167"/>
      <c r="DS54" s="167"/>
      <c r="DT54" s="167"/>
      <c r="DU54" s="167"/>
      <c r="DV54" s="167"/>
      <c r="DW54" s="167"/>
      <c r="DX54" s="167"/>
      <c r="DY54" s="167"/>
      <c r="DZ54" s="167"/>
      <c r="EA54" s="167"/>
      <c r="EB54" s="167"/>
    </row>
    <row r="55" spans="1:139" s="164" customFormat="1">
      <c r="A55" s="166"/>
      <c r="F55" s="167"/>
      <c r="G55" s="167"/>
      <c r="H55" s="167"/>
      <c r="I55" s="167"/>
      <c r="J55" s="167"/>
      <c r="K55" s="167"/>
      <c r="L55" s="167"/>
      <c r="M55" s="167"/>
      <c r="N55" s="167"/>
      <c r="O55" s="167"/>
      <c r="P55" s="167"/>
      <c r="Q55" s="167"/>
      <c r="R55" s="167"/>
      <c r="S55" s="167"/>
      <c r="T55" s="167"/>
      <c r="U55" s="167"/>
      <c r="V55" s="167"/>
      <c r="W55" s="167"/>
      <c r="X55" s="167"/>
      <c r="Y55" s="167"/>
      <c r="Z55" s="167"/>
      <c r="AA55" s="167"/>
      <c r="AB55" s="167"/>
      <c r="AC55" s="167"/>
      <c r="AD55" s="167"/>
      <c r="AE55" s="167"/>
      <c r="AF55" s="167"/>
      <c r="AG55" s="167"/>
      <c r="AH55" s="167"/>
      <c r="AI55" s="167"/>
      <c r="AJ55" s="167"/>
      <c r="AK55" s="167"/>
      <c r="AL55" s="167"/>
      <c r="AM55" s="167"/>
      <c r="AN55" s="167"/>
      <c r="AO55" s="167"/>
      <c r="AP55" s="167"/>
      <c r="AQ55" s="167"/>
      <c r="AR55" s="167"/>
      <c r="AS55" s="167"/>
      <c r="AT55" s="167"/>
      <c r="AU55" s="167"/>
      <c r="AV55" s="167"/>
      <c r="AW55" s="167"/>
      <c r="AX55" s="167"/>
      <c r="AY55" s="167"/>
      <c r="AZ55" s="167"/>
      <c r="BA55" s="167"/>
      <c r="BB55" s="167"/>
      <c r="BC55" s="167"/>
      <c r="BD55" s="167"/>
      <c r="BE55" s="167"/>
      <c r="BF55" s="167"/>
      <c r="BG55" s="167"/>
      <c r="BH55" s="167"/>
      <c r="BI55" s="167"/>
      <c r="BJ55" s="167"/>
      <c r="BK55" s="167"/>
      <c r="BL55" s="167"/>
      <c r="BM55" s="167"/>
      <c r="BN55" s="167"/>
      <c r="BO55" s="167"/>
      <c r="BP55" s="167"/>
      <c r="BQ55" s="167"/>
      <c r="BR55" s="167"/>
      <c r="BS55" s="167"/>
      <c r="BT55" s="167"/>
      <c r="BU55" s="167"/>
      <c r="BV55" s="167"/>
      <c r="BW55" s="167"/>
      <c r="BX55" s="167"/>
      <c r="BY55" s="167"/>
      <c r="BZ55" s="167"/>
      <c r="CA55" s="167"/>
      <c r="CB55" s="167"/>
      <c r="CC55" s="167"/>
      <c r="CD55" s="167"/>
      <c r="CE55" s="167"/>
      <c r="CF55" s="167"/>
      <c r="CG55" s="167"/>
      <c r="CH55" s="167"/>
      <c r="CI55" s="167"/>
      <c r="CJ55" s="167"/>
      <c r="CK55" s="167"/>
      <c r="CL55" s="167"/>
      <c r="CM55" s="167"/>
      <c r="CN55" s="167"/>
      <c r="CO55" s="167"/>
      <c r="CP55" s="167"/>
      <c r="CQ55" s="167"/>
      <c r="CR55" s="167"/>
      <c r="CS55" s="167"/>
      <c r="CT55" s="167"/>
      <c r="CU55" s="167"/>
      <c r="CV55" s="167"/>
      <c r="CW55" s="167"/>
      <c r="CX55" s="167"/>
      <c r="CY55" s="167"/>
      <c r="CZ55" s="167"/>
      <c r="DA55" s="167"/>
      <c r="DB55" s="167"/>
      <c r="DC55" s="167"/>
      <c r="DD55" s="167"/>
      <c r="DE55" s="167"/>
      <c r="DF55" s="167"/>
      <c r="DG55" s="167"/>
      <c r="DH55" s="167"/>
      <c r="DI55" s="167"/>
      <c r="DJ55" s="167"/>
      <c r="DK55" s="167"/>
      <c r="DL55" s="167"/>
      <c r="DM55" s="167"/>
      <c r="DN55" s="167"/>
      <c r="DO55" s="167"/>
      <c r="DP55" s="167"/>
      <c r="DQ55" s="167"/>
      <c r="DR55" s="167"/>
      <c r="DS55" s="167"/>
      <c r="DT55" s="167"/>
      <c r="DU55" s="167"/>
      <c r="DV55" s="167"/>
      <c r="DW55" s="167"/>
      <c r="DX55" s="167"/>
      <c r="DY55" s="167"/>
      <c r="DZ55" s="167"/>
      <c r="EA55" s="167"/>
      <c r="EB55" s="167"/>
    </row>
    <row r="56" spans="1:139" s="164" customFormat="1">
      <c r="A56" s="166"/>
      <c r="F56" s="167"/>
      <c r="G56" s="167"/>
      <c r="H56" s="167"/>
      <c r="I56" s="167"/>
      <c r="J56" s="167"/>
      <c r="K56" s="167"/>
      <c r="L56" s="167"/>
      <c r="M56" s="167"/>
      <c r="N56" s="167"/>
      <c r="O56" s="167"/>
      <c r="P56" s="167"/>
      <c r="Q56" s="167"/>
      <c r="R56" s="167"/>
      <c r="S56" s="167"/>
      <c r="T56" s="167"/>
      <c r="U56" s="167"/>
      <c r="V56" s="167"/>
      <c r="W56" s="167"/>
      <c r="X56" s="167"/>
      <c r="Y56" s="167"/>
      <c r="Z56" s="167"/>
      <c r="AA56" s="167"/>
      <c r="AB56" s="167"/>
      <c r="AC56" s="167"/>
      <c r="AD56" s="167"/>
      <c r="AE56" s="167"/>
      <c r="AF56" s="167"/>
      <c r="AG56" s="167"/>
      <c r="AH56" s="167"/>
      <c r="AI56" s="167"/>
      <c r="AJ56" s="167"/>
      <c r="AK56" s="167"/>
      <c r="AL56" s="167"/>
      <c r="AM56" s="167"/>
      <c r="AN56" s="167"/>
      <c r="AO56" s="167"/>
      <c r="AP56" s="167"/>
      <c r="AQ56" s="167"/>
      <c r="AR56" s="167"/>
      <c r="AS56" s="167"/>
      <c r="AT56" s="167"/>
      <c r="AU56" s="167"/>
      <c r="AV56" s="167"/>
      <c r="AW56" s="167"/>
      <c r="AX56" s="167"/>
      <c r="AY56" s="167"/>
      <c r="AZ56" s="167"/>
      <c r="BA56" s="167"/>
      <c r="BB56" s="167"/>
      <c r="BC56" s="167"/>
      <c r="BD56" s="167"/>
      <c r="BE56" s="167"/>
      <c r="BF56" s="167"/>
      <c r="BG56" s="167"/>
      <c r="BH56" s="167"/>
      <c r="BI56" s="167"/>
      <c r="BJ56" s="167"/>
      <c r="BK56" s="167"/>
      <c r="BL56" s="167"/>
      <c r="BM56" s="167"/>
      <c r="BN56" s="167"/>
      <c r="BO56" s="167"/>
      <c r="BP56" s="167"/>
      <c r="BQ56" s="167"/>
      <c r="BR56" s="167"/>
      <c r="BS56" s="167"/>
      <c r="BT56" s="167"/>
      <c r="BU56" s="167"/>
      <c r="BV56" s="167"/>
      <c r="BW56" s="167"/>
      <c r="BX56" s="167"/>
      <c r="BY56" s="167"/>
      <c r="BZ56" s="167"/>
      <c r="CA56" s="167"/>
      <c r="CB56" s="167"/>
      <c r="CC56" s="167"/>
      <c r="CD56" s="167"/>
      <c r="CE56" s="167"/>
      <c r="CF56" s="167"/>
      <c r="CG56" s="167"/>
      <c r="CH56" s="167"/>
      <c r="CI56" s="167"/>
      <c r="CJ56" s="167"/>
      <c r="CK56" s="167"/>
      <c r="CL56" s="167"/>
      <c r="CM56" s="167"/>
      <c r="CN56" s="167"/>
      <c r="CO56" s="167"/>
      <c r="CP56" s="167"/>
      <c r="CQ56" s="167"/>
      <c r="CR56" s="167"/>
      <c r="CS56" s="167"/>
      <c r="CT56" s="167"/>
      <c r="CU56" s="167"/>
      <c r="CV56" s="167"/>
      <c r="CW56" s="167"/>
      <c r="CX56" s="167"/>
      <c r="CY56" s="167"/>
      <c r="CZ56" s="167"/>
      <c r="DA56" s="167"/>
      <c r="DB56" s="167"/>
      <c r="DC56" s="167"/>
      <c r="DD56" s="167"/>
      <c r="DE56" s="167"/>
      <c r="DF56" s="167"/>
      <c r="DG56" s="167"/>
      <c r="DH56" s="167"/>
      <c r="DI56" s="167"/>
      <c r="DJ56" s="167"/>
      <c r="DK56" s="167"/>
      <c r="DL56" s="167"/>
      <c r="DM56" s="167"/>
      <c r="DN56" s="167"/>
      <c r="DO56" s="167"/>
      <c r="DP56" s="167"/>
      <c r="DQ56" s="167"/>
      <c r="DR56" s="167"/>
      <c r="DS56" s="167"/>
      <c r="DT56" s="167"/>
      <c r="DU56" s="167"/>
      <c r="DV56" s="167"/>
      <c r="DW56" s="167"/>
      <c r="DX56" s="167"/>
      <c r="DY56" s="167"/>
      <c r="DZ56" s="167"/>
      <c r="EA56" s="167"/>
      <c r="EB56" s="167"/>
    </row>
    <row r="57" spans="1:139" ht="16.5" customHeight="1">
      <c r="Q57" s="167"/>
      <c r="R57" s="167"/>
      <c r="S57" s="167"/>
      <c r="T57" s="167"/>
      <c r="U57" s="167"/>
      <c r="V57" s="167"/>
      <c r="W57" s="167"/>
      <c r="X57" s="167"/>
      <c r="Y57" s="167"/>
      <c r="Z57" s="167"/>
    </row>
    <row r="58" spans="1:139" s="164" customFormat="1" ht="16.5" customHeight="1">
      <c r="B58" s="168"/>
      <c r="C58" s="168"/>
      <c r="E58" s="169"/>
      <c r="H58" s="167"/>
      <c r="I58" s="167"/>
      <c r="J58" s="167"/>
      <c r="K58" s="167"/>
      <c r="L58" s="167"/>
      <c r="M58" s="167"/>
      <c r="N58" s="167"/>
      <c r="O58" s="170"/>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7"/>
      <c r="BQ58" s="167"/>
      <c r="BR58" s="167"/>
      <c r="BS58" s="167"/>
      <c r="BT58" s="167"/>
      <c r="BU58" s="167"/>
      <c r="BV58" s="167"/>
      <c r="BW58" s="167"/>
      <c r="BX58" s="167"/>
      <c r="BY58" s="167"/>
      <c r="BZ58" s="167"/>
      <c r="CA58" s="167"/>
      <c r="CB58" s="167"/>
      <c r="CC58" s="167"/>
      <c r="CD58" s="167"/>
      <c r="CE58" s="167"/>
      <c r="CF58" s="167"/>
      <c r="CG58" s="167"/>
      <c r="CH58" s="167"/>
      <c r="CI58" s="167"/>
      <c r="CJ58" s="167"/>
      <c r="CK58" s="167"/>
      <c r="CL58" s="167"/>
      <c r="CM58" s="167"/>
      <c r="CN58" s="167"/>
      <c r="CO58" s="167"/>
      <c r="CP58" s="167"/>
      <c r="CQ58" s="167"/>
      <c r="CR58" s="167"/>
      <c r="CS58" s="167"/>
      <c r="CT58" s="167"/>
      <c r="CU58" s="167"/>
      <c r="CV58" s="167"/>
      <c r="CW58" s="167"/>
      <c r="CX58" s="167"/>
      <c r="CY58" s="167"/>
      <c r="CZ58" s="167"/>
      <c r="DA58" s="167"/>
      <c r="DB58" s="167"/>
      <c r="DC58" s="167"/>
      <c r="DD58" s="167"/>
      <c r="DE58" s="167"/>
      <c r="DF58" s="167"/>
      <c r="DG58" s="167"/>
      <c r="DH58" s="167"/>
      <c r="DI58" s="167"/>
      <c r="DJ58" s="167"/>
      <c r="DK58" s="167"/>
      <c r="DL58" s="167"/>
      <c r="DM58" s="167"/>
      <c r="DN58" s="167"/>
      <c r="DO58" s="167"/>
      <c r="DP58" s="167"/>
      <c r="DQ58" s="167"/>
      <c r="DR58" s="167"/>
      <c r="DS58" s="167"/>
      <c r="DT58" s="167"/>
      <c r="DU58" s="167"/>
      <c r="DV58" s="167"/>
      <c r="DW58" s="167"/>
      <c r="DX58" s="167"/>
      <c r="DY58" s="167"/>
      <c r="DZ58" s="167"/>
      <c r="EA58" s="167"/>
      <c r="EB58" s="167"/>
      <c r="EC58" s="167"/>
      <c r="ED58" s="167"/>
      <c r="EE58" s="167"/>
      <c r="EF58" s="167"/>
      <c r="EG58" s="167"/>
      <c r="EH58" s="167"/>
      <c r="EI58" s="167"/>
    </row>
    <row r="59" spans="1:139" s="164" customFormat="1" ht="16.5" customHeight="1">
      <c r="B59" s="168"/>
      <c r="C59" s="168"/>
      <c r="E59" s="169"/>
      <c r="H59" s="167"/>
      <c r="I59" s="167"/>
      <c r="J59" s="167"/>
      <c r="K59" s="167"/>
      <c r="L59" s="167"/>
      <c r="M59" s="167"/>
      <c r="N59" s="167"/>
      <c r="O59" s="170"/>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7"/>
      <c r="BQ59" s="167"/>
      <c r="BR59" s="167"/>
      <c r="BS59" s="167"/>
      <c r="BT59" s="167"/>
      <c r="BU59" s="167"/>
      <c r="BV59" s="167"/>
      <c r="BW59" s="167"/>
      <c r="BX59" s="167"/>
      <c r="BY59" s="167"/>
      <c r="BZ59" s="167"/>
      <c r="CA59" s="167"/>
      <c r="CB59" s="167"/>
      <c r="CC59" s="167"/>
      <c r="CD59" s="167"/>
      <c r="CE59" s="167"/>
      <c r="CF59" s="167"/>
      <c r="CG59" s="167"/>
      <c r="CH59" s="167"/>
      <c r="CI59" s="167"/>
      <c r="CJ59" s="167"/>
      <c r="CK59" s="167"/>
      <c r="CL59" s="167"/>
      <c r="CM59" s="167"/>
      <c r="CN59" s="167"/>
      <c r="CO59" s="167"/>
      <c r="CP59" s="167"/>
      <c r="CQ59" s="167"/>
      <c r="CR59" s="167"/>
      <c r="CS59" s="167"/>
      <c r="CT59" s="167"/>
      <c r="CU59" s="167"/>
      <c r="CV59" s="167"/>
      <c r="CW59" s="167"/>
      <c r="CX59" s="167"/>
      <c r="CY59" s="167"/>
      <c r="CZ59" s="167"/>
      <c r="DA59" s="167"/>
      <c r="DB59" s="167"/>
      <c r="DC59" s="167"/>
      <c r="DD59" s="167"/>
      <c r="DE59" s="167"/>
      <c r="DF59" s="167"/>
      <c r="DG59" s="167"/>
      <c r="DH59" s="167"/>
      <c r="DI59" s="167"/>
      <c r="DJ59" s="167"/>
      <c r="DK59" s="167"/>
      <c r="DL59" s="167"/>
      <c r="DM59" s="167"/>
      <c r="DN59" s="167"/>
      <c r="DO59" s="167"/>
      <c r="DP59" s="167"/>
      <c r="DQ59" s="167"/>
      <c r="DR59" s="167"/>
      <c r="DS59" s="167"/>
      <c r="DT59" s="167"/>
      <c r="DU59" s="167"/>
      <c r="DV59" s="167"/>
      <c r="DW59" s="167"/>
      <c r="DX59" s="167"/>
      <c r="DY59" s="167"/>
      <c r="DZ59" s="167"/>
      <c r="EA59" s="167"/>
      <c r="EB59" s="167"/>
      <c r="EC59" s="167"/>
      <c r="ED59" s="167"/>
      <c r="EE59" s="167"/>
      <c r="EF59" s="167"/>
      <c r="EG59" s="167"/>
      <c r="EH59" s="167"/>
      <c r="EI59" s="167"/>
    </row>
    <row r="60" spans="1:139" s="164" customFormat="1">
      <c r="C60" s="169"/>
      <c r="F60" s="167"/>
      <c r="G60" s="167"/>
      <c r="H60" s="167"/>
      <c r="I60" s="167"/>
      <c r="J60" s="167"/>
      <c r="K60" s="167"/>
      <c r="L60" s="167"/>
      <c r="M60" s="170"/>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67"/>
      <c r="BY60" s="167"/>
      <c r="BZ60" s="167"/>
      <c r="CA60" s="167"/>
      <c r="CB60" s="167"/>
      <c r="CC60" s="167"/>
      <c r="CD60" s="167"/>
      <c r="CE60" s="167"/>
      <c r="CF60" s="167"/>
      <c r="CG60" s="167"/>
      <c r="CH60" s="167"/>
      <c r="CI60" s="167"/>
      <c r="CJ60" s="167"/>
      <c r="CK60" s="167"/>
      <c r="CL60" s="167"/>
      <c r="CM60" s="167"/>
      <c r="CN60" s="167"/>
      <c r="CO60" s="167"/>
      <c r="CP60" s="167"/>
      <c r="CQ60" s="167"/>
      <c r="CR60" s="167"/>
      <c r="CS60" s="167"/>
      <c r="CT60" s="167"/>
      <c r="CU60" s="167"/>
      <c r="CV60" s="167"/>
      <c r="CW60" s="167"/>
      <c r="CX60" s="167"/>
      <c r="CY60" s="167"/>
      <c r="CZ60" s="167"/>
      <c r="DA60" s="167"/>
      <c r="DB60" s="167"/>
      <c r="DC60" s="167"/>
      <c r="DD60" s="167"/>
      <c r="DE60" s="167"/>
      <c r="DF60" s="167"/>
      <c r="DG60" s="167"/>
      <c r="DH60" s="167"/>
      <c r="DI60" s="167"/>
      <c r="DJ60" s="167"/>
      <c r="DK60" s="167"/>
      <c r="DL60" s="167"/>
      <c r="DM60" s="167"/>
      <c r="DN60" s="167"/>
      <c r="DO60" s="167"/>
      <c r="DP60" s="167"/>
      <c r="DQ60" s="167"/>
      <c r="DR60" s="167"/>
      <c r="DS60" s="167"/>
      <c r="DT60" s="167"/>
      <c r="DU60" s="167"/>
      <c r="DV60" s="167"/>
      <c r="DW60" s="167"/>
      <c r="DX60" s="167"/>
      <c r="DY60" s="167"/>
      <c r="DZ60" s="167"/>
      <c r="EA60" s="167"/>
      <c r="EB60" s="167"/>
      <c r="EC60" s="167"/>
      <c r="ED60" s="167"/>
      <c r="EE60" s="167"/>
      <c r="EF60" s="167"/>
      <c r="EG60" s="167"/>
    </row>
    <row r="61" spans="1:139" s="164" customFormat="1">
      <c r="C61" s="169"/>
      <c r="F61" s="167"/>
      <c r="G61" s="167"/>
      <c r="H61" s="167"/>
      <c r="I61" s="167"/>
      <c r="J61" s="167"/>
      <c r="K61" s="167"/>
      <c r="L61" s="167"/>
      <c r="M61" s="170"/>
      <c r="N61" s="167"/>
      <c r="O61" s="167"/>
      <c r="P61" s="167"/>
      <c r="Q61" s="167"/>
      <c r="R61" s="167"/>
      <c r="S61" s="167"/>
      <c r="T61" s="167"/>
      <c r="U61" s="167"/>
      <c r="V61" s="167"/>
      <c r="W61" s="167"/>
      <c r="X61" s="167"/>
      <c r="Y61" s="167"/>
      <c r="Z61" s="167"/>
      <c r="AA61" s="167"/>
      <c r="AB61" s="167"/>
      <c r="AC61" s="167"/>
      <c r="AD61" s="167"/>
      <c r="AE61" s="167"/>
      <c r="AF61" s="167"/>
      <c r="AG61" s="167"/>
      <c r="AH61" s="167"/>
      <c r="AI61" s="167"/>
      <c r="AJ61" s="167"/>
      <c r="AK61" s="167"/>
      <c r="AL61" s="167"/>
      <c r="AM61" s="167"/>
      <c r="AN61" s="167"/>
      <c r="AO61" s="167"/>
      <c r="AP61" s="167"/>
      <c r="AQ61" s="167"/>
      <c r="AR61" s="167"/>
      <c r="AS61" s="167"/>
      <c r="AT61" s="167"/>
      <c r="AU61" s="167"/>
      <c r="AV61" s="167"/>
      <c r="AW61" s="167"/>
      <c r="AX61" s="167"/>
      <c r="AY61" s="167"/>
      <c r="AZ61" s="167"/>
      <c r="BA61" s="167"/>
      <c r="BB61" s="167"/>
      <c r="BC61" s="167"/>
      <c r="BD61" s="167"/>
      <c r="BE61" s="167"/>
      <c r="BF61" s="167"/>
      <c r="BG61" s="167"/>
      <c r="BH61" s="167"/>
      <c r="BI61" s="167"/>
      <c r="BJ61" s="167"/>
      <c r="BK61" s="167"/>
      <c r="BL61" s="167"/>
      <c r="BM61" s="167"/>
      <c r="BN61" s="167"/>
      <c r="BO61" s="167"/>
      <c r="BP61" s="167"/>
      <c r="BQ61" s="167"/>
      <c r="BR61" s="167"/>
      <c r="BS61" s="167"/>
      <c r="BT61" s="167"/>
      <c r="BU61" s="167"/>
      <c r="BV61" s="167"/>
      <c r="BW61" s="167"/>
      <c r="BX61" s="167"/>
      <c r="BY61" s="167"/>
      <c r="BZ61" s="167"/>
      <c r="CA61" s="167"/>
      <c r="CB61" s="167"/>
      <c r="CC61" s="167"/>
      <c r="CD61" s="167"/>
      <c r="CE61" s="167"/>
      <c r="CF61" s="167"/>
      <c r="CG61" s="167"/>
      <c r="CH61" s="167"/>
      <c r="CI61" s="167"/>
      <c r="CJ61" s="167"/>
      <c r="CK61" s="167"/>
      <c r="CL61" s="167"/>
      <c r="CM61" s="167"/>
      <c r="CN61" s="167"/>
      <c r="CO61" s="167"/>
      <c r="CP61" s="167"/>
      <c r="CQ61" s="167"/>
      <c r="CR61" s="167"/>
      <c r="CS61" s="167"/>
      <c r="CT61" s="167"/>
      <c r="CU61" s="167"/>
      <c r="CV61" s="167"/>
      <c r="CW61" s="167"/>
      <c r="CX61" s="167"/>
      <c r="CY61" s="167"/>
      <c r="CZ61" s="167"/>
      <c r="DA61" s="167"/>
      <c r="DB61" s="167"/>
      <c r="DC61" s="167"/>
      <c r="DD61" s="167"/>
      <c r="DE61" s="167"/>
      <c r="DF61" s="167"/>
      <c r="DG61" s="167"/>
      <c r="DH61" s="167"/>
      <c r="DI61" s="167"/>
      <c r="DJ61" s="167"/>
      <c r="DK61" s="167"/>
      <c r="DL61" s="167"/>
      <c r="DM61" s="167"/>
      <c r="DN61" s="167"/>
      <c r="DO61" s="167"/>
      <c r="DP61" s="167"/>
      <c r="DQ61" s="167"/>
      <c r="DR61" s="167"/>
      <c r="DS61" s="167"/>
      <c r="DT61" s="167"/>
      <c r="DU61" s="167"/>
      <c r="DV61" s="167"/>
      <c r="DW61" s="167"/>
      <c r="DX61" s="167"/>
      <c r="DY61" s="167"/>
      <c r="DZ61" s="167"/>
      <c r="EA61" s="167"/>
      <c r="EB61" s="167"/>
      <c r="EC61" s="167"/>
      <c r="ED61" s="167"/>
      <c r="EE61" s="167"/>
      <c r="EF61" s="167"/>
      <c r="EG61" s="167"/>
    </row>
    <row r="62" spans="1:139" s="164" customFormat="1">
      <c r="C62" s="169"/>
      <c r="F62" s="167"/>
      <c r="G62" s="167"/>
      <c r="H62" s="167"/>
      <c r="I62" s="167"/>
      <c r="J62" s="167"/>
      <c r="K62" s="167"/>
      <c r="L62" s="167"/>
      <c r="M62" s="170"/>
      <c r="N62" s="167"/>
      <c r="O62" s="167"/>
      <c r="P62" s="167"/>
      <c r="Q62" s="167"/>
      <c r="R62" s="167"/>
      <c r="S62" s="167"/>
      <c r="T62" s="167"/>
      <c r="U62" s="167"/>
      <c r="V62" s="167"/>
      <c r="W62" s="167"/>
      <c r="X62" s="167"/>
      <c r="Y62" s="167"/>
      <c r="Z62" s="167"/>
      <c r="AA62" s="167"/>
      <c r="AB62" s="167"/>
      <c r="AC62" s="167"/>
      <c r="AD62" s="167"/>
      <c r="AE62" s="167"/>
      <c r="AF62" s="167"/>
      <c r="AG62" s="167"/>
      <c r="AH62" s="167"/>
      <c r="AI62" s="167"/>
      <c r="AJ62" s="167"/>
      <c r="AK62" s="167"/>
      <c r="AL62" s="167"/>
      <c r="AM62" s="167"/>
      <c r="AN62" s="167"/>
      <c r="AO62" s="167"/>
      <c r="AP62" s="167"/>
      <c r="AQ62" s="167"/>
      <c r="AR62" s="167"/>
      <c r="AS62" s="167"/>
      <c r="AT62" s="167"/>
      <c r="AU62" s="167"/>
      <c r="AV62" s="167"/>
      <c r="AW62" s="167"/>
      <c r="AX62" s="167"/>
      <c r="AY62" s="167"/>
      <c r="AZ62" s="167"/>
      <c r="BA62" s="167"/>
      <c r="BB62" s="167"/>
      <c r="BC62" s="167"/>
      <c r="BD62" s="167"/>
      <c r="BE62" s="167"/>
      <c r="BF62" s="167"/>
      <c r="BG62" s="167"/>
      <c r="BH62" s="167"/>
      <c r="BI62" s="167"/>
      <c r="BJ62" s="167"/>
      <c r="BK62" s="167"/>
      <c r="BL62" s="167"/>
      <c r="BM62" s="167"/>
      <c r="BN62" s="167"/>
      <c r="BO62" s="167"/>
      <c r="BP62" s="167"/>
      <c r="BQ62" s="167"/>
      <c r="BR62" s="167"/>
      <c r="BS62" s="167"/>
      <c r="BT62" s="167"/>
      <c r="BU62" s="167"/>
      <c r="BV62" s="167"/>
      <c r="BW62" s="167"/>
      <c r="BX62" s="167"/>
      <c r="BY62" s="167"/>
      <c r="BZ62" s="167"/>
      <c r="CA62" s="167"/>
      <c r="CB62" s="167"/>
      <c r="CC62" s="167"/>
      <c r="CD62" s="167"/>
      <c r="CE62" s="167"/>
      <c r="CF62" s="167"/>
      <c r="CG62" s="167"/>
      <c r="CH62" s="167"/>
      <c r="CI62" s="167"/>
      <c r="CJ62" s="167"/>
      <c r="CK62" s="167"/>
      <c r="CL62" s="167"/>
      <c r="CM62" s="167"/>
      <c r="CN62" s="167"/>
      <c r="CO62" s="167"/>
      <c r="CP62" s="167"/>
      <c r="CQ62" s="167"/>
      <c r="CR62" s="167"/>
      <c r="CS62" s="167"/>
      <c r="CT62" s="167"/>
      <c r="CU62" s="167"/>
      <c r="CV62" s="167"/>
      <c r="CW62" s="167"/>
      <c r="CX62" s="167"/>
      <c r="CY62" s="167"/>
      <c r="CZ62" s="167"/>
      <c r="DA62" s="167"/>
      <c r="DB62" s="167"/>
      <c r="DC62" s="167"/>
      <c r="DD62" s="167"/>
      <c r="DE62" s="167"/>
      <c r="DF62" s="167"/>
      <c r="DG62" s="167"/>
      <c r="DH62" s="167"/>
      <c r="DI62" s="167"/>
      <c r="DJ62" s="167"/>
      <c r="DK62" s="167"/>
      <c r="DL62" s="167"/>
      <c r="DM62" s="167"/>
      <c r="DN62" s="167"/>
      <c r="DO62" s="167"/>
      <c r="DP62" s="167"/>
      <c r="DQ62" s="167"/>
      <c r="DR62" s="167"/>
      <c r="DS62" s="167"/>
      <c r="DT62" s="167"/>
      <c r="DU62" s="167"/>
      <c r="DV62" s="167"/>
      <c r="DW62" s="167"/>
      <c r="DX62" s="167"/>
      <c r="DY62" s="167"/>
      <c r="DZ62" s="167"/>
      <c r="EA62" s="167"/>
      <c r="EB62" s="167"/>
      <c r="EC62" s="167"/>
      <c r="ED62" s="167"/>
      <c r="EE62" s="167"/>
      <c r="EF62" s="167"/>
      <c r="EG62" s="167"/>
    </row>
    <row r="63" spans="1:139" s="164" customFormat="1">
      <c r="C63" s="169"/>
      <c r="F63" s="167"/>
      <c r="G63" s="167"/>
      <c r="H63" s="167"/>
      <c r="I63" s="167"/>
      <c r="J63" s="167"/>
      <c r="K63" s="167"/>
      <c r="L63" s="167"/>
      <c r="M63" s="170"/>
      <c r="N63" s="167"/>
      <c r="O63" s="167"/>
      <c r="P63" s="167"/>
      <c r="Q63" s="167"/>
      <c r="R63" s="167"/>
      <c r="S63" s="167"/>
      <c r="T63" s="167"/>
      <c r="U63" s="167"/>
      <c r="V63" s="167"/>
      <c r="W63" s="167"/>
      <c r="X63" s="167"/>
      <c r="Y63" s="167"/>
      <c r="Z63" s="167"/>
      <c r="AA63" s="167"/>
      <c r="AB63" s="167"/>
      <c r="AC63" s="167"/>
      <c r="AD63" s="167"/>
      <c r="AE63" s="167"/>
      <c r="AF63" s="167"/>
      <c r="AG63" s="167"/>
      <c r="AH63" s="167"/>
      <c r="AI63" s="167"/>
      <c r="AJ63" s="167"/>
      <c r="AK63" s="167"/>
      <c r="AL63" s="167"/>
      <c r="AM63" s="167"/>
      <c r="AN63" s="167"/>
      <c r="AO63" s="167"/>
      <c r="AP63" s="167"/>
      <c r="AQ63" s="167"/>
      <c r="AR63" s="167"/>
      <c r="AS63" s="167"/>
      <c r="AT63" s="167"/>
      <c r="AU63" s="167"/>
      <c r="AV63" s="167"/>
      <c r="AW63" s="167"/>
      <c r="AX63" s="167"/>
      <c r="AY63" s="167"/>
      <c r="AZ63" s="167"/>
      <c r="BA63" s="167"/>
      <c r="BB63" s="167"/>
      <c r="BC63" s="167"/>
      <c r="BD63" s="167"/>
      <c r="BE63" s="167"/>
      <c r="BF63" s="167"/>
      <c r="BG63" s="167"/>
      <c r="BH63" s="167"/>
      <c r="BI63" s="167"/>
      <c r="BJ63" s="167"/>
      <c r="BK63" s="167"/>
      <c r="BL63" s="167"/>
      <c r="BM63" s="167"/>
      <c r="BN63" s="167"/>
      <c r="BO63" s="167"/>
      <c r="BP63" s="167"/>
      <c r="BQ63" s="167"/>
      <c r="BR63" s="167"/>
      <c r="BS63" s="167"/>
      <c r="BT63" s="167"/>
      <c r="BU63" s="167"/>
      <c r="BV63" s="167"/>
      <c r="BW63" s="167"/>
      <c r="BX63" s="167"/>
      <c r="BY63" s="167"/>
      <c r="BZ63" s="167"/>
      <c r="CA63" s="167"/>
      <c r="CB63" s="167"/>
      <c r="CC63" s="167"/>
      <c r="CD63" s="167"/>
      <c r="CE63" s="167"/>
      <c r="CF63" s="167"/>
      <c r="CG63" s="167"/>
      <c r="CH63" s="167"/>
      <c r="CI63" s="167"/>
      <c r="CJ63" s="167"/>
      <c r="CK63" s="167"/>
      <c r="CL63" s="167"/>
      <c r="CM63" s="167"/>
      <c r="CN63" s="167"/>
      <c r="CO63" s="167"/>
      <c r="CP63" s="167"/>
      <c r="CQ63" s="167"/>
      <c r="CR63" s="167"/>
      <c r="CS63" s="167"/>
      <c r="CT63" s="167"/>
      <c r="CU63" s="167"/>
      <c r="CV63" s="167"/>
      <c r="CW63" s="167"/>
      <c r="CX63" s="167"/>
      <c r="CY63" s="167"/>
      <c r="CZ63" s="167"/>
      <c r="DA63" s="167"/>
      <c r="DB63" s="167"/>
      <c r="DC63" s="167"/>
      <c r="DD63" s="167"/>
      <c r="DE63" s="167"/>
      <c r="DF63" s="167"/>
      <c r="DG63" s="167"/>
      <c r="DH63" s="167"/>
      <c r="DI63" s="167"/>
      <c r="DJ63" s="167"/>
      <c r="DK63" s="167"/>
      <c r="DL63" s="167"/>
      <c r="DM63" s="167"/>
      <c r="DN63" s="167"/>
      <c r="DO63" s="167"/>
      <c r="DP63" s="167"/>
      <c r="DQ63" s="167"/>
      <c r="DR63" s="167"/>
      <c r="DS63" s="167"/>
      <c r="DT63" s="167"/>
      <c r="DU63" s="167"/>
      <c r="DV63" s="167"/>
      <c r="DW63" s="167"/>
      <c r="DX63" s="167"/>
      <c r="DY63" s="167"/>
      <c r="DZ63" s="167"/>
      <c r="EA63" s="167"/>
      <c r="EB63" s="167"/>
      <c r="EC63" s="167"/>
      <c r="ED63" s="167"/>
      <c r="EE63" s="167"/>
      <c r="EF63" s="167"/>
      <c r="EG63" s="167"/>
    </row>
    <row r="64" spans="1:139" s="164" customFormat="1">
      <c r="C64" s="169"/>
      <c r="F64" s="167"/>
      <c r="G64" s="167"/>
      <c r="H64" s="167"/>
      <c r="I64" s="167"/>
      <c r="J64" s="167"/>
      <c r="K64" s="167"/>
      <c r="L64" s="167"/>
      <c r="M64" s="170"/>
      <c r="N64" s="167"/>
      <c r="O64" s="167"/>
      <c r="P64" s="167"/>
      <c r="Q64" s="167"/>
      <c r="R64" s="167"/>
      <c r="S64" s="167"/>
      <c r="T64" s="167"/>
      <c r="U64" s="167"/>
      <c r="V64" s="167"/>
      <c r="W64" s="167"/>
      <c r="X64" s="167"/>
      <c r="Y64" s="167"/>
      <c r="Z64" s="167"/>
      <c r="AA64" s="167"/>
      <c r="AB64" s="167"/>
      <c r="AC64" s="167"/>
      <c r="AD64" s="167"/>
      <c r="AE64" s="167"/>
      <c r="AF64" s="167"/>
      <c r="AG64" s="167"/>
      <c r="AH64" s="167"/>
      <c r="AI64" s="167"/>
      <c r="AJ64" s="167"/>
      <c r="AK64" s="167"/>
      <c r="AL64" s="167"/>
      <c r="AM64" s="167"/>
      <c r="AN64" s="167"/>
      <c r="AO64" s="167"/>
      <c r="AP64" s="167"/>
      <c r="AQ64" s="167"/>
      <c r="AR64" s="167"/>
      <c r="AS64" s="167"/>
      <c r="AT64" s="167"/>
      <c r="AU64" s="167"/>
      <c r="AV64" s="167"/>
      <c r="AW64" s="167"/>
      <c r="AX64" s="167"/>
      <c r="AY64" s="167"/>
      <c r="AZ64" s="167"/>
      <c r="BA64" s="167"/>
      <c r="BB64" s="167"/>
      <c r="BC64" s="167"/>
      <c r="BD64" s="167"/>
      <c r="BE64" s="167"/>
      <c r="BF64" s="167"/>
      <c r="BG64" s="167"/>
      <c r="BH64" s="167"/>
      <c r="BI64" s="167"/>
      <c r="BJ64" s="167"/>
      <c r="BK64" s="167"/>
      <c r="BL64" s="167"/>
      <c r="BM64" s="167"/>
      <c r="BN64" s="167"/>
      <c r="BO64" s="167"/>
      <c r="BP64" s="167"/>
      <c r="BQ64" s="167"/>
      <c r="BR64" s="167"/>
      <c r="BS64" s="167"/>
      <c r="BT64" s="167"/>
      <c r="BU64" s="167"/>
      <c r="BV64" s="167"/>
      <c r="BW64" s="167"/>
      <c r="BX64" s="167"/>
      <c r="BY64" s="167"/>
      <c r="BZ64" s="167"/>
      <c r="CA64" s="167"/>
      <c r="CB64" s="167"/>
      <c r="CC64" s="167"/>
      <c r="CD64" s="167"/>
      <c r="CE64" s="167"/>
      <c r="CF64" s="167"/>
      <c r="CG64" s="167"/>
      <c r="CH64" s="167"/>
      <c r="CI64" s="167"/>
      <c r="CJ64" s="167"/>
      <c r="CK64" s="167"/>
      <c r="CL64" s="167"/>
      <c r="CM64" s="167"/>
      <c r="CN64" s="167"/>
      <c r="CO64" s="167"/>
      <c r="CP64" s="167"/>
      <c r="CQ64" s="167"/>
      <c r="CR64" s="167"/>
      <c r="CS64" s="167"/>
      <c r="CT64" s="167"/>
      <c r="CU64" s="167"/>
      <c r="CV64" s="167"/>
      <c r="CW64" s="167"/>
      <c r="CX64" s="167"/>
      <c r="CY64" s="167"/>
      <c r="CZ64" s="167"/>
      <c r="DA64" s="167"/>
      <c r="DB64" s="167"/>
      <c r="DC64" s="167"/>
      <c r="DD64" s="167"/>
      <c r="DE64" s="167"/>
      <c r="DF64" s="167"/>
      <c r="DG64" s="167"/>
      <c r="DH64" s="167"/>
      <c r="DI64" s="167"/>
      <c r="DJ64" s="167"/>
      <c r="DK64" s="167"/>
      <c r="DL64" s="167"/>
      <c r="DM64" s="167"/>
      <c r="DN64" s="167"/>
      <c r="DO64" s="167"/>
      <c r="DP64" s="167"/>
      <c r="DQ64" s="167"/>
      <c r="DR64" s="167"/>
      <c r="DS64" s="167"/>
      <c r="DT64" s="167"/>
      <c r="DU64" s="167"/>
      <c r="DV64" s="167"/>
      <c r="DW64" s="167"/>
      <c r="DX64" s="167"/>
      <c r="DY64" s="167"/>
      <c r="DZ64" s="167"/>
      <c r="EA64" s="167"/>
      <c r="EB64" s="167"/>
      <c r="EC64" s="167"/>
      <c r="ED64" s="167"/>
      <c r="EE64" s="167"/>
      <c r="EF64" s="167"/>
      <c r="EG64" s="167"/>
    </row>
    <row r="65" spans="2:139" s="164" customFormat="1">
      <c r="B65" s="168"/>
      <c r="C65" s="168"/>
      <c r="E65" s="169"/>
      <c r="H65" s="167"/>
      <c r="I65" s="167"/>
      <c r="J65" s="167"/>
      <c r="K65" s="167"/>
      <c r="L65" s="167"/>
      <c r="M65" s="167"/>
      <c r="N65" s="167"/>
      <c r="O65" s="170"/>
      <c r="P65" s="167"/>
      <c r="Q65" s="167"/>
      <c r="R65" s="167"/>
      <c r="S65" s="167"/>
      <c r="T65" s="167"/>
      <c r="U65" s="167"/>
      <c r="V65" s="167"/>
      <c r="W65" s="167"/>
      <c r="X65" s="167"/>
      <c r="Y65" s="167"/>
      <c r="Z65" s="167"/>
      <c r="AA65" s="167"/>
      <c r="AB65" s="167"/>
      <c r="AC65" s="167"/>
      <c r="AD65" s="167"/>
      <c r="AE65" s="167"/>
      <c r="AF65" s="167"/>
      <c r="AG65" s="167"/>
      <c r="AH65" s="167"/>
      <c r="AI65" s="167"/>
      <c r="AJ65" s="167"/>
      <c r="AK65" s="167"/>
      <c r="AL65" s="167"/>
      <c r="AM65" s="167"/>
      <c r="AN65" s="167"/>
      <c r="AO65" s="167"/>
      <c r="AP65" s="167"/>
      <c r="AQ65" s="167"/>
      <c r="AR65" s="167"/>
      <c r="AS65" s="167"/>
      <c r="AT65" s="167"/>
      <c r="AU65" s="167"/>
      <c r="AV65" s="167"/>
      <c r="AW65" s="167"/>
      <c r="AX65" s="167"/>
      <c r="AY65" s="167"/>
      <c r="AZ65" s="167"/>
      <c r="BA65" s="167"/>
      <c r="BB65" s="167"/>
      <c r="BC65" s="167"/>
      <c r="BD65" s="167"/>
      <c r="BE65" s="167"/>
      <c r="BF65" s="167"/>
      <c r="BG65" s="167"/>
      <c r="BH65" s="167"/>
      <c r="BI65" s="167"/>
      <c r="BJ65" s="167"/>
      <c r="BK65" s="167"/>
      <c r="BL65" s="167"/>
      <c r="BM65" s="167"/>
      <c r="BN65" s="167"/>
      <c r="BO65" s="167"/>
      <c r="BP65" s="167"/>
      <c r="BQ65" s="167"/>
      <c r="BR65" s="167"/>
      <c r="BS65" s="167"/>
      <c r="BT65" s="167"/>
      <c r="BU65" s="167"/>
      <c r="BV65" s="167"/>
      <c r="BW65" s="167"/>
      <c r="BX65" s="167"/>
      <c r="BY65" s="167"/>
      <c r="BZ65" s="167"/>
      <c r="CA65" s="167"/>
      <c r="CB65" s="167"/>
      <c r="CC65" s="167"/>
      <c r="CD65" s="167"/>
      <c r="CE65" s="167"/>
      <c r="CF65" s="167"/>
      <c r="CG65" s="167"/>
      <c r="CH65" s="167"/>
      <c r="CI65" s="167"/>
      <c r="CJ65" s="167"/>
      <c r="CK65" s="167"/>
      <c r="CL65" s="167"/>
      <c r="CM65" s="167"/>
      <c r="CN65" s="167"/>
      <c r="CO65" s="167"/>
      <c r="CP65" s="167"/>
      <c r="CQ65" s="167"/>
      <c r="CR65" s="167"/>
      <c r="CS65" s="167"/>
      <c r="CT65" s="167"/>
      <c r="CU65" s="167"/>
      <c r="CV65" s="167"/>
      <c r="CW65" s="167"/>
      <c r="CX65" s="167"/>
      <c r="CY65" s="167"/>
      <c r="CZ65" s="167"/>
      <c r="DA65" s="167"/>
      <c r="DB65" s="167"/>
      <c r="DC65" s="167"/>
      <c r="DD65" s="167"/>
      <c r="DE65" s="167"/>
      <c r="DF65" s="167"/>
      <c r="DG65" s="167"/>
      <c r="DH65" s="167"/>
      <c r="DI65" s="167"/>
      <c r="DJ65" s="167"/>
      <c r="DK65" s="167"/>
      <c r="DL65" s="167"/>
      <c r="DM65" s="167"/>
      <c r="DN65" s="167"/>
      <c r="DO65" s="167"/>
      <c r="DP65" s="167"/>
      <c r="DQ65" s="167"/>
      <c r="DR65" s="167"/>
      <c r="DS65" s="167"/>
      <c r="DT65" s="167"/>
      <c r="DU65" s="167"/>
      <c r="DV65" s="167"/>
      <c r="DW65" s="167"/>
      <c r="DX65" s="167"/>
      <c r="DY65" s="167"/>
      <c r="DZ65" s="167"/>
      <c r="EA65" s="167"/>
      <c r="EB65" s="167"/>
      <c r="EC65" s="167"/>
      <c r="ED65" s="167"/>
      <c r="EE65" s="167"/>
      <c r="EF65" s="167"/>
      <c r="EG65" s="167"/>
      <c r="EH65" s="167"/>
      <c r="EI65" s="167"/>
    </row>
    <row r="66" spans="2:139" s="164" customFormat="1">
      <c r="B66" s="168"/>
      <c r="C66" s="168"/>
      <c r="E66" s="169"/>
      <c r="H66" s="167"/>
      <c r="I66" s="167"/>
      <c r="J66" s="167"/>
      <c r="K66" s="167"/>
      <c r="L66" s="167"/>
      <c r="M66" s="167"/>
      <c r="N66" s="167"/>
      <c r="O66" s="170"/>
      <c r="P66" s="167"/>
      <c r="Q66" s="167"/>
      <c r="R66" s="167"/>
      <c r="S66" s="167"/>
      <c r="T66" s="167"/>
      <c r="U66" s="167"/>
      <c r="V66" s="167"/>
      <c r="W66" s="167"/>
      <c r="X66" s="167"/>
      <c r="Y66" s="167"/>
      <c r="Z66" s="167"/>
      <c r="AA66" s="167"/>
      <c r="AB66" s="167"/>
      <c r="AC66" s="167"/>
      <c r="AD66" s="167"/>
      <c r="AE66" s="167"/>
      <c r="AF66" s="167"/>
      <c r="AG66" s="167"/>
      <c r="AH66" s="167"/>
      <c r="AI66" s="167"/>
      <c r="AJ66" s="167"/>
      <c r="AK66" s="167"/>
      <c r="AL66" s="167"/>
      <c r="AM66" s="167"/>
      <c r="AN66" s="167"/>
      <c r="AO66" s="167"/>
      <c r="AP66" s="167"/>
      <c r="AQ66" s="167"/>
      <c r="AR66" s="167"/>
      <c r="AS66" s="167"/>
      <c r="AT66" s="167"/>
      <c r="AU66" s="167"/>
      <c r="AV66" s="167"/>
      <c r="AW66" s="167"/>
      <c r="AX66" s="167"/>
      <c r="AY66" s="167"/>
      <c r="AZ66" s="167"/>
      <c r="BA66" s="167"/>
      <c r="BB66" s="167"/>
      <c r="BC66" s="167"/>
      <c r="BD66" s="167"/>
      <c r="BE66" s="167"/>
      <c r="BF66" s="167"/>
      <c r="BG66" s="167"/>
      <c r="BH66" s="167"/>
      <c r="BI66" s="167"/>
      <c r="BJ66" s="167"/>
      <c r="BK66" s="167"/>
      <c r="BL66" s="167"/>
      <c r="BM66" s="167"/>
      <c r="BN66" s="167"/>
      <c r="BO66" s="167"/>
      <c r="BP66" s="167"/>
      <c r="BQ66" s="167"/>
      <c r="BR66" s="167"/>
      <c r="BS66" s="167"/>
      <c r="BT66" s="167"/>
      <c r="BU66" s="167"/>
      <c r="BV66" s="167"/>
      <c r="BW66" s="167"/>
      <c r="BX66" s="167"/>
      <c r="BY66" s="167"/>
      <c r="BZ66" s="167"/>
      <c r="CA66" s="167"/>
      <c r="CB66" s="167"/>
      <c r="CC66" s="167"/>
      <c r="CD66" s="167"/>
      <c r="CE66" s="167"/>
      <c r="CF66" s="167"/>
      <c r="CG66" s="167"/>
      <c r="CH66" s="167"/>
      <c r="CI66" s="167"/>
      <c r="CJ66" s="167"/>
      <c r="CK66" s="167"/>
      <c r="CL66" s="167"/>
      <c r="CM66" s="167"/>
      <c r="CN66" s="167"/>
      <c r="CO66" s="167"/>
      <c r="CP66" s="167"/>
      <c r="CQ66" s="167"/>
      <c r="CR66" s="167"/>
      <c r="CS66" s="167"/>
      <c r="CT66" s="167"/>
      <c r="CU66" s="167"/>
      <c r="CV66" s="167"/>
      <c r="CW66" s="167"/>
      <c r="CX66" s="167"/>
      <c r="CY66" s="167"/>
      <c r="CZ66" s="167"/>
      <c r="DA66" s="167"/>
      <c r="DB66" s="167"/>
      <c r="DC66" s="167"/>
      <c r="DD66" s="167"/>
      <c r="DE66" s="167"/>
      <c r="DF66" s="167"/>
      <c r="DG66" s="167"/>
      <c r="DH66" s="167"/>
      <c r="DI66" s="167"/>
      <c r="DJ66" s="167"/>
      <c r="DK66" s="167"/>
      <c r="DL66" s="167"/>
      <c r="DM66" s="167"/>
      <c r="DN66" s="167"/>
      <c r="DO66" s="167"/>
      <c r="DP66" s="167"/>
      <c r="DQ66" s="167"/>
      <c r="DR66" s="167"/>
      <c r="DS66" s="167"/>
      <c r="DT66" s="167"/>
      <c r="DU66" s="167"/>
      <c r="DV66" s="167"/>
      <c r="DW66" s="167"/>
      <c r="DX66" s="167"/>
      <c r="DY66" s="167"/>
      <c r="DZ66" s="167"/>
      <c r="EA66" s="167"/>
      <c r="EB66" s="167"/>
      <c r="EC66" s="167"/>
      <c r="ED66" s="167"/>
      <c r="EE66" s="167"/>
      <c r="EF66" s="167"/>
      <c r="EG66" s="167"/>
      <c r="EH66" s="167"/>
      <c r="EI66" s="167"/>
    </row>
    <row r="67" spans="2:139" s="164" customFormat="1">
      <c r="B67" s="168"/>
      <c r="C67" s="168"/>
      <c r="E67" s="169"/>
      <c r="H67" s="167"/>
      <c r="I67" s="167"/>
      <c r="J67" s="167"/>
      <c r="K67" s="167"/>
      <c r="L67" s="167"/>
      <c r="M67" s="167"/>
      <c r="N67" s="167"/>
      <c r="O67" s="170"/>
      <c r="P67" s="167"/>
      <c r="Q67" s="167"/>
      <c r="R67" s="167"/>
      <c r="S67" s="167"/>
      <c r="T67" s="167"/>
      <c r="U67" s="167"/>
      <c r="V67" s="167"/>
      <c r="W67" s="167"/>
      <c r="X67" s="167"/>
      <c r="Y67" s="167"/>
      <c r="Z67" s="167"/>
      <c r="AA67" s="167"/>
      <c r="AB67" s="167"/>
      <c r="AC67" s="167"/>
      <c r="AD67" s="167"/>
      <c r="AE67" s="167"/>
      <c r="AF67" s="167"/>
      <c r="AG67" s="167"/>
      <c r="AH67" s="167"/>
      <c r="AI67" s="167"/>
      <c r="AJ67" s="167"/>
      <c r="AK67" s="167"/>
      <c r="AL67" s="167"/>
      <c r="AM67" s="167"/>
      <c r="AN67" s="167"/>
      <c r="AO67" s="167"/>
      <c r="AP67" s="167"/>
      <c r="AQ67" s="167"/>
      <c r="AR67" s="167"/>
      <c r="AS67" s="167"/>
      <c r="AT67" s="167"/>
      <c r="AU67" s="167"/>
      <c r="AV67" s="167"/>
      <c r="AW67" s="167"/>
      <c r="AX67" s="167"/>
      <c r="AY67" s="167"/>
      <c r="AZ67" s="167"/>
      <c r="BA67" s="167"/>
      <c r="BB67" s="167"/>
      <c r="BC67" s="167"/>
      <c r="BD67" s="167"/>
      <c r="BE67" s="167"/>
      <c r="BF67" s="167"/>
      <c r="BG67" s="167"/>
      <c r="BH67" s="167"/>
      <c r="BI67" s="167"/>
      <c r="BJ67" s="167"/>
      <c r="BK67" s="167"/>
      <c r="BL67" s="167"/>
      <c r="BM67" s="167"/>
      <c r="BN67" s="167"/>
      <c r="BO67" s="167"/>
      <c r="BP67" s="167"/>
      <c r="BQ67" s="167"/>
      <c r="BR67" s="167"/>
      <c r="BS67" s="167"/>
      <c r="BT67" s="167"/>
      <c r="BU67" s="167"/>
      <c r="BV67" s="167"/>
      <c r="BW67" s="167"/>
      <c r="BX67" s="167"/>
      <c r="BY67" s="167"/>
      <c r="BZ67" s="167"/>
      <c r="CA67" s="167"/>
      <c r="CB67" s="167"/>
      <c r="CC67" s="167"/>
      <c r="CD67" s="167"/>
      <c r="CE67" s="167"/>
      <c r="CF67" s="167"/>
      <c r="CG67" s="167"/>
      <c r="CH67" s="167"/>
      <c r="CI67" s="167"/>
      <c r="CJ67" s="167"/>
      <c r="CK67" s="167"/>
      <c r="CL67" s="167"/>
      <c r="CM67" s="167"/>
      <c r="CN67" s="167"/>
      <c r="CO67" s="167"/>
      <c r="CP67" s="167"/>
      <c r="CQ67" s="167"/>
      <c r="CR67" s="167"/>
      <c r="CS67" s="167"/>
      <c r="CT67" s="167"/>
      <c r="CU67" s="167"/>
      <c r="CV67" s="167"/>
      <c r="CW67" s="167"/>
      <c r="CX67" s="167"/>
      <c r="CY67" s="167"/>
      <c r="CZ67" s="167"/>
      <c r="DA67" s="167"/>
      <c r="DB67" s="167"/>
      <c r="DC67" s="167"/>
      <c r="DD67" s="167"/>
      <c r="DE67" s="167"/>
      <c r="DF67" s="167"/>
      <c r="DG67" s="167"/>
      <c r="DH67" s="167"/>
      <c r="DI67" s="167"/>
      <c r="DJ67" s="167"/>
      <c r="DK67" s="167"/>
      <c r="DL67" s="167"/>
      <c r="DM67" s="167"/>
      <c r="DN67" s="167"/>
      <c r="DO67" s="167"/>
      <c r="DP67" s="167"/>
      <c r="DQ67" s="167"/>
      <c r="DR67" s="167"/>
      <c r="DS67" s="167"/>
      <c r="DT67" s="167"/>
      <c r="DU67" s="167"/>
      <c r="DV67" s="167"/>
      <c r="DW67" s="167"/>
      <c r="DX67" s="167"/>
      <c r="DY67" s="167"/>
      <c r="DZ67" s="167"/>
      <c r="EA67" s="167"/>
      <c r="EB67" s="167"/>
      <c r="EC67" s="167"/>
      <c r="ED67" s="167"/>
      <c r="EE67" s="167"/>
      <c r="EF67" s="167"/>
      <c r="EG67" s="167"/>
      <c r="EH67" s="167"/>
      <c r="EI67" s="167"/>
    </row>
    <row r="68" spans="2:139" s="164" customFormat="1">
      <c r="B68" s="168"/>
      <c r="C68" s="168"/>
      <c r="E68" s="169"/>
      <c r="H68" s="167"/>
      <c r="I68" s="167"/>
      <c r="J68" s="167"/>
      <c r="K68" s="167"/>
      <c r="L68" s="167"/>
      <c r="M68" s="167"/>
      <c r="N68" s="167"/>
      <c r="O68" s="170"/>
      <c r="P68" s="167"/>
      <c r="Q68" s="167"/>
      <c r="R68" s="167"/>
      <c r="S68" s="167"/>
      <c r="T68" s="167"/>
      <c r="U68" s="167"/>
      <c r="V68" s="167"/>
      <c r="W68" s="167"/>
      <c r="X68" s="167"/>
      <c r="Y68" s="167"/>
      <c r="Z68" s="167"/>
      <c r="AA68" s="167"/>
      <c r="AB68" s="167"/>
      <c r="AC68" s="167"/>
      <c r="AD68" s="167"/>
      <c r="AE68" s="167"/>
      <c r="AF68" s="167"/>
      <c r="AG68" s="167"/>
      <c r="AH68" s="167"/>
      <c r="AI68" s="167"/>
      <c r="AJ68" s="167"/>
      <c r="AK68" s="167"/>
      <c r="AL68" s="167"/>
      <c r="AM68" s="167"/>
      <c r="AN68" s="167"/>
      <c r="AO68" s="167"/>
      <c r="AP68" s="167"/>
      <c r="AQ68" s="167"/>
      <c r="AR68" s="167"/>
      <c r="AS68" s="167"/>
      <c r="AT68" s="167"/>
      <c r="AU68" s="167"/>
      <c r="AV68" s="167"/>
      <c r="AW68" s="167"/>
      <c r="AX68" s="167"/>
      <c r="AY68" s="167"/>
      <c r="AZ68" s="167"/>
      <c r="BA68" s="167"/>
      <c r="BB68" s="167"/>
      <c r="BC68" s="167"/>
      <c r="BD68" s="167"/>
      <c r="BE68" s="167"/>
      <c r="BF68" s="167"/>
      <c r="BG68" s="167"/>
      <c r="BH68" s="167"/>
      <c r="BI68" s="167"/>
      <c r="BJ68" s="167"/>
      <c r="BK68" s="167"/>
      <c r="BL68" s="167"/>
      <c r="BM68" s="167"/>
      <c r="BN68" s="167"/>
      <c r="BO68" s="167"/>
      <c r="BP68" s="167"/>
      <c r="BQ68" s="167"/>
      <c r="BR68" s="167"/>
      <c r="BS68" s="167"/>
      <c r="BT68" s="167"/>
      <c r="BU68" s="167"/>
      <c r="BV68" s="167"/>
      <c r="BW68" s="167"/>
      <c r="BX68" s="167"/>
      <c r="BY68" s="167"/>
      <c r="BZ68" s="167"/>
      <c r="CA68" s="167"/>
      <c r="CB68" s="167"/>
      <c r="CC68" s="167"/>
      <c r="CD68" s="167"/>
      <c r="CE68" s="167"/>
      <c r="CF68" s="167"/>
      <c r="CG68" s="167"/>
      <c r="CH68" s="167"/>
      <c r="CI68" s="167"/>
      <c r="CJ68" s="167"/>
      <c r="CK68" s="167"/>
      <c r="CL68" s="167"/>
      <c r="CM68" s="167"/>
      <c r="CN68" s="167"/>
      <c r="CO68" s="167"/>
      <c r="CP68" s="167"/>
      <c r="CQ68" s="167"/>
      <c r="CR68" s="167"/>
      <c r="CS68" s="167"/>
      <c r="CT68" s="167"/>
      <c r="CU68" s="167"/>
      <c r="CV68" s="167"/>
      <c r="CW68" s="167"/>
      <c r="CX68" s="167"/>
      <c r="CY68" s="167"/>
      <c r="CZ68" s="167"/>
      <c r="DA68" s="167"/>
      <c r="DB68" s="167"/>
      <c r="DC68" s="167"/>
      <c r="DD68" s="167"/>
      <c r="DE68" s="167"/>
      <c r="DF68" s="167"/>
      <c r="DG68" s="167"/>
      <c r="DH68" s="167"/>
      <c r="DI68" s="167"/>
      <c r="DJ68" s="167"/>
      <c r="DK68" s="167"/>
      <c r="DL68" s="167"/>
      <c r="DM68" s="167"/>
      <c r="DN68" s="167"/>
      <c r="DO68" s="167"/>
      <c r="DP68" s="167"/>
      <c r="DQ68" s="167"/>
      <c r="DR68" s="167"/>
      <c r="DS68" s="167"/>
      <c r="DT68" s="167"/>
      <c r="DU68" s="167"/>
      <c r="DV68" s="167"/>
      <c r="DW68" s="167"/>
      <c r="DX68" s="167"/>
      <c r="DY68" s="167"/>
      <c r="DZ68" s="167"/>
      <c r="EA68" s="167"/>
      <c r="EB68" s="167"/>
      <c r="EC68" s="167"/>
      <c r="ED68" s="167"/>
      <c r="EE68" s="167"/>
      <c r="EF68" s="167"/>
      <c r="EG68" s="167"/>
      <c r="EH68" s="167"/>
      <c r="EI68" s="167"/>
    </row>
    <row r="69" spans="2:139" s="164" customFormat="1">
      <c r="B69" s="168"/>
      <c r="C69" s="168"/>
      <c r="E69" s="169"/>
      <c r="H69" s="167"/>
      <c r="I69" s="167"/>
      <c r="J69" s="167"/>
      <c r="K69" s="167"/>
      <c r="L69" s="167"/>
      <c r="M69" s="167"/>
      <c r="N69" s="167"/>
      <c r="O69" s="170"/>
      <c r="P69" s="167"/>
      <c r="Q69" s="167"/>
      <c r="R69" s="167"/>
      <c r="S69" s="167"/>
      <c r="T69" s="167"/>
      <c r="U69" s="167"/>
      <c r="V69" s="167"/>
      <c r="W69" s="167"/>
      <c r="X69" s="167"/>
      <c r="Y69" s="167"/>
      <c r="Z69" s="167"/>
      <c r="AA69" s="167"/>
      <c r="AB69" s="167"/>
      <c r="AC69" s="167"/>
      <c r="AD69" s="167"/>
      <c r="AE69" s="167"/>
      <c r="AF69" s="167"/>
      <c r="AG69" s="167"/>
      <c r="AH69" s="167"/>
      <c r="AI69" s="167"/>
      <c r="AJ69" s="167"/>
      <c r="AK69" s="167"/>
      <c r="AL69" s="167"/>
      <c r="AM69" s="167"/>
      <c r="AN69" s="167"/>
      <c r="AO69" s="167"/>
      <c r="AP69" s="167"/>
      <c r="AQ69" s="167"/>
      <c r="AR69" s="167"/>
      <c r="AS69" s="167"/>
      <c r="AT69" s="167"/>
      <c r="AU69" s="167"/>
      <c r="AV69" s="167"/>
      <c r="AW69" s="167"/>
      <c r="AX69" s="167"/>
      <c r="AY69" s="167"/>
      <c r="AZ69" s="167"/>
      <c r="BA69" s="167"/>
      <c r="BB69" s="167"/>
      <c r="BC69" s="167"/>
      <c r="BD69" s="167"/>
      <c r="BE69" s="167"/>
      <c r="BF69" s="167"/>
      <c r="BG69" s="167"/>
      <c r="BH69" s="167"/>
      <c r="BI69" s="167"/>
      <c r="BJ69" s="167"/>
      <c r="BK69" s="167"/>
      <c r="BL69" s="167"/>
      <c r="BM69" s="167"/>
      <c r="BN69" s="167"/>
      <c r="BO69" s="167"/>
      <c r="BP69" s="167"/>
      <c r="BQ69" s="167"/>
      <c r="BR69" s="167"/>
      <c r="BS69" s="167"/>
      <c r="BT69" s="167"/>
      <c r="BU69" s="167"/>
      <c r="BV69" s="167"/>
      <c r="BW69" s="167"/>
      <c r="BX69" s="167"/>
      <c r="BY69" s="167"/>
      <c r="BZ69" s="167"/>
      <c r="CA69" s="167"/>
      <c r="CB69" s="167"/>
      <c r="CC69" s="167"/>
      <c r="CD69" s="167"/>
      <c r="CE69" s="167"/>
      <c r="CF69" s="167"/>
      <c r="CG69" s="167"/>
      <c r="CH69" s="167"/>
      <c r="CI69" s="167"/>
      <c r="CJ69" s="167"/>
      <c r="CK69" s="167"/>
      <c r="CL69" s="167"/>
      <c r="CM69" s="167"/>
      <c r="CN69" s="167"/>
      <c r="CO69" s="167"/>
      <c r="CP69" s="167"/>
      <c r="CQ69" s="167"/>
      <c r="CR69" s="167"/>
      <c r="CS69" s="167"/>
      <c r="CT69" s="167"/>
      <c r="CU69" s="167"/>
      <c r="CV69" s="167"/>
      <c r="CW69" s="167"/>
      <c r="CX69" s="167"/>
      <c r="CY69" s="167"/>
      <c r="CZ69" s="167"/>
      <c r="DA69" s="167"/>
      <c r="DB69" s="167"/>
      <c r="DC69" s="167"/>
      <c r="DD69" s="167"/>
      <c r="DE69" s="167"/>
      <c r="DF69" s="167"/>
      <c r="DG69" s="167"/>
      <c r="DH69" s="167"/>
      <c r="DI69" s="167"/>
      <c r="DJ69" s="167"/>
      <c r="DK69" s="167"/>
      <c r="DL69" s="167"/>
      <c r="DM69" s="167"/>
      <c r="DN69" s="167"/>
      <c r="DO69" s="167"/>
      <c r="DP69" s="167"/>
      <c r="DQ69" s="167"/>
      <c r="DR69" s="167"/>
      <c r="DS69" s="167"/>
      <c r="DT69" s="167"/>
      <c r="DU69" s="167"/>
      <c r="DV69" s="167"/>
      <c r="DW69" s="167"/>
      <c r="DX69" s="167"/>
      <c r="DY69" s="167"/>
      <c r="DZ69" s="167"/>
      <c r="EA69" s="167"/>
      <c r="EB69" s="167"/>
      <c r="EC69" s="167"/>
      <c r="ED69" s="167"/>
      <c r="EE69" s="167"/>
      <c r="EF69" s="167"/>
      <c r="EG69" s="167"/>
      <c r="EH69" s="167"/>
      <c r="EI69" s="167"/>
    </row>
    <row r="70" spans="2:139" s="164" customFormat="1">
      <c r="B70" s="168"/>
      <c r="C70" s="168"/>
      <c r="E70" s="169"/>
      <c r="H70" s="167"/>
      <c r="I70" s="167"/>
      <c r="J70" s="167"/>
      <c r="K70" s="167"/>
      <c r="L70" s="167"/>
      <c r="M70" s="167"/>
      <c r="N70" s="167"/>
      <c r="O70" s="170"/>
      <c r="P70" s="167"/>
      <c r="Q70" s="167"/>
      <c r="R70" s="167"/>
      <c r="S70" s="167"/>
      <c r="T70" s="167"/>
      <c r="U70" s="167"/>
      <c r="V70" s="167"/>
      <c r="W70" s="167"/>
      <c r="X70" s="167"/>
      <c r="Y70" s="167"/>
      <c r="Z70" s="167"/>
      <c r="AA70" s="167"/>
      <c r="AB70" s="167"/>
      <c r="AC70" s="167"/>
      <c r="AD70" s="167"/>
      <c r="AE70" s="167"/>
      <c r="AF70" s="167"/>
      <c r="AG70" s="167"/>
      <c r="AH70" s="167"/>
      <c r="AI70" s="167"/>
      <c r="AJ70" s="167"/>
      <c r="AK70" s="167"/>
      <c r="AL70" s="167"/>
      <c r="AM70" s="167"/>
      <c r="AN70" s="167"/>
      <c r="AO70" s="167"/>
      <c r="AP70" s="167"/>
      <c r="AQ70" s="167"/>
      <c r="AR70" s="167"/>
      <c r="AS70" s="167"/>
      <c r="AT70" s="167"/>
      <c r="AU70" s="167"/>
      <c r="AV70" s="167"/>
      <c r="AW70" s="167"/>
      <c r="AX70" s="167"/>
      <c r="AY70" s="167"/>
      <c r="AZ70" s="167"/>
      <c r="BA70" s="167"/>
      <c r="BB70" s="167"/>
      <c r="BC70" s="167"/>
      <c r="BD70" s="167"/>
      <c r="BE70" s="167"/>
      <c r="BF70" s="167"/>
      <c r="BG70" s="167"/>
      <c r="BH70" s="167"/>
      <c r="BI70" s="167"/>
      <c r="BJ70" s="167"/>
      <c r="BK70" s="167"/>
      <c r="BL70" s="167"/>
      <c r="BM70" s="167"/>
      <c r="BN70" s="167"/>
      <c r="BO70" s="167"/>
      <c r="BP70" s="167"/>
      <c r="BQ70" s="167"/>
      <c r="BR70" s="167"/>
      <c r="BS70" s="167"/>
      <c r="BT70" s="167"/>
      <c r="BU70" s="167"/>
      <c r="BV70" s="167"/>
      <c r="BW70" s="167"/>
      <c r="BX70" s="167"/>
      <c r="BY70" s="167"/>
      <c r="BZ70" s="167"/>
      <c r="CA70" s="167"/>
      <c r="CB70" s="167"/>
      <c r="CC70" s="167"/>
      <c r="CD70" s="167"/>
      <c r="CE70" s="167"/>
      <c r="CF70" s="167"/>
      <c r="CG70" s="167"/>
      <c r="CH70" s="167"/>
      <c r="CI70" s="167"/>
      <c r="CJ70" s="167"/>
      <c r="CK70" s="167"/>
      <c r="CL70" s="167"/>
      <c r="CM70" s="167"/>
      <c r="CN70" s="167"/>
      <c r="CO70" s="167"/>
      <c r="CP70" s="167"/>
      <c r="CQ70" s="167"/>
      <c r="CR70" s="167"/>
      <c r="CS70" s="167"/>
      <c r="CT70" s="167"/>
      <c r="CU70" s="167"/>
      <c r="CV70" s="167"/>
      <c r="CW70" s="167"/>
      <c r="CX70" s="167"/>
      <c r="CY70" s="167"/>
      <c r="CZ70" s="167"/>
      <c r="DA70" s="167"/>
      <c r="DB70" s="167"/>
      <c r="DC70" s="167"/>
      <c r="DD70" s="167"/>
      <c r="DE70" s="167"/>
      <c r="DF70" s="167"/>
      <c r="DG70" s="167"/>
      <c r="DH70" s="167"/>
      <c r="DI70" s="167"/>
      <c r="DJ70" s="167"/>
      <c r="DK70" s="167"/>
      <c r="DL70" s="167"/>
      <c r="DM70" s="167"/>
      <c r="DN70" s="167"/>
      <c r="DO70" s="167"/>
      <c r="DP70" s="167"/>
      <c r="DQ70" s="167"/>
      <c r="DR70" s="167"/>
      <c r="DS70" s="167"/>
      <c r="DT70" s="167"/>
      <c r="DU70" s="167"/>
      <c r="DV70" s="167"/>
      <c r="DW70" s="167"/>
      <c r="DX70" s="167"/>
      <c r="DY70" s="167"/>
      <c r="DZ70" s="167"/>
      <c r="EA70" s="167"/>
      <c r="EB70" s="167"/>
      <c r="EC70" s="167"/>
      <c r="ED70" s="167"/>
      <c r="EE70" s="167"/>
      <c r="EF70" s="167"/>
      <c r="EG70" s="167"/>
      <c r="EH70" s="167"/>
      <c r="EI70" s="167"/>
    </row>
    <row r="71" spans="2:139" s="164" customFormat="1">
      <c r="B71" s="168"/>
      <c r="C71" s="168"/>
      <c r="E71" s="169"/>
      <c r="H71" s="167"/>
      <c r="I71" s="167"/>
      <c r="J71" s="167"/>
      <c r="K71" s="167"/>
      <c r="L71" s="167"/>
      <c r="M71" s="167"/>
      <c r="N71" s="167"/>
      <c r="O71" s="170"/>
      <c r="P71" s="167"/>
      <c r="Q71" s="167"/>
      <c r="R71" s="167"/>
      <c r="S71" s="167"/>
      <c r="T71" s="167"/>
      <c r="U71" s="167"/>
      <c r="V71" s="167"/>
      <c r="W71" s="167"/>
      <c r="X71" s="167"/>
      <c r="Y71" s="167"/>
      <c r="Z71" s="167"/>
      <c r="AA71" s="167"/>
      <c r="AB71" s="167"/>
      <c r="AC71" s="167"/>
      <c r="AD71" s="167"/>
      <c r="AE71" s="167"/>
      <c r="AF71" s="167"/>
      <c r="AG71" s="167"/>
      <c r="AH71" s="167"/>
      <c r="AI71" s="167"/>
      <c r="AJ71" s="167"/>
      <c r="AK71" s="167"/>
      <c r="AL71" s="167"/>
      <c r="AM71" s="167"/>
      <c r="AN71" s="167"/>
      <c r="AO71" s="167"/>
      <c r="AP71" s="167"/>
      <c r="AQ71" s="167"/>
      <c r="AR71" s="167"/>
      <c r="AS71" s="167"/>
      <c r="AT71" s="167"/>
      <c r="AU71" s="167"/>
      <c r="AV71" s="167"/>
      <c r="AW71" s="167"/>
      <c r="AX71" s="167"/>
      <c r="AY71" s="167"/>
      <c r="AZ71" s="167"/>
      <c r="BA71" s="167"/>
      <c r="BB71" s="167"/>
      <c r="BC71" s="167"/>
      <c r="BD71" s="167"/>
      <c r="BE71" s="167"/>
      <c r="BF71" s="167"/>
      <c r="BG71" s="167"/>
      <c r="BH71" s="167"/>
      <c r="BI71" s="167"/>
      <c r="BJ71" s="167"/>
      <c r="BK71" s="167"/>
      <c r="BL71" s="167"/>
      <c r="BM71" s="167"/>
      <c r="BN71" s="167"/>
      <c r="BO71" s="167"/>
      <c r="BP71" s="167"/>
      <c r="BQ71" s="167"/>
      <c r="BR71" s="167"/>
      <c r="BS71" s="167"/>
      <c r="BT71" s="167"/>
      <c r="BU71" s="167"/>
      <c r="BV71" s="167"/>
      <c r="BW71" s="167"/>
      <c r="BX71" s="167"/>
      <c r="BY71" s="167"/>
      <c r="BZ71" s="167"/>
      <c r="CA71" s="167"/>
      <c r="CB71" s="167"/>
      <c r="CC71" s="167"/>
      <c r="CD71" s="167"/>
      <c r="CE71" s="167"/>
      <c r="CF71" s="167"/>
      <c r="CG71" s="167"/>
      <c r="CH71" s="167"/>
      <c r="CI71" s="167"/>
      <c r="CJ71" s="167"/>
      <c r="CK71" s="167"/>
      <c r="CL71" s="167"/>
      <c r="CM71" s="167"/>
      <c r="CN71" s="167"/>
      <c r="CO71" s="167"/>
      <c r="CP71" s="167"/>
      <c r="CQ71" s="167"/>
      <c r="CR71" s="167"/>
      <c r="CS71" s="167"/>
      <c r="CT71" s="167"/>
      <c r="CU71" s="167"/>
      <c r="CV71" s="167"/>
      <c r="CW71" s="167"/>
      <c r="CX71" s="167"/>
      <c r="CY71" s="167"/>
      <c r="CZ71" s="167"/>
      <c r="DA71" s="167"/>
      <c r="DB71" s="167"/>
      <c r="DC71" s="167"/>
      <c r="DD71" s="167"/>
      <c r="DE71" s="167"/>
      <c r="DF71" s="167"/>
      <c r="DG71" s="167"/>
      <c r="DH71" s="167"/>
      <c r="DI71" s="167"/>
      <c r="DJ71" s="167"/>
      <c r="DK71" s="167"/>
      <c r="DL71" s="167"/>
      <c r="DM71" s="167"/>
      <c r="DN71" s="167"/>
      <c r="DO71" s="167"/>
      <c r="DP71" s="167"/>
      <c r="DQ71" s="167"/>
      <c r="DR71" s="167"/>
      <c r="DS71" s="167"/>
      <c r="DT71" s="167"/>
      <c r="DU71" s="167"/>
      <c r="DV71" s="167"/>
      <c r="DW71" s="167"/>
      <c r="DX71" s="167"/>
      <c r="DY71" s="167"/>
      <c r="DZ71" s="167"/>
      <c r="EA71" s="167"/>
      <c r="EB71" s="167"/>
      <c r="EC71" s="167"/>
      <c r="ED71" s="167"/>
      <c r="EE71" s="167"/>
      <c r="EF71" s="167"/>
      <c r="EG71" s="167"/>
      <c r="EH71" s="167"/>
      <c r="EI71" s="167"/>
    </row>
    <row r="72" spans="2:139" s="164" customFormat="1">
      <c r="B72" s="168"/>
      <c r="C72" s="168"/>
      <c r="E72" s="169"/>
      <c r="H72" s="167"/>
      <c r="I72" s="167"/>
      <c r="J72" s="167"/>
      <c r="K72" s="167"/>
      <c r="L72" s="167"/>
      <c r="M72" s="167"/>
      <c r="N72" s="167"/>
      <c r="O72" s="170"/>
      <c r="P72" s="167"/>
      <c r="Q72" s="167"/>
      <c r="R72" s="167"/>
      <c r="S72" s="167"/>
      <c r="T72" s="167"/>
      <c r="U72" s="167"/>
      <c r="V72" s="167"/>
      <c r="W72" s="167"/>
      <c r="X72" s="167"/>
      <c r="Y72" s="167"/>
      <c r="Z72" s="167"/>
      <c r="AA72" s="167"/>
      <c r="AB72" s="167"/>
      <c r="AC72" s="167"/>
      <c r="AD72" s="167"/>
      <c r="AE72" s="167"/>
      <c r="AF72" s="167"/>
      <c r="AG72" s="167"/>
      <c r="AH72" s="167"/>
      <c r="AI72" s="167"/>
      <c r="AJ72" s="167"/>
      <c r="AK72" s="167"/>
      <c r="AL72" s="167"/>
      <c r="AM72" s="167"/>
      <c r="AN72" s="167"/>
      <c r="AO72" s="167"/>
      <c r="AP72" s="167"/>
      <c r="AQ72" s="167"/>
      <c r="AR72" s="167"/>
      <c r="AS72" s="167"/>
      <c r="AT72" s="167"/>
      <c r="AU72" s="167"/>
      <c r="AV72" s="167"/>
      <c r="AW72" s="167"/>
      <c r="AX72" s="167"/>
      <c r="AY72" s="167"/>
      <c r="AZ72" s="167"/>
      <c r="BA72" s="167"/>
      <c r="BB72" s="167"/>
      <c r="BC72" s="167"/>
      <c r="BD72" s="167"/>
      <c r="BE72" s="167"/>
      <c r="BF72" s="167"/>
      <c r="BG72" s="167"/>
      <c r="BH72" s="167"/>
      <c r="BI72" s="167"/>
      <c r="BJ72" s="167"/>
      <c r="BK72" s="167"/>
      <c r="BL72" s="167"/>
      <c r="BM72" s="167"/>
      <c r="BN72" s="167"/>
      <c r="BO72" s="167"/>
      <c r="BP72" s="167"/>
      <c r="BQ72" s="167"/>
      <c r="BR72" s="167"/>
      <c r="BS72" s="167"/>
      <c r="BT72" s="167"/>
      <c r="BU72" s="167"/>
      <c r="BV72" s="167"/>
      <c r="BW72" s="167"/>
      <c r="BX72" s="167"/>
      <c r="BY72" s="167"/>
      <c r="BZ72" s="167"/>
      <c r="CA72" s="167"/>
      <c r="CB72" s="167"/>
      <c r="CC72" s="167"/>
      <c r="CD72" s="167"/>
      <c r="CE72" s="167"/>
      <c r="CF72" s="167"/>
      <c r="CG72" s="167"/>
      <c r="CH72" s="167"/>
      <c r="CI72" s="167"/>
      <c r="CJ72" s="167"/>
      <c r="CK72" s="167"/>
      <c r="CL72" s="167"/>
      <c r="CM72" s="167"/>
      <c r="CN72" s="167"/>
      <c r="CO72" s="167"/>
      <c r="CP72" s="167"/>
      <c r="CQ72" s="167"/>
      <c r="CR72" s="167"/>
      <c r="CS72" s="167"/>
      <c r="CT72" s="167"/>
      <c r="CU72" s="167"/>
      <c r="CV72" s="167"/>
      <c r="CW72" s="167"/>
      <c r="CX72" s="167"/>
      <c r="CY72" s="167"/>
      <c r="CZ72" s="167"/>
      <c r="DA72" s="167"/>
      <c r="DB72" s="167"/>
      <c r="DC72" s="167"/>
      <c r="DD72" s="167"/>
      <c r="DE72" s="167"/>
      <c r="DF72" s="167"/>
      <c r="DG72" s="167"/>
      <c r="DH72" s="167"/>
      <c r="DI72" s="167"/>
      <c r="DJ72" s="167"/>
      <c r="DK72" s="167"/>
      <c r="DL72" s="167"/>
      <c r="DM72" s="167"/>
      <c r="DN72" s="167"/>
      <c r="DO72" s="167"/>
      <c r="DP72" s="167"/>
      <c r="DQ72" s="167"/>
      <c r="DR72" s="167"/>
      <c r="DS72" s="167"/>
      <c r="DT72" s="167"/>
      <c r="DU72" s="167"/>
      <c r="DV72" s="167"/>
      <c r="DW72" s="167"/>
      <c r="DX72" s="167"/>
      <c r="DY72" s="167"/>
      <c r="DZ72" s="167"/>
      <c r="EA72" s="167"/>
      <c r="EB72" s="167"/>
      <c r="EC72" s="167"/>
      <c r="ED72" s="167"/>
      <c r="EE72" s="167"/>
      <c r="EF72" s="167"/>
      <c r="EG72" s="167"/>
      <c r="EH72" s="167"/>
      <c r="EI72" s="167"/>
    </row>
    <row r="73" spans="2:139" s="164" customFormat="1">
      <c r="B73" s="168"/>
      <c r="C73" s="168"/>
      <c r="E73" s="169"/>
      <c r="H73" s="167"/>
      <c r="I73" s="167"/>
      <c r="J73" s="167"/>
      <c r="K73" s="167"/>
      <c r="L73" s="167"/>
      <c r="M73" s="167"/>
      <c r="N73" s="167"/>
      <c r="O73" s="170"/>
      <c r="P73" s="167"/>
      <c r="Q73" s="167"/>
      <c r="R73" s="167"/>
      <c r="S73" s="167"/>
      <c r="T73" s="167"/>
      <c r="U73" s="167"/>
      <c r="V73" s="167"/>
      <c r="W73" s="167"/>
      <c r="X73" s="167"/>
      <c r="Y73" s="167"/>
      <c r="Z73" s="167"/>
      <c r="AA73" s="167"/>
      <c r="AB73" s="167"/>
      <c r="AC73" s="167"/>
      <c r="AD73" s="167"/>
      <c r="AE73" s="167"/>
      <c r="AF73" s="167"/>
      <c r="AG73" s="167"/>
      <c r="AH73" s="167"/>
      <c r="AI73" s="167"/>
      <c r="AJ73" s="167"/>
      <c r="AK73" s="167"/>
      <c r="AL73" s="167"/>
      <c r="AM73" s="167"/>
      <c r="AN73" s="167"/>
      <c r="AO73" s="167"/>
      <c r="AP73" s="167"/>
      <c r="AQ73" s="167"/>
      <c r="AR73" s="167"/>
      <c r="AS73" s="167"/>
      <c r="AT73" s="167"/>
      <c r="AU73" s="167"/>
      <c r="AV73" s="167"/>
      <c r="AW73" s="167"/>
      <c r="AX73" s="167"/>
      <c r="AY73" s="167"/>
      <c r="AZ73" s="167"/>
      <c r="BA73" s="167"/>
      <c r="BB73" s="167"/>
      <c r="BC73" s="167"/>
      <c r="BD73" s="167"/>
      <c r="BE73" s="167"/>
      <c r="BF73" s="167"/>
      <c r="BG73" s="167"/>
      <c r="BH73" s="167"/>
      <c r="BI73" s="167"/>
      <c r="BJ73" s="167"/>
      <c r="BK73" s="167"/>
      <c r="BL73" s="167"/>
      <c r="BM73" s="167"/>
      <c r="BN73" s="167"/>
      <c r="BO73" s="167"/>
      <c r="BP73" s="167"/>
      <c r="BQ73" s="167"/>
      <c r="BR73" s="167"/>
      <c r="BS73" s="167"/>
      <c r="BT73" s="167"/>
      <c r="BU73" s="167"/>
      <c r="BV73" s="167"/>
      <c r="BW73" s="167"/>
      <c r="BX73" s="167"/>
      <c r="BY73" s="167"/>
      <c r="BZ73" s="167"/>
      <c r="CA73" s="167"/>
      <c r="CB73" s="167"/>
      <c r="CC73" s="167"/>
      <c r="CD73" s="167"/>
      <c r="CE73" s="167"/>
      <c r="CF73" s="167"/>
      <c r="CG73" s="167"/>
      <c r="CH73" s="167"/>
      <c r="CI73" s="167"/>
      <c r="CJ73" s="167"/>
      <c r="CK73" s="167"/>
      <c r="CL73" s="167"/>
      <c r="CM73" s="167"/>
      <c r="CN73" s="167"/>
      <c r="CO73" s="167"/>
      <c r="CP73" s="167"/>
      <c r="CQ73" s="167"/>
      <c r="CR73" s="167"/>
      <c r="CS73" s="167"/>
      <c r="CT73" s="167"/>
      <c r="CU73" s="167"/>
      <c r="CV73" s="167"/>
      <c r="CW73" s="167"/>
      <c r="CX73" s="167"/>
      <c r="CY73" s="167"/>
      <c r="CZ73" s="167"/>
      <c r="DA73" s="167"/>
      <c r="DB73" s="167"/>
      <c r="DC73" s="167"/>
      <c r="DD73" s="167"/>
      <c r="DE73" s="167"/>
      <c r="DF73" s="167"/>
      <c r="DG73" s="167"/>
      <c r="DH73" s="167"/>
      <c r="DI73" s="167"/>
      <c r="DJ73" s="167"/>
      <c r="DK73" s="167"/>
      <c r="DL73" s="167"/>
      <c r="DM73" s="167"/>
      <c r="DN73" s="167"/>
      <c r="DO73" s="167"/>
      <c r="DP73" s="167"/>
      <c r="DQ73" s="167"/>
      <c r="DR73" s="167"/>
      <c r="DS73" s="167"/>
      <c r="DT73" s="167"/>
      <c r="DU73" s="167"/>
      <c r="DV73" s="167"/>
      <c r="DW73" s="167"/>
      <c r="DX73" s="167"/>
      <c r="DY73" s="167"/>
      <c r="DZ73" s="167"/>
      <c r="EA73" s="167"/>
      <c r="EB73" s="167"/>
      <c r="EC73" s="167"/>
      <c r="ED73" s="167"/>
      <c r="EE73" s="167"/>
      <c r="EF73" s="167"/>
      <c r="EG73" s="167"/>
      <c r="EH73" s="167"/>
      <c r="EI73" s="167"/>
    </row>
    <row r="74" spans="2:139" s="164" customFormat="1">
      <c r="B74" s="168"/>
      <c r="C74" s="168"/>
      <c r="E74" s="169"/>
      <c r="H74" s="167"/>
      <c r="I74" s="167"/>
      <c r="J74" s="167"/>
      <c r="K74" s="167"/>
      <c r="L74" s="167"/>
      <c r="M74" s="167"/>
      <c r="N74" s="167"/>
      <c r="O74" s="170"/>
      <c r="P74" s="167"/>
      <c r="Q74" s="167"/>
      <c r="R74" s="167"/>
      <c r="S74" s="167"/>
      <c r="T74" s="167"/>
      <c r="U74" s="167"/>
      <c r="V74" s="167"/>
      <c r="W74" s="167"/>
      <c r="X74" s="167"/>
      <c r="Y74" s="167"/>
      <c r="Z74" s="167"/>
      <c r="AA74" s="167"/>
      <c r="AB74" s="167"/>
      <c r="AC74" s="167"/>
      <c r="AD74" s="167"/>
      <c r="AE74" s="167"/>
      <c r="AF74" s="167"/>
      <c r="AG74" s="167"/>
      <c r="AH74" s="167"/>
      <c r="AI74" s="167"/>
      <c r="AJ74" s="167"/>
      <c r="AK74" s="167"/>
      <c r="AL74" s="167"/>
      <c r="AM74" s="167"/>
      <c r="AN74" s="167"/>
      <c r="AO74" s="167"/>
      <c r="AP74" s="167"/>
      <c r="AQ74" s="167"/>
      <c r="AR74" s="167"/>
      <c r="AS74" s="167"/>
      <c r="AT74" s="167"/>
      <c r="AU74" s="167"/>
      <c r="AV74" s="167"/>
      <c r="AW74" s="167"/>
      <c r="AX74" s="167"/>
      <c r="AY74" s="167"/>
      <c r="AZ74" s="167"/>
      <c r="BA74" s="167"/>
      <c r="BB74" s="167"/>
      <c r="BC74" s="167"/>
      <c r="BD74" s="167"/>
      <c r="BE74" s="167"/>
      <c r="BF74" s="167"/>
      <c r="BG74" s="167"/>
      <c r="BH74" s="167"/>
      <c r="BI74" s="167"/>
      <c r="BJ74" s="167"/>
      <c r="BK74" s="167"/>
      <c r="BL74" s="167"/>
      <c r="BM74" s="167"/>
      <c r="BN74" s="167"/>
      <c r="BO74" s="167"/>
      <c r="BP74" s="167"/>
      <c r="BQ74" s="167"/>
      <c r="BR74" s="167"/>
      <c r="BS74" s="167"/>
      <c r="BT74" s="167"/>
      <c r="BU74" s="167"/>
      <c r="BV74" s="167"/>
      <c r="BW74" s="167"/>
      <c r="BX74" s="167"/>
      <c r="BY74" s="167"/>
      <c r="BZ74" s="167"/>
      <c r="CA74" s="167"/>
      <c r="CB74" s="167"/>
      <c r="CC74" s="167"/>
      <c r="CD74" s="167"/>
      <c r="CE74" s="167"/>
      <c r="CF74" s="167"/>
      <c r="CG74" s="167"/>
      <c r="CH74" s="167"/>
      <c r="CI74" s="167"/>
      <c r="CJ74" s="167"/>
      <c r="CK74" s="167"/>
      <c r="CL74" s="167"/>
      <c r="CM74" s="167"/>
      <c r="CN74" s="167"/>
      <c r="CO74" s="167"/>
      <c r="CP74" s="167"/>
      <c r="CQ74" s="167"/>
      <c r="CR74" s="167"/>
      <c r="CS74" s="167"/>
      <c r="CT74" s="167"/>
      <c r="CU74" s="167"/>
      <c r="CV74" s="167"/>
      <c r="CW74" s="167"/>
      <c r="CX74" s="167"/>
      <c r="CY74" s="167"/>
      <c r="CZ74" s="167"/>
      <c r="DA74" s="167"/>
      <c r="DB74" s="167"/>
      <c r="DC74" s="167"/>
      <c r="DD74" s="167"/>
      <c r="DE74" s="167"/>
      <c r="DF74" s="167"/>
      <c r="DG74" s="167"/>
      <c r="DH74" s="167"/>
      <c r="DI74" s="167"/>
      <c r="DJ74" s="167"/>
      <c r="DK74" s="167"/>
      <c r="DL74" s="167"/>
      <c r="DM74" s="167"/>
      <c r="DN74" s="167"/>
      <c r="DO74" s="167"/>
      <c r="DP74" s="167"/>
      <c r="DQ74" s="167"/>
      <c r="DR74" s="167"/>
      <c r="DS74" s="167"/>
      <c r="DT74" s="167"/>
      <c r="DU74" s="167"/>
      <c r="DV74" s="167"/>
      <c r="DW74" s="167"/>
      <c r="DX74" s="167"/>
      <c r="DY74" s="167"/>
      <c r="DZ74" s="167"/>
      <c r="EA74" s="167"/>
      <c r="EB74" s="167"/>
      <c r="EC74" s="167"/>
      <c r="ED74" s="167"/>
      <c r="EE74" s="167"/>
      <c r="EF74" s="167"/>
      <c r="EG74" s="167"/>
      <c r="EH74" s="167"/>
      <c r="EI74" s="167"/>
    </row>
    <row r="75" spans="2:139" s="164" customFormat="1">
      <c r="B75" s="168"/>
      <c r="C75" s="168"/>
      <c r="E75" s="169"/>
      <c r="H75" s="167"/>
      <c r="I75" s="167"/>
      <c r="J75" s="167"/>
      <c r="K75" s="167"/>
      <c r="L75" s="167"/>
      <c r="M75" s="167"/>
      <c r="N75" s="167"/>
      <c r="O75" s="170"/>
      <c r="P75" s="167"/>
      <c r="Q75" s="167"/>
      <c r="R75" s="167"/>
      <c r="S75" s="167"/>
      <c r="T75" s="167"/>
      <c r="U75" s="167"/>
      <c r="V75" s="167"/>
      <c r="W75" s="167"/>
      <c r="X75" s="167"/>
      <c r="Y75" s="167"/>
      <c r="Z75" s="167"/>
      <c r="AA75" s="167"/>
      <c r="AB75" s="167"/>
      <c r="AC75" s="167"/>
      <c r="AD75" s="167"/>
      <c r="AE75" s="167"/>
      <c r="AF75" s="167"/>
      <c r="AG75" s="167"/>
      <c r="AH75" s="167"/>
      <c r="AI75" s="167"/>
      <c r="AJ75" s="167"/>
      <c r="AK75" s="167"/>
      <c r="AL75" s="167"/>
      <c r="AM75" s="167"/>
      <c r="AN75" s="167"/>
      <c r="AO75" s="167"/>
      <c r="AP75" s="167"/>
      <c r="AQ75" s="167"/>
      <c r="AR75" s="167"/>
      <c r="AS75" s="167"/>
      <c r="AT75" s="167"/>
      <c r="AU75" s="167"/>
      <c r="AV75" s="167"/>
      <c r="AW75" s="167"/>
      <c r="AX75" s="167"/>
      <c r="AY75" s="167"/>
      <c r="AZ75" s="167"/>
      <c r="BA75" s="167"/>
      <c r="BB75" s="167"/>
      <c r="BC75" s="167"/>
      <c r="BD75" s="167"/>
      <c r="BE75" s="167"/>
      <c r="BF75" s="167"/>
      <c r="BG75" s="167"/>
      <c r="BH75" s="167"/>
      <c r="BI75" s="167"/>
      <c r="BJ75" s="167"/>
      <c r="BK75" s="167"/>
      <c r="BL75" s="167"/>
      <c r="BM75" s="167"/>
      <c r="BN75" s="167"/>
      <c r="BO75" s="167"/>
      <c r="BP75" s="167"/>
      <c r="BQ75" s="167"/>
      <c r="BR75" s="167"/>
      <c r="BS75" s="167"/>
      <c r="BT75" s="167"/>
      <c r="BU75" s="167"/>
      <c r="BV75" s="167"/>
      <c r="BW75" s="167"/>
      <c r="BX75" s="167"/>
      <c r="BY75" s="167"/>
      <c r="BZ75" s="167"/>
      <c r="CA75" s="167"/>
      <c r="CB75" s="167"/>
      <c r="CC75" s="167"/>
      <c r="CD75" s="167"/>
      <c r="CE75" s="167"/>
      <c r="CF75" s="167"/>
      <c r="CG75" s="167"/>
      <c r="CH75" s="167"/>
      <c r="CI75" s="167"/>
      <c r="CJ75" s="167"/>
      <c r="CK75" s="167"/>
      <c r="CL75" s="167"/>
      <c r="CM75" s="167"/>
      <c r="CN75" s="167"/>
      <c r="CO75" s="167"/>
      <c r="CP75" s="167"/>
      <c r="CQ75" s="167"/>
      <c r="CR75" s="167"/>
      <c r="CS75" s="167"/>
      <c r="CT75" s="167"/>
      <c r="CU75" s="167"/>
      <c r="CV75" s="167"/>
      <c r="CW75" s="167"/>
      <c r="CX75" s="167"/>
      <c r="CY75" s="167"/>
      <c r="CZ75" s="167"/>
      <c r="DA75" s="167"/>
      <c r="DB75" s="167"/>
      <c r="DC75" s="167"/>
      <c r="DD75" s="167"/>
      <c r="DE75" s="167"/>
      <c r="DF75" s="167"/>
      <c r="DG75" s="167"/>
      <c r="DH75" s="167"/>
      <c r="DI75" s="167"/>
      <c r="DJ75" s="167"/>
      <c r="DK75" s="167"/>
      <c r="DL75" s="167"/>
      <c r="DM75" s="167"/>
      <c r="DN75" s="167"/>
      <c r="DO75" s="167"/>
      <c r="DP75" s="167"/>
      <c r="DQ75" s="167"/>
      <c r="DR75" s="167"/>
      <c r="DS75" s="167"/>
      <c r="DT75" s="167"/>
      <c r="DU75" s="167"/>
      <c r="DV75" s="167"/>
      <c r="DW75" s="167"/>
      <c r="DX75" s="167"/>
      <c r="DY75" s="167"/>
      <c r="DZ75" s="167"/>
      <c r="EA75" s="167"/>
      <c r="EB75" s="167"/>
      <c r="EC75" s="167"/>
      <c r="ED75" s="167"/>
      <c r="EE75" s="167"/>
      <c r="EF75" s="167"/>
      <c r="EG75" s="167"/>
      <c r="EH75" s="167"/>
      <c r="EI75" s="167"/>
    </row>
    <row r="76" spans="2:139" s="164" customFormat="1">
      <c r="B76" s="168"/>
      <c r="C76" s="168"/>
      <c r="E76" s="169"/>
      <c r="H76" s="167"/>
      <c r="I76" s="167"/>
      <c r="J76" s="167"/>
      <c r="K76" s="167"/>
      <c r="L76" s="167"/>
      <c r="M76" s="167"/>
      <c r="N76" s="167"/>
      <c r="O76" s="170"/>
      <c r="P76" s="167"/>
      <c r="Q76" s="167"/>
      <c r="R76" s="167"/>
      <c r="S76" s="167"/>
      <c r="T76" s="167"/>
      <c r="U76" s="167"/>
      <c r="V76" s="167"/>
      <c r="W76" s="167"/>
      <c r="X76" s="167"/>
      <c r="Y76" s="167"/>
      <c r="Z76" s="167"/>
      <c r="AA76" s="167"/>
      <c r="AB76" s="167"/>
      <c r="AC76" s="167"/>
      <c r="AD76" s="167"/>
      <c r="AE76" s="167"/>
      <c r="AF76" s="167"/>
      <c r="AG76" s="167"/>
      <c r="AH76" s="167"/>
      <c r="AI76" s="167"/>
      <c r="AJ76" s="167"/>
      <c r="AK76" s="167"/>
      <c r="AL76" s="167"/>
      <c r="AM76" s="167"/>
      <c r="AN76" s="167"/>
      <c r="AO76" s="167"/>
      <c r="AP76" s="167"/>
      <c r="AQ76" s="167"/>
      <c r="AR76" s="167"/>
      <c r="AS76" s="167"/>
      <c r="AT76" s="167"/>
      <c r="AU76" s="167"/>
      <c r="AV76" s="167"/>
      <c r="AW76" s="167"/>
      <c r="AX76" s="167"/>
      <c r="AY76" s="167"/>
      <c r="AZ76" s="167"/>
      <c r="BA76" s="167"/>
      <c r="BB76" s="167"/>
      <c r="BC76" s="167"/>
      <c r="BD76" s="167"/>
      <c r="BE76" s="167"/>
      <c r="BF76" s="167"/>
      <c r="BG76" s="167"/>
      <c r="BH76" s="167"/>
      <c r="BI76" s="167"/>
      <c r="BJ76" s="167"/>
      <c r="BK76" s="167"/>
      <c r="BL76" s="167"/>
      <c r="BM76" s="167"/>
      <c r="BN76" s="167"/>
      <c r="BO76" s="167"/>
      <c r="BP76" s="167"/>
      <c r="BQ76" s="167"/>
      <c r="BR76" s="167"/>
      <c r="BS76" s="167"/>
      <c r="BT76" s="167"/>
      <c r="BU76" s="167"/>
      <c r="BV76" s="167"/>
      <c r="BW76" s="167"/>
      <c r="BX76" s="167"/>
      <c r="BY76" s="167"/>
      <c r="BZ76" s="167"/>
      <c r="CA76" s="167"/>
      <c r="CB76" s="167"/>
      <c r="CC76" s="167"/>
      <c r="CD76" s="167"/>
      <c r="CE76" s="167"/>
      <c r="CF76" s="167"/>
      <c r="CG76" s="167"/>
      <c r="CH76" s="167"/>
      <c r="CI76" s="167"/>
      <c r="CJ76" s="167"/>
      <c r="CK76" s="167"/>
      <c r="CL76" s="167"/>
      <c r="CM76" s="167"/>
      <c r="CN76" s="167"/>
      <c r="CO76" s="167"/>
      <c r="CP76" s="167"/>
      <c r="CQ76" s="167"/>
      <c r="CR76" s="167"/>
      <c r="CS76" s="167"/>
      <c r="CT76" s="167"/>
      <c r="CU76" s="167"/>
      <c r="CV76" s="167"/>
      <c r="CW76" s="167"/>
      <c r="CX76" s="167"/>
      <c r="CY76" s="167"/>
      <c r="CZ76" s="167"/>
      <c r="DA76" s="167"/>
      <c r="DB76" s="167"/>
      <c r="DC76" s="167"/>
      <c r="DD76" s="167"/>
      <c r="DE76" s="167"/>
      <c r="DF76" s="167"/>
      <c r="DG76" s="167"/>
      <c r="DH76" s="167"/>
      <c r="DI76" s="167"/>
      <c r="DJ76" s="167"/>
      <c r="DK76" s="167"/>
      <c r="DL76" s="167"/>
      <c r="DM76" s="167"/>
      <c r="DN76" s="167"/>
      <c r="DO76" s="167"/>
      <c r="DP76" s="167"/>
      <c r="DQ76" s="167"/>
      <c r="DR76" s="167"/>
      <c r="DS76" s="167"/>
      <c r="DT76" s="167"/>
      <c r="DU76" s="167"/>
      <c r="DV76" s="167"/>
      <c r="DW76" s="167"/>
      <c r="DX76" s="167"/>
      <c r="DY76" s="167"/>
      <c r="DZ76" s="167"/>
      <c r="EA76" s="167"/>
      <c r="EB76" s="167"/>
      <c r="EC76" s="167"/>
      <c r="ED76" s="167"/>
      <c r="EE76" s="167"/>
      <c r="EF76" s="167"/>
      <c r="EG76" s="167"/>
      <c r="EH76" s="167"/>
      <c r="EI76" s="167"/>
    </row>
    <row r="77" spans="2:139" s="164" customFormat="1">
      <c r="B77" s="168"/>
      <c r="C77" s="168"/>
      <c r="E77" s="169"/>
      <c r="H77" s="167"/>
      <c r="I77" s="167"/>
      <c r="J77" s="167"/>
      <c r="K77" s="167"/>
      <c r="L77" s="167"/>
      <c r="M77" s="167"/>
      <c r="N77" s="167"/>
      <c r="O77" s="170"/>
      <c r="P77" s="167"/>
      <c r="Q77" s="167"/>
      <c r="R77" s="167"/>
      <c r="S77" s="167"/>
      <c r="T77" s="167"/>
      <c r="U77" s="167"/>
      <c r="V77" s="167"/>
      <c r="W77" s="167"/>
      <c r="X77" s="167"/>
      <c r="Y77" s="167"/>
      <c r="Z77" s="167"/>
      <c r="AA77" s="167"/>
      <c r="AB77" s="167"/>
      <c r="AC77" s="167"/>
      <c r="AD77" s="167"/>
      <c r="AE77" s="167"/>
      <c r="AF77" s="167"/>
      <c r="AG77" s="167"/>
      <c r="AH77" s="167"/>
      <c r="AI77" s="167"/>
      <c r="AJ77" s="167"/>
      <c r="AK77" s="167"/>
      <c r="AL77" s="167"/>
      <c r="AM77" s="167"/>
      <c r="AN77" s="167"/>
      <c r="AO77" s="167"/>
      <c r="AP77" s="167"/>
      <c r="AQ77" s="167"/>
      <c r="AR77" s="167"/>
      <c r="AS77" s="167"/>
      <c r="AT77" s="167"/>
      <c r="AU77" s="167"/>
      <c r="AV77" s="167"/>
      <c r="AW77" s="167"/>
      <c r="AX77" s="167"/>
      <c r="AY77" s="167"/>
      <c r="AZ77" s="167"/>
      <c r="BA77" s="167"/>
      <c r="BB77" s="167"/>
      <c r="BC77" s="167"/>
      <c r="BD77" s="167"/>
      <c r="BE77" s="167"/>
      <c r="BF77" s="167"/>
      <c r="BG77" s="167"/>
      <c r="BH77" s="167"/>
      <c r="BI77" s="167"/>
      <c r="BJ77" s="167"/>
      <c r="BK77" s="167"/>
      <c r="BL77" s="167"/>
      <c r="BM77" s="167"/>
      <c r="BN77" s="167"/>
      <c r="BO77" s="167"/>
      <c r="BP77" s="167"/>
      <c r="BQ77" s="167"/>
      <c r="BR77" s="167"/>
      <c r="BS77" s="167"/>
      <c r="BT77" s="167"/>
      <c r="BU77" s="167"/>
      <c r="BV77" s="167"/>
      <c r="BW77" s="167"/>
      <c r="BX77" s="167"/>
      <c r="BY77" s="167"/>
      <c r="BZ77" s="167"/>
      <c r="CA77" s="167"/>
      <c r="CB77" s="167"/>
      <c r="CC77" s="167"/>
      <c r="CD77" s="167"/>
      <c r="CE77" s="167"/>
      <c r="CF77" s="167"/>
      <c r="CG77" s="167"/>
      <c r="CH77" s="167"/>
      <c r="CI77" s="167"/>
      <c r="CJ77" s="167"/>
      <c r="CK77" s="167"/>
      <c r="CL77" s="167"/>
      <c r="CM77" s="167"/>
      <c r="CN77" s="167"/>
      <c r="CO77" s="167"/>
      <c r="CP77" s="167"/>
      <c r="CQ77" s="167"/>
      <c r="CR77" s="167"/>
      <c r="CS77" s="167"/>
      <c r="CT77" s="167"/>
      <c r="CU77" s="167"/>
      <c r="CV77" s="167"/>
      <c r="CW77" s="167"/>
      <c r="CX77" s="167"/>
      <c r="CY77" s="167"/>
      <c r="CZ77" s="167"/>
      <c r="DA77" s="167"/>
      <c r="DB77" s="167"/>
      <c r="DC77" s="167"/>
      <c r="DD77" s="167"/>
      <c r="DE77" s="167"/>
      <c r="DF77" s="167"/>
      <c r="DG77" s="167"/>
      <c r="DH77" s="167"/>
      <c r="DI77" s="167"/>
      <c r="DJ77" s="167"/>
      <c r="DK77" s="167"/>
      <c r="DL77" s="167"/>
      <c r="DM77" s="167"/>
      <c r="DN77" s="167"/>
      <c r="DO77" s="167"/>
      <c r="DP77" s="167"/>
      <c r="DQ77" s="167"/>
      <c r="DR77" s="167"/>
      <c r="DS77" s="167"/>
      <c r="DT77" s="167"/>
      <c r="DU77" s="167"/>
      <c r="DV77" s="167"/>
      <c r="DW77" s="167"/>
      <c r="DX77" s="167"/>
      <c r="DY77" s="167"/>
      <c r="DZ77" s="167"/>
      <c r="EA77" s="167"/>
      <c r="EB77" s="167"/>
      <c r="EC77" s="167"/>
      <c r="ED77" s="167"/>
      <c r="EE77" s="167"/>
      <c r="EF77" s="167"/>
      <c r="EG77" s="167"/>
      <c r="EH77" s="167"/>
      <c r="EI77" s="167"/>
    </row>
    <row r="78" spans="2:139" s="164" customFormat="1">
      <c r="B78" s="168"/>
      <c r="C78" s="168"/>
      <c r="E78" s="169"/>
      <c r="H78" s="167"/>
      <c r="I78" s="167"/>
      <c r="J78" s="167"/>
      <c r="K78" s="167"/>
      <c r="L78" s="167"/>
      <c r="M78" s="167"/>
      <c r="N78" s="167"/>
      <c r="O78" s="170"/>
      <c r="P78" s="167"/>
      <c r="Q78" s="167"/>
      <c r="R78" s="167"/>
      <c r="S78" s="167"/>
      <c r="T78" s="167"/>
      <c r="U78" s="167"/>
      <c r="V78" s="167"/>
      <c r="W78" s="167"/>
      <c r="X78" s="167"/>
      <c r="Y78" s="167"/>
      <c r="Z78" s="167"/>
      <c r="AA78" s="167"/>
      <c r="AB78" s="167"/>
      <c r="AC78" s="167"/>
      <c r="AD78" s="167"/>
      <c r="AE78" s="167"/>
      <c r="AF78" s="167"/>
      <c r="AG78" s="167"/>
      <c r="AH78" s="167"/>
      <c r="AI78" s="167"/>
      <c r="AJ78" s="167"/>
      <c r="AK78" s="167"/>
      <c r="AL78" s="167"/>
      <c r="AM78" s="167"/>
      <c r="AN78" s="167"/>
      <c r="AO78" s="167"/>
      <c r="AP78" s="167"/>
      <c r="AQ78" s="167"/>
      <c r="AR78" s="167"/>
      <c r="AS78" s="167"/>
      <c r="AT78" s="167"/>
      <c r="AU78" s="167"/>
      <c r="AV78" s="167"/>
      <c r="AW78" s="167"/>
      <c r="AX78" s="167"/>
      <c r="AY78" s="167"/>
      <c r="AZ78" s="167"/>
      <c r="BA78" s="167"/>
      <c r="BB78" s="167"/>
      <c r="BC78" s="167"/>
      <c r="BD78" s="167"/>
      <c r="BE78" s="167"/>
      <c r="BF78" s="167"/>
      <c r="BG78" s="167"/>
      <c r="BH78" s="167"/>
      <c r="BI78" s="167"/>
      <c r="BJ78" s="167"/>
      <c r="BK78" s="167"/>
      <c r="BL78" s="167"/>
      <c r="BM78" s="167"/>
      <c r="BN78" s="167"/>
      <c r="BO78" s="167"/>
      <c r="BP78" s="167"/>
      <c r="BQ78" s="167"/>
      <c r="BR78" s="167"/>
      <c r="BS78" s="167"/>
      <c r="BT78" s="167"/>
      <c r="BU78" s="167"/>
      <c r="BV78" s="167"/>
      <c r="BW78" s="167"/>
      <c r="BX78" s="167"/>
      <c r="BY78" s="167"/>
      <c r="BZ78" s="167"/>
      <c r="CA78" s="167"/>
      <c r="CB78" s="167"/>
      <c r="CC78" s="167"/>
      <c r="CD78" s="167"/>
      <c r="CE78" s="167"/>
      <c r="CF78" s="167"/>
      <c r="CG78" s="167"/>
      <c r="CH78" s="167"/>
      <c r="CI78" s="167"/>
      <c r="CJ78" s="167"/>
      <c r="CK78" s="167"/>
      <c r="CL78" s="167"/>
      <c r="CM78" s="167"/>
      <c r="CN78" s="167"/>
      <c r="CO78" s="167"/>
      <c r="CP78" s="167"/>
      <c r="CQ78" s="167"/>
      <c r="CR78" s="167"/>
      <c r="CS78" s="167"/>
      <c r="CT78" s="167"/>
      <c r="CU78" s="167"/>
      <c r="CV78" s="167"/>
      <c r="CW78" s="167"/>
      <c r="CX78" s="167"/>
      <c r="CY78" s="167"/>
      <c r="CZ78" s="167"/>
      <c r="DA78" s="167"/>
      <c r="DB78" s="167"/>
      <c r="DC78" s="167"/>
      <c r="DD78" s="167"/>
      <c r="DE78" s="167"/>
      <c r="DF78" s="167"/>
      <c r="DG78" s="167"/>
      <c r="DH78" s="167"/>
      <c r="DI78" s="167"/>
      <c r="DJ78" s="167"/>
      <c r="DK78" s="167"/>
      <c r="DL78" s="167"/>
      <c r="DM78" s="167"/>
      <c r="DN78" s="167"/>
      <c r="DO78" s="167"/>
      <c r="DP78" s="167"/>
      <c r="DQ78" s="167"/>
      <c r="DR78" s="167"/>
      <c r="DS78" s="167"/>
      <c r="DT78" s="167"/>
      <c r="DU78" s="167"/>
      <c r="DV78" s="167"/>
      <c r="DW78" s="167"/>
      <c r="DX78" s="167"/>
      <c r="DY78" s="167"/>
      <c r="DZ78" s="167"/>
      <c r="EA78" s="167"/>
      <c r="EB78" s="167"/>
      <c r="EC78" s="167"/>
      <c r="ED78" s="167"/>
      <c r="EE78" s="167"/>
      <c r="EF78" s="167"/>
      <c r="EG78" s="167"/>
      <c r="EH78" s="167"/>
      <c r="EI78" s="167"/>
    </row>
    <row r="79" spans="2:139" s="164" customFormat="1">
      <c r="B79" s="168"/>
      <c r="C79" s="168"/>
      <c r="E79" s="169"/>
      <c r="H79" s="167"/>
      <c r="I79" s="167"/>
      <c r="J79" s="167"/>
      <c r="K79" s="167"/>
      <c r="L79" s="167"/>
      <c r="M79" s="167"/>
      <c r="N79" s="167"/>
      <c r="O79" s="170"/>
      <c r="P79" s="167"/>
      <c r="Q79" s="167"/>
      <c r="R79" s="167"/>
      <c r="S79" s="167"/>
      <c r="T79" s="167"/>
      <c r="U79" s="167"/>
      <c r="V79" s="167"/>
      <c r="W79" s="167"/>
      <c r="X79" s="167"/>
      <c r="Y79" s="167"/>
      <c r="Z79" s="167"/>
      <c r="AA79" s="167"/>
      <c r="AB79" s="167"/>
      <c r="AC79" s="167"/>
      <c r="AD79" s="167"/>
      <c r="AE79" s="167"/>
      <c r="AF79" s="167"/>
      <c r="AG79" s="167"/>
      <c r="AH79" s="167"/>
      <c r="AI79" s="167"/>
      <c r="AJ79" s="167"/>
      <c r="AK79" s="167"/>
      <c r="AL79" s="167"/>
      <c r="AM79" s="167"/>
      <c r="AN79" s="167"/>
      <c r="AO79" s="167"/>
      <c r="AP79" s="167"/>
      <c r="AQ79" s="167"/>
      <c r="AR79" s="167"/>
      <c r="AS79" s="167"/>
      <c r="AT79" s="167"/>
      <c r="AU79" s="167"/>
      <c r="AV79" s="167"/>
      <c r="AW79" s="167"/>
      <c r="AX79" s="167"/>
      <c r="AY79" s="167"/>
      <c r="AZ79" s="167"/>
      <c r="BA79" s="167"/>
      <c r="BB79" s="167"/>
      <c r="BC79" s="167"/>
      <c r="BD79" s="167"/>
      <c r="BE79" s="167"/>
      <c r="BF79" s="167"/>
      <c r="BG79" s="167"/>
      <c r="BH79" s="167"/>
      <c r="BI79" s="167"/>
      <c r="BJ79" s="167"/>
      <c r="BK79" s="167"/>
      <c r="BL79" s="167"/>
      <c r="BM79" s="167"/>
      <c r="BN79" s="167"/>
      <c r="BO79" s="167"/>
      <c r="BP79" s="167"/>
      <c r="BQ79" s="167"/>
      <c r="BR79" s="167"/>
      <c r="BS79" s="167"/>
      <c r="BT79" s="167"/>
      <c r="BU79" s="167"/>
      <c r="BV79" s="167"/>
      <c r="BW79" s="167"/>
      <c r="BX79" s="167"/>
      <c r="BY79" s="167"/>
      <c r="BZ79" s="167"/>
      <c r="CA79" s="167"/>
      <c r="CB79" s="167"/>
      <c r="CC79" s="167"/>
      <c r="CD79" s="167"/>
      <c r="CE79" s="167"/>
      <c r="CF79" s="167"/>
      <c r="CG79" s="167"/>
      <c r="CH79" s="167"/>
      <c r="CI79" s="167"/>
      <c r="CJ79" s="167"/>
      <c r="CK79" s="167"/>
      <c r="CL79" s="167"/>
      <c r="CM79" s="167"/>
      <c r="CN79" s="167"/>
      <c r="CO79" s="167"/>
      <c r="CP79" s="167"/>
      <c r="CQ79" s="167"/>
      <c r="CR79" s="167"/>
      <c r="CS79" s="167"/>
      <c r="CT79" s="167"/>
      <c r="CU79" s="167"/>
      <c r="CV79" s="167"/>
      <c r="CW79" s="167"/>
      <c r="CX79" s="167"/>
      <c r="CY79" s="167"/>
      <c r="CZ79" s="167"/>
      <c r="DA79" s="167"/>
      <c r="DB79" s="167"/>
      <c r="DC79" s="167"/>
      <c r="DD79" s="167"/>
      <c r="DE79" s="167"/>
      <c r="DF79" s="167"/>
      <c r="DG79" s="167"/>
      <c r="DH79" s="167"/>
      <c r="DI79" s="167"/>
      <c r="DJ79" s="167"/>
      <c r="DK79" s="167"/>
      <c r="DL79" s="167"/>
      <c r="DM79" s="167"/>
      <c r="DN79" s="167"/>
      <c r="DO79" s="167"/>
      <c r="DP79" s="167"/>
      <c r="DQ79" s="167"/>
      <c r="DR79" s="167"/>
      <c r="DS79" s="167"/>
      <c r="DT79" s="167"/>
      <c r="DU79" s="167"/>
      <c r="DV79" s="167"/>
      <c r="DW79" s="167"/>
      <c r="DX79" s="167"/>
      <c r="DY79" s="167"/>
      <c r="DZ79" s="167"/>
      <c r="EA79" s="167"/>
      <c r="EB79" s="167"/>
      <c r="EC79" s="167"/>
      <c r="ED79" s="167"/>
      <c r="EE79" s="167"/>
      <c r="EF79" s="167"/>
      <c r="EG79" s="167"/>
      <c r="EH79" s="167"/>
      <c r="EI79" s="167"/>
    </row>
    <row r="80" spans="2:139" s="164" customFormat="1">
      <c r="B80" s="168"/>
      <c r="C80" s="168"/>
      <c r="E80" s="169"/>
      <c r="H80" s="167"/>
      <c r="I80" s="167"/>
      <c r="J80" s="167"/>
      <c r="K80" s="167"/>
      <c r="L80" s="167"/>
      <c r="M80" s="167"/>
      <c r="N80" s="167"/>
      <c r="O80" s="170"/>
      <c r="P80" s="167"/>
      <c r="Q80" s="119"/>
      <c r="R80" s="119"/>
      <c r="S80" s="119"/>
      <c r="T80" s="119"/>
      <c r="U80" s="119"/>
      <c r="V80" s="119"/>
      <c r="W80" s="119"/>
      <c r="X80" s="119"/>
      <c r="Y80" s="119"/>
      <c r="Z80" s="119"/>
      <c r="AA80" s="167"/>
      <c r="AB80" s="167"/>
      <c r="AC80" s="167"/>
      <c r="AD80" s="167"/>
      <c r="AE80" s="167"/>
      <c r="AF80" s="167"/>
      <c r="AG80" s="167"/>
      <c r="AH80" s="167"/>
      <c r="AI80" s="167"/>
      <c r="AJ80" s="167"/>
      <c r="AK80" s="167"/>
      <c r="AL80" s="167"/>
      <c r="AM80" s="167"/>
      <c r="AN80" s="167"/>
      <c r="AO80" s="167"/>
      <c r="AP80" s="167"/>
      <c r="AQ80" s="167"/>
      <c r="AR80" s="167"/>
      <c r="AS80" s="167"/>
      <c r="AT80" s="167"/>
      <c r="AU80" s="167"/>
      <c r="AV80" s="167"/>
      <c r="AW80" s="167"/>
      <c r="AX80" s="167"/>
      <c r="AY80" s="167"/>
      <c r="AZ80" s="167"/>
      <c r="BA80" s="167"/>
      <c r="BB80" s="167"/>
      <c r="BC80" s="167"/>
      <c r="BD80" s="167"/>
      <c r="BE80" s="167"/>
      <c r="BF80" s="167"/>
      <c r="BG80" s="167"/>
      <c r="BH80" s="167"/>
      <c r="BI80" s="167"/>
      <c r="BJ80" s="167"/>
      <c r="BK80" s="167"/>
      <c r="BL80" s="167"/>
      <c r="BM80" s="167"/>
      <c r="BN80" s="167"/>
      <c r="BO80" s="167"/>
      <c r="BP80" s="167"/>
      <c r="BQ80" s="167"/>
      <c r="BR80" s="167"/>
      <c r="BS80" s="167"/>
      <c r="BT80" s="167"/>
      <c r="BU80" s="167"/>
      <c r="BV80" s="167"/>
      <c r="BW80" s="167"/>
      <c r="BX80" s="167"/>
      <c r="BY80" s="167"/>
      <c r="BZ80" s="167"/>
      <c r="CA80" s="167"/>
      <c r="CB80" s="167"/>
      <c r="CC80" s="167"/>
      <c r="CD80" s="167"/>
      <c r="CE80" s="167"/>
      <c r="CF80" s="167"/>
      <c r="CG80" s="167"/>
      <c r="CH80" s="167"/>
      <c r="CI80" s="167"/>
      <c r="CJ80" s="167"/>
      <c r="CK80" s="167"/>
      <c r="CL80" s="167"/>
      <c r="CM80" s="167"/>
      <c r="CN80" s="167"/>
      <c r="CO80" s="167"/>
      <c r="CP80" s="167"/>
      <c r="CQ80" s="167"/>
      <c r="CR80" s="167"/>
      <c r="CS80" s="167"/>
      <c r="CT80" s="167"/>
      <c r="CU80" s="167"/>
      <c r="CV80" s="167"/>
      <c r="CW80" s="167"/>
      <c r="CX80" s="167"/>
      <c r="CY80" s="167"/>
      <c r="CZ80" s="167"/>
      <c r="DA80" s="167"/>
      <c r="DB80" s="167"/>
      <c r="DC80" s="167"/>
      <c r="DD80" s="167"/>
      <c r="DE80" s="167"/>
      <c r="DF80" s="167"/>
      <c r="DG80" s="167"/>
      <c r="DH80" s="167"/>
      <c r="DI80" s="167"/>
      <c r="DJ80" s="167"/>
      <c r="DK80" s="167"/>
      <c r="DL80" s="167"/>
      <c r="DM80" s="167"/>
      <c r="DN80" s="167"/>
      <c r="DO80" s="167"/>
      <c r="DP80" s="167"/>
      <c r="DQ80" s="167"/>
      <c r="DR80" s="167"/>
      <c r="DS80" s="167"/>
      <c r="DT80" s="167"/>
      <c r="DU80" s="167"/>
      <c r="DV80" s="167"/>
      <c r="DW80" s="167"/>
      <c r="DX80" s="167"/>
      <c r="DY80" s="167"/>
      <c r="DZ80" s="167"/>
      <c r="EA80" s="167"/>
      <c r="EB80" s="167"/>
      <c r="EC80" s="167"/>
      <c r="ED80" s="167"/>
      <c r="EE80" s="167"/>
      <c r="EF80" s="167"/>
      <c r="EG80" s="167"/>
      <c r="EH80" s="167"/>
      <c r="EI80" s="167"/>
    </row>
    <row r="81" spans="2:139" s="164" customFormat="1">
      <c r="B81" s="168"/>
      <c r="C81" s="168"/>
      <c r="E81" s="169"/>
      <c r="H81" s="167"/>
      <c r="I81" s="167"/>
      <c r="J81" s="167"/>
      <c r="K81" s="167"/>
      <c r="L81" s="167"/>
      <c r="M81" s="167"/>
      <c r="N81" s="167"/>
      <c r="O81" s="170"/>
      <c r="P81" s="167"/>
      <c r="Q81" s="119"/>
      <c r="R81" s="119"/>
      <c r="S81" s="119"/>
      <c r="T81" s="119"/>
      <c r="U81" s="119"/>
      <c r="V81" s="119"/>
      <c r="W81" s="119"/>
      <c r="X81" s="119"/>
      <c r="Y81" s="119"/>
      <c r="Z81" s="119"/>
      <c r="AA81" s="167"/>
      <c r="AB81" s="167"/>
      <c r="AC81" s="167"/>
      <c r="AD81" s="167"/>
      <c r="AE81" s="167"/>
      <c r="AF81" s="167"/>
      <c r="AG81" s="167"/>
      <c r="AH81" s="167"/>
      <c r="AI81" s="167"/>
      <c r="AJ81" s="167"/>
      <c r="AK81" s="167"/>
      <c r="AL81" s="167"/>
      <c r="AM81" s="167"/>
      <c r="AN81" s="167"/>
      <c r="AO81" s="167"/>
      <c r="AP81" s="167"/>
      <c r="AQ81" s="167"/>
      <c r="AR81" s="167"/>
      <c r="AS81" s="167"/>
      <c r="AT81" s="167"/>
      <c r="AU81" s="167"/>
      <c r="AV81" s="167"/>
      <c r="AW81" s="167"/>
      <c r="AX81" s="167"/>
      <c r="AY81" s="167"/>
      <c r="AZ81" s="167"/>
      <c r="BA81" s="167"/>
      <c r="BB81" s="167"/>
      <c r="BC81" s="167"/>
      <c r="BD81" s="167"/>
      <c r="BE81" s="167"/>
      <c r="BF81" s="167"/>
      <c r="BG81" s="167"/>
      <c r="BH81" s="167"/>
      <c r="BI81" s="167"/>
      <c r="BJ81" s="167"/>
      <c r="BK81" s="167"/>
      <c r="BL81" s="167"/>
      <c r="BM81" s="167"/>
      <c r="BN81" s="167"/>
      <c r="BO81" s="167"/>
      <c r="BP81" s="167"/>
      <c r="BQ81" s="167"/>
      <c r="BR81" s="167"/>
      <c r="BS81" s="167"/>
      <c r="BT81" s="167"/>
      <c r="BU81" s="167"/>
      <c r="BV81" s="167"/>
      <c r="BW81" s="167"/>
      <c r="BX81" s="167"/>
      <c r="BY81" s="167"/>
      <c r="BZ81" s="167"/>
      <c r="CA81" s="167"/>
      <c r="CB81" s="167"/>
      <c r="CC81" s="167"/>
      <c r="CD81" s="167"/>
      <c r="CE81" s="167"/>
      <c r="CF81" s="167"/>
      <c r="CG81" s="167"/>
      <c r="CH81" s="167"/>
      <c r="CI81" s="167"/>
      <c r="CJ81" s="167"/>
      <c r="CK81" s="167"/>
      <c r="CL81" s="167"/>
      <c r="CM81" s="167"/>
      <c r="CN81" s="167"/>
      <c r="CO81" s="167"/>
      <c r="CP81" s="167"/>
      <c r="CQ81" s="167"/>
      <c r="CR81" s="167"/>
      <c r="CS81" s="167"/>
      <c r="CT81" s="167"/>
      <c r="CU81" s="167"/>
      <c r="CV81" s="167"/>
      <c r="CW81" s="167"/>
      <c r="CX81" s="167"/>
      <c r="CY81" s="167"/>
      <c r="CZ81" s="167"/>
      <c r="DA81" s="167"/>
      <c r="DB81" s="167"/>
      <c r="DC81" s="167"/>
      <c r="DD81" s="167"/>
      <c r="DE81" s="167"/>
      <c r="DF81" s="167"/>
      <c r="DG81" s="167"/>
      <c r="DH81" s="167"/>
      <c r="DI81" s="167"/>
      <c r="DJ81" s="167"/>
      <c r="DK81" s="167"/>
      <c r="DL81" s="167"/>
      <c r="DM81" s="167"/>
      <c r="DN81" s="167"/>
      <c r="DO81" s="167"/>
      <c r="DP81" s="167"/>
      <c r="DQ81" s="167"/>
      <c r="DR81" s="167"/>
      <c r="DS81" s="167"/>
      <c r="DT81" s="167"/>
      <c r="DU81" s="167"/>
      <c r="DV81" s="167"/>
      <c r="DW81" s="167"/>
      <c r="DX81" s="167"/>
      <c r="DY81" s="167"/>
      <c r="DZ81" s="167"/>
      <c r="EA81" s="167"/>
      <c r="EB81" s="167"/>
      <c r="EC81" s="167"/>
      <c r="ED81" s="167"/>
      <c r="EE81" s="167"/>
      <c r="EF81" s="167"/>
      <c r="EG81" s="167"/>
      <c r="EH81" s="167"/>
      <c r="EI81" s="167"/>
    </row>
    <row r="82" spans="2:139" s="164" customFormat="1">
      <c r="B82" s="168"/>
      <c r="C82" s="168"/>
      <c r="E82" s="169"/>
      <c r="H82" s="167"/>
      <c r="I82" s="167"/>
      <c r="J82" s="167"/>
      <c r="K82" s="167"/>
      <c r="L82" s="167"/>
      <c r="M82" s="167"/>
      <c r="N82" s="167"/>
      <c r="O82" s="170"/>
      <c r="P82" s="167"/>
      <c r="Q82" s="119"/>
      <c r="R82" s="119"/>
      <c r="S82" s="119"/>
      <c r="T82" s="119"/>
      <c r="U82" s="119"/>
      <c r="V82" s="119"/>
      <c r="W82" s="119"/>
      <c r="X82" s="119"/>
      <c r="Y82" s="119"/>
      <c r="Z82" s="119"/>
      <c r="AA82" s="167"/>
      <c r="AB82" s="167"/>
      <c r="AC82" s="167"/>
      <c r="AD82" s="167"/>
      <c r="AE82" s="167"/>
      <c r="AF82" s="167"/>
      <c r="AG82" s="167"/>
      <c r="AH82" s="167"/>
      <c r="AI82" s="167"/>
      <c r="AJ82" s="167"/>
      <c r="AK82" s="167"/>
      <c r="AL82" s="167"/>
      <c r="AM82" s="167"/>
      <c r="AN82" s="167"/>
      <c r="AO82" s="167"/>
      <c r="AP82" s="167"/>
      <c r="AQ82" s="167"/>
      <c r="AR82" s="167"/>
      <c r="AS82" s="167"/>
      <c r="AT82" s="167"/>
      <c r="AU82" s="167"/>
      <c r="AV82" s="167"/>
      <c r="AW82" s="167"/>
      <c r="AX82" s="167"/>
      <c r="AY82" s="167"/>
      <c r="AZ82" s="167"/>
      <c r="BA82" s="167"/>
      <c r="BB82" s="167"/>
      <c r="BC82" s="167"/>
      <c r="BD82" s="167"/>
      <c r="BE82" s="167"/>
      <c r="BF82" s="167"/>
      <c r="BG82" s="167"/>
      <c r="BH82" s="167"/>
      <c r="BI82" s="167"/>
      <c r="BJ82" s="167"/>
      <c r="BK82" s="167"/>
      <c r="BL82" s="167"/>
      <c r="BM82" s="167"/>
      <c r="BN82" s="167"/>
      <c r="BO82" s="167"/>
      <c r="BP82" s="167"/>
      <c r="BQ82" s="167"/>
      <c r="BR82" s="167"/>
      <c r="BS82" s="167"/>
      <c r="BT82" s="167"/>
      <c r="BU82" s="167"/>
      <c r="BV82" s="167"/>
      <c r="BW82" s="167"/>
      <c r="BX82" s="167"/>
      <c r="BY82" s="167"/>
      <c r="BZ82" s="167"/>
      <c r="CA82" s="167"/>
      <c r="CB82" s="167"/>
      <c r="CC82" s="167"/>
      <c r="CD82" s="167"/>
      <c r="CE82" s="167"/>
      <c r="CF82" s="167"/>
      <c r="CG82" s="167"/>
      <c r="CH82" s="167"/>
      <c r="CI82" s="167"/>
      <c r="CJ82" s="167"/>
      <c r="CK82" s="167"/>
      <c r="CL82" s="167"/>
      <c r="CM82" s="167"/>
      <c r="CN82" s="167"/>
      <c r="CO82" s="167"/>
      <c r="CP82" s="167"/>
      <c r="CQ82" s="167"/>
      <c r="CR82" s="167"/>
      <c r="CS82" s="167"/>
      <c r="CT82" s="167"/>
      <c r="CU82" s="167"/>
      <c r="CV82" s="167"/>
      <c r="CW82" s="167"/>
      <c r="CX82" s="167"/>
      <c r="CY82" s="167"/>
      <c r="CZ82" s="167"/>
      <c r="DA82" s="167"/>
      <c r="DB82" s="167"/>
      <c r="DC82" s="167"/>
      <c r="DD82" s="167"/>
      <c r="DE82" s="167"/>
      <c r="DF82" s="167"/>
      <c r="DG82" s="167"/>
      <c r="DH82" s="167"/>
      <c r="DI82" s="167"/>
      <c r="DJ82" s="167"/>
      <c r="DK82" s="167"/>
      <c r="DL82" s="167"/>
      <c r="DM82" s="167"/>
      <c r="DN82" s="167"/>
      <c r="DO82" s="167"/>
      <c r="DP82" s="167"/>
      <c r="DQ82" s="167"/>
      <c r="DR82" s="167"/>
      <c r="DS82" s="167"/>
      <c r="DT82" s="167"/>
      <c r="DU82" s="167"/>
      <c r="DV82" s="167"/>
      <c r="DW82" s="167"/>
      <c r="DX82" s="167"/>
      <c r="DY82" s="167"/>
      <c r="DZ82" s="167"/>
      <c r="EA82" s="167"/>
      <c r="EB82" s="167"/>
      <c r="EC82" s="167"/>
      <c r="ED82" s="167"/>
      <c r="EE82" s="167"/>
      <c r="EF82" s="167"/>
      <c r="EG82" s="167"/>
      <c r="EH82" s="167"/>
      <c r="EI82" s="167"/>
    </row>
    <row r="83" spans="2:139" s="164" customFormat="1">
      <c r="B83" s="168"/>
      <c r="C83" s="168"/>
      <c r="E83" s="169"/>
      <c r="H83" s="167"/>
      <c r="I83" s="167"/>
      <c r="J83" s="167"/>
      <c r="K83" s="167"/>
      <c r="L83" s="167"/>
      <c r="M83" s="167"/>
      <c r="N83" s="167"/>
      <c r="O83" s="170"/>
      <c r="P83" s="167"/>
      <c r="Q83" s="119"/>
      <c r="R83" s="119"/>
      <c r="S83" s="119"/>
      <c r="T83" s="119"/>
      <c r="U83" s="119"/>
      <c r="V83" s="119"/>
      <c r="W83" s="119"/>
      <c r="X83" s="119"/>
      <c r="Y83" s="119"/>
      <c r="Z83" s="119"/>
      <c r="AA83" s="167"/>
      <c r="AB83" s="167"/>
      <c r="AC83" s="167"/>
      <c r="AD83" s="167"/>
      <c r="AE83" s="167"/>
      <c r="AF83" s="167"/>
      <c r="AG83" s="167"/>
      <c r="AH83" s="167"/>
      <c r="AI83" s="167"/>
      <c r="AJ83" s="167"/>
      <c r="AK83" s="167"/>
      <c r="AL83" s="167"/>
      <c r="AM83" s="167"/>
      <c r="AN83" s="167"/>
      <c r="AO83" s="167"/>
      <c r="AP83" s="167"/>
      <c r="AQ83" s="167"/>
      <c r="AR83" s="167"/>
      <c r="AS83" s="167"/>
      <c r="AT83" s="167"/>
      <c r="AU83" s="167"/>
      <c r="AV83" s="167"/>
      <c r="AW83" s="167"/>
      <c r="AX83" s="167"/>
      <c r="AY83" s="167"/>
      <c r="AZ83" s="167"/>
      <c r="BA83" s="167"/>
      <c r="BB83" s="167"/>
      <c r="BC83" s="167"/>
      <c r="BD83" s="167"/>
      <c r="BE83" s="167"/>
      <c r="BF83" s="167"/>
      <c r="BG83" s="167"/>
      <c r="BH83" s="167"/>
      <c r="BI83" s="167"/>
      <c r="BJ83" s="167"/>
      <c r="BK83" s="167"/>
      <c r="BL83" s="167"/>
      <c r="BM83" s="167"/>
      <c r="BN83" s="167"/>
      <c r="BO83" s="167"/>
      <c r="BP83" s="167"/>
      <c r="BQ83" s="167"/>
      <c r="BR83" s="167"/>
      <c r="BS83" s="167"/>
      <c r="BT83" s="167"/>
      <c r="BU83" s="167"/>
      <c r="BV83" s="167"/>
      <c r="BW83" s="167"/>
      <c r="BX83" s="167"/>
      <c r="BY83" s="167"/>
      <c r="BZ83" s="167"/>
      <c r="CA83" s="167"/>
      <c r="CB83" s="167"/>
      <c r="CC83" s="167"/>
      <c r="CD83" s="167"/>
      <c r="CE83" s="167"/>
      <c r="CF83" s="167"/>
      <c r="CG83" s="167"/>
      <c r="CH83" s="167"/>
      <c r="CI83" s="167"/>
      <c r="CJ83" s="167"/>
      <c r="CK83" s="167"/>
      <c r="CL83" s="167"/>
      <c r="CM83" s="167"/>
      <c r="CN83" s="167"/>
      <c r="CO83" s="167"/>
      <c r="CP83" s="167"/>
      <c r="CQ83" s="167"/>
      <c r="CR83" s="167"/>
      <c r="CS83" s="167"/>
      <c r="CT83" s="167"/>
      <c r="CU83" s="167"/>
      <c r="CV83" s="167"/>
      <c r="CW83" s="167"/>
      <c r="CX83" s="167"/>
      <c r="CY83" s="167"/>
      <c r="CZ83" s="167"/>
      <c r="DA83" s="167"/>
      <c r="DB83" s="167"/>
      <c r="DC83" s="167"/>
      <c r="DD83" s="167"/>
      <c r="DE83" s="167"/>
      <c r="DF83" s="167"/>
      <c r="DG83" s="167"/>
      <c r="DH83" s="167"/>
      <c r="DI83" s="167"/>
      <c r="DJ83" s="167"/>
      <c r="DK83" s="167"/>
      <c r="DL83" s="167"/>
      <c r="DM83" s="167"/>
      <c r="DN83" s="167"/>
      <c r="DO83" s="167"/>
      <c r="DP83" s="167"/>
      <c r="DQ83" s="167"/>
      <c r="DR83" s="167"/>
      <c r="DS83" s="167"/>
      <c r="DT83" s="167"/>
      <c r="DU83" s="167"/>
      <c r="DV83" s="167"/>
      <c r="DW83" s="167"/>
      <c r="DX83" s="167"/>
      <c r="DY83" s="167"/>
      <c r="DZ83" s="167"/>
      <c r="EA83" s="167"/>
      <c r="EB83" s="167"/>
      <c r="EC83" s="167"/>
      <c r="ED83" s="167"/>
      <c r="EE83" s="167"/>
      <c r="EF83" s="167"/>
      <c r="EG83" s="167"/>
      <c r="EH83" s="167"/>
      <c r="EI83" s="167"/>
    </row>
  </sheetData>
  <sheetProtection password="C7EB" sheet="1" objects="1" scenarios="1"/>
  <mergeCells count="95">
    <mergeCell ref="Q11:Z11"/>
    <mergeCell ref="R12:Z12"/>
    <mergeCell ref="Q12:Q13"/>
    <mergeCell ref="D46:G46"/>
    <mergeCell ref="D44:G44"/>
    <mergeCell ref="H44:I44"/>
    <mergeCell ref="K44:M44"/>
    <mergeCell ref="D45:G45"/>
    <mergeCell ref="H45:I45"/>
    <mergeCell ref="K45:M45"/>
    <mergeCell ref="D42:G42"/>
    <mergeCell ref="H42:I42"/>
    <mergeCell ref="K42:M42"/>
    <mergeCell ref="D43:G43"/>
    <mergeCell ref="H43:I43"/>
    <mergeCell ref="K43:M43"/>
    <mergeCell ref="B38:C38"/>
    <mergeCell ref="E38:M38"/>
    <mergeCell ref="D41:G41"/>
    <mergeCell ref="H41:I41"/>
    <mergeCell ref="K41:M41"/>
    <mergeCell ref="B35:C35"/>
    <mergeCell ref="E35:M35"/>
    <mergeCell ref="B36:C36"/>
    <mergeCell ref="E36:M36"/>
    <mergeCell ref="B37:C37"/>
    <mergeCell ref="E37:M37"/>
    <mergeCell ref="B32:C32"/>
    <mergeCell ref="E32:M32"/>
    <mergeCell ref="B33:C33"/>
    <mergeCell ref="E33:M33"/>
    <mergeCell ref="B34:C34"/>
    <mergeCell ref="E34:M34"/>
    <mergeCell ref="B29:C29"/>
    <mergeCell ref="E29:M29"/>
    <mergeCell ref="B30:C30"/>
    <mergeCell ref="E30:M30"/>
    <mergeCell ref="B31:C31"/>
    <mergeCell ref="E31:M31"/>
    <mergeCell ref="B26:C26"/>
    <mergeCell ref="E26:M26"/>
    <mergeCell ref="B27:C27"/>
    <mergeCell ref="E27:M27"/>
    <mergeCell ref="B28:C28"/>
    <mergeCell ref="E28:M28"/>
    <mergeCell ref="B24:C24"/>
    <mergeCell ref="E24:G24"/>
    <mergeCell ref="I24:M24"/>
    <mergeCell ref="B25:C25"/>
    <mergeCell ref="E25:G25"/>
    <mergeCell ref="I25:K25"/>
    <mergeCell ref="B21:C21"/>
    <mergeCell ref="E21:M21"/>
    <mergeCell ref="B22:C22"/>
    <mergeCell ref="E22:M22"/>
    <mergeCell ref="B23:C23"/>
    <mergeCell ref="E23:M23"/>
    <mergeCell ref="B18:C19"/>
    <mergeCell ref="E18:F18"/>
    <mergeCell ref="E19:F19"/>
    <mergeCell ref="B20:C20"/>
    <mergeCell ref="E20:M20"/>
    <mergeCell ref="B15:C15"/>
    <mergeCell ref="E15:M15"/>
    <mergeCell ref="B16:C16"/>
    <mergeCell ref="E16:M16"/>
    <mergeCell ref="B17:C17"/>
    <mergeCell ref="E17:M17"/>
    <mergeCell ref="B10:C11"/>
    <mergeCell ref="D10:F10"/>
    <mergeCell ref="I10:K10"/>
    <mergeCell ref="B12:C12"/>
    <mergeCell ref="B13:B14"/>
    <mergeCell ref="E13:M13"/>
    <mergeCell ref="E14:M14"/>
    <mergeCell ref="B8:C8"/>
    <mergeCell ref="E8:H8"/>
    <mergeCell ref="J8:M8"/>
    <mergeCell ref="B9:C9"/>
    <mergeCell ref="E9:H9"/>
    <mergeCell ref="J9:M9"/>
    <mergeCell ref="B5:C5"/>
    <mergeCell ref="E5:M5"/>
    <mergeCell ref="B6:C6"/>
    <mergeCell ref="E6:M6"/>
    <mergeCell ref="B7:C7"/>
    <mergeCell ref="D7:E7"/>
    <mergeCell ref="F7:H7"/>
    <mergeCell ref="J7:M7"/>
    <mergeCell ref="B1:M1"/>
    <mergeCell ref="B2:M2"/>
    <mergeCell ref="B3:C3"/>
    <mergeCell ref="E3:M3"/>
    <mergeCell ref="B4:C4"/>
    <mergeCell ref="E4:M4"/>
  </mergeCells>
  <phoneticPr fontId="0" type="noConversion"/>
  <pageMargins left="0.75" right="0.75" top="1" bottom="1" header="0.5" footer="0.5"/>
  <pageSetup paperSize="9" scale="52" orientation="portrait" r:id="rId1"/>
  <headerFooter alignWithMargins="0"/>
  <colBreaks count="1" manualBreakCount="1">
    <brk id="13"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G773"/>
  <sheetViews>
    <sheetView topLeftCell="A265" zoomScaleNormal="100" zoomScalePageLayoutView="55" workbookViewId="0">
      <selection activeCell="H357" sqref="H357"/>
    </sheetView>
  </sheetViews>
  <sheetFormatPr defaultRowHeight="15"/>
  <cols>
    <col min="1" max="1" width="73.85546875" customWidth="1"/>
    <col min="2" max="2" width="5.85546875" style="271" customWidth="1"/>
    <col min="3" max="3" width="6.85546875" style="272" hidden="1" customWidth="1"/>
    <col min="4" max="4" width="10.7109375" style="273" customWidth="1"/>
  </cols>
  <sheetData>
    <row r="7" spans="1:4" ht="15" customHeight="1">
      <c r="A7" s="1100" t="s">
        <v>2951</v>
      </c>
      <c r="B7" s="1101"/>
      <c r="C7" s="1101"/>
      <c r="D7" s="1101"/>
    </row>
    <row r="8" spans="1:4" ht="12.75">
      <c r="A8" s="1101"/>
      <c r="B8" s="1101"/>
      <c r="C8" s="1101"/>
      <c r="D8" s="1101"/>
    </row>
    <row r="9" spans="1:4" ht="12.75">
      <c r="A9" s="1101"/>
      <c r="B9" s="1101"/>
      <c r="C9" s="1101"/>
      <c r="D9" s="1101"/>
    </row>
    <row r="10" spans="1:4" ht="12.75">
      <c r="A10" s="1101"/>
      <c r="B10" s="1101"/>
      <c r="C10" s="1101"/>
      <c r="D10" s="1101"/>
    </row>
    <row r="11" spans="1:4" ht="12.75">
      <c r="A11" s="1101"/>
      <c r="B11" s="1101"/>
      <c r="C11" s="1101"/>
      <c r="D11" s="1101"/>
    </row>
    <row r="12" spans="1:4" ht="9" customHeight="1">
      <c r="A12" s="853"/>
      <c r="B12" s="853"/>
      <c r="C12" s="853"/>
      <c r="D12" s="853"/>
    </row>
    <row r="13" spans="1:4" ht="12.75">
      <c r="A13" s="853"/>
      <c r="B13" s="853"/>
      <c r="C13" s="853"/>
      <c r="D13" s="853"/>
    </row>
    <row r="14" spans="1:4" ht="12.75">
      <c r="A14" s="853"/>
      <c r="B14" s="853"/>
      <c r="C14" s="853"/>
      <c r="D14" s="853"/>
    </row>
    <row r="15" spans="1:4" ht="12.75">
      <c r="A15" s="853"/>
      <c r="B15" s="853"/>
      <c r="C15" s="853"/>
      <c r="D15" s="853"/>
    </row>
    <row r="16" spans="1:4" ht="12.75">
      <c r="A16" s="853"/>
      <c r="B16" s="853"/>
      <c r="C16" s="853"/>
      <c r="D16" s="853"/>
    </row>
    <row r="17" spans="1:4" ht="12.75">
      <c r="A17" s="853"/>
      <c r="B17" s="853"/>
      <c r="C17" s="853"/>
      <c r="D17" s="853"/>
    </row>
    <row r="18" spans="1:4" ht="12.75">
      <c r="A18" s="853"/>
      <c r="B18" s="853"/>
      <c r="C18" s="853"/>
      <c r="D18" s="853"/>
    </row>
    <row r="19" spans="1:4" ht="12.75">
      <c r="A19" s="853"/>
      <c r="B19" s="853"/>
      <c r="C19" s="853"/>
      <c r="D19" s="853"/>
    </row>
    <row r="20" spans="1:4" ht="12.75">
      <c r="A20" s="1098" t="s">
        <v>2955</v>
      </c>
      <c r="B20" s="1099"/>
      <c r="C20" s="1099"/>
      <c r="D20" s="1099"/>
    </row>
    <row r="21" spans="1:4">
      <c r="A21" s="1095" t="s">
        <v>2952</v>
      </c>
      <c r="B21" s="1095"/>
      <c r="C21" s="1095"/>
      <c r="D21" s="1095"/>
    </row>
    <row r="22" spans="1:4" ht="15" customHeight="1">
      <c r="A22" s="1096" t="s">
        <v>2953</v>
      </c>
      <c r="B22" s="1096"/>
      <c r="C22" s="1096"/>
      <c r="D22" s="1096"/>
    </row>
    <row r="23" spans="1:4" ht="15" customHeight="1">
      <c r="A23" s="1096" t="s">
        <v>2954</v>
      </c>
      <c r="B23" s="1096"/>
      <c r="C23" s="1096"/>
      <c r="D23" s="1096"/>
    </row>
    <row r="24" spans="1:4" ht="15" customHeight="1">
      <c r="A24" s="1097">
        <v>40851</v>
      </c>
      <c r="B24" s="1097"/>
      <c r="C24" s="1097"/>
      <c r="D24" s="1097"/>
    </row>
    <row r="57" spans="1:4" ht="12.75">
      <c r="A57" s="1136" t="s">
        <v>1922</v>
      </c>
      <c r="B57" s="1136"/>
      <c r="C57" s="1136"/>
      <c r="D57" s="1136"/>
    </row>
    <row r="58" spans="1:4" ht="12.75">
      <c r="A58" s="1136" t="s">
        <v>867</v>
      </c>
      <c r="B58" s="1136"/>
      <c r="C58" s="1136"/>
      <c r="D58" s="1136"/>
    </row>
    <row r="59" spans="1:4" ht="12.75">
      <c r="A59" s="1136" t="s">
        <v>868</v>
      </c>
      <c r="B59" s="1136"/>
      <c r="C59" s="1136"/>
      <c r="D59" s="1136"/>
    </row>
    <row r="60" spans="1:4" ht="13.5" thickBot="1">
      <c r="A60" s="1137"/>
      <c r="B60" s="1137"/>
      <c r="C60" s="1137"/>
      <c r="D60" s="1137"/>
    </row>
    <row r="61" spans="1:4" ht="95.25" thickBot="1">
      <c r="A61" s="325" t="s">
        <v>869</v>
      </c>
      <c r="B61" s="326" t="s">
        <v>870</v>
      </c>
      <c r="C61" s="265" t="s">
        <v>871</v>
      </c>
      <c r="D61" s="327" t="s">
        <v>872</v>
      </c>
    </row>
    <row r="62" spans="1:4" ht="16.5" thickTop="1">
      <c r="A62" s="331" t="s">
        <v>873</v>
      </c>
      <c r="B62" s="332"/>
      <c r="C62" s="333"/>
      <c r="D62" s="334"/>
    </row>
    <row r="63" spans="1:4" ht="15.75">
      <c r="A63" s="335" t="s">
        <v>2933</v>
      </c>
      <c r="B63" s="336">
        <v>1</v>
      </c>
      <c r="C63" s="337">
        <v>7000</v>
      </c>
      <c r="D63" s="338">
        <v>8000</v>
      </c>
    </row>
    <row r="64" spans="1:4" ht="15.75">
      <c r="A64" s="339" t="s">
        <v>2934</v>
      </c>
      <c r="B64" s="336">
        <v>1</v>
      </c>
      <c r="C64" s="337">
        <v>6600</v>
      </c>
      <c r="D64" s="338">
        <v>7600</v>
      </c>
    </row>
    <row r="65" spans="1:4" ht="75.75" customHeight="1">
      <c r="A65" s="335" t="s">
        <v>2932</v>
      </c>
      <c r="B65" s="336">
        <v>1</v>
      </c>
      <c r="C65" s="337">
        <v>6100</v>
      </c>
      <c r="D65" s="338">
        <v>7000</v>
      </c>
    </row>
    <row r="66" spans="1:4" ht="255">
      <c r="A66" s="340" t="s">
        <v>2902</v>
      </c>
      <c r="B66" s="336">
        <v>1</v>
      </c>
      <c r="C66" s="337">
        <v>5500</v>
      </c>
      <c r="D66" s="338">
        <v>6400</v>
      </c>
    </row>
    <row r="67" spans="1:4" ht="44.25">
      <c r="A67" s="340" t="s">
        <v>2935</v>
      </c>
      <c r="B67" s="336">
        <v>1</v>
      </c>
      <c r="C67" s="337">
        <v>4500</v>
      </c>
      <c r="D67" s="338">
        <v>5300</v>
      </c>
    </row>
    <row r="68" spans="1:4" ht="168" thickBot="1">
      <c r="A68" s="341" t="s">
        <v>2936</v>
      </c>
      <c r="B68" s="342">
        <v>1</v>
      </c>
      <c r="C68" s="343">
        <v>4100</v>
      </c>
      <c r="D68" s="344">
        <v>4800</v>
      </c>
    </row>
    <row r="69" spans="1:4" ht="30" customHeight="1" thickTop="1">
      <c r="A69" s="345"/>
      <c r="B69" s="346"/>
      <c r="C69" s="347"/>
      <c r="D69" s="348"/>
    </row>
    <row r="70" spans="1:4" ht="15.75">
      <c r="A70" s="345"/>
      <c r="B70" s="346"/>
      <c r="C70" s="347"/>
      <c r="D70" s="348"/>
    </row>
    <row r="71" spans="1:4" ht="29.25" customHeight="1">
      <c r="A71" s="1122" t="s">
        <v>2813</v>
      </c>
      <c r="B71" s="1122"/>
      <c r="C71" s="1122"/>
      <c r="D71" s="1122"/>
    </row>
    <row r="72" spans="1:4" ht="35.25" customHeight="1">
      <c r="A72" s="1122" t="s">
        <v>2814</v>
      </c>
      <c r="B72" s="1122"/>
      <c r="C72" s="1122"/>
      <c r="D72" s="1122"/>
    </row>
    <row r="73" spans="1:4" ht="43.5" customHeight="1">
      <c r="A73" s="1122" t="s">
        <v>2815</v>
      </c>
      <c r="B73" s="1122"/>
      <c r="C73" s="1122"/>
      <c r="D73" s="1122"/>
    </row>
    <row r="74" spans="1:4" ht="43.5" customHeight="1">
      <c r="A74" s="1122" t="s">
        <v>874</v>
      </c>
      <c r="B74" s="1122"/>
      <c r="C74" s="1122"/>
      <c r="D74" s="1122"/>
    </row>
    <row r="75" spans="1:4" ht="24.75" customHeight="1">
      <c r="A75" s="1122" t="s">
        <v>875</v>
      </c>
      <c r="B75" s="1122"/>
      <c r="C75" s="1122"/>
      <c r="D75" s="1122"/>
    </row>
    <row r="76" spans="1:4" ht="24.75" customHeight="1">
      <c r="A76" s="1122" t="s">
        <v>2816</v>
      </c>
      <c r="B76" s="1122"/>
      <c r="C76" s="1122"/>
      <c r="D76" s="1122"/>
    </row>
    <row r="77" spans="1:4" ht="24.75" customHeight="1">
      <c r="A77" s="1122" t="s">
        <v>2817</v>
      </c>
      <c r="B77" s="1122"/>
      <c r="C77" s="1122"/>
      <c r="D77" s="1122"/>
    </row>
    <row r="78" spans="1:4" ht="24.75" customHeight="1">
      <c r="A78" s="1122" t="s">
        <v>876</v>
      </c>
      <c r="B78" s="1122"/>
      <c r="C78" s="1122"/>
      <c r="D78" s="1122"/>
    </row>
    <row r="79" spans="1:4" ht="24.75" customHeight="1">
      <c r="A79" s="1122" t="s">
        <v>877</v>
      </c>
      <c r="B79" s="1122"/>
      <c r="C79" s="1122"/>
      <c r="D79" s="1122"/>
    </row>
    <row r="80" spans="1:4" ht="44.25" customHeight="1">
      <c r="A80" s="1122" t="s">
        <v>2818</v>
      </c>
      <c r="B80" s="1122"/>
      <c r="C80" s="1122"/>
      <c r="D80" s="1122"/>
    </row>
    <row r="81" spans="1:4" ht="61.5" customHeight="1">
      <c r="A81" s="1122" t="s">
        <v>878</v>
      </c>
      <c r="B81" s="1122"/>
      <c r="C81" s="1122"/>
      <c r="D81" s="1122"/>
    </row>
    <row r="82" spans="1:4" ht="24.75" customHeight="1">
      <c r="A82" s="1122" t="s">
        <v>879</v>
      </c>
      <c r="B82" s="1122"/>
      <c r="C82" s="1122"/>
      <c r="D82" s="1122"/>
    </row>
    <row r="83" spans="1:4" ht="54" customHeight="1">
      <c r="A83" s="1122" t="s">
        <v>880</v>
      </c>
      <c r="B83" s="1122"/>
      <c r="C83" s="1122"/>
      <c r="D83" s="1122"/>
    </row>
    <row r="84" spans="1:4" ht="36" customHeight="1">
      <c r="A84" s="1122" t="s">
        <v>2819</v>
      </c>
      <c r="B84" s="1122"/>
      <c r="C84" s="1122"/>
      <c r="D84" s="1122"/>
    </row>
    <row r="85" spans="1:4" ht="39" customHeight="1">
      <c r="A85" s="1122" t="s">
        <v>2820</v>
      </c>
      <c r="B85" s="1122"/>
      <c r="C85" s="1122"/>
      <c r="D85" s="1122"/>
    </row>
    <row r="86" spans="1:4" ht="31.5" customHeight="1">
      <c r="A86" s="1122" t="s">
        <v>881</v>
      </c>
      <c r="B86" s="1122"/>
      <c r="C86" s="1122"/>
      <c r="D86" s="1122"/>
    </row>
    <row r="87" spans="1:4" ht="39" customHeight="1">
      <c r="A87" s="1122" t="s">
        <v>882</v>
      </c>
      <c r="B87" s="1122"/>
      <c r="C87" s="1122"/>
      <c r="D87" s="1122"/>
    </row>
    <row r="88" spans="1:4" ht="43.5" customHeight="1">
      <c r="A88" s="1122" t="s">
        <v>883</v>
      </c>
      <c r="B88" s="1122"/>
      <c r="C88" s="1122"/>
      <c r="D88" s="1122"/>
    </row>
    <row r="89" spans="1:4" ht="54" customHeight="1">
      <c r="A89" s="1122" t="s">
        <v>2821</v>
      </c>
      <c r="B89" s="1122"/>
      <c r="C89" s="1122"/>
      <c r="D89" s="1122"/>
    </row>
    <row r="90" spans="1:4" ht="32.25" customHeight="1">
      <c r="A90" s="1122" t="s">
        <v>884</v>
      </c>
      <c r="B90" s="1122"/>
      <c r="C90" s="1122"/>
      <c r="D90" s="1122"/>
    </row>
    <row r="91" spans="1:4" ht="49.5" customHeight="1">
      <c r="A91" s="1122" t="s">
        <v>2822</v>
      </c>
      <c r="B91" s="1122"/>
      <c r="C91" s="1122"/>
      <c r="D91" s="1122"/>
    </row>
    <row r="92" spans="1:4" ht="27" customHeight="1">
      <c r="A92" s="1122" t="s">
        <v>885</v>
      </c>
      <c r="B92" s="1122"/>
      <c r="C92" s="1122"/>
      <c r="D92" s="1122"/>
    </row>
    <row r="93" spans="1:4" ht="36" customHeight="1">
      <c r="A93" s="1122" t="s">
        <v>2823</v>
      </c>
      <c r="B93" s="1122"/>
      <c r="C93" s="1122"/>
      <c r="D93" s="1122"/>
    </row>
    <row r="94" spans="1:4" ht="50.25" customHeight="1">
      <c r="A94" s="1122" t="s">
        <v>886</v>
      </c>
      <c r="B94" s="1122"/>
      <c r="C94" s="1122"/>
      <c r="D94" s="1122"/>
    </row>
    <row r="95" spans="1:4" ht="111" customHeight="1">
      <c r="A95" s="1122" t="s">
        <v>2903</v>
      </c>
      <c r="B95" s="1122"/>
      <c r="C95" s="1122"/>
      <c r="D95" s="1122"/>
    </row>
    <row r="96" spans="1:4" ht="31.5" customHeight="1">
      <c r="A96" s="1122" t="s">
        <v>2904</v>
      </c>
      <c r="B96" s="1122"/>
      <c r="C96" s="1122"/>
      <c r="D96" s="1122"/>
    </row>
    <row r="97" spans="1:6" ht="31.5" customHeight="1">
      <c r="A97" s="1122" t="s">
        <v>887</v>
      </c>
      <c r="B97" s="1122"/>
      <c r="C97" s="1122"/>
      <c r="D97" s="1122"/>
    </row>
    <row r="98" spans="1:6" ht="18" customHeight="1">
      <c r="A98" s="1122" t="s">
        <v>2824</v>
      </c>
      <c r="B98" s="1122"/>
      <c r="C98" s="1122"/>
      <c r="D98" s="1122"/>
    </row>
    <row r="99" spans="1:6" ht="21" customHeight="1">
      <c r="A99" s="1122" t="s">
        <v>2825</v>
      </c>
      <c r="B99" s="1122"/>
      <c r="C99" s="1122"/>
      <c r="D99" s="1122"/>
    </row>
    <row r="100" spans="1:6" ht="20.25" customHeight="1">
      <c r="A100" s="1122" t="s">
        <v>2826</v>
      </c>
      <c r="B100" s="1122"/>
      <c r="C100" s="1122"/>
      <c r="D100" s="1122"/>
    </row>
    <row r="101" spans="1:6" ht="71.25" customHeight="1">
      <c r="A101" s="1122" t="s">
        <v>2827</v>
      </c>
      <c r="B101" s="1122"/>
      <c r="C101" s="1122"/>
      <c r="D101" s="1122"/>
    </row>
    <row r="102" spans="1:6" ht="49.5" customHeight="1">
      <c r="A102" s="1122" t="s">
        <v>2828</v>
      </c>
      <c r="B102" s="1122"/>
      <c r="C102" s="1122"/>
      <c r="D102" s="1122"/>
    </row>
    <row r="103" spans="1:6" ht="69.75" customHeight="1">
      <c r="A103" s="1139" t="s">
        <v>1923</v>
      </c>
      <c r="B103" s="1139"/>
      <c r="C103" s="1139"/>
      <c r="D103" s="1139"/>
    </row>
    <row r="104" spans="1:6" ht="37.5" customHeight="1">
      <c r="A104" s="1139" t="s">
        <v>2829</v>
      </c>
      <c r="B104" s="1139"/>
      <c r="C104" s="1139"/>
      <c r="D104" s="1139"/>
    </row>
    <row r="105" spans="1:6" ht="42" customHeight="1">
      <c r="A105" s="1121" t="s">
        <v>2905</v>
      </c>
      <c r="B105" s="1121"/>
      <c r="C105" s="1121"/>
      <c r="D105" s="1121"/>
    </row>
    <row r="106" spans="1:6" ht="31.5" customHeight="1">
      <c r="A106" s="1138" t="s">
        <v>2830</v>
      </c>
      <c r="B106" s="1138"/>
      <c r="C106" s="1138"/>
      <c r="D106" s="1138"/>
    </row>
    <row r="107" spans="1:6" ht="29.25" customHeight="1">
      <c r="A107" s="1138" t="s">
        <v>2831</v>
      </c>
      <c r="B107" s="1138"/>
      <c r="C107" s="1138"/>
      <c r="D107" s="1138"/>
    </row>
    <row r="108" spans="1:6" ht="27.75" customHeight="1">
      <c r="A108" s="1138" t="s">
        <v>2832</v>
      </c>
      <c r="B108" s="1138"/>
      <c r="C108" s="1138"/>
      <c r="D108" s="1138"/>
    </row>
    <row r="109" spans="1:6" s="172" customFormat="1" ht="40.5" customHeight="1">
      <c r="A109" s="1140" t="s">
        <v>2833</v>
      </c>
      <c r="B109" s="1140"/>
      <c r="C109" s="1140"/>
      <c r="D109" s="1140"/>
      <c r="E109"/>
      <c r="F109"/>
    </row>
    <row r="110" spans="1:6" s="172" customFormat="1" ht="24.75" customHeight="1" thickBot="1">
      <c r="A110" s="323"/>
      <c r="B110" s="323"/>
      <c r="C110" s="349"/>
      <c r="D110" s="323"/>
      <c r="E110"/>
      <c r="F110"/>
    </row>
    <row r="111" spans="1:6" s="172" customFormat="1" ht="94.5">
      <c r="A111" s="350" t="s">
        <v>869</v>
      </c>
      <c r="B111" s="326" t="s">
        <v>870</v>
      </c>
      <c r="C111" s="265" t="s">
        <v>871</v>
      </c>
      <c r="D111" s="327" t="s">
        <v>872</v>
      </c>
      <c r="E111"/>
    </row>
    <row r="112" spans="1:6" s="172" customFormat="1" ht="15.75" customHeight="1">
      <c r="A112" s="1141" t="s">
        <v>3517</v>
      </c>
      <c r="B112" s="336">
        <v>1</v>
      </c>
      <c r="C112" s="351">
        <v>3200</v>
      </c>
      <c r="D112" s="338">
        <v>3600</v>
      </c>
    </row>
    <row r="113" spans="1:6" s="172" customFormat="1" ht="15.75">
      <c r="A113" s="1141"/>
      <c r="B113" s="336">
        <v>2</v>
      </c>
      <c r="C113" s="351">
        <v>2600</v>
      </c>
      <c r="D113" s="338">
        <v>3000</v>
      </c>
    </row>
    <row r="114" spans="1:6" s="172" customFormat="1" ht="15.75">
      <c r="A114" s="1141"/>
      <c r="B114" s="336">
        <v>3</v>
      </c>
      <c r="C114" s="351">
        <v>1900</v>
      </c>
      <c r="D114" s="338">
        <v>2200</v>
      </c>
    </row>
    <row r="115" spans="1:6" s="172" customFormat="1" ht="15.75">
      <c r="A115" s="1141"/>
      <c r="B115" s="336">
        <v>4</v>
      </c>
      <c r="C115" s="351">
        <v>1450</v>
      </c>
      <c r="D115" s="338">
        <v>1600</v>
      </c>
    </row>
    <row r="116" spans="1:6" s="172" customFormat="1" ht="15.75">
      <c r="A116" s="1141"/>
      <c r="B116" s="336">
        <v>5</v>
      </c>
      <c r="C116" s="351">
        <v>1100</v>
      </c>
      <c r="D116" s="338">
        <v>1300</v>
      </c>
    </row>
    <row r="117" spans="1:6" s="172" customFormat="1" ht="15.75">
      <c r="A117" s="1141"/>
      <c r="B117" s="336">
        <v>6</v>
      </c>
      <c r="C117" s="351">
        <v>950</v>
      </c>
      <c r="D117" s="338">
        <v>1150</v>
      </c>
    </row>
    <row r="118" spans="1:6" s="172" customFormat="1" ht="15.75">
      <c r="A118" s="1141"/>
      <c r="B118" s="336">
        <v>7</v>
      </c>
      <c r="C118" s="351">
        <v>850</v>
      </c>
      <c r="D118" s="338">
        <v>950</v>
      </c>
    </row>
    <row r="119" spans="1:6" s="172" customFormat="1" ht="15.75">
      <c r="A119" s="1141"/>
      <c r="B119" s="336">
        <v>8</v>
      </c>
      <c r="C119" s="351">
        <v>750</v>
      </c>
      <c r="D119" s="338">
        <v>850</v>
      </c>
    </row>
    <row r="120" spans="1:6" s="172" customFormat="1" ht="15.75" customHeight="1">
      <c r="A120" s="1141"/>
      <c r="B120" s="1143"/>
      <c r="C120" s="1143"/>
      <c r="D120" s="1144"/>
    </row>
    <row r="121" spans="1:6" s="172" customFormat="1" ht="21" customHeight="1">
      <c r="A121" s="1141"/>
      <c r="B121" s="1143"/>
      <c r="C121" s="1143"/>
      <c r="D121" s="1144"/>
    </row>
    <row r="122" spans="1:6" s="172" customFormat="1" ht="15.75" customHeight="1">
      <c r="A122" s="1141"/>
      <c r="B122" s="1143"/>
      <c r="C122" s="1143"/>
      <c r="D122" s="1144"/>
    </row>
    <row r="123" spans="1:6" s="172" customFormat="1" ht="15.75" customHeight="1">
      <c r="A123" s="1141"/>
      <c r="B123" s="1143"/>
      <c r="C123" s="1143"/>
      <c r="D123" s="1144"/>
    </row>
    <row r="124" spans="1:6" s="172" customFormat="1" ht="15.75" customHeight="1">
      <c r="A124" s="1142"/>
      <c r="B124" s="1145"/>
      <c r="C124" s="1145"/>
      <c r="D124" s="1146"/>
    </row>
    <row r="125" spans="1:6" ht="15.75" customHeight="1">
      <c r="A125" s="1147" t="s">
        <v>4818</v>
      </c>
      <c r="B125" s="336">
        <v>1</v>
      </c>
      <c r="C125" s="337">
        <v>1900</v>
      </c>
      <c r="D125" s="338">
        <v>2200</v>
      </c>
      <c r="F125" s="172"/>
    </row>
    <row r="126" spans="1:6" ht="15.75">
      <c r="A126" s="1147"/>
      <c r="B126" s="336">
        <v>2</v>
      </c>
      <c r="C126" s="337">
        <v>1350</v>
      </c>
      <c r="D126" s="338">
        <v>1600</v>
      </c>
      <c r="F126" s="172"/>
    </row>
    <row r="127" spans="1:6" ht="15.75">
      <c r="A127" s="1147"/>
      <c r="B127" s="336">
        <v>3</v>
      </c>
      <c r="C127" s="337">
        <v>1000</v>
      </c>
      <c r="D127" s="338">
        <v>1200</v>
      </c>
      <c r="F127" s="172"/>
    </row>
    <row r="128" spans="1:6" ht="15.75">
      <c r="A128" s="1147"/>
      <c r="B128" s="336">
        <v>4</v>
      </c>
      <c r="C128" s="337">
        <v>900</v>
      </c>
      <c r="D128" s="338">
        <v>1100</v>
      </c>
      <c r="F128" s="172"/>
    </row>
    <row r="129" spans="1:5" ht="15.75">
      <c r="A129" s="1147"/>
      <c r="B129" s="336">
        <v>5</v>
      </c>
      <c r="C129" s="337">
        <v>800</v>
      </c>
      <c r="D129" s="338">
        <v>900</v>
      </c>
    </row>
    <row r="130" spans="1:5" ht="15.75">
      <c r="A130" s="1147"/>
      <c r="B130" s="336">
        <v>6</v>
      </c>
      <c r="C130" s="337">
        <v>700</v>
      </c>
      <c r="D130" s="338">
        <v>800</v>
      </c>
    </row>
    <row r="131" spans="1:5" ht="15.75">
      <c r="A131" s="1147"/>
      <c r="B131" s="336">
        <v>7</v>
      </c>
      <c r="C131" s="337">
        <v>450</v>
      </c>
      <c r="D131" s="338">
        <v>500</v>
      </c>
    </row>
    <row r="132" spans="1:5" ht="15.75">
      <c r="A132" s="1147"/>
      <c r="B132" s="336">
        <v>8</v>
      </c>
      <c r="C132" s="337">
        <v>400</v>
      </c>
      <c r="D132" s="338">
        <v>450</v>
      </c>
    </row>
    <row r="133" spans="1:5" ht="13.5" customHeight="1">
      <c r="A133" s="1147"/>
      <c r="B133" s="352"/>
      <c r="C133" s="353"/>
      <c r="D133" s="354"/>
    </row>
    <row r="134" spans="1:5" ht="103.5" customHeight="1" thickBot="1">
      <c r="A134" s="1148"/>
      <c r="B134" s="357"/>
      <c r="C134" s="358"/>
      <c r="D134" s="359"/>
    </row>
    <row r="135" spans="1:5" ht="50.25" customHeight="1" thickTop="1">
      <c r="A135" s="355"/>
      <c r="B135" s="286"/>
      <c r="C135" s="356"/>
      <c r="D135" s="360"/>
      <c r="E135" s="361"/>
    </row>
    <row r="136" spans="1:5" ht="96" customHeight="1">
      <c r="A136" s="1112" t="s">
        <v>2834</v>
      </c>
      <c r="B136" s="1112"/>
      <c r="C136" s="1112"/>
      <c r="D136" s="1112"/>
    </row>
    <row r="137" spans="1:5" ht="26.25" customHeight="1">
      <c r="A137" s="1112" t="s">
        <v>2835</v>
      </c>
      <c r="B137" s="1112"/>
      <c r="C137" s="1112"/>
      <c r="D137" s="1112"/>
    </row>
    <row r="138" spans="1:5" ht="22.5" customHeight="1">
      <c r="A138" s="1112" t="s">
        <v>2836</v>
      </c>
      <c r="B138" s="1112"/>
      <c r="C138" s="1112"/>
      <c r="D138" s="1112"/>
    </row>
    <row r="139" spans="1:5" ht="22.5" customHeight="1">
      <c r="A139" s="1112" t="s">
        <v>2837</v>
      </c>
      <c r="B139" s="1112"/>
      <c r="C139" s="1112"/>
      <c r="D139" s="1112"/>
    </row>
    <row r="140" spans="1:5" ht="36.75" customHeight="1">
      <c r="A140" s="1112" t="s">
        <v>2838</v>
      </c>
      <c r="B140" s="1112"/>
      <c r="C140" s="1112"/>
      <c r="D140" s="1112"/>
    </row>
    <row r="141" spans="1:5" ht="33.75" customHeight="1">
      <c r="A141" s="1112" t="s">
        <v>2839</v>
      </c>
      <c r="B141" s="1112"/>
      <c r="C141" s="1112"/>
      <c r="D141" s="1112"/>
    </row>
    <row r="142" spans="1:5" ht="37.5" customHeight="1">
      <c r="A142" s="1112" t="s">
        <v>2840</v>
      </c>
      <c r="B142" s="1112"/>
      <c r="C142" s="1112"/>
      <c r="D142" s="1112"/>
    </row>
    <row r="143" spans="1:5" ht="37.5" customHeight="1">
      <c r="A143" s="1112" t="s">
        <v>2841</v>
      </c>
      <c r="B143" s="1112"/>
      <c r="C143" s="1112"/>
      <c r="D143" s="1112"/>
    </row>
    <row r="144" spans="1:5" ht="36" customHeight="1">
      <c r="A144" s="1112" t="s">
        <v>2842</v>
      </c>
      <c r="B144" s="1112"/>
      <c r="C144" s="1112"/>
      <c r="D144" s="1112"/>
    </row>
    <row r="145" spans="1:4" ht="34.5" customHeight="1">
      <c r="A145" s="1112" t="s">
        <v>891</v>
      </c>
      <c r="B145" s="1112"/>
      <c r="C145" s="1112"/>
      <c r="D145" s="1112"/>
    </row>
    <row r="146" spans="1:4" ht="36.75" customHeight="1">
      <c r="A146" s="1112" t="s">
        <v>1928</v>
      </c>
      <c r="B146" s="1112"/>
      <c r="C146" s="1112"/>
      <c r="D146" s="1112"/>
    </row>
    <row r="147" spans="1:4" ht="45" customHeight="1">
      <c r="A147" s="1112" t="s">
        <v>2843</v>
      </c>
      <c r="B147" s="1112"/>
      <c r="C147" s="1112"/>
      <c r="D147" s="1112"/>
    </row>
    <row r="148" spans="1:4" ht="38.25" customHeight="1">
      <c r="A148" s="1112" t="s">
        <v>2844</v>
      </c>
      <c r="B148" s="1112"/>
      <c r="C148" s="1112"/>
      <c r="D148" s="1112"/>
    </row>
    <row r="149" spans="1:4" ht="33.75" customHeight="1">
      <c r="A149" s="1112" t="s">
        <v>2845</v>
      </c>
      <c r="B149" s="1112"/>
      <c r="C149" s="1112"/>
      <c r="D149" s="1112"/>
    </row>
    <row r="150" spans="1:4" ht="24.75" customHeight="1">
      <c r="A150" s="1112" t="s">
        <v>892</v>
      </c>
      <c r="B150" s="1112"/>
      <c r="C150" s="1112"/>
      <c r="D150" s="1112"/>
    </row>
    <row r="151" spans="1:4" ht="47.25" customHeight="1">
      <c r="A151" s="1112" t="s">
        <v>893</v>
      </c>
      <c r="B151" s="1112"/>
      <c r="C151" s="1112"/>
      <c r="D151" s="1112"/>
    </row>
    <row r="152" spans="1:4" ht="54" customHeight="1">
      <c r="A152" s="1112" t="s">
        <v>894</v>
      </c>
      <c r="B152" s="1112"/>
      <c r="C152" s="1112"/>
      <c r="D152" s="1112"/>
    </row>
    <row r="153" spans="1:4" ht="31.5" customHeight="1">
      <c r="A153" s="1112" t="s">
        <v>2846</v>
      </c>
      <c r="B153" s="1112"/>
      <c r="C153" s="1112"/>
      <c r="D153" s="1112"/>
    </row>
    <row r="154" spans="1:4" ht="33.75" customHeight="1">
      <c r="A154" s="1112" t="s">
        <v>896</v>
      </c>
      <c r="B154" s="1112"/>
      <c r="C154" s="1112"/>
      <c r="D154" s="1112"/>
    </row>
    <row r="155" spans="1:4" ht="33.75" customHeight="1">
      <c r="A155" s="1112" t="s">
        <v>897</v>
      </c>
      <c r="B155" s="1112"/>
      <c r="C155" s="1112"/>
      <c r="D155" s="1112"/>
    </row>
    <row r="156" spans="1:4" ht="37.5" customHeight="1">
      <c r="A156" s="1112" t="s">
        <v>898</v>
      </c>
      <c r="B156" s="1112"/>
      <c r="C156" s="1112"/>
      <c r="D156" s="1112"/>
    </row>
    <row r="157" spans="1:4" ht="35.25" customHeight="1">
      <c r="A157" s="1112" t="s">
        <v>899</v>
      </c>
      <c r="B157" s="1112"/>
      <c r="C157" s="1112"/>
      <c r="D157" s="1112"/>
    </row>
    <row r="158" spans="1:4" ht="36" customHeight="1">
      <c r="A158" s="1112" t="s">
        <v>900</v>
      </c>
      <c r="B158" s="1112"/>
      <c r="C158" s="1112"/>
      <c r="D158" s="1112"/>
    </row>
    <row r="159" spans="1:4" ht="45" customHeight="1">
      <c r="A159" s="1112" t="s">
        <v>901</v>
      </c>
      <c r="B159" s="1112"/>
      <c r="C159" s="1112"/>
      <c r="D159" s="1112"/>
    </row>
    <row r="160" spans="1:4" ht="33.75" customHeight="1">
      <c r="A160" s="1112" t="s">
        <v>2847</v>
      </c>
      <c r="B160" s="1112"/>
      <c r="C160" s="1112"/>
      <c r="D160" s="1112"/>
    </row>
    <row r="161" spans="1:4" ht="33" customHeight="1">
      <c r="A161" s="1112" t="s">
        <v>2848</v>
      </c>
      <c r="B161" s="1112"/>
      <c r="C161" s="1112"/>
      <c r="D161" s="1112"/>
    </row>
    <row r="162" spans="1:4" ht="41.25" customHeight="1">
      <c r="A162" s="1112" t="s">
        <v>2849</v>
      </c>
      <c r="B162" s="1112"/>
      <c r="C162" s="1112"/>
      <c r="D162" s="1112"/>
    </row>
    <row r="163" spans="1:4" ht="33" customHeight="1">
      <c r="A163" s="1112" t="s">
        <v>2850</v>
      </c>
      <c r="B163" s="1112"/>
      <c r="C163" s="1112"/>
      <c r="D163" s="1112"/>
    </row>
    <row r="164" spans="1:4" ht="42" customHeight="1">
      <c r="A164" s="1112" t="s">
        <v>2851</v>
      </c>
      <c r="B164" s="1112"/>
      <c r="C164" s="1112"/>
      <c r="D164" s="1112"/>
    </row>
    <row r="165" spans="1:4" ht="30.75" customHeight="1">
      <c r="A165" s="1112" t="s">
        <v>2852</v>
      </c>
      <c r="B165" s="1112"/>
      <c r="C165" s="1112"/>
      <c r="D165" s="1112"/>
    </row>
    <row r="166" spans="1:4" ht="50.25" customHeight="1">
      <c r="A166" s="1134" t="s">
        <v>2937</v>
      </c>
      <c r="B166" s="1134"/>
      <c r="C166" s="1134"/>
      <c r="D166" s="1134"/>
    </row>
    <row r="167" spans="1:4" ht="88.5" customHeight="1">
      <c r="A167" s="1112" t="s">
        <v>2938</v>
      </c>
      <c r="B167" s="1112"/>
      <c r="C167" s="1112"/>
      <c r="D167" s="1112"/>
    </row>
    <row r="168" spans="1:4" ht="46.5" customHeight="1">
      <c r="A168" s="1112" t="s">
        <v>2853</v>
      </c>
      <c r="B168" s="1112"/>
      <c r="C168" s="1112"/>
      <c r="D168" s="1112"/>
    </row>
    <row r="169" spans="1:4" ht="57" customHeight="1">
      <c r="A169" s="1133" t="s">
        <v>1934</v>
      </c>
      <c r="B169" s="1133"/>
      <c r="C169" s="1133"/>
      <c r="D169" s="1133"/>
    </row>
    <row r="170" spans="1:4" ht="33.75" customHeight="1">
      <c r="A170" s="1112" t="s">
        <v>1935</v>
      </c>
      <c r="B170" s="1112"/>
      <c r="C170" s="1112"/>
      <c r="D170" s="1112"/>
    </row>
    <row r="171" spans="1:4" ht="33" customHeight="1">
      <c r="A171" s="1112" t="s">
        <v>1936</v>
      </c>
      <c r="B171" s="1112"/>
      <c r="C171" s="1112"/>
      <c r="D171" s="1112"/>
    </row>
    <row r="172" spans="1:4" ht="33.75" customHeight="1">
      <c r="A172" s="1133" t="s">
        <v>2854</v>
      </c>
      <c r="B172" s="1133"/>
      <c r="C172" s="1133"/>
      <c r="D172" s="1133"/>
    </row>
    <row r="173" spans="1:4" ht="33.75" customHeight="1">
      <c r="A173" s="1112" t="s">
        <v>1938</v>
      </c>
      <c r="B173" s="1112"/>
      <c r="C173" s="1112"/>
      <c r="D173" s="1112"/>
    </row>
    <row r="174" spans="1:4" ht="33.75" customHeight="1">
      <c r="A174" s="1112" t="s">
        <v>2855</v>
      </c>
      <c r="B174" s="1112"/>
      <c r="C174" s="1112"/>
      <c r="D174" s="1112"/>
    </row>
    <row r="175" spans="1:4" ht="48.75" customHeight="1">
      <c r="A175" s="1133" t="s">
        <v>2856</v>
      </c>
      <c r="B175" s="1133"/>
      <c r="C175" s="1133"/>
      <c r="D175" s="1133"/>
    </row>
    <row r="176" spans="1:4" ht="55.5" customHeight="1">
      <c r="A176" s="1112" t="s">
        <v>2857</v>
      </c>
      <c r="B176" s="1112"/>
      <c r="C176" s="1112"/>
      <c r="D176" s="1112"/>
    </row>
    <row r="177" spans="1:4" ht="45.75" customHeight="1">
      <c r="A177" s="1112" t="s">
        <v>2858</v>
      </c>
      <c r="B177" s="1112"/>
      <c r="C177" s="1112"/>
      <c r="D177" s="1112"/>
    </row>
    <row r="178" spans="1:4" ht="31.5" customHeight="1">
      <c r="A178" s="1112" t="s">
        <v>2859</v>
      </c>
      <c r="B178" s="1112"/>
      <c r="C178" s="1112"/>
      <c r="D178" s="1112"/>
    </row>
    <row r="179" spans="1:4" ht="34.5" customHeight="1">
      <c r="A179" s="1112" t="s">
        <v>2860</v>
      </c>
      <c r="B179" s="1112"/>
      <c r="C179" s="1112"/>
      <c r="D179" s="1112"/>
    </row>
    <row r="180" spans="1:4" ht="34.5" customHeight="1" thickBot="1">
      <c r="A180" s="362"/>
      <c r="B180" s="362"/>
      <c r="C180" s="362"/>
      <c r="D180" s="362"/>
    </row>
    <row r="181" spans="1:4" ht="66" customHeight="1">
      <c r="A181" s="350" t="s">
        <v>869</v>
      </c>
      <c r="B181" s="326" t="s">
        <v>870</v>
      </c>
      <c r="C181" s="265" t="s">
        <v>871</v>
      </c>
      <c r="D181" s="327" t="s">
        <v>872</v>
      </c>
    </row>
    <row r="182" spans="1:4" ht="15.75">
      <c r="A182" s="363" t="s">
        <v>2861</v>
      </c>
      <c r="B182" s="328"/>
      <c r="C182" s="364"/>
      <c r="D182" s="330"/>
    </row>
    <row r="183" spans="1:4" ht="15.75">
      <c r="A183" s="365" t="s">
        <v>902</v>
      </c>
      <c r="B183" s="336">
        <v>1</v>
      </c>
      <c r="C183" s="351">
        <v>1900</v>
      </c>
      <c r="D183" s="338">
        <v>2200</v>
      </c>
    </row>
    <row r="184" spans="1:4" ht="15.75">
      <c r="A184" s="1124"/>
      <c r="B184" s="336">
        <v>2</v>
      </c>
      <c r="C184" s="351">
        <v>1350</v>
      </c>
      <c r="D184" s="338">
        <v>1600</v>
      </c>
    </row>
    <row r="185" spans="1:4" ht="15.75">
      <c r="A185" s="1124"/>
      <c r="B185" s="336">
        <v>3</v>
      </c>
      <c r="C185" s="351">
        <v>900</v>
      </c>
      <c r="D185" s="338">
        <v>1100</v>
      </c>
    </row>
    <row r="186" spans="1:4" ht="15.75">
      <c r="A186" s="1124"/>
      <c r="B186" s="336">
        <v>4</v>
      </c>
      <c r="C186" s="351">
        <v>700</v>
      </c>
      <c r="D186" s="338">
        <v>800</v>
      </c>
    </row>
    <row r="187" spans="1:4" ht="15.75">
      <c r="A187" s="1124"/>
      <c r="B187" s="336"/>
      <c r="C187" s="351"/>
      <c r="D187" s="338"/>
    </row>
    <row r="188" spans="1:4" ht="15.75">
      <c r="A188" s="365" t="s">
        <v>903</v>
      </c>
      <c r="B188" s="336">
        <v>1</v>
      </c>
      <c r="C188" s="351">
        <v>1350</v>
      </c>
      <c r="D188" s="338">
        <v>1500</v>
      </c>
    </row>
    <row r="189" spans="1:4" ht="15.75">
      <c r="A189" s="1124"/>
      <c r="B189" s="336">
        <v>2</v>
      </c>
      <c r="C189" s="351">
        <v>1000</v>
      </c>
      <c r="D189" s="338">
        <v>1100</v>
      </c>
    </row>
    <row r="190" spans="1:4" ht="15.75">
      <c r="A190" s="1124"/>
      <c r="B190" s="336">
        <v>3</v>
      </c>
      <c r="C190" s="351">
        <v>750</v>
      </c>
      <c r="D190" s="338">
        <v>800</v>
      </c>
    </row>
    <row r="191" spans="1:4" ht="15.75">
      <c r="A191" s="1124"/>
      <c r="B191" s="336">
        <v>4</v>
      </c>
      <c r="C191" s="351">
        <v>600</v>
      </c>
      <c r="D191" s="338">
        <v>650</v>
      </c>
    </row>
    <row r="192" spans="1:4" ht="16.5" thickBot="1">
      <c r="A192" s="1125"/>
      <c r="B192" s="366"/>
      <c r="C192" s="367"/>
      <c r="D192" s="368"/>
    </row>
    <row r="193" spans="1:4">
      <c r="A193" s="1131"/>
      <c r="B193" s="1131"/>
      <c r="C193" s="1131"/>
      <c r="D193" s="1131"/>
    </row>
    <row r="194" spans="1:4" ht="87" customHeight="1">
      <c r="A194" s="1122" t="s">
        <v>2024</v>
      </c>
      <c r="B194" s="1122"/>
      <c r="C194" s="1122"/>
      <c r="D194" s="1122"/>
    </row>
    <row r="195" spans="1:4" ht="35.25" customHeight="1">
      <c r="A195" s="1122" t="s">
        <v>2025</v>
      </c>
      <c r="B195" s="1122"/>
      <c r="C195" s="1122"/>
      <c r="D195" s="1122"/>
    </row>
    <row r="196" spans="1:4" ht="24.75" customHeight="1">
      <c r="A196" s="1122" t="s">
        <v>1924</v>
      </c>
      <c r="B196" s="1122"/>
      <c r="C196" s="1122"/>
      <c r="D196" s="1122"/>
    </row>
    <row r="197" spans="1:4" ht="21.75" customHeight="1">
      <c r="A197" s="1122" t="s">
        <v>1925</v>
      </c>
      <c r="B197" s="1122"/>
      <c r="C197" s="1122"/>
      <c r="D197" s="1122"/>
    </row>
    <row r="198" spans="1:4" ht="36.75" customHeight="1">
      <c r="A198" s="1122" t="s">
        <v>1926</v>
      </c>
      <c r="B198" s="1122"/>
      <c r="C198" s="1122"/>
      <c r="D198" s="1122"/>
    </row>
    <row r="199" spans="1:4" ht="33" customHeight="1">
      <c r="A199" s="1122" t="s">
        <v>1927</v>
      </c>
      <c r="B199" s="1122"/>
      <c r="C199" s="1122"/>
      <c r="D199" s="1122"/>
    </row>
    <row r="200" spans="1:4" ht="38.25" customHeight="1">
      <c r="A200" s="1122" t="s">
        <v>888</v>
      </c>
      <c r="B200" s="1122"/>
      <c r="C200" s="1122"/>
      <c r="D200" s="1122"/>
    </row>
    <row r="201" spans="1:4" ht="34.5" customHeight="1">
      <c r="A201" s="1122" t="s">
        <v>889</v>
      </c>
      <c r="B201" s="1122"/>
      <c r="C201" s="1122"/>
      <c r="D201" s="1122"/>
    </row>
    <row r="202" spans="1:4" ht="32.25" customHeight="1">
      <c r="A202" s="1122" t="s">
        <v>890</v>
      </c>
      <c r="B202" s="1122"/>
      <c r="C202" s="1122"/>
      <c r="D202" s="1122"/>
    </row>
    <row r="203" spans="1:4" ht="27.75" customHeight="1">
      <c r="A203" s="1122" t="s">
        <v>891</v>
      </c>
      <c r="B203" s="1122"/>
      <c r="C203" s="1122"/>
      <c r="D203" s="1122"/>
    </row>
    <row r="204" spans="1:4" ht="30.75" customHeight="1">
      <c r="A204" s="1122" t="s">
        <v>1928</v>
      </c>
      <c r="B204" s="1122"/>
      <c r="C204" s="1122"/>
      <c r="D204" s="1122"/>
    </row>
    <row r="205" spans="1:4" ht="30" customHeight="1">
      <c r="A205" s="1122" t="s">
        <v>1929</v>
      </c>
      <c r="B205" s="1122"/>
      <c r="C205" s="1122"/>
      <c r="D205" s="1122"/>
    </row>
    <row r="206" spans="1:4" ht="33.75" customHeight="1">
      <c r="A206" s="1122" t="s">
        <v>1930</v>
      </c>
      <c r="B206" s="1122"/>
      <c r="C206" s="1122"/>
      <c r="D206" s="1122"/>
    </row>
    <row r="207" spans="1:4" ht="30" customHeight="1">
      <c r="A207" s="1122" t="s">
        <v>1931</v>
      </c>
      <c r="B207" s="1122"/>
      <c r="C207" s="1122"/>
      <c r="D207" s="1122"/>
    </row>
    <row r="208" spans="1:4" ht="31.5" customHeight="1">
      <c r="A208" s="1122" t="s">
        <v>892</v>
      </c>
      <c r="B208" s="1122"/>
      <c r="C208" s="1122"/>
      <c r="D208" s="1122"/>
    </row>
    <row r="209" spans="1:4" ht="50.25" customHeight="1">
      <c r="A209" s="1122" t="s">
        <v>893</v>
      </c>
      <c r="B209" s="1122"/>
      <c r="C209" s="1122"/>
      <c r="D209" s="1122"/>
    </row>
    <row r="210" spans="1:4" ht="57" customHeight="1">
      <c r="A210" s="1122" t="s">
        <v>894</v>
      </c>
      <c r="B210" s="1122"/>
      <c r="C210" s="1122"/>
      <c r="D210" s="1122"/>
    </row>
    <row r="211" spans="1:4" ht="35.25" customHeight="1">
      <c r="A211" s="1122" t="s">
        <v>895</v>
      </c>
      <c r="B211" s="1122"/>
      <c r="C211" s="1122"/>
      <c r="D211" s="1122"/>
    </row>
    <row r="212" spans="1:4" ht="33.75" customHeight="1">
      <c r="A212" s="1122" t="s">
        <v>896</v>
      </c>
      <c r="B212" s="1122"/>
      <c r="C212" s="1122"/>
      <c r="D212" s="1122"/>
    </row>
    <row r="213" spans="1:4" ht="31.5" customHeight="1">
      <c r="A213" s="1122" t="s">
        <v>897</v>
      </c>
      <c r="B213" s="1122"/>
      <c r="C213" s="1122"/>
      <c r="D213" s="1122"/>
    </row>
    <row r="214" spans="1:4" ht="33.75" customHeight="1">
      <c r="A214" s="1122" t="s">
        <v>898</v>
      </c>
      <c r="B214" s="1122"/>
      <c r="C214" s="1122"/>
      <c r="D214" s="1122"/>
    </row>
    <row r="215" spans="1:4" ht="34.5" customHeight="1">
      <c r="A215" s="1122" t="s">
        <v>899</v>
      </c>
      <c r="B215" s="1122"/>
      <c r="C215" s="1122"/>
      <c r="D215" s="1122"/>
    </row>
    <row r="216" spans="1:4" ht="30" customHeight="1">
      <c r="A216" s="1122" t="s">
        <v>900</v>
      </c>
      <c r="B216" s="1122"/>
      <c r="C216" s="1122"/>
      <c r="D216" s="1122"/>
    </row>
    <row r="217" spans="1:4" ht="39.75" customHeight="1">
      <c r="A217" s="1122" t="s">
        <v>901</v>
      </c>
      <c r="B217" s="1122"/>
      <c r="C217" s="1122"/>
      <c r="D217" s="1122"/>
    </row>
    <row r="218" spans="1:4" ht="32.25" customHeight="1">
      <c r="A218" s="1122" t="s">
        <v>2026</v>
      </c>
      <c r="B218" s="1122"/>
      <c r="C218" s="1122"/>
      <c r="D218" s="1122"/>
    </row>
    <row r="219" spans="1:4" ht="30" customHeight="1">
      <c r="A219" s="1122" t="s">
        <v>2027</v>
      </c>
      <c r="B219" s="1122"/>
      <c r="C219" s="1122"/>
      <c r="D219" s="1122"/>
    </row>
    <row r="220" spans="1:4" ht="38.25" customHeight="1">
      <c r="A220" s="1122" t="s">
        <v>2028</v>
      </c>
      <c r="B220" s="1122"/>
      <c r="C220" s="1122"/>
      <c r="D220" s="1122"/>
    </row>
    <row r="221" spans="1:4" ht="32.25" customHeight="1">
      <c r="A221" s="1122" t="s">
        <v>2029</v>
      </c>
      <c r="B221" s="1122"/>
      <c r="C221" s="1122"/>
      <c r="D221" s="1122"/>
    </row>
    <row r="222" spans="1:4" ht="33.75" customHeight="1">
      <c r="A222" s="1122" t="s">
        <v>2030</v>
      </c>
      <c r="B222" s="1122"/>
      <c r="C222" s="1122"/>
      <c r="D222" s="1122"/>
    </row>
    <row r="223" spans="1:4" ht="23.25" customHeight="1">
      <c r="A223" s="1122" t="s">
        <v>1932</v>
      </c>
      <c r="B223" s="1122"/>
      <c r="C223" s="1122"/>
      <c r="D223" s="1122"/>
    </row>
    <row r="224" spans="1:4" ht="45" customHeight="1">
      <c r="A224" s="1132" t="s">
        <v>2939</v>
      </c>
      <c r="B224" s="1132"/>
      <c r="C224" s="1132"/>
      <c r="D224" s="1132"/>
    </row>
    <row r="225" spans="1:4" ht="89.25" customHeight="1">
      <c r="A225" s="1122" t="s">
        <v>2938</v>
      </c>
      <c r="B225" s="1122"/>
      <c r="C225" s="1122"/>
      <c r="D225" s="1122"/>
    </row>
    <row r="226" spans="1:4" ht="38.25" customHeight="1">
      <c r="A226" s="1122" t="s">
        <v>1933</v>
      </c>
      <c r="B226" s="1122"/>
      <c r="C226" s="1122"/>
      <c r="D226" s="1122"/>
    </row>
    <row r="227" spans="1:4" ht="55.5" customHeight="1">
      <c r="A227" s="1122" t="s">
        <v>1934</v>
      </c>
      <c r="B227" s="1122"/>
      <c r="C227" s="1122"/>
      <c r="D227" s="1122"/>
    </row>
    <row r="228" spans="1:4" ht="32.25" customHeight="1">
      <c r="A228" s="1122" t="s">
        <v>1935</v>
      </c>
      <c r="B228" s="1122"/>
      <c r="C228" s="1122"/>
      <c r="D228" s="1122"/>
    </row>
    <row r="229" spans="1:4" ht="30" customHeight="1">
      <c r="A229" s="1122" t="s">
        <v>1936</v>
      </c>
      <c r="B229" s="1122"/>
      <c r="C229" s="1122"/>
      <c r="D229" s="1122"/>
    </row>
    <row r="230" spans="1:4" ht="30.75" customHeight="1">
      <c r="A230" s="1121" t="s">
        <v>1937</v>
      </c>
      <c r="B230" s="1121"/>
      <c r="C230" s="1121"/>
      <c r="D230" s="1121"/>
    </row>
    <row r="231" spans="1:4" ht="32.25" customHeight="1">
      <c r="A231" s="1121" t="s">
        <v>1938</v>
      </c>
      <c r="B231" s="1121"/>
      <c r="C231" s="1121"/>
      <c r="D231" s="1121"/>
    </row>
    <row r="232" spans="1:4" ht="32.25" customHeight="1" thickBot="1">
      <c r="A232" s="369"/>
      <c r="B232" s="369"/>
      <c r="C232" s="369"/>
      <c r="D232" s="369"/>
    </row>
    <row r="233" spans="1:4" ht="96" thickTop="1" thickBot="1">
      <c r="A233" s="371" t="s">
        <v>869</v>
      </c>
      <c r="B233" s="372" t="s">
        <v>870</v>
      </c>
      <c r="C233" s="370" t="s">
        <v>871</v>
      </c>
      <c r="D233" s="373" t="s">
        <v>872</v>
      </c>
    </row>
    <row r="234" spans="1:4" ht="16.5" thickTop="1">
      <c r="A234" s="374" t="s">
        <v>904</v>
      </c>
      <c r="B234" s="332"/>
      <c r="C234" s="375"/>
      <c r="D234" s="334"/>
    </row>
    <row r="235" spans="1:4" ht="15.75" customHeight="1">
      <c r="A235" s="1126" t="s">
        <v>2906</v>
      </c>
      <c r="B235" s="336">
        <v>1</v>
      </c>
      <c r="C235" s="351">
        <v>3200</v>
      </c>
      <c r="D235" s="338">
        <v>3600</v>
      </c>
    </row>
    <row r="236" spans="1:4" ht="15.75">
      <c r="A236" s="1115"/>
      <c r="B236" s="336">
        <v>2</v>
      </c>
      <c r="C236" s="351">
        <v>2600</v>
      </c>
      <c r="D236" s="338">
        <v>3000</v>
      </c>
    </row>
    <row r="237" spans="1:4" ht="15.75">
      <c r="A237" s="1115"/>
      <c r="B237" s="336">
        <v>3</v>
      </c>
      <c r="C237" s="351">
        <v>1900</v>
      </c>
      <c r="D237" s="338">
        <v>2200</v>
      </c>
    </row>
    <row r="238" spans="1:4" ht="15.75">
      <c r="A238" s="1115"/>
      <c r="B238" s="336">
        <v>4</v>
      </c>
      <c r="C238" s="351">
        <v>1450</v>
      </c>
      <c r="D238" s="338">
        <v>1600</v>
      </c>
    </row>
    <row r="239" spans="1:4" ht="15.75">
      <c r="A239" s="1115"/>
      <c r="B239" s="336">
        <v>5</v>
      </c>
      <c r="C239" s="351">
        <v>1100</v>
      </c>
      <c r="D239" s="338">
        <v>1300</v>
      </c>
    </row>
    <row r="240" spans="1:4" ht="15.75">
      <c r="A240" s="1115"/>
      <c r="B240" s="336">
        <v>6</v>
      </c>
      <c r="C240" s="351">
        <v>950</v>
      </c>
      <c r="D240" s="338">
        <v>1150</v>
      </c>
    </row>
    <row r="241" spans="1:4" ht="15.75">
      <c r="A241" s="1115"/>
      <c r="B241" s="336">
        <v>7</v>
      </c>
      <c r="C241" s="351">
        <v>850</v>
      </c>
      <c r="D241" s="338">
        <v>950</v>
      </c>
    </row>
    <row r="242" spans="1:4" ht="15.75">
      <c r="A242" s="1115"/>
      <c r="B242" s="336">
        <v>8</v>
      </c>
      <c r="C242" s="351">
        <v>750</v>
      </c>
      <c r="D242" s="338">
        <v>850</v>
      </c>
    </row>
    <row r="243" spans="1:4" ht="15.75">
      <c r="A243" s="1127"/>
      <c r="B243" s="336"/>
      <c r="C243" s="351"/>
      <c r="D243" s="338"/>
    </row>
    <row r="244" spans="1:4" ht="15.75" customHeight="1">
      <c r="A244" s="1128" t="s">
        <v>2907</v>
      </c>
      <c r="B244" s="336">
        <v>1</v>
      </c>
      <c r="C244" s="351">
        <v>2600</v>
      </c>
      <c r="D244" s="338">
        <v>3000</v>
      </c>
    </row>
    <row r="245" spans="1:4" ht="15.75">
      <c r="A245" s="1129"/>
      <c r="B245" s="336">
        <v>2</v>
      </c>
      <c r="C245" s="351">
        <v>1900</v>
      </c>
      <c r="D245" s="338">
        <v>2200</v>
      </c>
    </row>
    <row r="246" spans="1:4" ht="15.75">
      <c r="A246" s="1129"/>
      <c r="B246" s="336">
        <v>3</v>
      </c>
      <c r="C246" s="351">
        <v>1350</v>
      </c>
      <c r="D246" s="338">
        <v>1600</v>
      </c>
    </row>
    <row r="247" spans="1:4" ht="15.75">
      <c r="A247" s="1129"/>
      <c r="B247" s="336">
        <v>4</v>
      </c>
      <c r="C247" s="351">
        <v>1300</v>
      </c>
      <c r="D247" s="338">
        <v>1500</v>
      </c>
    </row>
    <row r="248" spans="1:4" ht="15.75">
      <c r="A248" s="1129"/>
      <c r="B248" s="336">
        <v>5</v>
      </c>
      <c r="C248" s="351">
        <v>1000</v>
      </c>
      <c r="D248" s="338">
        <v>1200</v>
      </c>
    </row>
    <row r="249" spans="1:4" ht="15.75">
      <c r="A249" s="1129"/>
      <c r="B249" s="336">
        <v>6</v>
      </c>
      <c r="C249" s="351">
        <v>9800</v>
      </c>
      <c r="D249" s="338">
        <v>1100</v>
      </c>
    </row>
    <row r="250" spans="1:4" ht="15.75">
      <c r="A250" s="1129"/>
      <c r="B250" s="336">
        <v>7</v>
      </c>
      <c r="C250" s="351">
        <v>800</v>
      </c>
      <c r="D250" s="338">
        <v>900</v>
      </c>
    </row>
    <row r="251" spans="1:4" ht="15.75">
      <c r="A251" s="1129"/>
      <c r="B251" s="336">
        <v>8</v>
      </c>
      <c r="C251" s="351">
        <v>700</v>
      </c>
      <c r="D251" s="338">
        <v>800</v>
      </c>
    </row>
    <row r="252" spans="1:4" ht="15.75">
      <c r="A252" s="1130"/>
      <c r="B252" s="336"/>
      <c r="C252" s="351"/>
      <c r="D252" s="338"/>
    </row>
    <row r="253" spans="1:4" ht="15.75" customHeight="1">
      <c r="A253" s="1126" t="s">
        <v>2862</v>
      </c>
      <c r="B253" s="336">
        <v>1</v>
      </c>
      <c r="C253" s="351">
        <v>1900</v>
      </c>
      <c r="D253" s="338">
        <v>2200</v>
      </c>
    </row>
    <row r="254" spans="1:4" ht="15.75">
      <c r="A254" s="1115"/>
      <c r="B254" s="336">
        <v>2</v>
      </c>
      <c r="C254" s="351">
        <v>1350</v>
      </c>
      <c r="D254" s="338">
        <v>1600</v>
      </c>
    </row>
    <row r="255" spans="1:4" ht="15.75">
      <c r="A255" s="1115"/>
      <c r="B255" s="336">
        <v>3</v>
      </c>
      <c r="C255" s="351">
        <v>1300</v>
      </c>
      <c r="D255" s="338">
        <v>1500</v>
      </c>
    </row>
    <row r="256" spans="1:4" ht="15.75">
      <c r="A256" s="1115"/>
      <c r="B256" s="336">
        <v>4</v>
      </c>
      <c r="C256" s="351">
        <v>900</v>
      </c>
      <c r="D256" s="338">
        <v>1100</v>
      </c>
    </row>
    <row r="257" spans="1:4" ht="15.75">
      <c r="A257" s="1127"/>
      <c r="B257" s="336"/>
      <c r="C257" s="351"/>
      <c r="D257" s="338"/>
    </row>
    <row r="258" spans="1:4" ht="15.75">
      <c r="A258" s="1126" t="s">
        <v>905</v>
      </c>
      <c r="B258" s="336">
        <v>1</v>
      </c>
      <c r="C258" s="351">
        <v>1350</v>
      </c>
      <c r="D258" s="338">
        <v>1500</v>
      </c>
    </row>
    <row r="259" spans="1:4" ht="15.75">
      <c r="A259" s="1115"/>
      <c r="B259" s="336">
        <v>2</v>
      </c>
      <c r="C259" s="351">
        <v>1000</v>
      </c>
      <c r="D259" s="338">
        <v>1100</v>
      </c>
    </row>
    <row r="260" spans="1:4" ht="15.75">
      <c r="A260" s="1115"/>
      <c r="B260" s="336">
        <v>3</v>
      </c>
      <c r="C260" s="351">
        <v>570</v>
      </c>
      <c r="D260" s="338">
        <v>800</v>
      </c>
    </row>
    <row r="261" spans="1:4" ht="15.75">
      <c r="A261" s="1115"/>
      <c r="B261" s="336">
        <v>4</v>
      </c>
      <c r="C261" s="351">
        <v>600</v>
      </c>
      <c r="D261" s="338">
        <v>650</v>
      </c>
    </row>
    <row r="262" spans="1:4" ht="16.5" thickBot="1">
      <c r="A262" s="1185"/>
      <c r="B262" s="342"/>
      <c r="C262" s="377"/>
      <c r="D262" s="344"/>
    </row>
    <row r="263" spans="1:4" ht="13.5" thickTop="1">
      <c r="A263" s="1150" t="s">
        <v>1939</v>
      </c>
      <c r="B263" s="1150"/>
      <c r="C263" s="1150"/>
      <c r="D263" s="1150"/>
    </row>
    <row r="264" spans="1:4" ht="46.5" customHeight="1">
      <c r="A264" s="1116" t="s">
        <v>1940</v>
      </c>
      <c r="B264" s="1116"/>
      <c r="C264" s="1116"/>
      <c r="D264" s="1116"/>
    </row>
    <row r="265" spans="1:4" ht="12.75">
      <c r="A265" s="276"/>
      <c r="B265" s="276"/>
      <c r="C265" s="276"/>
      <c r="D265" s="276"/>
    </row>
    <row r="266" spans="1:4" ht="13.5" thickBot="1">
      <c r="A266" s="276"/>
      <c r="B266" s="276"/>
      <c r="C266" s="276"/>
      <c r="D266" s="276"/>
    </row>
    <row r="267" spans="1:4" ht="78" customHeight="1" thickBot="1">
      <c r="A267" s="281" t="s">
        <v>869</v>
      </c>
      <c r="B267" s="274" t="s">
        <v>870</v>
      </c>
      <c r="C267" s="265" t="s">
        <v>871</v>
      </c>
      <c r="D267" s="266" t="s">
        <v>872</v>
      </c>
    </row>
    <row r="268" spans="1:4" ht="18" customHeight="1">
      <c r="A268" s="378" t="s">
        <v>2940</v>
      </c>
      <c r="B268" s="328"/>
      <c r="C268" s="364"/>
      <c r="D268" s="330"/>
    </row>
    <row r="269" spans="1:4" ht="15.75" customHeight="1">
      <c r="A269" s="1149" t="s">
        <v>2863</v>
      </c>
      <c r="B269" s="336">
        <v>1</v>
      </c>
      <c r="C269" s="351">
        <v>3200</v>
      </c>
      <c r="D269" s="338">
        <v>3600</v>
      </c>
    </row>
    <row r="270" spans="1:4" ht="15.75">
      <c r="A270" s="1149"/>
      <c r="B270" s="336">
        <v>2</v>
      </c>
      <c r="C270" s="351">
        <v>2600</v>
      </c>
      <c r="D270" s="338">
        <v>3000</v>
      </c>
    </row>
    <row r="271" spans="1:4" ht="15.75">
      <c r="A271" s="1149"/>
      <c r="B271" s="336">
        <v>3</v>
      </c>
      <c r="C271" s="351">
        <v>1900</v>
      </c>
      <c r="D271" s="338">
        <v>2200</v>
      </c>
    </row>
    <row r="272" spans="1:4" ht="15.75">
      <c r="A272" s="1149"/>
      <c r="B272" s="336">
        <v>4</v>
      </c>
      <c r="C272" s="351">
        <v>1450</v>
      </c>
      <c r="D272" s="338">
        <v>1600</v>
      </c>
    </row>
    <row r="273" spans="1:4" ht="15.75">
      <c r="A273" s="1149"/>
      <c r="B273" s="336">
        <v>5</v>
      </c>
      <c r="C273" s="351">
        <v>1100</v>
      </c>
      <c r="D273" s="338">
        <v>1300</v>
      </c>
    </row>
    <row r="274" spans="1:4" ht="15.75">
      <c r="A274" s="1149"/>
      <c r="B274" s="336">
        <v>6</v>
      </c>
      <c r="C274" s="351">
        <v>950</v>
      </c>
      <c r="D274" s="338">
        <v>1150</v>
      </c>
    </row>
    <row r="275" spans="1:4" ht="15.75">
      <c r="A275" s="1149"/>
      <c r="B275" s="336">
        <v>7</v>
      </c>
      <c r="C275" s="351">
        <v>850</v>
      </c>
      <c r="D275" s="338">
        <v>950</v>
      </c>
    </row>
    <row r="276" spans="1:4" ht="15.75">
      <c r="A276" s="1149"/>
      <c r="B276" s="336">
        <v>8</v>
      </c>
      <c r="C276" s="351">
        <v>750</v>
      </c>
      <c r="D276" s="338">
        <v>850</v>
      </c>
    </row>
    <row r="277" spans="1:4" ht="15.75">
      <c r="A277" s="1149"/>
      <c r="B277" s="336"/>
      <c r="C277" s="351"/>
      <c r="D277" s="338"/>
    </row>
    <row r="278" spans="1:4" ht="15.75">
      <c r="A278" s="1149" t="s">
        <v>2864</v>
      </c>
      <c r="B278" s="336">
        <v>1</v>
      </c>
      <c r="C278" s="351">
        <v>1900</v>
      </c>
      <c r="D278" s="338">
        <v>3000</v>
      </c>
    </row>
    <row r="279" spans="1:4" ht="15.75">
      <c r="A279" s="1149"/>
      <c r="B279" s="336">
        <v>2</v>
      </c>
      <c r="C279" s="351">
        <v>1350</v>
      </c>
      <c r="D279" s="338">
        <v>2200</v>
      </c>
    </row>
    <row r="280" spans="1:4" ht="15.75">
      <c r="A280" s="1149"/>
      <c r="B280" s="336">
        <v>3</v>
      </c>
      <c r="C280" s="351">
        <v>1000</v>
      </c>
      <c r="D280" s="338">
        <v>1600</v>
      </c>
    </row>
    <row r="281" spans="1:4" ht="15.75">
      <c r="A281" s="1149"/>
      <c r="B281" s="336">
        <v>4</v>
      </c>
      <c r="C281" s="351">
        <v>900</v>
      </c>
      <c r="D281" s="338">
        <v>1500</v>
      </c>
    </row>
    <row r="282" spans="1:4" ht="15.75">
      <c r="A282" s="1149"/>
      <c r="B282" s="336">
        <v>5</v>
      </c>
      <c r="C282" s="351">
        <v>800</v>
      </c>
      <c r="D282" s="338">
        <v>1200</v>
      </c>
    </row>
    <row r="283" spans="1:4" ht="15.75">
      <c r="A283" s="1149"/>
      <c r="B283" s="336">
        <v>6</v>
      </c>
      <c r="C283" s="351">
        <v>700</v>
      </c>
      <c r="D283" s="338">
        <v>1100</v>
      </c>
    </row>
    <row r="284" spans="1:4" ht="15.75">
      <c r="A284" s="1149"/>
      <c r="B284" s="336">
        <v>7</v>
      </c>
      <c r="C284" s="351">
        <v>450</v>
      </c>
      <c r="D284" s="338">
        <v>900</v>
      </c>
    </row>
    <row r="285" spans="1:4" ht="15.75">
      <c r="A285" s="1149"/>
      <c r="B285" s="336">
        <v>8</v>
      </c>
      <c r="C285" s="351">
        <v>400</v>
      </c>
      <c r="D285" s="338">
        <v>800</v>
      </c>
    </row>
    <row r="286" spans="1:4" ht="15.75">
      <c r="A286" s="365" t="s">
        <v>2678</v>
      </c>
      <c r="B286" s="336"/>
      <c r="C286" s="351"/>
      <c r="D286" s="338"/>
    </row>
    <row r="287" spans="1:4" ht="15.75">
      <c r="A287" s="1149" t="s">
        <v>906</v>
      </c>
      <c r="B287" s="336">
        <v>1</v>
      </c>
      <c r="C287" s="351"/>
      <c r="D287" s="338">
        <v>2200</v>
      </c>
    </row>
    <row r="288" spans="1:4" ht="15.75">
      <c r="A288" s="1149"/>
      <c r="B288" s="336">
        <v>2</v>
      </c>
      <c r="C288" s="351"/>
      <c r="D288" s="338">
        <v>1600</v>
      </c>
    </row>
    <row r="289" spans="1:4" ht="15.75">
      <c r="A289" s="1149"/>
      <c r="B289" s="336">
        <v>3</v>
      </c>
      <c r="C289" s="379"/>
      <c r="D289" s="338">
        <v>1100</v>
      </c>
    </row>
    <row r="290" spans="1:4" ht="15.75">
      <c r="A290" s="1149"/>
      <c r="B290" s="336">
        <v>4</v>
      </c>
      <c r="C290" s="379"/>
      <c r="D290" s="338" t="s">
        <v>907</v>
      </c>
    </row>
    <row r="291" spans="1:4" ht="15.75">
      <c r="A291" s="1149"/>
      <c r="B291" s="336"/>
      <c r="C291" s="379"/>
      <c r="D291" s="338"/>
    </row>
    <row r="292" spans="1:4" ht="15.75">
      <c r="A292" s="1149" t="s">
        <v>908</v>
      </c>
      <c r="B292" s="336">
        <v>1</v>
      </c>
      <c r="C292" s="379"/>
      <c r="D292" s="338">
        <v>1500</v>
      </c>
    </row>
    <row r="293" spans="1:4" ht="15.75">
      <c r="A293" s="1149"/>
      <c r="B293" s="336">
        <v>2</v>
      </c>
      <c r="C293" s="379"/>
      <c r="D293" s="338">
        <v>1100</v>
      </c>
    </row>
    <row r="294" spans="1:4" ht="15.75">
      <c r="A294" s="1149"/>
      <c r="B294" s="336">
        <v>3</v>
      </c>
      <c r="C294" s="379"/>
      <c r="D294" s="338">
        <v>800</v>
      </c>
    </row>
    <row r="295" spans="1:4" ht="15.75">
      <c r="A295" s="1149"/>
      <c r="B295" s="336">
        <v>4</v>
      </c>
      <c r="C295" s="379"/>
      <c r="D295" s="338">
        <v>650</v>
      </c>
    </row>
    <row r="296" spans="1:4" ht="16.5" thickBot="1">
      <c r="A296" s="1183"/>
      <c r="B296" s="380"/>
      <c r="C296" s="367"/>
      <c r="D296" s="381"/>
    </row>
    <row r="297" spans="1:4" ht="34.5" customHeight="1" thickBot="1">
      <c r="A297" s="1117" t="s">
        <v>910</v>
      </c>
      <c r="B297" s="1117"/>
      <c r="C297" s="1117"/>
      <c r="D297" s="1117"/>
    </row>
    <row r="298" spans="1:4" ht="13.5" thickBot="1">
      <c r="A298" s="278"/>
      <c r="B298" s="278"/>
      <c r="C298" s="278"/>
      <c r="D298" s="278"/>
    </row>
    <row r="299" spans="1:4" ht="13.5" thickBot="1">
      <c r="A299" s="290"/>
      <c r="B299" s="290"/>
      <c r="C299" s="278"/>
      <c r="D299" s="290"/>
    </row>
    <row r="300" spans="1:4" ht="13.5" thickBot="1">
      <c r="A300" s="290"/>
      <c r="B300" s="290"/>
      <c r="C300" s="278"/>
      <c r="D300" s="290"/>
    </row>
    <row r="301" spans="1:4" ht="13.5" thickBot="1">
      <c r="A301" s="290"/>
      <c r="B301" s="290"/>
      <c r="C301" s="278"/>
      <c r="D301" s="290"/>
    </row>
    <row r="302" spans="1:4" ht="13.5" thickBot="1">
      <c r="A302" s="290"/>
      <c r="B302" s="290"/>
      <c r="C302" s="278"/>
      <c r="D302" s="290"/>
    </row>
    <row r="303" spans="1:4" ht="13.5" thickBot="1">
      <c r="A303" s="290"/>
      <c r="B303" s="290"/>
      <c r="C303" s="278"/>
      <c r="D303" s="290"/>
    </row>
    <row r="304" spans="1:4" ht="13.5" thickBot="1">
      <c r="A304" s="290"/>
      <c r="B304" s="290"/>
      <c r="C304" s="278"/>
      <c r="D304" s="290"/>
    </row>
    <row r="305" spans="1:4" ht="13.5" thickBot="1">
      <c r="A305" s="290"/>
      <c r="B305" s="290"/>
      <c r="C305" s="321"/>
      <c r="D305" s="290"/>
    </row>
    <row r="306" spans="1:4" ht="12.75">
      <c r="A306" s="290"/>
      <c r="B306" s="290"/>
      <c r="C306" s="278"/>
      <c r="D306" s="290"/>
    </row>
    <row r="307" spans="1:4" ht="12.75">
      <c r="A307" s="290"/>
      <c r="B307" s="290"/>
      <c r="C307" s="290"/>
      <c r="D307" s="290"/>
    </row>
    <row r="308" spans="1:4" ht="12.75">
      <c r="A308" s="290"/>
      <c r="B308" s="290"/>
      <c r="C308" s="290"/>
      <c r="D308" s="290"/>
    </row>
    <row r="309" spans="1:4" ht="12.75">
      <c r="A309" s="290"/>
      <c r="B309" s="290"/>
      <c r="C309" s="290"/>
      <c r="D309" s="290"/>
    </row>
    <row r="310" spans="1:4" ht="13.5" thickBot="1">
      <c r="A310" s="291"/>
      <c r="B310" s="291"/>
      <c r="C310" s="291"/>
      <c r="D310" s="291"/>
    </row>
    <row r="311" spans="1:4" ht="70.5" customHeight="1" thickBot="1">
      <c r="A311" s="350" t="s">
        <v>869</v>
      </c>
      <c r="B311" s="326" t="s">
        <v>870</v>
      </c>
      <c r="C311" s="265" t="s">
        <v>871</v>
      </c>
      <c r="D311" s="327" t="s">
        <v>872</v>
      </c>
    </row>
    <row r="312" spans="1:4" ht="17.25" customHeight="1" thickTop="1">
      <c r="A312" s="382" t="s">
        <v>2031</v>
      </c>
      <c r="B312" s="332"/>
      <c r="C312" s="333"/>
      <c r="D312" s="334"/>
    </row>
    <row r="313" spans="1:4" ht="15.75">
      <c r="A313" s="383" t="s">
        <v>909</v>
      </c>
      <c r="B313" s="336">
        <v>1</v>
      </c>
      <c r="C313" s="337"/>
      <c r="D313" s="338">
        <v>3000</v>
      </c>
    </row>
    <row r="314" spans="1:4" ht="15.75">
      <c r="A314" s="1102" t="s">
        <v>2078</v>
      </c>
      <c r="B314" s="336">
        <v>2</v>
      </c>
      <c r="C314" s="337"/>
      <c r="D314" s="338">
        <v>2200</v>
      </c>
    </row>
    <row r="315" spans="1:4" ht="15.75">
      <c r="A315" s="1102"/>
      <c r="B315" s="336">
        <v>3</v>
      </c>
      <c r="C315" s="337"/>
      <c r="D315" s="338">
        <v>1600</v>
      </c>
    </row>
    <row r="316" spans="1:4" ht="15.75">
      <c r="A316" s="1102"/>
      <c r="B316" s="336">
        <v>4</v>
      </c>
      <c r="C316" s="337"/>
      <c r="D316" s="338">
        <v>1300</v>
      </c>
    </row>
    <row r="317" spans="1:4" ht="15.75">
      <c r="A317" s="1102"/>
      <c r="B317" s="336">
        <v>5</v>
      </c>
      <c r="C317" s="337"/>
      <c r="D317" s="338">
        <v>1150</v>
      </c>
    </row>
    <row r="318" spans="1:4" ht="15.75">
      <c r="A318" s="1102"/>
      <c r="B318" s="336">
        <v>6</v>
      </c>
      <c r="C318" s="337"/>
      <c r="D318" s="338">
        <v>950</v>
      </c>
    </row>
    <row r="319" spans="1:4" ht="15.75">
      <c r="A319" s="1102"/>
      <c r="B319" s="336">
        <v>7</v>
      </c>
      <c r="C319" s="337"/>
      <c r="D319" s="338">
        <v>850</v>
      </c>
    </row>
    <row r="320" spans="1:4" ht="15.75">
      <c r="A320" s="1102"/>
      <c r="B320" s="336">
        <v>8</v>
      </c>
      <c r="C320" s="337"/>
      <c r="D320" s="338">
        <v>750</v>
      </c>
    </row>
    <row r="321" spans="1:4" ht="15.75">
      <c r="A321" s="1102"/>
      <c r="B321" s="336"/>
      <c r="C321" s="337"/>
      <c r="D321" s="338"/>
    </row>
    <row r="322" spans="1:4" ht="15.75">
      <c r="A322" s="1149" t="s">
        <v>2077</v>
      </c>
      <c r="B322" s="336">
        <v>1</v>
      </c>
      <c r="C322" s="337"/>
      <c r="D322" s="338">
        <v>3000</v>
      </c>
    </row>
    <row r="323" spans="1:4" ht="15.75">
      <c r="A323" s="1149"/>
      <c r="B323" s="336">
        <v>2</v>
      </c>
      <c r="C323" s="337"/>
      <c r="D323" s="338">
        <v>2200</v>
      </c>
    </row>
    <row r="324" spans="1:4" ht="15.75">
      <c r="A324" s="1149"/>
      <c r="B324" s="336">
        <v>3</v>
      </c>
      <c r="C324" s="337"/>
      <c r="D324" s="338">
        <v>1600</v>
      </c>
    </row>
    <row r="325" spans="1:4" ht="15.75">
      <c r="A325" s="1149"/>
      <c r="B325" s="336">
        <v>4</v>
      </c>
      <c r="C325" s="337"/>
      <c r="D325" s="338">
        <v>1100</v>
      </c>
    </row>
    <row r="326" spans="1:4" ht="15.75">
      <c r="A326" s="1149"/>
      <c r="B326" s="336">
        <v>5</v>
      </c>
      <c r="C326" s="337"/>
      <c r="D326" s="338">
        <v>900</v>
      </c>
    </row>
    <row r="327" spans="1:4" ht="15.75">
      <c r="A327" s="1149"/>
      <c r="B327" s="336">
        <v>6</v>
      </c>
      <c r="C327" s="337"/>
      <c r="D327" s="338">
        <v>800</v>
      </c>
    </row>
    <row r="328" spans="1:4" ht="15.75">
      <c r="A328" s="1149"/>
      <c r="B328" s="336">
        <v>7</v>
      </c>
      <c r="C328" s="337"/>
      <c r="D328" s="338">
        <v>500</v>
      </c>
    </row>
    <row r="329" spans="1:4" ht="15.75">
      <c r="A329" s="1149"/>
      <c r="B329" s="336">
        <v>8</v>
      </c>
      <c r="C329" s="337"/>
      <c r="D329" s="338">
        <v>450</v>
      </c>
    </row>
    <row r="330" spans="1:4" ht="15.75">
      <c r="A330" s="340" t="s">
        <v>2080</v>
      </c>
      <c r="B330" s="336"/>
      <c r="C330" s="337"/>
      <c r="D330" s="338"/>
    </row>
    <row r="331" spans="1:4" ht="15.75">
      <c r="A331" s="1149" t="s">
        <v>911</v>
      </c>
      <c r="B331" s="336">
        <v>1</v>
      </c>
      <c r="C331" s="337">
        <v>2600</v>
      </c>
      <c r="D331" s="384">
        <v>3000</v>
      </c>
    </row>
    <row r="332" spans="1:4" ht="15.75">
      <c r="A332" s="1149"/>
      <c r="B332" s="336">
        <v>2</v>
      </c>
      <c r="C332" s="337">
        <v>1900</v>
      </c>
      <c r="D332" s="384">
        <v>2200</v>
      </c>
    </row>
    <row r="333" spans="1:4" ht="15.75">
      <c r="A333" s="1149"/>
      <c r="B333" s="336">
        <v>3</v>
      </c>
      <c r="C333" s="337">
        <v>1350</v>
      </c>
      <c r="D333" s="384">
        <v>1600</v>
      </c>
    </row>
    <row r="334" spans="1:4" ht="15.75">
      <c r="A334" s="1149"/>
      <c r="B334" s="336">
        <v>4</v>
      </c>
      <c r="C334" s="337">
        <v>1300</v>
      </c>
      <c r="D334" s="384">
        <v>1500</v>
      </c>
    </row>
    <row r="335" spans="1:4" ht="15.75">
      <c r="A335" s="1149"/>
      <c r="B335" s="336">
        <v>5</v>
      </c>
      <c r="C335" s="337">
        <v>1000</v>
      </c>
      <c r="D335" s="384">
        <v>1200</v>
      </c>
    </row>
    <row r="336" spans="1:4" ht="15.75">
      <c r="A336" s="1149"/>
      <c r="B336" s="336">
        <v>6</v>
      </c>
      <c r="C336" s="337">
        <v>900</v>
      </c>
      <c r="D336" s="384">
        <v>1100</v>
      </c>
    </row>
    <row r="337" spans="1:4" ht="15.75">
      <c r="A337" s="1149"/>
      <c r="B337" s="336">
        <v>7</v>
      </c>
      <c r="C337" s="337">
        <v>800</v>
      </c>
      <c r="D337" s="384">
        <v>900</v>
      </c>
    </row>
    <row r="338" spans="1:4" ht="15.75">
      <c r="A338" s="1149"/>
      <c r="B338" s="336">
        <v>8</v>
      </c>
      <c r="C338" s="337">
        <v>700</v>
      </c>
      <c r="D338" s="384">
        <v>800</v>
      </c>
    </row>
    <row r="339" spans="1:4" ht="12" customHeight="1">
      <c r="A339" s="385" t="s">
        <v>2079</v>
      </c>
      <c r="B339" s="336"/>
      <c r="C339" s="337"/>
      <c r="D339" s="386" t="s">
        <v>1941</v>
      </c>
    </row>
    <row r="340" spans="1:4" ht="14.25" customHeight="1">
      <c r="A340" s="385" t="s">
        <v>916</v>
      </c>
      <c r="B340" s="336"/>
      <c r="C340" s="337"/>
      <c r="D340" s="386"/>
    </row>
    <row r="341" spans="1:4" ht="15.75">
      <c r="A341" s="1113" t="s">
        <v>917</v>
      </c>
      <c r="B341" s="336">
        <v>1</v>
      </c>
      <c r="C341" s="337"/>
      <c r="D341" s="386">
        <v>3000</v>
      </c>
    </row>
    <row r="342" spans="1:4" ht="15.75">
      <c r="A342" s="1113"/>
      <c r="B342" s="336">
        <v>2</v>
      </c>
      <c r="C342" s="337"/>
      <c r="D342" s="386">
        <v>2200</v>
      </c>
    </row>
    <row r="343" spans="1:4" ht="15.75">
      <c r="A343" s="1113"/>
      <c r="B343" s="336">
        <v>3</v>
      </c>
      <c r="C343" s="337"/>
      <c r="D343" s="386">
        <v>1600</v>
      </c>
    </row>
    <row r="344" spans="1:4" ht="15.75">
      <c r="A344" s="1113"/>
      <c r="B344" s="336">
        <v>4</v>
      </c>
      <c r="C344" s="337"/>
      <c r="D344" s="386">
        <v>1100</v>
      </c>
    </row>
    <row r="345" spans="1:4" ht="15.75">
      <c r="A345" s="1113"/>
      <c r="B345" s="336">
        <v>5</v>
      </c>
      <c r="C345" s="337"/>
      <c r="D345" s="386" t="s">
        <v>912</v>
      </c>
    </row>
    <row r="346" spans="1:4" ht="15.75">
      <c r="A346" s="1113"/>
      <c r="B346" s="336">
        <v>6</v>
      </c>
      <c r="C346" s="337"/>
      <c r="D346" s="386" t="s">
        <v>913</v>
      </c>
    </row>
    <row r="347" spans="1:4" ht="15.75">
      <c r="A347" s="1113"/>
      <c r="B347" s="336">
        <v>7</v>
      </c>
      <c r="C347" s="337"/>
      <c r="D347" s="386" t="s">
        <v>914</v>
      </c>
    </row>
    <row r="348" spans="1:4" ht="15.75">
      <c r="A348" s="1113"/>
      <c r="B348" s="336">
        <v>8</v>
      </c>
      <c r="C348" s="337"/>
      <c r="D348" s="386" t="s">
        <v>915</v>
      </c>
    </row>
    <row r="349" spans="1:4" ht="15.75">
      <c r="A349" s="1113" t="s">
        <v>918</v>
      </c>
      <c r="B349" s="336">
        <v>1</v>
      </c>
      <c r="C349" s="337"/>
      <c r="D349" s="386" t="s">
        <v>919</v>
      </c>
    </row>
    <row r="350" spans="1:4" ht="15.75">
      <c r="A350" s="1113"/>
      <c r="B350" s="336">
        <v>2</v>
      </c>
      <c r="C350" s="337"/>
      <c r="D350" s="386" t="s">
        <v>920</v>
      </c>
    </row>
    <row r="351" spans="1:4" ht="15.75">
      <c r="A351" s="1113"/>
      <c r="B351" s="336">
        <v>3</v>
      </c>
      <c r="C351" s="337"/>
      <c r="D351" s="386" t="s">
        <v>921</v>
      </c>
    </row>
    <row r="352" spans="1:4" ht="15.75">
      <c r="A352" s="1113"/>
      <c r="B352" s="336">
        <v>4</v>
      </c>
      <c r="C352" s="337"/>
      <c r="D352" s="386" t="s">
        <v>922</v>
      </c>
    </row>
    <row r="353" spans="1:4" ht="15.75">
      <c r="A353" s="1113" t="s">
        <v>923</v>
      </c>
      <c r="B353" s="336">
        <v>1</v>
      </c>
      <c r="C353" s="337"/>
      <c r="D353" s="338">
        <v>1500</v>
      </c>
    </row>
    <row r="354" spans="1:4" ht="15.75">
      <c r="A354" s="1113"/>
      <c r="B354" s="336">
        <v>2</v>
      </c>
      <c r="C354" s="337">
        <v>6100</v>
      </c>
      <c r="D354" s="338">
        <v>1100</v>
      </c>
    </row>
    <row r="355" spans="1:4" ht="15.75">
      <c r="A355" s="1113"/>
      <c r="B355" s="336">
        <v>3</v>
      </c>
      <c r="C355" s="337"/>
      <c r="D355" s="338">
        <v>800</v>
      </c>
    </row>
    <row r="356" spans="1:4" ht="16.5" thickBot="1">
      <c r="A356" s="1114"/>
      <c r="B356" s="342">
        <v>4</v>
      </c>
      <c r="C356" s="343">
        <v>3800</v>
      </c>
      <c r="D356" s="344">
        <v>650</v>
      </c>
    </row>
    <row r="357" spans="1:4" ht="31.5" customHeight="1" thickTop="1" thickBot="1">
      <c r="A357" s="1118" t="s">
        <v>927</v>
      </c>
      <c r="B357" s="1118"/>
      <c r="C357" s="1118"/>
      <c r="D357" s="1118"/>
    </row>
    <row r="358" spans="1:4" ht="71.25" customHeight="1" thickBot="1">
      <c r="A358" s="281" t="s">
        <v>869</v>
      </c>
      <c r="B358" s="274" t="s">
        <v>870</v>
      </c>
      <c r="C358" s="265" t="s">
        <v>871</v>
      </c>
      <c r="D358" s="266" t="s">
        <v>872</v>
      </c>
    </row>
    <row r="359" spans="1:4" ht="15.75">
      <c r="A359" s="280" t="s">
        <v>924</v>
      </c>
      <c r="B359" s="267"/>
      <c r="C359" s="268"/>
      <c r="D359" s="275"/>
    </row>
    <row r="360" spans="1:4" ht="15.75">
      <c r="A360" s="280" t="s">
        <v>925</v>
      </c>
      <c r="B360" s="267">
        <v>1</v>
      </c>
      <c r="C360" s="268"/>
      <c r="D360" s="275">
        <v>7000</v>
      </c>
    </row>
    <row r="361" spans="1:4" ht="29.25" customHeight="1">
      <c r="A361" s="280" t="s">
        <v>926</v>
      </c>
      <c r="B361" s="267">
        <v>1</v>
      </c>
      <c r="C361" s="268"/>
      <c r="D361" s="275">
        <v>4300</v>
      </c>
    </row>
    <row r="362" spans="1:4" ht="17.25" customHeight="1">
      <c r="A362" s="280" t="s">
        <v>2081</v>
      </c>
      <c r="B362" s="267">
        <v>1</v>
      </c>
      <c r="C362" s="270">
        <v>3200</v>
      </c>
      <c r="D362" s="269">
        <v>3600</v>
      </c>
    </row>
    <row r="363" spans="1:4" ht="15.75">
      <c r="A363" s="1115" t="s">
        <v>2941</v>
      </c>
      <c r="B363" s="267">
        <v>1</v>
      </c>
      <c r="C363" s="270">
        <v>2600</v>
      </c>
      <c r="D363" s="269">
        <v>3000</v>
      </c>
    </row>
    <row r="364" spans="1:4" ht="15.75">
      <c r="A364" s="1115"/>
      <c r="B364" s="267">
        <v>2</v>
      </c>
      <c r="C364" s="270">
        <v>1900</v>
      </c>
      <c r="D364" s="269">
        <v>2200</v>
      </c>
    </row>
    <row r="365" spans="1:4" ht="15.75">
      <c r="A365" s="1115"/>
      <c r="B365" s="267">
        <v>3</v>
      </c>
      <c r="C365" s="270">
        <v>1350</v>
      </c>
      <c r="D365" s="269">
        <v>1600</v>
      </c>
    </row>
    <row r="366" spans="1:4" ht="15.75">
      <c r="A366" s="1115"/>
      <c r="B366" s="267">
        <v>4</v>
      </c>
      <c r="C366" s="270">
        <v>900</v>
      </c>
      <c r="D366" s="269">
        <v>1100</v>
      </c>
    </row>
    <row r="367" spans="1:4" ht="15.75">
      <c r="A367" s="280" t="s">
        <v>928</v>
      </c>
      <c r="B367" s="267"/>
      <c r="C367" s="270"/>
      <c r="D367" s="269"/>
    </row>
    <row r="368" spans="1:4" ht="15.75">
      <c r="A368" s="1119" t="s">
        <v>929</v>
      </c>
      <c r="B368" s="267">
        <v>1</v>
      </c>
      <c r="C368" s="270"/>
      <c r="D368" s="269">
        <v>2200</v>
      </c>
    </row>
    <row r="369" spans="1:4" ht="15.75">
      <c r="A369" s="1119"/>
      <c r="B369" s="267">
        <v>2</v>
      </c>
      <c r="C369" s="270"/>
      <c r="D369" s="269">
        <v>1600</v>
      </c>
    </row>
    <row r="370" spans="1:4" ht="15.75">
      <c r="A370" s="1119"/>
      <c r="B370" s="267">
        <v>3</v>
      </c>
      <c r="C370" s="270"/>
      <c r="D370" s="269">
        <v>1100</v>
      </c>
    </row>
    <row r="371" spans="1:4" ht="15.75">
      <c r="A371" s="1119"/>
      <c r="B371" s="267">
        <v>4</v>
      </c>
      <c r="C371" s="270"/>
      <c r="D371" s="269">
        <v>800</v>
      </c>
    </row>
    <row r="372" spans="1:4" ht="15.75">
      <c r="A372" s="1119" t="s">
        <v>930</v>
      </c>
      <c r="B372" s="267">
        <v>1</v>
      </c>
      <c r="C372" s="270">
        <v>1350</v>
      </c>
      <c r="D372" s="269">
        <v>1500</v>
      </c>
    </row>
    <row r="373" spans="1:4" ht="15.75">
      <c r="A373" s="1119"/>
      <c r="B373" s="267">
        <v>2</v>
      </c>
      <c r="C373" s="270">
        <v>900</v>
      </c>
      <c r="D373" s="269">
        <v>1100</v>
      </c>
    </row>
    <row r="374" spans="1:4" ht="15.75">
      <c r="A374" s="1119"/>
      <c r="B374" s="267">
        <v>3</v>
      </c>
      <c r="C374" s="270">
        <v>700</v>
      </c>
      <c r="D374" s="269">
        <v>800</v>
      </c>
    </row>
    <row r="375" spans="1:4" ht="21.75" customHeight="1" thickBot="1">
      <c r="A375" s="1120"/>
      <c r="B375" s="267">
        <v>4</v>
      </c>
      <c r="C375" s="270"/>
      <c r="D375" s="269">
        <v>650</v>
      </c>
    </row>
    <row r="376" spans="1:4" ht="26.25" customHeight="1" thickBot="1">
      <c r="A376" s="1117" t="s">
        <v>931</v>
      </c>
      <c r="B376" s="1117"/>
      <c r="C376" s="1117"/>
      <c r="D376" s="1117"/>
    </row>
    <row r="377" spans="1:4" ht="69.75" customHeight="1" thickBot="1">
      <c r="A377" s="350" t="s">
        <v>869</v>
      </c>
      <c r="B377" s="326" t="s">
        <v>870</v>
      </c>
      <c r="C377" s="265" t="s">
        <v>871</v>
      </c>
      <c r="D377" s="327" t="s">
        <v>872</v>
      </c>
    </row>
    <row r="378" spans="1:4" ht="16.5" thickTop="1">
      <c r="A378" s="374" t="s">
        <v>932</v>
      </c>
      <c r="B378" s="332"/>
      <c r="C378" s="375"/>
      <c r="D378" s="334"/>
    </row>
    <row r="379" spans="1:4" ht="15.75">
      <c r="A379" s="383" t="s">
        <v>2032</v>
      </c>
      <c r="B379" s="336">
        <v>1</v>
      </c>
      <c r="C379" s="351">
        <v>6600</v>
      </c>
      <c r="D379" s="338">
        <v>7600</v>
      </c>
    </row>
    <row r="380" spans="1:4" ht="15.75">
      <c r="A380" s="383" t="s">
        <v>933</v>
      </c>
      <c r="B380" s="336">
        <v>1</v>
      </c>
      <c r="C380" s="351">
        <v>6100</v>
      </c>
      <c r="D380" s="338">
        <v>7000</v>
      </c>
    </row>
    <row r="381" spans="1:4" ht="52.5">
      <c r="A381" s="387" t="s">
        <v>2033</v>
      </c>
      <c r="B381" s="388" t="s">
        <v>2942</v>
      </c>
      <c r="C381" s="351"/>
      <c r="D381" s="338">
        <v>5800</v>
      </c>
    </row>
    <row r="382" spans="1:4" ht="54.75" customHeight="1">
      <c r="A382" s="1102" t="s">
        <v>2034</v>
      </c>
      <c r="B382" s="388" t="s">
        <v>2942</v>
      </c>
      <c r="C382" s="351">
        <v>4100</v>
      </c>
      <c r="D382" s="338">
        <v>4800</v>
      </c>
    </row>
    <row r="383" spans="1:4" ht="15.75">
      <c r="A383" s="1102"/>
      <c r="B383" s="336">
        <v>1</v>
      </c>
      <c r="C383" s="351">
        <v>3500</v>
      </c>
      <c r="D383" s="338">
        <v>4000</v>
      </c>
    </row>
    <row r="384" spans="1:4" ht="15.75">
      <c r="A384" s="1102"/>
      <c r="B384" s="336">
        <v>2</v>
      </c>
      <c r="C384" s="351">
        <v>3200</v>
      </c>
      <c r="D384" s="338">
        <v>3600</v>
      </c>
    </row>
    <row r="385" spans="1:4" ht="15.75">
      <c r="A385" s="1102"/>
      <c r="B385" s="336">
        <v>3</v>
      </c>
      <c r="C385" s="351">
        <v>2600</v>
      </c>
      <c r="D385" s="338">
        <v>3000</v>
      </c>
    </row>
    <row r="386" spans="1:4" ht="15.75">
      <c r="A386" s="1102"/>
      <c r="B386" s="336">
        <v>4</v>
      </c>
      <c r="C386" s="351">
        <v>1900</v>
      </c>
      <c r="D386" s="338">
        <v>2300</v>
      </c>
    </row>
    <row r="387" spans="1:4" ht="15.75">
      <c r="A387" s="1102"/>
      <c r="B387" s="336">
        <v>5</v>
      </c>
      <c r="C387" s="351">
        <v>1800</v>
      </c>
      <c r="D387" s="338">
        <v>2200</v>
      </c>
    </row>
    <row r="388" spans="1:4" ht="15.75">
      <c r="A388" s="1102"/>
      <c r="B388" s="336">
        <v>6</v>
      </c>
      <c r="C388" s="351">
        <v>1450</v>
      </c>
      <c r="D388" s="338">
        <v>1600</v>
      </c>
    </row>
    <row r="389" spans="1:4" ht="15.75">
      <c r="A389" s="1102"/>
      <c r="B389" s="336">
        <v>7</v>
      </c>
      <c r="C389" s="351">
        <v>1350</v>
      </c>
      <c r="D389" s="338">
        <v>1500</v>
      </c>
    </row>
    <row r="390" spans="1:4" ht="15.75">
      <c r="A390" s="1102"/>
      <c r="B390" s="336">
        <v>8</v>
      </c>
      <c r="C390" s="351">
        <v>1100</v>
      </c>
      <c r="D390" s="338">
        <v>1300</v>
      </c>
    </row>
    <row r="391" spans="1:4" ht="16.5" thickBot="1">
      <c r="A391" s="1103"/>
      <c r="B391" s="342">
        <v>9</v>
      </c>
      <c r="C391" s="377">
        <v>950</v>
      </c>
      <c r="D391" s="344">
        <v>1150</v>
      </c>
    </row>
    <row r="392" spans="1:4" ht="31.5" customHeight="1" thickTop="1">
      <c r="A392" s="1116" t="s">
        <v>934</v>
      </c>
      <c r="B392" s="1116"/>
      <c r="C392" s="1116"/>
      <c r="D392" s="1116"/>
    </row>
    <row r="393" spans="1:4" ht="22.5" customHeight="1">
      <c r="A393" s="1116" t="s">
        <v>935</v>
      </c>
      <c r="B393" s="1116"/>
      <c r="C393" s="1116"/>
      <c r="D393" s="1116"/>
    </row>
    <row r="394" spans="1:4" ht="12.75">
      <c r="A394" s="1123" t="s">
        <v>1942</v>
      </c>
      <c r="B394" s="1123"/>
      <c r="C394" s="1123"/>
      <c r="D394" s="1123"/>
    </row>
    <row r="395" spans="1:4" ht="12.75">
      <c r="A395" s="1123" t="s">
        <v>1943</v>
      </c>
      <c r="B395" s="1123"/>
      <c r="C395" s="1123"/>
      <c r="D395" s="1123"/>
    </row>
    <row r="396" spans="1:4" ht="13.5" thickBot="1">
      <c r="A396" s="1123" t="s">
        <v>1944</v>
      </c>
      <c r="B396" s="1123"/>
      <c r="C396" s="1123"/>
      <c r="D396" s="1123"/>
    </row>
    <row r="397" spans="1:4" ht="72.75" customHeight="1" thickBot="1">
      <c r="A397" s="350" t="s">
        <v>869</v>
      </c>
      <c r="B397" s="326" t="s">
        <v>870</v>
      </c>
      <c r="C397" s="265" t="s">
        <v>871</v>
      </c>
      <c r="D397" s="327" t="s">
        <v>872</v>
      </c>
    </row>
    <row r="398" spans="1:4" ht="16.5" thickTop="1">
      <c r="A398" s="382" t="s">
        <v>936</v>
      </c>
      <c r="B398" s="332"/>
      <c r="C398" s="375"/>
      <c r="D398" s="334"/>
    </row>
    <row r="399" spans="1:4" ht="121.5" customHeight="1">
      <c r="A399" s="392" t="s">
        <v>2865</v>
      </c>
      <c r="B399" s="336">
        <v>1</v>
      </c>
      <c r="C399" s="351">
        <v>3200</v>
      </c>
      <c r="D399" s="338">
        <v>3600</v>
      </c>
    </row>
    <row r="400" spans="1:4" ht="22.5">
      <c r="A400" s="393" t="s">
        <v>937</v>
      </c>
      <c r="B400" s="336"/>
      <c r="C400" s="351"/>
      <c r="D400" s="338"/>
    </row>
    <row r="401" spans="1:4" ht="204">
      <c r="A401" s="394" t="s">
        <v>2866</v>
      </c>
      <c r="B401" s="336">
        <v>1</v>
      </c>
      <c r="C401" s="351">
        <v>3200</v>
      </c>
      <c r="D401" s="338">
        <v>3600</v>
      </c>
    </row>
    <row r="402" spans="1:4" ht="117">
      <c r="A402" s="387" t="s">
        <v>2035</v>
      </c>
      <c r="B402" s="336">
        <v>1</v>
      </c>
      <c r="C402" s="351">
        <v>3200</v>
      </c>
      <c r="D402" s="338">
        <v>3600</v>
      </c>
    </row>
    <row r="403" spans="1:4" ht="15.75">
      <c r="A403" s="376" t="s">
        <v>938</v>
      </c>
      <c r="B403" s="336"/>
      <c r="C403" s="351"/>
      <c r="D403" s="338"/>
    </row>
    <row r="404" spans="1:4" ht="27.75" thickBot="1">
      <c r="A404" s="395" t="s">
        <v>2867</v>
      </c>
      <c r="B404" s="342"/>
      <c r="C404" s="377"/>
      <c r="D404" s="344"/>
    </row>
    <row r="405" spans="1:4" ht="16.5" thickTop="1">
      <c r="A405" s="390"/>
      <c r="B405" s="346"/>
      <c r="C405" s="391"/>
      <c r="D405" s="348"/>
    </row>
    <row r="406" spans="1:4" ht="15.75">
      <c r="A406" s="390"/>
      <c r="B406" s="346"/>
      <c r="C406" s="391"/>
      <c r="D406" s="348"/>
    </row>
    <row r="407" spans="1:4" ht="15.75">
      <c r="A407" s="390"/>
      <c r="B407" s="346"/>
      <c r="C407" s="391"/>
      <c r="D407" s="348"/>
    </row>
    <row r="408" spans="1:4" ht="15.75">
      <c r="A408" s="390"/>
      <c r="B408" s="346"/>
      <c r="C408" s="391"/>
      <c r="D408" s="348"/>
    </row>
    <row r="409" spans="1:4" ht="15.75">
      <c r="A409" s="390"/>
      <c r="B409" s="346"/>
      <c r="C409" s="391"/>
      <c r="D409" s="348"/>
    </row>
    <row r="410" spans="1:4" ht="15.75">
      <c r="A410" s="390"/>
      <c r="B410" s="346"/>
      <c r="C410" s="391"/>
      <c r="D410" s="348"/>
    </row>
    <row r="411" spans="1:4" ht="15.75">
      <c r="A411" s="390"/>
      <c r="B411" s="346"/>
      <c r="C411" s="391"/>
      <c r="D411" s="348"/>
    </row>
    <row r="412" spans="1:4" ht="15.75">
      <c r="A412" s="390"/>
      <c r="B412" s="346"/>
      <c r="C412" s="391"/>
      <c r="D412" s="348"/>
    </row>
    <row r="413" spans="1:4" ht="15.75">
      <c r="A413" s="390"/>
      <c r="B413" s="346"/>
      <c r="C413" s="391"/>
      <c r="D413" s="348"/>
    </row>
    <row r="414" spans="1:4" ht="15.75">
      <c r="A414" s="390"/>
      <c r="B414" s="346"/>
      <c r="C414" s="391"/>
      <c r="D414" s="348"/>
    </row>
    <row r="415" spans="1:4" ht="32.25" customHeight="1">
      <c r="A415" s="1122" t="s">
        <v>939</v>
      </c>
      <c r="B415" s="1122"/>
      <c r="C415" s="1122"/>
      <c r="D415" s="1122"/>
    </row>
    <row r="416" spans="1:4" ht="39" customHeight="1">
      <c r="A416" s="1121" t="s">
        <v>2868</v>
      </c>
      <c r="B416" s="1121"/>
      <c r="C416" s="1121"/>
      <c r="D416" s="1121"/>
    </row>
    <row r="417" spans="1:4" ht="64.5" customHeight="1">
      <c r="A417" s="1122" t="s">
        <v>940</v>
      </c>
      <c r="B417" s="1122"/>
      <c r="C417" s="1122"/>
      <c r="D417" s="1122"/>
    </row>
    <row r="418" spans="1:4" ht="32.25" customHeight="1">
      <c r="A418" s="1122" t="s">
        <v>1945</v>
      </c>
      <c r="B418" s="1122"/>
      <c r="C418" s="1122"/>
      <c r="D418" s="1122"/>
    </row>
    <row r="419" spans="1:4" ht="42" customHeight="1">
      <c r="A419" s="1122" t="s">
        <v>941</v>
      </c>
      <c r="B419" s="1122"/>
      <c r="C419" s="1122"/>
      <c r="D419" s="1122"/>
    </row>
    <row r="420" spans="1:4" ht="30" customHeight="1">
      <c r="A420" s="1122" t="s">
        <v>942</v>
      </c>
      <c r="B420" s="1122"/>
      <c r="C420" s="1122"/>
      <c r="D420" s="1122"/>
    </row>
    <row r="421" spans="1:4" ht="29.25" customHeight="1">
      <c r="A421" s="1122" t="s">
        <v>943</v>
      </c>
      <c r="B421" s="1122"/>
      <c r="C421" s="1122"/>
      <c r="D421" s="1122"/>
    </row>
    <row r="422" spans="1:4" ht="42" customHeight="1">
      <c r="A422" s="1122" t="s">
        <v>2869</v>
      </c>
      <c r="B422" s="1122"/>
      <c r="C422" s="1122"/>
      <c r="D422" s="1122"/>
    </row>
    <row r="423" spans="1:4" ht="19.5" customHeight="1">
      <c r="A423" s="1122" t="s">
        <v>944</v>
      </c>
      <c r="B423" s="1122"/>
      <c r="C423" s="1122"/>
      <c r="D423" s="1122"/>
    </row>
    <row r="424" spans="1:4" ht="30" customHeight="1">
      <c r="A424" s="1122" t="s">
        <v>945</v>
      </c>
      <c r="B424" s="1122"/>
      <c r="C424" s="1122"/>
      <c r="D424" s="1122"/>
    </row>
    <row r="425" spans="1:4" ht="32.25" customHeight="1">
      <c r="A425" s="1122" t="s">
        <v>2870</v>
      </c>
      <c r="B425" s="1122"/>
      <c r="C425" s="1122"/>
      <c r="D425" s="1122"/>
    </row>
    <row r="426" spans="1:4" ht="63.75" customHeight="1">
      <c r="A426" s="1122" t="s">
        <v>2908</v>
      </c>
      <c r="B426" s="1122"/>
      <c r="C426" s="1122"/>
      <c r="D426" s="1122"/>
    </row>
    <row r="427" spans="1:4" ht="47.25" customHeight="1">
      <c r="A427" s="1122" t="s">
        <v>946</v>
      </c>
      <c r="B427" s="1122"/>
      <c r="C427" s="1122"/>
      <c r="D427" s="1122"/>
    </row>
    <row r="428" spans="1:4" ht="54.75" customHeight="1">
      <c r="A428" s="1122" t="s">
        <v>2909</v>
      </c>
      <c r="B428" s="1122"/>
      <c r="C428" s="1122"/>
      <c r="D428" s="1122"/>
    </row>
    <row r="429" spans="1:4" ht="27.75" customHeight="1">
      <c r="A429" s="1122" t="s">
        <v>2871</v>
      </c>
      <c r="B429" s="1122"/>
      <c r="C429" s="1122"/>
      <c r="D429" s="1122"/>
    </row>
    <row r="430" spans="1:4" ht="35.25" customHeight="1">
      <c r="A430" s="1122" t="s">
        <v>947</v>
      </c>
      <c r="B430" s="1122"/>
      <c r="C430" s="1122"/>
      <c r="D430" s="1122"/>
    </row>
    <row r="431" spans="1:4" ht="29.25" customHeight="1">
      <c r="A431" s="1122" t="s">
        <v>2872</v>
      </c>
      <c r="B431" s="1122"/>
      <c r="C431" s="1122"/>
      <c r="D431" s="1122"/>
    </row>
    <row r="432" spans="1:4" ht="38.25" customHeight="1">
      <c r="A432" s="1122" t="s">
        <v>1946</v>
      </c>
      <c r="B432" s="1122"/>
      <c r="C432" s="1122"/>
      <c r="D432" s="1122"/>
    </row>
    <row r="433" spans="1:4" ht="25.5" customHeight="1">
      <c r="A433" s="1122" t="s">
        <v>2873</v>
      </c>
      <c r="B433" s="1122"/>
      <c r="C433" s="1122"/>
      <c r="D433" s="1122"/>
    </row>
    <row r="434" spans="1:4" ht="45" customHeight="1">
      <c r="A434" s="1122" t="s">
        <v>948</v>
      </c>
      <c r="B434" s="1122"/>
      <c r="C434" s="1122"/>
      <c r="D434" s="1122"/>
    </row>
    <row r="435" spans="1:4" ht="60" customHeight="1">
      <c r="A435" s="1122" t="s">
        <v>2910</v>
      </c>
      <c r="B435" s="1122"/>
      <c r="C435" s="1122"/>
      <c r="D435" s="1122"/>
    </row>
    <row r="436" spans="1:4" ht="33" customHeight="1">
      <c r="A436" s="1122" t="s">
        <v>949</v>
      </c>
      <c r="B436" s="1122"/>
      <c r="C436" s="1122"/>
      <c r="D436" s="1122"/>
    </row>
    <row r="437" spans="1:4" ht="46.5" customHeight="1">
      <c r="A437" s="1122" t="s">
        <v>950</v>
      </c>
      <c r="B437" s="1122"/>
      <c r="C437" s="1122"/>
      <c r="D437" s="1122"/>
    </row>
    <row r="438" spans="1:4" ht="57" customHeight="1">
      <c r="A438" s="1122" t="s">
        <v>2911</v>
      </c>
      <c r="B438" s="1122"/>
      <c r="C438" s="1122"/>
      <c r="D438" s="1122"/>
    </row>
    <row r="439" spans="1:4" ht="23.25" customHeight="1">
      <c r="A439" s="1122" t="s">
        <v>1947</v>
      </c>
      <c r="B439" s="1122"/>
      <c r="C439" s="1122"/>
      <c r="D439" s="1122"/>
    </row>
    <row r="440" spans="1:4" ht="27" customHeight="1">
      <c r="A440" s="1121" t="s">
        <v>2874</v>
      </c>
      <c r="B440" s="1121"/>
      <c r="C440" s="1121"/>
      <c r="D440" s="1121"/>
    </row>
    <row r="441" spans="1:4" ht="63" customHeight="1">
      <c r="A441" s="1122" t="s">
        <v>2875</v>
      </c>
      <c r="B441" s="1122"/>
      <c r="C441" s="1122"/>
      <c r="D441" s="1122"/>
    </row>
    <row r="442" spans="1:4" ht="39" customHeight="1">
      <c r="A442" s="1122" t="s">
        <v>2876</v>
      </c>
      <c r="B442" s="1122"/>
      <c r="C442" s="1122"/>
      <c r="D442" s="1122"/>
    </row>
    <row r="443" spans="1:4" ht="39" customHeight="1">
      <c r="A443" s="1122" t="s">
        <v>1948</v>
      </c>
      <c r="B443" s="1122"/>
      <c r="C443" s="1122"/>
      <c r="D443" s="1122"/>
    </row>
    <row r="444" spans="1:4" ht="39" customHeight="1">
      <c r="A444" s="1122" t="s">
        <v>2877</v>
      </c>
      <c r="B444" s="1122"/>
      <c r="C444" s="1122"/>
      <c r="D444" s="1122"/>
    </row>
    <row r="445" spans="1:4" ht="39" customHeight="1">
      <c r="A445" s="1151" t="s">
        <v>2878</v>
      </c>
      <c r="B445" s="1151"/>
      <c r="C445" s="1151"/>
      <c r="D445" s="1151"/>
    </row>
    <row r="446" spans="1:4" ht="39.75" customHeight="1">
      <c r="A446" s="1112" t="s">
        <v>2879</v>
      </c>
      <c r="B446" s="1112"/>
      <c r="C446" s="1112"/>
      <c r="D446" s="1112"/>
    </row>
    <row r="447" spans="1:4" ht="39.75" customHeight="1">
      <c r="A447" s="397"/>
      <c r="B447" s="397"/>
      <c r="C447" s="397"/>
      <c r="D447" s="397"/>
    </row>
    <row r="448" spans="1:4" ht="39.75" customHeight="1">
      <c r="A448" s="362"/>
      <c r="B448" s="362"/>
      <c r="C448" s="362"/>
      <c r="D448" s="362"/>
    </row>
    <row r="449" spans="1:4" ht="39.75" customHeight="1">
      <c r="A449" s="362"/>
      <c r="B449" s="362"/>
      <c r="C449" s="362"/>
      <c r="D449" s="362"/>
    </row>
    <row r="450" spans="1:4" ht="39.75" customHeight="1">
      <c r="A450" s="362"/>
      <c r="B450" s="362"/>
      <c r="C450" s="362"/>
      <c r="D450" s="362"/>
    </row>
    <row r="451" spans="1:4" ht="39.75" customHeight="1">
      <c r="A451" s="362"/>
      <c r="B451" s="362"/>
      <c r="C451" s="362"/>
      <c r="D451" s="362"/>
    </row>
    <row r="452" spans="1:4" ht="39.75" customHeight="1" thickBot="1">
      <c r="A452" s="396"/>
      <c r="B452" s="396"/>
      <c r="C452" s="396"/>
      <c r="D452" s="396"/>
    </row>
    <row r="453" spans="1:4" ht="79.5" customHeight="1" thickBot="1">
      <c r="A453" s="350" t="s">
        <v>869</v>
      </c>
      <c r="B453" s="326" t="s">
        <v>870</v>
      </c>
      <c r="C453" s="265" t="s">
        <v>871</v>
      </c>
      <c r="D453" s="327" t="s">
        <v>872</v>
      </c>
    </row>
    <row r="454" spans="1:4" ht="16.5" thickTop="1">
      <c r="A454" s="374" t="s">
        <v>951</v>
      </c>
      <c r="B454" s="398"/>
      <c r="C454" s="375"/>
      <c r="D454" s="334"/>
    </row>
    <row r="455" spans="1:4" ht="161.25" customHeight="1" thickBot="1">
      <c r="A455" s="399" t="s">
        <v>2880</v>
      </c>
      <c r="B455" s="380">
        <v>1</v>
      </c>
      <c r="C455" s="400">
        <v>2600</v>
      </c>
      <c r="D455" s="381">
        <v>3000</v>
      </c>
    </row>
    <row r="456" spans="1:4" ht="24.75" customHeight="1">
      <c r="A456" s="390"/>
      <c r="B456" s="346"/>
      <c r="C456" s="391"/>
      <c r="D456" s="348"/>
    </row>
    <row r="457" spans="1:4" ht="33.75" customHeight="1">
      <c r="A457" s="1139" t="s">
        <v>2912</v>
      </c>
      <c r="B457" s="1139"/>
      <c r="C457" s="1139"/>
      <c r="D457" s="1139"/>
    </row>
    <row r="458" spans="1:4" ht="33.75" customHeight="1">
      <c r="A458" s="1139" t="s">
        <v>2913</v>
      </c>
      <c r="B458" s="1139"/>
      <c r="C458" s="1139"/>
      <c r="D458" s="1139"/>
    </row>
    <row r="459" spans="1:4" ht="33.75" customHeight="1">
      <c r="A459" s="1158" t="s">
        <v>2914</v>
      </c>
      <c r="B459" s="1158"/>
      <c r="C459" s="1158"/>
      <c r="D459" s="1158"/>
    </row>
    <row r="460" spans="1:4" ht="33.75" customHeight="1">
      <c r="A460" s="1139" t="s">
        <v>2915</v>
      </c>
      <c r="B460" s="1139"/>
      <c r="C460" s="1139"/>
      <c r="D460" s="1139"/>
    </row>
    <row r="461" spans="1:4" ht="33.75" customHeight="1">
      <c r="A461" s="1139" t="s">
        <v>2916</v>
      </c>
      <c r="B461" s="1139"/>
      <c r="C461" s="1139"/>
      <c r="D461" s="1139"/>
    </row>
    <row r="462" spans="1:4" ht="33.75" customHeight="1">
      <c r="A462" s="1139" t="s">
        <v>2917</v>
      </c>
      <c r="B462" s="1139"/>
      <c r="C462" s="1139"/>
      <c r="D462" s="1139"/>
    </row>
    <row r="463" spans="1:4" ht="33.75" customHeight="1">
      <c r="A463" s="1139" t="s">
        <v>2881</v>
      </c>
      <c r="B463" s="1139"/>
      <c r="C463" s="1139"/>
      <c r="D463" s="1139"/>
    </row>
    <row r="464" spans="1:4" ht="38.25" customHeight="1">
      <c r="A464" s="1139" t="s">
        <v>2882</v>
      </c>
      <c r="B464" s="1139"/>
      <c r="C464" s="1139"/>
      <c r="D464" s="1139"/>
    </row>
    <row r="465" spans="1:4" ht="38.25" customHeight="1">
      <c r="A465" s="1139" t="s">
        <v>2883</v>
      </c>
      <c r="B465" s="1139"/>
      <c r="C465" s="1139"/>
      <c r="D465" s="1139"/>
    </row>
    <row r="466" spans="1:4" ht="38.25" customHeight="1">
      <c r="A466" s="320"/>
      <c r="B466" s="320"/>
      <c r="C466" s="320"/>
      <c r="D466" s="320"/>
    </row>
    <row r="467" spans="1:4" ht="38.25" customHeight="1">
      <c r="A467" s="320"/>
      <c r="B467" s="320"/>
      <c r="C467" s="320"/>
      <c r="D467" s="320"/>
    </row>
    <row r="468" spans="1:4" ht="38.25" customHeight="1">
      <c r="A468" s="320"/>
      <c r="B468" s="320"/>
      <c r="C468" s="320"/>
      <c r="D468" s="320"/>
    </row>
    <row r="469" spans="1:4" ht="38.25" customHeight="1" thickBot="1">
      <c r="A469" s="320"/>
      <c r="B469" s="320"/>
      <c r="C469" s="320"/>
      <c r="D469" s="320"/>
    </row>
    <row r="470" spans="1:4" ht="78.75" customHeight="1" thickBot="1">
      <c r="A470" s="281" t="s">
        <v>869</v>
      </c>
      <c r="B470" s="274" t="s">
        <v>870</v>
      </c>
      <c r="C470" s="265" t="s">
        <v>871</v>
      </c>
      <c r="D470" s="266" t="s">
        <v>872</v>
      </c>
    </row>
    <row r="471" spans="1:4" ht="22.5">
      <c r="A471" s="277" t="s">
        <v>952</v>
      </c>
      <c r="B471" s="1152"/>
      <c r="C471" s="1154"/>
      <c r="D471" s="1156"/>
    </row>
    <row r="472" spans="1:4" ht="219" customHeight="1" thickBot="1">
      <c r="A472" s="389" t="s">
        <v>2884</v>
      </c>
      <c r="B472" s="1153"/>
      <c r="C472" s="1155"/>
      <c r="D472" s="1157"/>
    </row>
    <row r="473" spans="1:4" ht="9.75" customHeight="1">
      <c r="A473" s="401"/>
      <c r="B473" s="286"/>
      <c r="C473" s="402"/>
      <c r="D473" s="403"/>
    </row>
    <row r="474" spans="1:4" ht="51" customHeight="1">
      <c r="A474" s="1122" t="s">
        <v>2918</v>
      </c>
      <c r="B474" s="1122"/>
      <c r="C474" s="1122"/>
      <c r="D474" s="1122"/>
    </row>
    <row r="475" spans="1:4" ht="36.75" customHeight="1">
      <c r="A475" s="1122" t="s">
        <v>2919</v>
      </c>
      <c r="B475" s="1122"/>
      <c r="C475" s="1122"/>
      <c r="D475" s="1122"/>
    </row>
    <row r="476" spans="1:4" ht="36.75" customHeight="1">
      <c r="A476" s="1122" t="s">
        <v>2920</v>
      </c>
      <c r="B476" s="1122"/>
      <c r="C476" s="1122"/>
      <c r="D476" s="1122"/>
    </row>
    <row r="477" spans="1:4" ht="36.75" customHeight="1">
      <c r="A477" s="1122" t="s">
        <v>2921</v>
      </c>
      <c r="B477" s="1122"/>
      <c r="C477" s="1122"/>
      <c r="D477" s="1122"/>
    </row>
    <row r="478" spans="1:4" ht="36.75" customHeight="1">
      <c r="A478" s="1122" t="s">
        <v>2922</v>
      </c>
      <c r="B478" s="1122"/>
      <c r="C478" s="1122"/>
      <c r="D478" s="1122"/>
    </row>
    <row r="479" spans="1:4" ht="36.75" customHeight="1">
      <c r="A479" s="1122" t="s">
        <v>2923</v>
      </c>
      <c r="B479" s="1122"/>
      <c r="C479" s="1122"/>
      <c r="D479" s="1122"/>
    </row>
    <row r="480" spans="1:4" ht="30" customHeight="1">
      <c r="A480" s="1135" t="s">
        <v>2924</v>
      </c>
      <c r="B480" s="1135"/>
      <c r="C480" s="1135"/>
      <c r="D480" s="1135"/>
    </row>
    <row r="481" spans="1:4" ht="36.75" customHeight="1">
      <c r="A481" s="1122" t="s">
        <v>2885</v>
      </c>
      <c r="B481" s="1122"/>
      <c r="C481" s="1122"/>
      <c r="D481" s="1122"/>
    </row>
    <row r="482" spans="1:4" ht="34.5" customHeight="1">
      <c r="A482" s="1122" t="s">
        <v>2886</v>
      </c>
      <c r="B482" s="1122"/>
      <c r="C482" s="1122"/>
      <c r="D482" s="1122"/>
    </row>
    <row r="483" spans="1:4" ht="30" customHeight="1">
      <c r="A483" s="1122" t="s">
        <v>953</v>
      </c>
      <c r="B483" s="1122"/>
      <c r="C483" s="1122"/>
      <c r="D483" s="1122"/>
    </row>
    <row r="484" spans="1:4" ht="63.75" customHeight="1">
      <c r="A484" s="1122" t="s">
        <v>2925</v>
      </c>
      <c r="B484" s="1122"/>
      <c r="C484" s="1122"/>
      <c r="D484" s="1122"/>
    </row>
    <row r="485" spans="1:4" ht="42" customHeight="1">
      <c r="A485" s="1122" t="s">
        <v>1949</v>
      </c>
      <c r="B485" s="1122"/>
      <c r="C485" s="1122"/>
      <c r="D485" s="1122"/>
    </row>
    <row r="486" spans="1:4" ht="8.25" customHeight="1" thickBot="1">
      <c r="A486" s="290"/>
      <c r="B486" s="290"/>
      <c r="C486" s="290"/>
      <c r="D486" s="290"/>
    </row>
    <row r="487" spans="1:4" ht="70.5" customHeight="1" thickBot="1">
      <c r="A487" s="281" t="s">
        <v>869</v>
      </c>
      <c r="B487" s="274" t="s">
        <v>870</v>
      </c>
      <c r="C487" s="404" t="s">
        <v>871</v>
      </c>
      <c r="D487" s="266" t="s">
        <v>872</v>
      </c>
    </row>
    <row r="488" spans="1:4" ht="12.75" customHeight="1">
      <c r="A488" s="405" t="s">
        <v>954</v>
      </c>
      <c r="B488" s="1159"/>
      <c r="C488" s="1162"/>
      <c r="D488" s="1165"/>
    </row>
    <row r="489" spans="1:4" ht="12.75" customHeight="1">
      <c r="A489" s="406" t="s">
        <v>955</v>
      </c>
      <c r="B489" s="1160"/>
      <c r="C489" s="1163"/>
      <c r="D489" s="1166"/>
    </row>
    <row r="490" spans="1:4" ht="12.75" customHeight="1">
      <c r="A490" s="406" t="s">
        <v>956</v>
      </c>
      <c r="B490" s="1160"/>
      <c r="C490" s="1163"/>
      <c r="D490" s="1166"/>
    </row>
    <row r="491" spans="1:4" ht="12.75" customHeight="1">
      <c r="A491" s="406" t="s">
        <v>957</v>
      </c>
      <c r="B491" s="1160"/>
      <c r="C491" s="1163"/>
      <c r="D491" s="1166"/>
    </row>
    <row r="492" spans="1:4" ht="12.75">
      <c r="A492" s="406" t="s">
        <v>958</v>
      </c>
      <c r="B492" s="1160"/>
      <c r="C492" s="1163"/>
      <c r="D492" s="1166"/>
    </row>
    <row r="493" spans="1:4" ht="12.75" customHeight="1">
      <c r="A493" s="406" t="s">
        <v>959</v>
      </c>
      <c r="B493" s="1160"/>
      <c r="C493" s="1163"/>
      <c r="D493" s="1166"/>
    </row>
    <row r="494" spans="1:4" ht="12.75" customHeight="1">
      <c r="A494" s="406" t="s">
        <v>960</v>
      </c>
      <c r="B494" s="1160"/>
      <c r="C494" s="1163"/>
      <c r="D494" s="1166"/>
    </row>
    <row r="495" spans="1:4" ht="12.75" customHeight="1">
      <c r="A495" s="406" t="s">
        <v>961</v>
      </c>
      <c r="B495" s="1160"/>
      <c r="C495" s="1163"/>
      <c r="D495" s="1166"/>
    </row>
    <row r="496" spans="1:4" ht="12.75" customHeight="1">
      <c r="A496" s="406" t="s">
        <v>962</v>
      </c>
      <c r="B496" s="1160"/>
      <c r="C496" s="1163"/>
      <c r="D496" s="1166"/>
    </row>
    <row r="497" spans="1:4" ht="12.75" customHeight="1">
      <c r="A497" s="406" t="s">
        <v>963</v>
      </c>
      <c r="B497" s="1160"/>
      <c r="C497" s="1163"/>
      <c r="D497" s="1166"/>
    </row>
    <row r="498" spans="1:4" ht="12.75" customHeight="1">
      <c r="A498" s="406" t="s">
        <v>964</v>
      </c>
      <c r="B498" s="1160"/>
      <c r="C498" s="1163"/>
      <c r="D498" s="1166"/>
    </row>
    <row r="499" spans="1:4" ht="12.75" customHeight="1">
      <c r="A499" s="406" t="s">
        <v>965</v>
      </c>
      <c r="B499" s="1160"/>
      <c r="C499" s="1163"/>
      <c r="D499" s="1166"/>
    </row>
    <row r="500" spans="1:4" ht="12.75" customHeight="1">
      <c r="A500" s="406" t="s">
        <v>966</v>
      </c>
      <c r="B500" s="1160"/>
      <c r="C500" s="1163"/>
      <c r="D500" s="1166"/>
    </row>
    <row r="501" spans="1:4" ht="12.75" customHeight="1">
      <c r="A501" s="406" t="s">
        <v>967</v>
      </c>
      <c r="B501" s="1160"/>
      <c r="C501" s="1163"/>
      <c r="D501" s="1166"/>
    </row>
    <row r="502" spans="1:4" ht="12.75" customHeight="1">
      <c r="A502" s="406" t="s">
        <v>968</v>
      </c>
      <c r="B502" s="1160"/>
      <c r="C502" s="1163"/>
      <c r="D502" s="1166"/>
    </row>
    <row r="503" spans="1:4" ht="12.75" customHeight="1">
      <c r="A503" s="406" t="s">
        <v>969</v>
      </c>
      <c r="B503" s="1160"/>
      <c r="C503" s="1163"/>
      <c r="D503" s="1166"/>
    </row>
    <row r="504" spans="1:4" ht="12.75" customHeight="1">
      <c r="A504" s="406" t="s">
        <v>970</v>
      </c>
      <c r="B504" s="1160"/>
      <c r="C504" s="1163"/>
      <c r="D504" s="1166"/>
    </row>
    <row r="505" spans="1:4" ht="12.75" customHeight="1">
      <c r="A505" s="406" t="s">
        <v>971</v>
      </c>
      <c r="B505" s="1160"/>
      <c r="C505" s="1163"/>
      <c r="D505" s="1166"/>
    </row>
    <row r="506" spans="1:4" ht="12.75" customHeight="1">
      <c r="A506" s="406" t="s">
        <v>972</v>
      </c>
      <c r="B506" s="1160"/>
      <c r="C506" s="1163"/>
      <c r="D506" s="1166"/>
    </row>
    <row r="507" spans="1:4" ht="12.75" customHeight="1">
      <c r="A507" s="406" t="s">
        <v>973</v>
      </c>
      <c r="B507" s="1160"/>
      <c r="C507" s="1163"/>
      <c r="D507" s="1166"/>
    </row>
    <row r="508" spans="1:4" ht="12.75" customHeight="1">
      <c r="A508" s="406" t="s">
        <v>974</v>
      </c>
      <c r="B508" s="1160"/>
      <c r="C508" s="1163"/>
      <c r="D508" s="1166"/>
    </row>
    <row r="509" spans="1:4" ht="12.75" customHeight="1">
      <c r="A509" s="406" t="s">
        <v>975</v>
      </c>
      <c r="B509" s="1160"/>
      <c r="C509" s="1163"/>
      <c r="D509" s="1166"/>
    </row>
    <row r="510" spans="1:4" ht="12.75" customHeight="1">
      <c r="A510" s="406" t="s">
        <v>976</v>
      </c>
      <c r="B510" s="1160"/>
      <c r="C510" s="1163"/>
      <c r="D510" s="1166"/>
    </row>
    <row r="511" spans="1:4" ht="12.75" customHeight="1">
      <c r="A511" s="406" t="s">
        <v>977</v>
      </c>
      <c r="B511" s="1160"/>
      <c r="C511" s="1163"/>
      <c r="D511" s="1166"/>
    </row>
    <row r="512" spans="1:4" ht="12.75" customHeight="1">
      <c r="A512" s="406" t="s">
        <v>978</v>
      </c>
      <c r="B512" s="1160"/>
      <c r="C512" s="1163"/>
      <c r="D512" s="1166"/>
    </row>
    <row r="513" spans="1:7" ht="12.75" customHeight="1">
      <c r="A513" s="406" t="s">
        <v>979</v>
      </c>
      <c r="B513" s="1160"/>
      <c r="C513" s="1163"/>
      <c r="D513" s="1166"/>
    </row>
    <row r="514" spans="1:7" ht="12.75" customHeight="1">
      <c r="A514" s="406" t="s">
        <v>980</v>
      </c>
      <c r="B514" s="1160"/>
      <c r="C514" s="1163"/>
      <c r="D514" s="1166"/>
    </row>
    <row r="515" spans="1:7" ht="12.75" customHeight="1">
      <c r="A515" s="406" t="s">
        <v>981</v>
      </c>
      <c r="B515" s="1160"/>
      <c r="C515" s="1163"/>
      <c r="D515" s="1166"/>
    </row>
    <row r="516" spans="1:7" ht="12.75" customHeight="1">
      <c r="A516" s="406" t="s">
        <v>982</v>
      </c>
      <c r="B516" s="1160"/>
      <c r="C516" s="1163"/>
      <c r="D516" s="1166"/>
    </row>
    <row r="517" spans="1:7" ht="12.75" customHeight="1">
      <c r="A517" s="406" t="s">
        <v>983</v>
      </c>
      <c r="B517" s="1160"/>
      <c r="C517" s="1163"/>
      <c r="D517" s="1166"/>
    </row>
    <row r="518" spans="1:7" ht="12.75" customHeight="1">
      <c r="A518" s="406" t="s">
        <v>984</v>
      </c>
      <c r="B518" s="1160"/>
      <c r="C518" s="1163"/>
      <c r="D518" s="1166"/>
    </row>
    <row r="519" spans="1:7" ht="12.75" customHeight="1">
      <c r="A519" s="406" t="s">
        <v>985</v>
      </c>
      <c r="B519" s="1160"/>
      <c r="C519" s="1163"/>
      <c r="D519" s="1166"/>
    </row>
    <row r="520" spans="1:7" ht="12.75" customHeight="1">
      <c r="A520" s="406" t="s">
        <v>986</v>
      </c>
      <c r="B520" s="1160"/>
      <c r="C520" s="1163"/>
      <c r="D520" s="1166"/>
    </row>
    <row r="521" spans="1:7" ht="58.5">
      <c r="A521" s="407" t="s">
        <v>987</v>
      </c>
      <c r="B521" s="1160"/>
      <c r="C521" s="1163"/>
      <c r="D521" s="1166"/>
    </row>
    <row r="522" spans="1:7" ht="6" customHeight="1" thickBot="1">
      <c r="A522" s="408"/>
      <c r="B522" s="1161"/>
      <c r="C522" s="1164"/>
      <c r="D522" s="1167"/>
    </row>
    <row r="523" spans="1:7" ht="15.75">
      <c r="A523" s="282"/>
      <c r="B523" s="283"/>
      <c r="C523" s="284"/>
      <c r="D523" s="285"/>
    </row>
    <row r="524" spans="1:7" ht="15.75">
      <c r="A524" s="409"/>
      <c r="B524" s="286"/>
      <c r="C524" s="287"/>
      <c r="D524" s="403"/>
      <c r="E524" s="361"/>
      <c r="F524" s="361"/>
      <c r="G524" s="361"/>
    </row>
    <row r="525" spans="1:7" ht="15.75">
      <c r="A525" s="409"/>
      <c r="B525" s="286"/>
      <c r="C525" s="287"/>
      <c r="D525" s="403"/>
      <c r="E525" s="361"/>
      <c r="F525" s="361"/>
      <c r="G525" s="361"/>
    </row>
    <row r="526" spans="1:7" ht="15.75">
      <c r="A526" s="409"/>
      <c r="B526" s="286"/>
      <c r="C526" s="287"/>
      <c r="D526" s="403"/>
      <c r="E526" s="361"/>
      <c r="F526" s="361"/>
      <c r="G526" s="361"/>
    </row>
    <row r="527" spans="1:7" ht="15.75">
      <c r="A527" s="409"/>
      <c r="B527" s="286"/>
      <c r="C527" s="287"/>
      <c r="D527" s="403"/>
      <c r="E527" s="361"/>
      <c r="F527" s="361"/>
      <c r="G527" s="361"/>
    </row>
    <row r="528" spans="1:7" ht="15.75">
      <c r="A528" s="409"/>
      <c r="B528" s="286"/>
      <c r="C528" s="287"/>
      <c r="D528" s="403"/>
      <c r="E528" s="361"/>
      <c r="F528" s="361"/>
      <c r="G528" s="361"/>
    </row>
    <row r="529" spans="1:7" ht="15.75">
      <c r="A529" s="409"/>
      <c r="B529" s="286"/>
      <c r="C529" s="287"/>
      <c r="D529" s="403"/>
      <c r="E529" s="361"/>
      <c r="F529" s="361"/>
      <c r="G529" s="361"/>
    </row>
    <row r="530" spans="1:7" ht="15.75">
      <c r="A530" s="409"/>
      <c r="B530" s="286"/>
      <c r="C530" s="287"/>
      <c r="D530" s="403"/>
      <c r="E530" s="361"/>
      <c r="F530" s="361"/>
      <c r="G530" s="361"/>
    </row>
    <row r="531" spans="1:7" ht="15.75">
      <c r="A531" s="409"/>
      <c r="B531" s="286"/>
      <c r="C531" s="287"/>
      <c r="D531" s="403"/>
      <c r="E531" s="361"/>
      <c r="F531" s="361"/>
      <c r="G531" s="361"/>
    </row>
    <row r="532" spans="1:7" ht="15.75">
      <c r="A532" s="409"/>
      <c r="B532" s="286"/>
      <c r="C532" s="287"/>
      <c r="D532" s="403"/>
      <c r="E532" s="361"/>
      <c r="F532" s="361"/>
      <c r="G532" s="361"/>
    </row>
    <row r="533" spans="1:7" ht="15.75">
      <c r="A533" s="409"/>
      <c r="B533" s="286"/>
      <c r="C533" s="287"/>
      <c r="D533" s="403"/>
      <c r="E533" s="361"/>
      <c r="F533" s="361"/>
      <c r="G533" s="361"/>
    </row>
    <row r="534" spans="1:7" ht="16.5" thickBot="1">
      <c r="A534" s="410"/>
      <c r="B534" s="288"/>
      <c r="C534" s="289"/>
      <c r="D534" s="411"/>
      <c r="E534" s="361"/>
      <c r="F534" s="361"/>
      <c r="G534" s="361"/>
    </row>
    <row r="535" spans="1:7" ht="76.5" customHeight="1" thickBot="1">
      <c r="A535" s="264" t="s">
        <v>869</v>
      </c>
      <c r="B535" s="274" t="s">
        <v>870</v>
      </c>
      <c r="C535" s="265" t="s">
        <v>871</v>
      </c>
      <c r="D535" s="266" t="s">
        <v>872</v>
      </c>
    </row>
    <row r="536" spans="1:7" ht="72" customHeight="1">
      <c r="A536" s="412" t="s">
        <v>2887</v>
      </c>
      <c r="B536" s="413" t="s">
        <v>2076</v>
      </c>
      <c r="C536" s="329">
        <v>2600</v>
      </c>
      <c r="D536" s="330" t="s">
        <v>2082</v>
      </c>
    </row>
    <row r="537" spans="1:7" ht="15.75" customHeight="1">
      <c r="A537" s="414" t="s">
        <v>988</v>
      </c>
      <c r="B537" s="1104"/>
      <c r="C537" s="1105"/>
      <c r="D537" s="1106"/>
    </row>
    <row r="538" spans="1:7" ht="12.75">
      <c r="A538" s="414" t="s">
        <v>989</v>
      </c>
      <c r="B538" s="1104"/>
      <c r="C538" s="1105"/>
      <c r="D538" s="1106"/>
    </row>
    <row r="539" spans="1:7" ht="12.75">
      <c r="A539" s="414" t="s">
        <v>2036</v>
      </c>
      <c r="B539" s="1104"/>
      <c r="C539" s="1105"/>
      <c r="D539" s="1106"/>
    </row>
    <row r="540" spans="1:7" ht="12.75">
      <c r="A540" s="414" t="s">
        <v>990</v>
      </c>
      <c r="B540" s="1104"/>
      <c r="C540" s="1105"/>
      <c r="D540" s="1106"/>
    </row>
    <row r="541" spans="1:7" ht="12.75">
      <c r="A541" s="414" t="s">
        <v>991</v>
      </c>
      <c r="B541" s="1104"/>
      <c r="C541" s="1105"/>
      <c r="D541" s="1106"/>
    </row>
    <row r="542" spans="1:7" ht="12.75">
      <c r="A542" s="414" t="s">
        <v>2037</v>
      </c>
      <c r="B542" s="1104"/>
      <c r="C542" s="1105"/>
      <c r="D542" s="1106"/>
    </row>
    <row r="543" spans="1:7" ht="12.75">
      <c r="A543" s="414" t="s">
        <v>2038</v>
      </c>
      <c r="B543" s="1104"/>
      <c r="C543" s="1105"/>
      <c r="D543" s="1106"/>
    </row>
    <row r="544" spans="1:7" ht="12.75">
      <c r="A544" s="415" t="s">
        <v>1950</v>
      </c>
      <c r="B544" s="1104"/>
      <c r="C544" s="1105"/>
      <c r="D544" s="1106"/>
    </row>
    <row r="545" spans="1:4" ht="13.5" thickBot="1">
      <c r="A545" s="416"/>
      <c r="B545" s="1107"/>
      <c r="C545" s="1108"/>
      <c r="D545" s="1109"/>
    </row>
    <row r="546" spans="1:4" ht="15.75">
      <c r="A546" s="324"/>
      <c r="B546" s="417"/>
      <c r="C546" s="417"/>
      <c r="D546" s="417"/>
    </row>
    <row r="547" spans="1:4" ht="27" customHeight="1">
      <c r="A547" s="1122" t="s">
        <v>992</v>
      </c>
      <c r="B547" s="1122"/>
      <c r="C547" s="1122"/>
      <c r="D547" s="1122"/>
    </row>
    <row r="548" spans="1:4" ht="27" customHeight="1">
      <c r="A548" s="1122" t="s">
        <v>993</v>
      </c>
      <c r="B548" s="1122"/>
      <c r="C548" s="1122"/>
      <c r="D548" s="1122"/>
    </row>
    <row r="549" spans="1:4" ht="27" customHeight="1">
      <c r="A549" s="1122" t="s">
        <v>994</v>
      </c>
      <c r="B549" s="1122"/>
      <c r="C549" s="1122"/>
      <c r="D549" s="1122"/>
    </row>
    <row r="550" spans="1:4" ht="27" customHeight="1">
      <c r="A550" s="1122" t="s">
        <v>2888</v>
      </c>
      <c r="B550" s="1122"/>
      <c r="C550" s="1122"/>
      <c r="D550" s="1122"/>
    </row>
    <row r="551" spans="1:4" ht="27" customHeight="1">
      <c r="A551" s="1122" t="s">
        <v>995</v>
      </c>
      <c r="B551" s="1122"/>
      <c r="C551" s="1122"/>
      <c r="D551" s="1122"/>
    </row>
    <row r="552" spans="1:4" ht="27" customHeight="1">
      <c r="A552" s="1122" t="s">
        <v>996</v>
      </c>
      <c r="B552" s="1122"/>
      <c r="C552" s="1122"/>
      <c r="D552" s="1122"/>
    </row>
    <row r="553" spans="1:4" ht="12.75">
      <c r="A553" s="276"/>
      <c r="B553" s="276"/>
      <c r="C553" s="276"/>
      <c r="D553" s="276"/>
    </row>
    <row r="554" spans="1:4" ht="12.75">
      <c r="A554" s="276"/>
      <c r="B554" s="276"/>
      <c r="C554" s="276"/>
      <c r="D554" s="276"/>
    </row>
    <row r="555" spans="1:4" ht="12.75">
      <c r="A555" s="276"/>
      <c r="B555" s="276"/>
      <c r="C555" s="276"/>
      <c r="D555" s="276"/>
    </row>
    <row r="556" spans="1:4" ht="12.75">
      <c r="A556" s="276"/>
      <c r="B556" s="276"/>
      <c r="C556" s="276"/>
      <c r="D556" s="276"/>
    </row>
    <row r="557" spans="1:4" ht="12.75">
      <c r="A557" s="276"/>
      <c r="B557" s="276"/>
      <c r="C557" s="276"/>
      <c r="D557" s="276"/>
    </row>
    <row r="558" spans="1:4" ht="12.75">
      <c r="A558" s="276"/>
      <c r="B558" s="276"/>
      <c r="C558" s="276"/>
      <c r="D558" s="276"/>
    </row>
    <row r="559" spans="1:4" ht="12.75">
      <c r="A559" s="276"/>
      <c r="B559" s="276"/>
      <c r="C559" s="276"/>
      <c r="D559" s="276"/>
    </row>
    <row r="560" spans="1:4" ht="12.75">
      <c r="A560" s="276"/>
      <c r="B560" s="276"/>
      <c r="C560" s="276"/>
      <c r="D560" s="276"/>
    </row>
    <row r="561" spans="1:4" ht="12.75">
      <c r="A561" s="276"/>
      <c r="B561" s="276"/>
      <c r="C561" s="276"/>
      <c r="D561" s="276"/>
    </row>
    <row r="562" spans="1:4" ht="12.75">
      <c r="A562" s="276"/>
      <c r="B562" s="276"/>
      <c r="C562" s="276"/>
      <c r="D562" s="276"/>
    </row>
    <row r="563" spans="1:4" ht="12.75">
      <c r="A563" s="276"/>
      <c r="B563" s="276"/>
      <c r="C563" s="276"/>
      <c r="D563" s="276"/>
    </row>
    <row r="564" spans="1:4" ht="12.75">
      <c r="A564" s="276"/>
      <c r="B564" s="276"/>
      <c r="C564" s="276"/>
      <c r="D564" s="276"/>
    </row>
    <row r="565" spans="1:4" ht="12.75">
      <c r="A565" s="276"/>
      <c r="B565" s="276"/>
      <c r="C565" s="276"/>
      <c r="D565" s="276"/>
    </row>
    <row r="566" spans="1:4" ht="12.75">
      <c r="A566" s="276"/>
      <c r="B566" s="276"/>
      <c r="C566" s="276"/>
      <c r="D566" s="276"/>
    </row>
    <row r="567" spans="1:4" ht="12.75">
      <c r="A567" s="276"/>
      <c r="B567" s="276"/>
      <c r="C567" s="276"/>
      <c r="D567" s="276"/>
    </row>
    <row r="568" spans="1:4" ht="12.75">
      <c r="A568" s="276"/>
      <c r="B568" s="276"/>
      <c r="C568" s="276"/>
      <c r="D568" s="276"/>
    </row>
    <row r="569" spans="1:4" ht="12.75">
      <c r="A569" s="276"/>
      <c r="B569" s="276"/>
      <c r="C569" s="276"/>
      <c r="D569" s="276"/>
    </row>
    <row r="570" spans="1:4" ht="12.75">
      <c r="A570" s="276"/>
      <c r="B570" s="276"/>
      <c r="C570" s="276"/>
      <c r="D570" s="276"/>
    </row>
    <row r="571" spans="1:4" ht="12.75">
      <c r="A571" s="276"/>
      <c r="B571" s="276"/>
      <c r="C571" s="276"/>
      <c r="D571" s="276"/>
    </row>
    <row r="572" spans="1:4" ht="12.75">
      <c r="A572" s="276"/>
      <c r="B572" s="276"/>
      <c r="C572" s="276"/>
      <c r="D572" s="276"/>
    </row>
    <row r="573" spans="1:4" ht="12.75">
      <c r="A573" s="1168"/>
      <c r="B573" s="1168"/>
      <c r="C573" s="1168"/>
      <c r="D573" s="1168"/>
    </row>
    <row r="574" spans="1:4" ht="12.75">
      <c r="A574" s="322"/>
      <c r="B574" s="322"/>
      <c r="C574" s="322"/>
      <c r="D574" s="322"/>
    </row>
    <row r="575" spans="1:4" ht="12.75">
      <c r="A575" s="322"/>
      <c r="B575" s="322"/>
      <c r="C575" s="322"/>
      <c r="D575" s="322"/>
    </row>
    <row r="576" spans="1:4" ht="12.75">
      <c r="A576" s="322"/>
      <c r="B576" s="322"/>
      <c r="C576" s="322"/>
      <c r="D576" s="322"/>
    </row>
    <row r="577" spans="1:4" ht="12.75">
      <c r="A577" s="322"/>
      <c r="B577" s="322"/>
      <c r="C577" s="322"/>
      <c r="D577" s="322"/>
    </row>
    <row r="578" spans="1:4" ht="12.75">
      <c r="A578" s="322"/>
      <c r="B578" s="322"/>
      <c r="C578" s="322"/>
      <c r="D578" s="322"/>
    </row>
    <row r="579" spans="1:4" ht="12.75">
      <c r="A579" s="322"/>
      <c r="B579" s="322"/>
      <c r="C579" s="322"/>
      <c r="D579" s="322"/>
    </row>
    <row r="580" spans="1:4" ht="12.75">
      <c r="A580" s="322"/>
      <c r="B580" s="322"/>
      <c r="C580" s="322"/>
      <c r="D580" s="322"/>
    </row>
    <row r="581" spans="1:4" ht="12.75">
      <c r="A581" s="1136" t="s">
        <v>997</v>
      </c>
      <c r="B581" s="1136"/>
      <c r="C581" s="1136"/>
      <c r="D581" s="1136"/>
    </row>
    <row r="582" spans="1:4" ht="12.75">
      <c r="A582" s="1110"/>
      <c r="B582" s="1110"/>
      <c r="C582" s="1110"/>
      <c r="D582" s="1110"/>
    </row>
    <row r="583" spans="1:4" ht="12.75">
      <c r="A583" s="1136" t="s">
        <v>998</v>
      </c>
      <c r="B583" s="1136"/>
      <c r="C583" s="1136"/>
      <c r="D583" s="1136"/>
    </row>
    <row r="584" spans="1:4" ht="12.75">
      <c r="A584" s="1136" t="s">
        <v>999</v>
      </c>
      <c r="B584" s="1136"/>
      <c r="C584" s="1136"/>
      <c r="D584" s="1136"/>
    </row>
    <row r="585" spans="1:4" ht="12.75">
      <c r="A585" s="1136" t="s">
        <v>1000</v>
      </c>
      <c r="B585" s="1136"/>
      <c r="C585" s="1136"/>
      <c r="D585" s="1136"/>
    </row>
    <row r="586" spans="1:4" ht="12.75">
      <c r="A586" s="1136" t="s">
        <v>1001</v>
      </c>
      <c r="B586" s="1136"/>
      <c r="C586" s="1136"/>
      <c r="D586" s="1136"/>
    </row>
    <row r="587" spans="1:4" ht="12.75">
      <c r="A587" s="1169"/>
      <c r="B587" s="1169"/>
      <c r="C587" s="1169"/>
      <c r="D587" s="1169"/>
    </row>
    <row r="588" spans="1:4" ht="12.75">
      <c r="A588" s="1169" t="s">
        <v>2039</v>
      </c>
      <c r="B588" s="1169"/>
      <c r="C588" s="1169"/>
      <c r="D588" s="1169"/>
    </row>
    <row r="589" spans="1:4" ht="12.75">
      <c r="A589" s="1170" t="s">
        <v>1951</v>
      </c>
      <c r="B589" s="1170"/>
      <c r="C589" s="1170"/>
      <c r="D589" s="1170"/>
    </row>
    <row r="590" spans="1:4" ht="12.75">
      <c r="A590" s="1170" t="s">
        <v>1952</v>
      </c>
      <c r="B590" s="1170"/>
      <c r="C590" s="1170"/>
      <c r="D590" s="1170"/>
    </row>
    <row r="591" spans="1:4" ht="12.75">
      <c r="A591" s="1170" t="s">
        <v>1953</v>
      </c>
      <c r="B591" s="1170"/>
      <c r="C591" s="1170"/>
      <c r="D591" s="1170"/>
    </row>
    <row r="592" spans="1:4" ht="12.75">
      <c r="A592" s="1171" t="s">
        <v>1954</v>
      </c>
      <c r="B592" s="1171"/>
      <c r="C592" s="1171"/>
      <c r="D592" s="1171"/>
    </row>
    <row r="593" spans="1:4" ht="12.75">
      <c r="A593" s="1169" t="s">
        <v>2083</v>
      </c>
      <c r="B593" s="1169"/>
      <c r="C593" s="1169"/>
      <c r="D593" s="1169"/>
    </row>
    <row r="594" spans="1:4" ht="12.75">
      <c r="A594" s="1172" t="s">
        <v>2087</v>
      </c>
      <c r="B594" s="1169"/>
      <c r="C594" s="1169"/>
      <c r="D594" s="1169"/>
    </row>
    <row r="595" spans="1:4" ht="12.75">
      <c r="A595" s="1173" t="s">
        <v>2084</v>
      </c>
      <c r="B595" s="1173"/>
      <c r="C595" s="1173"/>
      <c r="D595" s="1173"/>
    </row>
    <row r="596" spans="1:4" ht="12.75">
      <c r="A596" s="1169" t="s">
        <v>2086</v>
      </c>
      <c r="B596" s="1169"/>
      <c r="C596" s="1169"/>
      <c r="D596" s="1169"/>
    </row>
    <row r="597" spans="1:4" ht="12.75">
      <c r="A597" s="1174" t="s">
        <v>1955</v>
      </c>
      <c r="B597" s="1174"/>
      <c r="C597" s="1174"/>
      <c r="D597" s="1174"/>
    </row>
    <row r="598" spans="1:4" ht="12.75">
      <c r="A598" s="1169" t="s">
        <v>2040</v>
      </c>
      <c r="B598" s="1169"/>
      <c r="C598" s="1169"/>
      <c r="D598" s="1169"/>
    </row>
    <row r="599" spans="1:4" ht="33.75" customHeight="1">
      <c r="A599" s="1174" t="s">
        <v>2085</v>
      </c>
      <c r="B599" s="1174"/>
      <c r="C599" s="1174"/>
      <c r="D599" s="1174"/>
    </row>
    <row r="600" spans="1:4" ht="28.5" customHeight="1">
      <c r="A600" s="1175" t="s">
        <v>2088</v>
      </c>
      <c r="B600" s="1175"/>
      <c r="C600" s="1175"/>
      <c r="D600" s="1175"/>
    </row>
    <row r="601" spans="1:4" ht="12.75">
      <c r="A601" s="1169" t="s">
        <v>2041</v>
      </c>
      <c r="B601" s="1169"/>
      <c r="C601" s="1169"/>
      <c r="D601" s="1169"/>
    </row>
    <row r="602" spans="1:4" ht="31.5" customHeight="1">
      <c r="A602" s="1174" t="s">
        <v>2943</v>
      </c>
      <c r="B602" s="1174"/>
      <c r="C602" s="1174"/>
      <c r="D602" s="1174"/>
    </row>
    <row r="603" spans="1:4" ht="29.25" customHeight="1">
      <c r="A603" s="1169" t="s">
        <v>2944</v>
      </c>
      <c r="B603" s="1169"/>
      <c r="C603" s="1169"/>
      <c r="D603" s="1169"/>
    </row>
    <row r="604" spans="1:4" ht="64.5" customHeight="1">
      <c r="A604" s="1176" t="s">
        <v>2945</v>
      </c>
      <c r="B604" s="1176"/>
      <c r="C604" s="1176"/>
      <c r="D604" s="1176"/>
    </row>
    <row r="605" spans="1:4" ht="54" customHeight="1">
      <c r="A605" s="1169" t="s">
        <v>2946</v>
      </c>
      <c r="B605" s="1169"/>
      <c r="C605" s="1169"/>
      <c r="D605" s="1169"/>
    </row>
    <row r="606" spans="1:4" ht="33" customHeight="1">
      <c r="A606" s="1174" t="s">
        <v>2947</v>
      </c>
      <c r="B606" s="1174"/>
      <c r="C606" s="1174"/>
      <c r="D606" s="1174"/>
    </row>
    <row r="607" spans="1:4" ht="22.5" customHeight="1">
      <c r="A607" s="1110"/>
      <c r="B607" s="1110"/>
      <c r="C607" s="1110"/>
      <c r="D607" s="1110"/>
    </row>
    <row r="608" spans="1:4" ht="24.75" customHeight="1">
      <c r="A608" s="1177" t="s">
        <v>1002</v>
      </c>
      <c r="B608" s="1177"/>
      <c r="C608" s="1177"/>
      <c r="D608" s="1177"/>
    </row>
    <row r="609" spans="1:4" ht="39.75" customHeight="1">
      <c r="A609" s="1177" t="s">
        <v>1003</v>
      </c>
      <c r="B609" s="1177"/>
      <c r="C609" s="1177"/>
      <c r="D609" s="1177"/>
    </row>
    <row r="610" spans="1:4" ht="47.25" customHeight="1">
      <c r="A610" s="1122" t="s">
        <v>1004</v>
      </c>
      <c r="B610" s="1122"/>
      <c r="C610" s="1122"/>
      <c r="D610" s="1122"/>
    </row>
    <row r="611" spans="1:4" ht="64.5" customHeight="1">
      <c r="A611" s="1122" t="s">
        <v>1956</v>
      </c>
      <c r="B611" s="1122"/>
      <c r="C611" s="1122"/>
      <c r="D611" s="1122"/>
    </row>
    <row r="612" spans="1:4" ht="43.5" customHeight="1">
      <c r="A612" s="1122" t="s">
        <v>2889</v>
      </c>
      <c r="B612" s="1122"/>
      <c r="C612" s="1122"/>
      <c r="D612" s="1122"/>
    </row>
    <row r="613" spans="1:4" ht="40.5" customHeight="1">
      <c r="A613" s="1122" t="s">
        <v>2890</v>
      </c>
      <c r="B613" s="1122"/>
      <c r="C613" s="1122"/>
      <c r="D613" s="1122"/>
    </row>
    <row r="614" spans="1:4" ht="40.5" customHeight="1">
      <c r="A614" s="1122" t="s">
        <v>1005</v>
      </c>
      <c r="B614" s="1122"/>
      <c r="C614" s="1122"/>
      <c r="D614" s="1122"/>
    </row>
    <row r="615" spans="1:4" ht="46.5" customHeight="1">
      <c r="A615" s="1122" t="s">
        <v>1957</v>
      </c>
      <c r="B615" s="1122"/>
      <c r="C615" s="1122"/>
      <c r="D615" s="1122"/>
    </row>
    <row r="616" spans="1:4" ht="40.5" customHeight="1">
      <c r="A616" s="1122" t="s">
        <v>1958</v>
      </c>
      <c r="B616" s="1122"/>
      <c r="C616" s="1122"/>
      <c r="D616" s="1122"/>
    </row>
    <row r="617" spans="1:4" ht="12.75">
      <c r="A617" s="276"/>
      <c r="B617" s="276"/>
      <c r="C617" s="276"/>
      <c r="D617" s="276"/>
    </row>
    <row r="618" spans="1:4" ht="12.75">
      <c r="A618" s="1170" t="s">
        <v>1959</v>
      </c>
      <c r="B618" s="1170"/>
      <c r="C618" s="1170"/>
      <c r="D618" s="1170"/>
    </row>
    <row r="619" spans="1:4" ht="12.75">
      <c r="A619" s="1171" t="s">
        <v>1954</v>
      </c>
      <c r="B619" s="1171"/>
      <c r="C619" s="1171"/>
      <c r="D619" s="1171"/>
    </row>
    <row r="620" spans="1:4" ht="12.75">
      <c r="A620" s="1169" t="s">
        <v>2949</v>
      </c>
      <c r="B620" s="1169"/>
      <c r="C620" s="1169"/>
      <c r="D620" s="1169"/>
    </row>
    <row r="621" spans="1:4" ht="12.75">
      <c r="A621" s="1169" t="s">
        <v>2948</v>
      </c>
      <c r="B621" s="1169"/>
      <c r="C621" s="1169"/>
      <c r="D621" s="1169"/>
    </row>
    <row r="622" spans="1:4" ht="12.75">
      <c r="A622" s="1169" t="s">
        <v>2042</v>
      </c>
      <c r="B622" s="1169"/>
      <c r="C622" s="1169"/>
      <c r="D622" s="1169"/>
    </row>
    <row r="623" spans="1:4" ht="12.75">
      <c r="A623" s="1178" t="s">
        <v>1960</v>
      </c>
      <c r="B623" s="1178"/>
      <c r="C623" s="1178"/>
      <c r="D623" s="1178"/>
    </row>
    <row r="624" spans="1:4" ht="12.75">
      <c r="A624" s="1169" t="s">
        <v>1961</v>
      </c>
      <c r="B624" s="1169"/>
      <c r="C624" s="1169"/>
      <c r="D624" s="1169"/>
    </row>
    <row r="625" spans="1:4" ht="12.75">
      <c r="A625" s="1169" t="s">
        <v>2950</v>
      </c>
      <c r="B625" s="1169"/>
      <c r="C625" s="1169"/>
      <c r="D625" s="1169"/>
    </row>
    <row r="626" spans="1:4" ht="21.75" customHeight="1">
      <c r="A626" s="1169" t="s">
        <v>1006</v>
      </c>
      <c r="B626" s="1169"/>
      <c r="C626" s="1169"/>
      <c r="D626" s="1169"/>
    </row>
    <row r="627" spans="1:4" ht="12.75">
      <c r="A627" s="1169" t="s">
        <v>1960</v>
      </c>
      <c r="B627" s="1169"/>
      <c r="C627" s="1169"/>
      <c r="D627" s="1169"/>
    </row>
    <row r="628" spans="1:4" ht="12.75">
      <c r="A628" s="1169" t="s">
        <v>1962</v>
      </c>
      <c r="B628" s="1169"/>
      <c r="C628" s="1169"/>
      <c r="D628" s="1169"/>
    </row>
    <row r="629" spans="1:4" ht="66.75" customHeight="1">
      <c r="A629" s="1175" t="s">
        <v>2926</v>
      </c>
      <c r="B629" s="1175"/>
      <c r="C629" s="1175"/>
      <c r="D629" s="1175"/>
    </row>
    <row r="630" spans="1:4" ht="117" customHeight="1">
      <c r="A630" s="1169" t="s">
        <v>2927</v>
      </c>
      <c r="B630" s="1169"/>
      <c r="C630" s="1169"/>
      <c r="D630" s="1169"/>
    </row>
    <row r="631" spans="1:4" ht="48" customHeight="1">
      <c r="A631" s="1169" t="s">
        <v>2928</v>
      </c>
      <c r="B631" s="1169"/>
      <c r="C631" s="1169"/>
      <c r="D631" s="1169"/>
    </row>
    <row r="632" spans="1:4" ht="19.5" customHeight="1">
      <c r="A632" s="1174" t="s">
        <v>2929</v>
      </c>
      <c r="B632" s="1174"/>
      <c r="C632" s="1174"/>
      <c r="D632" s="1174"/>
    </row>
    <row r="633" spans="1:4" ht="56.25" customHeight="1">
      <c r="A633" s="1169" t="s">
        <v>2930</v>
      </c>
      <c r="B633" s="1169"/>
      <c r="C633" s="1169"/>
      <c r="D633" s="1169"/>
    </row>
    <row r="634" spans="1:4" ht="12.75">
      <c r="A634" s="1169" t="s">
        <v>1963</v>
      </c>
      <c r="B634" s="1169"/>
      <c r="C634" s="1169"/>
      <c r="D634" s="1169"/>
    </row>
    <row r="635" spans="1:4" ht="12.75">
      <c r="A635" s="1169" t="s">
        <v>1964</v>
      </c>
      <c r="B635" s="1169"/>
      <c r="C635" s="1169"/>
      <c r="D635" s="1169"/>
    </row>
    <row r="636" spans="1:4" ht="12.75">
      <c r="A636" s="1169" t="s">
        <v>2043</v>
      </c>
      <c r="B636" s="1169"/>
      <c r="C636" s="1169"/>
      <c r="D636" s="1169"/>
    </row>
    <row r="637" spans="1:4" ht="12.75">
      <c r="A637" s="1169" t="s">
        <v>2044</v>
      </c>
      <c r="B637" s="1169"/>
      <c r="C637" s="1169"/>
      <c r="D637" s="1169"/>
    </row>
    <row r="638" spans="1:4" ht="26.25" customHeight="1">
      <c r="A638" s="1169" t="s">
        <v>2089</v>
      </c>
      <c r="B638" s="1169"/>
      <c r="C638" s="1169"/>
      <c r="D638" s="1169"/>
    </row>
    <row r="639" spans="1:4" ht="33" customHeight="1">
      <c r="A639" s="1169" t="s">
        <v>2045</v>
      </c>
      <c r="B639" s="1169"/>
      <c r="C639" s="1169"/>
      <c r="D639" s="1169"/>
    </row>
    <row r="640" spans="1:4" ht="39.75" customHeight="1">
      <c r="A640" s="1169" t="s">
        <v>2046</v>
      </c>
      <c r="B640" s="1169"/>
      <c r="C640" s="1169"/>
      <c r="D640" s="1169"/>
    </row>
    <row r="641" spans="1:4" ht="27.75" customHeight="1">
      <c r="A641" s="319"/>
      <c r="B641" s="319"/>
      <c r="C641" s="319"/>
      <c r="D641" s="319"/>
    </row>
    <row r="642" spans="1:4" ht="22.5" customHeight="1">
      <c r="A642" s="319"/>
      <c r="B642" s="319"/>
      <c r="C642" s="319"/>
      <c r="D642" s="319"/>
    </row>
    <row r="643" spans="1:4" ht="38.25" customHeight="1">
      <c r="A643" s="1122" t="s">
        <v>1007</v>
      </c>
      <c r="B643" s="1122"/>
      <c r="C643" s="1122"/>
      <c r="D643" s="1122"/>
    </row>
    <row r="644" spans="1:4" ht="54" customHeight="1">
      <c r="A644" s="1122" t="s">
        <v>2891</v>
      </c>
      <c r="B644" s="1122"/>
      <c r="C644" s="1122"/>
      <c r="D644" s="1122"/>
    </row>
    <row r="645" spans="1:4" ht="29.25" customHeight="1">
      <c r="A645" s="1122" t="s">
        <v>1008</v>
      </c>
      <c r="B645" s="1122"/>
      <c r="C645" s="1122"/>
      <c r="D645" s="1122"/>
    </row>
    <row r="646" spans="1:4" ht="40.5" customHeight="1">
      <c r="A646" s="1122" t="s">
        <v>2892</v>
      </c>
      <c r="B646" s="1122"/>
      <c r="C646" s="1122"/>
      <c r="D646" s="1122"/>
    </row>
    <row r="647" spans="1:4" ht="38.25" customHeight="1">
      <c r="A647" s="1122" t="s">
        <v>2893</v>
      </c>
      <c r="B647" s="1122"/>
      <c r="C647" s="1122"/>
      <c r="D647" s="1122"/>
    </row>
    <row r="648" spans="1:4" ht="38.25" customHeight="1">
      <c r="A648" s="1122" t="s">
        <v>2894</v>
      </c>
      <c r="B648" s="1122"/>
      <c r="C648" s="1122"/>
      <c r="D648" s="1122"/>
    </row>
    <row r="649" spans="1:4" ht="38.25" customHeight="1">
      <c r="A649" s="1122" t="s">
        <v>2895</v>
      </c>
      <c r="B649" s="1122"/>
      <c r="C649" s="1122"/>
      <c r="D649" s="1122"/>
    </row>
    <row r="650" spans="1:4" ht="38.25" customHeight="1">
      <c r="A650" s="1122" t="s">
        <v>2896</v>
      </c>
      <c r="B650" s="1122"/>
      <c r="C650" s="1122"/>
      <c r="D650" s="1122"/>
    </row>
    <row r="651" spans="1:4" ht="38.25" customHeight="1">
      <c r="A651" s="1122" t="s">
        <v>1009</v>
      </c>
      <c r="B651" s="1122"/>
      <c r="C651" s="1122"/>
      <c r="D651" s="1122"/>
    </row>
    <row r="652" spans="1:4" ht="33.75" customHeight="1">
      <c r="A652" s="1122" t="s">
        <v>2897</v>
      </c>
      <c r="B652" s="1122"/>
      <c r="C652" s="1122"/>
      <c r="D652" s="1122"/>
    </row>
    <row r="653" spans="1:4" ht="30" customHeight="1">
      <c r="A653" s="1122" t="s">
        <v>1010</v>
      </c>
      <c r="B653" s="1122"/>
      <c r="C653" s="1122"/>
      <c r="D653" s="1122"/>
    </row>
    <row r="654" spans="1:4" ht="61.5" customHeight="1">
      <c r="A654" s="1122" t="s">
        <v>2931</v>
      </c>
      <c r="B654" s="1122"/>
      <c r="C654" s="1122"/>
      <c r="D654" s="1122"/>
    </row>
    <row r="655" spans="1:4" ht="44.25" customHeight="1">
      <c r="A655" s="1122" t="s">
        <v>1965</v>
      </c>
      <c r="B655" s="1122"/>
      <c r="C655" s="1122"/>
      <c r="D655" s="1122"/>
    </row>
    <row r="656" spans="1:4" ht="33" customHeight="1">
      <c r="A656" s="1122" t="s">
        <v>2898</v>
      </c>
      <c r="B656" s="1122"/>
      <c r="C656" s="1122"/>
      <c r="D656" s="1122"/>
    </row>
    <row r="657" spans="1:4" ht="33" customHeight="1">
      <c r="A657" s="1122" t="s">
        <v>1966</v>
      </c>
      <c r="B657" s="1122"/>
      <c r="C657" s="1122"/>
      <c r="D657" s="1122"/>
    </row>
    <row r="658" spans="1:4" ht="57.75" customHeight="1">
      <c r="A658" s="1122" t="s">
        <v>1967</v>
      </c>
      <c r="B658" s="1122"/>
      <c r="C658" s="1122"/>
      <c r="D658" s="1122"/>
    </row>
    <row r="659" spans="1:4" ht="33" customHeight="1">
      <c r="A659" s="1179" t="s">
        <v>2899</v>
      </c>
      <c r="B659" s="1179"/>
      <c r="C659" s="1179"/>
      <c r="D659" s="1179"/>
    </row>
    <row r="660" spans="1:4" ht="45" customHeight="1">
      <c r="A660" s="1111" t="s">
        <v>2900</v>
      </c>
      <c r="B660" s="1111"/>
      <c r="C660" s="1111"/>
      <c r="D660" s="1111"/>
    </row>
    <row r="661" spans="1:4" ht="33.75" customHeight="1">
      <c r="A661" s="1112" t="s">
        <v>2901</v>
      </c>
      <c r="B661" s="1112"/>
      <c r="C661" s="1112"/>
      <c r="D661" s="1112"/>
    </row>
    <row r="662" spans="1:4" ht="12.75">
      <c r="A662" s="279"/>
      <c r="B662" s="279"/>
      <c r="C662" s="279"/>
      <c r="D662" s="279"/>
    </row>
    <row r="663" spans="1:4" ht="12.75">
      <c r="A663" s="279"/>
      <c r="B663" s="279"/>
      <c r="C663" s="279"/>
      <c r="D663" s="279"/>
    </row>
    <row r="664" spans="1:4" ht="12.75">
      <c r="A664" s="279"/>
      <c r="B664" s="279"/>
      <c r="C664" s="279"/>
      <c r="D664" s="279"/>
    </row>
    <row r="665" spans="1:4" ht="12.75">
      <c r="A665" s="279"/>
      <c r="B665" s="279"/>
      <c r="C665" s="279"/>
      <c r="D665" s="279"/>
    </row>
    <row r="666" spans="1:4" ht="12.75" hidden="1">
      <c r="A666" s="1136" t="s">
        <v>1968</v>
      </c>
      <c r="B666" s="1136"/>
      <c r="C666" s="1136"/>
      <c r="D666" s="1136"/>
    </row>
    <row r="667" spans="1:4" ht="12.75" hidden="1">
      <c r="A667" s="1136" t="s">
        <v>1969</v>
      </c>
      <c r="B667" s="1136"/>
      <c r="C667" s="1136"/>
      <c r="D667" s="1136"/>
    </row>
    <row r="668" spans="1:4" ht="12.75" hidden="1">
      <c r="A668" s="1168" t="s">
        <v>1970</v>
      </c>
      <c r="B668" s="1168"/>
      <c r="C668" s="1168"/>
      <c r="D668" s="1168"/>
    </row>
    <row r="669" spans="1:4" ht="68.25" hidden="1" customHeight="1">
      <c r="A669" s="1174" t="s">
        <v>2047</v>
      </c>
      <c r="B669" s="1174"/>
      <c r="C669" s="1174"/>
      <c r="D669" s="1174"/>
    </row>
    <row r="670" spans="1:4" ht="20.25" hidden="1" customHeight="1">
      <c r="A670" s="1174" t="s">
        <v>1971</v>
      </c>
      <c r="B670" s="1174"/>
      <c r="C670" s="1174"/>
      <c r="D670" s="1174"/>
    </row>
    <row r="671" spans="1:4" ht="20.25" hidden="1" customHeight="1">
      <c r="A671" s="1174" t="s">
        <v>1972</v>
      </c>
      <c r="B671" s="1174"/>
      <c r="C671" s="1174"/>
      <c r="D671" s="1174"/>
    </row>
    <row r="672" spans="1:4" ht="20.25" hidden="1" customHeight="1">
      <c r="A672" s="1168" t="s">
        <v>1973</v>
      </c>
      <c r="B672" s="1168"/>
      <c r="C672" s="1168"/>
      <c r="D672" s="1168"/>
    </row>
    <row r="673" spans="1:4" ht="44.25" hidden="1" customHeight="1">
      <c r="A673" s="1174" t="s">
        <v>2048</v>
      </c>
      <c r="B673" s="1174"/>
      <c r="C673" s="1174"/>
      <c r="D673" s="1174"/>
    </row>
    <row r="674" spans="1:4" ht="27.75" hidden="1" customHeight="1">
      <c r="A674" s="1174" t="s">
        <v>1974</v>
      </c>
      <c r="B674" s="1174"/>
      <c r="C674" s="1174"/>
      <c r="D674" s="1174"/>
    </row>
    <row r="675" spans="1:4" ht="20.25" hidden="1" customHeight="1">
      <c r="A675" s="1169" t="s">
        <v>2049</v>
      </c>
      <c r="B675" s="1169"/>
      <c r="C675" s="1169"/>
      <c r="D675" s="1169"/>
    </row>
    <row r="676" spans="1:4" ht="46.5" hidden="1" customHeight="1">
      <c r="A676" s="1169" t="s">
        <v>1975</v>
      </c>
      <c r="B676" s="1169"/>
      <c r="C676" s="1169"/>
      <c r="D676" s="1169"/>
    </row>
    <row r="677" spans="1:4" ht="20.25" hidden="1" customHeight="1">
      <c r="A677" s="1169" t="s">
        <v>1976</v>
      </c>
      <c r="B677" s="1169"/>
      <c r="C677" s="1169"/>
      <c r="D677" s="1169"/>
    </row>
    <row r="678" spans="1:4" ht="57.75" hidden="1" customHeight="1">
      <c r="A678" s="1169" t="s">
        <v>1977</v>
      </c>
      <c r="B678" s="1169"/>
      <c r="C678" s="1169"/>
      <c r="D678" s="1169"/>
    </row>
    <row r="679" spans="1:4" ht="72" hidden="1" customHeight="1">
      <c r="A679" s="1169" t="s">
        <v>1978</v>
      </c>
      <c r="B679" s="1169"/>
      <c r="C679" s="1169"/>
      <c r="D679" s="1169"/>
    </row>
    <row r="680" spans="1:4" ht="64.5" hidden="1" customHeight="1">
      <c r="A680" s="1180" t="s">
        <v>2074</v>
      </c>
      <c r="B680" s="1180"/>
      <c r="C680" s="1180"/>
      <c r="D680" s="1180"/>
    </row>
    <row r="681" spans="1:4" ht="44.25" hidden="1" customHeight="1">
      <c r="A681" s="1169" t="s">
        <v>2050</v>
      </c>
      <c r="B681" s="1169"/>
      <c r="C681" s="1169"/>
      <c r="D681" s="1169"/>
    </row>
    <row r="682" spans="1:4" ht="20.25" hidden="1" customHeight="1">
      <c r="A682" s="1169" t="s">
        <v>1979</v>
      </c>
      <c r="B682" s="1169"/>
      <c r="C682" s="1169"/>
      <c r="D682" s="1169"/>
    </row>
    <row r="683" spans="1:4" ht="33.75" hidden="1" customHeight="1">
      <c r="A683" s="1169" t="s">
        <v>1980</v>
      </c>
      <c r="B683" s="1169"/>
      <c r="C683" s="1169"/>
      <c r="D683" s="1169"/>
    </row>
    <row r="684" spans="1:4" ht="42" hidden="1" customHeight="1">
      <c r="A684" s="1169" t="s">
        <v>2051</v>
      </c>
      <c r="B684" s="1169"/>
      <c r="C684" s="1169"/>
      <c r="D684" s="1169"/>
    </row>
    <row r="685" spans="1:4" ht="38.25" hidden="1" customHeight="1">
      <c r="A685" s="1169" t="s">
        <v>2052</v>
      </c>
      <c r="B685" s="1169"/>
      <c r="C685" s="1169"/>
      <c r="D685" s="1169"/>
    </row>
    <row r="686" spans="1:4" ht="32.25" hidden="1" customHeight="1">
      <c r="A686" s="1169" t="s">
        <v>2053</v>
      </c>
      <c r="B686" s="1169"/>
      <c r="C686" s="1169"/>
      <c r="D686" s="1169"/>
    </row>
    <row r="687" spans="1:4" ht="41.25" hidden="1" customHeight="1">
      <c r="A687" s="1169" t="s">
        <v>2054</v>
      </c>
      <c r="B687" s="1169"/>
      <c r="C687" s="1169"/>
      <c r="D687" s="1169"/>
    </row>
    <row r="688" spans="1:4" ht="20.25" hidden="1" customHeight="1">
      <c r="A688" s="1168" t="s">
        <v>1981</v>
      </c>
      <c r="B688" s="1168"/>
      <c r="C688" s="1168"/>
      <c r="D688" s="1168"/>
    </row>
    <row r="689" spans="1:4" ht="17.25" hidden="1" customHeight="1">
      <c r="A689" s="1169" t="s">
        <v>2055</v>
      </c>
      <c r="B689" s="1169"/>
      <c r="C689" s="1169"/>
      <c r="D689" s="1169"/>
    </row>
    <row r="690" spans="1:4" ht="20.25" hidden="1" customHeight="1">
      <c r="A690" s="1168" t="s">
        <v>1982</v>
      </c>
      <c r="B690" s="1168"/>
      <c r="C690" s="1168"/>
      <c r="D690" s="1168"/>
    </row>
    <row r="691" spans="1:4" ht="34.5" hidden="1" customHeight="1">
      <c r="A691" s="1169" t="s">
        <v>2056</v>
      </c>
      <c r="B691" s="1169"/>
      <c r="C691" s="1169"/>
      <c r="D691" s="1169"/>
    </row>
    <row r="692" spans="1:4" ht="29.25" hidden="1" customHeight="1">
      <c r="A692" s="1169" t="s">
        <v>1983</v>
      </c>
      <c r="B692" s="1169"/>
      <c r="C692" s="1169"/>
      <c r="D692" s="1169"/>
    </row>
    <row r="693" spans="1:4" ht="35.25" hidden="1" customHeight="1">
      <c r="A693" s="1169" t="s">
        <v>1984</v>
      </c>
      <c r="B693" s="1169"/>
      <c r="C693" s="1169"/>
      <c r="D693" s="1169"/>
    </row>
    <row r="694" spans="1:4" ht="12.75" hidden="1">
      <c r="A694" s="1181" t="s">
        <v>1985</v>
      </c>
      <c r="B694" s="1181"/>
      <c r="C694" s="1181"/>
      <c r="D694" s="1181"/>
    </row>
    <row r="695" spans="1:4" ht="12.75" hidden="1">
      <c r="A695" s="1169" t="s">
        <v>1986</v>
      </c>
      <c r="B695" s="1169"/>
      <c r="C695" s="1169"/>
      <c r="D695" s="1169"/>
    </row>
    <row r="696" spans="1:4" ht="12.75" hidden="1">
      <c r="A696" s="1169" t="s">
        <v>2057</v>
      </c>
      <c r="B696" s="1169"/>
      <c r="C696" s="1169"/>
      <c r="D696" s="1169"/>
    </row>
    <row r="697" spans="1:4" ht="12.75" hidden="1">
      <c r="A697" s="1169" t="s">
        <v>1987</v>
      </c>
      <c r="B697" s="1169"/>
      <c r="C697" s="1169"/>
      <c r="D697" s="1169"/>
    </row>
    <row r="698" spans="1:4" ht="12.75" hidden="1">
      <c r="A698" s="1169" t="s">
        <v>1988</v>
      </c>
      <c r="B698" s="1169"/>
      <c r="C698" s="1169"/>
      <c r="D698" s="1169"/>
    </row>
    <row r="699" spans="1:4" ht="12.75" hidden="1">
      <c r="A699" s="1169" t="s">
        <v>1989</v>
      </c>
      <c r="B699" s="1169"/>
      <c r="C699" s="1169"/>
      <c r="D699" s="1169"/>
    </row>
    <row r="700" spans="1:4" ht="12.75" hidden="1">
      <c r="A700" s="1169" t="s">
        <v>1990</v>
      </c>
      <c r="B700" s="1169"/>
      <c r="C700" s="1169"/>
      <c r="D700" s="1169"/>
    </row>
    <row r="701" spans="1:4" ht="12.75" hidden="1">
      <c r="A701" s="1169" t="s">
        <v>1991</v>
      </c>
      <c r="B701" s="1169"/>
      <c r="C701" s="1169"/>
      <c r="D701" s="1169"/>
    </row>
    <row r="702" spans="1:4" ht="12.75" hidden="1">
      <c r="A702" s="1168" t="s">
        <v>1992</v>
      </c>
      <c r="B702" s="1168"/>
      <c r="C702" s="1168"/>
      <c r="D702" s="1168"/>
    </row>
    <row r="703" spans="1:4" ht="29.25" hidden="1" customHeight="1">
      <c r="A703" s="1169" t="s">
        <v>2058</v>
      </c>
      <c r="B703" s="1169"/>
      <c r="C703" s="1169"/>
      <c r="D703" s="1169"/>
    </row>
    <row r="704" spans="1:4" ht="41.25" hidden="1" customHeight="1">
      <c r="A704" s="1169" t="s">
        <v>2059</v>
      </c>
      <c r="B704" s="1169"/>
      <c r="C704" s="1169"/>
      <c r="D704" s="1169"/>
    </row>
    <row r="705" spans="1:4" ht="12.75" hidden="1">
      <c r="A705" s="1169" t="s">
        <v>2060</v>
      </c>
      <c r="B705" s="1169"/>
      <c r="C705" s="1169"/>
      <c r="D705" s="1169"/>
    </row>
    <row r="706" spans="1:4" ht="12.75" hidden="1">
      <c r="A706" s="1169" t="s">
        <v>2061</v>
      </c>
      <c r="B706" s="1169"/>
      <c r="C706" s="1169"/>
      <c r="D706" s="1169"/>
    </row>
    <row r="707" spans="1:4" ht="12.75" hidden="1">
      <c r="A707" s="1169" t="s">
        <v>1993</v>
      </c>
      <c r="B707" s="1169"/>
      <c r="C707" s="1169"/>
      <c r="D707" s="1169"/>
    </row>
    <row r="708" spans="1:4" ht="12.75" hidden="1">
      <c r="A708" s="1169" t="s">
        <v>1994</v>
      </c>
      <c r="B708" s="1169"/>
      <c r="C708" s="1169"/>
      <c r="D708" s="1169"/>
    </row>
    <row r="709" spans="1:4" ht="12.75" hidden="1">
      <c r="A709" s="1169" t="s">
        <v>2075</v>
      </c>
      <c r="B709" s="1169"/>
      <c r="C709" s="1169"/>
      <c r="D709" s="1169"/>
    </row>
    <row r="710" spans="1:4" ht="12.75" hidden="1">
      <c r="A710" s="1169" t="s">
        <v>1995</v>
      </c>
      <c r="B710" s="1169"/>
      <c r="C710" s="1169"/>
      <c r="D710" s="1169"/>
    </row>
    <row r="711" spans="1:4" ht="12.75" hidden="1">
      <c r="A711" s="1169" t="s">
        <v>2062</v>
      </c>
      <c r="B711" s="1169"/>
      <c r="C711" s="1169"/>
      <c r="D711" s="1169"/>
    </row>
    <row r="712" spans="1:4" ht="12.75" hidden="1">
      <c r="A712" s="1169" t="s">
        <v>1996</v>
      </c>
      <c r="B712" s="1169"/>
      <c r="C712" s="1169"/>
      <c r="D712" s="1169"/>
    </row>
    <row r="713" spans="1:4" ht="12.75" hidden="1">
      <c r="A713" s="1169" t="s">
        <v>2063</v>
      </c>
      <c r="B713" s="1169"/>
      <c r="C713" s="1169"/>
      <c r="D713" s="1169"/>
    </row>
    <row r="714" spans="1:4" ht="12.75" hidden="1">
      <c r="A714" s="1169" t="s">
        <v>1997</v>
      </c>
      <c r="B714" s="1169"/>
      <c r="C714" s="1169"/>
      <c r="D714" s="1169"/>
    </row>
    <row r="715" spans="1:4" ht="12.75" hidden="1">
      <c r="A715" s="1169" t="s">
        <v>1998</v>
      </c>
      <c r="B715" s="1169"/>
      <c r="C715" s="1169"/>
      <c r="D715" s="1169"/>
    </row>
    <row r="716" spans="1:4" ht="12.75" hidden="1">
      <c r="A716" s="1169" t="s">
        <v>1999</v>
      </c>
      <c r="B716" s="1169"/>
      <c r="C716" s="1169"/>
      <c r="D716" s="1169"/>
    </row>
    <row r="717" spans="1:4" ht="12.75" hidden="1">
      <c r="A717" s="1169" t="s">
        <v>2000</v>
      </c>
      <c r="B717" s="1169"/>
      <c r="C717" s="1169"/>
      <c r="D717" s="1169"/>
    </row>
    <row r="718" spans="1:4" ht="12.75" hidden="1">
      <c r="A718" s="1169" t="s">
        <v>2001</v>
      </c>
      <c r="B718" s="1169"/>
      <c r="C718" s="1169"/>
      <c r="D718" s="1169"/>
    </row>
    <row r="719" spans="1:4" ht="12.75" hidden="1">
      <c r="A719" s="1169" t="s">
        <v>2002</v>
      </c>
      <c r="B719" s="1169"/>
      <c r="C719" s="1169"/>
      <c r="D719" s="1169"/>
    </row>
    <row r="720" spans="1:4" ht="12.75" hidden="1">
      <c r="A720" s="1169" t="s">
        <v>2003</v>
      </c>
      <c r="B720" s="1169"/>
      <c r="C720" s="1169"/>
      <c r="D720" s="1169"/>
    </row>
    <row r="721" spans="1:4" ht="12.75" hidden="1">
      <c r="A721" s="1169" t="s">
        <v>2004</v>
      </c>
      <c r="B721" s="1169"/>
      <c r="C721" s="1169"/>
      <c r="D721" s="1169"/>
    </row>
    <row r="722" spans="1:4" ht="12.75" hidden="1">
      <c r="A722" s="1169" t="s">
        <v>2005</v>
      </c>
      <c r="B722" s="1169"/>
      <c r="C722" s="1169"/>
      <c r="D722" s="1169"/>
    </row>
    <row r="723" spans="1:4" ht="12.75" hidden="1">
      <c r="A723" s="1169" t="s">
        <v>2006</v>
      </c>
      <c r="B723" s="1169"/>
      <c r="C723" s="1169"/>
      <c r="D723" s="1169"/>
    </row>
    <row r="724" spans="1:4" ht="12.75" hidden="1">
      <c r="A724" s="1169" t="s">
        <v>2007</v>
      </c>
      <c r="B724" s="1169"/>
      <c r="C724" s="1169"/>
      <c r="D724" s="1169"/>
    </row>
    <row r="725" spans="1:4" ht="12.75" hidden="1">
      <c r="A725" s="1169" t="s">
        <v>2008</v>
      </c>
      <c r="B725" s="1169"/>
      <c r="C725" s="1169"/>
      <c r="D725" s="1169"/>
    </row>
    <row r="726" spans="1:4" ht="12.75" hidden="1">
      <c r="A726" s="1169" t="s">
        <v>2009</v>
      </c>
      <c r="B726" s="1169"/>
      <c r="C726" s="1169"/>
      <c r="D726" s="1169"/>
    </row>
    <row r="727" spans="1:4" ht="12.75" hidden="1">
      <c r="A727" s="1169" t="s">
        <v>2010</v>
      </c>
      <c r="B727" s="1169"/>
      <c r="C727" s="1169"/>
      <c r="D727" s="1169"/>
    </row>
    <row r="728" spans="1:4" ht="12.75" hidden="1">
      <c r="A728" s="1169" t="s">
        <v>2011</v>
      </c>
      <c r="B728" s="1169"/>
      <c r="C728" s="1169"/>
      <c r="D728" s="1169"/>
    </row>
    <row r="729" spans="1:4" ht="12.75" hidden="1">
      <c r="A729" s="1169" t="s">
        <v>2012</v>
      </c>
      <c r="B729" s="1169"/>
      <c r="C729" s="1169"/>
      <c r="D729" s="1169"/>
    </row>
    <row r="730" spans="1:4" ht="12.75" hidden="1">
      <c r="A730" s="1169" t="s">
        <v>2064</v>
      </c>
      <c r="B730" s="1169"/>
      <c r="C730" s="1169"/>
      <c r="D730" s="1169"/>
    </row>
    <row r="731" spans="1:4" ht="12.75" hidden="1">
      <c r="A731" s="1169" t="s">
        <v>2065</v>
      </c>
      <c r="B731" s="1169"/>
      <c r="C731" s="1169"/>
      <c r="D731" s="1169"/>
    </row>
    <row r="732" spans="1:4" ht="12.75" hidden="1">
      <c r="A732" s="1169" t="s">
        <v>2066</v>
      </c>
      <c r="B732" s="1169"/>
      <c r="C732" s="1169"/>
      <c r="D732" s="1169"/>
    </row>
    <row r="733" spans="1:4" ht="12.75" hidden="1">
      <c r="A733" s="1169" t="s">
        <v>2013</v>
      </c>
      <c r="B733" s="1169"/>
      <c r="C733" s="1169"/>
      <c r="D733" s="1169"/>
    </row>
    <row r="734" spans="1:4" ht="12.75" hidden="1">
      <c r="A734" s="1182" t="s">
        <v>2014</v>
      </c>
      <c r="B734" s="1182"/>
      <c r="C734" s="1182"/>
      <c r="D734" s="1182"/>
    </row>
    <row r="735" spans="1:4" ht="12.75" hidden="1">
      <c r="A735" s="1169" t="s">
        <v>2015</v>
      </c>
      <c r="B735" s="1169"/>
      <c r="C735" s="1169"/>
      <c r="D735" s="1169"/>
    </row>
    <row r="736" spans="1:4" ht="12.75" hidden="1">
      <c r="A736" s="1169" t="s">
        <v>2067</v>
      </c>
      <c r="B736" s="1169"/>
      <c r="C736" s="1169"/>
      <c r="D736" s="1169"/>
    </row>
    <row r="737" spans="1:4" ht="12.75" hidden="1">
      <c r="A737" s="1169" t="s">
        <v>2068</v>
      </c>
      <c r="B737" s="1169"/>
      <c r="C737" s="1169"/>
      <c r="D737" s="1169"/>
    </row>
    <row r="738" spans="1:4" ht="12.75" hidden="1">
      <c r="A738" s="1169" t="s">
        <v>2069</v>
      </c>
      <c r="B738" s="1169"/>
      <c r="C738" s="1169"/>
      <c r="D738" s="1169"/>
    </row>
    <row r="739" spans="1:4" ht="12.75" hidden="1">
      <c r="A739" s="1168" t="s">
        <v>2016</v>
      </c>
      <c r="B739" s="1168"/>
      <c r="C739" s="1168"/>
      <c r="D739" s="1168"/>
    </row>
    <row r="740" spans="1:4" ht="12.75" hidden="1">
      <c r="A740" s="1169" t="s">
        <v>2070</v>
      </c>
      <c r="B740" s="1169"/>
      <c r="C740" s="1169"/>
      <c r="D740" s="1169"/>
    </row>
    <row r="741" spans="1:4" ht="12.75" hidden="1">
      <c r="A741" s="1184" t="s">
        <v>2017</v>
      </c>
      <c r="B741" s="1184"/>
      <c r="C741" s="1184"/>
      <c r="D741" s="1184"/>
    </row>
    <row r="742" spans="1:4" ht="12.75" hidden="1">
      <c r="A742" s="1169" t="s">
        <v>2071</v>
      </c>
      <c r="B742" s="1169"/>
      <c r="C742" s="1169"/>
      <c r="D742" s="1169"/>
    </row>
    <row r="743" spans="1:4" ht="12.75" hidden="1">
      <c r="A743" s="1170" t="s">
        <v>2018</v>
      </c>
      <c r="B743" s="1170"/>
      <c r="C743" s="1170"/>
      <c r="D743" s="1170"/>
    </row>
    <row r="744" spans="1:4" ht="12.75" hidden="1">
      <c r="A744" s="1168" t="s">
        <v>2019</v>
      </c>
      <c r="B744" s="1168"/>
      <c r="C744" s="1168"/>
      <c r="D744" s="1168"/>
    </row>
    <row r="745" spans="1:4" ht="12.75" hidden="1">
      <c r="A745" s="1168" t="s">
        <v>2020</v>
      </c>
      <c r="B745" s="1168"/>
      <c r="C745" s="1168"/>
      <c r="D745" s="1168"/>
    </row>
    <row r="746" spans="1:4" ht="12.75" hidden="1">
      <c r="A746" s="1169" t="s">
        <v>2072</v>
      </c>
      <c r="B746" s="1169"/>
      <c r="C746" s="1169"/>
      <c r="D746" s="1169"/>
    </row>
    <row r="747" spans="1:4" ht="12.75" hidden="1">
      <c r="A747" s="1169" t="s">
        <v>2021</v>
      </c>
      <c r="B747" s="1169"/>
      <c r="C747" s="1169"/>
      <c r="D747" s="1169"/>
    </row>
    <row r="748" spans="1:4" ht="12.75" hidden="1">
      <c r="A748" s="1180" t="s">
        <v>2073</v>
      </c>
      <c r="B748" s="1180"/>
      <c r="C748" s="1180"/>
      <c r="D748" s="1180"/>
    </row>
    <row r="749" spans="1:4" ht="12.75" hidden="1">
      <c r="A749" s="1169" t="s">
        <v>2022</v>
      </c>
      <c r="B749" s="1169"/>
      <c r="C749" s="1169"/>
      <c r="D749" s="1169"/>
    </row>
    <row r="750" spans="1:4" ht="12.75" hidden="1">
      <c r="A750" s="1182" t="s">
        <v>2023</v>
      </c>
      <c r="B750" s="1182"/>
      <c r="C750" s="1182"/>
      <c r="D750" s="1182"/>
    </row>
    <row r="751" spans="1:4" hidden="1"/>
    <row r="752" spans="1:4"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sheetData>
  <mergeCells count="403">
    <mergeCell ref="A736:D736"/>
    <mergeCell ref="A737:D737"/>
    <mergeCell ref="A738:D738"/>
    <mergeCell ref="A739:D739"/>
    <mergeCell ref="A740:D740"/>
    <mergeCell ref="A741:D741"/>
    <mergeCell ref="A314:A321"/>
    <mergeCell ref="A322:A329"/>
    <mergeCell ref="A230:D230"/>
    <mergeCell ref="A231:D231"/>
    <mergeCell ref="A258:A262"/>
    <mergeCell ref="A728:D728"/>
    <mergeCell ref="A729:D729"/>
    <mergeCell ref="A719:D719"/>
    <mergeCell ref="A720:D720"/>
    <mergeCell ref="A721:D721"/>
    <mergeCell ref="A722:D722"/>
    <mergeCell ref="A723:D723"/>
    <mergeCell ref="A707:D707"/>
    <mergeCell ref="A708:D708"/>
    <mergeCell ref="A709:D709"/>
    <mergeCell ref="A710:D710"/>
    <mergeCell ref="A711:D711"/>
    <mergeCell ref="A712:D712"/>
    <mergeCell ref="A157:D157"/>
    <mergeCell ref="A158:D158"/>
    <mergeCell ref="A269:A277"/>
    <mergeCell ref="A278:A285"/>
    <mergeCell ref="A287:A291"/>
    <mergeCell ref="A750:D750"/>
    <mergeCell ref="A747:D747"/>
    <mergeCell ref="A748:D748"/>
    <mergeCell ref="A742:D742"/>
    <mergeCell ref="A743:D743"/>
    <mergeCell ref="A744:D744"/>
    <mergeCell ref="A292:A296"/>
    <mergeCell ref="A730:D730"/>
    <mergeCell ref="A731:D731"/>
    <mergeCell ref="A732:D732"/>
    <mergeCell ref="A733:D733"/>
    <mergeCell ref="A734:D734"/>
    <mergeCell ref="A735:D735"/>
    <mergeCell ref="A745:D745"/>
    <mergeCell ref="A746:D746"/>
    <mergeCell ref="A749:D749"/>
    <mergeCell ref="A725:D725"/>
    <mergeCell ref="A726:D726"/>
    <mergeCell ref="A727:D727"/>
    <mergeCell ref="A724:D724"/>
    <mergeCell ref="A713:D713"/>
    <mergeCell ref="A714:D714"/>
    <mergeCell ref="A715:D715"/>
    <mergeCell ref="A716:D716"/>
    <mergeCell ref="A717:D717"/>
    <mergeCell ref="A718:D718"/>
    <mergeCell ref="A702:D702"/>
    <mergeCell ref="A703:D703"/>
    <mergeCell ref="A704:D704"/>
    <mergeCell ref="A705:D705"/>
    <mergeCell ref="A706:D706"/>
    <mergeCell ref="A696:D696"/>
    <mergeCell ref="A697:D697"/>
    <mergeCell ref="A698:D698"/>
    <mergeCell ref="A699:D699"/>
    <mergeCell ref="A700:D700"/>
    <mergeCell ref="A687:D687"/>
    <mergeCell ref="A688:D688"/>
    <mergeCell ref="A689:D689"/>
    <mergeCell ref="A701:D701"/>
    <mergeCell ref="A690:D690"/>
    <mergeCell ref="A691:D691"/>
    <mergeCell ref="A692:D692"/>
    <mergeCell ref="A693:D693"/>
    <mergeCell ref="A694:D694"/>
    <mergeCell ref="A695:D695"/>
    <mergeCell ref="A678:D678"/>
    <mergeCell ref="A679:D679"/>
    <mergeCell ref="A680:D680"/>
    <mergeCell ref="A681:D681"/>
    <mergeCell ref="A682:D682"/>
    <mergeCell ref="A683:D683"/>
    <mergeCell ref="A684:D684"/>
    <mergeCell ref="A685:D685"/>
    <mergeCell ref="A686:D686"/>
    <mergeCell ref="A669:D669"/>
    <mergeCell ref="A670:D670"/>
    <mergeCell ref="A671:D671"/>
    <mergeCell ref="A672:D672"/>
    <mergeCell ref="A673:D673"/>
    <mergeCell ref="A674:D674"/>
    <mergeCell ref="A675:D675"/>
    <mergeCell ref="A676:D676"/>
    <mergeCell ref="A677:D677"/>
    <mergeCell ref="A654:D654"/>
    <mergeCell ref="A655:D655"/>
    <mergeCell ref="A656:D656"/>
    <mergeCell ref="A657:D657"/>
    <mergeCell ref="A658:D658"/>
    <mergeCell ref="A659:D659"/>
    <mergeCell ref="A666:D666"/>
    <mergeCell ref="A667:D667"/>
    <mergeCell ref="A668:D668"/>
    <mergeCell ref="A645:D645"/>
    <mergeCell ref="A646:D646"/>
    <mergeCell ref="A647:D647"/>
    <mergeCell ref="A648:D648"/>
    <mergeCell ref="A649:D649"/>
    <mergeCell ref="A650:D650"/>
    <mergeCell ref="A651:D651"/>
    <mergeCell ref="A652:D652"/>
    <mergeCell ref="A653:D653"/>
    <mergeCell ref="A634:D634"/>
    <mergeCell ref="A635:D635"/>
    <mergeCell ref="A636:D636"/>
    <mergeCell ref="A637:D637"/>
    <mergeCell ref="A638:D638"/>
    <mergeCell ref="A639:D639"/>
    <mergeCell ref="A640:D640"/>
    <mergeCell ref="A643:D643"/>
    <mergeCell ref="A644:D644"/>
    <mergeCell ref="A625:D625"/>
    <mergeCell ref="A626:D626"/>
    <mergeCell ref="A627:D627"/>
    <mergeCell ref="A628:D628"/>
    <mergeCell ref="A629:D629"/>
    <mergeCell ref="A630:D630"/>
    <mergeCell ref="A631:D631"/>
    <mergeCell ref="A632:D632"/>
    <mergeCell ref="A633:D633"/>
    <mergeCell ref="A615:D615"/>
    <mergeCell ref="A616:D616"/>
    <mergeCell ref="A618:D618"/>
    <mergeCell ref="A619:D619"/>
    <mergeCell ref="A620:D620"/>
    <mergeCell ref="A621:D621"/>
    <mergeCell ref="A622:D622"/>
    <mergeCell ref="A623:D623"/>
    <mergeCell ref="A624:D624"/>
    <mergeCell ref="A605:D605"/>
    <mergeCell ref="A606:D606"/>
    <mergeCell ref="A608:D608"/>
    <mergeCell ref="A609:D609"/>
    <mergeCell ref="A610:D610"/>
    <mergeCell ref="A611:D611"/>
    <mergeCell ref="A612:D612"/>
    <mergeCell ref="A613:D613"/>
    <mergeCell ref="A614:D614"/>
    <mergeCell ref="A596:D596"/>
    <mergeCell ref="A597:D597"/>
    <mergeCell ref="A598:D598"/>
    <mergeCell ref="A599:D599"/>
    <mergeCell ref="A600:D600"/>
    <mergeCell ref="A601:D601"/>
    <mergeCell ref="A602:D602"/>
    <mergeCell ref="A603:D603"/>
    <mergeCell ref="A604:D604"/>
    <mergeCell ref="A587:D587"/>
    <mergeCell ref="A588:D588"/>
    <mergeCell ref="A589:D589"/>
    <mergeCell ref="A590:D590"/>
    <mergeCell ref="A591:D591"/>
    <mergeCell ref="A592:D592"/>
    <mergeCell ref="A593:D593"/>
    <mergeCell ref="A594:D594"/>
    <mergeCell ref="A595:D595"/>
    <mergeCell ref="A551:D551"/>
    <mergeCell ref="A552:D552"/>
    <mergeCell ref="A573:D573"/>
    <mergeCell ref="A581:D581"/>
    <mergeCell ref="A582:D582"/>
    <mergeCell ref="A583:D583"/>
    <mergeCell ref="A584:D584"/>
    <mergeCell ref="A585:D585"/>
    <mergeCell ref="A586:D586"/>
    <mergeCell ref="A549:D549"/>
    <mergeCell ref="A550:D550"/>
    <mergeCell ref="A478:D478"/>
    <mergeCell ref="A479:D479"/>
    <mergeCell ref="B488:B522"/>
    <mergeCell ref="C488:C522"/>
    <mergeCell ref="A484:D484"/>
    <mergeCell ref="A483:D483"/>
    <mergeCell ref="A482:D482"/>
    <mergeCell ref="D488:D522"/>
    <mergeCell ref="A485:D485"/>
    <mergeCell ref="A547:D547"/>
    <mergeCell ref="B471:B472"/>
    <mergeCell ref="C471:C472"/>
    <mergeCell ref="D471:D472"/>
    <mergeCell ref="A474:D474"/>
    <mergeCell ref="A548:D548"/>
    <mergeCell ref="A475:D475"/>
    <mergeCell ref="A459:D459"/>
    <mergeCell ref="A460:D460"/>
    <mergeCell ref="A461:D461"/>
    <mergeCell ref="A462:D462"/>
    <mergeCell ref="A463:D463"/>
    <mergeCell ref="A464:D464"/>
    <mergeCell ref="A476:D476"/>
    <mergeCell ref="A477:D477"/>
    <mergeCell ref="A441:D441"/>
    <mergeCell ref="A442:D442"/>
    <mergeCell ref="A443:D443"/>
    <mergeCell ref="A444:D444"/>
    <mergeCell ref="A457:D457"/>
    <mergeCell ref="A458:D458"/>
    <mergeCell ref="A445:D445"/>
    <mergeCell ref="A446:D446"/>
    <mergeCell ref="A465:D465"/>
    <mergeCell ref="A432:D432"/>
    <mergeCell ref="A433:D433"/>
    <mergeCell ref="A434:D434"/>
    <mergeCell ref="A435:D435"/>
    <mergeCell ref="A436:D436"/>
    <mergeCell ref="A437:D437"/>
    <mergeCell ref="A438:D438"/>
    <mergeCell ref="A439:D439"/>
    <mergeCell ref="A440:D440"/>
    <mergeCell ref="A423:D423"/>
    <mergeCell ref="A424:D424"/>
    <mergeCell ref="A425:D425"/>
    <mergeCell ref="A426:D426"/>
    <mergeCell ref="A427:D427"/>
    <mergeCell ref="A428:D428"/>
    <mergeCell ref="A429:D429"/>
    <mergeCell ref="A430:D430"/>
    <mergeCell ref="A431:D431"/>
    <mergeCell ref="A125:A134"/>
    <mergeCell ref="A136:D136"/>
    <mergeCell ref="A161:D161"/>
    <mergeCell ref="A162:D162"/>
    <mergeCell ref="A163:D163"/>
    <mergeCell ref="A164:D164"/>
    <mergeCell ref="A165:D165"/>
    <mergeCell ref="A421:D421"/>
    <mergeCell ref="A422:D422"/>
    <mergeCell ref="A331:A338"/>
    <mergeCell ref="A137:D137"/>
    <mergeCell ref="A138:D138"/>
    <mergeCell ref="A139:D139"/>
    <mergeCell ref="A140:D140"/>
    <mergeCell ref="A141:D141"/>
    <mergeCell ref="A142:D142"/>
    <mergeCell ref="A143:D143"/>
    <mergeCell ref="A144:D144"/>
    <mergeCell ref="A145:D145"/>
    <mergeCell ref="A146:D146"/>
    <mergeCell ref="A147:D147"/>
    <mergeCell ref="A297:D297"/>
    <mergeCell ref="A264:D264"/>
    <mergeCell ref="A263:D263"/>
    <mergeCell ref="A90:D90"/>
    <mergeCell ref="A91:D91"/>
    <mergeCell ref="A92:D92"/>
    <mergeCell ref="A93:D93"/>
    <mergeCell ref="A94:D94"/>
    <mergeCell ref="A95:D95"/>
    <mergeCell ref="A96:D96"/>
    <mergeCell ref="A97:D97"/>
    <mergeCell ref="A206:D206"/>
    <mergeCell ref="A109:D109"/>
    <mergeCell ref="A108:D108"/>
    <mergeCell ref="A112:A124"/>
    <mergeCell ref="A148:D148"/>
    <mergeCell ref="A149:D149"/>
    <mergeCell ref="A150:D150"/>
    <mergeCell ref="A151:D151"/>
    <mergeCell ref="A152:D152"/>
    <mergeCell ref="A159:D159"/>
    <mergeCell ref="A160:D160"/>
    <mergeCell ref="A153:D153"/>
    <mergeCell ref="A154:D154"/>
    <mergeCell ref="A155:D155"/>
    <mergeCell ref="A156:D156"/>
    <mergeCell ref="B120:D124"/>
    <mergeCell ref="A107:D107"/>
    <mergeCell ref="A76:D76"/>
    <mergeCell ref="A77:D77"/>
    <mergeCell ref="A78:D78"/>
    <mergeCell ref="A79:D79"/>
    <mergeCell ref="A80:D80"/>
    <mergeCell ref="A87:D87"/>
    <mergeCell ref="A88:D88"/>
    <mergeCell ref="A81:D81"/>
    <mergeCell ref="A82:D82"/>
    <mergeCell ref="A83:D83"/>
    <mergeCell ref="A84:D84"/>
    <mergeCell ref="A85:D85"/>
    <mergeCell ref="A86:D86"/>
    <mergeCell ref="A98:D98"/>
    <mergeCell ref="A99:D99"/>
    <mergeCell ref="A100:D100"/>
    <mergeCell ref="A101:D101"/>
    <mergeCell ref="A102:D102"/>
    <mergeCell ref="A103:D103"/>
    <mergeCell ref="A104:D104"/>
    <mergeCell ref="A105:D105"/>
    <mergeCell ref="A106:D106"/>
    <mergeCell ref="A89:D89"/>
    <mergeCell ref="A57:D57"/>
    <mergeCell ref="A71:D71"/>
    <mergeCell ref="A72:D72"/>
    <mergeCell ref="A73:D73"/>
    <mergeCell ref="A74:D74"/>
    <mergeCell ref="A58:D58"/>
    <mergeCell ref="A59:D59"/>
    <mergeCell ref="A60:D60"/>
    <mergeCell ref="A75:D75"/>
    <mergeCell ref="A166:D166"/>
    <mergeCell ref="A481:D481"/>
    <mergeCell ref="A480:D480"/>
    <mergeCell ref="A194:D194"/>
    <mergeCell ref="A195:D195"/>
    <mergeCell ref="A196:D196"/>
    <mergeCell ref="A197:D197"/>
    <mergeCell ref="A198:D198"/>
    <mergeCell ref="A199:D199"/>
    <mergeCell ref="A200:D200"/>
    <mergeCell ref="A208:D208"/>
    <mergeCell ref="A214:D214"/>
    <mergeCell ref="A215:D215"/>
    <mergeCell ref="A216:D216"/>
    <mergeCell ref="A217:D217"/>
    <mergeCell ref="A218:D218"/>
    <mergeCell ref="A219:D219"/>
    <mergeCell ref="A220:D220"/>
    <mergeCell ref="A221:D221"/>
    <mergeCell ref="A173:D173"/>
    <mergeCell ref="A174:D174"/>
    <mergeCell ref="A175:D175"/>
    <mergeCell ref="A176:D176"/>
    <mergeCell ref="A177:D177"/>
    <mergeCell ref="A178:D178"/>
    <mergeCell ref="A167:D167"/>
    <mergeCell ref="A168:D168"/>
    <mergeCell ref="A169:D169"/>
    <mergeCell ref="A170:D170"/>
    <mergeCell ref="A171:D171"/>
    <mergeCell ref="A172:D172"/>
    <mergeCell ref="A179:D179"/>
    <mergeCell ref="A184:A187"/>
    <mergeCell ref="A189:A192"/>
    <mergeCell ref="A235:A243"/>
    <mergeCell ref="A244:A252"/>
    <mergeCell ref="A253:A257"/>
    <mergeCell ref="A193:D193"/>
    <mergeCell ref="A211:D211"/>
    <mergeCell ref="A212:D212"/>
    <mergeCell ref="A213:D213"/>
    <mergeCell ref="A222:D222"/>
    <mergeCell ref="A223:D223"/>
    <mergeCell ref="A224:D224"/>
    <mergeCell ref="A225:D225"/>
    <mergeCell ref="A226:D226"/>
    <mergeCell ref="A227:D227"/>
    <mergeCell ref="A228:D228"/>
    <mergeCell ref="A201:D201"/>
    <mergeCell ref="A202:D202"/>
    <mergeCell ref="A209:D209"/>
    <mergeCell ref="A210:D210"/>
    <mergeCell ref="A203:D203"/>
    <mergeCell ref="A204:D204"/>
    <mergeCell ref="A205:D205"/>
    <mergeCell ref="A207:D207"/>
    <mergeCell ref="A229:D229"/>
    <mergeCell ref="A382:A391"/>
    <mergeCell ref="B537:D545"/>
    <mergeCell ref="A607:D607"/>
    <mergeCell ref="A660:D660"/>
    <mergeCell ref="A661:D661"/>
    <mergeCell ref="A341:A348"/>
    <mergeCell ref="A349:A352"/>
    <mergeCell ref="A353:A356"/>
    <mergeCell ref="A363:A366"/>
    <mergeCell ref="A392:D392"/>
    <mergeCell ref="A376:D376"/>
    <mergeCell ref="A357:D357"/>
    <mergeCell ref="A368:A371"/>
    <mergeCell ref="A372:A375"/>
    <mergeCell ref="A416:D416"/>
    <mergeCell ref="A415:D415"/>
    <mergeCell ref="A394:D394"/>
    <mergeCell ref="A395:D395"/>
    <mergeCell ref="A396:D396"/>
    <mergeCell ref="A393:D393"/>
    <mergeCell ref="A417:D417"/>
    <mergeCell ref="A418:D418"/>
    <mergeCell ref="A419:D419"/>
    <mergeCell ref="A420:D420"/>
    <mergeCell ref="A21:D21"/>
    <mergeCell ref="A22:D22"/>
    <mergeCell ref="A23:D23"/>
    <mergeCell ref="A24:D24"/>
    <mergeCell ref="A18:D18"/>
    <mergeCell ref="A19:D19"/>
    <mergeCell ref="A20:D20"/>
    <mergeCell ref="A7:D11"/>
    <mergeCell ref="A12:D12"/>
    <mergeCell ref="A13:D13"/>
    <mergeCell ref="A14:D14"/>
    <mergeCell ref="A15:D15"/>
    <mergeCell ref="A16:D16"/>
    <mergeCell ref="A17:D17"/>
  </mergeCells>
  <printOptions horizontalCentered="1"/>
  <pageMargins left="0.39370078740157483" right="0.39370078740157483" top="0.39370078740157483" bottom="0.39370078740157483" header="0.19685039370078741" footer="0.19685039370078741"/>
  <pageSetup paperSize="9" orientation="portrait" r:id="rId1"/>
  <headerFooter>
    <oddFooter>Sayfa &amp;P /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5"/>
  <sheetViews>
    <sheetView zoomScaleNormal="100" workbookViewId="0">
      <selection sqref="A1:R1"/>
    </sheetView>
  </sheetViews>
  <sheetFormatPr defaultRowHeight="12.75"/>
  <cols>
    <col min="1" max="10" width="4.7109375" style="79" customWidth="1"/>
    <col min="11" max="17" width="5.140625" style="79" customWidth="1"/>
    <col min="18" max="18" width="5" style="79" customWidth="1"/>
    <col min="19" max="19" width="1.28515625" style="79" customWidth="1"/>
    <col min="20" max="16384" width="9.140625" style="79"/>
  </cols>
  <sheetData>
    <row r="1" spans="1:18" ht="30.75" customHeight="1">
      <c r="A1" s="1215" t="s">
        <v>4057</v>
      </c>
      <c r="B1" s="1215"/>
      <c r="C1" s="1215"/>
      <c r="D1" s="1215"/>
      <c r="E1" s="1215"/>
      <c r="F1" s="1215"/>
      <c r="G1" s="1215"/>
      <c r="H1" s="1215"/>
      <c r="I1" s="1215"/>
      <c r="J1" s="1215"/>
      <c r="K1" s="1215"/>
      <c r="L1" s="1215"/>
      <c r="M1" s="1215"/>
      <c r="N1" s="1215"/>
      <c r="O1" s="1215"/>
      <c r="P1" s="1215"/>
      <c r="Q1" s="1215"/>
      <c r="R1" s="1215"/>
    </row>
    <row r="2" spans="1:18">
      <c r="A2" s="1216"/>
      <c r="B2" s="1216"/>
      <c r="C2" s="1216"/>
      <c r="D2" s="1216"/>
      <c r="E2" s="1216"/>
      <c r="F2" s="1216"/>
      <c r="G2" s="1216"/>
      <c r="H2" s="1216"/>
      <c r="I2" s="1216"/>
      <c r="J2" s="1216"/>
      <c r="K2" s="1216"/>
      <c r="L2" s="1216"/>
      <c r="M2" s="1216"/>
      <c r="N2" s="1216"/>
      <c r="O2" s="1216"/>
      <c r="P2" s="1216"/>
      <c r="Q2" s="1216"/>
      <c r="R2" s="1216"/>
    </row>
    <row r="3" spans="1:18" ht="33.75" customHeight="1">
      <c r="A3" s="1198" t="s">
        <v>4058</v>
      </c>
      <c r="B3" s="1198"/>
      <c r="C3" s="1198"/>
      <c r="D3" s="1198"/>
      <c r="E3" s="1198"/>
      <c r="F3" s="1198"/>
      <c r="G3" s="1198"/>
      <c r="H3" s="1198"/>
      <c r="I3" s="1198"/>
      <c r="J3" s="1198"/>
      <c r="K3" s="1198"/>
      <c r="L3" s="1198"/>
      <c r="M3" s="1198"/>
      <c r="N3" s="1198"/>
      <c r="O3" s="1198"/>
      <c r="P3" s="1198"/>
      <c r="Q3" s="1198"/>
      <c r="R3" s="1198"/>
    </row>
    <row r="4" spans="1:18">
      <c r="A4" s="1198" t="s">
        <v>4059</v>
      </c>
      <c r="B4" s="1198"/>
      <c r="C4" s="1198"/>
      <c r="D4" s="1198"/>
      <c r="E4" s="1198"/>
      <c r="F4" s="1198"/>
      <c r="G4" s="1198"/>
      <c r="H4" s="1198"/>
      <c r="I4" s="1198"/>
      <c r="J4" s="1198"/>
      <c r="K4" s="1198"/>
      <c r="L4" s="1198"/>
      <c r="M4" s="1198"/>
      <c r="N4" s="1198"/>
      <c r="O4" s="1198"/>
      <c r="P4" s="1198"/>
      <c r="Q4" s="1198"/>
      <c r="R4" s="1198"/>
    </row>
    <row r="5" spans="1:18">
      <c r="A5" s="1198" t="s">
        <v>4107</v>
      </c>
      <c r="B5" s="1198"/>
      <c r="C5" s="1198"/>
      <c r="D5" s="1198"/>
      <c r="E5" s="1198"/>
      <c r="F5" s="1198"/>
      <c r="G5" s="1198"/>
      <c r="H5" s="1198"/>
      <c r="I5" s="1198"/>
      <c r="J5" s="1198"/>
      <c r="K5" s="1198"/>
      <c r="L5" s="1198"/>
      <c r="M5" s="1198"/>
      <c r="N5" s="1198"/>
      <c r="O5" s="1198"/>
      <c r="P5" s="1198"/>
      <c r="Q5" s="1198"/>
      <c r="R5" s="1198"/>
    </row>
    <row r="6" spans="1:18" ht="26.25" customHeight="1">
      <c r="A6" s="1193" t="s">
        <v>869</v>
      </c>
      <c r="B6" s="1193"/>
      <c r="C6" s="1193"/>
      <c r="D6" s="1193"/>
      <c r="E6" s="1193"/>
      <c r="F6" s="1193"/>
      <c r="G6" s="1193"/>
      <c r="H6" s="1193"/>
      <c r="I6" s="1193"/>
      <c r="J6" s="1193"/>
      <c r="K6" s="1193"/>
      <c r="L6" s="1193"/>
      <c r="M6" s="1193"/>
      <c r="N6" s="1193"/>
      <c r="O6" s="1191" t="s">
        <v>3308</v>
      </c>
      <c r="P6" s="1191"/>
      <c r="Q6" s="1192" t="s">
        <v>3804</v>
      </c>
      <c r="R6" s="1192"/>
    </row>
    <row r="7" spans="1:18">
      <c r="A7" s="1199" t="s">
        <v>4108</v>
      </c>
      <c r="B7" s="1199"/>
      <c r="C7" s="1199"/>
      <c r="D7" s="1199"/>
      <c r="E7" s="1199"/>
      <c r="F7" s="1199"/>
      <c r="G7" s="1199"/>
      <c r="H7" s="1199"/>
      <c r="I7" s="1199"/>
      <c r="J7" s="1199"/>
      <c r="K7" s="1199"/>
      <c r="L7" s="1199"/>
      <c r="M7" s="1199"/>
      <c r="N7" s="1199"/>
      <c r="O7" s="1199"/>
      <c r="P7" s="563">
        <v>1</v>
      </c>
      <c r="Q7" s="1190">
        <v>9000</v>
      </c>
      <c r="R7" s="1190"/>
    </row>
    <row r="8" spans="1:18">
      <c r="A8" s="1199" t="s">
        <v>4109</v>
      </c>
      <c r="B8" s="1199"/>
      <c r="C8" s="1199"/>
      <c r="D8" s="1199"/>
      <c r="E8" s="1199"/>
      <c r="F8" s="1199"/>
      <c r="G8" s="1199"/>
      <c r="H8" s="1199"/>
      <c r="I8" s="1199"/>
      <c r="J8" s="1199"/>
      <c r="K8" s="1199"/>
      <c r="L8" s="1199"/>
      <c r="M8" s="1199"/>
      <c r="N8" s="1199"/>
      <c r="O8" s="1199"/>
      <c r="P8" s="563">
        <v>1</v>
      </c>
      <c r="Q8" s="1190">
        <v>8400</v>
      </c>
      <c r="R8" s="1190"/>
    </row>
    <row r="9" spans="1:18">
      <c r="A9" s="1199" t="s">
        <v>4110</v>
      </c>
      <c r="B9" s="1199"/>
      <c r="C9" s="1199"/>
      <c r="D9" s="1199"/>
      <c r="E9" s="1199"/>
      <c r="F9" s="1199"/>
      <c r="G9" s="1199"/>
      <c r="H9" s="1199"/>
      <c r="I9" s="1199"/>
      <c r="J9" s="1199"/>
      <c r="K9" s="1199"/>
      <c r="L9" s="1199"/>
      <c r="M9" s="1199"/>
      <c r="N9" s="1199"/>
      <c r="O9" s="1199"/>
      <c r="P9" s="563">
        <v>1</v>
      </c>
      <c r="Q9" s="1190">
        <v>8000</v>
      </c>
      <c r="R9" s="1190"/>
    </row>
    <row r="10" spans="1:18">
      <c r="A10" s="1199" t="s">
        <v>4111</v>
      </c>
      <c r="B10" s="1199"/>
      <c r="C10" s="1199"/>
      <c r="D10" s="1199"/>
      <c r="E10" s="1199"/>
      <c r="F10" s="1199"/>
      <c r="G10" s="1199"/>
      <c r="H10" s="1199"/>
      <c r="I10" s="1199"/>
      <c r="J10" s="1199"/>
      <c r="K10" s="1199"/>
      <c r="L10" s="1199"/>
      <c r="M10" s="1199"/>
      <c r="N10" s="1199"/>
      <c r="O10" s="1199"/>
      <c r="P10" s="563">
        <v>1</v>
      </c>
      <c r="Q10" s="1190">
        <v>7600</v>
      </c>
      <c r="R10" s="1190"/>
    </row>
    <row r="11" spans="1:18">
      <c r="A11" s="1199" t="s">
        <v>4112</v>
      </c>
      <c r="B11" s="1199"/>
      <c r="C11" s="1199"/>
      <c r="D11" s="1199"/>
      <c r="E11" s="1199"/>
      <c r="F11" s="1199"/>
      <c r="G11" s="1199"/>
      <c r="H11" s="1199"/>
      <c r="I11" s="1199"/>
      <c r="J11" s="1199"/>
      <c r="K11" s="1199"/>
      <c r="L11" s="1199"/>
      <c r="M11" s="1199"/>
      <c r="N11" s="1199"/>
      <c r="O11" s="1199"/>
      <c r="P11" s="563">
        <v>1</v>
      </c>
      <c r="Q11" s="1190">
        <v>7000</v>
      </c>
      <c r="R11" s="1190"/>
    </row>
    <row r="12" spans="1:18">
      <c r="A12" s="1199" t="s">
        <v>4113</v>
      </c>
      <c r="B12" s="1199"/>
      <c r="C12" s="1199"/>
      <c r="D12" s="1199"/>
      <c r="E12" s="1199"/>
      <c r="F12" s="1199"/>
      <c r="G12" s="1199"/>
      <c r="H12" s="1199"/>
      <c r="I12" s="1199"/>
      <c r="J12" s="1199"/>
      <c r="K12" s="1199"/>
      <c r="L12" s="1199"/>
      <c r="M12" s="1199"/>
      <c r="N12" s="1199"/>
      <c r="O12" s="1199"/>
      <c r="P12" s="563">
        <v>1</v>
      </c>
      <c r="Q12" s="1190">
        <v>6400</v>
      </c>
      <c r="R12" s="1190"/>
    </row>
    <row r="13" spans="1:18">
      <c r="A13" s="1199" t="s">
        <v>4114</v>
      </c>
      <c r="B13" s="1199"/>
      <c r="C13" s="1199"/>
      <c r="D13" s="1199"/>
      <c r="E13" s="1199"/>
      <c r="F13" s="1199"/>
      <c r="G13" s="1199"/>
      <c r="H13" s="1199"/>
      <c r="I13" s="1199"/>
      <c r="J13" s="1199"/>
      <c r="K13" s="1199"/>
      <c r="L13" s="1199"/>
      <c r="M13" s="1199"/>
      <c r="N13" s="1199"/>
      <c r="O13" s="1199"/>
      <c r="P13" s="563">
        <v>1</v>
      </c>
      <c r="Q13" s="1190">
        <v>5800</v>
      </c>
      <c r="R13" s="1190"/>
    </row>
    <row r="14" spans="1:18">
      <c r="A14" s="1199" t="s">
        <v>4115</v>
      </c>
      <c r="B14" s="1199"/>
      <c r="C14" s="1199"/>
      <c r="D14" s="1199"/>
      <c r="E14" s="1199"/>
      <c r="F14" s="1199"/>
      <c r="G14" s="1199"/>
      <c r="H14" s="1199"/>
      <c r="I14" s="1199"/>
      <c r="J14" s="1199"/>
      <c r="K14" s="1199"/>
      <c r="L14" s="1199"/>
      <c r="M14" s="1199"/>
      <c r="N14" s="1199"/>
      <c r="O14" s="1199"/>
      <c r="P14" s="563">
        <v>1</v>
      </c>
      <c r="Q14" s="1190">
        <v>4800</v>
      </c>
      <c r="R14" s="1190"/>
    </row>
    <row r="15" spans="1:18">
      <c r="A15" s="1217" t="s">
        <v>4116</v>
      </c>
      <c r="B15" s="1218"/>
      <c r="C15" s="1218"/>
      <c r="D15" s="1218"/>
      <c r="E15" s="1218"/>
      <c r="F15" s="1218"/>
      <c r="G15" s="1218"/>
      <c r="H15" s="1218"/>
      <c r="I15" s="1218"/>
      <c r="J15" s="1218"/>
      <c r="K15" s="1218"/>
      <c r="L15" s="1218"/>
      <c r="M15" s="1218"/>
      <c r="N15" s="1218"/>
      <c r="O15" s="1219"/>
      <c r="P15" s="563">
        <v>1</v>
      </c>
      <c r="Q15" s="1190">
        <v>3600</v>
      </c>
      <c r="R15" s="1190"/>
    </row>
    <row r="16" spans="1:18">
      <c r="A16" s="1220"/>
      <c r="B16" s="1221"/>
      <c r="C16" s="1221"/>
      <c r="D16" s="1221"/>
      <c r="E16" s="1221"/>
      <c r="F16" s="1221"/>
      <c r="G16" s="1221"/>
      <c r="H16" s="1221"/>
      <c r="I16" s="1221"/>
      <c r="J16" s="1221"/>
      <c r="K16" s="1221"/>
      <c r="L16" s="1221"/>
      <c r="M16" s="1221"/>
      <c r="N16" s="1221"/>
      <c r="O16" s="1222"/>
      <c r="P16" s="563">
        <v>2</v>
      </c>
      <c r="Q16" s="1190">
        <v>3000</v>
      </c>
      <c r="R16" s="1190"/>
    </row>
    <row r="17" spans="1:18">
      <c r="A17" s="1220"/>
      <c r="B17" s="1221"/>
      <c r="C17" s="1221"/>
      <c r="D17" s="1221"/>
      <c r="E17" s="1221"/>
      <c r="F17" s="1221"/>
      <c r="G17" s="1221"/>
      <c r="H17" s="1221"/>
      <c r="I17" s="1221"/>
      <c r="J17" s="1221"/>
      <c r="K17" s="1221"/>
      <c r="L17" s="1221"/>
      <c r="M17" s="1221"/>
      <c r="N17" s="1221"/>
      <c r="O17" s="1222"/>
      <c r="P17" s="563">
        <v>3</v>
      </c>
      <c r="Q17" s="1190">
        <v>2200</v>
      </c>
      <c r="R17" s="1190"/>
    </row>
    <row r="18" spans="1:18">
      <c r="A18" s="1220"/>
      <c r="B18" s="1221"/>
      <c r="C18" s="1221"/>
      <c r="D18" s="1221"/>
      <c r="E18" s="1221"/>
      <c r="F18" s="1221"/>
      <c r="G18" s="1221"/>
      <c r="H18" s="1221"/>
      <c r="I18" s="1221"/>
      <c r="J18" s="1221"/>
      <c r="K18" s="1221"/>
      <c r="L18" s="1221"/>
      <c r="M18" s="1221"/>
      <c r="N18" s="1221"/>
      <c r="O18" s="1222"/>
      <c r="P18" s="563">
        <v>4</v>
      </c>
      <c r="Q18" s="1190">
        <v>1600</v>
      </c>
      <c r="R18" s="1190"/>
    </row>
    <row r="19" spans="1:18">
      <c r="A19" s="1220"/>
      <c r="B19" s="1221"/>
      <c r="C19" s="1221"/>
      <c r="D19" s="1221"/>
      <c r="E19" s="1221"/>
      <c r="F19" s="1221"/>
      <c r="G19" s="1221"/>
      <c r="H19" s="1221"/>
      <c r="I19" s="1221"/>
      <c r="J19" s="1221"/>
      <c r="K19" s="1221"/>
      <c r="L19" s="1221"/>
      <c r="M19" s="1221"/>
      <c r="N19" s="1221"/>
      <c r="O19" s="1222"/>
      <c r="P19" s="563">
        <v>5</v>
      </c>
      <c r="Q19" s="1190">
        <v>1300</v>
      </c>
      <c r="R19" s="1190"/>
    </row>
    <row r="20" spans="1:18">
      <c r="A20" s="1220"/>
      <c r="B20" s="1221"/>
      <c r="C20" s="1221"/>
      <c r="D20" s="1221"/>
      <c r="E20" s="1221"/>
      <c r="F20" s="1221"/>
      <c r="G20" s="1221"/>
      <c r="H20" s="1221"/>
      <c r="I20" s="1221"/>
      <c r="J20" s="1221"/>
      <c r="K20" s="1221"/>
      <c r="L20" s="1221"/>
      <c r="M20" s="1221"/>
      <c r="N20" s="1221"/>
      <c r="O20" s="1222"/>
      <c r="P20" s="563">
        <v>6</v>
      </c>
      <c r="Q20" s="1190">
        <v>1150</v>
      </c>
      <c r="R20" s="1190"/>
    </row>
    <row r="21" spans="1:18">
      <c r="A21" s="1220"/>
      <c r="B21" s="1221"/>
      <c r="C21" s="1221"/>
      <c r="D21" s="1221"/>
      <c r="E21" s="1221"/>
      <c r="F21" s="1221"/>
      <c r="G21" s="1221"/>
      <c r="H21" s="1221"/>
      <c r="I21" s="1221"/>
      <c r="J21" s="1221"/>
      <c r="K21" s="1221"/>
      <c r="L21" s="1221"/>
      <c r="M21" s="1221"/>
      <c r="N21" s="1221"/>
      <c r="O21" s="1222"/>
      <c r="P21" s="563">
        <v>7</v>
      </c>
      <c r="Q21" s="1190">
        <v>950</v>
      </c>
      <c r="R21" s="1190"/>
    </row>
    <row r="22" spans="1:18">
      <c r="A22" s="1223"/>
      <c r="B22" s="1224"/>
      <c r="C22" s="1224"/>
      <c r="D22" s="1224"/>
      <c r="E22" s="1224"/>
      <c r="F22" s="1224"/>
      <c r="G22" s="1224"/>
      <c r="H22" s="1224"/>
      <c r="I22" s="1224"/>
      <c r="J22" s="1224"/>
      <c r="K22" s="1224"/>
      <c r="L22" s="1224"/>
      <c r="M22" s="1224"/>
      <c r="N22" s="1224"/>
      <c r="O22" s="1225"/>
      <c r="P22" s="563">
        <v>8</v>
      </c>
      <c r="Q22" s="1190">
        <v>850</v>
      </c>
      <c r="R22" s="1190"/>
    </row>
    <row r="24" spans="1:18" s="295" customFormat="1">
      <c r="A24" s="1198" t="s">
        <v>4060</v>
      </c>
      <c r="B24" s="1198"/>
      <c r="C24" s="1198"/>
      <c r="D24" s="1198"/>
      <c r="E24" s="1198"/>
      <c r="F24" s="1198"/>
      <c r="G24" s="1198"/>
      <c r="H24" s="1198"/>
      <c r="I24" s="1198"/>
      <c r="J24" s="1198"/>
      <c r="K24" s="1198"/>
      <c r="L24" s="1198"/>
      <c r="M24" s="1198"/>
      <c r="N24" s="1198"/>
      <c r="O24" s="1198"/>
      <c r="P24" s="1198"/>
      <c r="Q24" s="1198"/>
      <c r="R24" s="1198"/>
    </row>
    <row r="25" spans="1:18" s="295" customFormat="1">
      <c r="A25" s="1198" t="s">
        <v>4061</v>
      </c>
      <c r="B25" s="1198"/>
      <c r="C25" s="1198"/>
      <c r="D25" s="1198"/>
      <c r="E25" s="1198"/>
      <c r="F25" s="1198"/>
      <c r="G25" s="1198"/>
      <c r="H25" s="1198"/>
      <c r="I25" s="1198"/>
      <c r="J25" s="1198"/>
      <c r="K25" s="1198"/>
      <c r="L25" s="1198"/>
      <c r="M25" s="1198"/>
      <c r="N25" s="1198"/>
      <c r="O25" s="1198"/>
      <c r="P25" s="1198"/>
      <c r="Q25" s="1198"/>
      <c r="R25" s="1198"/>
    </row>
    <row r="26" spans="1:18" s="295" customFormat="1" ht="33" customHeight="1">
      <c r="A26" s="1198" t="s">
        <v>4062</v>
      </c>
      <c r="B26" s="1198"/>
      <c r="C26" s="1198"/>
      <c r="D26" s="1198"/>
      <c r="E26" s="1198"/>
      <c r="F26" s="1198"/>
      <c r="G26" s="1198"/>
      <c r="H26" s="1198"/>
      <c r="I26" s="1198"/>
      <c r="J26" s="1198"/>
      <c r="K26" s="1198"/>
      <c r="L26" s="1198"/>
      <c r="M26" s="1198"/>
      <c r="N26" s="1198"/>
      <c r="O26" s="1198"/>
      <c r="P26" s="1198"/>
      <c r="Q26" s="1198"/>
      <c r="R26" s="1198"/>
    </row>
    <row r="27" spans="1:18" s="295" customFormat="1">
      <c r="A27" s="1198" t="s">
        <v>4063</v>
      </c>
      <c r="B27" s="1198"/>
      <c r="C27" s="1198"/>
      <c r="D27" s="1198"/>
      <c r="E27" s="1198"/>
      <c r="F27" s="1198"/>
      <c r="G27" s="1198"/>
      <c r="H27" s="1198"/>
      <c r="I27" s="1198"/>
      <c r="J27" s="1198"/>
      <c r="K27" s="1198"/>
      <c r="L27" s="1198"/>
      <c r="M27" s="1198"/>
      <c r="N27" s="1198"/>
      <c r="O27" s="1198"/>
      <c r="P27" s="1198"/>
      <c r="Q27" s="1198"/>
      <c r="R27" s="1198"/>
    </row>
    <row r="28" spans="1:18" s="295" customFormat="1">
      <c r="A28" s="1198" t="s">
        <v>4117</v>
      </c>
      <c r="B28" s="1198"/>
      <c r="C28" s="1198"/>
      <c r="D28" s="1198"/>
      <c r="E28" s="1198"/>
      <c r="F28" s="1198"/>
      <c r="G28" s="1198"/>
      <c r="H28" s="1198"/>
      <c r="I28" s="1198"/>
      <c r="J28" s="1198"/>
      <c r="K28" s="1198"/>
      <c r="L28" s="1198"/>
      <c r="M28" s="1198"/>
      <c r="N28" s="1198"/>
      <c r="O28" s="1198"/>
      <c r="P28" s="1198"/>
      <c r="Q28" s="1198"/>
      <c r="R28" s="1198"/>
    </row>
    <row r="29" spans="1:18" s="99" customFormat="1" ht="30" customHeight="1">
      <c r="A29" s="1214"/>
      <c r="B29" s="1214"/>
      <c r="C29" s="1214"/>
      <c r="D29" s="1214"/>
      <c r="E29" s="1214"/>
      <c r="F29" s="1214"/>
      <c r="G29" s="1214"/>
      <c r="H29" s="1214"/>
      <c r="I29" s="1214"/>
      <c r="J29" s="1214"/>
      <c r="K29" s="1214"/>
      <c r="L29" s="1214"/>
      <c r="M29" s="1191" t="s">
        <v>3308</v>
      </c>
      <c r="N29" s="1191"/>
      <c r="O29" s="1192" t="s">
        <v>3804</v>
      </c>
      <c r="P29" s="1192"/>
      <c r="Q29" s="1192" t="s">
        <v>3804</v>
      </c>
      <c r="R29" s="1192"/>
    </row>
    <row r="30" spans="1:18">
      <c r="A30" s="1214"/>
      <c r="B30" s="1214"/>
      <c r="C30" s="1214"/>
      <c r="D30" s="1214"/>
      <c r="E30" s="1214"/>
      <c r="F30" s="1214"/>
      <c r="G30" s="1214"/>
      <c r="H30" s="1214"/>
      <c r="I30" s="1214"/>
      <c r="J30" s="1214"/>
      <c r="K30" s="1214"/>
      <c r="L30" s="1214"/>
      <c r="M30" s="1190">
        <v>1</v>
      </c>
      <c r="N30" s="1190"/>
      <c r="O30" s="1190">
        <v>3200</v>
      </c>
      <c r="P30" s="1190"/>
      <c r="Q30" s="1190">
        <v>3600</v>
      </c>
      <c r="R30" s="1190"/>
    </row>
    <row r="31" spans="1:18">
      <c r="A31" s="1214"/>
      <c r="B31" s="1214"/>
      <c r="C31" s="1214"/>
      <c r="D31" s="1214"/>
      <c r="E31" s="1214"/>
      <c r="F31" s="1214"/>
      <c r="G31" s="1214"/>
      <c r="H31" s="1214"/>
      <c r="I31" s="1214"/>
      <c r="J31" s="1214"/>
      <c r="K31" s="1214"/>
      <c r="L31" s="1214"/>
      <c r="M31" s="1190">
        <v>2</v>
      </c>
      <c r="N31" s="1190"/>
      <c r="O31" s="1190">
        <v>2600</v>
      </c>
      <c r="P31" s="1190"/>
      <c r="Q31" s="1190">
        <v>3000</v>
      </c>
      <c r="R31" s="1190"/>
    </row>
    <row r="32" spans="1:18">
      <c r="A32" s="1214"/>
      <c r="B32" s="1214"/>
      <c r="C32" s="1214"/>
      <c r="D32" s="1214"/>
      <c r="E32" s="1214"/>
      <c r="F32" s="1214"/>
      <c r="G32" s="1214"/>
      <c r="H32" s="1214"/>
      <c r="I32" s="1214"/>
      <c r="J32" s="1214"/>
      <c r="K32" s="1214"/>
      <c r="L32" s="1214"/>
      <c r="M32" s="1190">
        <v>3</v>
      </c>
      <c r="N32" s="1190"/>
      <c r="O32" s="1190">
        <v>1900</v>
      </c>
      <c r="P32" s="1190"/>
      <c r="Q32" s="1190">
        <v>2200</v>
      </c>
      <c r="R32" s="1190"/>
    </row>
    <row r="33" spans="1:18">
      <c r="A33" s="1214"/>
      <c r="B33" s="1214"/>
      <c r="C33" s="1214"/>
      <c r="D33" s="1214"/>
      <c r="E33" s="1214"/>
      <c r="F33" s="1214"/>
      <c r="G33" s="1214"/>
      <c r="H33" s="1214"/>
      <c r="I33" s="1214"/>
      <c r="J33" s="1214"/>
      <c r="K33" s="1214"/>
      <c r="L33" s="1214"/>
      <c r="M33" s="1190">
        <v>4</v>
      </c>
      <c r="N33" s="1190"/>
      <c r="O33" s="1190">
        <v>1450</v>
      </c>
      <c r="P33" s="1190"/>
      <c r="Q33" s="1190">
        <v>1600</v>
      </c>
      <c r="R33" s="1190"/>
    </row>
    <row r="34" spans="1:18">
      <c r="A34" s="1214"/>
      <c r="B34" s="1214"/>
      <c r="C34" s="1214"/>
      <c r="D34" s="1214"/>
      <c r="E34" s="1214"/>
      <c r="F34" s="1214"/>
      <c r="G34" s="1214"/>
      <c r="H34" s="1214"/>
      <c r="I34" s="1214"/>
      <c r="J34" s="1214"/>
      <c r="K34" s="1214"/>
      <c r="L34" s="1214"/>
      <c r="M34" s="1190">
        <v>5</v>
      </c>
      <c r="N34" s="1190"/>
      <c r="O34" s="1190">
        <v>1100</v>
      </c>
      <c r="P34" s="1190"/>
      <c r="Q34" s="1190">
        <v>1300</v>
      </c>
      <c r="R34" s="1190"/>
    </row>
    <row r="35" spans="1:18">
      <c r="A35" s="1214"/>
      <c r="B35" s="1214"/>
      <c r="C35" s="1214"/>
      <c r="D35" s="1214"/>
      <c r="E35" s="1214"/>
      <c r="F35" s="1214"/>
      <c r="G35" s="1214"/>
      <c r="H35" s="1214"/>
      <c r="I35" s="1214"/>
      <c r="J35" s="1214"/>
      <c r="K35" s="1214"/>
      <c r="L35" s="1214"/>
      <c r="M35" s="1190">
        <v>6</v>
      </c>
      <c r="N35" s="1190"/>
      <c r="O35" s="1190">
        <v>950</v>
      </c>
      <c r="P35" s="1190"/>
      <c r="Q35" s="1190">
        <v>1150</v>
      </c>
      <c r="R35" s="1190"/>
    </row>
    <row r="36" spans="1:18">
      <c r="A36" s="1214"/>
      <c r="B36" s="1214"/>
      <c r="C36" s="1214"/>
      <c r="D36" s="1214"/>
      <c r="E36" s="1214"/>
      <c r="F36" s="1214"/>
      <c r="G36" s="1214"/>
      <c r="H36" s="1214"/>
      <c r="I36" s="1214"/>
      <c r="J36" s="1214"/>
      <c r="K36" s="1214"/>
      <c r="L36" s="1214"/>
      <c r="M36" s="1190">
        <v>7</v>
      </c>
      <c r="N36" s="1190"/>
      <c r="O36" s="1190">
        <v>850</v>
      </c>
      <c r="P36" s="1190"/>
      <c r="Q36" s="1190">
        <v>950</v>
      </c>
      <c r="R36" s="1190"/>
    </row>
    <row r="37" spans="1:18">
      <c r="A37" s="1214"/>
      <c r="B37" s="1214"/>
      <c r="C37" s="1214"/>
      <c r="D37" s="1214"/>
      <c r="E37" s="1214"/>
      <c r="F37" s="1214"/>
      <c r="G37" s="1214"/>
      <c r="H37" s="1214"/>
      <c r="I37" s="1214"/>
      <c r="J37" s="1214"/>
      <c r="K37" s="1214"/>
      <c r="L37" s="1214"/>
      <c r="M37" s="1190">
        <v>8</v>
      </c>
      <c r="N37" s="1190"/>
      <c r="O37" s="1190">
        <v>750</v>
      </c>
      <c r="P37" s="1190"/>
      <c r="Q37" s="1190">
        <v>850</v>
      </c>
      <c r="R37" s="1190"/>
    </row>
    <row r="38" spans="1:18">
      <c r="A38" s="316"/>
      <c r="B38" s="316"/>
      <c r="C38" s="316"/>
      <c r="D38" s="316"/>
      <c r="E38" s="316"/>
      <c r="F38" s="316"/>
      <c r="G38" s="316"/>
      <c r="H38" s="316"/>
      <c r="I38" s="316"/>
      <c r="J38" s="316"/>
      <c r="K38" s="316"/>
      <c r="L38" s="316"/>
      <c r="M38" s="569"/>
      <c r="N38" s="569"/>
      <c r="O38" s="569"/>
      <c r="P38" s="569"/>
      <c r="Q38" s="569"/>
      <c r="R38" s="569"/>
    </row>
    <row r="39" spans="1:18">
      <c r="A39" s="316"/>
      <c r="B39" s="316"/>
      <c r="C39" s="316"/>
      <c r="D39" s="316"/>
      <c r="E39" s="316"/>
      <c r="F39" s="316"/>
      <c r="G39" s="316"/>
      <c r="H39" s="316"/>
      <c r="I39" s="316"/>
      <c r="J39" s="316"/>
      <c r="K39" s="316"/>
      <c r="L39" s="316"/>
      <c r="M39" s="569"/>
      <c r="N39" s="569"/>
      <c r="O39" s="569"/>
      <c r="P39" s="569"/>
      <c r="Q39" s="569"/>
      <c r="R39" s="569"/>
    </row>
    <row r="40" spans="1:18">
      <c r="A40" s="316"/>
      <c r="B40" s="316"/>
      <c r="C40" s="316"/>
      <c r="D40" s="316"/>
      <c r="E40" s="316"/>
      <c r="F40" s="316"/>
      <c r="G40" s="316"/>
      <c r="H40" s="316"/>
      <c r="I40" s="316"/>
      <c r="J40" s="316"/>
      <c r="K40" s="316"/>
      <c r="L40" s="316"/>
      <c r="M40" s="569"/>
      <c r="N40" s="569"/>
      <c r="O40" s="569"/>
      <c r="P40" s="569"/>
      <c r="Q40" s="569"/>
      <c r="R40" s="569"/>
    </row>
    <row r="41" spans="1:18">
      <c r="A41" s="316"/>
      <c r="B41" s="316"/>
      <c r="C41" s="316"/>
      <c r="D41" s="316"/>
      <c r="E41" s="316"/>
      <c r="F41" s="316"/>
      <c r="G41" s="316"/>
      <c r="H41" s="316"/>
      <c r="I41" s="316"/>
      <c r="J41" s="316"/>
      <c r="K41" s="316"/>
      <c r="L41" s="316"/>
      <c r="M41" s="569"/>
      <c r="N41" s="569"/>
      <c r="O41" s="569"/>
      <c r="P41" s="569"/>
      <c r="Q41" s="569"/>
      <c r="R41" s="569"/>
    </row>
    <row r="42" spans="1:18">
      <c r="A42" s="316"/>
      <c r="B42" s="316"/>
      <c r="C42" s="316"/>
      <c r="D42" s="316"/>
      <c r="E42" s="316"/>
      <c r="F42" s="316"/>
      <c r="G42" s="316"/>
      <c r="H42" s="316"/>
      <c r="I42" s="316"/>
      <c r="J42" s="316"/>
      <c r="K42" s="316"/>
      <c r="L42" s="316"/>
      <c r="M42" s="569"/>
      <c r="N42" s="569"/>
      <c r="O42" s="569"/>
      <c r="P42" s="569"/>
      <c r="Q42" s="569"/>
      <c r="R42" s="569"/>
    </row>
    <row r="43" spans="1:18">
      <c r="A43" s="316"/>
      <c r="B43" s="316"/>
      <c r="C43" s="316"/>
      <c r="D43" s="316"/>
      <c r="E43" s="316"/>
      <c r="F43" s="316"/>
      <c r="G43" s="316"/>
      <c r="H43" s="316"/>
      <c r="I43" s="316"/>
      <c r="J43" s="316"/>
      <c r="K43" s="316"/>
      <c r="L43" s="316"/>
      <c r="M43" s="569"/>
      <c r="N43" s="569"/>
      <c r="O43" s="569"/>
      <c r="P43" s="569"/>
      <c r="Q43" s="569"/>
      <c r="R43" s="569"/>
    </row>
    <row r="44" spans="1:18">
      <c r="A44" s="316"/>
      <c r="B44" s="316"/>
      <c r="C44" s="316"/>
      <c r="D44" s="316"/>
      <c r="E44" s="316"/>
      <c r="F44" s="316"/>
      <c r="G44" s="316"/>
      <c r="H44" s="316"/>
      <c r="I44" s="316"/>
      <c r="J44" s="316"/>
      <c r="K44" s="316"/>
      <c r="L44" s="316"/>
      <c r="M44" s="569"/>
      <c r="N44" s="569"/>
      <c r="O44" s="569"/>
      <c r="P44" s="569"/>
      <c r="Q44" s="569"/>
      <c r="R44" s="569"/>
    </row>
    <row r="45" spans="1:18">
      <c r="A45" s="316"/>
      <c r="B45" s="316"/>
      <c r="C45" s="316"/>
      <c r="D45" s="316"/>
      <c r="E45" s="316"/>
      <c r="F45" s="316"/>
      <c r="G45" s="316"/>
      <c r="H45" s="316"/>
      <c r="I45" s="316"/>
      <c r="J45" s="316"/>
      <c r="K45" s="316"/>
      <c r="L45" s="316"/>
      <c r="M45" s="569"/>
      <c r="N45" s="569"/>
      <c r="O45" s="569"/>
      <c r="P45" s="569"/>
      <c r="Q45" s="569"/>
      <c r="R45" s="569"/>
    </row>
    <row r="46" spans="1:18">
      <c r="A46" s="316"/>
      <c r="B46" s="316"/>
      <c r="C46" s="316"/>
      <c r="D46" s="316"/>
      <c r="E46" s="316"/>
      <c r="F46" s="316"/>
      <c r="G46" s="316"/>
      <c r="H46" s="316"/>
      <c r="I46" s="316"/>
      <c r="J46" s="316"/>
      <c r="K46" s="316"/>
      <c r="L46" s="316"/>
      <c r="M46" s="569"/>
      <c r="N46" s="569"/>
      <c r="O46" s="569"/>
      <c r="P46" s="569"/>
      <c r="Q46" s="569"/>
      <c r="R46" s="569"/>
    </row>
    <row r="47" spans="1:18">
      <c r="A47" s="316"/>
      <c r="B47" s="316"/>
      <c r="C47" s="316"/>
      <c r="D47" s="316"/>
      <c r="E47" s="316"/>
      <c r="F47" s="316"/>
      <c r="G47" s="316"/>
      <c r="H47" s="316"/>
      <c r="I47" s="316"/>
      <c r="J47" s="316"/>
      <c r="K47" s="316"/>
      <c r="L47" s="316"/>
      <c r="M47" s="569"/>
      <c r="N47" s="569"/>
      <c r="O47" s="569"/>
      <c r="P47" s="569"/>
      <c r="Q47" s="569"/>
      <c r="R47" s="569"/>
    </row>
    <row r="48" spans="1:18">
      <c r="A48" s="316"/>
      <c r="B48" s="316"/>
      <c r="C48" s="316"/>
      <c r="D48" s="316"/>
      <c r="E48" s="316"/>
      <c r="F48" s="316"/>
      <c r="G48" s="316"/>
      <c r="H48" s="316"/>
      <c r="I48" s="316"/>
      <c r="J48" s="316"/>
      <c r="K48" s="316"/>
      <c r="L48" s="316"/>
      <c r="M48" s="569"/>
      <c r="N48" s="569"/>
      <c r="O48" s="569"/>
      <c r="P48" s="569"/>
      <c r="Q48" s="569"/>
      <c r="R48" s="569"/>
    </row>
    <row r="49" spans="1:18">
      <c r="A49" s="316"/>
      <c r="B49" s="316"/>
      <c r="C49" s="316"/>
      <c r="D49" s="316"/>
      <c r="E49" s="316"/>
      <c r="F49" s="316"/>
      <c r="G49" s="316"/>
      <c r="H49" s="316"/>
      <c r="I49" s="316"/>
      <c r="J49" s="316"/>
      <c r="K49" s="316"/>
      <c r="L49" s="316"/>
      <c r="M49" s="569"/>
      <c r="N49" s="569"/>
      <c r="O49" s="569"/>
      <c r="P49" s="569"/>
      <c r="Q49" s="569"/>
      <c r="R49" s="569"/>
    </row>
    <row r="50" spans="1:18">
      <c r="A50" s="316"/>
      <c r="B50" s="316"/>
      <c r="C50" s="316"/>
      <c r="D50" s="316"/>
      <c r="E50" s="316"/>
      <c r="F50" s="316"/>
      <c r="G50" s="316"/>
      <c r="H50" s="316"/>
      <c r="I50" s="316"/>
      <c r="J50" s="316"/>
      <c r="K50" s="316"/>
      <c r="L50" s="316"/>
      <c r="M50" s="569"/>
      <c r="N50" s="569"/>
      <c r="O50" s="569"/>
      <c r="P50" s="569"/>
      <c r="Q50" s="569"/>
      <c r="R50" s="569"/>
    </row>
    <row r="51" spans="1:18">
      <c r="A51" s="316"/>
      <c r="B51" s="316"/>
      <c r="C51" s="316"/>
      <c r="D51" s="316"/>
      <c r="E51" s="316"/>
      <c r="F51" s="316"/>
      <c r="G51" s="316"/>
      <c r="H51" s="316"/>
      <c r="I51" s="316"/>
      <c r="J51" s="316"/>
      <c r="K51" s="316"/>
      <c r="L51" s="316"/>
      <c r="M51" s="569"/>
      <c r="N51" s="569"/>
      <c r="O51" s="569"/>
      <c r="P51" s="569"/>
      <c r="Q51" s="569"/>
      <c r="R51" s="569"/>
    </row>
    <row r="52" spans="1:18" s="99" customFormat="1" ht="29.25" customHeight="1">
      <c r="A52" s="1198" t="s">
        <v>4064</v>
      </c>
      <c r="B52" s="1198"/>
      <c r="C52" s="1198"/>
      <c r="D52" s="1198"/>
      <c r="E52" s="1198"/>
      <c r="F52" s="1198"/>
      <c r="G52" s="1198"/>
      <c r="H52" s="1198"/>
      <c r="I52" s="1198"/>
      <c r="J52" s="1198"/>
      <c r="K52" s="1198"/>
      <c r="L52" s="1198"/>
      <c r="M52" s="1198"/>
      <c r="N52" s="1198"/>
      <c r="O52" s="1198"/>
      <c r="P52" s="1198"/>
      <c r="Q52" s="1198"/>
      <c r="R52" s="1198"/>
    </row>
    <row r="53" spans="1:18" s="99" customFormat="1">
      <c r="A53" s="1198" t="s">
        <v>4065</v>
      </c>
      <c r="B53" s="1198"/>
      <c r="C53" s="1198"/>
      <c r="D53" s="1198"/>
      <c r="E53" s="1198"/>
      <c r="F53" s="1198"/>
      <c r="G53" s="1198"/>
      <c r="H53" s="1198"/>
      <c r="I53" s="1198"/>
      <c r="J53" s="1198"/>
      <c r="K53" s="1198"/>
      <c r="L53" s="1198"/>
      <c r="M53" s="1198"/>
      <c r="N53" s="1198"/>
      <c r="O53" s="1198"/>
      <c r="P53" s="1198"/>
      <c r="Q53" s="1198"/>
      <c r="R53" s="1198"/>
    </row>
    <row r="54" spans="1:18" s="99" customFormat="1">
      <c r="A54" s="1198" t="s">
        <v>4118</v>
      </c>
      <c r="B54" s="1198"/>
      <c r="C54" s="1198"/>
      <c r="D54" s="1198"/>
      <c r="E54" s="1198"/>
      <c r="F54" s="1198"/>
      <c r="G54" s="1198"/>
      <c r="H54" s="1198"/>
      <c r="I54" s="1198"/>
      <c r="J54" s="1198"/>
      <c r="K54" s="1198"/>
      <c r="L54" s="1198"/>
      <c r="M54" s="1198"/>
      <c r="N54" s="1198"/>
      <c r="O54" s="1198"/>
      <c r="P54" s="1198"/>
      <c r="Q54" s="1198"/>
      <c r="R54" s="1198"/>
    </row>
    <row r="55" spans="1:18" ht="26.25" customHeight="1">
      <c r="A55" s="1213" t="s">
        <v>869</v>
      </c>
      <c r="B55" s="1213"/>
      <c r="C55" s="1213"/>
      <c r="D55" s="1213"/>
      <c r="E55" s="1213"/>
      <c r="F55" s="1213"/>
      <c r="G55" s="1213"/>
      <c r="H55" s="1213"/>
      <c r="I55" s="1213"/>
      <c r="J55" s="1213"/>
      <c r="K55" s="1213"/>
      <c r="L55" s="1213"/>
      <c r="M55" s="1191" t="s">
        <v>3308</v>
      </c>
      <c r="N55" s="1191"/>
      <c r="O55" s="1192" t="s">
        <v>3804</v>
      </c>
      <c r="P55" s="1192"/>
      <c r="Q55" s="1192" t="s">
        <v>3804</v>
      </c>
      <c r="R55" s="1192"/>
    </row>
    <row r="56" spans="1:18" s="524" customFormat="1" ht="26.25" customHeight="1">
      <c r="A56" s="1197" t="s">
        <v>4119</v>
      </c>
      <c r="B56" s="1197"/>
      <c r="C56" s="1197"/>
      <c r="D56" s="1197"/>
      <c r="E56" s="1197"/>
      <c r="F56" s="1197"/>
      <c r="G56" s="1197"/>
      <c r="H56" s="1197"/>
      <c r="I56" s="1197"/>
      <c r="J56" s="1197"/>
      <c r="K56" s="1197"/>
      <c r="L56" s="1197"/>
      <c r="M56" s="1190">
        <v>1</v>
      </c>
      <c r="N56" s="1190"/>
      <c r="O56" s="1190">
        <v>5000</v>
      </c>
      <c r="P56" s="1190"/>
      <c r="Q56" s="1190">
        <v>5800</v>
      </c>
      <c r="R56" s="1190"/>
    </row>
    <row r="57" spans="1:18" s="524" customFormat="1" ht="27.75" customHeight="1">
      <c r="A57" s="1197" t="s">
        <v>4120</v>
      </c>
      <c r="B57" s="1197"/>
      <c r="C57" s="1197"/>
      <c r="D57" s="1197"/>
      <c r="E57" s="1197"/>
      <c r="F57" s="1197"/>
      <c r="G57" s="1197"/>
      <c r="H57" s="1197"/>
      <c r="I57" s="1197"/>
      <c r="J57" s="1197"/>
      <c r="K57" s="1197"/>
      <c r="L57" s="1197"/>
      <c r="M57" s="1190">
        <v>1</v>
      </c>
      <c r="N57" s="1190"/>
      <c r="O57" s="1190">
        <v>4100</v>
      </c>
      <c r="P57" s="1190"/>
      <c r="Q57" s="1190">
        <v>4800</v>
      </c>
      <c r="R57" s="1190"/>
    </row>
    <row r="58" spans="1:18" ht="12.75" customHeight="1">
      <c r="A58" s="1203" t="s">
        <v>4121</v>
      </c>
      <c r="B58" s="1204"/>
      <c r="C58" s="1204"/>
      <c r="D58" s="1204"/>
      <c r="E58" s="1204"/>
      <c r="F58" s="1204"/>
      <c r="G58" s="1204"/>
      <c r="H58" s="1204"/>
      <c r="I58" s="1204"/>
      <c r="J58" s="1204"/>
      <c r="K58" s="1204"/>
      <c r="L58" s="1205"/>
      <c r="M58" s="1190">
        <v>1</v>
      </c>
      <c r="N58" s="1190"/>
      <c r="O58" s="1190">
        <v>3500</v>
      </c>
      <c r="P58" s="1190"/>
      <c r="Q58" s="1190">
        <v>4000</v>
      </c>
      <c r="R58" s="1190"/>
    </row>
    <row r="59" spans="1:18">
      <c r="A59" s="1206"/>
      <c r="B59" s="1207"/>
      <c r="C59" s="1207"/>
      <c r="D59" s="1207"/>
      <c r="E59" s="1207"/>
      <c r="F59" s="1207"/>
      <c r="G59" s="1207"/>
      <c r="H59" s="1207"/>
      <c r="I59" s="1207"/>
      <c r="J59" s="1207"/>
      <c r="K59" s="1207"/>
      <c r="L59" s="1208"/>
      <c r="M59" s="1190">
        <v>2</v>
      </c>
      <c r="N59" s="1190"/>
      <c r="O59" s="1190">
        <v>3200</v>
      </c>
      <c r="P59" s="1190"/>
      <c r="Q59" s="1190">
        <v>3600</v>
      </c>
      <c r="R59" s="1190"/>
    </row>
    <row r="60" spans="1:18">
      <c r="A60" s="1206"/>
      <c r="B60" s="1207"/>
      <c r="C60" s="1207"/>
      <c r="D60" s="1207"/>
      <c r="E60" s="1207"/>
      <c r="F60" s="1207"/>
      <c r="G60" s="1207"/>
      <c r="H60" s="1207"/>
      <c r="I60" s="1207"/>
      <c r="J60" s="1207"/>
      <c r="K60" s="1207"/>
      <c r="L60" s="1208"/>
      <c r="M60" s="1190">
        <v>3</v>
      </c>
      <c r="N60" s="1190"/>
      <c r="O60" s="1190">
        <v>2600</v>
      </c>
      <c r="P60" s="1190"/>
      <c r="Q60" s="1190">
        <v>3000</v>
      </c>
      <c r="R60" s="1190"/>
    </row>
    <row r="61" spans="1:18">
      <c r="A61" s="1206"/>
      <c r="B61" s="1207"/>
      <c r="C61" s="1207"/>
      <c r="D61" s="1207"/>
      <c r="E61" s="1207"/>
      <c r="F61" s="1207"/>
      <c r="G61" s="1207"/>
      <c r="H61" s="1207"/>
      <c r="I61" s="1207"/>
      <c r="J61" s="1207"/>
      <c r="K61" s="1207"/>
      <c r="L61" s="1208"/>
      <c r="M61" s="1190">
        <v>4</v>
      </c>
      <c r="N61" s="1190"/>
      <c r="O61" s="1190">
        <v>1900</v>
      </c>
      <c r="P61" s="1190"/>
      <c r="Q61" s="1190">
        <v>2300</v>
      </c>
      <c r="R61" s="1190"/>
    </row>
    <row r="62" spans="1:18">
      <c r="A62" s="1206"/>
      <c r="B62" s="1207"/>
      <c r="C62" s="1207"/>
      <c r="D62" s="1207"/>
      <c r="E62" s="1207"/>
      <c r="F62" s="1207"/>
      <c r="G62" s="1207"/>
      <c r="H62" s="1207"/>
      <c r="I62" s="1207"/>
      <c r="J62" s="1207"/>
      <c r="K62" s="1207"/>
      <c r="L62" s="1208"/>
      <c r="M62" s="1190">
        <v>5</v>
      </c>
      <c r="N62" s="1190"/>
      <c r="O62" s="1190">
        <v>1800</v>
      </c>
      <c r="P62" s="1190"/>
      <c r="Q62" s="1190">
        <v>2200</v>
      </c>
      <c r="R62" s="1190"/>
    </row>
    <row r="63" spans="1:18">
      <c r="A63" s="1206"/>
      <c r="B63" s="1207"/>
      <c r="C63" s="1207"/>
      <c r="D63" s="1207"/>
      <c r="E63" s="1207"/>
      <c r="F63" s="1207"/>
      <c r="G63" s="1207"/>
      <c r="H63" s="1207"/>
      <c r="I63" s="1207"/>
      <c r="J63" s="1207"/>
      <c r="K63" s="1207"/>
      <c r="L63" s="1208"/>
      <c r="M63" s="1190">
        <v>6</v>
      </c>
      <c r="N63" s="1190"/>
      <c r="O63" s="1190">
        <v>1450</v>
      </c>
      <c r="P63" s="1190"/>
      <c r="Q63" s="1190">
        <v>1600</v>
      </c>
      <c r="R63" s="1190"/>
    </row>
    <row r="64" spans="1:18">
      <c r="A64" s="1206"/>
      <c r="B64" s="1207"/>
      <c r="C64" s="1207"/>
      <c r="D64" s="1207"/>
      <c r="E64" s="1207"/>
      <c r="F64" s="1207"/>
      <c r="G64" s="1207"/>
      <c r="H64" s="1207"/>
      <c r="I64" s="1207"/>
      <c r="J64" s="1207"/>
      <c r="K64" s="1207"/>
      <c r="L64" s="1208"/>
      <c r="M64" s="1190">
        <v>7</v>
      </c>
      <c r="N64" s="1190"/>
      <c r="O64" s="1190">
        <v>1350</v>
      </c>
      <c r="P64" s="1190"/>
      <c r="Q64" s="1190">
        <v>1500</v>
      </c>
      <c r="R64" s="1190"/>
    </row>
    <row r="65" spans="1:18">
      <c r="A65" s="1206"/>
      <c r="B65" s="1207"/>
      <c r="C65" s="1207"/>
      <c r="D65" s="1207"/>
      <c r="E65" s="1207"/>
      <c r="F65" s="1207"/>
      <c r="G65" s="1207"/>
      <c r="H65" s="1207"/>
      <c r="I65" s="1207"/>
      <c r="J65" s="1207"/>
      <c r="K65" s="1207"/>
      <c r="L65" s="1208"/>
      <c r="M65" s="1190">
        <v>8</v>
      </c>
      <c r="N65" s="1190"/>
      <c r="O65" s="1190">
        <v>1100</v>
      </c>
      <c r="P65" s="1190"/>
      <c r="Q65" s="1190">
        <v>1300</v>
      </c>
      <c r="R65" s="1190"/>
    </row>
    <row r="66" spans="1:18">
      <c r="A66" s="1209"/>
      <c r="B66" s="1210"/>
      <c r="C66" s="1210"/>
      <c r="D66" s="1210"/>
      <c r="E66" s="1210"/>
      <c r="F66" s="1210"/>
      <c r="G66" s="1210"/>
      <c r="H66" s="1210"/>
      <c r="I66" s="1210"/>
      <c r="J66" s="1210"/>
      <c r="K66" s="1210"/>
      <c r="L66" s="1211"/>
      <c r="M66" s="1190">
        <v>9</v>
      </c>
      <c r="N66" s="1190"/>
      <c r="O66" s="1190">
        <v>950</v>
      </c>
      <c r="P66" s="1190"/>
      <c r="Q66" s="1190">
        <v>1150</v>
      </c>
      <c r="R66" s="1190"/>
    </row>
    <row r="67" spans="1:18">
      <c r="A67" s="1194"/>
      <c r="B67" s="1194"/>
      <c r="C67" s="1194"/>
      <c r="D67" s="1194"/>
      <c r="E67" s="1194"/>
      <c r="F67" s="1194"/>
      <c r="G67" s="1194"/>
      <c r="H67" s="1194"/>
      <c r="I67" s="1194"/>
      <c r="J67" s="1194"/>
      <c r="K67" s="1194"/>
      <c r="L67" s="1194"/>
      <c r="M67" s="1194"/>
      <c r="N67" s="1194"/>
      <c r="O67" s="1194"/>
      <c r="P67" s="1194"/>
      <c r="Q67" s="1194"/>
      <c r="R67" s="1194"/>
    </row>
    <row r="68" spans="1:18" s="99" customFormat="1" ht="32.25" customHeight="1">
      <c r="A68" s="1198" t="s">
        <v>4066</v>
      </c>
      <c r="B68" s="1198"/>
      <c r="C68" s="1198"/>
      <c r="D68" s="1198"/>
      <c r="E68" s="1198"/>
      <c r="F68" s="1198"/>
      <c r="G68" s="1198"/>
      <c r="H68" s="1198"/>
      <c r="I68" s="1198"/>
      <c r="J68" s="1198"/>
      <c r="K68" s="1198"/>
      <c r="L68" s="1198"/>
      <c r="M68" s="1198"/>
      <c r="N68" s="1198"/>
      <c r="O68" s="1198"/>
      <c r="P68" s="1198"/>
      <c r="Q68" s="1198"/>
      <c r="R68" s="1198"/>
    </row>
    <row r="69" spans="1:18" s="99" customFormat="1">
      <c r="A69" s="1198" t="s">
        <v>4067</v>
      </c>
      <c r="B69" s="1198"/>
      <c r="C69" s="1198"/>
      <c r="D69" s="1198"/>
      <c r="E69" s="1198"/>
      <c r="F69" s="1198"/>
      <c r="G69" s="1198"/>
      <c r="H69" s="1198"/>
      <c r="I69" s="1198"/>
      <c r="J69" s="1198"/>
      <c r="K69" s="1198"/>
      <c r="L69" s="1198"/>
      <c r="M69" s="1198"/>
      <c r="N69" s="1198"/>
      <c r="O69" s="1198"/>
      <c r="P69" s="1198"/>
      <c r="Q69" s="1198"/>
      <c r="R69" s="1198"/>
    </row>
    <row r="70" spans="1:18" ht="17.25" customHeight="1">
      <c r="A70" s="1212" t="s">
        <v>4068</v>
      </c>
      <c r="B70" s="1212"/>
      <c r="C70" s="1212"/>
      <c r="D70" s="1212"/>
      <c r="E70" s="1212"/>
      <c r="F70" s="1212"/>
      <c r="G70" s="1212"/>
      <c r="H70" s="1212"/>
      <c r="I70" s="1212"/>
      <c r="J70" s="1212"/>
      <c r="K70" s="1212"/>
      <c r="L70" s="1212"/>
      <c r="M70" s="1212"/>
      <c r="N70" s="1212"/>
      <c r="O70" s="1212"/>
      <c r="P70" s="1212"/>
      <c r="Q70" s="1212"/>
      <c r="R70" s="1212"/>
    </row>
    <row r="71" spans="1:18">
      <c r="A71" s="1199" t="s">
        <v>4069</v>
      </c>
      <c r="B71" s="1199"/>
      <c r="C71" s="1199"/>
      <c r="D71" s="1199"/>
      <c r="E71" s="1199"/>
      <c r="F71" s="1199"/>
      <c r="G71" s="1199"/>
      <c r="H71" s="1199"/>
      <c r="I71" s="1199"/>
      <c r="J71" s="1199"/>
      <c r="K71" s="1199"/>
      <c r="L71" s="1199"/>
      <c r="M71" s="1199"/>
      <c r="N71" s="1199"/>
      <c r="O71" s="1199"/>
      <c r="P71" s="1199"/>
      <c r="Q71" s="1190">
        <v>30000</v>
      </c>
      <c r="R71" s="1190"/>
    </row>
    <row r="72" spans="1:18">
      <c r="A72" s="1199" t="s">
        <v>4122</v>
      </c>
      <c r="B72" s="1199"/>
      <c r="C72" s="1199"/>
      <c r="D72" s="1199"/>
      <c r="E72" s="1199"/>
      <c r="F72" s="1199"/>
      <c r="G72" s="1199"/>
      <c r="H72" s="1199"/>
      <c r="I72" s="1199"/>
      <c r="J72" s="1199"/>
      <c r="K72" s="1199"/>
      <c r="L72" s="1199"/>
      <c r="M72" s="1199"/>
      <c r="N72" s="1199"/>
      <c r="O72" s="1199"/>
      <c r="P72" s="1199"/>
      <c r="Q72" s="1190">
        <v>20000</v>
      </c>
      <c r="R72" s="1190"/>
    </row>
    <row r="73" spans="1:18">
      <c r="A73" s="1199" t="s">
        <v>4070</v>
      </c>
      <c r="B73" s="1199"/>
      <c r="C73" s="1199"/>
      <c r="D73" s="1199"/>
      <c r="E73" s="1199"/>
      <c r="F73" s="1199"/>
      <c r="G73" s="1199"/>
      <c r="H73" s="1199"/>
      <c r="I73" s="1199"/>
      <c r="J73" s="1199"/>
      <c r="K73" s="1199"/>
      <c r="L73" s="1199"/>
      <c r="M73" s="1199"/>
      <c r="N73" s="1199"/>
      <c r="O73" s="1199"/>
      <c r="P73" s="1199"/>
      <c r="Q73" s="1190">
        <v>15000</v>
      </c>
      <c r="R73" s="1190"/>
    </row>
    <row r="74" spans="1:18">
      <c r="A74" s="1199" t="s">
        <v>4071</v>
      </c>
      <c r="B74" s="1199"/>
      <c r="C74" s="1199"/>
      <c r="D74" s="1199"/>
      <c r="E74" s="1199"/>
      <c r="F74" s="1199"/>
      <c r="G74" s="1199"/>
      <c r="H74" s="1199"/>
      <c r="I74" s="1199"/>
      <c r="J74" s="1199"/>
      <c r="K74" s="1199"/>
      <c r="L74" s="1199"/>
      <c r="M74" s="1199"/>
      <c r="N74" s="1199"/>
      <c r="O74" s="1199"/>
      <c r="P74" s="1199"/>
      <c r="Q74" s="1189">
        <v>10000</v>
      </c>
      <c r="R74" s="1189"/>
    </row>
    <row r="75" spans="1:18">
      <c r="A75" s="1199" t="s">
        <v>4072</v>
      </c>
      <c r="B75" s="1199"/>
      <c r="C75" s="1199"/>
      <c r="D75" s="1199"/>
      <c r="E75" s="1199"/>
      <c r="F75" s="1199"/>
      <c r="G75" s="1199"/>
      <c r="H75" s="1199"/>
      <c r="I75" s="1199"/>
      <c r="J75" s="1199"/>
      <c r="K75" s="1199"/>
      <c r="L75" s="1199"/>
      <c r="M75" s="1199"/>
      <c r="N75" s="1199"/>
      <c r="O75" s="1199"/>
      <c r="P75" s="1199"/>
      <c r="Q75" s="1189">
        <v>8000</v>
      </c>
      <c r="R75" s="1189"/>
    </row>
    <row r="76" spans="1:18">
      <c r="A76" s="1199" t="s">
        <v>4073</v>
      </c>
      <c r="B76" s="1199"/>
      <c r="C76" s="1199"/>
      <c r="D76" s="1199"/>
      <c r="E76" s="1199"/>
      <c r="F76" s="1199"/>
      <c r="G76" s="1199"/>
      <c r="H76" s="1199"/>
      <c r="I76" s="1199"/>
      <c r="J76" s="1199"/>
      <c r="K76" s="1199"/>
      <c r="L76" s="1199"/>
      <c r="M76" s="1199"/>
      <c r="N76" s="1199"/>
      <c r="O76" s="1199"/>
      <c r="P76" s="1199"/>
      <c r="Q76" s="1189">
        <v>7000</v>
      </c>
      <c r="R76" s="1189"/>
    </row>
    <row r="77" spans="1:18">
      <c r="A77" s="1199" t="s">
        <v>4074</v>
      </c>
      <c r="B77" s="1199"/>
      <c r="C77" s="1199"/>
      <c r="D77" s="1199"/>
      <c r="E77" s="1199"/>
      <c r="F77" s="1199"/>
      <c r="G77" s="1199"/>
      <c r="H77" s="1199"/>
      <c r="I77" s="1199"/>
      <c r="J77" s="1199"/>
      <c r="K77" s="1199"/>
      <c r="L77" s="1199"/>
      <c r="M77" s="1199"/>
      <c r="N77" s="1199"/>
      <c r="O77" s="1199"/>
      <c r="P77" s="1199"/>
      <c r="Q77" s="1189">
        <v>4500</v>
      </c>
      <c r="R77" s="1189"/>
    </row>
    <row r="78" spans="1:18">
      <c r="A78" s="1199" t="s">
        <v>4075</v>
      </c>
      <c r="B78" s="1199"/>
      <c r="C78" s="1199"/>
      <c r="D78" s="1199"/>
      <c r="E78" s="1199"/>
      <c r="F78" s="1199"/>
      <c r="G78" s="1199"/>
      <c r="H78" s="1199"/>
      <c r="I78" s="1199"/>
      <c r="J78" s="1199"/>
      <c r="K78" s="1199"/>
      <c r="L78" s="1199"/>
      <c r="M78" s="1199"/>
      <c r="N78" s="1199"/>
      <c r="O78" s="1199"/>
      <c r="P78" s="1199"/>
      <c r="Q78" s="1189">
        <v>3500</v>
      </c>
      <c r="R78" s="1189"/>
    </row>
    <row r="79" spans="1:18">
      <c r="A79" s="1199" t="s">
        <v>4076</v>
      </c>
      <c r="B79" s="1199"/>
      <c r="C79" s="1199"/>
      <c r="D79" s="1199"/>
      <c r="E79" s="1199"/>
      <c r="F79" s="1199"/>
      <c r="G79" s="1199"/>
      <c r="H79" s="1199"/>
      <c r="I79" s="1199"/>
      <c r="J79" s="1199"/>
      <c r="K79" s="1199"/>
      <c r="L79" s="1199"/>
      <c r="M79" s="1199"/>
      <c r="N79" s="1199"/>
      <c r="O79" s="1199"/>
      <c r="P79" s="1199"/>
      <c r="Q79" s="1189">
        <v>2000</v>
      </c>
      <c r="R79" s="1189"/>
    </row>
    <row r="80" spans="1:18">
      <c r="A80" s="568"/>
    </row>
    <row r="102" spans="1:18">
      <c r="A102" s="568"/>
    </row>
    <row r="104" spans="1:18">
      <c r="A104" s="1200" t="s">
        <v>4077</v>
      </c>
      <c r="B104" s="1200"/>
      <c r="C104" s="1200"/>
      <c r="D104" s="1200"/>
      <c r="E104" s="1200"/>
      <c r="F104" s="1200"/>
      <c r="G104" s="1200"/>
      <c r="H104" s="1200"/>
      <c r="I104" s="1200"/>
      <c r="J104" s="1200"/>
      <c r="K104" s="1200"/>
      <c r="L104" s="1200"/>
      <c r="M104" s="1200"/>
      <c r="N104" s="1200"/>
      <c r="O104" s="1200"/>
      <c r="P104" s="1200"/>
      <c r="Q104" s="1200"/>
      <c r="R104" s="1200"/>
    </row>
    <row r="105" spans="1:18">
      <c r="A105" s="1201" t="s">
        <v>4078</v>
      </c>
      <c r="B105" s="1201"/>
      <c r="C105" s="1201"/>
      <c r="D105" s="1201"/>
      <c r="E105" s="1201"/>
      <c r="F105" s="1201"/>
      <c r="G105" s="1201"/>
      <c r="H105" s="1201"/>
      <c r="I105" s="1201"/>
      <c r="J105" s="1201"/>
      <c r="K105" s="1201"/>
      <c r="L105" s="1201"/>
      <c r="M105" s="1201"/>
      <c r="N105" s="1201"/>
      <c r="O105" s="1201"/>
      <c r="P105" s="1201"/>
      <c r="Q105" s="1201"/>
      <c r="R105" s="1201"/>
    </row>
    <row r="106" spans="1:18">
      <c r="A106" s="1202" t="s">
        <v>4079</v>
      </c>
      <c r="B106" s="1202"/>
      <c r="C106" s="1202"/>
      <c r="D106" s="1202"/>
      <c r="E106" s="1202"/>
      <c r="F106" s="1202"/>
      <c r="G106" s="1202"/>
      <c r="H106" s="1202"/>
      <c r="I106" s="1202"/>
      <c r="J106" s="1202"/>
      <c r="K106" s="1202"/>
      <c r="L106" s="1202"/>
      <c r="M106" s="1202"/>
      <c r="N106" s="1202"/>
      <c r="O106" s="1202"/>
      <c r="P106" s="1202"/>
      <c r="Q106" s="1202"/>
      <c r="R106" s="1202"/>
    </row>
    <row r="107" spans="1:18" ht="51.75" customHeight="1">
      <c r="A107" s="1187" t="s">
        <v>4125</v>
      </c>
      <c r="B107" s="1187"/>
      <c r="C107" s="1187"/>
      <c r="D107" s="1187"/>
      <c r="E107" s="1187"/>
      <c r="F107" s="1187"/>
      <c r="G107" s="1187"/>
      <c r="H107" s="1187"/>
      <c r="I107" s="1187"/>
      <c r="J107" s="1187"/>
      <c r="K107" s="1187"/>
      <c r="L107" s="1187"/>
      <c r="M107" s="1187"/>
      <c r="N107" s="1187"/>
      <c r="O107" s="1187"/>
      <c r="P107" s="1187"/>
      <c r="Q107" s="1187"/>
      <c r="R107" s="1187"/>
    </row>
    <row r="108" spans="1:18" ht="39.75" customHeight="1">
      <c r="A108" s="1188" t="s">
        <v>4080</v>
      </c>
      <c r="B108" s="1188"/>
      <c r="C108" s="1188"/>
      <c r="D108" s="1188"/>
      <c r="E108" s="1188"/>
      <c r="F108" s="1188"/>
      <c r="G108" s="1188"/>
      <c r="H108" s="1188"/>
      <c r="I108" s="1188"/>
      <c r="J108" s="1188"/>
      <c r="K108" s="1188"/>
      <c r="L108" s="1188"/>
      <c r="M108" s="1188"/>
      <c r="N108" s="1188"/>
      <c r="O108" s="1188"/>
      <c r="P108" s="1188"/>
      <c r="Q108" s="1188"/>
      <c r="R108" s="1188"/>
    </row>
    <row r="109" spans="1:18">
      <c r="A109" s="1188" t="s">
        <v>4081</v>
      </c>
      <c r="B109" s="1188"/>
      <c r="C109" s="1188"/>
      <c r="D109" s="1188"/>
      <c r="E109" s="1188"/>
      <c r="F109" s="1188"/>
      <c r="G109" s="1188"/>
      <c r="H109" s="1188"/>
      <c r="I109" s="1188"/>
      <c r="J109" s="1188"/>
      <c r="K109" s="1188"/>
      <c r="L109" s="1188"/>
      <c r="M109" s="1188"/>
      <c r="N109" s="1188"/>
      <c r="O109" s="1188"/>
      <c r="P109" s="1188"/>
      <c r="Q109" s="1188"/>
      <c r="R109" s="1188"/>
    </row>
    <row r="110" spans="1:18" ht="54" customHeight="1">
      <c r="A110" s="1188" t="s">
        <v>4082</v>
      </c>
      <c r="B110" s="1188"/>
      <c r="C110" s="1188"/>
      <c r="D110" s="1188"/>
      <c r="E110" s="1188"/>
      <c r="F110" s="1188"/>
      <c r="G110" s="1188"/>
      <c r="H110" s="1188"/>
      <c r="I110" s="1188"/>
      <c r="J110" s="1188"/>
      <c r="K110" s="1188"/>
      <c r="L110" s="1188"/>
      <c r="M110" s="1188"/>
      <c r="N110" s="1188"/>
      <c r="O110" s="1188"/>
      <c r="P110" s="1188"/>
      <c r="Q110" s="1188"/>
      <c r="R110" s="1188"/>
    </row>
    <row r="111" spans="1:18" ht="42.75" customHeight="1">
      <c r="A111" s="1188" t="s">
        <v>4083</v>
      </c>
      <c r="B111" s="1188"/>
      <c r="C111" s="1188"/>
      <c r="D111" s="1188"/>
      <c r="E111" s="1188"/>
      <c r="F111" s="1188"/>
      <c r="G111" s="1188"/>
      <c r="H111" s="1188"/>
      <c r="I111" s="1188"/>
      <c r="J111" s="1188"/>
      <c r="K111" s="1188"/>
      <c r="L111" s="1188"/>
      <c r="M111" s="1188"/>
      <c r="N111" s="1188"/>
      <c r="O111" s="1188"/>
      <c r="P111" s="1188"/>
      <c r="Q111" s="1188"/>
      <c r="R111" s="1188"/>
    </row>
    <row r="112" spans="1:18" ht="29.25" customHeight="1">
      <c r="A112" s="1188" t="s">
        <v>4084</v>
      </c>
      <c r="B112" s="1188"/>
      <c r="C112" s="1188"/>
      <c r="D112" s="1188"/>
      <c r="E112" s="1188"/>
      <c r="F112" s="1188"/>
      <c r="G112" s="1188"/>
      <c r="H112" s="1188"/>
      <c r="I112" s="1188"/>
      <c r="J112" s="1188"/>
      <c r="K112" s="1188"/>
      <c r="L112" s="1188"/>
      <c r="M112" s="1188"/>
      <c r="N112" s="1188"/>
      <c r="O112" s="1188"/>
      <c r="P112" s="1188"/>
      <c r="Q112" s="1188"/>
      <c r="R112" s="1188"/>
    </row>
    <row r="113" spans="1:18">
      <c r="A113" s="1188" t="s">
        <v>4085</v>
      </c>
      <c r="B113" s="1188"/>
      <c r="C113" s="1188"/>
      <c r="D113" s="1188"/>
      <c r="E113" s="1188"/>
      <c r="F113" s="1188"/>
      <c r="G113" s="1188"/>
      <c r="H113" s="1188"/>
      <c r="I113" s="1188"/>
      <c r="J113" s="1188"/>
      <c r="K113" s="1188"/>
      <c r="L113" s="1188"/>
      <c r="M113" s="1188"/>
      <c r="N113" s="1188"/>
      <c r="O113" s="1188"/>
      <c r="P113" s="1188"/>
      <c r="Q113" s="1188"/>
      <c r="R113" s="1188"/>
    </row>
    <row r="114" spans="1:18" ht="48" customHeight="1">
      <c r="A114" s="1186" t="s">
        <v>4086</v>
      </c>
      <c r="B114" s="1186"/>
      <c r="C114" s="1186"/>
      <c r="D114" s="1186"/>
      <c r="E114" s="1186"/>
      <c r="F114" s="1186"/>
      <c r="G114" s="1186"/>
      <c r="H114" s="1186"/>
      <c r="I114" s="1186"/>
      <c r="J114" s="1186"/>
      <c r="K114" s="1186"/>
      <c r="L114" s="1186"/>
      <c r="M114" s="1186"/>
      <c r="N114" s="1186"/>
      <c r="O114" s="1186"/>
      <c r="P114" s="1186"/>
      <c r="Q114" s="1186"/>
      <c r="R114" s="1186"/>
    </row>
    <row r="115" spans="1:18" ht="12.75" customHeight="1">
      <c r="A115" s="1195" t="s">
        <v>4087</v>
      </c>
      <c r="B115" s="1195"/>
      <c r="C115" s="1195"/>
      <c r="D115" s="1195"/>
      <c r="E115" s="1195"/>
      <c r="F115" s="1195"/>
      <c r="G115" s="1195"/>
      <c r="H115" s="1195"/>
      <c r="I115" s="1195"/>
      <c r="J115" s="1195"/>
      <c r="K115" s="1195"/>
      <c r="L115" s="1195"/>
      <c r="M115" s="1195"/>
      <c r="N115" s="1195"/>
      <c r="O115" s="1195"/>
      <c r="P115" s="1195"/>
      <c r="Q115" s="1196">
        <v>4500</v>
      </c>
      <c r="R115" s="1196"/>
    </row>
    <row r="116" spans="1:18" ht="12.75" customHeight="1">
      <c r="A116" s="1195" t="s">
        <v>3326</v>
      </c>
      <c r="B116" s="1195"/>
      <c r="C116" s="1195"/>
      <c r="D116" s="1195"/>
      <c r="E116" s="1195"/>
      <c r="F116" s="1195"/>
      <c r="G116" s="1195"/>
      <c r="H116" s="1195"/>
      <c r="I116" s="1195"/>
      <c r="J116" s="1195"/>
      <c r="K116" s="1195"/>
      <c r="L116" s="1195"/>
      <c r="M116" s="1195"/>
      <c r="N116" s="1195"/>
      <c r="O116" s="1195"/>
      <c r="P116" s="1195"/>
      <c r="Q116" s="1196">
        <v>4200</v>
      </c>
      <c r="R116" s="1196"/>
    </row>
    <row r="117" spans="1:18" ht="25.5" customHeight="1">
      <c r="A117" s="1195" t="s">
        <v>4123</v>
      </c>
      <c r="B117" s="1195"/>
      <c r="C117" s="1195"/>
      <c r="D117" s="1195"/>
      <c r="E117" s="1195"/>
      <c r="F117" s="1195"/>
      <c r="G117" s="1195"/>
      <c r="H117" s="1195"/>
      <c r="I117" s="1195"/>
      <c r="J117" s="1195"/>
      <c r="K117" s="1195"/>
      <c r="L117" s="1195"/>
      <c r="M117" s="1195"/>
      <c r="N117" s="1195"/>
      <c r="O117" s="1195"/>
      <c r="P117" s="1195"/>
      <c r="Q117" s="1196">
        <v>4000</v>
      </c>
      <c r="R117" s="1196"/>
    </row>
    <row r="118" spans="1:18" ht="25.5" customHeight="1">
      <c r="A118" s="1195" t="s">
        <v>4124</v>
      </c>
      <c r="B118" s="1195"/>
      <c r="C118" s="1195"/>
      <c r="D118" s="1195"/>
      <c r="E118" s="1195"/>
      <c r="F118" s="1195"/>
      <c r="G118" s="1195"/>
      <c r="H118" s="1195"/>
      <c r="I118" s="1195"/>
      <c r="J118" s="1195"/>
      <c r="K118" s="1195"/>
      <c r="L118" s="1195"/>
      <c r="M118" s="1195"/>
      <c r="N118" s="1195"/>
      <c r="O118" s="1195"/>
      <c r="P118" s="1195"/>
      <c r="Q118" s="1196">
        <v>3800</v>
      </c>
      <c r="R118" s="1196"/>
    </row>
    <row r="119" spans="1:18" ht="39" customHeight="1">
      <c r="A119" s="1195" t="s">
        <v>4088</v>
      </c>
      <c r="B119" s="1195"/>
      <c r="C119" s="1195"/>
      <c r="D119" s="1195"/>
      <c r="E119" s="1195"/>
      <c r="F119" s="1195"/>
      <c r="G119" s="1195"/>
      <c r="H119" s="1195"/>
      <c r="I119" s="1195"/>
      <c r="J119" s="1195"/>
      <c r="K119" s="1195"/>
      <c r="L119" s="1195"/>
      <c r="M119" s="1195"/>
      <c r="N119" s="1195"/>
      <c r="O119" s="1195"/>
      <c r="P119" s="1195"/>
      <c r="Q119" s="1196">
        <v>3500</v>
      </c>
      <c r="R119" s="1196"/>
    </row>
    <row r="120" spans="1:18" ht="12.75" customHeight="1">
      <c r="A120" s="1195" t="s">
        <v>4089</v>
      </c>
      <c r="B120" s="1195"/>
      <c r="C120" s="1195"/>
      <c r="D120" s="1195"/>
      <c r="E120" s="1195"/>
      <c r="F120" s="1195"/>
      <c r="G120" s="1195"/>
      <c r="H120" s="1195"/>
      <c r="I120" s="1195"/>
      <c r="J120" s="1195"/>
      <c r="K120" s="1195"/>
      <c r="L120" s="1195"/>
      <c r="M120" s="1195"/>
      <c r="N120" s="1195"/>
      <c r="O120" s="1195"/>
      <c r="P120" s="1195"/>
      <c r="Q120" s="1196">
        <v>2600</v>
      </c>
      <c r="R120" s="1196"/>
    </row>
    <row r="121" spans="1:18" ht="12.75" customHeight="1">
      <c r="A121" s="1195" t="s">
        <v>4090</v>
      </c>
      <c r="B121" s="1195"/>
      <c r="C121" s="1195"/>
      <c r="D121" s="1195"/>
      <c r="E121" s="1195"/>
      <c r="F121" s="1195"/>
      <c r="G121" s="1195"/>
      <c r="H121" s="1195"/>
      <c r="I121" s="1195"/>
      <c r="J121" s="1195"/>
      <c r="K121" s="1195"/>
      <c r="L121" s="1195"/>
      <c r="M121" s="1195"/>
      <c r="N121" s="1195"/>
      <c r="O121" s="1195"/>
      <c r="P121" s="1195"/>
      <c r="Q121" s="1196">
        <v>2400</v>
      </c>
      <c r="R121" s="1196"/>
    </row>
    <row r="122" spans="1:18" ht="30" customHeight="1">
      <c r="A122" s="1188" t="s">
        <v>4091</v>
      </c>
      <c r="B122" s="1188"/>
      <c r="C122" s="1188"/>
      <c r="D122" s="1188"/>
      <c r="E122" s="1188"/>
      <c r="F122" s="1188"/>
      <c r="G122" s="1188"/>
      <c r="H122" s="1188"/>
      <c r="I122" s="1188"/>
      <c r="J122" s="1188"/>
      <c r="K122" s="1188"/>
      <c r="L122" s="1188"/>
      <c r="M122" s="1188"/>
      <c r="N122" s="1188"/>
      <c r="O122" s="1188"/>
      <c r="P122" s="1188"/>
      <c r="Q122" s="1188"/>
      <c r="R122" s="1188"/>
    </row>
    <row r="123" spans="1:18" ht="12.75" customHeight="1">
      <c r="A123" s="1187" t="s">
        <v>4126</v>
      </c>
      <c r="B123" s="1187"/>
      <c r="C123" s="1187"/>
      <c r="D123" s="1187"/>
      <c r="E123" s="1187"/>
      <c r="F123" s="1187"/>
      <c r="G123" s="1187"/>
      <c r="H123" s="1187"/>
      <c r="I123" s="1187"/>
      <c r="J123" s="1187"/>
      <c r="K123" s="1187"/>
      <c r="L123" s="1187"/>
      <c r="M123" s="1187"/>
      <c r="N123" s="1187"/>
      <c r="O123" s="1187"/>
      <c r="P123" s="1187"/>
      <c r="Q123" s="1188"/>
      <c r="R123" s="1188"/>
    </row>
    <row r="124" spans="1:18" ht="35.25" customHeight="1">
      <c r="A124" s="1193" t="s">
        <v>869</v>
      </c>
      <c r="B124" s="1193"/>
      <c r="C124" s="1193"/>
      <c r="D124" s="1193"/>
      <c r="E124" s="1193"/>
      <c r="F124" s="1193"/>
      <c r="G124" s="1193"/>
      <c r="H124" s="1193"/>
      <c r="I124" s="1193"/>
      <c r="J124" s="1193"/>
      <c r="K124" s="1193"/>
      <c r="L124" s="1193"/>
      <c r="M124" s="1193"/>
      <c r="N124" s="1193"/>
      <c r="O124" s="1192" t="s">
        <v>3804</v>
      </c>
      <c r="P124" s="1192"/>
      <c r="Q124" s="1192" t="s">
        <v>3804</v>
      </c>
      <c r="R124" s="1192"/>
    </row>
    <row r="125" spans="1:18">
      <c r="A125" s="1190"/>
      <c r="B125" s="1190"/>
      <c r="C125" s="1190"/>
      <c r="D125" s="1190"/>
      <c r="E125" s="1190"/>
      <c r="F125" s="1190"/>
      <c r="G125" s="1190"/>
      <c r="H125" s="1190"/>
      <c r="I125" s="1190"/>
      <c r="J125" s="1190"/>
      <c r="K125" s="1190"/>
      <c r="L125" s="1190"/>
      <c r="M125" s="1190"/>
      <c r="N125" s="1190"/>
      <c r="O125" s="1190">
        <v>3300</v>
      </c>
      <c r="P125" s="1190"/>
      <c r="Q125" s="1190">
        <v>3800</v>
      </c>
      <c r="R125" s="1190"/>
    </row>
    <row r="126" spans="1:18">
      <c r="A126" s="1190"/>
      <c r="B126" s="1190"/>
      <c r="C126" s="1190"/>
      <c r="D126" s="1190"/>
      <c r="E126" s="1190"/>
      <c r="F126" s="1190"/>
      <c r="G126" s="1190"/>
      <c r="H126" s="1190"/>
      <c r="I126" s="1190"/>
      <c r="J126" s="1190"/>
      <c r="K126" s="1190"/>
      <c r="L126" s="1190"/>
      <c r="M126" s="1190"/>
      <c r="N126" s="1190"/>
      <c r="O126" s="1190">
        <v>3000</v>
      </c>
      <c r="P126" s="1190"/>
      <c r="Q126" s="1190">
        <v>3500</v>
      </c>
      <c r="R126" s="1190"/>
    </row>
    <row r="127" spans="1:18">
      <c r="A127" s="1190"/>
      <c r="B127" s="1190"/>
      <c r="C127" s="1190"/>
      <c r="D127" s="1190"/>
      <c r="E127" s="1190"/>
      <c r="F127" s="1190"/>
      <c r="G127" s="1190"/>
      <c r="H127" s="1190"/>
      <c r="I127" s="1190"/>
      <c r="J127" s="1190"/>
      <c r="K127" s="1190"/>
      <c r="L127" s="1190"/>
      <c r="M127" s="1190"/>
      <c r="N127" s="1190"/>
      <c r="O127" s="1190">
        <v>2700</v>
      </c>
      <c r="P127" s="1190"/>
      <c r="Q127" s="1190">
        <v>3200</v>
      </c>
      <c r="R127" s="1190"/>
    </row>
    <row r="128" spans="1:18">
      <c r="A128" s="1190"/>
      <c r="B128" s="1190"/>
      <c r="C128" s="1190"/>
      <c r="D128" s="1190"/>
      <c r="E128" s="1190"/>
      <c r="F128" s="1190"/>
      <c r="G128" s="1190"/>
      <c r="H128" s="1190"/>
      <c r="I128" s="1190"/>
      <c r="J128" s="1190"/>
      <c r="K128" s="1190"/>
      <c r="L128" s="1190"/>
      <c r="M128" s="1190"/>
      <c r="N128" s="1190"/>
      <c r="O128" s="1190">
        <v>2400</v>
      </c>
      <c r="P128" s="1190"/>
      <c r="Q128" s="1189">
        <v>2900</v>
      </c>
      <c r="R128" s="1189"/>
    </row>
    <row r="129" spans="1:18">
      <c r="A129" s="1190"/>
      <c r="B129" s="1190"/>
      <c r="C129" s="1190"/>
      <c r="D129" s="1190"/>
      <c r="E129" s="1190"/>
      <c r="F129" s="1190"/>
      <c r="G129" s="1190"/>
      <c r="H129" s="1190"/>
      <c r="I129" s="1190"/>
      <c r="J129" s="1190"/>
      <c r="K129" s="1190"/>
      <c r="L129" s="1190"/>
      <c r="M129" s="1190"/>
      <c r="N129" s="1190"/>
      <c r="O129" s="1190">
        <v>1950</v>
      </c>
      <c r="P129" s="1190"/>
      <c r="Q129" s="1189">
        <v>2400</v>
      </c>
      <c r="R129" s="1189"/>
    </row>
    <row r="130" spans="1:18">
      <c r="A130" s="1190"/>
      <c r="B130" s="1190"/>
      <c r="C130" s="1190"/>
      <c r="D130" s="1190"/>
      <c r="E130" s="1190"/>
      <c r="F130" s="1190"/>
      <c r="G130" s="1190"/>
      <c r="H130" s="1190"/>
      <c r="I130" s="1190"/>
      <c r="J130" s="1190"/>
      <c r="K130" s="1190"/>
      <c r="L130" s="1190"/>
      <c r="M130" s="1190"/>
      <c r="N130" s="1190"/>
      <c r="O130" s="1190">
        <v>1800</v>
      </c>
      <c r="P130" s="1190"/>
      <c r="Q130" s="1189">
        <v>2150</v>
      </c>
      <c r="R130" s="1189"/>
    </row>
    <row r="131" spans="1:18">
      <c r="A131" s="1190"/>
      <c r="B131" s="1190"/>
      <c r="C131" s="1190"/>
      <c r="D131" s="1190"/>
      <c r="E131" s="1190"/>
      <c r="F131" s="1190"/>
      <c r="G131" s="1190"/>
      <c r="H131" s="1190"/>
      <c r="I131" s="1190"/>
      <c r="J131" s="1190"/>
      <c r="K131" s="1190"/>
      <c r="L131" s="1190"/>
      <c r="M131" s="1190"/>
      <c r="N131" s="1190"/>
      <c r="O131" s="1190">
        <v>1650</v>
      </c>
      <c r="P131" s="1190"/>
      <c r="Q131" s="1189">
        <v>2000</v>
      </c>
      <c r="R131" s="1189"/>
    </row>
    <row r="132" spans="1:18">
      <c r="A132" s="1190"/>
      <c r="B132" s="1190"/>
      <c r="C132" s="1190"/>
      <c r="D132" s="1190"/>
      <c r="E132" s="1190"/>
      <c r="F132" s="1190"/>
      <c r="G132" s="1190"/>
      <c r="H132" s="1190"/>
      <c r="I132" s="1190"/>
      <c r="J132" s="1190"/>
      <c r="K132" s="1190"/>
      <c r="L132" s="1190"/>
      <c r="M132" s="1190"/>
      <c r="N132" s="1190"/>
      <c r="O132" s="1190">
        <v>1500</v>
      </c>
      <c r="P132" s="1190"/>
      <c r="Q132" s="1189">
        <v>1800</v>
      </c>
      <c r="R132" s="1189"/>
    </row>
    <row r="133" spans="1:18">
      <c r="A133" s="1190"/>
      <c r="B133" s="1190"/>
      <c r="C133" s="1190"/>
      <c r="D133" s="1190"/>
      <c r="E133" s="1190"/>
      <c r="F133" s="1190"/>
      <c r="G133" s="1190"/>
      <c r="H133" s="1190"/>
      <c r="I133" s="1190"/>
      <c r="J133" s="1190"/>
      <c r="K133" s="1190"/>
      <c r="L133" s="1190"/>
      <c r="M133" s="1190"/>
      <c r="N133" s="1190"/>
      <c r="O133" s="1190">
        <v>1200</v>
      </c>
      <c r="P133" s="1190"/>
      <c r="Q133" s="1189">
        <v>1500</v>
      </c>
      <c r="R133" s="1189"/>
    </row>
    <row r="134" spans="1:18">
      <c r="A134" s="1190"/>
      <c r="B134" s="1190"/>
      <c r="C134" s="1190"/>
      <c r="D134" s="1190"/>
      <c r="E134" s="1190"/>
      <c r="F134" s="1190"/>
      <c r="G134" s="1190"/>
      <c r="H134" s="1190"/>
      <c r="I134" s="1190"/>
      <c r="J134" s="1190"/>
      <c r="K134" s="1190"/>
      <c r="L134" s="1190"/>
      <c r="M134" s="1190"/>
      <c r="N134" s="1190"/>
      <c r="O134" s="1190">
        <v>900</v>
      </c>
      <c r="P134" s="1190"/>
      <c r="Q134" s="1189">
        <v>1100</v>
      </c>
      <c r="R134" s="1189"/>
    </row>
    <row r="135" spans="1:18">
      <c r="A135" s="1190"/>
      <c r="B135" s="1190"/>
      <c r="C135" s="1190"/>
      <c r="D135" s="1190"/>
      <c r="E135" s="1190"/>
      <c r="F135" s="1190"/>
      <c r="G135" s="1190"/>
      <c r="H135" s="1190"/>
      <c r="I135" s="1190"/>
      <c r="J135" s="1190"/>
      <c r="K135" s="1190"/>
      <c r="L135" s="1190"/>
      <c r="M135" s="1190"/>
      <c r="N135" s="1190"/>
      <c r="O135" s="1190">
        <v>600</v>
      </c>
      <c r="P135" s="1190"/>
      <c r="Q135" s="1189">
        <v>750</v>
      </c>
      <c r="R135" s="1189"/>
    </row>
    <row r="136" spans="1:18">
      <c r="A136" s="1190"/>
      <c r="B136" s="1190"/>
      <c r="C136" s="1190"/>
      <c r="D136" s="1190"/>
      <c r="E136" s="1190"/>
      <c r="F136" s="1190"/>
      <c r="G136" s="1190"/>
      <c r="H136" s="1190"/>
      <c r="I136" s="1190"/>
      <c r="J136" s="1190"/>
      <c r="K136" s="1190"/>
      <c r="L136" s="1190"/>
      <c r="M136" s="1190"/>
      <c r="N136" s="1190"/>
      <c r="O136" s="1190">
        <v>450</v>
      </c>
      <c r="P136" s="1190"/>
      <c r="Q136" s="1189">
        <v>550</v>
      </c>
      <c r="R136" s="1189"/>
    </row>
    <row r="137" spans="1:18">
      <c r="A137" s="1190"/>
      <c r="B137" s="1190"/>
      <c r="C137" s="1190"/>
      <c r="D137" s="1190"/>
      <c r="E137" s="1190"/>
      <c r="F137" s="1190"/>
      <c r="G137" s="1190"/>
      <c r="H137" s="1190"/>
      <c r="I137" s="1190"/>
      <c r="J137" s="1190"/>
      <c r="K137" s="1190"/>
      <c r="L137" s="1190"/>
      <c r="M137" s="1190"/>
      <c r="N137" s="1190"/>
      <c r="O137" s="1190">
        <v>300</v>
      </c>
      <c r="P137" s="1190"/>
      <c r="Q137" s="1189">
        <v>400</v>
      </c>
      <c r="R137" s="1189"/>
    </row>
    <row r="138" spans="1:18">
      <c r="A138" s="1190"/>
      <c r="B138" s="1190"/>
      <c r="C138" s="1190"/>
      <c r="D138" s="1190"/>
      <c r="E138" s="1190"/>
      <c r="F138" s="1190"/>
      <c r="G138" s="1190"/>
      <c r="H138" s="1190"/>
      <c r="I138" s="1190"/>
      <c r="J138" s="1190"/>
      <c r="K138" s="1190"/>
      <c r="L138" s="1190"/>
      <c r="M138" s="1190"/>
      <c r="N138" s="1190"/>
      <c r="O138" s="1190">
        <v>150</v>
      </c>
      <c r="P138" s="1190"/>
      <c r="Q138" s="1189">
        <v>200</v>
      </c>
      <c r="R138" s="1189"/>
    </row>
    <row r="139" spans="1:18">
      <c r="A139" s="569"/>
      <c r="B139" s="569"/>
      <c r="C139" s="569"/>
      <c r="D139" s="569"/>
      <c r="E139" s="569"/>
      <c r="F139" s="569"/>
      <c r="G139" s="569"/>
      <c r="H139" s="569"/>
      <c r="I139" s="569"/>
      <c r="J139" s="569"/>
      <c r="K139" s="569"/>
      <c r="L139" s="569"/>
      <c r="M139" s="569"/>
      <c r="N139" s="569"/>
      <c r="O139" s="569"/>
      <c r="P139" s="569"/>
      <c r="Q139" s="570"/>
      <c r="R139" s="570"/>
    </row>
    <row r="140" spans="1:18">
      <c r="A140" s="569"/>
      <c r="B140" s="569"/>
      <c r="C140" s="569"/>
      <c r="D140" s="569"/>
      <c r="E140" s="569"/>
      <c r="F140" s="569"/>
      <c r="G140" s="569"/>
      <c r="H140" s="569"/>
      <c r="I140" s="569"/>
      <c r="J140" s="569"/>
      <c r="K140" s="569"/>
      <c r="L140" s="569"/>
      <c r="M140" s="569"/>
      <c r="N140" s="569"/>
      <c r="O140" s="569"/>
      <c r="P140" s="569"/>
      <c r="Q140" s="570"/>
      <c r="R140" s="570"/>
    </row>
    <row r="141" spans="1:18">
      <c r="A141" s="1188" t="s">
        <v>4092</v>
      </c>
      <c r="B141" s="1188"/>
      <c r="C141" s="1188"/>
      <c r="D141" s="1188"/>
      <c r="E141" s="1188"/>
      <c r="F141" s="1188"/>
      <c r="G141" s="1188"/>
      <c r="H141" s="1188"/>
      <c r="I141" s="1188"/>
      <c r="J141" s="1188"/>
      <c r="K141" s="1188"/>
      <c r="L141" s="1188"/>
      <c r="M141" s="1188"/>
      <c r="N141" s="1188"/>
      <c r="O141" s="1188"/>
      <c r="P141" s="1188"/>
      <c r="Q141" s="1188"/>
      <c r="R141" s="1188"/>
    </row>
    <row r="142" spans="1:18" ht="30.75" customHeight="1">
      <c r="A142" s="1186" t="s">
        <v>4093</v>
      </c>
      <c r="B142" s="1186"/>
      <c r="C142" s="1186"/>
      <c r="D142" s="1186"/>
      <c r="E142" s="1186"/>
      <c r="F142" s="1186"/>
      <c r="G142" s="1186"/>
      <c r="H142" s="1186"/>
      <c r="I142" s="1186"/>
      <c r="J142" s="1186"/>
      <c r="K142" s="1186"/>
      <c r="L142" s="1186"/>
      <c r="M142" s="1186"/>
      <c r="N142" s="1186"/>
      <c r="O142" s="1186"/>
      <c r="P142" s="1186"/>
      <c r="Q142" s="1186"/>
      <c r="R142" s="1186"/>
    </row>
    <row r="143" spans="1:18">
      <c r="A143" s="1188" t="s">
        <v>4094</v>
      </c>
      <c r="B143" s="1188"/>
      <c r="C143" s="1188"/>
      <c r="D143" s="1188"/>
      <c r="E143" s="1188"/>
      <c r="F143" s="1188"/>
      <c r="G143" s="1188"/>
      <c r="H143" s="1188"/>
      <c r="I143" s="1188"/>
      <c r="J143" s="1188"/>
      <c r="K143" s="1188"/>
      <c r="L143" s="1188"/>
      <c r="M143" s="1188"/>
      <c r="N143" s="1188"/>
      <c r="O143" s="1188"/>
      <c r="P143" s="1188"/>
      <c r="Q143" s="1188"/>
      <c r="R143" s="1188"/>
    </row>
    <row r="144" spans="1:18" ht="26.25" customHeight="1">
      <c r="A144" s="1186" t="s">
        <v>4095</v>
      </c>
      <c r="B144" s="1186"/>
      <c r="C144" s="1186"/>
      <c r="D144" s="1186"/>
      <c r="E144" s="1186"/>
      <c r="F144" s="1186"/>
      <c r="G144" s="1186"/>
      <c r="H144" s="1186"/>
      <c r="I144" s="1186"/>
      <c r="J144" s="1186"/>
      <c r="K144" s="1186"/>
      <c r="L144" s="1186"/>
      <c r="M144" s="1186"/>
      <c r="N144" s="1186"/>
      <c r="O144" s="1186"/>
      <c r="P144" s="1186"/>
      <c r="Q144" s="1186"/>
      <c r="R144" s="1186"/>
    </row>
    <row r="145" spans="1:18">
      <c r="A145" s="1188" t="s">
        <v>4096</v>
      </c>
      <c r="B145" s="1188"/>
      <c r="C145" s="1188"/>
      <c r="D145" s="1188"/>
      <c r="E145" s="1188"/>
      <c r="F145" s="1188"/>
      <c r="G145" s="1188"/>
      <c r="H145" s="1188"/>
      <c r="I145" s="1188"/>
      <c r="J145" s="1188"/>
      <c r="K145" s="1188"/>
      <c r="L145" s="1188"/>
      <c r="M145" s="1188"/>
      <c r="N145" s="1188"/>
      <c r="O145" s="1188"/>
      <c r="P145" s="1188"/>
      <c r="Q145" s="1188"/>
      <c r="R145" s="1188"/>
    </row>
    <row r="146" spans="1:18" ht="39.75" customHeight="1">
      <c r="A146" s="1186" t="s">
        <v>4097</v>
      </c>
      <c r="B146" s="1186"/>
      <c r="C146" s="1186"/>
      <c r="D146" s="1186"/>
      <c r="E146" s="1186"/>
      <c r="F146" s="1186"/>
      <c r="G146" s="1186"/>
      <c r="H146" s="1186"/>
      <c r="I146" s="1186"/>
      <c r="J146" s="1186"/>
      <c r="K146" s="1186"/>
      <c r="L146" s="1186"/>
      <c r="M146" s="1186"/>
      <c r="N146" s="1186"/>
      <c r="O146" s="1186"/>
      <c r="P146" s="1186"/>
      <c r="Q146" s="1186"/>
      <c r="R146" s="1186"/>
    </row>
    <row r="147" spans="1:18">
      <c r="A147" s="1188" t="s">
        <v>4098</v>
      </c>
      <c r="B147" s="1188"/>
      <c r="C147" s="1188"/>
      <c r="D147" s="1188"/>
      <c r="E147" s="1188"/>
      <c r="F147" s="1188"/>
      <c r="G147" s="1188"/>
      <c r="H147" s="1188"/>
      <c r="I147" s="1188"/>
      <c r="J147" s="1188"/>
      <c r="K147" s="1188"/>
      <c r="L147" s="1188"/>
      <c r="M147" s="1188"/>
      <c r="N147" s="1188"/>
      <c r="O147" s="1188"/>
      <c r="P147" s="1188"/>
      <c r="Q147" s="1188"/>
      <c r="R147" s="1188"/>
    </row>
    <row r="148" spans="1:18">
      <c r="A148" s="1186" t="s">
        <v>4099</v>
      </c>
      <c r="B148" s="1186"/>
      <c r="C148" s="1186"/>
      <c r="D148" s="1186"/>
      <c r="E148" s="1186"/>
      <c r="F148" s="1186"/>
      <c r="G148" s="1186"/>
      <c r="H148" s="1186"/>
      <c r="I148" s="1186"/>
      <c r="J148" s="1186"/>
      <c r="K148" s="1186"/>
      <c r="L148" s="1186"/>
      <c r="M148" s="1186"/>
      <c r="N148" s="1186"/>
      <c r="O148" s="1186"/>
      <c r="P148" s="1186"/>
      <c r="Q148" s="1186"/>
      <c r="R148" s="1186"/>
    </row>
    <row r="149" spans="1:18">
      <c r="A149" s="1188" t="s">
        <v>4100</v>
      </c>
      <c r="B149" s="1188"/>
      <c r="C149" s="1188"/>
      <c r="D149" s="1188"/>
      <c r="E149" s="1188"/>
      <c r="F149" s="1188"/>
      <c r="G149" s="1188"/>
      <c r="H149" s="1188"/>
      <c r="I149" s="1188"/>
      <c r="J149" s="1188"/>
      <c r="K149" s="1188"/>
      <c r="L149" s="1188"/>
      <c r="M149" s="1188"/>
      <c r="N149" s="1188"/>
      <c r="O149" s="1188"/>
      <c r="P149" s="1188"/>
      <c r="Q149" s="1188"/>
      <c r="R149" s="1188"/>
    </row>
    <row r="150" spans="1:18" ht="81" customHeight="1">
      <c r="A150" s="1186" t="s">
        <v>4101</v>
      </c>
      <c r="B150" s="1186"/>
      <c r="C150" s="1186"/>
      <c r="D150" s="1186"/>
      <c r="E150" s="1186"/>
      <c r="F150" s="1186"/>
      <c r="G150" s="1186"/>
      <c r="H150" s="1186"/>
      <c r="I150" s="1186"/>
      <c r="J150" s="1186"/>
      <c r="K150" s="1186"/>
      <c r="L150" s="1186"/>
      <c r="M150" s="1186"/>
      <c r="N150" s="1186"/>
      <c r="O150" s="1186"/>
      <c r="P150" s="1186"/>
      <c r="Q150" s="1186"/>
      <c r="R150" s="1186"/>
    </row>
    <row r="151" spans="1:18" ht="44.25" customHeight="1">
      <c r="A151" s="1186" t="s">
        <v>4102</v>
      </c>
      <c r="B151" s="1186"/>
      <c r="C151" s="1186"/>
      <c r="D151" s="1186"/>
      <c r="E151" s="1186"/>
      <c r="F151" s="1186"/>
      <c r="G151" s="1186"/>
      <c r="H151" s="1186"/>
      <c r="I151" s="1186"/>
      <c r="J151" s="1186"/>
      <c r="K151" s="1186"/>
      <c r="L151" s="1186"/>
      <c r="M151" s="1186"/>
      <c r="N151" s="1186"/>
      <c r="O151" s="1186"/>
      <c r="P151" s="1186"/>
      <c r="Q151" s="1186"/>
      <c r="R151" s="1186"/>
    </row>
    <row r="152" spans="1:18">
      <c r="A152" s="1188" t="s">
        <v>4103</v>
      </c>
      <c r="B152" s="1188"/>
      <c r="C152" s="1188"/>
      <c r="D152" s="1188"/>
      <c r="E152" s="1188"/>
      <c r="F152" s="1188"/>
      <c r="G152" s="1188"/>
      <c r="H152" s="1188"/>
      <c r="I152" s="1188"/>
      <c r="J152" s="1188"/>
      <c r="K152" s="1188"/>
      <c r="L152" s="1188"/>
      <c r="M152" s="1188"/>
      <c r="N152" s="1188"/>
      <c r="O152" s="1188"/>
      <c r="P152" s="1188"/>
      <c r="Q152" s="1188"/>
      <c r="R152" s="1188"/>
    </row>
    <row r="153" spans="1:18" ht="53.25" customHeight="1">
      <c r="A153" s="1186" t="s">
        <v>4104</v>
      </c>
      <c r="B153" s="1186"/>
      <c r="C153" s="1186"/>
      <c r="D153" s="1186"/>
      <c r="E153" s="1186"/>
      <c r="F153" s="1186"/>
      <c r="G153" s="1186"/>
      <c r="H153" s="1186"/>
      <c r="I153" s="1186"/>
      <c r="J153" s="1186"/>
      <c r="K153" s="1186"/>
      <c r="L153" s="1186"/>
      <c r="M153" s="1186"/>
      <c r="N153" s="1186"/>
      <c r="O153" s="1186"/>
      <c r="P153" s="1186"/>
      <c r="Q153" s="1186"/>
      <c r="R153" s="1186"/>
    </row>
    <row r="154" spans="1:18">
      <c r="A154" s="1188" t="s">
        <v>4105</v>
      </c>
      <c r="B154" s="1188"/>
      <c r="C154" s="1188"/>
      <c r="D154" s="1188"/>
      <c r="E154" s="1188"/>
      <c r="F154" s="1188"/>
      <c r="G154" s="1188"/>
      <c r="H154" s="1188"/>
      <c r="I154" s="1188"/>
      <c r="J154" s="1188"/>
      <c r="K154" s="1188"/>
      <c r="L154" s="1188"/>
      <c r="M154" s="1188"/>
      <c r="N154" s="1188"/>
      <c r="O154" s="1188"/>
      <c r="P154" s="1188"/>
      <c r="Q154" s="1188"/>
      <c r="R154" s="1188"/>
    </row>
    <row r="155" spans="1:18" ht="41.25" customHeight="1">
      <c r="A155" s="1186" t="s">
        <v>4106</v>
      </c>
      <c r="B155" s="1186"/>
      <c r="C155" s="1186"/>
      <c r="D155" s="1186"/>
      <c r="E155" s="1186"/>
      <c r="F155" s="1186"/>
      <c r="G155" s="1186"/>
      <c r="H155" s="1186"/>
      <c r="I155" s="1186"/>
      <c r="J155" s="1186"/>
      <c r="K155" s="1186"/>
      <c r="L155" s="1186"/>
      <c r="M155" s="1186"/>
      <c r="N155" s="1186"/>
      <c r="O155" s="1186"/>
      <c r="P155" s="1186"/>
      <c r="Q155" s="1186"/>
      <c r="R155" s="1186"/>
    </row>
  </sheetData>
  <mergeCells count="207">
    <mergeCell ref="A13:O13"/>
    <mergeCell ref="A14:O14"/>
    <mergeCell ref="A15:O22"/>
    <mergeCell ref="Q7:R7"/>
    <mergeCell ref="Q8:R8"/>
    <mergeCell ref="Q9:R9"/>
    <mergeCell ref="Q10:R10"/>
    <mergeCell ref="Q11:R11"/>
    <mergeCell ref="Q12:R12"/>
    <mergeCell ref="Q20:R20"/>
    <mergeCell ref="Q21:R21"/>
    <mergeCell ref="Q22:R22"/>
    <mergeCell ref="Q13:R13"/>
    <mergeCell ref="Q14:R14"/>
    <mergeCell ref="Q15:R15"/>
    <mergeCell ref="Q17:R17"/>
    <mergeCell ref="Q18:R18"/>
    <mergeCell ref="Q19:R19"/>
    <mergeCell ref="Q16:R16"/>
    <mergeCell ref="A1:R1"/>
    <mergeCell ref="A2:R2"/>
    <mergeCell ref="A3:R3"/>
    <mergeCell ref="A4:R4"/>
    <mergeCell ref="A7:O7"/>
    <mergeCell ref="A8:O8"/>
    <mergeCell ref="A5:R5"/>
    <mergeCell ref="A11:O11"/>
    <mergeCell ref="A12:O12"/>
    <mergeCell ref="A9:O9"/>
    <mergeCell ref="A10:O10"/>
    <mergeCell ref="A24:R24"/>
    <mergeCell ref="A25:R25"/>
    <mergeCell ref="A26:R26"/>
    <mergeCell ref="M55:N55"/>
    <mergeCell ref="O55:P55"/>
    <mergeCell ref="Q55:R55"/>
    <mergeCell ref="A27:R27"/>
    <mergeCell ref="A28:R28"/>
    <mergeCell ref="M34:N34"/>
    <mergeCell ref="M35:N35"/>
    <mergeCell ref="O34:P34"/>
    <mergeCell ref="M36:N36"/>
    <mergeCell ref="A52:R52"/>
    <mergeCell ref="A53:R53"/>
    <mergeCell ref="A54:R54"/>
    <mergeCell ref="Q36:R36"/>
    <mergeCell ref="Q37:R37"/>
    <mergeCell ref="A29:L37"/>
    <mergeCell ref="Q35:R35"/>
    <mergeCell ref="O30:P30"/>
    <mergeCell ref="O31:P31"/>
    <mergeCell ref="M33:N33"/>
    <mergeCell ref="O29:P29"/>
    <mergeCell ref="Q29:R29"/>
    <mergeCell ref="Q76:R76"/>
    <mergeCell ref="Q57:R57"/>
    <mergeCell ref="A70:R70"/>
    <mergeCell ref="Q61:R61"/>
    <mergeCell ref="M62:N62"/>
    <mergeCell ref="O37:P37"/>
    <mergeCell ref="M37:N37"/>
    <mergeCell ref="O35:P35"/>
    <mergeCell ref="O36:P36"/>
    <mergeCell ref="Q60:R60"/>
    <mergeCell ref="A55:L55"/>
    <mergeCell ref="A71:P71"/>
    <mergeCell ref="A72:P72"/>
    <mergeCell ref="A73:P73"/>
    <mergeCell ref="A74:P74"/>
    <mergeCell ref="O65:P65"/>
    <mergeCell ref="M61:N61"/>
    <mergeCell ref="O61:P61"/>
    <mergeCell ref="Q71:R71"/>
    <mergeCell ref="Q72:R72"/>
    <mergeCell ref="Q73:R73"/>
    <mergeCell ref="Q74:R74"/>
    <mergeCell ref="Q75:R75"/>
    <mergeCell ref="A56:L56"/>
    <mergeCell ref="M29:N29"/>
    <mergeCell ref="M30:N30"/>
    <mergeCell ref="M31:N31"/>
    <mergeCell ref="M32:N32"/>
    <mergeCell ref="O57:P57"/>
    <mergeCell ref="Q30:R30"/>
    <mergeCell ref="Q31:R31"/>
    <mergeCell ref="Q32:R32"/>
    <mergeCell ref="Q33:R33"/>
    <mergeCell ref="Q34:R34"/>
    <mergeCell ref="O32:P32"/>
    <mergeCell ref="O33:P33"/>
    <mergeCell ref="M56:N56"/>
    <mergeCell ref="O56:P56"/>
    <mergeCell ref="Q56:R56"/>
    <mergeCell ref="M57:N57"/>
    <mergeCell ref="Q77:R77"/>
    <mergeCell ref="A106:R106"/>
    <mergeCell ref="O62:P62"/>
    <mergeCell ref="Q62:R62"/>
    <mergeCell ref="Q58:R58"/>
    <mergeCell ref="M59:N59"/>
    <mergeCell ref="O59:P59"/>
    <mergeCell ref="Q59:R59"/>
    <mergeCell ref="M60:N60"/>
    <mergeCell ref="O60:P60"/>
    <mergeCell ref="M58:N58"/>
    <mergeCell ref="O58:P58"/>
    <mergeCell ref="M65:N65"/>
    <mergeCell ref="Q65:R65"/>
    <mergeCell ref="M66:N66"/>
    <mergeCell ref="O66:P66"/>
    <mergeCell ref="Q66:R66"/>
    <mergeCell ref="M63:N63"/>
    <mergeCell ref="O63:P63"/>
    <mergeCell ref="Q63:R63"/>
    <mergeCell ref="M64:N64"/>
    <mergeCell ref="O64:P64"/>
    <mergeCell ref="Q64:R64"/>
    <mergeCell ref="A58:L66"/>
    <mergeCell ref="A107:R107"/>
    <mergeCell ref="A146:R146"/>
    <mergeCell ref="A109:R109"/>
    <mergeCell ref="A110:R110"/>
    <mergeCell ref="A111:R111"/>
    <mergeCell ref="Q78:R78"/>
    <mergeCell ref="Q79:R79"/>
    <mergeCell ref="A108:R108"/>
    <mergeCell ref="A104:R104"/>
    <mergeCell ref="A105:R105"/>
    <mergeCell ref="O137:P137"/>
    <mergeCell ref="O138:P138"/>
    <mergeCell ref="A141:R141"/>
    <mergeCell ref="Q124:R124"/>
    <mergeCell ref="A125:N138"/>
    <mergeCell ref="A143:R143"/>
    <mergeCell ref="Q136:R136"/>
    <mergeCell ref="Q137:R137"/>
    <mergeCell ref="Q138:R138"/>
    <mergeCell ref="O129:P129"/>
    <mergeCell ref="A57:L57"/>
    <mergeCell ref="A68:R68"/>
    <mergeCell ref="A69:R69"/>
    <mergeCell ref="A75:P75"/>
    <mergeCell ref="A76:P76"/>
    <mergeCell ref="A77:P77"/>
    <mergeCell ref="A78:P78"/>
    <mergeCell ref="A79:P79"/>
    <mergeCell ref="O136:P136"/>
    <mergeCell ref="A112:R112"/>
    <mergeCell ref="A113:R113"/>
    <mergeCell ref="A114:R114"/>
    <mergeCell ref="Q118:R118"/>
    <mergeCell ref="Q119:R119"/>
    <mergeCell ref="Q120:R120"/>
    <mergeCell ref="Q121:R121"/>
    <mergeCell ref="Q122:R122"/>
    <mergeCell ref="Q131:R131"/>
    <mergeCell ref="Q132:R132"/>
    <mergeCell ref="Q133:R133"/>
    <mergeCell ref="Q134:R134"/>
    <mergeCell ref="Q125:R125"/>
    <mergeCell ref="A119:P119"/>
    <mergeCell ref="A120:P120"/>
    <mergeCell ref="A155:R155"/>
    <mergeCell ref="O6:P6"/>
    <mergeCell ref="Q6:R6"/>
    <mergeCell ref="A6:N6"/>
    <mergeCell ref="A67:R67"/>
    <mergeCell ref="A124:N124"/>
    <mergeCell ref="O124:P124"/>
    <mergeCell ref="A152:R152"/>
    <mergeCell ref="A121:P121"/>
    <mergeCell ref="A122:P122"/>
    <mergeCell ref="Q115:R115"/>
    <mergeCell ref="Q126:R126"/>
    <mergeCell ref="Q127:R127"/>
    <mergeCell ref="Q128:R128"/>
    <mergeCell ref="A115:P115"/>
    <mergeCell ref="A116:P116"/>
    <mergeCell ref="A117:P117"/>
    <mergeCell ref="A118:P118"/>
    <mergeCell ref="Q129:R129"/>
    <mergeCell ref="Q130:R130"/>
    <mergeCell ref="Q116:R116"/>
    <mergeCell ref="Q117:R117"/>
    <mergeCell ref="A153:R153"/>
    <mergeCell ref="A154:R154"/>
    <mergeCell ref="A151:R151"/>
    <mergeCell ref="A123:P123"/>
    <mergeCell ref="A148:R148"/>
    <mergeCell ref="A149:R149"/>
    <mergeCell ref="A150:R150"/>
    <mergeCell ref="Q123:R123"/>
    <mergeCell ref="Q135:R135"/>
    <mergeCell ref="O125:P125"/>
    <mergeCell ref="O126:P126"/>
    <mergeCell ref="O127:P127"/>
    <mergeCell ref="O128:P128"/>
    <mergeCell ref="O130:P130"/>
    <mergeCell ref="O131:P131"/>
    <mergeCell ref="O132:P132"/>
    <mergeCell ref="O133:P133"/>
    <mergeCell ref="O134:P134"/>
    <mergeCell ref="O135:P135"/>
    <mergeCell ref="A145:R145"/>
    <mergeCell ref="A144:R144"/>
    <mergeCell ref="A142:R142"/>
    <mergeCell ref="A147:R147"/>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65"/>
  <sheetViews>
    <sheetView topLeftCell="A142" zoomScaleNormal="100" workbookViewId="0">
      <selection activeCell="A68" sqref="A68:E68"/>
    </sheetView>
  </sheetViews>
  <sheetFormatPr defaultRowHeight="15"/>
  <cols>
    <col min="1" max="1" width="64" style="185" customWidth="1"/>
    <col min="2" max="4" width="8" style="247" customWidth="1"/>
    <col min="5" max="5" width="8" style="186" customWidth="1"/>
    <col min="6" max="6" width="5.7109375" style="185" customWidth="1"/>
    <col min="7" max="16384" width="9.140625" style="185"/>
  </cols>
  <sheetData>
    <row r="1" spans="1:5" ht="38.25" customHeight="1">
      <c r="A1" s="184" t="s">
        <v>581</v>
      </c>
      <c r="B1" s="1226" t="s">
        <v>582</v>
      </c>
      <c r="C1" s="1226"/>
      <c r="D1" s="1226"/>
      <c r="E1" s="1226"/>
    </row>
    <row r="2" spans="1:5">
      <c r="A2" s="1227" t="s">
        <v>583</v>
      </c>
      <c r="B2" s="1227"/>
      <c r="C2" s="1227"/>
    </row>
    <row r="3" spans="1:5" ht="15.75">
      <c r="A3" s="1228" t="s">
        <v>584</v>
      </c>
      <c r="B3" s="1228"/>
      <c r="C3" s="1228"/>
    </row>
    <row r="4" spans="1:5" ht="15.75">
      <c r="A4" s="1228" t="s">
        <v>585</v>
      </c>
      <c r="B4" s="1228"/>
      <c r="C4" s="1228"/>
    </row>
    <row r="5" spans="1:5" ht="15.75">
      <c r="A5" s="1229"/>
      <c r="B5" s="1229"/>
      <c r="C5" s="1229"/>
    </row>
    <row r="6" spans="1:5" ht="15.75">
      <c r="A6" s="1230" t="s">
        <v>840</v>
      </c>
      <c r="B6" s="1230"/>
      <c r="C6" s="1230"/>
    </row>
    <row r="7" spans="1:5" ht="33.75" customHeight="1">
      <c r="A7" s="1231" t="s">
        <v>859</v>
      </c>
      <c r="B7" s="1231"/>
      <c r="C7" s="1231"/>
      <c r="D7" s="1231"/>
      <c r="E7" s="1231"/>
    </row>
    <row r="8" spans="1:5">
      <c r="A8" s="1232" t="s">
        <v>860</v>
      </c>
      <c r="B8" s="1232"/>
      <c r="C8" s="1232"/>
    </row>
    <row r="9" spans="1:5" ht="32.25" customHeight="1">
      <c r="A9" s="1231" t="s">
        <v>861</v>
      </c>
      <c r="B9" s="1231"/>
      <c r="C9" s="1231"/>
      <c r="D9" s="1231"/>
      <c r="E9" s="1231"/>
    </row>
    <row r="10" spans="1:5">
      <c r="A10" s="1232" t="s">
        <v>862</v>
      </c>
      <c r="B10" s="1232"/>
      <c r="C10" s="1232"/>
    </row>
    <row r="11" spans="1:5" ht="34.5" customHeight="1">
      <c r="A11" s="1231" t="s">
        <v>863</v>
      </c>
      <c r="B11" s="1231"/>
      <c r="C11" s="1231"/>
      <c r="D11" s="1231"/>
      <c r="E11" s="1231"/>
    </row>
    <row r="12" spans="1:5">
      <c r="A12" s="1233" t="s">
        <v>864</v>
      </c>
      <c r="B12" s="1233"/>
      <c r="C12" s="1233"/>
    </row>
    <row r="13" spans="1:5" ht="31.5" customHeight="1">
      <c r="A13" s="1231" t="s">
        <v>865</v>
      </c>
      <c r="B13" s="1231"/>
      <c r="C13" s="1231"/>
      <c r="D13" s="1231"/>
      <c r="E13" s="1231"/>
    </row>
    <row r="14" spans="1:5" ht="123" customHeight="1">
      <c r="A14" s="1232" t="s">
        <v>586</v>
      </c>
      <c r="B14" s="1232"/>
      <c r="C14" s="1232"/>
      <c r="D14" s="1232"/>
      <c r="E14" s="1232"/>
    </row>
    <row r="15" spans="1:5" ht="49.5" customHeight="1">
      <c r="A15" s="1232" t="s">
        <v>587</v>
      </c>
      <c r="B15" s="1232"/>
      <c r="C15" s="1232"/>
      <c r="D15" s="1232"/>
      <c r="E15" s="1232"/>
    </row>
    <row r="16" spans="1:5" ht="54" customHeight="1">
      <c r="A16" s="1232" t="s">
        <v>588</v>
      </c>
      <c r="B16" s="1232"/>
      <c r="C16" s="1232"/>
      <c r="D16" s="1232"/>
      <c r="E16" s="1232"/>
    </row>
    <row r="17" spans="1:5" ht="75" customHeight="1">
      <c r="A17" s="1232" t="s">
        <v>589</v>
      </c>
      <c r="B17" s="1232"/>
      <c r="C17" s="1232"/>
      <c r="D17" s="1232"/>
      <c r="E17" s="1232"/>
    </row>
    <row r="18" spans="1:5" ht="56.25" customHeight="1">
      <c r="A18" s="1232" t="s">
        <v>866</v>
      </c>
      <c r="B18" s="1232"/>
      <c r="C18" s="1232"/>
      <c r="D18" s="1232"/>
      <c r="E18" s="1232"/>
    </row>
    <row r="19" spans="1:5" ht="69.75" customHeight="1">
      <c r="A19" s="1232" t="s">
        <v>590</v>
      </c>
      <c r="B19" s="1232"/>
      <c r="C19" s="1232"/>
      <c r="D19" s="1232"/>
      <c r="E19" s="1232"/>
    </row>
    <row r="20" spans="1:5" ht="99.75" customHeight="1">
      <c r="A20" s="1230" t="s">
        <v>591</v>
      </c>
      <c r="B20" s="1230"/>
      <c r="C20" s="1230"/>
      <c r="D20" s="1230"/>
      <c r="E20" s="1230"/>
    </row>
    <row r="21" spans="1:5" ht="70.5" customHeight="1">
      <c r="A21" s="1230" t="s">
        <v>592</v>
      </c>
      <c r="B21" s="1230"/>
      <c r="C21" s="1230"/>
      <c r="D21" s="1230"/>
      <c r="E21" s="1230"/>
    </row>
    <row r="22" spans="1:5" ht="24" customHeight="1">
      <c r="A22" s="1234" t="s">
        <v>593</v>
      </c>
      <c r="B22" s="1234"/>
      <c r="C22" s="1234"/>
    </row>
    <row r="23" spans="1:5" ht="59.25" customHeight="1">
      <c r="A23" s="1230" t="s">
        <v>594</v>
      </c>
      <c r="B23" s="1230"/>
      <c r="C23" s="1230"/>
      <c r="D23" s="1230"/>
      <c r="E23" s="1230"/>
    </row>
    <row r="24" spans="1:5" ht="39.75" customHeight="1">
      <c r="A24" s="1230" t="s">
        <v>595</v>
      </c>
      <c r="B24" s="1230"/>
      <c r="C24" s="1230"/>
      <c r="D24" s="1230"/>
      <c r="E24" s="1230"/>
    </row>
    <row r="25" spans="1:5" ht="71.25" customHeight="1">
      <c r="A25" s="1230" t="s">
        <v>596</v>
      </c>
      <c r="B25" s="1230"/>
      <c r="C25" s="1230"/>
      <c r="D25" s="1230"/>
      <c r="E25" s="1230"/>
    </row>
    <row r="26" spans="1:5" ht="26.25" customHeight="1" thickBot="1">
      <c r="A26" s="1230" t="s">
        <v>841</v>
      </c>
      <c r="B26" s="1230"/>
      <c r="C26" s="1230"/>
      <c r="D26" s="1230"/>
      <c r="E26" s="1230"/>
    </row>
    <row r="27" spans="1:5" ht="15.75" thickBot="1">
      <c r="A27" s="187" t="s">
        <v>597</v>
      </c>
    </row>
    <row r="28" spans="1:5" ht="15.75" thickBot="1">
      <c r="A28" s="188" t="s">
        <v>598</v>
      </c>
    </row>
    <row r="29" spans="1:5" ht="15.75" thickBot="1">
      <c r="A29" s="188" t="s">
        <v>599</v>
      </c>
    </row>
    <row r="30" spans="1:5" ht="10.5" customHeight="1">
      <c r="A30" s="1169"/>
      <c r="B30" s="1169"/>
      <c r="C30" s="1169"/>
    </row>
    <row r="31" spans="1:5">
      <c r="A31" s="1169" t="s">
        <v>600</v>
      </c>
      <c r="B31" s="1169"/>
      <c r="C31" s="1169"/>
    </row>
    <row r="32" spans="1:5" ht="12" customHeight="1" thickBot="1">
      <c r="A32" s="1169"/>
      <c r="B32" s="1169"/>
      <c r="C32" s="1169"/>
    </row>
    <row r="33" spans="1:5" ht="23.25" customHeight="1" thickBot="1">
      <c r="A33" s="189" t="s">
        <v>601</v>
      </c>
      <c r="B33" s="1235" t="s">
        <v>602</v>
      </c>
      <c r="C33" s="1236"/>
      <c r="D33" s="1236"/>
      <c r="E33" s="1237"/>
    </row>
    <row r="34" spans="1:5">
      <c r="A34" s="1169"/>
      <c r="B34" s="1169"/>
      <c r="C34" s="1169"/>
    </row>
    <row r="35" spans="1:5">
      <c r="A35" s="1169" t="s">
        <v>603</v>
      </c>
      <c r="B35" s="1169"/>
      <c r="C35" s="1169"/>
    </row>
    <row r="36" spans="1:5">
      <c r="A36" s="1169" t="s">
        <v>842</v>
      </c>
      <c r="B36" s="1169"/>
      <c r="C36" s="1169"/>
    </row>
    <row r="37" spans="1:5">
      <c r="A37" s="1170" t="s">
        <v>843</v>
      </c>
      <c r="B37" s="1170"/>
      <c r="C37" s="1170"/>
    </row>
    <row r="38" spans="1:5">
      <c r="A38" s="1169" t="s">
        <v>844</v>
      </c>
      <c r="B38" s="1169"/>
      <c r="C38" s="1169"/>
    </row>
    <row r="39" spans="1:5">
      <c r="A39" s="1170" t="s">
        <v>845</v>
      </c>
      <c r="B39" s="1170"/>
      <c r="C39" s="1170"/>
    </row>
    <row r="40" spans="1:5">
      <c r="A40" s="190"/>
      <c r="B40" s="246"/>
      <c r="C40" s="246"/>
    </row>
    <row r="41" spans="1:5" ht="30">
      <c r="A41" s="184" t="s">
        <v>606</v>
      </c>
      <c r="B41" s="191"/>
      <c r="C41" s="1226" t="s">
        <v>607</v>
      </c>
      <c r="D41" s="1226"/>
      <c r="E41" s="1226"/>
    </row>
    <row r="42" spans="1:5">
      <c r="A42" s="1238" t="s">
        <v>583</v>
      </c>
      <c r="B42" s="1238"/>
      <c r="C42" s="1238"/>
    </row>
    <row r="43" spans="1:5" ht="15" customHeight="1">
      <c r="A43" s="1239" t="s">
        <v>608</v>
      </c>
      <c r="B43" s="1239"/>
      <c r="C43" s="1239"/>
    </row>
    <row r="44" spans="1:5" ht="81.75" customHeight="1">
      <c r="A44" s="1174" t="s">
        <v>609</v>
      </c>
      <c r="B44" s="1174"/>
      <c r="C44" s="1174"/>
      <c r="D44" s="1174"/>
      <c r="E44" s="1174"/>
    </row>
    <row r="45" spans="1:5">
      <c r="A45" s="1110" t="s">
        <v>610</v>
      </c>
      <c r="B45" s="1110"/>
      <c r="C45" s="1110"/>
    </row>
    <row r="46" spans="1:5">
      <c r="A46" s="1110" t="s">
        <v>611</v>
      </c>
      <c r="B46" s="1110"/>
      <c r="C46" s="1110"/>
    </row>
    <row r="47" spans="1:5">
      <c r="A47" s="1110" t="s">
        <v>612</v>
      </c>
      <c r="B47" s="1110"/>
      <c r="C47" s="1110"/>
    </row>
    <row r="48" spans="1:5">
      <c r="A48" s="1110" t="s">
        <v>613</v>
      </c>
      <c r="B48" s="1110"/>
      <c r="C48" s="1110"/>
    </row>
    <row r="49" spans="1:5">
      <c r="A49" s="1110" t="s">
        <v>614</v>
      </c>
      <c r="B49" s="1110"/>
      <c r="C49" s="1110"/>
    </row>
    <row r="50" spans="1:5">
      <c r="A50" s="1110" t="s">
        <v>615</v>
      </c>
      <c r="B50" s="1110"/>
      <c r="C50" s="1110"/>
    </row>
    <row r="51" spans="1:5">
      <c r="A51" s="1169" t="s">
        <v>616</v>
      </c>
      <c r="B51" s="1169"/>
      <c r="C51" s="1169"/>
    </row>
    <row r="52" spans="1:5" ht="65.25" customHeight="1">
      <c r="A52" s="1174" t="s">
        <v>617</v>
      </c>
      <c r="B52" s="1174"/>
      <c r="C52" s="1174"/>
      <c r="D52" s="1174"/>
      <c r="E52" s="1174"/>
    </row>
    <row r="53" spans="1:5">
      <c r="A53" s="1169" t="s">
        <v>618</v>
      </c>
      <c r="B53" s="1169"/>
      <c r="C53" s="1169"/>
    </row>
    <row r="54" spans="1:5" ht="12.75">
      <c r="A54" s="1174" t="s">
        <v>619</v>
      </c>
      <c r="B54" s="1174"/>
      <c r="C54" s="1174"/>
      <c r="D54" s="1174"/>
      <c r="E54" s="1174"/>
    </row>
    <row r="55" spans="1:5" ht="24" customHeight="1">
      <c r="A55" s="1174" t="s">
        <v>620</v>
      </c>
      <c r="B55" s="1174"/>
      <c r="C55" s="1174"/>
      <c r="D55" s="1174"/>
      <c r="E55" s="1174"/>
    </row>
    <row r="56" spans="1:5" ht="24" customHeight="1">
      <c r="A56" s="1174" t="s">
        <v>621</v>
      </c>
      <c r="B56" s="1174"/>
      <c r="C56" s="1174"/>
      <c r="D56" s="1174"/>
      <c r="E56" s="1174"/>
    </row>
    <row r="57" spans="1:5" ht="36" customHeight="1">
      <c r="A57" s="1174" t="s">
        <v>622</v>
      </c>
      <c r="B57" s="1174"/>
      <c r="C57" s="1174"/>
      <c r="D57" s="1174"/>
      <c r="E57" s="1174"/>
    </row>
    <row r="58" spans="1:5" ht="24" customHeight="1">
      <c r="A58" s="1174" t="s">
        <v>623</v>
      </c>
      <c r="B58" s="1174"/>
      <c r="C58" s="1174"/>
      <c r="D58" s="1174"/>
      <c r="E58" s="1174"/>
    </row>
    <row r="59" spans="1:5" ht="24" customHeight="1">
      <c r="A59" s="1174" t="s">
        <v>624</v>
      </c>
      <c r="B59" s="1174"/>
      <c r="C59" s="1174"/>
      <c r="D59" s="1174"/>
      <c r="E59" s="1174"/>
    </row>
    <row r="60" spans="1:5" ht="24" customHeight="1">
      <c r="A60" s="1110" t="s">
        <v>625</v>
      </c>
      <c r="B60" s="1110"/>
      <c r="C60" s="1110"/>
      <c r="D60" s="1110"/>
      <c r="E60" s="1110"/>
    </row>
    <row r="61" spans="1:5">
      <c r="A61" s="1169" t="s">
        <v>626</v>
      </c>
      <c r="B61" s="1169"/>
      <c r="C61" s="1169"/>
    </row>
    <row r="62" spans="1:5" ht="24" customHeight="1">
      <c r="A62" s="1174" t="s">
        <v>627</v>
      </c>
      <c r="B62" s="1174"/>
      <c r="C62" s="1174"/>
      <c r="D62" s="1174"/>
      <c r="E62" s="1174"/>
    </row>
    <row r="63" spans="1:5">
      <c r="A63" s="1169" t="s">
        <v>628</v>
      </c>
      <c r="B63" s="1169"/>
      <c r="C63" s="1169"/>
    </row>
    <row r="64" spans="1:5" ht="24" customHeight="1">
      <c r="A64" s="1174" t="s">
        <v>629</v>
      </c>
      <c r="B64" s="1174"/>
      <c r="C64" s="1174"/>
      <c r="D64" s="1174"/>
      <c r="E64" s="1174"/>
    </row>
    <row r="65" spans="1:5" ht="24" customHeight="1">
      <c r="A65" s="1174" t="s">
        <v>630</v>
      </c>
      <c r="B65" s="1174"/>
      <c r="C65" s="1174"/>
      <c r="D65" s="1174"/>
      <c r="E65" s="1174"/>
    </row>
    <row r="66" spans="1:5" ht="53.25" customHeight="1">
      <c r="A66" s="1174" t="s">
        <v>631</v>
      </c>
      <c r="B66" s="1174"/>
      <c r="C66" s="1174"/>
      <c r="D66" s="1174"/>
      <c r="E66" s="1174"/>
    </row>
    <row r="67" spans="1:5" ht="25.5" customHeight="1">
      <c r="A67" s="192" t="s">
        <v>632</v>
      </c>
      <c r="B67" s="246"/>
      <c r="C67" s="246"/>
    </row>
    <row r="68" spans="1:5" ht="150" customHeight="1">
      <c r="A68" s="1240" t="s">
        <v>846</v>
      </c>
      <c r="B68" s="1240"/>
      <c r="C68" s="1240"/>
      <c r="D68" s="1240"/>
      <c r="E68" s="1240"/>
    </row>
    <row r="69" spans="1:5">
      <c r="A69" s="1169" t="s">
        <v>604</v>
      </c>
      <c r="B69" s="1169"/>
      <c r="C69" s="1169"/>
    </row>
    <row r="70" spans="1:5" ht="27.75" customHeight="1">
      <c r="A70" s="1174" t="s">
        <v>633</v>
      </c>
      <c r="B70" s="1174"/>
      <c r="C70" s="1174"/>
      <c r="D70" s="1174"/>
      <c r="E70" s="1174"/>
    </row>
    <row r="71" spans="1:5">
      <c r="A71" s="1169" t="s">
        <v>605</v>
      </c>
      <c r="B71" s="1169"/>
      <c r="C71" s="1169"/>
    </row>
    <row r="72" spans="1:5" ht="15.75" customHeight="1">
      <c r="A72" s="1234" t="s">
        <v>847</v>
      </c>
      <c r="B72" s="1234"/>
      <c r="C72" s="1234"/>
    </row>
    <row r="73" spans="1:5" ht="15.75" customHeight="1">
      <c r="A73" s="238"/>
      <c r="B73" s="240"/>
      <c r="C73" s="240"/>
    </row>
    <row r="74" spans="1:5" ht="210.75" customHeight="1">
      <c r="A74" s="190"/>
      <c r="B74" s="246"/>
      <c r="C74" s="246"/>
    </row>
    <row r="75" spans="1:5" ht="32.25" thickBot="1">
      <c r="A75" s="193" t="s">
        <v>634</v>
      </c>
      <c r="B75" s="1241" t="s">
        <v>635</v>
      </c>
      <c r="C75" s="1241"/>
      <c r="D75" s="1241"/>
      <c r="E75" s="1241"/>
    </row>
    <row r="76" spans="1:5">
      <c r="A76" s="1242" t="s">
        <v>583</v>
      </c>
      <c r="B76" s="1242"/>
      <c r="C76" s="1242"/>
    </row>
    <row r="77" spans="1:5">
      <c r="A77" s="1243" t="s">
        <v>636</v>
      </c>
      <c r="B77" s="1243"/>
      <c r="C77" s="1243"/>
    </row>
    <row r="78" spans="1:5" ht="82.5" customHeight="1">
      <c r="A78" s="1174" t="s">
        <v>637</v>
      </c>
      <c r="B78" s="1174"/>
      <c r="C78" s="1174"/>
      <c r="D78" s="1174"/>
      <c r="E78" s="1174"/>
    </row>
    <row r="79" spans="1:5" ht="9" customHeight="1">
      <c r="A79" s="1176"/>
      <c r="B79" s="1176"/>
      <c r="C79" s="1176"/>
    </row>
    <row r="80" spans="1:5">
      <c r="A80" s="1244" t="s">
        <v>638</v>
      </c>
      <c r="B80" s="1244"/>
      <c r="C80" s="1244"/>
    </row>
    <row r="81" spans="1:5" ht="10.5" customHeight="1">
      <c r="A81" s="1244" t="s">
        <v>639</v>
      </c>
      <c r="B81" s="1244"/>
      <c r="C81" s="1244"/>
    </row>
    <row r="82" spans="1:5">
      <c r="A82" s="1244" t="s">
        <v>640</v>
      </c>
      <c r="B82" s="1244"/>
      <c r="C82" s="1244"/>
    </row>
    <row r="83" spans="1:5">
      <c r="A83" s="1244" t="s">
        <v>641</v>
      </c>
      <c r="B83" s="1244"/>
      <c r="C83" s="1244"/>
    </row>
    <row r="84" spans="1:5">
      <c r="A84" s="1244" t="s">
        <v>642</v>
      </c>
      <c r="B84" s="1244"/>
      <c r="C84" s="1244"/>
    </row>
    <row r="85" spans="1:5">
      <c r="A85" s="1244" t="s">
        <v>643</v>
      </c>
      <c r="B85" s="1244"/>
      <c r="C85" s="1244"/>
    </row>
    <row r="86" spans="1:5">
      <c r="A86" s="1244" t="s">
        <v>644</v>
      </c>
      <c r="B86" s="1244"/>
      <c r="C86" s="1244"/>
    </row>
    <row r="87" spans="1:5">
      <c r="A87" s="1244" t="s">
        <v>645</v>
      </c>
      <c r="B87" s="1244"/>
      <c r="C87" s="1244"/>
    </row>
    <row r="88" spans="1:5" ht="12.75">
      <c r="A88" s="1245" t="s">
        <v>646</v>
      </c>
      <c r="B88" s="1245"/>
      <c r="C88" s="1245"/>
      <c r="D88" s="1245"/>
      <c r="E88" s="1245"/>
    </row>
    <row r="89" spans="1:5" ht="48.75" customHeight="1">
      <c r="A89" s="1246" t="s">
        <v>647</v>
      </c>
      <c r="B89" s="1246"/>
      <c r="C89" s="1246"/>
      <c r="D89" s="1246"/>
      <c r="E89" s="1246"/>
    </row>
    <row r="90" spans="1:5">
      <c r="A90" s="1170" t="s">
        <v>648</v>
      </c>
      <c r="B90" s="1170"/>
      <c r="C90" s="1170"/>
    </row>
    <row r="91" spans="1:5">
      <c r="A91" s="1169" t="s">
        <v>649</v>
      </c>
      <c r="B91" s="1169"/>
      <c r="C91" s="1169"/>
    </row>
    <row r="92" spans="1:5" ht="33.75" customHeight="1">
      <c r="A92" s="1174" t="s">
        <v>650</v>
      </c>
      <c r="B92" s="1174"/>
      <c r="C92" s="1174"/>
      <c r="D92" s="1174"/>
      <c r="E92" s="1174"/>
    </row>
    <row r="93" spans="1:5" ht="30.75" customHeight="1">
      <c r="A93" s="1174" t="s">
        <v>651</v>
      </c>
      <c r="B93" s="1174"/>
      <c r="C93" s="1174"/>
      <c r="D93" s="1174"/>
      <c r="E93" s="1174"/>
    </row>
    <row r="94" spans="1:5" ht="36" customHeight="1">
      <c r="A94" s="1174" t="s">
        <v>652</v>
      </c>
      <c r="B94" s="1174"/>
      <c r="C94" s="1174"/>
      <c r="D94" s="1174"/>
      <c r="E94" s="1174"/>
    </row>
    <row r="95" spans="1:5" ht="30.75" customHeight="1">
      <c r="A95" s="1174" t="s">
        <v>653</v>
      </c>
      <c r="B95" s="1174"/>
      <c r="C95" s="1174"/>
      <c r="D95" s="1174"/>
      <c r="E95" s="1174"/>
    </row>
    <row r="96" spans="1:5" ht="30.75" customHeight="1">
      <c r="A96" s="1174" t="s">
        <v>654</v>
      </c>
      <c r="B96" s="1174"/>
      <c r="C96" s="1174"/>
      <c r="D96" s="1174"/>
      <c r="E96" s="1174"/>
    </row>
    <row r="97" spans="1:5" ht="30.75" customHeight="1">
      <c r="A97" s="1174" t="s">
        <v>655</v>
      </c>
      <c r="B97" s="1174"/>
      <c r="C97" s="1174"/>
      <c r="D97" s="1174"/>
      <c r="E97" s="1174"/>
    </row>
    <row r="98" spans="1:5">
      <c r="A98" s="1170" t="s">
        <v>656</v>
      </c>
      <c r="B98" s="1170"/>
      <c r="C98" s="1170"/>
    </row>
    <row r="99" spans="1:5" ht="28.5" customHeight="1">
      <c r="A99" s="1174" t="s">
        <v>657</v>
      </c>
      <c r="B99" s="1174"/>
      <c r="C99" s="1174"/>
      <c r="D99" s="1174"/>
      <c r="E99" s="1174"/>
    </row>
    <row r="100" spans="1:5" ht="17.25" customHeight="1">
      <c r="A100" s="1170" t="s">
        <v>658</v>
      </c>
      <c r="B100" s="1170"/>
      <c r="C100" s="1170"/>
    </row>
    <row r="101" spans="1:5" ht="30.75" customHeight="1">
      <c r="A101" s="1174" t="s">
        <v>659</v>
      </c>
      <c r="B101" s="1174"/>
      <c r="C101" s="1174"/>
      <c r="D101" s="1174"/>
      <c r="E101" s="1174"/>
    </row>
    <row r="102" spans="1:5">
      <c r="A102" s="1170" t="s">
        <v>660</v>
      </c>
      <c r="B102" s="1170"/>
      <c r="C102" s="1170"/>
    </row>
    <row r="103" spans="1:5" ht="37.5" customHeight="1">
      <c r="A103" s="1247" t="s">
        <v>661</v>
      </c>
      <c r="B103" s="1247"/>
      <c r="C103" s="1247"/>
      <c r="D103" s="1247"/>
      <c r="E103" s="1247"/>
    </row>
    <row r="104" spans="1:5" ht="28.5" customHeight="1">
      <c r="A104" s="1248" t="s">
        <v>662</v>
      </c>
      <c r="B104" s="1248"/>
      <c r="C104" s="1248"/>
      <c r="D104" s="1248"/>
      <c r="E104" s="1248"/>
    </row>
    <row r="105" spans="1:5" ht="15.75" customHeight="1">
      <c r="A105" s="1169" t="s">
        <v>663</v>
      </c>
      <c r="B105" s="1169"/>
      <c r="C105" s="1169"/>
    </row>
    <row r="106" spans="1:5" ht="12.75">
      <c r="A106" s="1174" t="s">
        <v>664</v>
      </c>
      <c r="B106" s="1174"/>
      <c r="C106" s="1174"/>
      <c r="D106" s="1174"/>
      <c r="E106" s="1174"/>
    </row>
    <row r="107" spans="1:5" ht="26.25" customHeight="1">
      <c r="A107" s="1246" t="s">
        <v>665</v>
      </c>
      <c r="B107" s="1246"/>
      <c r="C107" s="1246"/>
      <c r="D107" s="1246"/>
      <c r="E107" s="1246"/>
    </row>
    <row r="108" spans="1:5" ht="56.25" customHeight="1">
      <c r="A108" s="1174" t="s">
        <v>666</v>
      </c>
      <c r="B108" s="1174"/>
      <c r="C108" s="1174"/>
      <c r="D108" s="1174"/>
      <c r="E108" s="1174"/>
    </row>
    <row r="109" spans="1:5">
      <c r="A109" s="1169" t="s">
        <v>667</v>
      </c>
      <c r="B109" s="1169"/>
      <c r="C109" s="1169"/>
    </row>
    <row r="110" spans="1:5">
      <c r="A110" s="1169" t="s">
        <v>668</v>
      </c>
      <c r="B110" s="1169"/>
      <c r="C110" s="1169"/>
    </row>
    <row r="111" spans="1:5">
      <c r="A111" s="1169" t="s">
        <v>669</v>
      </c>
      <c r="B111" s="1169"/>
      <c r="C111" s="1169"/>
    </row>
    <row r="112" spans="1:5">
      <c r="A112" s="1169" t="s">
        <v>670</v>
      </c>
      <c r="B112" s="1169"/>
      <c r="C112" s="1169"/>
    </row>
    <row r="113" spans="1:5">
      <c r="A113" s="194"/>
      <c r="B113" s="246"/>
      <c r="C113" s="246"/>
    </row>
    <row r="114" spans="1:5" ht="15" customHeight="1">
      <c r="A114" s="1249" t="s">
        <v>671</v>
      </c>
      <c r="B114" s="1252" t="s">
        <v>672</v>
      </c>
      <c r="C114" s="1252" t="s">
        <v>673</v>
      </c>
      <c r="D114" s="1253" t="s">
        <v>674</v>
      </c>
      <c r="E114" s="1254"/>
    </row>
    <row r="115" spans="1:5" ht="15" customHeight="1">
      <c r="A115" s="1250"/>
      <c r="B115" s="1252"/>
      <c r="C115" s="1252"/>
      <c r="D115" s="1253"/>
      <c r="E115" s="1254"/>
    </row>
    <row r="116" spans="1:5" ht="15" customHeight="1">
      <c r="A116" s="1250"/>
      <c r="B116" s="1252">
        <v>2008</v>
      </c>
      <c r="C116" s="1252">
        <v>2010</v>
      </c>
      <c r="D116" s="1252">
        <v>2011</v>
      </c>
      <c r="E116" s="1252"/>
    </row>
    <row r="117" spans="1:5" ht="12.75">
      <c r="A117" s="1251"/>
      <c r="B117" s="1252"/>
      <c r="C117" s="1252"/>
      <c r="D117" s="1252"/>
      <c r="E117" s="1252"/>
    </row>
    <row r="118" spans="1:5" ht="13.5" thickBot="1">
      <c r="A118" s="1255" t="s">
        <v>675</v>
      </c>
      <c r="B118" s="241" t="s">
        <v>676</v>
      </c>
      <c r="C118" s="1257"/>
      <c r="D118" s="1259">
        <v>14</v>
      </c>
      <c r="E118" s="1257"/>
    </row>
    <row r="119" spans="1:5" ht="13.5" thickBot="1">
      <c r="A119" s="1256"/>
      <c r="B119" s="195" t="s">
        <v>677</v>
      </c>
      <c r="C119" s="1258"/>
      <c r="D119" s="1260"/>
      <c r="E119" s="1258"/>
    </row>
    <row r="120" spans="1:5" ht="15.75" thickBot="1">
      <c r="A120" s="196" t="s">
        <v>678</v>
      </c>
      <c r="B120" s="195"/>
      <c r="C120" s="243"/>
      <c r="D120" s="243"/>
      <c r="E120" s="197"/>
    </row>
    <row r="121" spans="1:5" ht="15.75">
      <c r="A121" s="198" t="s">
        <v>679</v>
      </c>
      <c r="B121" s="244"/>
      <c r="C121" s="248"/>
      <c r="D121" s="248"/>
      <c r="E121" s="199"/>
    </row>
    <row r="122" spans="1:5" ht="36.75" thickBot="1">
      <c r="A122" s="200" t="s">
        <v>848</v>
      </c>
      <c r="B122" s="245"/>
      <c r="C122" s="242"/>
      <c r="D122" s="242"/>
      <c r="E122" s="201"/>
    </row>
    <row r="123" spans="1:5" ht="15.75">
      <c r="A123" s="200" t="s">
        <v>680</v>
      </c>
      <c r="B123" s="202" t="s">
        <v>681</v>
      </c>
      <c r="C123" s="257"/>
      <c r="D123" s="249">
        <f>B123+$D$118</f>
        <v>76</v>
      </c>
      <c r="E123" s="203"/>
    </row>
    <row r="124" spans="1:5" ht="15.75">
      <c r="A124" s="200" t="s">
        <v>682</v>
      </c>
      <c r="B124" s="204" t="s">
        <v>683</v>
      </c>
      <c r="C124" s="258"/>
      <c r="D124" s="250">
        <f>B124+$D$118</f>
        <v>75</v>
      </c>
      <c r="E124" s="205"/>
    </row>
    <row r="125" spans="1:5" ht="15.75">
      <c r="A125" s="200" t="s">
        <v>684</v>
      </c>
      <c r="B125" s="204" t="s">
        <v>685</v>
      </c>
      <c r="C125" s="258"/>
      <c r="D125" s="250">
        <f>B125+$D$118</f>
        <v>72</v>
      </c>
      <c r="E125" s="205"/>
    </row>
    <row r="126" spans="1:5" ht="15.75">
      <c r="A126" s="206" t="s">
        <v>849</v>
      </c>
      <c r="B126" s="204"/>
      <c r="C126" s="258"/>
      <c r="D126" s="250"/>
      <c r="E126" s="205"/>
    </row>
    <row r="127" spans="1:5" ht="15.75">
      <c r="A127" s="206" t="s">
        <v>686</v>
      </c>
      <c r="B127" s="204">
        <v>41</v>
      </c>
      <c r="C127" s="258"/>
      <c r="D127" s="250">
        <f>B127+$D$118</f>
        <v>55</v>
      </c>
      <c r="E127" s="205"/>
    </row>
    <row r="128" spans="1:5" ht="15.75">
      <c r="A128" s="200" t="s">
        <v>687</v>
      </c>
      <c r="B128" s="204">
        <v>53</v>
      </c>
      <c r="C128" s="258">
        <v>100</v>
      </c>
      <c r="D128" s="250">
        <f>C128+$D$118</f>
        <v>114</v>
      </c>
      <c r="E128" s="205"/>
    </row>
    <row r="129" spans="1:5" ht="15.75">
      <c r="A129" s="206" t="s">
        <v>850</v>
      </c>
      <c r="B129" s="204"/>
      <c r="C129" s="258"/>
      <c r="D129" s="250"/>
      <c r="E129" s="205"/>
    </row>
    <row r="130" spans="1:5" ht="15.75">
      <c r="A130" s="206" t="s">
        <v>686</v>
      </c>
      <c r="B130" s="204">
        <v>39</v>
      </c>
      <c r="C130" s="258"/>
      <c r="D130" s="250">
        <f>B130+$D$118</f>
        <v>53</v>
      </c>
      <c r="E130" s="205"/>
    </row>
    <row r="131" spans="1:5" ht="15.75">
      <c r="A131" s="200" t="s">
        <v>687</v>
      </c>
      <c r="B131" s="204">
        <v>53</v>
      </c>
      <c r="C131" s="258">
        <v>100</v>
      </c>
      <c r="D131" s="250">
        <f>C131+$D$118</f>
        <v>114</v>
      </c>
      <c r="E131" s="205"/>
    </row>
    <row r="132" spans="1:5" ht="15.75">
      <c r="A132" s="206" t="s">
        <v>851</v>
      </c>
      <c r="B132" s="204"/>
      <c r="C132" s="258"/>
      <c r="D132" s="250"/>
      <c r="E132" s="205"/>
    </row>
    <row r="133" spans="1:5" ht="15.75">
      <c r="A133" s="206" t="s">
        <v>686</v>
      </c>
      <c r="B133" s="204">
        <v>37</v>
      </c>
      <c r="C133" s="258"/>
      <c r="D133" s="250">
        <f>B133+$D$118</f>
        <v>51</v>
      </c>
      <c r="E133" s="205"/>
    </row>
    <row r="134" spans="1:5" ht="15.75">
      <c r="A134" s="200" t="s">
        <v>687</v>
      </c>
      <c r="B134" s="204">
        <v>53</v>
      </c>
      <c r="C134" s="258">
        <v>100</v>
      </c>
      <c r="D134" s="250">
        <f>C134+$D$118</f>
        <v>114</v>
      </c>
      <c r="E134" s="205"/>
    </row>
    <row r="135" spans="1:5" ht="15.75">
      <c r="A135" s="206" t="s">
        <v>852</v>
      </c>
      <c r="B135" s="204"/>
      <c r="C135" s="258"/>
      <c r="D135" s="250"/>
      <c r="E135" s="205"/>
    </row>
    <row r="136" spans="1:5" ht="15.75">
      <c r="A136" s="206" t="s">
        <v>686</v>
      </c>
      <c r="B136" s="204">
        <v>37</v>
      </c>
      <c r="C136" s="258"/>
      <c r="D136" s="250">
        <f>B136+$D$118</f>
        <v>51</v>
      </c>
      <c r="E136" s="205"/>
    </row>
    <row r="137" spans="1:5" ht="15.75">
      <c r="A137" s="200" t="s">
        <v>687</v>
      </c>
      <c r="B137" s="204">
        <v>53</v>
      </c>
      <c r="C137" s="258">
        <v>100</v>
      </c>
      <c r="D137" s="250">
        <f>C137+$D$118</f>
        <v>114</v>
      </c>
      <c r="E137" s="205"/>
    </row>
    <row r="138" spans="1:5" ht="15.75">
      <c r="A138" s="200" t="s">
        <v>688</v>
      </c>
      <c r="B138" s="204" t="s">
        <v>689</v>
      </c>
      <c r="C138" s="258">
        <v>100</v>
      </c>
      <c r="D138" s="250">
        <f t="shared" ref="D138:D145" si="0">C138+$D$118</f>
        <v>114</v>
      </c>
      <c r="E138" s="205"/>
    </row>
    <row r="139" spans="1:5" ht="15.75">
      <c r="A139" s="200" t="s">
        <v>690</v>
      </c>
      <c r="B139" s="204" t="s">
        <v>689</v>
      </c>
      <c r="C139" s="258">
        <v>100</v>
      </c>
      <c r="D139" s="250">
        <f t="shared" si="0"/>
        <v>114</v>
      </c>
      <c r="E139" s="205"/>
    </row>
    <row r="140" spans="1:5" ht="15.75">
      <c r="A140" s="200" t="s">
        <v>691</v>
      </c>
      <c r="B140" s="204" t="s">
        <v>689</v>
      </c>
      <c r="C140" s="258">
        <v>100</v>
      </c>
      <c r="D140" s="250">
        <f t="shared" si="0"/>
        <v>114</v>
      </c>
      <c r="E140" s="205"/>
    </row>
    <row r="141" spans="1:5" ht="15.75">
      <c r="A141" s="200" t="s">
        <v>692</v>
      </c>
      <c r="B141" s="204" t="s">
        <v>689</v>
      </c>
      <c r="C141" s="258">
        <v>100</v>
      </c>
      <c r="D141" s="250">
        <f t="shared" si="0"/>
        <v>114</v>
      </c>
      <c r="E141" s="205"/>
    </row>
    <row r="142" spans="1:5" ht="15.75">
      <c r="A142" s="200" t="s">
        <v>693</v>
      </c>
      <c r="B142" s="204" t="s">
        <v>689</v>
      </c>
      <c r="C142" s="258">
        <v>100</v>
      </c>
      <c r="D142" s="250">
        <f t="shared" si="0"/>
        <v>114</v>
      </c>
      <c r="E142" s="205"/>
    </row>
    <row r="143" spans="1:5" ht="15.75">
      <c r="A143" s="200" t="s">
        <v>694</v>
      </c>
      <c r="B143" s="204" t="s">
        <v>689</v>
      </c>
      <c r="C143" s="258">
        <v>100</v>
      </c>
      <c r="D143" s="250">
        <f t="shared" si="0"/>
        <v>114</v>
      </c>
      <c r="E143" s="205"/>
    </row>
    <row r="144" spans="1:5" ht="15.75">
      <c r="A144" s="200" t="s">
        <v>695</v>
      </c>
      <c r="B144" s="204" t="s">
        <v>689</v>
      </c>
      <c r="C144" s="258">
        <v>100</v>
      </c>
      <c r="D144" s="250">
        <f t="shared" si="0"/>
        <v>114</v>
      </c>
      <c r="E144" s="205"/>
    </row>
    <row r="145" spans="1:5" ht="15.75">
      <c r="A145" s="200" t="s">
        <v>696</v>
      </c>
      <c r="B145" s="204" t="s">
        <v>697</v>
      </c>
      <c r="C145" s="258">
        <v>100</v>
      </c>
      <c r="D145" s="250">
        <f t="shared" si="0"/>
        <v>114</v>
      </c>
      <c r="E145" s="205"/>
    </row>
    <row r="146" spans="1:5" ht="16.5" thickBot="1">
      <c r="A146" s="207" t="s">
        <v>698</v>
      </c>
      <c r="B146" s="208" t="s">
        <v>699</v>
      </c>
      <c r="C146" s="259"/>
      <c r="D146" s="251">
        <f>B146+$D$118</f>
        <v>65</v>
      </c>
      <c r="E146" s="210"/>
    </row>
    <row r="147" spans="1:5" ht="42" customHeight="1">
      <c r="A147" s="200" t="s">
        <v>853</v>
      </c>
      <c r="B147" s="211"/>
      <c r="C147" s="258"/>
      <c r="D147" s="249"/>
      <c r="E147" s="205"/>
    </row>
    <row r="148" spans="1:5" ht="15.75">
      <c r="A148" s="206" t="s">
        <v>700</v>
      </c>
      <c r="B148" s="212"/>
      <c r="C148" s="260"/>
      <c r="D148" s="251"/>
      <c r="E148" s="209"/>
    </row>
    <row r="149" spans="1:5" ht="15.75">
      <c r="A149" s="206" t="s">
        <v>686</v>
      </c>
      <c r="B149" s="212">
        <v>41</v>
      </c>
      <c r="C149" s="261"/>
      <c r="D149" s="250">
        <f>B149+$D$118</f>
        <v>55</v>
      </c>
      <c r="E149" s="213"/>
    </row>
    <row r="150" spans="1:5" ht="15.75">
      <c r="A150" s="206" t="s">
        <v>687</v>
      </c>
      <c r="B150" s="212">
        <v>53</v>
      </c>
      <c r="C150" s="261">
        <v>100</v>
      </c>
      <c r="D150" s="250">
        <f>C150+$D$118</f>
        <v>114</v>
      </c>
      <c r="E150" s="213"/>
    </row>
    <row r="151" spans="1:5" ht="15.75">
      <c r="A151" s="200" t="s">
        <v>701</v>
      </c>
      <c r="B151" s="211">
        <v>53</v>
      </c>
      <c r="C151" s="262">
        <v>100</v>
      </c>
      <c r="D151" s="250">
        <f>C151+$D$118</f>
        <v>114</v>
      </c>
      <c r="E151" s="214"/>
    </row>
    <row r="152" spans="1:5" ht="15.75">
      <c r="A152" s="206" t="s">
        <v>702</v>
      </c>
      <c r="B152" s="212"/>
      <c r="C152" s="260"/>
      <c r="D152" s="251"/>
      <c r="E152" s="209"/>
    </row>
    <row r="153" spans="1:5" ht="15.75">
      <c r="A153" s="206" t="s">
        <v>686</v>
      </c>
      <c r="B153" s="212">
        <v>40</v>
      </c>
      <c r="C153" s="261"/>
      <c r="D153" s="250">
        <f>B153+$D$118</f>
        <v>54</v>
      </c>
      <c r="E153" s="213"/>
    </row>
    <row r="154" spans="1:5" ht="15.75">
      <c r="A154" s="206" t="s">
        <v>687</v>
      </c>
      <c r="B154" s="212">
        <v>52</v>
      </c>
      <c r="C154" s="261">
        <v>100</v>
      </c>
      <c r="D154" s="250">
        <f>C154+$D$118</f>
        <v>114</v>
      </c>
      <c r="E154" s="213"/>
    </row>
    <row r="155" spans="1:5" ht="15.75">
      <c r="A155" s="215" t="s">
        <v>703</v>
      </c>
      <c r="B155" s="211">
        <v>52</v>
      </c>
      <c r="C155" s="262">
        <v>100</v>
      </c>
      <c r="D155" s="250">
        <f>C155+$D$118</f>
        <v>114</v>
      </c>
      <c r="E155" s="214"/>
    </row>
    <row r="156" spans="1:5" ht="15.75">
      <c r="A156" s="216" t="s">
        <v>704</v>
      </c>
      <c r="B156" s="212"/>
      <c r="C156" s="260"/>
      <c r="D156" s="251"/>
      <c r="E156" s="209"/>
    </row>
    <row r="157" spans="1:5" ht="15.75">
      <c r="A157" s="216" t="s">
        <v>686</v>
      </c>
      <c r="B157" s="212">
        <v>38</v>
      </c>
      <c r="C157" s="261"/>
      <c r="D157" s="250">
        <f>B157+$D$118</f>
        <v>52</v>
      </c>
      <c r="E157" s="213"/>
    </row>
    <row r="158" spans="1:5" ht="15.75">
      <c r="A158" s="216" t="s">
        <v>687</v>
      </c>
      <c r="B158" s="212">
        <v>52</v>
      </c>
      <c r="C158" s="261">
        <v>100</v>
      </c>
      <c r="D158" s="250">
        <f>C158+$D$118</f>
        <v>114</v>
      </c>
      <c r="E158" s="213"/>
    </row>
    <row r="159" spans="1:5" ht="15.75">
      <c r="A159" s="200" t="s">
        <v>705</v>
      </c>
      <c r="B159" s="211">
        <v>53</v>
      </c>
      <c r="C159" s="262">
        <v>100</v>
      </c>
      <c r="D159" s="250">
        <f>C159+$D$118</f>
        <v>114</v>
      </c>
      <c r="E159" s="214"/>
    </row>
    <row r="160" spans="1:5" ht="15.75">
      <c r="A160" s="200" t="s">
        <v>706</v>
      </c>
      <c r="B160" s="211">
        <v>52</v>
      </c>
      <c r="C160" s="211">
        <v>100</v>
      </c>
      <c r="D160" s="250">
        <f>C160+$D$118</f>
        <v>114</v>
      </c>
      <c r="E160" s="217"/>
    </row>
    <row r="161" spans="1:5" ht="15.75">
      <c r="A161" s="200" t="s">
        <v>707</v>
      </c>
      <c r="B161" s="211">
        <v>53</v>
      </c>
      <c r="C161" s="211">
        <v>100</v>
      </c>
      <c r="D161" s="250">
        <f>C161+$D$118</f>
        <v>114</v>
      </c>
      <c r="E161" s="217"/>
    </row>
    <row r="162" spans="1:5" ht="15.75">
      <c r="A162" s="216" t="s">
        <v>708</v>
      </c>
      <c r="B162" s="212"/>
      <c r="C162" s="212"/>
      <c r="D162" s="218"/>
      <c r="E162" s="218"/>
    </row>
    <row r="163" spans="1:5" ht="15.75">
      <c r="A163" s="216" t="s">
        <v>686</v>
      </c>
      <c r="B163" s="212">
        <v>38</v>
      </c>
      <c r="C163" s="212"/>
      <c r="D163" s="250">
        <f>B163+$D$118</f>
        <v>52</v>
      </c>
      <c r="E163" s="218"/>
    </row>
    <row r="164" spans="1:5" ht="15.75">
      <c r="A164" s="200" t="s">
        <v>687</v>
      </c>
      <c r="B164" s="211">
        <v>52</v>
      </c>
      <c r="C164" s="211">
        <v>100</v>
      </c>
      <c r="D164" s="250">
        <f>C164+$D$118</f>
        <v>114</v>
      </c>
      <c r="E164" s="217"/>
    </row>
    <row r="165" spans="1:5" ht="15.75">
      <c r="A165" s="200" t="s">
        <v>709</v>
      </c>
      <c r="B165" s="211">
        <v>53</v>
      </c>
      <c r="C165" s="211">
        <v>100</v>
      </c>
      <c r="D165" s="250">
        <f>C165+$D$118</f>
        <v>114</v>
      </c>
      <c r="E165" s="217"/>
    </row>
    <row r="166" spans="1:5" ht="15.75">
      <c r="A166" s="200" t="s">
        <v>710</v>
      </c>
      <c r="B166" s="211">
        <v>52</v>
      </c>
      <c r="C166" s="211">
        <v>100</v>
      </c>
      <c r="D166" s="250">
        <f>C166+$D$118</f>
        <v>114</v>
      </c>
      <c r="E166" s="217"/>
    </row>
    <row r="167" spans="1:5" ht="16.5" thickBot="1">
      <c r="A167" s="207" t="s">
        <v>711</v>
      </c>
      <c r="B167" s="219">
        <v>53</v>
      </c>
      <c r="C167" s="219">
        <v>100</v>
      </c>
      <c r="D167" s="252">
        <f>C167+$D$118</f>
        <v>114</v>
      </c>
      <c r="E167" s="220"/>
    </row>
    <row r="168" spans="1:5" ht="72.75" customHeight="1" thickBot="1">
      <c r="A168" s="221"/>
      <c r="B168" s="222"/>
      <c r="C168" s="222"/>
      <c r="D168" s="253"/>
      <c r="E168" s="223"/>
    </row>
    <row r="169" spans="1:5" ht="15" customHeight="1">
      <c r="A169" s="1261" t="s">
        <v>671</v>
      </c>
      <c r="B169" s="1262" t="s">
        <v>672</v>
      </c>
      <c r="C169" s="1262" t="s">
        <v>673</v>
      </c>
      <c r="D169" s="1264" t="s">
        <v>674</v>
      </c>
      <c r="E169" s="1266"/>
    </row>
    <row r="170" spans="1:5" ht="15" customHeight="1">
      <c r="A170" s="1250"/>
      <c r="B170" s="1263"/>
      <c r="C170" s="1263"/>
      <c r="D170" s="1265"/>
      <c r="E170" s="1267"/>
    </row>
    <row r="171" spans="1:5" ht="15" customHeight="1">
      <c r="A171" s="1250"/>
      <c r="B171" s="1268">
        <v>2008</v>
      </c>
      <c r="C171" s="1268">
        <v>2010</v>
      </c>
      <c r="D171" s="1268">
        <v>2011</v>
      </c>
      <c r="E171" s="1268"/>
    </row>
    <row r="172" spans="1:5" ht="15" customHeight="1">
      <c r="A172" s="1251"/>
      <c r="B172" s="1263"/>
      <c r="C172" s="1263"/>
      <c r="D172" s="1263"/>
      <c r="E172" s="1263"/>
    </row>
    <row r="173" spans="1:5" ht="48">
      <c r="A173" s="206" t="s">
        <v>854</v>
      </c>
      <c r="B173" s="212">
        <v>53</v>
      </c>
      <c r="C173" s="212"/>
      <c r="D173" s="254">
        <f>B173+$D$118</f>
        <v>67</v>
      </c>
      <c r="E173" s="218"/>
    </row>
    <row r="174" spans="1:5" ht="15.75">
      <c r="A174" s="206" t="s">
        <v>712</v>
      </c>
      <c r="B174" s="212">
        <v>52</v>
      </c>
      <c r="C174" s="212"/>
      <c r="D174" s="250">
        <f>B174+$D$118</f>
        <v>66</v>
      </c>
      <c r="E174" s="218"/>
    </row>
    <row r="175" spans="1:5" ht="16.5" thickBot="1">
      <c r="A175" s="207" t="s">
        <v>855</v>
      </c>
      <c r="B175" s="263"/>
      <c r="C175" s="263"/>
      <c r="D175" s="255"/>
      <c r="E175" s="224"/>
    </row>
    <row r="176" spans="1:5" ht="40.5" customHeight="1">
      <c r="A176" s="200" t="s">
        <v>856</v>
      </c>
      <c r="B176" s="211"/>
      <c r="C176" s="211"/>
      <c r="D176" s="217"/>
      <c r="E176" s="217"/>
    </row>
    <row r="177" spans="1:5" ht="15.75">
      <c r="A177" s="200" t="s">
        <v>713</v>
      </c>
      <c r="B177" s="211">
        <v>51</v>
      </c>
      <c r="C177" s="211"/>
      <c r="D177" s="250">
        <f>B177+$D$118</f>
        <v>65</v>
      </c>
      <c r="E177" s="217"/>
    </row>
    <row r="178" spans="1:5" ht="15.75">
      <c r="A178" s="200" t="s">
        <v>714</v>
      </c>
      <c r="B178" s="211"/>
      <c r="C178" s="211"/>
      <c r="D178" s="217"/>
      <c r="E178" s="217"/>
    </row>
    <row r="179" spans="1:5" ht="15.75">
      <c r="A179" s="215" t="s">
        <v>715</v>
      </c>
      <c r="B179" s="211">
        <v>51</v>
      </c>
      <c r="C179" s="211">
        <v>90</v>
      </c>
      <c r="D179" s="250">
        <f>C179+$D$118</f>
        <v>104</v>
      </c>
      <c r="E179" s="217"/>
    </row>
    <row r="180" spans="1:5" ht="15.75">
      <c r="A180" s="215" t="s">
        <v>716</v>
      </c>
      <c r="B180" s="211">
        <v>51</v>
      </c>
      <c r="C180" s="211">
        <v>90</v>
      </c>
      <c r="D180" s="250">
        <f>C180+$D$118</f>
        <v>104</v>
      </c>
      <c r="E180" s="217"/>
    </row>
    <row r="181" spans="1:5" ht="15.75">
      <c r="A181" s="215" t="s">
        <v>717</v>
      </c>
      <c r="B181" s="211">
        <v>51</v>
      </c>
      <c r="C181" s="211">
        <v>90</v>
      </c>
      <c r="D181" s="250">
        <f>C181+$D$118</f>
        <v>104</v>
      </c>
      <c r="E181" s="217"/>
    </row>
    <row r="182" spans="1:5" ht="15.75">
      <c r="A182" s="215" t="s">
        <v>718</v>
      </c>
      <c r="B182" s="211">
        <v>51</v>
      </c>
      <c r="C182" s="211">
        <v>90</v>
      </c>
      <c r="D182" s="250">
        <f>C182+$D$118</f>
        <v>104</v>
      </c>
      <c r="E182" s="217"/>
    </row>
    <row r="183" spans="1:5" ht="15.75">
      <c r="A183" s="215" t="s">
        <v>719</v>
      </c>
      <c r="B183" s="211">
        <v>51</v>
      </c>
      <c r="C183" s="211">
        <v>90</v>
      </c>
      <c r="D183" s="250">
        <f>C183+$D$118</f>
        <v>104</v>
      </c>
      <c r="E183" s="217"/>
    </row>
    <row r="184" spans="1:5" ht="15.75">
      <c r="A184" s="200" t="s">
        <v>720</v>
      </c>
      <c r="B184" s="211"/>
      <c r="C184" s="211"/>
      <c r="D184" s="217"/>
      <c r="E184" s="217"/>
    </row>
    <row r="185" spans="1:5" ht="15.75">
      <c r="A185" s="200" t="s">
        <v>721</v>
      </c>
      <c r="B185" s="211">
        <v>51</v>
      </c>
      <c r="C185" s="211">
        <v>90</v>
      </c>
      <c r="D185" s="250">
        <f>C185+$D$118</f>
        <v>104</v>
      </c>
      <c r="E185" s="217"/>
    </row>
    <row r="186" spans="1:5" ht="15.75">
      <c r="A186" s="200" t="s">
        <v>722</v>
      </c>
      <c r="B186" s="211">
        <v>51</v>
      </c>
      <c r="C186" s="211">
        <v>90</v>
      </c>
      <c r="D186" s="250">
        <f>C186+$D$118</f>
        <v>104</v>
      </c>
      <c r="E186" s="217"/>
    </row>
    <row r="187" spans="1:5" ht="15.75">
      <c r="A187" s="215" t="s">
        <v>717</v>
      </c>
      <c r="B187" s="211">
        <v>51</v>
      </c>
      <c r="C187" s="211">
        <v>90</v>
      </c>
      <c r="D187" s="250">
        <f>C187+$D$118</f>
        <v>104</v>
      </c>
      <c r="E187" s="217"/>
    </row>
    <row r="188" spans="1:5" ht="15.75">
      <c r="A188" s="215" t="s">
        <v>718</v>
      </c>
      <c r="B188" s="211">
        <v>51</v>
      </c>
      <c r="C188" s="211">
        <v>90</v>
      </c>
      <c r="D188" s="250">
        <f>C188+$D$118</f>
        <v>104</v>
      </c>
      <c r="E188" s="217"/>
    </row>
    <row r="189" spans="1:5" ht="15.75">
      <c r="A189" s="215" t="s">
        <v>719</v>
      </c>
      <c r="B189" s="211">
        <v>51</v>
      </c>
      <c r="C189" s="211">
        <v>90</v>
      </c>
      <c r="D189" s="250">
        <f>C189+$D$118</f>
        <v>104</v>
      </c>
      <c r="E189" s="217"/>
    </row>
    <row r="190" spans="1:5" ht="15.75">
      <c r="A190" s="200" t="s">
        <v>723</v>
      </c>
      <c r="B190" s="211">
        <v>50</v>
      </c>
      <c r="C190" s="211"/>
      <c r="D190" s="250">
        <f>B190+$D$118</f>
        <v>64</v>
      </c>
      <c r="E190" s="217"/>
    </row>
    <row r="191" spans="1:5" ht="15.75">
      <c r="A191" s="200" t="s">
        <v>724</v>
      </c>
      <c r="B191" s="211" t="s">
        <v>725</v>
      </c>
      <c r="C191" s="211"/>
      <c r="D191" s="250">
        <f>B191+$D$118</f>
        <v>64</v>
      </c>
      <c r="E191" s="217"/>
    </row>
    <row r="192" spans="1:5" ht="16.5" thickBot="1">
      <c r="A192" s="207" t="s">
        <v>726</v>
      </c>
      <c r="B192" s="219" t="s">
        <v>727</v>
      </c>
      <c r="C192" s="219"/>
      <c r="D192" s="252">
        <f>B192+$D$118</f>
        <v>63</v>
      </c>
      <c r="E192" s="220"/>
    </row>
    <row r="193" spans="1:5" ht="15.75">
      <c r="A193" s="1269" t="s">
        <v>857</v>
      </c>
      <c r="B193" s="212"/>
      <c r="C193" s="212"/>
      <c r="D193" s="218"/>
      <c r="E193" s="218"/>
    </row>
    <row r="194" spans="1:5" ht="15.75">
      <c r="A194" s="1270"/>
      <c r="B194" s="212"/>
      <c r="C194" s="212"/>
      <c r="D194" s="218"/>
      <c r="E194" s="218"/>
    </row>
    <row r="195" spans="1:5" ht="16.5" thickBot="1">
      <c r="A195" s="1271"/>
      <c r="B195" s="219">
        <v>51</v>
      </c>
      <c r="C195" s="219"/>
      <c r="D195" s="252">
        <f>B195+$D$118</f>
        <v>65</v>
      </c>
      <c r="E195" s="220"/>
    </row>
    <row r="196" spans="1:5" ht="15.75">
      <c r="A196" s="198" t="s">
        <v>728</v>
      </c>
      <c r="B196" s="212"/>
      <c r="C196" s="212"/>
      <c r="D196" s="218"/>
      <c r="E196" s="218"/>
    </row>
    <row r="197" spans="1:5" ht="15.75">
      <c r="A197" s="215" t="s">
        <v>729</v>
      </c>
      <c r="B197" s="211">
        <v>82</v>
      </c>
      <c r="C197" s="211"/>
      <c r="D197" s="250">
        <f t="shared" ref="D197:D223" si="1">B197+$D$118</f>
        <v>96</v>
      </c>
      <c r="E197" s="217"/>
    </row>
    <row r="198" spans="1:5" ht="15.75">
      <c r="A198" s="215" t="s">
        <v>730</v>
      </c>
      <c r="B198" s="211">
        <v>82</v>
      </c>
      <c r="C198" s="211"/>
      <c r="D198" s="250">
        <f t="shared" si="1"/>
        <v>96</v>
      </c>
      <c r="E198" s="217"/>
    </row>
    <row r="199" spans="1:5" ht="15.75">
      <c r="A199" s="1272" t="s">
        <v>731</v>
      </c>
      <c r="B199" s="212"/>
      <c r="C199" s="212"/>
      <c r="D199" s="218"/>
      <c r="E199" s="218"/>
    </row>
    <row r="200" spans="1:5" ht="15.75">
      <c r="A200" s="1273"/>
      <c r="B200" s="211">
        <v>77</v>
      </c>
      <c r="C200" s="211"/>
      <c r="D200" s="250">
        <f t="shared" si="1"/>
        <v>91</v>
      </c>
      <c r="E200" s="217"/>
    </row>
    <row r="201" spans="1:5" ht="16.5" thickBot="1">
      <c r="A201" s="188" t="s">
        <v>732</v>
      </c>
      <c r="B201" s="219">
        <v>68</v>
      </c>
      <c r="C201" s="219"/>
      <c r="D201" s="252">
        <f t="shared" si="1"/>
        <v>82</v>
      </c>
      <c r="E201" s="220"/>
    </row>
    <row r="202" spans="1:5" ht="27" customHeight="1">
      <c r="A202" s="225" t="s">
        <v>733</v>
      </c>
      <c r="B202" s="212"/>
      <c r="C202" s="212"/>
      <c r="D202" s="218"/>
      <c r="E202" s="218"/>
    </row>
    <row r="203" spans="1:5" ht="15.75">
      <c r="A203" s="215" t="s">
        <v>734</v>
      </c>
      <c r="B203" s="211">
        <v>69</v>
      </c>
      <c r="C203" s="211"/>
      <c r="D203" s="250">
        <f t="shared" si="1"/>
        <v>83</v>
      </c>
      <c r="E203" s="217"/>
    </row>
    <row r="204" spans="1:5" ht="15.75">
      <c r="A204" s="215" t="s">
        <v>735</v>
      </c>
      <c r="B204" s="211">
        <v>68</v>
      </c>
      <c r="C204" s="211"/>
      <c r="D204" s="250">
        <f t="shared" si="1"/>
        <v>82</v>
      </c>
      <c r="E204" s="217"/>
    </row>
    <row r="205" spans="1:5" ht="24">
      <c r="A205" s="200" t="s">
        <v>736</v>
      </c>
      <c r="B205" s="211">
        <v>62</v>
      </c>
      <c r="C205" s="211"/>
      <c r="D205" s="250">
        <f t="shared" si="1"/>
        <v>76</v>
      </c>
      <c r="E205" s="217"/>
    </row>
    <row r="206" spans="1:5" ht="15.75">
      <c r="A206" s="215" t="s">
        <v>737</v>
      </c>
      <c r="B206" s="211">
        <v>62</v>
      </c>
      <c r="C206" s="211"/>
      <c r="D206" s="250">
        <f t="shared" si="1"/>
        <v>76</v>
      </c>
      <c r="E206" s="217"/>
    </row>
    <row r="207" spans="1:5" ht="15.75">
      <c r="A207" s="215" t="s">
        <v>738</v>
      </c>
      <c r="B207" s="211">
        <v>98</v>
      </c>
      <c r="C207" s="211"/>
      <c r="D207" s="250">
        <f t="shared" si="1"/>
        <v>112</v>
      </c>
      <c r="E207" s="217"/>
    </row>
    <row r="208" spans="1:5" ht="15.75">
      <c r="A208" s="215" t="s">
        <v>739</v>
      </c>
      <c r="B208" s="211">
        <v>60</v>
      </c>
      <c r="C208" s="211"/>
      <c r="D208" s="250">
        <f t="shared" si="1"/>
        <v>74</v>
      </c>
      <c r="E208" s="217"/>
    </row>
    <row r="209" spans="1:5" ht="16.5" thickBot="1">
      <c r="A209" s="188" t="s">
        <v>740</v>
      </c>
      <c r="B209" s="219">
        <v>58</v>
      </c>
      <c r="C209" s="219"/>
      <c r="D209" s="252">
        <f t="shared" si="1"/>
        <v>72</v>
      </c>
      <c r="E209" s="220"/>
    </row>
    <row r="210" spans="1:5" ht="15.75">
      <c r="A210" s="198" t="s">
        <v>741</v>
      </c>
      <c r="B210" s="212"/>
      <c r="C210" s="212"/>
      <c r="D210" s="218"/>
      <c r="E210" s="218"/>
    </row>
    <row r="211" spans="1:5" ht="24.75" thickBot="1">
      <c r="A211" s="207" t="s">
        <v>742</v>
      </c>
      <c r="B211" s="219">
        <v>51</v>
      </c>
      <c r="C211" s="219"/>
      <c r="D211" s="252">
        <f t="shared" si="1"/>
        <v>65</v>
      </c>
      <c r="E211" s="220"/>
    </row>
    <row r="212" spans="1:5" ht="16.5" thickBot="1">
      <c r="A212" s="196" t="s">
        <v>743</v>
      </c>
      <c r="B212" s="219">
        <v>53</v>
      </c>
      <c r="C212" s="219"/>
      <c r="D212" s="252">
        <f t="shared" si="1"/>
        <v>67</v>
      </c>
      <c r="E212" s="220"/>
    </row>
    <row r="213" spans="1:5" ht="24">
      <c r="A213" s="226" t="s">
        <v>858</v>
      </c>
      <c r="B213" s="211"/>
      <c r="C213" s="211"/>
      <c r="D213" s="217"/>
      <c r="E213" s="217"/>
    </row>
    <row r="214" spans="1:5" ht="15.75">
      <c r="A214" s="215" t="s">
        <v>744</v>
      </c>
      <c r="B214" s="211">
        <v>53</v>
      </c>
      <c r="C214" s="211"/>
      <c r="D214" s="250">
        <f t="shared" si="1"/>
        <v>67</v>
      </c>
      <c r="E214" s="217"/>
    </row>
    <row r="215" spans="1:5" ht="15.75">
      <c r="A215" s="215" t="s">
        <v>745</v>
      </c>
      <c r="B215" s="211">
        <v>52</v>
      </c>
      <c r="C215" s="211"/>
      <c r="D215" s="250">
        <f t="shared" si="1"/>
        <v>66</v>
      </c>
      <c r="E215" s="217"/>
    </row>
    <row r="216" spans="1:5" ht="16.5" thickBot="1">
      <c r="A216" s="188" t="s">
        <v>746</v>
      </c>
      <c r="B216" s="219">
        <v>51</v>
      </c>
      <c r="C216" s="219"/>
      <c r="D216" s="252">
        <f t="shared" si="1"/>
        <v>65</v>
      </c>
      <c r="E216" s="220"/>
    </row>
    <row r="217" spans="1:5" ht="18.75" customHeight="1" thickBot="1">
      <c r="A217" s="227"/>
      <c r="B217" s="228"/>
      <c r="C217" s="228"/>
      <c r="D217" s="256"/>
      <c r="E217" s="229"/>
    </row>
    <row r="218" spans="1:5" ht="15" customHeight="1">
      <c r="A218" s="1261" t="s">
        <v>671</v>
      </c>
      <c r="B218" s="1262" t="s">
        <v>672</v>
      </c>
      <c r="C218" s="1262" t="s">
        <v>673</v>
      </c>
      <c r="D218" s="1264" t="s">
        <v>674</v>
      </c>
      <c r="E218" s="1266"/>
    </row>
    <row r="219" spans="1:5" ht="15" customHeight="1">
      <c r="A219" s="1250"/>
      <c r="B219" s="1263"/>
      <c r="C219" s="1263"/>
      <c r="D219" s="1265"/>
      <c r="E219" s="1267"/>
    </row>
    <row r="220" spans="1:5" ht="15" customHeight="1">
      <c r="A220" s="1250"/>
      <c r="B220" s="1268">
        <v>2008</v>
      </c>
      <c r="C220" s="1268">
        <v>2010</v>
      </c>
      <c r="D220" s="1268">
        <v>2011</v>
      </c>
      <c r="E220" s="1268"/>
    </row>
    <row r="221" spans="1:5" ht="15" customHeight="1">
      <c r="A221" s="1251"/>
      <c r="B221" s="1263"/>
      <c r="C221" s="1263"/>
      <c r="D221" s="1263"/>
      <c r="E221" s="1263"/>
    </row>
    <row r="222" spans="1:5" ht="15.75">
      <c r="A222" s="230" t="s">
        <v>747</v>
      </c>
      <c r="B222" s="211"/>
      <c r="C222" s="211"/>
      <c r="D222" s="217"/>
      <c r="E222" s="217"/>
    </row>
    <row r="223" spans="1:5" ht="15.75">
      <c r="A223" s="215" t="s">
        <v>748</v>
      </c>
      <c r="B223" s="211">
        <v>63</v>
      </c>
      <c r="C223" s="211"/>
      <c r="D223" s="250">
        <f t="shared" si="1"/>
        <v>77</v>
      </c>
      <c r="E223" s="217"/>
    </row>
    <row r="224" spans="1:5" ht="15.75">
      <c r="A224" s="216" t="s">
        <v>749</v>
      </c>
      <c r="B224" s="212"/>
      <c r="C224" s="212"/>
      <c r="D224" s="218"/>
      <c r="E224" s="218"/>
    </row>
    <row r="225" spans="1:5" ht="24">
      <c r="A225" s="206" t="s">
        <v>750</v>
      </c>
      <c r="B225" s="212"/>
      <c r="C225" s="212"/>
      <c r="D225" s="218"/>
      <c r="E225" s="218"/>
    </row>
    <row r="226" spans="1:5" ht="15.75">
      <c r="A226" s="231"/>
      <c r="B226" s="211" t="s">
        <v>751</v>
      </c>
      <c r="C226" s="211"/>
      <c r="D226" s="250">
        <f t="shared" ref="D226:D238" si="2">B226+$D$118</f>
        <v>55</v>
      </c>
      <c r="E226" s="217"/>
    </row>
    <row r="227" spans="1:5" ht="15.75">
      <c r="A227" s="200" t="s">
        <v>752</v>
      </c>
      <c r="B227" s="211">
        <v>37</v>
      </c>
      <c r="C227" s="211"/>
      <c r="D227" s="250">
        <f t="shared" si="2"/>
        <v>51</v>
      </c>
      <c r="E227" s="217"/>
    </row>
    <row r="228" spans="1:5" ht="15.75">
      <c r="A228" s="215" t="s">
        <v>753</v>
      </c>
      <c r="B228" s="211">
        <v>60</v>
      </c>
      <c r="C228" s="211"/>
      <c r="D228" s="250">
        <f t="shared" si="2"/>
        <v>74</v>
      </c>
      <c r="E228" s="217"/>
    </row>
    <row r="229" spans="1:5" ht="15.75">
      <c r="A229" s="215" t="s">
        <v>754</v>
      </c>
      <c r="B229" s="211">
        <v>60</v>
      </c>
      <c r="C229" s="211"/>
      <c r="D229" s="250">
        <f t="shared" si="2"/>
        <v>74</v>
      </c>
      <c r="E229" s="217"/>
    </row>
    <row r="230" spans="1:5" ht="15.75">
      <c r="A230" s="215" t="s">
        <v>755</v>
      </c>
      <c r="B230" s="211">
        <v>60</v>
      </c>
      <c r="C230" s="211"/>
      <c r="D230" s="250">
        <f t="shared" si="2"/>
        <v>74</v>
      </c>
      <c r="E230" s="217"/>
    </row>
    <row r="231" spans="1:5" ht="15.75">
      <c r="A231" s="215" t="s">
        <v>756</v>
      </c>
      <c r="B231" s="211">
        <v>60</v>
      </c>
      <c r="C231" s="211"/>
      <c r="D231" s="250">
        <f t="shared" si="2"/>
        <v>74</v>
      </c>
      <c r="E231" s="217"/>
    </row>
    <row r="232" spans="1:5" ht="15.75">
      <c r="A232" s="215" t="s">
        <v>757</v>
      </c>
      <c r="B232" s="211">
        <v>60</v>
      </c>
      <c r="C232" s="211"/>
      <c r="D232" s="250">
        <f t="shared" si="2"/>
        <v>74</v>
      </c>
      <c r="E232" s="217"/>
    </row>
    <row r="233" spans="1:5" ht="15.75">
      <c r="A233" s="215" t="s">
        <v>758</v>
      </c>
      <c r="B233" s="211">
        <v>60</v>
      </c>
      <c r="C233" s="211"/>
      <c r="D233" s="250">
        <f t="shared" si="2"/>
        <v>74</v>
      </c>
      <c r="E233" s="217"/>
    </row>
    <row r="234" spans="1:5" ht="15.75">
      <c r="A234" s="215" t="s">
        <v>759</v>
      </c>
      <c r="B234" s="211">
        <v>60</v>
      </c>
      <c r="C234" s="211"/>
      <c r="D234" s="250">
        <f t="shared" si="2"/>
        <v>74</v>
      </c>
      <c r="E234" s="217"/>
    </row>
    <row r="235" spans="1:5" ht="15.75">
      <c r="A235" s="215" t="s">
        <v>760</v>
      </c>
      <c r="B235" s="211">
        <v>60</v>
      </c>
      <c r="C235" s="211"/>
      <c r="D235" s="250">
        <f t="shared" si="2"/>
        <v>74</v>
      </c>
      <c r="E235" s="217"/>
    </row>
    <row r="236" spans="1:5" ht="15.75">
      <c r="A236" s="215" t="s">
        <v>761</v>
      </c>
      <c r="B236" s="211">
        <v>61</v>
      </c>
      <c r="C236" s="211"/>
      <c r="D236" s="250">
        <f t="shared" si="2"/>
        <v>75</v>
      </c>
      <c r="E236" s="217"/>
    </row>
    <row r="237" spans="1:5" ht="16.5" thickBot="1">
      <c r="A237" s="188" t="s">
        <v>762</v>
      </c>
      <c r="B237" s="219">
        <v>52</v>
      </c>
      <c r="C237" s="219"/>
      <c r="D237" s="251">
        <f t="shared" si="2"/>
        <v>66</v>
      </c>
      <c r="E237" s="220"/>
    </row>
    <row r="238" spans="1:5" ht="24" customHeight="1" thickBot="1">
      <c r="A238" s="196" t="s">
        <v>763</v>
      </c>
      <c r="B238" s="219">
        <v>49</v>
      </c>
      <c r="C238" s="219"/>
      <c r="D238" s="243">
        <f t="shared" si="2"/>
        <v>63</v>
      </c>
      <c r="E238" s="220"/>
    </row>
    <row r="239" spans="1:5" ht="12.75">
      <c r="A239" s="1280" t="s">
        <v>764</v>
      </c>
      <c r="B239" s="1282"/>
      <c r="C239" s="1282"/>
      <c r="D239" s="1274"/>
      <c r="E239" s="1274"/>
    </row>
    <row r="240" spans="1:5" ht="31.5" customHeight="1" thickBot="1">
      <c r="A240" s="1281"/>
      <c r="B240" s="1283"/>
      <c r="C240" s="1283"/>
      <c r="D240" s="1275"/>
      <c r="E240" s="1275"/>
    </row>
    <row r="241" spans="1:5" ht="15.75">
      <c r="A241" s="230" t="s">
        <v>765</v>
      </c>
      <c r="B241" s="211"/>
      <c r="C241" s="211"/>
      <c r="D241" s="217"/>
      <c r="E241" s="217"/>
    </row>
    <row r="242" spans="1:5" ht="15.75">
      <c r="A242" s="215" t="s">
        <v>766</v>
      </c>
      <c r="B242" s="211">
        <v>89</v>
      </c>
      <c r="C242" s="211"/>
      <c r="D242" s="250">
        <f t="shared" ref="D242:D258" si="3">B242+$D$118</f>
        <v>103</v>
      </c>
      <c r="E242" s="217"/>
    </row>
    <row r="243" spans="1:5" ht="15.75">
      <c r="A243" s="215" t="s">
        <v>767</v>
      </c>
      <c r="B243" s="211">
        <v>68</v>
      </c>
      <c r="C243" s="211"/>
      <c r="D243" s="250">
        <f t="shared" si="3"/>
        <v>82</v>
      </c>
      <c r="E243" s="217"/>
    </row>
    <row r="244" spans="1:5" ht="15.75">
      <c r="A244" s="215" t="s">
        <v>768</v>
      </c>
      <c r="B244" s="211">
        <v>67</v>
      </c>
      <c r="C244" s="211"/>
      <c r="D244" s="250">
        <f t="shared" si="3"/>
        <v>81</v>
      </c>
      <c r="E244" s="217"/>
    </row>
    <row r="245" spans="1:5" ht="15.75">
      <c r="A245" s="215" t="s">
        <v>769</v>
      </c>
      <c r="B245" s="211">
        <v>65</v>
      </c>
      <c r="C245" s="211"/>
      <c r="D245" s="250">
        <f t="shared" si="3"/>
        <v>79</v>
      </c>
      <c r="E245" s="217"/>
    </row>
    <row r="246" spans="1:5" ht="15.75">
      <c r="A246" s="215" t="s">
        <v>770</v>
      </c>
      <c r="B246" s="211">
        <v>63</v>
      </c>
      <c r="C246" s="211"/>
      <c r="D246" s="250">
        <f t="shared" si="3"/>
        <v>77</v>
      </c>
      <c r="E246" s="217"/>
    </row>
    <row r="247" spans="1:5" ht="15.75">
      <c r="A247" s="215" t="s">
        <v>771</v>
      </c>
      <c r="B247" s="211">
        <v>61</v>
      </c>
      <c r="C247" s="211"/>
      <c r="D247" s="250">
        <f t="shared" si="3"/>
        <v>75</v>
      </c>
      <c r="E247" s="217"/>
    </row>
    <row r="248" spans="1:5" ht="15.75">
      <c r="A248" s="215" t="s">
        <v>772</v>
      </c>
      <c r="B248" s="211">
        <v>49</v>
      </c>
      <c r="C248" s="211"/>
      <c r="D248" s="250">
        <f t="shared" si="3"/>
        <v>63</v>
      </c>
      <c r="E248" s="217"/>
    </row>
    <row r="249" spans="1:5" ht="15.75">
      <c r="A249" s="215" t="s">
        <v>773</v>
      </c>
      <c r="B249" s="211">
        <v>45</v>
      </c>
      <c r="C249" s="211"/>
      <c r="D249" s="250">
        <f t="shared" si="3"/>
        <v>59</v>
      </c>
      <c r="E249" s="217"/>
    </row>
    <row r="250" spans="1:5" ht="15.75">
      <c r="A250" s="215" t="s">
        <v>774</v>
      </c>
      <c r="B250" s="211">
        <v>42</v>
      </c>
      <c r="C250" s="211"/>
      <c r="D250" s="250">
        <f t="shared" si="3"/>
        <v>56</v>
      </c>
      <c r="E250" s="217"/>
    </row>
    <row r="251" spans="1:5" ht="15.75">
      <c r="A251" s="215" t="s">
        <v>775</v>
      </c>
      <c r="B251" s="211">
        <v>54</v>
      </c>
      <c r="C251" s="211"/>
      <c r="D251" s="250">
        <f t="shared" si="3"/>
        <v>68</v>
      </c>
      <c r="E251" s="217"/>
    </row>
    <row r="252" spans="1:5" ht="15.75">
      <c r="A252" s="215" t="s">
        <v>776</v>
      </c>
      <c r="B252" s="211">
        <v>54</v>
      </c>
      <c r="C252" s="211"/>
      <c r="D252" s="250">
        <f t="shared" si="3"/>
        <v>68</v>
      </c>
      <c r="E252" s="217"/>
    </row>
    <row r="253" spans="1:5" ht="15.75">
      <c r="A253" s="215" t="s">
        <v>777</v>
      </c>
      <c r="B253" s="211">
        <v>54</v>
      </c>
      <c r="C253" s="211"/>
      <c r="D253" s="250">
        <f t="shared" si="3"/>
        <v>68</v>
      </c>
      <c r="E253" s="217"/>
    </row>
    <row r="254" spans="1:5" ht="15.75">
      <c r="A254" s="215" t="s">
        <v>778</v>
      </c>
      <c r="B254" s="211">
        <v>54</v>
      </c>
      <c r="C254" s="211"/>
      <c r="D254" s="250">
        <f t="shared" si="3"/>
        <v>68</v>
      </c>
      <c r="E254" s="217"/>
    </row>
    <row r="255" spans="1:5" ht="15.75">
      <c r="A255" s="215" t="s">
        <v>779</v>
      </c>
      <c r="B255" s="211">
        <v>55</v>
      </c>
      <c r="C255" s="211"/>
      <c r="D255" s="250">
        <f t="shared" si="3"/>
        <v>69</v>
      </c>
      <c r="E255" s="217"/>
    </row>
    <row r="256" spans="1:5" ht="15.75">
      <c r="A256" s="215" t="s">
        <v>780</v>
      </c>
      <c r="B256" s="211">
        <v>55</v>
      </c>
      <c r="C256" s="211"/>
      <c r="D256" s="250">
        <f t="shared" si="3"/>
        <v>69</v>
      </c>
      <c r="E256" s="217"/>
    </row>
    <row r="257" spans="1:5" ht="15.75">
      <c r="A257" s="215" t="s">
        <v>781</v>
      </c>
      <c r="B257" s="211">
        <v>55</v>
      </c>
      <c r="C257" s="211"/>
      <c r="D257" s="250">
        <f t="shared" si="3"/>
        <v>69</v>
      </c>
      <c r="E257" s="217"/>
    </row>
    <row r="258" spans="1:5" ht="16.5" thickBot="1">
      <c r="A258" s="188" t="s">
        <v>782</v>
      </c>
      <c r="B258" s="219">
        <v>55</v>
      </c>
      <c r="C258" s="219"/>
      <c r="D258" s="252">
        <f t="shared" si="3"/>
        <v>69</v>
      </c>
      <c r="E258" s="220"/>
    </row>
    <row r="259" spans="1:5" ht="15.75">
      <c r="A259" s="230" t="s">
        <v>783</v>
      </c>
      <c r="B259" s="211"/>
      <c r="C259" s="211"/>
      <c r="D259" s="217"/>
      <c r="E259" s="217"/>
    </row>
    <row r="260" spans="1:5" ht="15.75">
      <c r="A260" s="215" t="s">
        <v>784</v>
      </c>
      <c r="B260" s="211">
        <v>53</v>
      </c>
      <c r="C260" s="211"/>
      <c r="D260" s="250">
        <f t="shared" ref="D260:D268" si="4">B260+$D$118</f>
        <v>67</v>
      </c>
      <c r="E260" s="217"/>
    </row>
    <row r="261" spans="1:5" ht="15.75">
      <c r="A261" s="215" t="s">
        <v>785</v>
      </c>
      <c r="B261" s="211">
        <v>53</v>
      </c>
      <c r="C261" s="211"/>
      <c r="D261" s="250">
        <f t="shared" si="4"/>
        <v>67</v>
      </c>
      <c r="E261" s="217"/>
    </row>
    <row r="262" spans="1:5" ht="15.75">
      <c r="A262" s="215" t="s">
        <v>786</v>
      </c>
      <c r="B262" s="211">
        <v>53</v>
      </c>
      <c r="C262" s="211"/>
      <c r="D262" s="250">
        <f t="shared" si="4"/>
        <v>67</v>
      </c>
      <c r="E262" s="217"/>
    </row>
    <row r="263" spans="1:5" ht="15.75">
      <c r="A263" s="215" t="s">
        <v>787</v>
      </c>
      <c r="B263" s="211">
        <v>53</v>
      </c>
      <c r="C263" s="211"/>
      <c r="D263" s="250">
        <f t="shared" si="4"/>
        <v>67</v>
      </c>
      <c r="E263" s="217"/>
    </row>
    <row r="264" spans="1:5" ht="15.75">
      <c r="A264" s="215" t="s">
        <v>788</v>
      </c>
      <c r="B264" s="211">
        <v>53</v>
      </c>
      <c r="C264" s="211"/>
      <c r="D264" s="250">
        <f t="shared" si="4"/>
        <v>67</v>
      </c>
      <c r="E264" s="217"/>
    </row>
    <row r="265" spans="1:5" ht="15.75">
      <c r="A265" s="215" t="s">
        <v>789</v>
      </c>
      <c r="B265" s="211">
        <v>54</v>
      </c>
      <c r="C265" s="211"/>
      <c r="D265" s="250">
        <f t="shared" si="4"/>
        <v>68</v>
      </c>
      <c r="E265" s="217"/>
    </row>
    <row r="266" spans="1:5" ht="15.75">
      <c r="A266" s="215" t="s">
        <v>790</v>
      </c>
      <c r="B266" s="211">
        <v>54</v>
      </c>
      <c r="C266" s="211"/>
      <c r="D266" s="250">
        <f t="shared" si="4"/>
        <v>68</v>
      </c>
      <c r="E266" s="217"/>
    </row>
    <row r="267" spans="1:5" ht="15.75">
      <c r="A267" s="215" t="s">
        <v>791</v>
      </c>
      <c r="B267" s="211">
        <v>54</v>
      </c>
      <c r="C267" s="211"/>
      <c r="D267" s="250">
        <f t="shared" si="4"/>
        <v>68</v>
      </c>
      <c r="E267" s="217"/>
    </row>
    <row r="268" spans="1:5" ht="16.5" thickBot="1">
      <c r="A268" s="188" t="s">
        <v>792</v>
      </c>
      <c r="B268" s="219">
        <v>54</v>
      </c>
      <c r="C268" s="219"/>
      <c r="D268" s="252">
        <f t="shared" si="4"/>
        <v>68</v>
      </c>
      <c r="E268" s="220"/>
    </row>
    <row r="269" spans="1:5" ht="49.5" customHeight="1" thickBot="1">
      <c r="A269" s="227"/>
      <c r="B269" s="228"/>
      <c r="C269" s="228"/>
      <c r="D269" s="256"/>
      <c r="E269" s="229"/>
    </row>
    <row r="270" spans="1:5" ht="12.75">
      <c r="A270" s="1261" t="s">
        <v>671</v>
      </c>
      <c r="B270" s="1262" t="s">
        <v>672</v>
      </c>
      <c r="C270" s="1262" t="s">
        <v>673</v>
      </c>
      <c r="D270" s="1264" t="s">
        <v>674</v>
      </c>
      <c r="E270" s="1266"/>
    </row>
    <row r="271" spans="1:5" ht="12.75">
      <c r="A271" s="1250"/>
      <c r="B271" s="1263"/>
      <c r="C271" s="1263"/>
      <c r="D271" s="1265"/>
      <c r="E271" s="1267"/>
    </row>
    <row r="272" spans="1:5" ht="12.75">
      <c r="A272" s="1250"/>
      <c r="B272" s="1268">
        <v>2008</v>
      </c>
      <c r="C272" s="1268">
        <v>2010</v>
      </c>
      <c r="D272" s="1268">
        <v>2011</v>
      </c>
      <c r="E272" s="1268"/>
    </row>
    <row r="273" spans="1:5" ht="12.75">
      <c r="A273" s="1251"/>
      <c r="B273" s="1263"/>
      <c r="C273" s="1263"/>
      <c r="D273" s="1263"/>
      <c r="E273" s="1263"/>
    </row>
    <row r="274" spans="1:5" ht="15" customHeight="1">
      <c r="A274" s="198" t="s">
        <v>793</v>
      </c>
      <c r="B274" s="212"/>
      <c r="C274" s="212"/>
      <c r="D274" s="218"/>
      <c r="E274" s="218"/>
    </row>
    <row r="275" spans="1:5" ht="15" customHeight="1">
      <c r="A275" s="215" t="s">
        <v>794</v>
      </c>
      <c r="B275" s="211">
        <v>53</v>
      </c>
      <c r="C275" s="211"/>
      <c r="D275" s="250">
        <f t="shared" ref="D275:D283" si="5">B275+$D$118</f>
        <v>67</v>
      </c>
      <c r="E275" s="217"/>
    </row>
    <row r="276" spans="1:5" ht="15" customHeight="1">
      <c r="A276" s="215" t="s">
        <v>795</v>
      </c>
      <c r="B276" s="211">
        <v>53</v>
      </c>
      <c r="C276" s="211"/>
      <c r="D276" s="250">
        <f t="shared" si="5"/>
        <v>67</v>
      </c>
      <c r="E276" s="217"/>
    </row>
    <row r="277" spans="1:5" ht="15" customHeight="1">
      <c r="A277" s="215" t="s">
        <v>796</v>
      </c>
      <c r="B277" s="211">
        <v>53</v>
      </c>
      <c r="C277" s="211"/>
      <c r="D277" s="250">
        <f t="shared" si="5"/>
        <v>67</v>
      </c>
      <c r="E277" s="217"/>
    </row>
    <row r="278" spans="1:5" ht="15.75">
      <c r="A278" s="215" t="s">
        <v>797</v>
      </c>
      <c r="B278" s="211">
        <v>53</v>
      </c>
      <c r="C278" s="211"/>
      <c r="D278" s="250">
        <f t="shared" si="5"/>
        <v>67</v>
      </c>
      <c r="E278" s="217"/>
    </row>
    <row r="279" spans="1:5" ht="15.75">
      <c r="A279" s="215" t="s">
        <v>798</v>
      </c>
      <c r="B279" s="211">
        <v>53</v>
      </c>
      <c r="C279" s="211"/>
      <c r="D279" s="250">
        <f t="shared" si="5"/>
        <v>67</v>
      </c>
      <c r="E279" s="217"/>
    </row>
    <row r="280" spans="1:5" ht="15.75">
      <c r="A280" s="215" t="s">
        <v>799</v>
      </c>
      <c r="B280" s="211">
        <v>53</v>
      </c>
      <c r="C280" s="211"/>
      <c r="D280" s="250">
        <f t="shared" si="5"/>
        <v>67</v>
      </c>
      <c r="E280" s="217"/>
    </row>
    <row r="281" spans="1:5" ht="15.75">
      <c r="A281" s="215" t="s">
        <v>800</v>
      </c>
      <c r="B281" s="211">
        <v>53</v>
      </c>
      <c r="C281" s="211"/>
      <c r="D281" s="250">
        <f t="shared" si="5"/>
        <v>67</v>
      </c>
      <c r="E281" s="217"/>
    </row>
    <row r="282" spans="1:5" ht="15.75">
      <c r="A282" s="215" t="s">
        <v>801</v>
      </c>
      <c r="B282" s="211">
        <v>53</v>
      </c>
      <c r="C282" s="211"/>
      <c r="D282" s="250">
        <f t="shared" si="5"/>
        <v>67</v>
      </c>
      <c r="E282" s="217"/>
    </row>
    <row r="283" spans="1:5" ht="15.75">
      <c r="A283" s="215" t="s">
        <v>792</v>
      </c>
      <c r="B283" s="211">
        <v>53</v>
      </c>
      <c r="C283" s="211"/>
      <c r="D283" s="250">
        <f t="shared" si="5"/>
        <v>67</v>
      </c>
      <c r="E283" s="217"/>
    </row>
    <row r="284" spans="1:5" ht="15.75">
      <c r="A284" s="230" t="s">
        <v>802</v>
      </c>
      <c r="B284" s="211"/>
      <c r="C284" s="211"/>
      <c r="D284" s="250"/>
      <c r="E284" s="217"/>
    </row>
    <row r="285" spans="1:5" ht="15.75">
      <c r="A285" s="215" t="s">
        <v>803</v>
      </c>
      <c r="B285" s="211">
        <v>53</v>
      </c>
      <c r="C285" s="211"/>
      <c r="D285" s="250">
        <f>B285+$D$118</f>
        <v>67</v>
      </c>
      <c r="E285" s="217"/>
    </row>
    <row r="286" spans="1:5" ht="16.5" thickBot="1">
      <c r="A286" s="188" t="s">
        <v>804</v>
      </c>
      <c r="B286" s="219">
        <v>53</v>
      </c>
      <c r="C286" s="219"/>
      <c r="D286" s="251">
        <f>B286+$D$118</f>
        <v>67</v>
      </c>
      <c r="E286" s="220"/>
    </row>
    <row r="287" spans="1:5" ht="47.25" customHeight="1" thickBot="1">
      <c r="A287" s="232" t="s">
        <v>805</v>
      </c>
      <c r="B287" s="219"/>
      <c r="C287" s="219"/>
      <c r="D287" s="233"/>
      <c r="E287" s="220"/>
    </row>
    <row r="288" spans="1:5" ht="15.75">
      <c r="A288" s="215" t="s">
        <v>806</v>
      </c>
      <c r="B288" s="211">
        <v>58</v>
      </c>
      <c r="C288" s="211"/>
      <c r="D288" s="250">
        <f>B288+$D$118</f>
        <v>72</v>
      </c>
      <c r="E288" s="217"/>
    </row>
    <row r="289" spans="1:5" ht="15.75">
      <c r="A289" s="1277" t="s">
        <v>807</v>
      </c>
      <c r="B289" s="212"/>
      <c r="C289" s="212"/>
      <c r="D289" s="218"/>
      <c r="E289" s="218"/>
    </row>
    <row r="290" spans="1:5" ht="15.75">
      <c r="A290" s="1278"/>
      <c r="B290" s="211">
        <v>56</v>
      </c>
      <c r="C290" s="211"/>
      <c r="D290" s="250">
        <f t="shared" ref="D290:D295" si="6">B290+$D$118</f>
        <v>70</v>
      </c>
      <c r="E290" s="217"/>
    </row>
    <row r="291" spans="1:5" ht="15.75">
      <c r="A291" s="215" t="s">
        <v>808</v>
      </c>
      <c r="B291" s="211">
        <v>49</v>
      </c>
      <c r="C291" s="211"/>
      <c r="D291" s="250">
        <f t="shared" si="6"/>
        <v>63</v>
      </c>
      <c r="E291" s="217"/>
    </row>
    <row r="292" spans="1:5" ht="15.75">
      <c r="A292" s="215" t="s">
        <v>809</v>
      </c>
      <c r="B292" s="211">
        <v>43</v>
      </c>
      <c r="C292" s="211"/>
      <c r="D292" s="250">
        <f t="shared" si="6"/>
        <v>57</v>
      </c>
      <c r="E292" s="217"/>
    </row>
    <row r="293" spans="1:5" ht="15.75">
      <c r="A293" s="215" t="s">
        <v>810</v>
      </c>
      <c r="B293" s="211">
        <v>54</v>
      </c>
      <c r="C293" s="211"/>
      <c r="D293" s="250">
        <f t="shared" si="6"/>
        <v>68</v>
      </c>
      <c r="E293" s="217"/>
    </row>
    <row r="294" spans="1:5" ht="15.75">
      <c r="A294" s="215" t="s">
        <v>811</v>
      </c>
      <c r="B294" s="211">
        <v>53</v>
      </c>
      <c r="C294" s="211"/>
      <c r="D294" s="250">
        <f t="shared" si="6"/>
        <v>67</v>
      </c>
      <c r="E294" s="217"/>
    </row>
    <row r="295" spans="1:5" ht="15.75">
      <c r="A295" s="215" t="s">
        <v>812</v>
      </c>
      <c r="B295" s="211">
        <v>63</v>
      </c>
      <c r="C295" s="211"/>
      <c r="D295" s="250">
        <f t="shared" si="6"/>
        <v>77</v>
      </c>
      <c r="E295" s="217"/>
    </row>
    <row r="296" spans="1:5" ht="15.75">
      <c r="A296" s="215" t="s">
        <v>813</v>
      </c>
      <c r="B296" s="211"/>
      <c r="C296" s="211"/>
      <c r="D296" s="217"/>
      <c r="E296" s="217"/>
    </row>
    <row r="297" spans="1:5" ht="15.75">
      <c r="A297" s="215" t="s">
        <v>814</v>
      </c>
      <c r="B297" s="211">
        <v>52</v>
      </c>
      <c r="C297" s="211"/>
      <c r="D297" s="250">
        <f>B297+$D$118</f>
        <v>66</v>
      </c>
      <c r="E297" s="217"/>
    </row>
    <row r="298" spans="1:5" ht="15.75">
      <c r="A298" s="215" t="s">
        <v>815</v>
      </c>
      <c r="B298" s="211">
        <v>52</v>
      </c>
      <c r="C298" s="211"/>
      <c r="D298" s="250">
        <f>B298+$D$118</f>
        <v>66</v>
      </c>
      <c r="E298" s="217"/>
    </row>
    <row r="299" spans="1:5" ht="15.75">
      <c r="A299" s="215" t="s">
        <v>816</v>
      </c>
      <c r="B299" s="211">
        <v>52</v>
      </c>
      <c r="C299" s="211"/>
      <c r="D299" s="250">
        <f>B299+$D$118</f>
        <v>66</v>
      </c>
      <c r="E299" s="217"/>
    </row>
    <row r="300" spans="1:5" ht="15.75">
      <c r="A300" s="215" t="s">
        <v>817</v>
      </c>
      <c r="B300" s="211">
        <v>52</v>
      </c>
      <c r="C300" s="211"/>
      <c r="D300" s="250">
        <f>B300+$D$118</f>
        <v>66</v>
      </c>
      <c r="E300" s="217"/>
    </row>
    <row r="301" spans="1:5" ht="16.5" thickBot="1">
      <c r="A301" s="188" t="s">
        <v>818</v>
      </c>
      <c r="B301" s="219">
        <v>52</v>
      </c>
      <c r="C301" s="219"/>
      <c r="D301" s="252">
        <f>B301+$D$118</f>
        <v>66</v>
      </c>
      <c r="E301" s="220"/>
    </row>
    <row r="302" spans="1:5" ht="25.5" customHeight="1">
      <c r="A302" s="1169"/>
      <c r="B302" s="1169"/>
      <c r="C302" s="1169"/>
    </row>
    <row r="303" spans="1:5">
      <c r="A303" s="1169"/>
      <c r="B303" s="1169"/>
      <c r="C303" s="1169"/>
    </row>
    <row r="304" spans="1:5">
      <c r="A304" s="1136" t="s">
        <v>819</v>
      </c>
      <c r="B304" s="1136"/>
      <c r="C304" s="1136"/>
    </row>
    <row r="305" spans="1:5" ht="15.75" thickBot="1">
      <c r="A305" s="1279"/>
      <c r="B305" s="1279"/>
      <c r="C305" s="1279"/>
    </row>
    <row r="306" spans="1:5" ht="30" customHeight="1" thickBot="1">
      <c r="A306" s="234" t="s">
        <v>820</v>
      </c>
      <c r="B306" s="235" t="s">
        <v>821</v>
      </c>
      <c r="C306" s="235" t="s">
        <v>821</v>
      </c>
      <c r="D306" s="235" t="s">
        <v>821</v>
      </c>
      <c r="E306" s="235" t="s">
        <v>821</v>
      </c>
    </row>
    <row r="307" spans="1:5" ht="15.75" thickBot="1">
      <c r="A307" s="188" t="s">
        <v>822</v>
      </c>
      <c r="B307" s="236">
        <v>82</v>
      </c>
      <c r="C307" s="237"/>
      <c r="D307" s="252">
        <f t="shared" ref="D307:D324" si="7">B307+$D$118</f>
        <v>96</v>
      </c>
      <c r="E307" s="237"/>
    </row>
    <row r="308" spans="1:5" ht="24.75" thickBot="1">
      <c r="A308" s="188" t="s">
        <v>823</v>
      </c>
      <c r="B308" s="236">
        <v>77</v>
      </c>
      <c r="C308" s="237"/>
      <c r="D308" s="252">
        <f t="shared" si="7"/>
        <v>91</v>
      </c>
      <c r="E308" s="237"/>
    </row>
    <row r="309" spans="1:5" ht="15.75" thickBot="1">
      <c r="A309" s="188" t="s">
        <v>824</v>
      </c>
      <c r="B309" s="236">
        <v>69</v>
      </c>
      <c r="C309" s="237"/>
      <c r="D309" s="252">
        <f t="shared" si="7"/>
        <v>83</v>
      </c>
      <c r="E309" s="237"/>
    </row>
    <row r="310" spans="1:5" ht="15.75" thickBot="1">
      <c r="A310" s="188" t="s">
        <v>825</v>
      </c>
      <c r="B310" s="236">
        <v>68</v>
      </c>
      <c r="C310" s="237"/>
      <c r="D310" s="252">
        <f t="shared" si="7"/>
        <v>82</v>
      </c>
      <c r="E310" s="237"/>
    </row>
    <row r="311" spans="1:5" ht="15.75" thickBot="1">
      <c r="A311" s="188" t="s">
        <v>826</v>
      </c>
      <c r="B311" s="236">
        <v>68</v>
      </c>
      <c r="C311" s="237"/>
      <c r="D311" s="252">
        <f t="shared" si="7"/>
        <v>82</v>
      </c>
      <c r="E311" s="237"/>
    </row>
    <row r="312" spans="1:5" ht="15.75" thickBot="1">
      <c r="A312" s="188" t="s">
        <v>827</v>
      </c>
      <c r="B312" s="236">
        <v>62</v>
      </c>
      <c r="C312" s="237"/>
      <c r="D312" s="252">
        <f t="shared" si="7"/>
        <v>76</v>
      </c>
      <c r="E312" s="237"/>
    </row>
    <row r="313" spans="1:5" ht="15.75" thickBot="1">
      <c r="A313" s="188" t="s">
        <v>828</v>
      </c>
      <c r="B313" s="236">
        <v>60</v>
      </c>
      <c r="C313" s="237"/>
      <c r="D313" s="252">
        <f t="shared" si="7"/>
        <v>74</v>
      </c>
      <c r="E313" s="237"/>
    </row>
    <row r="314" spans="1:5" ht="36.75" thickBot="1">
      <c r="A314" s="207" t="s">
        <v>829</v>
      </c>
      <c r="B314" s="236">
        <v>58</v>
      </c>
      <c r="C314" s="237"/>
      <c r="D314" s="252">
        <f t="shared" si="7"/>
        <v>72</v>
      </c>
      <c r="E314" s="237"/>
    </row>
    <row r="315" spans="1:5" ht="24.75" thickBot="1">
      <c r="A315" s="207" t="s">
        <v>830</v>
      </c>
      <c r="B315" s="236">
        <v>53</v>
      </c>
      <c r="C315" s="237"/>
      <c r="D315" s="252">
        <f t="shared" si="7"/>
        <v>67</v>
      </c>
      <c r="E315" s="237"/>
    </row>
    <row r="316" spans="1:5" ht="15.75" thickBot="1">
      <c r="A316" s="188" t="s">
        <v>831</v>
      </c>
      <c r="B316" s="236">
        <v>53</v>
      </c>
      <c r="C316" s="237"/>
      <c r="D316" s="252">
        <f t="shared" si="7"/>
        <v>67</v>
      </c>
      <c r="E316" s="237"/>
    </row>
    <row r="317" spans="1:5" ht="24.75" thickBot="1">
      <c r="A317" s="207" t="s">
        <v>832</v>
      </c>
      <c r="B317" s="236">
        <v>53</v>
      </c>
      <c r="C317" s="237"/>
      <c r="D317" s="252">
        <f t="shared" si="7"/>
        <v>67</v>
      </c>
      <c r="E317" s="237"/>
    </row>
    <row r="318" spans="1:5" ht="15.75" thickBot="1">
      <c r="A318" s="188" t="s">
        <v>833</v>
      </c>
      <c r="B318" s="236">
        <v>51</v>
      </c>
      <c r="C318" s="237"/>
      <c r="D318" s="252">
        <f t="shared" si="7"/>
        <v>65</v>
      </c>
      <c r="E318" s="237"/>
    </row>
    <row r="319" spans="1:5" ht="15.75" thickBot="1">
      <c r="A319" s="188" t="s">
        <v>834</v>
      </c>
      <c r="B319" s="236">
        <v>52</v>
      </c>
      <c r="C319" s="237"/>
      <c r="D319" s="252">
        <f t="shared" si="7"/>
        <v>66</v>
      </c>
      <c r="E319" s="237"/>
    </row>
    <row r="320" spans="1:5" ht="15.75" thickBot="1">
      <c r="A320" s="188" t="s">
        <v>835</v>
      </c>
      <c r="B320" s="236">
        <v>51</v>
      </c>
      <c r="C320" s="237"/>
      <c r="D320" s="252">
        <f t="shared" si="7"/>
        <v>65</v>
      </c>
      <c r="E320" s="237"/>
    </row>
    <row r="321" spans="1:5" ht="15.75" thickBot="1">
      <c r="A321" s="188" t="s">
        <v>836</v>
      </c>
      <c r="B321" s="236">
        <v>51</v>
      </c>
      <c r="C321" s="237"/>
      <c r="D321" s="252">
        <f t="shared" si="7"/>
        <v>65</v>
      </c>
      <c r="E321" s="237"/>
    </row>
    <row r="322" spans="1:5" ht="15.75" thickBot="1">
      <c r="A322" s="207" t="s">
        <v>837</v>
      </c>
      <c r="B322" s="236">
        <v>51</v>
      </c>
      <c r="C322" s="237"/>
      <c r="D322" s="252">
        <f t="shared" si="7"/>
        <v>65</v>
      </c>
      <c r="E322" s="237"/>
    </row>
    <row r="323" spans="1:5" ht="15.75" thickBot="1">
      <c r="A323" s="188" t="s">
        <v>838</v>
      </c>
      <c r="B323" s="236">
        <v>49</v>
      </c>
      <c r="C323" s="237"/>
      <c r="D323" s="252">
        <f t="shared" si="7"/>
        <v>63</v>
      </c>
      <c r="E323" s="237"/>
    </row>
    <row r="324" spans="1:5" ht="15.75" thickBot="1">
      <c r="A324" s="188" t="s">
        <v>839</v>
      </c>
      <c r="B324" s="236">
        <v>50</v>
      </c>
      <c r="C324" s="237"/>
      <c r="D324" s="252">
        <f t="shared" si="7"/>
        <v>64</v>
      </c>
      <c r="E324" s="237"/>
    </row>
    <row r="325" spans="1:5" ht="20.25" customHeight="1">
      <c r="A325" s="239"/>
      <c r="B325" s="239"/>
      <c r="C325" s="239"/>
    </row>
    <row r="337" spans="1:4" ht="60" customHeight="1"/>
    <row r="340" spans="1:4" ht="24" customHeight="1"/>
    <row r="341" spans="1:4" ht="24" customHeight="1"/>
    <row r="342" spans="1:4" ht="36" customHeight="1"/>
    <row r="343" spans="1:4" ht="36" customHeight="1"/>
    <row r="344" spans="1:4" ht="24" customHeight="1"/>
    <row r="345" spans="1:4" ht="36" customHeight="1"/>
    <row r="347" spans="1:4" ht="24" customHeight="1"/>
    <row r="349" spans="1:4" s="186" customFormat="1" ht="24" customHeight="1">
      <c r="A349" s="185"/>
      <c r="B349" s="247"/>
      <c r="C349" s="247"/>
      <c r="D349" s="247"/>
    </row>
    <row r="351" spans="1:4" s="186" customFormat="1" ht="36" customHeight="1">
      <c r="A351" s="185"/>
      <c r="B351" s="247"/>
      <c r="C351" s="247"/>
      <c r="D351" s="247"/>
    </row>
    <row r="352" spans="1:4" s="186" customFormat="1" ht="47.25" customHeight="1">
      <c r="A352" s="185"/>
      <c r="B352" s="247"/>
      <c r="C352" s="247"/>
      <c r="D352" s="247"/>
    </row>
    <row r="354" spans="1:4" s="186" customFormat="1" ht="24" customHeight="1">
      <c r="A354" s="185"/>
      <c r="B354" s="247"/>
      <c r="C354" s="247"/>
      <c r="D354" s="247"/>
    </row>
    <row r="355" spans="1:4" s="186" customFormat="1" ht="24" customHeight="1">
      <c r="A355" s="185"/>
      <c r="B355" s="247"/>
      <c r="C355" s="247"/>
      <c r="D355" s="247"/>
    </row>
    <row r="356" spans="1:4" s="186" customFormat="1" ht="60" customHeight="1">
      <c r="A356" s="185"/>
      <c r="B356" s="247"/>
      <c r="C356" s="247"/>
      <c r="D356" s="247"/>
    </row>
    <row r="361" spans="1:4" s="186" customFormat="1">
      <c r="A361" s="185"/>
      <c r="B361" s="247"/>
      <c r="C361" s="247"/>
      <c r="D361" s="247"/>
    </row>
    <row r="365" spans="1:4">
      <c r="A365" s="1276"/>
      <c r="B365" s="1276"/>
      <c r="C365" s="1276"/>
    </row>
  </sheetData>
  <mergeCells count="158">
    <mergeCell ref="A365:C365"/>
    <mergeCell ref="A289:A290"/>
    <mergeCell ref="A302:C302"/>
    <mergeCell ref="A303:C303"/>
    <mergeCell ref="A304:C304"/>
    <mergeCell ref="A305:C305"/>
    <mergeCell ref="A239:A240"/>
    <mergeCell ref="B239:B240"/>
    <mergeCell ref="C239:C240"/>
    <mergeCell ref="D239:D240"/>
    <mergeCell ref="E239:E240"/>
    <mergeCell ref="A270:A273"/>
    <mergeCell ref="B270:B271"/>
    <mergeCell ref="C270:C271"/>
    <mergeCell ref="D270:D271"/>
    <mergeCell ref="E270:E271"/>
    <mergeCell ref="B272:B273"/>
    <mergeCell ref="C272:C273"/>
    <mergeCell ref="D272:D273"/>
    <mergeCell ref="E272:E273"/>
    <mergeCell ref="A193:A195"/>
    <mergeCell ref="A199:A200"/>
    <mergeCell ref="A218:A221"/>
    <mergeCell ref="B218:B219"/>
    <mergeCell ref="C218:C219"/>
    <mergeCell ref="D218:D219"/>
    <mergeCell ref="E218:E219"/>
    <mergeCell ref="B220:B221"/>
    <mergeCell ref="C220:C221"/>
    <mergeCell ref="D220:D221"/>
    <mergeCell ref="E220:E221"/>
    <mergeCell ref="A118:A119"/>
    <mergeCell ref="C118:C119"/>
    <mergeCell ref="D118:D119"/>
    <mergeCell ref="E118:E119"/>
    <mergeCell ref="A169:A172"/>
    <mergeCell ref="B169:B170"/>
    <mergeCell ref="C169:C170"/>
    <mergeCell ref="D169:D170"/>
    <mergeCell ref="E169:E170"/>
    <mergeCell ref="B171:B172"/>
    <mergeCell ref="C171:C172"/>
    <mergeCell ref="D171:D172"/>
    <mergeCell ref="E171:E172"/>
    <mergeCell ref="A107:E107"/>
    <mergeCell ref="A108:E108"/>
    <mergeCell ref="A109:C109"/>
    <mergeCell ref="A110:C110"/>
    <mergeCell ref="A111:C111"/>
    <mergeCell ref="A112:C112"/>
    <mergeCell ref="A114:A117"/>
    <mergeCell ref="B114:B115"/>
    <mergeCell ref="C114:C115"/>
    <mergeCell ref="D114:D115"/>
    <mergeCell ref="E114:E115"/>
    <mergeCell ref="B116:B117"/>
    <mergeCell ref="C116:C117"/>
    <mergeCell ref="D116:D117"/>
    <mergeCell ref="E116:E117"/>
    <mergeCell ref="A98:C98"/>
    <mergeCell ref="A99:E99"/>
    <mergeCell ref="A100:C100"/>
    <mergeCell ref="A101:E101"/>
    <mergeCell ref="A102:C102"/>
    <mergeCell ref="A103:E103"/>
    <mergeCell ref="A104:E104"/>
    <mergeCell ref="A105:C105"/>
    <mergeCell ref="A106:E106"/>
    <mergeCell ref="A89:E89"/>
    <mergeCell ref="A90:C90"/>
    <mergeCell ref="A91:C91"/>
    <mergeCell ref="A92:E92"/>
    <mergeCell ref="A93:E93"/>
    <mergeCell ref="A94:E94"/>
    <mergeCell ref="A95:E95"/>
    <mergeCell ref="A96:E96"/>
    <mergeCell ref="A97:E97"/>
    <mergeCell ref="A80:C80"/>
    <mergeCell ref="A81:C81"/>
    <mergeCell ref="A82:C82"/>
    <mergeCell ref="A83:C83"/>
    <mergeCell ref="A84:C84"/>
    <mergeCell ref="A85:C85"/>
    <mergeCell ref="A86:C86"/>
    <mergeCell ref="A87:C87"/>
    <mergeCell ref="A88:E88"/>
    <mergeCell ref="A69:C69"/>
    <mergeCell ref="A70:E70"/>
    <mergeCell ref="A71:C71"/>
    <mergeCell ref="A72:C72"/>
    <mergeCell ref="B75:E75"/>
    <mergeCell ref="A76:C76"/>
    <mergeCell ref="A77:C77"/>
    <mergeCell ref="A78:E78"/>
    <mergeCell ref="A79:C79"/>
    <mergeCell ref="A59:E59"/>
    <mergeCell ref="A60:E60"/>
    <mergeCell ref="A61:C61"/>
    <mergeCell ref="A62:E62"/>
    <mergeCell ref="A63:C63"/>
    <mergeCell ref="A64:E64"/>
    <mergeCell ref="A65:E65"/>
    <mergeCell ref="A66:E66"/>
    <mergeCell ref="A68:E68"/>
    <mergeCell ref="A50:C50"/>
    <mergeCell ref="A51:C51"/>
    <mergeCell ref="A52:E52"/>
    <mergeCell ref="A53:C53"/>
    <mergeCell ref="A54:E54"/>
    <mergeCell ref="A55:E55"/>
    <mergeCell ref="A56:E56"/>
    <mergeCell ref="A57:E57"/>
    <mergeCell ref="A58:E58"/>
    <mergeCell ref="C41:E41"/>
    <mergeCell ref="A42:C42"/>
    <mergeCell ref="A43:C43"/>
    <mergeCell ref="A44:E44"/>
    <mergeCell ref="A45:C45"/>
    <mergeCell ref="A46:C46"/>
    <mergeCell ref="A47:C47"/>
    <mergeCell ref="A48:C48"/>
    <mergeCell ref="A49:C49"/>
    <mergeCell ref="A31:C31"/>
    <mergeCell ref="A32:C32"/>
    <mergeCell ref="B33:E33"/>
    <mergeCell ref="A34:C34"/>
    <mergeCell ref="A35:C35"/>
    <mergeCell ref="A36:C36"/>
    <mergeCell ref="A37:C37"/>
    <mergeCell ref="A38:C38"/>
    <mergeCell ref="A39:C39"/>
    <mergeCell ref="A19:E19"/>
    <mergeCell ref="A20:E20"/>
    <mergeCell ref="A21:E21"/>
    <mergeCell ref="A22:C22"/>
    <mergeCell ref="A23:E23"/>
    <mergeCell ref="A24:E24"/>
    <mergeCell ref="A25:E25"/>
    <mergeCell ref="A26:E26"/>
    <mergeCell ref="A30:C30"/>
    <mergeCell ref="A10:C10"/>
    <mergeCell ref="A11:E11"/>
    <mergeCell ref="A12:C12"/>
    <mergeCell ref="A13:E13"/>
    <mergeCell ref="A14:E14"/>
    <mergeCell ref="A15:E15"/>
    <mergeCell ref="A16:E16"/>
    <mergeCell ref="A17:E17"/>
    <mergeCell ref="A18:E18"/>
    <mergeCell ref="B1:E1"/>
    <mergeCell ref="A2:C2"/>
    <mergeCell ref="A3:C3"/>
    <mergeCell ref="A4:C4"/>
    <mergeCell ref="A5:C5"/>
    <mergeCell ref="A6:C6"/>
    <mergeCell ref="A7:E7"/>
    <mergeCell ref="A8:C8"/>
    <mergeCell ref="A9:E9"/>
  </mergeCells>
  <printOptions horizontalCentered="1"/>
  <pageMargins left="0.39370078740157483" right="0.39370078740157483" top="0.19685039370078741" bottom="0.19685039370078741" header="0.31496062992125984" footer="0.31496062992125984"/>
  <pageSetup paperSize="9" scale="87" orientation="portrait" r:id="rId1"/>
  <headerFooter>
    <oddFooter>Sayfa &amp;P / &amp;N</oddFooter>
  </headerFooter>
  <rowBreaks count="5" manualBreakCount="5">
    <brk id="74" max="4" man="1"/>
    <brk id="113" max="16383" man="1"/>
    <brk id="217" max="16383" man="1"/>
    <brk id="269" max="16383" man="1"/>
    <brk id="324" max="16383" man="1"/>
  </rowBreak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961"/>
  <sheetViews>
    <sheetView topLeftCell="A352" zoomScaleNormal="100" workbookViewId="0">
      <selection activeCell="A241" sqref="A241:W241"/>
    </sheetView>
  </sheetViews>
  <sheetFormatPr defaultRowHeight="12.75"/>
  <cols>
    <col min="1" max="1" width="3.28515625" customWidth="1"/>
    <col min="2" max="2" width="3.140625" customWidth="1"/>
    <col min="3" max="17" width="3.85546875" customWidth="1"/>
    <col min="18" max="22" width="3.85546875" style="181" customWidth="1"/>
    <col min="23" max="23" width="4" style="181" customWidth="1"/>
    <col min="24" max="24" width="1.85546875" customWidth="1"/>
  </cols>
  <sheetData>
    <row r="1" spans="1:24">
      <c r="A1" s="853">
        <v>451</v>
      </c>
      <c r="B1" s="853"/>
      <c r="C1" s="853"/>
      <c r="D1" s="853"/>
      <c r="E1" s="853"/>
      <c r="F1" s="853"/>
      <c r="G1" s="853"/>
      <c r="H1" s="853"/>
      <c r="I1" s="853"/>
      <c r="J1" s="853"/>
      <c r="K1" s="853"/>
      <c r="L1" s="853"/>
      <c r="M1" s="853"/>
      <c r="N1" s="853"/>
      <c r="O1" s="853"/>
      <c r="P1" s="853"/>
      <c r="Q1" s="853"/>
      <c r="R1" s="853"/>
      <c r="S1" s="853"/>
      <c r="T1" s="853"/>
      <c r="U1" s="853"/>
      <c r="V1" s="853"/>
      <c r="W1" s="853"/>
      <c r="X1" s="452"/>
    </row>
    <row r="2" spans="1:24" ht="93.75" customHeight="1">
      <c r="A2" s="1394" t="s">
        <v>2271</v>
      </c>
      <c r="B2" s="1394"/>
      <c r="C2" s="1394"/>
      <c r="D2" s="1394"/>
      <c r="E2" s="1394"/>
      <c r="F2" s="1394"/>
      <c r="G2" s="1394"/>
      <c r="H2" s="1394"/>
      <c r="I2" s="1394"/>
      <c r="J2" s="1394"/>
      <c r="K2" s="1394"/>
      <c r="L2" s="1394"/>
      <c r="M2" s="1394"/>
      <c r="N2" s="1394"/>
      <c r="O2" s="1394"/>
      <c r="P2" s="1394"/>
      <c r="Q2" s="1394"/>
      <c r="R2" s="1394"/>
      <c r="S2" s="1394"/>
      <c r="T2" s="1394"/>
      <c r="U2" s="1394"/>
      <c r="V2" s="1394"/>
      <c r="W2" s="1394"/>
    </row>
    <row r="3" spans="1:24">
      <c r="A3" s="853" t="s">
        <v>2272</v>
      </c>
      <c r="B3" s="853"/>
      <c r="C3" s="853"/>
      <c r="D3" s="853"/>
      <c r="E3" s="853"/>
      <c r="F3" s="853"/>
      <c r="G3" s="853"/>
      <c r="H3" s="853"/>
      <c r="I3" s="853"/>
      <c r="J3" s="853"/>
      <c r="K3" s="853"/>
      <c r="L3" s="853"/>
      <c r="M3" s="853"/>
      <c r="N3" s="853"/>
      <c r="O3" s="853"/>
      <c r="P3" s="853"/>
      <c r="Q3" s="853"/>
      <c r="R3" s="853"/>
      <c r="S3" s="853"/>
      <c r="T3" s="853"/>
      <c r="U3" s="853"/>
      <c r="V3" s="853"/>
      <c r="W3" s="853"/>
      <c r="X3" s="452"/>
    </row>
    <row r="4" spans="1:24">
      <c r="A4" s="853" t="s">
        <v>2273</v>
      </c>
      <c r="B4" s="853"/>
      <c r="C4" s="853"/>
      <c r="D4" s="853"/>
      <c r="E4" s="853"/>
      <c r="F4" s="853"/>
      <c r="G4" s="853"/>
      <c r="H4" s="853"/>
      <c r="I4" s="853"/>
      <c r="J4" s="853"/>
      <c r="K4" s="853"/>
      <c r="L4" s="853"/>
      <c r="M4" s="853"/>
      <c r="N4" s="853"/>
      <c r="O4" s="853"/>
      <c r="P4" s="853"/>
      <c r="Q4" s="853"/>
      <c r="R4" s="853"/>
      <c r="S4" s="853"/>
      <c r="T4" s="853"/>
      <c r="U4" s="853"/>
      <c r="V4" s="853"/>
      <c r="W4" s="853"/>
      <c r="X4" s="452"/>
    </row>
    <row r="5" spans="1:24">
      <c r="A5" s="853" t="s">
        <v>2274</v>
      </c>
      <c r="B5" s="853"/>
      <c r="C5" s="853"/>
      <c r="D5" s="853"/>
      <c r="E5" s="853"/>
      <c r="F5" s="853"/>
      <c r="G5" s="853"/>
      <c r="H5" s="853"/>
      <c r="I5" s="853"/>
      <c r="J5" s="853"/>
      <c r="K5" s="853"/>
      <c r="L5" s="853"/>
      <c r="M5" s="853"/>
      <c r="N5" s="853"/>
      <c r="O5" s="853"/>
      <c r="P5" s="853"/>
      <c r="Q5" s="853"/>
      <c r="R5" s="853"/>
      <c r="S5" s="853"/>
      <c r="T5" s="853"/>
      <c r="U5" s="853"/>
      <c r="V5" s="853"/>
      <c r="W5" s="853"/>
      <c r="X5" s="452"/>
    </row>
    <row r="6" spans="1:24">
      <c r="A6" s="853" t="s">
        <v>2275</v>
      </c>
      <c r="B6" s="853"/>
      <c r="C6" s="853"/>
      <c r="D6" s="853"/>
      <c r="E6" s="853"/>
      <c r="F6" s="853"/>
      <c r="G6" s="853"/>
      <c r="H6" s="853"/>
      <c r="I6" s="853"/>
      <c r="J6" s="853"/>
      <c r="K6" s="853"/>
      <c r="L6" s="853"/>
      <c r="M6" s="853"/>
      <c r="N6" s="853"/>
      <c r="O6" s="853"/>
      <c r="P6" s="853"/>
      <c r="Q6" s="853"/>
      <c r="R6" s="853"/>
      <c r="S6" s="853"/>
      <c r="T6" s="853"/>
      <c r="U6" s="853"/>
      <c r="V6" s="853"/>
      <c r="W6" s="853"/>
      <c r="X6" s="452"/>
    </row>
    <row r="7" spans="1:24">
      <c r="A7" s="853" t="s">
        <v>2276</v>
      </c>
      <c r="B7" s="853"/>
      <c r="C7" s="853"/>
      <c r="D7" s="853"/>
      <c r="E7" s="853"/>
      <c r="F7" s="853"/>
      <c r="G7" s="853"/>
      <c r="H7" s="853"/>
      <c r="I7" s="853"/>
      <c r="J7" s="853"/>
      <c r="K7" s="853"/>
      <c r="L7" s="853"/>
      <c r="M7" s="853"/>
      <c r="N7" s="853"/>
      <c r="O7" s="853"/>
      <c r="P7" s="853"/>
      <c r="Q7" s="853"/>
      <c r="R7" s="853"/>
      <c r="S7" s="853"/>
      <c r="T7" s="853"/>
      <c r="U7" s="853"/>
      <c r="V7" s="853"/>
      <c r="W7" s="853"/>
      <c r="X7" s="452"/>
    </row>
    <row r="8" spans="1:24">
      <c r="A8" s="853" t="s">
        <v>2277</v>
      </c>
      <c r="B8" s="853"/>
      <c r="C8" s="853"/>
      <c r="D8" s="853"/>
      <c r="E8" s="853"/>
      <c r="F8" s="853"/>
      <c r="G8" s="853"/>
      <c r="H8" s="853"/>
      <c r="I8" s="853"/>
      <c r="J8" s="853"/>
      <c r="K8" s="853"/>
      <c r="L8" s="853"/>
      <c r="M8" s="853"/>
      <c r="N8" s="853"/>
      <c r="O8" s="853"/>
      <c r="P8" s="853"/>
      <c r="Q8" s="853"/>
      <c r="R8" s="853"/>
      <c r="S8" s="853"/>
      <c r="T8" s="853"/>
      <c r="U8" s="853"/>
      <c r="V8" s="853"/>
      <c r="W8" s="853"/>
      <c r="X8" s="452"/>
    </row>
    <row r="9" spans="1:24">
      <c r="A9" s="853" t="s">
        <v>2278</v>
      </c>
      <c r="B9" s="853"/>
      <c r="C9" s="853"/>
      <c r="D9" s="853"/>
      <c r="E9" s="853"/>
      <c r="F9" s="853"/>
      <c r="G9" s="853"/>
      <c r="H9" s="853"/>
      <c r="I9" s="853"/>
      <c r="J9" s="853"/>
      <c r="K9" s="853"/>
      <c r="L9" s="853"/>
      <c r="M9" s="853"/>
      <c r="N9" s="853"/>
      <c r="O9" s="853"/>
      <c r="P9" s="853"/>
      <c r="Q9" s="853"/>
      <c r="R9" s="853"/>
      <c r="S9" s="853"/>
      <c r="T9" s="853"/>
      <c r="U9" s="853"/>
      <c r="V9" s="853"/>
      <c r="W9" s="853"/>
      <c r="X9" s="452"/>
    </row>
    <row r="10" spans="1:24" s="99" customFormat="1" ht="34.5" customHeight="1">
      <c r="A10" s="1216" t="s">
        <v>2279</v>
      </c>
      <c r="B10" s="1216"/>
      <c r="C10" s="1216"/>
      <c r="D10" s="1216"/>
      <c r="E10" s="1216"/>
      <c r="F10" s="1216"/>
      <c r="G10" s="1216"/>
      <c r="H10" s="1216"/>
      <c r="I10" s="1216"/>
      <c r="J10" s="1216"/>
      <c r="K10" s="1216"/>
      <c r="L10" s="1216"/>
      <c r="M10" s="1216"/>
      <c r="N10" s="1216"/>
      <c r="O10" s="1216"/>
      <c r="P10" s="1216"/>
      <c r="Q10" s="1216"/>
      <c r="R10" s="1216"/>
      <c r="S10" s="1216"/>
      <c r="T10" s="1216"/>
      <c r="U10" s="1216"/>
      <c r="V10" s="1216"/>
      <c r="W10" s="1216"/>
    </row>
    <row r="11" spans="1:24" s="99" customFormat="1" ht="58.5" customHeight="1">
      <c r="A11" s="1216" t="s">
        <v>2747</v>
      </c>
      <c r="B11" s="1216"/>
      <c r="C11" s="1216"/>
      <c r="D11" s="1216"/>
      <c r="E11" s="1216"/>
      <c r="F11" s="1216"/>
      <c r="G11" s="1216"/>
      <c r="H11" s="1216"/>
      <c r="I11" s="1216"/>
      <c r="J11" s="1216"/>
      <c r="K11" s="1216"/>
      <c r="L11" s="1216"/>
      <c r="M11" s="1216"/>
      <c r="N11" s="1216"/>
      <c r="O11" s="1216"/>
      <c r="P11" s="1216"/>
      <c r="Q11" s="1216"/>
      <c r="R11" s="1216"/>
      <c r="S11" s="1216"/>
      <c r="T11" s="1216"/>
      <c r="U11" s="1216"/>
      <c r="V11" s="1216"/>
      <c r="W11" s="1216"/>
    </row>
    <row r="12" spans="1:24" s="99" customFormat="1" ht="43.5" customHeight="1">
      <c r="A12" s="1216" t="s">
        <v>2748</v>
      </c>
      <c r="B12" s="1216"/>
      <c r="C12" s="1216"/>
      <c r="D12" s="1216"/>
      <c r="E12" s="1216"/>
      <c r="F12" s="1216"/>
      <c r="G12" s="1216"/>
      <c r="H12" s="1216"/>
      <c r="I12" s="1216"/>
      <c r="J12" s="1216"/>
      <c r="K12" s="1216"/>
      <c r="L12" s="1216"/>
      <c r="M12" s="1216"/>
      <c r="N12" s="1216"/>
      <c r="O12" s="1216"/>
      <c r="P12" s="1216"/>
      <c r="Q12" s="1216"/>
      <c r="R12" s="1216"/>
      <c r="S12" s="1216"/>
      <c r="T12" s="1216"/>
      <c r="U12" s="1216"/>
      <c r="V12" s="1216"/>
      <c r="W12" s="1216"/>
    </row>
    <row r="13" spans="1:24" s="99" customFormat="1" ht="76.5" customHeight="1">
      <c r="A13" s="1216" t="s">
        <v>2280</v>
      </c>
      <c r="B13" s="1216"/>
      <c r="C13" s="1216"/>
      <c r="D13" s="1216"/>
      <c r="E13" s="1216"/>
      <c r="F13" s="1216"/>
      <c r="G13" s="1216"/>
      <c r="H13" s="1216"/>
      <c r="I13" s="1216"/>
      <c r="J13" s="1216"/>
      <c r="K13" s="1216"/>
      <c r="L13" s="1216"/>
      <c r="M13" s="1216"/>
      <c r="N13" s="1216"/>
      <c r="O13" s="1216"/>
      <c r="P13" s="1216"/>
      <c r="Q13" s="1216"/>
      <c r="R13" s="1216"/>
      <c r="S13" s="1216"/>
      <c r="T13" s="1216"/>
      <c r="U13" s="1216"/>
      <c r="V13" s="1216"/>
      <c r="W13" s="1216"/>
    </row>
    <row r="14" spans="1:24" s="99" customFormat="1" ht="33" customHeight="1">
      <c r="A14" s="1216" t="s">
        <v>2281</v>
      </c>
      <c r="B14" s="1216"/>
      <c r="C14" s="1216"/>
      <c r="D14" s="1216"/>
      <c r="E14" s="1216"/>
      <c r="F14" s="1216"/>
      <c r="G14" s="1216"/>
      <c r="H14" s="1216"/>
      <c r="I14" s="1216"/>
      <c r="J14" s="1216"/>
      <c r="K14" s="1216"/>
      <c r="L14" s="1216"/>
      <c r="M14" s="1216"/>
      <c r="N14" s="1216"/>
      <c r="O14" s="1216"/>
      <c r="P14" s="1216"/>
      <c r="Q14" s="1216"/>
      <c r="R14" s="1216"/>
      <c r="S14" s="1216"/>
      <c r="T14" s="1216"/>
      <c r="U14" s="1216"/>
      <c r="V14" s="1216"/>
      <c r="W14" s="1216"/>
    </row>
    <row r="15" spans="1:24">
      <c r="A15" s="1371" t="s">
        <v>2282</v>
      </c>
      <c r="B15" s="1371"/>
      <c r="C15" s="1371"/>
      <c r="D15" s="1371"/>
      <c r="E15" s="1371"/>
      <c r="F15" s="1371"/>
      <c r="G15" s="1371"/>
      <c r="H15" s="1371"/>
      <c r="I15" s="1371"/>
      <c r="J15" s="1371"/>
      <c r="K15" s="1371"/>
      <c r="L15" s="1371"/>
      <c r="M15" s="1371"/>
      <c r="N15" s="1371"/>
      <c r="O15" s="1371"/>
      <c r="P15" s="1371"/>
      <c r="Q15" s="1371"/>
      <c r="R15" s="1371"/>
      <c r="S15" s="1371"/>
      <c r="T15" s="1371"/>
      <c r="U15" s="1371"/>
      <c r="V15" s="1371"/>
      <c r="W15" s="1371"/>
    </row>
    <row r="16" spans="1:24" s="294" customFormat="1" ht="46.5" customHeight="1">
      <c r="A16" s="1377" t="s">
        <v>2283</v>
      </c>
      <c r="B16" s="1377"/>
      <c r="C16" s="1377"/>
      <c r="D16" s="1377"/>
      <c r="E16" s="1377"/>
      <c r="F16" s="1377"/>
      <c r="G16" s="1377"/>
      <c r="H16" s="1377"/>
      <c r="I16" s="1377"/>
      <c r="J16" s="1377"/>
      <c r="K16" s="1377"/>
      <c r="L16" s="1377"/>
      <c r="M16" s="1377"/>
      <c r="N16" s="1377"/>
      <c r="O16" s="1377"/>
      <c r="P16" s="1377"/>
      <c r="Q16" s="1377"/>
      <c r="R16" s="1377"/>
      <c r="S16" s="1377"/>
      <c r="T16" s="1377"/>
      <c r="U16" s="1377"/>
      <c r="V16" s="1377"/>
      <c r="W16" s="1377"/>
      <c r="X16" s="185"/>
    </row>
    <row r="17" spans="1:24" s="294" customFormat="1" ht="45.75" customHeight="1">
      <c r="A17" s="1377" t="s">
        <v>2749</v>
      </c>
      <c r="B17" s="1377"/>
      <c r="C17" s="1377"/>
      <c r="D17" s="1377"/>
      <c r="E17" s="1377"/>
      <c r="F17" s="1377"/>
      <c r="G17" s="1377"/>
      <c r="H17" s="1377"/>
      <c r="I17" s="1377"/>
      <c r="J17" s="1377"/>
      <c r="K17" s="1377"/>
      <c r="L17" s="1377"/>
      <c r="M17" s="1377"/>
      <c r="N17" s="1377"/>
      <c r="O17" s="1377"/>
      <c r="P17" s="1377"/>
      <c r="Q17" s="1377"/>
      <c r="R17" s="1377"/>
      <c r="S17" s="1377"/>
      <c r="T17" s="1377"/>
      <c r="U17" s="1377"/>
      <c r="V17" s="1377"/>
      <c r="W17" s="1377"/>
      <c r="X17" s="185"/>
    </row>
    <row r="18" spans="1:24" s="294" customFormat="1" ht="40.5" customHeight="1">
      <c r="A18" s="1377" t="s">
        <v>2284</v>
      </c>
      <c r="B18" s="1377"/>
      <c r="C18" s="1377"/>
      <c r="D18" s="1377"/>
      <c r="E18" s="1377"/>
      <c r="F18" s="1377"/>
      <c r="G18" s="1377"/>
      <c r="H18" s="1377"/>
      <c r="I18" s="1377"/>
      <c r="J18" s="1377"/>
      <c r="K18" s="1377"/>
      <c r="L18" s="1377"/>
      <c r="M18" s="1377"/>
      <c r="N18" s="1377"/>
      <c r="O18" s="1377"/>
      <c r="P18" s="1377"/>
      <c r="Q18" s="1377"/>
      <c r="R18" s="1377"/>
      <c r="S18" s="1377"/>
      <c r="T18" s="1377"/>
      <c r="U18" s="1377"/>
      <c r="V18" s="1377"/>
      <c r="W18" s="1377"/>
      <c r="X18" s="185"/>
    </row>
    <row r="19" spans="1:24" s="294" customFormat="1" ht="12.75" customHeight="1">
      <c r="A19" s="1377" t="s">
        <v>2750</v>
      </c>
      <c r="B19" s="1377"/>
      <c r="C19" s="1377"/>
      <c r="D19" s="1377"/>
      <c r="E19" s="1377"/>
      <c r="F19" s="1377"/>
      <c r="G19" s="1377"/>
      <c r="H19" s="1377"/>
      <c r="I19" s="1377"/>
      <c r="J19" s="1377"/>
      <c r="K19" s="1377"/>
      <c r="L19" s="1377"/>
      <c r="M19" s="1377"/>
      <c r="N19" s="1377"/>
      <c r="O19" s="1377"/>
      <c r="P19" s="1377"/>
      <c r="Q19" s="1377"/>
      <c r="R19" s="1377"/>
      <c r="S19" s="1377"/>
      <c r="T19" s="1377"/>
      <c r="U19" s="1377"/>
      <c r="V19" s="1377"/>
      <c r="W19" s="1377"/>
      <c r="X19" s="185"/>
    </row>
    <row r="20" spans="1:24" s="294" customFormat="1" ht="12.75" customHeight="1">
      <c r="A20" s="1395" t="s">
        <v>3339</v>
      </c>
      <c r="B20" s="1377"/>
      <c r="C20" s="1377"/>
      <c r="D20" s="1377"/>
      <c r="E20" s="1377"/>
      <c r="F20" s="1377"/>
      <c r="G20" s="1377"/>
      <c r="H20" s="1377"/>
      <c r="I20" s="1377"/>
      <c r="J20" s="1377"/>
      <c r="K20" s="1377"/>
      <c r="L20" s="1377"/>
      <c r="M20" s="1377"/>
      <c r="N20" s="1377"/>
      <c r="O20" s="1377"/>
      <c r="P20" s="1377"/>
      <c r="Q20" s="1377"/>
      <c r="R20" s="1377"/>
      <c r="S20" s="1377"/>
      <c r="T20" s="1377"/>
      <c r="U20" s="1377"/>
      <c r="V20" s="1377"/>
      <c r="W20" s="1377"/>
      <c r="X20" s="185"/>
    </row>
    <row r="21" spans="1:24" s="294" customFormat="1" ht="12.75" customHeight="1">
      <c r="A21" s="1395" t="s">
        <v>3340</v>
      </c>
      <c r="B21" s="1377"/>
      <c r="C21" s="1377"/>
      <c r="D21" s="1377"/>
      <c r="E21" s="1377"/>
      <c r="F21" s="1377"/>
      <c r="G21" s="1377"/>
      <c r="H21" s="1377"/>
      <c r="I21" s="1377"/>
      <c r="J21" s="1377"/>
      <c r="K21" s="1377"/>
      <c r="L21" s="1377"/>
      <c r="M21" s="1377"/>
      <c r="N21" s="1377"/>
      <c r="O21" s="1377"/>
      <c r="P21" s="1377"/>
      <c r="Q21" s="1377"/>
      <c r="R21" s="1377"/>
      <c r="S21" s="1377"/>
      <c r="T21" s="1377"/>
      <c r="U21" s="1377"/>
      <c r="V21" s="1377"/>
      <c r="W21" s="1377"/>
      <c r="X21" s="185"/>
    </row>
    <row r="22" spans="1:24" s="294" customFormat="1" ht="83.25" customHeight="1">
      <c r="A22" s="1395" t="s">
        <v>3341</v>
      </c>
      <c r="B22" s="1377"/>
      <c r="C22" s="1377"/>
      <c r="D22" s="1377"/>
      <c r="E22" s="1377"/>
      <c r="F22" s="1377"/>
      <c r="G22" s="1377"/>
      <c r="H22" s="1377"/>
      <c r="I22" s="1377"/>
      <c r="J22" s="1377"/>
      <c r="K22" s="1377"/>
      <c r="L22" s="1377"/>
      <c r="M22" s="1377"/>
      <c r="N22" s="1377"/>
      <c r="O22" s="1377"/>
      <c r="P22" s="1377"/>
      <c r="Q22" s="1377"/>
      <c r="R22" s="1377"/>
      <c r="S22" s="1377"/>
      <c r="T22" s="1377"/>
      <c r="U22" s="1377"/>
      <c r="V22" s="1377"/>
      <c r="W22" s="1377"/>
      <c r="X22" s="185"/>
    </row>
    <row r="23" spans="1:24">
      <c r="A23" s="1371" t="s">
        <v>2285</v>
      </c>
      <c r="B23" s="1371"/>
      <c r="C23" s="1371"/>
      <c r="D23" s="1371"/>
      <c r="E23" s="1371"/>
      <c r="F23" s="1371"/>
      <c r="G23" s="1371"/>
      <c r="H23" s="1371"/>
      <c r="I23" s="1371"/>
      <c r="J23" s="1371"/>
      <c r="K23" s="1371"/>
      <c r="L23" s="1371"/>
      <c r="M23" s="1371"/>
      <c r="N23" s="1371"/>
      <c r="O23" s="1371"/>
      <c r="P23" s="1371"/>
      <c r="Q23" s="1371"/>
      <c r="R23" s="1371"/>
      <c r="S23" s="1371"/>
      <c r="T23" s="1371"/>
      <c r="U23" s="1371"/>
      <c r="V23" s="1371"/>
      <c r="W23" s="1371"/>
    </row>
    <row r="24" spans="1:24" ht="31.5" customHeight="1">
      <c r="A24" s="1377" t="s">
        <v>2286</v>
      </c>
      <c r="B24" s="1377"/>
      <c r="C24" s="1377"/>
      <c r="D24" s="1377"/>
      <c r="E24" s="1377"/>
      <c r="F24" s="1377"/>
      <c r="G24" s="1377"/>
      <c r="H24" s="1377"/>
      <c r="I24" s="1377"/>
      <c r="J24" s="1377"/>
      <c r="K24" s="1377"/>
      <c r="L24" s="1377"/>
      <c r="M24" s="1377"/>
      <c r="N24" s="1377"/>
      <c r="O24" s="1377"/>
      <c r="P24" s="1377"/>
      <c r="Q24" s="1377"/>
      <c r="R24" s="1377"/>
      <c r="S24" s="1377"/>
      <c r="T24" s="1377"/>
      <c r="U24" s="1377"/>
      <c r="V24" s="1377"/>
      <c r="W24" s="1377"/>
      <c r="X24" s="185"/>
    </row>
    <row r="25" spans="1:24" ht="29.25" customHeight="1">
      <c r="A25" s="1377" t="s">
        <v>2751</v>
      </c>
      <c r="B25" s="1377"/>
      <c r="C25" s="1377"/>
      <c r="D25" s="1377"/>
      <c r="E25" s="1377"/>
      <c r="F25" s="1377"/>
      <c r="G25" s="1377"/>
      <c r="H25" s="1377"/>
      <c r="I25" s="1377"/>
      <c r="J25" s="1377"/>
      <c r="K25" s="1377"/>
      <c r="L25" s="1377"/>
      <c r="M25" s="1377"/>
      <c r="N25" s="1377"/>
      <c r="O25" s="1377"/>
      <c r="P25" s="1377"/>
      <c r="Q25" s="1377"/>
      <c r="R25" s="1377"/>
      <c r="S25" s="1377"/>
      <c r="T25" s="1377"/>
      <c r="U25" s="1377"/>
      <c r="V25" s="1377"/>
      <c r="W25" s="1377"/>
      <c r="X25" s="185"/>
    </row>
    <row r="26" spans="1:24" ht="53.25" customHeight="1">
      <c r="A26" s="1377" t="s">
        <v>2287</v>
      </c>
      <c r="B26" s="1377"/>
      <c r="C26" s="1377"/>
      <c r="D26" s="1377"/>
      <c r="E26" s="1377"/>
      <c r="F26" s="1377"/>
      <c r="G26" s="1377"/>
      <c r="H26" s="1377"/>
      <c r="I26" s="1377"/>
      <c r="J26" s="1377"/>
      <c r="K26" s="1377"/>
      <c r="L26" s="1377"/>
      <c r="M26" s="1377"/>
      <c r="N26" s="1377"/>
      <c r="O26" s="1377"/>
      <c r="P26" s="1377"/>
      <c r="Q26" s="1377"/>
      <c r="R26" s="1377"/>
      <c r="S26" s="1377"/>
      <c r="T26" s="1377"/>
      <c r="U26" s="1377"/>
      <c r="V26" s="1377"/>
      <c r="W26" s="1377"/>
      <c r="X26" s="185"/>
    </row>
    <row r="27" spans="1:24" ht="24.95" customHeight="1">
      <c r="A27" s="1216" t="s">
        <v>2752</v>
      </c>
      <c r="B27" s="1216"/>
      <c r="C27" s="1216"/>
      <c r="D27" s="1216"/>
      <c r="E27" s="1216"/>
      <c r="F27" s="1216"/>
      <c r="G27" s="1216"/>
      <c r="H27" s="1216"/>
      <c r="I27" s="1216"/>
      <c r="J27" s="1216"/>
      <c r="K27" s="1216"/>
      <c r="L27" s="1216"/>
      <c r="M27" s="1216"/>
      <c r="N27" s="1216"/>
      <c r="O27" s="1216"/>
      <c r="P27" s="1216"/>
      <c r="Q27" s="1216"/>
      <c r="R27" s="1216"/>
      <c r="S27" s="1216"/>
      <c r="T27" s="1216"/>
      <c r="U27" s="1216"/>
      <c r="V27" s="1216"/>
      <c r="W27" s="1216"/>
      <c r="X27" s="185"/>
    </row>
    <row r="28" spans="1:24" ht="32.25" customHeight="1">
      <c r="A28" s="1216" t="s">
        <v>2753</v>
      </c>
      <c r="B28" s="1216"/>
      <c r="C28" s="1216"/>
      <c r="D28" s="1216"/>
      <c r="E28" s="1216"/>
      <c r="F28" s="1216"/>
      <c r="G28" s="1216"/>
      <c r="H28" s="1216"/>
      <c r="I28" s="1216"/>
      <c r="J28" s="1216"/>
      <c r="K28" s="1216"/>
      <c r="L28" s="1216"/>
      <c r="M28" s="1216"/>
      <c r="N28" s="1216"/>
      <c r="O28" s="1216"/>
      <c r="P28" s="1216"/>
      <c r="Q28" s="1216"/>
      <c r="R28" s="1216"/>
      <c r="S28" s="1216"/>
      <c r="T28" s="1216"/>
      <c r="U28" s="1216"/>
      <c r="V28" s="1216"/>
      <c r="W28" s="1216"/>
      <c r="X28" s="185"/>
    </row>
    <row r="29" spans="1:24" ht="30" customHeight="1">
      <c r="A29" s="1216" t="s">
        <v>2754</v>
      </c>
      <c r="B29" s="1216"/>
      <c r="C29" s="1216"/>
      <c r="D29" s="1216"/>
      <c r="E29" s="1216"/>
      <c r="F29" s="1216"/>
      <c r="G29" s="1216"/>
      <c r="H29" s="1216"/>
      <c r="I29" s="1216"/>
      <c r="J29" s="1216"/>
      <c r="K29" s="1216"/>
      <c r="L29" s="1216"/>
      <c r="M29" s="1216"/>
      <c r="N29" s="1216"/>
      <c r="O29" s="1216"/>
      <c r="P29" s="1216"/>
      <c r="Q29" s="1216"/>
      <c r="R29" s="1216"/>
      <c r="S29" s="1216"/>
      <c r="T29" s="1216"/>
      <c r="U29" s="1216"/>
      <c r="V29" s="1216"/>
      <c r="W29" s="1216"/>
      <c r="X29" s="185"/>
    </row>
    <row r="30" spans="1:24" ht="117.75" customHeight="1">
      <c r="A30" s="1216" t="s">
        <v>2755</v>
      </c>
      <c r="B30" s="1216"/>
      <c r="C30" s="1216"/>
      <c r="D30" s="1216"/>
      <c r="E30" s="1216"/>
      <c r="F30" s="1216"/>
      <c r="G30" s="1216"/>
      <c r="H30" s="1216"/>
      <c r="I30" s="1216"/>
      <c r="J30" s="1216"/>
      <c r="K30" s="1216"/>
      <c r="L30" s="1216"/>
      <c r="M30" s="1216"/>
      <c r="N30" s="1216"/>
      <c r="O30" s="1216"/>
      <c r="P30" s="1216"/>
      <c r="Q30" s="1216"/>
      <c r="R30" s="1216"/>
      <c r="S30" s="1216"/>
      <c r="T30" s="1216"/>
      <c r="U30" s="1216"/>
      <c r="V30" s="1216"/>
      <c r="W30" s="1216"/>
      <c r="X30" s="185"/>
    </row>
    <row r="31" spans="1:24" ht="15.75" customHeight="1">
      <c r="A31" s="1216" t="s">
        <v>2756</v>
      </c>
      <c r="B31" s="1216"/>
      <c r="C31" s="1216"/>
      <c r="D31" s="1216"/>
      <c r="E31" s="1216"/>
      <c r="F31" s="1216"/>
      <c r="G31" s="1216"/>
      <c r="H31" s="1216"/>
      <c r="I31" s="1216"/>
      <c r="J31" s="1216"/>
      <c r="K31" s="1216"/>
      <c r="L31" s="1216"/>
      <c r="M31" s="1216"/>
      <c r="N31" s="1216"/>
      <c r="O31" s="1216"/>
      <c r="P31" s="1216"/>
      <c r="Q31" s="1216"/>
      <c r="R31" s="1216"/>
      <c r="S31" s="1216"/>
      <c r="T31" s="1216"/>
      <c r="U31" s="1216"/>
      <c r="V31" s="1216"/>
      <c r="W31" s="1216"/>
      <c r="X31" s="185"/>
    </row>
    <row r="32" spans="1:24" ht="117" customHeight="1">
      <c r="A32" s="1216" t="s">
        <v>2288</v>
      </c>
      <c r="B32" s="1216"/>
      <c r="C32" s="1216"/>
      <c r="D32" s="1216"/>
      <c r="E32" s="1216"/>
      <c r="F32" s="1216"/>
      <c r="G32" s="1216"/>
      <c r="H32" s="1216"/>
      <c r="I32" s="1216"/>
      <c r="J32" s="1216"/>
      <c r="K32" s="1216"/>
      <c r="L32" s="1216"/>
      <c r="M32" s="1216"/>
      <c r="N32" s="1216"/>
      <c r="O32" s="1216"/>
      <c r="P32" s="1216"/>
      <c r="Q32" s="1216"/>
      <c r="R32" s="1216"/>
      <c r="S32" s="1216"/>
      <c r="T32" s="1216"/>
      <c r="U32" s="1216"/>
      <c r="V32" s="1216"/>
      <c r="W32" s="1216"/>
      <c r="X32" s="185"/>
    </row>
    <row r="33" spans="1:24" ht="43.5" customHeight="1">
      <c r="A33" s="1216" t="s">
        <v>2289</v>
      </c>
      <c r="B33" s="1216"/>
      <c r="C33" s="1216"/>
      <c r="D33" s="1216"/>
      <c r="E33" s="1216"/>
      <c r="F33" s="1216"/>
      <c r="G33" s="1216"/>
      <c r="H33" s="1216"/>
      <c r="I33" s="1216"/>
      <c r="J33" s="1216"/>
      <c r="K33" s="1216"/>
      <c r="L33" s="1216"/>
      <c r="M33" s="1216"/>
      <c r="N33" s="1216"/>
      <c r="O33" s="1216"/>
      <c r="P33" s="1216"/>
      <c r="Q33" s="1216"/>
      <c r="R33" s="1216"/>
      <c r="S33" s="1216"/>
      <c r="T33" s="1216"/>
      <c r="U33" s="1216"/>
      <c r="V33" s="1216"/>
      <c r="W33" s="1216"/>
      <c r="X33" s="185"/>
    </row>
    <row r="34" spans="1:24" ht="20.25" customHeight="1">
      <c r="A34" s="1216" t="s">
        <v>2290</v>
      </c>
      <c r="B34" s="1216"/>
      <c r="C34" s="1216"/>
      <c r="D34" s="1216"/>
      <c r="E34" s="1216"/>
      <c r="F34" s="1216"/>
      <c r="G34" s="1216"/>
      <c r="H34" s="1216"/>
      <c r="I34" s="1216"/>
      <c r="J34" s="1216"/>
      <c r="K34" s="1216"/>
      <c r="L34" s="1216"/>
      <c r="M34" s="1216"/>
      <c r="N34" s="1216"/>
      <c r="O34" s="1216"/>
      <c r="P34" s="1216"/>
      <c r="Q34" s="1216"/>
      <c r="R34" s="1216"/>
      <c r="S34" s="1216"/>
      <c r="T34" s="1216"/>
      <c r="U34" s="1216"/>
      <c r="V34" s="1216"/>
      <c r="W34" s="1216"/>
      <c r="X34" s="185"/>
    </row>
    <row r="35" spans="1:24">
      <c r="A35" s="1371" t="s">
        <v>2291</v>
      </c>
      <c r="B35" s="1371"/>
      <c r="C35" s="1371"/>
      <c r="D35" s="1371"/>
      <c r="E35" s="1371"/>
      <c r="F35" s="1371"/>
      <c r="G35" s="1371"/>
      <c r="H35" s="1371"/>
      <c r="I35" s="1371"/>
      <c r="J35" s="1371"/>
      <c r="K35" s="1371"/>
      <c r="L35" s="1371"/>
      <c r="M35" s="1371"/>
      <c r="N35" s="1371"/>
      <c r="O35" s="1371"/>
      <c r="P35" s="1371"/>
      <c r="Q35" s="1371"/>
      <c r="R35" s="1371"/>
      <c r="S35" s="1371"/>
      <c r="T35" s="1371"/>
      <c r="U35" s="1371"/>
      <c r="V35" s="1371"/>
      <c r="W35" s="1371"/>
    </row>
    <row r="36" spans="1:24" ht="37.5" customHeight="1">
      <c r="A36" s="1216" t="s">
        <v>2292</v>
      </c>
      <c r="B36" s="1216"/>
      <c r="C36" s="1216"/>
      <c r="D36" s="1216"/>
      <c r="E36" s="1216"/>
      <c r="F36" s="1216"/>
      <c r="G36" s="1216"/>
      <c r="H36" s="1216"/>
      <c r="I36" s="1216"/>
      <c r="J36" s="1216"/>
      <c r="K36" s="1216"/>
      <c r="L36" s="1216"/>
      <c r="M36" s="1216"/>
      <c r="N36" s="1216"/>
      <c r="O36" s="1216"/>
      <c r="P36" s="1216"/>
      <c r="Q36" s="1216"/>
      <c r="R36" s="1216"/>
      <c r="S36" s="1216"/>
      <c r="T36" s="1216"/>
      <c r="U36" s="1216"/>
      <c r="V36" s="1216"/>
      <c r="W36" s="1216"/>
      <c r="X36" s="185"/>
    </row>
    <row r="37" spans="1:24" ht="59.25" customHeight="1">
      <c r="A37" s="1216" t="s">
        <v>2293</v>
      </c>
      <c r="B37" s="1216"/>
      <c r="C37" s="1216"/>
      <c r="D37" s="1216"/>
      <c r="E37" s="1216"/>
      <c r="F37" s="1216"/>
      <c r="G37" s="1216"/>
      <c r="H37" s="1216"/>
      <c r="I37" s="1216"/>
      <c r="J37" s="1216"/>
      <c r="K37" s="1216"/>
      <c r="L37" s="1216"/>
      <c r="M37" s="1216"/>
      <c r="N37" s="1216"/>
      <c r="O37" s="1216"/>
      <c r="P37" s="1216"/>
      <c r="Q37" s="1216"/>
      <c r="R37" s="1216"/>
      <c r="S37" s="1216"/>
      <c r="T37" s="1216"/>
      <c r="U37" s="1216"/>
      <c r="V37" s="1216"/>
      <c r="W37" s="1216"/>
      <c r="X37" s="185"/>
    </row>
    <row r="38" spans="1:24" ht="51" customHeight="1">
      <c r="A38" s="1216" t="s">
        <v>2294</v>
      </c>
      <c r="B38" s="1216"/>
      <c r="C38" s="1216"/>
      <c r="D38" s="1216"/>
      <c r="E38" s="1216"/>
      <c r="F38" s="1216"/>
      <c r="G38" s="1216"/>
      <c r="H38" s="1216"/>
      <c r="I38" s="1216"/>
      <c r="J38" s="1216"/>
      <c r="K38" s="1216"/>
      <c r="L38" s="1216"/>
      <c r="M38" s="1216"/>
      <c r="N38" s="1216"/>
      <c r="O38" s="1216"/>
      <c r="P38" s="1216"/>
      <c r="Q38" s="1216"/>
      <c r="R38" s="1216"/>
      <c r="S38" s="1216"/>
      <c r="T38" s="1216"/>
      <c r="U38" s="1216"/>
      <c r="V38" s="1216"/>
      <c r="W38" s="1216"/>
      <c r="X38" s="185"/>
    </row>
    <row r="39" spans="1:24" ht="42" customHeight="1">
      <c r="A39" s="1216" t="s">
        <v>2757</v>
      </c>
      <c r="B39" s="1216"/>
      <c r="C39" s="1216"/>
      <c r="D39" s="1216"/>
      <c r="E39" s="1216"/>
      <c r="F39" s="1216"/>
      <c r="G39" s="1216"/>
      <c r="H39" s="1216"/>
      <c r="I39" s="1216"/>
      <c r="J39" s="1216"/>
      <c r="K39" s="1216"/>
      <c r="L39" s="1216"/>
      <c r="M39" s="1216"/>
      <c r="N39" s="1216"/>
      <c r="O39" s="1216"/>
      <c r="P39" s="1216"/>
      <c r="Q39" s="1216"/>
      <c r="R39" s="1216"/>
      <c r="S39" s="1216"/>
      <c r="T39" s="1216"/>
      <c r="U39" s="1216"/>
      <c r="V39" s="1216"/>
      <c r="W39" s="1216"/>
      <c r="X39" s="185"/>
    </row>
    <row r="40" spans="1:24" ht="44.25" customHeight="1">
      <c r="A40" s="1216" t="s">
        <v>2295</v>
      </c>
      <c r="B40" s="1216"/>
      <c r="C40" s="1216"/>
      <c r="D40" s="1216"/>
      <c r="E40" s="1216"/>
      <c r="F40" s="1216"/>
      <c r="G40" s="1216"/>
      <c r="H40" s="1216"/>
      <c r="I40" s="1216"/>
      <c r="J40" s="1216"/>
      <c r="K40" s="1216"/>
      <c r="L40" s="1216"/>
      <c r="M40" s="1216"/>
      <c r="N40" s="1216"/>
      <c r="O40" s="1216"/>
      <c r="P40" s="1216"/>
      <c r="Q40" s="1216"/>
      <c r="R40" s="1216"/>
      <c r="S40" s="1216"/>
      <c r="T40" s="1216"/>
      <c r="U40" s="1216"/>
      <c r="V40" s="1216"/>
      <c r="W40" s="1216"/>
      <c r="X40" s="185"/>
    </row>
    <row r="41" spans="1:24" ht="45" customHeight="1">
      <c r="A41" s="1216" t="s">
        <v>2296</v>
      </c>
      <c r="B41" s="1216"/>
      <c r="C41" s="1216"/>
      <c r="D41" s="1216"/>
      <c r="E41" s="1216"/>
      <c r="F41" s="1216"/>
      <c r="G41" s="1216"/>
      <c r="H41" s="1216"/>
      <c r="I41" s="1216"/>
      <c r="J41" s="1216"/>
      <c r="K41" s="1216"/>
      <c r="L41" s="1216"/>
      <c r="M41" s="1216"/>
      <c r="N41" s="1216"/>
      <c r="O41" s="1216"/>
      <c r="P41" s="1216"/>
      <c r="Q41" s="1216"/>
      <c r="R41" s="1216"/>
      <c r="S41" s="1216"/>
      <c r="T41" s="1216"/>
      <c r="U41" s="1216"/>
      <c r="V41" s="1216"/>
      <c r="W41" s="1216"/>
      <c r="X41" s="185"/>
    </row>
    <row r="42" spans="1:24" ht="53.25" customHeight="1">
      <c r="A42" s="1216" t="s">
        <v>2297</v>
      </c>
      <c r="B42" s="1216"/>
      <c r="C42" s="1216"/>
      <c r="D42" s="1216"/>
      <c r="E42" s="1216"/>
      <c r="F42" s="1216"/>
      <c r="G42" s="1216"/>
      <c r="H42" s="1216"/>
      <c r="I42" s="1216"/>
      <c r="J42" s="1216"/>
      <c r="K42" s="1216"/>
      <c r="L42" s="1216"/>
      <c r="M42" s="1216"/>
      <c r="N42" s="1216"/>
      <c r="O42" s="1216"/>
      <c r="P42" s="1216"/>
      <c r="Q42" s="1216"/>
      <c r="R42" s="1216"/>
      <c r="S42" s="1216"/>
      <c r="T42" s="1216"/>
      <c r="U42" s="1216"/>
      <c r="V42" s="1216"/>
      <c r="W42" s="1216"/>
      <c r="X42" s="185"/>
    </row>
    <row r="43" spans="1:24" ht="26.25" customHeight="1">
      <c r="A43" s="1216" t="s">
        <v>2298</v>
      </c>
      <c r="B43" s="1216"/>
      <c r="C43" s="1216"/>
      <c r="D43" s="1216"/>
      <c r="E43" s="1216"/>
      <c r="F43" s="1216"/>
      <c r="G43" s="1216"/>
      <c r="H43" s="1216"/>
      <c r="I43" s="1216"/>
      <c r="J43" s="1216"/>
      <c r="K43" s="1216"/>
      <c r="L43" s="1216"/>
      <c r="M43" s="1216"/>
      <c r="N43" s="1216"/>
      <c r="O43" s="1216"/>
      <c r="P43" s="1216"/>
      <c r="Q43" s="1216"/>
      <c r="R43" s="1216"/>
      <c r="S43" s="1216"/>
      <c r="T43" s="1216"/>
      <c r="U43" s="1216"/>
      <c r="V43" s="1216"/>
      <c r="W43" s="1216"/>
      <c r="X43" s="185"/>
    </row>
    <row r="44" spans="1:24" ht="46.5" customHeight="1">
      <c r="A44" s="1216" t="s">
        <v>2758</v>
      </c>
      <c r="B44" s="1216"/>
      <c r="C44" s="1216"/>
      <c r="D44" s="1216"/>
      <c r="E44" s="1216"/>
      <c r="F44" s="1216"/>
      <c r="G44" s="1216"/>
      <c r="H44" s="1216"/>
      <c r="I44" s="1216"/>
      <c r="J44" s="1216"/>
      <c r="K44" s="1216"/>
      <c r="L44" s="1216"/>
      <c r="M44" s="1216"/>
      <c r="N44" s="1216"/>
      <c r="O44" s="1216"/>
      <c r="P44" s="1216"/>
      <c r="Q44" s="1216"/>
      <c r="R44" s="1216"/>
      <c r="S44" s="1216"/>
      <c r="T44" s="1216"/>
      <c r="U44" s="1216"/>
      <c r="V44" s="1216"/>
      <c r="W44" s="1216"/>
      <c r="X44" s="185"/>
    </row>
    <row r="45" spans="1:24" s="79" customFormat="1" ht="17.25" customHeight="1">
      <c r="B45" s="1373" t="s">
        <v>3327</v>
      </c>
      <c r="C45" s="1363"/>
      <c r="D45" s="1363"/>
      <c r="E45" s="1363"/>
      <c r="F45" s="1363"/>
      <c r="G45" s="1363"/>
      <c r="H45" s="1363"/>
      <c r="I45" s="1363"/>
      <c r="J45" s="1363"/>
      <c r="K45" s="1363"/>
      <c r="L45" s="1363"/>
      <c r="M45" s="1363"/>
      <c r="N45" s="1363"/>
      <c r="O45" s="1363"/>
      <c r="P45" s="1363"/>
      <c r="Q45" s="1363"/>
      <c r="R45" s="1363"/>
      <c r="S45" s="1363"/>
      <c r="T45" s="1363"/>
      <c r="U45" s="1363">
        <v>4500</v>
      </c>
      <c r="V45" s="1363"/>
      <c r="W45" s="1363"/>
      <c r="X45" s="99"/>
    </row>
    <row r="46" spans="1:24" s="79" customFormat="1" ht="24.95" customHeight="1">
      <c r="B46" s="1373" t="s">
        <v>3326</v>
      </c>
      <c r="C46" s="1363"/>
      <c r="D46" s="1363"/>
      <c r="E46" s="1363"/>
      <c r="F46" s="1363"/>
      <c r="G46" s="1363"/>
      <c r="H46" s="1363"/>
      <c r="I46" s="1363"/>
      <c r="J46" s="1363"/>
      <c r="K46" s="1363"/>
      <c r="L46" s="1363"/>
      <c r="M46" s="1363"/>
      <c r="N46" s="1363"/>
      <c r="O46" s="1363"/>
      <c r="P46" s="1363"/>
      <c r="Q46" s="1363"/>
      <c r="R46" s="1363"/>
      <c r="S46" s="1363"/>
      <c r="T46" s="1363"/>
      <c r="U46" s="1363">
        <v>4200</v>
      </c>
      <c r="V46" s="1363"/>
      <c r="W46" s="1363"/>
      <c r="X46" s="99"/>
    </row>
    <row r="47" spans="1:24" s="79" customFormat="1" ht="24.95" customHeight="1">
      <c r="B47" s="1373" t="s">
        <v>3328</v>
      </c>
      <c r="C47" s="1363"/>
      <c r="D47" s="1363"/>
      <c r="E47" s="1363"/>
      <c r="F47" s="1363"/>
      <c r="G47" s="1363"/>
      <c r="H47" s="1363"/>
      <c r="I47" s="1363"/>
      <c r="J47" s="1363"/>
      <c r="K47" s="1363"/>
      <c r="L47" s="1363"/>
      <c r="M47" s="1363"/>
      <c r="N47" s="1363"/>
      <c r="O47" s="1363"/>
      <c r="P47" s="1363"/>
      <c r="Q47" s="1363"/>
      <c r="R47" s="1363"/>
      <c r="S47" s="1363"/>
      <c r="T47" s="1363"/>
      <c r="U47" s="1363">
        <v>4000</v>
      </c>
      <c r="V47" s="1363"/>
      <c r="W47" s="1363"/>
      <c r="X47" s="99"/>
    </row>
    <row r="48" spans="1:24" s="79" customFormat="1" ht="24.95" customHeight="1">
      <c r="B48" s="1373" t="s">
        <v>3329</v>
      </c>
      <c r="C48" s="1363"/>
      <c r="D48" s="1363"/>
      <c r="E48" s="1363"/>
      <c r="F48" s="1363"/>
      <c r="G48" s="1363"/>
      <c r="H48" s="1363"/>
      <c r="I48" s="1363"/>
      <c r="J48" s="1363"/>
      <c r="K48" s="1363"/>
      <c r="L48" s="1363"/>
      <c r="M48" s="1363"/>
      <c r="N48" s="1363"/>
      <c r="O48" s="1363"/>
      <c r="P48" s="1363"/>
      <c r="Q48" s="1363"/>
      <c r="R48" s="1363"/>
      <c r="S48" s="1363"/>
      <c r="T48" s="1363"/>
      <c r="U48" s="1363">
        <v>3800</v>
      </c>
      <c r="V48" s="1363"/>
      <c r="W48" s="1363"/>
      <c r="X48" s="99"/>
    </row>
    <row r="49" spans="1:24" s="79" customFormat="1" ht="45" customHeight="1">
      <c r="B49" s="1373" t="s">
        <v>3330</v>
      </c>
      <c r="C49" s="1363"/>
      <c r="D49" s="1363"/>
      <c r="E49" s="1363"/>
      <c r="F49" s="1363"/>
      <c r="G49" s="1363"/>
      <c r="H49" s="1363"/>
      <c r="I49" s="1363"/>
      <c r="J49" s="1363"/>
      <c r="K49" s="1363"/>
      <c r="L49" s="1363"/>
      <c r="M49" s="1363"/>
      <c r="N49" s="1363"/>
      <c r="O49" s="1363"/>
      <c r="P49" s="1363"/>
      <c r="Q49" s="1363"/>
      <c r="R49" s="1363"/>
      <c r="S49" s="1363"/>
      <c r="T49" s="1363"/>
      <c r="U49" s="1363">
        <v>3500</v>
      </c>
      <c r="V49" s="1363"/>
      <c r="W49" s="1363"/>
      <c r="X49" s="99"/>
    </row>
    <row r="50" spans="1:24" s="79" customFormat="1" ht="17.25" customHeight="1">
      <c r="B50" s="1373" t="s">
        <v>3331</v>
      </c>
      <c r="C50" s="1363"/>
      <c r="D50" s="1363"/>
      <c r="E50" s="1363"/>
      <c r="F50" s="1363"/>
      <c r="G50" s="1363"/>
      <c r="H50" s="1363"/>
      <c r="I50" s="1363"/>
      <c r="J50" s="1363"/>
      <c r="K50" s="1363"/>
      <c r="L50" s="1363"/>
      <c r="M50" s="1363"/>
      <c r="N50" s="1363"/>
      <c r="O50" s="1363"/>
      <c r="P50" s="1363"/>
      <c r="Q50" s="1363"/>
      <c r="R50" s="1363"/>
      <c r="S50" s="1363"/>
      <c r="T50" s="1363"/>
      <c r="U50" s="1363">
        <v>2600</v>
      </c>
      <c r="V50" s="1363"/>
      <c r="W50" s="1363"/>
      <c r="X50" s="99"/>
    </row>
    <row r="51" spans="1:24" s="79" customFormat="1" ht="15" customHeight="1">
      <c r="B51" s="1373" t="s">
        <v>3332</v>
      </c>
      <c r="C51" s="1363"/>
      <c r="D51" s="1363"/>
      <c r="E51" s="1363"/>
      <c r="F51" s="1363"/>
      <c r="G51" s="1363"/>
      <c r="H51" s="1363"/>
      <c r="I51" s="1363"/>
      <c r="J51" s="1363"/>
      <c r="K51" s="1363"/>
      <c r="L51" s="1363"/>
      <c r="M51" s="1363"/>
      <c r="N51" s="1363"/>
      <c r="O51" s="1363"/>
      <c r="P51" s="1363"/>
      <c r="Q51" s="1363"/>
      <c r="R51" s="1363"/>
      <c r="S51" s="1363"/>
      <c r="T51" s="1363"/>
      <c r="U51" s="1363">
        <v>2400</v>
      </c>
      <c r="V51" s="1363"/>
      <c r="W51" s="1363"/>
      <c r="X51" s="99"/>
    </row>
    <row r="52" spans="1:24" ht="24.95" customHeight="1">
      <c r="A52" s="1377" t="s">
        <v>2299</v>
      </c>
      <c r="B52" s="1377"/>
      <c r="C52" s="1377"/>
      <c r="D52" s="1377"/>
      <c r="E52" s="1377"/>
      <c r="F52" s="1377"/>
      <c r="G52" s="1377"/>
      <c r="H52" s="1377"/>
      <c r="I52" s="1377"/>
      <c r="J52" s="1377"/>
      <c r="K52" s="1377"/>
      <c r="L52" s="1377"/>
      <c r="M52" s="1377"/>
      <c r="N52" s="1377"/>
      <c r="O52" s="1377"/>
      <c r="P52" s="1377"/>
      <c r="Q52" s="1377"/>
      <c r="R52" s="1377"/>
      <c r="S52" s="1377"/>
      <c r="T52" s="1377"/>
      <c r="U52" s="1377"/>
      <c r="V52" s="1377"/>
      <c r="W52" s="1377"/>
      <c r="X52" s="185"/>
    </row>
    <row r="53" spans="1:24" ht="15.75" customHeight="1">
      <c r="A53" s="1395" t="s">
        <v>3333</v>
      </c>
      <c r="B53" s="1377"/>
      <c r="C53" s="1377"/>
      <c r="D53" s="1377"/>
      <c r="E53" s="1377"/>
      <c r="F53" s="1377"/>
      <c r="G53" s="1377"/>
      <c r="H53" s="1377"/>
      <c r="I53" s="1377"/>
      <c r="J53" s="1377"/>
      <c r="K53" s="1377"/>
      <c r="L53" s="1377"/>
      <c r="M53" s="1377"/>
      <c r="N53" s="1377"/>
      <c r="O53" s="1377"/>
      <c r="P53" s="1377"/>
      <c r="Q53" s="1377"/>
      <c r="R53" s="1377"/>
      <c r="S53" s="1377"/>
      <c r="T53" s="1377"/>
      <c r="U53" s="1377"/>
      <c r="V53" s="1377"/>
      <c r="W53" s="1377"/>
      <c r="X53" s="185"/>
    </row>
    <row r="54" spans="1:24" ht="24.95" customHeight="1">
      <c r="A54" s="527"/>
      <c r="B54" s="452"/>
      <c r="C54" s="452"/>
      <c r="D54" s="452"/>
      <c r="E54" s="452"/>
      <c r="F54" s="452"/>
      <c r="G54" s="452"/>
      <c r="H54" s="452"/>
      <c r="I54" s="452"/>
      <c r="J54" s="452"/>
      <c r="K54" s="452"/>
      <c r="L54" s="452"/>
      <c r="M54" s="452"/>
      <c r="N54" s="452"/>
      <c r="O54" s="452"/>
      <c r="P54" s="452"/>
      <c r="R54" s="1393" t="s">
        <v>3334</v>
      </c>
      <c r="S54" s="1393"/>
      <c r="T54" s="1393"/>
      <c r="U54" s="1393" t="s">
        <v>3334</v>
      </c>
      <c r="V54" s="1393"/>
      <c r="W54" s="1393"/>
      <c r="X54" s="452"/>
    </row>
    <row r="55" spans="1:24">
      <c r="B55" s="452"/>
      <c r="C55" s="452"/>
      <c r="D55" s="452"/>
      <c r="E55" s="452"/>
      <c r="F55" s="452"/>
      <c r="G55" s="452"/>
      <c r="H55" s="452"/>
      <c r="I55" s="452"/>
      <c r="J55" s="452"/>
      <c r="K55" s="452"/>
      <c r="L55" s="452"/>
      <c r="M55" s="452"/>
      <c r="N55" s="452"/>
      <c r="O55" s="452"/>
      <c r="P55" s="452"/>
      <c r="Q55" s="452"/>
      <c r="R55" s="1306">
        <v>3300</v>
      </c>
      <c r="S55" s="1306"/>
      <c r="T55" s="1306"/>
      <c r="U55" s="1308">
        <v>3800</v>
      </c>
      <c r="V55" s="1308"/>
      <c r="W55" s="1308"/>
      <c r="X55" s="452"/>
    </row>
    <row r="56" spans="1:24">
      <c r="B56" s="452"/>
      <c r="C56" s="452"/>
      <c r="D56" s="452"/>
      <c r="E56" s="452"/>
      <c r="F56" s="452"/>
      <c r="G56" s="452"/>
      <c r="H56" s="452"/>
      <c r="I56" s="452"/>
      <c r="J56" s="452"/>
      <c r="K56" s="452"/>
      <c r="L56" s="452"/>
      <c r="M56" s="452"/>
      <c r="N56" s="452"/>
      <c r="O56" s="452"/>
      <c r="P56" s="452"/>
      <c r="Q56" s="452"/>
      <c r="R56" s="1306">
        <v>3000</v>
      </c>
      <c r="S56" s="1306"/>
      <c r="T56" s="1306"/>
      <c r="U56" s="1308">
        <v>3500</v>
      </c>
      <c r="V56" s="1308"/>
      <c r="W56" s="1308"/>
      <c r="X56" s="452"/>
    </row>
    <row r="57" spans="1:24">
      <c r="B57" s="452"/>
      <c r="C57" s="452"/>
      <c r="D57" s="452"/>
      <c r="E57" s="452"/>
      <c r="F57" s="452"/>
      <c r="G57" s="452"/>
      <c r="H57" s="452"/>
      <c r="I57" s="452"/>
      <c r="J57" s="452"/>
      <c r="K57" s="452"/>
      <c r="L57" s="452"/>
      <c r="M57" s="452"/>
      <c r="N57" s="452"/>
      <c r="O57" s="452"/>
      <c r="P57" s="452"/>
      <c r="Q57" s="452"/>
      <c r="R57" s="1306">
        <v>2700</v>
      </c>
      <c r="S57" s="1306"/>
      <c r="T57" s="1306"/>
      <c r="U57" s="1308">
        <v>3200</v>
      </c>
      <c r="V57" s="1308"/>
      <c r="W57" s="1308"/>
      <c r="X57" s="452"/>
    </row>
    <row r="58" spans="1:24">
      <c r="B58" s="452"/>
      <c r="C58" s="452"/>
      <c r="D58" s="452"/>
      <c r="E58" s="452"/>
      <c r="F58" s="452"/>
      <c r="G58" s="452"/>
      <c r="H58" s="452"/>
      <c r="I58" s="452"/>
      <c r="J58" s="452"/>
      <c r="K58" s="452"/>
      <c r="L58" s="452"/>
      <c r="M58" s="452"/>
      <c r="N58" s="452"/>
      <c r="O58" s="452"/>
      <c r="P58" s="452"/>
      <c r="Q58" s="452"/>
      <c r="R58" s="1306">
        <v>2400</v>
      </c>
      <c r="S58" s="1306"/>
      <c r="T58" s="1306"/>
      <c r="U58" s="1308">
        <v>2900</v>
      </c>
      <c r="V58" s="1308"/>
      <c r="W58" s="1308"/>
      <c r="X58" s="452"/>
    </row>
    <row r="59" spans="1:24" ht="13.5" customHeight="1">
      <c r="A59" s="1404" t="s">
        <v>3333</v>
      </c>
      <c r="B59" s="1405"/>
      <c r="C59" s="1405"/>
      <c r="D59" s="1405"/>
      <c r="E59" s="1405"/>
      <c r="F59" s="1405"/>
      <c r="G59" s="1405"/>
      <c r="H59" s="1405"/>
      <c r="I59" s="1405"/>
      <c r="J59" s="1405"/>
      <c r="K59" s="1405"/>
      <c r="L59" s="1405"/>
      <c r="M59" s="1405"/>
      <c r="N59" s="1405"/>
      <c r="O59" s="1405"/>
      <c r="P59" s="1405"/>
      <c r="Q59" s="1405"/>
      <c r="R59" s="1405"/>
      <c r="S59" s="1405"/>
      <c r="T59" s="1405"/>
      <c r="U59" s="1405"/>
      <c r="V59" s="1405"/>
      <c r="W59" s="1405"/>
      <c r="X59" s="452"/>
    </row>
    <row r="60" spans="1:24" ht="24.95" customHeight="1">
      <c r="A60" s="527"/>
      <c r="B60" s="452"/>
      <c r="C60" s="452"/>
      <c r="D60" s="452"/>
      <c r="E60" s="452"/>
      <c r="F60" s="452"/>
      <c r="G60" s="452"/>
      <c r="H60" s="452"/>
      <c r="I60" s="452"/>
      <c r="J60" s="452"/>
      <c r="K60" s="452"/>
      <c r="L60" s="452"/>
      <c r="M60" s="452"/>
      <c r="N60" s="452"/>
      <c r="O60" s="452"/>
      <c r="P60" s="452"/>
      <c r="Q60" s="452"/>
      <c r="R60" s="1393" t="s">
        <v>3334</v>
      </c>
      <c r="S60" s="1393"/>
      <c r="T60" s="1393"/>
      <c r="U60" s="1393" t="s">
        <v>3334</v>
      </c>
      <c r="V60" s="1393"/>
      <c r="W60" s="1393"/>
      <c r="X60" s="452"/>
    </row>
    <row r="61" spans="1:24">
      <c r="B61" s="452"/>
      <c r="C61" s="452"/>
      <c r="D61" s="452"/>
      <c r="E61" s="452"/>
      <c r="F61" s="452"/>
      <c r="G61" s="452"/>
      <c r="H61" s="452"/>
      <c r="I61" s="452"/>
      <c r="J61" s="452"/>
      <c r="K61" s="452"/>
      <c r="L61" s="452"/>
      <c r="M61" s="452"/>
      <c r="N61" s="452"/>
      <c r="O61" s="452"/>
      <c r="P61" s="452"/>
      <c r="Q61" s="452"/>
      <c r="R61" s="1400" t="s">
        <v>3335</v>
      </c>
      <c r="S61" s="1400"/>
      <c r="T61" s="1400"/>
      <c r="U61" s="1306">
        <v>2400</v>
      </c>
      <c r="V61" s="1306"/>
      <c r="W61" s="1306"/>
      <c r="X61" s="452"/>
    </row>
    <row r="62" spans="1:24">
      <c r="B62" s="452"/>
      <c r="C62" s="452"/>
      <c r="D62" s="452"/>
      <c r="E62" s="452"/>
      <c r="F62" s="452"/>
      <c r="G62" s="452"/>
      <c r="H62" s="452"/>
      <c r="I62" s="452"/>
      <c r="J62" s="452"/>
      <c r="K62" s="452"/>
      <c r="L62" s="452"/>
      <c r="M62" s="452"/>
      <c r="N62" s="452"/>
      <c r="O62" s="452"/>
      <c r="P62" s="452"/>
      <c r="Q62" s="452"/>
      <c r="R62" s="1306">
        <v>1800</v>
      </c>
      <c r="S62" s="1306"/>
      <c r="T62" s="1306"/>
      <c r="U62" s="1306">
        <v>2150</v>
      </c>
      <c r="V62" s="1306"/>
      <c r="W62" s="1306"/>
      <c r="X62" s="452"/>
    </row>
    <row r="63" spans="1:24">
      <c r="B63" s="452"/>
      <c r="C63" s="452"/>
      <c r="D63" s="452"/>
      <c r="E63" s="452"/>
      <c r="F63" s="452"/>
      <c r="G63" s="452"/>
      <c r="H63" s="452"/>
      <c r="I63" s="452"/>
      <c r="J63" s="452"/>
      <c r="K63" s="452"/>
      <c r="L63" s="452"/>
      <c r="M63" s="452"/>
      <c r="N63" s="452"/>
      <c r="O63" s="452"/>
      <c r="P63" s="452"/>
      <c r="Q63" s="452"/>
      <c r="R63" s="1306">
        <v>1650</v>
      </c>
      <c r="S63" s="1306"/>
      <c r="T63" s="1306"/>
      <c r="U63" s="1306">
        <v>2000</v>
      </c>
      <c r="V63" s="1306"/>
      <c r="W63" s="1306"/>
      <c r="X63" s="452"/>
    </row>
    <row r="64" spans="1:24">
      <c r="B64" s="452"/>
      <c r="C64" s="452"/>
      <c r="D64" s="452"/>
      <c r="E64" s="452"/>
      <c r="F64" s="452"/>
      <c r="G64" s="452"/>
      <c r="H64" s="452"/>
      <c r="I64" s="452"/>
      <c r="J64" s="452"/>
      <c r="K64" s="452"/>
      <c r="L64" s="452"/>
      <c r="M64" s="452"/>
      <c r="N64" s="452"/>
      <c r="O64" s="452"/>
      <c r="P64" s="452"/>
      <c r="Q64" s="452"/>
      <c r="R64" s="1306">
        <v>1500</v>
      </c>
      <c r="S64" s="1306"/>
      <c r="T64" s="1306"/>
      <c r="U64" s="1306">
        <v>1800</v>
      </c>
      <c r="V64" s="1306"/>
      <c r="W64" s="1306"/>
      <c r="X64" s="452"/>
    </row>
    <row r="65" spans="1:24">
      <c r="B65" s="452"/>
      <c r="C65" s="452"/>
      <c r="D65" s="452"/>
      <c r="E65" s="452"/>
      <c r="F65" s="452"/>
      <c r="G65" s="452"/>
      <c r="H65" s="452"/>
      <c r="I65" s="452"/>
      <c r="J65" s="452"/>
      <c r="K65" s="452"/>
      <c r="L65" s="452"/>
      <c r="M65" s="452"/>
      <c r="N65" s="452"/>
      <c r="O65" s="452"/>
      <c r="P65" s="452"/>
      <c r="Q65" s="452"/>
      <c r="R65" s="1306">
        <v>1200</v>
      </c>
      <c r="S65" s="1306"/>
      <c r="T65" s="1306"/>
      <c r="U65" s="1306">
        <v>1500</v>
      </c>
      <c r="V65" s="1306"/>
      <c r="W65" s="1306"/>
      <c r="X65" s="452"/>
    </row>
    <row r="66" spans="1:24">
      <c r="B66" s="452"/>
      <c r="C66" s="452"/>
      <c r="D66" s="452"/>
      <c r="E66" s="452"/>
      <c r="F66" s="452"/>
      <c r="G66" s="452"/>
      <c r="H66" s="452"/>
      <c r="I66" s="452"/>
      <c r="J66" s="452"/>
      <c r="K66" s="452"/>
      <c r="L66" s="452"/>
      <c r="M66" s="452"/>
      <c r="N66" s="452"/>
      <c r="O66" s="452"/>
      <c r="P66" s="452"/>
      <c r="Q66" s="452"/>
      <c r="R66" s="1306">
        <v>900</v>
      </c>
      <c r="S66" s="1306"/>
      <c r="T66" s="1306"/>
      <c r="U66" s="1306">
        <v>1100</v>
      </c>
      <c r="V66" s="1306"/>
      <c r="W66" s="1306"/>
      <c r="X66" s="452"/>
    </row>
    <row r="67" spans="1:24">
      <c r="B67" s="452"/>
      <c r="C67" s="452"/>
      <c r="D67" s="452"/>
      <c r="E67" s="452"/>
      <c r="F67" s="452"/>
      <c r="G67" s="452"/>
      <c r="H67" s="452"/>
      <c r="I67" s="452"/>
      <c r="J67" s="452"/>
      <c r="K67" s="452"/>
      <c r="L67" s="452"/>
      <c r="M67" s="452"/>
      <c r="N67" s="452"/>
      <c r="O67" s="452"/>
      <c r="P67" s="452"/>
      <c r="Q67" s="452"/>
      <c r="R67" s="1306">
        <v>600</v>
      </c>
      <c r="S67" s="1306"/>
      <c r="T67" s="1306"/>
      <c r="U67" s="1306">
        <v>750</v>
      </c>
      <c r="V67" s="1306"/>
      <c r="W67" s="1306"/>
      <c r="X67" s="452"/>
    </row>
    <row r="68" spans="1:24">
      <c r="B68" s="452"/>
      <c r="C68" s="452"/>
      <c r="D68" s="452"/>
      <c r="E68" s="452"/>
      <c r="F68" s="452"/>
      <c r="G68" s="452"/>
      <c r="H68" s="452"/>
      <c r="I68" s="452"/>
      <c r="J68" s="452"/>
      <c r="K68" s="452"/>
      <c r="L68" s="452"/>
      <c r="M68" s="452"/>
      <c r="N68" s="452"/>
      <c r="O68" s="452"/>
      <c r="P68" s="452"/>
      <c r="Q68" s="452"/>
      <c r="R68" s="1306">
        <v>450</v>
      </c>
      <c r="S68" s="1306"/>
      <c r="T68" s="1306"/>
      <c r="U68" s="1306">
        <v>550</v>
      </c>
      <c r="V68" s="1306"/>
      <c r="W68" s="1306"/>
      <c r="X68" s="452"/>
    </row>
    <row r="69" spans="1:24">
      <c r="B69" s="452"/>
      <c r="C69" s="452"/>
      <c r="D69" s="452"/>
      <c r="E69" s="452"/>
      <c r="F69" s="452"/>
      <c r="G69" s="452"/>
      <c r="H69" s="452"/>
      <c r="I69" s="452"/>
      <c r="J69" s="452"/>
      <c r="K69" s="452"/>
      <c r="L69" s="452"/>
      <c r="M69" s="452"/>
      <c r="N69" s="452"/>
      <c r="O69" s="452"/>
      <c r="P69" s="452"/>
      <c r="Q69" s="452"/>
      <c r="R69" s="1306">
        <v>300</v>
      </c>
      <c r="S69" s="1306"/>
      <c r="T69" s="1306"/>
      <c r="U69" s="1306">
        <v>400</v>
      </c>
      <c r="V69" s="1306"/>
      <c r="W69" s="1306"/>
      <c r="X69" s="452"/>
    </row>
    <row r="70" spans="1:24">
      <c r="B70" s="452"/>
      <c r="C70" s="452"/>
      <c r="D70" s="452"/>
      <c r="E70" s="452"/>
      <c r="F70" s="452"/>
      <c r="G70" s="452"/>
      <c r="H70" s="452"/>
      <c r="I70" s="452"/>
      <c r="J70" s="452"/>
      <c r="K70" s="452"/>
      <c r="L70" s="452"/>
      <c r="M70" s="452"/>
      <c r="N70" s="452"/>
      <c r="O70" s="452"/>
      <c r="P70" s="452"/>
      <c r="Q70" s="452"/>
      <c r="R70" s="1306">
        <v>150</v>
      </c>
      <c r="S70" s="1306"/>
      <c r="T70" s="1306"/>
      <c r="U70" s="1306">
        <v>200</v>
      </c>
      <c r="V70" s="1306"/>
      <c r="W70" s="1306"/>
      <c r="X70" s="452"/>
    </row>
    <row r="71" spans="1:24" s="79" customFormat="1" ht="42" customHeight="1">
      <c r="A71" s="1216" t="s">
        <v>2300</v>
      </c>
      <c r="B71" s="1216"/>
      <c r="C71" s="1216"/>
      <c r="D71" s="1216"/>
      <c r="E71" s="1216"/>
      <c r="F71" s="1216"/>
      <c r="G71" s="1216"/>
      <c r="H71" s="1216"/>
      <c r="I71" s="1216"/>
      <c r="J71" s="1216"/>
      <c r="K71" s="1216"/>
      <c r="L71" s="1216"/>
      <c r="M71" s="1216"/>
      <c r="N71" s="1216"/>
      <c r="O71" s="1216"/>
      <c r="P71" s="1216"/>
      <c r="Q71" s="1216"/>
      <c r="R71" s="1216"/>
      <c r="S71" s="1216"/>
      <c r="T71" s="1216"/>
      <c r="U71" s="1216"/>
      <c r="V71" s="1216"/>
      <c r="W71" s="1216"/>
      <c r="X71" s="99"/>
    </row>
    <row r="72" spans="1:24" s="79" customFormat="1" ht="27.75" customHeight="1">
      <c r="A72" s="1216" t="s">
        <v>2301</v>
      </c>
      <c r="B72" s="1216"/>
      <c r="C72" s="1216"/>
      <c r="D72" s="1216"/>
      <c r="E72" s="1216"/>
      <c r="F72" s="1216"/>
      <c r="G72" s="1216"/>
      <c r="H72" s="1216"/>
      <c r="I72" s="1216"/>
      <c r="J72" s="1216"/>
      <c r="K72" s="1216"/>
      <c r="L72" s="1216"/>
      <c r="M72" s="1216"/>
      <c r="N72" s="1216"/>
      <c r="O72" s="1216"/>
      <c r="P72" s="1216"/>
      <c r="Q72" s="1216"/>
      <c r="R72" s="1216"/>
      <c r="S72" s="1216"/>
      <c r="T72" s="1216"/>
      <c r="U72" s="1216"/>
      <c r="V72" s="1216"/>
      <c r="W72" s="1216"/>
      <c r="X72" s="99"/>
    </row>
    <row r="73" spans="1:24" s="79" customFormat="1" ht="27.75" customHeight="1">
      <c r="A73" s="1216" t="s">
        <v>2302</v>
      </c>
      <c r="B73" s="1216"/>
      <c r="C73" s="1216"/>
      <c r="D73" s="1216"/>
      <c r="E73" s="1216"/>
      <c r="F73" s="1216"/>
      <c r="G73" s="1216"/>
      <c r="H73" s="1216"/>
      <c r="I73" s="1216"/>
      <c r="J73" s="1216"/>
      <c r="K73" s="1216"/>
      <c r="L73" s="1216"/>
      <c r="M73" s="1216"/>
      <c r="N73" s="1216"/>
      <c r="O73" s="1216"/>
      <c r="P73" s="1216"/>
      <c r="Q73" s="1216"/>
      <c r="R73" s="1216"/>
      <c r="S73" s="1216"/>
      <c r="T73" s="1216"/>
      <c r="U73" s="1216"/>
      <c r="V73" s="1216"/>
      <c r="W73" s="1216"/>
      <c r="X73" s="99"/>
    </row>
    <row r="74" spans="1:24" s="79" customFormat="1" ht="27.75" customHeight="1">
      <c r="A74" s="1216" t="s">
        <v>2303</v>
      </c>
      <c r="B74" s="1216"/>
      <c r="C74" s="1216"/>
      <c r="D74" s="1216"/>
      <c r="E74" s="1216"/>
      <c r="F74" s="1216"/>
      <c r="G74" s="1216"/>
      <c r="H74" s="1216"/>
      <c r="I74" s="1216"/>
      <c r="J74" s="1216"/>
      <c r="K74" s="1216"/>
      <c r="L74" s="1216"/>
      <c r="M74" s="1216"/>
      <c r="N74" s="1216"/>
      <c r="O74" s="1216"/>
      <c r="P74" s="1216"/>
      <c r="Q74" s="1216"/>
      <c r="R74" s="1216"/>
      <c r="S74" s="1216"/>
      <c r="T74" s="1216"/>
      <c r="U74" s="1216"/>
      <c r="V74" s="1216"/>
      <c r="W74" s="1216"/>
      <c r="X74" s="99"/>
    </row>
    <row r="75" spans="1:24" s="79" customFormat="1" ht="27.75" customHeight="1">
      <c r="A75" s="1216" t="s">
        <v>2304</v>
      </c>
      <c r="B75" s="1216"/>
      <c r="C75" s="1216"/>
      <c r="D75" s="1216"/>
      <c r="E75" s="1216"/>
      <c r="F75" s="1216"/>
      <c r="G75" s="1216"/>
      <c r="H75" s="1216"/>
      <c r="I75" s="1216"/>
      <c r="J75" s="1216"/>
      <c r="K75" s="1216"/>
      <c r="L75" s="1216"/>
      <c r="M75" s="1216"/>
      <c r="N75" s="1216"/>
      <c r="O75" s="1216"/>
      <c r="P75" s="1216"/>
      <c r="Q75" s="1216"/>
      <c r="R75" s="1216"/>
      <c r="S75" s="1216"/>
      <c r="T75" s="1216"/>
      <c r="U75" s="1216"/>
      <c r="V75" s="1216"/>
      <c r="W75" s="1216"/>
      <c r="X75" s="99"/>
    </row>
    <row r="76" spans="1:24" s="79" customFormat="1" ht="27.75" customHeight="1">
      <c r="A76" s="1216" t="s">
        <v>2305</v>
      </c>
      <c r="B76" s="1216"/>
      <c r="C76" s="1216"/>
      <c r="D76" s="1216"/>
      <c r="E76" s="1216"/>
      <c r="F76" s="1216"/>
      <c r="G76" s="1216"/>
      <c r="H76" s="1216"/>
      <c r="I76" s="1216"/>
      <c r="J76" s="1216"/>
      <c r="K76" s="1216"/>
      <c r="L76" s="1216"/>
      <c r="M76" s="1216"/>
      <c r="N76" s="1216"/>
      <c r="O76" s="1216"/>
      <c r="P76" s="1216"/>
      <c r="Q76" s="1216"/>
      <c r="R76" s="1216"/>
      <c r="S76" s="1216"/>
      <c r="T76" s="1216"/>
      <c r="U76" s="1216"/>
      <c r="V76" s="1216"/>
      <c r="W76" s="1216"/>
      <c r="X76" s="99"/>
    </row>
    <row r="77" spans="1:24" s="79" customFormat="1" ht="27.75" customHeight="1">
      <c r="A77" s="1216" t="s">
        <v>2306</v>
      </c>
      <c r="B77" s="1216"/>
      <c r="C77" s="1216"/>
      <c r="D77" s="1216"/>
      <c r="E77" s="1216"/>
      <c r="F77" s="1216"/>
      <c r="G77" s="1216"/>
      <c r="H77" s="1216"/>
      <c r="I77" s="1216"/>
      <c r="J77" s="1216"/>
      <c r="K77" s="1216"/>
      <c r="L77" s="1216"/>
      <c r="M77" s="1216"/>
      <c r="N77" s="1216"/>
      <c r="O77" s="1216"/>
      <c r="P77" s="1216"/>
      <c r="Q77" s="1216"/>
      <c r="R77" s="1216"/>
      <c r="S77" s="1216"/>
      <c r="T77" s="1216"/>
      <c r="U77" s="1216"/>
      <c r="V77" s="1216"/>
      <c r="W77" s="1216"/>
      <c r="X77" s="99"/>
    </row>
    <row r="78" spans="1:24" s="79" customFormat="1" ht="15.75" customHeight="1">
      <c r="A78" s="1216" t="s">
        <v>2307</v>
      </c>
      <c r="B78" s="1216"/>
      <c r="C78" s="1216"/>
      <c r="D78" s="1216"/>
      <c r="E78" s="1216"/>
      <c r="F78" s="1216"/>
      <c r="G78" s="1216"/>
      <c r="H78" s="1216"/>
      <c r="I78" s="1216"/>
      <c r="J78" s="1216"/>
      <c r="K78" s="1216"/>
      <c r="L78" s="1216"/>
      <c r="M78" s="1216"/>
      <c r="N78" s="1216"/>
      <c r="O78" s="1216"/>
      <c r="P78" s="1216"/>
      <c r="Q78" s="1216"/>
      <c r="R78" s="1216"/>
      <c r="S78" s="1216"/>
      <c r="T78" s="1216"/>
      <c r="U78" s="1216"/>
      <c r="V78" s="1216"/>
      <c r="W78" s="1216"/>
      <c r="X78" s="99"/>
    </row>
    <row r="79" spans="1:24" s="79" customFormat="1" ht="27.75" customHeight="1">
      <c r="A79" s="1216" t="s">
        <v>2308</v>
      </c>
      <c r="B79" s="1216"/>
      <c r="C79" s="1216"/>
      <c r="D79" s="1216"/>
      <c r="E79" s="1216"/>
      <c r="F79" s="1216"/>
      <c r="G79" s="1216"/>
      <c r="H79" s="1216"/>
      <c r="I79" s="1216"/>
      <c r="J79" s="1216"/>
      <c r="K79" s="1216"/>
      <c r="L79" s="1216"/>
      <c r="M79" s="1216"/>
      <c r="N79" s="1216"/>
      <c r="O79" s="1216"/>
      <c r="P79" s="1216"/>
      <c r="Q79" s="1216"/>
      <c r="R79" s="1216"/>
      <c r="S79" s="1216"/>
      <c r="T79" s="1216"/>
      <c r="U79" s="1216"/>
      <c r="V79" s="1216"/>
      <c r="W79" s="1216"/>
      <c r="X79" s="99"/>
    </row>
    <row r="80" spans="1:24" s="79" customFormat="1" ht="21" customHeight="1">
      <c r="A80" s="1302" t="s">
        <v>2309</v>
      </c>
      <c r="B80" s="1302"/>
      <c r="C80" s="1302"/>
      <c r="D80" s="1302"/>
      <c r="E80" s="1302"/>
      <c r="F80" s="1302"/>
      <c r="G80" s="1302"/>
      <c r="H80" s="1302"/>
      <c r="I80" s="1302"/>
      <c r="J80" s="1302"/>
      <c r="K80" s="1302"/>
      <c r="L80" s="1302"/>
      <c r="M80" s="1302"/>
      <c r="N80" s="1302"/>
      <c r="O80" s="1302"/>
      <c r="P80" s="1302"/>
      <c r="Q80" s="1302"/>
      <c r="R80" s="1302"/>
      <c r="S80" s="1302"/>
      <c r="T80" s="1302"/>
      <c r="U80" s="1302"/>
      <c r="V80" s="1302"/>
      <c r="W80" s="1302"/>
      <c r="X80" s="99"/>
    </row>
    <row r="81" spans="1:24" s="79" customFormat="1" ht="30.75" customHeight="1">
      <c r="A81" s="1216" t="s">
        <v>2310</v>
      </c>
      <c r="B81" s="1216"/>
      <c r="C81" s="1216"/>
      <c r="D81" s="1216"/>
      <c r="E81" s="1216"/>
      <c r="F81" s="1216"/>
      <c r="G81" s="1216"/>
      <c r="H81" s="1216"/>
      <c r="I81" s="1216"/>
      <c r="J81" s="1216"/>
      <c r="K81" s="1216"/>
      <c r="L81" s="1216"/>
      <c r="M81" s="1216"/>
      <c r="N81" s="1216"/>
      <c r="O81" s="1216"/>
      <c r="P81" s="1216"/>
      <c r="Q81" s="1216"/>
      <c r="R81" s="1216"/>
      <c r="S81" s="1216"/>
      <c r="T81" s="1216"/>
      <c r="U81" s="1216"/>
      <c r="V81" s="1216"/>
      <c r="W81" s="1216"/>
      <c r="X81" s="99"/>
    </row>
    <row r="82" spans="1:24" s="79" customFormat="1" ht="27.75" customHeight="1">
      <c r="A82" s="1216" t="s">
        <v>2311</v>
      </c>
      <c r="B82" s="1216"/>
      <c r="C82" s="1216"/>
      <c r="D82" s="1216"/>
      <c r="E82" s="1216"/>
      <c r="F82" s="1216"/>
      <c r="G82" s="1216"/>
      <c r="H82" s="1216"/>
      <c r="I82" s="1216"/>
      <c r="J82" s="1216"/>
      <c r="K82" s="1216"/>
      <c r="L82" s="1216"/>
      <c r="M82" s="1216"/>
      <c r="N82" s="1216"/>
      <c r="O82" s="1216"/>
      <c r="P82" s="1216"/>
      <c r="Q82" s="1216"/>
      <c r="R82" s="1216"/>
      <c r="S82" s="1216"/>
      <c r="T82" s="1216"/>
      <c r="U82" s="1216"/>
      <c r="V82" s="1216"/>
      <c r="W82" s="1216"/>
      <c r="X82" s="99"/>
    </row>
    <row r="83" spans="1:24" s="79" customFormat="1" ht="27.75" customHeight="1">
      <c r="A83" s="1216" t="s">
        <v>2312</v>
      </c>
      <c r="B83" s="1216"/>
      <c r="C83" s="1216"/>
      <c r="D83" s="1216"/>
      <c r="E83" s="1216"/>
      <c r="F83" s="1216"/>
      <c r="G83" s="1216"/>
      <c r="H83" s="1216"/>
      <c r="I83" s="1216"/>
      <c r="J83" s="1216"/>
      <c r="K83" s="1216"/>
      <c r="L83" s="1216"/>
      <c r="M83" s="1216"/>
      <c r="N83" s="1216"/>
      <c r="O83" s="1216"/>
      <c r="P83" s="1216"/>
      <c r="Q83" s="1216"/>
      <c r="R83" s="1216"/>
      <c r="S83" s="1216"/>
      <c r="T83" s="1216"/>
      <c r="U83" s="1216"/>
      <c r="V83" s="1216"/>
      <c r="W83" s="1216"/>
      <c r="X83" s="99"/>
    </row>
    <row r="84" spans="1:24" s="79" customFormat="1" ht="12.75" customHeight="1">
      <c r="A84" s="1216" t="s">
        <v>2759</v>
      </c>
      <c r="B84" s="1216"/>
      <c r="C84" s="1216"/>
      <c r="D84" s="1216"/>
      <c r="E84" s="1216"/>
      <c r="F84" s="1216"/>
      <c r="G84" s="1216"/>
      <c r="H84" s="1216"/>
      <c r="I84" s="1216"/>
      <c r="J84" s="1216"/>
      <c r="K84" s="1216"/>
      <c r="L84" s="1216"/>
      <c r="M84" s="1216"/>
      <c r="N84" s="1216"/>
      <c r="O84" s="1216"/>
      <c r="P84" s="1216"/>
      <c r="Q84" s="1216"/>
      <c r="R84" s="1216"/>
      <c r="S84" s="1216"/>
      <c r="T84" s="1216"/>
      <c r="U84" s="1216"/>
      <c r="V84" s="1216"/>
      <c r="W84" s="1216"/>
      <c r="X84" s="99"/>
    </row>
    <row r="85" spans="1:24" s="79" customFormat="1" ht="93" customHeight="1">
      <c r="A85" s="1287" t="s">
        <v>3336</v>
      </c>
      <c r="B85" s="1216"/>
      <c r="C85" s="1216"/>
      <c r="D85" s="1216"/>
      <c r="E85" s="1216"/>
      <c r="F85" s="1216"/>
      <c r="G85" s="1216"/>
      <c r="H85" s="1216"/>
      <c r="I85" s="1216"/>
      <c r="J85" s="1216"/>
      <c r="K85" s="1216"/>
      <c r="L85" s="1216"/>
      <c r="M85" s="1216"/>
      <c r="N85" s="1216"/>
      <c r="O85" s="1216"/>
      <c r="P85" s="1216"/>
      <c r="Q85" s="1216"/>
      <c r="R85" s="1216"/>
      <c r="S85" s="1216"/>
      <c r="T85" s="1216"/>
      <c r="U85" s="1216"/>
      <c r="V85" s="1216"/>
      <c r="W85" s="1216"/>
      <c r="X85" s="99"/>
    </row>
    <row r="86" spans="1:24" s="79" customFormat="1">
      <c r="A86" s="1406" t="s">
        <v>2313</v>
      </c>
      <c r="B86" s="1406"/>
      <c r="C86" s="1406"/>
      <c r="D86" s="1406"/>
      <c r="E86" s="1406"/>
      <c r="F86" s="1406"/>
      <c r="G86" s="1406"/>
      <c r="H86" s="1406"/>
      <c r="I86" s="1406"/>
      <c r="J86" s="1406"/>
      <c r="K86" s="1406"/>
      <c r="L86" s="1406"/>
      <c r="M86" s="1406"/>
      <c r="N86" s="1406"/>
      <c r="O86" s="1406"/>
      <c r="P86" s="1406"/>
      <c r="Q86" s="1406"/>
      <c r="R86" s="1406"/>
      <c r="S86" s="1406"/>
      <c r="T86" s="1406"/>
      <c r="U86" s="1406"/>
      <c r="V86" s="1406"/>
      <c r="W86" s="1406"/>
    </row>
    <row r="87" spans="1:24" s="79" customFormat="1" ht="51.75" customHeight="1">
      <c r="A87" s="1216" t="s">
        <v>2314</v>
      </c>
      <c r="B87" s="1216"/>
      <c r="C87" s="1216"/>
      <c r="D87" s="1216"/>
      <c r="E87" s="1216"/>
      <c r="F87" s="1216"/>
      <c r="G87" s="1216"/>
      <c r="H87" s="1216"/>
      <c r="I87" s="1216"/>
      <c r="J87" s="1216"/>
      <c r="K87" s="1216"/>
      <c r="L87" s="1216"/>
      <c r="M87" s="1216"/>
      <c r="N87" s="1216"/>
      <c r="O87" s="1216"/>
      <c r="P87" s="1216"/>
      <c r="Q87" s="1216"/>
      <c r="R87" s="1216"/>
      <c r="S87" s="1216"/>
      <c r="T87" s="1216"/>
      <c r="U87" s="1216"/>
      <c r="V87" s="1216"/>
      <c r="W87" s="1216"/>
    </row>
    <row r="88" spans="1:24" s="79" customFormat="1" ht="30" customHeight="1">
      <c r="A88" s="1216" t="s">
        <v>2315</v>
      </c>
      <c r="B88" s="1216"/>
      <c r="C88" s="1216"/>
      <c r="D88" s="1216"/>
      <c r="E88" s="1216"/>
      <c r="F88" s="1216"/>
      <c r="G88" s="1216"/>
      <c r="H88" s="1216"/>
      <c r="I88" s="1216"/>
      <c r="J88" s="1216"/>
      <c r="K88" s="1216"/>
      <c r="L88" s="1216"/>
      <c r="M88" s="1216"/>
      <c r="N88" s="1216"/>
      <c r="O88" s="1216"/>
      <c r="P88" s="1216"/>
      <c r="Q88" s="1216"/>
      <c r="R88" s="1216"/>
      <c r="S88" s="1216"/>
      <c r="T88" s="1216"/>
      <c r="U88" s="1216"/>
      <c r="V88" s="1216"/>
      <c r="W88" s="1216"/>
    </row>
    <row r="89" spans="1:24" s="79" customFormat="1" ht="45.75" customHeight="1">
      <c r="A89" s="1216" t="s">
        <v>2316</v>
      </c>
      <c r="B89" s="1216"/>
      <c r="C89" s="1216"/>
      <c r="D89" s="1216"/>
      <c r="E89" s="1216"/>
      <c r="F89" s="1216"/>
      <c r="G89" s="1216"/>
      <c r="H89" s="1216"/>
      <c r="I89" s="1216"/>
      <c r="J89" s="1216"/>
      <c r="K89" s="1216"/>
      <c r="L89" s="1216"/>
      <c r="M89" s="1216"/>
      <c r="N89" s="1216"/>
      <c r="O89" s="1216"/>
      <c r="P89" s="1216"/>
      <c r="Q89" s="1216"/>
      <c r="R89" s="1216"/>
      <c r="S89" s="1216"/>
      <c r="T89" s="1216"/>
      <c r="U89" s="1216"/>
      <c r="V89" s="1216"/>
      <c r="W89" s="1216"/>
    </row>
    <row r="90" spans="1:24" s="79" customFormat="1" ht="72.75" customHeight="1">
      <c r="A90" s="1216" t="s">
        <v>2317</v>
      </c>
      <c r="B90" s="1216"/>
      <c r="C90" s="1216"/>
      <c r="D90" s="1216"/>
      <c r="E90" s="1216"/>
      <c r="F90" s="1216"/>
      <c r="G90" s="1216"/>
      <c r="H90" s="1216"/>
      <c r="I90" s="1216"/>
      <c r="J90" s="1216"/>
      <c r="K90" s="1216"/>
      <c r="L90" s="1216"/>
      <c r="M90" s="1216"/>
      <c r="N90" s="1216"/>
      <c r="O90" s="1216"/>
      <c r="P90" s="1216"/>
      <c r="Q90" s="1216"/>
      <c r="R90" s="1216"/>
      <c r="S90" s="1216"/>
      <c r="T90" s="1216"/>
      <c r="U90" s="1216"/>
      <c r="V90" s="1216"/>
      <c r="W90" s="1216"/>
    </row>
    <row r="91" spans="1:24" s="79" customFormat="1" ht="58.5" customHeight="1">
      <c r="A91" s="1216" t="s">
        <v>2318</v>
      </c>
      <c r="B91" s="1216"/>
      <c r="C91" s="1216"/>
      <c r="D91" s="1216"/>
      <c r="E91" s="1216"/>
      <c r="F91" s="1216"/>
      <c r="G91" s="1216"/>
      <c r="H91" s="1216"/>
      <c r="I91" s="1216"/>
      <c r="J91" s="1216"/>
      <c r="K91" s="1216"/>
      <c r="L91" s="1216"/>
      <c r="M91" s="1216"/>
      <c r="N91" s="1216"/>
      <c r="O91" s="1216"/>
      <c r="P91" s="1216"/>
      <c r="Q91" s="1216"/>
      <c r="R91" s="1216"/>
      <c r="S91" s="1216"/>
      <c r="T91" s="1216"/>
      <c r="U91" s="1216"/>
      <c r="V91" s="1216"/>
      <c r="W91" s="1216"/>
    </row>
    <row r="92" spans="1:24" s="79" customFormat="1" ht="19.5" customHeight="1">
      <c r="A92" s="1216" t="s">
        <v>2319</v>
      </c>
      <c r="B92" s="1216"/>
      <c r="C92" s="1216"/>
      <c r="D92" s="1216"/>
      <c r="E92" s="1216"/>
      <c r="F92" s="1216"/>
      <c r="G92" s="1216"/>
      <c r="H92" s="1216"/>
      <c r="I92" s="1216"/>
      <c r="J92" s="1216"/>
      <c r="K92" s="1216"/>
      <c r="L92" s="1216"/>
      <c r="M92" s="1216"/>
      <c r="N92" s="1216"/>
      <c r="O92" s="1216"/>
      <c r="P92" s="1216"/>
      <c r="Q92" s="1216"/>
      <c r="R92" s="1216"/>
      <c r="S92" s="1216"/>
      <c r="T92" s="1216"/>
      <c r="U92" s="1216"/>
      <c r="V92" s="1216"/>
      <c r="W92" s="1216"/>
    </row>
    <row r="93" spans="1:24" s="79" customFormat="1" ht="114" customHeight="1">
      <c r="A93" s="1216" t="s">
        <v>2760</v>
      </c>
      <c r="B93" s="1216"/>
      <c r="C93" s="1216"/>
      <c r="D93" s="1216"/>
      <c r="E93" s="1216"/>
      <c r="F93" s="1216"/>
      <c r="G93" s="1216"/>
      <c r="H93" s="1216"/>
      <c r="I93" s="1216"/>
      <c r="J93" s="1216"/>
      <c r="K93" s="1216"/>
      <c r="L93" s="1216"/>
      <c r="M93" s="1216"/>
      <c r="N93" s="1216"/>
      <c r="O93" s="1216"/>
      <c r="P93" s="1216"/>
      <c r="Q93" s="1216"/>
      <c r="R93" s="1216"/>
      <c r="S93" s="1216"/>
      <c r="T93" s="1216"/>
      <c r="U93" s="1216"/>
      <c r="V93" s="1216"/>
      <c r="W93" s="1216"/>
    </row>
    <row r="94" spans="1:24" s="79" customFormat="1" ht="58.5" customHeight="1">
      <c r="A94" s="1216" t="s">
        <v>2320</v>
      </c>
      <c r="B94" s="1216"/>
      <c r="C94" s="1216"/>
      <c r="D94" s="1216"/>
      <c r="E94" s="1216"/>
      <c r="F94" s="1216"/>
      <c r="G94" s="1216"/>
      <c r="H94" s="1216"/>
      <c r="I94" s="1216"/>
      <c r="J94" s="1216"/>
      <c r="K94" s="1216"/>
      <c r="L94" s="1216"/>
      <c r="M94" s="1216"/>
      <c r="N94" s="1216"/>
      <c r="O94" s="1216"/>
      <c r="P94" s="1216"/>
      <c r="Q94" s="1216"/>
      <c r="R94" s="1216"/>
      <c r="S94" s="1216"/>
      <c r="T94" s="1216"/>
      <c r="U94" s="1216"/>
      <c r="V94" s="1216"/>
      <c r="W94" s="1216"/>
    </row>
    <row r="95" spans="1:24" s="79" customFormat="1" ht="35.25" customHeight="1">
      <c r="A95" s="1216" t="s">
        <v>2321</v>
      </c>
      <c r="B95" s="1216"/>
      <c r="C95" s="1216"/>
      <c r="D95" s="1216"/>
      <c r="E95" s="1216"/>
      <c r="F95" s="1216"/>
      <c r="G95" s="1216"/>
      <c r="H95" s="1216"/>
      <c r="I95" s="1216"/>
      <c r="J95" s="1216"/>
      <c r="K95" s="1216"/>
      <c r="L95" s="1216"/>
      <c r="M95" s="1216"/>
      <c r="N95" s="1216"/>
      <c r="O95" s="1216"/>
      <c r="P95" s="1216"/>
      <c r="Q95" s="1216"/>
      <c r="R95" s="1216"/>
      <c r="S95" s="1216"/>
      <c r="T95" s="1216"/>
      <c r="U95" s="1216"/>
      <c r="V95" s="1216"/>
      <c r="W95" s="1216"/>
    </row>
    <row r="96" spans="1:24" s="79" customFormat="1" ht="20.25" customHeight="1">
      <c r="A96" s="1216" t="s">
        <v>2322</v>
      </c>
      <c r="B96" s="1216"/>
      <c r="C96" s="1216"/>
      <c r="D96" s="1216"/>
      <c r="E96" s="1216"/>
      <c r="F96" s="1216"/>
      <c r="G96" s="1216"/>
      <c r="H96" s="1216"/>
      <c r="I96" s="1216"/>
      <c r="J96" s="1216"/>
      <c r="K96" s="1216"/>
      <c r="L96" s="1216"/>
      <c r="M96" s="1216"/>
      <c r="N96" s="1216"/>
      <c r="O96" s="1216"/>
      <c r="P96" s="1216"/>
      <c r="Q96" s="1216"/>
      <c r="R96" s="1216"/>
      <c r="S96" s="1216"/>
      <c r="T96" s="1216"/>
      <c r="U96" s="1216"/>
      <c r="V96" s="1216"/>
      <c r="W96" s="1216"/>
    </row>
    <row r="97" spans="1:24" s="79" customFormat="1" ht="34.5" customHeight="1">
      <c r="A97" s="1216" t="s">
        <v>2323</v>
      </c>
      <c r="B97" s="1216"/>
      <c r="C97" s="1216"/>
      <c r="D97" s="1216"/>
      <c r="E97" s="1216"/>
      <c r="F97" s="1216"/>
      <c r="G97" s="1216"/>
      <c r="H97" s="1216"/>
      <c r="I97" s="1216"/>
      <c r="J97" s="1216"/>
      <c r="K97" s="1216"/>
      <c r="L97" s="1216"/>
      <c r="M97" s="1216"/>
      <c r="N97" s="1216"/>
      <c r="O97" s="1216"/>
      <c r="P97" s="1216"/>
      <c r="Q97" s="1216"/>
      <c r="R97" s="1216"/>
      <c r="S97" s="1216"/>
      <c r="T97" s="1216"/>
      <c r="U97" s="1216"/>
      <c r="V97" s="1216"/>
      <c r="W97" s="1216"/>
    </row>
    <row r="98" spans="1:24" s="79" customFormat="1" ht="21" customHeight="1">
      <c r="A98" s="1216" t="s">
        <v>2324</v>
      </c>
      <c r="B98" s="1216"/>
      <c r="C98" s="1216"/>
      <c r="D98" s="1216"/>
      <c r="E98" s="1216"/>
      <c r="F98" s="1216"/>
      <c r="G98" s="1216"/>
      <c r="H98" s="1216"/>
      <c r="I98" s="1216"/>
      <c r="J98" s="1216"/>
      <c r="K98" s="1216"/>
      <c r="L98" s="1216"/>
      <c r="M98" s="1216"/>
      <c r="N98" s="1216"/>
      <c r="O98" s="1216"/>
      <c r="P98" s="1216"/>
      <c r="Q98" s="1216"/>
      <c r="R98" s="1216"/>
      <c r="S98" s="1216"/>
      <c r="T98" s="1216"/>
      <c r="U98" s="1216"/>
      <c r="V98" s="1216"/>
      <c r="W98" s="1216"/>
    </row>
    <row r="99" spans="1:24" s="79" customFormat="1" ht="28.5" customHeight="1">
      <c r="A99" s="1216" t="s">
        <v>2325</v>
      </c>
      <c r="B99" s="1216"/>
      <c r="C99" s="1216"/>
      <c r="D99" s="1216"/>
      <c r="E99" s="1216"/>
      <c r="F99" s="1216"/>
      <c r="G99" s="1216"/>
      <c r="H99" s="1216"/>
      <c r="I99" s="1216"/>
      <c r="J99" s="1216"/>
      <c r="K99" s="1216"/>
      <c r="L99" s="1216"/>
      <c r="M99" s="1216"/>
      <c r="N99" s="1216"/>
      <c r="O99" s="1216"/>
      <c r="P99" s="1216"/>
      <c r="Q99" s="1216"/>
      <c r="R99" s="1216"/>
      <c r="S99" s="1216"/>
      <c r="T99" s="1216"/>
      <c r="U99" s="1216"/>
      <c r="V99" s="1216"/>
      <c r="W99" s="1216"/>
    </row>
    <row r="100" spans="1:24" s="79" customFormat="1" ht="25.5" customHeight="1">
      <c r="A100" s="1216" t="s">
        <v>2761</v>
      </c>
      <c r="B100" s="1216"/>
      <c r="C100" s="1216"/>
      <c r="D100" s="1216"/>
      <c r="E100" s="1216"/>
      <c r="F100" s="1216"/>
      <c r="G100" s="1216"/>
      <c r="H100" s="1216"/>
      <c r="I100" s="1216"/>
      <c r="J100" s="1216"/>
      <c r="K100" s="1216"/>
      <c r="L100" s="1216"/>
      <c r="M100" s="1216"/>
      <c r="N100" s="1216"/>
      <c r="O100" s="1216"/>
      <c r="P100" s="1216"/>
      <c r="Q100" s="1216"/>
      <c r="R100" s="1216"/>
      <c r="S100" s="1216"/>
      <c r="T100" s="1216"/>
      <c r="U100" s="1216"/>
      <c r="V100" s="1216"/>
      <c r="W100" s="1216"/>
    </row>
    <row r="101" spans="1:24" s="79" customFormat="1" ht="97.5" customHeight="1">
      <c r="A101" s="1216" t="s">
        <v>2762</v>
      </c>
      <c r="B101" s="1216"/>
      <c r="C101" s="1216"/>
      <c r="D101" s="1216"/>
      <c r="E101" s="1216"/>
      <c r="F101" s="1216"/>
      <c r="G101" s="1216"/>
      <c r="H101" s="1216"/>
      <c r="I101" s="1216"/>
      <c r="J101" s="1216"/>
      <c r="K101" s="1216"/>
      <c r="L101" s="1216"/>
      <c r="M101" s="1216"/>
      <c r="N101" s="1216"/>
      <c r="O101" s="1216"/>
      <c r="P101" s="1216"/>
      <c r="Q101" s="1216"/>
      <c r="R101" s="1216"/>
      <c r="S101" s="1216"/>
      <c r="T101" s="1216"/>
      <c r="U101" s="1216"/>
      <c r="V101" s="1216"/>
      <c r="W101" s="1216"/>
    </row>
    <row r="102" spans="1:24" s="79" customFormat="1" ht="41.25" customHeight="1">
      <c r="A102" s="1216" t="s">
        <v>2326</v>
      </c>
      <c r="B102" s="1216"/>
      <c r="C102" s="1216"/>
      <c r="D102" s="1216"/>
      <c r="E102" s="1216"/>
      <c r="F102" s="1216"/>
      <c r="G102" s="1216"/>
      <c r="H102" s="1216"/>
      <c r="I102" s="1216"/>
      <c r="J102" s="1216"/>
      <c r="K102" s="1216"/>
      <c r="L102" s="1216"/>
      <c r="M102" s="1216"/>
      <c r="N102" s="1216"/>
      <c r="O102" s="1216"/>
      <c r="P102" s="1216"/>
      <c r="Q102" s="1216"/>
      <c r="R102" s="1216"/>
      <c r="S102" s="1216"/>
      <c r="T102" s="1216"/>
      <c r="U102" s="1216"/>
      <c r="V102" s="1216"/>
      <c r="W102" s="1216"/>
    </row>
    <row r="103" spans="1:24" s="79" customFormat="1" ht="22.5" customHeight="1">
      <c r="A103" s="1216" t="s">
        <v>2763</v>
      </c>
      <c r="B103" s="1216"/>
      <c r="C103" s="1216"/>
      <c r="D103" s="1216"/>
      <c r="E103" s="1216"/>
      <c r="F103" s="1216"/>
      <c r="G103" s="1216"/>
      <c r="H103" s="1216"/>
      <c r="I103" s="1216"/>
      <c r="J103" s="1216"/>
      <c r="K103" s="1216"/>
      <c r="L103" s="1216"/>
      <c r="M103" s="1216"/>
      <c r="N103" s="1216"/>
      <c r="O103" s="1216"/>
      <c r="P103" s="1216"/>
      <c r="Q103" s="1216"/>
      <c r="R103" s="1216"/>
      <c r="S103" s="1216"/>
      <c r="T103" s="1216"/>
      <c r="U103" s="1216"/>
      <c r="V103" s="1216"/>
      <c r="W103" s="1216"/>
    </row>
    <row r="104" spans="1:24" s="79" customFormat="1" ht="73.5" customHeight="1">
      <c r="A104" s="1216" t="s">
        <v>2327</v>
      </c>
      <c r="B104" s="1216"/>
      <c r="C104" s="1216"/>
      <c r="D104" s="1216"/>
      <c r="E104" s="1216"/>
      <c r="F104" s="1216"/>
      <c r="G104" s="1216"/>
      <c r="H104" s="1216"/>
      <c r="I104" s="1216"/>
      <c r="J104" s="1216"/>
      <c r="K104" s="1216"/>
      <c r="L104" s="1216"/>
      <c r="M104" s="1216"/>
      <c r="N104" s="1216"/>
      <c r="O104" s="1216"/>
      <c r="P104" s="1216"/>
      <c r="Q104" s="1216"/>
      <c r="R104" s="1216"/>
      <c r="S104" s="1216"/>
      <c r="T104" s="1216"/>
      <c r="U104" s="1216"/>
      <c r="V104" s="1216"/>
      <c r="W104" s="1216"/>
    </row>
    <row r="105" spans="1:24" s="79" customFormat="1" ht="45" customHeight="1">
      <c r="A105" s="1216" t="s">
        <v>2328</v>
      </c>
      <c r="B105" s="1216"/>
      <c r="C105" s="1216"/>
      <c r="D105" s="1216"/>
      <c r="E105" s="1216"/>
      <c r="F105" s="1216"/>
      <c r="G105" s="1216"/>
      <c r="H105" s="1216"/>
      <c r="I105" s="1216"/>
      <c r="J105" s="1216"/>
      <c r="K105" s="1216"/>
      <c r="L105" s="1216"/>
      <c r="M105" s="1216"/>
      <c r="N105" s="1216"/>
      <c r="O105" s="1216"/>
      <c r="P105" s="1216"/>
      <c r="Q105" s="1216"/>
      <c r="R105" s="1216"/>
      <c r="S105" s="1216"/>
      <c r="T105" s="1216"/>
      <c r="U105" s="1216"/>
      <c r="V105" s="1216"/>
      <c r="W105" s="1216"/>
    </row>
    <row r="106" spans="1:24" s="79" customFormat="1" ht="33" customHeight="1">
      <c r="A106" s="1216" t="s">
        <v>2329</v>
      </c>
      <c r="B106" s="1216"/>
      <c r="C106" s="1216"/>
      <c r="D106" s="1216"/>
      <c r="E106" s="1216"/>
      <c r="F106" s="1216"/>
      <c r="G106" s="1216"/>
      <c r="H106" s="1216"/>
      <c r="I106" s="1216"/>
      <c r="J106" s="1216"/>
      <c r="K106" s="1216"/>
      <c r="L106" s="1216"/>
      <c r="M106" s="1216"/>
      <c r="N106" s="1216"/>
      <c r="O106" s="1216"/>
      <c r="P106" s="1216"/>
      <c r="Q106" s="1216"/>
      <c r="R106" s="1216"/>
      <c r="S106" s="1216"/>
      <c r="T106" s="1216"/>
      <c r="U106" s="1216"/>
      <c r="V106" s="1216"/>
      <c r="W106" s="1216"/>
    </row>
    <row r="107" spans="1:24" s="79" customFormat="1" ht="41.25" customHeight="1">
      <c r="A107" s="1216" t="s">
        <v>2330</v>
      </c>
      <c r="B107" s="1216"/>
      <c r="C107" s="1216"/>
      <c r="D107" s="1216"/>
      <c r="E107" s="1216"/>
      <c r="F107" s="1216"/>
      <c r="G107" s="1216"/>
      <c r="H107" s="1216"/>
      <c r="I107" s="1216"/>
      <c r="J107" s="1216"/>
      <c r="K107" s="1216"/>
      <c r="L107" s="1216"/>
      <c r="M107" s="1216"/>
      <c r="N107" s="1216"/>
      <c r="O107" s="1216"/>
      <c r="P107" s="1216"/>
      <c r="Q107" s="1216"/>
      <c r="R107" s="1216"/>
      <c r="S107" s="1216"/>
      <c r="T107" s="1216"/>
      <c r="U107" s="1216"/>
      <c r="V107" s="1216"/>
      <c r="W107" s="1216"/>
    </row>
    <row r="108" spans="1:24" s="79" customFormat="1" ht="23.25" customHeight="1">
      <c r="A108" s="1216" t="s">
        <v>2331</v>
      </c>
      <c r="B108" s="1216"/>
      <c r="C108" s="1216"/>
      <c r="D108" s="1216"/>
      <c r="E108" s="1216"/>
      <c r="F108" s="1216"/>
      <c r="G108" s="1216"/>
      <c r="H108" s="1216"/>
      <c r="I108" s="1216"/>
      <c r="J108" s="1216"/>
      <c r="K108" s="1216"/>
      <c r="L108" s="1216"/>
      <c r="M108" s="1216"/>
      <c r="N108" s="1216"/>
      <c r="O108" s="1216"/>
      <c r="P108" s="1216"/>
      <c r="Q108" s="1216"/>
      <c r="R108" s="1216"/>
      <c r="S108" s="1216"/>
      <c r="T108" s="1216"/>
      <c r="U108" s="1216"/>
      <c r="V108" s="1216"/>
      <c r="W108" s="1216"/>
    </row>
    <row r="109" spans="1:24" s="79" customFormat="1" ht="96" customHeight="1">
      <c r="A109" s="1216" t="s">
        <v>2332</v>
      </c>
      <c r="B109" s="1216"/>
      <c r="C109" s="1216"/>
      <c r="D109" s="1216"/>
      <c r="E109" s="1216"/>
      <c r="F109" s="1216"/>
      <c r="G109" s="1216"/>
      <c r="H109" s="1216"/>
      <c r="I109" s="1216"/>
      <c r="J109" s="1216"/>
      <c r="K109" s="1216"/>
      <c r="L109" s="1216"/>
      <c r="M109" s="1216"/>
      <c r="N109" s="1216"/>
      <c r="O109" s="1216"/>
      <c r="P109" s="1216"/>
      <c r="Q109" s="1216"/>
      <c r="R109" s="1216"/>
      <c r="S109" s="1216"/>
      <c r="T109" s="1216"/>
      <c r="U109" s="1216"/>
      <c r="V109" s="1216"/>
      <c r="W109" s="1216"/>
    </row>
    <row r="110" spans="1:24" s="79" customFormat="1" ht="43.5" customHeight="1">
      <c r="A110" s="1216" t="s">
        <v>2333</v>
      </c>
      <c r="B110" s="1216"/>
      <c r="C110" s="1216"/>
      <c r="D110" s="1216"/>
      <c r="E110" s="1216"/>
      <c r="F110" s="1216"/>
      <c r="G110" s="1216"/>
      <c r="H110" s="1216"/>
      <c r="I110" s="1216"/>
      <c r="J110" s="1216"/>
      <c r="K110" s="1216"/>
      <c r="L110" s="1216"/>
      <c r="M110" s="1216"/>
      <c r="N110" s="1216"/>
      <c r="O110" s="1216"/>
      <c r="P110" s="1216"/>
      <c r="Q110" s="1216"/>
      <c r="R110" s="1216"/>
      <c r="S110" s="1216"/>
      <c r="T110" s="1216"/>
      <c r="U110" s="1216"/>
      <c r="V110" s="1216"/>
      <c r="W110" s="1216"/>
    </row>
    <row r="111" spans="1:24" s="79" customFormat="1">
      <c r="A111" s="1406" t="s">
        <v>2285</v>
      </c>
      <c r="B111" s="1406"/>
      <c r="C111" s="1406"/>
      <c r="D111" s="1406"/>
      <c r="E111" s="1406"/>
      <c r="F111" s="1406"/>
      <c r="G111" s="1406"/>
      <c r="H111" s="1406"/>
      <c r="I111" s="1406"/>
      <c r="J111" s="1406"/>
      <c r="K111" s="1406"/>
      <c r="L111" s="1406"/>
      <c r="M111" s="1406"/>
      <c r="N111" s="1406"/>
      <c r="O111" s="1406"/>
      <c r="P111" s="1406"/>
      <c r="Q111" s="1406"/>
      <c r="R111" s="1406"/>
      <c r="S111" s="1406"/>
      <c r="T111" s="1406"/>
      <c r="U111" s="1406"/>
      <c r="V111" s="1406"/>
      <c r="W111" s="1406"/>
    </row>
    <row r="112" spans="1:24" s="79" customFormat="1" ht="33" customHeight="1">
      <c r="A112" s="1216" t="s">
        <v>2334</v>
      </c>
      <c r="B112" s="1216"/>
      <c r="C112" s="1216"/>
      <c r="D112" s="1216"/>
      <c r="E112" s="1216"/>
      <c r="F112" s="1216"/>
      <c r="G112" s="1216"/>
      <c r="H112" s="1216"/>
      <c r="I112" s="1216"/>
      <c r="J112" s="1216"/>
      <c r="K112" s="1216"/>
      <c r="L112" s="1216"/>
      <c r="M112" s="1216"/>
      <c r="N112" s="1216"/>
      <c r="O112" s="1216"/>
      <c r="P112" s="1216"/>
      <c r="Q112" s="1216"/>
      <c r="R112" s="1216"/>
      <c r="S112" s="1216"/>
      <c r="T112" s="1216"/>
      <c r="U112" s="1216"/>
      <c r="V112" s="1216"/>
      <c r="W112" s="1216"/>
      <c r="X112" s="99"/>
    </row>
    <row r="113" spans="1:24" s="79" customFormat="1">
      <c r="A113" s="1216"/>
      <c r="B113" s="1216"/>
      <c r="C113" s="1216"/>
      <c r="D113" s="1216"/>
      <c r="E113" s="1216"/>
      <c r="F113" s="1216"/>
      <c r="G113" s="1216"/>
      <c r="H113" s="1216"/>
      <c r="I113" s="1216"/>
      <c r="J113" s="1216"/>
      <c r="K113" s="1216"/>
      <c r="L113" s="1216"/>
      <c r="M113" s="1216"/>
      <c r="N113" s="1216"/>
      <c r="O113" s="1216"/>
      <c r="P113" s="1216"/>
      <c r="Q113" s="1216"/>
      <c r="R113" s="1216"/>
      <c r="S113" s="1216"/>
      <c r="T113" s="1216"/>
      <c r="U113" s="1216"/>
      <c r="V113" s="1216"/>
      <c r="W113" s="1216"/>
      <c r="X113" s="99"/>
    </row>
    <row r="114" spans="1:24" s="79" customFormat="1" ht="12.75" customHeight="1">
      <c r="A114" s="1216" t="s">
        <v>2764</v>
      </c>
      <c r="B114" s="1216"/>
      <c r="C114" s="1216"/>
      <c r="D114" s="1216"/>
      <c r="E114" s="1216"/>
      <c r="F114" s="1216"/>
      <c r="G114" s="1216"/>
      <c r="H114" s="1216"/>
      <c r="I114" s="1216"/>
      <c r="J114" s="1216"/>
      <c r="K114" s="1216"/>
      <c r="L114" s="1216"/>
      <c r="M114" s="1216"/>
      <c r="N114" s="1216"/>
      <c r="O114" s="1216"/>
      <c r="P114" s="1216"/>
      <c r="Q114" s="1216"/>
      <c r="R114" s="1216"/>
      <c r="S114" s="1216"/>
      <c r="T114" s="1216"/>
      <c r="U114" s="1216"/>
      <c r="V114" s="1216"/>
      <c r="W114" s="1216"/>
      <c r="X114" s="99"/>
    </row>
    <row r="115" spans="1:24" s="79" customFormat="1" ht="351.75" customHeight="1">
      <c r="A115" s="1407" t="s">
        <v>2765</v>
      </c>
      <c r="B115" s="1407"/>
      <c r="C115" s="1407"/>
      <c r="D115" s="1407"/>
      <c r="E115" s="1407"/>
      <c r="F115" s="1407"/>
      <c r="G115" s="1407"/>
      <c r="H115" s="1407"/>
      <c r="I115" s="1407"/>
      <c r="J115" s="1407"/>
      <c r="K115" s="1407"/>
      <c r="L115" s="1407"/>
      <c r="M115" s="1407"/>
      <c r="N115" s="1407"/>
      <c r="O115" s="1407"/>
      <c r="P115" s="1407"/>
      <c r="Q115" s="1407"/>
      <c r="R115" s="1407"/>
      <c r="S115" s="1407"/>
      <c r="T115" s="1407"/>
      <c r="U115" s="1407"/>
      <c r="V115" s="1407"/>
      <c r="W115" s="1407"/>
      <c r="X115" s="99"/>
    </row>
    <row r="116" spans="1:24" s="79" customFormat="1" ht="18.75" customHeight="1">
      <c r="A116" s="1216"/>
      <c r="B116" s="1216"/>
      <c r="C116" s="1216"/>
      <c r="D116" s="1216"/>
      <c r="E116" s="1216"/>
      <c r="F116" s="1216"/>
      <c r="G116" s="1216"/>
      <c r="H116" s="1216"/>
      <c r="I116" s="1216"/>
      <c r="J116" s="1216"/>
      <c r="K116" s="1216"/>
      <c r="L116" s="1216"/>
      <c r="M116" s="1216"/>
      <c r="N116" s="1216"/>
      <c r="O116" s="1216"/>
      <c r="P116" s="1216"/>
      <c r="Q116" s="1216"/>
      <c r="R116" s="1216"/>
      <c r="S116" s="1216"/>
      <c r="T116" s="1216"/>
      <c r="U116" s="1216"/>
      <c r="V116" s="1216"/>
      <c r="W116" s="1216"/>
      <c r="X116" s="99"/>
    </row>
    <row r="117" spans="1:24" s="79" customFormat="1" ht="164.25" customHeight="1">
      <c r="A117" s="1303" t="s">
        <v>2335</v>
      </c>
      <c r="B117" s="1303"/>
      <c r="C117" s="1303"/>
      <c r="D117" s="1303"/>
      <c r="E117" s="1303"/>
      <c r="F117" s="1303"/>
      <c r="G117" s="1303"/>
      <c r="H117" s="1303"/>
      <c r="I117" s="1303"/>
      <c r="J117" s="1303"/>
      <c r="K117" s="1303"/>
      <c r="L117" s="1303"/>
      <c r="M117" s="1303"/>
      <c r="N117" s="1303"/>
      <c r="O117" s="1303"/>
      <c r="P117" s="1303"/>
      <c r="Q117" s="1303"/>
      <c r="R117" s="1303"/>
      <c r="S117" s="1303"/>
      <c r="T117" s="1303"/>
      <c r="U117" s="1303"/>
      <c r="V117" s="1303"/>
      <c r="W117" s="1303"/>
      <c r="X117" s="99"/>
    </row>
    <row r="118" spans="1:24" s="79" customFormat="1" ht="33" customHeight="1">
      <c r="A118" s="1216" t="s">
        <v>2336</v>
      </c>
      <c r="B118" s="1216"/>
      <c r="C118" s="1216"/>
      <c r="D118" s="1216"/>
      <c r="E118" s="1216"/>
      <c r="F118" s="1216"/>
      <c r="G118" s="1216"/>
      <c r="H118" s="1216"/>
      <c r="I118" s="1216"/>
      <c r="J118" s="1216"/>
      <c r="K118" s="1216"/>
      <c r="L118" s="1216"/>
      <c r="M118" s="1216"/>
      <c r="N118" s="1216"/>
      <c r="O118" s="1216"/>
      <c r="P118" s="1216"/>
      <c r="Q118" s="1216"/>
      <c r="R118" s="1216"/>
      <c r="S118" s="1216"/>
      <c r="T118" s="1216"/>
      <c r="U118" s="1216"/>
      <c r="V118" s="1216"/>
      <c r="W118" s="1216"/>
      <c r="X118" s="99"/>
    </row>
    <row r="119" spans="1:24" s="79" customFormat="1" ht="64.5" customHeight="1">
      <c r="A119" s="1216" t="s">
        <v>2337</v>
      </c>
      <c r="B119" s="1216"/>
      <c r="C119" s="1216"/>
      <c r="D119" s="1216"/>
      <c r="E119" s="1216"/>
      <c r="F119" s="1216"/>
      <c r="G119" s="1216"/>
      <c r="H119" s="1216"/>
      <c r="I119" s="1216"/>
      <c r="J119" s="1216"/>
      <c r="K119" s="1216"/>
      <c r="L119" s="1216"/>
      <c r="M119" s="1216"/>
      <c r="N119" s="1216"/>
      <c r="O119" s="1216"/>
      <c r="P119" s="1216"/>
      <c r="Q119" s="1216"/>
      <c r="R119" s="1216"/>
      <c r="S119" s="1216"/>
      <c r="T119" s="1216"/>
      <c r="U119" s="1216"/>
      <c r="V119" s="1216"/>
      <c r="W119" s="1216"/>
      <c r="X119" s="99"/>
    </row>
    <row r="120" spans="1:24" s="79" customFormat="1" ht="41.25" customHeight="1">
      <c r="A120" s="1216" t="s">
        <v>2338</v>
      </c>
      <c r="B120" s="1216"/>
      <c r="C120" s="1216"/>
      <c r="D120" s="1216"/>
      <c r="E120" s="1216"/>
      <c r="F120" s="1216"/>
      <c r="G120" s="1216"/>
      <c r="H120" s="1216"/>
      <c r="I120" s="1216"/>
      <c r="J120" s="1216"/>
      <c r="K120" s="1216"/>
      <c r="L120" s="1216"/>
      <c r="M120" s="1216"/>
      <c r="N120" s="1216"/>
      <c r="O120" s="1216"/>
      <c r="P120" s="1216"/>
      <c r="Q120" s="1216"/>
      <c r="R120" s="1216"/>
      <c r="S120" s="1216"/>
      <c r="T120" s="1216"/>
      <c r="U120" s="1216"/>
      <c r="V120" s="1216"/>
      <c r="W120" s="1216"/>
      <c r="X120" s="99"/>
    </row>
    <row r="121" spans="1:24" s="79" customFormat="1" ht="41.25" customHeight="1">
      <c r="A121" s="1216" t="s">
        <v>2339</v>
      </c>
      <c r="B121" s="1216"/>
      <c r="C121" s="1216"/>
      <c r="D121" s="1216"/>
      <c r="E121" s="1216"/>
      <c r="F121" s="1216"/>
      <c r="G121" s="1216"/>
      <c r="H121" s="1216"/>
      <c r="I121" s="1216"/>
      <c r="J121" s="1216"/>
      <c r="K121" s="1216"/>
      <c r="L121" s="1216"/>
      <c r="M121" s="1216"/>
      <c r="N121" s="1216"/>
      <c r="O121" s="1216"/>
      <c r="P121" s="1216"/>
      <c r="Q121" s="1216"/>
      <c r="R121" s="1216"/>
      <c r="S121" s="1216"/>
      <c r="T121" s="1216"/>
      <c r="U121" s="1216"/>
      <c r="V121" s="1216"/>
      <c r="W121" s="1216"/>
      <c r="X121" s="99"/>
    </row>
    <row r="122" spans="1:24" s="79" customFormat="1" ht="41.25" customHeight="1">
      <c r="A122" s="1216" t="s">
        <v>2340</v>
      </c>
      <c r="B122" s="1216"/>
      <c r="C122" s="1216"/>
      <c r="D122" s="1216"/>
      <c r="E122" s="1216"/>
      <c r="F122" s="1216"/>
      <c r="G122" s="1216"/>
      <c r="H122" s="1216"/>
      <c r="I122" s="1216"/>
      <c r="J122" s="1216"/>
      <c r="K122" s="1216"/>
      <c r="L122" s="1216"/>
      <c r="M122" s="1216"/>
      <c r="N122" s="1216"/>
      <c r="O122" s="1216"/>
      <c r="P122" s="1216"/>
      <c r="Q122" s="1216"/>
      <c r="R122" s="1216"/>
      <c r="S122" s="1216"/>
      <c r="T122" s="1216"/>
      <c r="U122" s="1216"/>
      <c r="V122" s="1216"/>
      <c r="W122" s="1216"/>
      <c r="X122" s="99"/>
    </row>
    <row r="123" spans="1:24" s="79" customFormat="1" ht="41.25" customHeight="1">
      <c r="A123" s="1216" t="s">
        <v>2341</v>
      </c>
      <c r="B123" s="1216"/>
      <c r="C123" s="1216"/>
      <c r="D123" s="1216"/>
      <c r="E123" s="1216"/>
      <c r="F123" s="1216"/>
      <c r="G123" s="1216"/>
      <c r="H123" s="1216"/>
      <c r="I123" s="1216"/>
      <c r="J123" s="1216"/>
      <c r="K123" s="1216"/>
      <c r="L123" s="1216"/>
      <c r="M123" s="1216"/>
      <c r="N123" s="1216"/>
      <c r="O123" s="1216"/>
      <c r="P123" s="1216"/>
      <c r="Q123" s="1216"/>
      <c r="R123" s="1216"/>
      <c r="S123" s="1216"/>
      <c r="T123" s="1216"/>
      <c r="U123" s="1216"/>
      <c r="V123" s="1216"/>
      <c r="W123" s="1216"/>
      <c r="X123" s="99"/>
    </row>
    <row r="124" spans="1:24" s="79" customFormat="1" ht="41.25" customHeight="1">
      <c r="A124" s="1216" t="s">
        <v>2342</v>
      </c>
      <c r="B124" s="1216"/>
      <c r="C124" s="1216"/>
      <c r="D124" s="1216"/>
      <c r="E124" s="1216"/>
      <c r="F124" s="1216"/>
      <c r="G124" s="1216"/>
      <c r="H124" s="1216"/>
      <c r="I124" s="1216"/>
      <c r="J124" s="1216"/>
      <c r="K124" s="1216"/>
      <c r="L124" s="1216"/>
      <c r="M124" s="1216"/>
      <c r="N124" s="1216"/>
      <c r="O124" s="1216"/>
      <c r="P124" s="1216"/>
      <c r="Q124" s="1216"/>
      <c r="R124" s="1216"/>
      <c r="S124" s="1216"/>
      <c r="T124" s="1216"/>
      <c r="U124" s="1216"/>
      <c r="V124" s="1216"/>
      <c r="W124" s="1216"/>
      <c r="X124" s="99"/>
    </row>
    <row r="125" spans="1:24" s="79" customFormat="1" ht="41.25" customHeight="1">
      <c r="A125" s="1216" t="s">
        <v>2343</v>
      </c>
      <c r="B125" s="1216"/>
      <c r="C125" s="1216"/>
      <c r="D125" s="1216"/>
      <c r="E125" s="1216"/>
      <c r="F125" s="1216"/>
      <c r="G125" s="1216"/>
      <c r="H125" s="1216"/>
      <c r="I125" s="1216"/>
      <c r="J125" s="1216"/>
      <c r="K125" s="1216"/>
      <c r="L125" s="1216"/>
      <c r="M125" s="1216"/>
      <c r="N125" s="1216"/>
      <c r="O125" s="1216"/>
      <c r="P125" s="1216"/>
      <c r="Q125" s="1216"/>
      <c r="R125" s="1216"/>
      <c r="S125" s="1216"/>
      <c r="T125" s="1216"/>
      <c r="U125" s="1216"/>
      <c r="V125" s="1216"/>
      <c r="W125" s="1216"/>
      <c r="X125" s="99"/>
    </row>
    <row r="126" spans="1:24" s="79" customFormat="1" ht="41.25" customHeight="1">
      <c r="A126" s="1216" t="s">
        <v>2344</v>
      </c>
      <c r="B126" s="1216"/>
      <c r="C126" s="1216"/>
      <c r="D126" s="1216"/>
      <c r="E126" s="1216"/>
      <c r="F126" s="1216"/>
      <c r="G126" s="1216"/>
      <c r="H126" s="1216"/>
      <c r="I126" s="1216"/>
      <c r="J126" s="1216"/>
      <c r="K126" s="1216"/>
      <c r="L126" s="1216"/>
      <c r="M126" s="1216"/>
      <c r="N126" s="1216"/>
      <c r="O126" s="1216"/>
      <c r="P126" s="1216"/>
      <c r="Q126" s="1216"/>
      <c r="R126" s="1216"/>
      <c r="S126" s="1216"/>
      <c r="T126" s="1216"/>
      <c r="U126" s="1216"/>
      <c r="V126" s="1216"/>
      <c r="W126" s="1216"/>
      <c r="X126" s="99"/>
    </row>
    <row r="127" spans="1:24" s="79" customFormat="1" ht="179.25" customHeight="1">
      <c r="A127" s="1216" t="s">
        <v>2345</v>
      </c>
      <c r="B127" s="1216"/>
      <c r="C127" s="1216"/>
      <c r="D127" s="1216"/>
      <c r="E127" s="1216"/>
      <c r="F127" s="1216"/>
      <c r="G127" s="1216"/>
      <c r="H127" s="1216"/>
      <c r="I127" s="1216"/>
      <c r="J127" s="1216"/>
      <c r="K127" s="1216"/>
      <c r="L127" s="1216"/>
      <c r="M127" s="1216"/>
      <c r="N127" s="1216"/>
      <c r="O127" s="1216"/>
      <c r="P127" s="1216"/>
      <c r="Q127" s="1216"/>
      <c r="R127" s="1216"/>
      <c r="S127" s="1216"/>
      <c r="T127" s="1216"/>
      <c r="U127" s="1216"/>
      <c r="V127" s="1216"/>
      <c r="W127" s="1216"/>
      <c r="X127" s="99"/>
    </row>
    <row r="128" spans="1:24" s="79" customFormat="1" ht="35.25" customHeight="1">
      <c r="A128" s="1216" t="s">
        <v>2346</v>
      </c>
      <c r="B128" s="1216"/>
      <c r="C128" s="1216"/>
      <c r="D128" s="1216"/>
      <c r="E128" s="1216"/>
      <c r="F128" s="1216"/>
      <c r="G128" s="1216"/>
      <c r="H128" s="1216"/>
      <c r="I128" s="1216"/>
      <c r="J128" s="1216"/>
      <c r="K128" s="1216"/>
      <c r="L128" s="1216"/>
      <c r="M128" s="1216"/>
      <c r="N128" s="1216"/>
      <c r="O128" s="1216"/>
      <c r="P128" s="1216"/>
      <c r="Q128" s="1216"/>
      <c r="R128" s="1216"/>
      <c r="S128" s="1216"/>
      <c r="T128" s="1216"/>
      <c r="U128" s="1216"/>
      <c r="V128" s="1216"/>
      <c r="W128" s="1216"/>
      <c r="X128" s="99"/>
    </row>
    <row r="129" spans="1:24" s="79" customFormat="1" ht="41.25" customHeight="1">
      <c r="A129" s="1216" t="s">
        <v>2347</v>
      </c>
      <c r="B129" s="1216"/>
      <c r="C129" s="1216"/>
      <c r="D129" s="1216"/>
      <c r="E129" s="1216"/>
      <c r="F129" s="1216"/>
      <c r="G129" s="1216"/>
      <c r="H129" s="1216"/>
      <c r="I129" s="1216"/>
      <c r="J129" s="1216"/>
      <c r="K129" s="1216"/>
      <c r="L129" s="1216"/>
      <c r="M129" s="1216"/>
      <c r="N129" s="1216"/>
      <c r="O129" s="1216"/>
      <c r="P129" s="1216"/>
      <c r="Q129" s="1216"/>
      <c r="R129" s="1216"/>
      <c r="S129" s="1216"/>
      <c r="T129" s="1216"/>
      <c r="U129" s="1216"/>
      <c r="V129" s="1216"/>
      <c r="W129" s="1216"/>
      <c r="X129" s="99"/>
    </row>
    <row r="130" spans="1:24" s="79" customFormat="1" ht="41.25" customHeight="1">
      <c r="A130" s="1216" t="s">
        <v>2348</v>
      </c>
      <c r="B130" s="1216"/>
      <c r="C130" s="1216"/>
      <c r="D130" s="1216"/>
      <c r="E130" s="1216"/>
      <c r="F130" s="1216"/>
      <c r="G130" s="1216"/>
      <c r="H130" s="1216"/>
      <c r="I130" s="1216"/>
      <c r="J130" s="1216"/>
      <c r="K130" s="1216"/>
      <c r="L130" s="1216"/>
      <c r="M130" s="1216"/>
      <c r="N130" s="1216"/>
      <c r="O130" s="1216"/>
      <c r="P130" s="1216"/>
      <c r="Q130" s="1216"/>
      <c r="R130" s="1216"/>
      <c r="S130" s="1216"/>
      <c r="T130" s="1216"/>
      <c r="U130" s="1216"/>
      <c r="V130" s="1216"/>
      <c r="W130" s="1216"/>
      <c r="X130" s="99"/>
    </row>
    <row r="131" spans="1:24" s="79" customFormat="1" ht="41.25" customHeight="1">
      <c r="A131" s="1216" t="s">
        <v>2349</v>
      </c>
      <c r="B131" s="1216"/>
      <c r="C131" s="1216"/>
      <c r="D131" s="1216"/>
      <c r="E131" s="1216"/>
      <c r="F131" s="1216"/>
      <c r="G131" s="1216"/>
      <c r="H131" s="1216"/>
      <c r="I131" s="1216"/>
      <c r="J131" s="1216"/>
      <c r="K131" s="1216"/>
      <c r="L131" s="1216"/>
      <c r="M131" s="1216"/>
      <c r="N131" s="1216"/>
      <c r="O131" s="1216"/>
      <c r="P131" s="1216"/>
      <c r="Q131" s="1216"/>
      <c r="R131" s="1216"/>
      <c r="S131" s="1216"/>
      <c r="T131" s="1216"/>
      <c r="U131" s="1216"/>
      <c r="V131" s="1216"/>
      <c r="W131" s="1216"/>
      <c r="X131" s="99"/>
    </row>
    <row r="132" spans="1:24" s="79" customFormat="1" ht="147" customHeight="1">
      <c r="A132" s="1216" t="s">
        <v>2766</v>
      </c>
      <c r="B132" s="1216"/>
      <c r="C132" s="1216"/>
      <c r="D132" s="1216"/>
      <c r="E132" s="1216"/>
      <c r="F132" s="1216"/>
      <c r="G132" s="1216"/>
      <c r="H132" s="1216"/>
      <c r="I132" s="1216"/>
      <c r="J132" s="1216"/>
      <c r="K132" s="1216"/>
      <c r="L132" s="1216"/>
      <c r="M132" s="1216"/>
      <c r="N132" s="1216"/>
      <c r="O132" s="1216"/>
      <c r="P132" s="1216"/>
      <c r="Q132" s="1216"/>
      <c r="R132" s="1216"/>
      <c r="S132" s="1216"/>
      <c r="T132" s="1216"/>
      <c r="U132" s="1216"/>
      <c r="V132" s="1216"/>
      <c r="W132" s="1216"/>
      <c r="X132" s="99"/>
    </row>
    <row r="133" spans="1:24" s="79" customFormat="1" ht="204" customHeight="1">
      <c r="A133" s="1303" t="s">
        <v>2767</v>
      </c>
      <c r="B133" s="1303"/>
      <c r="C133" s="1303"/>
      <c r="D133" s="1303"/>
      <c r="E133" s="1303"/>
      <c r="F133" s="1303"/>
      <c r="G133" s="1303"/>
      <c r="H133" s="1303"/>
      <c r="I133" s="1303"/>
      <c r="J133" s="1303"/>
      <c r="K133" s="1303"/>
      <c r="L133" s="1303"/>
      <c r="M133" s="1303"/>
      <c r="N133" s="1303"/>
      <c r="O133" s="1303"/>
      <c r="P133" s="1303"/>
      <c r="Q133" s="1303"/>
      <c r="R133" s="1303"/>
      <c r="S133" s="1303"/>
      <c r="T133" s="1303"/>
      <c r="U133" s="1303"/>
      <c r="V133" s="1303"/>
      <c r="W133" s="1303"/>
      <c r="X133" s="99"/>
    </row>
    <row r="134" spans="1:24" s="79" customFormat="1" ht="12.75" customHeight="1">
      <c r="A134" s="1216" t="s">
        <v>2350</v>
      </c>
      <c r="B134" s="1216"/>
      <c r="C134" s="1216"/>
      <c r="D134" s="1216"/>
      <c r="E134" s="1216"/>
      <c r="F134" s="1216"/>
      <c r="G134" s="1216"/>
      <c r="H134" s="1216"/>
      <c r="I134" s="1216"/>
      <c r="J134" s="1216"/>
      <c r="K134" s="1216"/>
      <c r="L134" s="1216"/>
      <c r="M134" s="1216"/>
      <c r="N134" s="1216"/>
      <c r="O134" s="1216"/>
      <c r="P134" s="1216"/>
      <c r="Q134" s="1216"/>
      <c r="R134" s="1216"/>
      <c r="S134" s="1216"/>
      <c r="T134" s="1216"/>
      <c r="U134" s="1216"/>
      <c r="V134" s="1216"/>
      <c r="W134" s="1216"/>
      <c r="X134" s="99"/>
    </row>
    <row r="135" spans="1:24" s="79" customFormat="1" ht="29.25" customHeight="1">
      <c r="A135" s="1216" t="s">
        <v>2351</v>
      </c>
      <c r="B135" s="1216"/>
      <c r="C135" s="1216"/>
      <c r="D135" s="1216"/>
      <c r="E135" s="1216"/>
      <c r="F135" s="1216"/>
      <c r="G135" s="1216"/>
      <c r="H135" s="1216"/>
      <c r="I135" s="1216"/>
      <c r="J135" s="1216"/>
      <c r="K135" s="1216"/>
      <c r="L135" s="1216"/>
      <c r="M135" s="1216"/>
      <c r="N135" s="1216"/>
      <c r="O135" s="1216"/>
      <c r="P135" s="1216"/>
      <c r="Q135" s="1216"/>
      <c r="R135" s="1216"/>
      <c r="S135" s="1216"/>
      <c r="T135" s="1216"/>
      <c r="U135" s="1216"/>
      <c r="V135" s="1216"/>
      <c r="W135" s="1216"/>
      <c r="X135" s="99"/>
    </row>
    <row r="136" spans="1:24" s="79" customFormat="1" ht="39.75" customHeight="1">
      <c r="A136" s="1216" t="s">
        <v>2352</v>
      </c>
      <c r="B136" s="1216"/>
      <c r="C136" s="1216"/>
      <c r="D136" s="1216"/>
      <c r="E136" s="1216"/>
      <c r="F136" s="1216"/>
      <c r="G136" s="1216"/>
      <c r="H136" s="1216"/>
      <c r="I136" s="1216"/>
      <c r="J136" s="1216"/>
      <c r="K136" s="1216"/>
      <c r="L136" s="1216"/>
      <c r="M136" s="1216"/>
      <c r="N136" s="1216"/>
      <c r="O136" s="1216"/>
      <c r="P136" s="1216"/>
      <c r="Q136" s="1216"/>
      <c r="R136" s="1216"/>
      <c r="S136" s="1216"/>
      <c r="T136" s="1216"/>
      <c r="U136" s="1216"/>
      <c r="V136" s="1216"/>
      <c r="W136" s="1216"/>
      <c r="X136" s="99"/>
    </row>
    <row r="137" spans="1:24" s="79" customFormat="1" ht="39.75" customHeight="1">
      <c r="A137" s="1216" t="s">
        <v>2353</v>
      </c>
      <c r="B137" s="1216"/>
      <c r="C137" s="1216"/>
      <c r="D137" s="1216"/>
      <c r="E137" s="1216"/>
      <c r="F137" s="1216"/>
      <c r="G137" s="1216"/>
      <c r="H137" s="1216"/>
      <c r="I137" s="1216"/>
      <c r="J137" s="1216"/>
      <c r="K137" s="1216"/>
      <c r="L137" s="1216"/>
      <c r="M137" s="1216"/>
      <c r="N137" s="1216"/>
      <c r="O137" s="1216"/>
      <c r="P137" s="1216"/>
      <c r="Q137" s="1216"/>
      <c r="R137" s="1216"/>
      <c r="S137" s="1216"/>
      <c r="T137" s="1216"/>
      <c r="U137" s="1216"/>
      <c r="V137" s="1216"/>
      <c r="W137" s="1216"/>
      <c r="X137" s="99"/>
    </row>
    <row r="138" spans="1:24" s="79" customFormat="1" ht="84.75" customHeight="1">
      <c r="A138" s="1216" t="s">
        <v>2354</v>
      </c>
      <c r="B138" s="1216"/>
      <c r="C138" s="1216"/>
      <c r="D138" s="1216"/>
      <c r="E138" s="1216"/>
      <c r="F138" s="1216"/>
      <c r="G138" s="1216"/>
      <c r="H138" s="1216"/>
      <c r="I138" s="1216"/>
      <c r="J138" s="1216"/>
      <c r="K138" s="1216"/>
      <c r="L138" s="1216"/>
      <c r="M138" s="1216"/>
      <c r="N138" s="1216"/>
      <c r="O138" s="1216"/>
      <c r="P138" s="1216"/>
      <c r="Q138" s="1216"/>
      <c r="R138" s="1216"/>
      <c r="S138" s="1216"/>
      <c r="T138" s="1216"/>
      <c r="U138" s="1216"/>
      <c r="V138" s="1216"/>
      <c r="W138" s="1216"/>
      <c r="X138" s="99"/>
    </row>
    <row r="139" spans="1:24" s="79" customFormat="1" ht="59.25" customHeight="1">
      <c r="A139" s="1216" t="s">
        <v>2355</v>
      </c>
      <c r="B139" s="1216"/>
      <c r="C139" s="1216"/>
      <c r="D139" s="1216"/>
      <c r="E139" s="1216"/>
      <c r="F139" s="1216"/>
      <c r="G139" s="1216"/>
      <c r="H139" s="1216"/>
      <c r="I139" s="1216"/>
      <c r="J139" s="1216"/>
      <c r="K139" s="1216"/>
      <c r="L139" s="1216"/>
      <c r="M139" s="1216"/>
      <c r="N139" s="1216"/>
      <c r="O139" s="1216"/>
      <c r="P139" s="1216"/>
      <c r="Q139" s="1216"/>
      <c r="R139" s="1216"/>
      <c r="S139" s="1216"/>
      <c r="T139" s="1216"/>
      <c r="U139" s="1216"/>
      <c r="V139" s="1216"/>
      <c r="W139" s="1216"/>
      <c r="X139" s="99"/>
    </row>
    <row r="140" spans="1:24" s="79" customFormat="1" ht="170.25" customHeight="1">
      <c r="A140" s="1303" t="s">
        <v>2768</v>
      </c>
      <c r="B140" s="1303"/>
      <c r="C140" s="1303"/>
      <c r="D140" s="1303"/>
      <c r="E140" s="1303"/>
      <c r="F140" s="1303"/>
      <c r="G140" s="1303"/>
      <c r="H140" s="1303"/>
      <c r="I140" s="1303"/>
      <c r="J140" s="1303"/>
      <c r="K140" s="1303"/>
      <c r="L140" s="1303"/>
      <c r="M140" s="1303"/>
      <c r="N140" s="1303"/>
      <c r="O140" s="1303"/>
      <c r="P140" s="1303"/>
      <c r="Q140" s="1303"/>
      <c r="R140" s="1303"/>
      <c r="S140" s="1303"/>
      <c r="T140" s="1303"/>
      <c r="U140" s="1303"/>
      <c r="V140" s="1303"/>
      <c r="W140" s="1303"/>
      <c r="X140" s="99"/>
    </row>
    <row r="141" spans="1:24" s="79" customFormat="1" ht="129" customHeight="1">
      <c r="A141" s="1216" t="s">
        <v>2769</v>
      </c>
      <c r="B141" s="1216"/>
      <c r="C141" s="1216"/>
      <c r="D141" s="1216"/>
      <c r="E141" s="1216"/>
      <c r="F141" s="1216"/>
      <c r="G141" s="1216"/>
      <c r="H141" s="1216"/>
      <c r="I141" s="1216"/>
      <c r="J141" s="1216"/>
      <c r="K141" s="1216"/>
      <c r="L141" s="1216"/>
      <c r="M141" s="1216"/>
      <c r="N141" s="1216"/>
      <c r="O141" s="1216"/>
      <c r="P141" s="1216"/>
      <c r="Q141" s="1216"/>
      <c r="R141" s="1216"/>
      <c r="S141" s="1216"/>
      <c r="T141" s="1216"/>
      <c r="U141" s="1216"/>
      <c r="V141" s="1216"/>
      <c r="W141" s="1216"/>
      <c r="X141" s="99"/>
    </row>
    <row r="142" spans="1:24" s="79" customFormat="1" ht="12.75" customHeight="1">
      <c r="A142" s="1216" t="s">
        <v>2356</v>
      </c>
      <c r="B142" s="1216"/>
      <c r="C142" s="1216"/>
      <c r="D142" s="1216"/>
      <c r="E142" s="1216"/>
      <c r="F142" s="1216"/>
      <c r="G142" s="1216"/>
      <c r="H142" s="1216"/>
      <c r="I142" s="1216"/>
      <c r="J142" s="1216"/>
      <c r="K142" s="1216"/>
      <c r="L142" s="1216"/>
      <c r="M142" s="1216"/>
      <c r="N142" s="1216"/>
      <c r="O142" s="1216"/>
      <c r="P142" s="1216"/>
      <c r="Q142" s="1216"/>
      <c r="R142" s="1216"/>
      <c r="S142" s="1216"/>
      <c r="T142" s="1216"/>
      <c r="U142" s="1216"/>
      <c r="V142" s="1216"/>
      <c r="W142" s="1216"/>
      <c r="X142" s="99"/>
    </row>
    <row r="143" spans="1:24" s="99" customFormat="1" ht="37.5" customHeight="1">
      <c r="A143" s="1216" t="s">
        <v>2770</v>
      </c>
      <c r="B143" s="1216"/>
      <c r="C143" s="1216"/>
      <c r="D143" s="1216"/>
      <c r="E143" s="1216"/>
      <c r="F143" s="1216"/>
      <c r="G143" s="1216"/>
      <c r="H143" s="1216"/>
      <c r="I143" s="1216"/>
      <c r="J143" s="1216"/>
      <c r="K143" s="1216"/>
      <c r="L143" s="1216"/>
      <c r="M143" s="1216"/>
      <c r="N143" s="1216"/>
      <c r="O143" s="1216"/>
      <c r="P143" s="1216"/>
      <c r="Q143" s="1216"/>
      <c r="R143" s="1216"/>
      <c r="S143" s="1216"/>
      <c r="T143" s="1216"/>
      <c r="U143" s="1216"/>
      <c r="V143" s="1216"/>
      <c r="W143" s="1216"/>
    </row>
    <row r="144" spans="1:24" s="99" customFormat="1" ht="67.5" customHeight="1">
      <c r="A144" s="1216" t="s">
        <v>2357</v>
      </c>
      <c r="B144" s="1216"/>
      <c r="C144" s="1216"/>
      <c r="D144" s="1216"/>
      <c r="E144" s="1216"/>
      <c r="F144" s="1216"/>
      <c r="G144" s="1216"/>
      <c r="H144" s="1216"/>
      <c r="I144" s="1216"/>
      <c r="J144" s="1216"/>
      <c r="K144" s="1216"/>
      <c r="L144" s="1216"/>
      <c r="M144" s="1216"/>
      <c r="N144" s="1216"/>
      <c r="O144" s="1216"/>
      <c r="P144" s="1216"/>
      <c r="Q144" s="1216"/>
      <c r="R144" s="1216"/>
      <c r="S144" s="1216"/>
      <c r="T144" s="1216"/>
      <c r="U144" s="1216"/>
      <c r="V144" s="1216"/>
      <c r="W144" s="1216"/>
    </row>
    <row r="145" spans="1:23" s="99" customFormat="1" ht="176.25" customHeight="1">
      <c r="A145" s="1216" t="s">
        <v>2358</v>
      </c>
      <c r="B145" s="1216"/>
      <c r="C145" s="1216"/>
      <c r="D145" s="1216"/>
      <c r="E145" s="1216"/>
      <c r="F145" s="1216"/>
      <c r="G145" s="1216"/>
      <c r="H145" s="1216"/>
      <c r="I145" s="1216"/>
      <c r="J145" s="1216"/>
      <c r="K145" s="1216"/>
      <c r="L145" s="1216"/>
      <c r="M145" s="1216"/>
      <c r="N145" s="1216"/>
      <c r="O145" s="1216"/>
      <c r="P145" s="1216"/>
      <c r="Q145" s="1216"/>
      <c r="R145" s="1216"/>
      <c r="S145" s="1216"/>
      <c r="T145" s="1216"/>
      <c r="U145" s="1216"/>
      <c r="V145" s="1216"/>
      <c r="W145" s="1216"/>
    </row>
    <row r="146" spans="1:23" s="99" customFormat="1" ht="112.5" customHeight="1">
      <c r="A146" s="1216" t="s">
        <v>2771</v>
      </c>
      <c r="B146" s="1216"/>
      <c r="C146" s="1216"/>
      <c r="D146" s="1216"/>
      <c r="E146" s="1216"/>
      <c r="F146" s="1216"/>
      <c r="G146" s="1216"/>
      <c r="H146" s="1216"/>
      <c r="I146" s="1216"/>
      <c r="J146" s="1216"/>
      <c r="K146" s="1216"/>
      <c r="L146" s="1216"/>
      <c r="M146" s="1216"/>
      <c r="N146" s="1216"/>
      <c r="O146" s="1216"/>
      <c r="P146" s="1216"/>
      <c r="Q146" s="1216"/>
      <c r="R146" s="1216"/>
      <c r="S146" s="1216"/>
      <c r="T146" s="1216"/>
      <c r="U146" s="1216"/>
      <c r="V146" s="1216"/>
      <c r="W146" s="1216"/>
    </row>
    <row r="147" spans="1:23" s="99" customFormat="1" ht="80.25" customHeight="1">
      <c r="A147" s="1216" t="s">
        <v>2359</v>
      </c>
      <c r="B147" s="1216"/>
      <c r="C147" s="1216"/>
      <c r="D147" s="1216"/>
      <c r="E147" s="1216"/>
      <c r="F147" s="1216"/>
      <c r="G147" s="1216"/>
      <c r="H147" s="1216"/>
      <c r="I147" s="1216"/>
      <c r="J147" s="1216"/>
      <c r="K147" s="1216"/>
      <c r="L147" s="1216"/>
      <c r="M147" s="1216"/>
      <c r="N147" s="1216"/>
      <c r="O147" s="1216"/>
      <c r="P147" s="1216"/>
      <c r="Q147" s="1216"/>
      <c r="R147" s="1216"/>
      <c r="S147" s="1216"/>
      <c r="T147" s="1216"/>
      <c r="U147" s="1216"/>
      <c r="V147" s="1216"/>
      <c r="W147" s="1216"/>
    </row>
    <row r="148" spans="1:23" s="99" customFormat="1" ht="30.75" customHeight="1">
      <c r="A148" s="1216" t="s">
        <v>2360</v>
      </c>
      <c r="B148" s="1216"/>
      <c r="C148" s="1216"/>
      <c r="D148" s="1216"/>
      <c r="E148" s="1216"/>
      <c r="F148" s="1216"/>
      <c r="G148" s="1216"/>
      <c r="H148" s="1216"/>
      <c r="I148" s="1216"/>
      <c r="J148" s="1216"/>
      <c r="K148" s="1216"/>
      <c r="L148" s="1216"/>
      <c r="M148" s="1216"/>
      <c r="N148" s="1216"/>
      <c r="O148" s="1216"/>
      <c r="P148" s="1216"/>
      <c r="Q148" s="1216"/>
      <c r="R148" s="1216"/>
      <c r="S148" s="1216"/>
      <c r="T148" s="1216"/>
      <c r="U148" s="1216"/>
      <c r="V148" s="1216"/>
      <c r="W148" s="1216"/>
    </row>
    <row r="149" spans="1:23" s="99" customFormat="1" ht="21" customHeight="1">
      <c r="A149" s="1216" t="s">
        <v>2772</v>
      </c>
      <c r="B149" s="1216"/>
      <c r="C149" s="1216"/>
      <c r="D149" s="1216"/>
      <c r="E149" s="1216"/>
      <c r="F149" s="1216"/>
      <c r="G149" s="1216"/>
      <c r="H149" s="1216"/>
      <c r="I149" s="1216"/>
      <c r="J149" s="1216"/>
      <c r="K149" s="1216"/>
      <c r="L149" s="1216"/>
      <c r="M149" s="1216"/>
      <c r="N149" s="1216"/>
      <c r="O149" s="1216"/>
      <c r="P149" s="1216"/>
      <c r="Q149" s="1216"/>
      <c r="R149" s="1216"/>
      <c r="S149" s="1216"/>
      <c r="T149" s="1216"/>
      <c r="U149" s="1216"/>
      <c r="V149" s="1216"/>
      <c r="W149" s="1216"/>
    </row>
    <row r="150" spans="1:23" s="99" customFormat="1" ht="81.75" customHeight="1">
      <c r="A150" s="1216" t="s">
        <v>2361</v>
      </c>
      <c r="B150" s="1216"/>
      <c r="C150" s="1216"/>
      <c r="D150" s="1216"/>
      <c r="E150" s="1216"/>
      <c r="F150" s="1216"/>
      <c r="G150" s="1216"/>
      <c r="H150" s="1216"/>
      <c r="I150" s="1216"/>
      <c r="J150" s="1216"/>
      <c r="K150" s="1216"/>
      <c r="L150" s="1216"/>
      <c r="M150" s="1216"/>
      <c r="N150" s="1216"/>
      <c r="O150" s="1216"/>
      <c r="P150" s="1216"/>
      <c r="Q150" s="1216"/>
      <c r="R150" s="1216"/>
      <c r="S150" s="1216"/>
      <c r="T150" s="1216"/>
      <c r="U150" s="1216"/>
      <c r="V150" s="1216"/>
      <c r="W150" s="1216"/>
    </row>
    <row r="151" spans="1:23" s="99" customFormat="1" ht="18" customHeight="1">
      <c r="A151" s="1216" t="s">
        <v>1939</v>
      </c>
      <c r="B151" s="1216"/>
      <c r="C151" s="1216"/>
      <c r="D151" s="1216"/>
      <c r="E151" s="1216"/>
      <c r="F151" s="1216"/>
      <c r="G151" s="1216"/>
      <c r="H151" s="1216"/>
      <c r="I151" s="1216"/>
      <c r="J151" s="1216"/>
      <c r="K151" s="1216"/>
      <c r="L151" s="1216"/>
      <c r="M151" s="1216"/>
      <c r="N151" s="1216"/>
      <c r="O151" s="1216"/>
      <c r="P151" s="1216"/>
      <c r="Q151" s="1216"/>
      <c r="R151" s="1216"/>
      <c r="S151" s="1216"/>
      <c r="T151" s="1216"/>
      <c r="U151" s="1216"/>
      <c r="V151" s="1216"/>
      <c r="W151" s="1216"/>
    </row>
    <row r="152" spans="1:23" s="99" customFormat="1" ht="62.25" customHeight="1">
      <c r="A152" s="1216" t="s">
        <v>2362</v>
      </c>
      <c r="B152" s="1216"/>
      <c r="C152" s="1216"/>
      <c r="D152" s="1216"/>
      <c r="E152" s="1216"/>
      <c r="F152" s="1216"/>
      <c r="G152" s="1216"/>
      <c r="H152" s="1216"/>
      <c r="I152" s="1216"/>
      <c r="J152" s="1216"/>
      <c r="K152" s="1216"/>
      <c r="L152" s="1216"/>
      <c r="M152" s="1216"/>
      <c r="N152" s="1216"/>
      <c r="O152" s="1216"/>
      <c r="P152" s="1216"/>
      <c r="Q152" s="1216"/>
      <c r="R152" s="1216"/>
      <c r="S152" s="1216"/>
      <c r="T152" s="1216"/>
      <c r="U152" s="1216"/>
      <c r="V152" s="1216"/>
      <c r="W152" s="1216"/>
    </row>
    <row r="153" spans="1:23" s="99" customFormat="1" ht="33.75" customHeight="1">
      <c r="A153" s="1216" t="s">
        <v>2363</v>
      </c>
      <c r="B153" s="1216"/>
      <c r="C153" s="1216"/>
      <c r="D153" s="1216"/>
      <c r="E153" s="1216"/>
      <c r="F153" s="1216"/>
      <c r="G153" s="1216"/>
      <c r="H153" s="1216"/>
      <c r="I153" s="1216"/>
      <c r="J153" s="1216"/>
      <c r="K153" s="1216"/>
      <c r="L153" s="1216"/>
      <c r="M153" s="1216"/>
      <c r="N153" s="1216"/>
      <c r="O153" s="1216"/>
      <c r="P153" s="1216"/>
      <c r="Q153" s="1216"/>
      <c r="R153" s="1216"/>
      <c r="S153" s="1216"/>
      <c r="T153" s="1216"/>
      <c r="U153" s="1216"/>
      <c r="V153" s="1216"/>
      <c r="W153" s="1216"/>
    </row>
    <row r="154" spans="1:23" s="99" customFormat="1" ht="18.75" customHeight="1">
      <c r="A154" s="1216" t="s">
        <v>2773</v>
      </c>
      <c r="B154" s="1216"/>
      <c r="C154" s="1216"/>
      <c r="D154" s="1216"/>
      <c r="E154" s="1216"/>
      <c r="F154" s="1216"/>
      <c r="G154" s="1216"/>
      <c r="H154" s="1216"/>
      <c r="I154" s="1216"/>
      <c r="J154" s="1216"/>
      <c r="K154" s="1216"/>
      <c r="L154" s="1216"/>
      <c r="M154" s="1216"/>
      <c r="N154" s="1216"/>
      <c r="O154" s="1216"/>
      <c r="P154" s="1216"/>
      <c r="Q154" s="1216"/>
      <c r="R154" s="1216"/>
      <c r="S154" s="1216"/>
      <c r="T154" s="1216"/>
      <c r="U154" s="1216"/>
      <c r="V154" s="1216"/>
      <c r="W154" s="1216"/>
    </row>
    <row r="155" spans="1:23" s="99" customFormat="1" ht="111.75" customHeight="1">
      <c r="A155" s="1216" t="s">
        <v>2364</v>
      </c>
      <c r="B155" s="1216"/>
      <c r="C155" s="1216"/>
      <c r="D155" s="1216"/>
      <c r="E155" s="1216"/>
      <c r="F155" s="1216"/>
      <c r="G155" s="1216"/>
      <c r="H155" s="1216"/>
      <c r="I155" s="1216"/>
      <c r="J155" s="1216"/>
      <c r="K155" s="1216"/>
      <c r="L155" s="1216"/>
      <c r="M155" s="1216"/>
      <c r="N155" s="1216"/>
      <c r="O155" s="1216"/>
      <c r="P155" s="1216"/>
      <c r="Q155" s="1216"/>
      <c r="R155" s="1216"/>
      <c r="S155" s="1216"/>
      <c r="T155" s="1216"/>
      <c r="U155" s="1216"/>
      <c r="V155" s="1216"/>
      <c r="W155" s="1216"/>
    </row>
    <row r="156" spans="1:23" s="99" customFormat="1" ht="19.5" customHeight="1">
      <c r="A156" s="1216" t="s">
        <v>2774</v>
      </c>
      <c r="B156" s="1216"/>
      <c r="C156" s="1216"/>
      <c r="D156" s="1216"/>
      <c r="E156" s="1216"/>
      <c r="F156" s="1216"/>
      <c r="G156" s="1216"/>
      <c r="H156" s="1216"/>
      <c r="I156" s="1216"/>
      <c r="J156" s="1216"/>
      <c r="K156" s="1216"/>
      <c r="L156" s="1216"/>
      <c r="M156" s="1216"/>
      <c r="N156" s="1216"/>
      <c r="O156" s="1216"/>
      <c r="P156" s="1216"/>
      <c r="Q156" s="1216"/>
      <c r="R156" s="1216"/>
      <c r="S156" s="1216"/>
      <c r="T156" s="1216"/>
      <c r="U156" s="1216"/>
      <c r="V156" s="1216"/>
      <c r="W156" s="1216"/>
    </row>
    <row r="157" spans="1:23" s="99" customFormat="1" ht="111.75" customHeight="1">
      <c r="A157" s="1216" t="s">
        <v>2775</v>
      </c>
      <c r="B157" s="1216"/>
      <c r="C157" s="1216"/>
      <c r="D157" s="1216"/>
      <c r="E157" s="1216"/>
      <c r="F157" s="1216"/>
      <c r="G157" s="1216"/>
      <c r="H157" s="1216"/>
      <c r="I157" s="1216"/>
      <c r="J157" s="1216"/>
      <c r="K157" s="1216"/>
      <c r="L157" s="1216"/>
      <c r="M157" s="1216"/>
      <c r="N157" s="1216"/>
      <c r="O157" s="1216"/>
      <c r="P157" s="1216"/>
      <c r="Q157" s="1216"/>
      <c r="R157" s="1216"/>
      <c r="S157" s="1216"/>
      <c r="T157" s="1216"/>
      <c r="U157" s="1216"/>
      <c r="V157" s="1216"/>
      <c r="W157" s="1216"/>
    </row>
    <row r="158" spans="1:23" s="99" customFormat="1" ht="46.5" customHeight="1">
      <c r="A158" s="1216" t="s">
        <v>2365</v>
      </c>
      <c r="B158" s="1216"/>
      <c r="C158" s="1216"/>
      <c r="D158" s="1216"/>
      <c r="E158" s="1216"/>
      <c r="F158" s="1216"/>
      <c r="G158" s="1216"/>
      <c r="H158" s="1216"/>
      <c r="I158" s="1216"/>
      <c r="J158" s="1216"/>
      <c r="K158" s="1216"/>
      <c r="L158" s="1216"/>
      <c r="M158" s="1216"/>
      <c r="N158" s="1216"/>
      <c r="O158" s="1216"/>
      <c r="P158" s="1216"/>
      <c r="Q158" s="1216"/>
      <c r="R158" s="1216"/>
      <c r="S158" s="1216"/>
      <c r="T158" s="1216"/>
      <c r="U158" s="1216"/>
      <c r="V158" s="1216"/>
      <c r="W158" s="1216"/>
    </row>
    <row r="159" spans="1:23" s="99" customFormat="1" ht="32.25" customHeight="1">
      <c r="A159" s="1216" t="s">
        <v>2366</v>
      </c>
      <c r="B159" s="1216"/>
      <c r="C159" s="1216"/>
      <c r="D159" s="1216"/>
      <c r="E159" s="1216"/>
      <c r="F159" s="1216"/>
      <c r="G159" s="1216"/>
      <c r="H159" s="1216"/>
      <c r="I159" s="1216"/>
      <c r="J159" s="1216"/>
      <c r="K159" s="1216"/>
      <c r="L159" s="1216"/>
      <c r="M159" s="1216"/>
      <c r="N159" s="1216"/>
      <c r="O159" s="1216"/>
      <c r="P159" s="1216"/>
      <c r="Q159" s="1216"/>
      <c r="R159" s="1216"/>
      <c r="S159" s="1216"/>
      <c r="T159" s="1216"/>
      <c r="U159" s="1216"/>
      <c r="V159" s="1216"/>
      <c r="W159" s="1216"/>
    </row>
    <row r="160" spans="1:23" s="99" customFormat="1" ht="20.25" customHeight="1">
      <c r="A160" s="1216" t="s">
        <v>2367</v>
      </c>
      <c r="B160" s="1216"/>
      <c r="C160" s="1216"/>
      <c r="D160" s="1216"/>
      <c r="E160" s="1216"/>
      <c r="F160" s="1216"/>
      <c r="G160" s="1216"/>
      <c r="H160" s="1216"/>
      <c r="I160" s="1216"/>
      <c r="J160" s="1216"/>
      <c r="K160" s="1216"/>
      <c r="L160" s="1216"/>
      <c r="M160" s="1216"/>
      <c r="N160" s="1216"/>
      <c r="O160" s="1216"/>
      <c r="P160" s="1216"/>
      <c r="Q160" s="1216"/>
      <c r="R160" s="1216"/>
      <c r="S160" s="1216"/>
      <c r="T160" s="1216"/>
      <c r="U160" s="1216"/>
      <c r="V160" s="1216"/>
      <c r="W160" s="1216"/>
    </row>
    <row r="161" spans="1:23" s="99" customFormat="1" ht="32.25" customHeight="1">
      <c r="A161" s="1216" t="s">
        <v>2368</v>
      </c>
      <c r="B161" s="1216"/>
      <c r="C161" s="1216"/>
      <c r="D161" s="1216"/>
      <c r="E161" s="1216"/>
      <c r="F161" s="1216"/>
      <c r="G161" s="1216"/>
      <c r="H161" s="1216"/>
      <c r="I161" s="1216"/>
      <c r="J161" s="1216"/>
      <c r="K161" s="1216"/>
      <c r="L161" s="1216"/>
      <c r="M161" s="1216"/>
      <c r="N161" s="1216"/>
      <c r="O161" s="1216"/>
      <c r="P161" s="1216"/>
      <c r="Q161" s="1216"/>
      <c r="R161" s="1216"/>
      <c r="S161" s="1216"/>
      <c r="T161" s="1216"/>
      <c r="U161" s="1216"/>
      <c r="V161" s="1216"/>
      <c r="W161" s="1216"/>
    </row>
    <row r="162" spans="1:23" s="99" customFormat="1" ht="21.75" customHeight="1">
      <c r="A162" s="1216" t="s">
        <v>2369</v>
      </c>
      <c r="B162" s="1216"/>
      <c r="C162" s="1216"/>
      <c r="D162" s="1216"/>
      <c r="E162" s="1216"/>
      <c r="F162" s="1216"/>
      <c r="G162" s="1216"/>
      <c r="H162" s="1216"/>
      <c r="I162" s="1216"/>
      <c r="J162" s="1216"/>
      <c r="K162" s="1216"/>
      <c r="L162" s="1216"/>
      <c r="M162" s="1216"/>
      <c r="N162" s="1216"/>
      <c r="O162" s="1216"/>
      <c r="P162" s="1216"/>
      <c r="Q162" s="1216"/>
      <c r="R162" s="1216"/>
      <c r="S162" s="1216"/>
      <c r="T162" s="1216"/>
      <c r="U162" s="1216"/>
      <c r="V162" s="1216"/>
      <c r="W162" s="1216"/>
    </row>
    <row r="163" spans="1:23" s="99" customFormat="1" ht="20.25" customHeight="1">
      <c r="A163" s="1216" t="s">
        <v>2370</v>
      </c>
      <c r="B163" s="1216"/>
      <c r="C163" s="1216"/>
      <c r="D163" s="1216"/>
      <c r="E163" s="1216"/>
      <c r="F163" s="1216"/>
      <c r="G163" s="1216"/>
      <c r="H163" s="1216"/>
      <c r="I163" s="1216"/>
      <c r="J163" s="1216"/>
      <c r="K163" s="1216"/>
      <c r="L163" s="1216"/>
      <c r="M163" s="1216"/>
      <c r="N163" s="1216"/>
      <c r="O163" s="1216"/>
      <c r="P163" s="1216"/>
      <c r="Q163" s="1216"/>
      <c r="R163" s="1216"/>
      <c r="S163" s="1216"/>
      <c r="T163" s="1216"/>
      <c r="U163" s="1216"/>
      <c r="V163" s="1216"/>
      <c r="W163" s="1216"/>
    </row>
    <row r="164" spans="1:23" s="99" customFormat="1" ht="30" customHeight="1">
      <c r="A164" s="1216" t="s">
        <v>2371</v>
      </c>
      <c r="B164" s="1216"/>
      <c r="C164" s="1216"/>
      <c r="D164" s="1216"/>
      <c r="E164" s="1216"/>
      <c r="F164" s="1216"/>
      <c r="G164" s="1216"/>
      <c r="H164" s="1216"/>
      <c r="I164" s="1216"/>
      <c r="J164" s="1216"/>
      <c r="K164" s="1216"/>
      <c r="L164" s="1216"/>
      <c r="M164" s="1216"/>
      <c r="N164" s="1216"/>
      <c r="O164" s="1216"/>
      <c r="P164" s="1216"/>
      <c r="Q164" s="1216"/>
      <c r="R164" s="1216"/>
      <c r="S164" s="1216"/>
      <c r="T164" s="1216"/>
      <c r="U164" s="1216"/>
      <c r="V164" s="1216"/>
      <c r="W164" s="1216"/>
    </row>
    <row r="165" spans="1:23" s="99" customFormat="1" ht="20.25" customHeight="1">
      <c r="A165" s="1216" t="s">
        <v>2372</v>
      </c>
      <c r="B165" s="1216"/>
      <c r="C165" s="1216"/>
      <c r="D165" s="1216"/>
      <c r="E165" s="1216"/>
      <c r="F165" s="1216"/>
      <c r="G165" s="1216"/>
      <c r="H165" s="1216"/>
      <c r="I165" s="1216"/>
      <c r="J165" s="1216"/>
      <c r="K165" s="1216"/>
      <c r="L165" s="1216"/>
      <c r="M165" s="1216"/>
      <c r="N165" s="1216"/>
      <c r="O165" s="1216"/>
      <c r="P165" s="1216"/>
      <c r="Q165" s="1216"/>
      <c r="R165" s="1216"/>
      <c r="S165" s="1216"/>
      <c r="T165" s="1216"/>
      <c r="U165" s="1216"/>
      <c r="V165" s="1216"/>
      <c r="W165" s="1216"/>
    </row>
    <row r="166" spans="1:23" s="99" customFormat="1" ht="20.25" customHeight="1">
      <c r="A166" s="1216" t="s">
        <v>2373</v>
      </c>
      <c r="B166" s="1216"/>
      <c r="C166" s="1216"/>
      <c r="D166" s="1216"/>
      <c r="E166" s="1216"/>
      <c r="F166" s="1216"/>
      <c r="G166" s="1216"/>
      <c r="H166" s="1216"/>
      <c r="I166" s="1216"/>
      <c r="J166" s="1216"/>
      <c r="K166" s="1216"/>
      <c r="L166" s="1216"/>
      <c r="M166" s="1216"/>
      <c r="N166" s="1216"/>
      <c r="O166" s="1216"/>
      <c r="P166" s="1216"/>
      <c r="Q166" s="1216"/>
      <c r="R166" s="1216"/>
      <c r="S166" s="1216"/>
      <c r="T166" s="1216"/>
      <c r="U166" s="1216"/>
      <c r="V166" s="1216"/>
      <c r="W166" s="1216"/>
    </row>
    <row r="167" spans="1:23" s="99" customFormat="1" ht="53.25" customHeight="1">
      <c r="A167" s="1216" t="s">
        <v>2374</v>
      </c>
      <c r="B167" s="1216"/>
      <c r="C167" s="1216"/>
      <c r="D167" s="1216"/>
      <c r="E167" s="1216"/>
      <c r="F167" s="1216"/>
      <c r="G167" s="1216"/>
      <c r="H167" s="1216"/>
      <c r="I167" s="1216"/>
      <c r="J167" s="1216"/>
      <c r="K167" s="1216"/>
      <c r="L167" s="1216"/>
      <c r="M167" s="1216"/>
      <c r="N167" s="1216"/>
      <c r="O167" s="1216"/>
      <c r="P167" s="1216"/>
      <c r="Q167" s="1216"/>
      <c r="R167" s="1216"/>
      <c r="S167" s="1216"/>
      <c r="T167" s="1216"/>
      <c r="U167" s="1216"/>
      <c r="V167" s="1216"/>
      <c r="W167" s="1216"/>
    </row>
    <row r="168" spans="1:23" s="99" customFormat="1" ht="12.75" customHeight="1">
      <c r="A168" s="1216" t="s">
        <v>2375</v>
      </c>
      <c r="B168" s="1216"/>
      <c r="C168" s="1216"/>
      <c r="D168" s="1216"/>
      <c r="E168" s="1216"/>
      <c r="F168" s="1216"/>
      <c r="G168" s="1216"/>
      <c r="H168" s="1216"/>
      <c r="I168" s="1216"/>
      <c r="J168" s="1216"/>
      <c r="K168" s="1216"/>
      <c r="L168" s="1216"/>
      <c r="M168" s="1216"/>
      <c r="N168" s="1216"/>
      <c r="O168" s="1216"/>
      <c r="P168" s="1216"/>
      <c r="Q168" s="1216"/>
      <c r="R168" s="1216"/>
      <c r="S168" s="1216"/>
      <c r="T168" s="1216"/>
      <c r="U168" s="1216"/>
      <c r="V168" s="1216"/>
      <c r="W168" s="1216"/>
    </row>
    <row r="169" spans="1:23" s="99" customFormat="1" ht="45" customHeight="1">
      <c r="A169" s="1302" t="s">
        <v>2376</v>
      </c>
      <c r="B169" s="1302"/>
      <c r="C169" s="1302"/>
      <c r="D169" s="1302"/>
      <c r="E169" s="1302"/>
      <c r="F169" s="1302"/>
      <c r="G169" s="1302"/>
      <c r="H169" s="1302"/>
      <c r="I169" s="1302"/>
      <c r="J169" s="1302"/>
      <c r="K169" s="1302"/>
      <c r="L169" s="1302"/>
      <c r="M169" s="1302"/>
      <c r="N169" s="1302"/>
      <c r="O169" s="1302"/>
      <c r="P169" s="1302"/>
      <c r="Q169" s="1302"/>
      <c r="R169" s="1302"/>
      <c r="S169" s="1302"/>
      <c r="T169" s="1302"/>
      <c r="U169" s="1302"/>
      <c r="V169" s="1302"/>
      <c r="W169" s="1302"/>
    </row>
    <row r="170" spans="1:23" s="99" customFormat="1" ht="62.25" customHeight="1">
      <c r="A170" s="1302" t="s">
        <v>2377</v>
      </c>
      <c r="B170" s="1302"/>
      <c r="C170" s="1302"/>
      <c r="D170" s="1302"/>
      <c r="E170" s="1302"/>
      <c r="F170" s="1302"/>
      <c r="G170" s="1302"/>
      <c r="H170" s="1302"/>
      <c r="I170" s="1302"/>
      <c r="J170" s="1302"/>
      <c r="K170" s="1302"/>
      <c r="L170" s="1302"/>
      <c r="M170" s="1302"/>
      <c r="N170" s="1302"/>
      <c r="O170" s="1302"/>
      <c r="P170" s="1302"/>
      <c r="Q170" s="1302"/>
      <c r="R170" s="1302"/>
      <c r="S170" s="1302"/>
      <c r="T170" s="1302"/>
      <c r="U170" s="1302"/>
      <c r="V170" s="1302"/>
      <c r="W170" s="1302"/>
    </row>
    <row r="171" spans="1:23" s="99" customFormat="1" ht="94.5" customHeight="1">
      <c r="A171" s="1302" t="s">
        <v>2776</v>
      </c>
      <c r="B171" s="1302"/>
      <c r="C171" s="1302"/>
      <c r="D171" s="1302"/>
      <c r="E171" s="1302"/>
      <c r="F171" s="1302"/>
      <c r="G171" s="1302"/>
      <c r="H171" s="1302"/>
      <c r="I171" s="1302"/>
      <c r="J171" s="1302"/>
      <c r="K171" s="1302"/>
      <c r="L171" s="1302"/>
      <c r="M171" s="1302"/>
      <c r="N171" s="1302"/>
      <c r="O171" s="1302"/>
      <c r="P171" s="1302"/>
      <c r="Q171" s="1302"/>
      <c r="R171" s="1302"/>
      <c r="S171" s="1302"/>
      <c r="T171" s="1302"/>
      <c r="U171" s="1302"/>
      <c r="V171" s="1302"/>
      <c r="W171" s="1302"/>
    </row>
    <row r="172" spans="1:23" s="99" customFormat="1" ht="12.75" customHeight="1">
      <c r="A172" s="1302" t="s">
        <v>2777</v>
      </c>
      <c r="B172" s="1302"/>
      <c r="C172" s="1302"/>
      <c r="D172" s="1302"/>
      <c r="E172" s="1302"/>
      <c r="F172" s="1302"/>
      <c r="G172" s="1302"/>
      <c r="H172" s="1302"/>
      <c r="I172" s="1302"/>
      <c r="J172" s="1302"/>
      <c r="K172" s="1302"/>
      <c r="L172" s="1302"/>
      <c r="M172" s="1302"/>
      <c r="N172" s="1302"/>
      <c r="O172" s="1302"/>
      <c r="P172" s="1302"/>
      <c r="Q172" s="1302"/>
      <c r="R172" s="1302"/>
      <c r="S172" s="1302"/>
      <c r="T172" s="1302"/>
      <c r="U172" s="1302"/>
      <c r="V172" s="1302"/>
      <c r="W172" s="1302"/>
    </row>
    <row r="173" spans="1:23" s="99" customFormat="1" ht="35.25" customHeight="1">
      <c r="A173" s="1302" t="s">
        <v>2378</v>
      </c>
      <c r="B173" s="1302"/>
      <c r="C173" s="1302"/>
      <c r="D173" s="1302"/>
      <c r="E173" s="1302"/>
      <c r="F173" s="1302"/>
      <c r="G173" s="1302"/>
      <c r="H173" s="1302"/>
      <c r="I173" s="1302"/>
      <c r="J173" s="1302"/>
      <c r="K173" s="1302"/>
      <c r="L173" s="1302"/>
      <c r="M173" s="1302"/>
      <c r="N173" s="1302"/>
      <c r="O173" s="1302"/>
      <c r="P173" s="1302"/>
      <c r="Q173" s="1302"/>
      <c r="R173" s="1302"/>
      <c r="S173" s="1302"/>
      <c r="T173" s="1302"/>
      <c r="U173" s="1302"/>
      <c r="V173" s="1302"/>
      <c r="W173" s="1302"/>
    </row>
    <row r="174" spans="1:23" s="99" customFormat="1" ht="12.75" customHeight="1">
      <c r="A174" s="1302" t="s">
        <v>2379</v>
      </c>
      <c r="B174" s="1302"/>
      <c r="C174" s="1302"/>
      <c r="D174" s="1302"/>
      <c r="E174" s="1302"/>
      <c r="F174" s="1302"/>
      <c r="G174" s="1302"/>
      <c r="H174" s="1302"/>
      <c r="I174" s="1302"/>
      <c r="J174" s="1302"/>
      <c r="K174" s="1302"/>
      <c r="L174" s="1302"/>
      <c r="M174" s="1302"/>
      <c r="N174" s="1302"/>
      <c r="O174" s="1302"/>
      <c r="P174" s="1302"/>
      <c r="Q174" s="1302"/>
      <c r="R174" s="1302"/>
      <c r="S174" s="1302"/>
      <c r="T174" s="1302"/>
      <c r="U174" s="1302"/>
      <c r="V174" s="1302"/>
      <c r="W174" s="1302"/>
    </row>
    <row r="175" spans="1:23" s="99" customFormat="1" ht="43.5" customHeight="1">
      <c r="A175" s="1302" t="s">
        <v>2380</v>
      </c>
      <c r="B175" s="1302"/>
      <c r="C175" s="1302"/>
      <c r="D175" s="1302"/>
      <c r="E175" s="1302"/>
      <c r="F175" s="1302"/>
      <c r="G175" s="1302"/>
      <c r="H175" s="1302"/>
      <c r="I175" s="1302"/>
      <c r="J175" s="1302"/>
      <c r="K175" s="1302"/>
      <c r="L175" s="1302"/>
      <c r="M175" s="1302"/>
      <c r="N175" s="1302"/>
      <c r="O175" s="1302"/>
      <c r="P175" s="1302"/>
      <c r="Q175" s="1302"/>
      <c r="R175" s="1302"/>
      <c r="S175" s="1302"/>
      <c r="T175" s="1302"/>
      <c r="U175" s="1302"/>
      <c r="V175" s="1302"/>
      <c r="W175" s="1302"/>
    </row>
    <row r="176" spans="1:23" s="99" customFormat="1" ht="67.5" customHeight="1">
      <c r="A176" s="1302" t="s">
        <v>2381</v>
      </c>
      <c r="B176" s="1302"/>
      <c r="C176" s="1302"/>
      <c r="D176" s="1302"/>
      <c r="E176" s="1302"/>
      <c r="F176" s="1302"/>
      <c r="G176" s="1302"/>
      <c r="H176" s="1302"/>
      <c r="I176" s="1302"/>
      <c r="J176" s="1302"/>
      <c r="K176" s="1302"/>
      <c r="L176" s="1302"/>
      <c r="M176" s="1302"/>
      <c r="N176" s="1302"/>
      <c r="O176" s="1302"/>
      <c r="P176" s="1302"/>
      <c r="Q176" s="1302"/>
      <c r="R176" s="1302"/>
      <c r="S176" s="1302"/>
      <c r="T176" s="1302"/>
      <c r="U176" s="1302"/>
      <c r="V176" s="1302"/>
      <c r="W176" s="1302"/>
    </row>
    <row r="177" spans="1:23" s="99" customFormat="1" ht="62.25" customHeight="1">
      <c r="A177" s="1302" t="s">
        <v>2382</v>
      </c>
      <c r="B177" s="1302"/>
      <c r="C177" s="1302"/>
      <c r="D177" s="1302"/>
      <c r="E177" s="1302"/>
      <c r="F177" s="1302"/>
      <c r="G177" s="1302"/>
      <c r="H177" s="1302"/>
      <c r="I177" s="1302"/>
      <c r="J177" s="1302"/>
      <c r="K177" s="1302"/>
      <c r="L177" s="1302"/>
      <c r="M177" s="1302"/>
      <c r="N177" s="1302"/>
      <c r="O177" s="1302"/>
      <c r="P177" s="1302"/>
      <c r="Q177" s="1302"/>
      <c r="R177" s="1302"/>
      <c r="S177" s="1302"/>
      <c r="T177" s="1302"/>
      <c r="U177" s="1302"/>
      <c r="V177" s="1302"/>
      <c r="W177" s="1302"/>
    </row>
    <row r="178" spans="1:23" s="99" customFormat="1" ht="15" customHeight="1">
      <c r="A178" s="1302" t="s">
        <v>2778</v>
      </c>
      <c r="B178" s="1302"/>
      <c r="C178" s="1302"/>
      <c r="D178" s="1302"/>
      <c r="E178" s="1302"/>
      <c r="F178" s="1302"/>
      <c r="G178" s="1302"/>
      <c r="H178" s="1302"/>
      <c r="I178" s="1302"/>
      <c r="J178" s="1302"/>
      <c r="K178" s="1302"/>
      <c r="L178" s="1302"/>
      <c r="M178" s="1302"/>
      <c r="N178" s="1302"/>
      <c r="O178" s="1302"/>
      <c r="P178" s="1302"/>
      <c r="Q178" s="1302"/>
      <c r="R178" s="1302"/>
      <c r="S178" s="1302"/>
      <c r="T178" s="1302"/>
      <c r="U178" s="1302"/>
      <c r="V178" s="1302"/>
      <c r="W178" s="1302"/>
    </row>
    <row r="179" spans="1:23" s="99" customFormat="1" ht="108.75" customHeight="1">
      <c r="A179" s="1302" t="s">
        <v>2383</v>
      </c>
      <c r="B179" s="1302"/>
      <c r="C179" s="1302"/>
      <c r="D179" s="1302"/>
      <c r="E179" s="1302"/>
      <c r="F179" s="1302"/>
      <c r="G179" s="1302"/>
      <c r="H179" s="1302"/>
      <c r="I179" s="1302"/>
      <c r="J179" s="1302"/>
      <c r="K179" s="1302"/>
      <c r="L179" s="1302"/>
      <c r="M179" s="1302"/>
      <c r="N179" s="1302"/>
      <c r="O179" s="1302"/>
      <c r="P179" s="1302"/>
      <c r="Q179" s="1302"/>
      <c r="R179" s="1302"/>
      <c r="S179" s="1302"/>
      <c r="T179" s="1302"/>
      <c r="U179" s="1302"/>
      <c r="V179" s="1302"/>
      <c r="W179" s="1302"/>
    </row>
    <row r="180" spans="1:23" s="99" customFormat="1" ht="12.75" customHeight="1">
      <c r="A180" s="1216" t="s">
        <v>2384</v>
      </c>
      <c r="B180" s="1216"/>
      <c r="C180" s="1216"/>
      <c r="D180" s="1216"/>
      <c r="E180" s="1216"/>
      <c r="F180" s="1216"/>
      <c r="G180" s="1216"/>
      <c r="H180" s="1216"/>
      <c r="I180" s="1216"/>
      <c r="J180" s="1216"/>
      <c r="K180" s="1216"/>
      <c r="L180" s="1216"/>
      <c r="M180" s="1216"/>
      <c r="N180" s="1216"/>
      <c r="O180" s="1216"/>
      <c r="P180" s="1216"/>
      <c r="Q180" s="1216"/>
      <c r="R180" s="1216"/>
      <c r="S180" s="1216"/>
      <c r="T180" s="1216"/>
      <c r="U180" s="1216"/>
      <c r="V180" s="1216"/>
      <c r="W180" s="1216"/>
    </row>
    <row r="181" spans="1:23" s="99" customFormat="1" ht="45.75" customHeight="1">
      <c r="A181" s="1216" t="s">
        <v>2385</v>
      </c>
      <c r="B181" s="1216"/>
      <c r="C181" s="1216"/>
      <c r="D181" s="1216"/>
      <c r="E181" s="1216"/>
      <c r="F181" s="1216"/>
      <c r="G181" s="1216"/>
      <c r="H181" s="1216"/>
      <c r="I181" s="1216"/>
      <c r="J181" s="1216"/>
      <c r="K181" s="1216"/>
      <c r="L181" s="1216"/>
      <c r="M181" s="1216"/>
      <c r="N181" s="1216"/>
      <c r="O181" s="1216"/>
      <c r="P181" s="1216"/>
      <c r="Q181" s="1216"/>
      <c r="R181" s="1216"/>
      <c r="S181" s="1216"/>
      <c r="T181" s="1216"/>
      <c r="U181" s="1216"/>
      <c r="V181" s="1216"/>
      <c r="W181" s="1216"/>
    </row>
    <row r="182" spans="1:23" s="99" customFormat="1" ht="31.5" customHeight="1">
      <c r="A182" s="1216" t="s">
        <v>2386</v>
      </c>
      <c r="B182" s="1216"/>
      <c r="C182" s="1216"/>
      <c r="D182" s="1216"/>
      <c r="E182" s="1216"/>
      <c r="F182" s="1216"/>
      <c r="G182" s="1216"/>
      <c r="H182" s="1216"/>
      <c r="I182" s="1216"/>
      <c r="J182" s="1216"/>
      <c r="K182" s="1216"/>
      <c r="L182" s="1216"/>
      <c r="M182" s="1216"/>
      <c r="N182" s="1216"/>
      <c r="O182" s="1216"/>
      <c r="P182" s="1216"/>
      <c r="Q182" s="1216"/>
      <c r="R182" s="1216"/>
      <c r="S182" s="1216"/>
      <c r="T182" s="1216"/>
      <c r="U182" s="1216"/>
      <c r="V182" s="1216"/>
      <c r="W182" s="1216"/>
    </row>
    <row r="183" spans="1:23" s="99" customFormat="1" ht="31.5" customHeight="1">
      <c r="A183" s="1216" t="s">
        <v>2387</v>
      </c>
      <c r="B183" s="1216"/>
      <c r="C183" s="1216"/>
      <c r="D183" s="1216"/>
      <c r="E183" s="1216"/>
      <c r="F183" s="1216"/>
      <c r="G183" s="1216"/>
      <c r="H183" s="1216"/>
      <c r="I183" s="1216"/>
      <c r="J183" s="1216"/>
      <c r="K183" s="1216"/>
      <c r="L183" s="1216"/>
      <c r="M183" s="1216"/>
      <c r="N183" s="1216"/>
      <c r="O183" s="1216"/>
      <c r="P183" s="1216"/>
      <c r="Q183" s="1216"/>
      <c r="R183" s="1216"/>
      <c r="S183" s="1216"/>
      <c r="T183" s="1216"/>
      <c r="U183" s="1216"/>
      <c r="V183" s="1216"/>
      <c r="W183" s="1216"/>
    </row>
    <row r="184" spans="1:23" s="99" customFormat="1" ht="12.75" customHeight="1">
      <c r="A184" s="1216" t="s">
        <v>2779</v>
      </c>
      <c r="B184" s="1216"/>
      <c r="C184" s="1216"/>
      <c r="D184" s="1216"/>
      <c r="E184" s="1216"/>
      <c r="F184" s="1216"/>
      <c r="G184" s="1216"/>
      <c r="H184" s="1216"/>
      <c r="I184" s="1216"/>
      <c r="J184" s="1216"/>
      <c r="K184" s="1216"/>
      <c r="L184" s="1216"/>
      <c r="M184" s="1216"/>
      <c r="N184" s="1216"/>
      <c r="O184" s="1216"/>
      <c r="P184" s="1216"/>
      <c r="Q184" s="1216"/>
      <c r="R184" s="1216"/>
      <c r="S184" s="1216"/>
      <c r="T184" s="1216"/>
      <c r="U184" s="1216"/>
      <c r="V184" s="1216"/>
      <c r="W184" s="1216"/>
    </row>
    <row r="185" spans="1:23" s="99" customFormat="1" ht="86.25" customHeight="1">
      <c r="A185" s="1216" t="s">
        <v>2388</v>
      </c>
      <c r="B185" s="1216"/>
      <c r="C185" s="1216"/>
      <c r="D185" s="1216"/>
      <c r="E185" s="1216"/>
      <c r="F185" s="1216"/>
      <c r="G185" s="1216"/>
      <c r="H185" s="1216"/>
      <c r="I185" s="1216"/>
      <c r="J185" s="1216"/>
      <c r="K185" s="1216"/>
      <c r="L185" s="1216"/>
      <c r="M185" s="1216"/>
      <c r="N185" s="1216"/>
      <c r="O185" s="1216"/>
      <c r="P185" s="1216"/>
      <c r="Q185" s="1216"/>
      <c r="R185" s="1216"/>
      <c r="S185" s="1216"/>
      <c r="T185" s="1216"/>
      <c r="U185" s="1216"/>
      <c r="V185" s="1216"/>
      <c r="W185" s="1216"/>
    </row>
    <row r="186" spans="1:23" s="99" customFormat="1" ht="12.75" customHeight="1">
      <c r="A186" s="1216" t="s">
        <v>2780</v>
      </c>
      <c r="B186" s="1216"/>
      <c r="C186" s="1216"/>
      <c r="D186" s="1216"/>
      <c r="E186" s="1216"/>
      <c r="F186" s="1216"/>
      <c r="G186" s="1216"/>
      <c r="H186" s="1216"/>
      <c r="I186" s="1216"/>
      <c r="J186" s="1216"/>
      <c r="K186" s="1216"/>
      <c r="L186" s="1216"/>
      <c r="M186" s="1216"/>
      <c r="N186" s="1216"/>
      <c r="O186" s="1216"/>
      <c r="P186" s="1216"/>
      <c r="Q186" s="1216"/>
      <c r="R186" s="1216"/>
      <c r="S186" s="1216"/>
      <c r="T186" s="1216"/>
      <c r="U186" s="1216"/>
      <c r="V186" s="1216"/>
      <c r="W186" s="1216"/>
    </row>
    <row r="187" spans="1:23" s="99" customFormat="1" ht="114" customHeight="1">
      <c r="A187" s="1216" t="s">
        <v>2389</v>
      </c>
      <c r="B187" s="1216"/>
      <c r="C187" s="1216"/>
      <c r="D187" s="1216"/>
      <c r="E187" s="1216"/>
      <c r="F187" s="1216"/>
      <c r="G187" s="1216"/>
      <c r="H187" s="1216"/>
      <c r="I187" s="1216"/>
      <c r="J187" s="1216"/>
      <c r="K187" s="1216"/>
      <c r="L187" s="1216"/>
      <c r="M187" s="1216"/>
      <c r="N187" s="1216"/>
      <c r="O187" s="1216"/>
      <c r="P187" s="1216"/>
      <c r="Q187" s="1216"/>
      <c r="R187" s="1216"/>
      <c r="S187" s="1216"/>
      <c r="T187" s="1216"/>
      <c r="U187" s="1216"/>
      <c r="V187" s="1216"/>
      <c r="W187" s="1216"/>
    </row>
    <row r="188" spans="1:23" s="99" customFormat="1" ht="57.75" customHeight="1">
      <c r="A188" s="1298" t="s">
        <v>2390</v>
      </c>
      <c r="B188" s="1298"/>
      <c r="C188" s="1298"/>
      <c r="D188" s="1298"/>
      <c r="E188" s="1298"/>
      <c r="F188" s="1298"/>
      <c r="G188" s="1298"/>
      <c r="H188" s="1298"/>
      <c r="I188" s="1298"/>
      <c r="J188" s="1298"/>
      <c r="K188" s="1298"/>
      <c r="L188" s="1298"/>
      <c r="M188" s="1298"/>
      <c r="N188" s="1298"/>
      <c r="O188" s="1298"/>
      <c r="P188" s="1298"/>
      <c r="Q188" s="1298"/>
      <c r="R188" s="1298"/>
      <c r="S188" s="1298"/>
      <c r="T188" s="1298"/>
      <c r="U188" s="1298"/>
      <c r="V188" s="1298"/>
      <c r="W188" s="1298"/>
    </row>
    <row r="189" spans="1:23" s="99" customFormat="1" ht="138.75" customHeight="1">
      <c r="A189" s="1298" t="s">
        <v>3410</v>
      </c>
      <c r="B189" s="1298"/>
      <c r="C189" s="1298"/>
      <c r="D189" s="1298"/>
      <c r="E189" s="1298"/>
      <c r="F189" s="1298"/>
      <c r="G189" s="1298"/>
      <c r="H189" s="1298"/>
      <c r="I189" s="1298"/>
      <c r="J189" s="1298"/>
      <c r="K189" s="1298"/>
      <c r="L189" s="1298"/>
      <c r="M189" s="1298"/>
      <c r="N189" s="1298"/>
      <c r="O189" s="1298"/>
      <c r="P189" s="1298"/>
      <c r="Q189" s="1298"/>
      <c r="R189" s="1298"/>
      <c r="S189" s="1298"/>
      <c r="T189" s="1298"/>
      <c r="U189" s="1298"/>
      <c r="V189" s="1298"/>
      <c r="W189" s="1298"/>
    </row>
    <row r="190" spans="1:23" s="99" customFormat="1" ht="81.75" customHeight="1">
      <c r="A190" s="1216" t="s">
        <v>2392</v>
      </c>
      <c r="B190" s="1216"/>
      <c r="C190" s="1216"/>
      <c r="D190" s="1216"/>
      <c r="E190" s="1216"/>
      <c r="F190" s="1216"/>
      <c r="G190" s="1216"/>
      <c r="H190" s="1216"/>
      <c r="I190" s="1216"/>
      <c r="J190" s="1216"/>
      <c r="K190" s="1216"/>
      <c r="L190" s="1216"/>
      <c r="M190" s="1216"/>
      <c r="N190" s="1216"/>
      <c r="O190" s="1216"/>
      <c r="P190" s="1216"/>
      <c r="Q190" s="1216"/>
      <c r="R190" s="1216"/>
      <c r="S190" s="1216"/>
      <c r="T190" s="1216"/>
      <c r="U190" s="1216"/>
      <c r="V190" s="1216"/>
      <c r="W190" s="1216"/>
    </row>
    <row r="191" spans="1:23" s="99" customFormat="1" ht="144" customHeight="1">
      <c r="A191" s="1298" t="s">
        <v>3409</v>
      </c>
      <c r="B191" s="1298"/>
      <c r="C191" s="1298"/>
      <c r="D191" s="1298"/>
      <c r="E191" s="1298"/>
      <c r="F191" s="1298"/>
      <c r="G191" s="1298"/>
      <c r="H191" s="1298"/>
      <c r="I191" s="1298"/>
      <c r="J191" s="1298"/>
      <c r="K191" s="1298"/>
      <c r="L191" s="1298"/>
      <c r="M191" s="1298"/>
      <c r="N191" s="1298"/>
      <c r="O191" s="1298"/>
      <c r="P191" s="1298"/>
      <c r="Q191" s="1298"/>
      <c r="R191" s="1298"/>
      <c r="S191" s="1298"/>
      <c r="T191" s="1298"/>
      <c r="U191" s="1298"/>
      <c r="V191" s="1298"/>
      <c r="W191" s="1298"/>
    </row>
    <row r="192" spans="1:23" s="99" customFormat="1" ht="47.25" customHeight="1">
      <c r="A192" s="1216" t="s">
        <v>2394</v>
      </c>
      <c r="B192" s="1216"/>
      <c r="C192" s="1216"/>
      <c r="D192" s="1216"/>
      <c r="E192" s="1216"/>
      <c r="F192" s="1216"/>
      <c r="G192" s="1216"/>
      <c r="H192" s="1216"/>
      <c r="I192" s="1216"/>
      <c r="J192" s="1216"/>
      <c r="K192" s="1216"/>
      <c r="L192" s="1216"/>
      <c r="M192" s="1216"/>
      <c r="N192" s="1216"/>
      <c r="O192" s="1216"/>
      <c r="P192" s="1216"/>
      <c r="Q192" s="1216"/>
      <c r="R192" s="1216"/>
      <c r="S192" s="1216"/>
      <c r="T192" s="1216"/>
      <c r="U192" s="1216"/>
      <c r="V192" s="1216"/>
      <c r="W192" s="1216"/>
    </row>
    <row r="193" spans="1:23" s="99" customFormat="1" ht="82.5" customHeight="1">
      <c r="A193" s="1216" t="s">
        <v>2395</v>
      </c>
      <c r="B193" s="1216"/>
      <c r="C193" s="1216"/>
      <c r="D193" s="1216"/>
      <c r="E193" s="1216"/>
      <c r="F193" s="1216"/>
      <c r="G193" s="1216"/>
      <c r="H193" s="1216"/>
      <c r="I193" s="1216"/>
      <c r="J193" s="1216"/>
      <c r="K193" s="1216"/>
      <c r="L193" s="1216"/>
      <c r="M193" s="1216"/>
      <c r="N193" s="1216"/>
      <c r="O193" s="1216"/>
      <c r="P193" s="1216"/>
      <c r="Q193" s="1216"/>
      <c r="R193" s="1216"/>
      <c r="S193" s="1216"/>
      <c r="T193" s="1216"/>
      <c r="U193" s="1216"/>
      <c r="V193" s="1216"/>
      <c r="W193" s="1216"/>
    </row>
    <row r="194" spans="1:23" s="99" customFormat="1" ht="112.5" customHeight="1">
      <c r="A194" s="1216" t="s">
        <v>2396</v>
      </c>
      <c r="B194" s="1216"/>
      <c r="C194" s="1216"/>
      <c r="D194" s="1216"/>
      <c r="E194" s="1216"/>
      <c r="F194" s="1216"/>
      <c r="G194" s="1216"/>
      <c r="H194" s="1216"/>
      <c r="I194" s="1216"/>
      <c r="J194" s="1216"/>
      <c r="K194" s="1216"/>
      <c r="L194" s="1216"/>
      <c r="M194" s="1216"/>
      <c r="N194" s="1216"/>
      <c r="O194" s="1216"/>
      <c r="P194" s="1216"/>
      <c r="Q194" s="1216"/>
      <c r="R194" s="1216"/>
      <c r="S194" s="1216"/>
      <c r="T194" s="1216"/>
      <c r="U194" s="1216"/>
      <c r="V194" s="1216"/>
      <c r="W194" s="1216"/>
    </row>
    <row r="195" spans="1:23" s="99" customFormat="1" ht="125.25" customHeight="1">
      <c r="A195" s="1216" t="s">
        <v>2397</v>
      </c>
      <c r="B195" s="1216"/>
      <c r="C195" s="1216"/>
      <c r="D195" s="1216"/>
      <c r="E195" s="1216"/>
      <c r="F195" s="1216"/>
      <c r="G195" s="1216"/>
      <c r="H195" s="1216"/>
      <c r="I195" s="1216"/>
      <c r="J195" s="1216"/>
      <c r="K195" s="1216"/>
      <c r="L195" s="1216"/>
      <c r="M195" s="1216"/>
      <c r="N195" s="1216"/>
      <c r="O195" s="1216"/>
      <c r="P195" s="1216"/>
      <c r="Q195" s="1216"/>
      <c r="R195" s="1216"/>
      <c r="S195" s="1216"/>
      <c r="T195" s="1216"/>
      <c r="U195" s="1216"/>
      <c r="V195" s="1216"/>
      <c r="W195" s="1216"/>
    </row>
    <row r="196" spans="1:23" s="99" customFormat="1" ht="30.75" customHeight="1">
      <c r="A196" s="1216" t="s">
        <v>2398</v>
      </c>
      <c r="B196" s="1216"/>
      <c r="C196" s="1216"/>
      <c r="D196" s="1216"/>
      <c r="E196" s="1216"/>
      <c r="F196" s="1216"/>
      <c r="G196" s="1216"/>
      <c r="H196" s="1216"/>
      <c r="I196" s="1216"/>
      <c r="J196" s="1216"/>
      <c r="K196" s="1216"/>
      <c r="L196" s="1216"/>
      <c r="M196" s="1216"/>
      <c r="N196" s="1216"/>
      <c r="O196" s="1216"/>
      <c r="P196" s="1216"/>
      <c r="Q196" s="1216"/>
      <c r="R196" s="1216"/>
      <c r="S196" s="1216"/>
      <c r="T196" s="1216"/>
      <c r="U196" s="1216"/>
      <c r="V196" s="1216"/>
      <c r="W196" s="1216"/>
    </row>
    <row r="197" spans="1:23" s="99" customFormat="1" ht="12.75" customHeight="1">
      <c r="A197" s="1216" t="s">
        <v>2399</v>
      </c>
      <c r="B197" s="1216"/>
      <c r="C197" s="1216"/>
      <c r="D197" s="1216"/>
      <c r="E197" s="1216"/>
      <c r="F197" s="1216"/>
      <c r="G197" s="1216"/>
      <c r="H197" s="1216"/>
      <c r="I197" s="1216"/>
      <c r="J197" s="1216"/>
      <c r="K197" s="1216"/>
      <c r="L197" s="1216"/>
      <c r="M197" s="1216"/>
      <c r="N197" s="1216"/>
      <c r="O197" s="1216"/>
      <c r="P197" s="1216"/>
      <c r="Q197" s="1216"/>
      <c r="R197" s="1216"/>
      <c r="S197" s="1216"/>
      <c r="T197" s="1216"/>
      <c r="U197" s="1216"/>
      <c r="V197" s="1216"/>
      <c r="W197" s="1216"/>
    </row>
    <row r="198" spans="1:23" s="99" customFormat="1" ht="72" customHeight="1">
      <c r="A198" s="1216" t="s">
        <v>2400</v>
      </c>
      <c r="B198" s="1216"/>
      <c r="C198" s="1216"/>
      <c r="D198" s="1216"/>
      <c r="E198" s="1216"/>
      <c r="F198" s="1216"/>
      <c r="G198" s="1216"/>
      <c r="H198" s="1216"/>
      <c r="I198" s="1216"/>
      <c r="J198" s="1216"/>
      <c r="K198" s="1216"/>
      <c r="L198" s="1216"/>
      <c r="M198" s="1216"/>
      <c r="N198" s="1216"/>
      <c r="O198" s="1216"/>
      <c r="P198" s="1216"/>
      <c r="Q198" s="1216"/>
      <c r="R198" s="1216"/>
      <c r="S198" s="1216"/>
      <c r="T198" s="1216"/>
      <c r="U198" s="1216"/>
      <c r="V198" s="1216"/>
      <c r="W198" s="1216"/>
    </row>
    <row r="199" spans="1:23" s="99" customFormat="1" ht="41.25" customHeight="1">
      <c r="A199" s="1216" t="s">
        <v>2401</v>
      </c>
      <c r="B199" s="1216"/>
      <c r="C199" s="1216"/>
      <c r="D199" s="1216"/>
      <c r="E199" s="1216"/>
      <c r="F199" s="1216"/>
      <c r="G199" s="1216"/>
      <c r="H199" s="1216"/>
      <c r="I199" s="1216"/>
      <c r="J199" s="1216"/>
      <c r="K199" s="1216"/>
      <c r="L199" s="1216"/>
      <c r="M199" s="1216"/>
      <c r="N199" s="1216"/>
      <c r="O199" s="1216"/>
      <c r="P199" s="1216"/>
      <c r="Q199" s="1216"/>
      <c r="R199" s="1216"/>
      <c r="S199" s="1216"/>
      <c r="T199" s="1216"/>
      <c r="U199" s="1216"/>
      <c r="V199" s="1216"/>
      <c r="W199" s="1216"/>
    </row>
    <row r="200" spans="1:23" s="99" customFormat="1">
      <c r="A200" s="1216" t="s">
        <v>2402</v>
      </c>
      <c r="B200" s="1216"/>
      <c r="C200" s="1216"/>
      <c r="D200" s="1216"/>
      <c r="E200" s="1216"/>
      <c r="F200" s="1216"/>
      <c r="G200" s="1216"/>
      <c r="H200" s="1216"/>
      <c r="I200" s="1216"/>
      <c r="J200" s="1216"/>
      <c r="K200" s="1216"/>
      <c r="L200" s="1216"/>
      <c r="M200" s="1216"/>
      <c r="N200" s="1216"/>
      <c r="O200" s="1216"/>
      <c r="P200" s="1216"/>
      <c r="Q200" s="1216"/>
      <c r="R200" s="1216"/>
      <c r="S200" s="1216"/>
      <c r="T200" s="1216"/>
      <c r="U200" s="1216"/>
      <c r="V200" s="1216"/>
      <c r="W200" s="1216"/>
    </row>
    <row r="201" spans="1:23" s="99" customFormat="1" ht="70.5" customHeight="1">
      <c r="A201" s="1216" t="s">
        <v>2403</v>
      </c>
      <c r="B201" s="1216"/>
      <c r="C201" s="1216"/>
      <c r="D201" s="1216"/>
      <c r="E201" s="1216"/>
      <c r="F201" s="1216"/>
      <c r="G201" s="1216"/>
      <c r="H201" s="1216"/>
      <c r="I201" s="1216"/>
      <c r="J201" s="1216"/>
      <c r="K201" s="1216"/>
      <c r="L201" s="1216"/>
      <c r="M201" s="1216"/>
      <c r="N201" s="1216"/>
      <c r="O201" s="1216"/>
      <c r="P201" s="1216"/>
      <c r="Q201" s="1216"/>
      <c r="R201" s="1216"/>
      <c r="S201" s="1216"/>
      <c r="T201" s="1216"/>
      <c r="U201" s="1216"/>
      <c r="V201" s="1216"/>
      <c r="W201" s="1216"/>
    </row>
    <row r="202" spans="1:23" s="99" customFormat="1" ht="99" customHeight="1">
      <c r="A202" s="1216" t="s">
        <v>2404</v>
      </c>
      <c r="B202" s="1216"/>
      <c r="C202" s="1216"/>
      <c r="D202" s="1216"/>
      <c r="E202" s="1216"/>
      <c r="F202" s="1216"/>
      <c r="G202" s="1216"/>
      <c r="H202" s="1216"/>
      <c r="I202" s="1216"/>
      <c r="J202" s="1216"/>
      <c r="K202" s="1216"/>
      <c r="L202" s="1216"/>
      <c r="M202" s="1216"/>
      <c r="N202" s="1216"/>
      <c r="O202" s="1216"/>
      <c r="P202" s="1216"/>
      <c r="Q202" s="1216"/>
      <c r="R202" s="1216"/>
      <c r="S202" s="1216"/>
      <c r="T202" s="1216"/>
      <c r="U202" s="1216"/>
      <c r="V202" s="1216"/>
      <c r="W202" s="1216"/>
    </row>
    <row r="203" spans="1:23" s="99" customFormat="1" ht="66.75" customHeight="1">
      <c r="A203" s="1216" t="s">
        <v>2405</v>
      </c>
      <c r="B203" s="1216"/>
      <c r="C203" s="1216"/>
      <c r="D203" s="1216"/>
      <c r="E203" s="1216"/>
      <c r="F203" s="1216"/>
      <c r="G203" s="1216"/>
      <c r="H203" s="1216"/>
      <c r="I203" s="1216"/>
      <c r="J203" s="1216"/>
      <c r="K203" s="1216"/>
      <c r="L203" s="1216"/>
      <c r="M203" s="1216"/>
      <c r="N203" s="1216"/>
      <c r="O203" s="1216"/>
      <c r="P203" s="1216"/>
      <c r="Q203" s="1216"/>
      <c r="R203" s="1216"/>
      <c r="S203" s="1216"/>
      <c r="T203" s="1216"/>
      <c r="U203" s="1216"/>
      <c r="V203" s="1216"/>
      <c r="W203" s="1216"/>
    </row>
    <row r="204" spans="1:23" s="99" customFormat="1" ht="120.75" customHeight="1">
      <c r="A204" s="1298" t="s">
        <v>2406</v>
      </c>
      <c r="B204" s="1298"/>
      <c r="C204" s="1298"/>
      <c r="D204" s="1298"/>
      <c r="E204" s="1298"/>
      <c r="F204" s="1298"/>
      <c r="G204" s="1298"/>
      <c r="H204" s="1298"/>
      <c r="I204" s="1298"/>
      <c r="J204" s="1298"/>
      <c r="K204" s="1298"/>
      <c r="L204" s="1298"/>
      <c r="M204" s="1298"/>
      <c r="N204" s="1298"/>
      <c r="O204" s="1298"/>
      <c r="P204" s="1298"/>
      <c r="Q204" s="1298"/>
      <c r="R204" s="1298"/>
      <c r="S204" s="1298"/>
      <c r="T204" s="1298"/>
      <c r="U204" s="1298"/>
      <c r="V204" s="1298"/>
      <c r="W204" s="1298"/>
    </row>
    <row r="205" spans="1:23" s="99" customFormat="1">
      <c r="A205" s="1216" t="s">
        <v>2407</v>
      </c>
      <c r="B205" s="1216"/>
      <c r="C205" s="1216"/>
      <c r="D205" s="1216"/>
      <c r="E205" s="1216"/>
      <c r="F205" s="1216"/>
      <c r="G205" s="1216"/>
      <c r="H205" s="1216"/>
      <c r="I205" s="1216"/>
      <c r="J205" s="1216"/>
      <c r="K205" s="1216"/>
      <c r="L205" s="1216"/>
      <c r="M205" s="1216"/>
      <c r="N205" s="1216"/>
      <c r="O205" s="1216"/>
      <c r="P205" s="1216"/>
      <c r="Q205" s="1216"/>
      <c r="R205" s="1216"/>
      <c r="S205" s="1216"/>
      <c r="T205" s="1216"/>
      <c r="U205" s="1216"/>
      <c r="V205" s="1216"/>
      <c r="W205" s="1216"/>
    </row>
    <row r="206" spans="1:23" s="99" customFormat="1" ht="32.25" customHeight="1">
      <c r="A206" s="1216" t="s">
        <v>2398</v>
      </c>
      <c r="B206" s="1216"/>
      <c r="C206" s="1216"/>
      <c r="D206" s="1216"/>
      <c r="E206" s="1216"/>
      <c r="F206" s="1216"/>
      <c r="G206" s="1216"/>
      <c r="H206" s="1216"/>
      <c r="I206" s="1216"/>
      <c r="J206" s="1216"/>
      <c r="K206" s="1216"/>
      <c r="L206" s="1216"/>
      <c r="M206" s="1216"/>
      <c r="N206" s="1216"/>
      <c r="O206" s="1216"/>
      <c r="P206" s="1216"/>
      <c r="Q206" s="1216"/>
      <c r="R206" s="1216"/>
      <c r="S206" s="1216"/>
      <c r="T206" s="1216"/>
      <c r="U206" s="1216"/>
      <c r="V206" s="1216"/>
      <c r="W206" s="1216"/>
    </row>
    <row r="207" spans="1:23" s="99" customFormat="1" ht="12.75" customHeight="1">
      <c r="A207" s="1298" t="s">
        <v>2781</v>
      </c>
      <c r="B207" s="1298"/>
      <c r="C207" s="1298"/>
      <c r="D207" s="1298"/>
      <c r="E207" s="1298"/>
      <c r="F207" s="1298"/>
      <c r="G207" s="1298"/>
      <c r="H207" s="1298"/>
      <c r="I207" s="1298"/>
      <c r="J207" s="1298"/>
      <c r="K207" s="1298"/>
      <c r="L207" s="1298"/>
      <c r="M207" s="1298"/>
      <c r="N207" s="1298"/>
      <c r="O207" s="1298"/>
      <c r="P207" s="1298"/>
      <c r="Q207" s="1298"/>
      <c r="R207" s="1298"/>
      <c r="S207" s="1298"/>
      <c r="T207" s="1298"/>
      <c r="U207" s="1298"/>
      <c r="V207" s="1298"/>
      <c r="W207" s="1298"/>
    </row>
    <row r="208" spans="1:23" s="99" customFormat="1" ht="12.75" customHeight="1">
      <c r="A208" s="1216" t="s">
        <v>2408</v>
      </c>
      <c r="B208" s="1216"/>
      <c r="C208" s="1216"/>
      <c r="D208" s="1216"/>
      <c r="E208" s="1216"/>
      <c r="F208" s="1216"/>
      <c r="G208" s="1216"/>
      <c r="H208" s="1216"/>
      <c r="I208" s="1216"/>
      <c r="J208" s="1216"/>
      <c r="K208" s="1216"/>
      <c r="L208" s="1216"/>
      <c r="M208" s="1216"/>
      <c r="N208" s="1216"/>
      <c r="O208" s="1216"/>
      <c r="P208" s="1216"/>
      <c r="Q208" s="1216"/>
      <c r="R208" s="1216"/>
      <c r="S208" s="1216"/>
      <c r="T208" s="1216"/>
      <c r="U208" s="1216"/>
      <c r="V208" s="1216"/>
      <c r="W208" s="1216"/>
    </row>
    <row r="209" spans="1:23" s="99" customFormat="1" ht="98.25" customHeight="1">
      <c r="A209" s="1216" t="s">
        <v>2409</v>
      </c>
      <c r="B209" s="1216"/>
      <c r="C209" s="1216"/>
      <c r="D209" s="1216"/>
      <c r="E209" s="1216"/>
      <c r="F209" s="1216"/>
      <c r="G209" s="1216"/>
      <c r="H209" s="1216"/>
      <c r="I209" s="1216"/>
      <c r="J209" s="1216"/>
      <c r="K209" s="1216"/>
      <c r="L209" s="1216"/>
      <c r="M209" s="1216"/>
      <c r="N209" s="1216"/>
      <c r="O209" s="1216"/>
      <c r="P209" s="1216"/>
      <c r="Q209" s="1216"/>
      <c r="R209" s="1216"/>
      <c r="S209" s="1216"/>
      <c r="T209" s="1216"/>
      <c r="U209" s="1216"/>
      <c r="V209" s="1216"/>
      <c r="W209" s="1216"/>
    </row>
    <row r="210" spans="1:23" s="99" customFormat="1" ht="136.5" customHeight="1">
      <c r="A210" s="1216" t="s">
        <v>2410</v>
      </c>
      <c r="B210" s="1216"/>
      <c r="C210" s="1216"/>
      <c r="D210" s="1216"/>
      <c r="E210" s="1216"/>
      <c r="F210" s="1216"/>
      <c r="G210" s="1216"/>
      <c r="H210" s="1216"/>
      <c r="I210" s="1216"/>
      <c r="J210" s="1216"/>
      <c r="K210" s="1216"/>
      <c r="L210" s="1216"/>
      <c r="M210" s="1216"/>
      <c r="N210" s="1216"/>
      <c r="O210" s="1216"/>
      <c r="P210" s="1216"/>
      <c r="Q210" s="1216"/>
      <c r="R210" s="1216"/>
      <c r="S210" s="1216"/>
      <c r="T210" s="1216"/>
      <c r="U210" s="1216"/>
      <c r="V210" s="1216"/>
      <c r="W210" s="1216"/>
    </row>
    <row r="211" spans="1:23" s="99" customFormat="1" ht="147.75" customHeight="1">
      <c r="A211" s="1216" t="s">
        <v>2411</v>
      </c>
      <c r="B211" s="1216"/>
      <c r="C211" s="1216"/>
      <c r="D211" s="1216"/>
      <c r="E211" s="1216"/>
      <c r="F211" s="1216"/>
      <c r="G211" s="1216"/>
      <c r="H211" s="1216"/>
      <c r="I211" s="1216"/>
      <c r="J211" s="1216"/>
      <c r="K211" s="1216"/>
      <c r="L211" s="1216"/>
      <c r="M211" s="1216"/>
      <c r="N211" s="1216"/>
      <c r="O211" s="1216"/>
      <c r="P211" s="1216"/>
      <c r="Q211" s="1216"/>
      <c r="R211" s="1216"/>
      <c r="S211" s="1216"/>
      <c r="T211" s="1216"/>
      <c r="U211" s="1216"/>
      <c r="V211" s="1216"/>
      <c r="W211" s="1216"/>
    </row>
    <row r="212" spans="1:23" s="99" customFormat="1" ht="135.75" customHeight="1">
      <c r="A212" s="1216" t="s">
        <v>2412</v>
      </c>
      <c r="B212" s="1216"/>
      <c r="C212" s="1216"/>
      <c r="D212" s="1216"/>
      <c r="E212" s="1216"/>
      <c r="F212" s="1216"/>
      <c r="G212" s="1216"/>
      <c r="H212" s="1216"/>
      <c r="I212" s="1216"/>
      <c r="J212" s="1216"/>
      <c r="K212" s="1216"/>
      <c r="L212" s="1216"/>
      <c r="M212" s="1216"/>
      <c r="N212" s="1216"/>
      <c r="O212" s="1216"/>
      <c r="P212" s="1216"/>
      <c r="Q212" s="1216"/>
      <c r="R212" s="1216"/>
      <c r="S212" s="1216"/>
      <c r="T212" s="1216"/>
      <c r="U212" s="1216"/>
      <c r="V212" s="1216"/>
      <c r="W212" s="1216"/>
    </row>
    <row r="213" spans="1:23" s="99" customFormat="1" ht="45" customHeight="1">
      <c r="A213" s="1216" t="s">
        <v>2413</v>
      </c>
      <c r="B213" s="1216"/>
      <c r="C213" s="1216"/>
      <c r="D213" s="1216"/>
      <c r="E213" s="1216"/>
      <c r="F213" s="1216"/>
      <c r="G213" s="1216"/>
      <c r="H213" s="1216"/>
      <c r="I213" s="1216"/>
      <c r="J213" s="1216"/>
      <c r="K213" s="1216"/>
      <c r="L213" s="1216"/>
      <c r="M213" s="1216"/>
      <c r="N213" s="1216"/>
      <c r="O213" s="1216"/>
      <c r="P213" s="1216"/>
      <c r="Q213" s="1216"/>
      <c r="R213" s="1216"/>
      <c r="S213" s="1216"/>
      <c r="T213" s="1216"/>
      <c r="U213" s="1216"/>
      <c r="V213" s="1216"/>
      <c r="W213" s="1216"/>
    </row>
    <row r="214" spans="1:23" s="99" customFormat="1">
      <c r="A214" s="1216" t="s">
        <v>2414</v>
      </c>
      <c r="B214" s="1216"/>
      <c r="C214" s="1216"/>
      <c r="D214" s="1216"/>
      <c r="E214" s="1216"/>
      <c r="F214" s="1216"/>
      <c r="G214" s="1216"/>
      <c r="H214" s="1216"/>
      <c r="I214" s="1216"/>
      <c r="J214" s="1216"/>
      <c r="K214" s="1216"/>
      <c r="L214" s="1216"/>
      <c r="M214" s="1216"/>
      <c r="N214" s="1216"/>
      <c r="O214" s="1216"/>
      <c r="P214" s="1216"/>
      <c r="Q214" s="1216"/>
      <c r="R214" s="1216"/>
      <c r="S214" s="1216"/>
      <c r="T214" s="1216"/>
      <c r="U214" s="1216"/>
      <c r="V214" s="1216"/>
      <c r="W214" s="1216"/>
    </row>
    <row r="215" spans="1:23" s="99" customFormat="1" ht="12.75" customHeight="1">
      <c r="A215" s="1216" t="s">
        <v>2782</v>
      </c>
      <c r="B215" s="1216"/>
      <c r="C215" s="1216"/>
      <c r="D215" s="1216"/>
      <c r="E215" s="1216"/>
      <c r="F215" s="1216"/>
      <c r="G215" s="1216"/>
      <c r="H215" s="1216"/>
      <c r="I215" s="1216"/>
      <c r="J215" s="1216"/>
      <c r="K215" s="1216"/>
      <c r="L215" s="1216"/>
      <c r="M215" s="1216"/>
      <c r="N215" s="1216"/>
      <c r="O215" s="1216"/>
      <c r="P215" s="1216"/>
      <c r="Q215" s="1216"/>
      <c r="R215" s="1216"/>
      <c r="S215" s="1216"/>
      <c r="T215" s="1216"/>
      <c r="U215" s="1216"/>
      <c r="V215" s="1216"/>
      <c r="W215" s="1216"/>
    </row>
    <row r="216" spans="1:23" s="99" customFormat="1" ht="12.75" customHeight="1">
      <c r="A216" s="1298" t="s">
        <v>2415</v>
      </c>
      <c r="B216" s="1298"/>
      <c r="C216" s="1298"/>
      <c r="D216" s="1298"/>
      <c r="E216" s="1298"/>
      <c r="F216" s="1298"/>
      <c r="G216" s="1298"/>
      <c r="H216" s="1298"/>
      <c r="I216" s="1298"/>
      <c r="J216" s="1298"/>
      <c r="K216" s="1298"/>
      <c r="L216" s="1298"/>
      <c r="M216" s="1298"/>
      <c r="N216" s="1298"/>
      <c r="O216" s="1298"/>
      <c r="P216" s="1298"/>
      <c r="Q216" s="1298"/>
      <c r="R216" s="1298"/>
      <c r="S216" s="1298"/>
      <c r="T216" s="1298"/>
      <c r="U216" s="1298"/>
      <c r="V216" s="1298"/>
      <c r="W216" s="1298"/>
    </row>
    <row r="217" spans="1:23" s="99" customFormat="1" ht="29.25" customHeight="1">
      <c r="A217" s="1216" t="s">
        <v>2416</v>
      </c>
      <c r="B217" s="1216"/>
      <c r="C217" s="1216"/>
      <c r="D217" s="1216"/>
      <c r="E217" s="1216"/>
      <c r="F217" s="1216"/>
      <c r="G217" s="1216"/>
      <c r="H217" s="1216"/>
      <c r="I217" s="1216"/>
      <c r="J217" s="1216"/>
      <c r="K217" s="1216"/>
      <c r="L217" s="1216"/>
      <c r="M217" s="1216"/>
      <c r="N217" s="1216"/>
      <c r="O217" s="1216"/>
      <c r="P217" s="1216"/>
      <c r="Q217" s="1216"/>
      <c r="R217" s="1216"/>
      <c r="S217" s="1216"/>
      <c r="T217" s="1216"/>
      <c r="U217" s="1216"/>
      <c r="V217" s="1216"/>
      <c r="W217" s="1216"/>
    </row>
    <row r="218" spans="1:23" s="99" customFormat="1" ht="45.75" customHeight="1">
      <c r="A218" s="1216" t="s">
        <v>2417</v>
      </c>
      <c r="B218" s="1216"/>
      <c r="C218" s="1216"/>
      <c r="D218" s="1216"/>
      <c r="E218" s="1216"/>
      <c r="F218" s="1216"/>
      <c r="G218" s="1216"/>
      <c r="H218" s="1216"/>
      <c r="I218" s="1216"/>
      <c r="J218" s="1216"/>
      <c r="K218" s="1216"/>
      <c r="L218" s="1216"/>
      <c r="M218" s="1216"/>
      <c r="N218" s="1216"/>
      <c r="O218" s="1216"/>
      <c r="P218" s="1216"/>
      <c r="Q218" s="1216"/>
      <c r="R218" s="1216"/>
      <c r="S218" s="1216"/>
      <c r="T218" s="1216"/>
      <c r="U218" s="1216"/>
      <c r="V218" s="1216"/>
      <c r="W218" s="1216"/>
    </row>
    <row r="219" spans="1:23" s="99" customFormat="1" ht="12.75" customHeight="1">
      <c r="A219" s="1216" t="s">
        <v>2418</v>
      </c>
      <c r="B219" s="1216"/>
      <c r="C219" s="1216"/>
      <c r="D219" s="1216"/>
      <c r="E219" s="1216"/>
      <c r="F219" s="1216"/>
      <c r="G219" s="1216"/>
      <c r="H219" s="1216"/>
      <c r="I219" s="1216"/>
      <c r="J219" s="1216"/>
      <c r="K219" s="1216"/>
      <c r="L219" s="1216"/>
      <c r="M219" s="1216"/>
      <c r="N219" s="1216"/>
      <c r="O219" s="1216"/>
      <c r="P219" s="1216"/>
      <c r="Q219" s="1216"/>
      <c r="R219" s="1216"/>
      <c r="S219" s="1216"/>
      <c r="T219" s="1216"/>
      <c r="U219" s="1216"/>
      <c r="V219" s="1216"/>
      <c r="W219" s="1216"/>
    </row>
    <row r="220" spans="1:23" s="99" customFormat="1" ht="12.75" customHeight="1">
      <c r="A220" s="1216" t="s">
        <v>2419</v>
      </c>
      <c r="B220" s="1216"/>
      <c r="C220" s="1216"/>
      <c r="D220" s="1216"/>
      <c r="E220" s="1216"/>
      <c r="F220" s="1216"/>
      <c r="G220" s="1216"/>
      <c r="H220" s="1216"/>
      <c r="I220" s="1216"/>
      <c r="J220" s="1216"/>
      <c r="K220" s="1216"/>
      <c r="L220" s="1216"/>
      <c r="M220" s="1216"/>
      <c r="N220" s="1216"/>
      <c r="O220" s="1216"/>
      <c r="P220" s="1216"/>
      <c r="Q220" s="1216"/>
      <c r="R220" s="1216"/>
      <c r="S220" s="1216"/>
      <c r="T220" s="1216"/>
      <c r="U220" s="1216"/>
      <c r="V220" s="1216"/>
      <c r="W220" s="1216"/>
    </row>
    <row r="221" spans="1:23" s="99" customFormat="1" ht="12.75" customHeight="1">
      <c r="A221" s="1216" t="s">
        <v>2420</v>
      </c>
      <c r="B221" s="1216"/>
      <c r="C221" s="1216"/>
      <c r="D221" s="1216"/>
      <c r="E221" s="1216"/>
      <c r="F221" s="1216"/>
      <c r="G221" s="1216"/>
      <c r="H221" s="1216"/>
      <c r="I221" s="1216"/>
      <c r="J221" s="1216"/>
      <c r="K221" s="1216"/>
      <c r="L221" s="1216"/>
      <c r="M221" s="1216"/>
      <c r="N221" s="1216"/>
      <c r="O221" s="1216"/>
      <c r="P221" s="1216"/>
      <c r="Q221" s="1216"/>
      <c r="R221" s="1216"/>
      <c r="S221" s="1216"/>
      <c r="T221" s="1216"/>
      <c r="U221" s="1216"/>
      <c r="V221" s="1216"/>
      <c r="W221" s="1216"/>
    </row>
    <row r="222" spans="1:23" s="99" customFormat="1" ht="30.75" customHeight="1">
      <c r="A222" s="1216" t="s">
        <v>2421</v>
      </c>
      <c r="B222" s="1216"/>
      <c r="C222" s="1216"/>
      <c r="D222" s="1216"/>
      <c r="E222" s="1216"/>
      <c r="F222" s="1216"/>
      <c r="G222" s="1216"/>
      <c r="H222" s="1216"/>
      <c r="I222" s="1216"/>
      <c r="J222" s="1216"/>
      <c r="K222" s="1216"/>
      <c r="L222" s="1216"/>
      <c r="M222" s="1216"/>
      <c r="N222" s="1216"/>
      <c r="O222" s="1216"/>
      <c r="P222" s="1216"/>
      <c r="Q222" s="1216"/>
      <c r="R222" s="1216"/>
      <c r="S222" s="1216"/>
      <c r="T222" s="1216"/>
      <c r="U222" s="1216"/>
      <c r="V222" s="1216"/>
      <c r="W222" s="1216"/>
    </row>
    <row r="223" spans="1:23" s="99" customFormat="1" ht="15" customHeight="1">
      <c r="A223" s="1216" t="s">
        <v>2422</v>
      </c>
      <c r="B223" s="1216"/>
      <c r="C223" s="1216"/>
      <c r="D223" s="1216"/>
      <c r="E223" s="1216"/>
      <c r="F223" s="1216"/>
      <c r="G223" s="1216"/>
      <c r="H223" s="1216"/>
      <c r="I223" s="1216"/>
      <c r="J223" s="1216"/>
      <c r="K223" s="1216"/>
      <c r="L223" s="1216"/>
      <c r="M223" s="1216"/>
      <c r="N223" s="1216"/>
      <c r="O223" s="1216"/>
      <c r="P223" s="1216"/>
      <c r="Q223" s="1216"/>
      <c r="R223" s="1216"/>
      <c r="S223" s="1216"/>
      <c r="T223" s="1216"/>
      <c r="U223" s="1216"/>
      <c r="V223" s="1216"/>
      <c r="W223" s="1216"/>
    </row>
    <row r="224" spans="1:23" s="99" customFormat="1" ht="12.75" customHeight="1">
      <c r="A224" s="1216" t="s">
        <v>2423</v>
      </c>
      <c r="B224" s="1216"/>
      <c r="C224" s="1216"/>
      <c r="D224" s="1216"/>
      <c r="E224" s="1216"/>
      <c r="F224" s="1216"/>
      <c r="G224" s="1216"/>
      <c r="H224" s="1216"/>
      <c r="I224" s="1216"/>
      <c r="J224" s="1216"/>
      <c r="K224" s="1216"/>
      <c r="L224" s="1216"/>
      <c r="M224" s="1216"/>
      <c r="N224" s="1216"/>
      <c r="O224" s="1216"/>
      <c r="P224" s="1216"/>
      <c r="Q224" s="1216"/>
      <c r="R224" s="1216"/>
      <c r="S224" s="1216"/>
      <c r="T224" s="1216"/>
      <c r="U224" s="1216"/>
      <c r="V224" s="1216"/>
      <c r="W224" s="1216"/>
    </row>
    <row r="225" spans="1:23" s="99" customFormat="1" ht="12.75" customHeight="1">
      <c r="A225" s="1216" t="s">
        <v>2424</v>
      </c>
      <c r="B225" s="1216"/>
      <c r="C225" s="1216"/>
      <c r="D225" s="1216"/>
      <c r="E225" s="1216"/>
      <c r="F225" s="1216"/>
      <c r="G225" s="1216"/>
      <c r="H225" s="1216"/>
      <c r="I225" s="1216"/>
      <c r="J225" s="1216"/>
      <c r="K225" s="1216"/>
      <c r="L225" s="1216"/>
      <c r="M225" s="1216"/>
      <c r="N225" s="1216"/>
      <c r="O225" s="1216"/>
      <c r="P225" s="1216"/>
      <c r="Q225" s="1216"/>
      <c r="R225" s="1216"/>
      <c r="S225" s="1216"/>
      <c r="T225" s="1216"/>
      <c r="U225" s="1216"/>
      <c r="V225" s="1216"/>
      <c r="W225" s="1216"/>
    </row>
    <row r="226" spans="1:23" s="99" customFormat="1" ht="12.75" customHeight="1">
      <c r="A226" s="1216" t="s">
        <v>2425</v>
      </c>
      <c r="B226" s="1216"/>
      <c r="C226" s="1216"/>
      <c r="D226" s="1216"/>
      <c r="E226" s="1216"/>
      <c r="F226" s="1216"/>
      <c r="G226" s="1216"/>
      <c r="H226" s="1216"/>
      <c r="I226" s="1216"/>
      <c r="J226" s="1216"/>
      <c r="K226" s="1216"/>
      <c r="L226" s="1216"/>
      <c r="M226" s="1216"/>
      <c r="N226" s="1216"/>
      <c r="O226" s="1216"/>
      <c r="P226" s="1216"/>
      <c r="Q226" s="1216"/>
      <c r="R226" s="1216"/>
      <c r="S226" s="1216"/>
      <c r="T226" s="1216"/>
      <c r="U226" s="1216"/>
      <c r="V226" s="1216"/>
      <c r="W226" s="1216"/>
    </row>
    <row r="227" spans="1:23" s="99" customFormat="1" ht="35.25" customHeight="1">
      <c r="A227" s="1216" t="s">
        <v>2426</v>
      </c>
      <c r="B227" s="1216"/>
      <c r="C227" s="1216"/>
      <c r="D227" s="1216"/>
      <c r="E227" s="1216"/>
      <c r="F227" s="1216"/>
      <c r="G227" s="1216"/>
      <c r="H227" s="1216"/>
      <c r="I227" s="1216"/>
      <c r="J227" s="1216"/>
      <c r="K227" s="1216"/>
      <c r="L227" s="1216"/>
      <c r="M227" s="1216"/>
      <c r="N227" s="1216"/>
      <c r="O227" s="1216"/>
      <c r="P227" s="1216"/>
      <c r="Q227" s="1216"/>
      <c r="R227" s="1216"/>
      <c r="S227" s="1216"/>
      <c r="T227" s="1216"/>
      <c r="U227" s="1216"/>
      <c r="V227" s="1216"/>
      <c r="W227" s="1216"/>
    </row>
    <row r="228" spans="1:23" s="99" customFormat="1" ht="12.75" customHeight="1">
      <c r="A228" s="1216" t="s">
        <v>2427</v>
      </c>
      <c r="B228" s="1216"/>
      <c r="C228" s="1216"/>
      <c r="D228" s="1216"/>
      <c r="E228" s="1216"/>
      <c r="F228" s="1216"/>
      <c r="G228" s="1216"/>
      <c r="H228" s="1216"/>
      <c r="I228" s="1216"/>
      <c r="J228" s="1216"/>
      <c r="K228" s="1216"/>
      <c r="L228" s="1216"/>
      <c r="M228" s="1216"/>
      <c r="N228" s="1216"/>
      <c r="O228" s="1216"/>
      <c r="P228" s="1216"/>
      <c r="Q228" s="1216"/>
      <c r="R228" s="1216"/>
      <c r="S228" s="1216"/>
      <c r="T228" s="1216"/>
      <c r="U228" s="1216"/>
      <c r="V228" s="1216"/>
      <c r="W228" s="1216"/>
    </row>
    <row r="229" spans="1:23" s="99" customFormat="1" ht="12.75" customHeight="1">
      <c r="A229" s="1216" t="s">
        <v>2428</v>
      </c>
      <c r="B229" s="1216"/>
      <c r="C229" s="1216"/>
      <c r="D229" s="1216"/>
      <c r="E229" s="1216"/>
      <c r="F229" s="1216"/>
      <c r="G229" s="1216"/>
      <c r="H229" s="1216"/>
      <c r="I229" s="1216"/>
      <c r="J229" s="1216"/>
      <c r="K229" s="1216"/>
      <c r="L229" s="1216"/>
      <c r="M229" s="1216"/>
      <c r="N229" s="1216"/>
      <c r="O229" s="1216"/>
      <c r="P229" s="1216"/>
      <c r="Q229" s="1216"/>
      <c r="R229" s="1216"/>
      <c r="S229" s="1216"/>
      <c r="T229" s="1216"/>
      <c r="U229" s="1216"/>
      <c r="V229" s="1216"/>
      <c r="W229" s="1216"/>
    </row>
    <row r="230" spans="1:23" s="99" customFormat="1" ht="12.75" customHeight="1">
      <c r="A230" s="1216" t="s">
        <v>2429</v>
      </c>
      <c r="B230" s="1216"/>
      <c r="C230" s="1216"/>
      <c r="D230" s="1216"/>
      <c r="E230" s="1216"/>
      <c r="F230" s="1216"/>
      <c r="G230" s="1216"/>
      <c r="H230" s="1216"/>
      <c r="I230" s="1216"/>
      <c r="J230" s="1216"/>
      <c r="K230" s="1216"/>
      <c r="L230" s="1216"/>
      <c r="M230" s="1216"/>
      <c r="N230" s="1216"/>
      <c r="O230" s="1216"/>
      <c r="P230" s="1216"/>
      <c r="Q230" s="1216"/>
      <c r="R230" s="1216"/>
      <c r="S230" s="1216"/>
      <c r="T230" s="1216"/>
      <c r="U230" s="1216"/>
      <c r="V230" s="1216"/>
      <c r="W230" s="1216"/>
    </row>
    <row r="231" spans="1:23" s="99" customFormat="1" ht="32.25" customHeight="1">
      <c r="A231" s="1216" t="s">
        <v>2430</v>
      </c>
      <c r="B231" s="1216"/>
      <c r="C231" s="1216"/>
      <c r="D231" s="1216"/>
      <c r="E231" s="1216"/>
      <c r="F231" s="1216"/>
      <c r="G231" s="1216"/>
      <c r="H231" s="1216"/>
      <c r="I231" s="1216"/>
      <c r="J231" s="1216"/>
      <c r="K231" s="1216"/>
      <c r="L231" s="1216"/>
      <c r="M231" s="1216"/>
      <c r="N231" s="1216"/>
      <c r="O231" s="1216"/>
      <c r="P231" s="1216"/>
      <c r="Q231" s="1216"/>
      <c r="R231" s="1216"/>
      <c r="S231" s="1216"/>
      <c r="T231" s="1216"/>
      <c r="U231" s="1216"/>
      <c r="V231" s="1216"/>
      <c r="W231" s="1216"/>
    </row>
    <row r="232" spans="1:23" s="99" customFormat="1" ht="12.75" customHeight="1">
      <c r="A232" s="1298" t="s">
        <v>2431</v>
      </c>
      <c r="B232" s="1298"/>
      <c r="C232" s="1298"/>
      <c r="D232" s="1298"/>
      <c r="E232" s="1298"/>
      <c r="F232" s="1298"/>
      <c r="G232" s="1298"/>
      <c r="H232" s="1298"/>
      <c r="I232" s="1298"/>
      <c r="J232" s="1298"/>
      <c r="K232" s="1298"/>
      <c r="L232" s="1298"/>
      <c r="M232" s="1298"/>
      <c r="N232" s="1298"/>
      <c r="O232" s="1298"/>
      <c r="P232" s="1298"/>
      <c r="Q232" s="1298"/>
      <c r="R232" s="1298"/>
      <c r="S232" s="1298"/>
      <c r="T232" s="1298"/>
      <c r="U232" s="1298"/>
      <c r="V232" s="1298"/>
      <c r="W232" s="1298"/>
    </row>
    <row r="233" spans="1:23" s="99" customFormat="1" ht="30" customHeight="1">
      <c r="A233" s="1216" t="s">
        <v>2432</v>
      </c>
      <c r="B233" s="1216"/>
      <c r="C233" s="1216"/>
      <c r="D233" s="1216"/>
      <c r="E233" s="1216"/>
      <c r="F233" s="1216"/>
      <c r="G233" s="1216"/>
      <c r="H233" s="1216"/>
      <c r="I233" s="1216"/>
      <c r="J233" s="1216"/>
      <c r="K233" s="1216"/>
      <c r="L233" s="1216"/>
      <c r="M233" s="1216"/>
      <c r="N233" s="1216"/>
      <c r="O233" s="1216"/>
      <c r="P233" s="1216"/>
      <c r="Q233" s="1216"/>
      <c r="R233" s="1216"/>
      <c r="S233" s="1216"/>
      <c r="T233" s="1216"/>
      <c r="U233" s="1216"/>
      <c r="V233" s="1216"/>
      <c r="W233" s="1216"/>
    </row>
    <row r="234" spans="1:23" s="99" customFormat="1" ht="12.75" customHeight="1">
      <c r="A234" s="1216" t="s">
        <v>2433</v>
      </c>
      <c r="B234" s="1216"/>
      <c r="C234" s="1216"/>
      <c r="D234" s="1216"/>
      <c r="E234" s="1216"/>
      <c r="F234" s="1216"/>
      <c r="G234" s="1216"/>
      <c r="H234" s="1216"/>
      <c r="I234" s="1216"/>
      <c r="J234" s="1216"/>
      <c r="K234" s="1216"/>
      <c r="L234" s="1216"/>
      <c r="M234" s="1216"/>
      <c r="N234" s="1216"/>
      <c r="O234" s="1216"/>
      <c r="P234" s="1216"/>
      <c r="Q234" s="1216"/>
      <c r="R234" s="1216"/>
      <c r="S234" s="1216"/>
      <c r="T234" s="1216"/>
      <c r="U234" s="1216"/>
      <c r="V234" s="1216"/>
      <c r="W234" s="1216"/>
    </row>
    <row r="235" spans="1:23" s="99" customFormat="1" ht="12.75" customHeight="1">
      <c r="A235" s="1216" t="s">
        <v>2434</v>
      </c>
      <c r="B235" s="1216"/>
      <c r="C235" s="1216"/>
      <c r="D235" s="1216"/>
      <c r="E235" s="1216"/>
      <c r="F235" s="1216"/>
      <c r="G235" s="1216"/>
      <c r="H235" s="1216"/>
      <c r="I235" s="1216"/>
      <c r="J235" s="1216"/>
      <c r="K235" s="1216"/>
      <c r="L235" s="1216"/>
      <c r="M235" s="1216"/>
      <c r="N235" s="1216"/>
      <c r="O235" s="1216"/>
      <c r="P235" s="1216"/>
      <c r="Q235" s="1216"/>
      <c r="R235" s="1216"/>
      <c r="S235" s="1216"/>
      <c r="T235" s="1216"/>
      <c r="U235" s="1216"/>
      <c r="V235" s="1216"/>
      <c r="W235" s="1216"/>
    </row>
    <row r="236" spans="1:23" s="99" customFormat="1" ht="12.75" customHeight="1">
      <c r="A236" s="1216" t="s">
        <v>2435</v>
      </c>
      <c r="B236" s="1216"/>
      <c r="C236" s="1216"/>
      <c r="D236" s="1216"/>
      <c r="E236" s="1216"/>
      <c r="F236" s="1216"/>
      <c r="G236" s="1216"/>
      <c r="H236" s="1216"/>
      <c r="I236" s="1216"/>
      <c r="J236" s="1216"/>
      <c r="K236" s="1216"/>
      <c r="L236" s="1216"/>
      <c r="M236" s="1216"/>
      <c r="N236" s="1216"/>
      <c r="O236" s="1216"/>
      <c r="P236" s="1216"/>
      <c r="Q236" s="1216"/>
      <c r="R236" s="1216"/>
      <c r="S236" s="1216"/>
      <c r="T236" s="1216"/>
      <c r="U236" s="1216"/>
      <c r="V236" s="1216"/>
      <c r="W236" s="1216"/>
    </row>
    <row r="237" spans="1:23" s="99" customFormat="1" ht="12.75" customHeight="1">
      <c r="A237" s="1216" t="s">
        <v>2436</v>
      </c>
      <c r="B237" s="1216"/>
      <c r="C237" s="1216"/>
      <c r="D237" s="1216"/>
      <c r="E237" s="1216"/>
      <c r="F237" s="1216"/>
      <c r="G237" s="1216"/>
      <c r="H237" s="1216"/>
      <c r="I237" s="1216"/>
      <c r="J237" s="1216"/>
      <c r="K237" s="1216"/>
      <c r="L237" s="1216"/>
      <c r="M237" s="1216"/>
      <c r="N237" s="1216"/>
      <c r="O237" s="1216"/>
      <c r="P237" s="1216"/>
      <c r="Q237" s="1216"/>
      <c r="R237" s="1216"/>
      <c r="S237" s="1216"/>
      <c r="T237" s="1216"/>
      <c r="U237" s="1216"/>
      <c r="V237" s="1216"/>
      <c r="W237" s="1216"/>
    </row>
    <row r="238" spans="1:23" s="99" customFormat="1" ht="12.75" customHeight="1">
      <c r="A238" s="1216" t="s">
        <v>2437</v>
      </c>
      <c r="B238" s="1216"/>
      <c r="C238" s="1216"/>
      <c r="D238" s="1216"/>
      <c r="E238" s="1216"/>
      <c r="F238" s="1216"/>
      <c r="G238" s="1216"/>
      <c r="H238" s="1216"/>
      <c r="I238" s="1216"/>
      <c r="J238" s="1216"/>
      <c r="K238" s="1216"/>
      <c r="L238" s="1216"/>
      <c r="M238" s="1216"/>
      <c r="N238" s="1216"/>
      <c r="O238" s="1216"/>
      <c r="P238" s="1216"/>
      <c r="Q238" s="1216"/>
      <c r="R238" s="1216"/>
      <c r="S238" s="1216"/>
      <c r="T238" s="1216"/>
      <c r="U238" s="1216"/>
      <c r="V238" s="1216"/>
      <c r="W238" s="1216"/>
    </row>
    <row r="239" spans="1:23" s="99" customFormat="1" ht="12.75" customHeight="1">
      <c r="A239" s="1216" t="s">
        <v>2438</v>
      </c>
      <c r="B239" s="1216"/>
      <c r="C239" s="1216"/>
      <c r="D239" s="1216"/>
      <c r="E239" s="1216"/>
      <c r="F239" s="1216"/>
      <c r="G239" s="1216"/>
      <c r="H239" s="1216"/>
      <c r="I239" s="1216"/>
      <c r="J239" s="1216"/>
      <c r="K239" s="1216"/>
      <c r="L239" s="1216"/>
      <c r="M239" s="1216"/>
      <c r="N239" s="1216"/>
      <c r="O239" s="1216"/>
      <c r="P239" s="1216"/>
      <c r="Q239" s="1216"/>
      <c r="R239" s="1216"/>
      <c r="S239" s="1216"/>
      <c r="T239" s="1216"/>
      <c r="U239" s="1216"/>
      <c r="V239" s="1216"/>
      <c r="W239" s="1216"/>
    </row>
    <row r="240" spans="1:23" s="99" customFormat="1" ht="12.75" customHeight="1">
      <c r="A240" s="1216" t="s">
        <v>2439</v>
      </c>
      <c r="B240" s="1216"/>
      <c r="C240" s="1216"/>
      <c r="D240" s="1216"/>
      <c r="E240" s="1216"/>
      <c r="F240" s="1216"/>
      <c r="G240" s="1216"/>
      <c r="H240" s="1216"/>
      <c r="I240" s="1216"/>
      <c r="J240" s="1216"/>
      <c r="K240" s="1216"/>
      <c r="L240" s="1216"/>
      <c r="M240" s="1216"/>
      <c r="N240" s="1216"/>
      <c r="O240" s="1216"/>
      <c r="P240" s="1216"/>
      <c r="Q240" s="1216"/>
      <c r="R240" s="1216"/>
      <c r="S240" s="1216"/>
      <c r="T240" s="1216"/>
      <c r="U240" s="1216"/>
      <c r="V240" s="1216"/>
      <c r="W240" s="1216"/>
    </row>
    <row r="241" spans="1:23" s="99" customFormat="1" ht="54" customHeight="1">
      <c r="A241" s="1298" t="s">
        <v>2440</v>
      </c>
      <c r="B241" s="1298"/>
      <c r="C241" s="1298"/>
      <c r="D241" s="1298"/>
      <c r="E241" s="1298"/>
      <c r="F241" s="1298"/>
      <c r="G241" s="1298"/>
      <c r="H241" s="1298"/>
      <c r="I241" s="1298"/>
      <c r="J241" s="1298"/>
      <c r="K241" s="1298"/>
      <c r="L241" s="1298"/>
      <c r="M241" s="1298"/>
      <c r="N241" s="1298"/>
      <c r="O241" s="1298"/>
      <c r="P241" s="1298"/>
      <c r="Q241" s="1298"/>
      <c r="R241" s="1298"/>
      <c r="S241" s="1298"/>
      <c r="T241" s="1298"/>
      <c r="U241" s="1298"/>
      <c r="V241" s="1298"/>
      <c r="W241" s="1298"/>
    </row>
    <row r="242" spans="1:23" s="99" customFormat="1" ht="32.25" customHeight="1">
      <c r="A242" s="1216" t="s">
        <v>2441</v>
      </c>
      <c r="B242" s="1216"/>
      <c r="C242" s="1216"/>
      <c r="D242" s="1216"/>
      <c r="E242" s="1216"/>
      <c r="F242" s="1216"/>
      <c r="G242" s="1216"/>
      <c r="H242" s="1216"/>
      <c r="I242" s="1216"/>
      <c r="J242" s="1216"/>
      <c r="K242" s="1216"/>
      <c r="L242" s="1216"/>
      <c r="M242" s="1216"/>
      <c r="N242" s="1216"/>
      <c r="O242" s="1216"/>
      <c r="P242" s="1216"/>
      <c r="Q242" s="1216"/>
      <c r="R242" s="1216"/>
      <c r="S242" s="1216"/>
      <c r="T242" s="1216"/>
      <c r="U242" s="1216"/>
      <c r="V242" s="1216"/>
      <c r="W242" s="1216"/>
    </row>
    <row r="243" spans="1:23" s="99" customFormat="1" ht="12.75" customHeight="1">
      <c r="A243" s="1216" t="s">
        <v>2442</v>
      </c>
      <c r="B243" s="1216"/>
      <c r="C243" s="1216"/>
      <c r="D243" s="1216"/>
      <c r="E243" s="1216"/>
      <c r="F243" s="1216"/>
      <c r="G243" s="1216"/>
      <c r="H243" s="1216"/>
      <c r="I243" s="1216"/>
      <c r="J243" s="1216"/>
      <c r="K243" s="1216"/>
      <c r="L243" s="1216"/>
      <c r="M243" s="1216"/>
      <c r="N243" s="1216"/>
      <c r="O243" s="1216"/>
      <c r="P243" s="1216"/>
      <c r="Q243" s="1216"/>
      <c r="R243" s="1216"/>
      <c r="S243" s="1216"/>
      <c r="T243" s="1216"/>
      <c r="U243" s="1216"/>
      <c r="V243" s="1216"/>
      <c r="W243" s="1216"/>
    </row>
    <row r="244" spans="1:23" s="99" customFormat="1" ht="12.75" customHeight="1">
      <c r="A244" s="1216" t="s">
        <v>2443</v>
      </c>
      <c r="B244" s="1216"/>
      <c r="C244" s="1216"/>
      <c r="D244" s="1216"/>
      <c r="E244" s="1216"/>
      <c r="F244" s="1216"/>
      <c r="G244" s="1216"/>
      <c r="H244" s="1216"/>
      <c r="I244" s="1216"/>
      <c r="J244" s="1216"/>
      <c r="K244" s="1216"/>
      <c r="L244" s="1216"/>
      <c r="M244" s="1216"/>
      <c r="N244" s="1216"/>
      <c r="O244" s="1216"/>
      <c r="P244" s="1216"/>
      <c r="Q244" s="1216"/>
      <c r="R244" s="1216"/>
      <c r="S244" s="1216"/>
      <c r="T244" s="1216"/>
      <c r="U244" s="1216"/>
      <c r="V244" s="1216"/>
      <c r="W244" s="1216"/>
    </row>
    <row r="245" spans="1:23" s="99" customFormat="1" ht="26.25" customHeight="1">
      <c r="A245" s="1216" t="s">
        <v>2444</v>
      </c>
      <c r="B245" s="1216"/>
      <c r="C245" s="1216"/>
      <c r="D245" s="1216"/>
      <c r="E245" s="1216"/>
      <c r="F245" s="1216"/>
      <c r="G245" s="1216"/>
      <c r="H245" s="1216"/>
      <c r="I245" s="1216"/>
      <c r="J245" s="1216"/>
      <c r="K245" s="1216"/>
      <c r="L245" s="1216"/>
      <c r="M245" s="1216"/>
      <c r="N245" s="1216"/>
      <c r="O245" s="1216"/>
      <c r="P245" s="1216"/>
      <c r="Q245" s="1216"/>
      <c r="R245" s="1216"/>
      <c r="S245" s="1216"/>
      <c r="T245" s="1216"/>
      <c r="U245" s="1216"/>
      <c r="V245" s="1216"/>
      <c r="W245" s="1216"/>
    </row>
    <row r="246" spans="1:23" s="99" customFormat="1" ht="31.5" customHeight="1">
      <c r="A246" s="1216" t="s">
        <v>2445</v>
      </c>
      <c r="B246" s="1216"/>
      <c r="C246" s="1216"/>
      <c r="D246" s="1216"/>
      <c r="E246" s="1216"/>
      <c r="F246" s="1216"/>
      <c r="G246" s="1216"/>
      <c r="H246" s="1216"/>
      <c r="I246" s="1216"/>
      <c r="J246" s="1216"/>
      <c r="K246" s="1216"/>
      <c r="L246" s="1216"/>
      <c r="M246" s="1216"/>
      <c r="N246" s="1216"/>
      <c r="O246" s="1216"/>
      <c r="P246" s="1216"/>
      <c r="Q246" s="1216"/>
      <c r="R246" s="1216"/>
      <c r="S246" s="1216"/>
      <c r="T246" s="1216"/>
      <c r="U246" s="1216"/>
      <c r="V246" s="1216"/>
      <c r="W246" s="1216"/>
    </row>
    <row r="247" spans="1:23" s="99" customFormat="1" ht="27.75" customHeight="1">
      <c r="A247" s="1216" t="s">
        <v>2446</v>
      </c>
      <c r="B247" s="1216"/>
      <c r="C247" s="1216"/>
      <c r="D247" s="1216"/>
      <c r="E247" s="1216"/>
      <c r="F247" s="1216"/>
      <c r="G247" s="1216"/>
      <c r="H247" s="1216"/>
      <c r="I247" s="1216"/>
      <c r="J247" s="1216"/>
      <c r="K247" s="1216"/>
      <c r="L247" s="1216"/>
      <c r="M247" s="1216"/>
      <c r="N247" s="1216"/>
      <c r="O247" s="1216"/>
      <c r="P247" s="1216"/>
      <c r="Q247" s="1216"/>
      <c r="R247" s="1216"/>
      <c r="S247" s="1216"/>
      <c r="T247" s="1216"/>
      <c r="U247" s="1216"/>
      <c r="V247" s="1216"/>
      <c r="W247" s="1216"/>
    </row>
    <row r="248" spans="1:23" s="99" customFormat="1" ht="45.75" customHeight="1">
      <c r="A248" s="1216" t="s">
        <v>2447</v>
      </c>
      <c r="B248" s="1216"/>
      <c r="C248" s="1216"/>
      <c r="D248" s="1216"/>
      <c r="E248" s="1216"/>
      <c r="F248" s="1216"/>
      <c r="G248" s="1216"/>
      <c r="H248" s="1216"/>
      <c r="I248" s="1216"/>
      <c r="J248" s="1216"/>
      <c r="K248" s="1216"/>
      <c r="L248" s="1216"/>
      <c r="M248" s="1216"/>
      <c r="N248" s="1216"/>
      <c r="O248" s="1216"/>
      <c r="P248" s="1216"/>
      <c r="Q248" s="1216"/>
      <c r="R248" s="1216"/>
      <c r="S248" s="1216"/>
      <c r="T248" s="1216"/>
      <c r="U248" s="1216"/>
      <c r="V248" s="1216"/>
      <c r="W248" s="1216"/>
    </row>
    <row r="249" spans="1:23" s="99" customFormat="1" ht="12.75" customHeight="1">
      <c r="A249" s="1216" t="s">
        <v>2448</v>
      </c>
      <c r="B249" s="1216"/>
      <c r="C249" s="1216"/>
      <c r="D249" s="1216"/>
      <c r="E249" s="1216"/>
      <c r="F249" s="1216"/>
      <c r="G249" s="1216"/>
      <c r="H249" s="1216"/>
      <c r="I249" s="1216"/>
      <c r="J249" s="1216"/>
      <c r="K249" s="1216"/>
      <c r="L249" s="1216"/>
      <c r="M249" s="1216"/>
      <c r="N249" s="1216"/>
      <c r="O249" s="1216"/>
      <c r="P249" s="1216"/>
      <c r="Q249" s="1216"/>
      <c r="R249" s="1216"/>
      <c r="S249" s="1216"/>
      <c r="T249" s="1216"/>
      <c r="U249" s="1216"/>
      <c r="V249" s="1216"/>
      <c r="W249" s="1216"/>
    </row>
    <row r="250" spans="1:23" s="99" customFormat="1" ht="12.75" customHeight="1">
      <c r="A250" s="1216" t="s">
        <v>2449</v>
      </c>
      <c r="B250" s="1216"/>
      <c r="C250" s="1216"/>
      <c r="D250" s="1216"/>
      <c r="E250" s="1216"/>
      <c r="F250" s="1216"/>
      <c r="G250" s="1216"/>
      <c r="H250" s="1216"/>
      <c r="I250" s="1216"/>
      <c r="J250" s="1216"/>
      <c r="K250" s="1216"/>
      <c r="L250" s="1216"/>
      <c r="M250" s="1216"/>
      <c r="N250" s="1216"/>
      <c r="O250" s="1216"/>
      <c r="P250" s="1216"/>
      <c r="Q250" s="1216"/>
      <c r="R250" s="1216"/>
      <c r="S250" s="1216"/>
      <c r="T250" s="1216"/>
      <c r="U250" s="1216"/>
      <c r="V250" s="1216"/>
      <c r="W250" s="1216"/>
    </row>
    <row r="251" spans="1:23" s="99" customFormat="1" ht="33" customHeight="1">
      <c r="A251" s="1216" t="s">
        <v>2450</v>
      </c>
      <c r="B251" s="1216"/>
      <c r="C251" s="1216"/>
      <c r="D251" s="1216"/>
      <c r="E251" s="1216"/>
      <c r="F251" s="1216"/>
      <c r="G251" s="1216"/>
      <c r="H251" s="1216"/>
      <c r="I251" s="1216"/>
      <c r="J251" s="1216"/>
      <c r="K251" s="1216"/>
      <c r="L251" s="1216"/>
      <c r="M251" s="1216"/>
      <c r="N251" s="1216"/>
      <c r="O251" s="1216"/>
      <c r="P251" s="1216"/>
      <c r="Q251" s="1216"/>
      <c r="R251" s="1216"/>
      <c r="S251" s="1216"/>
      <c r="T251" s="1216"/>
      <c r="U251" s="1216"/>
      <c r="V251" s="1216"/>
      <c r="W251" s="1216"/>
    </row>
    <row r="252" spans="1:23" s="99" customFormat="1" ht="30.75" customHeight="1">
      <c r="A252" s="1216" t="s">
        <v>2451</v>
      </c>
      <c r="B252" s="1216"/>
      <c r="C252" s="1216"/>
      <c r="D252" s="1216"/>
      <c r="E252" s="1216"/>
      <c r="F252" s="1216"/>
      <c r="G252" s="1216"/>
      <c r="H252" s="1216"/>
      <c r="I252" s="1216"/>
      <c r="J252" s="1216"/>
      <c r="K252" s="1216"/>
      <c r="L252" s="1216"/>
      <c r="M252" s="1216"/>
      <c r="N252" s="1216"/>
      <c r="O252" s="1216"/>
      <c r="P252" s="1216"/>
      <c r="Q252" s="1216"/>
      <c r="R252" s="1216"/>
      <c r="S252" s="1216"/>
      <c r="T252" s="1216"/>
      <c r="U252" s="1216"/>
      <c r="V252" s="1216"/>
      <c r="W252" s="1216"/>
    </row>
    <row r="253" spans="1:23" s="99" customFormat="1" ht="12.75" customHeight="1">
      <c r="A253" s="1216" t="s">
        <v>2452</v>
      </c>
      <c r="B253" s="1216"/>
      <c r="C253" s="1216"/>
      <c r="D253" s="1216"/>
      <c r="E253" s="1216"/>
      <c r="F253" s="1216"/>
      <c r="G253" s="1216"/>
      <c r="H253" s="1216"/>
      <c r="I253" s="1216"/>
      <c r="J253" s="1216"/>
      <c r="K253" s="1216"/>
      <c r="L253" s="1216"/>
      <c r="M253" s="1216"/>
      <c r="N253" s="1216"/>
      <c r="O253" s="1216"/>
      <c r="P253" s="1216"/>
      <c r="Q253" s="1216"/>
      <c r="R253" s="1216"/>
      <c r="S253" s="1216"/>
      <c r="T253" s="1216"/>
      <c r="U253" s="1216"/>
      <c r="V253" s="1216"/>
      <c r="W253" s="1216"/>
    </row>
    <row r="254" spans="1:23" s="99" customFormat="1" ht="12.75" customHeight="1">
      <c r="A254" s="1216" t="s">
        <v>2453</v>
      </c>
      <c r="B254" s="1216"/>
      <c r="C254" s="1216"/>
      <c r="D254" s="1216"/>
      <c r="E254" s="1216"/>
      <c r="F254" s="1216"/>
      <c r="G254" s="1216"/>
      <c r="H254" s="1216"/>
      <c r="I254" s="1216"/>
      <c r="J254" s="1216"/>
      <c r="K254" s="1216"/>
      <c r="L254" s="1216"/>
      <c r="M254" s="1216"/>
      <c r="N254" s="1216"/>
      <c r="O254" s="1216"/>
      <c r="P254" s="1216"/>
      <c r="Q254" s="1216"/>
      <c r="R254" s="1216"/>
      <c r="S254" s="1216"/>
      <c r="T254" s="1216"/>
      <c r="U254" s="1216"/>
      <c r="V254" s="1216"/>
      <c r="W254" s="1216"/>
    </row>
    <row r="255" spans="1:23" s="99" customFormat="1" ht="42" customHeight="1">
      <c r="A255" s="1216" t="s">
        <v>2454</v>
      </c>
      <c r="B255" s="1216"/>
      <c r="C255" s="1216"/>
      <c r="D255" s="1216"/>
      <c r="E255" s="1216"/>
      <c r="F255" s="1216"/>
      <c r="G255" s="1216"/>
      <c r="H255" s="1216"/>
      <c r="I255" s="1216"/>
      <c r="J255" s="1216"/>
      <c r="K255" s="1216"/>
      <c r="L255" s="1216"/>
      <c r="M255" s="1216"/>
      <c r="N255" s="1216"/>
      <c r="O255" s="1216"/>
      <c r="P255" s="1216"/>
      <c r="Q255" s="1216"/>
      <c r="R255" s="1216"/>
      <c r="S255" s="1216"/>
      <c r="T255" s="1216"/>
      <c r="U255" s="1216"/>
      <c r="V255" s="1216"/>
      <c r="W255" s="1216"/>
    </row>
    <row r="256" spans="1:23" s="99" customFormat="1" ht="16.5" customHeight="1">
      <c r="A256" s="1216" t="s">
        <v>2455</v>
      </c>
      <c r="B256" s="1216"/>
      <c r="C256" s="1216"/>
      <c r="D256" s="1216"/>
      <c r="E256" s="1216"/>
      <c r="F256" s="1216"/>
      <c r="G256" s="1216"/>
      <c r="H256" s="1216"/>
      <c r="I256" s="1216"/>
      <c r="J256" s="1216"/>
      <c r="K256" s="1216"/>
      <c r="L256" s="1216"/>
      <c r="M256" s="1216"/>
      <c r="N256" s="1216"/>
      <c r="O256" s="1216"/>
      <c r="P256" s="1216"/>
      <c r="Q256" s="1216"/>
      <c r="R256" s="1216"/>
      <c r="S256" s="1216"/>
      <c r="T256" s="1216"/>
      <c r="U256" s="1216"/>
      <c r="V256" s="1216"/>
      <c r="W256" s="1216"/>
    </row>
    <row r="257" spans="1:23" s="99" customFormat="1" ht="12.75" customHeight="1">
      <c r="A257" s="1216" t="s">
        <v>2456</v>
      </c>
      <c r="B257" s="1216"/>
      <c r="C257" s="1216"/>
      <c r="D257" s="1216"/>
      <c r="E257" s="1216"/>
      <c r="F257" s="1216"/>
      <c r="G257" s="1216"/>
      <c r="H257" s="1216"/>
      <c r="I257" s="1216"/>
      <c r="J257" s="1216"/>
      <c r="K257" s="1216"/>
      <c r="L257" s="1216"/>
      <c r="M257" s="1216"/>
      <c r="N257" s="1216"/>
      <c r="O257" s="1216"/>
      <c r="P257" s="1216"/>
      <c r="Q257" s="1216"/>
      <c r="R257" s="1216"/>
      <c r="S257" s="1216"/>
      <c r="T257" s="1216"/>
      <c r="U257" s="1216"/>
      <c r="V257" s="1216"/>
      <c r="W257" s="1216"/>
    </row>
    <row r="258" spans="1:23" s="99" customFormat="1" ht="12.75" customHeight="1">
      <c r="A258" s="1216" t="s">
        <v>2457</v>
      </c>
      <c r="B258" s="1216"/>
      <c r="C258" s="1216"/>
      <c r="D258" s="1216"/>
      <c r="E258" s="1216"/>
      <c r="F258" s="1216"/>
      <c r="G258" s="1216"/>
      <c r="H258" s="1216"/>
      <c r="I258" s="1216"/>
      <c r="J258" s="1216"/>
      <c r="K258" s="1216"/>
      <c r="L258" s="1216"/>
      <c r="M258" s="1216"/>
      <c r="N258" s="1216"/>
      <c r="O258" s="1216"/>
      <c r="P258" s="1216"/>
      <c r="Q258" s="1216"/>
      <c r="R258" s="1216"/>
      <c r="S258" s="1216"/>
      <c r="T258" s="1216"/>
      <c r="U258" s="1216"/>
      <c r="V258" s="1216"/>
      <c r="W258" s="1216"/>
    </row>
    <row r="259" spans="1:23" s="99" customFormat="1" ht="12.75" customHeight="1">
      <c r="A259" s="1216" t="s">
        <v>2458</v>
      </c>
      <c r="B259" s="1216"/>
      <c r="C259" s="1216"/>
      <c r="D259" s="1216"/>
      <c r="E259" s="1216"/>
      <c r="F259" s="1216"/>
      <c r="G259" s="1216"/>
      <c r="H259" s="1216"/>
      <c r="I259" s="1216"/>
      <c r="J259" s="1216"/>
      <c r="K259" s="1216"/>
      <c r="L259" s="1216"/>
      <c r="M259" s="1216"/>
      <c r="N259" s="1216"/>
      <c r="O259" s="1216"/>
      <c r="P259" s="1216"/>
      <c r="Q259" s="1216"/>
      <c r="R259" s="1216"/>
      <c r="S259" s="1216"/>
      <c r="T259" s="1216"/>
      <c r="U259" s="1216"/>
      <c r="V259" s="1216"/>
      <c r="W259" s="1216"/>
    </row>
    <row r="260" spans="1:23" s="99" customFormat="1" ht="28.5" customHeight="1">
      <c r="A260" s="1216" t="s">
        <v>2459</v>
      </c>
      <c r="B260" s="1216"/>
      <c r="C260" s="1216"/>
      <c r="D260" s="1216"/>
      <c r="E260" s="1216"/>
      <c r="F260" s="1216"/>
      <c r="G260" s="1216"/>
      <c r="H260" s="1216"/>
      <c r="I260" s="1216"/>
      <c r="J260" s="1216"/>
      <c r="K260" s="1216"/>
      <c r="L260" s="1216"/>
      <c r="M260" s="1216"/>
      <c r="N260" s="1216"/>
      <c r="O260" s="1216"/>
      <c r="P260" s="1216"/>
      <c r="Q260" s="1216"/>
      <c r="R260" s="1216"/>
      <c r="S260" s="1216"/>
      <c r="T260" s="1216"/>
      <c r="U260" s="1216"/>
      <c r="V260" s="1216"/>
      <c r="W260" s="1216"/>
    </row>
    <row r="261" spans="1:23" s="99" customFormat="1" ht="12.75" customHeight="1">
      <c r="A261" s="1216" t="s">
        <v>2460</v>
      </c>
      <c r="B261" s="1216"/>
      <c r="C261" s="1216"/>
      <c r="D261" s="1216"/>
      <c r="E261" s="1216"/>
      <c r="F261" s="1216"/>
      <c r="G261" s="1216"/>
      <c r="H261" s="1216"/>
      <c r="I261" s="1216"/>
      <c r="J261" s="1216"/>
      <c r="K261" s="1216"/>
      <c r="L261" s="1216"/>
      <c r="M261" s="1216"/>
      <c r="N261" s="1216"/>
      <c r="O261" s="1216"/>
      <c r="P261" s="1216"/>
      <c r="Q261" s="1216"/>
      <c r="R261" s="1216"/>
      <c r="S261" s="1216"/>
      <c r="T261" s="1216"/>
      <c r="U261" s="1216"/>
      <c r="V261" s="1216"/>
      <c r="W261" s="1216"/>
    </row>
    <row r="262" spans="1:23" s="99" customFormat="1" ht="12.75" customHeight="1">
      <c r="A262" s="1216" t="s">
        <v>2461</v>
      </c>
      <c r="B262" s="1216"/>
      <c r="C262" s="1216"/>
      <c r="D262" s="1216"/>
      <c r="E262" s="1216"/>
      <c r="F262" s="1216"/>
      <c r="G262" s="1216"/>
      <c r="H262" s="1216"/>
      <c r="I262" s="1216"/>
      <c r="J262" s="1216"/>
      <c r="K262" s="1216"/>
      <c r="L262" s="1216"/>
      <c r="M262" s="1216"/>
      <c r="N262" s="1216"/>
      <c r="O262" s="1216"/>
      <c r="P262" s="1216"/>
      <c r="Q262" s="1216"/>
      <c r="R262" s="1216"/>
      <c r="S262" s="1216"/>
      <c r="T262" s="1216"/>
      <c r="U262" s="1216"/>
      <c r="V262" s="1216"/>
      <c r="W262" s="1216"/>
    </row>
    <row r="263" spans="1:23" s="99" customFormat="1" ht="12.75" customHeight="1">
      <c r="A263" s="1216" t="s">
        <v>2462</v>
      </c>
      <c r="B263" s="1216"/>
      <c r="C263" s="1216"/>
      <c r="D263" s="1216"/>
      <c r="E263" s="1216"/>
      <c r="F263" s="1216"/>
      <c r="G263" s="1216"/>
      <c r="H263" s="1216"/>
      <c r="I263" s="1216"/>
      <c r="J263" s="1216"/>
      <c r="K263" s="1216"/>
      <c r="L263" s="1216"/>
      <c r="M263" s="1216"/>
      <c r="N263" s="1216"/>
      <c r="O263" s="1216"/>
      <c r="P263" s="1216"/>
      <c r="Q263" s="1216"/>
      <c r="R263" s="1216"/>
      <c r="S263" s="1216"/>
      <c r="T263" s="1216"/>
      <c r="U263" s="1216"/>
      <c r="V263" s="1216"/>
      <c r="W263" s="1216"/>
    </row>
    <row r="264" spans="1:23" s="99" customFormat="1" ht="12.75" customHeight="1">
      <c r="A264" s="1216" t="s">
        <v>2463</v>
      </c>
      <c r="B264" s="1216"/>
      <c r="C264" s="1216"/>
      <c r="D264" s="1216"/>
      <c r="E264" s="1216"/>
      <c r="F264" s="1216"/>
      <c r="G264" s="1216"/>
      <c r="H264" s="1216"/>
      <c r="I264" s="1216"/>
      <c r="J264" s="1216"/>
      <c r="K264" s="1216"/>
      <c r="L264" s="1216"/>
      <c r="M264" s="1216"/>
      <c r="N264" s="1216"/>
      <c r="O264" s="1216"/>
      <c r="P264" s="1216"/>
      <c r="Q264" s="1216"/>
      <c r="R264" s="1216"/>
      <c r="S264" s="1216"/>
      <c r="T264" s="1216"/>
      <c r="U264" s="1216"/>
      <c r="V264" s="1216"/>
      <c r="W264" s="1216"/>
    </row>
    <row r="265" spans="1:23" s="99" customFormat="1" ht="12.75" customHeight="1">
      <c r="A265" s="1216" t="s">
        <v>2464</v>
      </c>
      <c r="B265" s="1216"/>
      <c r="C265" s="1216"/>
      <c r="D265" s="1216"/>
      <c r="E265" s="1216"/>
      <c r="F265" s="1216"/>
      <c r="G265" s="1216"/>
      <c r="H265" s="1216"/>
      <c r="I265" s="1216"/>
      <c r="J265" s="1216"/>
      <c r="K265" s="1216"/>
      <c r="L265" s="1216"/>
      <c r="M265" s="1216"/>
      <c r="N265" s="1216"/>
      <c r="O265" s="1216"/>
      <c r="P265" s="1216"/>
      <c r="Q265" s="1216"/>
      <c r="R265" s="1216"/>
      <c r="S265" s="1216"/>
      <c r="T265" s="1216"/>
      <c r="U265" s="1216"/>
      <c r="V265" s="1216"/>
      <c r="W265" s="1216"/>
    </row>
    <row r="266" spans="1:23" s="99" customFormat="1" ht="12.75" customHeight="1">
      <c r="A266" s="1216" t="s">
        <v>2465</v>
      </c>
      <c r="B266" s="1216"/>
      <c r="C266" s="1216"/>
      <c r="D266" s="1216"/>
      <c r="E266" s="1216"/>
      <c r="F266" s="1216"/>
      <c r="G266" s="1216"/>
      <c r="H266" s="1216"/>
      <c r="I266" s="1216"/>
      <c r="J266" s="1216"/>
      <c r="K266" s="1216"/>
      <c r="L266" s="1216"/>
      <c r="M266" s="1216"/>
      <c r="N266" s="1216"/>
      <c r="O266" s="1216"/>
      <c r="P266" s="1216"/>
      <c r="Q266" s="1216"/>
      <c r="R266" s="1216"/>
      <c r="S266" s="1216"/>
      <c r="T266" s="1216"/>
      <c r="U266" s="1216"/>
      <c r="V266" s="1216"/>
      <c r="W266" s="1216"/>
    </row>
    <row r="267" spans="1:23" s="99" customFormat="1" ht="12.75" customHeight="1">
      <c r="A267" s="1216" t="s">
        <v>2466</v>
      </c>
      <c r="B267" s="1216"/>
      <c r="C267" s="1216"/>
      <c r="D267" s="1216"/>
      <c r="E267" s="1216"/>
      <c r="F267" s="1216"/>
      <c r="G267" s="1216"/>
      <c r="H267" s="1216"/>
      <c r="I267" s="1216"/>
      <c r="J267" s="1216"/>
      <c r="K267" s="1216"/>
      <c r="L267" s="1216"/>
      <c r="M267" s="1216"/>
      <c r="N267" s="1216"/>
      <c r="O267" s="1216"/>
      <c r="P267" s="1216"/>
      <c r="Q267" s="1216"/>
      <c r="R267" s="1216"/>
      <c r="S267" s="1216"/>
      <c r="T267" s="1216"/>
      <c r="U267" s="1216"/>
      <c r="V267" s="1216"/>
      <c r="W267" s="1216"/>
    </row>
    <row r="268" spans="1:23" s="99" customFormat="1" ht="12.75" customHeight="1">
      <c r="A268" s="1216" t="s">
        <v>2467</v>
      </c>
      <c r="B268" s="1216"/>
      <c r="C268" s="1216"/>
      <c r="D268" s="1216"/>
      <c r="E268" s="1216"/>
      <c r="F268" s="1216"/>
      <c r="G268" s="1216"/>
      <c r="H268" s="1216"/>
      <c r="I268" s="1216"/>
      <c r="J268" s="1216"/>
      <c r="K268" s="1216"/>
      <c r="L268" s="1216"/>
      <c r="M268" s="1216"/>
      <c r="N268" s="1216"/>
      <c r="O268" s="1216"/>
      <c r="P268" s="1216"/>
      <c r="Q268" s="1216"/>
      <c r="R268" s="1216"/>
      <c r="S268" s="1216"/>
      <c r="T268" s="1216"/>
      <c r="U268" s="1216"/>
      <c r="V268" s="1216"/>
      <c r="W268" s="1216"/>
    </row>
    <row r="269" spans="1:23" s="99" customFormat="1" ht="12.75" customHeight="1">
      <c r="A269" s="1216" t="s">
        <v>2468</v>
      </c>
      <c r="B269" s="1216"/>
      <c r="C269" s="1216"/>
      <c r="D269" s="1216"/>
      <c r="E269" s="1216"/>
      <c r="F269" s="1216"/>
      <c r="G269" s="1216"/>
      <c r="H269" s="1216"/>
      <c r="I269" s="1216"/>
      <c r="J269" s="1216"/>
      <c r="K269" s="1216"/>
      <c r="L269" s="1216"/>
      <c r="M269" s="1216"/>
      <c r="N269" s="1216"/>
      <c r="O269" s="1216"/>
      <c r="P269" s="1216"/>
      <c r="Q269" s="1216"/>
      <c r="R269" s="1216"/>
      <c r="S269" s="1216"/>
      <c r="T269" s="1216"/>
      <c r="U269" s="1216"/>
      <c r="V269" s="1216"/>
      <c r="W269" s="1216"/>
    </row>
    <row r="270" spans="1:23" s="99" customFormat="1" ht="12.75" customHeight="1">
      <c r="A270" s="1216" t="s">
        <v>2469</v>
      </c>
      <c r="B270" s="1216"/>
      <c r="C270" s="1216"/>
      <c r="D270" s="1216"/>
      <c r="E270" s="1216"/>
      <c r="F270" s="1216"/>
      <c r="G270" s="1216"/>
      <c r="H270" s="1216"/>
      <c r="I270" s="1216"/>
      <c r="J270" s="1216"/>
      <c r="K270" s="1216"/>
      <c r="L270" s="1216"/>
      <c r="M270" s="1216"/>
      <c r="N270" s="1216"/>
      <c r="O270" s="1216"/>
      <c r="P270" s="1216"/>
      <c r="Q270" s="1216"/>
      <c r="R270" s="1216"/>
      <c r="S270" s="1216"/>
      <c r="T270" s="1216"/>
      <c r="U270" s="1216"/>
      <c r="V270" s="1216"/>
      <c r="W270" s="1216"/>
    </row>
    <row r="271" spans="1:23" s="99" customFormat="1" ht="12.75" customHeight="1">
      <c r="A271" s="1216" t="s">
        <v>2470</v>
      </c>
      <c r="B271" s="1216"/>
      <c r="C271" s="1216"/>
      <c r="D271" s="1216"/>
      <c r="E271" s="1216"/>
      <c r="F271" s="1216"/>
      <c r="G271" s="1216"/>
      <c r="H271" s="1216"/>
      <c r="I271" s="1216"/>
      <c r="J271" s="1216"/>
      <c r="K271" s="1216"/>
      <c r="L271" s="1216"/>
      <c r="M271" s="1216"/>
      <c r="N271" s="1216"/>
      <c r="O271" s="1216"/>
      <c r="P271" s="1216"/>
      <c r="Q271" s="1216"/>
      <c r="R271" s="1216"/>
      <c r="S271" s="1216"/>
      <c r="T271" s="1216"/>
      <c r="U271" s="1216"/>
      <c r="V271" s="1216"/>
      <c r="W271" s="1216"/>
    </row>
    <row r="272" spans="1:23" s="99" customFormat="1" ht="12.75" customHeight="1">
      <c r="A272" s="1216" t="s">
        <v>2471</v>
      </c>
      <c r="B272" s="1216"/>
      <c r="C272" s="1216"/>
      <c r="D272" s="1216"/>
      <c r="E272" s="1216"/>
      <c r="F272" s="1216"/>
      <c r="G272" s="1216"/>
      <c r="H272" s="1216"/>
      <c r="I272" s="1216"/>
      <c r="J272" s="1216"/>
      <c r="K272" s="1216"/>
      <c r="L272" s="1216"/>
      <c r="M272" s="1216"/>
      <c r="N272" s="1216"/>
      <c r="O272" s="1216"/>
      <c r="P272" s="1216"/>
      <c r="Q272" s="1216"/>
      <c r="R272" s="1216"/>
      <c r="S272" s="1216"/>
      <c r="T272" s="1216"/>
      <c r="U272" s="1216"/>
      <c r="V272" s="1216"/>
      <c r="W272" s="1216"/>
    </row>
    <row r="273" spans="1:23" s="99" customFormat="1" ht="12.75" customHeight="1">
      <c r="A273" s="1216" t="s">
        <v>2472</v>
      </c>
      <c r="B273" s="1216"/>
      <c r="C273" s="1216"/>
      <c r="D273" s="1216"/>
      <c r="E273" s="1216"/>
      <c r="F273" s="1216"/>
      <c r="G273" s="1216"/>
      <c r="H273" s="1216"/>
      <c r="I273" s="1216"/>
      <c r="J273" s="1216"/>
      <c r="K273" s="1216"/>
      <c r="L273" s="1216"/>
      <c r="M273" s="1216"/>
      <c r="N273" s="1216"/>
      <c r="O273" s="1216"/>
      <c r="P273" s="1216"/>
      <c r="Q273" s="1216"/>
      <c r="R273" s="1216"/>
      <c r="S273" s="1216"/>
      <c r="T273" s="1216"/>
      <c r="U273" s="1216"/>
      <c r="V273" s="1216"/>
      <c r="W273" s="1216"/>
    </row>
    <row r="274" spans="1:23" s="99" customFormat="1" ht="29.25" customHeight="1">
      <c r="A274" s="1216" t="s">
        <v>2473</v>
      </c>
      <c r="B274" s="1216"/>
      <c r="C274" s="1216"/>
      <c r="D274" s="1216"/>
      <c r="E274" s="1216"/>
      <c r="F274" s="1216"/>
      <c r="G274" s="1216"/>
      <c r="H274" s="1216"/>
      <c r="I274" s="1216"/>
      <c r="J274" s="1216"/>
      <c r="K274" s="1216"/>
      <c r="L274" s="1216"/>
      <c r="M274" s="1216"/>
      <c r="N274" s="1216"/>
      <c r="O274" s="1216"/>
      <c r="P274" s="1216"/>
      <c r="Q274" s="1216"/>
      <c r="R274" s="1216"/>
      <c r="S274" s="1216"/>
      <c r="T274" s="1216"/>
      <c r="U274" s="1216"/>
      <c r="V274" s="1216"/>
      <c r="W274" s="1216"/>
    </row>
    <row r="275" spans="1:23" s="99" customFormat="1" ht="12.75" customHeight="1">
      <c r="A275" s="1298" t="s">
        <v>2474</v>
      </c>
      <c r="B275" s="1298"/>
      <c r="C275" s="1298"/>
      <c r="D275" s="1298"/>
      <c r="E275" s="1298"/>
      <c r="F275" s="1298"/>
      <c r="G275" s="1298"/>
      <c r="H275" s="1298"/>
      <c r="I275" s="1298"/>
      <c r="J275" s="1298"/>
      <c r="K275" s="1298"/>
      <c r="L275" s="1298"/>
      <c r="M275" s="1298"/>
      <c r="N275" s="1298"/>
      <c r="O275" s="1298"/>
      <c r="P275" s="1298"/>
      <c r="Q275" s="1298"/>
      <c r="R275" s="1298"/>
      <c r="S275" s="1298"/>
      <c r="T275" s="1298"/>
      <c r="U275" s="1298"/>
      <c r="V275" s="1298"/>
      <c r="W275" s="1298"/>
    </row>
    <row r="276" spans="1:23" s="99" customFormat="1" ht="12.75" customHeight="1">
      <c r="A276" s="1216" t="s">
        <v>2475</v>
      </c>
      <c r="B276" s="1216"/>
      <c r="C276" s="1216"/>
      <c r="D276" s="1216"/>
      <c r="E276" s="1216"/>
      <c r="F276" s="1216"/>
      <c r="G276" s="1216"/>
      <c r="H276" s="1216"/>
      <c r="I276" s="1216"/>
      <c r="J276" s="1216"/>
      <c r="K276" s="1216"/>
      <c r="L276" s="1216"/>
      <c r="M276" s="1216"/>
      <c r="N276" s="1216"/>
      <c r="O276" s="1216"/>
      <c r="P276" s="1216"/>
      <c r="Q276" s="1216"/>
      <c r="R276" s="1216"/>
      <c r="S276" s="1216"/>
      <c r="T276" s="1216"/>
      <c r="U276" s="1216"/>
      <c r="V276" s="1216"/>
      <c r="W276" s="1216"/>
    </row>
    <row r="277" spans="1:23" s="99" customFormat="1" ht="51.75" customHeight="1">
      <c r="A277" s="1216" t="s">
        <v>2476</v>
      </c>
      <c r="B277" s="1216"/>
      <c r="C277" s="1216"/>
      <c r="D277" s="1216"/>
      <c r="E277" s="1216"/>
      <c r="F277" s="1216"/>
      <c r="G277" s="1216"/>
      <c r="H277" s="1216"/>
      <c r="I277" s="1216"/>
      <c r="J277" s="1216"/>
      <c r="K277" s="1216"/>
      <c r="L277" s="1216"/>
      <c r="M277" s="1216"/>
      <c r="N277" s="1216"/>
      <c r="O277" s="1216"/>
      <c r="P277" s="1216"/>
      <c r="Q277" s="1216"/>
      <c r="R277" s="1216"/>
      <c r="S277" s="1216"/>
      <c r="T277" s="1216"/>
      <c r="U277" s="1216"/>
      <c r="V277" s="1216"/>
      <c r="W277" s="1216"/>
    </row>
    <row r="278" spans="1:23" s="99" customFormat="1" ht="12.75" customHeight="1">
      <c r="A278" s="1298" t="s">
        <v>2477</v>
      </c>
      <c r="B278" s="1298"/>
      <c r="C278" s="1298"/>
      <c r="D278" s="1298"/>
      <c r="E278" s="1298"/>
      <c r="F278" s="1298"/>
      <c r="G278" s="1298"/>
      <c r="H278" s="1298"/>
      <c r="I278" s="1298"/>
      <c r="J278" s="1298"/>
      <c r="K278" s="1298"/>
      <c r="L278" s="1298"/>
      <c r="M278" s="1298"/>
      <c r="N278" s="1298"/>
      <c r="O278" s="1298"/>
      <c r="P278" s="1298"/>
      <c r="Q278" s="1298"/>
      <c r="R278" s="1298"/>
      <c r="S278" s="1298"/>
      <c r="T278" s="1298"/>
      <c r="U278" s="1298"/>
      <c r="V278" s="1298"/>
      <c r="W278" s="1298"/>
    </row>
    <row r="279" spans="1:23" s="99" customFormat="1" ht="31.5" customHeight="1">
      <c r="A279" s="1294" t="s">
        <v>2478</v>
      </c>
      <c r="B279" s="1294"/>
      <c r="C279" s="1294"/>
      <c r="D279" s="1294"/>
      <c r="E279" s="1294"/>
      <c r="F279" s="1294"/>
      <c r="G279" s="1294"/>
      <c r="H279" s="1294"/>
      <c r="I279" s="1294"/>
      <c r="J279" s="1294"/>
      <c r="K279" s="1294"/>
      <c r="L279" s="1294"/>
      <c r="M279" s="1294"/>
      <c r="N279" s="1294"/>
      <c r="O279" s="1294"/>
      <c r="P279" s="1294"/>
      <c r="Q279" s="1294"/>
      <c r="R279" s="1294"/>
      <c r="S279" s="1294"/>
      <c r="T279" s="1294"/>
      <c r="U279" s="1294"/>
      <c r="V279" s="1294"/>
      <c r="W279" s="1294"/>
    </row>
    <row r="280" spans="1:23" s="99" customFormat="1" ht="16.5" customHeight="1">
      <c r="A280" s="1294" t="s">
        <v>2479</v>
      </c>
      <c r="B280" s="1294"/>
      <c r="C280" s="1294"/>
      <c r="D280" s="1294"/>
      <c r="E280" s="1294"/>
      <c r="F280" s="1294"/>
      <c r="G280" s="1294"/>
      <c r="H280" s="1294"/>
      <c r="I280" s="1294"/>
      <c r="J280" s="1294"/>
      <c r="K280" s="1294"/>
      <c r="L280" s="1294"/>
      <c r="M280" s="1294"/>
      <c r="N280" s="1294"/>
      <c r="O280" s="1294"/>
      <c r="P280" s="1294"/>
      <c r="Q280" s="1294"/>
      <c r="R280" s="1294"/>
      <c r="S280" s="1294"/>
      <c r="T280" s="1294"/>
      <c r="U280" s="1294"/>
      <c r="V280" s="1294"/>
      <c r="W280" s="1294"/>
    </row>
    <row r="281" spans="1:23" s="99" customFormat="1" ht="12.75" customHeight="1">
      <c r="A281" s="1294" t="s">
        <v>2480</v>
      </c>
      <c r="B281" s="1294"/>
      <c r="C281" s="1294"/>
      <c r="D281" s="1294"/>
      <c r="E281" s="1294"/>
      <c r="F281" s="1294"/>
      <c r="G281" s="1294"/>
      <c r="H281" s="1294"/>
      <c r="I281" s="1294"/>
      <c r="J281" s="1294"/>
      <c r="K281" s="1294"/>
      <c r="L281" s="1294"/>
      <c r="M281" s="1294"/>
      <c r="N281" s="1294"/>
      <c r="O281" s="1294"/>
      <c r="P281" s="1294"/>
      <c r="Q281" s="1294"/>
      <c r="R281" s="1294"/>
      <c r="S281" s="1294"/>
      <c r="T281" s="1294"/>
      <c r="U281" s="1294"/>
      <c r="V281" s="1294"/>
      <c r="W281" s="1294"/>
    </row>
    <row r="282" spans="1:23" s="99" customFormat="1" ht="29.25" customHeight="1">
      <c r="A282" s="1294" t="s">
        <v>2481</v>
      </c>
      <c r="B282" s="1294"/>
      <c r="C282" s="1294"/>
      <c r="D282" s="1294"/>
      <c r="E282" s="1294"/>
      <c r="F282" s="1294"/>
      <c r="G282" s="1294"/>
      <c r="H282" s="1294"/>
      <c r="I282" s="1294"/>
      <c r="J282" s="1294"/>
      <c r="K282" s="1294"/>
      <c r="L282" s="1294"/>
      <c r="M282" s="1294"/>
      <c r="N282" s="1294"/>
      <c r="O282" s="1294"/>
      <c r="P282" s="1294"/>
      <c r="Q282" s="1294"/>
      <c r="R282" s="1294"/>
      <c r="S282" s="1294"/>
      <c r="T282" s="1294"/>
      <c r="U282" s="1294"/>
      <c r="V282" s="1294"/>
      <c r="W282" s="1294"/>
    </row>
    <row r="283" spans="1:23" s="99" customFormat="1" ht="12.75" customHeight="1">
      <c r="A283" s="1294" t="s">
        <v>2482</v>
      </c>
      <c r="B283" s="1294"/>
      <c r="C283" s="1294"/>
      <c r="D283" s="1294"/>
      <c r="E283" s="1294"/>
      <c r="F283" s="1294"/>
      <c r="G283" s="1294"/>
      <c r="H283" s="1294"/>
      <c r="I283" s="1294"/>
      <c r="J283" s="1294"/>
      <c r="K283" s="1294"/>
      <c r="L283" s="1294"/>
      <c r="M283" s="1294"/>
      <c r="N283" s="1294"/>
      <c r="O283" s="1294"/>
      <c r="P283" s="1294"/>
      <c r="Q283" s="1294"/>
      <c r="R283" s="1294"/>
      <c r="S283" s="1294"/>
      <c r="T283" s="1294"/>
      <c r="U283" s="1294"/>
      <c r="V283" s="1294"/>
      <c r="W283" s="1294"/>
    </row>
    <row r="284" spans="1:23" s="99" customFormat="1" ht="29.25" customHeight="1">
      <c r="A284" s="1294" t="s">
        <v>2483</v>
      </c>
      <c r="B284" s="1294"/>
      <c r="C284" s="1294"/>
      <c r="D284" s="1294"/>
      <c r="E284" s="1294"/>
      <c r="F284" s="1294"/>
      <c r="G284" s="1294"/>
      <c r="H284" s="1294"/>
      <c r="I284" s="1294"/>
      <c r="J284" s="1294"/>
      <c r="K284" s="1294"/>
      <c r="L284" s="1294"/>
      <c r="M284" s="1294"/>
      <c r="N284" s="1294"/>
      <c r="O284" s="1294"/>
      <c r="P284" s="1294"/>
      <c r="Q284" s="1294"/>
      <c r="R284" s="1294"/>
      <c r="S284" s="1294"/>
      <c r="T284" s="1294"/>
      <c r="U284" s="1294"/>
      <c r="V284" s="1294"/>
      <c r="W284" s="1294"/>
    </row>
    <row r="285" spans="1:23" s="99" customFormat="1" ht="84.75" customHeight="1">
      <c r="A285" s="1294" t="s">
        <v>2484</v>
      </c>
      <c r="B285" s="1294"/>
      <c r="C285" s="1294"/>
      <c r="D285" s="1294"/>
      <c r="E285" s="1294"/>
      <c r="F285" s="1294"/>
      <c r="G285" s="1294"/>
      <c r="H285" s="1294"/>
      <c r="I285" s="1294"/>
      <c r="J285" s="1294"/>
      <c r="K285" s="1294"/>
      <c r="L285" s="1294"/>
      <c r="M285" s="1294"/>
      <c r="N285" s="1294"/>
      <c r="O285" s="1294"/>
      <c r="P285" s="1294"/>
      <c r="Q285" s="1294"/>
      <c r="R285" s="1294"/>
      <c r="S285" s="1294"/>
      <c r="T285" s="1294"/>
      <c r="U285" s="1294"/>
      <c r="V285" s="1294"/>
      <c r="W285" s="1294"/>
    </row>
    <row r="286" spans="1:23" s="99" customFormat="1" ht="30" customHeight="1">
      <c r="A286" s="1294" t="s">
        <v>2485</v>
      </c>
      <c r="B286" s="1294"/>
      <c r="C286" s="1294"/>
      <c r="D286" s="1294"/>
      <c r="E286" s="1294"/>
      <c r="F286" s="1294"/>
      <c r="G286" s="1294"/>
      <c r="H286" s="1294"/>
      <c r="I286" s="1294"/>
      <c r="J286" s="1294"/>
      <c r="K286" s="1294"/>
      <c r="L286" s="1294"/>
      <c r="M286" s="1294"/>
      <c r="N286" s="1294"/>
      <c r="O286" s="1294"/>
      <c r="P286" s="1294"/>
      <c r="Q286" s="1294"/>
      <c r="R286" s="1294"/>
      <c r="S286" s="1294"/>
      <c r="T286" s="1294"/>
      <c r="U286" s="1294"/>
      <c r="V286" s="1294"/>
      <c r="W286" s="1294"/>
    </row>
    <row r="287" spans="1:23" s="99" customFormat="1" ht="12.75" customHeight="1">
      <c r="A287" s="1294" t="s">
        <v>2486</v>
      </c>
      <c r="B287" s="1294"/>
      <c r="C287" s="1294"/>
      <c r="D287" s="1294"/>
      <c r="E287" s="1294"/>
      <c r="F287" s="1294"/>
      <c r="G287" s="1294"/>
      <c r="H287" s="1294"/>
      <c r="I287" s="1294"/>
      <c r="J287" s="1294"/>
      <c r="K287" s="1294"/>
      <c r="L287" s="1294"/>
      <c r="M287" s="1294"/>
      <c r="N287" s="1294"/>
      <c r="O287" s="1294"/>
      <c r="P287" s="1294"/>
      <c r="Q287" s="1294"/>
      <c r="R287" s="1294"/>
      <c r="S287" s="1294"/>
      <c r="T287" s="1294"/>
      <c r="U287" s="1294"/>
      <c r="V287" s="1294"/>
      <c r="W287" s="1294"/>
    </row>
    <row r="288" spans="1:23" s="99" customFormat="1" ht="12.75" customHeight="1">
      <c r="A288" s="1294" t="s">
        <v>2487</v>
      </c>
      <c r="B288" s="1294"/>
      <c r="C288" s="1294"/>
      <c r="D288" s="1294"/>
      <c r="E288" s="1294"/>
      <c r="F288" s="1294"/>
      <c r="G288" s="1294"/>
      <c r="H288" s="1294"/>
      <c r="I288" s="1294"/>
      <c r="J288" s="1294"/>
      <c r="K288" s="1294"/>
      <c r="L288" s="1294"/>
      <c r="M288" s="1294"/>
      <c r="N288" s="1294"/>
      <c r="O288" s="1294"/>
      <c r="P288" s="1294"/>
      <c r="Q288" s="1294"/>
      <c r="R288" s="1294"/>
      <c r="S288" s="1294"/>
      <c r="T288" s="1294"/>
      <c r="U288" s="1294"/>
      <c r="V288" s="1294"/>
      <c r="W288" s="1294"/>
    </row>
    <row r="289" spans="1:23" s="99" customFormat="1" ht="12.75" customHeight="1">
      <c r="A289" s="1294" t="s">
        <v>2488</v>
      </c>
      <c r="B289" s="1294"/>
      <c r="C289" s="1294"/>
      <c r="D289" s="1294"/>
      <c r="E289" s="1294"/>
      <c r="F289" s="1294"/>
      <c r="G289" s="1294"/>
      <c r="H289" s="1294"/>
      <c r="I289" s="1294"/>
      <c r="J289" s="1294"/>
      <c r="K289" s="1294"/>
      <c r="L289" s="1294"/>
      <c r="M289" s="1294"/>
      <c r="N289" s="1294"/>
      <c r="O289" s="1294"/>
      <c r="P289" s="1294"/>
      <c r="Q289" s="1294"/>
      <c r="R289" s="1294"/>
      <c r="S289" s="1294"/>
      <c r="T289" s="1294"/>
      <c r="U289" s="1294"/>
      <c r="V289" s="1294"/>
      <c r="W289" s="1294"/>
    </row>
    <row r="290" spans="1:23" s="99" customFormat="1" ht="29.25" customHeight="1">
      <c r="A290" s="1294" t="s">
        <v>2489</v>
      </c>
      <c r="B290" s="1294"/>
      <c r="C290" s="1294"/>
      <c r="D290" s="1294"/>
      <c r="E290" s="1294"/>
      <c r="F290" s="1294"/>
      <c r="G290" s="1294"/>
      <c r="H290" s="1294"/>
      <c r="I290" s="1294"/>
      <c r="J290" s="1294"/>
      <c r="K290" s="1294"/>
      <c r="L290" s="1294"/>
      <c r="M290" s="1294"/>
      <c r="N290" s="1294"/>
      <c r="O290" s="1294"/>
      <c r="P290" s="1294"/>
      <c r="Q290" s="1294"/>
      <c r="R290" s="1294"/>
      <c r="S290" s="1294"/>
      <c r="T290" s="1294"/>
      <c r="U290" s="1294"/>
      <c r="V290" s="1294"/>
      <c r="W290" s="1294"/>
    </row>
    <row r="291" spans="1:23" s="99" customFormat="1" ht="18" customHeight="1">
      <c r="A291" s="1294" t="s">
        <v>2490</v>
      </c>
      <c r="B291" s="1294"/>
      <c r="C291" s="1294"/>
      <c r="D291" s="1294"/>
      <c r="E291" s="1294"/>
      <c r="F291" s="1294"/>
      <c r="G291" s="1294"/>
      <c r="H291" s="1294"/>
      <c r="I291" s="1294"/>
      <c r="J291" s="1294"/>
      <c r="K291" s="1294"/>
      <c r="L291" s="1294"/>
      <c r="M291" s="1294"/>
      <c r="N291" s="1294"/>
      <c r="O291" s="1294"/>
      <c r="P291" s="1294"/>
      <c r="Q291" s="1294"/>
      <c r="R291" s="1294"/>
      <c r="S291" s="1294"/>
      <c r="T291" s="1294"/>
      <c r="U291" s="1294"/>
      <c r="V291" s="1294"/>
      <c r="W291" s="1294"/>
    </row>
    <row r="292" spans="1:23" s="99" customFormat="1" ht="20.25" customHeight="1">
      <c r="A292" s="1294" t="s">
        <v>2491</v>
      </c>
      <c r="B292" s="1294"/>
      <c r="C292" s="1294"/>
      <c r="D292" s="1294"/>
      <c r="E292" s="1294"/>
      <c r="F292" s="1294"/>
      <c r="G292" s="1294"/>
      <c r="H292" s="1294"/>
      <c r="I292" s="1294"/>
      <c r="J292" s="1294"/>
      <c r="K292" s="1294"/>
      <c r="L292" s="1294"/>
      <c r="M292" s="1294"/>
      <c r="N292" s="1294"/>
      <c r="O292" s="1294"/>
      <c r="P292" s="1294"/>
      <c r="Q292" s="1294"/>
      <c r="R292" s="1294"/>
      <c r="S292" s="1294"/>
      <c r="T292" s="1294"/>
      <c r="U292" s="1294"/>
      <c r="V292" s="1294"/>
      <c r="W292" s="1294"/>
    </row>
    <row r="293" spans="1:23" s="99" customFormat="1" ht="27.75" customHeight="1">
      <c r="A293" s="1294" t="s">
        <v>2492</v>
      </c>
      <c r="B293" s="1294"/>
      <c r="C293" s="1294"/>
      <c r="D293" s="1294"/>
      <c r="E293" s="1294"/>
      <c r="F293" s="1294"/>
      <c r="G293" s="1294"/>
      <c r="H293" s="1294"/>
      <c r="I293" s="1294"/>
      <c r="J293" s="1294"/>
      <c r="K293" s="1294"/>
      <c r="L293" s="1294"/>
      <c r="M293" s="1294"/>
      <c r="N293" s="1294"/>
      <c r="O293" s="1294"/>
      <c r="P293" s="1294"/>
      <c r="Q293" s="1294"/>
      <c r="R293" s="1294"/>
      <c r="S293" s="1294"/>
      <c r="T293" s="1294"/>
      <c r="U293" s="1294"/>
      <c r="V293" s="1294"/>
      <c r="W293" s="1294"/>
    </row>
    <row r="294" spans="1:23" s="99" customFormat="1" ht="33" customHeight="1">
      <c r="A294" s="1294" t="s">
        <v>2493</v>
      </c>
      <c r="B294" s="1294"/>
      <c r="C294" s="1294"/>
      <c r="D294" s="1294"/>
      <c r="E294" s="1294"/>
      <c r="F294" s="1294"/>
      <c r="G294" s="1294"/>
      <c r="H294" s="1294"/>
      <c r="I294" s="1294"/>
      <c r="J294" s="1294"/>
      <c r="K294" s="1294"/>
      <c r="L294" s="1294"/>
      <c r="M294" s="1294"/>
      <c r="N294" s="1294"/>
      <c r="O294" s="1294"/>
      <c r="P294" s="1294"/>
      <c r="Q294" s="1294"/>
      <c r="R294" s="1294"/>
      <c r="S294" s="1294"/>
      <c r="T294" s="1294"/>
      <c r="U294" s="1294"/>
      <c r="V294" s="1294"/>
      <c r="W294" s="1294"/>
    </row>
    <row r="295" spans="1:23" s="99" customFormat="1" ht="33" customHeight="1">
      <c r="A295" s="1294" t="s">
        <v>2494</v>
      </c>
      <c r="B295" s="1294"/>
      <c r="C295" s="1294"/>
      <c r="D295" s="1294"/>
      <c r="E295" s="1294"/>
      <c r="F295" s="1294"/>
      <c r="G295" s="1294"/>
      <c r="H295" s="1294"/>
      <c r="I295" s="1294"/>
      <c r="J295" s="1294"/>
      <c r="K295" s="1294"/>
      <c r="L295" s="1294"/>
      <c r="M295" s="1294"/>
      <c r="N295" s="1294"/>
      <c r="O295" s="1294"/>
      <c r="P295" s="1294"/>
      <c r="Q295" s="1294"/>
      <c r="R295" s="1294"/>
      <c r="S295" s="1294"/>
      <c r="T295" s="1294"/>
      <c r="U295" s="1294"/>
      <c r="V295" s="1294"/>
      <c r="W295" s="1294"/>
    </row>
    <row r="296" spans="1:23" s="99" customFormat="1" ht="26.25" customHeight="1">
      <c r="A296" s="1294" t="s">
        <v>2495</v>
      </c>
      <c r="B296" s="1294"/>
      <c r="C296" s="1294"/>
      <c r="D296" s="1294"/>
      <c r="E296" s="1294"/>
      <c r="F296" s="1294"/>
      <c r="G296" s="1294"/>
      <c r="H296" s="1294"/>
      <c r="I296" s="1294"/>
      <c r="J296" s="1294"/>
      <c r="K296" s="1294"/>
      <c r="L296" s="1294"/>
      <c r="M296" s="1294"/>
      <c r="N296" s="1294"/>
      <c r="O296" s="1294"/>
      <c r="P296" s="1294"/>
      <c r="Q296" s="1294"/>
      <c r="R296" s="1294"/>
      <c r="S296" s="1294"/>
      <c r="T296" s="1294"/>
      <c r="U296" s="1294"/>
      <c r="V296" s="1294"/>
      <c r="W296" s="1294"/>
    </row>
    <row r="297" spans="1:23" s="99" customFormat="1" ht="30" customHeight="1">
      <c r="A297" s="1294" t="s">
        <v>2496</v>
      </c>
      <c r="B297" s="1294"/>
      <c r="C297" s="1294"/>
      <c r="D297" s="1294"/>
      <c r="E297" s="1294"/>
      <c r="F297" s="1294"/>
      <c r="G297" s="1294"/>
      <c r="H297" s="1294"/>
      <c r="I297" s="1294"/>
      <c r="J297" s="1294"/>
      <c r="K297" s="1294"/>
      <c r="L297" s="1294"/>
      <c r="M297" s="1294"/>
      <c r="N297" s="1294"/>
      <c r="O297" s="1294"/>
      <c r="P297" s="1294"/>
      <c r="Q297" s="1294"/>
      <c r="R297" s="1294"/>
      <c r="S297" s="1294"/>
      <c r="T297" s="1294"/>
      <c r="U297" s="1294"/>
      <c r="V297" s="1294"/>
      <c r="W297" s="1294"/>
    </row>
    <row r="298" spans="1:23" s="99" customFormat="1" ht="34.5" customHeight="1">
      <c r="A298" s="1294" t="s">
        <v>2497</v>
      </c>
      <c r="B298" s="1294"/>
      <c r="C298" s="1294"/>
      <c r="D298" s="1294"/>
      <c r="E298" s="1294"/>
      <c r="F298" s="1294"/>
      <c r="G298" s="1294"/>
      <c r="H298" s="1294"/>
      <c r="I298" s="1294"/>
      <c r="J298" s="1294"/>
      <c r="K298" s="1294"/>
      <c r="L298" s="1294"/>
      <c r="M298" s="1294"/>
      <c r="N298" s="1294"/>
      <c r="O298" s="1294"/>
      <c r="P298" s="1294"/>
      <c r="Q298" s="1294"/>
      <c r="R298" s="1294"/>
      <c r="S298" s="1294"/>
      <c r="T298" s="1294"/>
      <c r="U298" s="1294"/>
      <c r="V298" s="1294"/>
      <c r="W298" s="1294"/>
    </row>
    <row r="299" spans="1:23" s="99" customFormat="1" ht="32.25" customHeight="1">
      <c r="A299" s="1294" t="s">
        <v>2498</v>
      </c>
      <c r="B299" s="1294"/>
      <c r="C299" s="1294"/>
      <c r="D299" s="1294"/>
      <c r="E299" s="1294"/>
      <c r="F299" s="1294"/>
      <c r="G299" s="1294"/>
      <c r="H299" s="1294"/>
      <c r="I299" s="1294"/>
      <c r="J299" s="1294"/>
      <c r="K299" s="1294"/>
      <c r="L299" s="1294"/>
      <c r="M299" s="1294"/>
      <c r="N299" s="1294"/>
      <c r="O299" s="1294"/>
      <c r="P299" s="1294"/>
      <c r="Q299" s="1294"/>
      <c r="R299" s="1294"/>
      <c r="S299" s="1294"/>
      <c r="T299" s="1294"/>
      <c r="U299" s="1294"/>
      <c r="V299" s="1294"/>
      <c r="W299" s="1294"/>
    </row>
    <row r="300" spans="1:23" s="99" customFormat="1" ht="12.75" customHeight="1">
      <c r="A300" s="1294" t="s">
        <v>2499</v>
      </c>
      <c r="B300" s="1294"/>
      <c r="C300" s="1294"/>
      <c r="D300" s="1294"/>
      <c r="E300" s="1294"/>
      <c r="F300" s="1294"/>
      <c r="G300" s="1294"/>
      <c r="H300" s="1294"/>
      <c r="I300" s="1294"/>
      <c r="J300" s="1294"/>
      <c r="K300" s="1294"/>
      <c r="L300" s="1294"/>
      <c r="M300" s="1294"/>
      <c r="N300" s="1294"/>
      <c r="O300" s="1294"/>
      <c r="P300" s="1294"/>
      <c r="Q300" s="1294"/>
      <c r="R300" s="1294"/>
      <c r="S300" s="1294"/>
      <c r="T300" s="1294"/>
      <c r="U300" s="1294"/>
      <c r="V300" s="1294"/>
      <c r="W300" s="1294"/>
    </row>
    <row r="301" spans="1:23" s="99" customFormat="1" ht="12.75" customHeight="1">
      <c r="A301" s="1294" t="s">
        <v>2500</v>
      </c>
      <c r="B301" s="1294"/>
      <c r="C301" s="1294"/>
      <c r="D301" s="1294"/>
      <c r="E301" s="1294"/>
      <c r="F301" s="1294"/>
      <c r="G301" s="1294"/>
      <c r="H301" s="1294"/>
      <c r="I301" s="1294"/>
      <c r="J301" s="1294"/>
      <c r="K301" s="1294"/>
      <c r="L301" s="1294"/>
      <c r="M301" s="1294"/>
      <c r="N301" s="1294"/>
      <c r="O301" s="1294"/>
      <c r="P301" s="1294"/>
      <c r="Q301" s="1294"/>
      <c r="R301" s="1294"/>
      <c r="S301" s="1294"/>
      <c r="T301" s="1294"/>
      <c r="U301" s="1294"/>
      <c r="V301" s="1294"/>
      <c r="W301" s="1294"/>
    </row>
    <row r="302" spans="1:23" s="99" customFormat="1" ht="12.75" customHeight="1">
      <c r="A302" s="1294" t="s">
        <v>2501</v>
      </c>
      <c r="B302" s="1294"/>
      <c r="C302" s="1294"/>
      <c r="D302" s="1294"/>
      <c r="E302" s="1294"/>
      <c r="F302" s="1294"/>
      <c r="G302" s="1294"/>
      <c r="H302" s="1294"/>
      <c r="I302" s="1294"/>
      <c r="J302" s="1294"/>
      <c r="K302" s="1294"/>
      <c r="L302" s="1294"/>
      <c r="M302" s="1294"/>
      <c r="N302" s="1294"/>
      <c r="O302" s="1294"/>
      <c r="P302" s="1294"/>
      <c r="Q302" s="1294"/>
      <c r="R302" s="1294"/>
      <c r="S302" s="1294"/>
      <c r="T302" s="1294"/>
      <c r="U302" s="1294"/>
      <c r="V302" s="1294"/>
      <c r="W302" s="1294"/>
    </row>
    <row r="303" spans="1:23" s="99" customFormat="1" ht="12.75" customHeight="1">
      <c r="A303" s="1294" t="s">
        <v>2502</v>
      </c>
      <c r="B303" s="1294"/>
      <c r="C303" s="1294"/>
      <c r="D303" s="1294"/>
      <c r="E303" s="1294"/>
      <c r="F303" s="1294"/>
      <c r="G303" s="1294"/>
      <c r="H303" s="1294"/>
      <c r="I303" s="1294"/>
      <c r="J303" s="1294"/>
      <c r="K303" s="1294"/>
      <c r="L303" s="1294"/>
      <c r="M303" s="1294"/>
      <c r="N303" s="1294"/>
      <c r="O303" s="1294"/>
      <c r="P303" s="1294"/>
      <c r="Q303" s="1294"/>
      <c r="R303" s="1294"/>
      <c r="S303" s="1294"/>
      <c r="T303" s="1294"/>
      <c r="U303" s="1294"/>
      <c r="V303" s="1294"/>
      <c r="W303" s="1294"/>
    </row>
    <row r="304" spans="1:23" s="99" customFormat="1" ht="32.25" customHeight="1">
      <c r="A304" s="1294" t="s">
        <v>2503</v>
      </c>
      <c r="B304" s="1294"/>
      <c r="C304" s="1294"/>
      <c r="D304" s="1294"/>
      <c r="E304" s="1294"/>
      <c r="F304" s="1294"/>
      <c r="G304" s="1294"/>
      <c r="H304" s="1294"/>
      <c r="I304" s="1294"/>
      <c r="J304" s="1294"/>
      <c r="K304" s="1294"/>
      <c r="L304" s="1294"/>
      <c r="M304" s="1294"/>
      <c r="N304" s="1294"/>
      <c r="O304" s="1294"/>
      <c r="P304" s="1294"/>
      <c r="Q304" s="1294"/>
      <c r="R304" s="1294"/>
      <c r="S304" s="1294"/>
      <c r="T304" s="1294"/>
      <c r="U304" s="1294"/>
      <c r="V304" s="1294"/>
      <c r="W304" s="1294"/>
    </row>
    <row r="305" spans="1:24" s="99" customFormat="1" ht="27.75" customHeight="1">
      <c r="A305" s="1294" t="s">
        <v>2504</v>
      </c>
      <c r="B305" s="1294"/>
      <c r="C305" s="1294"/>
      <c r="D305" s="1294"/>
      <c r="E305" s="1294"/>
      <c r="F305" s="1294"/>
      <c r="G305" s="1294"/>
      <c r="H305" s="1294"/>
      <c r="I305" s="1294"/>
      <c r="J305" s="1294"/>
      <c r="K305" s="1294"/>
      <c r="L305" s="1294"/>
      <c r="M305" s="1294"/>
      <c r="N305" s="1294"/>
      <c r="O305" s="1294"/>
      <c r="P305" s="1294"/>
      <c r="Q305" s="1294"/>
      <c r="R305" s="1294"/>
      <c r="S305" s="1294"/>
      <c r="T305" s="1294"/>
      <c r="U305" s="1294"/>
      <c r="V305" s="1294"/>
      <c r="W305" s="1294"/>
    </row>
    <row r="306" spans="1:24" s="99" customFormat="1" ht="26.25" customHeight="1">
      <c r="A306" s="1294" t="s">
        <v>2505</v>
      </c>
      <c r="B306" s="1294"/>
      <c r="C306" s="1294"/>
      <c r="D306" s="1294"/>
      <c r="E306" s="1294"/>
      <c r="F306" s="1294"/>
      <c r="G306" s="1294"/>
      <c r="H306" s="1294"/>
      <c r="I306" s="1294"/>
      <c r="J306" s="1294"/>
      <c r="K306" s="1294"/>
      <c r="L306" s="1294"/>
      <c r="M306" s="1294"/>
      <c r="N306" s="1294"/>
      <c r="O306" s="1294"/>
      <c r="P306" s="1294"/>
      <c r="Q306" s="1294"/>
      <c r="R306" s="1294"/>
      <c r="S306" s="1294"/>
      <c r="T306" s="1294"/>
      <c r="U306" s="1294"/>
      <c r="V306" s="1294"/>
      <c r="W306" s="1294"/>
    </row>
    <row r="307" spans="1:24" s="99" customFormat="1" ht="29.25" customHeight="1">
      <c r="A307" s="1294" t="s">
        <v>2506</v>
      </c>
      <c r="B307" s="1294"/>
      <c r="C307" s="1294"/>
      <c r="D307" s="1294"/>
      <c r="E307" s="1294"/>
      <c r="F307" s="1294"/>
      <c r="G307" s="1294"/>
      <c r="H307" s="1294"/>
      <c r="I307" s="1294"/>
      <c r="J307" s="1294"/>
      <c r="K307" s="1294"/>
      <c r="L307" s="1294"/>
      <c r="M307" s="1294"/>
      <c r="N307" s="1294"/>
      <c r="O307" s="1294"/>
      <c r="P307" s="1294"/>
      <c r="Q307" s="1294"/>
      <c r="R307" s="1294"/>
      <c r="S307" s="1294"/>
      <c r="T307" s="1294"/>
      <c r="U307" s="1294"/>
      <c r="V307" s="1294"/>
      <c r="W307" s="1294"/>
    </row>
    <row r="308" spans="1:24" s="99" customFormat="1" ht="30.75" customHeight="1">
      <c r="A308" s="1294" t="s">
        <v>2507</v>
      </c>
      <c r="B308" s="1294"/>
      <c r="C308" s="1294"/>
      <c r="D308" s="1294"/>
      <c r="E308" s="1294"/>
      <c r="F308" s="1294"/>
      <c r="G308" s="1294"/>
      <c r="H308" s="1294"/>
      <c r="I308" s="1294"/>
      <c r="J308" s="1294"/>
      <c r="K308" s="1294"/>
      <c r="L308" s="1294"/>
      <c r="M308" s="1294"/>
      <c r="N308" s="1294"/>
      <c r="O308" s="1294"/>
      <c r="P308" s="1294"/>
      <c r="Q308" s="1294"/>
      <c r="R308" s="1294"/>
      <c r="S308" s="1294"/>
      <c r="T308" s="1294"/>
      <c r="U308" s="1294"/>
      <c r="V308" s="1294"/>
      <c r="W308" s="1294"/>
    </row>
    <row r="309" spans="1:24" s="99" customFormat="1" ht="33" customHeight="1">
      <c r="A309" s="1294" t="s">
        <v>2508</v>
      </c>
      <c r="B309" s="1294"/>
      <c r="C309" s="1294"/>
      <c r="D309" s="1294"/>
      <c r="E309" s="1294"/>
      <c r="F309" s="1294"/>
      <c r="G309" s="1294"/>
      <c r="H309" s="1294"/>
      <c r="I309" s="1294"/>
      <c r="J309" s="1294"/>
      <c r="K309" s="1294"/>
      <c r="L309" s="1294"/>
      <c r="M309" s="1294"/>
      <c r="N309" s="1294"/>
      <c r="O309" s="1294"/>
      <c r="P309" s="1294"/>
      <c r="Q309" s="1294"/>
      <c r="R309" s="1294"/>
      <c r="S309" s="1294"/>
      <c r="T309" s="1294"/>
      <c r="U309" s="1294"/>
      <c r="V309" s="1294"/>
      <c r="W309" s="1294"/>
    </row>
    <row r="310" spans="1:24" s="99" customFormat="1" ht="28.5" customHeight="1">
      <c r="A310" s="1294" t="s">
        <v>2509</v>
      </c>
      <c r="B310" s="1294"/>
      <c r="C310" s="1294"/>
      <c r="D310" s="1294"/>
      <c r="E310" s="1294"/>
      <c r="F310" s="1294"/>
      <c r="G310" s="1294"/>
      <c r="H310" s="1294"/>
      <c r="I310" s="1294"/>
      <c r="J310" s="1294"/>
      <c r="K310" s="1294"/>
      <c r="L310" s="1294"/>
      <c r="M310" s="1294"/>
      <c r="N310" s="1294"/>
      <c r="O310" s="1294"/>
      <c r="P310" s="1294"/>
      <c r="Q310" s="1294"/>
      <c r="R310" s="1294"/>
      <c r="S310" s="1294"/>
      <c r="T310" s="1294"/>
      <c r="U310" s="1294"/>
      <c r="V310" s="1294"/>
      <c r="W310" s="1294"/>
    </row>
    <row r="311" spans="1:24" s="99" customFormat="1" ht="12.75" customHeight="1">
      <c r="A311" s="1298" t="s">
        <v>2510</v>
      </c>
      <c r="B311" s="1298"/>
      <c r="C311" s="1298"/>
      <c r="D311" s="1298"/>
      <c r="E311" s="1298"/>
      <c r="F311" s="1298"/>
      <c r="G311" s="1298"/>
      <c r="H311" s="1298"/>
      <c r="I311" s="1298"/>
      <c r="J311" s="1298"/>
      <c r="K311" s="1298"/>
      <c r="L311" s="1298"/>
      <c r="M311" s="1298"/>
      <c r="N311" s="1298"/>
      <c r="O311" s="1298"/>
      <c r="P311" s="1298"/>
      <c r="Q311" s="1298"/>
      <c r="R311" s="1298"/>
      <c r="S311" s="1298"/>
      <c r="T311" s="1298"/>
      <c r="U311" s="1298"/>
      <c r="V311" s="1298"/>
      <c r="W311" s="1298"/>
    </row>
    <row r="312" spans="1:24" s="79" customFormat="1" ht="12.75" customHeight="1">
      <c r="A312" s="1298" t="s">
        <v>2783</v>
      </c>
      <c r="B312" s="1298"/>
      <c r="C312" s="1298"/>
      <c r="D312" s="1298"/>
      <c r="E312" s="1298"/>
      <c r="F312" s="1298"/>
      <c r="G312" s="1298"/>
      <c r="H312" s="1298"/>
      <c r="I312" s="1298"/>
      <c r="J312" s="1298"/>
      <c r="K312" s="1298"/>
      <c r="L312" s="1298"/>
      <c r="M312" s="1298"/>
      <c r="N312" s="1298"/>
      <c r="O312" s="1298"/>
      <c r="P312" s="1298"/>
      <c r="Q312" s="1298"/>
      <c r="R312" s="1298"/>
      <c r="S312" s="1298"/>
      <c r="T312" s="1298"/>
      <c r="U312" s="1298"/>
      <c r="V312" s="1298"/>
      <c r="W312" s="1298"/>
      <c r="X312" s="99"/>
    </row>
    <row r="313" spans="1:24" s="79" customFormat="1" ht="112.5" customHeight="1">
      <c r="A313" s="1298" t="s">
        <v>2511</v>
      </c>
      <c r="B313" s="1298"/>
      <c r="C313" s="1298"/>
      <c r="D313" s="1298"/>
      <c r="E313" s="1298"/>
      <c r="F313" s="1298"/>
      <c r="G313" s="1298"/>
      <c r="H313" s="1298"/>
      <c r="I313" s="1298"/>
      <c r="J313" s="1298"/>
      <c r="K313" s="1298"/>
      <c r="L313" s="1298"/>
      <c r="M313" s="1298"/>
      <c r="N313" s="1298"/>
      <c r="O313" s="1298"/>
      <c r="P313" s="1298"/>
      <c r="Q313" s="1298"/>
      <c r="R313" s="1298"/>
      <c r="S313" s="1298"/>
      <c r="T313" s="1298"/>
      <c r="U313" s="1298"/>
      <c r="V313" s="1298"/>
      <c r="W313" s="1298"/>
      <c r="X313" s="99"/>
    </row>
    <row r="314" spans="1:24" s="79" customFormat="1" ht="16.5" customHeight="1">
      <c r="A314" s="1216" t="s">
        <v>2784</v>
      </c>
      <c r="B314" s="1216"/>
      <c r="C314" s="1216"/>
      <c r="D314" s="1216"/>
      <c r="E314" s="1216"/>
      <c r="F314" s="1216"/>
      <c r="G314" s="1216"/>
      <c r="H314" s="1216"/>
      <c r="I314" s="1216"/>
      <c r="J314" s="1216"/>
      <c r="K314" s="1216"/>
      <c r="L314" s="1216"/>
      <c r="M314" s="1216"/>
      <c r="N314" s="1216"/>
      <c r="O314" s="1216"/>
      <c r="P314" s="1216"/>
      <c r="Q314" s="1216"/>
      <c r="R314" s="1216"/>
      <c r="S314" s="1216"/>
      <c r="T314" s="1216"/>
      <c r="U314" s="1216"/>
      <c r="V314" s="1216"/>
      <c r="W314" s="1216"/>
      <c r="X314" s="99"/>
    </row>
    <row r="315" spans="1:24" s="79" customFormat="1" ht="90.75" customHeight="1">
      <c r="A315" s="1216" t="s">
        <v>2512</v>
      </c>
      <c r="B315" s="1216"/>
      <c r="C315" s="1216"/>
      <c r="D315" s="1216"/>
      <c r="E315" s="1216"/>
      <c r="F315" s="1216"/>
      <c r="G315" s="1216"/>
      <c r="H315" s="1216"/>
      <c r="I315" s="1216"/>
      <c r="J315" s="1216"/>
      <c r="K315" s="1216"/>
      <c r="L315" s="1216"/>
      <c r="M315" s="1216"/>
      <c r="N315" s="1216"/>
      <c r="O315" s="1216"/>
      <c r="P315" s="1216"/>
      <c r="Q315" s="1216"/>
      <c r="R315" s="1216"/>
      <c r="S315" s="1216"/>
      <c r="T315" s="1216"/>
      <c r="U315" s="1216"/>
      <c r="V315" s="1216"/>
      <c r="W315" s="1216"/>
      <c r="X315" s="99"/>
    </row>
    <row r="316" spans="1:24" s="79" customFormat="1">
      <c r="A316" s="1216"/>
      <c r="B316" s="1216"/>
      <c r="C316" s="1216"/>
      <c r="D316" s="1216"/>
      <c r="E316" s="1216"/>
      <c r="F316" s="1216"/>
      <c r="G316" s="1216"/>
      <c r="H316" s="1216"/>
      <c r="I316" s="1216"/>
      <c r="J316" s="1216"/>
      <c r="K316" s="1216"/>
      <c r="L316" s="1216"/>
      <c r="M316" s="1216"/>
      <c r="N316" s="1216"/>
      <c r="O316" s="1216"/>
      <c r="P316" s="1216"/>
      <c r="Q316" s="1216"/>
      <c r="R316" s="1216"/>
      <c r="S316" s="1216"/>
      <c r="T316" s="1216"/>
      <c r="U316" s="1216"/>
      <c r="V316" s="1216"/>
      <c r="W316" s="1216"/>
      <c r="X316" s="99"/>
    </row>
    <row r="317" spans="1:24" s="524" customFormat="1" ht="33.75" customHeight="1">
      <c r="A317" s="1302" t="s">
        <v>2785</v>
      </c>
      <c r="B317" s="1302"/>
      <c r="C317" s="1302"/>
      <c r="D317" s="1302"/>
      <c r="E317" s="1302"/>
      <c r="F317" s="1302"/>
      <c r="G317" s="1302"/>
      <c r="H317" s="1302"/>
      <c r="I317" s="1302"/>
      <c r="J317" s="1302"/>
      <c r="K317" s="1302"/>
      <c r="L317" s="1302"/>
      <c r="M317" s="1302"/>
      <c r="N317" s="1302"/>
      <c r="O317" s="1302"/>
      <c r="P317" s="1302"/>
      <c r="Q317" s="1302"/>
      <c r="R317" s="1302"/>
      <c r="S317" s="1302"/>
      <c r="T317" s="1302"/>
      <c r="U317" s="1302"/>
      <c r="V317" s="1302"/>
      <c r="W317" s="1302"/>
      <c r="X317" s="295"/>
    </row>
    <row r="318" spans="1:24" s="524" customFormat="1" ht="71.25" customHeight="1">
      <c r="A318" s="1302" t="s">
        <v>2786</v>
      </c>
      <c r="B318" s="1302"/>
      <c r="C318" s="1302"/>
      <c r="D318" s="1302"/>
      <c r="E318" s="1302"/>
      <c r="F318" s="1302"/>
      <c r="G318" s="1302"/>
      <c r="H318" s="1302"/>
      <c r="I318" s="1302"/>
      <c r="J318" s="1302"/>
      <c r="K318" s="1302"/>
      <c r="L318" s="1302"/>
      <c r="M318" s="1302"/>
      <c r="N318" s="1302"/>
      <c r="O318" s="1302"/>
      <c r="P318" s="1302"/>
      <c r="Q318" s="1302"/>
      <c r="R318" s="1302"/>
      <c r="S318" s="1302"/>
      <c r="T318" s="1302"/>
      <c r="U318" s="1302"/>
      <c r="V318" s="1302"/>
      <c r="W318" s="1302"/>
      <c r="X318" s="295"/>
    </row>
    <row r="319" spans="1:24" s="524" customFormat="1" ht="55.5" customHeight="1">
      <c r="A319" s="1302" t="s">
        <v>2787</v>
      </c>
      <c r="B319" s="1302"/>
      <c r="C319" s="1302"/>
      <c r="D319" s="1302"/>
      <c r="E319" s="1302"/>
      <c r="F319" s="1302"/>
      <c r="G319" s="1302"/>
      <c r="H319" s="1302"/>
      <c r="I319" s="1302"/>
      <c r="J319" s="1302"/>
      <c r="K319" s="1302"/>
      <c r="L319" s="1302"/>
      <c r="M319" s="1302"/>
      <c r="N319" s="1302"/>
      <c r="O319" s="1302"/>
      <c r="P319" s="1302"/>
      <c r="Q319" s="1302"/>
      <c r="R319" s="1302"/>
      <c r="S319" s="1302"/>
      <c r="T319" s="1302"/>
      <c r="U319" s="1302"/>
      <c r="V319" s="1302"/>
      <c r="W319" s="1302"/>
      <c r="X319" s="295"/>
    </row>
    <row r="320" spans="1:24" s="524" customFormat="1" ht="57" customHeight="1">
      <c r="A320" s="1302" t="s">
        <v>2788</v>
      </c>
      <c r="B320" s="1302"/>
      <c r="C320" s="1302"/>
      <c r="D320" s="1302"/>
      <c r="E320" s="1302"/>
      <c r="F320" s="1302"/>
      <c r="G320" s="1302"/>
      <c r="H320" s="1302"/>
      <c r="I320" s="1302"/>
      <c r="J320" s="1302"/>
      <c r="K320" s="1302"/>
      <c r="L320" s="1302"/>
      <c r="M320" s="1302"/>
      <c r="N320" s="1302"/>
      <c r="O320" s="1302"/>
      <c r="P320" s="1302"/>
      <c r="Q320" s="1302"/>
      <c r="R320" s="1302"/>
      <c r="S320" s="1302"/>
      <c r="T320" s="1302"/>
      <c r="U320" s="1302"/>
      <c r="V320" s="1302"/>
      <c r="W320" s="1302"/>
      <c r="X320" s="295"/>
    </row>
    <row r="321" spans="1:24" s="524" customFormat="1" ht="51.75" customHeight="1">
      <c r="A321" s="1302" t="s">
        <v>2789</v>
      </c>
      <c r="B321" s="1302"/>
      <c r="C321" s="1302"/>
      <c r="D321" s="1302"/>
      <c r="E321" s="1302"/>
      <c r="F321" s="1302"/>
      <c r="G321" s="1302"/>
      <c r="H321" s="1302"/>
      <c r="I321" s="1302"/>
      <c r="J321" s="1302"/>
      <c r="K321" s="1302"/>
      <c r="L321" s="1302"/>
      <c r="M321" s="1302"/>
      <c r="N321" s="1302"/>
      <c r="O321" s="1302"/>
      <c r="P321" s="1302"/>
      <c r="Q321" s="1302"/>
      <c r="R321" s="1302"/>
      <c r="S321" s="1302"/>
      <c r="T321" s="1302"/>
      <c r="U321" s="1302"/>
      <c r="V321" s="1302"/>
      <c r="W321" s="1302"/>
      <c r="X321" s="295"/>
    </row>
    <row r="322" spans="1:24" s="524" customFormat="1" ht="51.75" customHeight="1">
      <c r="A322" s="1302" t="s">
        <v>2513</v>
      </c>
      <c r="B322" s="1302"/>
      <c r="C322" s="1302"/>
      <c r="D322" s="1302"/>
      <c r="E322" s="1302"/>
      <c r="F322" s="1302"/>
      <c r="G322" s="1302"/>
      <c r="H322" s="1302"/>
      <c r="I322" s="1302"/>
      <c r="J322" s="1302"/>
      <c r="K322" s="1302"/>
      <c r="L322" s="1302"/>
      <c r="M322" s="1302"/>
      <c r="N322" s="1302"/>
      <c r="O322" s="1302"/>
      <c r="P322" s="1302"/>
      <c r="Q322" s="1302"/>
      <c r="R322" s="1302"/>
      <c r="S322" s="1302"/>
      <c r="T322" s="1302"/>
      <c r="U322" s="1302"/>
      <c r="V322" s="1302"/>
      <c r="W322" s="1302"/>
      <c r="X322" s="295"/>
    </row>
    <row r="323" spans="1:24" s="524" customFormat="1" ht="24" customHeight="1">
      <c r="A323" s="1302" t="s">
        <v>2514</v>
      </c>
      <c r="B323" s="1302"/>
      <c r="C323" s="1302"/>
      <c r="D323" s="1302"/>
      <c r="E323" s="1302"/>
      <c r="F323" s="1302"/>
      <c r="G323" s="1302"/>
      <c r="H323" s="1302"/>
      <c r="I323" s="1302"/>
      <c r="J323" s="1302"/>
      <c r="K323" s="1302"/>
      <c r="L323" s="1302"/>
      <c r="M323" s="1302"/>
      <c r="N323" s="1302"/>
      <c r="O323" s="1302"/>
      <c r="P323" s="1302"/>
      <c r="Q323" s="1302"/>
      <c r="R323" s="1302"/>
      <c r="S323" s="1302"/>
      <c r="T323" s="1302"/>
      <c r="U323" s="1302"/>
      <c r="V323" s="1302"/>
      <c r="W323" s="1302"/>
      <c r="X323" s="295"/>
    </row>
    <row r="324" spans="1:24" s="524" customFormat="1" ht="33.75" customHeight="1">
      <c r="A324" s="1302" t="s">
        <v>2515</v>
      </c>
      <c r="B324" s="1302"/>
      <c r="C324" s="1302"/>
      <c r="D324" s="1302"/>
      <c r="E324" s="1302"/>
      <c r="F324" s="1302"/>
      <c r="G324" s="1302"/>
      <c r="H324" s="1302"/>
      <c r="I324" s="1302"/>
      <c r="J324" s="1302"/>
      <c r="K324" s="1302"/>
      <c r="L324" s="1302"/>
      <c r="M324" s="1302"/>
      <c r="N324" s="1302"/>
      <c r="O324" s="1302"/>
      <c r="P324" s="1302"/>
      <c r="Q324" s="1302"/>
      <c r="R324" s="1302"/>
      <c r="S324" s="1302"/>
      <c r="T324" s="1302"/>
      <c r="U324" s="1302"/>
      <c r="V324" s="1302"/>
      <c r="W324" s="1302"/>
      <c r="X324" s="295"/>
    </row>
    <row r="325" spans="1:24" s="524" customFormat="1" ht="19.5" customHeight="1">
      <c r="A325" s="1302" t="s">
        <v>2516</v>
      </c>
      <c r="B325" s="1302"/>
      <c r="C325" s="1302"/>
      <c r="D325" s="1302"/>
      <c r="E325" s="1302"/>
      <c r="F325" s="1302"/>
      <c r="G325" s="1302"/>
      <c r="H325" s="1302"/>
      <c r="I325" s="1302"/>
      <c r="J325" s="1302"/>
      <c r="K325" s="1302"/>
      <c r="L325" s="1302"/>
      <c r="M325" s="1302"/>
      <c r="N325" s="1302"/>
      <c r="O325" s="1302"/>
      <c r="P325" s="1302"/>
      <c r="Q325" s="1302"/>
      <c r="R325" s="1302"/>
      <c r="S325" s="1302"/>
      <c r="T325" s="1302"/>
      <c r="U325" s="1302"/>
      <c r="V325" s="1302"/>
      <c r="W325" s="1302"/>
      <c r="X325" s="295"/>
    </row>
    <row r="326" spans="1:24" s="79" customFormat="1" ht="46.5" customHeight="1">
      <c r="A326" s="1216" t="s">
        <v>2517</v>
      </c>
      <c r="B326" s="1216"/>
      <c r="C326" s="1216"/>
      <c r="D326" s="1216"/>
      <c r="E326" s="1216"/>
      <c r="F326" s="1216"/>
      <c r="G326" s="1216"/>
      <c r="H326" s="1216"/>
      <c r="I326" s="1216"/>
      <c r="J326" s="1216"/>
      <c r="K326" s="1216"/>
      <c r="L326" s="1216"/>
      <c r="M326" s="1216"/>
      <c r="N326" s="1216"/>
      <c r="O326" s="1216"/>
      <c r="P326" s="1216"/>
      <c r="Q326" s="1216"/>
      <c r="R326" s="1216"/>
      <c r="S326" s="1216"/>
      <c r="T326" s="1216"/>
      <c r="U326" s="1216"/>
      <c r="V326" s="1216"/>
      <c r="W326" s="1216"/>
      <c r="X326" s="99"/>
    </row>
    <row r="327" spans="1:24" s="79" customFormat="1" ht="30" customHeight="1">
      <c r="A327" s="1216" t="s">
        <v>2518</v>
      </c>
      <c r="B327" s="1216"/>
      <c r="C327" s="1216"/>
      <c r="D327" s="1216"/>
      <c r="E327" s="1216"/>
      <c r="F327" s="1216"/>
      <c r="G327" s="1216"/>
      <c r="H327" s="1216"/>
      <c r="I327" s="1216"/>
      <c r="J327" s="1216"/>
      <c r="K327" s="1216"/>
      <c r="L327" s="1216"/>
      <c r="M327" s="1216"/>
      <c r="N327" s="1216"/>
      <c r="O327" s="1216"/>
      <c r="P327" s="1216"/>
      <c r="Q327" s="1216"/>
      <c r="R327" s="1216"/>
      <c r="S327" s="1216"/>
      <c r="T327" s="1216"/>
      <c r="U327" s="1216"/>
      <c r="V327" s="1216"/>
      <c r="W327" s="1216"/>
      <c r="X327" s="99"/>
    </row>
    <row r="328" spans="1:24" s="79" customFormat="1">
      <c r="A328" s="1216" t="s">
        <v>2519</v>
      </c>
      <c r="B328" s="1216"/>
      <c r="C328" s="1216"/>
      <c r="D328" s="1216"/>
      <c r="E328" s="1216"/>
      <c r="F328" s="1216"/>
      <c r="G328" s="1216"/>
      <c r="H328" s="1216"/>
      <c r="I328" s="1216"/>
      <c r="J328" s="1216"/>
      <c r="K328" s="1216"/>
      <c r="L328" s="1216"/>
      <c r="M328" s="1216"/>
      <c r="N328" s="1216"/>
      <c r="O328" s="1216"/>
      <c r="P328" s="1216"/>
      <c r="Q328" s="1216"/>
      <c r="R328" s="1216"/>
      <c r="S328" s="1216"/>
      <c r="T328" s="1216"/>
      <c r="U328" s="1216"/>
      <c r="V328" s="1216"/>
      <c r="W328" s="1216"/>
      <c r="X328" s="99"/>
    </row>
    <row r="329" spans="1:24" s="79" customFormat="1">
      <c r="A329" s="1216" t="s">
        <v>2790</v>
      </c>
      <c r="B329" s="1216"/>
      <c r="C329" s="1216"/>
      <c r="D329" s="1216"/>
      <c r="E329" s="1216"/>
      <c r="F329" s="1216"/>
      <c r="G329" s="1216"/>
      <c r="H329" s="1216"/>
      <c r="I329" s="1216"/>
      <c r="J329" s="1216"/>
      <c r="K329" s="1216"/>
      <c r="L329" s="1216"/>
      <c r="M329" s="1216"/>
      <c r="N329" s="1216"/>
      <c r="O329" s="1216"/>
      <c r="P329" s="1216"/>
      <c r="Q329" s="1216"/>
      <c r="R329" s="1216"/>
      <c r="S329" s="1216"/>
      <c r="T329" s="1216"/>
      <c r="U329" s="1216"/>
      <c r="V329" s="1216"/>
      <c r="W329" s="1216"/>
      <c r="X329" s="99"/>
    </row>
    <row r="330" spans="1:24" s="79" customFormat="1">
      <c r="A330" s="1216" t="s">
        <v>2520</v>
      </c>
      <c r="B330" s="1216"/>
      <c r="C330" s="1216"/>
      <c r="D330" s="1216"/>
      <c r="E330" s="1216"/>
      <c r="F330" s="1216"/>
      <c r="G330" s="1216"/>
      <c r="H330" s="1216"/>
      <c r="I330" s="1216"/>
      <c r="J330" s="1216"/>
      <c r="K330" s="1216"/>
      <c r="L330" s="1216"/>
      <c r="M330" s="1216"/>
      <c r="N330" s="1216"/>
      <c r="O330" s="1216"/>
      <c r="P330" s="1216"/>
      <c r="Q330" s="1216"/>
      <c r="R330" s="1216"/>
      <c r="S330" s="1216"/>
      <c r="T330" s="1216"/>
      <c r="U330" s="1216"/>
      <c r="V330" s="1216"/>
      <c r="W330" s="1216"/>
      <c r="X330" s="99"/>
    </row>
    <row r="331" spans="1:24" s="79" customFormat="1" ht="30" customHeight="1">
      <c r="A331" s="1216" t="s">
        <v>2521</v>
      </c>
      <c r="B331" s="1216"/>
      <c r="C331" s="1216"/>
      <c r="D331" s="1216"/>
      <c r="E331" s="1216"/>
      <c r="F331" s="1216"/>
      <c r="G331" s="1216"/>
      <c r="H331" s="1216"/>
      <c r="I331" s="1216"/>
      <c r="J331" s="1216"/>
      <c r="K331" s="1216"/>
      <c r="L331" s="1216"/>
      <c r="M331" s="1216"/>
      <c r="N331" s="1216"/>
      <c r="O331" s="1216"/>
      <c r="P331" s="1216"/>
      <c r="Q331" s="1216"/>
      <c r="R331" s="1216"/>
      <c r="S331" s="1216"/>
      <c r="T331" s="1216"/>
      <c r="U331" s="1216"/>
      <c r="V331" s="1216"/>
      <c r="W331" s="1216"/>
      <c r="X331" s="99"/>
    </row>
    <row r="332" spans="1:24" s="79" customFormat="1">
      <c r="A332" s="1216" t="s">
        <v>2791</v>
      </c>
      <c r="B332" s="1216"/>
      <c r="C332" s="1216"/>
      <c r="D332" s="1216"/>
      <c r="E332" s="1216"/>
      <c r="F332" s="1216"/>
      <c r="G332" s="1216"/>
      <c r="H332" s="1216"/>
      <c r="I332" s="1216"/>
      <c r="J332" s="1216"/>
      <c r="K332" s="1216"/>
      <c r="L332" s="1216"/>
      <c r="M332" s="1216"/>
      <c r="N332" s="1216"/>
      <c r="O332" s="1216"/>
      <c r="P332" s="1216"/>
      <c r="Q332" s="1216"/>
      <c r="R332" s="1216"/>
      <c r="S332" s="1216"/>
      <c r="T332" s="1216"/>
      <c r="U332" s="1216"/>
      <c r="V332" s="1216"/>
      <c r="W332" s="1216"/>
      <c r="X332" s="99"/>
    </row>
    <row r="333" spans="1:24" s="79" customFormat="1" ht="44.25" customHeight="1">
      <c r="A333" s="1287" t="s">
        <v>3337</v>
      </c>
      <c r="B333" s="1216"/>
      <c r="C333" s="1216"/>
      <c r="D333" s="1216"/>
      <c r="E333" s="1216"/>
      <c r="F333" s="1216"/>
      <c r="G333" s="1216"/>
      <c r="H333" s="1216"/>
      <c r="I333" s="1216"/>
      <c r="J333" s="1216"/>
      <c r="K333" s="1216"/>
      <c r="L333" s="1216"/>
      <c r="M333" s="1216"/>
      <c r="N333" s="1216"/>
      <c r="O333" s="1216"/>
      <c r="P333" s="1216"/>
      <c r="Q333" s="1216"/>
      <c r="R333" s="1216"/>
      <c r="S333" s="1216"/>
      <c r="T333" s="1216"/>
      <c r="U333" s="1216"/>
      <c r="V333" s="1216"/>
      <c r="W333" s="1216"/>
      <c r="X333" s="99"/>
    </row>
    <row r="334" spans="1:24" s="79" customFormat="1">
      <c r="A334" s="1298" t="s">
        <v>2792</v>
      </c>
      <c r="B334" s="1298"/>
      <c r="C334" s="1298"/>
      <c r="D334" s="1298"/>
      <c r="E334" s="1298"/>
      <c r="F334" s="1298"/>
      <c r="G334" s="1298"/>
      <c r="H334" s="1298"/>
      <c r="I334" s="1298"/>
      <c r="J334" s="1298"/>
      <c r="K334" s="1298"/>
      <c r="L334" s="1298"/>
      <c r="M334" s="1298"/>
      <c r="N334" s="1298"/>
      <c r="O334" s="1298"/>
      <c r="P334" s="1298"/>
      <c r="Q334" s="1298"/>
      <c r="R334" s="1298"/>
      <c r="S334" s="1298"/>
      <c r="T334" s="1298"/>
      <c r="U334" s="1298"/>
      <c r="V334" s="1298"/>
      <c r="W334" s="1298"/>
      <c r="X334" s="99"/>
    </row>
    <row r="335" spans="1:24" s="79" customFormat="1" ht="168" customHeight="1">
      <c r="A335" s="1216" t="s">
        <v>2522</v>
      </c>
      <c r="B335" s="1216"/>
      <c r="C335" s="1216"/>
      <c r="D335" s="1216"/>
      <c r="E335" s="1216"/>
      <c r="F335" s="1216"/>
      <c r="G335" s="1216"/>
      <c r="H335" s="1216"/>
      <c r="I335" s="1216"/>
      <c r="J335" s="1216"/>
      <c r="K335" s="1216"/>
      <c r="L335" s="1216"/>
      <c r="M335" s="1216"/>
      <c r="N335" s="1216"/>
      <c r="O335" s="1216"/>
      <c r="P335" s="1216"/>
      <c r="Q335" s="1216"/>
      <c r="R335" s="1216"/>
      <c r="S335" s="1216"/>
      <c r="T335" s="1216"/>
      <c r="U335" s="1216"/>
      <c r="V335" s="1216"/>
      <c r="W335" s="1216"/>
      <c r="X335" s="99"/>
    </row>
    <row r="336" spans="1:24" s="79" customFormat="1">
      <c r="A336" s="1216" t="s">
        <v>2793</v>
      </c>
      <c r="B336" s="1216"/>
      <c r="C336" s="1216"/>
      <c r="D336" s="1216"/>
      <c r="E336" s="1216"/>
      <c r="F336" s="1216"/>
      <c r="G336" s="1216"/>
      <c r="H336" s="1216"/>
      <c r="I336" s="1216"/>
      <c r="J336" s="1216"/>
      <c r="K336" s="1216"/>
      <c r="L336" s="1216"/>
      <c r="M336" s="1216"/>
      <c r="N336" s="1216"/>
      <c r="O336" s="1216"/>
      <c r="P336" s="1216"/>
      <c r="Q336" s="1216"/>
      <c r="R336" s="1216"/>
      <c r="S336" s="1216"/>
      <c r="T336" s="1216"/>
      <c r="U336" s="1216"/>
      <c r="V336" s="1216"/>
      <c r="W336" s="1216"/>
      <c r="X336" s="99"/>
    </row>
    <row r="337" spans="1:24" s="79" customFormat="1" ht="201" customHeight="1">
      <c r="A337" s="1216" t="s">
        <v>2523</v>
      </c>
      <c r="B337" s="1216"/>
      <c r="C337" s="1216"/>
      <c r="D337" s="1216"/>
      <c r="E337" s="1216"/>
      <c r="F337" s="1216"/>
      <c r="G337" s="1216"/>
      <c r="H337" s="1216"/>
      <c r="I337" s="1216"/>
      <c r="J337" s="1216"/>
      <c r="K337" s="1216"/>
      <c r="L337" s="1216"/>
      <c r="M337" s="1216"/>
      <c r="N337" s="1216"/>
      <c r="O337" s="1216"/>
      <c r="P337" s="1216"/>
      <c r="Q337" s="1216"/>
      <c r="R337" s="1216"/>
      <c r="S337" s="1216"/>
      <c r="T337" s="1216"/>
      <c r="U337" s="1216"/>
      <c r="V337" s="1216"/>
      <c r="W337" s="1216"/>
      <c r="X337" s="99"/>
    </row>
    <row r="338" spans="1:24" s="79" customFormat="1">
      <c r="A338" s="1216" t="s">
        <v>2794</v>
      </c>
      <c r="B338" s="1216"/>
      <c r="C338" s="1216"/>
      <c r="D338" s="1216"/>
      <c r="E338" s="1216"/>
      <c r="F338" s="1216"/>
      <c r="G338" s="1216"/>
      <c r="H338" s="1216"/>
      <c r="I338" s="1216"/>
      <c r="J338" s="1216"/>
      <c r="K338" s="1216"/>
      <c r="L338" s="1216"/>
      <c r="M338" s="1216"/>
      <c r="N338" s="1216"/>
      <c r="O338" s="1216"/>
      <c r="P338" s="1216"/>
      <c r="Q338" s="1216"/>
      <c r="R338" s="1216"/>
      <c r="S338" s="1216"/>
      <c r="T338" s="1216"/>
      <c r="U338" s="1216"/>
      <c r="V338" s="1216"/>
      <c r="W338" s="1216"/>
      <c r="X338" s="99"/>
    </row>
    <row r="339" spans="1:24" s="79" customFormat="1" ht="50.25" customHeight="1">
      <c r="A339" s="1298" t="s">
        <v>2524</v>
      </c>
      <c r="B339" s="1298"/>
      <c r="C339" s="1298"/>
      <c r="D339" s="1298"/>
      <c r="E339" s="1298"/>
      <c r="F339" s="1298"/>
      <c r="G339" s="1298"/>
      <c r="H339" s="1298"/>
      <c r="I339" s="1298"/>
      <c r="J339" s="1298"/>
      <c r="K339" s="1298"/>
      <c r="L339" s="1298"/>
      <c r="M339" s="1298"/>
      <c r="N339" s="1298"/>
      <c r="O339" s="1298"/>
      <c r="P339" s="1298"/>
      <c r="Q339" s="1298"/>
      <c r="R339" s="1298"/>
      <c r="S339" s="1298"/>
      <c r="T339" s="1298"/>
      <c r="U339" s="1298"/>
      <c r="V339" s="1298"/>
      <c r="W339" s="1298"/>
      <c r="X339" s="99"/>
    </row>
    <row r="340" spans="1:24" s="79" customFormat="1" ht="20.25" customHeight="1">
      <c r="A340" s="1298" t="s">
        <v>2795</v>
      </c>
      <c r="B340" s="1298"/>
      <c r="C340" s="1298"/>
      <c r="D340" s="1298"/>
      <c r="E340" s="1298"/>
      <c r="F340" s="1298"/>
      <c r="G340" s="1298"/>
      <c r="H340" s="1298"/>
      <c r="I340" s="1298"/>
      <c r="J340" s="1298"/>
      <c r="K340" s="1298"/>
      <c r="L340" s="1298"/>
      <c r="M340" s="1298"/>
      <c r="N340" s="1298"/>
      <c r="O340" s="1298"/>
      <c r="P340" s="1298"/>
      <c r="Q340" s="1298"/>
      <c r="R340" s="1298"/>
      <c r="S340" s="1298"/>
      <c r="T340" s="1298"/>
      <c r="U340" s="1298"/>
      <c r="V340" s="1298"/>
      <c r="W340" s="1298"/>
      <c r="X340" s="99"/>
    </row>
    <row r="341" spans="1:24" s="79" customFormat="1" ht="72" customHeight="1">
      <c r="A341" s="1216" t="s">
        <v>2525</v>
      </c>
      <c r="B341" s="1216"/>
      <c r="C341" s="1216"/>
      <c r="D341" s="1216"/>
      <c r="E341" s="1216"/>
      <c r="F341" s="1216"/>
      <c r="G341" s="1216"/>
      <c r="H341" s="1216"/>
      <c r="I341" s="1216"/>
      <c r="J341" s="1216"/>
      <c r="K341" s="1216"/>
      <c r="L341" s="1216"/>
      <c r="M341" s="1216"/>
      <c r="N341" s="1216"/>
      <c r="O341" s="1216"/>
      <c r="P341" s="1216"/>
      <c r="Q341" s="1216"/>
      <c r="R341" s="1216"/>
      <c r="S341" s="1216"/>
      <c r="T341" s="1216"/>
      <c r="U341" s="1216"/>
      <c r="V341" s="1216"/>
      <c r="W341" s="1216"/>
      <c r="X341" s="99"/>
    </row>
    <row r="342" spans="1:24" s="79" customFormat="1" ht="20.25" customHeight="1">
      <c r="A342" s="1298" t="s">
        <v>2796</v>
      </c>
      <c r="B342" s="1298"/>
      <c r="C342" s="1298"/>
      <c r="D342" s="1298"/>
      <c r="E342" s="1298"/>
      <c r="F342" s="1298"/>
      <c r="G342" s="1298"/>
      <c r="H342" s="1298"/>
      <c r="I342" s="1298"/>
      <c r="J342" s="1298"/>
      <c r="K342" s="1298"/>
      <c r="L342" s="1298"/>
      <c r="M342" s="1298"/>
      <c r="N342" s="1298"/>
      <c r="O342" s="1298"/>
      <c r="P342" s="1298"/>
      <c r="Q342" s="1298"/>
      <c r="R342" s="1298"/>
      <c r="S342" s="1298"/>
      <c r="T342" s="1298"/>
      <c r="U342" s="1298"/>
      <c r="V342" s="1298"/>
      <c r="W342" s="1298"/>
      <c r="X342" s="99"/>
    </row>
    <row r="343" spans="1:24" s="79" customFormat="1" ht="141.75" customHeight="1">
      <c r="A343" s="1216" t="s">
        <v>2526</v>
      </c>
      <c r="B343" s="1216"/>
      <c r="C343" s="1216"/>
      <c r="D343" s="1216"/>
      <c r="E343" s="1216"/>
      <c r="F343" s="1216"/>
      <c r="G343" s="1216"/>
      <c r="H343" s="1216"/>
      <c r="I343" s="1216"/>
      <c r="J343" s="1216"/>
      <c r="K343" s="1216"/>
      <c r="L343" s="1216"/>
      <c r="M343" s="1216"/>
      <c r="N343" s="1216"/>
      <c r="O343" s="1216"/>
      <c r="P343" s="1216"/>
      <c r="Q343" s="1216"/>
      <c r="R343" s="1216"/>
      <c r="S343" s="1216"/>
      <c r="T343" s="1216"/>
      <c r="U343" s="1216"/>
      <c r="V343" s="1216"/>
      <c r="W343" s="1216"/>
      <c r="X343" s="99"/>
    </row>
    <row r="344" spans="1:24" s="79" customFormat="1" ht="74.25" customHeight="1">
      <c r="A344" s="1216" t="s">
        <v>2527</v>
      </c>
      <c r="B344" s="1216"/>
      <c r="C344" s="1216"/>
      <c r="D344" s="1216"/>
      <c r="E344" s="1216"/>
      <c r="F344" s="1216"/>
      <c r="G344" s="1216"/>
      <c r="H344" s="1216"/>
      <c r="I344" s="1216"/>
      <c r="J344" s="1216"/>
      <c r="K344" s="1216"/>
      <c r="L344" s="1216"/>
      <c r="M344" s="1216"/>
      <c r="N344" s="1216"/>
      <c r="O344" s="1216"/>
      <c r="P344" s="1216"/>
      <c r="Q344" s="1216"/>
      <c r="R344" s="1216"/>
      <c r="S344" s="1216"/>
      <c r="T344" s="1216"/>
      <c r="U344" s="1216"/>
      <c r="V344" s="1216"/>
      <c r="W344" s="1216"/>
      <c r="X344" s="99"/>
    </row>
    <row r="345" spans="1:24" s="79" customFormat="1">
      <c r="A345" s="1216"/>
      <c r="B345" s="1216"/>
      <c r="C345" s="1216"/>
      <c r="D345" s="1216"/>
      <c r="E345" s="1216"/>
      <c r="F345" s="1216"/>
      <c r="G345" s="1216"/>
      <c r="H345" s="1216"/>
      <c r="I345" s="1216"/>
      <c r="J345" s="1216"/>
      <c r="K345" s="1216"/>
      <c r="L345" s="1216"/>
      <c r="M345" s="1216"/>
      <c r="N345" s="1216"/>
      <c r="O345" s="1216"/>
      <c r="P345" s="1216"/>
      <c r="Q345" s="1216"/>
      <c r="R345" s="1216"/>
      <c r="S345" s="1216"/>
      <c r="T345" s="1216"/>
      <c r="U345" s="1216"/>
      <c r="V345" s="1216"/>
      <c r="W345" s="1216"/>
      <c r="X345" s="99"/>
    </row>
    <row r="346" spans="1:24" s="79" customFormat="1">
      <c r="A346" s="1216"/>
      <c r="B346" s="1216"/>
      <c r="C346" s="1216"/>
      <c r="D346" s="1216"/>
      <c r="E346" s="1216"/>
      <c r="F346" s="1216"/>
      <c r="G346" s="1216"/>
      <c r="H346" s="1216"/>
      <c r="I346" s="1216"/>
      <c r="J346" s="1216"/>
      <c r="K346" s="1216"/>
      <c r="L346" s="1216"/>
      <c r="M346" s="1216"/>
      <c r="N346" s="1216"/>
      <c r="O346" s="1216"/>
      <c r="P346" s="1216"/>
      <c r="Q346" s="1216"/>
      <c r="R346" s="1216"/>
      <c r="S346" s="1216"/>
      <c r="T346" s="1216"/>
      <c r="U346" s="1216"/>
      <c r="V346" s="1216"/>
      <c r="W346" s="1216"/>
      <c r="X346" s="99"/>
    </row>
    <row r="347" spans="1:24" s="79" customFormat="1" ht="12.75" customHeight="1">
      <c r="A347" s="1216" t="s">
        <v>2797</v>
      </c>
      <c r="B347" s="1216"/>
      <c r="C347" s="1216"/>
      <c r="D347" s="1216"/>
      <c r="E347" s="1216"/>
      <c r="F347" s="1216"/>
      <c r="G347" s="1216"/>
      <c r="H347" s="1216"/>
      <c r="I347" s="1216"/>
      <c r="J347" s="1216"/>
      <c r="K347" s="1216"/>
      <c r="L347" s="1216"/>
      <c r="M347" s="1216"/>
      <c r="N347" s="1216"/>
      <c r="O347" s="1216"/>
      <c r="P347" s="1216"/>
      <c r="Q347" s="1216"/>
      <c r="R347" s="1216"/>
      <c r="S347" s="1216"/>
      <c r="T347" s="1216"/>
      <c r="U347" s="1216"/>
      <c r="V347" s="1216"/>
      <c r="W347" s="1216"/>
      <c r="X347" s="99"/>
    </row>
    <row r="348" spans="1:24" s="79" customFormat="1" ht="75.75" customHeight="1">
      <c r="A348" s="1216" t="s">
        <v>2528</v>
      </c>
      <c r="B348" s="1216"/>
      <c r="C348" s="1216"/>
      <c r="D348" s="1216"/>
      <c r="E348" s="1216"/>
      <c r="F348" s="1216"/>
      <c r="G348" s="1216"/>
      <c r="H348" s="1216"/>
      <c r="I348" s="1216"/>
      <c r="J348" s="1216"/>
      <c r="K348" s="1216"/>
      <c r="L348" s="1216"/>
      <c r="M348" s="1216"/>
      <c r="N348" s="1216"/>
      <c r="O348" s="1216"/>
      <c r="P348" s="1216"/>
      <c r="Q348" s="1216"/>
      <c r="R348" s="1216"/>
      <c r="S348" s="1216"/>
      <c r="T348" s="1216"/>
      <c r="U348" s="1216"/>
      <c r="V348" s="1216"/>
      <c r="W348" s="1216"/>
      <c r="X348" s="99"/>
    </row>
    <row r="349" spans="1:24" s="79" customFormat="1" ht="17.25" customHeight="1">
      <c r="A349" s="1216" t="s">
        <v>2798</v>
      </c>
      <c r="B349" s="1216"/>
      <c r="C349" s="1216"/>
      <c r="D349" s="1216"/>
      <c r="E349" s="1216"/>
      <c r="F349" s="1216"/>
      <c r="G349" s="1216"/>
      <c r="H349" s="1216"/>
      <c r="I349" s="1216"/>
      <c r="J349" s="1216"/>
      <c r="K349" s="1216"/>
      <c r="L349" s="1216"/>
      <c r="M349" s="1216"/>
      <c r="N349" s="1216"/>
      <c r="O349" s="1216"/>
      <c r="P349" s="1216"/>
      <c r="Q349" s="1216"/>
      <c r="R349" s="1216"/>
      <c r="S349" s="1216"/>
      <c r="T349" s="1216"/>
      <c r="U349" s="1216"/>
      <c r="V349" s="1216"/>
      <c r="W349" s="1216"/>
      <c r="X349" s="99"/>
    </row>
    <row r="350" spans="1:24" s="79" customFormat="1" ht="49.5" customHeight="1">
      <c r="A350" s="1216" t="s">
        <v>2529</v>
      </c>
      <c r="B350" s="1216"/>
      <c r="C350" s="1216"/>
      <c r="D350" s="1216"/>
      <c r="E350" s="1216"/>
      <c r="F350" s="1216"/>
      <c r="G350" s="1216"/>
      <c r="H350" s="1216"/>
      <c r="I350" s="1216"/>
      <c r="J350" s="1216"/>
      <c r="K350" s="1216"/>
      <c r="L350" s="1216"/>
      <c r="M350" s="1216"/>
      <c r="N350" s="1216"/>
      <c r="O350" s="1216"/>
      <c r="P350" s="1216"/>
      <c r="Q350" s="1216"/>
      <c r="R350" s="1216"/>
      <c r="S350" s="1216"/>
      <c r="T350" s="1216"/>
      <c r="U350" s="1216"/>
      <c r="V350" s="1216"/>
      <c r="W350" s="1216"/>
      <c r="X350" s="99"/>
    </row>
    <row r="351" spans="1:24" s="79" customFormat="1" ht="12.75" customHeight="1">
      <c r="A351" s="1216" t="s">
        <v>2799</v>
      </c>
      <c r="B351" s="1216"/>
      <c r="C351" s="1216"/>
      <c r="D351" s="1216"/>
      <c r="E351" s="1216"/>
      <c r="F351" s="1216"/>
      <c r="G351" s="1216"/>
      <c r="H351" s="1216"/>
      <c r="I351" s="1216"/>
      <c r="J351" s="1216"/>
      <c r="K351" s="1216"/>
      <c r="L351" s="1216"/>
      <c r="M351" s="1216"/>
      <c r="N351" s="1216"/>
      <c r="O351" s="1216"/>
      <c r="P351" s="1216"/>
      <c r="Q351" s="1216"/>
      <c r="R351" s="1216"/>
      <c r="S351" s="1216"/>
      <c r="T351" s="1216"/>
      <c r="U351" s="1216"/>
      <c r="V351" s="1216"/>
      <c r="W351" s="1216"/>
      <c r="X351" s="99"/>
    </row>
    <row r="352" spans="1:24" s="79" customFormat="1" ht="75.75" customHeight="1">
      <c r="A352" s="1216" t="s">
        <v>2530</v>
      </c>
      <c r="B352" s="1216"/>
      <c r="C352" s="1216"/>
      <c r="D352" s="1216"/>
      <c r="E352" s="1216"/>
      <c r="F352" s="1216"/>
      <c r="G352" s="1216"/>
      <c r="H352" s="1216"/>
      <c r="I352" s="1216"/>
      <c r="J352" s="1216"/>
      <c r="K352" s="1216"/>
      <c r="L352" s="1216"/>
      <c r="M352" s="1216"/>
      <c r="N352" s="1216"/>
      <c r="O352" s="1216"/>
      <c r="P352" s="1216"/>
      <c r="Q352" s="1216"/>
      <c r="R352" s="1216"/>
      <c r="S352" s="1216"/>
      <c r="T352" s="1216"/>
      <c r="U352" s="1216"/>
      <c r="V352" s="1216"/>
      <c r="W352" s="1216"/>
      <c r="X352" s="99"/>
    </row>
    <row r="353" spans="1:24" s="79" customFormat="1" ht="12.75" customHeight="1">
      <c r="A353" s="1216" t="s">
        <v>2800</v>
      </c>
      <c r="B353" s="1216"/>
      <c r="C353" s="1216"/>
      <c r="D353" s="1216"/>
      <c r="E353" s="1216"/>
      <c r="F353" s="1216"/>
      <c r="G353" s="1216"/>
      <c r="H353" s="1216"/>
      <c r="I353" s="1216"/>
      <c r="J353" s="1216"/>
      <c r="K353" s="1216"/>
      <c r="L353" s="1216"/>
      <c r="M353" s="1216"/>
      <c r="N353" s="1216"/>
      <c r="O353" s="1216"/>
      <c r="P353" s="1216"/>
      <c r="Q353" s="1216"/>
      <c r="R353" s="1216"/>
      <c r="S353" s="1216"/>
      <c r="T353" s="1216"/>
      <c r="U353" s="1216"/>
      <c r="V353" s="1216"/>
      <c r="W353" s="1216"/>
      <c r="X353" s="99"/>
    </row>
    <row r="354" spans="1:24" s="79" customFormat="1" ht="49.5" customHeight="1">
      <c r="A354" s="1301" t="s">
        <v>2531</v>
      </c>
      <c r="B354" s="1301"/>
      <c r="C354" s="1301"/>
      <c r="D354" s="1301"/>
      <c r="E354" s="1301"/>
      <c r="F354" s="1301"/>
      <c r="G354" s="1301"/>
      <c r="H354" s="1301"/>
      <c r="I354" s="1301"/>
      <c r="J354" s="1301"/>
      <c r="K354" s="1301"/>
      <c r="L354" s="1301"/>
      <c r="M354" s="1301"/>
      <c r="N354" s="1301"/>
      <c r="O354" s="1301"/>
      <c r="P354" s="1301"/>
      <c r="Q354" s="1301"/>
      <c r="R354" s="1301"/>
      <c r="S354" s="1301"/>
      <c r="T354" s="1301"/>
      <c r="U354" s="1301"/>
      <c r="V354" s="1301"/>
      <c r="W354" s="1301"/>
      <c r="X354" s="99"/>
    </row>
    <row r="355" spans="1:24" s="79" customFormat="1" ht="12.75" customHeight="1">
      <c r="A355" s="1216" t="s">
        <v>2801</v>
      </c>
      <c r="B355" s="1216"/>
      <c r="C355" s="1216"/>
      <c r="D355" s="1216"/>
      <c r="E355" s="1216"/>
      <c r="F355" s="1216"/>
      <c r="G355" s="1216"/>
      <c r="H355" s="1216"/>
      <c r="I355" s="1216"/>
      <c r="J355" s="1216"/>
      <c r="K355" s="1216"/>
      <c r="L355" s="1216"/>
      <c r="M355" s="1216"/>
      <c r="N355" s="1216"/>
      <c r="O355" s="1216"/>
      <c r="P355" s="1216"/>
      <c r="Q355" s="1216"/>
      <c r="R355" s="1216"/>
      <c r="S355" s="1216"/>
      <c r="T355" s="1216"/>
      <c r="U355" s="1216"/>
      <c r="V355" s="1216"/>
      <c r="W355" s="1216"/>
      <c r="X355" s="99"/>
    </row>
    <row r="356" spans="1:24" s="79" customFormat="1" ht="47.25" customHeight="1">
      <c r="A356" s="1298" t="s">
        <v>2532</v>
      </c>
      <c r="B356" s="1298"/>
      <c r="C356" s="1298"/>
      <c r="D356" s="1298"/>
      <c r="E356" s="1298"/>
      <c r="F356" s="1298"/>
      <c r="G356" s="1298"/>
      <c r="H356" s="1298"/>
      <c r="I356" s="1298"/>
      <c r="J356" s="1298"/>
      <c r="K356" s="1298"/>
      <c r="L356" s="1298"/>
      <c r="M356" s="1298"/>
      <c r="N356" s="1298"/>
      <c r="O356" s="1298"/>
      <c r="P356" s="1298"/>
      <c r="Q356" s="1298"/>
      <c r="R356" s="1298"/>
      <c r="S356" s="1298"/>
      <c r="T356" s="1298"/>
      <c r="U356" s="1298"/>
      <c r="V356" s="1298"/>
      <c r="W356" s="1298"/>
      <c r="X356" s="99"/>
    </row>
    <row r="357" spans="1:24" s="79" customFormat="1" ht="12.75" customHeight="1">
      <c r="A357" s="1216" t="s">
        <v>2802</v>
      </c>
      <c r="B357" s="1216"/>
      <c r="C357" s="1216"/>
      <c r="D357" s="1216"/>
      <c r="E357" s="1216"/>
      <c r="F357" s="1216"/>
      <c r="G357" s="1216"/>
      <c r="H357" s="1216"/>
      <c r="I357" s="1216"/>
      <c r="J357" s="1216"/>
      <c r="K357" s="1216"/>
      <c r="L357" s="1216"/>
      <c r="M357" s="1216"/>
      <c r="N357" s="1216"/>
      <c r="O357" s="1216"/>
      <c r="P357" s="1216"/>
      <c r="Q357" s="1216"/>
      <c r="R357" s="1216"/>
      <c r="S357" s="1216"/>
      <c r="T357" s="1216"/>
      <c r="U357" s="1216"/>
      <c r="V357" s="1216"/>
      <c r="W357" s="1216"/>
      <c r="X357" s="99"/>
    </row>
    <row r="358" spans="1:24" s="79" customFormat="1" ht="36.75" customHeight="1">
      <c r="A358" s="1216" t="s">
        <v>2533</v>
      </c>
      <c r="B358" s="1216"/>
      <c r="C358" s="1216"/>
      <c r="D358" s="1216"/>
      <c r="E358" s="1216"/>
      <c r="F358" s="1216"/>
      <c r="G358" s="1216"/>
      <c r="H358" s="1216"/>
      <c r="I358" s="1216"/>
      <c r="J358" s="1216"/>
      <c r="K358" s="1216"/>
      <c r="L358" s="1216"/>
      <c r="M358" s="1216"/>
      <c r="N358" s="1216"/>
      <c r="O358" s="1216"/>
      <c r="P358" s="1216"/>
      <c r="Q358" s="1216"/>
      <c r="R358" s="1216"/>
      <c r="S358" s="1216"/>
      <c r="T358" s="1216"/>
      <c r="U358" s="1216"/>
      <c r="V358" s="1216"/>
      <c r="W358" s="1216"/>
      <c r="X358" s="99"/>
    </row>
    <row r="359" spans="1:24" s="79" customFormat="1" ht="27" customHeight="1">
      <c r="A359" s="1408" t="s">
        <v>2803</v>
      </c>
      <c r="B359" s="1408"/>
      <c r="C359" s="1408"/>
      <c r="D359" s="1408"/>
      <c r="E359" s="1408"/>
      <c r="F359" s="1408"/>
      <c r="G359" s="1408"/>
      <c r="H359" s="1408"/>
      <c r="I359" s="1408"/>
      <c r="J359" s="1408"/>
      <c r="K359" s="1408"/>
      <c r="L359" s="1408"/>
      <c r="M359" s="1408"/>
      <c r="N359" s="1408"/>
      <c r="O359" s="1408"/>
      <c r="P359" s="1408"/>
      <c r="Q359" s="1408"/>
      <c r="R359" s="1408"/>
      <c r="S359" s="1408"/>
      <c r="T359" s="1408"/>
      <c r="U359" s="1408"/>
      <c r="V359" s="1408"/>
      <c r="W359" s="1408"/>
      <c r="X359" s="99"/>
    </row>
    <row r="360" spans="1:24" s="79" customFormat="1" ht="25.5" customHeight="1">
      <c r="A360" s="1216" t="s">
        <v>2534</v>
      </c>
      <c r="B360" s="1216"/>
      <c r="C360" s="1216"/>
      <c r="D360" s="1216"/>
      <c r="E360" s="1216"/>
      <c r="F360" s="1216"/>
      <c r="G360" s="1216"/>
      <c r="H360" s="1216"/>
      <c r="I360" s="1216"/>
      <c r="J360" s="1216"/>
      <c r="K360" s="1216"/>
      <c r="L360" s="1216"/>
      <c r="M360" s="1216"/>
      <c r="N360" s="1216"/>
      <c r="O360" s="1216"/>
      <c r="P360" s="1216"/>
      <c r="Q360" s="1216"/>
      <c r="R360" s="1216"/>
      <c r="S360" s="1216"/>
      <c r="T360" s="1216"/>
      <c r="U360" s="1216"/>
      <c r="V360" s="1216"/>
      <c r="W360" s="1216"/>
      <c r="X360" s="99"/>
    </row>
    <row r="361" spans="1:24" s="79" customFormat="1" ht="18" customHeight="1">
      <c r="A361" s="1216" t="s">
        <v>2535</v>
      </c>
      <c r="B361" s="1216"/>
      <c r="C361" s="1216"/>
      <c r="D361" s="1216"/>
      <c r="E361" s="1216"/>
      <c r="F361" s="1216"/>
      <c r="G361" s="1216"/>
      <c r="H361" s="1216"/>
      <c r="I361" s="1216"/>
      <c r="J361" s="1216"/>
      <c r="K361" s="1216"/>
      <c r="L361" s="1216"/>
      <c r="M361" s="1216"/>
      <c r="N361" s="1216"/>
      <c r="O361" s="1216"/>
      <c r="P361" s="1216"/>
      <c r="Q361" s="1216"/>
      <c r="R361" s="1216"/>
      <c r="S361" s="1216"/>
      <c r="T361" s="1216"/>
      <c r="U361" s="1216"/>
      <c r="V361" s="1216"/>
      <c r="W361" s="1216"/>
      <c r="X361" s="99"/>
    </row>
    <row r="362" spans="1:24" s="79" customFormat="1" ht="17.25" customHeight="1">
      <c r="A362" s="1216" t="s">
        <v>2536</v>
      </c>
      <c r="B362" s="1216"/>
      <c r="C362" s="1216"/>
      <c r="D362" s="1216"/>
      <c r="E362" s="1216"/>
      <c r="F362" s="1216"/>
      <c r="G362" s="1216"/>
      <c r="H362" s="1216"/>
      <c r="I362" s="1216"/>
      <c r="J362" s="1216"/>
      <c r="K362" s="1216"/>
      <c r="L362" s="1216"/>
      <c r="M362" s="1216"/>
      <c r="N362" s="1216"/>
      <c r="O362" s="1216"/>
      <c r="P362" s="1216"/>
      <c r="Q362" s="1216"/>
      <c r="R362" s="1216"/>
      <c r="S362" s="1216"/>
      <c r="T362" s="1216"/>
      <c r="U362" s="1216"/>
      <c r="V362" s="1216"/>
      <c r="W362" s="1216"/>
      <c r="X362" s="99"/>
    </row>
    <row r="363" spans="1:24" s="79" customFormat="1" ht="49.5" customHeight="1">
      <c r="A363" s="1216" t="s">
        <v>2804</v>
      </c>
      <c r="B363" s="1216"/>
      <c r="C363" s="1216"/>
      <c r="D363" s="1216"/>
      <c r="E363" s="1216"/>
      <c r="F363" s="1216"/>
      <c r="G363" s="1216"/>
      <c r="H363" s="1216"/>
      <c r="I363" s="1216"/>
      <c r="J363" s="1216"/>
      <c r="K363" s="1216"/>
      <c r="L363" s="1216"/>
      <c r="M363" s="1216"/>
      <c r="N363" s="1216"/>
      <c r="O363" s="1216"/>
      <c r="P363" s="1216"/>
      <c r="Q363" s="1216"/>
      <c r="R363" s="1216"/>
      <c r="S363" s="1216"/>
      <c r="T363" s="1216"/>
      <c r="U363" s="1216"/>
      <c r="V363" s="1216"/>
      <c r="W363" s="1216"/>
      <c r="X363" s="99"/>
    </row>
    <row r="364" spans="1:24" s="79" customFormat="1" ht="12.75" customHeight="1">
      <c r="A364" s="1216" t="s">
        <v>2805</v>
      </c>
      <c r="B364" s="1216"/>
      <c r="C364" s="1216"/>
      <c r="D364" s="1216"/>
      <c r="E364" s="1216"/>
      <c r="F364" s="1216"/>
      <c r="G364" s="1216"/>
      <c r="H364" s="1216"/>
      <c r="I364" s="1216"/>
      <c r="J364" s="1216"/>
      <c r="K364" s="1216"/>
      <c r="L364" s="1216"/>
      <c r="M364" s="1216"/>
      <c r="N364" s="1216"/>
      <c r="O364" s="1216"/>
      <c r="P364" s="1216"/>
      <c r="Q364" s="1216"/>
      <c r="R364" s="1216"/>
      <c r="S364" s="1216"/>
      <c r="T364" s="1216"/>
      <c r="U364" s="1216"/>
      <c r="V364" s="1216"/>
      <c r="W364" s="1216"/>
      <c r="X364" s="99"/>
    </row>
    <row r="365" spans="1:24" s="79" customFormat="1" ht="17.25" customHeight="1">
      <c r="A365" s="1216" t="s">
        <v>2537</v>
      </c>
      <c r="B365" s="1216"/>
      <c r="C365" s="1216"/>
      <c r="D365" s="1216"/>
      <c r="E365" s="1216"/>
      <c r="F365" s="1216"/>
      <c r="G365" s="1216"/>
      <c r="H365" s="1216"/>
      <c r="I365" s="1216"/>
      <c r="J365" s="1216"/>
      <c r="K365" s="1216"/>
      <c r="L365" s="1216"/>
      <c r="M365" s="1216"/>
      <c r="N365" s="1216"/>
      <c r="O365" s="1216"/>
      <c r="P365" s="1216"/>
      <c r="Q365" s="1216"/>
      <c r="R365" s="1216"/>
      <c r="S365" s="1216"/>
      <c r="T365" s="1216"/>
      <c r="U365" s="1216"/>
      <c r="V365" s="1216"/>
      <c r="W365" s="1216"/>
      <c r="X365" s="99"/>
    </row>
    <row r="366" spans="1:24" s="79" customFormat="1" ht="12.75" customHeight="1">
      <c r="A366" s="1216" t="s">
        <v>2538</v>
      </c>
      <c r="B366" s="1216"/>
      <c r="C366" s="1216"/>
      <c r="D366" s="1216"/>
      <c r="E366" s="1216"/>
      <c r="F366" s="1216"/>
      <c r="G366" s="1216"/>
      <c r="H366" s="1216"/>
      <c r="I366" s="1216"/>
      <c r="J366" s="1216"/>
      <c r="K366" s="1216"/>
      <c r="L366" s="1216"/>
      <c r="M366" s="1216"/>
      <c r="N366" s="1216"/>
      <c r="O366" s="1216"/>
      <c r="P366" s="1216"/>
      <c r="Q366" s="1216"/>
      <c r="R366" s="1216"/>
      <c r="S366" s="1216"/>
      <c r="T366" s="1216"/>
      <c r="U366" s="1216"/>
      <c r="V366" s="1216"/>
      <c r="W366" s="1216"/>
      <c r="X366" s="99"/>
    </row>
    <row r="367" spans="1:24" s="79" customFormat="1" ht="120" customHeight="1">
      <c r="A367" s="1298" t="s">
        <v>2806</v>
      </c>
      <c r="B367" s="1298"/>
      <c r="C367" s="1298"/>
      <c r="D367" s="1298"/>
      <c r="E367" s="1298"/>
      <c r="F367" s="1298"/>
      <c r="G367" s="1298"/>
      <c r="H367" s="1298"/>
      <c r="I367" s="1298"/>
      <c r="J367" s="1298"/>
      <c r="K367" s="1298"/>
      <c r="L367" s="1298"/>
      <c r="M367" s="1298"/>
      <c r="N367" s="1298"/>
      <c r="O367" s="1298"/>
      <c r="P367" s="1298"/>
      <c r="Q367" s="1298"/>
      <c r="R367" s="1298"/>
      <c r="S367" s="1298"/>
      <c r="T367" s="1298"/>
      <c r="U367" s="1298"/>
      <c r="V367" s="1298"/>
      <c r="W367" s="1298"/>
      <c r="X367" s="99"/>
    </row>
    <row r="368" spans="1:24" s="79" customFormat="1" ht="57" customHeight="1">
      <c r="A368" s="1216" t="s">
        <v>2807</v>
      </c>
      <c r="B368" s="1216"/>
      <c r="C368" s="1216"/>
      <c r="D368" s="1216"/>
      <c r="E368" s="1216"/>
      <c r="F368" s="1216"/>
      <c r="G368" s="1216"/>
      <c r="H368" s="1216"/>
      <c r="I368" s="1216"/>
      <c r="J368" s="1216"/>
      <c r="K368" s="1216"/>
      <c r="L368" s="1216"/>
      <c r="M368" s="1216"/>
      <c r="N368" s="1216"/>
      <c r="O368" s="1216"/>
      <c r="P368" s="1216"/>
      <c r="Q368" s="1216"/>
      <c r="R368" s="1216"/>
      <c r="S368" s="1216"/>
      <c r="T368" s="1216"/>
      <c r="U368" s="1216"/>
      <c r="V368" s="1216"/>
      <c r="W368" s="1216"/>
      <c r="X368" s="99"/>
    </row>
    <row r="369" spans="1:24" s="79" customFormat="1">
      <c r="A369" s="1216"/>
      <c r="B369" s="1216"/>
      <c r="C369" s="1216"/>
      <c r="D369" s="1216"/>
      <c r="E369" s="1216"/>
      <c r="F369" s="1216"/>
      <c r="G369" s="1216"/>
      <c r="H369" s="1216"/>
      <c r="I369" s="1216"/>
      <c r="J369" s="1216"/>
      <c r="K369" s="1216"/>
      <c r="L369" s="1216"/>
      <c r="M369" s="1216"/>
      <c r="N369" s="1216"/>
      <c r="O369" s="1216"/>
      <c r="P369" s="1216"/>
      <c r="Q369" s="1216"/>
      <c r="R369" s="1216"/>
      <c r="S369" s="1216"/>
      <c r="T369" s="1216"/>
      <c r="U369" s="1216"/>
      <c r="V369" s="1216"/>
      <c r="W369" s="1216"/>
      <c r="X369" s="99"/>
    </row>
    <row r="370" spans="1:24" s="79" customFormat="1">
      <c r="A370" s="1406" t="s">
        <v>2808</v>
      </c>
      <c r="B370" s="1406"/>
      <c r="C370" s="1406"/>
      <c r="D370" s="1406"/>
      <c r="E370" s="1406"/>
      <c r="F370" s="1406"/>
      <c r="G370" s="1406"/>
      <c r="H370" s="1406"/>
      <c r="I370" s="1406"/>
      <c r="J370" s="1406"/>
      <c r="K370" s="1406"/>
      <c r="L370" s="1406"/>
      <c r="M370" s="1406"/>
      <c r="N370" s="1406"/>
      <c r="O370" s="1406"/>
      <c r="P370" s="1406"/>
      <c r="Q370" s="1406"/>
      <c r="R370" s="1406"/>
      <c r="S370" s="1406"/>
      <c r="T370" s="1406"/>
      <c r="U370" s="1406"/>
      <c r="V370" s="1406"/>
      <c r="W370" s="1406"/>
    </row>
    <row r="371" spans="1:24" s="79" customFormat="1"/>
    <row r="372" spans="1:24" s="79" customFormat="1"/>
    <row r="373" spans="1:24" s="79" customFormat="1"/>
    <row r="374" spans="1:24" s="79" customFormat="1"/>
    <row r="375" spans="1:24" s="79" customFormat="1"/>
    <row r="376" spans="1:24" s="79" customFormat="1"/>
    <row r="377" spans="1:24" s="79" customFormat="1"/>
    <row r="378" spans="1:24" s="79" customFormat="1"/>
    <row r="379" spans="1:24" s="79" customFormat="1"/>
    <row r="380" spans="1:24" s="79" customFormat="1"/>
    <row r="381" spans="1:24" s="79" customFormat="1"/>
    <row r="382" spans="1:24" s="79" customFormat="1"/>
    <row r="383" spans="1:24" s="79" customFormat="1"/>
    <row r="384" spans="1:24" s="79" customFormat="1"/>
    <row r="385" s="79" customFormat="1"/>
    <row r="386" s="79" customFormat="1"/>
    <row r="387" s="79" customFormat="1"/>
    <row r="388" s="79" customFormat="1"/>
    <row r="389" s="79" customFormat="1"/>
    <row r="390" s="79" customFormat="1"/>
    <row r="391" s="79" customFormat="1"/>
    <row r="392" s="79" customFormat="1"/>
    <row r="393" s="79" customFormat="1"/>
    <row r="394" s="79" customFormat="1" ht="13.5" customHeight="1"/>
    <row r="395" s="79" customFormat="1"/>
    <row r="396" s="79" customFormat="1"/>
    <row r="397" s="79" customFormat="1"/>
    <row r="398" s="79" customFormat="1"/>
    <row r="399" s="79" customFormat="1"/>
    <row r="400" s="79" customFormat="1"/>
    <row r="401" spans="1:24" s="79" customFormat="1"/>
    <row r="402" spans="1:24" s="79" customFormat="1"/>
    <row r="403" spans="1:24" s="79" customFormat="1"/>
    <row r="404" spans="1:24" s="79" customFormat="1"/>
    <row r="405" spans="1:24" s="79" customFormat="1"/>
    <row r="406" spans="1:24" s="79" customFormat="1"/>
    <row r="407" spans="1:24" s="79" customFormat="1"/>
    <row r="408" spans="1:24" s="79" customFormat="1"/>
    <row r="409" spans="1:24" s="79" customFormat="1"/>
    <row r="410" spans="1:24" s="79" customFormat="1"/>
    <row r="411" spans="1:24" s="79" customFormat="1"/>
    <row r="412" spans="1:24" s="79" customFormat="1"/>
    <row r="413" spans="1:24">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row>
    <row r="414" spans="1:24" ht="18">
      <c r="A414" s="1399" t="s">
        <v>2539</v>
      </c>
      <c r="B414" s="1399"/>
      <c r="C414" s="1399"/>
      <c r="D414" s="1399"/>
      <c r="E414" s="1399"/>
      <c r="F414" s="1399"/>
      <c r="G414" s="1399"/>
      <c r="H414" s="1399"/>
      <c r="I414" s="1399"/>
      <c r="J414" s="1399"/>
      <c r="K414" s="1399"/>
      <c r="L414" s="1399"/>
      <c r="M414" s="1399"/>
      <c r="N414" s="1399"/>
      <c r="O414" s="1399"/>
      <c r="P414" s="1399"/>
      <c r="Q414" s="1399"/>
      <c r="R414" s="1399"/>
      <c r="S414" s="1399"/>
      <c r="T414" s="1399"/>
      <c r="U414" s="1399"/>
      <c r="V414" s="1399"/>
      <c r="W414" s="1399"/>
    </row>
    <row r="415" spans="1:24" ht="18">
      <c r="A415" s="1396" t="s">
        <v>2540</v>
      </c>
      <c r="B415" s="1396"/>
      <c r="C415" s="1396"/>
      <c r="D415" s="1396"/>
      <c r="E415" s="1396"/>
      <c r="F415" s="1396"/>
      <c r="G415" s="1396"/>
      <c r="H415" s="1396"/>
      <c r="I415" s="1396"/>
      <c r="J415" s="1396"/>
      <c r="K415" s="1396"/>
      <c r="L415" s="1396"/>
      <c r="M415" s="1396"/>
      <c r="N415" s="1396"/>
      <c r="O415" s="1396"/>
      <c r="P415" s="1396"/>
      <c r="Q415" s="1396"/>
      <c r="R415" s="1396"/>
      <c r="S415" s="1396"/>
      <c r="T415" s="1396"/>
      <c r="U415" s="1396"/>
      <c r="V415" s="1396"/>
      <c r="W415" s="1396"/>
    </row>
    <row r="416" spans="1:24" ht="29.25" customHeight="1">
      <c r="A416" s="1300" t="s">
        <v>2541</v>
      </c>
      <c r="B416" s="1300"/>
      <c r="C416" s="1300"/>
      <c r="D416" s="1300"/>
      <c r="E416" s="1300"/>
      <c r="F416" s="1300"/>
      <c r="G416" s="1300"/>
      <c r="H416" s="1300"/>
      <c r="I416" s="1300"/>
      <c r="J416" s="1300"/>
      <c r="K416" s="1300"/>
      <c r="L416" s="1300"/>
      <c r="M416" s="1300"/>
      <c r="N416" s="1300"/>
      <c r="O416" s="1300"/>
      <c r="P416" s="1300"/>
      <c r="Q416" s="1300"/>
      <c r="R416" s="1300"/>
      <c r="S416" s="1300"/>
      <c r="T416" s="1300"/>
      <c r="U416" s="1299" t="s">
        <v>3305</v>
      </c>
      <c r="V416" s="1299"/>
      <c r="W416" s="1299"/>
    </row>
    <row r="417" spans="1:23" ht="7.5" customHeight="1"/>
    <row r="418" spans="1:23" s="295" customFormat="1" ht="12.75" customHeight="1">
      <c r="A418" s="1295" t="s">
        <v>678</v>
      </c>
      <c r="B418" s="1296"/>
      <c r="C418" s="1296"/>
      <c r="D418" s="1296"/>
      <c r="E418" s="1296"/>
      <c r="F418" s="1296"/>
      <c r="G418" s="1296"/>
      <c r="H418" s="1296"/>
      <c r="I418" s="1296"/>
      <c r="J418" s="1296"/>
      <c r="K418" s="1296"/>
      <c r="L418" s="1296"/>
      <c r="M418" s="1296"/>
      <c r="N418" s="1296"/>
      <c r="O418" s="1296"/>
      <c r="P418" s="1296"/>
      <c r="Q418" s="1296"/>
      <c r="R418" s="1296"/>
      <c r="S418" s="1296"/>
      <c r="T418" s="1297"/>
      <c r="U418" s="1349"/>
      <c r="V418" s="1360"/>
      <c r="W418" s="1291"/>
    </row>
    <row r="419" spans="1:23" s="295" customFormat="1" ht="54.75" customHeight="1">
      <c r="A419" s="538"/>
      <c r="B419" s="1352" t="s">
        <v>3306</v>
      </c>
      <c r="C419" s="1353"/>
      <c r="D419" s="1353"/>
      <c r="E419" s="1353"/>
      <c r="F419" s="1353"/>
      <c r="G419" s="1353"/>
      <c r="H419" s="1353"/>
      <c r="I419" s="1353"/>
      <c r="J419" s="1353"/>
      <c r="K419" s="1353"/>
      <c r="L419" s="1353"/>
      <c r="M419" s="1353"/>
      <c r="N419" s="1353"/>
      <c r="O419" s="1353"/>
      <c r="P419" s="1353"/>
      <c r="Q419" s="1353"/>
      <c r="R419" s="1353"/>
      <c r="S419" s="1353"/>
      <c r="T419" s="1354"/>
      <c r="U419" s="1351"/>
      <c r="V419" s="1362"/>
      <c r="W419" s="1293"/>
    </row>
    <row r="420" spans="1:23" s="295" customFormat="1" ht="12.75" customHeight="1">
      <c r="A420" s="539"/>
      <c r="B420" s="541"/>
      <c r="C420" s="1288" t="s">
        <v>3343</v>
      </c>
      <c r="D420" s="1289"/>
      <c r="E420" s="1289"/>
      <c r="F420" s="1289"/>
      <c r="G420" s="1289"/>
      <c r="H420" s="1289"/>
      <c r="I420" s="1289"/>
      <c r="J420" s="1289"/>
      <c r="K420" s="1289"/>
      <c r="L420" s="1289"/>
      <c r="M420" s="1289"/>
      <c r="N420" s="1289"/>
      <c r="O420" s="1289"/>
      <c r="P420" s="1289"/>
      <c r="Q420" s="1289"/>
      <c r="R420" s="1289"/>
      <c r="S420" s="1289"/>
      <c r="T420" s="1290"/>
      <c r="U420" s="1284">
        <v>200</v>
      </c>
      <c r="V420" s="1285"/>
      <c r="W420" s="1286"/>
    </row>
    <row r="421" spans="1:23" s="295" customFormat="1" ht="12.75" customHeight="1">
      <c r="A421" s="539"/>
      <c r="B421" s="542"/>
      <c r="C421" s="1288" t="s">
        <v>3344</v>
      </c>
      <c r="D421" s="1289"/>
      <c r="E421" s="1289"/>
      <c r="F421" s="1289"/>
      <c r="G421" s="1289"/>
      <c r="H421" s="1289"/>
      <c r="I421" s="1289"/>
      <c r="J421" s="1289"/>
      <c r="K421" s="1289"/>
      <c r="L421" s="1289"/>
      <c r="M421" s="1289"/>
      <c r="N421" s="1289"/>
      <c r="O421" s="1289"/>
      <c r="P421" s="1289"/>
      <c r="Q421" s="1289"/>
      <c r="R421" s="1289"/>
      <c r="S421" s="1289"/>
      <c r="T421" s="1290"/>
      <c r="U421" s="1284">
        <v>198</v>
      </c>
      <c r="V421" s="1285"/>
      <c r="W421" s="1286"/>
    </row>
    <row r="422" spans="1:23" s="295" customFormat="1" ht="30" customHeight="1">
      <c r="A422" s="539"/>
      <c r="B422" s="542"/>
      <c r="C422" s="1288" t="s">
        <v>3345</v>
      </c>
      <c r="D422" s="1289"/>
      <c r="E422" s="1289"/>
      <c r="F422" s="1289"/>
      <c r="G422" s="1289"/>
      <c r="H422" s="1289"/>
      <c r="I422" s="1289"/>
      <c r="J422" s="1289"/>
      <c r="K422" s="1289"/>
      <c r="L422" s="1289"/>
      <c r="M422" s="1289"/>
      <c r="N422" s="1289"/>
      <c r="O422" s="1289"/>
      <c r="P422" s="1289"/>
      <c r="Q422" s="1289"/>
      <c r="R422" s="1289"/>
      <c r="S422" s="1289"/>
      <c r="T422" s="1290"/>
      <c r="U422" s="1284">
        <v>195</v>
      </c>
      <c r="V422" s="1285"/>
      <c r="W422" s="1286"/>
    </row>
    <row r="423" spans="1:23" s="295" customFormat="1" ht="27.75" customHeight="1">
      <c r="A423" s="539"/>
      <c r="B423" s="542"/>
      <c r="C423" s="1288" t="s">
        <v>3346</v>
      </c>
      <c r="D423" s="1289"/>
      <c r="E423" s="1289"/>
      <c r="F423" s="1289"/>
      <c r="G423" s="1289"/>
      <c r="H423" s="1289"/>
      <c r="I423" s="1289"/>
      <c r="J423" s="1289"/>
      <c r="K423" s="1289"/>
      <c r="L423" s="1289"/>
      <c r="M423" s="1289"/>
      <c r="N423" s="1289"/>
      <c r="O423" s="1289"/>
      <c r="P423" s="1289"/>
      <c r="Q423" s="1289"/>
      <c r="R423" s="1289"/>
      <c r="S423" s="1289"/>
      <c r="T423" s="1290"/>
      <c r="U423" s="1284">
        <v>193</v>
      </c>
      <c r="V423" s="1285"/>
      <c r="W423" s="1286"/>
    </row>
    <row r="424" spans="1:23" s="295" customFormat="1" ht="68.25" customHeight="1">
      <c r="A424" s="539"/>
      <c r="B424" s="542"/>
      <c r="C424" s="1288" t="s">
        <v>3347</v>
      </c>
      <c r="D424" s="1289"/>
      <c r="E424" s="1289"/>
      <c r="F424" s="1289"/>
      <c r="G424" s="1289"/>
      <c r="H424" s="1289"/>
      <c r="I424" s="1289"/>
      <c r="J424" s="1289"/>
      <c r="K424" s="1289"/>
      <c r="L424" s="1289"/>
      <c r="M424" s="1289"/>
      <c r="N424" s="1289"/>
      <c r="O424" s="1289"/>
      <c r="P424" s="1289"/>
      <c r="Q424" s="1289"/>
      <c r="R424" s="1289"/>
      <c r="S424" s="1289"/>
      <c r="T424" s="1290"/>
      <c r="U424" s="1284">
        <v>190</v>
      </c>
      <c r="V424" s="1285"/>
      <c r="W424" s="1286"/>
    </row>
    <row r="425" spans="1:23" s="295" customFormat="1" ht="51" customHeight="1">
      <c r="A425" s="539"/>
      <c r="B425" s="542"/>
      <c r="C425" s="1288" t="s">
        <v>3348</v>
      </c>
      <c r="D425" s="1289"/>
      <c r="E425" s="1289"/>
      <c r="F425" s="1289"/>
      <c r="G425" s="1289"/>
      <c r="H425" s="1289"/>
      <c r="I425" s="1289"/>
      <c r="J425" s="1289"/>
      <c r="K425" s="1289"/>
      <c r="L425" s="1289"/>
      <c r="M425" s="1289"/>
      <c r="N425" s="1289"/>
      <c r="O425" s="1289"/>
      <c r="P425" s="1289"/>
      <c r="Q425" s="1289"/>
      <c r="R425" s="1289"/>
      <c r="S425" s="1289"/>
      <c r="T425" s="1290"/>
      <c r="U425" s="1284">
        <v>185</v>
      </c>
      <c r="V425" s="1285"/>
      <c r="W425" s="1286"/>
    </row>
    <row r="426" spans="1:23" s="295" customFormat="1" ht="91.5" customHeight="1">
      <c r="A426" s="539"/>
      <c r="B426" s="542"/>
      <c r="C426" s="1288" t="s">
        <v>3349</v>
      </c>
      <c r="D426" s="1289"/>
      <c r="E426" s="1289"/>
      <c r="F426" s="1289"/>
      <c r="G426" s="1289"/>
      <c r="H426" s="1289"/>
      <c r="I426" s="1289"/>
      <c r="J426" s="1289"/>
      <c r="K426" s="1289"/>
      <c r="L426" s="1289"/>
      <c r="M426" s="1289"/>
      <c r="N426" s="1289"/>
      <c r="O426" s="1289"/>
      <c r="P426" s="1289"/>
      <c r="Q426" s="1289"/>
      <c r="R426" s="1289"/>
      <c r="S426" s="1289"/>
      <c r="T426" s="1290"/>
      <c r="U426" s="1284">
        <v>180</v>
      </c>
      <c r="V426" s="1285"/>
      <c r="W426" s="1286"/>
    </row>
    <row r="427" spans="1:23" s="295" customFormat="1" ht="97.5" customHeight="1">
      <c r="A427" s="539"/>
      <c r="B427" s="542"/>
      <c r="C427" s="1288" t="s">
        <v>3350</v>
      </c>
      <c r="D427" s="1289"/>
      <c r="E427" s="1289"/>
      <c r="F427" s="1289"/>
      <c r="G427" s="1289"/>
      <c r="H427" s="1289"/>
      <c r="I427" s="1289"/>
      <c r="J427" s="1289"/>
      <c r="K427" s="1289"/>
      <c r="L427" s="1289"/>
      <c r="M427" s="1289"/>
      <c r="N427" s="1289"/>
      <c r="O427" s="1289"/>
      <c r="P427" s="1289"/>
      <c r="Q427" s="1289"/>
      <c r="R427" s="1289"/>
      <c r="S427" s="1289"/>
      <c r="T427" s="1290"/>
      <c r="U427" s="1284">
        <v>170</v>
      </c>
      <c r="V427" s="1285"/>
      <c r="W427" s="1286"/>
    </row>
    <row r="428" spans="1:23" s="295" customFormat="1" ht="29.25" customHeight="1">
      <c r="A428" s="539"/>
      <c r="B428" s="542"/>
      <c r="C428" s="1288" t="s">
        <v>3351</v>
      </c>
      <c r="D428" s="1289"/>
      <c r="E428" s="1289"/>
      <c r="F428" s="1289"/>
      <c r="G428" s="1289"/>
      <c r="H428" s="1289"/>
      <c r="I428" s="1289"/>
      <c r="J428" s="1289"/>
      <c r="K428" s="1289"/>
      <c r="L428" s="1289"/>
      <c r="M428" s="1289"/>
      <c r="N428" s="1289"/>
      <c r="O428" s="1289"/>
      <c r="P428" s="1289"/>
      <c r="Q428" s="1289"/>
      <c r="R428" s="1289"/>
      <c r="S428" s="1289"/>
      <c r="T428" s="1290"/>
      <c r="U428" s="1284">
        <v>165</v>
      </c>
      <c r="V428" s="1285"/>
      <c r="W428" s="1286"/>
    </row>
    <row r="429" spans="1:23" s="295" customFormat="1" ht="79.5" customHeight="1">
      <c r="A429" s="539"/>
      <c r="B429" s="542"/>
      <c r="C429" s="1288" t="s">
        <v>3352</v>
      </c>
      <c r="D429" s="1289"/>
      <c r="E429" s="1289"/>
      <c r="F429" s="1289"/>
      <c r="G429" s="1289"/>
      <c r="H429" s="1289"/>
      <c r="I429" s="1289"/>
      <c r="J429" s="1289"/>
      <c r="K429" s="1289"/>
      <c r="L429" s="1289"/>
      <c r="M429" s="1289"/>
      <c r="N429" s="1289"/>
      <c r="O429" s="1289"/>
      <c r="P429" s="1289"/>
      <c r="Q429" s="1289"/>
      <c r="R429" s="1289"/>
      <c r="S429" s="1289"/>
      <c r="T429" s="1290"/>
      <c r="U429" s="1284">
        <v>145</v>
      </c>
      <c r="V429" s="1285"/>
      <c r="W429" s="1286"/>
    </row>
    <row r="430" spans="1:23" s="295" customFormat="1" ht="54.75" customHeight="1">
      <c r="A430" s="539"/>
      <c r="B430" s="542"/>
      <c r="C430" s="1288" t="s">
        <v>3353</v>
      </c>
      <c r="D430" s="1289"/>
      <c r="E430" s="1289"/>
      <c r="F430" s="1289"/>
      <c r="G430" s="1289"/>
      <c r="H430" s="1289"/>
      <c r="I430" s="1289"/>
      <c r="J430" s="1289"/>
      <c r="K430" s="1289"/>
      <c r="L430" s="1289"/>
      <c r="M430" s="1289"/>
      <c r="N430" s="1289"/>
      <c r="O430" s="1289"/>
      <c r="P430" s="1289"/>
      <c r="Q430" s="1289"/>
      <c r="R430" s="1289"/>
      <c r="S430" s="1289"/>
      <c r="T430" s="1290"/>
      <c r="U430" s="1284"/>
      <c r="V430" s="1285"/>
      <c r="W430" s="1286"/>
    </row>
    <row r="431" spans="1:23" s="295" customFormat="1" ht="12.75" customHeight="1">
      <c r="A431" s="539"/>
      <c r="B431" s="542"/>
      <c r="C431" s="1291"/>
      <c r="D431" s="1288" t="s">
        <v>2542</v>
      </c>
      <c r="E431" s="1289"/>
      <c r="F431" s="1289"/>
      <c r="G431" s="1289"/>
      <c r="H431" s="1289"/>
      <c r="I431" s="1289"/>
      <c r="J431" s="1289"/>
      <c r="K431" s="1289"/>
      <c r="L431" s="1289"/>
      <c r="M431" s="1289"/>
      <c r="N431" s="1289"/>
      <c r="O431" s="1289"/>
      <c r="P431" s="1289"/>
      <c r="Q431" s="1289"/>
      <c r="R431" s="1289"/>
      <c r="S431" s="1289"/>
      <c r="T431" s="1290"/>
      <c r="U431" s="1284">
        <v>165</v>
      </c>
      <c r="V431" s="1285"/>
      <c r="W431" s="1286"/>
    </row>
    <row r="432" spans="1:23" s="295" customFormat="1" ht="12.75" customHeight="1">
      <c r="A432" s="539"/>
      <c r="B432" s="542"/>
      <c r="C432" s="1292"/>
      <c r="D432" s="1288" t="s">
        <v>2543</v>
      </c>
      <c r="E432" s="1289"/>
      <c r="F432" s="1289"/>
      <c r="G432" s="1289"/>
      <c r="H432" s="1289"/>
      <c r="I432" s="1289"/>
      <c r="J432" s="1289"/>
      <c r="K432" s="1289"/>
      <c r="L432" s="1289"/>
      <c r="M432" s="1289"/>
      <c r="N432" s="1289"/>
      <c r="O432" s="1289"/>
      <c r="P432" s="1289"/>
      <c r="Q432" s="1289"/>
      <c r="R432" s="1289"/>
      <c r="S432" s="1289"/>
      <c r="T432" s="1290"/>
      <c r="U432" s="1284">
        <v>163</v>
      </c>
      <c r="V432" s="1285"/>
      <c r="W432" s="1286"/>
    </row>
    <row r="433" spans="1:23" s="295" customFormat="1" ht="12.75" customHeight="1">
      <c r="A433" s="539"/>
      <c r="B433" s="542"/>
      <c r="C433" s="1292"/>
      <c r="D433" s="1288" t="s">
        <v>2544</v>
      </c>
      <c r="E433" s="1289"/>
      <c r="F433" s="1289"/>
      <c r="G433" s="1289"/>
      <c r="H433" s="1289"/>
      <c r="I433" s="1289"/>
      <c r="J433" s="1289"/>
      <c r="K433" s="1289"/>
      <c r="L433" s="1289"/>
      <c r="M433" s="1289"/>
      <c r="N433" s="1289"/>
      <c r="O433" s="1289"/>
      <c r="P433" s="1289"/>
      <c r="Q433" s="1289"/>
      <c r="R433" s="1289"/>
      <c r="S433" s="1289"/>
      <c r="T433" s="1290"/>
      <c r="U433" s="1284">
        <v>160</v>
      </c>
      <c r="V433" s="1285"/>
      <c r="W433" s="1286"/>
    </row>
    <row r="434" spans="1:23" s="295" customFormat="1" ht="12.75" customHeight="1">
      <c r="A434" s="539"/>
      <c r="B434" s="542"/>
      <c r="C434" s="1293"/>
      <c r="D434" s="1288" t="s">
        <v>3354</v>
      </c>
      <c r="E434" s="1289"/>
      <c r="F434" s="1289"/>
      <c r="G434" s="1289"/>
      <c r="H434" s="1289"/>
      <c r="I434" s="1289"/>
      <c r="J434" s="1289"/>
      <c r="K434" s="1289"/>
      <c r="L434" s="1289"/>
      <c r="M434" s="1289"/>
      <c r="N434" s="1289"/>
      <c r="O434" s="1289"/>
      <c r="P434" s="1289"/>
      <c r="Q434" s="1289"/>
      <c r="R434" s="1289"/>
      <c r="S434" s="1289"/>
      <c r="T434" s="1290"/>
      <c r="U434" s="1284">
        <v>155</v>
      </c>
      <c r="V434" s="1285"/>
      <c r="W434" s="1286"/>
    </row>
    <row r="435" spans="1:23" s="295" customFormat="1" ht="30" customHeight="1">
      <c r="A435" s="1300" t="s">
        <v>2541</v>
      </c>
      <c r="B435" s="1300"/>
      <c r="C435" s="1300"/>
      <c r="D435" s="1300"/>
      <c r="E435" s="1300"/>
      <c r="F435" s="1300"/>
      <c r="G435" s="1300"/>
      <c r="H435" s="1300"/>
      <c r="I435" s="1300"/>
      <c r="J435" s="1300"/>
      <c r="K435" s="1300"/>
      <c r="L435" s="1300"/>
      <c r="M435" s="1300"/>
      <c r="N435" s="1300"/>
      <c r="O435" s="1300"/>
      <c r="P435" s="1300"/>
      <c r="Q435" s="1300"/>
      <c r="R435" s="1300"/>
      <c r="S435" s="1300"/>
      <c r="T435" s="1300"/>
      <c r="U435" s="1299" t="s">
        <v>3305</v>
      </c>
      <c r="V435" s="1299"/>
      <c r="W435" s="1299"/>
    </row>
    <row r="436" spans="1:23" s="295" customFormat="1" ht="26.25" customHeight="1">
      <c r="A436" s="539"/>
      <c r="B436" s="542"/>
      <c r="C436" s="1343" t="s">
        <v>3355</v>
      </c>
      <c r="D436" s="1344"/>
      <c r="E436" s="1344"/>
      <c r="F436" s="1344"/>
      <c r="G436" s="1344"/>
      <c r="H436" s="1344"/>
      <c r="I436" s="1344"/>
      <c r="J436" s="1344"/>
      <c r="K436" s="1344"/>
      <c r="L436" s="1344"/>
      <c r="M436" s="1344"/>
      <c r="N436" s="1344"/>
      <c r="O436" s="1344"/>
      <c r="P436" s="1344"/>
      <c r="Q436" s="1344"/>
      <c r="R436" s="1344"/>
      <c r="S436" s="1344"/>
      <c r="T436" s="1345"/>
      <c r="U436" s="1284"/>
      <c r="V436" s="1285"/>
      <c r="W436" s="1286"/>
    </row>
    <row r="437" spans="1:23" s="295" customFormat="1" ht="12.75" customHeight="1">
      <c r="A437" s="539"/>
      <c r="B437" s="542"/>
      <c r="C437" s="1291"/>
      <c r="D437" s="1288" t="s">
        <v>2542</v>
      </c>
      <c r="E437" s="1289"/>
      <c r="F437" s="1289"/>
      <c r="G437" s="1289"/>
      <c r="H437" s="1289"/>
      <c r="I437" s="1289"/>
      <c r="J437" s="1289"/>
      <c r="K437" s="1289"/>
      <c r="L437" s="1289"/>
      <c r="M437" s="1289"/>
      <c r="N437" s="1289"/>
      <c r="O437" s="1289"/>
      <c r="P437" s="1289"/>
      <c r="Q437" s="1289"/>
      <c r="R437" s="1289"/>
      <c r="S437" s="1289"/>
      <c r="T437" s="1290"/>
      <c r="U437" s="1284">
        <v>155</v>
      </c>
      <c r="V437" s="1285"/>
      <c r="W437" s="1286"/>
    </row>
    <row r="438" spans="1:23" s="295" customFormat="1" ht="12.75" customHeight="1">
      <c r="A438" s="539"/>
      <c r="B438" s="542"/>
      <c r="C438" s="1292"/>
      <c r="D438" s="1288" t="s">
        <v>2543</v>
      </c>
      <c r="E438" s="1289"/>
      <c r="F438" s="1289"/>
      <c r="G438" s="1289"/>
      <c r="H438" s="1289"/>
      <c r="I438" s="1289"/>
      <c r="J438" s="1289"/>
      <c r="K438" s="1289"/>
      <c r="L438" s="1289"/>
      <c r="M438" s="1289"/>
      <c r="N438" s="1289"/>
      <c r="O438" s="1289"/>
      <c r="P438" s="1289"/>
      <c r="Q438" s="1289"/>
      <c r="R438" s="1289"/>
      <c r="S438" s="1289"/>
      <c r="T438" s="1290"/>
      <c r="U438" s="1284">
        <v>150</v>
      </c>
      <c r="V438" s="1285"/>
      <c r="W438" s="1286"/>
    </row>
    <row r="439" spans="1:23" s="295" customFormat="1" ht="12.75" customHeight="1">
      <c r="A439" s="539"/>
      <c r="B439" s="542"/>
      <c r="C439" s="1292"/>
      <c r="D439" s="1288" t="s">
        <v>2544</v>
      </c>
      <c r="E439" s="1289"/>
      <c r="F439" s="1289"/>
      <c r="G439" s="1289"/>
      <c r="H439" s="1289"/>
      <c r="I439" s="1289"/>
      <c r="J439" s="1289"/>
      <c r="K439" s="1289"/>
      <c r="L439" s="1289"/>
      <c r="M439" s="1289"/>
      <c r="N439" s="1289"/>
      <c r="O439" s="1289"/>
      <c r="P439" s="1289"/>
      <c r="Q439" s="1289"/>
      <c r="R439" s="1289"/>
      <c r="S439" s="1289"/>
      <c r="T439" s="1290"/>
      <c r="U439" s="1284">
        <v>145</v>
      </c>
      <c r="V439" s="1285"/>
      <c r="W439" s="1286"/>
    </row>
    <row r="440" spans="1:23" s="295" customFormat="1" ht="12.75" customHeight="1">
      <c r="A440" s="539"/>
      <c r="B440" s="542"/>
      <c r="C440" s="1293"/>
      <c r="D440" s="1288" t="s">
        <v>3356</v>
      </c>
      <c r="E440" s="1289"/>
      <c r="F440" s="1289"/>
      <c r="G440" s="1289"/>
      <c r="H440" s="1289"/>
      <c r="I440" s="1289"/>
      <c r="J440" s="1289"/>
      <c r="K440" s="1289"/>
      <c r="L440" s="1289"/>
      <c r="M440" s="1289"/>
      <c r="N440" s="1289"/>
      <c r="O440" s="1289"/>
      <c r="P440" s="1289"/>
      <c r="Q440" s="1289"/>
      <c r="R440" s="1289"/>
      <c r="S440" s="1289"/>
      <c r="T440" s="1290"/>
      <c r="U440" s="1284">
        <v>140</v>
      </c>
      <c r="V440" s="1285"/>
      <c r="W440" s="1286"/>
    </row>
    <row r="441" spans="1:23" s="295" customFormat="1" ht="72.75" customHeight="1">
      <c r="A441" s="539"/>
      <c r="B441" s="542"/>
      <c r="C441" s="1288" t="s">
        <v>3357</v>
      </c>
      <c r="D441" s="1289"/>
      <c r="E441" s="1289"/>
      <c r="F441" s="1289"/>
      <c r="G441" s="1289"/>
      <c r="H441" s="1289"/>
      <c r="I441" s="1289"/>
      <c r="J441" s="1289"/>
      <c r="K441" s="1289"/>
      <c r="L441" s="1289"/>
      <c r="M441" s="1289"/>
      <c r="N441" s="1289"/>
      <c r="O441" s="1289"/>
      <c r="P441" s="1289"/>
      <c r="Q441" s="1289"/>
      <c r="R441" s="1289"/>
      <c r="S441" s="1289"/>
      <c r="T441" s="1290"/>
      <c r="U441" s="1284"/>
      <c r="V441" s="1285"/>
      <c r="W441" s="1286"/>
    </row>
    <row r="442" spans="1:23" s="295" customFormat="1" ht="12.75" customHeight="1">
      <c r="A442" s="539"/>
      <c r="B442" s="542"/>
      <c r="C442" s="1291"/>
      <c r="D442" s="1288" t="s">
        <v>2542</v>
      </c>
      <c r="E442" s="1289"/>
      <c r="F442" s="1289"/>
      <c r="G442" s="1289"/>
      <c r="H442" s="1289"/>
      <c r="I442" s="1289"/>
      <c r="J442" s="1289"/>
      <c r="K442" s="1289"/>
      <c r="L442" s="1289"/>
      <c r="M442" s="1289"/>
      <c r="N442" s="1289"/>
      <c r="O442" s="1289"/>
      <c r="P442" s="1289"/>
      <c r="Q442" s="1289"/>
      <c r="R442" s="1289"/>
      <c r="S442" s="1289"/>
      <c r="T442" s="1290"/>
      <c r="U442" s="1284">
        <v>140</v>
      </c>
      <c r="V442" s="1285"/>
      <c r="W442" s="1286"/>
    </row>
    <row r="443" spans="1:23" s="295" customFormat="1" ht="12.75" customHeight="1">
      <c r="A443" s="539"/>
      <c r="B443" s="542"/>
      <c r="C443" s="1292"/>
      <c r="D443" s="1288" t="s">
        <v>2543</v>
      </c>
      <c r="E443" s="1289"/>
      <c r="F443" s="1289"/>
      <c r="G443" s="1289"/>
      <c r="H443" s="1289"/>
      <c r="I443" s="1289"/>
      <c r="J443" s="1289"/>
      <c r="K443" s="1289"/>
      <c r="L443" s="1289"/>
      <c r="M443" s="1289"/>
      <c r="N443" s="1289"/>
      <c r="O443" s="1289"/>
      <c r="P443" s="1289"/>
      <c r="Q443" s="1289"/>
      <c r="R443" s="1289"/>
      <c r="S443" s="1289"/>
      <c r="T443" s="1290"/>
      <c r="U443" s="1284">
        <v>135</v>
      </c>
      <c r="V443" s="1285"/>
      <c r="W443" s="1286"/>
    </row>
    <row r="444" spans="1:23" s="295" customFormat="1" ht="12.75" customHeight="1">
      <c r="A444" s="539"/>
      <c r="B444" s="542"/>
      <c r="C444" s="1292"/>
      <c r="D444" s="1288" t="s">
        <v>2544</v>
      </c>
      <c r="E444" s="1289"/>
      <c r="F444" s="1289"/>
      <c r="G444" s="1289"/>
      <c r="H444" s="1289"/>
      <c r="I444" s="1289"/>
      <c r="J444" s="1289"/>
      <c r="K444" s="1289"/>
      <c r="L444" s="1289"/>
      <c r="M444" s="1289"/>
      <c r="N444" s="1289"/>
      <c r="O444" s="1289"/>
      <c r="P444" s="1289"/>
      <c r="Q444" s="1289"/>
      <c r="R444" s="1289"/>
      <c r="S444" s="1289"/>
      <c r="T444" s="1290"/>
      <c r="U444" s="1284">
        <v>130</v>
      </c>
      <c r="V444" s="1285"/>
      <c r="W444" s="1286"/>
    </row>
    <row r="445" spans="1:23" s="295" customFormat="1" ht="12.75" customHeight="1">
      <c r="A445" s="539"/>
      <c r="B445" s="542"/>
      <c r="C445" s="1293"/>
      <c r="D445" s="1288" t="s">
        <v>3356</v>
      </c>
      <c r="E445" s="1289"/>
      <c r="F445" s="1289"/>
      <c r="G445" s="1289"/>
      <c r="H445" s="1289"/>
      <c r="I445" s="1289"/>
      <c r="J445" s="1289"/>
      <c r="K445" s="1289"/>
      <c r="L445" s="1289"/>
      <c r="M445" s="1289"/>
      <c r="N445" s="1289"/>
      <c r="O445" s="1289"/>
      <c r="P445" s="1289"/>
      <c r="Q445" s="1289"/>
      <c r="R445" s="1289"/>
      <c r="S445" s="1289"/>
      <c r="T445" s="1290"/>
      <c r="U445" s="1284">
        <v>125</v>
      </c>
      <c r="V445" s="1285"/>
      <c r="W445" s="1286"/>
    </row>
    <row r="446" spans="1:23" s="295" customFormat="1" ht="64.5" customHeight="1">
      <c r="A446" s="539"/>
      <c r="B446" s="542"/>
      <c r="C446" s="1288" t="s">
        <v>3358</v>
      </c>
      <c r="D446" s="1289"/>
      <c r="E446" s="1289"/>
      <c r="F446" s="1289"/>
      <c r="G446" s="1289"/>
      <c r="H446" s="1289"/>
      <c r="I446" s="1289"/>
      <c r="J446" s="1289"/>
      <c r="K446" s="1289"/>
      <c r="L446" s="1289"/>
      <c r="M446" s="1289"/>
      <c r="N446" s="1289"/>
      <c r="O446" s="1289"/>
      <c r="P446" s="1289"/>
      <c r="Q446" s="1289"/>
      <c r="R446" s="1289"/>
      <c r="S446" s="1289"/>
      <c r="T446" s="1290"/>
      <c r="U446" s="1284"/>
      <c r="V446" s="1285"/>
      <c r="W446" s="1286"/>
    </row>
    <row r="447" spans="1:23" s="295" customFormat="1" ht="12.75" customHeight="1">
      <c r="A447" s="539"/>
      <c r="B447" s="542"/>
      <c r="C447" s="308"/>
      <c r="D447" s="1288" t="s">
        <v>2542</v>
      </c>
      <c r="E447" s="1289"/>
      <c r="F447" s="1289"/>
      <c r="G447" s="1289"/>
      <c r="H447" s="1289"/>
      <c r="I447" s="1289"/>
      <c r="J447" s="1289"/>
      <c r="K447" s="1289"/>
      <c r="L447" s="1289"/>
      <c r="M447" s="1289"/>
      <c r="N447" s="1289"/>
      <c r="O447" s="1289"/>
      <c r="P447" s="1289"/>
      <c r="Q447" s="1289"/>
      <c r="R447" s="1289"/>
      <c r="S447" s="1289"/>
      <c r="T447" s="1290"/>
      <c r="U447" s="1284">
        <v>115</v>
      </c>
      <c r="V447" s="1285"/>
      <c r="W447" s="1286"/>
    </row>
    <row r="448" spans="1:23" s="295" customFormat="1" ht="12.75" customHeight="1">
      <c r="A448" s="539"/>
      <c r="B448" s="542"/>
      <c r="C448" s="308"/>
      <c r="D448" s="1288" t="s">
        <v>2543</v>
      </c>
      <c r="E448" s="1289"/>
      <c r="F448" s="1289"/>
      <c r="G448" s="1289"/>
      <c r="H448" s="1289"/>
      <c r="I448" s="1289"/>
      <c r="J448" s="1289"/>
      <c r="K448" s="1289"/>
      <c r="L448" s="1289"/>
      <c r="M448" s="1289"/>
      <c r="N448" s="1289"/>
      <c r="O448" s="1289"/>
      <c r="P448" s="1289"/>
      <c r="Q448" s="1289"/>
      <c r="R448" s="1289"/>
      <c r="S448" s="1289"/>
      <c r="T448" s="1290"/>
      <c r="U448" s="1284">
        <v>110</v>
      </c>
      <c r="V448" s="1285"/>
      <c r="W448" s="1286"/>
    </row>
    <row r="449" spans="1:23" s="295" customFormat="1" ht="12.75" customHeight="1">
      <c r="A449" s="539"/>
      <c r="B449" s="542"/>
      <c r="C449" s="308"/>
      <c r="D449" s="1288" t="s">
        <v>2544</v>
      </c>
      <c r="E449" s="1289"/>
      <c r="F449" s="1289"/>
      <c r="G449" s="1289"/>
      <c r="H449" s="1289"/>
      <c r="I449" s="1289"/>
      <c r="J449" s="1289"/>
      <c r="K449" s="1289"/>
      <c r="L449" s="1289"/>
      <c r="M449" s="1289"/>
      <c r="N449" s="1289"/>
      <c r="O449" s="1289"/>
      <c r="P449" s="1289"/>
      <c r="Q449" s="1289"/>
      <c r="R449" s="1289"/>
      <c r="S449" s="1289"/>
      <c r="T449" s="1290"/>
      <c r="U449" s="1284">
        <v>100</v>
      </c>
      <c r="V449" s="1285"/>
      <c r="W449" s="1286"/>
    </row>
    <row r="450" spans="1:23" s="295" customFormat="1" ht="30" customHeight="1">
      <c r="A450" s="539"/>
      <c r="B450" s="542"/>
      <c r="C450" s="1288" t="s">
        <v>3359</v>
      </c>
      <c r="D450" s="1289"/>
      <c r="E450" s="1289"/>
      <c r="F450" s="1289"/>
      <c r="G450" s="1289"/>
      <c r="H450" s="1289"/>
      <c r="I450" s="1289"/>
      <c r="J450" s="1289"/>
      <c r="K450" s="1289"/>
      <c r="L450" s="1289"/>
      <c r="M450" s="1289"/>
      <c r="N450" s="1289"/>
      <c r="O450" s="1289"/>
      <c r="P450" s="1289"/>
      <c r="Q450" s="1289"/>
      <c r="R450" s="1289"/>
      <c r="S450" s="1289"/>
      <c r="T450" s="1290"/>
      <c r="U450" s="1284"/>
      <c r="V450" s="1285"/>
      <c r="W450" s="1286"/>
    </row>
    <row r="451" spans="1:23" s="295" customFormat="1" ht="12.75" customHeight="1">
      <c r="A451" s="539"/>
      <c r="B451" s="542"/>
      <c r="C451" s="1291"/>
      <c r="D451" s="1366" t="s">
        <v>2542</v>
      </c>
      <c r="E451" s="1367"/>
      <c r="F451" s="1367"/>
      <c r="G451" s="1367"/>
      <c r="H451" s="1367"/>
      <c r="I451" s="1367"/>
      <c r="J451" s="1367"/>
      <c r="K451" s="1367"/>
      <c r="L451" s="1367"/>
      <c r="M451" s="1367"/>
      <c r="N451" s="1367"/>
      <c r="O451" s="1367"/>
      <c r="P451" s="1367"/>
      <c r="Q451" s="1367"/>
      <c r="R451" s="1367"/>
      <c r="S451" s="1367"/>
      <c r="T451" s="1368"/>
      <c r="U451" s="1284">
        <v>115</v>
      </c>
      <c r="V451" s="1285"/>
      <c r="W451" s="1286"/>
    </row>
    <row r="452" spans="1:23" s="295" customFormat="1" ht="12.75" customHeight="1">
      <c r="A452" s="539"/>
      <c r="B452" s="542"/>
      <c r="C452" s="1292"/>
      <c r="D452" s="1366" t="s">
        <v>2543</v>
      </c>
      <c r="E452" s="1367"/>
      <c r="F452" s="1367"/>
      <c r="G452" s="1367"/>
      <c r="H452" s="1367"/>
      <c r="I452" s="1367"/>
      <c r="J452" s="1367"/>
      <c r="K452" s="1367"/>
      <c r="L452" s="1367"/>
      <c r="M452" s="1367"/>
      <c r="N452" s="1367"/>
      <c r="O452" s="1367"/>
      <c r="P452" s="1367"/>
      <c r="Q452" s="1367"/>
      <c r="R452" s="1367"/>
      <c r="S452" s="1367"/>
      <c r="T452" s="1368"/>
      <c r="U452" s="1284">
        <v>105</v>
      </c>
      <c r="V452" s="1285"/>
      <c r="W452" s="1286"/>
    </row>
    <row r="453" spans="1:23" s="295" customFormat="1" ht="12.75" customHeight="1">
      <c r="A453" s="539"/>
      <c r="B453" s="542"/>
      <c r="C453" s="1293"/>
      <c r="D453" s="1366" t="s">
        <v>2544</v>
      </c>
      <c r="E453" s="1367"/>
      <c r="F453" s="1367"/>
      <c r="G453" s="1367"/>
      <c r="H453" s="1367"/>
      <c r="I453" s="1367"/>
      <c r="J453" s="1367"/>
      <c r="K453" s="1367"/>
      <c r="L453" s="1367"/>
      <c r="M453" s="1367"/>
      <c r="N453" s="1367"/>
      <c r="O453" s="1367"/>
      <c r="P453" s="1367"/>
      <c r="Q453" s="1367"/>
      <c r="R453" s="1367"/>
      <c r="S453" s="1367"/>
      <c r="T453" s="1368"/>
      <c r="U453" s="1284">
        <v>95</v>
      </c>
      <c r="V453" s="1285"/>
      <c r="W453" s="1286"/>
    </row>
    <row r="454" spans="1:23" s="295" customFormat="1" ht="12.75" customHeight="1">
      <c r="A454" s="539"/>
      <c r="B454" s="542"/>
      <c r="C454" s="1288" t="s">
        <v>3360</v>
      </c>
      <c r="D454" s="1289"/>
      <c r="E454" s="1289"/>
      <c r="F454" s="1289"/>
      <c r="G454" s="1289"/>
      <c r="H454" s="1289"/>
      <c r="I454" s="1289"/>
      <c r="J454" s="1289"/>
      <c r="K454" s="1289"/>
      <c r="L454" s="1289"/>
      <c r="M454" s="1289"/>
      <c r="N454" s="1289"/>
      <c r="O454" s="1289"/>
      <c r="P454" s="1289"/>
      <c r="Q454" s="1289"/>
      <c r="R454" s="1289"/>
      <c r="S454" s="1289"/>
      <c r="T454" s="1290"/>
      <c r="U454" s="1284"/>
      <c r="V454" s="1285"/>
      <c r="W454" s="1286"/>
    </row>
    <row r="455" spans="1:23" s="295" customFormat="1" ht="12.75" customHeight="1">
      <c r="A455" s="539"/>
      <c r="B455" s="542"/>
      <c r="C455" s="1291"/>
      <c r="D455" s="1288" t="s">
        <v>2542</v>
      </c>
      <c r="E455" s="1289"/>
      <c r="F455" s="1289"/>
      <c r="G455" s="1289"/>
      <c r="H455" s="1289"/>
      <c r="I455" s="1289"/>
      <c r="J455" s="1289"/>
      <c r="K455" s="1289"/>
      <c r="L455" s="1289"/>
      <c r="M455" s="1289"/>
      <c r="N455" s="1289"/>
      <c r="O455" s="1289"/>
      <c r="P455" s="1289"/>
      <c r="Q455" s="1289"/>
      <c r="R455" s="1289"/>
      <c r="S455" s="1289"/>
      <c r="T455" s="1290"/>
      <c r="U455" s="1284">
        <v>110</v>
      </c>
      <c r="V455" s="1285"/>
      <c r="W455" s="1286"/>
    </row>
    <row r="456" spans="1:23" s="295" customFormat="1" ht="12.75" customHeight="1">
      <c r="A456" s="539"/>
      <c r="B456" s="542"/>
      <c r="C456" s="1292"/>
      <c r="D456" s="1288" t="s">
        <v>2543</v>
      </c>
      <c r="E456" s="1289"/>
      <c r="F456" s="1289"/>
      <c r="G456" s="1289"/>
      <c r="H456" s="1289"/>
      <c r="I456" s="1289"/>
      <c r="J456" s="1289"/>
      <c r="K456" s="1289"/>
      <c r="L456" s="1289"/>
      <c r="M456" s="1289"/>
      <c r="N456" s="1289"/>
      <c r="O456" s="1289"/>
      <c r="P456" s="1289"/>
      <c r="Q456" s="1289"/>
      <c r="R456" s="1289"/>
      <c r="S456" s="1289"/>
      <c r="T456" s="1290"/>
      <c r="U456" s="1284">
        <v>100</v>
      </c>
      <c r="V456" s="1285"/>
      <c r="W456" s="1286"/>
    </row>
    <row r="457" spans="1:23" s="295" customFormat="1" ht="12.75" customHeight="1">
      <c r="A457" s="539"/>
      <c r="B457" s="542"/>
      <c r="C457" s="1292"/>
      <c r="D457" s="1288" t="s">
        <v>2545</v>
      </c>
      <c r="E457" s="1289"/>
      <c r="F457" s="1289"/>
      <c r="G457" s="1289"/>
      <c r="H457" s="1289"/>
      <c r="I457" s="1289"/>
      <c r="J457" s="1289"/>
      <c r="K457" s="1289"/>
      <c r="L457" s="1289"/>
      <c r="M457" s="1289"/>
      <c r="N457" s="1289"/>
      <c r="O457" s="1289"/>
      <c r="P457" s="1289"/>
      <c r="Q457" s="1289"/>
      <c r="R457" s="1289"/>
      <c r="S457" s="1289"/>
      <c r="T457" s="1290"/>
      <c r="U457" s="1284">
        <v>90</v>
      </c>
      <c r="V457" s="1285"/>
      <c r="W457" s="1286"/>
    </row>
    <row r="458" spans="1:23" s="295" customFormat="1" ht="12.75" customHeight="1">
      <c r="A458" s="539"/>
      <c r="B458" s="543"/>
      <c r="C458" s="1293"/>
      <c r="D458" s="1288" t="s">
        <v>2546</v>
      </c>
      <c r="E458" s="1289"/>
      <c r="F458" s="1289"/>
      <c r="G458" s="1289"/>
      <c r="H458" s="1289"/>
      <c r="I458" s="1289"/>
      <c r="J458" s="1289"/>
      <c r="K458" s="1289"/>
      <c r="L458" s="1289"/>
      <c r="M458" s="1289"/>
      <c r="N458" s="1289"/>
      <c r="O458" s="1289"/>
      <c r="P458" s="1289"/>
      <c r="Q458" s="1289"/>
      <c r="R458" s="1289"/>
      <c r="S458" s="1289"/>
      <c r="T458" s="1290"/>
      <c r="U458" s="1284">
        <v>85</v>
      </c>
      <c r="V458" s="1285"/>
      <c r="W458" s="1286"/>
    </row>
    <row r="459" spans="1:23" s="295" customFormat="1" ht="12.75" customHeight="1">
      <c r="A459" s="539"/>
      <c r="B459" s="1295" t="s">
        <v>3307</v>
      </c>
      <c r="C459" s="1296"/>
      <c r="D459" s="1296"/>
      <c r="E459" s="1296"/>
      <c r="F459" s="1296"/>
      <c r="G459" s="1296"/>
      <c r="H459" s="1296"/>
      <c r="I459" s="1296"/>
      <c r="J459" s="1296"/>
      <c r="K459" s="1296"/>
      <c r="L459" s="1296"/>
      <c r="M459" s="1296"/>
      <c r="N459" s="1296"/>
      <c r="O459" s="1296"/>
      <c r="P459" s="1296"/>
      <c r="Q459" s="1296"/>
      <c r="R459" s="1296"/>
      <c r="S459" s="1296"/>
      <c r="T459" s="1297"/>
      <c r="U459" s="1284"/>
      <c r="V459" s="1285"/>
      <c r="W459" s="1286"/>
    </row>
    <row r="460" spans="1:23" s="295" customFormat="1" ht="28.5" customHeight="1">
      <c r="A460" s="539"/>
      <c r="B460" s="1349"/>
      <c r="C460" s="1343" t="s">
        <v>3361</v>
      </c>
      <c r="D460" s="1344"/>
      <c r="E460" s="1344"/>
      <c r="F460" s="1344"/>
      <c r="G460" s="1344"/>
      <c r="H460" s="1344"/>
      <c r="I460" s="1344"/>
      <c r="J460" s="1344"/>
      <c r="K460" s="1344"/>
      <c r="L460" s="1344"/>
      <c r="M460" s="1344"/>
      <c r="N460" s="1344"/>
      <c r="O460" s="1344"/>
      <c r="P460" s="1344"/>
      <c r="Q460" s="1344"/>
      <c r="R460" s="1344"/>
      <c r="S460" s="1344"/>
      <c r="T460" s="1345"/>
      <c r="U460" s="1284"/>
      <c r="V460" s="1285"/>
      <c r="W460" s="1286"/>
    </row>
    <row r="461" spans="1:23" s="295" customFormat="1" ht="12.75" customHeight="1">
      <c r="A461" s="539"/>
      <c r="B461" s="1350"/>
      <c r="C461" s="1291"/>
      <c r="D461" s="1288" t="s">
        <v>2542</v>
      </c>
      <c r="E461" s="1289"/>
      <c r="F461" s="1289"/>
      <c r="G461" s="1289"/>
      <c r="H461" s="1289"/>
      <c r="I461" s="1289"/>
      <c r="J461" s="1289"/>
      <c r="K461" s="1289"/>
      <c r="L461" s="1289"/>
      <c r="M461" s="1289"/>
      <c r="N461" s="1289"/>
      <c r="O461" s="1289"/>
      <c r="P461" s="1289"/>
      <c r="Q461" s="1289"/>
      <c r="R461" s="1289"/>
      <c r="S461" s="1289"/>
      <c r="T461" s="1290"/>
      <c r="U461" s="1284">
        <v>150</v>
      </c>
      <c r="V461" s="1285"/>
      <c r="W461" s="1286"/>
    </row>
    <row r="462" spans="1:23" s="295" customFormat="1" ht="12.75" customHeight="1">
      <c r="A462" s="539"/>
      <c r="B462" s="1350"/>
      <c r="C462" s="1292"/>
      <c r="D462" s="1288" t="s">
        <v>2543</v>
      </c>
      <c r="E462" s="1289"/>
      <c r="F462" s="1289"/>
      <c r="G462" s="1289"/>
      <c r="H462" s="1289"/>
      <c r="I462" s="1289"/>
      <c r="J462" s="1289"/>
      <c r="K462" s="1289"/>
      <c r="L462" s="1289"/>
      <c r="M462" s="1289"/>
      <c r="N462" s="1289"/>
      <c r="O462" s="1289"/>
      <c r="P462" s="1289"/>
      <c r="Q462" s="1289"/>
      <c r="R462" s="1289"/>
      <c r="S462" s="1289"/>
      <c r="T462" s="1290"/>
      <c r="U462" s="1284">
        <v>140</v>
      </c>
      <c r="V462" s="1285"/>
      <c r="W462" s="1286"/>
    </row>
    <row r="463" spans="1:23" s="295" customFormat="1" ht="12.75" customHeight="1">
      <c r="A463" s="539"/>
      <c r="B463" s="1350"/>
      <c r="C463" s="1293"/>
      <c r="D463" s="1288" t="s">
        <v>2544</v>
      </c>
      <c r="E463" s="1289"/>
      <c r="F463" s="1289"/>
      <c r="G463" s="1289"/>
      <c r="H463" s="1289"/>
      <c r="I463" s="1289"/>
      <c r="J463" s="1289"/>
      <c r="K463" s="1289"/>
      <c r="L463" s="1289"/>
      <c r="M463" s="1289"/>
      <c r="N463" s="1289"/>
      <c r="O463" s="1289"/>
      <c r="P463" s="1289"/>
      <c r="Q463" s="1289"/>
      <c r="R463" s="1289"/>
      <c r="S463" s="1289"/>
      <c r="T463" s="1290"/>
      <c r="U463" s="1284">
        <v>130</v>
      </c>
      <c r="V463" s="1285"/>
      <c r="W463" s="1286"/>
    </row>
    <row r="464" spans="1:23" s="295" customFormat="1" ht="30.75" customHeight="1">
      <c r="A464" s="539"/>
      <c r="B464" s="533"/>
      <c r="C464" s="1288" t="s">
        <v>3362</v>
      </c>
      <c r="D464" s="1289"/>
      <c r="E464" s="1289"/>
      <c r="F464" s="1289"/>
      <c r="G464" s="1289"/>
      <c r="H464" s="1289"/>
      <c r="I464" s="1289"/>
      <c r="J464" s="1289"/>
      <c r="K464" s="1289"/>
      <c r="L464" s="1289"/>
      <c r="M464" s="1289"/>
      <c r="N464" s="1289"/>
      <c r="O464" s="1289"/>
      <c r="P464" s="1289"/>
      <c r="Q464" s="1289"/>
      <c r="R464" s="1289"/>
      <c r="S464" s="1289"/>
      <c r="T464" s="1290"/>
      <c r="U464" s="1284"/>
      <c r="V464" s="1285"/>
      <c r="W464" s="1286"/>
    </row>
    <row r="465" spans="1:23" s="295" customFormat="1" ht="12.75" customHeight="1">
      <c r="A465" s="539"/>
      <c r="B465" s="1350"/>
      <c r="C465" s="1292"/>
      <c r="D465" s="1288" t="s">
        <v>2542</v>
      </c>
      <c r="E465" s="1289"/>
      <c r="F465" s="1289"/>
      <c r="G465" s="1289"/>
      <c r="H465" s="1289"/>
      <c r="I465" s="1289"/>
      <c r="J465" s="1289"/>
      <c r="K465" s="1289"/>
      <c r="L465" s="1289"/>
      <c r="M465" s="1289"/>
      <c r="N465" s="1289"/>
      <c r="O465" s="1289"/>
      <c r="P465" s="1289"/>
      <c r="Q465" s="1289"/>
      <c r="R465" s="1289"/>
      <c r="S465" s="1289"/>
      <c r="T465" s="1290"/>
      <c r="U465" s="1284">
        <v>120</v>
      </c>
      <c r="V465" s="1285"/>
      <c r="W465" s="1286"/>
    </row>
    <row r="466" spans="1:23" s="295" customFormat="1" ht="12.75" customHeight="1">
      <c r="A466" s="539"/>
      <c r="B466" s="1350"/>
      <c r="C466" s="1292"/>
      <c r="D466" s="1288" t="s">
        <v>2543</v>
      </c>
      <c r="E466" s="1289"/>
      <c r="F466" s="1289"/>
      <c r="G466" s="1289"/>
      <c r="H466" s="1289"/>
      <c r="I466" s="1289"/>
      <c r="J466" s="1289"/>
      <c r="K466" s="1289"/>
      <c r="L466" s="1289"/>
      <c r="M466" s="1289"/>
      <c r="N466" s="1289"/>
      <c r="O466" s="1289"/>
      <c r="P466" s="1289"/>
      <c r="Q466" s="1289"/>
      <c r="R466" s="1289"/>
      <c r="S466" s="1289"/>
      <c r="T466" s="1290"/>
      <c r="U466" s="1284">
        <v>110</v>
      </c>
      <c r="V466" s="1285"/>
      <c r="W466" s="1286"/>
    </row>
    <row r="467" spans="1:23" s="295" customFormat="1" ht="12.75" customHeight="1">
      <c r="A467" s="539"/>
      <c r="B467" s="1350"/>
      <c r="C467" s="1292"/>
      <c r="D467" s="1288" t="s">
        <v>2544</v>
      </c>
      <c r="E467" s="1289"/>
      <c r="F467" s="1289"/>
      <c r="G467" s="1289"/>
      <c r="H467" s="1289"/>
      <c r="I467" s="1289"/>
      <c r="J467" s="1289"/>
      <c r="K467" s="1289"/>
      <c r="L467" s="1289"/>
      <c r="M467" s="1289"/>
      <c r="N467" s="1289"/>
      <c r="O467" s="1289"/>
      <c r="P467" s="1289"/>
      <c r="Q467" s="1289"/>
      <c r="R467" s="1289"/>
      <c r="S467" s="1289"/>
      <c r="T467" s="1290"/>
      <c r="U467" s="1284">
        <v>100</v>
      </c>
      <c r="V467" s="1285"/>
      <c r="W467" s="1286"/>
    </row>
    <row r="468" spans="1:23" s="295" customFormat="1" ht="29.25" customHeight="1">
      <c r="A468" s="539"/>
      <c r="B468" s="1359"/>
      <c r="C468" s="1288" t="s">
        <v>3363</v>
      </c>
      <c r="D468" s="1289"/>
      <c r="E468" s="1289"/>
      <c r="F468" s="1289"/>
      <c r="G468" s="1289"/>
      <c r="H468" s="1289"/>
      <c r="I468" s="1289"/>
      <c r="J468" s="1289"/>
      <c r="K468" s="1289"/>
      <c r="L468" s="1289"/>
      <c r="M468" s="1289"/>
      <c r="N468" s="1289"/>
      <c r="O468" s="1289"/>
      <c r="P468" s="1289"/>
      <c r="Q468" s="1289"/>
      <c r="R468" s="1289"/>
      <c r="S468" s="1289"/>
      <c r="T468" s="1290"/>
      <c r="U468" s="1284"/>
      <c r="V468" s="1285"/>
      <c r="W468" s="1286"/>
    </row>
    <row r="469" spans="1:23" s="295" customFormat="1" ht="12.75" customHeight="1">
      <c r="A469" s="539"/>
      <c r="B469" s="1359"/>
      <c r="C469" s="1358"/>
      <c r="D469" s="1366" t="s">
        <v>2542</v>
      </c>
      <c r="E469" s="1367"/>
      <c r="F469" s="1367"/>
      <c r="G469" s="1367"/>
      <c r="H469" s="1367"/>
      <c r="I469" s="1367"/>
      <c r="J469" s="1367"/>
      <c r="K469" s="1367"/>
      <c r="L469" s="1367"/>
      <c r="M469" s="1367"/>
      <c r="N469" s="1367"/>
      <c r="O469" s="1367"/>
      <c r="P469" s="1367"/>
      <c r="Q469" s="1367"/>
      <c r="R469" s="1367"/>
      <c r="S469" s="1367"/>
      <c r="T469" s="1368"/>
      <c r="U469" s="1284">
        <v>110</v>
      </c>
      <c r="V469" s="1285"/>
      <c r="W469" s="1286"/>
    </row>
    <row r="470" spans="1:23" s="295" customFormat="1" ht="12.75" customHeight="1">
      <c r="A470" s="539"/>
      <c r="B470" s="1359"/>
      <c r="C470" s="1359"/>
      <c r="D470" s="1366" t="s">
        <v>2543</v>
      </c>
      <c r="E470" s="1367"/>
      <c r="F470" s="1367"/>
      <c r="G470" s="1367"/>
      <c r="H470" s="1367"/>
      <c r="I470" s="1367"/>
      <c r="J470" s="1367"/>
      <c r="K470" s="1367"/>
      <c r="L470" s="1367"/>
      <c r="M470" s="1367"/>
      <c r="N470" s="1367"/>
      <c r="O470" s="1367"/>
      <c r="P470" s="1367"/>
      <c r="Q470" s="1367"/>
      <c r="R470" s="1367"/>
      <c r="S470" s="1367"/>
      <c r="T470" s="1368"/>
      <c r="U470" s="1284">
        <v>100</v>
      </c>
      <c r="V470" s="1285"/>
      <c r="W470" s="1286"/>
    </row>
    <row r="471" spans="1:23" s="295" customFormat="1" ht="12.75" customHeight="1">
      <c r="A471" s="539"/>
      <c r="B471" s="1359"/>
      <c r="C471" s="1359"/>
      <c r="D471" s="1366" t="s">
        <v>2545</v>
      </c>
      <c r="E471" s="1367"/>
      <c r="F471" s="1367"/>
      <c r="G471" s="1367"/>
      <c r="H471" s="1367"/>
      <c r="I471" s="1367"/>
      <c r="J471" s="1367"/>
      <c r="K471" s="1367"/>
      <c r="L471" s="1367"/>
      <c r="M471" s="1367"/>
      <c r="N471" s="1367"/>
      <c r="O471" s="1367"/>
      <c r="P471" s="1367"/>
      <c r="Q471" s="1367"/>
      <c r="R471" s="1367"/>
      <c r="S471" s="1367"/>
      <c r="T471" s="1368"/>
      <c r="U471" s="1284">
        <v>90</v>
      </c>
      <c r="V471" s="1285"/>
      <c r="W471" s="1286"/>
    </row>
    <row r="472" spans="1:23" s="295" customFormat="1" ht="12.75" customHeight="1">
      <c r="A472" s="540"/>
      <c r="B472" s="1369"/>
      <c r="C472" s="1369"/>
      <c r="D472" s="1366" t="s">
        <v>2546</v>
      </c>
      <c r="E472" s="1367"/>
      <c r="F472" s="1367"/>
      <c r="G472" s="1367"/>
      <c r="H472" s="1367"/>
      <c r="I472" s="1367"/>
      <c r="J472" s="1367"/>
      <c r="K472" s="1367"/>
      <c r="L472" s="1367"/>
      <c r="M472" s="1367"/>
      <c r="N472" s="1367"/>
      <c r="O472" s="1367"/>
      <c r="P472" s="1367"/>
      <c r="Q472" s="1367"/>
      <c r="R472" s="1367"/>
      <c r="S472" s="1367"/>
      <c r="T472" s="1368"/>
      <c r="U472" s="1284">
        <v>85</v>
      </c>
      <c r="V472" s="1285"/>
      <c r="W472" s="1286"/>
    </row>
    <row r="473" spans="1:23" s="295" customFormat="1" ht="12.75" customHeight="1">
      <c r="A473" s="542"/>
      <c r="B473" s="316"/>
      <c r="C473" s="316"/>
      <c r="D473" s="544"/>
      <c r="E473" s="544"/>
      <c r="F473" s="544"/>
      <c r="G473" s="544"/>
      <c r="H473" s="544"/>
      <c r="I473" s="544"/>
      <c r="J473" s="544"/>
      <c r="K473" s="544"/>
      <c r="L473" s="544"/>
      <c r="M473" s="544"/>
      <c r="N473" s="544"/>
      <c r="O473" s="544"/>
      <c r="P473" s="544"/>
      <c r="Q473" s="544"/>
      <c r="R473" s="544"/>
      <c r="S473" s="544"/>
      <c r="T473" s="544"/>
      <c r="U473" s="418"/>
      <c r="V473" s="418"/>
      <c r="W473" s="418"/>
    </row>
    <row r="474" spans="1:23" s="295" customFormat="1" ht="12.75" customHeight="1">
      <c r="A474" s="542"/>
      <c r="B474" s="316"/>
      <c r="C474" s="316"/>
      <c r="D474" s="544"/>
      <c r="E474" s="544"/>
      <c r="F474" s="544"/>
      <c r="G474" s="544"/>
      <c r="H474" s="544"/>
      <c r="I474" s="544"/>
      <c r="J474" s="544"/>
      <c r="K474" s="544"/>
      <c r="L474" s="544"/>
      <c r="M474" s="544"/>
      <c r="N474" s="544"/>
      <c r="O474" s="544"/>
      <c r="P474" s="544"/>
      <c r="Q474" s="544"/>
      <c r="R474" s="544"/>
      <c r="S474" s="544"/>
      <c r="T474" s="544"/>
      <c r="U474" s="316"/>
      <c r="V474" s="316"/>
      <c r="W474" s="316"/>
    </row>
    <row r="475" spans="1:23" s="295" customFormat="1" ht="12.75" customHeight="1">
      <c r="A475" s="542"/>
      <c r="B475" s="316"/>
      <c r="C475" s="316"/>
      <c r="D475" s="544"/>
      <c r="E475" s="544"/>
      <c r="F475" s="544"/>
      <c r="G475" s="544"/>
      <c r="H475" s="544"/>
      <c r="I475" s="544"/>
      <c r="J475" s="544"/>
      <c r="K475" s="544"/>
      <c r="L475" s="544"/>
      <c r="M475" s="544"/>
      <c r="N475" s="544"/>
      <c r="O475" s="544"/>
      <c r="P475" s="544"/>
      <c r="Q475" s="544"/>
      <c r="R475" s="544"/>
      <c r="S475" s="544"/>
      <c r="T475" s="544"/>
      <c r="U475" s="316"/>
      <c r="V475" s="316"/>
      <c r="W475" s="316"/>
    </row>
    <row r="476" spans="1:23" s="295" customFormat="1" ht="12.75" customHeight="1">
      <c r="A476" s="545"/>
      <c r="B476" s="546"/>
      <c r="C476" s="546"/>
      <c r="D476" s="547"/>
      <c r="E476" s="547"/>
      <c r="F476" s="547"/>
      <c r="G476" s="547"/>
      <c r="H476" s="547"/>
      <c r="I476" s="547"/>
      <c r="J476" s="547"/>
      <c r="K476" s="547"/>
      <c r="L476" s="547"/>
      <c r="M476" s="547"/>
      <c r="N476" s="547"/>
      <c r="O476" s="547"/>
      <c r="P476" s="547"/>
      <c r="Q476" s="547"/>
      <c r="R476" s="547"/>
      <c r="S476" s="547"/>
      <c r="T476" s="547"/>
      <c r="U476" s="546"/>
      <c r="V476" s="546"/>
      <c r="W476" s="546"/>
    </row>
    <row r="477" spans="1:23" s="295" customFormat="1" ht="30" customHeight="1">
      <c r="A477" s="1300" t="s">
        <v>2541</v>
      </c>
      <c r="B477" s="1300"/>
      <c r="C477" s="1300"/>
      <c r="D477" s="1300"/>
      <c r="E477" s="1300"/>
      <c r="F477" s="1300"/>
      <c r="G477" s="1300"/>
      <c r="H477" s="1300"/>
      <c r="I477" s="1300"/>
      <c r="J477" s="1300"/>
      <c r="K477" s="1300"/>
      <c r="L477" s="1300"/>
      <c r="M477" s="1300"/>
      <c r="N477" s="1300"/>
      <c r="O477" s="1300"/>
      <c r="P477" s="1300"/>
      <c r="Q477" s="1300"/>
      <c r="R477" s="1300"/>
      <c r="S477" s="1300"/>
      <c r="T477" s="1300"/>
      <c r="U477" s="1299" t="s">
        <v>3305</v>
      </c>
      <c r="V477" s="1299"/>
      <c r="W477" s="1299"/>
    </row>
    <row r="478" spans="1:23" s="295" customFormat="1" ht="12.75" customHeight="1">
      <c r="A478" s="539"/>
      <c r="B478" s="1295" t="s">
        <v>3342</v>
      </c>
      <c r="C478" s="1296"/>
      <c r="D478" s="1296"/>
      <c r="E478" s="1296"/>
      <c r="F478" s="1296"/>
      <c r="G478" s="1296"/>
      <c r="H478" s="1296"/>
      <c r="I478" s="1296"/>
      <c r="J478" s="1296"/>
      <c r="K478" s="1296"/>
      <c r="L478" s="1296"/>
      <c r="M478" s="1296"/>
      <c r="N478" s="1296"/>
      <c r="O478" s="1296"/>
      <c r="P478" s="1296"/>
      <c r="Q478" s="1296"/>
      <c r="R478" s="1296"/>
      <c r="S478" s="1296"/>
      <c r="T478" s="1297"/>
      <c r="U478" s="1284"/>
      <c r="V478" s="1285"/>
      <c r="W478" s="1286"/>
    </row>
    <row r="479" spans="1:23" s="295" customFormat="1" ht="12.75" customHeight="1">
      <c r="A479" s="539"/>
      <c r="B479" s="1349"/>
      <c r="C479" s="1366" t="s">
        <v>3364</v>
      </c>
      <c r="D479" s="1367"/>
      <c r="E479" s="1367"/>
      <c r="F479" s="1367"/>
      <c r="G479" s="1367"/>
      <c r="H479" s="1367"/>
      <c r="I479" s="1367"/>
      <c r="J479" s="1367"/>
      <c r="K479" s="1367"/>
      <c r="L479" s="1367"/>
      <c r="M479" s="1367"/>
      <c r="N479" s="1367"/>
      <c r="O479" s="1367"/>
      <c r="P479" s="1367"/>
      <c r="Q479" s="1367"/>
      <c r="R479" s="1367"/>
      <c r="S479" s="1367"/>
      <c r="T479" s="1368"/>
      <c r="U479" s="1284"/>
      <c r="V479" s="1285"/>
      <c r="W479" s="1286"/>
    </row>
    <row r="480" spans="1:23" s="295" customFormat="1" ht="12.75" customHeight="1">
      <c r="A480" s="539"/>
      <c r="B480" s="1350"/>
      <c r="C480" s="1291"/>
      <c r="D480" s="1288" t="s">
        <v>2542</v>
      </c>
      <c r="E480" s="1289"/>
      <c r="F480" s="1289"/>
      <c r="G480" s="1289"/>
      <c r="H480" s="1289"/>
      <c r="I480" s="1289"/>
      <c r="J480" s="1289"/>
      <c r="K480" s="1289"/>
      <c r="L480" s="1289"/>
      <c r="M480" s="1289"/>
      <c r="N480" s="1289"/>
      <c r="O480" s="1289"/>
      <c r="P480" s="1289"/>
      <c r="Q480" s="1289"/>
      <c r="R480" s="1289"/>
      <c r="S480" s="1289"/>
      <c r="T480" s="1290"/>
      <c r="U480" s="1284">
        <v>200</v>
      </c>
      <c r="V480" s="1285"/>
      <c r="W480" s="1286"/>
    </row>
    <row r="481" spans="1:23" s="295" customFormat="1" ht="12.75" customHeight="1">
      <c r="A481" s="539"/>
      <c r="B481" s="1350"/>
      <c r="C481" s="1292"/>
      <c r="D481" s="1288" t="s">
        <v>2543</v>
      </c>
      <c r="E481" s="1289"/>
      <c r="F481" s="1289"/>
      <c r="G481" s="1289"/>
      <c r="H481" s="1289"/>
      <c r="I481" s="1289"/>
      <c r="J481" s="1289"/>
      <c r="K481" s="1289"/>
      <c r="L481" s="1289"/>
      <c r="M481" s="1289"/>
      <c r="N481" s="1289"/>
      <c r="O481" s="1289"/>
      <c r="P481" s="1289"/>
      <c r="Q481" s="1289"/>
      <c r="R481" s="1289"/>
      <c r="S481" s="1289"/>
      <c r="T481" s="1290"/>
      <c r="U481" s="1284">
        <v>190</v>
      </c>
      <c r="V481" s="1285"/>
      <c r="W481" s="1286"/>
    </row>
    <row r="482" spans="1:23" s="295" customFormat="1" ht="12.75" customHeight="1">
      <c r="A482" s="539"/>
      <c r="B482" s="1350"/>
      <c r="C482" s="1293"/>
      <c r="D482" s="1288" t="s">
        <v>2544</v>
      </c>
      <c r="E482" s="1289"/>
      <c r="F482" s="1289"/>
      <c r="G482" s="1289"/>
      <c r="H482" s="1289"/>
      <c r="I482" s="1289"/>
      <c r="J482" s="1289"/>
      <c r="K482" s="1289"/>
      <c r="L482" s="1289"/>
      <c r="M482" s="1289"/>
      <c r="N482" s="1289"/>
      <c r="O482" s="1289"/>
      <c r="P482" s="1289"/>
      <c r="Q482" s="1289"/>
      <c r="R482" s="1289"/>
      <c r="S482" s="1289"/>
      <c r="T482" s="1290"/>
      <c r="U482" s="1284">
        <v>180</v>
      </c>
      <c r="V482" s="1285"/>
      <c r="W482" s="1286"/>
    </row>
    <row r="483" spans="1:23" s="295" customFormat="1" ht="27.75" customHeight="1">
      <c r="A483" s="539"/>
      <c r="B483" s="1350"/>
      <c r="C483" s="1288" t="s">
        <v>3365</v>
      </c>
      <c r="D483" s="1289"/>
      <c r="E483" s="1289"/>
      <c r="F483" s="1289"/>
      <c r="G483" s="1289"/>
      <c r="H483" s="1289"/>
      <c r="I483" s="1289"/>
      <c r="J483" s="1289"/>
      <c r="K483" s="1289"/>
      <c r="L483" s="1289"/>
      <c r="M483" s="1289"/>
      <c r="N483" s="1289"/>
      <c r="O483" s="1289"/>
      <c r="P483" s="1289"/>
      <c r="Q483" s="1289"/>
      <c r="R483" s="1289"/>
      <c r="S483" s="1289"/>
      <c r="T483" s="1290"/>
      <c r="U483" s="1284"/>
      <c r="V483" s="1285"/>
      <c r="W483" s="1286"/>
    </row>
    <row r="484" spans="1:23" s="295" customFormat="1" ht="12.75" customHeight="1">
      <c r="A484" s="539"/>
      <c r="B484" s="1350"/>
      <c r="C484" s="1291"/>
      <c r="D484" s="1288" t="s">
        <v>2542</v>
      </c>
      <c r="E484" s="1289"/>
      <c r="F484" s="1289"/>
      <c r="G484" s="1289"/>
      <c r="H484" s="1289"/>
      <c r="I484" s="1289"/>
      <c r="J484" s="1289"/>
      <c r="K484" s="1289"/>
      <c r="L484" s="1289"/>
      <c r="M484" s="1289"/>
      <c r="N484" s="1289"/>
      <c r="O484" s="1289"/>
      <c r="P484" s="1289"/>
      <c r="Q484" s="1289"/>
      <c r="R484" s="1289"/>
      <c r="S484" s="1289"/>
      <c r="T484" s="1290"/>
      <c r="U484" s="1284">
        <v>190</v>
      </c>
      <c r="V484" s="1285"/>
      <c r="W484" s="1286"/>
    </row>
    <row r="485" spans="1:23" s="295" customFormat="1" ht="12.75" customHeight="1">
      <c r="A485" s="539"/>
      <c r="B485" s="1350"/>
      <c r="C485" s="1292"/>
      <c r="D485" s="1288" t="s">
        <v>2543</v>
      </c>
      <c r="E485" s="1289"/>
      <c r="F485" s="1289"/>
      <c r="G485" s="1289"/>
      <c r="H485" s="1289"/>
      <c r="I485" s="1289"/>
      <c r="J485" s="1289"/>
      <c r="K485" s="1289"/>
      <c r="L485" s="1289"/>
      <c r="M485" s="1289"/>
      <c r="N485" s="1289"/>
      <c r="O485" s="1289"/>
      <c r="P485" s="1289"/>
      <c r="Q485" s="1289"/>
      <c r="R485" s="1289"/>
      <c r="S485" s="1289"/>
      <c r="T485" s="1290"/>
      <c r="U485" s="1284">
        <v>180</v>
      </c>
      <c r="V485" s="1285"/>
      <c r="W485" s="1286"/>
    </row>
    <row r="486" spans="1:23" s="295" customFormat="1" ht="12.75" customHeight="1">
      <c r="A486" s="539"/>
      <c r="B486" s="1350"/>
      <c r="C486" s="1293"/>
      <c r="D486" s="1288" t="s">
        <v>2544</v>
      </c>
      <c r="E486" s="1289"/>
      <c r="F486" s="1289"/>
      <c r="G486" s="1289"/>
      <c r="H486" s="1289"/>
      <c r="I486" s="1289"/>
      <c r="J486" s="1289"/>
      <c r="K486" s="1289"/>
      <c r="L486" s="1289"/>
      <c r="M486" s="1289"/>
      <c r="N486" s="1289"/>
      <c r="O486" s="1289"/>
      <c r="P486" s="1289"/>
      <c r="Q486" s="1289"/>
      <c r="R486" s="1289"/>
      <c r="S486" s="1289"/>
      <c r="T486" s="1290"/>
      <c r="U486" s="1284">
        <v>170</v>
      </c>
      <c r="V486" s="1285"/>
      <c r="W486" s="1286"/>
    </row>
    <row r="487" spans="1:23" s="295" customFormat="1" ht="12.75" customHeight="1">
      <c r="A487" s="539"/>
      <c r="B487" s="1350"/>
      <c r="C487" s="1366" t="s">
        <v>3366</v>
      </c>
      <c r="D487" s="1367"/>
      <c r="E487" s="1367"/>
      <c r="F487" s="1367"/>
      <c r="G487" s="1367"/>
      <c r="H487" s="1367"/>
      <c r="I487" s="1367"/>
      <c r="J487" s="1367"/>
      <c r="K487" s="1367"/>
      <c r="L487" s="1367"/>
      <c r="M487" s="1367"/>
      <c r="N487" s="1367"/>
      <c r="O487" s="1367"/>
      <c r="P487" s="1367"/>
      <c r="Q487" s="1367"/>
      <c r="R487" s="1367"/>
      <c r="S487" s="1367"/>
      <c r="T487" s="1368"/>
      <c r="U487" s="1284"/>
      <c r="V487" s="1285"/>
      <c r="W487" s="1286"/>
    </row>
    <row r="488" spans="1:23" s="295" customFormat="1" ht="12.75" customHeight="1">
      <c r="A488" s="539"/>
      <c r="B488" s="1350"/>
      <c r="C488" s="1291"/>
      <c r="D488" s="1288" t="s">
        <v>2542</v>
      </c>
      <c r="E488" s="1289"/>
      <c r="F488" s="1289"/>
      <c r="G488" s="1289"/>
      <c r="H488" s="1289"/>
      <c r="I488" s="1289"/>
      <c r="J488" s="1289"/>
      <c r="K488" s="1289"/>
      <c r="L488" s="1289"/>
      <c r="M488" s="1289"/>
      <c r="N488" s="1289"/>
      <c r="O488" s="1289"/>
      <c r="P488" s="1289"/>
      <c r="Q488" s="1289"/>
      <c r="R488" s="1289"/>
      <c r="S488" s="1289"/>
      <c r="T488" s="1290"/>
      <c r="U488" s="1284">
        <v>185</v>
      </c>
      <c r="V488" s="1285"/>
      <c r="W488" s="1286"/>
    </row>
    <row r="489" spans="1:23" s="295" customFormat="1" ht="12.75" customHeight="1">
      <c r="A489" s="539"/>
      <c r="B489" s="1350"/>
      <c r="C489" s="1292"/>
      <c r="D489" s="1288" t="s">
        <v>2543</v>
      </c>
      <c r="E489" s="1289"/>
      <c r="F489" s="1289"/>
      <c r="G489" s="1289"/>
      <c r="H489" s="1289"/>
      <c r="I489" s="1289"/>
      <c r="J489" s="1289"/>
      <c r="K489" s="1289"/>
      <c r="L489" s="1289"/>
      <c r="M489" s="1289"/>
      <c r="N489" s="1289"/>
      <c r="O489" s="1289"/>
      <c r="P489" s="1289"/>
      <c r="Q489" s="1289"/>
      <c r="R489" s="1289"/>
      <c r="S489" s="1289"/>
      <c r="T489" s="1290"/>
      <c r="U489" s="1284">
        <v>175</v>
      </c>
      <c r="V489" s="1285"/>
      <c r="W489" s="1286"/>
    </row>
    <row r="490" spans="1:23" s="295" customFormat="1" ht="12.75" customHeight="1">
      <c r="A490" s="539"/>
      <c r="B490" s="1350"/>
      <c r="C490" s="1293"/>
      <c r="D490" s="1288" t="s">
        <v>2544</v>
      </c>
      <c r="E490" s="1289"/>
      <c r="F490" s="1289"/>
      <c r="G490" s="1289"/>
      <c r="H490" s="1289"/>
      <c r="I490" s="1289"/>
      <c r="J490" s="1289"/>
      <c r="K490" s="1289"/>
      <c r="L490" s="1289"/>
      <c r="M490" s="1289"/>
      <c r="N490" s="1289"/>
      <c r="O490" s="1289"/>
      <c r="P490" s="1289"/>
      <c r="Q490" s="1289"/>
      <c r="R490" s="1289"/>
      <c r="S490" s="1289"/>
      <c r="T490" s="1290"/>
      <c r="U490" s="1284">
        <v>165</v>
      </c>
      <c r="V490" s="1285"/>
      <c r="W490" s="1286"/>
    </row>
    <row r="491" spans="1:23" s="295" customFormat="1" ht="12.75" customHeight="1">
      <c r="A491" s="539"/>
      <c r="B491" s="1350"/>
      <c r="C491" s="1288" t="s">
        <v>3367</v>
      </c>
      <c r="D491" s="1289"/>
      <c r="E491" s="1289"/>
      <c r="F491" s="1289"/>
      <c r="G491" s="1289"/>
      <c r="H491" s="1289"/>
      <c r="I491" s="1289"/>
      <c r="J491" s="1289"/>
      <c r="K491" s="1289"/>
      <c r="L491" s="1289"/>
      <c r="M491" s="1289"/>
      <c r="N491" s="1289"/>
      <c r="O491" s="1289"/>
      <c r="P491" s="1289"/>
      <c r="Q491" s="1289"/>
      <c r="R491" s="1289"/>
      <c r="S491" s="1289"/>
      <c r="T491" s="1290"/>
      <c r="U491" s="1284"/>
      <c r="V491" s="1285"/>
      <c r="W491" s="1286"/>
    </row>
    <row r="492" spans="1:23" s="295" customFormat="1" ht="12.75" customHeight="1">
      <c r="A492" s="539"/>
      <c r="B492" s="1350"/>
      <c r="C492" s="1291"/>
      <c r="D492" s="1288" t="s">
        <v>2542</v>
      </c>
      <c r="E492" s="1289"/>
      <c r="F492" s="1289"/>
      <c r="G492" s="1289"/>
      <c r="H492" s="1289"/>
      <c r="I492" s="1289"/>
      <c r="J492" s="1289"/>
      <c r="K492" s="1289"/>
      <c r="L492" s="1289"/>
      <c r="M492" s="1289"/>
      <c r="N492" s="1289"/>
      <c r="O492" s="1289"/>
      <c r="P492" s="1289"/>
      <c r="Q492" s="1289"/>
      <c r="R492" s="1289"/>
      <c r="S492" s="1289"/>
      <c r="T492" s="1290"/>
      <c r="U492" s="1284">
        <v>165</v>
      </c>
      <c r="V492" s="1285"/>
      <c r="W492" s="1286"/>
    </row>
    <row r="493" spans="1:23" s="295" customFormat="1" ht="12.75" customHeight="1">
      <c r="A493" s="539"/>
      <c r="B493" s="1350"/>
      <c r="C493" s="1292"/>
      <c r="D493" s="1288" t="s">
        <v>2543</v>
      </c>
      <c r="E493" s="1289"/>
      <c r="F493" s="1289"/>
      <c r="G493" s="1289"/>
      <c r="H493" s="1289"/>
      <c r="I493" s="1289"/>
      <c r="J493" s="1289"/>
      <c r="K493" s="1289"/>
      <c r="L493" s="1289"/>
      <c r="M493" s="1289"/>
      <c r="N493" s="1289"/>
      <c r="O493" s="1289"/>
      <c r="P493" s="1289"/>
      <c r="Q493" s="1289"/>
      <c r="R493" s="1289"/>
      <c r="S493" s="1289"/>
      <c r="T493" s="1290"/>
      <c r="U493" s="1284">
        <v>155</v>
      </c>
      <c r="V493" s="1285"/>
      <c r="W493" s="1286"/>
    </row>
    <row r="494" spans="1:23" s="295" customFormat="1" ht="12.75" customHeight="1">
      <c r="A494" s="539"/>
      <c r="B494" s="1350"/>
      <c r="C494" s="1293"/>
      <c r="D494" s="1288" t="s">
        <v>2544</v>
      </c>
      <c r="E494" s="1289"/>
      <c r="F494" s="1289"/>
      <c r="G494" s="1289"/>
      <c r="H494" s="1289"/>
      <c r="I494" s="1289"/>
      <c r="J494" s="1289"/>
      <c r="K494" s="1289"/>
      <c r="L494" s="1289"/>
      <c r="M494" s="1289"/>
      <c r="N494" s="1289"/>
      <c r="O494" s="1289"/>
      <c r="P494" s="1289"/>
      <c r="Q494" s="1289"/>
      <c r="R494" s="1289"/>
      <c r="S494" s="1289"/>
      <c r="T494" s="1290"/>
      <c r="U494" s="1284">
        <v>145</v>
      </c>
      <c r="V494" s="1285"/>
      <c r="W494" s="1286"/>
    </row>
    <row r="495" spans="1:23" s="295" customFormat="1" ht="12.75" customHeight="1">
      <c r="A495" s="539"/>
      <c r="B495" s="1350"/>
      <c r="C495" s="1343" t="s">
        <v>3368</v>
      </c>
      <c r="D495" s="1344"/>
      <c r="E495" s="1344"/>
      <c r="F495" s="1344"/>
      <c r="G495" s="1344"/>
      <c r="H495" s="1344"/>
      <c r="I495" s="1344"/>
      <c r="J495" s="1344"/>
      <c r="K495" s="1344"/>
      <c r="L495" s="1344"/>
      <c r="M495" s="1344"/>
      <c r="N495" s="1344"/>
      <c r="O495" s="1344"/>
      <c r="P495" s="1344"/>
      <c r="Q495" s="1344"/>
      <c r="R495" s="1344"/>
      <c r="S495" s="1344"/>
      <c r="T495" s="1345"/>
      <c r="U495" s="1284"/>
      <c r="V495" s="1285"/>
      <c r="W495" s="1286"/>
    </row>
    <row r="496" spans="1:23" s="295" customFormat="1" ht="12.75" customHeight="1">
      <c r="A496" s="539"/>
      <c r="B496" s="1350"/>
      <c r="C496" s="1291"/>
      <c r="D496" s="1288" t="s">
        <v>2542</v>
      </c>
      <c r="E496" s="1289"/>
      <c r="F496" s="1289"/>
      <c r="G496" s="1289"/>
      <c r="H496" s="1289"/>
      <c r="I496" s="1289"/>
      <c r="J496" s="1289"/>
      <c r="K496" s="1289"/>
      <c r="L496" s="1289"/>
      <c r="M496" s="1289"/>
      <c r="N496" s="1289"/>
      <c r="O496" s="1289"/>
      <c r="P496" s="1289"/>
      <c r="Q496" s="1289"/>
      <c r="R496" s="1289"/>
      <c r="S496" s="1289"/>
      <c r="T496" s="1290"/>
      <c r="U496" s="1284">
        <v>140</v>
      </c>
      <c r="V496" s="1285"/>
      <c r="W496" s="1286"/>
    </row>
    <row r="497" spans="1:23" s="295" customFormat="1" ht="12.75" customHeight="1">
      <c r="A497" s="539"/>
      <c r="B497" s="1350"/>
      <c r="C497" s="1292"/>
      <c r="D497" s="1288" t="s">
        <v>2543</v>
      </c>
      <c r="E497" s="1289"/>
      <c r="F497" s="1289"/>
      <c r="G497" s="1289"/>
      <c r="H497" s="1289"/>
      <c r="I497" s="1289"/>
      <c r="J497" s="1289"/>
      <c r="K497" s="1289"/>
      <c r="L497" s="1289"/>
      <c r="M497" s="1289"/>
      <c r="N497" s="1289"/>
      <c r="O497" s="1289"/>
      <c r="P497" s="1289"/>
      <c r="Q497" s="1289"/>
      <c r="R497" s="1289"/>
      <c r="S497" s="1289"/>
      <c r="T497" s="1290"/>
      <c r="U497" s="1284">
        <v>130</v>
      </c>
      <c r="V497" s="1285"/>
      <c r="W497" s="1286"/>
    </row>
    <row r="498" spans="1:23" s="295" customFormat="1" ht="12.75" customHeight="1">
      <c r="A498" s="539"/>
      <c r="B498" s="1350"/>
      <c r="C498" s="1293"/>
      <c r="D498" s="1288" t="s">
        <v>2544</v>
      </c>
      <c r="E498" s="1289"/>
      <c r="F498" s="1289"/>
      <c r="G498" s="1289"/>
      <c r="H498" s="1289"/>
      <c r="I498" s="1289"/>
      <c r="J498" s="1289"/>
      <c r="K498" s="1289"/>
      <c r="L498" s="1289"/>
      <c r="M498" s="1289"/>
      <c r="N498" s="1289"/>
      <c r="O498" s="1289"/>
      <c r="P498" s="1289"/>
      <c r="Q498" s="1289"/>
      <c r="R498" s="1289"/>
      <c r="S498" s="1289"/>
      <c r="T498" s="1290"/>
      <c r="U498" s="1284">
        <v>120</v>
      </c>
      <c r="V498" s="1285"/>
      <c r="W498" s="1286"/>
    </row>
    <row r="499" spans="1:23" s="295" customFormat="1" ht="27" customHeight="1">
      <c r="A499" s="539"/>
      <c r="B499" s="1350"/>
      <c r="C499" s="1288" t="s">
        <v>3369</v>
      </c>
      <c r="D499" s="1289"/>
      <c r="E499" s="1289"/>
      <c r="F499" s="1289"/>
      <c r="G499" s="1289"/>
      <c r="H499" s="1289"/>
      <c r="I499" s="1289"/>
      <c r="J499" s="1289"/>
      <c r="K499" s="1289"/>
      <c r="L499" s="1289"/>
      <c r="M499" s="1289"/>
      <c r="N499" s="1289"/>
      <c r="O499" s="1289"/>
      <c r="P499" s="1289"/>
      <c r="Q499" s="1289"/>
      <c r="R499" s="1289"/>
      <c r="S499" s="1289"/>
      <c r="T499" s="1290"/>
      <c r="U499" s="1284"/>
      <c r="V499" s="1285"/>
      <c r="W499" s="1286"/>
    </row>
    <row r="500" spans="1:23" s="295" customFormat="1" ht="12.75" customHeight="1">
      <c r="A500" s="539"/>
      <c r="B500" s="1350"/>
      <c r="C500" s="1291"/>
      <c r="D500" s="1288" t="s">
        <v>2542</v>
      </c>
      <c r="E500" s="1289"/>
      <c r="F500" s="1289"/>
      <c r="G500" s="1289"/>
      <c r="H500" s="1289"/>
      <c r="I500" s="1289"/>
      <c r="J500" s="1289"/>
      <c r="K500" s="1289"/>
      <c r="L500" s="1289"/>
      <c r="M500" s="1289"/>
      <c r="N500" s="1289"/>
      <c r="O500" s="1289"/>
      <c r="P500" s="1289"/>
      <c r="Q500" s="1289"/>
      <c r="R500" s="1289"/>
      <c r="S500" s="1289"/>
      <c r="T500" s="1290"/>
      <c r="U500" s="1284">
        <v>115</v>
      </c>
      <c r="V500" s="1285"/>
      <c r="W500" s="1286"/>
    </row>
    <row r="501" spans="1:23" s="295" customFormat="1" ht="12.75" customHeight="1">
      <c r="A501" s="539"/>
      <c r="B501" s="1350"/>
      <c r="C501" s="1292"/>
      <c r="D501" s="1343" t="s">
        <v>2543</v>
      </c>
      <c r="E501" s="1344"/>
      <c r="F501" s="1344"/>
      <c r="G501" s="1344"/>
      <c r="H501" s="1344"/>
      <c r="I501" s="1344"/>
      <c r="J501" s="1344"/>
      <c r="K501" s="1344"/>
      <c r="L501" s="1344"/>
      <c r="M501" s="1344"/>
      <c r="N501" s="1344"/>
      <c r="O501" s="1344"/>
      <c r="P501" s="1344"/>
      <c r="Q501" s="1344"/>
      <c r="R501" s="1344"/>
      <c r="S501" s="1344"/>
      <c r="T501" s="1345"/>
      <c r="U501" s="1284">
        <v>105</v>
      </c>
      <c r="V501" s="1285"/>
      <c r="W501" s="1286"/>
    </row>
    <row r="502" spans="1:23" s="295" customFormat="1" ht="12.75" customHeight="1">
      <c r="A502" s="539"/>
      <c r="B502" s="1350"/>
      <c r="C502" s="1292"/>
      <c r="D502" s="1343" t="s">
        <v>2545</v>
      </c>
      <c r="E502" s="1344"/>
      <c r="F502" s="1344"/>
      <c r="G502" s="1344"/>
      <c r="H502" s="1344"/>
      <c r="I502" s="1344"/>
      <c r="J502" s="1344"/>
      <c r="K502" s="1344"/>
      <c r="L502" s="1344"/>
      <c r="M502" s="1344"/>
      <c r="N502" s="1344"/>
      <c r="O502" s="1344"/>
      <c r="P502" s="1344"/>
      <c r="Q502" s="1344"/>
      <c r="R502" s="1344"/>
      <c r="S502" s="1344"/>
      <c r="T502" s="1345"/>
      <c r="U502" s="1284">
        <v>95</v>
      </c>
      <c r="V502" s="1285"/>
      <c r="W502" s="1286"/>
    </row>
    <row r="503" spans="1:23" s="295" customFormat="1" ht="12.75" customHeight="1">
      <c r="A503" s="539"/>
      <c r="B503" s="1351"/>
      <c r="C503" s="1293"/>
      <c r="D503" s="1343" t="s">
        <v>2546</v>
      </c>
      <c r="E503" s="1344"/>
      <c r="F503" s="1344"/>
      <c r="G503" s="1344"/>
      <c r="H503" s="1344"/>
      <c r="I503" s="1344"/>
      <c r="J503" s="1344"/>
      <c r="K503" s="1344"/>
      <c r="L503" s="1344"/>
      <c r="M503" s="1344"/>
      <c r="N503" s="1344"/>
      <c r="O503" s="1344"/>
      <c r="P503" s="1344"/>
      <c r="Q503" s="1344"/>
      <c r="R503" s="1344"/>
      <c r="S503" s="1344"/>
      <c r="T503" s="1345"/>
      <c r="U503" s="1284">
        <v>90</v>
      </c>
      <c r="V503" s="1285"/>
      <c r="W503" s="1286"/>
    </row>
    <row r="504" spans="1:23" s="295" customFormat="1" ht="12.75" customHeight="1">
      <c r="A504" s="539"/>
      <c r="B504" s="1295" t="s">
        <v>3370</v>
      </c>
      <c r="C504" s="1296"/>
      <c r="D504" s="1296"/>
      <c r="E504" s="1296"/>
      <c r="F504" s="1296"/>
      <c r="G504" s="1296"/>
      <c r="H504" s="1296"/>
      <c r="I504" s="1296"/>
      <c r="J504" s="1296"/>
      <c r="K504" s="1296"/>
      <c r="L504" s="1296"/>
      <c r="M504" s="1296"/>
      <c r="N504" s="1296"/>
      <c r="O504" s="1296"/>
      <c r="P504" s="1296"/>
      <c r="Q504" s="1296"/>
      <c r="R504" s="1296"/>
      <c r="S504" s="1296"/>
      <c r="T504" s="1297"/>
      <c r="U504" s="1284"/>
      <c r="V504" s="1285"/>
      <c r="W504" s="1286"/>
    </row>
    <row r="505" spans="1:23" s="295" customFormat="1" ht="12.75" customHeight="1">
      <c r="A505" s="539"/>
      <c r="B505" s="1349"/>
      <c r="C505" s="1343" t="s">
        <v>2547</v>
      </c>
      <c r="D505" s="1344"/>
      <c r="E505" s="1344"/>
      <c r="F505" s="1344"/>
      <c r="G505" s="1344"/>
      <c r="H505" s="1344"/>
      <c r="I505" s="1344"/>
      <c r="J505" s="1344"/>
      <c r="K505" s="1344"/>
      <c r="L505" s="1344"/>
      <c r="M505" s="1344"/>
      <c r="N505" s="1344"/>
      <c r="O505" s="1344"/>
      <c r="P505" s="1344"/>
      <c r="Q505" s="1344"/>
      <c r="R505" s="1344"/>
      <c r="S505" s="1344"/>
      <c r="T505" s="1345"/>
      <c r="U505" s="1284"/>
      <c r="V505" s="1285"/>
      <c r="W505" s="1286"/>
    </row>
    <row r="506" spans="1:23" s="295" customFormat="1" ht="12.75" customHeight="1">
      <c r="A506" s="539"/>
      <c r="B506" s="1350"/>
      <c r="C506" s="1291"/>
      <c r="D506" s="1343" t="s">
        <v>2542</v>
      </c>
      <c r="E506" s="1344"/>
      <c r="F506" s="1344"/>
      <c r="G506" s="1344"/>
      <c r="H506" s="1344"/>
      <c r="I506" s="1344"/>
      <c r="J506" s="1344"/>
      <c r="K506" s="1344"/>
      <c r="L506" s="1344"/>
      <c r="M506" s="1344"/>
      <c r="N506" s="1344"/>
      <c r="O506" s="1344"/>
      <c r="P506" s="1344"/>
      <c r="Q506" s="1344"/>
      <c r="R506" s="1344"/>
      <c r="S506" s="1344"/>
      <c r="T506" s="1345"/>
      <c r="U506" s="1284">
        <v>65</v>
      </c>
      <c r="V506" s="1285"/>
      <c r="W506" s="1286"/>
    </row>
    <row r="507" spans="1:23" s="295" customFormat="1" ht="12.75" customHeight="1">
      <c r="A507" s="539"/>
      <c r="B507" s="1350"/>
      <c r="C507" s="1292"/>
      <c r="D507" s="1343" t="s">
        <v>2543</v>
      </c>
      <c r="E507" s="1344"/>
      <c r="F507" s="1344"/>
      <c r="G507" s="1344"/>
      <c r="H507" s="1344"/>
      <c r="I507" s="1344"/>
      <c r="J507" s="1344"/>
      <c r="K507" s="1344"/>
      <c r="L507" s="1344"/>
      <c r="M507" s="1344"/>
      <c r="N507" s="1344"/>
      <c r="O507" s="1344"/>
      <c r="P507" s="1344"/>
      <c r="Q507" s="1344"/>
      <c r="R507" s="1344"/>
      <c r="S507" s="1344"/>
      <c r="T507" s="1345"/>
      <c r="U507" s="1284">
        <v>65</v>
      </c>
      <c r="V507" s="1285"/>
      <c r="W507" s="1286"/>
    </row>
    <row r="508" spans="1:23" s="295" customFormat="1" ht="12.75" customHeight="1">
      <c r="A508" s="539"/>
      <c r="B508" s="1351"/>
      <c r="C508" s="1293"/>
      <c r="D508" s="1343" t="s">
        <v>2544</v>
      </c>
      <c r="E508" s="1344"/>
      <c r="F508" s="1344"/>
      <c r="G508" s="1344"/>
      <c r="H508" s="1344"/>
      <c r="I508" s="1344"/>
      <c r="J508" s="1344"/>
      <c r="K508" s="1344"/>
      <c r="L508" s="1344"/>
      <c r="M508" s="1344"/>
      <c r="N508" s="1344"/>
      <c r="O508" s="1344"/>
      <c r="P508" s="1344"/>
      <c r="Q508" s="1344"/>
      <c r="R508" s="1344"/>
      <c r="S508" s="1344"/>
      <c r="T508" s="1345"/>
      <c r="U508" s="1284">
        <v>65</v>
      </c>
      <c r="V508" s="1285"/>
      <c r="W508" s="1286"/>
    </row>
    <row r="509" spans="1:23" s="295" customFormat="1" ht="12.75" customHeight="1">
      <c r="A509" s="539"/>
      <c r="B509" s="1295" t="s">
        <v>3371</v>
      </c>
      <c r="C509" s="1296"/>
      <c r="D509" s="1296"/>
      <c r="E509" s="1296"/>
      <c r="F509" s="1296"/>
      <c r="G509" s="1296"/>
      <c r="H509" s="1296"/>
      <c r="I509" s="1296"/>
      <c r="J509" s="1296"/>
      <c r="K509" s="1296"/>
      <c r="L509" s="1296"/>
      <c r="M509" s="1296"/>
      <c r="N509" s="1296"/>
      <c r="O509" s="1296"/>
      <c r="P509" s="1296"/>
      <c r="Q509" s="1296"/>
      <c r="R509" s="1296"/>
      <c r="S509" s="1296"/>
      <c r="T509" s="1297"/>
      <c r="U509" s="1284"/>
      <c r="V509" s="1285"/>
      <c r="W509" s="1286"/>
    </row>
    <row r="510" spans="1:23" s="295" customFormat="1" ht="12.75" customHeight="1">
      <c r="A510" s="539"/>
      <c r="B510" s="1349"/>
      <c r="C510" s="1343" t="s">
        <v>2548</v>
      </c>
      <c r="D510" s="1344"/>
      <c r="E510" s="1344"/>
      <c r="F510" s="1344"/>
      <c r="G510" s="1344"/>
      <c r="H510" s="1344"/>
      <c r="I510" s="1344"/>
      <c r="J510" s="1344"/>
      <c r="K510" s="1344"/>
      <c r="L510" s="1344"/>
      <c r="M510" s="1344"/>
      <c r="N510" s="1344"/>
      <c r="O510" s="1344"/>
      <c r="P510" s="1344"/>
      <c r="Q510" s="1344"/>
      <c r="R510" s="1344"/>
      <c r="S510" s="1344"/>
      <c r="T510" s="1345"/>
      <c r="U510" s="1284"/>
      <c r="V510" s="1285"/>
      <c r="W510" s="1286"/>
    </row>
    <row r="511" spans="1:23" s="295" customFormat="1" ht="12.75" customHeight="1">
      <c r="A511" s="539"/>
      <c r="B511" s="1350"/>
      <c r="C511" s="1291"/>
      <c r="D511" s="1343" t="s">
        <v>2542</v>
      </c>
      <c r="E511" s="1344"/>
      <c r="F511" s="1344"/>
      <c r="G511" s="1344"/>
      <c r="H511" s="1344"/>
      <c r="I511" s="1344"/>
      <c r="J511" s="1344"/>
      <c r="K511" s="1344"/>
      <c r="L511" s="1344"/>
      <c r="M511" s="1344"/>
      <c r="N511" s="1344"/>
      <c r="O511" s="1344"/>
      <c r="P511" s="1344"/>
      <c r="Q511" s="1344"/>
      <c r="R511" s="1344"/>
      <c r="S511" s="1344"/>
      <c r="T511" s="1345"/>
      <c r="U511" s="1284">
        <v>150</v>
      </c>
      <c r="V511" s="1285"/>
      <c r="W511" s="1286"/>
    </row>
    <row r="512" spans="1:23" s="295" customFormat="1" ht="12.75" customHeight="1">
      <c r="A512" s="539"/>
      <c r="B512" s="1350"/>
      <c r="C512" s="1292"/>
      <c r="D512" s="1343" t="s">
        <v>2543</v>
      </c>
      <c r="E512" s="1344"/>
      <c r="F512" s="1344"/>
      <c r="G512" s="1344"/>
      <c r="H512" s="1344"/>
      <c r="I512" s="1344"/>
      <c r="J512" s="1344"/>
      <c r="K512" s="1344"/>
      <c r="L512" s="1344"/>
      <c r="M512" s="1344"/>
      <c r="N512" s="1344"/>
      <c r="O512" s="1344"/>
      <c r="P512" s="1344"/>
      <c r="Q512" s="1344"/>
      <c r="R512" s="1344"/>
      <c r="S512" s="1344"/>
      <c r="T512" s="1345"/>
      <c r="U512" s="1284">
        <v>140</v>
      </c>
      <c r="V512" s="1285"/>
      <c r="W512" s="1286"/>
    </row>
    <row r="513" spans="1:23" s="295" customFormat="1" ht="12.75" customHeight="1">
      <c r="A513" s="539"/>
      <c r="B513" s="1351"/>
      <c r="C513" s="1293"/>
      <c r="D513" s="1343" t="s">
        <v>2544</v>
      </c>
      <c r="E513" s="1344"/>
      <c r="F513" s="1344"/>
      <c r="G513" s="1344"/>
      <c r="H513" s="1344"/>
      <c r="I513" s="1344"/>
      <c r="J513" s="1344"/>
      <c r="K513" s="1344"/>
      <c r="L513" s="1344"/>
      <c r="M513" s="1344"/>
      <c r="N513" s="1344"/>
      <c r="O513" s="1344"/>
      <c r="P513" s="1344"/>
      <c r="Q513" s="1344"/>
      <c r="R513" s="1344"/>
      <c r="S513" s="1344"/>
      <c r="T513" s="1345"/>
      <c r="U513" s="1284">
        <v>130</v>
      </c>
      <c r="V513" s="1285"/>
      <c r="W513" s="1286"/>
    </row>
    <row r="514" spans="1:23" s="295" customFormat="1" ht="12.75" customHeight="1">
      <c r="A514" s="539"/>
      <c r="B514" s="1295" t="s">
        <v>3372</v>
      </c>
      <c r="C514" s="1296"/>
      <c r="D514" s="1296"/>
      <c r="E514" s="1296"/>
      <c r="F514" s="1296"/>
      <c r="G514" s="1296"/>
      <c r="H514" s="1296"/>
      <c r="I514" s="1296"/>
      <c r="J514" s="1296"/>
      <c r="K514" s="1296"/>
      <c r="L514" s="1296"/>
      <c r="M514" s="1296"/>
      <c r="N514" s="1296"/>
      <c r="O514" s="1296"/>
      <c r="P514" s="1296"/>
      <c r="Q514" s="1296"/>
      <c r="R514" s="1296"/>
      <c r="S514" s="1296"/>
      <c r="T514" s="1297"/>
      <c r="U514" s="1284"/>
      <c r="V514" s="1285"/>
      <c r="W514" s="1286"/>
    </row>
    <row r="515" spans="1:23" s="295" customFormat="1" ht="12.75" customHeight="1">
      <c r="A515" s="539"/>
      <c r="B515" s="1349"/>
      <c r="C515" s="1343" t="s">
        <v>2549</v>
      </c>
      <c r="D515" s="1344"/>
      <c r="E515" s="1344"/>
      <c r="F515" s="1344"/>
      <c r="G515" s="1344"/>
      <c r="H515" s="1344"/>
      <c r="I515" s="1344"/>
      <c r="J515" s="1344"/>
      <c r="K515" s="1344"/>
      <c r="L515" s="1344"/>
      <c r="M515" s="1344"/>
      <c r="N515" s="1344"/>
      <c r="O515" s="1344"/>
      <c r="P515" s="1344"/>
      <c r="Q515" s="1344"/>
      <c r="R515" s="1344"/>
      <c r="S515" s="1344"/>
      <c r="T515" s="1345"/>
      <c r="U515" s="1284"/>
      <c r="V515" s="1285"/>
      <c r="W515" s="1286"/>
    </row>
    <row r="516" spans="1:23" s="295" customFormat="1" ht="12.75" customHeight="1">
      <c r="A516" s="539"/>
      <c r="B516" s="1350"/>
      <c r="C516" s="1291"/>
      <c r="D516" s="1343" t="s">
        <v>2542</v>
      </c>
      <c r="E516" s="1344"/>
      <c r="F516" s="1344"/>
      <c r="G516" s="1344"/>
      <c r="H516" s="1344"/>
      <c r="I516" s="1344"/>
      <c r="J516" s="1344"/>
      <c r="K516" s="1344"/>
      <c r="L516" s="1344"/>
      <c r="M516" s="1344"/>
      <c r="N516" s="1344"/>
      <c r="O516" s="1344"/>
      <c r="P516" s="1344"/>
      <c r="Q516" s="1344"/>
      <c r="R516" s="1344"/>
      <c r="S516" s="1344"/>
      <c r="T516" s="1345"/>
      <c r="U516" s="1284">
        <v>66</v>
      </c>
      <c r="V516" s="1285"/>
      <c r="W516" s="1286"/>
    </row>
    <row r="517" spans="1:23" s="295" customFormat="1" ht="12.75" customHeight="1">
      <c r="A517" s="539"/>
      <c r="B517" s="1350"/>
      <c r="C517" s="1292"/>
      <c r="D517" s="1343" t="s">
        <v>2543</v>
      </c>
      <c r="E517" s="1344"/>
      <c r="F517" s="1344"/>
      <c r="G517" s="1344"/>
      <c r="H517" s="1344"/>
      <c r="I517" s="1344"/>
      <c r="J517" s="1344"/>
      <c r="K517" s="1344"/>
      <c r="L517" s="1344"/>
      <c r="M517" s="1344"/>
      <c r="N517" s="1344"/>
      <c r="O517" s="1344"/>
      <c r="P517" s="1344"/>
      <c r="Q517" s="1344"/>
      <c r="R517" s="1344"/>
      <c r="S517" s="1344"/>
      <c r="T517" s="1345"/>
      <c r="U517" s="1284">
        <v>66</v>
      </c>
      <c r="V517" s="1285"/>
      <c r="W517" s="1286"/>
    </row>
    <row r="518" spans="1:23" s="295" customFormat="1" ht="12.75" customHeight="1">
      <c r="A518" s="539"/>
      <c r="B518" s="1350"/>
      <c r="C518" s="1293"/>
      <c r="D518" s="1343" t="s">
        <v>2544</v>
      </c>
      <c r="E518" s="1344"/>
      <c r="F518" s="1344"/>
      <c r="G518" s="1344"/>
      <c r="H518" s="1344"/>
      <c r="I518" s="1344"/>
      <c r="J518" s="1344"/>
      <c r="K518" s="1344"/>
      <c r="L518" s="1344"/>
      <c r="M518" s="1344"/>
      <c r="N518" s="1344"/>
      <c r="O518" s="1344"/>
      <c r="P518" s="1344"/>
      <c r="Q518" s="1344"/>
      <c r="R518" s="1344"/>
      <c r="S518" s="1344"/>
      <c r="T518" s="1345"/>
      <c r="U518" s="1284">
        <v>66</v>
      </c>
      <c r="V518" s="1285"/>
      <c r="W518" s="1286"/>
    </row>
    <row r="519" spans="1:23" s="295" customFormat="1" ht="12.75" customHeight="1">
      <c r="A519" s="539"/>
      <c r="B519" s="1350"/>
      <c r="C519" s="1343" t="s">
        <v>2550</v>
      </c>
      <c r="D519" s="1344"/>
      <c r="E519" s="1344"/>
      <c r="F519" s="1344"/>
      <c r="G519" s="1344"/>
      <c r="H519" s="1344"/>
      <c r="I519" s="1344"/>
      <c r="J519" s="1344"/>
      <c r="K519" s="1344"/>
      <c r="L519" s="1344"/>
      <c r="M519" s="1344"/>
      <c r="N519" s="1344"/>
      <c r="O519" s="1344"/>
      <c r="P519" s="1344"/>
      <c r="Q519" s="1344"/>
      <c r="R519" s="1344"/>
      <c r="S519" s="1344"/>
      <c r="T519" s="1345"/>
      <c r="U519" s="1284"/>
      <c r="V519" s="1285"/>
      <c r="W519" s="1286"/>
    </row>
    <row r="520" spans="1:23" s="295" customFormat="1" ht="12.75" customHeight="1">
      <c r="A520" s="539"/>
      <c r="B520" s="1350"/>
      <c r="C520" s="1291"/>
      <c r="D520" s="1343" t="s">
        <v>2542</v>
      </c>
      <c r="E520" s="1344"/>
      <c r="F520" s="1344"/>
      <c r="G520" s="1344"/>
      <c r="H520" s="1344"/>
      <c r="I520" s="1344"/>
      <c r="J520" s="1344"/>
      <c r="K520" s="1344"/>
      <c r="L520" s="1344"/>
      <c r="M520" s="1344"/>
      <c r="N520" s="1344"/>
      <c r="O520" s="1344"/>
      <c r="P520" s="1344"/>
      <c r="Q520" s="1344"/>
      <c r="R520" s="1344"/>
      <c r="S520" s="1344"/>
      <c r="T520" s="1345"/>
      <c r="U520" s="1284">
        <v>65</v>
      </c>
      <c r="V520" s="1285"/>
      <c r="W520" s="1286"/>
    </row>
    <row r="521" spans="1:23" s="295" customFormat="1" ht="12.75" customHeight="1">
      <c r="A521" s="539"/>
      <c r="B521" s="1350"/>
      <c r="C521" s="1292"/>
      <c r="D521" s="1343" t="s">
        <v>2543</v>
      </c>
      <c r="E521" s="1344"/>
      <c r="F521" s="1344"/>
      <c r="G521" s="1344"/>
      <c r="H521" s="1344"/>
      <c r="I521" s="1344"/>
      <c r="J521" s="1344"/>
      <c r="K521" s="1344"/>
      <c r="L521" s="1344"/>
      <c r="M521" s="1344"/>
      <c r="N521" s="1344"/>
      <c r="O521" s="1344"/>
      <c r="P521" s="1344"/>
      <c r="Q521" s="1344"/>
      <c r="R521" s="1344"/>
      <c r="S521" s="1344"/>
      <c r="T521" s="1345"/>
      <c r="U521" s="1284">
        <v>65</v>
      </c>
      <c r="V521" s="1285"/>
      <c r="W521" s="1286"/>
    </row>
    <row r="522" spans="1:23" s="295" customFormat="1" ht="12.75" customHeight="1">
      <c r="A522" s="539"/>
      <c r="B522" s="1350"/>
      <c r="C522" s="1292"/>
      <c r="D522" s="1343" t="s">
        <v>2545</v>
      </c>
      <c r="E522" s="1344"/>
      <c r="F522" s="1344"/>
      <c r="G522" s="1344"/>
      <c r="H522" s="1344"/>
      <c r="I522" s="1344"/>
      <c r="J522" s="1344"/>
      <c r="K522" s="1344"/>
      <c r="L522" s="1344"/>
      <c r="M522" s="1344"/>
      <c r="N522" s="1344"/>
      <c r="O522" s="1344"/>
      <c r="P522" s="1344"/>
      <c r="Q522" s="1344"/>
      <c r="R522" s="1344"/>
      <c r="S522" s="1344"/>
      <c r="T522" s="1345"/>
      <c r="U522" s="1284">
        <v>65</v>
      </c>
      <c r="V522" s="1285"/>
      <c r="W522" s="1286"/>
    </row>
    <row r="523" spans="1:23" s="295" customFormat="1" ht="12.75" customHeight="1">
      <c r="A523" s="539"/>
      <c r="B523" s="1350"/>
      <c r="C523" s="1292"/>
      <c r="D523" s="1346" t="s">
        <v>2546</v>
      </c>
      <c r="E523" s="1347"/>
      <c r="F523" s="1347"/>
      <c r="G523" s="1347"/>
      <c r="H523" s="1347"/>
      <c r="I523" s="1347"/>
      <c r="J523" s="1347"/>
      <c r="K523" s="1347"/>
      <c r="L523" s="1347"/>
      <c r="M523" s="1347"/>
      <c r="N523" s="1347"/>
      <c r="O523" s="1347"/>
      <c r="P523" s="1347"/>
      <c r="Q523" s="1347"/>
      <c r="R523" s="1347"/>
      <c r="S523" s="1347"/>
      <c r="T523" s="1348"/>
      <c r="U523" s="1349">
        <v>65</v>
      </c>
      <c r="V523" s="1360"/>
      <c r="W523" s="1291"/>
    </row>
    <row r="524" spans="1:23" s="295" customFormat="1" ht="12.75" customHeight="1">
      <c r="A524" s="541"/>
      <c r="B524" s="418"/>
      <c r="C524" s="418"/>
      <c r="D524" s="437"/>
      <c r="E524" s="437"/>
      <c r="F524" s="437"/>
      <c r="G524" s="437"/>
      <c r="H524" s="437"/>
      <c r="I524" s="437"/>
      <c r="J524" s="437"/>
      <c r="K524" s="437"/>
      <c r="L524" s="437"/>
      <c r="M524" s="437"/>
      <c r="N524" s="437"/>
      <c r="O524" s="437"/>
      <c r="P524" s="437"/>
      <c r="Q524" s="437"/>
      <c r="R524" s="437"/>
      <c r="S524" s="437"/>
      <c r="T524" s="437"/>
      <c r="U524" s="418"/>
      <c r="V524" s="418"/>
      <c r="W524" s="418"/>
    </row>
    <row r="525" spans="1:23" s="295" customFormat="1" ht="12.75" customHeight="1">
      <c r="A525" s="542"/>
      <c r="B525" s="316"/>
      <c r="C525" s="316"/>
      <c r="D525" s="531"/>
      <c r="E525" s="531"/>
      <c r="F525" s="531"/>
      <c r="G525" s="531"/>
      <c r="H525" s="531"/>
      <c r="I525" s="531"/>
      <c r="J525" s="531"/>
      <c r="K525" s="531"/>
      <c r="L525" s="531"/>
      <c r="M525" s="531"/>
      <c r="N525" s="531"/>
      <c r="O525" s="531"/>
      <c r="P525" s="531"/>
      <c r="Q525" s="531"/>
      <c r="R525" s="531"/>
      <c r="S525" s="531"/>
      <c r="T525" s="531"/>
      <c r="U525" s="316"/>
      <c r="V525" s="316"/>
      <c r="W525" s="316"/>
    </row>
    <row r="526" spans="1:23" s="295" customFormat="1" ht="12.75" customHeight="1">
      <c r="A526" s="542"/>
      <c r="B526" s="316"/>
      <c r="C526" s="316"/>
      <c r="D526" s="531"/>
      <c r="E526" s="531"/>
      <c r="F526" s="531"/>
      <c r="G526" s="531"/>
      <c r="H526" s="531"/>
      <c r="I526" s="531"/>
      <c r="J526" s="531"/>
      <c r="K526" s="531"/>
      <c r="L526" s="531"/>
      <c r="M526" s="531"/>
      <c r="N526" s="531"/>
      <c r="O526" s="531"/>
      <c r="P526" s="531"/>
      <c r="Q526" s="531"/>
      <c r="R526" s="531"/>
      <c r="S526" s="531"/>
      <c r="T526" s="531"/>
      <c r="U526" s="316"/>
      <c r="V526" s="316"/>
      <c r="W526" s="316"/>
    </row>
    <row r="527" spans="1:23" s="295" customFormat="1" ht="12.75" customHeight="1">
      <c r="A527" s="542"/>
      <c r="B527" s="316"/>
      <c r="C527" s="316"/>
      <c r="D527" s="531"/>
      <c r="E527" s="531"/>
      <c r="F527" s="531"/>
      <c r="G527" s="531"/>
      <c r="H527" s="531"/>
      <c r="I527" s="531"/>
      <c r="J527" s="531"/>
      <c r="K527" s="531"/>
      <c r="L527" s="531"/>
      <c r="M527" s="531"/>
      <c r="N527" s="531"/>
      <c r="O527" s="531"/>
      <c r="P527" s="531"/>
      <c r="Q527" s="531"/>
      <c r="R527" s="531"/>
      <c r="S527" s="531"/>
      <c r="T527" s="531"/>
      <c r="U527" s="316"/>
      <c r="V527" s="316"/>
      <c r="W527" s="316"/>
    </row>
    <row r="528" spans="1:23" s="295" customFormat="1" ht="12.75" customHeight="1">
      <c r="A528" s="542"/>
      <c r="B528" s="316"/>
      <c r="C528" s="316"/>
      <c r="D528" s="531"/>
      <c r="E528" s="531"/>
      <c r="F528" s="531"/>
      <c r="G528" s="531"/>
      <c r="H528" s="531"/>
      <c r="I528" s="531"/>
      <c r="J528" s="531"/>
      <c r="K528" s="531"/>
      <c r="L528" s="531"/>
      <c r="M528" s="531"/>
      <c r="N528" s="531"/>
      <c r="O528" s="531"/>
      <c r="P528" s="531"/>
      <c r="Q528" s="531"/>
      <c r="R528" s="531"/>
      <c r="S528" s="531"/>
      <c r="T528" s="531"/>
      <c r="U528" s="316"/>
      <c r="V528" s="316"/>
      <c r="W528" s="316"/>
    </row>
    <row r="529" spans="1:23" s="295" customFormat="1" ht="12.75" customHeight="1">
      <c r="A529" s="542"/>
      <c r="B529" s="316"/>
      <c r="C529" s="316"/>
      <c r="D529" s="531"/>
      <c r="E529" s="531"/>
      <c r="F529" s="531"/>
      <c r="G529" s="531"/>
      <c r="H529" s="531"/>
      <c r="I529" s="531"/>
      <c r="J529" s="531"/>
      <c r="K529" s="531"/>
      <c r="L529" s="531"/>
      <c r="M529" s="531"/>
      <c r="N529" s="531"/>
      <c r="O529" s="531"/>
      <c r="P529" s="531"/>
      <c r="Q529" s="531"/>
      <c r="R529" s="531"/>
      <c r="S529" s="531"/>
      <c r="T529" s="531"/>
      <c r="U529" s="316"/>
      <c r="V529" s="316"/>
      <c r="W529" s="316"/>
    </row>
    <row r="530" spans="1:23" s="295" customFormat="1" ht="12.75" customHeight="1">
      <c r="A530" s="542"/>
      <c r="B530" s="530"/>
      <c r="C530" s="530"/>
      <c r="D530" s="532"/>
      <c r="E530" s="532"/>
      <c r="F530" s="532"/>
      <c r="G530" s="532"/>
      <c r="H530" s="532"/>
      <c r="I530" s="532"/>
      <c r="J530" s="532"/>
      <c r="K530" s="532"/>
      <c r="L530" s="532"/>
      <c r="M530" s="532"/>
      <c r="N530" s="532"/>
      <c r="O530" s="532"/>
      <c r="P530" s="532"/>
      <c r="Q530" s="532"/>
      <c r="R530" s="532"/>
      <c r="S530" s="532"/>
      <c r="T530" s="532"/>
      <c r="U530" s="530"/>
      <c r="V530" s="530"/>
      <c r="W530" s="530"/>
    </row>
    <row r="531" spans="1:23" s="295" customFormat="1" ht="30" customHeight="1">
      <c r="A531" s="1300" t="s">
        <v>2541</v>
      </c>
      <c r="B531" s="1300"/>
      <c r="C531" s="1300"/>
      <c r="D531" s="1300"/>
      <c r="E531" s="1300"/>
      <c r="F531" s="1300"/>
      <c r="G531" s="1300"/>
      <c r="H531" s="1300"/>
      <c r="I531" s="1300"/>
      <c r="J531" s="1300"/>
      <c r="K531" s="1300"/>
      <c r="L531" s="1300"/>
      <c r="M531" s="1300"/>
      <c r="N531" s="1300"/>
      <c r="O531" s="1300"/>
      <c r="P531" s="1300"/>
      <c r="Q531" s="1300"/>
      <c r="R531" s="1300"/>
      <c r="S531" s="1300"/>
      <c r="T531" s="1300"/>
      <c r="U531" s="1299" t="s">
        <v>3305</v>
      </c>
      <c r="V531" s="1299"/>
      <c r="W531" s="1299"/>
    </row>
    <row r="532" spans="1:23" s="295" customFormat="1" ht="12.75" customHeight="1">
      <c r="A532" s="539"/>
      <c r="B532" s="529"/>
      <c r="C532" s="530"/>
      <c r="D532" s="483"/>
      <c r="E532" s="483"/>
      <c r="F532" s="483"/>
      <c r="G532" s="483"/>
      <c r="H532" s="483"/>
      <c r="I532" s="483"/>
      <c r="J532" s="483"/>
      <c r="K532" s="483"/>
      <c r="L532" s="483"/>
      <c r="M532" s="483"/>
      <c r="N532" s="483"/>
      <c r="O532" s="483"/>
      <c r="P532" s="483"/>
      <c r="Q532" s="483"/>
      <c r="R532" s="483"/>
      <c r="S532" s="483"/>
      <c r="T532" s="435"/>
      <c r="U532" s="313"/>
      <c r="V532" s="484"/>
      <c r="W532" s="455"/>
    </row>
    <row r="533" spans="1:23" s="295" customFormat="1" ht="12.75" customHeight="1">
      <c r="A533" s="539"/>
      <c r="B533" s="1295" t="s">
        <v>3373</v>
      </c>
      <c r="C533" s="1296"/>
      <c r="D533" s="1296"/>
      <c r="E533" s="1296"/>
      <c r="F533" s="1296"/>
      <c r="G533" s="1296"/>
      <c r="H533" s="1296"/>
      <c r="I533" s="1296"/>
      <c r="J533" s="1296"/>
      <c r="K533" s="1296"/>
      <c r="L533" s="1296"/>
      <c r="M533" s="1296"/>
      <c r="N533" s="1296"/>
      <c r="O533" s="1296"/>
      <c r="P533" s="1296"/>
      <c r="Q533" s="1296"/>
      <c r="R533" s="1296"/>
      <c r="S533" s="1296"/>
      <c r="T533" s="1297"/>
      <c r="U533" s="1284"/>
      <c r="V533" s="1285"/>
      <c r="W533" s="1286"/>
    </row>
    <row r="534" spans="1:23" s="295" customFormat="1" ht="12.75" customHeight="1">
      <c r="A534" s="539"/>
      <c r="B534" s="1349"/>
      <c r="C534" s="1343" t="s">
        <v>2551</v>
      </c>
      <c r="D534" s="1344"/>
      <c r="E534" s="1344"/>
      <c r="F534" s="1344"/>
      <c r="G534" s="1344"/>
      <c r="H534" s="1344"/>
      <c r="I534" s="1344"/>
      <c r="J534" s="1344"/>
      <c r="K534" s="1344"/>
      <c r="L534" s="1344"/>
      <c r="M534" s="1344"/>
      <c r="N534" s="1344"/>
      <c r="O534" s="1344"/>
      <c r="P534" s="1344"/>
      <c r="Q534" s="1344"/>
      <c r="R534" s="1344"/>
      <c r="S534" s="1344"/>
      <c r="T534" s="1345"/>
      <c r="U534" s="1284">
        <v>195</v>
      </c>
      <c r="V534" s="1285"/>
      <c r="W534" s="1286"/>
    </row>
    <row r="535" spans="1:23" s="295" customFormat="1" ht="12.75" customHeight="1">
      <c r="A535" s="539"/>
      <c r="B535" s="1350"/>
      <c r="C535" s="1343" t="s">
        <v>2552</v>
      </c>
      <c r="D535" s="1344"/>
      <c r="E535" s="1344"/>
      <c r="F535" s="1344"/>
      <c r="G535" s="1344"/>
      <c r="H535" s="1344"/>
      <c r="I535" s="1344"/>
      <c r="J535" s="1344"/>
      <c r="K535" s="1344"/>
      <c r="L535" s="1344"/>
      <c r="M535" s="1344"/>
      <c r="N535" s="1344"/>
      <c r="O535" s="1344"/>
      <c r="P535" s="1344"/>
      <c r="Q535" s="1344"/>
      <c r="R535" s="1344"/>
      <c r="S535" s="1344"/>
      <c r="T535" s="1345"/>
      <c r="U535" s="1284">
        <v>180</v>
      </c>
      <c r="V535" s="1285"/>
      <c r="W535" s="1286"/>
    </row>
    <row r="536" spans="1:23" s="295" customFormat="1" ht="12.75" customHeight="1">
      <c r="A536" s="539"/>
      <c r="B536" s="1350"/>
      <c r="C536" s="1343" t="s">
        <v>2553</v>
      </c>
      <c r="D536" s="1344"/>
      <c r="E536" s="1344"/>
      <c r="F536" s="1344"/>
      <c r="G536" s="1344"/>
      <c r="H536" s="1344"/>
      <c r="I536" s="1344"/>
      <c r="J536" s="1344"/>
      <c r="K536" s="1344"/>
      <c r="L536" s="1344"/>
      <c r="M536" s="1344"/>
      <c r="N536" s="1344"/>
      <c r="O536" s="1344"/>
      <c r="P536" s="1344"/>
      <c r="Q536" s="1344"/>
      <c r="R536" s="1344"/>
      <c r="S536" s="1344"/>
      <c r="T536" s="1345"/>
      <c r="U536" s="1284">
        <v>178</v>
      </c>
      <c r="V536" s="1285"/>
      <c r="W536" s="1286"/>
    </row>
    <row r="537" spans="1:23" s="295" customFormat="1" ht="12.75" customHeight="1">
      <c r="A537" s="539"/>
      <c r="B537" s="1350"/>
      <c r="C537" s="1343" t="s">
        <v>2554</v>
      </c>
      <c r="D537" s="1344"/>
      <c r="E537" s="1344"/>
      <c r="F537" s="1344"/>
      <c r="G537" s="1344"/>
      <c r="H537" s="1344"/>
      <c r="I537" s="1344"/>
      <c r="J537" s="1344"/>
      <c r="K537" s="1344"/>
      <c r="L537" s="1344"/>
      <c r="M537" s="1344"/>
      <c r="N537" s="1344"/>
      <c r="O537" s="1344"/>
      <c r="P537" s="1344"/>
      <c r="Q537" s="1344"/>
      <c r="R537" s="1344"/>
      <c r="S537" s="1344"/>
      <c r="T537" s="1345"/>
      <c r="U537" s="1284"/>
      <c r="V537" s="1285"/>
      <c r="W537" s="1286"/>
    </row>
    <row r="538" spans="1:23" s="295" customFormat="1" ht="12.75" customHeight="1">
      <c r="A538" s="539"/>
      <c r="B538" s="1350"/>
      <c r="C538" s="1291"/>
      <c r="D538" s="1343" t="s">
        <v>2555</v>
      </c>
      <c r="E538" s="1344"/>
      <c r="F538" s="1344"/>
      <c r="G538" s="1344"/>
      <c r="H538" s="1344"/>
      <c r="I538" s="1344"/>
      <c r="J538" s="1344"/>
      <c r="K538" s="1344"/>
      <c r="L538" s="1344"/>
      <c r="M538" s="1344"/>
      <c r="N538" s="1344"/>
      <c r="O538" s="1344"/>
      <c r="P538" s="1344"/>
      <c r="Q538" s="1344"/>
      <c r="R538" s="1344"/>
      <c r="S538" s="1344"/>
      <c r="T538" s="1345"/>
      <c r="U538" s="1284">
        <v>195</v>
      </c>
      <c r="V538" s="1285"/>
      <c r="W538" s="1286"/>
    </row>
    <row r="539" spans="1:23" s="295" customFormat="1" ht="12.75" customHeight="1">
      <c r="A539" s="539"/>
      <c r="B539" s="1350"/>
      <c r="C539" s="1292"/>
      <c r="D539" s="1343" t="s">
        <v>2556</v>
      </c>
      <c r="E539" s="1344"/>
      <c r="F539" s="1344"/>
      <c r="G539" s="1344"/>
      <c r="H539" s="1344"/>
      <c r="I539" s="1344"/>
      <c r="J539" s="1344"/>
      <c r="K539" s="1344"/>
      <c r="L539" s="1344"/>
      <c r="M539" s="1344"/>
      <c r="N539" s="1344"/>
      <c r="O539" s="1344"/>
      <c r="P539" s="1344"/>
      <c r="Q539" s="1344"/>
      <c r="R539" s="1344"/>
      <c r="S539" s="1344"/>
      <c r="T539" s="1345"/>
      <c r="U539" s="1284">
        <v>190</v>
      </c>
      <c r="V539" s="1285"/>
      <c r="W539" s="1286"/>
    </row>
    <row r="540" spans="1:23" s="295" customFormat="1" ht="12.75" customHeight="1">
      <c r="A540" s="539"/>
      <c r="B540" s="1350"/>
      <c r="C540" s="1292"/>
      <c r="D540" s="1343" t="s">
        <v>2557</v>
      </c>
      <c r="E540" s="1344"/>
      <c r="F540" s="1344"/>
      <c r="G540" s="1344"/>
      <c r="H540" s="1344"/>
      <c r="I540" s="1344"/>
      <c r="J540" s="1344"/>
      <c r="K540" s="1344"/>
      <c r="L540" s="1344"/>
      <c r="M540" s="1344"/>
      <c r="N540" s="1344"/>
      <c r="O540" s="1344"/>
      <c r="P540" s="1344"/>
      <c r="Q540" s="1344"/>
      <c r="R540" s="1344"/>
      <c r="S540" s="1344"/>
      <c r="T540" s="1345"/>
      <c r="U540" s="1284">
        <v>195</v>
      </c>
      <c r="V540" s="1285"/>
      <c r="W540" s="1286"/>
    </row>
    <row r="541" spans="1:23" s="295" customFormat="1" ht="12.75" customHeight="1">
      <c r="A541" s="539"/>
      <c r="B541" s="1350"/>
      <c r="C541" s="1292"/>
      <c r="D541" s="1343" t="s">
        <v>2558</v>
      </c>
      <c r="E541" s="1344"/>
      <c r="F541" s="1344"/>
      <c r="G541" s="1344"/>
      <c r="H541" s="1344"/>
      <c r="I541" s="1344"/>
      <c r="J541" s="1344"/>
      <c r="K541" s="1344"/>
      <c r="L541" s="1344"/>
      <c r="M541" s="1344"/>
      <c r="N541" s="1344"/>
      <c r="O541" s="1344"/>
      <c r="P541" s="1344"/>
      <c r="Q541" s="1344"/>
      <c r="R541" s="1344"/>
      <c r="S541" s="1344"/>
      <c r="T541" s="1345"/>
      <c r="U541" s="1284">
        <v>115</v>
      </c>
      <c r="V541" s="1285"/>
      <c r="W541" s="1286"/>
    </row>
    <row r="542" spans="1:23" s="295" customFormat="1" ht="12.75" customHeight="1">
      <c r="A542" s="539"/>
      <c r="B542" s="1350"/>
      <c r="C542" s="1292"/>
      <c r="D542" s="1343" t="s">
        <v>2559</v>
      </c>
      <c r="E542" s="1344"/>
      <c r="F542" s="1344"/>
      <c r="G542" s="1344"/>
      <c r="H542" s="1344"/>
      <c r="I542" s="1344"/>
      <c r="J542" s="1344"/>
      <c r="K542" s="1344"/>
      <c r="L542" s="1344"/>
      <c r="M542" s="1344"/>
      <c r="N542" s="1344"/>
      <c r="O542" s="1344"/>
      <c r="P542" s="1344"/>
      <c r="Q542" s="1344"/>
      <c r="R542" s="1344"/>
      <c r="S542" s="1344"/>
      <c r="T542" s="1345"/>
      <c r="U542" s="1284">
        <v>155</v>
      </c>
      <c r="V542" s="1285"/>
      <c r="W542" s="1286"/>
    </row>
    <row r="543" spans="1:23" s="295" customFormat="1" ht="12.75" customHeight="1">
      <c r="A543" s="539"/>
      <c r="B543" s="1350"/>
      <c r="C543" s="1292"/>
      <c r="D543" s="1343" t="s">
        <v>2560</v>
      </c>
      <c r="E543" s="1344"/>
      <c r="F543" s="1344"/>
      <c r="G543" s="1344"/>
      <c r="H543" s="1344"/>
      <c r="I543" s="1344"/>
      <c r="J543" s="1344"/>
      <c r="K543" s="1344"/>
      <c r="L543" s="1344"/>
      <c r="M543" s="1344"/>
      <c r="N543" s="1344"/>
      <c r="O543" s="1344"/>
      <c r="P543" s="1344"/>
      <c r="Q543" s="1344"/>
      <c r="R543" s="1344"/>
      <c r="S543" s="1344"/>
      <c r="T543" s="1345"/>
      <c r="U543" s="1284">
        <v>130</v>
      </c>
      <c r="V543" s="1285"/>
      <c r="W543" s="1286"/>
    </row>
    <row r="544" spans="1:23" s="295" customFormat="1" ht="12.75" customHeight="1">
      <c r="A544" s="539"/>
      <c r="B544" s="1350"/>
      <c r="C544" s="1292"/>
      <c r="D544" s="1343" t="s">
        <v>2561</v>
      </c>
      <c r="E544" s="1344"/>
      <c r="F544" s="1344"/>
      <c r="G544" s="1344"/>
      <c r="H544" s="1344"/>
      <c r="I544" s="1344"/>
      <c r="J544" s="1344"/>
      <c r="K544" s="1344"/>
      <c r="L544" s="1344"/>
      <c r="M544" s="1344"/>
      <c r="N544" s="1344"/>
      <c r="O544" s="1344"/>
      <c r="P544" s="1344"/>
      <c r="Q544" s="1344"/>
      <c r="R544" s="1344"/>
      <c r="S544" s="1344"/>
      <c r="T544" s="1345"/>
      <c r="U544" s="1284">
        <v>130</v>
      </c>
      <c r="V544" s="1285"/>
      <c r="W544" s="1286"/>
    </row>
    <row r="545" spans="1:23" s="295" customFormat="1" ht="12.75" customHeight="1">
      <c r="A545" s="539"/>
      <c r="B545" s="1350"/>
      <c r="C545" s="1293"/>
      <c r="D545" s="1343" t="s">
        <v>2562</v>
      </c>
      <c r="E545" s="1344"/>
      <c r="F545" s="1344"/>
      <c r="G545" s="1344"/>
      <c r="H545" s="1344"/>
      <c r="I545" s="1344"/>
      <c r="J545" s="1344"/>
      <c r="K545" s="1344"/>
      <c r="L545" s="1344"/>
      <c r="M545" s="1344"/>
      <c r="N545" s="1344"/>
      <c r="O545" s="1344"/>
      <c r="P545" s="1344"/>
      <c r="Q545" s="1344"/>
      <c r="R545" s="1344"/>
      <c r="S545" s="1344"/>
      <c r="T545" s="1345"/>
      <c r="U545" s="1284">
        <v>105</v>
      </c>
      <c r="V545" s="1285"/>
      <c r="W545" s="1286"/>
    </row>
    <row r="546" spans="1:23" s="295" customFormat="1" ht="12.75" customHeight="1">
      <c r="A546" s="539"/>
      <c r="B546" s="1350"/>
      <c r="C546" s="1343" t="s">
        <v>2563</v>
      </c>
      <c r="D546" s="1344"/>
      <c r="E546" s="1344"/>
      <c r="F546" s="1344"/>
      <c r="G546" s="1344"/>
      <c r="H546" s="1344"/>
      <c r="I546" s="1344"/>
      <c r="J546" s="1344"/>
      <c r="K546" s="1344"/>
      <c r="L546" s="1344"/>
      <c r="M546" s="1344"/>
      <c r="N546" s="1344"/>
      <c r="O546" s="1344"/>
      <c r="P546" s="1344"/>
      <c r="Q546" s="1344"/>
      <c r="R546" s="1344"/>
      <c r="S546" s="1344"/>
      <c r="T546" s="1345"/>
      <c r="U546" s="1284"/>
      <c r="V546" s="1285"/>
      <c r="W546" s="1286"/>
    </row>
    <row r="547" spans="1:23" s="295" customFormat="1" ht="12.75" customHeight="1">
      <c r="A547" s="539"/>
      <c r="B547" s="1350"/>
      <c r="C547" s="1291"/>
      <c r="D547" s="1343" t="s">
        <v>2555</v>
      </c>
      <c r="E547" s="1344"/>
      <c r="F547" s="1344"/>
      <c r="G547" s="1344"/>
      <c r="H547" s="1344"/>
      <c r="I547" s="1344"/>
      <c r="J547" s="1344"/>
      <c r="K547" s="1344"/>
      <c r="L547" s="1344"/>
      <c r="M547" s="1344"/>
      <c r="N547" s="1344"/>
      <c r="O547" s="1344"/>
      <c r="P547" s="1344"/>
      <c r="Q547" s="1344"/>
      <c r="R547" s="1344"/>
      <c r="S547" s="1344"/>
      <c r="T547" s="1345"/>
      <c r="U547" s="1284">
        <v>200</v>
      </c>
      <c r="V547" s="1285"/>
      <c r="W547" s="1286"/>
    </row>
    <row r="548" spans="1:23" s="295" customFormat="1" ht="12.75" customHeight="1">
      <c r="A548" s="539"/>
      <c r="B548" s="1350"/>
      <c r="C548" s="1292"/>
      <c r="D548" s="1343" t="s">
        <v>2556</v>
      </c>
      <c r="E548" s="1344"/>
      <c r="F548" s="1344"/>
      <c r="G548" s="1344"/>
      <c r="H548" s="1344"/>
      <c r="I548" s="1344"/>
      <c r="J548" s="1344"/>
      <c r="K548" s="1344"/>
      <c r="L548" s="1344"/>
      <c r="M548" s="1344"/>
      <c r="N548" s="1344"/>
      <c r="O548" s="1344"/>
      <c r="P548" s="1344"/>
      <c r="Q548" s="1344"/>
      <c r="R548" s="1344"/>
      <c r="S548" s="1344"/>
      <c r="T548" s="1345"/>
      <c r="U548" s="1284">
        <v>200</v>
      </c>
      <c r="V548" s="1285"/>
      <c r="W548" s="1286"/>
    </row>
    <row r="549" spans="1:23" s="295" customFormat="1" ht="12.75" customHeight="1">
      <c r="A549" s="539"/>
      <c r="B549" s="1350"/>
      <c r="C549" s="1292"/>
      <c r="D549" s="1343" t="s">
        <v>2557</v>
      </c>
      <c r="E549" s="1344"/>
      <c r="F549" s="1344"/>
      <c r="G549" s="1344"/>
      <c r="H549" s="1344"/>
      <c r="I549" s="1344"/>
      <c r="J549" s="1344"/>
      <c r="K549" s="1344"/>
      <c r="L549" s="1344"/>
      <c r="M549" s="1344"/>
      <c r="N549" s="1344"/>
      <c r="O549" s="1344"/>
      <c r="P549" s="1344"/>
      <c r="Q549" s="1344"/>
      <c r="R549" s="1344"/>
      <c r="S549" s="1344"/>
      <c r="T549" s="1345"/>
      <c r="U549" s="1284">
        <v>200</v>
      </c>
      <c r="V549" s="1285"/>
      <c r="W549" s="1286"/>
    </row>
    <row r="550" spans="1:23" s="295" customFormat="1" ht="12.75" customHeight="1">
      <c r="A550" s="539"/>
      <c r="B550" s="1350"/>
      <c r="C550" s="1292"/>
      <c r="D550" s="1343" t="s">
        <v>2558</v>
      </c>
      <c r="E550" s="1344"/>
      <c r="F550" s="1344"/>
      <c r="G550" s="1344"/>
      <c r="H550" s="1344"/>
      <c r="I550" s="1344"/>
      <c r="J550" s="1344"/>
      <c r="K550" s="1344"/>
      <c r="L550" s="1344"/>
      <c r="M550" s="1344"/>
      <c r="N550" s="1344"/>
      <c r="O550" s="1344"/>
      <c r="P550" s="1344"/>
      <c r="Q550" s="1344"/>
      <c r="R550" s="1344"/>
      <c r="S550" s="1344"/>
      <c r="T550" s="1345"/>
      <c r="U550" s="1284">
        <v>132</v>
      </c>
      <c r="V550" s="1285"/>
      <c r="W550" s="1286"/>
    </row>
    <row r="551" spans="1:23" s="295" customFormat="1" ht="12.75" customHeight="1">
      <c r="A551" s="539"/>
      <c r="B551" s="1350"/>
      <c r="C551" s="1292"/>
      <c r="D551" s="1343" t="s">
        <v>2559</v>
      </c>
      <c r="E551" s="1344"/>
      <c r="F551" s="1344"/>
      <c r="G551" s="1344"/>
      <c r="H551" s="1344"/>
      <c r="I551" s="1344"/>
      <c r="J551" s="1344"/>
      <c r="K551" s="1344"/>
      <c r="L551" s="1344"/>
      <c r="M551" s="1344"/>
      <c r="N551" s="1344"/>
      <c r="O551" s="1344"/>
      <c r="P551" s="1344"/>
      <c r="Q551" s="1344"/>
      <c r="R551" s="1344"/>
      <c r="S551" s="1344"/>
      <c r="T551" s="1345"/>
      <c r="U551" s="1284">
        <v>172</v>
      </c>
      <c r="V551" s="1285"/>
      <c r="W551" s="1286"/>
    </row>
    <row r="552" spans="1:23" s="295" customFormat="1" ht="12.75" customHeight="1">
      <c r="A552" s="539"/>
      <c r="B552" s="1350"/>
      <c r="C552" s="1292"/>
      <c r="D552" s="1343" t="s">
        <v>2560</v>
      </c>
      <c r="E552" s="1344"/>
      <c r="F552" s="1344"/>
      <c r="G552" s="1344"/>
      <c r="H552" s="1344"/>
      <c r="I552" s="1344"/>
      <c r="J552" s="1344"/>
      <c r="K552" s="1344"/>
      <c r="L552" s="1344"/>
      <c r="M552" s="1344"/>
      <c r="N552" s="1344"/>
      <c r="O552" s="1344"/>
      <c r="P552" s="1344"/>
      <c r="Q552" s="1344"/>
      <c r="R552" s="1344"/>
      <c r="S552" s="1344"/>
      <c r="T552" s="1345"/>
      <c r="U552" s="1284">
        <v>147</v>
      </c>
      <c r="V552" s="1285"/>
      <c r="W552" s="1286"/>
    </row>
    <row r="553" spans="1:23" s="295" customFormat="1" ht="12.75" customHeight="1">
      <c r="A553" s="539"/>
      <c r="B553" s="1350"/>
      <c r="C553" s="1292"/>
      <c r="D553" s="1343" t="s">
        <v>2561</v>
      </c>
      <c r="E553" s="1344"/>
      <c r="F553" s="1344"/>
      <c r="G553" s="1344"/>
      <c r="H553" s="1344"/>
      <c r="I553" s="1344"/>
      <c r="J553" s="1344"/>
      <c r="K553" s="1344"/>
      <c r="L553" s="1344"/>
      <c r="M553" s="1344"/>
      <c r="N553" s="1344"/>
      <c r="O553" s="1344"/>
      <c r="P553" s="1344"/>
      <c r="Q553" s="1344"/>
      <c r="R553" s="1344"/>
      <c r="S553" s="1344"/>
      <c r="T553" s="1345"/>
      <c r="U553" s="1284">
        <v>147</v>
      </c>
      <c r="V553" s="1285"/>
      <c r="W553" s="1286"/>
    </row>
    <row r="554" spans="1:23" s="295" customFormat="1" ht="12.75" customHeight="1">
      <c r="A554" s="539"/>
      <c r="B554" s="1350"/>
      <c r="C554" s="1292"/>
      <c r="D554" s="1343" t="s">
        <v>2562</v>
      </c>
      <c r="E554" s="1344"/>
      <c r="F554" s="1344"/>
      <c r="G554" s="1344"/>
      <c r="H554" s="1344"/>
      <c r="I554" s="1344"/>
      <c r="J554" s="1344"/>
      <c r="K554" s="1344"/>
      <c r="L554" s="1344"/>
      <c r="M554" s="1344"/>
      <c r="N554" s="1344"/>
      <c r="O554" s="1344"/>
      <c r="P554" s="1344"/>
      <c r="Q554" s="1344"/>
      <c r="R554" s="1344"/>
      <c r="S554" s="1344"/>
      <c r="T554" s="1345"/>
      <c r="U554" s="1284">
        <v>122</v>
      </c>
      <c r="V554" s="1285"/>
      <c r="W554" s="1286"/>
    </row>
    <row r="555" spans="1:23" s="295" customFormat="1" ht="12.75" customHeight="1">
      <c r="A555" s="539"/>
      <c r="B555" s="1350"/>
      <c r="C555" s="1292"/>
      <c r="D555" s="1343" t="s">
        <v>2564</v>
      </c>
      <c r="E555" s="1344"/>
      <c r="F555" s="1344"/>
      <c r="G555" s="1344"/>
      <c r="H555" s="1344"/>
      <c r="I555" s="1344"/>
      <c r="J555" s="1344"/>
      <c r="K555" s="1344"/>
      <c r="L555" s="1344"/>
      <c r="M555" s="1344"/>
      <c r="N555" s="1344"/>
      <c r="O555" s="1344"/>
      <c r="P555" s="1344"/>
      <c r="Q555" s="1344"/>
      <c r="R555" s="1344"/>
      <c r="S555" s="1344"/>
      <c r="T555" s="1345"/>
      <c r="U555" s="1284">
        <v>137</v>
      </c>
      <c r="V555" s="1285"/>
      <c r="W555" s="1286"/>
    </row>
    <row r="556" spans="1:23" s="295" customFormat="1" ht="12.75" customHeight="1">
      <c r="A556" s="539"/>
      <c r="B556" s="1350"/>
      <c r="C556" s="1293"/>
      <c r="D556" s="1343" t="s">
        <v>2565</v>
      </c>
      <c r="E556" s="1344"/>
      <c r="F556" s="1344"/>
      <c r="G556" s="1344"/>
      <c r="H556" s="1344"/>
      <c r="I556" s="1344"/>
      <c r="J556" s="1344"/>
      <c r="K556" s="1344"/>
      <c r="L556" s="1344"/>
      <c r="M556" s="1344"/>
      <c r="N556" s="1344"/>
      <c r="O556" s="1344"/>
      <c r="P556" s="1344"/>
      <c r="Q556" s="1344"/>
      <c r="R556" s="1344"/>
      <c r="S556" s="1344"/>
      <c r="T556" s="1345"/>
      <c r="U556" s="1284">
        <v>117</v>
      </c>
      <c r="V556" s="1285"/>
      <c r="W556" s="1286"/>
    </row>
    <row r="557" spans="1:23" s="295" customFormat="1" ht="12.75" customHeight="1">
      <c r="A557" s="539"/>
      <c r="B557" s="1350"/>
      <c r="C557" s="1343" t="s">
        <v>2566</v>
      </c>
      <c r="D557" s="1344"/>
      <c r="E557" s="1344"/>
      <c r="F557" s="1344"/>
      <c r="G557" s="1344"/>
      <c r="H557" s="1344"/>
      <c r="I557" s="1344"/>
      <c r="J557" s="1344"/>
      <c r="K557" s="1344"/>
      <c r="L557" s="1344"/>
      <c r="M557" s="1344"/>
      <c r="N557" s="1344"/>
      <c r="O557" s="1344"/>
      <c r="P557" s="1344"/>
      <c r="Q557" s="1344"/>
      <c r="R557" s="1344"/>
      <c r="S557" s="1344"/>
      <c r="T557" s="1345"/>
      <c r="U557" s="1284"/>
      <c r="V557" s="1285"/>
      <c r="W557" s="1286"/>
    </row>
    <row r="558" spans="1:23" s="295" customFormat="1" ht="12.75" customHeight="1">
      <c r="A558" s="539"/>
      <c r="B558" s="1350"/>
      <c r="C558" s="1291"/>
      <c r="D558" s="1343" t="s">
        <v>2555</v>
      </c>
      <c r="E558" s="1344"/>
      <c r="F558" s="1344"/>
      <c r="G558" s="1344"/>
      <c r="H558" s="1344"/>
      <c r="I558" s="1344"/>
      <c r="J558" s="1344"/>
      <c r="K558" s="1344"/>
      <c r="L558" s="1344"/>
      <c r="M558" s="1344"/>
      <c r="N558" s="1344"/>
      <c r="O558" s="1344"/>
      <c r="P558" s="1344"/>
      <c r="Q558" s="1344"/>
      <c r="R558" s="1344"/>
      <c r="S558" s="1344"/>
      <c r="T558" s="1345"/>
      <c r="U558" s="1284">
        <v>195</v>
      </c>
      <c r="V558" s="1285"/>
      <c r="W558" s="1286"/>
    </row>
    <row r="559" spans="1:23" s="295" customFormat="1" ht="12.75" customHeight="1">
      <c r="A559" s="539"/>
      <c r="B559" s="1350"/>
      <c r="C559" s="1292"/>
      <c r="D559" s="1343" t="s">
        <v>2556</v>
      </c>
      <c r="E559" s="1344"/>
      <c r="F559" s="1344"/>
      <c r="G559" s="1344"/>
      <c r="H559" s="1344"/>
      <c r="I559" s="1344"/>
      <c r="J559" s="1344"/>
      <c r="K559" s="1344"/>
      <c r="L559" s="1344"/>
      <c r="M559" s="1344"/>
      <c r="N559" s="1344"/>
      <c r="O559" s="1344"/>
      <c r="P559" s="1344"/>
      <c r="Q559" s="1344"/>
      <c r="R559" s="1344"/>
      <c r="S559" s="1344"/>
      <c r="T559" s="1345"/>
      <c r="U559" s="1284">
        <v>190</v>
      </c>
      <c r="V559" s="1285"/>
      <c r="W559" s="1286"/>
    </row>
    <row r="560" spans="1:23" s="295" customFormat="1" ht="12.75" customHeight="1">
      <c r="A560" s="539"/>
      <c r="B560" s="1350"/>
      <c r="C560" s="1292"/>
      <c r="D560" s="1343" t="s">
        <v>2557</v>
      </c>
      <c r="E560" s="1344"/>
      <c r="F560" s="1344"/>
      <c r="G560" s="1344"/>
      <c r="H560" s="1344"/>
      <c r="I560" s="1344"/>
      <c r="J560" s="1344"/>
      <c r="K560" s="1344"/>
      <c r="L560" s="1344"/>
      <c r="M560" s="1344"/>
      <c r="N560" s="1344"/>
      <c r="O560" s="1344"/>
      <c r="P560" s="1344"/>
      <c r="Q560" s="1344"/>
      <c r="R560" s="1344"/>
      <c r="S560" s="1344"/>
      <c r="T560" s="1345"/>
      <c r="U560" s="1284">
        <v>195</v>
      </c>
      <c r="V560" s="1285"/>
      <c r="W560" s="1286"/>
    </row>
    <row r="561" spans="1:23" s="295" customFormat="1" ht="12.75" customHeight="1">
      <c r="A561" s="539"/>
      <c r="B561" s="1350"/>
      <c r="C561" s="1292"/>
      <c r="D561" s="1343" t="s">
        <v>2558</v>
      </c>
      <c r="E561" s="1344"/>
      <c r="F561" s="1344"/>
      <c r="G561" s="1344"/>
      <c r="H561" s="1344"/>
      <c r="I561" s="1344"/>
      <c r="J561" s="1344"/>
      <c r="K561" s="1344"/>
      <c r="L561" s="1344"/>
      <c r="M561" s="1344"/>
      <c r="N561" s="1344"/>
      <c r="O561" s="1344"/>
      <c r="P561" s="1344"/>
      <c r="Q561" s="1344"/>
      <c r="R561" s="1344"/>
      <c r="S561" s="1344"/>
      <c r="T561" s="1345"/>
      <c r="U561" s="1284">
        <v>160</v>
      </c>
      <c r="V561" s="1285"/>
      <c r="W561" s="1286"/>
    </row>
    <row r="562" spans="1:23" s="295" customFormat="1" ht="12.75" customHeight="1">
      <c r="A562" s="539"/>
      <c r="B562" s="1350"/>
      <c r="C562" s="1292"/>
      <c r="D562" s="1343" t="s">
        <v>2559</v>
      </c>
      <c r="E562" s="1344"/>
      <c r="F562" s="1344"/>
      <c r="G562" s="1344"/>
      <c r="H562" s="1344"/>
      <c r="I562" s="1344"/>
      <c r="J562" s="1344"/>
      <c r="K562" s="1344"/>
      <c r="L562" s="1344"/>
      <c r="M562" s="1344"/>
      <c r="N562" s="1344"/>
      <c r="O562" s="1344"/>
      <c r="P562" s="1344"/>
      <c r="Q562" s="1344"/>
      <c r="R562" s="1344"/>
      <c r="S562" s="1344"/>
      <c r="T562" s="1345"/>
      <c r="U562" s="1284">
        <v>195</v>
      </c>
      <c r="V562" s="1285"/>
      <c r="W562" s="1286"/>
    </row>
    <row r="563" spans="1:23" s="295" customFormat="1" ht="12.75" customHeight="1">
      <c r="A563" s="539"/>
      <c r="B563" s="1350"/>
      <c r="C563" s="1292"/>
      <c r="D563" s="1343" t="s">
        <v>2560</v>
      </c>
      <c r="E563" s="1344"/>
      <c r="F563" s="1344"/>
      <c r="G563" s="1344"/>
      <c r="H563" s="1344"/>
      <c r="I563" s="1344"/>
      <c r="J563" s="1344"/>
      <c r="K563" s="1344"/>
      <c r="L563" s="1344"/>
      <c r="M563" s="1344"/>
      <c r="N563" s="1344"/>
      <c r="O563" s="1344"/>
      <c r="P563" s="1344"/>
      <c r="Q563" s="1344"/>
      <c r="R563" s="1344"/>
      <c r="S563" s="1344"/>
      <c r="T563" s="1345"/>
      <c r="U563" s="1284">
        <v>175</v>
      </c>
      <c r="V563" s="1285"/>
      <c r="W563" s="1286"/>
    </row>
    <row r="564" spans="1:23" s="295" customFormat="1" ht="12.75" customHeight="1">
      <c r="A564" s="539"/>
      <c r="B564" s="1350"/>
      <c r="C564" s="1292"/>
      <c r="D564" s="1343" t="s">
        <v>2561</v>
      </c>
      <c r="E564" s="1344"/>
      <c r="F564" s="1344"/>
      <c r="G564" s="1344"/>
      <c r="H564" s="1344"/>
      <c r="I564" s="1344"/>
      <c r="J564" s="1344"/>
      <c r="K564" s="1344"/>
      <c r="L564" s="1344"/>
      <c r="M564" s="1344"/>
      <c r="N564" s="1344"/>
      <c r="O564" s="1344"/>
      <c r="P564" s="1344"/>
      <c r="Q564" s="1344"/>
      <c r="R564" s="1344"/>
      <c r="S564" s="1344"/>
      <c r="T564" s="1345"/>
      <c r="U564" s="1284">
        <v>175</v>
      </c>
      <c r="V564" s="1285"/>
      <c r="W564" s="1286"/>
    </row>
    <row r="565" spans="1:23" s="295" customFormat="1" ht="12.75" customHeight="1">
      <c r="A565" s="539"/>
      <c r="B565" s="1350"/>
      <c r="C565" s="1292"/>
      <c r="D565" s="1343" t="s">
        <v>2562</v>
      </c>
      <c r="E565" s="1344"/>
      <c r="F565" s="1344"/>
      <c r="G565" s="1344"/>
      <c r="H565" s="1344"/>
      <c r="I565" s="1344"/>
      <c r="J565" s="1344"/>
      <c r="K565" s="1344"/>
      <c r="L565" s="1344"/>
      <c r="M565" s="1344"/>
      <c r="N565" s="1344"/>
      <c r="O565" s="1344"/>
      <c r="P565" s="1344"/>
      <c r="Q565" s="1344"/>
      <c r="R565" s="1344"/>
      <c r="S565" s="1344"/>
      <c r="T565" s="1345"/>
      <c r="U565" s="1284">
        <v>150</v>
      </c>
      <c r="V565" s="1285"/>
      <c r="W565" s="1286"/>
    </row>
    <row r="566" spans="1:23" s="295" customFormat="1" ht="12.75" customHeight="1">
      <c r="A566" s="539"/>
      <c r="B566" s="1350"/>
      <c r="C566" s="1292"/>
      <c r="D566" s="1343" t="s">
        <v>2564</v>
      </c>
      <c r="E566" s="1344"/>
      <c r="F566" s="1344"/>
      <c r="G566" s="1344"/>
      <c r="H566" s="1344"/>
      <c r="I566" s="1344"/>
      <c r="J566" s="1344"/>
      <c r="K566" s="1344"/>
      <c r="L566" s="1344"/>
      <c r="M566" s="1344"/>
      <c r="N566" s="1344"/>
      <c r="O566" s="1344"/>
      <c r="P566" s="1344"/>
      <c r="Q566" s="1344"/>
      <c r="R566" s="1344"/>
      <c r="S566" s="1344"/>
      <c r="T566" s="1345"/>
      <c r="U566" s="1284">
        <v>165</v>
      </c>
      <c r="V566" s="1285"/>
      <c r="W566" s="1286"/>
    </row>
    <row r="567" spans="1:23" s="295" customFormat="1" ht="12.75" customHeight="1">
      <c r="A567" s="539"/>
      <c r="B567" s="1350"/>
      <c r="C567" s="1293"/>
      <c r="D567" s="1343" t="s">
        <v>2565</v>
      </c>
      <c r="E567" s="1344"/>
      <c r="F567" s="1344"/>
      <c r="G567" s="1344"/>
      <c r="H567" s="1344"/>
      <c r="I567" s="1344"/>
      <c r="J567" s="1344"/>
      <c r="K567" s="1344"/>
      <c r="L567" s="1344"/>
      <c r="M567" s="1344"/>
      <c r="N567" s="1344"/>
      <c r="O567" s="1344"/>
      <c r="P567" s="1344"/>
      <c r="Q567" s="1344"/>
      <c r="R567" s="1344"/>
      <c r="S567" s="1344"/>
      <c r="T567" s="1345"/>
      <c r="U567" s="1284">
        <v>145</v>
      </c>
      <c r="V567" s="1285"/>
      <c r="W567" s="1286"/>
    </row>
    <row r="568" spans="1:23" s="295" customFormat="1" ht="12.75" customHeight="1">
      <c r="A568" s="539"/>
      <c r="B568" s="1351"/>
      <c r="C568" s="1343" t="s">
        <v>2567</v>
      </c>
      <c r="D568" s="1344"/>
      <c r="E568" s="1344"/>
      <c r="F568" s="1344"/>
      <c r="G568" s="1344"/>
      <c r="H568" s="1344"/>
      <c r="I568" s="1344"/>
      <c r="J568" s="1344"/>
      <c r="K568" s="1344"/>
      <c r="L568" s="1344"/>
      <c r="M568" s="1344"/>
      <c r="N568" s="1344"/>
      <c r="O568" s="1344"/>
      <c r="P568" s="1344"/>
      <c r="Q568" s="1344"/>
      <c r="R568" s="1344"/>
      <c r="S568" s="1344"/>
      <c r="T568" s="1345"/>
      <c r="U568" s="1284">
        <v>145</v>
      </c>
      <c r="V568" s="1285"/>
      <c r="W568" s="1286"/>
    </row>
    <row r="569" spans="1:23" s="295" customFormat="1" ht="12.75" customHeight="1">
      <c r="A569" s="539"/>
      <c r="B569" s="1352" t="s">
        <v>3374</v>
      </c>
      <c r="C569" s="1353"/>
      <c r="D569" s="1353"/>
      <c r="E569" s="1353"/>
      <c r="F569" s="1353"/>
      <c r="G569" s="1353"/>
      <c r="H569" s="1353"/>
      <c r="I569" s="1353"/>
      <c r="J569" s="1353"/>
      <c r="K569" s="1353"/>
      <c r="L569" s="1353"/>
      <c r="M569" s="1353"/>
      <c r="N569" s="1353"/>
      <c r="O569" s="1353"/>
      <c r="P569" s="1353"/>
      <c r="Q569" s="1353"/>
      <c r="R569" s="1353"/>
      <c r="S569" s="1353"/>
      <c r="T569" s="1354"/>
      <c r="U569" s="1284"/>
      <c r="V569" s="1285"/>
      <c r="W569" s="1286"/>
    </row>
    <row r="570" spans="1:23" s="295" customFormat="1" ht="12.75" customHeight="1">
      <c r="A570" s="539"/>
      <c r="B570" s="1349"/>
      <c r="C570" s="1343" t="s">
        <v>2568</v>
      </c>
      <c r="D570" s="1344"/>
      <c r="E570" s="1344"/>
      <c r="F570" s="1344"/>
      <c r="G570" s="1344"/>
      <c r="H570" s="1344"/>
      <c r="I570" s="1344"/>
      <c r="J570" s="1344"/>
      <c r="K570" s="1344"/>
      <c r="L570" s="1344"/>
      <c r="M570" s="1344"/>
      <c r="N570" s="1344"/>
      <c r="O570" s="1344"/>
      <c r="P570" s="1344"/>
      <c r="Q570" s="1344"/>
      <c r="R570" s="1344"/>
      <c r="S570" s="1344"/>
      <c r="T570" s="1345"/>
      <c r="U570" s="1374" t="s">
        <v>3303</v>
      </c>
      <c r="V570" s="1375"/>
      <c r="W570" s="1376"/>
    </row>
    <row r="571" spans="1:23" s="295" customFormat="1" ht="12.75" customHeight="1">
      <c r="A571" s="539"/>
      <c r="B571" s="1350"/>
      <c r="C571" s="1343" t="s">
        <v>2569</v>
      </c>
      <c r="D571" s="1344"/>
      <c r="E571" s="1344"/>
      <c r="F571" s="1344"/>
      <c r="G571" s="1344"/>
      <c r="H571" s="1344"/>
      <c r="I571" s="1344"/>
      <c r="J571" s="1344"/>
      <c r="K571" s="1344"/>
      <c r="L571" s="1344"/>
      <c r="M571" s="1344"/>
      <c r="N571" s="1344"/>
      <c r="O571" s="1344"/>
      <c r="P571" s="1344"/>
      <c r="Q571" s="1344"/>
      <c r="R571" s="1344"/>
      <c r="S571" s="1344"/>
      <c r="T571" s="1345"/>
      <c r="U571" s="1284">
        <v>74</v>
      </c>
      <c r="V571" s="1285"/>
      <c r="W571" s="1286"/>
    </row>
    <row r="572" spans="1:23" s="295" customFormat="1" ht="12.75" customHeight="1">
      <c r="A572" s="539"/>
      <c r="B572" s="1350"/>
      <c r="C572" s="1343" t="s">
        <v>2570</v>
      </c>
      <c r="D572" s="1344"/>
      <c r="E572" s="1344"/>
      <c r="F572" s="1344"/>
      <c r="G572" s="1344"/>
      <c r="H572" s="1344"/>
      <c r="I572" s="1344"/>
      <c r="J572" s="1344"/>
      <c r="K572" s="1344"/>
      <c r="L572" s="1344"/>
      <c r="M572" s="1344"/>
      <c r="N572" s="1344"/>
      <c r="O572" s="1344"/>
      <c r="P572" s="1344"/>
      <c r="Q572" s="1344"/>
      <c r="R572" s="1344"/>
      <c r="S572" s="1344"/>
      <c r="T572" s="1345"/>
      <c r="U572" s="1284">
        <v>74</v>
      </c>
      <c r="V572" s="1285"/>
      <c r="W572" s="1286"/>
    </row>
    <row r="573" spans="1:23" s="295" customFormat="1" ht="12.75" customHeight="1">
      <c r="A573" s="539"/>
      <c r="B573" s="1350"/>
      <c r="C573" s="1343" t="s">
        <v>2571</v>
      </c>
      <c r="D573" s="1344"/>
      <c r="E573" s="1344"/>
      <c r="F573" s="1344"/>
      <c r="G573" s="1344"/>
      <c r="H573" s="1344"/>
      <c r="I573" s="1344"/>
      <c r="J573" s="1344"/>
      <c r="K573" s="1344"/>
      <c r="L573" s="1344"/>
      <c r="M573" s="1344"/>
      <c r="N573" s="1344"/>
      <c r="O573" s="1344"/>
      <c r="P573" s="1344"/>
      <c r="Q573" s="1344"/>
      <c r="R573" s="1344"/>
      <c r="S573" s="1344"/>
      <c r="T573" s="1345"/>
      <c r="U573" s="1284">
        <v>74</v>
      </c>
      <c r="V573" s="1285"/>
      <c r="W573" s="1286"/>
    </row>
    <row r="574" spans="1:23" s="295" customFormat="1" ht="12.75" customHeight="1">
      <c r="A574" s="539"/>
      <c r="B574" s="1350"/>
      <c r="C574" s="1343" t="s">
        <v>2572</v>
      </c>
      <c r="D574" s="1344"/>
      <c r="E574" s="1344"/>
      <c r="F574" s="1344"/>
      <c r="G574" s="1344"/>
      <c r="H574" s="1344"/>
      <c r="I574" s="1344"/>
      <c r="J574" s="1344"/>
      <c r="K574" s="1344"/>
      <c r="L574" s="1344"/>
      <c r="M574" s="1344"/>
      <c r="N574" s="1344"/>
      <c r="O574" s="1344"/>
      <c r="P574" s="1344"/>
      <c r="Q574" s="1344"/>
      <c r="R574" s="1344"/>
      <c r="S574" s="1344"/>
      <c r="T574" s="1345"/>
      <c r="U574" s="1284">
        <v>74</v>
      </c>
      <c r="V574" s="1285"/>
      <c r="W574" s="1286"/>
    </row>
    <row r="575" spans="1:23" s="295" customFormat="1" ht="12.75" customHeight="1">
      <c r="A575" s="539"/>
      <c r="B575" s="1350"/>
      <c r="C575" s="1343" t="s">
        <v>2573</v>
      </c>
      <c r="D575" s="1344"/>
      <c r="E575" s="1344"/>
      <c r="F575" s="1344"/>
      <c r="G575" s="1344"/>
      <c r="H575" s="1344"/>
      <c r="I575" s="1344"/>
      <c r="J575" s="1344"/>
      <c r="K575" s="1344"/>
      <c r="L575" s="1344"/>
      <c r="M575" s="1344"/>
      <c r="N575" s="1344"/>
      <c r="O575" s="1344"/>
      <c r="P575" s="1344"/>
      <c r="Q575" s="1344"/>
      <c r="R575" s="1344"/>
      <c r="S575" s="1344"/>
      <c r="T575" s="1345"/>
      <c r="U575" s="1284">
        <v>74</v>
      </c>
      <c r="V575" s="1285"/>
      <c r="W575" s="1286"/>
    </row>
    <row r="576" spans="1:23" s="295" customFormat="1" ht="12.75" customHeight="1">
      <c r="A576" s="539"/>
      <c r="B576" s="1350"/>
      <c r="C576" s="1343" t="s">
        <v>2574</v>
      </c>
      <c r="D576" s="1344"/>
      <c r="E576" s="1344"/>
      <c r="F576" s="1344"/>
      <c r="G576" s="1344"/>
      <c r="H576" s="1344"/>
      <c r="I576" s="1344"/>
      <c r="J576" s="1344"/>
      <c r="K576" s="1344"/>
      <c r="L576" s="1344"/>
      <c r="M576" s="1344"/>
      <c r="N576" s="1344"/>
      <c r="O576" s="1344"/>
      <c r="P576" s="1344"/>
      <c r="Q576" s="1344"/>
      <c r="R576" s="1344"/>
      <c r="S576" s="1344"/>
      <c r="T576" s="1345"/>
      <c r="U576" s="1284">
        <v>74</v>
      </c>
      <c r="V576" s="1285"/>
      <c r="W576" s="1286"/>
    </row>
    <row r="577" spans="1:23" s="295" customFormat="1" ht="12.75" customHeight="1">
      <c r="A577" s="539"/>
      <c r="B577" s="1350"/>
      <c r="C577" s="1343" t="s">
        <v>2575</v>
      </c>
      <c r="D577" s="1344"/>
      <c r="E577" s="1344"/>
      <c r="F577" s="1344"/>
      <c r="G577" s="1344"/>
      <c r="H577" s="1344"/>
      <c r="I577" s="1344"/>
      <c r="J577" s="1344"/>
      <c r="K577" s="1344"/>
      <c r="L577" s="1344"/>
      <c r="M577" s="1344"/>
      <c r="N577" s="1344"/>
      <c r="O577" s="1344"/>
      <c r="P577" s="1344"/>
      <c r="Q577" s="1344"/>
      <c r="R577" s="1344"/>
      <c r="S577" s="1344"/>
      <c r="T577" s="1345"/>
      <c r="U577" s="1284">
        <v>74</v>
      </c>
      <c r="V577" s="1285"/>
      <c r="W577" s="1286"/>
    </row>
    <row r="578" spans="1:23" s="295" customFormat="1" ht="12.75" customHeight="1">
      <c r="A578" s="539"/>
      <c r="B578" s="1350"/>
      <c r="C578" s="1343" t="s">
        <v>2576</v>
      </c>
      <c r="D578" s="1344"/>
      <c r="E578" s="1344"/>
      <c r="F578" s="1344"/>
      <c r="G578" s="1344"/>
      <c r="H578" s="1344"/>
      <c r="I578" s="1344"/>
      <c r="J578" s="1344"/>
      <c r="K578" s="1344"/>
      <c r="L578" s="1344"/>
      <c r="M578" s="1344"/>
      <c r="N578" s="1344"/>
      <c r="O578" s="1344"/>
      <c r="P578" s="1344"/>
      <c r="Q578" s="1344"/>
      <c r="R578" s="1344"/>
      <c r="S578" s="1344"/>
      <c r="T578" s="1345"/>
      <c r="U578" s="1284"/>
      <c r="V578" s="1285"/>
      <c r="W578" s="1286"/>
    </row>
    <row r="579" spans="1:23" s="295" customFormat="1" ht="12.75" customHeight="1">
      <c r="A579" s="539"/>
      <c r="B579" s="1350"/>
      <c r="C579" s="1291"/>
      <c r="D579" s="1343" t="s">
        <v>2542</v>
      </c>
      <c r="E579" s="1344"/>
      <c r="F579" s="1344"/>
      <c r="G579" s="1344"/>
      <c r="H579" s="1344"/>
      <c r="I579" s="1344"/>
      <c r="J579" s="1344"/>
      <c r="K579" s="1344"/>
      <c r="L579" s="1344"/>
      <c r="M579" s="1344"/>
      <c r="N579" s="1344"/>
      <c r="O579" s="1344"/>
      <c r="P579" s="1344"/>
      <c r="Q579" s="1344"/>
      <c r="R579" s="1344"/>
      <c r="S579" s="1344"/>
      <c r="T579" s="1345"/>
      <c r="U579" s="1284">
        <v>75</v>
      </c>
      <c r="V579" s="1285"/>
      <c r="W579" s="1286"/>
    </row>
    <row r="580" spans="1:23" s="295" customFormat="1" ht="12.75" customHeight="1">
      <c r="A580" s="539"/>
      <c r="B580" s="1350"/>
      <c r="C580" s="1292"/>
      <c r="D580" s="1343" t="s">
        <v>2543</v>
      </c>
      <c r="E580" s="1344"/>
      <c r="F580" s="1344"/>
      <c r="G580" s="1344"/>
      <c r="H580" s="1344"/>
      <c r="I580" s="1344"/>
      <c r="J580" s="1344"/>
      <c r="K580" s="1344"/>
      <c r="L580" s="1344"/>
      <c r="M580" s="1344"/>
      <c r="N580" s="1344"/>
      <c r="O580" s="1344"/>
      <c r="P580" s="1344"/>
      <c r="Q580" s="1344"/>
      <c r="R580" s="1344"/>
      <c r="S580" s="1344"/>
      <c r="T580" s="1345"/>
      <c r="U580" s="1284">
        <v>75</v>
      </c>
      <c r="V580" s="1285"/>
      <c r="W580" s="1286"/>
    </row>
    <row r="581" spans="1:23" s="295" customFormat="1" ht="12.75" customHeight="1">
      <c r="A581" s="539"/>
      <c r="B581" s="1350"/>
      <c r="C581" s="1293"/>
      <c r="D581" s="1343" t="s">
        <v>2544</v>
      </c>
      <c r="E581" s="1344"/>
      <c r="F581" s="1344"/>
      <c r="G581" s="1344"/>
      <c r="H581" s="1344"/>
      <c r="I581" s="1344"/>
      <c r="J581" s="1344"/>
      <c r="K581" s="1344"/>
      <c r="L581" s="1344"/>
      <c r="M581" s="1344"/>
      <c r="N581" s="1344"/>
      <c r="O581" s="1344"/>
      <c r="P581" s="1344"/>
      <c r="Q581" s="1344"/>
      <c r="R581" s="1344"/>
      <c r="S581" s="1344"/>
      <c r="T581" s="1345"/>
      <c r="U581" s="1284">
        <v>75</v>
      </c>
      <c r="V581" s="1285"/>
      <c r="W581" s="1286"/>
    </row>
    <row r="582" spans="1:23" s="295" customFormat="1" ht="12.75" customHeight="1">
      <c r="A582" s="539"/>
      <c r="B582" s="1350"/>
      <c r="C582" s="1355" t="s">
        <v>2577</v>
      </c>
      <c r="D582" s="1356"/>
      <c r="E582" s="1356"/>
      <c r="F582" s="1356"/>
      <c r="G582" s="1356"/>
      <c r="H582" s="1356"/>
      <c r="I582" s="1356"/>
      <c r="J582" s="1356"/>
      <c r="K582" s="1356"/>
      <c r="L582" s="1356"/>
      <c r="M582" s="1356"/>
      <c r="N582" s="1356"/>
      <c r="O582" s="1356"/>
      <c r="P582" s="1356"/>
      <c r="Q582" s="1356"/>
      <c r="R582" s="1356"/>
      <c r="S582" s="1356"/>
      <c r="T582" s="1357"/>
      <c r="U582" s="1284">
        <v>66</v>
      </c>
      <c r="V582" s="1285"/>
      <c r="W582" s="1286"/>
    </row>
    <row r="583" spans="1:23" s="295" customFormat="1" ht="12.75" customHeight="1">
      <c r="A583" s="539"/>
      <c r="B583" s="1350"/>
      <c r="C583" s="1291"/>
      <c r="D583" s="1343" t="s">
        <v>2578</v>
      </c>
      <c r="E583" s="1344"/>
      <c r="F583" s="1344"/>
      <c r="G583" s="1344"/>
      <c r="H583" s="1344"/>
      <c r="I583" s="1344"/>
      <c r="J583" s="1344"/>
      <c r="K583" s="1344"/>
      <c r="L583" s="1344"/>
      <c r="M583" s="1344"/>
      <c r="N583" s="1344"/>
      <c r="O583" s="1344"/>
      <c r="P583" s="1344"/>
      <c r="Q583" s="1344"/>
      <c r="R583" s="1344"/>
      <c r="S583" s="1344"/>
      <c r="T583" s="1345"/>
      <c r="U583" s="1284">
        <v>66</v>
      </c>
      <c r="V583" s="1285"/>
      <c r="W583" s="1286"/>
    </row>
    <row r="584" spans="1:23" s="295" customFormat="1" ht="12.75" customHeight="1">
      <c r="A584" s="539"/>
      <c r="B584" s="1350"/>
      <c r="C584" s="1292"/>
      <c r="D584" s="1343" t="s">
        <v>2579</v>
      </c>
      <c r="E584" s="1344"/>
      <c r="F584" s="1344"/>
      <c r="G584" s="1344"/>
      <c r="H584" s="1344"/>
      <c r="I584" s="1344"/>
      <c r="J584" s="1344"/>
      <c r="K584" s="1344"/>
      <c r="L584" s="1344"/>
      <c r="M584" s="1344"/>
      <c r="N584" s="1344"/>
      <c r="O584" s="1344"/>
      <c r="P584" s="1344"/>
      <c r="Q584" s="1344"/>
      <c r="R584" s="1344"/>
      <c r="S584" s="1344"/>
      <c r="T584" s="1345"/>
      <c r="U584" s="1284">
        <v>66</v>
      </c>
      <c r="V584" s="1285"/>
      <c r="W584" s="1286"/>
    </row>
    <row r="585" spans="1:23" s="295" customFormat="1" ht="12.75" customHeight="1">
      <c r="A585" s="539"/>
      <c r="B585" s="1351"/>
      <c r="C585" s="1293"/>
      <c r="D585" s="1343" t="s">
        <v>2544</v>
      </c>
      <c r="E585" s="1344"/>
      <c r="F585" s="1344"/>
      <c r="G585" s="1344"/>
      <c r="H585" s="1344"/>
      <c r="I585" s="1344"/>
      <c r="J585" s="1344"/>
      <c r="K585" s="1344"/>
      <c r="L585" s="1344"/>
      <c r="M585" s="1344"/>
      <c r="N585" s="1344"/>
      <c r="O585" s="1344"/>
      <c r="P585" s="1344"/>
      <c r="Q585" s="1344"/>
      <c r="R585" s="1344"/>
      <c r="S585" s="1344"/>
      <c r="T585" s="1345"/>
      <c r="U585" s="1284">
        <v>66</v>
      </c>
      <c r="V585" s="1285"/>
      <c r="W585" s="1286"/>
    </row>
    <row r="586" spans="1:23" s="295" customFormat="1" ht="12.75" customHeight="1">
      <c r="A586" s="539"/>
      <c r="B586" s="529"/>
      <c r="C586" s="530"/>
      <c r="D586" s="483"/>
      <c r="E586" s="483"/>
      <c r="F586" s="483"/>
      <c r="G586" s="483"/>
      <c r="H586" s="483"/>
      <c r="I586" s="483"/>
      <c r="J586" s="483"/>
      <c r="K586" s="483"/>
      <c r="L586" s="483"/>
      <c r="M586" s="483"/>
      <c r="N586" s="483"/>
      <c r="O586" s="483"/>
      <c r="P586" s="483"/>
      <c r="Q586" s="483"/>
      <c r="R586" s="483"/>
      <c r="S586" s="483"/>
      <c r="T586" s="435"/>
      <c r="U586" s="313"/>
      <c r="V586" s="484"/>
      <c r="W586" s="455"/>
    </row>
    <row r="587" spans="1:23" s="295" customFormat="1" ht="12.75" customHeight="1">
      <c r="A587" s="539"/>
      <c r="B587" s="529"/>
      <c r="C587" s="530"/>
      <c r="D587" s="483"/>
      <c r="E587" s="483"/>
      <c r="F587" s="483"/>
      <c r="G587" s="483"/>
      <c r="H587" s="483"/>
      <c r="I587" s="483"/>
      <c r="J587" s="483"/>
      <c r="K587" s="483"/>
      <c r="L587" s="483"/>
      <c r="M587" s="483"/>
      <c r="N587" s="483"/>
      <c r="O587" s="483"/>
      <c r="P587" s="483"/>
      <c r="Q587" s="483"/>
      <c r="R587" s="483"/>
      <c r="S587" s="483"/>
      <c r="T587" s="435"/>
      <c r="U587" s="313"/>
      <c r="V587" s="484"/>
      <c r="W587" s="455"/>
    </row>
    <row r="588" spans="1:23" s="295" customFormat="1" ht="30" customHeight="1">
      <c r="A588" s="1300" t="s">
        <v>2541</v>
      </c>
      <c r="B588" s="1300"/>
      <c r="C588" s="1300"/>
      <c r="D588" s="1300"/>
      <c r="E588" s="1300"/>
      <c r="F588" s="1300"/>
      <c r="G588" s="1300"/>
      <c r="H588" s="1300"/>
      <c r="I588" s="1300"/>
      <c r="J588" s="1300"/>
      <c r="K588" s="1300"/>
      <c r="L588" s="1300"/>
      <c r="M588" s="1300"/>
      <c r="N588" s="1300"/>
      <c r="O588" s="1300"/>
      <c r="P588" s="1300"/>
      <c r="Q588" s="1300"/>
      <c r="R588" s="1300"/>
      <c r="S588" s="1300"/>
      <c r="T588" s="1300"/>
      <c r="U588" s="1299" t="s">
        <v>3305</v>
      </c>
      <c r="V588" s="1299"/>
      <c r="W588" s="1299"/>
    </row>
    <row r="589" spans="1:23" s="295" customFormat="1" ht="12.75" customHeight="1">
      <c r="A589" s="539"/>
      <c r="B589" s="1352" t="s">
        <v>3375</v>
      </c>
      <c r="C589" s="1353"/>
      <c r="D589" s="1353"/>
      <c r="E589" s="1353"/>
      <c r="F589" s="1353"/>
      <c r="G589" s="1353"/>
      <c r="H589" s="1353"/>
      <c r="I589" s="1353"/>
      <c r="J589" s="1353"/>
      <c r="K589" s="1353"/>
      <c r="L589" s="1353"/>
      <c r="M589" s="1353"/>
      <c r="N589" s="1353"/>
      <c r="O589" s="1353"/>
      <c r="P589" s="1353"/>
      <c r="Q589" s="1353"/>
      <c r="R589" s="1353"/>
      <c r="S589" s="1353"/>
      <c r="T589" s="1354"/>
      <c r="U589" s="1284"/>
      <c r="V589" s="1285"/>
      <c r="W589" s="1286"/>
    </row>
    <row r="590" spans="1:23" s="295" customFormat="1" ht="12.75" customHeight="1">
      <c r="A590" s="539"/>
      <c r="B590" s="1349"/>
      <c r="C590" s="1343" t="s">
        <v>2580</v>
      </c>
      <c r="D590" s="1344"/>
      <c r="E590" s="1344"/>
      <c r="F590" s="1344"/>
      <c r="G590" s="1344"/>
      <c r="H590" s="1344"/>
      <c r="I590" s="1344"/>
      <c r="J590" s="1344"/>
      <c r="K590" s="1344"/>
      <c r="L590" s="1344"/>
      <c r="M590" s="1344"/>
      <c r="N590" s="1344"/>
      <c r="O590" s="1344"/>
      <c r="P590" s="1344"/>
      <c r="Q590" s="1344"/>
      <c r="R590" s="1344"/>
      <c r="S590" s="1344"/>
      <c r="T590" s="1345"/>
      <c r="U590" s="1284"/>
      <c r="V590" s="1285"/>
      <c r="W590" s="1286"/>
    </row>
    <row r="591" spans="1:23" s="295" customFormat="1" ht="12.75" customHeight="1">
      <c r="A591" s="539"/>
      <c r="B591" s="1350"/>
      <c r="C591" s="1291"/>
      <c r="D591" s="1343" t="s">
        <v>2578</v>
      </c>
      <c r="E591" s="1344"/>
      <c r="F591" s="1344"/>
      <c r="G591" s="1344"/>
      <c r="H591" s="1344"/>
      <c r="I591" s="1344"/>
      <c r="J591" s="1344"/>
      <c r="K591" s="1344"/>
      <c r="L591" s="1344"/>
      <c r="M591" s="1344"/>
      <c r="N591" s="1344"/>
      <c r="O591" s="1344"/>
      <c r="P591" s="1344"/>
      <c r="Q591" s="1344"/>
      <c r="R591" s="1344"/>
      <c r="S591" s="1344"/>
      <c r="T591" s="1345"/>
      <c r="U591" s="1284">
        <v>90</v>
      </c>
      <c r="V591" s="1285"/>
      <c r="W591" s="1286"/>
    </row>
    <row r="592" spans="1:23" s="295" customFormat="1" ht="12.75" customHeight="1">
      <c r="A592" s="539"/>
      <c r="B592" s="1350"/>
      <c r="C592" s="1292"/>
      <c r="D592" s="1343" t="s">
        <v>2579</v>
      </c>
      <c r="E592" s="1344"/>
      <c r="F592" s="1344"/>
      <c r="G592" s="1344"/>
      <c r="H592" s="1344"/>
      <c r="I592" s="1344"/>
      <c r="J592" s="1344"/>
      <c r="K592" s="1344"/>
      <c r="L592" s="1344"/>
      <c r="M592" s="1344"/>
      <c r="N592" s="1344"/>
      <c r="O592" s="1344"/>
      <c r="P592" s="1344"/>
      <c r="Q592" s="1344"/>
      <c r="R592" s="1344"/>
      <c r="S592" s="1344"/>
      <c r="T592" s="1345"/>
      <c r="U592" s="1284">
        <v>80</v>
      </c>
      <c r="V592" s="1285"/>
      <c r="W592" s="1286"/>
    </row>
    <row r="593" spans="1:23" s="295" customFormat="1" ht="12.75" customHeight="1">
      <c r="A593" s="540"/>
      <c r="B593" s="1351"/>
      <c r="C593" s="1293"/>
      <c r="D593" s="1343" t="s">
        <v>2544</v>
      </c>
      <c r="E593" s="1344"/>
      <c r="F593" s="1344"/>
      <c r="G593" s="1344"/>
      <c r="H593" s="1344"/>
      <c r="I593" s="1344"/>
      <c r="J593" s="1344"/>
      <c r="K593" s="1344"/>
      <c r="L593" s="1344"/>
      <c r="M593" s="1344"/>
      <c r="N593" s="1344"/>
      <c r="O593" s="1344"/>
      <c r="P593" s="1344"/>
      <c r="Q593" s="1344"/>
      <c r="R593" s="1344"/>
      <c r="S593" s="1344"/>
      <c r="T593" s="1345"/>
      <c r="U593" s="1284">
        <v>70</v>
      </c>
      <c r="V593" s="1285"/>
      <c r="W593" s="1286"/>
    </row>
    <row r="594" spans="1:23" s="295" customFormat="1" ht="30" customHeight="1">
      <c r="A594" s="1364" t="s">
        <v>764</v>
      </c>
      <c r="B594" s="1364"/>
      <c r="C594" s="1364"/>
      <c r="D594" s="1364"/>
      <c r="E594" s="1364"/>
      <c r="F594" s="1364"/>
      <c r="G594" s="1364"/>
      <c r="H594" s="1364"/>
      <c r="I594" s="1364"/>
      <c r="J594" s="1364"/>
      <c r="K594" s="1364"/>
      <c r="L594" s="1364"/>
      <c r="M594" s="1364"/>
      <c r="N594" s="1364"/>
      <c r="O594" s="1364"/>
      <c r="P594" s="1364"/>
      <c r="Q594" s="1364"/>
      <c r="R594" s="1364"/>
      <c r="S594" s="1364"/>
      <c r="T594" s="1364"/>
      <c r="U594" s="1340"/>
      <c r="V594" s="1341"/>
      <c r="W594" s="1342"/>
    </row>
    <row r="595" spans="1:23" s="295" customFormat="1" ht="12.75" customHeight="1">
      <c r="A595" s="1358"/>
      <c r="B595" s="1364" t="s">
        <v>765</v>
      </c>
      <c r="C595" s="1364"/>
      <c r="D595" s="1364"/>
      <c r="E595" s="1364"/>
      <c r="F595" s="1364"/>
      <c r="G595" s="1364"/>
      <c r="H595" s="1364"/>
      <c r="I595" s="1364"/>
      <c r="J595" s="1364"/>
      <c r="K595" s="1364"/>
      <c r="L595" s="1364"/>
      <c r="M595" s="1364"/>
      <c r="N595" s="1364"/>
      <c r="O595" s="1364"/>
      <c r="P595" s="1364"/>
      <c r="Q595" s="1364"/>
      <c r="R595" s="1364"/>
      <c r="S595" s="1364"/>
      <c r="T595" s="1364"/>
      <c r="U595" s="1214"/>
      <c r="V595" s="1214"/>
      <c r="W595" s="1214"/>
    </row>
    <row r="596" spans="1:23" s="295" customFormat="1" ht="12.75" customHeight="1">
      <c r="A596" s="1350"/>
      <c r="B596" s="1360"/>
      <c r="C596" s="1291"/>
      <c r="D596" s="1363" t="s">
        <v>2581</v>
      </c>
      <c r="E596" s="1363"/>
      <c r="F596" s="1363"/>
      <c r="G596" s="1363"/>
      <c r="H596" s="1363"/>
      <c r="I596" s="1363"/>
      <c r="J596" s="1363"/>
      <c r="K596" s="1363"/>
      <c r="L596" s="1363"/>
      <c r="M596" s="1363"/>
      <c r="N596" s="1363"/>
      <c r="O596" s="1363"/>
      <c r="P596" s="1363"/>
      <c r="Q596" s="1363"/>
      <c r="R596" s="1363"/>
      <c r="S596" s="1363"/>
      <c r="T596" s="1363"/>
      <c r="U596" s="1214">
        <v>103</v>
      </c>
      <c r="V596" s="1214"/>
      <c r="W596" s="1214"/>
    </row>
    <row r="597" spans="1:23" s="295" customFormat="1" ht="12.75" customHeight="1">
      <c r="A597" s="1350"/>
      <c r="B597" s="1361"/>
      <c r="C597" s="1292"/>
      <c r="D597" s="1363" t="s">
        <v>2582</v>
      </c>
      <c r="E597" s="1363"/>
      <c r="F597" s="1363"/>
      <c r="G597" s="1363"/>
      <c r="H597" s="1363"/>
      <c r="I597" s="1363"/>
      <c r="J597" s="1363"/>
      <c r="K597" s="1363"/>
      <c r="L597" s="1363"/>
      <c r="M597" s="1363"/>
      <c r="N597" s="1363"/>
      <c r="O597" s="1363"/>
      <c r="P597" s="1363"/>
      <c r="Q597" s="1363"/>
      <c r="R597" s="1363"/>
      <c r="S597" s="1363"/>
      <c r="T597" s="1363"/>
      <c r="U597" s="1214">
        <v>82</v>
      </c>
      <c r="V597" s="1214"/>
      <c r="W597" s="1214"/>
    </row>
    <row r="598" spans="1:23" s="295" customFormat="1" ht="12.75" customHeight="1">
      <c r="A598" s="1350"/>
      <c r="B598" s="1361"/>
      <c r="C598" s="1292"/>
      <c r="D598" s="1363" t="s">
        <v>2583</v>
      </c>
      <c r="E598" s="1363"/>
      <c r="F598" s="1363"/>
      <c r="G598" s="1363"/>
      <c r="H598" s="1363"/>
      <c r="I598" s="1363"/>
      <c r="J598" s="1363"/>
      <c r="K598" s="1363"/>
      <c r="L598" s="1363"/>
      <c r="M598" s="1363"/>
      <c r="N598" s="1363"/>
      <c r="O598" s="1363"/>
      <c r="P598" s="1363"/>
      <c r="Q598" s="1363"/>
      <c r="R598" s="1363"/>
      <c r="S598" s="1363"/>
      <c r="T598" s="1363"/>
      <c r="U598" s="1214">
        <v>81</v>
      </c>
      <c r="V598" s="1214"/>
      <c r="W598" s="1214"/>
    </row>
    <row r="599" spans="1:23" s="295" customFormat="1" ht="12.75" customHeight="1">
      <c r="A599" s="1350"/>
      <c r="B599" s="1361"/>
      <c r="C599" s="1292"/>
      <c r="D599" s="1363" t="s">
        <v>2584</v>
      </c>
      <c r="E599" s="1363"/>
      <c r="F599" s="1363"/>
      <c r="G599" s="1363"/>
      <c r="H599" s="1363"/>
      <c r="I599" s="1363"/>
      <c r="J599" s="1363"/>
      <c r="K599" s="1363"/>
      <c r="L599" s="1363"/>
      <c r="M599" s="1363"/>
      <c r="N599" s="1363"/>
      <c r="O599" s="1363"/>
      <c r="P599" s="1363"/>
      <c r="Q599" s="1363"/>
      <c r="R599" s="1363"/>
      <c r="S599" s="1363"/>
      <c r="T599" s="1363"/>
      <c r="U599" s="1214">
        <v>79</v>
      </c>
      <c r="V599" s="1214"/>
      <c r="W599" s="1214"/>
    </row>
    <row r="600" spans="1:23" s="295" customFormat="1" ht="12.75" customHeight="1">
      <c r="A600" s="1350"/>
      <c r="B600" s="1361"/>
      <c r="C600" s="1292"/>
      <c r="D600" s="1363" t="s">
        <v>2585</v>
      </c>
      <c r="E600" s="1363"/>
      <c r="F600" s="1363"/>
      <c r="G600" s="1363"/>
      <c r="H600" s="1363"/>
      <c r="I600" s="1363"/>
      <c r="J600" s="1363"/>
      <c r="K600" s="1363"/>
      <c r="L600" s="1363"/>
      <c r="M600" s="1363"/>
      <c r="N600" s="1363"/>
      <c r="O600" s="1363"/>
      <c r="P600" s="1363"/>
      <c r="Q600" s="1363"/>
      <c r="R600" s="1363"/>
      <c r="S600" s="1363"/>
      <c r="T600" s="1363"/>
      <c r="U600" s="1214">
        <v>77</v>
      </c>
      <c r="V600" s="1214"/>
      <c r="W600" s="1214"/>
    </row>
    <row r="601" spans="1:23" s="295" customFormat="1" ht="12.75" customHeight="1">
      <c r="A601" s="1350"/>
      <c r="B601" s="1361"/>
      <c r="C601" s="1292"/>
      <c r="D601" s="1363" t="s">
        <v>2586</v>
      </c>
      <c r="E601" s="1363"/>
      <c r="F601" s="1363"/>
      <c r="G601" s="1363"/>
      <c r="H601" s="1363"/>
      <c r="I601" s="1363"/>
      <c r="J601" s="1363"/>
      <c r="K601" s="1363"/>
      <c r="L601" s="1363"/>
      <c r="M601" s="1363"/>
      <c r="N601" s="1363"/>
      <c r="O601" s="1363"/>
      <c r="P601" s="1363"/>
      <c r="Q601" s="1363"/>
      <c r="R601" s="1363"/>
      <c r="S601" s="1363"/>
      <c r="T601" s="1363"/>
      <c r="U601" s="1214">
        <v>75</v>
      </c>
      <c r="V601" s="1214"/>
      <c r="W601" s="1214"/>
    </row>
    <row r="602" spans="1:23" s="295" customFormat="1" ht="12.75" customHeight="1">
      <c r="A602" s="1350"/>
      <c r="B602" s="1361"/>
      <c r="C602" s="1292"/>
      <c r="D602" s="1363" t="s">
        <v>2587</v>
      </c>
      <c r="E602" s="1363"/>
      <c r="F602" s="1363"/>
      <c r="G602" s="1363"/>
      <c r="H602" s="1363"/>
      <c r="I602" s="1363"/>
      <c r="J602" s="1363"/>
      <c r="K602" s="1363"/>
      <c r="L602" s="1363"/>
      <c r="M602" s="1363"/>
      <c r="N602" s="1363"/>
      <c r="O602" s="1363"/>
      <c r="P602" s="1363"/>
      <c r="Q602" s="1363"/>
      <c r="R602" s="1363"/>
      <c r="S602" s="1363"/>
      <c r="T602" s="1363"/>
      <c r="U602" s="1214">
        <v>63</v>
      </c>
      <c r="V602" s="1214"/>
      <c r="W602" s="1214"/>
    </row>
    <row r="603" spans="1:23" s="295" customFormat="1" ht="12.75" customHeight="1">
      <c r="A603" s="1350"/>
      <c r="B603" s="1361"/>
      <c r="C603" s="1292"/>
      <c r="D603" s="1363" t="s">
        <v>2588</v>
      </c>
      <c r="E603" s="1363"/>
      <c r="F603" s="1363"/>
      <c r="G603" s="1363"/>
      <c r="H603" s="1363"/>
      <c r="I603" s="1363"/>
      <c r="J603" s="1363"/>
      <c r="K603" s="1363"/>
      <c r="L603" s="1363"/>
      <c r="M603" s="1363"/>
      <c r="N603" s="1363"/>
      <c r="O603" s="1363"/>
      <c r="P603" s="1363"/>
      <c r="Q603" s="1363"/>
      <c r="R603" s="1363"/>
      <c r="S603" s="1363"/>
      <c r="T603" s="1363"/>
      <c r="U603" s="1214">
        <v>59</v>
      </c>
      <c r="V603" s="1214"/>
      <c r="W603" s="1214"/>
    </row>
    <row r="604" spans="1:23" s="295" customFormat="1" ht="12.75" customHeight="1">
      <c r="A604" s="1350"/>
      <c r="B604" s="1361"/>
      <c r="C604" s="1292"/>
      <c r="D604" s="1363" t="s">
        <v>2589</v>
      </c>
      <c r="E604" s="1363"/>
      <c r="F604" s="1363"/>
      <c r="G604" s="1363"/>
      <c r="H604" s="1363"/>
      <c r="I604" s="1363"/>
      <c r="J604" s="1363"/>
      <c r="K604" s="1363"/>
      <c r="L604" s="1363"/>
      <c r="M604" s="1363"/>
      <c r="N604" s="1363"/>
      <c r="O604" s="1363"/>
      <c r="P604" s="1363"/>
      <c r="Q604" s="1363"/>
      <c r="R604" s="1363"/>
      <c r="S604" s="1363"/>
      <c r="T604" s="1363"/>
      <c r="U604" s="1214">
        <v>56</v>
      </c>
      <c r="V604" s="1214"/>
      <c r="W604" s="1214"/>
    </row>
    <row r="605" spans="1:23" s="295" customFormat="1" ht="12.75" customHeight="1">
      <c r="A605" s="1350"/>
      <c r="B605" s="1361"/>
      <c r="C605" s="1292"/>
      <c r="D605" s="1363" t="s">
        <v>2590</v>
      </c>
      <c r="E605" s="1363"/>
      <c r="F605" s="1363"/>
      <c r="G605" s="1363"/>
      <c r="H605" s="1363"/>
      <c r="I605" s="1363"/>
      <c r="J605" s="1363"/>
      <c r="K605" s="1363"/>
      <c r="L605" s="1363"/>
      <c r="M605" s="1363"/>
      <c r="N605" s="1363"/>
      <c r="O605" s="1363"/>
      <c r="P605" s="1363"/>
      <c r="Q605" s="1363"/>
      <c r="R605" s="1363"/>
      <c r="S605" s="1363"/>
      <c r="T605" s="1363"/>
      <c r="U605" s="1214">
        <v>68</v>
      </c>
      <c r="V605" s="1214"/>
      <c r="W605" s="1214"/>
    </row>
    <row r="606" spans="1:23" s="295" customFormat="1" ht="12.75" customHeight="1">
      <c r="A606" s="1350"/>
      <c r="B606" s="1361"/>
      <c r="C606" s="1292"/>
      <c r="D606" s="1363" t="s">
        <v>2591</v>
      </c>
      <c r="E606" s="1363"/>
      <c r="F606" s="1363"/>
      <c r="G606" s="1363"/>
      <c r="H606" s="1363"/>
      <c r="I606" s="1363"/>
      <c r="J606" s="1363"/>
      <c r="K606" s="1363"/>
      <c r="L606" s="1363"/>
      <c r="M606" s="1363"/>
      <c r="N606" s="1363"/>
      <c r="O606" s="1363"/>
      <c r="P606" s="1363"/>
      <c r="Q606" s="1363"/>
      <c r="R606" s="1363"/>
      <c r="S606" s="1363"/>
      <c r="T606" s="1363"/>
      <c r="U606" s="1214">
        <v>68</v>
      </c>
      <c r="V606" s="1214"/>
      <c r="W606" s="1214"/>
    </row>
    <row r="607" spans="1:23" s="295" customFormat="1" ht="12.75" customHeight="1">
      <c r="A607" s="1350"/>
      <c r="B607" s="1361"/>
      <c r="C607" s="1292"/>
      <c r="D607" s="1363" t="s">
        <v>2592</v>
      </c>
      <c r="E607" s="1363"/>
      <c r="F607" s="1363"/>
      <c r="G607" s="1363"/>
      <c r="H607" s="1363"/>
      <c r="I607" s="1363"/>
      <c r="J607" s="1363"/>
      <c r="K607" s="1363"/>
      <c r="L607" s="1363"/>
      <c r="M607" s="1363"/>
      <c r="N607" s="1363"/>
      <c r="O607" s="1363"/>
      <c r="P607" s="1363"/>
      <c r="Q607" s="1363"/>
      <c r="R607" s="1363"/>
      <c r="S607" s="1363"/>
      <c r="T607" s="1363"/>
      <c r="U607" s="1214">
        <v>68</v>
      </c>
      <c r="V607" s="1214"/>
      <c r="W607" s="1214"/>
    </row>
    <row r="608" spans="1:23" s="295" customFormat="1" ht="12.75" customHeight="1">
      <c r="A608" s="1350"/>
      <c r="B608" s="1361"/>
      <c r="C608" s="1292"/>
      <c r="D608" s="1363" t="s">
        <v>2593</v>
      </c>
      <c r="E608" s="1363"/>
      <c r="F608" s="1363"/>
      <c r="G608" s="1363"/>
      <c r="H608" s="1363"/>
      <c r="I608" s="1363"/>
      <c r="J608" s="1363"/>
      <c r="K608" s="1363"/>
      <c r="L608" s="1363"/>
      <c r="M608" s="1363"/>
      <c r="N608" s="1363"/>
      <c r="O608" s="1363"/>
      <c r="P608" s="1363"/>
      <c r="Q608" s="1363"/>
      <c r="R608" s="1363"/>
      <c r="S608" s="1363"/>
      <c r="T608" s="1363"/>
      <c r="U608" s="1214">
        <v>68</v>
      </c>
      <c r="V608" s="1214"/>
      <c r="W608" s="1214"/>
    </row>
    <row r="609" spans="1:23" s="295" customFormat="1" ht="12.75" customHeight="1">
      <c r="A609" s="1350"/>
      <c r="B609" s="1361"/>
      <c r="C609" s="1292"/>
      <c r="D609" s="1363" t="s">
        <v>2594</v>
      </c>
      <c r="E609" s="1363"/>
      <c r="F609" s="1363"/>
      <c r="G609" s="1363"/>
      <c r="H609" s="1363"/>
      <c r="I609" s="1363"/>
      <c r="J609" s="1363"/>
      <c r="K609" s="1363"/>
      <c r="L609" s="1363"/>
      <c r="M609" s="1363"/>
      <c r="N609" s="1363"/>
      <c r="O609" s="1363"/>
      <c r="P609" s="1363"/>
      <c r="Q609" s="1363"/>
      <c r="R609" s="1363"/>
      <c r="S609" s="1363"/>
      <c r="T609" s="1363"/>
      <c r="U609" s="1214">
        <v>69</v>
      </c>
      <c r="V609" s="1214"/>
      <c r="W609" s="1214"/>
    </row>
    <row r="610" spans="1:23" s="295" customFormat="1" ht="12.75" customHeight="1">
      <c r="A610" s="1350"/>
      <c r="B610" s="1361"/>
      <c r="C610" s="1292"/>
      <c r="D610" s="1363" t="s">
        <v>2595</v>
      </c>
      <c r="E610" s="1363"/>
      <c r="F610" s="1363"/>
      <c r="G610" s="1363"/>
      <c r="H610" s="1363"/>
      <c r="I610" s="1363"/>
      <c r="J610" s="1363"/>
      <c r="K610" s="1363"/>
      <c r="L610" s="1363"/>
      <c r="M610" s="1363"/>
      <c r="N610" s="1363"/>
      <c r="O610" s="1363"/>
      <c r="P610" s="1363"/>
      <c r="Q610" s="1363"/>
      <c r="R610" s="1363"/>
      <c r="S610" s="1363"/>
      <c r="T610" s="1363"/>
      <c r="U610" s="1214">
        <v>69</v>
      </c>
      <c r="V610" s="1214"/>
      <c r="W610" s="1214"/>
    </row>
    <row r="611" spans="1:23" s="295" customFormat="1" ht="12.75" customHeight="1">
      <c r="A611" s="1350"/>
      <c r="B611" s="1361"/>
      <c r="C611" s="1292"/>
      <c r="D611" s="1363" t="s">
        <v>2596</v>
      </c>
      <c r="E611" s="1363"/>
      <c r="F611" s="1363"/>
      <c r="G611" s="1363"/>
      <c r="H611" s="1363"/>
      <c r="I611" s="1363"/>
      <c r="J611" s="1363"/>
      <c r="K611" s="1363"/>
      <c r="L611" s="1363"/>
      <c r="M611" s="1363"/>
      <c r="N611" s="1363"/>
      <c r="O611" s="1363"/>
      <c r="P611" s="1363"/>
      <c r="Q611" s="1363"/>
      <c r="R611" s="1363"/>
      <c r="S611" s="1363"/>
      <c r="T611" s="1363"/>
      <c r="U611" s="1214">
        <v>69</v>
      </c>
      <c r="V611" s="1214"/>
      <c r="W611" s="1214"/>
    </row>
    <row r="612" spans="1:23" s="295" customFormat="1" ht="12.75" customHeight="1">
      <c r="A612" s="1350"/>
      <c r="B612" s="1362"/>
      <c r="C612" s="1293"/>
      <c r="D612" s="1363" t="s">
        <v>2597</v>
      </c>
      <c r="E612" s="1363"/>
      <c r="F612" s="1363"/>
      <c r="G612" s="1363"/>
      <c r="H612" s="1363"/>
      <c r="I612" s="1363"/>
      <c r="J612" s="1363"/>
      <c r="K612" s="1363"/>
      <c r="L612" s="1363"/>
      <c r="M612" s="1363"/>
      <c r="N612" s="1363"/>
      <c r="O612" s="1363"/>
      <c r="P612" s="1363"/>
      <c r="Q612" s="1363"/>
      <c r="R612" s="1363"/>
      <c r="S612" s="1363"/>
      <c r="T612" s="1363"/>
      <c r="U612" s="1214">
        <v>69</v>
      </c>
      <c r="V612" s="1214"/>
      <c r="W612" s="1214"/>
    </row>
    <row r="613" spans="1:23" s="295" customFormat="1" ht="12.75" customHeight="1">
      <c r="A613" s="1359"/>
      <c r="B613" s="1364" t="s">
        <v>783</v>
      </c>
      <c r="C613" s="1364"/>
      <c r="D613" s="1364"/>
      <c r="E613" s="1364"/>
      <c r="F613" s="1364"/>
      <c r="G613" s="1364"/>
      <c r="H613" s="1364"/>
      <c r="I613" s="1364"/>
      <c r="J613" s="1364"/>
      <c r="K613" s="1364"/>
      <c r="L613" s="1364"/>
      <c r="M613" s="1364"/>
      <c r="N613" s="1364"/>
      <c r="O613" s="1364"/>
      <c r="P613" s="1364"/>
      <c r="Q613" s="1364"/>
      <c r="R613" s="1364"/>
      <c r="S613" s="1364"/>
      <c r="T613" s="1364"/>
      <c r="U613" s="1214"/>
      <c r="V613" s="1214"/>
      <c r="W613" s="1214"/>
    </row>
    <row r="614" spans="1:23" s="295" customFormat="1" ht="12.75" customHeight="1">
      <c r="A614" s="1350"/>
      <c r="B614" s="1360"/>
      <c r="C614" s="1291"/>
      <c r="D614" s="1363" t="s">
        <v>2598</v>
      </c>
      <c r="E614" s="1363"/>
      <c r="F614" s="1363"/>
      <c r="G614" s="1363"/>
      <c r="H614" s="1363"/>
      <c r="I614" s="1363"/>
      <c r="J614" s="1363"/>
      <c r="K614" s="1363"/>
      <c r="L614" s="1363"/>
      <c r="M614" s="1363"/>
      <c r="N614" s="1363"/>
      <c r="O614" s="1363"/>
      <c r="P614" s="1363"/>
      <c r="Q614" s="1363"/>
      <c r="R614" s="1363"/>
      <c r="S614" s="1363"/>
      <c r="T614" s="1363"/>
      <c r="U614" s="1214">
        <v>67</v>
      </c>
      <c r="V614" s="1214"/>
      <c r="W614" s="1214"/>
    </row>
    <row r="615" spans="1:23" s="295" customFormat="1" ht="12.75" customHeight="1">
      <c r="A615" s="1350"/>
      <c r="B615" s="1361"/>
      <c r="C615" s="1292"/>
      <c r="D615" s="1363" t="s">
        <v>2599</v>
      </c>
      <c r="E615" s="1363"/>
      <c r="F615" s="1363"/>
      <c r="G615" s="1363"/>
      <c r="H615" s="1363"/>
      <c r="I615" s="1363"/>
      <c r="J615" s="1363"/>
      <c r="K615" s="1363"/>
      <c r="L615" s="1363"/>
      <c r="M615" s="1363"/>
      <c r="N615" s="1363"/>
      <c r="O615" s="1363"/>
      <c r="P615" s="1363"/>
      <c r="Q615" s="1363"/>
      <c r="R615" s="1363"/>
      <c r="S615" s="1363"/>
      <c r="T615" s="1363"/>
      <c r="U615" s="1214">
        <v>67</v>
      </c>
      <c r="V615" s="1214"/>
      <c r="W615" s="1214"/>
    </row>
    <row r="616" spans="1:23" s="295" customFormat="1" ht="12.75" customHeight="1">
      <c r="A616" s="1350"/>
      <c r="B616" s="1361"/>
      <c r="C616" s="1292"/>
      <c r="D616" s="1363" t="s">
        <v>2600</v>
      </c>
      <c r="E616" s="1363"/>
      <c r="F616" s="1363"/>
      <c r="G616" s="1363"/>
      <c r="H616" s="1363"/>
      <c r="I616" s="1363"/>
      <c r="J616" s="1363"/>
      <c r="K616" s="1363"/>
      <c r="L616" s="1363"/>
      <c r="M616" s="1363"/>
      <c r="N616" s="1363"/>
      <c r="O616" s="1363"/>
      <c r="P616" s="1363"/>
      <c r="Q616" s="1363"/>
      <c r="R616" s="1363"/>
      <c r="S616" s="1363"/>
      <c r="T616" s="1363"/>
      <c r="U616" s="1214">
        <v>67</v>
      </c>
      <c r="V616" s="1214"/>
      <c r="W616" s="1214"/>
    </row>
    <row r="617" spans="1:23" s="295" customFormat="1" ht="12.75" customHeight="1">
      <c r="A617" s="1350"/>
      <c r="B617" s="1361"/>
      <c r="C617" s="1292"/>
      <c r="D617" s="1363" t="s">
        <v>2601</v>
      </c>
      <c r="E617" s="1363"/>
      <c r="F617" s="1363"/>
      <c r="G617" s="1363"/>
      <c r="H617" s="1363"/>
      <c r="I617" s="1363"/>
      <c r="J617" s="1363"/>
      <c r="K617" s="1363"/>
      <c r="L617" s="1363"/>
      <c r="M617" s="1363"/>
      <c r="N617" s="1363"/>
      <c r="O617" s="1363"/>
      <c r="P617" s="1363"/>
      <c r="Q617" s="1363"/>
      <c r="R617" s="1363"/>
      <c r="S617" s="1363"/>
      <c r="T617" s="1363"/>
      <c r="U617" s="1214">
        <v>67</v>
      </c>
      <c r="V617" s="1214"/>
      <c r="W617" s="1214"/>
    </row>
    <row r="618" spans="1:23" s="295" customFormat="1" ht="12.75" customHeight="1">
      <c r="A618" s="1350"/>
      <c r="B618" s="1361"/>
      <c r="C618" s="1292"/>
      <c r="D618" s="1363" t="s">
        <v>2602</v>
      </c>
      <c r="E618" s="1363"/>
      <c r="F618" s="1363"/>
      <c r="G618" s="1363"/>
      <c r="H618" s="1363"/>
      <c r="I618" s="1363"/>
      <c r="J618" s="1363"/>
      <c r="K618" s="1363"/>
      <c r="L618" s="1363"/>
      <c r="M618" s="1363"/>
      <c r="N618" s="1363"/>
      <c r="O618" s="1363"/>
      <c r="P618" s="1363"/>
      <c r="Q618" s="1363"/>
      <c r="R618" s="1363"/>
      <c r="S618" s="1363"/>
      <c r="T618" s="1363"/>
      <c r="U618" s="1214">
        <v>67</v>
      </c>
      <c r="V618" s="1214"/>
      <c r="W618" s="1214"/>
    </row>
    <row r="619" spans="1:23" s="295" customFormat="1" ht="12.75" customHeight="1">
      <c r="A619" s="1350"/>
      <c r="B619" s="1361"/>
      <c r="C619" s="1292"/>
      <c r="D619" s="1363" t="s">
        <v>2603</v>
      </c>
      <c r="E619" s="1363"/>
      <c r="F619" s="1363"/>
      <c r="G619" s="1363"/>
      <c r="H619" s="1363"/>
      <c r="I619" s="1363"/>
      <c r="J619" s="1363"/>
      <c r="K619" s="1363"/>
      <c r="L619" s="1363"/>
      <c r="M619" s="1363"/>
      <c r="N619" s="1363"/>
      <c r="O619" s="1363"/>
      <c r="P619" s="1363"/>
      <c r="Q619" s="1363"/>
      <c r="R619" s="1363"/>
      <c r="S619" s="1363"/>
      <c r="T619" s="1363"/>
      <c r="U619" s="1214">
        <v>68</v>
      </c>
      <c r="V619" s="1214"/>
      <c r="W619" s="1214"/>
    </row>
    <row r="620" spans="1:23" s="295" customFormat="1" ht="12.75" customHeight="1">
      <c r="A620" s="1350"/>
      <c r="B620" s="1361"/>
      <c r="C620" s="1292"/>
      <c r="D620" s="1363" t="s">
        <v>2604</v>
      </c>
      <c r="E620" s="1363"/>
      <c r="F620" s="1363"/>
      <c r="G620" s="1363"/>
      <c r="H620" s="1363"/>
      <c r="I620" s="1363"/>
      <c r="J620" s="1363"/>
      <c r="K620" s="1363"/>
      <c r="L620" s="1363"/>
      <c r="M620" s="1363"/>
      <c r="N620" s="1363"/>
      <c r="O620" s="1363"/>
      <c r="P620" s="1363"/>
      <c r="Q620" s="1363"/>
      <c r="R620" s="1363"/>
      <c r="S620" s="1363"/>
      <c r="T620" s="1363"/>
      <c r="U620" s="1214">
        <v>68</v>
      </c>
      <c r="V620" s="1214"/>
      <c r="W620" s="1214"/>
    </row>
    <row r="621" spans="1:23" s="295" customFormat="1" ht="12.75" customHeight="1">
      <c r="A621" s="1350"/>
      <c r="B621" s="1361"/>
      <c r="C621" s="1292"/>
      <c r="D621" s="1363" t="s">
        <v>2605</v>
      </c>
      <c r="E621" s="1363"/>
      <c r="F621" s="1363"/>
      <c r="G621" s="1363"/>
      <c r="H621" s="1363"/>
      <c r="I621" s="1363"/>
      <c r="J621" s="1363"/>
      <c r="K621" s="1363"/>
      <c r="L621" s="1363"/>
      <c r="M621" s="1363"/>
      <c r="N621" s="1363"/>
      <c r="O621" s="1363"/>
      <c r="P621" s="1363"/>
      <c r="Q621" s="1363"/>
      <c r="R621" s="1363"/>
      <c r="S621" s="1363"/>
      <c r="T621" s="1363"/>
      <c r="U621" s="1214">
        <v>68</v>
      </c>
      <c r="V621" s="1214"/>
      <c r="W621" s="1214"/>
    </row>
    <row r="622" spans="1:23" s="295" customFormat="1" ht="12.75" customHeight="1">
      <c r="A622" s="1350"/>
      <c r="B622" s="1362"/>
      <c r="C622" s="1293"/>
      <c r="D622" s="1363" t="s">
        <v>2606</v>
      </c>
      <c r="E622" s="1363"/>
      <c r="F622" s="1363"/>
      <c r="G622" s="1363"/>
      <c r="H622" s="1363"/>
      <c r="I622" s="1363"/>
      <c r="J622" s="1363"/>
      <c r="K622" s="1363"/>
      <c r="L622" s="1363"/>
      <c r="M622" s="1363"/>
      <c r="N622" s="1363"/>
      <c r="O622" s="1363"/>
      <c r="P622" s="1363"/>
      <c r="Q622" s="1363"/>
      <c r="R622" s="1363"/>
      <c r="S622" s="1363"/>
      <c r="T622" s="1363"/>
      <c r="U622" s="1214">
        <v>68</v>
      </c>
      <c r="V622" s="1214"/>
      <c r="W622" s="1214"/>
    </row>
    <row r="623" spans="1:23" s="295" customFormat="1" ht="12.75" customHeight="1">
      <c r="A623" s="1359"/>
      <c r="B623" s="1364" t="s">
        <v>793</v>
      </c>
      <c r="C623" s="1364"/>
      <c r="D623" s="1364"/>
      <c r="E623" s="1364"/>
      <c r="F623" s="1364"/>
      <c r="G623" s="1364"/>
      <c r="H623" s="1364"/>
      <c r="I623" s="1364"/>
      <c r="J623" s="1364"/>
      <c r="K623" s="1364"/>
      <c r="L623" s="1364"/>
      <c r="M623" s="1364"/>
      <c r="N623" s="1364"/>
      <c r="O623" s="1364"/>
      <c r="P623" s="1364"/>
      <c r="Q623" s="1364"/>
      <c r="R623" s="1364"/>
      <c r="S623" s="1364"/>
      <c r="T623" s="1364"/>
      <c r="U623" s="1214"/>
      <c r="V623" s="1214"/>
      <c r="W623" s="1214"/>
    </row>
    <row r="624" spans="1:23" s="295" customFormat="1" ht="12.75" customHeight="1">
      <c r="A624" s="1350"/>
      <c r="B624" s="1360"/>
      <c r="C624" s="1291"/>
      <c r="D624" s="1363" t="s">
        <v>2607</v>
      </c>
      <c r="E624" s="1363"/>
      <c r="F624" s="1363"/>
      <c r="G624" s="1363"/>
      <c r="H624" s="1363"/>
      <c r="I624" s="1363"/>
      <c r="J624" s="1363"/>
      <c r="K624" s="1363"/>
      <c r="L624" s="1363"/>
      <c r="M624" s="1363"/>
      <c r="N624" s="1363"/>
      <c r="O624" s="1363"/>
      <c r="P624" s="1363"/>
      <c r="Q624" s="1363"/>
      <c r="R624" s="1363"/>
      <c r="S624" s="1363"/>
      <c r="T624" s="1363"/>
      <c r="U624" s="1214">
        <v>67</v>
      </c>
      <c r="V624" s="1214"/>
      <c r="W624" s="1214"/>
    </row>
    <row r="625" spans="1:23" s="295" customFormat="1" ht="12.75" customHeight="1">
      <c r="A625" s="1350"/>
      <c r="B625" s="1361"/>
      <c r="C625" s="1292"/>
      <c r="D625" s="1363" t="s">
        <v>2608</v>
      </c>
      <c r="E625" s="1363"/>
      <c r="F625" s="1363"/>
      <c r="G625" s="1363"/>
      <c r="H625" s="1363"/>
      <c r="I625" s="1363"/>
      <c r="J625" s="1363"/>
      <c r="K625" s="1363"/>
      <c r="L625" s="1363"/>
      <c r="M625" s="1363"/>
      <c r="N625" s="1363"/>
      <c r="O625" s="1363"/>
      <c r="P625" s="1363"/>
      <c r="Q625" s="1363"/>
      <c r="R625" s="1363"/>
      <c r="S625" s="1363"/>
      <c r="T625" s="1363"/>
      <c r="U625" s="1214">
        <v>67</v>
      </c>
      <c r="V625" s="1214"/>
      <c r="W625" s="1214"/>
    </row>
    <row r="626" spans="1:23" s="295" customFormat="1" ht="12.75" customHeight="1">
      <c r="A626" s="1350"/>
      <c r="B626" s="1361"/>
      <c r="C626" s="1292"/>
      <c r="D626" s="1363" t="s">
        <v>2609</v>
      </c>
      <c r="E626" s="1363"/>
      <c r="F626" s="1363"/>
      <c r="G626" s="1363"/>
      <c r="H626" s="1363"/>
      <c r="I626" s="1363"/>
      <c r="J626" s="1363"/>
      <c r="K626" s="1363"/>
      <c r="L626" s="1363"/>
      <c r="M626" s="1363"/>
      <c r="N626" s="1363"/>
      <c r="O626" s="1363"/>
      <c r="P626" s="1363"/>
      <c r="Q626" s="1363"/>
      <c r="R626" s="1363"/>
      <c r="S626" s="1363"/>
      <c r="T626" s="1363"/>
      <c r="U626" s="1214">
        <v>67</v>
      </c>
      <c r="V626" s="1214"/>
      <c r="W626" s="1214"/>
    </row>
    <row r="627" spans="1:23" s="295" customFormat="1">
      <c r="A627" s="1350"/>
      <c r="B627" s="1361"/>
      <c r="C627" s="1292"/>
      <c r="D627" s="1363" t="s">
        <v>2610</v>
      </c>
      <c r="E627" s="1363"/>
      <c r="F627" s="1363"/>
      <c r="G627" s="1363"/>
      <c r="H627" s="1363"/>
      <c r="I627" s="1363"/>
      <c r="J627" s="1363"/>
      <c r="K627" s="1363"/>
      <c r="L627" s="1363"/>
      <c r="M627" s="1363"/>
      <c r="N627" s="1363"/>
      <c r="O627" s="1363"/>
      <c r="P627" s="1363"/>
      <c r="Q627" s="1363"/>
      <c r="R627" s="1363"/>
      <c r="S627" s="1363"/>
      <c r="T627" s="1363"/>
      <c r="U627" s="1214">
        <v>67</v>
      </c>
      <c r="V627" s="1214"/>
      <c r="W627" s="1214"/>
    </row>
    <row r="628" spans="1:23" s="295" customFormat="1" ht="12.75" customHeight="1">
      <c r="A628" s="1350"/>
      <c r="B628" s="1361"/>
      <c r="C628" s="1292"/>
      <c r="D628" s="1363" t="s">
        <v>2611</v>
      </c>
      <c r="E628" s="1363"/>
      <c r="F628" s="1363"/>
      <c r="G628" s="1363"/>
      <c r="H628" s="1363"/>
      <c r="I628" s="1363"/>
      <c r="J628" s="1363"/>
      <c r="K628" s="1363"/>
      <c r="L628" s="1363"/>
      <c r="M628" s="1363"/>
      <c r="N628" s="1363"/>
      <c r="O628" s="1363"/>
      <c r="P628" s="1363"/>
      <c r="Q628" s="1363"/>
      <c r="R628" s="1363"/>
      <c r="S628" s="1363"/>
      <c r="T628" s="1363"/>
      <c r="U628" s="1214">
        <v>67</v>
      </c>
      <c r="V628" s="1214"/>
      <c r="W628" s="1214"/>
    </row>
    <row r="629" spans="1:23" s="295" customFormat="1" ht="12.75" customHeight="1">
      <c r="A629" s="1350"/>
      <c r="B629" s="1361"/>
      <c r="C629" s="1292"/>
      <c r="D629" s="1363" t="s">
        <v>2612</v>
      </c>
      <c r="E629" s="1363"/>
      <c r="F629" s="1363"/>
      <c r="G629" s="1363"/>
      <c r="H629" s="1363"/>
      <c r="I629" s="1363"/>
      <c r="J629" s="1363"/>
      <c r="K629" s="1363"/>
      <c r="L629" s="1363"/>
      <c r="M629" s="1363"/>
      <c r="N629" s="1363"/>
      <c r="O629" s="1363"/>
      <c r="P629" s="1363"/>
      <c r="Q629" s="1363"/>
      <c r="R629" s="1363"/>
      <c r="S629" s="1363"/>
      <c r="T629" s="1363"/>
      <c r="U629" s="1214">
        <v>67</v>
      </c>
      <c r="V629" s="1214"/>
      <c r="W629" s="1214"/>
    </row>
    <row r="630" spans="1:23" s="295" customFormat="1" ht="12.75" customHeight="1">
      <c r="A630" s="1350"/>
      <c r="B630" s="1361"/>
      <c r="C630" s="1292"/>
      <c r="D630" s="1363" t="s">
        <v>2613</v>
      </c>
      <c r="E630" s="1363"/>
      <c r="F630" s="1363"/>
      <c r="G630" s="1363"/>
      <c r="H630" s="1363"/>
      <c r="I630" s="1363"/>
      <c r="J630" s="1363"/>
      <c r="K630" s="1363"/>
      <c r="L630" s="1363"/>
      <c r="M630" s="1363"/>
      <c r="N630" s="1363"/>
      <c r="O630" s="1363"/>
      <c r="P630" s="1363"/>
      <c r="Q630" s="1363"/>
      <c r="R630" s="1363"/>
      <c r="S630" s="1363"/>
      <c r="T630" s="1363"/>
      <c r="U630" s="1214">
        <v>67</v>
      </c>
      <c r="V630" s="1214"/>
      <c r="W630" s="1214"/>
    </row>
    <row r="631" spans="1:23" s="295" customFormat="1" ht="12.75" customHeight="1">
      <c r="A631" s="1350"/>
      <c r="B631" s="1361"/>
      <c r="C631" s="1292"/>
      <c r="D631" s="1363" t="s">
        <v>2614</v>
      </c>
      <c r="E631" s="1363"/>
      <c r="F631" s="1363"/>
      <c r="G631" s="1363"/>
      <c r="H631" s="1363"/>
      <c r="I631" s="1363"/>
      <c r="J631" s="1363"/>
      <c r="K631" s="1363"/>
      <c r="L631" s="1363"/>
      <c r="M631" s="1363"/>
      <c r="N631" s="1363"/>
      <c r="O631" s="1363"/>
      <c r="P631" s="1363"/>
      <c r="Q631" s="1363"/>
      <c r="R631" s="1363"/>
      <c r="S631" s="1363"/>
      <c r="T631" s="1363"/>
      <c r="U631" s="1214">
        <v>67</v>
      </c>
      <c r="V631" s="1214"/>
      <c r="W631" s="1214"/>
    </row>
    <row r="632" spans="1:23" s="295" customFormat="1" ht="12.75" customHeight="1">
      <c r="A632" s="1350"/>
      <c r="B632" s="1362"/>
      <c r="C632" s="1293"/>
      <c r="D632" s="1363" t="s">
        <v>2606</v>
      </c>
      <c r="E632" s="1363"/>
      <c r="F632" s="1363"/>
      <c r="G632" s="1363"/>
      <c r="H632" s="1363"/>
      <c r="I632" s="1363"/>
      <c r="J632" s="1363"/>
      <c r="K632" s="1363"/>
      <c r="L632" s="1363"/>
      <c r="M632" s="1363"/>
      <c r="N632" s="1363"/>
      <c r="O632" s="1363"/>
      <c r="P632" s="1363"/>
      <c r="Q632" s="1363"/>
      <c r="R632" s="1363"/>
      <c r="S632" s="1363"/>
      <c r="T632" s="1363"/>
      <c r="U632" s="1214">
        <v>67</v>
      </c>
      <c r="V632" s="1214"/>
      <c r="W632" s="1214"/>
    </row>
    <row r="633" spans="1:23" s="295" customFormat="1" ht="12.75" customHeight="1">
      <c r="A633" s="1359"/>
      <c r="B633" s="1364" t="s">
        <v>802</v>
      </c>
      <c r="C633" s="1364"/>
      <c r="D633" s="1364"/>
      <c r="E633" s="1364"/>
      <c r="F633" s="1364"/>
      <c r="G633" s="1364"/>
      <c r="H633" s="1364"/>
      <c r="I633" s="1364"/>
      <c r="J633" s="1364"/>
      <c r="K633" s="1364"/>
      <c r="L633" s="1364"/>
      <c r="M633" s="1364"/>
      <c r="N633" s="1364"/>
      <c r="O633" s="1364"/>
      <c r="P633" s="1364"/>
      <c r="Q633" s="1364"/>
      <c r="R633" s="1364"/>
      <c r="S633" s="1364"/>
      <c r="T633" s="1364"/>
      <c r="U633" s="1214"/>
      <c r="V633" s="1214"/>
      <c r="W633" s="1214"/>
    </row>
    <row r="634" spans="1:23" s="295" customFormat="1" ht="12.75" customHeight="1">
      <c r="A634" s="1350"/>
      <c r="B634" s="1360"/>
      <c r="C634" s="1291"/>
      <c r="D634" s="1363" t="s">
        <v>2615</v>
      </c>
      <c r="E634" s="1363"/>
      <c r="F634" s="1363"/>
      <c r="G634" s="1363"/>
      <c r="H634" s="1363"/>
      <c r="I634" s="1363"/>
      <c r="J634" s="1363"/>
      <c r="K634" s="1363"/>
      <c r="L634" s="1363"/>
      <c r="M634" s="1363"/>
      <c r="N634" s="1363"/>
      <c r="O634" s="1363"/>
      <c r="P634" s="1363"/>
      <c r="Q634" s="1363"/>
      <c r="R634" s="1363"/>
      <c r="S634" s="1363"/>
      <c r="T634" s="1363"/>
      <c r="U634" s="1214">
        <v>67</v>
      </c>
      <c r="V634" s="1214"/>
      <c r="W634" s="1214"/>
    </row>
    <row r="635" spans="1:23" s="295" customFormat="1" ht="12.75" customHeight="1">
      <c r="A635" s="1351"/>
      <c r="B635" s="1362"/>
      <c r="C635" s="1293"/>
      <c r="D635" s="1363" t="s">
        <v>2616</v>
      </c>
      <c r="E635" s="1363"/>
      <c r="F635" s="1363"/>
      <c r="G635" s="1363"/>
      <c r="H635" s="1363"/>
      <c r="I635" s="1363"/>
      <c r="J635" s="1363"/>
      <c r="K635" s="1363"/>
      <c r="L635" s="1363"/>
      <c r="M635" s="1363"/>
      <c r="N635" s="1363"/>
      <c r="O635" s="1363"/>
      <c r="P635" s="1363"/>
      <c r="Q635" s="1363"/>
      <c r="R635" s="1363"/>
      <c r="S635" s="1363"/>
      <c r="T635" s="1363"/>
      <c r="U635" s="1214">
        <v>67</v>
      </c>
      <c r="V635" s="1214"/>
      <c r="W635" s="1214"/>
    </row>
    <row r="636" spans="1:23" s="295" customFormat="1" ht="12.75" customHeight="1">
      <c r="A636" s="418"/>
      <c r="B636" s="418"/>
      <c r="C636" s="418"/>
      <c r="D636" s="437"/>
      <c r="E636" s="437"/>
      <c r="F636" s="437"/>
      <c r="G636" s="437"/>
      <c r="H636" s="437"/>
      <c r="I636" s="437"/>
      <c r="J636" s="437"/>
      <c r="K636" s="437"/>
      <c r="L636" s="437"/>
      <c r="M636" s="437"/>
      <c r="N636" s="437"/>
      <c r="O636" s="437"/>
      <c r="P636" s="437"/>
      <c r="Q636" s="437"/>
      <c r="R636" s="437"/>
      <c r="S636" s="437"/>
      <c r="T636" s="437"/>
      <c r="U636" s="418"/>
      <c r="V636" s="418"/>
      <c r="W636" s="418"/>
    </row>
    <row r="637" spans="1:23" s="295" customFormat="1" ht="12.75" customHeight="1">
      <c r="A637" s="316"/>
      <c r="B637" s="316"/>
      <c r="C637" s="316"/>
      <c r="D637" s="531"/>
      <c r="E637" s="531"/>
      <c r="F637" s="531"/>
      <c r="G637" s="531"/>
      <c r="H637" s="531"/>
      <c r="I637" s="531"/>
      <c r="J637" s="531"/>
      <c r="K637" s="531"/>
      <c r="L637" s="531"/>
      <c r="M637" s="531"/>
      <c r="N637" s="531"/>
      <c r="O637" s="531"/>
      <c r="P637" s="531"/>
      <c r="Q637" s="531"/>
      <c r="R637" s="531"/>
      <c r="S637" s="531"/>
      <c r="T637" s="531"/>
      <c r="U637" s="316"/>
      <c r="V637" s="316"/>
      <c r="W637" s="316"/>
    </row>
    <row r="638" spans="1:23" s="295" customFormat="1" ht="12.75" customHeight="1">
      <c r="A638" s="316"/>
      <c r="B638" s="316"/>
      <c r="C638" s="316"/>
      <c r="D638" s="531"/>
      <c r="E638" s="531"/>
      <c r="F638" s="531"/>
      <c r="G638" s="531"/>
      <c r="H638" s="531"/>
      <c r="I638" s="531"/>
      <c r="J638" s="531"/>
      <c r="K638" s="531"/>
      <c r="L638" s="531"/>
      <c r="M638" s="531"/>
      <c r="N638" s="531"/>
      <c r="O638" s="531"/>
      <c r="P638" s="531"/>
      <c r="Q638" s="531"/>
      <c r="R638" s="531"/>
      <c r="S638" s="531"/>
      <c r="T638" s="531"/>
      <c r="U638" s="316"/>
      <c r="V638" s="316"/>
      <c r="W638" s="316"/>
    </row>
    <row r="639" spans="1:23" s="295" customFormat="1" ht="12.75" customHeight="1">
      <c r="A639" s="316"/>
      <c r="B639" s="316"/>
      <c r="C639" s="316"/>
      <c r="D639" s="531"/>
      <c r="E639" s="531"/>
      <c r="F639" s="531"/>
      <c r="G639" s="531"/>
      <c r="H639" s="531"/>
      <c r="I639" s="531"/>
      <c r="J639" s="531"/>
      <c r="K639" s="531"/>
      <c r="L639" s="531"/>
      <c r="M639" s="531"/>
      <c r="N639" s="531"/>
      <c r="O639" s="531"/>
      <c r="P639" s="531"/>
      <c r="Q639" s="531"/>
      <c r="R639" s="531"/>
      <c r="S639" s="531"/>
      <c r="T639" s="531"/>
      <c r="U639" s="316"/>
      <c r="V639" s="316"/>
      <c r="W639" s="316"/>
    </row>
    <row r="640" spans="1:23" s="295" customFormat="1" ht="12.75" customHeight="1">
      <c r="A640" s="316"/>
      <c r="B640" s="316"/>
      <c r="C640" s="316"/>
      <c r="D640" s="531"/>
      <c r="E640" s="531"/>
      <c r="F640" s="531"/>
      <c r="G640" s="531"/>
      <c r="H640" s="531"/>
      <c r="I640" s="531"/>
      <c r="J640" s="531"/>
      <c r="K640" s="531"/>
      <c r="L640" s="531"/>
      <c r="M640" s="531"/>
      <c r="N640" s="531"/>
      <c r="O640" s="531"/>
      <c r="P640" s="531"/>
      <c r="Q640" s="531"/>
      <c r="R640" s="531"/>
      <c r="S640" s="531"/>
      <c r="T640" s="531"/>
      <c r="U640" s="316"/>
      <c r="V640" s="316"/>
      <c r="W640" s="316"/>
    </row>
    <row r="641" spans="1:23" s="295" customFormat="1" ht="12.75" customHeight="1">
      <c r="A641" s="316"/>
      <c r="B641" s="316"/>
      <c r="C641" s="316"/>
      <c r="D641" s="531"/>
      <c r="E641" s="531"/>
      <c r="F641" s="531"/>
      <c r="G641" s="531"/>
      <c r="H641" s="531"/>
      <c r="I641" s="531"/>
      <c r="J641" s="531"/>
      <c r="K641" s="531"/>
      <c r="L641" s="531"/>
      <c r="M641" s="531"/>
      <c r="N641" s="531"/>
      <c r="O641" s="531"/>
      <c r="P641" s="531"/>
      <c r="Q641" s="531"/>
      <c r="R641" s="531"/>
      <c r="S641" s="531"/>
      <c r="T641" s="531"/>
      <c r="U641" s="316"/>
      <c r="V641" s="316"/>
      <c r="W641" s="316"/>
    </row>
    <row r="642" spans="1:23" s="295" customFormat="1" ht="12.75" customHeight="1">
      <c r="A642" s="316"/>
      <c r="B642" s="316"/>
      <c r="C642" s="316"/>
      <c r="D642" s="531"/>
      <c r="E642" s="531"/>
      <c r="F642" s="531"/>
      <c r="G642" s="531"/>
      <c r="H642" s="531"/>
      <c r="I642" s="531"/>
      <c r="J642" s="531"/>
      <c r="K642" s="531"/>
      <c r="L642" s="531"/>
      <c r="M642" s="531"/>
      <c r="N642" s="531"/>
      <c r="O642" s="531"/>
      <c r="P642" s="531"/>
      <c r="Q642" s="531"/>
      <c r="R642" s="531"/>
      <c r="S642" s="531"/>
      <c r="T642" s="531"/>
      <c r="U642" s="316"/>
      <c r="V642" s="316"/>
      <c r="W642" s="316"/>
    </row>
    <row r="643" spans="1:23" s="295" customFormat="1" ht="12.75" customHeight="1">
      <c r="A643" s="530"/>
      <c r="B643" s="530"/>
      <c r="C643" s="530"/>
      <c r="D643" s="532"/>
      <c r="E643" s="532"/>
      <c r="F643" s="532"/>
      <c r="G643" s="532"/>
      <c r="H643" s="532"/>
      <c r="I643" s="532"/>
      <c r="J643" s="532"/>
      <c r="K643" s="532"/>
      <c r="L643" s="532"/>
      <c r="M643" s="532"/>
      <c r="N643" s="532"/>
      <c r="O643" s="532"/>
      <c r="P643" s="532"/>
      <c r="Q643" s="532"/>
      <c r="R643" s="532"/>
      <c r="S643" s="532"/>
      <c r="T643" s="532"/>
      <c r="U643" s="530"/>
      <c r="V643" s="530"/>
      <c r="W643" s="530"/>
    </row>
    <row r="644" spans="1:23" s="295" customFormat="1" ht="30" customHeight="1">
      <c r="A644" s="1300" t="s">
        <v>2541</v>
      </c>
      <c r="B644" s="1300"/>
      <c r="C644" s="1300"/>
      <c r="D644" s="1300"/>
      <c r="E644" s="1300"/>
      <c r="F644" s="1300"/>
      <c r="G644" s="1300"/>
      <c r="H644" s="1300"/>
      <c r="I644" s="1300"/>
      <c r="J644" s="1300"/>
      <c r="K644" s="1300"/>
      <c r="L644" s="1300"/>
      <c r="M644" s="1300"/>
      <c r="N644" s="1300"/>
      <c r="O644" s="1300"/>
      <c r="P644" s="1300"/>
      <c r="Q644" s="1300"/>
      <c r="R644" s="1300"/>
      <c r="S644" s="1300"/>
      <c r="T644" s="1300"/>
      <c r="U644" s="1299" t="s">
        <v>3305</v>
      </c>
      <c r="V644" s="1299"/>
      <c r="W644" s="1299"/>
    </row>
    <row r="645" spans="1:23" s="295" customFormat="1" ht="15.75" customHeight="1">
      <c r="A645" s="1365" t="s">
        <v>2617</v>
      </c>
      <c r="B645" s="1365"/>
      <c r="C645" s="1365"/>
      <c r="D645" s="1365"/>
      <c r="E645" s="1365"/>
      <c r="F645" s="1365"/>
      <c r="G645" s="1365"/>
      <c r="H645" s="1365"/>
      <c r="I645" s="1365"/>
      <c r="J645" s="1365"/>
      <c r="K645" s="1365"/>
      <c r="L645" s="1365"/>
      <c r="M645" s="1365"/>
      <c r="N645" s="1365"/>
      <c r="O645" s="1365"/>
      <c r="P645" s="1365"/>
      <c r="Q645" s="1365"/>
      <c r="R645" s="1365"/>
      <c r="S645" s="1365"/>
      <c r="T645" s="1365"/>
      <c r="U645" s="1214"/>
      <c r="V645" s="1214"/>
      <c r="W645" s="1214"/>
    </row>
    <row r="646" spans="1:23" s="295" customFormat="1" ht="12.75" customHeight="1">
      <c r="A646" s="1349"/>
      <c r="B646" s="1343" t="s">
        <v>2618</v>
      </c>
      <c r="C646" s="1344"/>
      <c r="D646" s="1344"/>
      <c r="E646" s="1344"/>
      <c r="F646" s="1344"/>
      <c r="G646" s="1344"/>
      <c r="H646" s="1344"/>
      <c r="I646" s="1344"/>
      <c r="J646" s="1344"/>
      <c r="K646" s="1344"/>
      <c r="L646" s="1344"/>
      <c r="M646" s="1344"/>
      <c r="N646" s="1344"/>
      <c r="O646" s="1344"/>
      <c r="P646" s="1344"/>
      <c r="Q646" s="1344"/>
      <c r="R646" s="1344"/>
      <c r="S646" s="1344"/>
      <c r="T646" s="1345"/>
      <c r="U646" s="1284">
        <v>72</v>
      </c>
      <c r="V646" s="1285"/>
      <c r="W646" s="1286"/>
    </row>
    <row r="647" spans="1:23" s="295" customFormat="1" ht="12.75" customHeight="1">
      <c r="A647" s="1350"/>
      <c r="B647" s="1343" t="s">
        <v>807</v>
      </c>
      <c r="C647" s="1344"/>
      <c r="D647" s="1344"/>
      <c r="E647" s="1344"/>
      <c r="F647" s="1344"/>
      <c r="G647" s="1344"/>
      <c r="H647" s="1344"/>
      <c r="I647" s="1344"/>
      <c r="J647" s="1344"/>
      <c r="K647" s="1344"/>
      <c r="L647" s="1344"/>
      <c r="M647" s="1344"/>
      <c r="N647" s="1344"/>
      <c r="O647" s="1344"/>
      <c r="P647" s="1344"/>
      <c r="Q647" s="1344"/>
      <c r="R647" s="1344"/>
      <c r="S647" s="1344"/>
      <c r="T647" s="1345"/>
      <c r="U647" s="1284">
        <v>70</v>
      </c>
      <c r="V647" s="1285"/>
      <c r="W647" s="1286"/>
    </row>
    <row r="648" spans="1:23" s="295" customFormat="1" ht="12.75" customHeight="1">
      <c r="A648" s="1350"/>
      <c r="B648" s="1343" t="s">
        <v>2619</v>
      </c>
      <c r="C648" s="1344"/>
      <c r="D648" s="1344"/>
      <c r="E648" s="1344"/>
      <c r="F648" s="1344"/>
      <c r="G648" s="1344"/>
      <c r="H648" s="1344"/>
      <c r="I648" s="1344"/>
      <c r="J648" s="1344"/>
      <c r="K648" s="1344"/>
      <c r="L648" s="1344"/>
      <c r="M648" s="1344"/>
      <c r="N648" s="1344"/>
      <c r="O648" s="1344"/>
      <c r="P648" s="1344"/>
      <c r="Q648" s="1344"/>
      <c r="R648" s="1344"/>
      <c r="S648" s="1344"/>
      <c r="T648" s="1345"/>
      <c r="U648" s="1284">
        <v>63</v>
      </c>
      <c r="V648" s="1285"/>
      <c r="W648" s="1286"/>
    </row>
    <row r="649" spans="1:23" s="295" customFormat="1" ht="12.75" customHeight="1">
      <c r="A649" s="1350"/>
      <c r="B649" s="1343" t="s">
        <v>2620</v>
      </c>
      <c r="C649" s="1344"/>
      <c r="D649" s="1344"/>
      <c r="E649" s="1344"/>
      <c r="F649" s="1344"/>
      <c r="G649" s="1344"/>
      <c r="H649" s="1344"/>
      <c r="I649" s="1344"/>
      <c r="J649" s="1344"/>
      <c r="K649" s="1344"/>
      <c r="L649" s="1344"/>
      <c r="M649" s="1344"/>
      <c r="N649" s="1344"/>
      <c r="O649" s="1344"/>
      <c r="P649" s="1344"/>
      <c r="Q649" s="1344"/>
      <c r="R649" s="1344"/>
      <c r="S649" s="1344"/>
      <c r="T649" s="1345"/>
      <c r="U649" s="1284">
        <v>57</v>
      </c>
      <c r="V649" s="1285"/>
      <c r="W649" s="1286"/>
    </row>
    <row r="650" spans="1:23" s="295" customFormat="1" ht="12.75" customHeight="1">
      <c r="A650" s="1350"/>
      <c r="B650" s="1343" t="s">
        <v>2621</v>
      </c>
      <c r="C650" s="1344"/>
      <c r="D650" s="1344"/>
      <c r="E650" s="1344"/>
      <c r="F650" s="1344"/>
      <c r="G650" s="1344"/>
      <c r="H650" s="1344"/>
      <c r="I650" s="1344"/>
      <c r="J650" s="1344"/>
      <c r="K650" s="1344"/>
      <c r="L650" s="1344"/>
      <c r="M650" s="1344"/>
      <c r="N650" s="1344"/>
      <c r="O650" s="1344"/>
      <c r="P650" s="1344"/>
      <c r="Q650" s="1344"/>
      <c r="R650" s="1344"/>
      <c r="S650" s="1344"/>
      <c r="T650" s="1345"/>
      <c r="U650" s="1284">
        <v>68</v>
      </c>
      <c r="V650" s="1285"/>
      <c r="W650" s="1286"/>
    </row>
    <row r="651" spans="1:23" s="295" customFormat="1" ht="12.75" customHeight="1">
      <c r="A651" s="1350"/>
      <c r="B651" s="1343" t="s">
        <v>811</v>
      </c>
      <c r="C651" s="1344"/>
      <c r="D651" s="1344"/>
      <c r="E651" s="1344"/>
      <c r="F651" s="1344"/>
      <c r="G651" s="1344"/>
      <c r="H651" s="1344"/>
      <c r="I651" s="1344"/>
      <c r="J651" s="1344"/>
      <c r="K651" s="1344"/>
      <c r="L651" s="1344"/>
      <c r="M651" s="1344"/>
      <c r="N651" s="1344"/>
      <c r="O651" s="1344"/>
      <c r="P651" s="1344"/>
      <c r="Q651" s="1344"/>
      <c r="R651" s="1344"/>
      <c r="S651" s="1344"/>
      <c r="T651" s="1345"/>
      <c r="U651" s="1284">
        <v>67</v>
      </c>
      <c r="V651" s="1285"/>
      <c r="W651" s="1286"/>
    </row>
    <row r="652" spans="1:23" s="295" customFormat="1" ht="12.75" customHeight="1">
      <c r="A652" s="1350"/>
      <c r="B652" s="1343" t="s">
        <v>812</v>
      </c>
      <c r="C652" s="1344"/>
      <c r="D652" s="1344"/>
      <c r="E652" s="1344"/>
      <c r="F652" s="1344"/>
      <c r="G652" s="1344"/>
      <c r="H652" s="1344"/>
      <c r="I652" s="1344"/>
      <c r="J652" s="1344"/>
      <c r="K652" s="1344"/>
      <c r="L652" s="1344"/>
      <c r="M652" s="1344"/>
      <c r="N652" s="1344"/>
      <c r="O652" s="1344"/>
      <c r="P652" s="1344"/>
      <c r="Q652" s="1344"/>
      <c r="R652" s="1344"/>
      <c r="S652" s="1344"/>
      <c r="T652" s="1345"/>
      <c r="U652" s="1284">
        <v>77</v>
      </c>
      <c r="V652" s="1285"/>
      <c r="W652" s="1286"/>
    </row>
    <row r="653" spans="1:23" s="295" customFormat="1" ht="12.75" customHeight="1">
      <c r="A653" s="1350"/>
      <c r="B653" s="1343" t="s">
        <v>813</v>
      </c>
      <c r="C653" s="1344"/>
      <c r="D653" s="1344"/>
      <c r="E653" s="1344"/>
      <c r="F653" s="1344"/>
      <c r="G653" s="1344"/>
      <c r="H653" s="1344"/>
      <c r="I653" s="1344"/>
      <c r="J653" s="1344"/>
      <c r="K653" s="1344"/>
      <c r="L653" s="1344"/>
      <c r="M653" s="1344"/>
      <c r="N653" s="1344"/>
      <c r="O653" s="1344"/>
      <c r="P653" s="1344"/>
      <c r="Q653" s="1344"/>
      <c r="R653" s="1344"/>
      <c r="S653" s="1344"/>
      <c r="T653" s="1345"/>
      <c r="U653" s="1284"/>
      <c r="V653" s="1285"/>
      <c r="W653" s="1286"/>
    </row>
    <row r="654" spans="1:23" s="295" customFormat="1" ht="12.75" customHeight="1">
      <c r="A654" s="1350"/>
      <c r="B654" s="1360"/>
      <c r="C654" s="1291"/>
      <c r="D654" s="1343" t="s">
        <v>2622</v>
      </c>
      <c r="E654" s="1344"/>
      <c r="F654" s="1344"/>
      <c r="G654" s="1344"/>
      <c r="H654" s="1344"/>
      <c r="I654" s="1344"/>
      <c r="J654" s="1344"/>
      <c r="K654" s="1344"/>
      <c r="L654" s="1344"/>
      <c r="M654" s="1344"/>
      <c r="N654" s="1344"/>
      <c r="O654" s="1344"/>
      <c r="P654" s="1344"/>
      <c r="Q654" s="1344"/>
      <c r="R654" s="1344"/>
      <c r="S654" s="1344"/>
      <c r="T654" s="1345"/>
      <c r="U654" s="1284">
        <v>66</v>
      </c>
      <c r="V654" s="1285"/>
      <c r="W654" s="1286"/>
    </row>
    <row r="655" spans="1:23" s="295" customFormat="1" ht="12.75" customHeight="1">
      <c r="A655" s="1350"/>
      <c r="B655" s="1361"/>
      <c r="C655" s="1292"/>
      <c r="D655" s="1343" t="s">
        <v>2623</v>
      </c>
      <c r="E655" s="1344"/>
      <c r="F655" s="1344"/>
      <c r="G655" s="1344"/>
      <c r="H655" s="1344"/>
      <c r="I655" s="1344"/>
      <c r="J655" s="1344"/>
      <c r="K655" s="1344"/>
      <c r="L655" s="1344"/>
      <c r="M655" s="1344"/>
      <c r="N655" s="1344"/>
      <c r="O655" s="1344"/>
      <c r="P655" s="1344"/>
      <c r="Q655" s="1344"/>
      <c r="R655" s="1344"/>
      <c r="S655" s="1344"/>
      <c r="T655" s="1345"/>
      <c r="U655" s="1284">
        <v>66</v>
      </c>
      <c r="V655" s="1285"/>
      <c r="W655" s="1286"/>
    </row>
    <row r="656" spans="1:23" s="295" customFormat="1" ht="12.75" customHeight="1">
      <c r="A656" s="1351"/>
      <c r="B656" s="1362"/>
      <c r="C656" s="1293"/>
      <c r="D656" s="1343" t="s">
        <v>2624</v>
      </c>
      <c r="E656" s="1344"/>
      <c r="F656" s="1344"/>
      <c r="G656" s="1344"/>
      <c r="H656" s="1344"/>
      <c r="I656" s="1344"/>
      <c r="J656" s="1344"/>
      <c r="K656" s="1344"/>
      <c r="L656" s="1344"/>
      <c r="M656" s="1344"/>
      <c r="N656" s="1344"/>
      <c r="O656" s="1344"/>
      <c r="P656" s="1344"/>
      <c r="Q656" s="1344"/>
      <c r="R656" s="1344"/>
      <c r="S656" s="1344"/>
      <c r="T656" s="1345"/>
      <c r="U656" s="1284">
        <v>66</v>
      </c>
      <c r="V656" s="1285"/>
      <c r="W656" s="1286"/>
    </row>
    <row r="657" spans="1:23" s="295" customFormat="1" ht="54" customHeight="1">
      <c r="A657" s="1364" t="s">
        <v>2625</v>
      </c>
      <c r="B657" s="1364"/>
      <c r="C657" s="1364"/>
      <c r="D657" s="1364"/>
      <c r="E657" s="1364"/>
      <c r="F657" s="1364"/>
      <c r="G657" s="1364"/>
      <c r="H657" s="1364"/>
      <c r="I657" s="1364"/>
      <c r="J657" s="1364"/>
      <c r="K657" s="1364"/>
      <c r="L657" s="1364"/>
      <c r="M657" s="1364"/>
      <c r="N657" s="1364"/>
      <c r="O657" s="1364"/>
      <c r="P657" s="1364"/>
      <c r="Q657" s="1364"/>
      <c r="R657" s="1364"/>
      <c r="S657" s="1364"/>
      <c r="T657" s="1364"/>
      <c r="U657" s="1214"/>
      <c r="V657" s="1214"/>
      <c r="W657" s="1214"/>
    </row>
    <row r="658" spans="1:23" s="295" customFormat="1" ht="85.5" customHeight="1">
      <c r="A658" s="1358"/>
      <c r="B658" s="1363" t="s">
        <v>2626</v>
      </c>
      <c r="C658" s="1363"/>
      <c r="D658" s="1363"/>
      <c r="E658" s="1363"/>
      <c r="F658" s="1363"/>
      <c r="G658" s="1363"/>
      <c r="H658" s="1363"/>
      <c r="I658" s="1363"/>
      <c r="J658" s="1363"/>
      <c r="K658" s="1363"/>
      <c r="L658" s="1363"/>
      <c r="M658" s="1363"/>
      <c r="N658" s="1363"/>
      <c r="O658" s="1363"/>
      <c r="P658" s="1363"/>
      <c r="Q658" s="1363"/>
      <c r="R658" s="1363"/>
      <c r="S658" s="1363"/>
      <c r="T658" s="1363"/>
      <c r="U658" s="1214">
        <v>82</v>
      </c>
      <c r="V658" s="1214"/>
      <c r="W658" s="1214"/>
    </row>
    <row r="659" spans="1:23" s="295" customFormat="1" ht="34.5" customHeight="1">
      <c r="A659" s="1359"/>
      <c r="B659" s="1363" t="s">
        <v>2627</v>
      </c>
      <c r="C659" s="1363"/>
      <c r="D659" s="1363"/>
      <c r="E659" s="1363"/>
      <c r="F659" s="1363"/>
      <c r="G659" s="1363"/>
      <c r="H659" s="1363"/>
      <c r="I659" s="1363"/>
      <c r="J659" s="1363"/>
      <c r="K659" s="1363"/>
      <c r="L659" s="1363"/>
      <c r="M659" s="1363"/>
      <c r="N659" s="1363"/>
      <c r="O659" s="1363"/>
      <c r="P659" s="1363"/>
      <c r="Q659" s="1363"/>
      <c r="R659" s="1363"/>
      <c r="S659" s="1363"/>
      <c r="T659" s="1363"/>
      <c r="U659" s="1214">
        <v>67</v>
      </c>
      <c r="V659" s="1214"/>
      <c r="W659" s="1214"/>
    </row>
    <row r="660" spans="1:23" s="295" customFormat="1">
      <c r="A660" s="1359"/>
      <c r="B660" s="1363" t="s">
        <v>2628</v>
      </c>
      <c r="C660" s="1363"/>
      <c r="D660" s="1363"/>
      <c r="E660" s="1363"/>
      <c r="F660" s="1363"/>
      <c r="G660" s="1363"/>
      <c r="H660" s="1363"/>
      <c r="I660" s="1363"/>
      <c r="J660" s="1363"/>
      <c r="K660" s="1363"/>
      <c r="L660" s="1363"/>
      <c r="M660" s="1363"/>
      <c r="N660" s="1363"/>
      <c r="O660" s="1363"/>
      <c r="P660" s="1363"/>
      <c r="Q660" s="1363"/>
      <c r="R660" s="1363"/>
      <c r="S660" s="1363"/>
      <c r="T660" s="1363"/>
      <c r="U660" s="1214">
        <v>53</v>
      </c>
      <c r="V660" s="1214"/>
      <c r="W660" s="1214"/>
    </row>
    <row r="661" spans="1:23" s="295" customFormat="1">
      <c r="A661" s="1359"/>
      <c r="B661" s="1363" t="s">
        <v>2629</v>
      </c>
      <c r="C661" s="1363"/>
      <c r="D661" s="1363"/>
      <c r="E661" s="1363"/>
      <c r="F661" s="1363"/>
      <c r="G661" s="1363"/>
      <c r="H661" s="1363"/>
      <c r="I661" s="1363"/>
      <c r="J661" s="1363"/>
      <c r="K661" s="1363"/>
      <c r="L661" s="1363"/>
      <c r="M661" s="1363"/>
      <c r="N661" s="1363"/>
      <c r="O661" s="1363"/>
      <c r="P661" s="1363"/>
      <c r="Q661" s="1363"/>
      <c r="R661" s="1363"/>
      <c r="S661" s="1363"/>
      <c r="T661" s="1363"/>
      <c r="U661" s="1214">
        <v>48</v>
      </c>
      <c r="V661" s="1214"/>
      <c r="W661" s="1214"/>
    </row>
    <row r="662" spans="1:23" s="295" customFormat="1" ht="32.25" customHeight="1">
      <c r="A662" s="1359"/>
      <c r="B662" s="1363" t="s">
        <v>2630</v>
      </c>
      <c r="C662" s="1363"/>
      <c r="D662" s="1363"/>
      <c r="E662" s="1363"/>
      <c r="F662" s="1363"/>
      <c r="G662" s="1363"/>
      <c r="H662" s="1363"/>
      <c r="I662" s="1363"/>
      <c r="J662" s="1363"/>
      <c r="K662" s="1363"/>
      <c r="L662" s="1363"/>
      <c r="M662" s="1363"/>
      <c r="N662" s="1363"/>
      <c r="O662" s="1363"/>
      <c r="P662" s="1363"/>
      <c r="Q662" s="1363"/>
      <c r="R662" s="1363"/>
      <c r="S662" s="1363"/>
      <c r="T662" s="1363"/>
      <c r="U662" s="1214">
        <v>47</v>
      </c>
      <c r="V662" s="1214"/>
      <c r="W662" s="1214"/>
    </row>
    <row r="663" spans="1:23" s="295" customFormat="1">
      <c r="A663" s="1369"/>
      <c r="B663" s="1363" t="s">
        <v>2631</v>
      </c>
      <c r="C663" s="1363"/>
      <c r="D663" s="1363"/>
      <c r="E663" s="1363"/>
      <c r="F663" s="1363"/>
      <c r="G663" s="1363"/>
      <c r="H663" s="1363"/>
      <c r="I663" s="1363"/>
      <c r="J663" s="1363"/>
      <c r="K663" s="1363"/>
      <c r="L663" s="1363"/>
      <c r="M663" s="1363"/>
      <c r="N663" s="1363"/>
      <c r="O663" s="1363"/>
      <c r="P663" s="1363"/>
      <c r="Q663" s="1363"/>
      <c r="R663" s="1363"/>
      <c r="S663" s="1363"/>
      <c r="T663" s="1363"/>
      <c r="U663" s="1214">
        <v>42</v>
      </c>
      <c r="V663" s="1214"/>
      <c r="W663" s="1214"/>
    </row>
    <row r="664" spans="1:23" s="295" customFormat="1" ht="12.75" customHeight="1">
      <c r="B664" s="99"/>
      <c r="C664" s="99"/>
      <c r="D664" s="99"/>
      <c r="E664" s="99"/>
      <c r="F664" s="99"/>
      <c r="G664" s="99"/>
      <c r="H664" s="99"/>
      <c r="I664" s="99"/>
      <c r="J664" s="99"/>
      <c r="K664" s="99"/>
      <c r="L664" s="99"/>
      <c r="M664" s="99"/>
      <c r="N664" s="99"/>
      <c r="O664" s="99"/>
      <c r="P664" s="99"/>
      <c r="Q664" s="99"/>
      <c r="R664" s="99"/>
      <c r="S664" s="99"/>
      <c r="T664" s="99"/>
      <c r="U664" s="292"/>
      <c r="V664" s="292"/>
      <c r="W664" s="292"/>
    </row>
    <row r="665" spans="1:23">
      <c r="U665" s="1194"/>
      <c r="V665" s="1194"/>
      <c r="W665" s="1194"/>
    </row>
    <row r="689" spans="1:23" ht="18">
      <c r="A689" s="1370" t="s">
        <v>2632</v>
      </c>
      <c r="B689" s="1370"/>
      <c r="C689" s="1370"/>
      <c r="D689" s="1370"/>
      <c r="E689" s="1370"/>
      <c r="F689" s="1370"/>
      <c r="G689" s="1370"/>
      <c r="H689" s="1370"/>
      <c r="I689" s="1370"/>
      <c r="J689" s="1370"/>
      <c r="K689" s="1370"/>
      <c r="L689" s="1370"/>
      <c r="M689" s="1370"/>
      <c r="N689" s="1370"/>
      <c r="O689" s="1370"/>
      <c r="P689" s="1370"/>
      <c r="Q689" s="1370"/>
      <c r="R689" s="1370"/>
      <c r="S689" s="1370"/>
      <c r="T689" s="1370"/>
      <c r="U689" s="1370"/>
      <c r="V689" s="1370"/>
      <c r="W689" s="1370"/>
    </row>
    <row r="690" spans="1:23" ht="59.25" customHeight="1">
      <c r="A690" s="1370" t="s">
        <v>2633</v>
      </c>
      <c r="B690" s="1370"/>
      <c r="C690" s="1370"/>
      <c r="D690" s="1370"/>
      <c r="E690" s="1370"/>
      <c r="F690" s="1370"/>
      <c r="G690" s="1370"/>
      <c r="H690" s="1370"/>
      <c r="I690" s="1370"/>
      <c r="J690" s="1370"/>
      <c r="K690" s="1370"/>
      <c r="L690" s="1370"/>
      <c r="M690" s="1370"/>
      <c r="N690" s="1370"/>
      <c r="O690" s="1370"/>
      <c r="P690" s="1370"/>
      <c r="Q690" s="1370"/>
      <c r="R690" s="1370"/>
      <c r="S690" s="1370"/>
      <c r="T690" s="1370"/>
      <c r="U690" s="1370"/>
      <c r="V690" s="1370"/>
      <c r="W690" s="1370"/>
    </row>
    <row r="691" spans="1:23" ht="40.5" customHeight="1">
      <c r="A691" s="518" t="s">
        <v>2634</v>
      </c>
      <c r="B691" s="1300" t="s">
        <v>2635</v>
      </c>
      <c r="C691" s="1300"/>
      <c r="D691" s="1300"/>
      <c r="E691" s="1300"/>
      <c r="F691" s="1300"/>
      <c r="G691" s="1300"/>
      <c r="H691" s="1300"/>
      <c r="I691" s="1300"/>
      <c r="J691" s="1300"/>
      <c r="K691" s="1300"/>
      <c r="L691" s="1300"/>
      <c r="M691" s="1300"/>
      <c r="N691" s="1300"/>
      <c r="O691" s="1300"/>
      <c r="P691" s="1300"/>
      <c r="Q691" s="1300"/>
      <c r="R691" s="1299" t="s">
        <v>2636</v>
      </c>
      <c r="S691" s="1299"/>
      <c r="T691" s="1299"/>
      <c r="U691" s="1299" t="s">
        <v>3304</v>
      </c>
      <c r="V691" s="1299"/>
      <c r="W691" s="1299"/>
    </row>
    <row r="692" spans="1:23" ht="7.5" customHeight="1">
      <c r="A692" s="1371"/>
      <c r="B692" s="1371"/>
      <c r="C692" s="1371"/>
      <c r="D692" s="1371"/>
      <c r="E692" s="1371"/>
      <c r="F692" s="1371"/>
      <c r="G692" s="1371"/>
      <c r="H692" s="1371"/>
      <c r="I692" s="1371"/>
      <c r="J692" s="1371"/>
      <c r="K692" s="1371"/>
      <c r="L692" s="1371"/>
      <c r="M692" s="1371"/>
      <c r="N692" s="1371"/>
      <c r="O692" s="1371"/>
      <c r="P692" s="1371"/>
      <c r="Q692" s="1371"/>
      <c r="R692" s="1371"/>
      <c r="S692" s="1371"/>
      <c r="T692" s="1371"/>
      <c r="U692" s="1371"/>
      <c r="V692" s="1371"/>
      <c r="W692" s="1371"/>
    </row>
    <row r="693" spans="1:23" ht="33.75" customHeight="1">
      <c r="A693" s="517">
        <v>1</v>
      </c>
      <c r="B693" s="1363" t="s">
        <v>2637</v>
      </c>
      <c r="C693" s="1363"/>
      <c r="D693" s="1363"/>
      <c r="E693" s="1363"/>
      <c r="F693" s="1363"/>
      <c r="G693" s="1363"/>
      <c r="H693" s="1363"/>
      <c r="I693" s="1363"/>
      <c r="J693" s="1363"/>
      <c r="K693" s="1363"/>
      <c r="L693" s="1363"/>
      <c r="M693" s="1363"/>
      <c r="N693" s="1363"/>
      <c r="O693" s="1363"/>
      <c r="P693" s="1363"/>
      <c r="Q693" s="1363"/>
      <c r="R693" s="1320">
        <v>81200</v>
      </c>
      <c r="S693" s="1320"/>
      <c r="T693" s="1320"/>
      <c r="U693" s="1320">
        <v>43600</v>
      </c>
      <c r="V693" s="1320"/>
      <c r="W693" s="1320"/>
    </row>
    <row r="694" spans="1:23" ht="40.5" customHeight="1">
      <c r="A694" s="517">
        <v>2</v>
      </c>
      <c r="B694" s="1363" t="s">
        <v>2638</v>
      </c>
      <c r="C694" s="1363"/>
      <c r="D694" s="1363"/>
      <c r="E694" s="1363"/>
      <c r="F694" s="1363"/>
      <c r="G694" s="1363"/>
      <c r="H694" s="1363"/>
      <c r="I694" s="1363"/>
      <c r="J694" s="1363"/>
      <c r="K694" s="1363"/>
      <c r="L694" s="1363"/>
      <c r="M694" s="1363"/>
      <c r="N694" s="1363"/>
      <c r="O694" s="1363"/>
      <c r="P694" s="1363"/>
      <c r="Q694" s="1363"/>
      <c r="R694" s="1320">
        <v>77450</v>
      </c>
      <c r="S694" s="1320"/>
      <c r="T694" s="1320"/>
      <c r="U694" s="1320">
        <v>42600</v>
      </c>
      <c r="V694" s="1320"/>
      <c r="W694" s="1320"/>
    </row>
    <row r="695" spans="1:23" ht="63.75" customHeight="1">
      <c r="A695" s="517">
        <v>3</v>
      </c>
      <c r="B695" s="1363" t="s">
        <v>2639</v>
      </c>
      <c r="C695" s="1363"/>
      <c r="D695" s="1363"/>
      <c r="E695" s="1363"/>
      <c r="F695" s="1363"/>
      <c r="G695" s="1363"/>
      <c r="H695" s="1363"/>
      <c r="I695" s="1363"/>
      <c r="J695" s="1363"/>
      <c r="K695" s="1363"/>
      <c r="L695" s="1363"/>
      <c r="M695" s="1363"/>
      <c r="N695" s="1363"/>
      <c r="O695" s="1363"/>
      <c r="P695" s="1363"/>
      <c r="Q695" s="1363"/>
      <c r="R695" s="1320">
        <v>72250</v>
      </c>
      <c r="S695" s="1320"/>
      <c r="T695" s="1320"/>
      <c r="U695" s="1320">
        <v>39750</v>
      </c>
      <c r="V695" s="1320"/>
      <c r="W695" s="1320"/>
    </row>
    <row r="696" spans="1:23" ht="228" customHeight="1">
      <c r="A696" s="517">
        <v>4</v>
      </c>
      <c r="B696" s="1363" t="s">
        <v>2640</v>
      </c>
      <c r="C696" s="1363"/>
      <c r="D696" s="1363"/>
      <c r="E696" s="1363"/>
      <c r="F696" s="1363"/>
      <c r="G696" s="1363"/>
      <c r="H696" s="1363"/>
      <c r="I696" s="1363"/>
      <c r="J696" s="1363"/>
      <c r="K696" s="1363"/>
      <c r="L696" s="1363"/>
      <c r="M696" s="1363"/>
      <c r="N696" s="1363"/>
      <c r="O696" s="1363"/>
      <c r="P696" s="1363"/>
      <c r="Q696" s="1363"/>
      <c r="R696" s="1320">
        <v>67300</v>
      </c>
      <c r="S696" s="1320"/>
      <c r="T696" s="1320"/>
      <c r="U696" s="1320">
        <v>37050</v>
      </c>
      <c r="V696" s="1320"/>
      <c r="W696" s="1320"/>
    </row>
    <row r="697" spans="1:23" ht="93" customHeight="1">
      <c r="A697" s="517">
        <v>5</v>
      </c>
      <c r="B697" s="1363" t="s">
        <v>2641</v>
      </c>
      <c r="C697" s="1363"/>
      <c r="D697" s="1363"/>
      <c r="E697" s="1363"/>
      <c r="F697" s="1363"/>
      <c r="G697" s="1363"/>
      <c r="H697" s="1363"/>
      <c r="I697" s="1363"/>
      <c r="J697" s="1363"/>
      <c r="K697" s="1363"/>
      <c r="L697" s="1363"/>
      <c r="M697" s="1363"/>
      <c r="N697" s="1363"/>
      <c r="O697" s="1363"/>
      <c r="P697" s="1363"/>
      <c r="Q697" s="1363"/>
      <c r="R697" s="1320">
        <v>63850</v>
      </c>
      <c r="S697" s="1320"/>
      <c r="T697" s="1320"/>
      <c r="U697" s="1320">
        <v>35125</v>
      </c>
      <c r="V697" s="1320"/>
      <c r="W697" s="1320"/>
    </row>
    <row r="698" spans="1:23" ht="39" customHeight="1">
      <c r="A698" s="517">
        <v>6</v>
      </c>
      <c r="B698" s="1363" t="s">
        <v>2642</v>
      </c>
      <c r="C698" s="1363"/>
      <c r="D698" s="1363"/>
      <c r="E698" s="1363"/>
      <c r="F698" s="1363"/>
      <c r="G698" s="1363"/>
      <c r="H698" s="1363"/>
      <c r="I698" s="1363"/>
      <c r="J698" s="1363"/>
      <c r="K698" s="1363"/>
      <c r="L698" s="1363"/>
      <c r="M698" s="1363"/>
      <c r="N698" s="1363"/>
      <c r="O698" s="1363"/>
      <c r="P698" s="1363"/>
      <c r="Q698" s="1363"/>
      <c r="R698" s="1320">
        <v>56500</v>
      </c>
      <c r="S698" s="1320"/>
      <c r="T698" s="1320"/>
      <c r="U698" s="1320">
        <v>31100</v>
      </c>
      <c r="V698" s="1320"/>
      <c r="W698" s="1320"/>
    </row>
    <row r="699" spans="1:23" ht="206.25" customHeight="1">
      <c r="A699" s="517">
        <v>7</v>
      </c>
      <c r="B699" s="1363" t="s">
        <v>2643</v>
      </c>
      <c r="C699" s="1363"/>
      <c r="D699" s="1363"/>
      <c r="E699" s="1363"/>
      <c r="F699" s="1363"/>
      <c r="G699" s="1363"/>
      <c r="H699" s="1363"/>
      <c r="I699" s="1363"/>
      <c r="J699" s="1363"/>
      <c r="K699" s="1363"/>
      <c r="L699" s="1363"/>
      <c r="M699" s="1363"/>
      <c r="N699" s="1363"/>
      <c r="O699" s="1363"/>
      <c r="P699" s="1363"/>
      <c r="Q699" s="1363"/>
      <c r="R699" s="1320">
        <v>54300</v>
      </c>
      <c r="S699" s="1320"/>
      <c r="T699" s="1320"/>
      <c r="U699" s="1320">
        <v>30000</v>
      </c>
      <c r="V699" s="1320"/>
      <c r="W699" s="1320"/>
    </row>
    <row r="700" spans="1:23" ht="99" customHeight="1">
      <c r="A700" s="517">
        <v>8</v>
      </c>
      <c r="B700" s="1363" t="s">
        <v>2644</v>
      </c>
      <c r="C700" s="1363"/>
      <c r="D700" s="1363"/>
      <c r="E700" s="1363"/>
      <c r="F700" s="1363"/>
      <c r="G700" s="1363"/>
      <c r="H700" s="1363"/>
      <c r="I700" s="1363"/>
      <c r="J700" s="1363"/>
      <c r="K700" s="1363"/>
      <c r="L700" s="1363"/>
      <c r="M700" s="1363"/>
      <c r="N700" s="1363"/>
      <c r="O700" s="1363"/>
      <c r="P700" s="1363"/>
      <c r="Q700" s="1363"/>
      <c r="R700" s="1320">
        <v>51900</v>
      </c>
      <c r="S700" s="1320"/>
      <c r="T700" s="1320"/>
      <c r="U700" s="1320">
        <v>28575</v>
      </c>
      <c r="V700" s="1320"/>
      <c r="W700" s="1320"/>
    </row>
    <row r="701" spans="1:23" ht="155.25" customHeight="1">
      <c r="A701" s="517">
        <v>9</v>
      </c>
      <c r="B701" s="1373" t="s">
        <v>3338</v>
      </c>
      <c r="C701" s="1363"/>
      <c r="D701" s="1363"/>
      <c r="E701" s="1363"/>
      <c r="F701" s="1363"/>
      <c r="G701" s="1363"/>
      <c r="H701" s="1363"/>
      <c r="I701" s="1363"/>
      <c r="J701" s="1363"/>
      <c r="K701" s="1363"/>
      <c r="L701" s="1363"/>
      <c r="M701" s="1363"/>
      <c r="N701" s="1363"/>
      <c r="O701" s="1363"/>
      <c r="P701" s="1363"/>
      <c r="Q701" s="1363"/>
      <c r="R701" s="1190"/>
      <c r="S701" s="1190"/>
      <c r="T701" s="1190"/>
      <c r="U701" s="1190"/>
      <c r="V701" s="1190"/>
      <c r="W701" s="1190"/>
    </row>
    <row r="702" spans="1:23" ht="18" customHeight="1">
      <c r="A702" s="517"/>
      <c r="B702" s="1363" t="s">
        <v>2645</v>
      </c>
      <c r="C702" s="1363"/>
      <c r="D702" s="1363"/>
      <c r="E702" s="1363"/>
      <c r="F702" s="1363"/>
      <c r="G702" s="1363"/>
      <c r="H702" s="1363"/>
      <c r="I702" s="1363"/>
      <c r="J702" s="1363"/>
      <c r="K702" s="1363"/>
      <c r="L702" s="1363"/>
      <c r="M702" s="1363"/>
      <c r="N702" s="1363"/>
      <c r="O702" s="1363"/>
      <c r="P702" s="1363"/>
      <c r="Q702" s="1363"/>
      <c r="R702" s="1320">
        <v>50750</v>
      </c>
      <c r="S702" s="1320"/>
      <c r="T702" s="1320"/>
      <c r="U702" s="1320">
        <v>27950</v>
      </c>
      <c r="V702" s="1320"/>
      <c r="W702" s="1320"/>
    </row>
    <row r="703" spans="1:23" ht="18" customHeight="1">
      <c r="A703" s="517"/>
      <c r="B703" s="1372" t="s">
        <v>2646</v>
      </c>
      <c r="C703" s="1372"/>
      <c r="D703" s="1372"/>
      <c r="E703" s="1372"/>
      <c r="F703" s="1372"/>
      <c r="G703" s="1372"/>
      <c r="H703" s="1372"/>
      <c r="I703" s="1372"/>
      <c r="J703" s="1372"/>
      <c r="K703" s="1372"/>
      <c r="L703" s="1372"/>
      <c r="M703" s="1372"/>
      <c r="N703" s="1372"/>
      <c r="O703" s="1372"/>
      <c r="P703" s="1372"/>
      <c r="Q703" s="1372"/>
      <c r="R703" s="1320">
        <v>46850</v>
      </c>
      <c r="S703" s="1320"/>
      <c r="T703" s="1320"/>
      <c r="U703" s="1320">
        <v>25775</v>
      </c>
      <c r="V703" s="1320"/>
      <c r="W703" s="1320"/>
    </row>
    <row r="704" spans="1:23" ht="18" customHeight="1">
      <c r="A704" s="517"/>
      <c r="B704" s="1363" t="s">
        <v>2647</v>
      </c>
      <c r="C704" s="1363"/>
      <c r="D704" s="1363"/>
      <c r="E704" s="1363"/>
      <c r="F704" s="1363"/>
      <c r="G704" s="1363"/>
      <c r="H704" s="1363"/>
      <c r="I704" s="1363"/>
      <c r="J704" s="1363"/>
      <c r="K704" s="1363"/>
      <c r="L704" s="1363"/>
      <c r="M704" s="1363"/>
      <c r="N704" s="1363"/>
      <c r="O704" s="1363"/>
      <c r="P704" s="1363"/>
      <c r="Q704" s="1363"/>
      <c r="R704" s="1320">
        <v>45800</v>
      </c>
      <c r="S704" s="1320"/>
      <c r="T704" s="1320"/>
      <c r="U704" s="1320">
        <v>25200</v>
      </c>
      <c r="V704" s="1320"/>
      <c r="W704" s="1320"/>
    </row>
    <row r="705" spans="1:24" ht="84" customHeight="1">
      <c r="A705" s="517">
        <v>10</v>
      </c>
      <c r="B705" s="1363" t="s">
        <v>2648</v>
      </c>
      <c r="C705" s="1363"/>
      <c r="D705" s="1363"/>
      <c r="E705" s="1363"/>
      <c r="F705" s="1363"/>
      <c r="G705" s="1363"/>
      <c r="H705" s="1363"/>
      <c r="I705" s="1363"/>
      <c r="J705" s="1363"/>
      <c r="K705" s="1363"/>
      <c r="L705" s="1363"/>
      <c r="M705" s="1363"/>
      <c r="N705" s="1363"/>
      <c r="O705" s="1363"/>
      <c r="P705" s="1363"/>
      <c r="Q705" s="1363"/>
      <c r="R705" s="1320">
        <v>46850</v>
      </c>
      <c r="S705" s="1320"/>
      <c r="T705" s="1320"/>
      <c r="U705" s="1320">
        <v>25775</v>
      </c>
      <c r="V705" s="1320"/>
      <c r="W705" s="1320"/>
    </row>
    <row r="718" spans="1:24" ht="15.75" customHeight="1">
      <c r="A718" s="1338" t="s">
        <v>819</v>
      </c>
      <c r="B718" s="1338"/>
      <c r="C718" s="1338"/>
      <c r="D718" s="1338"/>
      <c r="E718" s="1338"/>
      <c r="F718" s="1338"/>
      <c r="G718" s="1338"/>
      <c r="H718" s="1338"/>
      <c r="I718" s="1338"/>
      <c r="J718" s="1338"/>
      <c r="K718" s="1338"/>
      <c r="L718" s="1338"/>
      <c r="M718" s="1338"/>
      <c r="N718" s="1338"/>
      <c r="O718" s="1338"/>
      <c r="P718" s="1338"/>
      <c r="Q718" s="1338"/>
      <c r="R718" s="1338"/>
      <c r="S718" s="1338"/>
      <c r="T718" s="1338"/>
      <c r="U718" s="1338"/>
      <c r="V718" s="1338"/>
      <c r="W718" s="1338"/>
      <c r="X718" s="520"/>
    </row>
    <row r="719" spans="1:24" ht="35.25" customHeight="1">
      <c r="A719" s="1338" t="s">
        <v>2649</v>
      </c>
      <c r="B719" s="1338"/>
      <c r="C719" s="1338"/>
      <c r="D719" s="1338"/>
      <c r="E719" s="1338"/>
      <c r="F719" s="1338"/>
      <c r="G719" s="1338"/>
      <c r="H719" s="1338"/>
      <c r="I719" s="1338"/>
      <c r="J719" s="1338"/>
      <c r="K719" s="1338"/>
      <c r="L719" s="1338"/>
      <c r="M719" s="1338"/>
      <c r="N719" s="1338"/>
      <c r="O719" s="1338"/>
      <c r="P719" s="1338"/>
      <c r="Q719" s="1338"/>
      <c r="R719" s="1338"/>
      <c r="S719" s="1338"/>
      <c r="T719" s="1338"/>
      <c r="U719" s="1338"/>
      <c r="V719" s="1338"/>
      <c r="W719" s="1338"/>
      <c r="X719" s="520"/>
    </row>
    <row r="720" spans="1:24" ht="40.5">
      <c r="A720" s="518" t="s">
        <v>2634</v>
      </c>
      <c r="B720" s="1300" t="s">
        <v>2635</v>
      </c>
      <c r="C720" s="1300"/>
      <c r="D720" s="1300"/>
      <c r="E720" s="1300"/>
      <c r="F720" s="1300"/>
      <c r="G720" s="1300"/>
      <c r="H720" s="1300"/>
      <c r="I720" s="1300"/>
      <c r="J720" s="1300"/>
      <c r="K720" s="1300"/>
      <c r="L720" s="1300"/>
      <c r="M720" s="1300"/>
      <c r="N720" s="1300"/>
      <c r="O720" s="1300"/>
      <c r="P720" s="1300"/>
      <c r="Q720" s="1300"/>
      <c r="R720" s="1299" t="s">
        <v>2636</v>
      </c>
      <c r="S720" s="1299"/>
      <c r="T720" s="1299"/>
      <c r="U720" s="1299" t="s">
        <v>3304</v>
      </c>
      <c r="V720" s="1299"/>
      <c r="W720" s="1299"/>
    </row>
    <row r="721" spans="1:23" ht="9" customHeight="1"/>
    <row r="722" spans="1:23" ht="96" customHeight="1">
      <c r="A722" s="521">
        <v>1</v>
      </c>
      <c r="B722" s="1339" t="s">
        <v>2650</v>
      </c>
      <c r="C722" s="1339"/>
      <c r="D722" s="1339"/>
      <c r="E722" s="1339"/>
      <c r="F722" s="1339"/>
      <c r="G722" s="1339"/>
      <c r="H722" s="1339"/>
      <c r="I722" s="1339"/>
      <c r="J722" s="1339"/>
      <c r="K722" s="1339"/>
      <c r="L722" s="1339"/>
      <c r="M722" s="1339"/>
      <c r="N722" s="1339"/>
      <c r="O722" s="1339"/>
      <c r="P722" s="1339"/>
      <c r="Q722" s="1339"/>
      <c r="R722" s="1339"/>
      <c r="S722" s="1339"/>
      <c r="T722" s="1339"/>
      <c r="U722" s="1339"/>
      <c r="V722" s="1339"/>
      <c r="W722" s="1339"/>
    </row>
    <row r="723" spans="1:23">
      <c r="A723" s="1315"/>
      <c r="B723" s="1306"/>
      <c r="C723" s="1333" t="s">
        <v>2651</v>
      </c>
      <c r="D723" s="1333"/>
      <c r="E723" s="1333"/>
      <c r="F723" s="1333"/>
      <c r="G723" s="1333"/>
      <c r="H723" s="1333"/>
      <c r="I723" s="1333"/>
      <c r="J723" s="1333"/>
      <c r="K723" s="1333"/>
      <c r="L723" s="1333"/>
      <c r="M723" s="1333"/>
      <c r="N723" s="1333"/>
      <c r="O723" s="1333"/>
      <c r="P723" s="1333"/>
      <c r="Q723" s="1333"/>
      <c r="R723" s="1320">
        <v>46450</v>
      </c>
      <c r="S723" s="1320"/>
      <c r="T723" s="1320"/>
      <c r="U723" s="1320">
        <v>25560</v>
      </c>
      <c r="V723" s="1320"/>
      <c r="W723" s="1320"/>
    </row>
    <row r="724" spans="1:23">
      <c r="A724" s="1306"/>
      <c r="B724" s="1306"/>
      <c r="C724" s="1333" t="s">
        <v>2652</v>
      </c>
      <c r="D724" s="1333"/>
      <c r="E724" s="1333"/>
      <c r="F724" s="1333"/>
      <c r="G724" s="1333"/>
      <c r="H724" s="1333"/>
      <c r="I724" s="1333"/>
      <c r="J724" s="1333"/>
      <c r="K724" s="1333"/>
      <c r="L724" s="1333"/>
      <c r="M724" s="1333"/>
      <c r="N724" s="1333"/>
      <c r="O724" s="1333"/>
      <c r="P724" s="1333"/>
      <c r="Q724" s="1333"/>
      <c r="R724" s="1320">
        <v>43400</v>
      </c>
      <c r="S724" s="1320"/>
      <c r="T724" s="1320"/>
      <c r="U724" s="1320">
        <v>23870</v>
      </c>
      <c r="V724" s="1320"/>
      <c r="W724" s="1320"/>
    </row>
    <row r="725" spans="1:23">
      <c r="A725" s="1306"/>
      <c r="B725" s="1306"/>
      <c r="C725" s="1333" t="s">
        <v>2653</v>
      </c>
      <c r="D725" s="1333"/>
      <c r="E725" s="1333"/>
      <c r="F725" s="1333"/>
      <c r="G725" s="1333"/>
      <c r="H725" s="1333"/>
      <c r="I725" s="1333"/>
      <c r="J725" s="1333"/>
      <c r="K725" s="1333"/>
      <c r="L725" s="1333"/>
      <c r="M725" s="1333"/>
      <c r="N725" s="1333"/>
      <c r="O725" s="1333"/>
      <c r="P725" s="1333"/>
      <c r="Q725" s="1333"/>
      <c r="R725" s="1320">
        <v>40850</v>
      </c>
      <c r="S725" s="1320"/>
      <c r="T725" s="1320"/>
      <c r="U725" s="1320">
        <v>22475</v>
      </c>
      <c r="V725" s="1320"/>
      <c r="W725" s="1320"/>
    </row>
    <row r="726" spans="1:23">
      <c r="A726" s="1306"/>
      <c r="B726" s="1306"/>
      <c r="C726" s="1333" t="s">
        <v>2654</v>
      </c>
      <c r="D726" s="1333"/>
      <c r="E726" s="1333"/>
      <c r="F726" s="1333"/>
      <c r="G726" s="1333"/>
      <c r="H726" s="1333"/>
      <c r="I726" s="1333"/>
      <c r="J726" s="1333"/>
      <c r="K726" s="1333"/>
      <c r="L726" s="1333"/>
      <c r="M726" s="1333"/>
      <c r="N726" s="1333"/>
      <c r="O726" s="1333"/>
      <c r="P726" s="1333"/>
      <c r="Q726" s="1333"/>
      <c r="R726" s="1320">
        <v>39300</v>
      </c>
      <c r="S726" s="1320"/>
      <c r="T726" s="1320"/>
      <c r="U726" s="1320">
        <v>21625</v>
      </c>
      <c r="V726" s="1320"/>
      <c r="W726" s="1320"/>
    </row>
    <row r="727" spans="1:23">
      <c r="A727" s="1306"/>
      <c r="B727" s="1306"/>
      <c r="C727" s="1333" t="s">
        <v>2655</v>
      </c>
      <c r="D727" s="1333"/>
      <c r="E727" s="1333"/>
      <c r="F727" s="1333"/>
      <c r="G727" s="1333"/>
      <c r="H727" s="1333"/>
      <c r="I727" s="1333"/>
      <c r="J727" s="1333"/>
      <c r="K727" s="1333"/>
      <c r="L727" s="1333"/>
      <c r="M727" s="1333"/>
      <c r="N727" s="1333"/>
      <c r="O727" s="1333"/>
      <c r="P727" s="1333"/>
      <c r="Q727" s="1333"/>
      <c r="R727" s="1320">
        <v>37950</v>
      </c>
      <c r="S727" s="1320"/>
      <c r="T727" s="1320"/>
      <c r="U727" s="1320">
        <v>21000</v>
      </c>
      <c r="V727" s="1320"/>
      <c r="W727" s="1320"/>
    </row>
    <row r="728" spans="1:23">
      <c r="A728" s="1306"/>
      <c r="B728" s="1306"/>
      <c r="C728" s="1333" t="s">
        <v>2656</v>
      </c>
      <c r="D728" s="1333"/>
      <c r="E728" s="1333"/>
      <c r="F728" s="1333"/>
      <c r="G728" s="1333"/>
      <c r="H728" s="1333"/>
      <c r="I728" s="1333"/>
      <c r="J728" s="1333"/>
      <c r="K728" s="1333"/>
      <c r="L728" s="1333"/>
      <c r="M728" s="1333"/>
      <c r="N728" s="1333"/>
      <c r="O728" s="1333"/>
      <c r="P728" s="1333"/>
      <c r="Q728" s="1333"/>
      <c r="R728" s="1320">
        <v>36800</v>
      </c>
      <c r="S728" s="1320"/>
      <c r="T728" s="1320"/>
      <c r="U728" s="1320">
        <v>20250</v>
      </c>
      <c r="V728" s="1320"/>
      <c r="W728" s="1320"/>
    </row>
    <row r="729" spans="1:23">
      <c r="A729" s="1306"/>
      <c r="B729" s="1306"/>
      <c r="C729" s="1333" t="s">
        <v>2657</v>
      </c>
      <c r="D729" s="1333"/>
      <c r="E729" s="1333"/>
      <c r="F729" s="1333"/>
      <c r="G729" s="1333"/>
      <c r="H729" s="1333"/>
      <c r="I729" s="1333"/>
      <c r="J729" s="1333"/>
      <c r="K729" s="1333"/>
      <c r="L729" s="1333"/>
      <c r="M729" s="1333"/>
      <c r="N729" s="1333"/>
      <c r="O729" s="1333"/>
      <c r="P729" s="1333"/>
      <c r="Q729" s="1333"/>
      <c r="R729" s="1320">
        <v>35550</v>
      </c>
      <c r="S729" s="1320"/>
      <c r="T729" s="1320"/>
      <c r="U729" s="1320">
        <v>19550</v>
      </c>
      <c r="V729" s="1320"/>
      <c r="W729" s="1320"/>
    </row>
    <row r="730" spans="1:23">
      <c r="A730" s="105">
        <v>2</v>
      </c>
      <c r="B730" s="1337" t="s">
        <v>2658</v>
      </c>
      <c r="C730" s="1337"/>
      <c r="D730" s="1337"/>
      <c r="E730" s="1337"/>
      <c r="F730" s="1337"/>
      <c r="G730" s="1337"/>
      <c r="H730" s="1337"/>
      <c r="I730" s="1337"/>
      <c r="J730" s="1337"/>
      <c r="K730" s="1337"/>
      <c r="L730" s="1337"/>
      <c r="M730" s="1337"/>
      <c r="N730" s="1337"/>
      <c r="O730" s="1337"/>
      <c r="P730" s="1337"/>
      <c r="Q730" s="1337"/>
      <c r="R730" s="1320">
        <v>30575</v>
      </c>
      <c r="S730" s="1320"/>
      <c r="T730" s="1320"/>
      <c r="U730" s="1320">
        <v>16800</v>
      </c>
      <c r="V730" s="1320"/>
      <c r="W730" s="1320"/>
    </row>
    <row r="731" spans="1:23" ht="14.25" customHeight="1">
      <c r="A731" s="521">
        <v>3</v>
      </c>
      <c r="B731" s="1336" t="s">
        <v>2659</v>
      </c>
      <c r="C731" s="1336"/>
      <c r="D731" s="1336"/>
      <c r="E731" s="1336"/>
      <c r="F731" s="1336"/>
      <c r="G731" s="1336"/>
      <c r="H731" s="1336"/>
      <c r="I731" s="1336"/>
      <c r="J731" s="1336"/>
      <c r="K731" s="1336"/>
      <c r="L731" s="1336"/>
      <c r="M731" s="1336"/>
      <c r="N731" s="1336"/>
      <c r="O731" s="1336"/>
      <c r="P731" s="1336"/>
      <c r="Q731" s="1336"/>
      <c r="R731" s="1336"/>
      <c r="S731" s="1336"/>
      <c r="T731" s="1336"/>
      <c r="U731" s="1336"/>
      <c r="V731" s="1336"/>
      <c r="W731" s="1336"/>
    </row>
    <row r="732" spans="1:23">
      <c r="A732" s="1315"/>
      <c r="B732" s="1306"/>
      <c r="C732" s="1333" t="s">
        <v>2651</v>
      </c>
      <c r="D732" s="1333"/>
      <c r="E732" s="1333"/>
      <c r="F732" s="1333"/>
      <c r="G732" s="1333"/>
      <c r="H732" s="1333"/>
      <c r="I732" s="1333"/>
      <c r="J732" s="1333"/>
      <c r="K732" s="1333"/>
      <c r="L732" s="1333"/>
      <c r="M732" s="1333"/>
      <c r="N732" s="1333"/>
      <c r="O732" s="1333"/>
      <c r="P732" s="1333"/>
      <c r="Q732" s="1333"/>
      <c r="R732" s="1320">
        <v>37250</v>
      </c>
      <c r="S732" s="1320"/>
      <c r="T732" s="1320"/>
      <c r="U732" s="1320">
        <v>20500</v>
      </c>
      <c r="V732" s="1320"/>
      <c r="W732" s="1320"/>
    </row>
    <row r="733" spans="1:23">
      <c r="A733" s="1306"/>
      <c r="B733" s="1306"/>
      <c r="C733" s="1333" t="s">
        <v>2652</v>
      </c>
      <c r="D733" s="1333"/>
      <c r="E733" s="1333"/>
      <c r="F733" s="1333"/>
      <c r="G733" s="1333"/>
      <c r="H733" s="1333"/>
      <c r="I733" s="1333"/>
      <c r="J733" s="1333"/>
      <c r="K733" s="1333"/>
      <c r="L733" s="1333"/>
      <c r="M733" s="1333"/>
      <c r="N733" s="1333"/>
      <c r="O733" s="1333"/>
      <c r="P733" s="1333"/>
      <c r="Q733" s="1333"/>
      <c r="R733" s="1320">
        <v>35650</v>
      </c>
      <c r="S733" s="1320"/>
      <c r="T733" s="1320"/>
      <c r="U733" s="1320">
        <v>19650</v>
      </c>
      <c r="V733" s="1320"/>
      <c r="W733" s="1320"/>
    </row>
    <row r="734" spans="1:23">
      <c r="A734" s="1306"/>
      <c r="B734" s="1306"/>
      <c r="C734" s="1333" t="s">
        <v>2653</v>
      </c>
      <c r="D734" s="1333"/>
      <c r="E734" s="1333"/>
      <c r="F734" s="1333"/>
      <c r="G734" s="1333"/>
      <c r="H734" s="1333"/>
      <c r="I734" s="1333"/>
      <c r="J734" s="1333"/>
      <c r="K734" s="1333"/>
      <c r="L734" s="1333"/>
      <c r="M734" s="1333"/>
      <c r="N734" s="1333"/>
      <c r="O734" s="1333"/>
      <c r="P734" s="1333"/>
      <c r="Q734" s="1333"/>
      <c r="R734" s="1320">
        <v>34400</v>
      </c>
      <c r="S734" s="1320"/>
      <c r="T734" s="1320"/>
      <c r="U734" s="1320">
        <v>18925</v>
      </c>
      <c r="V734" s="1320"/>
      <c r="W734" s="1320"/>
    </row>
    <row r="735" spans="1:23">
      <c r="A735" s="1306"/>
      <c r="B735" s="1306"/>
      <c r="C735" s="1333" t="s">
        <v>2654</v>
      </c>
      <c r="D735" s="1333"/>
      <c r="E735" s="1333"/>
      <c r="F735" s="1333"/>
      <c r="G735" s="1333"/>
      <c r="H735" s="1333"/>
      <c r="I735" s="1333"/>
      <c r="J735" s="1333"/>
      <c r="K735" s="1333"/>
      <c r="L735" s="1333"/>
      <c r="M735" s="1333"/>
      <c r="N735" s="1333"/>
      <c r="O735" s="1333"/>
      <c r="P735" s="1333"/>
      <c r="Q735" s="1333"/>
      <c r="R735" s="1320">
        <v>33150</v>
      </c>
      <c r="S735" s="1320"/>
      <c r="T735" s="1320"/>
      <c r="U735" s="1320">
        <v>18250</v>
      </c>
      <c r="V735" s="1320"/>
      <c r="W735" s="1320"/>
    </row>
    <row r="736" spans="1:23">
      <c r="A736" s="1306"/>
      <c r="B736" s="1306"/>
      <c r="C736" s="1333" t="s">
        <v>2655</v>
      </c>
      <c r="D736" s="1333"/>
      <c r="E736" s="1333"/>
      <c r="F736" s="1333"/>
      <c r="G736" s="1333"/>
      <c r="H736" s="1333"/>
      <c r="I736" s="1333"/>
      <c r="J736" s="1333"/>
      <c r="K736" s="1333"/>
      <c r="L736" s="1333"/>
      <c r="M736" s="1333"/>
      <c r="N736" s="1333"/>
      <c r="O736" s="1333"/>
      <c r="P736" s="1333"/>
      <c r="Q736" s="1333"/>
      <c r="R736" s="1320">
        <v>32650</v>
      </c>
      <c r="S736" s="1320"/>
      <c r="T736" s="1320"/>
      <c r="U736" s="1320">
        <v>17950</v>
      </c>
      <c r="V736" s="1320"/>
      <c r="W736" s="1320"/>
    </row>
    <row r="737" spans="1:23">
      <c r="A737" s="1306"/>
      <c r="B737" s="1306"/>
      <c r="C737" s="1333" t="s">
        <v>2656</v>
      </c>
      <c r="D737" s="1333"/>
      <c r="E737" s="1333"/>
      <c r="F737" s="1333"/>
      <c r="G737" s="1333"/>
      <c r="H737" s="1333"/>
      <c r="I737" s="1333"/>
      <c r="J737" s="1333"/>
      <c r="K737" s="1333"/>
      <c r="L737" s="1333"/>
      <c r="M737" s="1333"/>
      <c r="N737" s="1333"/>
      <c r="O737" s="1333"/>
      <c r="P737" s="1333"/>
      <c r="Q737" s="1333"/>
      <c r="R737" s="1320">
        <v>31450</v>
      </c>
      <c r="S737" s="1320"/>
      <c r="T737" s="1320"/>
      <c r="U737" s="1320">
        <v>17300</v>
      </c>
      <c r="V737" s="1320"/>
      <c r="W737" s="1320"/>
    </row>
    <row r="738" spans="1:23">
      <c r="A738" s="1306"/>
      <c r="B738" s="1306"/>
      <c r="C738" s="1333" t="s">
        <v>2657</v>
      </c>
      <c r="D738" s="1333"/>
      <c r="E738" s="1333"/>
      <c r="F738" s="1333"/>
      <c r="G738" s="1333"/>
      <c r="H738" s="1333"/>
      <c r="I738" s="1333"/>
      <c r="J738" s="1333"/>
      <c r="K738" s="1333"/>
      <c r="L738" s="1333"/>
      <c r="M738" s="1333"/>
      <c r="N738" s="1333"/>
      <c r="O738" s="1333"/>
      <c r="P738" s="1333"/>
      <c r="Q738" s="1333"/>
      <c r="R738" s="1320">
        <v>30250</v>
      </c>
      <c r="S738" s="1320"/>
      <c r="T738" s="1320"/>
      <c r="U738" s="1320">
        <v>16650</v>
      </c>
      <c r="V738" s="1320"/>
      <c r="W738" s="1320"/>
    </row>
    <row r="739" spans="1:23">
      <c r="A739" s="105">
        <v>4</v>
      </c>
      <c r="B739" s="1337" t="s">
        <v>2660</v>
      </c>
      <c r="C739" s="1337"/>
      <c r="D739" s="1337"/>
      <c r="E739" s="1337"/>
      <c r="F739" s="1337"/>
      <c r="G739" s="1337"/>
      <c r="H739" s="1337"/>
      <c r="I739" s="1337"/>
      <c r="J739" s="1337"/>
      <c r="K739" s="1337"/>
      <c r="L739" s="1337"/>
      <c r="M739" s="1337"/>
      <c r="N739" s="1337"/>
      <c r="O739" s="1337"/>
      <c r="P739" s="1337"/>
      <c r="Q739" s="1337"/>
      <c r="R739" s="1320">
        <v>25875</v>
      </c>
      <c r="S739" s="1320"/>
      <c r="T739" s="1320"/>
      <c r="U739" s="1320">
        <v>14225</v>
      </c>
      <c r="V739" s="1320"/>
      <c r="W739" s="1320"/>
    </row>
    <row r="766" spans="1:24" ht="15.75">
      <c r="A766" s="1319" t="s">
        <v>2661</v>
      </c>
      <c r="B766" s="1319"/>
      <c r="C766" s="1319"/>
      <c r="D766" s="1319"/>
      <c r="E766" s="1319"/>
      <c r="F766" s="1319"/>
      <c r="G766" s="1319"/>
      <c r="H766" s="1319"/>
      <c r="I766" s="1319"/>
      <c r="J766" s="1319"/>
      <c r="K766" s="1319"/>
      <c r="L766" s="1319"/>
      <c r="M766" s="1319"/>
      <c r="N766" s="1319"/>
      <c r="O766" s="1319"/>
      <c r="P766" s="1319"/>
      <c r="Q766" s="1319"/>
      <c r="R766" s="1319"/>
      <c r="S766" s="1319"/>
      <c r="T766" s="1319"/>
      <c r="U766" s="1319"/>
      <c r="V766" s="1319"/>
      <c r="W766" s="1319"/>
      <c r="X766" s="528"/>
    </row>
    <row r="767" spans="1:24" ht="15.75">
      <c r="A767" s="1319" t="s">
        <v>2662</v>
      </c>
      <c r="B767" s="1319"/>
      <c r="C767" s="1319"/>
      <c r="D767" s="1319"/>
      <c r="E767" s="1319"/>
      <c r="F767" s="1319"/>
      <c r="G767" s="1319"/>
      <c r="H767" s="1319"/>
      <c r="I767" s="1319"/>
      <c r="J767" s="1319"/>
      <c r="K767" s="1319"/>
      <c r="L767" s="1319"/>
      <c r="M767" s="1319"/>
      <c r="N767" s="1319"/>
      <c r="O767" s="1319"/>
      <c r="P767" s="1319"/>
      <c r="Q767" s="1319"/>
      <c r="R767" s="1319"/>
      <c r="S767" s="1319"/>
      <c r="T767" s="1319"/>
      <c r="U767" s="1319"/>
      <c r="V767" s="1319"/>
      <c r="W767" s="1319"/>
      <c r="X767" s="528"/>
    </row>
    <row r="768" spans="1:24" ht="15.75">
      <c r="A768" s="1319" t="s">
        <v>2663</v>
      </c>
      <c r="B768" s="1319"/>
      <c r="C768" s="1319"/>
      <c r="D768" s="1319"/>
      <c r="E768" s="1319"/>
      <c r="F768" s="1319"/>
      <c r="G768" s="1319"/>
      <c r="H768" s="1319"/>
      <c r="I768" s="1319"/>
      <c r="J768" s="1319"/>
      <c r="K768" s="1319"/>
      <c r="L768" s="1319"/>
      <c r="M768" s="1319"/>
      <c r="N768" s="1319"/>
      <c r="O768" s="1319"/>
      <c r="P768" s="1319"/>
      <c r="Q768" s="1319"/>
      <c r="R768" s="1319"/>
      <c r="S768" s="1319"/>
      <c r="T768" s="1319"/>
      <c r="U768" s="1319"/>
      <c r="V768" s="1319"/>
      <c r="W768" s="1319"/>
      <c r="X768" s="528"/>
    </row>
    <row r="769" spans="1:24" ht="15.75">
      <c r="A769" s="1379" t="s">
        <v>2664</v>
      </c>
      <c r="B769" s="1379"/>
      <c r="C769" s="1379"/>
      <c r="D769" s="1379"/>
      <c r="E769" s="1379"/>
      <c r="F769" s="1379"/>
      <c r="G769" s="1379"/>
      <c r="H769" s="1379"/>
      <c r="I769" s="1379"/>
      <c r="J769" s="1379"/>
      <c r="K769" s="1379"/>
      <c r="L769" s="1379"/>
      <c r="M769" s="1379"/>
      <c r="N769" s="1379"/>
      <c r="O769" s="1379"/>
      <c r="P769" s="1379"/>
      <c r="Q769" s="1379"/>
      <c r="R769" s="1379"/>
      <c r="S769" s="1379"/>
      <c r="T769" s="1379"/>
      <c r="U769" s="1379"/>
      <c r="V769" s="1379"/>
      <c r="W769" s="1379"/>
      <c r="X769" s="528"/>
    </row>
    <row r="770" spans="1:24" ht="31.5" customHeight="1">
      <c r="A770" s="1300" t="s">
        <v>3309</v>
      </c>
      <c r="B770" s="1300"/>
      <c r="C770" s="1300"/>
      <c r="D770" s="1300"/>
      <c r="E770" s="1300"/>
      <c r="F770" s="1300"/>
      <c r="G770" s="1300"/>
      <c r="H770" s="1300"/>
      <c r="I770" s="1300"/>
      <c r="J770" s="1300"/>
      <c r="K770" s="1300"/>
      <c r="L770" s="1300"/>
      <c r="M770" s="1300"/>
      <c r="N770" s="1300"/>
      <c r="O770" s="1300"/>
      <c r="P770" s="1300"/>
      <c r="Q770" s="1300"/>
      <c r="R770" s="1300"/>
      <c r="S770" s="1330" t="s">
        <v>3308</v>
      </c>
      <c r="T770" s="1330"/>
      <c r="U770" s="1335" t="s">
        <v>2951</v>
      </c>
      <c r="V770" s="1335"/>
      <c r="W770" s="1335"/>
      <c r="X770" s="519"/>
    </row>
    <row r="771" spans="1:24" ht="15.75">
      <c r="A771" s="519"/>
      <c r="B771" s="519"/>
      <c r="C771" s="519"/>
      <c r="D771" s="519"/>
      <c r="E771" s="519"/>
      <c r="F771" s="519"/>
      <c r="G771" s="519"/>
      <c r="H771" s="519"/>
      <c r="I771" s="519"/>
      <c r="J771" s="519"/>
      <c r="K771" s="519"/>
      <c r="L771" s="519"/>
      <c r="M771" s="519"/>
      <c r="N771" s="519"/>
      <c r="O771" s="519"/>
      <c r="P771" s="519"/>
      <c r="Q771" s="519"/>
      <c r="R771" s="519"/>
      <c r="S771" s="519"/>
      <c r="T771" s="519"/>
      <c r="U771" s="519"/>
      <c r="V771" s="519"/>
      <c r="W771" s="519"/>
      <c r="X771" s="519"/>
    </row>
    <row r="772" spans="1:24" ht="15.75">
      <c r="A772" s="1327" t="s">
        <v>873</v>
      </c>
      <c r="B772" s="1327"/>
      <c r="C772" s="1327"/>
      <c r="D772" s="1327"/>
      <c r="E772" s="1327"/>
      <c r="F772" s="1327"/>
      <c r="G772" s="1327"/>
      <c r="H772" s="1327"/>
      <c r="I772" s="1327"/>
      <c r="J772" s="1327"/>
      <c r="K772" s="1327"/>
      <c r="L772" s="1327"/>
      <c r="M772" s="1327"/>
      <c r="N772" s="1327"/>
      <c r="O772" s="1327"/>
      <c r="P772" s="1327"/>
      <c r="Q772" s="1327"/>
      <c r="R772" s="1327"/>
      <c r="S772" s="1194"/>
      <c r="T772" s="1194"/>
      <c r="U772" s="1194"/>
      <c r="V772" s="1194"/>
      <c r="W772" s="1194"/>
    </row>
    <row r="773" spans="1:24">
      <c r="A773" s="1306"/>
      <c r="B773" s="1331" t="s">
        <v>2665</v>
      </c>
      <c r="C773" s="1331"/>
      <c r="D773" s="1331"/>
      <c r="E773" s="1331"/>
      <c r="F773" s="1331"/>
      <c r="G773" s="1331"/>
      <c r="H773" s="1331"/>
      <c r="I773" s="1331"/>
      <c r="J773" s="1331"/>
      <c r="K773" s="1331"/>
      <c r="L773" s="1331"/>
      <c r="M773" s="1331"/>
      <c r="N773" s="1331"/>
      <c r="O773" s="1331"/>
      <c r="P773" s="1331"/>
      <c r="Q773" s="1331"/>
      <c r="R773" s="1331"/>
      <c r="S773" s="1334">
        <v>1</v>
      </c>
      <c r="T773" s="1334"/>
      <c r="U773" s="1334">
        <v>8000</v>
      </c>
      <c r="V773" s="1334"/>
      <c r="W773" s="1334"/>
    </row>
    <row r="774" spans="1:24">
      <c r="A774" s="1306"/>
      <c r="B774" s="1331" t="s">
        <v>2666</v>
      </c>
      <c r="C774" s="1331"/>
      <c r="D774" s="1331"/>
      <c r="E774" s="1331"/>
      <c r="F774" s="1331"/>
      <c r="G774" s="1331"/>
      <c r="H774" s="1331"/>
      <c r="I774" s="1331"/>
      <c r="J774" s="1331"/>
      <c r="K774" s="1331"/>
      <c r="L774" s="1331"/>
      <c r="M774" s="1331"/>
      <c r="N774" s="1331"/>
      <c r="O774" s="1331"/>
      <c r="P774" s="1331"/>
      <c r="Q774" s="1331"/>
      <c r="R774" s="1331"/>
      <c r="S774" s="1334">
        <v>1</v>
      </c>
      <c r="T774" s="1334"/>
      <c r="U774" s="1334">
        <v>7600</v>
      </c>
      <c r="V774" s="1334"/>
      <c r="W774" s="1334"/>
    </row>
    <row r="775" spans="1:24">
      <c r="A775" s="1306"/>
      <c r="B775" s="1331" t="s">
        <v>2667</v>
      </c>
      <c r="C775" s="1331"/>
      <c r="D775" s="1331"/>
      <c r="E775" s="1331"/>
      <c r="F775" s="1331"/>
      <c r="G775" s="1331"/>
      <c r="H775" s="1331"/>
      <c r="I775" s="1331"/>
      <c r="J775" s="1331"/>
      <c r="K775" s="1331"/>
      <c r="L775" s="1331"/>
      <c r="M775" s="1331"/>
      <c r="N775" s="1331"/>
      <c r="O775" s="1331"/>
      <c r="P775" s="1331"/>
      <c r="Q775" s="1331"/>
      <c r="R775" s="1331"/>
      <c r="S775" s="1334">
        <v>1</v>
      </c>
      <c r="T775" s="1334"/>
      <c r="U775" s="1334">
        <v>7000</v>
      </c>
      <c r="V775" s="1334"/>
      <c r="W775" s="1334"/>
    </row>
    <row r="776" spans="1:24" ht="41.25" customHeight="1">
      <c r="A776" s="1306"/>
      <c r="B776" s="1332" t="s">
        <v>3311</v>
      </c>
      <c r="C776" s="1331"/>
      <c r="D776" s="1331"/>
      <c r="E776" s="1331"/>
      <c r="F776" s="1331"/>
      <c r="G776" s="1331"/>
      <c r="H776" s="1331"/>
      <c r="I776" s="1331"/>
      <c r="J776" s="1331"/>
      <c r="K776" s="1331"/>
      <c r="L776" s="1331"/>
      <c r="M776" s="1331"/>
      <c r="N776" s="1331"/>
      <c r="O776" s="1331"/>
      <c r="P776" s="1331"/>
      <c r="Q776" s="1331"/>
      <c r="R776" s="1331"/>
      <c r="S776" s="1334">
        <v>1</v>
      </c>
      <c r="T776" s="1334"/>
      <c r="U776" s="1334">
        <v>6400</v>
      </c>
      <c r="V776" s="1334"/>
      <c r="W776" s="1334"/>
    </row>
    <row r="777" spans="1:24" ht="39.75" customHeight="1">
      <c r="A777" s="1306"/>
      <c r="B777" s="1331" t="s">
        <v>2668</v>
      </c>
      <c r="C777" s="1331"/>
      <c r="D777" s="1331"/>
      <c r="E777" s="1331"/>
      <c r="F777" s="1331"/>
      <c r="G777" s="1331"/>
      <c r="H777" s="1331"/>
      <c r="I777" s="1331"/>
      <c r="J777" s="1331"/>
      <c r="K777" s="1331"/>
      <c r="L777" s="1331"/>
      <c r="M777" s="1331"/>
      <c r="N777" s="1331"/>
      <c r="O777" s="1331"/>
      <c r="P777" s="1331"/>
      <c r="Q777" s="1331"/>
      <c r="R777" s="1331"/>
      <c r="S777" s="1334">
        <v>1</v>
      </c>
      <c r="T777" s="1334"/>
      <c r="U777" s="1334">
        <v>3600</v>
      </c>
      <c r="V777" s="1334"/>
      <c r="W777" s="1334"/>
    </row>
    <row r="778" spans="1:24" ht="33.75" customHeight="1">
      <c r="A778" s="1306"/>
      <c r="B778" s="1332" t="s">
        <v>3310</v>
      </c>
      <c r="C778" s="1331"/>
      <c r="D778" s="1331"/>
      <c r="E778" s="1331"/>
      <c r="F778" s="1331"/>
      <c r="G778" s="1331"/>
      <c r="H778" s="1331"/>
      <c r="I778" s="1331"/>
      <c r="J778" s="1331"/>
      <c r="K778" s="1331"/>
      <c r="L778" s="1331"/>
      <c r="M778" s="1331"/>
      <c r="N778" s="1331"/>
      <c r="O778" s="1331"/>
      <c r="P778" s="1331"/>
      <c r="Q778" s="1331"/>
      <c r="R778" s="1331"/>
      <c r="S778" s="1334">
        <v>1</v>
      </c>
      <c r="T778" s="1334"/>
      <c r="U778" s="1334">
        <v>3000</v>
      </c>
      <c r="V778" s="1334"/>
      <c r="W778" s="1334"/>
    </row>
    <row r="779" spans="1:24" ht="13.5" customHeight="1">
      <c r="A779" s="1306"/>
      <c r="B779" s="1312" t="s">
        <v>2669</v>
      </c>
      <c r="C779" s="1312"/>
      <c r="D779" s="1312"/>
      <c r="E779" s="1312"/>
      <c r="F779" s="1312"/>
      <c r="G779" s="1312"/>
      <c r="H779" s="1312"/>
      <c r="I779" s="1312"/>
      <c r="J779" s="1312"/>
      <c r="K779" s="1312"/>
      <c r="L779" s="1312"/>
      <c r="M779" s="1312"/>
      <c r="N779" s="1312"/>
      <c r="O779" s="1312"/>
      <c r="P779" s="1312"/>
      <c r="Q779" s="1312"/>
      <c r="R779" s="1312"/>
      <c r="S779" s="1334">
        <v>1</v>
      </c>
      <c r="T779" s="1334"/>
      <c r="U779" s="1334">
        <v>3600</v>
      </c>
      <c r="V779" s="1334"/>
      <c r="W779" s="1334"/>
    </row>
    <row r="780" spans="1:24">
      <c r="A780" s="1306"/>
      <c r="B780" s="1312"/>
      <c r="C780" s="1312"/>
      <c r="D780" s="1312"/>
      <c r="E780" s="1312"/>
      <c r="F780" s="1312"/>
      <c r="G780" s="1312"/>
      <c r="H780" s="1312"/>
      <c r="I780" s="1312"/>
      <c r="J780" s="1312"/>
      <c r="K780" s="1312"/>
      <c r="L780" s="1312"/>
      <c r="M780" s="1312"/>
      <c r="N780" s="1312"/>
      <c r="O780" s="1312"/>
      <c r="P780" s="1312"/>
      <c r="Q780" s="1312"/>
      <c r="R780" s="1312"/>
      <c r="S780" s="1334">
        <v>2</v>
      </c>
      <c r="T780" s="1334"/>
      <c r="U780" s="1334">
        <v>3000</v>
      </c>
      <c r="V780" s="1334"/>
      <c r="W780" s="1334"/>
    </row>
    <row r="781" spans="1:24">
      <c r="A781" s="1306"/>
      <c r="B781" s="1312"/>
      <c r="C781" s="1312"/>
      <c r="D781" s="1312"/>
      <c r="E781" s="1312"/>
      <c r="F781" s="1312"/>
      <c r="G781" s="1312"/>
      <c r="H781" s="1312"/>
      <c r="I781" s="1312"/>
      <c r="J781" s="1312"/>
      <c r="K781" s="1312"/>
      <c r="L781" s="1312"/>
      <c r="M781" s="1312"/>
      <c r="N781" s="1312"/>
      <c r="O781" s="1312"/>
      <c r="P781" s="1312"/>
      <c r="Q781" s="1312"/>
      <c r="R781" s="1312"/>
      <c r="S781" s="1334">
        <v>3</v>
      </c>
      <c r="T781" s="1334"/>
      <c r="U781" s="1334">
        <v>2200</v>
      </c>
      <c r="V781" s="1334"/>
      <c r="W781" s="1334"/>
    </row>
    <row r="782" spans="1:24">
      <c r="A782" s="1306"/>
      <c r="B782" s="1312"/>
      <c r="C782" s="1312"/>
      <c r="D782" s="1312"/>
      <c r="E782" s="1312"/>
      <c r="F782" s="1312"/>
      <c r="G782" s="1312"/>
      <c r="H782" s="1312"/>
      <c r="I782" s="1312"/>
      <c r="J782" s="1312"/>
      <c r="K782" s="1312"/>
      <c r="L782" s="1312"/>
      <c r="M782" s="1312"/>
      <c r="N782" s="1312"/>
      <c r="O782" s="1312"/>
      <c r="P782" s="1312"/>
      <c r="Q782" s="1312"/>
      <c r="R782" s="1312"/>
      <c r="S782" s="1334">
        <v>4</v>
      </c>
      <c r="T782" s="1334"/>
      <c r="U782" s="1334">
        <v>1600</v>
      </c>
      <c r="V782" s="1334"/>
      <c r="W782" s="1334"/>
    </row>
    <row r="783" spans="1:24">
      <c r="A783" s="1306"/>
      <c r="B783" s="1312"/>
      <c r="C783" s="1312"/>
      <c r="D783" s="1312"/>
      <c r="E783" s="1312"/>
      <c r="F783" s="1312"/>
      <c r="G783" s="1312"/>
      <c r="H783" s="1312"/>
      <c r="I783" s="1312"/>
      <c r="J783" s="1312"/>
      <c r="K783" s="1312"/>
      <c r="L783" s="1312"/>
      <c r="M783" s="1312"/>
      <c r="N783" s="1312"/>
      <c r="O783" s="1312"/>
      <c r="P783" s="1312"/>
      <c r="Q783" s="1312"/>
      <c r="R783" s="1312"/>
      <c r="S783" s="1334">
        <v>5</v>
      </c>
      <c r="T783" s="1334"/>
      <c r="U783" s="1334">
        <v>1300</v>
      </c>
      <c r="V783" s="1334"/>
      <c r="W783" s="1334"/>
    </row>
    <row r="784" spans="1:24">
      <c r="A784" s="1306"/>
      <c r="B784" s="1312"/>
      <c r="C784" s="1312"/>
      <c r="D784" s="1312"/>
      <c r="E784" s="1312"/>
      <c r="F784" s="1312"/>
      <c r="G784" s="1312"/>
      <c r="H784" s="1312"/>
      <c r="I784" s="1312"/>
      <c r="J784" s="1312"/>
      <c r="K784" s="1312"/>
      <c r="L784" s="1312"/>
      <c r="M784" s="1312"/>
      <c r="N784" s="1312"/>
      <c r="O784" s="1312"/>
      <c r="P784" s="1312"/>
      <c r="Q784" s="1312"/>
      <c r="R784" s="1312"/>
      <c r="S784" s="1334">
        <v>6</v>
      </c>
      <c r="T784" s="1334"/>
      <c r="U784" s="1334">
        <v>1150</v>
      </c>
      <c r="V784" s="1334"/>
      <c r="W784" s="1334"/>
    </row>
    <row r="785" spans="1:23">
      <c r="A785" s="1306"/>
      <c r="B785" s="1312"/>
      <c r="C785" s="1312"/>
      <c r="D785" s="1312"/>
      <c r="E785" s="1312"/>
      <c r="F785" s="1312"/>
      <c r="G785" s="1312"/>
      <c r="H785" s="1312"/>
      <c r="I785" s="1312"/>
      <c r="J785" s="1312"/>
      <c r="K785" s="1312"/>
      <c r="L785" s="1312"/>
      <c r="M785" s="1312"/>
      <c r="N785" s="1312"/>
      <c r="O785" s="1312"/>
      <c r="P785" s="1312"/>
      <c r="Q785" s="1312"/>
      <c r="R785" s="1312"/>
      <c r="S785" s="1334">
        <v>7</v>
      </c>
      <c r="T785" s="1334"/>
      <c r="U785" s="1334">
        <v>950</v>
      </c>
      <c r="V785" s="1334"/>
      <c r="W785" s="1334"/>
    </row>
    <row r="786" spans="1:23">
      <c r="A786" s="1306"/>
      <c r="B786" s="1312"/>
      <c r="C786" s="1312"/>
      <c r="D786" s="1312"/>
      <c r="E786" s="1312"/>
      <c r="F786" s="1312"/>
      <c r="G786" s="1312"/>
      <c r="H786" s="1312"/>
      <c r="I786" s="1312"/>
      <c r="J786" s="1312"/>
      <c r="K786" s="1312"/>
      <c r="L786" s="1312"/>
      <c r="M786" s="1312"/>
      <c r="N786" s="1312"/>
      <c r="O786" s="1312"/>
      <c r="P786" s="1312"/>
      <c r="Q786" s="1312"/>
      <c r="R786" s="1312"/>
      <c r="S786" s="1334">
        <v>8</v>
      </c>
      <c r="T786" s="1334"/>
      <c r="U786" s="1334">
        <v>850</v>
      </c>
      <c r="V786" s="1334"/>
      <c r="W786" s="1334"/>
    </row>
    <row r="787" spans="1:23">
      <c r="A787" s="1306"/>
      <c r="B787" s="1333" t="s">
        <v>2670</v>
      </c>
      <c r="C787" s="1333"/>
      <c r="D787" s="1333"/>
      <c r="E787" s="1333"/>
      <c r="F787" s="1333"/>
      <c r="G787" s="1333"/>
      <c r="H787" s="1333"/>
      <c r="I787" s="1333"/>
      <c r="J787" s="1333"/>
      <c r="K787" s="1333"/>
      <c r="L787" s="1333"/>
      <c r="M787" s="1333"/>
      <c r="N787" s="1333"/>
      <c r="O787" s="1333"/>
      <c r="P787" s="1333"/>
      <c r="Q787" s="1333"/>
      <c r="R787" s="1333"/>
      <c r="S787" s="1190"/>
      <c r="T787" s="1190"/>
      <c r="U787" s="1190"/>
      <c r="V787" s="1190"/>
      <c r="W787" s="1190"/>
    </row>
    <row r="788" spans="1:23" ht="14.25" customHeight="1">
      <c r="A788" s="1306"/>
      <c r="B788" s="1306"/>
      <c r="C788" s="1325" t="s">
        <v>902</v>
      </c>
      <c r="D788" s="1325"/>
      <c r="E788" s="1325"/>
      <c r="F788" s="1325"/>
      <c r="G788" s="1325"/>
      <c r="H788" s="1325"/>
      <c r="I788" s="1325"/>
      <c r="J788" s="1325"/>
      <c r="K788" s="1325"/>
      <c r="L788" s="1325"/>
      <c r="M788" s="1325"/>
      <c r="N788" s="1325"/>
      <c r="O788" s="1325"/>
      <c r="P788" s="1325"/>
      <c r="Q788" s="1325"/>
      <c r="R788" s="1325"/>
      <c r="S788" s="1306">
        <v>1</v>
      </c>
      <c r="T788" s="1306"/>
      <c r="U788" s="1190">
        <v>2200</v>
      </c>
      <c r="V788" s="1190"/>
      <c r="W788" s="1190"/>
    </row>
    <row r="789" spans="1:23">
      <c r="A789" s="1306"/>
      <c r="B789" s="1306"/>
      <c r="C789" s="1325"/>
      <c r="D789" s="1325"/>
      <c r="E789" s="1325"/>
      <c r="F789" s="1325"/>
      <c r="G789" s="1325"/>
      <c r="H789" s="1325"/>
      <c r="I789" s="1325"/>
      <c r="J789" s="1325"/>
      <c r="K789" s="1325"/>
      <c r="L789" s="1325"/>
      <c r="M789" s="1325"/>
      <c r="N789" s="1325"/>
      <c r="O789" s="1325"/>
      <c r="P789" s="1325"/>
      <c r="Q789" s="1325"/>
      <c r="R789" s="1325"/>
      <c r="S789" s="1306">
        <v>2</v>
      </c>
      <c r="T789" s="1306"/>
      <c r="U789" s="1190">
        <v>1600</v>
      </c>
      <c r="V789" s="1190"/>
      <c r="W789" s="1190"/>
    </row>
    <row r="790" spans="1:23">
      <c r="A790" s="1306"/>
      <c r="B790" s="1306"/>
      <c r="C790" s="1325"/>
      <c r="D790" s="1325"/>
      <c r="E790" s="1325"/>
      <c r="F790" s="1325"/>
      <c r="G790" s="1325"/>
      <c r="H790" s="1325"/>
      <c r="I790" s="1325"/>
      <c r="J790" s="1325"/>
      <c r="K790" s="1325"/>
      <c r="L790" s="1325"/>
      <c r="M790" s="1325"/>
      <c r="N790" s="1325"/>
      <c r="O790" s="1325"/>
      <c r="P790" s="1325"/>
      <c r="Q790" s="1325"/>
      <c r="R790" s="1325"/>
      <c r="S790" s="1306">
        <v>3</v>
      </c>
      <c r="T790" s="1306"/>
      <c r="U790" s="1190">
        <v>1100</v>
      </c>
      <c r="V790" s="1190"/>
      <c r="W790" s="1190"/>
    </row>
    <row r="791" spans="1:23">
      <c r="A791" s="1306"/>
      <c r="B791" s="1306"/>
      <c r="C791" s="1325"/>
      <c r="D791" s="1325"/>
      <c r="E791" s="1325"/>
      <c r="F791" s="1325"/>
      <c r="G791" s="1325"/>
      <c r="H791" s="1325"/>
      <c r="I791" s="1325"/>
      <c r="J791" s="1325"/>
      <c r="K791" s="1325"/>
      <c r="L791" s="1325"/>
      <c r="M791" s="1325"/>
      <c r="N791" s="1325"/>
      <c r="O791" s="1325"/>
      <c r="P791" s="1325"/>
      <c r="Q791" s="1325"/>
      <c r="R791" s="1325"/>
      <c r="S791" s="1306">
        <v>4</v>
      </c>
      <c r="T791" s="1306"/>
      <c r="U791" s="1190">
        <v>800</v>
      </c>
      <c r="V791" s="1190"/>
      <c r="W791" s="1190"/>
    </row>
    <row r="792" spans="1:23">
      <c r="A792" s="1306"/>
      <c r="B792" s="1306"/>
      <c r="C792" s="1325" t="s">
        <v>2671</v>
      </c>
      <c r="D792" s="1325"/>
      <c r="E792" s="1325"/>
      <c r="F792" s="1325"/>
      <c r="G792" s="1325"/>
      <c r="H792" s="1325"/>
      <c r="I792" s="1325"/>
      <c r="J792" s="1325"/>
      <c r="K792" s="1325"/>
      <c r="L792" s="1325"/>
      <c r="M792" s="1325"/>
      <c r="N792" s="1325"/>
      <c r="O792" s="1325"/>
      <c r="P792" s="1325"/>
      <c r="Q792" s="1325"/>
      <c r="R792" s="1325"/>
      <c r="S792" s="1306">
        <v>1</v>
      </c>
      <c r="T792" s="1306"/>
      <c r="U792" s="1190">
        <v>1500</v>
      </c>
      <c r="V792" s="1190"/>
      <c r="W792" s="1190"/>
    </row>
    <row r="793" spans="1:23">
      <c r="A793" s="1306"/>
      <c r="B793" s="1306"/>
      <c r="C793" s="1325"/>
      <c r="D793" s="1325"/>
      <c r="E793" s="1325"/>
      <c r="F793" s="1325"/>
      <c r="G793" s="1325"/>
      <c r="H793" s="1325"/>
      <c r="I793" s="1325"/>
      <c r="J793" s="1325"/>
      <c r="K793" s="1325"/>
      <c r="L793" s="1325"/>
      <c r="M793" s="1325"/>
      <c r="N793" s="1325"/>
      <c r="O793" s="1325"/>
      <c r="P793" s="1325"/>
      <c r="Q793" s="1325"/>
      <c r="R793" s="1325"/>
      <c r="S793" s="1306">
        <v>2</v>
      </c>
      <c r="T793" s="1306"/>
      <c r="U793" s="1190">
        <v>1100</v>
      </c>
      <c r="V793" s="1190"/>
      <c r="W793" s="1190"/>
    </row>
    <row r="794" spans="1:23">
      <c r="A794" s="1306"/>
      <c r="B794" s="1306"/>
      <c r="C794" s="1325"/>
      <c r="D794" s="1325"/>
      <c r="E794" s="1325"/>
      <c r="F794" s="1325"/>
      <c r="G794" s="1325"/>
      <c r="H794" s="1325"/>
      <c r="I794" s="1325"/>
      <c r="J794" s="1325"/>
      <c r="K794" s="1325"/>
      <c r="L794" s="1325"/>
      <c r="M794" s="1325"/>
      <c r="N794" s="1325"/>
      <c r="O794" s="1325"/>
      <c r="P794" s="1325"/>
      <c r="Q794" s="1325"/>
      <c r="R794" s="1325"/>
      <c r="S794" s="1306">
        <v>3</v>
      </c>
      <c r="T794" s="1306"/>
      <c r="U794" s="1190">
        <v>800</v>
      </c>
      <c r="V794" s="1190"/>
      <c r="W794" s="1190"/>
    </row>
    <row r="795" spans="1:23">
      <c r="A795" s="1306"/>
      <c r="B795" s="1306"/>
      <c r="C795" s="1325"/>
      <c r="D795" s="1325"/>
      <c r="E795" s="1325"/>
      <c r="F795" s="1325"/>
      <c r="G795" s="1325"/>
      <c r="H795" s="1325"/>
      <c r="I795" s="1325"/>
      <c r="J795" s="1325"/>
      <c r="K795" s="1325"/>
      <c r="L795" s="1325"/>
      <c r="M795" s="1325"/>
      <c r="N795" s="1325"/>
      <c r="O795" s="1325"/>
      <c r="P795" s="1325"/>
      <c r="Q795" s="1325"/>
      <c r="R795" s="1325"/>
      <c r="S795" s="1306">
        <v>4</v>
      </c>
      <c r="T795" s="1306"/>
      <c r="U795" s="1190">
        <v>650</v>
      </c>
      <c r="V795" s="1190"/>
      <c r="W795" s="1190"/>
    </row>
    <row r="796" spans="1:23">
      <c r="A796" s="534"/>
      <c r="B796" s="534"/>
      <c r="C796" s="535"/>
      <c r="D796" s="535"/>
      <c r="E796" s="535"/>
      <c r="F796" s="535"/>
      <c r="G796" s="535"/>
      <c r="H796" s="535"/>
      <c r="I796" s="535"/>
      <c r="J796" s="535"/>
      <c r="K796" s="535"/>
      <c r="L796" s="535"/>
      <c r="M796" s="535"/>
      <c r="N796" s="535"/>
      <c r="O796" s="535"/>
      <c r="P796" s="535"/>
      <c r="Q796" s="535"/>
      <c r="R796" s="535"/>
      <c r="S796" s="536"/>
      <c r="T796" s="536"/>
      <c r="U796" s="537"/>
      <c r="V796" s="537"/>
      <c r="W796" s="537"/>
    </row>
    <row r="797" spans="1:23" ht="15.75">
      <c r="A797" s="1327" t="s">
        <v>904</v>
      </c>
      <c r="B797" s="1327"/>
      <c r="C797" s="1327"/>
      <c r="D797" s="1327"/>
      <c r="E797" s="1327"/>
      <c r="F797" s="1327"/>
      <c r="G797" s="1327"/>
      <c r="H797" s="1327"/>
      <c r="I797" s="1327"/>
      <c r="J797" s="1327"/>
      <c r="K797" s="1327"/>
      <c r="L797" s="1327"/>
      <c r="M797" s="1327"/>
      <c r="N797" s="1327"/>
      <c r="O797" s="1327"/>
      <c r="P797" s="1327"/>
      <c r="Q797" s="1327"/>
      <c r="R797" s="1327"/>
      <c r="S797" s="853"/>
      <c r="T797" s="853"/>
      <c r="U797" s="1194"/>
      <c r="V797" s="1194"/>
      <c r="W797" s="1194"/>
    </row>
    <row r="798" spans="1:23">
      <c r="A798" s="1306"/>
      <c r="B798" s="1312" t="s">
        <v>2672</v>
      </c>
      <c r="C798" s="1312"/>
      <c r="D798" s="1312"/>
      <c r="E798" s="1312"/>
      <c r="F798" s="1312"/>
      <c r="G798" s="1312"/>
      <c r="H798" s="1312"/>
      <c r="I798" s="1312"/>
      <c r="J798" s="1312"/>
      <c r="K798" s="1312"/>
      <c r="L798" s="1312"/>
      <c r="M798" s="1312"/>
      <c r="N798" s="1312"/>
      <c r="O798" s="1312"/>
      <c r="P798" s="1312"/>
      <c r="Q798" s="1312"/>
      <c r="R798" s="1312"/>
      <c r="S798" s="1306">
        <v>1</v>
      </c>
      <c r="T798" s="1306"/>
      <c r="U798" s="1190">
        <v>3600</v>
      </c>
      <c r="V798" s="1190"/>
      <c r="W798" s="1190"/>
    </row>
    <row r="799" spans="1:23">
      <c r="A799" s="1306"/>
      <c r="B799" s="1312"/>
      <c r="C799" s="1312"/>
      <c r="D799" s="1312"/>
      <c r="E799" s="1312"/>
      <c r="F799" s="1312"/>
      <c r="G799" s="1312"/>
      <c r="H799" s="1312"/>
      <c r="I799" s="1312"/>
      <c r="J799" s="1312"/>
      <c r="K799" s="1312"/>
      <c r="L799" s="1312"/>
      <c r="M799" s="1312"/>
      <c r="N799" s="1312"/>
      <c r="O799" s="1312"/>
      <c r="P799" s="1312"/>
      <c r="Q799" s="1312"/>
      <c r="R799" s="1312"/>
      <c r="S799" s="1306">
        <v>2</v>
      </c>
      <c r="T799" s="1306"/>
      <c r="U799" s="1190">
        <v>3000</v>
      </c>
      <c r="V799" s="1190"/>
      <c r="W799" s="1190"/>
    </row>
    <row r="800" spans="1:23">
      <c r="A800" s="1306"/>
      <c r="B800" s="1312"/>
      <c r="C800" s="1312"/>
      <c r="D800" s="1312"/>
      <c r="E800" s="1312"/>
      <c r="F800" s="1312"/>
      <c r="G800" s="1312"/>
      <c r="H800" s="1312"/>
      <c r="I800" s="1312"/>
      <c r="J800" s="1312"/>
      <c r="K800" s="1312"/>
      <c r="L800" s="1312"/>
      <c r="M800" s="1312"/>
      <c r="N800" s="1312"/>
      <c r="O800" s="1312"/>
      <c r="P800" s="1312"/>
      <c r="Q800" s="1312"/>
      <c r="R800" s="1312"/>
      <c r="S800" s="1306">
        <v>3</v>
      </c>
      <c r="T800" s="1306"/>
      <c r="U800" s="1190">
        <v>2200</v>
      </c>
      <c r="V800" s="1190"/>
      <c r="W800" s="1190"/>
    </row>
    <row r="801" spans="1:23">
      <c r="A801" s="1306"/>
      <c r="B801" s="1312"/>
      <c r="C801" s="1312"/>
      <c r="D801" s="1312"/>
      <c r="E801" s="1312"/>
      <c r="F801" s="1312"/>
      <c r="G801" s="1312"/>
      <c r="H801" s="1312"/>
      <c r="I801" s="1312"/>
      <c r="J801" s="1312"/>
      <c r="K801" s="1312"/>
      <c r="L801" s="1312"/>
      <c r="M801" s="1312"/>
      <c r="N801" s="1312"/>
      <c r="O801" s="1312"/>
      <c r="P801" s="1312"/>
      <c r="Q801" s="1312"/>
      <c r="R801" s="1312"/>
      <c r="S801" s="1306">
        <v>4</v>
      </c>
      <c r="T801" s="1306"/>
      <c r="U801" s="1190">
        <v>1600</v>
      </c>
      <c r="V801" s="1190"/>
      <c r="W801" s="1190"/>
    </row>
    <row r="802" spans="1:23">
      <c r="A802" s="1306"/>
      <c r="B802" s="1312"/>
      <c r="C802" s="1312"/>
      <c r="D802" s="1312"/>
      <c r="E802" s="1312"/>
      <c r="F802" s="1312"/>
      <c r="G802" s="1312"/>
      <c r="H802" s="1312"/>
      <c r="I802" s="1312"/>
      <c r="J802" s="1312"/>
      <c r="K802" s="1312"/>
      <c r="L802" s="1312"/>
      <c r="M802" s="1312"/>
      <c r="N802" s="1312"/>
      <c r="O802" s="1312"/>
      <c r="P802" s="1312"/>
      <c r="Q802" s="1312"/>
      <c r="R802" s="1312"/>
      <c r="S802" s="1306">
        <v>5</v>
      </c>
      <c r="T802" s="1306"/>
      <c r="U802" s="1190">
        <v>1300</v>
      </c>
      <c r="V802" s="1190"/>
      <c r="W802" s="1190"/>
    </row>
    <row r="803" spans="1:23">
      <c r="A803" s="1306"/>
      <c r="B803" s="1312"/>
      <c r="C803" s="1312"/>
      <c r="D803" s="1312"/>
      <c r="E803" s="1312"/>
      <c r="F803" s="1312"/>
      <c r="G803" s="1312"/>
      <c r="H803" s="1312"/>
      <c r="I803" s="1312"/>
      <c r="J803" s="1312"/>
      <c r="K803" s="1312"/>
      <c r="L803" s="1312"/>
      <c r="M803" s="1312"/>
      <c r="N803" s="1312"/>
      <c r="O803" s="1312"/>
      <c r="P803" s="1312"/>
      <c r="Q803" s="1312"/>
      <c r="R803" s="1312"/>
      <c r="S803" s="1306">
        <v>6</v>
      </c>
      <c r="T803" s="1306"/>
      <c r="U803" s="1190">
        <v>1150</v>
      </c>
      <c r="V803" s="1190"/>
      <c r="W803" s="1190"/>
    </row>
    <row r="804" spans="1:23">
      <c r="A804" s="1306"/>
      <c r="B804" s="1312"/>
      <c r="C804" s="1312"/>
      <c r="D804" s="1312"/>
      <c r="E804" s="1312"/>
      <c r="F804" s="1312"/>
      <c r="G804" s="1312"/>
      <c r="H804" s="1312"/>
      <c r="I804" s="1312"/>
      <c r="J804" s="1312"/>
      <c r="K804" s="1312"/>
      <c r="L804" s="1312"/>
      <c r="M804" s="1312"/>
      <c r="N804" s="1312"/>
      <c r="O804" s="1312"/>
      <c r="P804" s="1312"/>
      <c r="Q804" s="1312"/>
      <c r="R804" s="1312"/>
      <c r="S804" s="1306">
        <v>7</v>
      </c>
      <c r="T804" s="1306"/>
      <c r="U804" s="1190">
        <v>950</v>
      </c>
      <c r="V804" s="1190"/>
      <c r="W804" s="1190"/>
    </row>
    <row r="805" spans="1:23">
      <c r="A805" s="1306"/>
      <c r="B805" s="1312"/>
      <c r="C805" s="1312"/>
      <c r="D805" s="1312"/>
      <c r="E805" s="1312"/>
      <c r="F805" s="1312"/>
      <c r="G805" s="1312"/>
      <c r="H805" s="1312"/>
      <c r="I805" s="1312"/>
      <c r="J805" s="1312"/>
      <c r="K805" s="1312"/>
      <c r="L805" s="1312"/>
      <c r="M805" s="1312"/>
      <c r="N805" s="1312"/>
      <c r="O805" s="1312"/>
      <c r="P805" s="1312"/>
      <c r="Q805" s="1312"/>
      <c r="R805" s="1312"/>
      <c r="S805" s="1306">
        <v>8</v>
      </c>
      <c r="T805" s="1306"/>
      <c r="U805" s="1190">
        <v>850</v>
      </c>
      <c r="V805" s="1190"/>
      <c r="W805" s="1190"/>
    </row>
    <row r="806" spans="1:23" ht="14.25" customHeight="1">
      <c r="A806" s="1306"/>
      <c r="B806" s="1312" t="s">
        <v>2673</v>
      </c>
      <c r="C806" s="1312"/>
      <c r="D806" s="1312"/>
      <c r="E806" s="1312"/>
      <c r="F806" s="1312"/>
      <c r="G806" s="1312"/>
      <c r="H806" s="1312"/>
      <c r="I806" s="1312"/>
      <c r="J806" s="1312"/>
      <c r="K806" s="1312"/>
      <c r="L806" s="1312"/>
      <c r="M806" s="1312"/>
      <c r="N806" s="1312"/>
      <c r="O806" s="1312"/>
      <c r="P806" s="1312"/>
      <c r="Q806" s="1312"/>
      <c r="R806" s="1312"/>
      <c r="S806" s="1306">
        <v>1</v>
      </c>
      <c r="T806" s="1306"/>
      <c r="U806" s="1190">
        <v>2200</v>
      </c>
      <c r="V806" s="1190"/>
      <c r="W806" s="1190"/>
    </row>
    <row r="807" spans="1:23">
      <c r="A807" s="1306"/>
      <c r="B807" s="1312"/>
      <c r="C807" s="1312"/>
      <c r="D807" s="1312"/>
      <c r="E807" s="1312"/>
      <c r="F807" s="1312"/>
      <c r="G807" s="1312"/>
      <c r="H807" s="1312"/>
      <c r="I807" s="1312"/>
      <c r="J807" s="1312"/>
      <c r="K807" s="1312"/>
      <c r="L807" s="1312"/>
      <c r="M807" s="1312"/>
      <c r="N807" s="1312"/>
      <c r="O807" s="1312"/>
      <c r="P807" s="1312"/>
      <c r="Q807" s="1312"/>
      <c r="R807" s="1312"/>
      <c r="S807" s="1306">
        <v>2</v>
      </c>
      <c r="T807" s="1306"/>
      <c r="U807" s="1190">
        <v>1600</v>
      </c>
      <c r="V807" s="1190"/>
      <c r="W807" s="1190"/>
    </row>
    <row r="808" spans="1:23">
      <c r="A808" s="1306"/>
      <c r="B808" s="1312"/>
      <c r="C808" s="1312"/>
      <c r="D808" s="1312"/>
      <c r="E808" s="1312"/>
      <c r="F808" s="1312"/>
      <c r="G808" s="1312"/>
      <c r="H808" s="1312"/>
      <c r="I808" s="1312"/>
      <c r="J808" s="1312"/>
      <c r="K808" s="1312"/>
      <c r="L808" s="1312"/>
      <c r="M808" s="1312"/>
      <c r="N808" s="1312"/>
      <c r="O808" s="1312"/>
      <c r="P808" s="1312"/>
      <c r="Q808" s="1312"/>
      <c r="R808" s="1312"/>
      <c r="S808" s="1306">
        <v>3</v>
      </c>
      <c r="T808" s="1306"/>
      <c r="U808" s="1190">
        <v>1500</v>
      </c>
      <c r="V808" s="1190"/>
      <c r="W808" s="1190"/>
    </row>
    <row r="809" spans="1:23">
      <c r="A809" s="1306"/>
      <c r="B809" s="1312"/>
      <c r="C809" s="1312"/>
      <c r="D809" s="1312"/>
      <c r="E809" s="1312"/>
      <c r="F809" s="1312"/>
      <c r="G809" s="1312"/>
      <c r="H809" s="1312"/>
      <c r="I809" s="1312"/>
      <c r="J809" s="1312"/>
      <c r="K809" s="1312"/>
      <c r="L809" s="1312"/>
      <c r="M809" s="1312"/>
      <c r="N809" s="1312"/>
      <c r="O809" s="1312"/>
      <c r="P809" s="1312"/>
      <c r="Q809" s="1312"/>
      <c r="R809" s="1312"/>
      <c r="S809" s="1306">
        <v>4</v>
      </c>
      <c r="T809" s="1306"/>
      <c r="U809" s="1190">
        <v>1100</v>
      </c>
      <c r="V809" s="1190"/>
      <c r="W809" s="1190"/>
    </row>
    <row r="810" spans="1:23">
      <c r="A810" s="1306"/>
      <c r="B810" s="1312" t="s">
        <v>2674</v>
      </c>
      <c r="C810" s="1312"/>
      <c r="D810" s="1312"/>
      <c r="E810" s="1312"/>
      <c r="F810" s="1312"/>
      <c r="G810" s="1312"/>
      <c r="H810" s="1312"/>
      <c r="I810" s="1312"/>
      <c r="J810" s="1312"/>
      <c r="K810" s="1312"/>
      <c r="L810" s="1312"/>
      <c r="M810" s="1312"/>
      <c r="N810" s="1312"/>
      <c r="O810" s="1312"/>
      <c r="P810" s="1312"/>
      <c r="Q810" s="1312"/>
      <c r="R810" s="1312"/>
      <c r="S810" s="1306">
        <v>1</v>
      </c>
      <c r="T810" s="1306"/>
      <c r="U810" s="1190">
        <v>1500</v>
      </c>
      <c r="V810" s="1190"/>
      <c r="W810" s="1190"/>
    </row>
    <row r="811" spans="1:23">
      <c r="A811" s="1306"/>
      <c r="B811" s="1312"/>
      <c r="C811" s="1312"/>
      <c r="D811" s="1312"/>
      <c r="E811" s="1312"/>
      <c r="F811" s="1312"/>
      <c r="G811" s="1312"/>
      <c r="H811" s="1312"/>
      <c r="I811" s="1312"/>
      <c r="J811" s="1312"/>
      <c r="K811" s="1312"/>
      <c r="L811" s="1312"/>
      <c r="M811" s="1312"/>
      <c r="N811" s="1312"/>
      <c r="O811" s="1312"/>
      <c r="P811" s="1312"/>
      <c r="Q811" s="1312"/>
      <c r="R811" s="1312"/>
      <c r="S811" s="1306">
        <v>2</v>
      </c>
      <c r="T811" s="1306"/>
      <c r="U811" s="1190">
        <v>1100</v>
      </c>
      <c r="V811" s="1190"/>
      <c r="W811" s="1190"/>
    </row>
    <row r="812" spans="1:23">
      <c r="A812" s="1306"/>
      <c r="B812" s="1312"/>
      <c r="C812" s="1312"/>
      <c r="D812" s="1312"/>
      <c r="E812" s="1312"/>
      <c r="F812" s="1312"/>
      <c r="G812" s="1312"/>
      <c r="H812" s="1312"/>
      <c r="I812" s="1312"/>
      <c r="J812" s="1312"/>
      <c r="K812" s="1312"/>
      <c r="L812" s="1312"/>
      <c r="M812" s="1312"/>
      <c r="N812" s="1312"/>
      <c r="O812" s="1312"/>
      <c r="P812" s="1312"/>
      <c r="Q812" s="1312"/>
      <c r="R812" s="1312"/>
      <c r="S812" s="1306">
        <v>3</v>
      </c>
      <c r="T812" s="1306"/>
      <c r="U812" s="1190">
        <v>800</v>
      </c>
      <c r="V812" s="1190"/>
      <c r="W812" s="1190"/>
    </row>
    <row r="813" spans="1:23">
      <c r="A813" s="1306"/>
      <c r="B813" s="1312"/>
      <c r="C813" s="1312"/>
      <c r="D813" s="1312"/>
      <c r="E813" s="1312"/>
      <c r="F813" s="1312"/>
      <c r="G813" s="1312"/>
      <c r="H813" s="1312"/>
      <c r="I813" s="1312"/>
      <c r="J813" s="1312"/>
      <c r="K813" s="1312"/>
      <c r="L813" s="1312"/>
      <c r="M813" s="1312"/>
      <c r="N813" s="1312"/>
      <c r="O813" s="1312"/>
      <c r="P813" s="1312"/>
      <c r="Q813" s="1312"/>
      <c r="R813" s="1312"/>
      <c r="S813" s="1306">
        <v>4</v>
      </c>
      <c r="T813" s="1306"/>
      <c r="U813" s="1190">
        <v>650</v>
      </c>
      <c r="V813" s="1190"/>
      <c r="W813" s="1190"/>
    </row>
    <row r="814" spans="1:23">
      <c r="A814" s="66"/>
      <c r="B814" s="454"/>
      <c r="C814" s="454"/>
      <c r="D814" s="454"/>
      <c r="E814" s="454"/>
      <c r="F814" s="454"/>
      <c r="G814" s="454"/>
      <c r="H814" s="454"/>
      <c r="I814" s="454"/>
      <c r="J814" s="454"/>
      <c r="K814" s="454"/>
      <c r="L814" s="454"/>
      <c r="M814" s="454"/>
      <c r="N814" s="454"/>
      <c r="O814" s="454"/>
      <c r="P814" s="454"/>
      <c r="Q814" s="454"/>
      <c r="R814" s="454"/>
      <c r="S814" s="66"/>
      <c r="T814" s="66"/>
    </row>
    <row r="815" spans="1:23" ht="30" customHeight="1">
      <c r="A815" s="1300" t="s">
        <v>3309</v>
      </c>
      <c r="B815" s="1300"/>
      <c r="C815" s="1300"/>
      <c r="D815" s="1300"/>
      <c r="E815" s="1300"/>
      <c r="F815" s="1300"/>
      <c r="G815" s="1300"/>
      <c r="H815" s="1300"/>
      <c r="I815" s="1300"/>
      <c r="J815" s="1300"/>
      <c r="K815" s="1300"/>
      <c r="L815" s="1300"/>
      <c r="M815" s="1300"/>
      <c r="N815" s="1300"/>
      <c r="O815" s="1300"/>
      <c r="P815" s="1300"/>
      <c r="Q815" s="1300"/>
      <c r="R815" s="1300"/>
      <c r="S815" s="1330" t="s">
        <v>3308</v>
      </c>
      <c r="T815" s="1330"/>
      <c r="U815" s="1335" t="s">
        <v>2951</v>
      </c>
      <c r="V815" s="1335"/>
      <c r="W815" s="1335"/>
    </row>
    <row r="816" spans="1:23" ht="15.75">
      <c r="A816" s="1328" t="s">
        <v>2675</v>
      </c>
      <c r="B816" s="1328"/>
      <c r="C816" s="1328"/>
      <c r="D816" s="1328"/>
      <c r="E816" s="1328"/>
      <c r="F816" s="1328"/>
      <c r="G816" s="1328"/>
      <c r="H816" s="1328"/>
      <c r="I816" s="1328"/>
      <c r="J816" s="1328"/>
      <c r="K816" s="1328"/>
      <c r="L816" s="1328"/>
      <c r="M816" s="1328"/>
      <c r="N816" s="1328"/>
      <c r="O816" s="1328"/>
      <c r="P816" s="1328"/>
      <c r="Q816" s="1328"/>
      <c r="R816" s="1328"/>
      <c r="S816" s="853"/>
      <c r="T816" s="853"/>
      <c r="U816" s="1194"/>
      <c r="V816" s="1194"/>
      <c r="W816" s="1194"/>
    </row>
    <row r="817" spans="1:23">
      <c r="A817" s="1306"/>
      <c r="B817" s="1312" t="s">
        <v>2676</v>
      </c>
      <c r="C817" s="1312"/>
      <c r="D817" s="1312"/>
      <c r="E817" s="1312"/>
      <c r="F817" s="1312"/>
      <c r="G817" s="1312"/>
      <c r="H817" s="1312"/>
      <c r="I817" s="1312"/>
      <c r="J817" s="1312"/>
      <c r="K817" s="1312"/>
      <c r="L817" s="1312"/>
      <c r="M817" s="1312"/>
      <c r="N817" s="1312"/>
      <c r="O817" s="1312"/>
      <c r="P817" s="1312"/>
      <c r="Q817" s="1312"/>
      <c r="R817" s="1312"/>
      <c r="S817" s="1306">
        <v>1</v>
      </c>
      <c r="T817" s="1306"/>
      <c r="U817" s="1190">
        <v>3600</v>
      </c>
      <c r="V817" s="1190"/>
      <c r="W817" s="1190"/>
    </row>
    <row r="818" spans="1:23">
      <c r="A818" s="1306"/>
      <c r="B818" s="1312"/>
      <c r="C818" s="1312"/>
      <c r="D818" s="1312"/>
      <c r="E818" s="1312"/>
      <c r="F818" s="1312"/>
      <c r="G818" s="1312"/>
      <c r="H818" s="1312"/>
      <c r="I818" s="1312"/>
      <c r="J818" s="1312"/>
      <c r="K818" s="1312"/>
      <c r="L818" s="1312"/>
      <c r="M818" s="1312"/>
      <c r="N818" s="1312"/>
      <c r="O818" s="1312"/>
      <c r="P818" s="1312"/>
      <c r="Q818" s="1312"/>
      <c r="R818" s="1312"/>
      <c r="S818" s="1306">
        <v>2</v>
      </c>
      <c r="T818" s="1306"/>
      <c r="U818" s="1190">
        <v>3000</v>
      </c>
      <c r="V818" s="1190"/>
      <c r="W818" s="1190"/>
    </row>
    <row r="819" spans="1:23">
      <c r="A819" s="1306"/>
      <c r="B819" s="1312"/>
      <c r="C819" s="1312"/>
      <c r="D819" s="1312"/>
      <c r="E819" s="1312"/>
      <c r="F819" s="1312"/>
      <c r="G819" s="1312"/>
      <c r="H819" s="1312"/>
      <c r="I819" s="1312"/>
      <c r="J819" s="1312"/>
      <c r="K819" s="1312"/>
      <c r="L819" s="1312"/>
      <c r="M819" s="1312"/>
      <c r="N819" s="1312"/>
      <c r="O819" s="1312"/>
      <c r="P819" s="1312"/>
      <c r="Q819" s="1312"/>
      <c r="R819" s="1312"/>
      <c r="S819" s="1306">
        <v>3</v>
      </c>
      <c r="T819" s="1306"/>
      <c r="U819" s="1190">
        <v>2200</v>
      </c>
      <c r="V819" s="1190"/>
      <c r="W819" s="1190"/>
    </row>
    <row r="820" spans="1:23">
      <c r="A820" s="1306"/>
      <c r="B820" s="1312"/>
      <c r="C820" s="1312"/>
      <c r="D820" s="1312"/>
      <c r="E820" s="1312"/>
      <c r="F820" s="1312"/>
      <c r="G820" s="1312"/>
      <c r="H820" s="1312"/>
      <c r="I820" s="1312"/>
      <c r="J820" s="1312"/>
      <c r="K820" s="1312"/>
      <c r="L820" s="1312"/>
      <c r="M820" s="1312"/>
      <c r="N820" s="1312"/>
      <c r="O820" s="1312"/>
      <c r="P820" s="1312"/>
      <c r="Q820" s="1312"/>
      <c r="R820" s="1312"/>
      <c r="S820" s="1306">
        <v>4</v>
      </c>
      <c r="T820" s="1306"/>
      <c r="U820" s="1190">
        <v>1600</v>
      </c>
      <c r="V820" s="1190"/>
      <c r="W820" s="1190"/>
    </row>
    <row r="821" spans="1:23">
      <c r="A821" s="1306"/>
      <c r="B821" s="1312"/>
      <c r="C821" s="1312"/>
      <c r="D821" s="1312"/>
      <c r="E821" s="1312"/>
      <c r="F821" s="1312"/>
      <c r="G821" s="1312"/>
      <c r="H821" s="1312"/>
      <c r="I821" s="1312"/>
      <c r="J821" s="1312"/>
      <c r="K821" s="1312"/>
      <c r="L821" s="1312"/>
      <c r="M821" s="1312"/>
      <c r="N821" s="1312"/>
      <c r="O821" s="1312"/>
      <c r="P821" s="1312"/>
      <c r="Q821" s="1312"/>
      <c r="R821" s="1312"/>
      <c r="S821" s="1306">
        <v>5</v>
      </c>
      <c r="T821" s="1306"/>
      <c r="U821" s="1190">
        <v>1300</v>
      </c>
      <c r="V821" s="1190"/>
      <c r="W821" s="1190"/>
    </row>
    <row r="822" spans="1:23">
      <c r="A822" s="1306"/>
      <c r="B822" s="1312"/>
      <c r="C822" s="1312"/>
      <c r="D822" s="1312"/>
      <c r="E822" s="1312"/>
      <c r="F822" s="1312"/>
      <c r="G822" s="1312"/>
      <c r="H822" s="1312"/>
      <c r="I822" s="1312"/>
      <c r="J822" s="1312"/>
      <c r="K822" s="1312"/>
      <c r="L822" s="1312"/>
      <c r="M822" s="1312"/>
      <c r="N822" s="1312"/>
      <c r="O822" s="1312"/>
      <c r="P822" s="1312"/>
      <c r="Q822" s="1312"/>
      <c r="R822" s="1312"/>
      <c r="S822" s="1306">
        <v>6</v>
      </c>
      <c r="T822" s="1306"/>
      <c r="U822" s="1190">
        <v>1150</v>
      </c>
      <c r="V822" s="1190"/>
      <c r="W822" s="1190"/>
    </row>
    <row r="823" spans="1:23">
      <c r="A823" s="1306"/>
      <c r="B823" s="1312"/>
      <c r="C823" s="1312"/>
      <c r="D823" s="1312"/>
      <c r="E823" s="1312"/>
      <c r="F823" s="1312"/>
      <c r="G823" s="1312"/>
      <c r="H823" s="1312"/>
      <c r="I823" s="1312"/>
      <c r="J823" s="1312"/>
      <c r="K823" s="1312"/>
      <c r="L823" s="1312"/>
      <c r="M823" s="1312"/>
      <c r="N823" s="1312"/>
      <c r="O823" s="1312"/>
      <c r="P823" s="1312"/>
      <c r="Q823" s="1312"/>
      <c r="R823" s="1312"/>
      <c r="S823" s="1306">
        <v>7</v>
      </c>
      <c r="T823" s="1306"/>
      <c r="U823" s="1190">
        <v>950</v>
      </c>
      <c r="V823" s="1190"/>
      <c r="W823" s="1190"/>
    </row>
    <row r="824" spans="1:23">
      <c r="A824" s="1306"/>
      <c r="B824" s="1312"/>
      <c r="C824" s="1312"/>
      <c r="D824" s="1312"/>
      <c r="E824" s="1312"/>
      <c r="F824" s="1312"/>
      <c r="G824" s="1312"/>
      <c r="H824" s="1312"/>
      <c r="I824" s="1312"/>
      <c r="J824" s="1312"/>
      <c r="K824" s="1312"/>
      <c r="L824" s="1312"/>
      <c r="M824" s="1312"/>
      <c r="N824" s="1312"/>
      <c r="O824" s="1312"/>
      <c r="P824" s="1312"/>
      <c r="Q824" s="1312"/>
      <c r="R824" s="1312"/>
      <c r="S824" s="1306">
        <v>8</v>
      </c>
      <c r="T824" s="1306"/>
      <c r="U824" s="1190">
        <v>850</v>
      </c>
      <c r="V824" s="1190"/>
      <c r="W824" s="1190"/>
    </row>
    <row r="825" spans="1:23">
      <c r="A825" s="1306"/>
      <c r="B825" s="1312" t="s">
        <v>2677</v>
      </c>
      <c r="C825" s="1312"/>
      <c r="D825" s="1312"/>
      <c r="E825" s="1312"/>
      <c r="F825" s="1312"/>
      <c r="G825" s="1312"/>
      <c r="H825" s="1312"/>
      <c r="I825" s="1312"/>
      <c r="J825" s="1312"/>
      <c r="K825" s="1312"/>
      <c r="L825" s="1312"/>
      <c r="M825" s="1312"/>
      <c r="N825" s="1312"/>
      <c r="O825" s="1312"/>
      <c r="P825" s="1312"/>
      <c r="Q825" s="1312"/>
      <c r="R825" s="1312"/>
      <c r="S825" s="1306">
        <v>1</v>
      </c>
      <c r="T825" s="1306"/>
      <c r="U825" s="1190">
        <v>3000</v>
      </c>
      <c r="V825" s="1190"/>
      <c r="W825" s="1190"/>
    </row>
    <row r="826" spans="1:23">
      <c r="A826" s="1306"/>
      <c r="B826" s="1312"/>
      <c r="C826" s="1312"/>
      <c r="D826" s="1312"/>
      <c r="E826" s="1312"/>
      <c r="F826" s="1312"/>
      <c r="G826" s="1312"/>
      <c r="H826" s="1312"/>
      <c r="I826" s="1312"/>
      <c r="J826" s="1312"/>
      <c r="K826" s="1312"/>
      <c r="L826" s="1312"/>
      <c r="M826" s="1312"/>
      <c r="N826" s="1312"/>
      <c r="O826" s="1312"/>
      <c r="P826" s="1312"/>
      <c r="Q826" s="1312"/>
      <c r="R826" s="1312"/>
      <c r="S826" s="1306">
        <v>2</v>
      </c>
      <c r="T826" s="1306"/>
      <c r="U826" s="1190">
        <v>2200</v>
      </c>
      <c r="V826" s="1190"/>
      <c r="W826" s="1190"/>
    </row>
    <row r="827" spans="1:23">
      <c r="A827" s="1306"/>
      <c r="B827" s="1312"/>
      <c r="C827" s="1312"/>
      <c r="D827" s="1312"/>
      <c r="E827" s="1312"/>
      <c r="F827" s="1312"/>
      <c r="G827" s="1312"/>
      <c r="H827" s="1312"/>
      <c r="I827" s="1312"/>
      <c r="J827" s="1312"/>
      <c r="K827" s="1312"/>
      <c r="L827" s="1312"/>
      <c r="M827" s="1312"/>
      <c r="N827" s="1312"/>
      <c r="O827" s="1312"/>
      <c r="P827" s="1312"/>
      <c r="Q827" s="1312"/>
      <c r="R827" s="1312"/>
      <c r="S827" s="1306">
        <v>3</v>
      </c>
      <c r="T827" s="1306"/>
      <c r="U827" s="1190">
        <v>1600</v>
      </c>
      <c r="V827" s="1190"/>
      <c r="W827" s="1190"/>
    </row>
    <row r="828" spans="1:23">
      <c r="A828" s="1306"/>
      <c r="B828" s="1312"/>
      <c r="C828" s="1312"/>
      <c r="D828" s="1312"/>
      <c r="E828" s="1312"/>
      <c r="F828" s="1312"/>
      <c r="G828" s="1312"/>
      <c r="H828" s="1312"/>
      <c r="I828" s="1312"/>
      <c r="J828" s="1312"/>
      <c r="K828" s="1312"/>
      <c r="L828" s="1312"/>
      <c r="M828" s="1312"/>
      <c r="N828" s="1312"/>
      <c r="O828" s="1312"/>
      <c r="P828" s="1312"/>
      <c r="Q828" s="1312"/>
      <c r="R828" s="1312"/>
      <c r="S828" s="1306">
        <v>4</v>
      </c>
      <c r="T828" s="1306"/>
      <c r="U828" s="1190">
        <v>1500</v>
      </c>
      <c r="V828" s="1190"/>
      <c r="W828" s="1190"/>
    </row>
    <row r="829" spans="1:23">
      <c r="A829" s="1306"/>
      <c r="B829" s="1312"/>
      <c r="C829" s="1312"/>
      <c r="D829" s="1312"/>
      <c r="E829" s="1312"/>
      <c r="F829" s="1312"/>
      <c r="G829" s="1312"/>
      <c r="H829" s="1312"/>
      <c r="I829" s="1312"/>
      <c r="J829" s="1312"/>
      <c r="K829" s="1312"/>
      <c r="L829" s="1312"/>
      <c r="M829" s="1312"/>
      <c r="N829" s="1312"/>
      <c r="O829" s="1312"/>
      <c r="P829" s="1312"/>
      <c r="Q829" s="1312"/>
      <c r="R829" s="1312"/>
      <c r="S829" s="1306">
        <v>5</v>
      </c>
      <c r="T829" s="1306"/>
      <c r="U829" s="1190">
        <v>1200</v>
      </c>
      <c r="V829" s="1190"/>
      <c r="W829" s="1190"/>
    </row>
    <row r="830" spans="1:23">
      <c r="A830" s="1306"/>
      <c r="B830" s="1312"/>
      <c r="C830" s="1312"/>
      <c r="D830" s="1312"/>
      <c r="E830" s="1312"/>
      <c r="F830" s="1312"/>
      <c r="G830" s="1312"/>
      <c r="H830" s="1312"/>
      <c r="I830" s="1312"/>
      <c r="J830" s="1312"/>
      <c r="K830" s="1312"/>
      <c r="L830" s="1312"/>
      <c r="M830" s="1312"/>
      <c r="N830" s="1312"/>
      <c r="O830" s="1312"/>
      <c r="P830" s="1312"/>
      <c r="Q830" s="1312"/>
      <c r="R830" s="1312"/>
      <c r="S830" s="1306">
        <v>6</v>
      </c>
      <c r="T830" s="1306"/>
      <c r="U830" s="1190">
        <v>1100</v>
      </c>
      <c r="V830" s="1190"/>
      <c r="W830" s="1190"/>
    </row>
    <row r="831" spans="1:23">
      <c r="A831" s="1306"/>
      <c r="B831" s="1312"/>
      <c r="C831" s="1312"/>
      <c r="D831" s="1312"/>
      <c r="E831" s="1312"/>
      <c r="F831" s="1312"/>
      <c r="G831" s="1312"/>
      <c r="H831" s="1312"/>
      <c r="I831" s="1312"/>
      <c r="J831" s="1312"/>
      <c r="K831" s="1312"/>
      <c r="L831" s="1312"/>
      <c r="M831" s="1312"/>
      <c r="N831" s="1312"/>
      <c r="O831" s="1312"/>
      <c r="P831" s="1312"/>
      <c r="Q831" s="1312"/>
      <c r="R831" s="1312"/>
      <c r="S831" s="1306">
        <v>7</v>
      </c>
      <c r="T831" s="1306"/>
      <c r="U831" s="1190">
        <v>900</v>
      </c>
      <c r="V831" s="1190"/>
      <c r="W831" s="1190"/>
    </row>
    <row r="832" spans="1:23">
      <c r="A832" s="1306"/>
      <c r="B832" s="1312"/>
      <c r="C832" s="1312"/>
      <c r="D832" s="1312"/>
      <c r="E832" s="1312"/>
      <c r="F832" s="1312"/>
      <c r="G832" s="1312"/>
      <c r="H832" s="1312"/>
      <c r="I832" s="1312"/>
      <c r="J832" s="1312"/>
      <c r="K832" s="1312"/>
      <c r="L832" s="1312"/>
      <c r="M832" s="1312"/>
      <c r="N832" s="1312"/>
      <c r="O832" s="1312"/>
      <c r="P832" s="1312"/>
      <c r="Q832" s="1312"/>
      <c r="R832" s="1312"/>
      <c r="S832" s="1306">
        <v>8</v>
      </c>
      <c r="T832" s="1306"/>
      <c r="U832" s="1190">
        <v>800</v>
      </c>
      <c r="V832" s="1190"/>
      <c r="W832" s="1190"/>
    </row>
    <row r="833" spans="1:23">
      <c r="A833" s="1306"/>
      <c r="B833" s="1325" t="s">
        <v>2678</v>
      </c>
      <c r="C833" s="1325"/>
      <c r="D833" s="1325"/>
      <c r="E833" s="1325"/>
      <c r="F833" s="1325"/>
      <c r="G833" s="1325"/>
      <c r="H833" s="1325"/>
      <c r="I833" s="1325"/>
      <c r="J833" s="1325"/>
      <c r="K833" s="1325"/>
      <c r="L833" s="1325"/>
      <c r="M833" s="1325"/>
      <c r="N833" s="1325"/>
      <c r="O833" s="1325"/>
      <c r="P833" s="1325"/>
      <c r="Q833" s="1325"/>
      <c r="R833" s="1325"/>
      <c r="S833" s="1306"/>
      <c r="T833" s="1306"/>
      <c r="U833" s="1306"/>
      <c r="V833" s="1306"/>
      <c r="W833" s="1306"/>
    </row>
    <row r="834" spans="1:23">
      <c r="A834" s="1329"/>
      <c r="B834" s="1326"/>
      <c r="C834" s="1325" t="s">
        <v>906</v>
      </c>
      <c r="D834" s="1325"/>
      <c r="E834" s="1325"/>
      <c r="F834" s="1325"/>
      <c r="G834" s="1325"/>
      <c r="H834" s="1325"/>
      <c r="I834" s="1325"/>
      <c r="J834" s="1325"/>
      <c r="K834" s="1325"/>
      <c r="L834" s="1325"/>
      <c r="M834" s="1325"/>
      <c r="N834" s="1325"/>
      <c r="O834" s="1325"/>
      <c r="P834" s="1325"/>
      <c r="Q834" s="1325"/>
      <c r="R834" s="1325"/>
      <c r="S834" s="1306">
        <v>1</v>
      </c>
      <c r="T834" s="1306"/>
      <c r="U834" s="1190">
        <v>2200</v>
      </c>
      <c r="V834" s="1190"/>
      <c r="W834" s="1190"/>
    </row>
    <row r="835" spans="1:23">
      <c r="A835" s="1329"/>
      <c r="B835" s="1326"/>
      <c r="C835" s="1325"/>
      <c r="D835" s="1325"/>
      <c r="E835" s="1325"/>
      <c r="F835" s="1325"/>
      <c r="G835" s="1325"/>
      <c r="H835" s="1325"/>
      <c r="I835" s="1325"/>
      <c r="J835" s="1325"/>
      <c r="K835" s="1325"/>
      <c r="L835" s="1325"/>
      <c r="M835" s="1325"/>
      <c r="N835" s="1325"/>
      <c r="O835" s="1325"/>
      <c r="P835" s="1325"/>
      <c r="Q835" s="1325"/>
      <c r="R835" s="1325"/>
      <c r="S835" s="1306">
        <v>2</v>
      </c>
      <c r="T835" s="1306"/>
      <c r="U835" s="1190">
        <v>1600</v>
      </c>
      <c r="V835" s="1190"/>
      <c r="W835" s="1190"/>
    </row>
    <row r="836" spans="1:23">
      <c r="A836" s="1329"/>
      <c r="B836" s="1326"/>
      <c r="C836" s="1325"/>
      <c r="D836" s="1325"/>
      <c r="E836" s="1325"/>
      <c r="F836" s="1325"/>
      <c r="G836" s="1325"/>
      <c r="H836" s="1325"/>
      <c r="I836" s="1325"/>
      <c r="J836" s="1325"/>
      <c r="K836" s="1325"/>
      <c r="L836" s="1325"/>
      <c r="M836" s="1325"/>
      <c r="N836" s="1325"/>
      <c r="O836" s="1325"/>
      <c r="P836" s="1325"/>
      <c r="Q836" s="1325"/>
      <c r="R836" s="1325"/>
      <c r="S836" s="1306">
        <v>3</v>
      </c>
      <c r="T836" s="1306"/>
      <c r="U836" s="1190">
        <v>1100</v>
      </c>
      <c r="V836" s="1190"/>
      <c r="W836" s="1190"/>
    </row>
    <row r="837" spans="1:23">
      <c r="A837" s="1329"/>
      <c r="B837" s="1326"/>
      <c r="C837" s="1325"/>
      <c r="D837" s="1325"/>
      <c r="E837" s="1325"/>
      <c r="F837" s="1325"/>
      <c r="G837" s="1325"/>
      <c r="H837" s="1325"/>
      <c r="I837" s="1325"/>
      <c r="J837" s="1325"/>
      <c r="K837" s="1325"/>
      <c r="L837" s="1325"/>
      <c r="M837" s="1325"/>
      <c r="N837" s="1325"/>
      <c r="O837" s="1325"/>
      <c r="P837" s="1325"/>
      <c r="Q837" s="1325"/>
      <c r="R837" s="1325"/>
      <c r="S837" s="1306">
        <v>4</v>
      </c>
      <c r="T837" s="1306"/>
      <c r="U837" s="1190">
        <v>800</v>
      </c>
      <c r="V837" s="1190"/>
      <c r="W837" s="1190"/>
    </row>
    <row r="838" spans="1:23">
      <c r="A838" s="1329"/>
      <c r="B838" s="1326"/>
      <c r="C838" s="1325" t="s">
        <v>908</v>
      </c>
      <c r="D838" s="1325"/>
      <c r="E838" s="1325"/>
      <c r="F838" s="1325"/>
      <c r="G838" s="1325"/>
      <c r="H838" s="1325"/>
      <c r="I838" s="1325"/>
      <c r="J838" s="1325"/>
      <c r="K838" s="1325"/>
      <c r="L838" s="1325"/>
      <c r="M838" s="1325"/>
      <c r="N838" s="1325"/>
      <c r="O838" s="1325"/>
      <c r="P838" s="1325"/>
      <c r="Q838" s="1325"/>
      <c r="R838" s="1325"/>
      <c r="S838" s="1306">
        <v>1</v>
      </c>
      <c r="T838" s="1306"/>
      <c r="U838" s="1190">
        <v>1500</v>
      </c>
      <c r="V838" s="1190"/>
      <c r="W838" s="1190"/>
    </row>
    <row r="839" spans="1:23">
      <c r="A839" s="1329"/>
      <c r="B839" s="1326"/>
      <c r="C839" s="1325"/>
      <c r="D839" s="1325"/>
      <c r="E839" s="1325"/>
      <c r="F839" s="1325"/>
      <c r="G839" s="1325"/>
      <c r="H839" s="1325"/>
      <c r="I839" s="1325"/>
      <c r="J839" s="1325"/>
      <c r="K839" s="1325"/>
      <c r="L839" s="1325"/>
      <c r="M839" s="1325"/>
      <c r="N839" s="1325"/>
      <c r="O839" s="1325"/>
      <c r="P839" s="1325"/>
      <c r="Q839" s="1325"/>
      <c r="R839" s="1325"/>
      <c r="S839" s="1306">
        <v>2</v>
      </c>
      <c r="T839" s="1306"/>
      <c r="U839" s="1190">
        <v>1100</v>
      </c>
      <c r="V839" s="1190"/>
      <c r="W839" s="1190"/>
    </row>
    <row r="840" spans="1:23">
      <c r="A840" s="1329"/>
      <c r="B840" s="1326"/>
      <c r="C840" s="1325"/>
      <c r="D840" s="1325"/>
      <c r="E840" s="1325"/>
      <c r="F840" s="1325"/>
      <c r="G840" s="1325"/>
      <c r="H840" s="1325"/>
      <c r="I840" s="1325"/>
      <c r="J840" s="1325"/>
      <c r="K840" s="1325"/>
      <c r="L840" s="1325"/>
      <c r="M840" s="1325"/>
      <c r="N840" s="1325"/>
      <c r="O840" s="1325"/>
      <c r="P840" s="1325"/>
      <c r="Q840" s="1325"/>
      <c r="R840" s="1325"/>
      <c r="S840" s="1306">
        <v>3</v>
      </c>
      <c r="T840" s="1306"/>
      <c r="U840" s="1190">
        <v>800</v>
      </c>
      <c r="V840" s="1190"/>
      <c r="W840" s="1190"/>
    </row>
    <row r="841" spans="1:23">
      <c r="A841" s="1329"/>
      <c r="B841" s="1326"/>
      <c r="C841" s="1325"/>
      <c r="D841" s="1325"/>
      <c r="E841" s="1325"/>
      <c r="F841" s="1325"/>
      <c r="G841" s="1325"/>
      <c r="H841" s="1325"/>
      <c r="I841" s="1325"/>
      <c r="J841" s="1325"/>
      <c r="K841" s="1325"/>
      <c r="L841" s="1325"/>
      <c r="M841" s="1325"/>
      <c r="N841" s="1325"/>
      <c r="O841" s="1325"/>
      <c r="P841" s="1325"/>
      <c r="Q841" s="1325"/>
      <c r="R841" s="1325"/>
      <c r="S841" s="1306">
        <v>4</v>
      </c>
      <c r="T841" s="1306"/>
      <c r="U841" s="1190">
        <v>650</v>
      </c>
      <c r="V841" s="1190"/>
      <c r="W841" s="1190"/>
    </row>
    <row r="842" spans="1:23">
      <c r="A842" s="66"/>
      <c r="B842" s="522"/>
      <c r="C842" s="523"/>
      <c r="D842" s="523"/>
      <c r="E842" s="523"/>
      <c r="F842" s="523"/>
      <c r="G842" s="523"/>
      <c r="H842" s="523"/>
      <c r="I842" s="523"/>
      <c r="J842" s="523"/>
      <c r="K842" s="523"/>
      <c r="L842" s="523"/>
      <c r="M842" s="523"/>
      <c r="N842" s="523"/>
      <c r="O842" s="523"/>
      <c r="P842" s="523"/>
      <c r="Q842" s="523"/>
      <c r="R842" s="523"/>
      <c r="S842" s="66"/>
      <c r="T842" s="66"/>
    </row>
    <row r="843" spans="1:23" ht="15.75">
      <c r="A843" s="1327" t="s">
        <v>2679</v>
      </c>
      <c r="B843" s="1327"/>
      <c r="C843" s="1327"/>
      <c r="D843" s="1327"/>
      <c r="E843" s="1327"/>
      <c r="F843" s="1327"/>
      <c r="G843" s="1327"/>
      <c r="H843" s="1327"/>
      <c r="I843" s="1327"/>
      <c r="J843" s="1327"/>
      <c r="K843" s="1327"/>
      <c r="L843" s="1327"/>
      <c r="M843" s="1327"/>
      <c r="N843" s="1327"/>
      <c r="O843" s="1327"/>
      <c r="P843" s="1327"/>
      <c r="Q843" s="1327"/>
      <c r="R843" s="1327"/>
      <c r="S843" s="853"/>
      <c r="T843" s="853"/>
      <c r="U843" s="1194"/>
      <c r="V843" s="1194"/>
      <c r="W843" s="1194"/>
    </row>
    <row r="844" spans="1:23" ht="15.75">
      <c r="A844" s="526"/>
      <c r="B844" s="1333" t="s">
        <v>909</v>
      </c>
      <c r="C844" s="1333"/>
      <c r="D844" s="1333"/>
      <c r="E844" s="1333"/>
      <c r="F844" s="1333"/>
      <c r="G844" s="1333"/>
      <c r="H844" s="1333"/>
      <c r="I844" s="1333"/>
      <c r="J844" s="1333"/>
      <c r="K844" s="1333"/>
      <c r="L844" s="1333"/>
      <c r="M844" s="1333"/>
      <c r="N844" s="1333"/>
      <c r="O844" s="1333"/>
      <c r="P844" s="1333"/>
      <c r="Q844" s="1333"/>
      <c r="R844" s="1333"/>
      <c r="S844" s="1306"/>
      <c r="T844" s="1306"/>
      <c r="U844" s="1306"/>
      <c r="V844" s="1306"/>
      <c r="W844" s="1306"/>
    </row>
    <row r="845" spans="1:23">
      <c r="A845" s="1306"/>
      <c r="B845" s="1306"/>
      <c r="C845" s="1325" t="s">
        <v>2680</v>
      </c>
      <c r="D845" s="1325"/>
      <c r="E845" s="1325"/>
      <c r="F845" s="1325"/>
      <c r="G845" s="1325"/>
      <c r="H845" s="1325"/>
      <c r="I845" s="1325"/>
      <c r="J845" s="1325"/>
      <c r="K845" s="1325"/>
      <c r="L845" s="1325"/>
      <c r="M845" s="1325"/>
      <c r="N845" s="1325"/>
      <c r="O845" s="1325"/>
      <c r="P845" s="1325"/>
      <c r="Q845" s="1325"/>
      <c r="R845" s="1325"/>
      <c r="S845" s="1306">
        <v>1</v>
      </c>
      <c r="T845" s="1306"/>
      <c r="U845" s="1190">
        <v>3000</v>
      </c>
      <c r="V845" s="1190"/>
      <c r="W845" s="1190"/>
    </row>
    <row r="846" spans="1:23">
      <c r="A846" s="1306"/>
      <c r="B846" s="1306"/>
      <c r="C846" s="1325"/>
      <c r="D846" s="1325"/>
      <c r="E846" s="1325"/>
      <c r="F846" s="1325"/>
      <c r="G846" s="1325"/>
      <c r="H846" s="1325"/>
      <c r="I846" s="1325"/>
      <c r="J846" s="1325"/>
      <c r="K846" s="1325"/>
      <c r="L846" s="1325"/>
      <c r="M846" s="1325"/>
      <c r="N846" s="1325"/>
      <c r="O846" s="1325"/>
      <c r="P846" s="1325"/>
      <c r="Q846" s="1325"/>
      <c r="R846" s="1325"/>
      <c r="S846" s="1306">
        <v>2</v>
      </c>
      <c r="T846" s="1306"/>
      <c r="U846" s="1190">
        <v>2200</v>
      </c>
      <c r="V846" s="1190"/>
      <c r="W846" s="1190"/>
    </row>
    <row r="847" spans="1:23">
      <c r="A847" s="1306"/>
      <c r="B847" s="1306"/>
      <c r="C847" s="1325"/>
      <c r="D847" s="1325"/>
      <c r="E847" s="1325"/>
      <c r="F847" s="1325"/>
      <c r="G847" s="1325"/>
      <c r="H847" s="1325"/>
      <c r="I847" s="1325"/>
      <c r="J847" s="1325"/>
      <c r="K847" s="1325"/>
      <c r="L847" s="1325"/>
      <c r="M847" s="1325"/>
      <c r="N847" s="1325"/>
      <c r="O847" s="1325"/>
      <c r="P847" s="1325"/>
      <c r="Q847" s="1325"/>
      <c r="R847" s="1325"/>
      <c r="S847" s="1306">
        <v>3</v>
      </c>
      <c r="T847" s="1306"/>
      <c r="U847" s="1190">
        <v>1600</v>
      </c>
      <c r="V847" s="1190"/>
      <c r="W847" s="1190"/>
    </row>
    <row r="848" spans="1:23">
      <c r="A848" s="1306"/>
      <c r="B848" s="1306"/>
      <c r="C848" s="1325"/>
      <c r="D848" s="1325"/>
      <c r="E848" s="1325"/>
      <c r="F848" s="1325"/>
      <c r="G848" s="1325"/>
      <c r="H848" s="1325"/>
      <c r="I848" s="1325"/>
      <c r="J848" s="1325"/>
      <c r="K848" s="1325"/>
      <c r="L848" s="1325"/>
      <c r="M848" s="1325"/>
      <c r="N848" s="1325"/>
      <c r="O848" s="1325"/>
      <c r="P848" s="1325"/>
      <c r="Q848" s="1325"/>
      <c r="R848" s="1325"/>
      <c r="S848" s="1306">
        <v>4</v>
      </c>
      <c r="T848" s="1306"/>
      <c r="U848" s="1190">
        <v>1100</v>
      </c>
      <c r="V848" s="1190"/>
      <c r="W848" s="1190"/>
    </row>
    <row r="849" spans="1:23">
      <c r="A849" s="1306"/>
      <c r="B849" s="1306"/>
      <c r="C849" s="1325"/>
      <c r="D849" s="1325"/>
      <c r="E849" s="1325"/>
      <c r="F849" s="1325"/>
      <c r="G849" s="1325"/>
      <c r="H849" s="1325"/>
      <c r="I849" s="1325"/>
      <c r="J849" s="1325"/>
      <c r="K849" s="1325"/>
      <c r="L849" s="1325"/>
      <c r="M849" s="1325"/>
      <c r="N849" s="1325"/>
      <c r="O849" s="1325"/>
      <c r="P849" s="1325"/>
      <c r="Q849" s="1325"/>
      <c r="R849" s="1325"/>
      <c r="S849" s="1306">
        <v>5</v>
      </c>
      <c r="T849" s="1306"/>
      <c r="U849" s="1190">
        <v>900</v>
      </c>
      <c r="V849" s="1190"/>
      <c r="W849" s="1190"/>
    </row>
    <row r="850" spans="1:23">
      <c r="A850" s="1306"/>
      <c r="B850" s="1306"/>
      <c r="C850" s="1325"/>
      <c r="D850" s="1325"/>
      <c r="E850" s="1325"/>
      <c r="F850" s="1325"/>
      <c r="G850" s="1325"/>
      <c r="H850" s="1325"/>
      <c r="I850" s="1325"/>
      <c r="J850" s="1325"/>
      <c r="K850" s="1325"/>
      <c r="L850" s="1325"/>
      <c r="M850" s="1325"/>
      <c r="N850" s="1325"/>
      <c r="O850" s="1325"/>
      <c r="P850" s="1325"/>
      <c r="Q850" s="1325"/>
      <c r="R850" s="1325"/>
      <c r="S850" s="1306">
        <v>6</v>
      </c>
      <c r="T850" s="1306"/>
      <c r="U850" s="1190">
        <v>800</v>
      </c>
      <c r="V850" s="1190"/>
      <c r="W850" s="1190"/>
    </row>
    <row r="851" spans="1:23">
      <c r="A851" s="1306"/>
      <c r="B851" s="1306"/>
      <c r="C851" s="1325"/>
      <c r="D851" s="1325"/>
      <c r="E851" s="1325"/>
      <c r="F851" s="1325"/>
      <c r="G851" s="1325"/>
      <c r="H851" s="1325"/>
      <c r="I851" s="1325"/>
      <c r="J851" s="1325"/>
      <c r="K851" s="1325"/>
      <c r="L851" s="1325"/>
      <c r="M851" s="1325"/>
      <c r="N851" s="1325"/>
      <c r="O851" s="1325"/>
      <c r="P851" s="1325"/>
      <c r="Q851" s="1325"/>
      <c r="R851" s="1325"/>
      <c r="S851" s="1306">
        <v>7</v>
      </c>
      <c r="T851" s="1306"/>
      <c r="U851" s="1190">
        <v>500</v>
      </c>
      <c r="V851" s="1190"/>
      <c r="W851" s="1190"/>
    </row>
    <row r="852" spans="1:23">
      <c r="A852" s="1306"/>
      <c r="B852" s="1306"/>
      <c r="C852" s="1325"/>
      <c r="D852" s="1325"/>
      <c r="E852" s="1325"/>
      <c r="F852" s="1325"/>
      <c r="G852" s="1325"/>
      <c r="H852" s="1325"/>
      <c r="I852" s="1325"/>
      <c r="J852" s="1325"/>
      <c r="K852" s="1325"/>
      <c r="L852" s="1325"/>
      <c r="M852" s="1325"/>
      <c r="N852" s="1325"/>
      <c r="O852" s="1325"/>
      <c r="P852" s="1325"/>
      <c r="Q852" s="1325"/>
      <c r="R852" s="1325"/>
      <c r="S852" s="1306">
        <v>8</v>
      </c>
      <c r="T852" s="1306"/>
      <c r="U852" s="1190">
        <v>450</v>
      </c>
      <c r="V852" s="1190"/>
      <c r="W852" s="1190"/>
    </row>
    <row r="853" spans="1:23">
      <c r="A853" s="66"/>
      <c r="B853" s="66"/>
      <c r="C853" s="523"/>
      <c r="D853" s="523"/>
      <c r="E853" s="523"/>
      <c r="F853" s="523"/>
      <c r="G853" s="523"/>
      <c r="H853" s="523"/>
      <c r="I853" s="523"/>
      <c r="J853" s="523"/>
      <c r="K853" s="523"/>
      <c r="L853" s="523"/>
      <c r="M853" s="523"/>
      <c r="N853" s="523"/>
      <c r="O853" s="523"/>
      <c r="P853" s="523"/>
      <c r="Q853" s="523"/>
      <c r="R853" s="523"/>
      <c r="S853" s="66"/>
      <c r="T853" s="66"/>
    </row>
    <row r="854" spans="1:23">
      <c r="A854" s="66"/>
      <c r="B854" s="66"/>
      <c r="C854" s="523"/>
      <c r="D854" s="523"/>
      <c r="E854" s="523"/>
      <c r="F854" s="523"/>
      <c r="G854" s="523"/>
      <c r="H854" s="523"/>
      <c r="I854" s="523"/>
      <c r="J854" s="523"/>
      <c r="K854" s="523"/>
      <c r="L854" s="523"/>
      <c r="M854" s="523"/>
      <c r="N854" s="523"/>
      <c r="O854" s="523"/>
      <c r="P854" s="523"/>
      <c r="Q854" s="523"/>
      <c r="R854" s="523"/>
      <c r="S854" s="66"/>
      <c r="T854" s="66"/>
    </row>
    <row r="855" spans="1:23">
      <c r="A855" s="66"/>
      <c r="B855" s="66"/>
      <c r="C855" s="523"/>
      <c r="D855" s="523"/>
      <c r="E855" s="523"/>
      <c r="F855" s="523"/>
      <c r="G855" s="523"/>
      <c r="H855" s="523"/>
      <c r="I855" s="523"/>
      <c r="J855" s="523"/>
      <c r="K855" s="523"/>
      <c r="L855" s="523"/>
      <c r="M855" s="523"/>
      <c r="N855" s="523"/>
      <c r="O855" s="523"/>
      <c r="P855" s="523"/>
      <c r="Q855" s="523"/>
      <c r="R855" s="523"/>
      <c r="S855" s="66"/>
      <c r="T855" s="66"/>
    </row>
    <row r="856" spans="1:23">
      <c r="A856" s="66"/>
      <c r="B856" s="66"/>
      <c r="C856" s="523"/>
      <c r="D856" s="523"/>
      <c r="E856" s="523"/>
      <c r="F856" s="523"/>
      <c r="G856" s="523"/>
      <c r="H856" s="523"/>
      <c r="I856" s="523"/>
      <c r="J856" s="523"/>
      <c r="K856" s="523"/>
      <c r="L856" s="523"/>
      <c r="M856" s="523"/>
      <c r="N856" s="523"/>
      <c r="O856" s="523"/>
      <c r="P856" s="523"/>
      <c r="Q856" s="523"/>
      <c r="R856" s="523"/>
      <c r="S856" s="66"/>
      <c r="T856" s="66"/>
    </row>
    <row r="857" spans="1:23">
      <c r="A857" s="66"/>
      <c r="B857" s="66"/>
      <c r="C857" s="523"/>
      <c r="D857" s="523"/>
      <c r="E857" s="523"/>
      <c r="F857" s="523"/>
      <c r="G857" s="523"/>
      <c r="H857" s="523"/>
      <c r="I857" s="523"/>
      <c r="J857" s="523"/>
      <c r="K857" s="523"/>
      <c r="L857" s="523"/>
      <c r="M857" s="523"/>
      <c r="N857" s="523"/>
      <c r="O857" s="523"/>
      <c r="P857" s="523"/>
      <c r="Q857" s="523"/>
      <c r="R857" s="523"/>
      <c r="S857" s="66"/>
      <c r="T857" s="66"/>
    </row>
    <row r="858" spans="1:23">
      <c r="A858" s="66"/>
      <c r="B858" s="66"/>
      <c r="C858" s="523"/>
      <c r="D858" s="523"/>
      <c r="E858" s="523"/>
      <c r="F858" s="523"/>
      <c r="G858" s="523"/>
      <c r="H858" s="523"/>
      <c r="I858" s="523"/>
      <c r="J858" s="523"/>
      <c r="K858" s="523"/>
      <c r="L858" s="523"/>
      <c r="M858" s="523"/>
      <c r="N858" s="523"/>
      <c r="O858" s="523"/>
      <c r="P858" s="523"/>
      <c r="Q858" s="523"/>
      <c r="R858" s="523"/>
      <c r="S858" s="66"/>
      <c r="T858" s="66"/>
    </row>
    <row r="859" spans="1:23">
      <c r="A859" s="66"/>
      <c r="B859" s="66"/>
      <c r="C859" s="523"/>
      <c r="D859" s="523"/>
      <c r="E859" s="523"/>
      <c r="F859" s="523"/>
      <c r="G859" s="523"/>
      <c r="H859" s="523"/>
      <c r="I859" s="523"/>
      <c r="J859" s="523"/>
      <c r="K859" s="523"/>
      <c r="L859" s="523"/>
      <c r="M859" s="523"/>
      <c r="N859" s="523"/>
      <c r="O859" s="523"/>
      <c r="P859" s="523"/>
      <c r="Q859" s="523"/>
      <c r="R859" s="523"/>
      <c r="S859" s="66"/>
      <c r="T859" s="66"/>
    </row>
    <row r="860" spans="1:23">
      <c r="A860" s="66"/>
      <c r="B860" s="66"/>
      <c r="C860" s="523"/>
      <c r="D860" s="523"/>
      <c r="E860" s="523"/>
      <c r="F860" s="523"/>
      <c r="G860" s="523"/>
      <c r="H860" s="523"/>
      <c r="I860" s="523"/>
      <c r="J860" s="523"/>
      <c r="K860" s="523"/>
      <c r="L860" s="523"/>
      <c r="M860" s="523"/>
      <c r="N860" s="523"/>
      <c r="O860" s="523"/>
      <c r="P860" s="523"/>
      <c r="Q860" s="523"/>
      <c r="R860" s="523"/>
      <c r="S860" s="66"/>
      <c r="T860" s="66"/>
    </row>
    <row r="861" spans="1:23">
      <c r="A861" s="66"/>
      <c r="B861" s="66"/>
      <c r="C861" s="523"/>
      <c r="D861" s="523"/>
      <c r="E861" s="523"/>
      <c r="F861" s="523"/>
      <c r="G861" s="523"/>
      <c r="H861" s="523"/>
      <c r="I861" s="523"/>
      <c r="J861" s="523"/>
      <c r="K861" s="523"/>
      <c r="L861" s="523"/>
      <c r="M861" s="523"/>
      <c r="N861" s="523"/>
      <c r="O861" s="523"/>
      <c r="P861" s="523"/>
      <c r="Q861" s="523"/>
      <c r="R861" s="523"/>
      <c r="S861" s="66"/>
      <c r="T861" s="66"/>
    </row>
    <row r="862" spans="1:23">
      <c r="A862" s="66"/>
      <c r="B862" s="66"/>
      <c r="C862" s="523"/>
      <c r="D862" s="523"/>
      <c r="E862" s="523"/>
      <c r="F862" s="523"/>
      <c r="G862" s="523"/>
      <c r="H862" s="523"/>
      <c r="I862" s="523"/>
      <c r="J862" s="523"/>
      <c r="K862" s="523"/>
      <c r="L862" s="523"/>
      <c r="M862" s="523"/>
      <c r="N862" s="523"/>
      <c r="O862" s="523"/>
      <c r="P862" s="523"/>
      <c r="Q862" s="523"/>
      <c r="R862" s="523"/>
      <c r="S862" s="66"/>
      <c r="T862" s="66"/>
    </row>
    <row r="863" spans="1:23">
      <c r="A863" s="66"/>
      <c r="B863" s="66"/>
      <c r="C863" s="523"/>
      <c r="D863" s="523"/>
      <c r="E863" s="523"/>
      <c r="F863" s="523"/>
      <c r="G863" s="523"/>
      <c r="H863" s="523"/>
      <c r="I863" s="523"/>
      <c r="J863" s="523"/>
      <c r="K863" s="523"/>
      <c r="L863" s="523"/>
      <c r="M863" s="523"/>
      <c r="N863" s="523"/>
      <c r="O863" s="523"/>
      <c r="P863" s="523"/>
      <c r="Q863" s="523"/>
      <c r="R863" s="523"/>
      <c r="S863" s="66"/>
      <c r="T863" s="66"/>
    </row>
    <row r="864" spans="1:23" ht="18.75" customHeight="1">
      <c r="A864" s="66"/>
      <c r="B864" s="66"/>
      <c r="C864" s="523"/>
      <c r="D864" s="523"/>
      <c r="E864" s="523"/>
      <c r="F864" s="523"/>
      <c r="G864" s="523"/>
      <c r="H864" s="523"/>
      <c r="I864" s="523"/>
      <c r="J864" s="523"/>
      <c r="K864" s="523"/>
      <c r="L864" s="523"/>
      <c r="M864" s="523"/>
      <c r="N864" s="523"/>
      <c r="O864" s="523"/>
      <c r="P864" s="523"/>
      <c r="Q864" s="523"/>
      <c r="R864" s="523"/>
      <c r="S864" s="66"/>
      <c r="T864" s="66"/>
    </row>
    <row r="865" spans="1:24" ht="18.75" customHeight="1">
      <c r="A865" s="66"/>
      <c r="B865" s="66"/>
      <c r="C865" s="523"/>
      <c r="D865" s="523"/>
      <c r="E865" s="523"/>
      <c r="F865" s="523"/>
      <c r="G865" s="523"/>
      <c r="H865" s="523"/>
      <c r="I865" s="523"/>
      <c r="J865" s="523"/>
      <c r="K865" s="523"/>
      <c r="L865" s="523"/>
      <c r="M865" s="523"/>
      <c r="N865" s="523"/>
      <c r="O865" s="523"/>
      <c r="P865" s="523"/>
      <c r="Q865" s="523"/>
      <c r="R865" s="523"/>
      <c r="S865" s="66"/>
      <c r="T865" s="66"/>
    </row>
    <row r="866" spans="1:24" ht="18.75" customHeight="1">
      <c r="A866" s="66"/>
      <c r="B866" s="66"/>
      <c r="C866" s="523"/>
      <c r="D866" s="523"/>
      <c r="E866" s="523"/>
      <c r="F866" s="523"/>
      <c r="G866" s="523"/>
      <c r="H866" s="523"/>
      <c r="I866" s="523"/>
      <c r="J866" s="523"/>
      <c r="K866" s="523"/>
      <c r="L866" s="523"/>
      <c r="M866" s="523"/>
      <c r="N866" s="523"/>
      <c r="O866" s="523"/>
      <c r="P866" s="523"/>
      <c r="Q866" s="523"/>
      <c r="R866" s="523"/>
      <c r="S866" s="66"/>
      <c r="T866" s="66"/>
    </row>
    <row r="867" spans="1:24" ht="18.75" customHeight="1">
      <c r="A867" s="66"/>
      <c r="B867" s="66"/>
      <c r="C867" s="523"/>
      <c r="D867" s="523"/>
      <c r="E867" s="523"/>
      <c r="F867" s="523"/>
      <c r="G867" s="523"/>
      <c r="H867" s="523"/>
      <c r="I867" s="523"/>
      <c r="J867" s="523"/>
      <c r="K867" s="523"/>
      <c r="L867" s="523"/>
      <c r="M867" s="523"/>
      <c r="N867" s="523"/>
      <c r="O867" s="523"/>
      <c r="P867" s="523"/>
      <c r="Q867" s="523"/>
      <c r="R867" s="523"/>
      <c r="S867" s="66"/>
      <c r="T867" s="66"/>
    </row>
    <row r="868" spans="1:24" ht="18.75" customHeight="1">
      <c r="A868" s="66"/>
      <c r="B868" s="66"/>
      <c r="C868" s="523"/>
      <c r="D868" s="523"/>
      <c r="E868" s="523"/>
      <c r="F868" s="523"/>
      <c r="G868" s="523"/>
      <c r="H868" s="523"/>
      <c r="I868" s="523"/>
      <c r="J868" s="523"/>
      <c r="K868" s="523"/>
      <c r="L868" s="523"/>
      <c r="M868" s="523"/>
      <c r="N868" s="523"/>
      <c r="O868" s="523"/>
      <c r="P868" s="523"/>
      <c r="Q868" s="523"/>
      <c r="R868" s="523"/>
      <c r="S868" s="66"/>
      <c r="T868" s="66"/>
    </row>
    <row r="869" spans="1:24" ht="15.75">
      <c r="A869" s="1319" t="s">
        <v>2681</v>
      </c>
      <c r="B869" s="1319"/>
      <c r="C869" s="1319"/>
      <c r="D869" s="1319"/>
      <c r="E869" s="1319"/>
      <c r="F869" s="1319"/>
      <c r="G869" s="1319"/>
      <c r="H869" s="1319"/>
      <c r="I869" s="1319"/>
      <c r="J869" s="1319"/>
      <c r="K869" s="1319"/>
      <c r="L869" s="1319"/>
      <c r="M869" s="1319"/>
      <c r="N869" s="1319"/>
      <c r="O869" s="1319"/>
      <c r="P869" s="1319"/>
      <c r="Q869" s="1319"/>
      <c r="R869" s="1319"/>
      <c r="S869" s="1319"/>
      <c r="T869" s="1319"/>
      <c r="U869" s="1319"/>
      <c r="V869" s="1319"/>
      <c r="W869" s="1319"/>
      <c r="X869" s="452"/>
    </row>
    <row r="870" spans="1:24" ht="15.75">
      <c r="A870" s="1319" t="s">
        <v>2662</v>
      </c>
      <c r="B870" s="1319"/>
      <c r="C870" s="1319"/>
      <c r="D870" s="1319"/>
      <c r="E870" s="1319"/>
      <c r="F870" s="1319"/>
      <c r="G870" s="1319"/>
      <c r="H870" s="1319"/>
      <c r="I870" s="1319"/>
      <c r="J870" s="1319"/>
      <c r="K870" s="1319"/>
      <c r="L870" s="1319"/>
      <c r="M870" s="1319"/>
      <c r="N870" s="1319"/>
      <c r="O870" s="1319"/>
      <c r="P870" s="1319"/>
      <c r="Q870" s="1319"/>
      <c r="R870" s="1319"/>
      <c r="S870" s="1319"/>
      <c r="T870" s="1319"/>
      <c r="U870" s="1319"/>
      <c r="V870" s="1319"/>
      <c r="W870" s="1319"/>
      <c r="X870" s="452"/>
    </row>
    <row r="871" spans="1:24" ht="15.75">
      <c r="A871" s="1319" t="s">
        <v>2663</v>
      </c>
      <c r="B871" s="1319"/>
      <c r="C871" s="1319"/>
      <c r="D871" s="1319"/>
      <c r="E871" s="1319"/>
      <c r="F871" s="1319"/>
      <c r="G871" s="1319"/>
      <c r="H871" s="1319"/>
      <c r="I871" s="1319"/>
      <c r="J871" s="1319"/>
      <c r="K871" s="1319"/>
      <c r="L871" s="1319"/>
      <c r="M871" s="1319"/>
      <c r="N871" s="1319"/>
      <c r="O871" s="1319"/>
      <c r="P871" s="1319"/>
      <c r="Q871" s="1319"/>
      <c r="R871" s="1319"/>
      <c r="S871" s="1319"/>
      <c r="T871" s="1319"/>
      <c r="U871" s="1319"/>
      <c r="V871" s="1319"/>
      <c r="W871" s="1319"/>
      <c r="X871" s="452"/>
    </row>
    <row r="872" spans="1:24" ht="15.75">
      <c r="A872" s="1319" t="s">
        <v>2682</v>
      </c>
      <c r="B872" s="1319"/>
      <c r="C872" s="1319"/>
      <c r="D872" s="1319"/>
      <c r="E872" s="1319"/>
      <c r="F872" s="1319"/>
      <c r="G872" s="1319"/>
      <c r="H872" s="1319"/>
      <c r="I872" s="1319"/>
      <c r="J872" s="1319"/>
      <c r="K872" s="1319"/>
      <c r="L872" s="1319"/>
      <c r="M872" s="1319"/>
      <c r="N872" s="1319"/>
      <c r="O872" s="1319"/>
      <c r="P872" s="1319"/>
      <c r="Q872" s="1319"/>
      <c r="R872" s="1319"/>
      <c r="S872" s="1319"/>
      <c r="T872" s="1319"/>
      <c r="U872" s="1319"/>
      <c r="V872" s="1319"/>
      <c r="W872" s="1319"/>
      <c r="X872" s="452"/>
    </row>
    <row r="873" spans="1:24" ht="40.5">
      <c r="A873" s="518" t="s">
        <v>2634</v>
      </c>
      <c r="B873" s="1322" t="s">
        <v>3313</v>
      </c>
      <c r="C873" s="1323"/>
      <c r="D873" s="1323"/>
      <c r="E873" s="1323"/>
      <c r="F873" s="1323"/>
      <c r="G873" s="1323"/>
      <c r="H873" s="1323"/>
      <c r="I873" s="1323"/>
      <c r="J873" s="1323"/>
      <c r="K873" s="1323"/>
      <c r="L873" s="1323"/>
      <c r="M873" s="1323"/>
      <c r="N873" s="1323"/>
      <c r="O873" s="1323"/>
      <c r="P873" s="1323"/>
      <c r="Q873" s="1323"/>
      <c r="R873" s="1323"/>
      <c r="S873" s="1323"/>
      <c r="T873" s="1324"/>
      <c r="U873" s="1321" t="s">
        <v>3312</v>
      </c>
      <c r="V873" s="1321"/>
      <c r="W873" s="1321"/>
      <c r="X873" s="452"/>
    </row>
    <row r="875" spans="1:24" s="523" customFormat="1" ht="14.25" customHeight="1">
      <c r="A875" s="525">
        <v>1</v>
      </c>
      <c r="B875" s="1316" t="s">
        <v>2683</v>
      </c>
      <c r="C875" s="1317"/>
      <c r="D875" s="1317"/>
      <c r="E875" s="1317"/>
      <c r="F875" s="1317"/>
      <c r="G875" s="1317"/>
      <c r="H875" s="1317"/>
      <c r="I875" s="1317"/>
      <c r="J875" s="1317"/>
      <c r="K875" s="1317"/>
      <c r="L875" s="1317"/>
      <c r="M875" s="1317"/>
      <c r="N875" s="1317"/>
      <c r="O875" s="1317"/>
      <c r="P875" s="1317"/>
      <c r="Q875" s="1317"/>
      <c r="R875" s="1317"/>
      <c r="S875" s="1317"/>
      <c r="T875" s="1318"/>
      <c r="U875" s="1320">
        <v>13000</v>
      </c>
      <c r="V875" s="1320"/>
      <c r="W875" s="1320"/>
    </row>
    <row r="876" spans="1:24" s="523" customFormat="1" ht="15" customHeight="1">
      <c r="A876" s="525">
        <v>2</v>
      </c>
      <c r="B876" s="1316" t="s">
        <v>2684</v>
      </c>
      <c r="C876" s="1317"/>
      <c r="D876" s="1317"/>
      <c r="E876" s="1317"/>
      <c r="F876" s="1317"/>
      <c r="G876" s="1317"/>
      <c r="H876" s="1317"/>
      <c r="I876" s="1317"/>
      <c r="J876" s="1317"/>
      <c r="K876" s="1317"/>
      <c r="L876" s="1317"/>
      <c r="M876" s="1317"/>
      <c r="N876" s="1317"/>
      <c r="O876" s="1317"/>
      <c r="P876" s="1317"/>
      <c r="Q876" s="1317"/>
      <c r="R876" s="1317"/>
      <c r="S876" s="1317"/>
      <c r="T876" s="1318"/>
      <c r="U876" s="1320">
        <v>10000</v>
      </c>
      <c r="V876" s="1320"/>
      <c r="W876" s="1320"/>
    </row>
    <row r="877" spans="1:24" s="523" customFormat="1" ht="15" customHeight="1">
      <c r="A877" s="525">
        <v>3</v>
      </c>
      <c r="B877" s="1316" t="s">
        <v>2685</v>
      </c>
      <c r="C877" s="1317"/>
      <c r="D877" s="1317"/>
      <c r="E877" s="1317"/>
      <c r="F877" s="1317"/>
      <c r="G877" s="1317"/>
      <c r="H877" s="1317"/>
      <c r="I877" s="1317"/>
      <c r="J877" s="1317"/>
      <c r="K877" s="1317"/>
      <c r="L877" s="1317"/>
      <c r="M877" s="1317"/>
      <c r="N877" s="1317"/>
      <c r="O877" s="1317"/>
      <c r="P877" s="1317"/>
      <c r="Q877" s="1317"/>
      <c r="R877" s="1317"/>
      <c r="S877" s="1317"/>
      <c r="T877" s="1318"/>
      <c r="U877" s="1320">
        <v>7000</v>
      </c>
      <c r="V877" s="1320"/>
      <c r="W877" s="1320"/>
    </row>
    <row r="878" spans="1:24" s="523" customFormat="1" ht="15" customHeight="1">
      <c r="A878" s="525">
        <v>4</v>
      </c>
      <c r="B878" s="1316" t="s">
        <v>2686</v>
      </c>
      <c r="C878" s="1317"/>
      <c r="D878" s="1317"/>
      <c r="E878" s="1317"/>
      <c r="F878" s="1317"/>
      <c r="G878" s="1317"/>
      <c r="H878" s="1317"/>
      <c r="I878" s="1317"/>
      <c r="J878" s="1317"/>
      <c r="K878" s="1317"/>
      <c r="L878" s="1317"/>
      <c r="M878" s="1317"/>
      <c r="N878" s="1317"/>
      <c r="O878" s="1317"/>
      <c r="P878" s="1317"/>
      <c r="Q878" s="1317"/>
      <c r="R878" s="1317"/>
      <c r="S878" s="1317"/>
      <c r="T878" s="1318"/>
      <c r="U878" s="1320">
        <v>4500</v>
      </c>
      <c r="V878" s="1320"/>
      <c r="W878" s="1320"/>
    </row>
    <row r="879" spans="1:24" s="523" customFormat="1" ht="27" customHeight="1">
      <c r="A879" s="525">
        <v>5</v>
      </c>
      <c r="B879" s="1316" t="s">
        <v>2687</v>
      </c>
      <c r="C879" s="1317"/>
      <c r="D879" s="1317"/>
      <c r="E879" s="1317"/>
      <c r="F879" s="1317"/>
      <c r="G879" s="1317"/>
      <c r="H879" s="1317"/>
      <c r="I879" s="1317"/>
      <c r="J879" s="1317"/>
      <c r="K879" s="1317"/>
      <c r="L879" s="1317"/>
      <c r="M879" s="1317"/>
      <c r="N879" s="1317"/>
      <c r="O879" s="1317"/>
      <c r="P879" s="1317"/>
      <c r="Q879" s="1317"/>
      <c r="R879" s="1317"/>
      <c r="S879" s="1317"/>
      <c r="T879" s="1318"/>
      <c r="U879" s="1320">
        <v>3000</v>
      </c>
      <c r="V879" s="1320"/>
      <c r="W879" s="1320"/>
    </row>
    <row r="880" spans="1:24" s="523" customFormat="1" ht="42.75" customHeight="1">
      <c r="A880" s="525">
        <v>6</v>
      </c>
      <c r="B880" s="1316" t="s">
        <v>2688</v>
      </c>
      <c r="C880" s="1317"/>
      <c r="D880" s="1317"/>
      <c r="E880" s="1317"/>
      <c r="F880" s="1317"/>
      <c r="G880" s="1317"/>
      <c r="H880" s="1317"/>
      <c r="I880" s="1317"/>
      <c r="J880" s="1317"/>
      <c r="K880" s="1317"/>
      <c r="L880" s="1317"/>
      <c r="M880" s="1317"/>
      <c r="N880" s="1317"/>
      <c r="O880" s="1317"/>
      <c r="P880" s="1317"/>
      <c r="Q880" s="1317"/>
      <c r="R880" s="1317"/>
      <c r="S880" s="1317"/>
      <c r="T880" s="1318"/>
      <c r="U880" s="1320">
        <v>2000</v>
      </c>
      <c r="V880" s="1320"/>
      <c r="W880" s="1320"/>
    </row>
    <row r="882" spans="1:24" ht="15.75">
      <c r="A882" s="1305" t="s">
        <v>2689</v>
      </c>
      <c r="B882" s="1305"/>
      <c r="C882" s="1305"/>
      <c r="D882" s="1305"/>
      <c r="E882" s="1305"/>
      <c r="F882" s="1305"/>
      <c r="G882" s="1305"/>
      <c r="H882" s="1305"/>
      <c r="I882" s="1305"/>
      <c r="J882" s="1305"/>
      <c r="K882" s="1305"/>
      <c r="L882" s="1305"/>
      <c r="M882" s="1305"/>
      <c r="N882" s="1305"/>
      <c r="O882" s="1305"/>
      <c r="P882" s="1305"/>
      <c r="Q882" s="1305"/>
      <c r="R882" s="1305"/>
      <c r="S882" s="1305"/>
      <c r="T882" s="1305"/>
      <c r="U882" s="1305"/>
      <c r="V882" s="1305"/>
      <c r="W882" s="1305"/>
      <c r="X882" s="528"/>
    </row>
    <row r="883" spans="1:24" ht="15.75">
      <c r="A883" s="1305" t="s">
        <v>2809</v>
      </c>
      <c r="B883" s="1305"/>
      <c r="C883" s="1305"/>
      <c r="D883" s="1305"/>
      <c r="E883" s="1305"/>
      <c r="F883" s="1305"/>
      <c r="G883" s="1305"/>
      <c r="H883" s="1305"/>
      <c r="I883" s="1305"/>
      <c r="J883" s="1305"/>
      <c r="K883" s="1305"/>
      <c r="L883" s="1305"/>
      <c r="M883" s="1305"/>
      <c r="N883" s="1305"/>
      <c r="O883" s="1305"/>
      <c r="P883" s="1305"/>
      <c r="Q883" s="1305"/>
      <c r="R883" s="1305"/>
      <c r="S883" s="1305"/>
      <c r="T883" s="1305"/>
      <c r="U883" s="1305"/>
      <c r="V883" s="1305"/>
      <c r="W883" s="1305"/>
      <c r="X883" s="528"/>
    </row>
    <row r="884" spans="1:24">
      <c r="A884" s="853" t="s">
        <v>2690</v>
      </c>
      <c r="B884" s="853"/>
      <c r="C884" s="853"/>
      <c r="D884" s="853"/>
      <c r="E884" s="853"/>
      <c r="F884" s="853"/>
      <c r="G884" s="853"/>
      <c r="H884" s="853"/>
      <c r="I884" s="853"/>
      <c r="J884" s="853"/>
      <c r="K884" s="853"/>
      <c r="L884" s="853"/>
      <c r="M884" s="853"/>
      <c r="N884" s="853"/>
      <c r="O884" s="853"/>
      <c r="P884" s="853"/>
      <c r="Q884" s="853"/>
      <c r="R884" s="853"/>
      <c r="S884" s="853"/>
      <c r="T884" s="853"/>
      <c r="U884" s="853"/>
      <c r="V884" s="853"/>
      <c r="W884" s="853"/>
      <c r="X884" s="452"/>
    </row>
    <row r="885" spans="1:24">
      <c r="A885" s="853" t="s">
        <v>2691</v>
      </c>
      <c r="B885" s="853"/>
      <c r="C885" s="853"/>
      <c r="D885" s="853"/>
      <c r="E885" s="853"/>
      <c r="F885" s="853"/>
      <c r="G885" s="853"/>
      <c r="H885" s="853"/>
      <c r="I885" s="853"/>
      <c r="J885" s="853"/>
      <c r="K885" s="853"/>
      <c r="L885" s="853"/>
      <c r="M885" s="853"/>
      <c r="N885" s="853"/>
      <c r="O885" s="853"/>
      <c r="P885" s="853"/>
      <c r="Q885" s="853"/>
      <c r="R885" s="853"/>
      <c r="S885" s="853"/>
      <c r="T885" s="853"/>
      <c r="U885" s="853"/>
      <c r="V885" s="853"/>
      <c r="W885" s="853"/>
      <c r="X885" s="452"/>
    </row>
    <row r="886" spans="1:24">
      <c r="A886" t="s">
        <v>2692</v>
      </c>
    </row>
    <row r="887" spans="1:24">
      <c r="A887" s="1306"/>
      <c r="B887" s="1308" t="s">
        <v>2693</v>
      </c>
      <c r="C887" s="1308"/>
      <c r="D887" s="1308"/>
      <c r="E887" s="1308"/>
      <c r="F887" s="1308"/>
      <c r="G887" s="1308"/>
      <c r="H887" s="1308"/>
      <c r="I887" s="1308"/>
      <c r="J887" s="1308"/>
      <c r="K887" s="1308"/>
      <c r="L887" s="1308"/>
      <c r="M887" s="1308"/>
      <c r="N887" s="1308"/>
      <c r="O887" s="1308"/>
      <c r="P887" s="1308"/>
      <c r="Q887" s="1308"/>
      <c r="R887" s="1308"/>
      <c r="S887" s="1308"/>
      <c r="T887" s="1308"/>
      <c r="U887" s="1308"/>
      <c r="V887" s="1308"/>
      <c r="W887" s="1308"/>
      <c r="X887" s="452"/>
    </row>
    <row r="888" spans="1:24">
      <c r="A888" s="1306"/>
      <c r="B888" s="1308" t="s">
        <v>2694</v>
      </c>
      <c r="C888" s="1308"/>
      <c r="D888" s="1308"/>
      <c r="E888" s="1308"/>
      <c r="F888" s="1308"/>
      <c r="G888" s="1308"/>
      <c r="H888" s="1308"/>
      <c r="I888" s="1308"/>
      <c r="J888" s="1308"/>
      <c r="K888" s="1308"/>
      <c r="L888" s="1308"/>
      <c r="M888" s="1308"/>
      <c r="N888" s="1308"/>
      <c r="O888" s="1308"/>
      <c r="P888" s="1308"/>
      <c r="Q888" s="1308"/>
      <c r="R888" s="1308"/>
      <c r="S888" s="1308"/>
      <c r="T888" s="1308"/>
      <c r="U888" s="1308"/>
      <c r="V888" s="1308"/>
      <c r="W888" s="1308"/>
      <c r="X888" s="452"/>
    </row>
    <row r="889" spans="1:24">
      <c r="A889" s="1306"/>
      <c r="B889" s="1308" t="s">
        <v>2695</v>
      </c>
      <c r="C889" s="1308"/>
      <c r="D889" s="1308"/>
      <c r="E889" s="1308"/>
      <c r="F889" s="1308"/>
      <c r="G889" s="1308"/>
      <c r="H889" s="1308"/>
      <c r="I889" s="1308"/>
      <c r="J889" s="1308"/>
      <c r="K889" s="1308"/>
      <c r="L889" s="1308"/>
      <c r="M889" s="1308"/>
      <c r="N889" s="1308"/>
      <c r="O889" s="1308"/>
      <c r="P889" s="1308"/>
      <c r="Q889" s="1308"/>
      <c r="R889" s="1308"/>
      <c r="S889" s="1308"/>
      <c r="T889" s="1308"/>
      <c r="U889" s="1308"/>
      <c r="V889" s="1308"/>
      <c r="W889" s="1308"/>
      <c r="X889" s="452"/>
    </row>
    <row r="890" spans="1:24">
      <c r="A890" s="1306"/>
      <c r="B890" s="1308" t="s">
        <v>2696</v>
      </c>
      <c r="C890" s="1308"/>
      <c r="D890" s="1308"/>
      <c r="E890" s="1308"/>
      <c r="F890" s="1308"/>
      <c r="G890" s="1308"/>
      <c r="H890" s="1308"/>
      <c r="I890" s="1308"/>
      <c r="J890" s="1308"/>
      <c r="K890" s="1308"/>
      <c r="L890" s="1308"/>
      <c r="M890" s="1308"/>
      <c r="N890" s="1308"/>
      <c r="O890" s="1308"/>
      <c r="P890" s="1308"/>
      <c r="Q890" s="1308"/>
      <c r="R890" s="1308"/>
      <c r="S890" s="1308"/>
      <c r="T890" s="1308"/>
      <c r="U890" s="1308"/>
      <c r="V890" s="1308"/>
      <c r="W890" s="1308"/>
      <c r="X890" s="452"/>
    </row>
    <row r="891" spans="1:24">
      <c r="A891" s="1306"/>
      <c r="B891" s="1307" t="s">
        <v>3314</v>
      </c>
      <c r="C891" s="1307"/>
      <c r="D891" s="1307"/>
      <c r="E891" s="1307"/>
      <c r="F891" s="1307"/>
      <c r="G891" s="1307"/>
      <c r="H891" s="1307"/>
      <c r="I891" s="1307"/>
      <c r="J891" s="1307"/>
      <c r="K891" s="1307"/>
      <c r="L891" s="1307"/>
      <c r="M891" s="1307"/>
      <c r="N891" s="1307"/>
      <c r="O891" s="1307"/>
      <c r="P891" s="1307"/>
      <c r="Q891" s="1307"/>
      <c r="R891" s="1307"/>
      <c r="S891" s="1307"/>
      <c r="T891" s="1307"/>
      <c r="U891" s="1307"/>
      <c r="V891" s="1307"/>
      <c r="W891" s="1307"/>
      <c r="X891" s="452"/>
    </row>
    <row r="892" spans="1:24">
      <c r="A892" s="1306"/>
      <c r="B892" s="1381"/>
      <c r="C892" s="1307" t="s">
        <v>3315</v>
      </c>
      <c r="D892" s="1308"/>
      <c r="E892" s="1308"/>
      <c r="F892" s="1308"/>
      <c r="G892" s="1308"/>
      <c r="H892" s="1308"/>
      <c r="I892" s="1308"/>
      <c r="J892" s="1308"/>
      <c r="K892" s="1308"/>
      <c r="L892" s="1308"/>
      <c r="M892" s="1308"/>
      <c r="N892" s="1308"/>
      <c r="O892" s="1308"/>
      <c r="P892" s="1308"/>
      <c r="Q892" s="1308"/>
      <c r="R892" s="1308"/>
      <c r="S892" s="1308"/>
      <c r="T892" s="1308"/>
      <c r="U892" s="1308"/>
      <c r="V892" s="1308"/>
      <c r="W892" s="1308"/>
      <c r="X892" s="452"/>
    </row>
    <row r="893" spans="1:24" ht="27" customHeight="1">
      <c r="A893" s="1306"/>
      <c r="B893" s="1382"/>
      <c r="C893" s="1309" t="s">
        <v>3316</v>
      </c>
      <c r="D893" s="1310"/>
      <c r="E893" s="1310"/>
      <c r="F893" s="1310"/>
      <c r="G893" s="1310"/>
      <c r="H893" s="1310"/>
      <c r="I893" s="1310"/>
      <c r="J893" s="1310"/>
      <c r="K893" s="1310"/>
      <c r="L893" s="1310"/>
      <c r="M893" s="1310"/>
      <c r="N893" s="1310"/>
      <c r="O893" s="1310"/>
      <c r="P893" s="1310"/>
      <c r="Q893" s="1310"/>
      <c r="R893" s="1310"/>
      <c r="S893" s="1310"/>
      <c r="T893" s="1310"/>
      <c r="U893" s="1310"/>
      <c r="V893" s="1310"/>
      <c r="W893" s="1310"/>
      <c r="X893" s="452"/>
    </row>
    <row r="894" spans="1:24" ht="80.25" customHeight="1">
      <c r="A894" s="1306"/>
      <c r="B894" s="1382"/>
      <c r="C894" s="1313"/>
      <c r="D894" s="1311" t="s">
        <v>3317</v>
      </c>
      <c r="E894" s="1312"/>
      <c r="F894" s="1312"/>
      <c r="G894" s="1312"/>
      <c r="H894" s="1312"/>
      <c r="I894" s="1312"/>
      <c r="J894" s="1312"/>
      <c r="K894" s="1312"/>
      <c r="L894" s="1312"/>
      <c r="M894" s="1312"/>
      <c r="N894" s="1312"/>
      <c r="O894" s="1312"/>
      <c r="P894" s="1312"/>
      <c r="Q894" s="1312"/>
      <c r="R894" s="1312"/>
      <c r="S894" s="1312"/>
      <c r="T894" s="1312"/>
      <c r="U894" s="1312"/>
      <c r="V894" s="1312"/>
      <c r="W894" s="1312"/>
      <c r="X894" s="452"/>
    </row>
    <row r="895" spans="1:24" ht="92.25" customHeight="1">
      <c r="A895" s="1306"/>
      <c r="B895" s="1382"/>
      <c r="C895" s="1314"/>
      <c r="D895" s="1311" t="s">
        <v>3318</v>
      </c>
      <c r="E895" s="1311"/>
      <c r="F895" s="1311"/>
      <c r="G895" s="1311"/>
      <c r="H895" s="1311"/>
      <c r="I895" s="1311"/>
      <c r="J895" s="1311"/>
      <c r="K895" s="1311"/>
      <c r="L895" s="1311"/>
      <c r="M895" s="1311"/>
      <c r="N895" s="1311"/>
      <c r="O895" s="1311"/>
      <c r="P895" s="1311"/>
      <c r="Q895" s="1311"/>
      <c r="R895" s="1311"/>
      <c r="S895" s="1311"/>
      <c r="T895" s="1311"/>
      <c r="U895" s="1311"/>
      <c r="V895" s="1311"/>
      <c r="W895" s="1311"/>
      <c r="X895" s="452"/>
    </row>
    <row r="896" spans="1:24" ht="41.25" customHeight="1">
      <c r="A896" s="1306"/>
      <c r="B896" s="1382"/>
      <c r="C896" s="1314"/>
      <c r="D896" s="1312" t="s">
        <v>3319</v>
      </c>
      <c r="E896" s="1312"/>
      <c r="F896" s="1312"/>
      <c r="G896" s="1312"/>
      <c r="H896" s="1312"/>
      <c r="I896" s="1312"/>
      <c r="J896" s="1312"/>
      <c r="K896" s="1312"/>
      <c r="L896" s="1312"/>
      <c r="M896" s="1312"/>
      <c r="N896" s="1312"/>
      <c r="O896" s="1312"/>
      <c r="P896" s="1312"/>
      <c r="Q896" s="1312"/>
      <c r="R896" s="1312"/>
      <c r="S896" s="1312"/>
      <c r="T896" s="1312"/>
      <c r="U896" s="1312"/>
      <c r="V896" s="1312"/>
      <c r="W896" s="1312"/>
      <c r="X896" s="452"/>
    </row>
    <row r="897" spans="1:25">
      <c r="A897" s="1306"/>
      <c r="B897" s="1382"/>
      <c r="C897" s="1315"/>
      <c r="D897" s="1308" t="s">
        <v>2697</v>
      </c>
      <c r="E897" s="1308"/>
      <c r="F897" s="1308"/>
      <c r="G897" s="1308"/>
      <c r="H897" s="1308"/>
      <c r="I897" s="1308"/>
      <c r="J897" s="1308"/>
      <c r="K897" s="1308"/>
      <c r="L897" s="1308"/>
      <c r="M897" s="1308"/>
      <c r="N897" s="1308"/>
      <c r="O897" s="1308"/>
      <c r="P897" s="1308"/>
      <c r="Q897" s="1308"/>
      <c r="R897" s="1308"/>
      <c r="S897" s="1308"/>
      <c r="T897" s="1308"/>
      <c r="U897" s="1308"/>
      <c r="V897" s="1308"/>
      <c r="W897" s="1308"/>
      <c r="X897" s="452"/>
    </row>
    <row r="898" spans="1:25">
      <c r="A898" s="1306"/>
      <c r="B898" s="1383"/>
      <c r="C898" s="1308" t="s">
        <v>2698</v>
      </c>
      <c r="D898" s="1308"/>
      <c r="E898" s="1308"/>
      <c r="F898" s="1308"/>
      <c r="G898" s="1308"/>
      <c r="H898" s="1308"/>
      <c r="I898" s="1308"/>
      <c r="J898" s="1308"/>
      <c r="K898" s="1308"/>
      <c r="L898" s="1308"/>
      <c r="M898" s="1308"/>
      <c r="N898" s="1308"/>
      <c r="O898" s="1308"/>
      <c r="P898" s="1308"/>
      <c r="Q898" s="1308"/>
      <c r="R898" s="1308"/>
      <c r="S898" s="1308"/>
      <c r="T898" s="1308"/>
      <c r="U898" s="1308"/>
      <c r="V898" s="1308"/>
      <c r="W898" s="1308"/>
      <c r="X898" s="452"/>
    </row>
    <row r="899" spans="1:25">
      <c r="A899" s="1306"/>
      <c r="B899" s="1307" t="s">
        <v>3320</v>
      </c>
      <c r="C899" s="1307"/>
      <c r="D899" s="1307"/>
      <c r="E899" s="1307"/>
      <c r="F899" s="1307"/>
      <c r="G899" s="1307"/>
      <c r="H899" s="1307"/>
      <c r="I899" s="1307"/>
      <c r="J899" s="1307"/>
      <c r="K899" s="1307"/>
      <c r="L899" s="1307"/>
      <c r="M899" s="1307"/>
      <c r="N899" s="1307"/>
      <c r="O899" s="1307"/>
      <c r="P899" s="1307"/>
      <c r="Q899" s="1307"/>
      <c r="R899" s="1307"/>
      <c r="S899" s="1307"/>
      <c r="T899" s="1307"/>
      <c r="U899" s="1307"/>
      <c r="V899" s="1307"/>
      <c r="W899" s="1307"/>
      <c r="X899" s="452"/>
    </row>
    <row r="900" spans="1:25">
      <c r="A900" s="1306"/>
      <c r="B900" s="1384" t="s">
        <v>2699</v>
      </c>
      <c r="C900" s="1385"/>
      <c r="D900" s="1385"/>
      <c r="E900" s="1385"/>
      <c r="F900" s="1385"/>
      <c r="G900" s="1385"/>
      <c r="H900" s="1385"/>
      <c r="I900" s="1385"/>
      <c r="J900" s="1385"/>
      <c r="K900" s="1385"/>
      <c r="L900" s="1385"/>
      <c r="M900" s="1385"/>
      <c r="N900" s="1385"/>
      <c r="O900" s="1385"/>
      <c r="P900" s="1385"/>
      <c r="Q900" s="1385"/>
      <c r="R900" s="1385"/>
      <c r="S900" s="1385"/>
      <c r="T900" s="1385"/>
      <c r="U900" s="1385"/>
      <c r="V900" s="1385"/>
      <c r="W900" s="1386"/>
      <c r="X900" s="452"/>
      <c r="Y900" s="452"/>
    </row>
    <row r="901" spans="1:25" ht="31.5" customHeight="1">
      <c r="A901" s="1306"/>
      <c r="B901" s="1401" t="s">
        <v>3323</v>
      </c>
      <c r="C901" s="1402"/>
      <c r="D901" s="1402"/>
      <c r="E901" s="1402"/>
      <c r="F901" s="1402"/>
      <c r="G901" s="1402"/>
      <c r="H901" s="1402"/>
      <c r="I901" s="1402"/>
      <c r="J901" s="1402"/>
      <c r="K901" s="1402"/>
      <c r="L901" s="1402"/>
      <c r="M901" s="1402"/>
      <c r="N901" s="1402"/>
      <c r="O901" s="1402"/>
      <c r="P901" s="1402"/>
      <c r="Q901" s="1402"/>
      <c r="R901" s="1402"/>
      <c r="S901" s="1402"/>
      <c r="T901" s="1402"/>
      <c r="U901" s="1402"/>
      <c r="V901" s="1402"/>
      <c r="W901" s="1403"/>
      <c r="X901" s="452"/>
    </row>
    <row r="902" spans="1:25">
      <c r="A902" s="1306"/>
      <c r="B902" s="1387" t="s">
        <v>3324</v>
      </c>
      <c r="C902" s="1388"/>
      <c r="D902" s="1388"/>
      <c r="E902" s="1388"/>
      <c r="F902" s="1388"/>
      <c r="G902" s="1388"/>
      <c r="H902" s="1388"/>
      <c r="I902" s="1388"/>
      <c r="J902" s="1388"/>
      <c r="K902" s="1388"/>
      <c r="L902" s="1388"/>
      <c r="M902" s="1388"/>
      <c r="N902" s="1388"/>
      <c r="O902" s="1388"/>
      <c r="P902" s="1388"/>
      <c r="Q902" s="1388"/>
      <c r="R902" s="1388"/>
      <c r="S902" s="1388"/>
      <c r="T902" s="1388"/>
      <c r="U902" s="1388"/>
      <c r="V902" s="1388"/>
      <c r="W902" s="1389"/>
    </row>
    <row r="903" spans="1:25">
      <c r="A903" s="1306"/>
      <c r="B903" s="1390" t="s">
        <v>3325</v>
      </c>
      <c r="C903" s="1385"/>
      <c r="D903" s="1385"/>
      <c r="E903" s="1385"/>
      <c r="F903" s="1385"/>
      <c r="G903" s="1385"/>
      <c r="H903" s="1385"/>
      <c r="I903" s="1385"/>
      <c r="J903" s="1385"/>
      <c r="K903" s="1385"/>
      <c r="L903" s="1385"/>
      <c r="M903" s="1385"/>
      <c r="N903" s="1385"/>
      <c r="O903" s="1385"/>
      <c r="P903" s="1385"/>
      <c r="Q903" s="1385"/>
      <c r="R903" s="1385"/>
      <c r="S903" s="1385"/>
      <c r="T903" s="1385"/>
      <c r="U903" s="1385"/>
      <c r="V903" s="1385"/>
      <c r="W903" s="1386"/>
      <c r="X903" s="452"/>
    </row>
    <row r="904" spans="1:25">
      <c r="A904" s="1371"/>
      <c r="B904" s="1371"/>
      <c r="C904" s="1371"/>
      <c r="D904" s="1371"/>
      <c r="E904" s="1371"/>
      <c r="F904" s="1371"/>
      <c r="G904" s="1371"/>
      <c r="H904" s="1371"/>
      <c r="I904" s="1371"/>
      <c r="J904" s="1371"/>
      <c r="K904" s="1371"/>
      <c r="L904" s="1371"/>
      <c r="M904" s="1371"/>
      <c r="N904" s="1371"/>
      <c r="O904" s="1371"/>
      <c r="P904" s="1371"/>
      <c r="Q904" s="1371"/>
      <c r="R904" s="1371"/>
      <c r="S904" s="1371"/>
      <c r="T904" s="1371"/>
      <c r="U904" s="1371"/>
      <c r="V904" s="1371"/>
      <c r="W904" s="1371"/>
      <c r="X904" s="1371"/>
    </row>
    <row r="905" spans="1:25">
      <c r="A905" s="1398" t="s">
        <v>2689</v>
      </c>
      <c r="B905" s="1398"/>
      <c r="C905" s="1398"/>
      <c r="D905" s="1398"/>
      <c r="E905" s="1398"/>
      <c r="F905" s="1398"/>
      <c r="G905" s="1398"/>
      <c r="H905" s="1398"/>
      <c r="I905" s="1398"/>
      <c r="J905" s="1398"/>
      <c r="K905" s="1398"/>
      <c r="L905" s="1398"/>
      <c r="M905" s="1398"/>
      <c r="N905" s="1398"/>
      <c r="O905" s="1398"/>
      <c r="P905" s="1398"/>
      <c r="Q905" s="1398"/>
      <c r="R905" s="1398"/>
      <c r="S905" s="1398"/>
      <c r="T905" s="1398"/>
      <c r="U905" s="1398"/>
      <c r="V905" s="1398"/>
      <c r="W905" s="1398"/>
      <c r="X905" s="452"/>
    </row>
    <row r="906" spans="1:25">
      <c r="A906" s="1398" t="s">
        <v>2809</v>
      </c>
      <c r="B906" s="1398"/>
      <c r="C906" s="1398"/>
      <c r="D906" s="1398"/>
      <c r="E906" s="1398"/>
      <c r="F906" s="1398"/>
      <c r="G906" s="1398"/>
      <c r="H906" s="1398"/>
      <c r="I906" s="1398"/>
      <c r="J906" s="1398"/>
      <c r="K906" s="1398"/>
      <c r="L906" s="1398"/>
      <c r="M906" s="1398"/>
      <c r="N906" s="1398"/>
      <c r="O906" s="1398"/>
      <c r="P906" s="1398"/>
      <c r="Q906" s="1398"/>
      <c r="R906" s="1398"/>
      <c r="S906" s="1398"/>
      <c r="T906" s="1398"/>
      <c r="U906" s="1398"/>
      <c r="V906" s="1398"/>
      <c r="W906" s="1398"/>
      <c r="X906" s="452"/>
    </row>
    <row r="907" spans="1:25">
      <c r="A907" s="1397" t="s">
        <v>2690</v>
      </c>
      <c r="B907" s="1397"/>
      <c r="C907" s="1397"/>
      <c r="D907" s="1397"/>
      <c r="E907" s="1397"/>
      <c r="F907" s="1397"/>
      <c r="G907" s="1397"/>
      <c r="H907" s="1397"/>
      <c r="I907" s="1397"/>
      <c r="J907" s="1397"/>
      <c r="K907" s="1397"/>
      <c r="L907" s="1397"/>
      <c r="M907" s="1397"/>
      <c r="N907" s="1397"/>
      <c r="O907" s="1397"/>
      <c r="P907" s="1397"/>
      <c r="Q907" s="1397"/>
      <c r="R907" s="1397"/>
      <c r="S907" s="1397"/>
      <c r="T907" s="1397"/>
      <c r="U907" s="1397"/>
      <c r="V907" s="1397"/>
      <c r="W907" s="1397"/>
      <c r="X907" s="452"/>
    </row>
    <row r="908" spans="1:25">
      <c r="A908" s="1397" t="s">
        <v>2691</v>
      </c>
      <c r="B908" s="1397"/>
      <c r="C908" s="1397"/>
      <c r="D908" s="1397"/>
      <c r="E908" s="1397"/>
      <c r="F908" s="1397"/>
      <c r="G908" s="1397"/>
      <c r="H908" s="1397"/>
      <c r="I908" s="1397"/>
      <c r="J908" s="1397"/>
      <c r="K908" s="1397"/>
      <c r="L908" s="1397"/>
      <c r="M908" s="1397"/>
      <c r="N908" s="1397"/>
      <c r="O908" s="1397"/>
      <c r="P908" s="1397"/>
      <c r="Q908" s="1397"/>
      <c r="R908" s="1397"/>
      <c r="S908" s="1397"/>
      <c r="T908" s="1397"/>
      <c r="U908" s="1397"/>
      <c r="V908" s="1397"/>
      <c r="W908" s="1397"/>
      <c r="X908" s="452"/>
    </row>
    <row r="909" spans="1:25">
      <c r="A909" s="1393"/>
      <c r="B909" s="1304" t="s">
        <v>2700</v>
      </c>
      <c r="C909" s="1304"/>
      <c r="D909" s="1304"/>
      <c r="E909" s="1304"/>
      <c r="F909" s="1304"/>
      <c r="G909" s="1304"/>
      <c r="H909" s="1304"/>
      <c r="I909" s="1304"/>
      <c r="J909" s="1304"/>
      <c r="K909" s="1304"/>
      <c r="L909" s="1304"/>
      <c r="M909" s="1304"/>
      <c r="N909" s="1304"/>
      <c r="O909" s="1304"/>
      <c r="P909" s="1304"/>
      <c r="Q909" s="1304"/>
      <c r="R909" s="1304"/>
      <c r="S909" s="1304"/>
      <c r="T909" s="1304"/>
      <c r="U909" s="1304"/>
      <c r="V909" s="1304"/>
      <c r="W909" s="1304"/>
      <c r="X909" s="452"/>
    </row>
    <row r="910" spans="1:25">
      <c r="A910" s="1393"/>
      <c r="B910" s="1304" t="s">
        <v>2701</v>
      </c>
      <c r="C910" s="1304"/>
      <c r="D910" s="1304"/>
      <c r="E910" s="1304"/>
      <c r="F910" s="1304"/>
      <c r="G910" s="1304"/>
      <c r="H910" s="1304"/>
      <c r="I910" s="1304"/>
      <c r="J910" s="1304"/>
      <c r="K910" s="1304"/>
      <c r="L910" s="1304"/>
      <c r="M910" s="1304"/>
      <c r="N910" s="1304"/>
      <c r="O910" s="1304"/>
      <c r="P910" s="1304"/>
      <c r="Q910" s="1304"/>
      <c r="R910" s="1304"/>
      <c r="S910" s="1304"/>
      <c r="T910" s="1304"/>
      <c r="U910" s="1304"/>
      <c r="V910" s="1304"/>
      <c r="W910" s="1304"/>
      <c r="X910" s="452"/>
    </row>
    <row r="911" spans="1:25">
      <c r="A911" s="1393"/>
      <c r="B911" s="1304" t="s">
        <v>2702</v>
      </c>
      <c r="C911" s="1304"/>
      <c r="D911" s="1304"/>
      <c r="E911" s="1304"/>
      <c r="F911" s="1304"/>
      <c r="G911" s="1304"/>
      <c r="H911" s="1304"/>
      <c r="I911" s="1304"/>
      <c r="J911" s="1304"/>
      <c r="K911" s="1304"/>
      <c r="L911" s="1304"/>
      <c r="M911" s="1304"/>
      <c r="N911" s="1304"/>
      <c r="O911" s="1304"/>
      <c r="P911" s="1304"/>
      <c r="Q911" s="1304"/>
      <c r="R911" s="1304"/>
      <c r="S911" s="1304"/>
      <c r="T911" s="1304"/>
      <c r="U911" s="1304"/>
      <c r="V911" s="1304"/>
      <c r="W911" s="1304"/>
      <c r="X911" s="452"/>
    </row>
    <row r="912" spans="1:25">
      <c r="A912" s="1393"/>
      <c r="B912" s="1391"/>
      <c r="C912" s="1391"/>
      <c r="D912" s="1304" t="s">
        <v>2703</v>
      </c>
      <c r="E912" s="1304"/>
      <c r="F912" s="1304"/>
      <c r="G912" s="1304"/>
      <c r="H912" s="1304"/>
      <c r="I912" s="1304"/>
      <c r="J912" s="1304"/>
      <c r="K912" s="1304"/>
      <c r="L912" s="1304"/>
      <c r="M912" s="1304"/>
      <c r="N912" s="1304"/>
      <c r="O912" s="1304"/>
      <c r="P912" s="1304"/>
      <c r="Q912" s="1304"/>
      <c r="R912" s="1304"/>
      <c r="S912" s="1304"/>
      <c r="T912" s="1304"/>
      <c r="U912" s="1304"/>
      <c r="V912" s="1304"/>
      <c r="W912" s="1304"/>
      <c r="X912" s="452"/>
    </row>
    <row r="913" spans="1:24">
      <c r="A913" s="1393"/>
      <c r="B913" s="1391"/>
      <c r="C913" s="1391"/>
      <c r="D913" s="1304" t="s">
        <v>2704</v>
      </c>
      <c r="E913" s="1304"/>
      <c r="F913" s="1304"/>
      <c r="G913" s="1304"/>
      <c r="H913" s="1304"/>
      <c r="I913" s="1304"/>
      <c r="J913" s="1304"/>
      <c r="K913" s="1304"/>
      <c r="L913" s="1304"/>
      <c r="M913" s="1304"/>
      <c r="N913" s="1304"/>
      <c r="O913" s="1304"/>
      <c r="P913" s="1304"/>
      <c r="Q913" s="1304"/>
      <c r="R913" s="1304"/>
      <c r="S913" s="1304"/>
      <c r="T913" s="1304"/>
      <c r="U913" s="1304"/>
      <c r="V913" s="1304"/>
      <c r="W913" s="1304"/>
      <c r="X913" s="452"/>
    </row>
    <row r="914" spans="1:24">
      <c r="A914" s="1393"/>
      <c r="B914" s="1391"/>
      <c r="C914" s="1391"/>
      <c r="D914" s="1304" t="s">
        <v>3322</v>
      </c>
      <c r="E914" s="1304"/>
      <c r="F914" s="1304"/>
      <c r="G914" s="1304"/>
      <c r="H914" s="1304"/>
      <c r="I914" s="1304"/>
      <c r="J914" s="1304"/>
      <c r="K914" s="1304"/>
      <c r="L914" s="1304"/>
      <c r="M914" s="1304"/>
      <c r="N914" s="1304"/>
      <c r="O914" s="1304"/>
      <c r="P914" s="1304"/>
      <c r="Q914" s="1304"/>
      <c r="R914" s="1304"/>
      <c r="S914" s="1304"/>
      <c r="T914" s="1304"/>
      <c r="U914" s="1304"/>
      <c r="V914" s="1304"/>
      <c r="W914" s="1304"/>
      <c r="X914" s="452"/>
    </row>
    <row r="915" spans="1:24">
      <c r="A915" s="1393"/>
      <c r="B915" s="1304" t="s">
        <v>3321</v>
      </c>
      <c r="C915" s="1304"/>
      <c r="D915" s="1304"/>
      <c r="E915" s="1304"/>
      <c r="F915" s="1304"/>
      <c r="G915" s="1304"/>
      <c r="H915" s="1304"/>
      <c r="I915" s="1304"/>
      <c r="J915" s="1304"/>
      <c r="K915" s="1304"/>
      <c r="L915" s="1304"/>
      <c r="M915" s="1304"/>
      <c r="N915" s="1304"/>
      <c r="O915" s="1304"/>
      <c r="P915" s="1304"/>
      <c r="Q915" s="1304"/>
      <c r="R915" s="1304"/>
      <c r="S915" s="1304"/>
      <c r="T915" s="1304"/>
      <c r="U915" s="1304"/>
      <c r="V915" s="1304"/>
      <c r="W915" s="1304"/>
      <c r="X915" s="452"/>
    </row>
    <row r="916" spans="1:24">
      <c r="A916" s="1393"/>
      <c r="B916" s="1304" t="s">
        <v>2705</v>
      </c>
      <c r="C916" s="1304"/>
      <c r="D916" s="1304"/>
      <c r="E916" s="1304"/>
      <c r="F916" s="1304"/>
      <c r="G916" s="1304"/>
      <c r="H916" s="1304"/>
      <c r="I916" s="1304"/>
      <c r="J916" s="1304"/>
      <c r="K916" s="1304"/>
      <c r="L916" s="1304"/>
      <c r="M916" s="1304"/>
      <c r="N916" s="1304"/>
      <c r="O916" s="1304"/>
      <c r="P916" s="1304"/>
      <c r="Q916" s="1304"/>
      <c r="R916" s="1304"/>
      <c r="S916" s="1304"/>
      <c r="T916" s="1304"/>
      <c r="U916" s="1304"/>
      <c r="V916" s="1304"/>
      <c r="W916" s="1304"/>
      <c r="X916" s="452"/>
    </row>
    <row r="917" spans="1:24">
      <c r="A917" s="1393"/>
      <c r="B917" s="1392" t="s">
        <v>2202</v>
      </c>
      <c r="C917" s="1392"/>
      <c r="D917" s="1304" t="s">
        <v>2706</v>
      </c>
      <c r="E917" s="1304"/>
      <c r="F917" s="1304"/>
      <c r="G917" s="1304"/>
      <c r="H917" s="1304"/>
      <c r="I917" s="1304"/>
      <c r="J917" s="1304"/>
      <c r="K917" s="1304"/>
      <c r="L917" s="1304"/>
      <c r="M917" s="1304"/>
      <c r="N917" s="1304"/>
      <c r="O917" s="1304"/>
      <c r="P917" s="1304"/>
      <c r="Q917" s="1304"/>
      <c r="R917" s="1304"/>
      <c r="S917" s="1304"/>
      <c r="T917" s="1304"/>
      <c r="U917" s="1304"/>
      <c r="V917" s="1304"/>
      <c r="W917" s="1304"/>
      <c r="X917" s="452"/>
    </row>
    <row r="918" spans="1:24">
      <c r="A918" s="1393"/>
      <c r="B918" s="1392"/>
      <c r="C918" s="1392"/>
      <c r="D918" s="1304" t="s">
        <v>2707</v>
      </c>
      <c r="E918" s="1304"/>
      <c r="F918" s="1304"/>
      <c r="G918" s="1304"/>
      <c r="H918" s="1304"/>
      <c r="I918" s="1304"/>
      <c r="J918" s="1304"/>
      <c r="K918" s="1304"/>
      <c r="L918" s="1304"/>
      <c r="M918" s="1304"/>
      <c r="N918" s="1304"/>
      <c r="O918" s="1304"/>
      <c r="P918" s="1304"/>
      <c r="Q918" s="1304"/>
      <c r="R918" s="1304"/>
      <c r="S918" s="1304"/>
      <c r="T918" s="1304"/>
      <c r="U918" s="1304"/>
      <c r="V918" s="1304"/>
      <c r="W918" s="1304"/>
      <c r="X918" s="452"/>
    </row>
    <row r="919" spans="1:24">
      <c r="A919" s="1393"/>
      <c r="B919" s="1392"/>
      <c r="C919" s="1392"/>
      <c r="D919" s="1304" t="s">
        <v>2708</v>
      </c>
      <c r="E919" s="1304"/>
      <c r="F919" s="1304"/>
      <c r="G919" s="1304"/>
      <c r="H919" s="1304"/>
      <c r="I919" s="1304"/>
      <c r="J919" s="1304"/>
      <c r="K919" s="1304"/>
      <c r="L919" s="1304"/>
      <c r="M919" s="1304"/>
      <c r="N919" s="1304"/>
      <c r="O919" s="1304"/>
      <c r="P919" s="1304"/>
      <c r="Q919" s="1304"/>
      <c r="R919" s="1304"/>
      <c r="S919" s="1304"/>
      <c r="T919" s="1304"/>
      <c r="U919" s="1304"/>
      <c r="V919" s="1304"/>
      <c r="W919" s="1304"/>
      <c r="X919" s="452"/>
    </row>
    <row r="920" spans="1:24">
      <c r="A920" s="1393"/>
      <c r="B920" s="1392"/>
      <c r="C920" s="1392"/>
      <c r="D920" s="1304" t="s">
        <v>2709</v>
      </c>
      <c r="E920" s="1304"/>
      <c r="F920" s="1304"/>
      <c r="G920" s="1304"/>
      <c r="H920" s="1304"/>
      <c r="I920" s="1304"/>
      <c r="J920" s="1304"/>
      <c r="K920" s="1304"/>
      <c r="L920" s="1304"/>
      <c r="M920" s="1304"/>
      <c r="N920" s="1304"/>
      <c r="O920" s="1304"/>
      <c r="P920" s="1304"/>
      <c r="Q920" s="1304"/>
      <c r="R920" s="1304"/>
      <c r="S920" s="1304"/>
      <c r="T920" s="1304"/>
      <c r="U920" s="1304"/>
      <c r="V920" s="1304"/>
      <c r="W920" s="1304"/>
      <c r="X920" s="452"/>
    </row>
    <row r="921" spans="1:24">
      <c r="A921" s="1393"/>
      <c r="B921" s="1392"/>
      <c r="C921" s="1392"/>
      <c r="D921" s="1304" t="s">
        <v>2710</v>
      </c>
      <c r="E921" s="1304"/>
      <c r="F921" s="1304"/>
      <c r="G921" s="1304"/>
      <c r="H921" s="1304"/>
      <c r="I921" s="1304"/>
      <c r="J921" s="1304"/>
      <c r="K921" s="1304"/>
      <c r="L921" s="1304"/>
      <c r="M921" s="1304"/>
      <c r="N921" s="1304"/>
      <c r="O921" s="1304"/>
      <c r="P921" s="1304"/>
      <c r="Q921" s="1304"/>
      <c r="R921" s="1304"/>
      <c r="S921" s="1304"/>
      <c r="T921" s="1304"/>
      <c r="U921" s="1304"/>
      <c r="V921" s="1304"/>
      <c r="W921" s="1304"/>
      <c r="X921" s="452"/>
    </row>
    <row r="922" spans="1:24">
      <c r="A922" s="1393"/>
      <c r="B922" s="1392"/>
      <c r="C922" s="1392"/>
      <c r="D922" s="1304" t="s">
        <v>2711</v>
      </c>
      <c r="E922" s="1304"/>
      <c r="F922" s="1304"/>
      <c r="G922" s="1304"/>
      <c r="H922" s="1304"/>
      <c r="I922" s="1304"/>
      <c r="J922" s="1304"/>
      <c r="K922" s="1304"/>
      <c r="L922" s="1304"/>
      <c r="M922" s="1304"/>
      <c r="N922" s="1304"/>
      <c r="O922" s="1304"/>
      <c r="P922" s="1304"/>
      <c r="Q922" s="1304"/>
      <c r="R922" s="1304"/>
      <c r="S922" s="1304"/>
      <c r="T922" s="1304"/>
      <c r="U922" s="1304"/>
      <c r="V922" s="1304"/>
      <c r="W922" s="1304"/>
      <c r="X922" s="452"/>
    </row>
    <row r="923" spans="1:24">
      <c r="A923" s="1393"/>
      <c r="B923" s="1392"/>
      <c r="C923" s="1392"/>
      <c r="D923" s="1304" t="s">
        <v>2712</v>
      </c>
      <c r="E923" s="1304"/>
      <c r="F923" s="1304"/>
      <c r="G923" s="1304"/>
      <c r="H923" s="1304"/>
      <c r="I923" s="1304"/>
      <c r="J923" s="1304"/>
      <c r="K923" s="1304"/>
      <c r="L923" s="1304"/>
      <c r="M923" s="1304"/>
      <c r="N923" s="1304"/>
      <c r="O923" s="1304"/>
      <c r="P923" s="1304"/>
      <c r="Q923" s="1304"/>
      <c r="R923" s="1304"/>
      <c r="S923" s="1304"/>
      <c r="T923" s="1304"/>
      <c r="U923" s="1304"/>
      <c r="V923" s="1304"/>
      <c r="W923" s="1304"/>
      <c r="X923" s="452"/>
    </row>
    <row r="924" spans="1:24">
      <c r="A924" s="1393"/>
      <c r="B924" s="1392"/>
      <c r="C924" s="1392"/>
      <c r="D924" s="1304" t="s">
        <v>2713</v>
      </c>
      <c r="E924" s="1304"/>
      <c r="F924" s="1304"/>
      <c r="G924" s="1304"/>
      <c r="H924" s="1304"/>
      <c r="I924" s="1304"/>
      <c r="J924" s="1304"/>
      <c r="K924" s="1304"/>
      <c r="L924" s="1304"/>
      <c r="M924" s="1304"/>
      <c r="N924" s="1304"/>
      <c r="O924" s="1304"/>
      <c r="P924" s="1304"/>
      <c r="Q924" s="1304"/>
      <c r="R924" s="1304"/>
      <c r="S924" s="1304"/>
      <c r="T924" s="1304"/>
      <c r="U924" s="1304"/>
      <c r="V924" s="1304"/>
      <c r="W924" s="1304"/>
      <c r="X924" s="452"/>
    </row>
    <row r="925" spans="1:24">
      <c r="A925" s="1393"/>
      <c r="B925" s="1392"/>
      <c r="C925" s="1392"/>
      <c r="D925" s="1304" t="s">
        <v>2712</v>
      </c>
      <c r="E925" s="1304"/>
      <c r="F925" s="1304"/>
      <c r="G925" s="1304"/>
      <c r="H925" s="1304"/>
      <c r="I925" s="1304"/>
      <c r="J925" s="1304"/>
      <c r="K925" s="1304"/>
      <c r="L925" s="1304"/>
      <c r="M925" s="1304"/>
      <c r="N925" s="1304"/>
      <c r="O925" s="1304"/>
      <c r="P925" s="1304"/>
      <c r="Q925" s="1304"/>
      <c r="R925" s="1304"/>
      <c r="S925" s="1304"/>
      <c r="T925" s="1304"/>
      <c r="U925" s="1304"/>
      <c r="V925" s="1304"/>
      <c r="W925" s="1304"/>
      <c r="X925" s="452"/>
    </row>
    <row r="926" spans="1:24">
      <c r="A926" s="1393"/>
      <c r="B926" s="1392"/>
      <c r="C926" s="1392"/>
      <c r="D926" s="1304" t="s">
        <v>2714</v>
      </c>
      <c r="E926" s="1304"/>
      <c r="F926" s="1304"/>
      <c r="G926" s="1304"/>
      <c r="H926" s="1304"/>
      <c r="I926" s="1304"/>
      <c r="J926" s="1304"/>
      <c r="K926" s="1304"/>
      <c r="L926" s="1304"/>
      <c r="M926" s="1304"/>
      <c r="N926" s="1304"/>
      <c r="O926" s="1304"/>
      <c r="P926" s="1304"/>
      <c r="Q926" s="1304"/>
      <c r="R926" s="1304"/>
      <c r="S926" s="1304"/>
      <c r="T926" s="1304"/>
      <c r="U926" s="1304"/>
      <c r="V926" s="1304"/>
      <c r="W926" s="1304"/>
      <c r="X926" s="452"/>
    </row>
    <row r="927" spans="1:24">
      <c r="A927" s="1393"/>
      <c r="B927" s="1392"/>
      <c r="C927" s="1392"/>
      <c r="D927" s="1304" t="s">
        <v>2715</v>
      </c>
      <c r="E927" s="1304"/>
      <c r="F927" s="1304"/>
      <c r="G927" s="1304"/>
      <c r="H927" s="1304"/>
      <c r="I927" s="1304"/>
      <c r="J927" s="1304"/>
      <c r="K927" s="1304"/>
      <c r="L927" s="1304"/>
      <c r="M927" s="1304"/>
      <c r="N927" s="1304"/>
      <c r="O927" s="1304"/>
      <c r="P927" s="1304"/>
      <c r="Q927" s="1304"/>
      <c r="R927" s="1304"/>
      <c r="S927" s="1304"/>
      <c r="T927" s="1304"/>
      <c r="U927" s="1304"/>
      <c r="V927" s="1304"/>
      <c r="W927" s="1304"/>
      <c r="X927" s="452"/>
    </row>
    <row r="928" spans="1:24">
      <c r="A928" s="1393"/>
      <c r="B928" s="1392"/>
      <c r="C928" s="1392"/>
      <c r="D928" s="1304" t="s">
        <v>2716</v>
      </c>
      <c r="E928" s="1304"/>
      <c r="F928" s="1304"/>
      <c r="G928" s="1304"/>
      <c r="H928" s="1304"/>
      <c r="I928" s="1304"/>
      <c r="J928" s="1304"/>
      <c r="K928" s="1304"/>
      <c r="L928" s="1304"/>
      <c r="M928" s="1304"/>
      <c r="N928" s="1304"/>
      <c r="O928" s="1304"/>
      <c r="P928" s="1304"/>
      <c r="Q928" s="1304"/>
      <c r="R928" s="1304"/>
      <c r="S928" s="1304"/>
      <c r="T928" s="1304"/>
      <c r="U928" s="1304"/>
      <c r="V928" s="1304"/>
      <c r="W928" s="1304"/>
      <c r="X928" s="452"/>
    </row>
    <row r="929" spans="1:24">
      <c r="A929" s="1393"/>
      <c r="B929" s="1392"/>
      <c r="C929" s="1392"/>
      <c r="D929" s="1304" t="s">
        <v>2717</v>
      </c>
      <c r="E929" s="1304"/>
      <c r="F929" s="1304"/>
      <c r="G929" s="1304"/>
      <c r="H929" s="1304"/>
      <c r="I929" s="1304"/>
      <c r="J929" s="1304"/>
      <c r="K929" s="1304"/>
      <c r="L929" s="1304"/>
      <c r="M929" s="1304"/>
      <c r="N929" s="1304"/>
      <c r="O929" s="1304"/>
      <c r="P929" s="1304"/>
      <c r="Q929" s="1304"/>
      <c r="R929" s="1304"/>
      <c r="S929" s="1304"/>
      <c r="T929" s="1304"/>
      <c r="U929" s="1304"/>
      <c r="V929" s="1304"/>
      <c r="W929" s="1304"/>
      <c r="X929" s="452"/>
    </row>
    <row r="930" spans="1:24">
      <c r="A930" s="1393"/>
      <c r="B930" s="1392"/>
      <c r="C930" s="1392"/>
      <c r="D930" s="1304" t="s">
        <v>2810</v>
      </c>
      <c r="E930" s="1304"/>
      <c r="F930" s="1304"/>
      <c r="G930" s="1304"/>
      <c r="H930" s="1304"/>
      <c r="I930" s="1304"/>
      <c r="J930" s="1304"/>
      <c r="K930" s="1304"/>
      <c r="L930" s="1304"/>
      <c r="M930" s="1304"/>
      <c r="N930" s="1304"/>
      <c r="O930" s="1304"/>
      <c r="P930" s="1304"/>
      <c r="Q930" s="1304"/>
      <c r="R930" s="1304"/>
      <c r="S930" s="1304"/>
      <c r="T930" s="1304"/>
      <c r="U930" s="1304"/>
      <c r="V930" s="1304"/>
      <c r="W930" s="1304"/>
      <c r="X930" s="452"/>
    </row>
    <row r="931" spans="1:24">
      <c r="A931" s="1393"/>
      <c r="B931" s="1392"/>
      <c r="C931" s="1392"/>
      <c r="D931" s="1304" t="s">
        <v>2718</v>
      </c>
      <c r="E931" s="1304"/>
      <c r="F931" s="1304"/>
      <c r="G931" s="1304"/>
      <c r="H931" s="1304"/>
      <c r="I931" s="1304"/>
      <c r="J931" s="1304"/>
      <c r="K931" s="1304"/>
      <c r="L931" s="1304"/>
      <c r="M931" s="1304"/>
      <c r="N931" s="1304"/>
      <c r="O931" s="1304"/>
      <c r="P931" s="1304"/>
      <c r="Q931" s="1304"/>
      <c r="R931" s="1304"/>
      <c r="S931" s="1304"/>
      <c r="T931" s="1304"/>
      <c r="U931" s="1304"/>
      <c r="V931" s="1304"/>
      <c r="W931" s="1304"/>
      <c r="X931" s="452"/>
    </row>
    <row r="932" spans="1:24">
      <c r="A932" s="1393"/>
      <c r="B932" s="1392"/>
      <c r="C932" s="1392"/>
      <c r="D932" s="1304" t="s">
        <v>2719</v>
      </c>
      <c r="E932" s="1304"/>
      <c r="F932" s="1304"/>
      <c r="G932" s="1304"/>
      <c r="H932" s="1304"/>
      <c r="I932" s="1304"/>
      <c r="J932" s="1304"/>
      <c r="K932" s="1304"/>
      <c r="L932" s="1304"/>
      <c r="M932" s="1304"/>
      <c r="N932" s="1304"/>
      <c r="O932" s="1304"/>
      <c r="P932" s="1304"/>
      <c r="Q932" s="1304"/>
      <c r="R932" s="1304"/>
      <c r="S932" s="1304"/>
      <c r="T932" s="1304"/>
      <c r="U932" s="1304"/>
      <c r="V932" s="1304"/>
      <c r="W932" s="1304"/>
      <c r="X932" s="452"/>
    </row>
    <row r="933" spans="1:24">
      <c r="A933" s="1393"/>
      <c r="B933" s="1392"/>
      <c r="C933" s="1392"/>
      <c r="D933" s="1304" t="s">
        <v>2720</v>
      </c>
      <c r="E933" s="1304"/>
      <c r="F933" s="1304"/>
      <c r="G933" s="1304"/>
      <c r="H933" s="1304"/>
      <c r="I933" s="1304"/>
      <c r="J933" s="1304"/>
      <c r="K933" s="1304"/>
      <c r="L933" s="1304"/>
      <c r="M933" s="1304"/>
      <c r="N933" s="1304"/>
      <c r="O933" s="1304"/>
      <c r="P933" s="1304"/>
      <c r="Q933" s="1304"/>
      <c r="R933" s="1304"/>
      <c r="S933" s="1304"/>
      <c r="T933" s="1304"/>
      <c r="U933" s="1304"/>
      <c r="V933" s="1304"/>
      <c r="W933" s="1304"/>
      <c r="X933" s="452"/>
    </row>
    <row r="934" spans="1:24">
      <c r="A934" s="1393"/>
      <c r="B934" s="1392"/>
      <c r="C934" s="1392"/>
      <c r="D934" s="1304" t="s">
        <v>2721</v>
      </c>
      <c r="E934" s="1304"/>
      <c r="F934" s="1304"/>
      <c r="G934" s="1304"/>
      <c r="H934" s="1304"/>
      <c r="I934" s="1304"/>
      <c r="J934" s="1304"/>
      <c r="K934" s="1304"/>
      <c r="L934" s="1304"/>
      <c r="M934" s="1304"/>
      <c r="N934" s="1304"/>
      <c r="O934" s="1304"/>
      <c r="P934" s="1304"/>
      <c r="Q934" s="1304"/>
      <c r="R934" s="1304"/>
      <c r="S934" s="1304"/>
      <c r="T934" s="1304"/>
      <c r="U934" s="1304"/>
      <c r="V934" s="1304"/>
      <c r="W934" s="1304"/>
      <c r="X934" s="452"/>
    </row>
    <row r="935" spans="1:24">
      <c r="A935" s="1393"/>
      <c r="B935" s="1392"/>
      <c r="C935" s="1392"/>
      <c r="D935" s="1304" t="s">
        <v>2722</v>
      </c>
      <c r="E935" s="1304"/>
      <c r="F935" s="1304"/>
      <c r="G935" s="1304"/>
      <c r="H935" s="1304"/>
      <c r="I935" s="1304"/>
      <c r="J935" s="1304"/>
      <c r="K935" s="1304"/>
      <c r="L935" s="1304"/>
      <c r="M935" s="1304"/>
      <c r="N935" s="1304"/>
      <c r="O935" s="1304"/>
      <c r="P935" s="1304"/>
      <c r="Q935" s="1304"/>
      <c r="R935" s="1304"/>
      <c r="S935" s="1304"/>
      <c r="T935" s="1304"/>
      <c r="U935" s="1304"/>
      <c r="V935" s="1304"/>
      <c r="W935" s="1304"/>
      <c r="X935" s="452"/>
    </row>
    <row r="936" spans="1:24">
      <c r="A936" s="1393"/>
      <c r="B936" s="1392"/>
      <c r="C936" s="1392"/>
      <c r="D936" s="1304" t="s">
        <v>2723</v>
      </c>
      <c r="E936" s="1304"/>
      <c r="F936" s="1304"/>
      <c r="G936" s="1304"/>
      <c r="H936" s="1304"/>
      <c r="I936" s="1304"/>
      <c r="J936" s="1304"/>
      <c r="K936" s="1304"/>
      <c r="L936" s="1304"/>
      <c r="M936" s="1304"/>
      <c r="N936" s="1304"/>
      <c r="O936" s="1304"/>
      <c r="P936" s="1304"/>
      <c r="Q936" s="1304"/>
      <c r="R936" s="1304"/>
      <c r="S936" s="1304"/>
      <c r="T936" s="1304"/>
      <c r="U936" s="1304"/>
      <c r="V936" s="1304"/>
      <c r="W936" s="1304"/>
      <c r="X936" s="452"/>
    </row>
    <row r="937" spans="1:24">
      <c r="A937" s="1393"/>
      <c r="B937" s="1392"/>
      <c r="C937" s="1392"/>
      <c r="D937" s="1304" t="s">
        <v>2724</v>
      </c>
      <c r="E937" s="1304"/>
      <c r="F937" s="1304"/>
      <c r="G937" s="1304"/>
      <c r="H937" s="1304"/>
      <c r="I937" s="1304"/>
      <c r="J937" s="1304"/>
      <c r="K937" s="1304"/>
      <c r="L937" s="1304"/>
      <c r="M937" s="1304"/>
      <c r="N937" s="1304"/>
      <c r="O937" s="1304"/>
      <c r="P937" s="1304"/>
      <c r="Q937" s="1304"/>
      <c r="R937" s="1304"/>
      <c r="S937" s="1304"/>
      <c r="T937" s="1304"/>
      <c r="U937" s="1304"/>
      <c r="V937" s="1304"/>
      <c r="W937" s="1304"/>
      <c r="X937" s="452"/>
    </row>
    <row r="938" spans="1:24">
      <c r="A938" s="1393"/>
      <c r="B938" s="1392"/>
      <c r="C938" s="1392"/>
      <c r="D938" s="1304" t="s">
        <v>2725</v>
      </c>
      <c r="E938" s="1304"/>
      <c r="F938" s="1304"/>
      <c r="G938" s="1304"/>
      <c r="H938" s="1304"/>
      <c r="I938" s="1304"/>
      <c r="J938" s="1304"/>
      <c r="K938" s="1304"/>
      <c r="L938" s="1304"/>
      <c r="M938" s="1304"/>
      <c r="N938" s="1304"/>
      <c r="O938" s="1304"/>
      <c r="P938" s="1304"/>
      <c r="Q938" s="1304"/>
      <c r="R938" s="1304"/>
      <c r="S938" s="1304"/>
      <c r="T938" s="1304"/>
      <c r="U938" s="1304"/>
      <c r="V938" s="1304"/>
      <c r="W938" s="1304"/>
      <c r="X938" s="452"/>
    </row>
    <row r="939" spans="1:24">
      <c r="A939" s="1393"/>
      <c r="B939" s="1392"/>
      <c r="C939" s="1392"/>
      <c r="D939" s="1304" t="s">
        <v>2726</v>
      </c>
      <c r="E939" s="1304"/>
      <c r="F939" s="1304"/>
      <c r="G939" s="1304"/>
      <c r="H939" s="1304"/>
      <c r="I939" s="1304"/>
      <c r="J939" s="1304"/>
      <c r="K939" s="1304"/>
      <c r="L939" s="1304"/>
      <c r="M939" s="1304"/>
      <c r="N939" s="1304"/>
      <c r="O939" s="1304"/>
      <c r="P939" s="1304"/>
      <c r="Q939" s="1304"/>
      <c r="R939" s="1304"/>
      <c r="S939" s="1304"/>
      <c r="T939" s="1304"/>
      <c r="U939" s="1304"/>
      <c r="V939" s="1304"/>
      <c r="W939" s="1304"/>
      <c r="X939" s="452"/>
    </row>
    <row r="940" spans="1:24">
      <c r="A940" s="1393"/>
      <c r="B940" s="1392"/>
      <c r="C940" s="1392"/>
      <c r="D940" s="1304" t="s">
        <v>2727</v>
      </c>
      <c r="E940" s="1304"/>
      <c r="F940" s="1304"/>
      <c r="G940" s="1304"/>
      <c r="H940" s="1304"/>
      <c r="I940" s="1304"/>
      <c r="J940" s="1304"/>
      <c r="K940" s="1304"/>
      <c r="L940" s="1304"/>
      <c r="M940" s="1304"/>
      <c r="N940" s="1304"/>
      <c r="O940" s="1304"/>
      <c r="P940" s="1304"/>
      <c r="Q940" s="1304"/>
      <c r="R940" s="1304"/>
      <c r="S940" s="1304"/>
      <c r="T940" s="1304"/>
      <c r="U940" s="1304"/>
      <c r="V940" s="1304"/>
      <c r="W940" s="1304"/>
      <c r="X940" s="452"/>
    </row>
    <row r="941" spans="1:24">
      <c r="A941" s="1393"/>
      <c r="B941" s="1392"/>
      <c r="C941" s="1392"/>
      <c r="D941" s="1304" t="s">
        <v>2728</v>
      </c>
      <c r="E941" s="1304"/>
      <c r="F941" s="1304"/>
      <c r="G941" s="1304"/>
      <c r="H941" s="1304"/>
      <c r="I941" s="1304"/>
      <c r="J941" s="1304"/>
      <c r="K941" s="1304"/>
      <c r="L941" s="1304"/>
      <c r="M941" s="1304"/>
      <c r="N941" s="1304"/>
      <c r="O941" s="1304"/>
      <c r="P941" s="1304"/>
      <c r="Q941" s="1304"/>
      <c r="R941" s="1304"/>
      <c r="S941" s="1304"/>
      <c r="T941" s="1304"/>
      <c r="U941" s="1304"/>
      <c r="V941" s="1304"/>
      <c r="W941" s="1304"/>
      <c r="X941" s="452"/>
    </row>
    <row r="942" spans="1:24">
      <c r="A942" s="1393"/>
      <c r="B942" s="1392"/>
      <c r="C942" s="1392"/>
      <c r="D942" s="1304" t="s">
        <v>2729</v>
      </c>
      <c r="E942" s="1304"/>
      <c r="F942" s="1304"/>
      <c r="G942" s="1304"/>
      <c r="H942" s="1304"/>
      <c r="I942" s="1304"/>
      <c r="J942" s="1304"/>
      <c r="K942" s="1304"/>
      <c r="L942" s="1304"/>
      <c r="M942" s="1304"/>
      <c r="N942" s="1304"/>
      <c r="O942" s="1304"/>
      <c r="P942" s="1304"/>
      <c r="Q942" s="1304"/>
      <c r="R942" s="1304"/>
      <c r="S942" s="1304"/>
      <c r="T942" s="1304"/>
      <c r="U942" s="1304"/>
      <c r="V942" s="1304"/>
      <c r="W942" s="1304"/>
      <c r="X942" s="452"/>
    </row>
    <row r="943" spans="1:24">
      <c r="A943" s="1393"/>
      <c r="B943" s="1392"/>
      <c r="C943" s="1392"/>
      <c r="D943" s="1304" t="s">
        <v>2730</v>
      </c>
      <c r="E943" s="1304"/>
      <c r="F943" s="1304"/>
      <c r="G943" s="1304"/>
      <c r="H943" s="1304"/>
      <c r="I943" s="1304"/>
      <c r="J943" s="1304"/>
      <c r="K943" s="1304"/>
      <c r="L943" s="1304"/>
      <c r="M943" s="1304"/>
      <c r="N943" s="1304"/>
      <c r="O943" s="1304"/>
      <c r="P943" s="1304"/>
      <c r="Q943" s="1304"/>
      <c r="R943" s="1304"/>
      <c r="S943" s="1304"/>
      <c r="T943" s="1304"/>
      <c r="U943" s="1304"/>
      <c r="V943" s="1304"/>
      <c r="W943" s="1304"/>
      <c r="X943" s="452"/>
    </row>
    <row r="944" spans="1:24">
      <c r="A944" s="1393"/>
      <c r="B944" s="1392"/>
      <c r="C944" s="1392"/>
      <c r="D944" s="1304" t="s">
        <v>2731</v>
      </c>
      <c r="E944" s="1304"/>
      <c r="F944" s="1304"/>
      <c r="G944" s="1304"/>
      <c r="H944" s="1304"/>
      <c r="I944" s="1304"/>
      <c r="J944" s="1304"/>
      <c r="K944" s="1304"/>
      <c r="L944" s="1304"/>
      <c r="M944" s="1304"/>
      <c r="N944" s="1304"/>
      <c r="O944" s="1304"/>
      <c r="P944" s="1304"/>
      <c r="Q944" s="1304"/>
      <c r="R944" s="1304"/>
      <c r="S944" s="1304"/>
      <c r="T944" s="1304"/>
      <c r="U944" s="1304"/>
      <c r="V944" s="1304"/>
      <c r="W944" s="1304"/>
      <c r="X944" s="452"/>
    </row>
    <row r="945" spans="1:24">
      <c r="A945" s="1393"/>
      <c r="B945" s="1392"/>
      <c r="C945" s="1392"/>
      <c r="D945" s="1304" t="s">
        <v>2732</v>
      </c>
      <c r="E945" s="1304"/>
      <c r="F945" s="1304"/>
      <c r="G945" s="1304"/>
      <c r="H945" s="1304"/>
      <c r="I945" s="1304"/>
      <c r="J945" s="1304"/>
      <c r="K945" s="1304"/>
      <c r="L945" s="1304"/>
      <c r="M945" s="1304"/>
      <c r="N945" s="1304"/>
      <c r="O945" s="1304"/>
      <c r="P945" s="1304"/>
      <c r="Q945" s="1304"/>
      <c r="R945" s="1304"/>
      <c r="S945" s="1304"/>
      <c r="T945" s="1304"/>
      <c r="U945" s="1304"/>
      <c r="V945" s="1304"/>
      <c r="W945" s="1304"/>
      <c r="X945" s="452"/>
    </row>
    <row r="946" spans="1:24" ht="14.25" customHeight="1">
      <c r="A946" s="1393"/>
      <c r="B946" s="1392"/>
      <c r="C946" s="1392"/>
      <c r="D946" s="1304" t="s">
        <v>2733</v>
      </c>
      <c r="E946" s="1304"/>
      <c r="F946" s="1304"/>
      <c r="G946" s="1304"/>
      <c r="H946" s="1304"/>
      <c r="I946" s="1304"/>
      <c r="J946" s="1304"/>
      <c r="K946" s="1304"/>
      <c r="L946" s="1304"/>
      <c r="M946" s="1304"/>
      <c r="N946" s="1304"/>
      <c r="O946" s="1304"/>
      <c r="P946" s="1304"/>
      <c r="Q946" s="1304"/>
      <c r="R946" s="1304"/>
      <c r="S946" s="1304"/>
      <c r="T946" s="1304"/>
      <c r="U946" s="1304"/>
      <c r="V946" s="1304"/>
      <c r="W946" s="1304"/>
      <c r="X946" s="452"/>
    </row>
    <row r="947" spans="1:24">
      <c r="A947" s="1393"/>
      <c r="B947" s="1392"/>
      <c r="C947" s="1392"/>
      <c r="D947" s="1304" t="s">
        <v>2734</v>
      </c>
      <c r="E947" s="1304"/>
      <c r="F947" s="1304"/>
      <c r="G947" s="1304"/>
      <c r="H947" s="1304"/>
      <c r="I947" s="1304"/>
      <c r="J947" s="1304"/>
      <c r="K947" s="1304"/>
      <c r="L947" s="1304"/>
      <c r="M947" s="1304"/>
      <c r="N947" s="1304"/>
      <c r="O947" s="1304"/>
      <c r="P947" s="1304"/>
      <c r="Q947" s="1304"/>
      <c r="R947" s="1304"/>
      <c r="S947" s="1304"/>
      <c r="T947" s="1304"/>
      <c r="U947" s="1304"/>
      <c r="V947" s="1304"/>
      <c r="W947" s="1304"/>
      <c r="X947" s="452"/>
    </row>
    <row r="948" spans="1:24">
      <c r="A948" s="1393"/>
      <c r="B948" s="1392"/>
      <c r="C948" s="1392"/>
      <c r="D948" s="1304" t="s">
        <v>2735</v>
      </c>
      <c r="E948" s="1304"/>
      <c r="F948" s="1304"/>
      <c r="G948" s="1304"/>
      <c r="H948" s="1304"/>
      <c r="I948" s="1304"/>
      <c r="J948" s="1304"/>
      <c r="K948" s="1304"/>
      <c r="L948" s="1304"/>
      <c r="M948" s="1304"/>
      <c r="N948" s="1304"/>
      <c r="O948" s="1304"/>
      <c r="P948" s="1304"/>
      <c r="Q948" s="1304"/>
      <c r="R948" s="1304"/>
      <c r="S948" s="1304"/>
      <c r="T948" s="1304"/>
      <c r="U948" s="1304"/>
      <c r="V948" s="1304"/>
      <c r="W948" s="1304"/>
      <c r="X948" s="452"/>
    </row>
    <row r="949" spans="1:24" s="185" customFormat="1" ht="20.25" customHeight="1">
      <c r="A949" s="1393"/>
      <c r="B949" s="1304" t="s">
        <v>2811</v>
      </c>
      <c r="C949" s="1304"/>
      <c r="D949" s="1304"/>
      <c r="E949" s="1304"/>
      <c r="F949" s="1304"/>
      <c r="G949" s="1304"/>
      <c r="H949" s="1304"/>
      <c r="I949" s="1304"/>
      <c r="J949" s="1304"/>
      <c r="K949" s="1304"/>
      <c r="L949" s="1304"/>
      <c r="M949" s="1304"/>
      <c r="N949" s="1304"/>
      <c r="O949" s="1304"/>
      <c r="P949" s="1304"/>
      <c r="Q949" s="1304"/>
      <c r="R949" s="1304"/>
      <c r="S949" s="1304"/>
      <c r="T949" s="1304"/>
      <c r="U949" s="1304"/>
      <c r="V949" s="1304"/>
      <c r="W949" s="1304"/>
    </row>
    <row r="950" spans="1:24" s="185" customFormat="1" ht="21" customHeight="1">
      <c r="A950" s="1393"/>
      <c r="B950" s="1304" t="s">
        <v>2812</v>
      </c>
      <c r="C950" s="1304"/>
      <c r="D950" s="1304"/>
      <c r="E950" s="1304"/>
      <c r="F950" s="1304"/>
      <c r="G950" s="1304"/>
      <c r="H950" s="1304"/>
      <c r="I950" s="1304"/>
      <c r="J950" s="1304"/>
      <c r="K950" s="1304"/>
      <c r="L950" s="1304"/>
      <c r="M950" s="1304"/>
      <c r="N950" s="1304"/>
      <c r="O950" s="1304"/>
      <c r="P950" s="1304"/>
      <c r="Q950" s="1304"/>
      <c r="R950" s="1304"/>
      <c r="S950" s="1304"/>
      <c r="T950" s="1304"/>
      <c r="U950" s="1304"/>
      <c r="V950" s="1304"/>
      <c r="W950" s="1304"/>
    </row>
    <row r="951" spans="1:24" s="549" customFormat="1" ht="11.25">
      <c r="A951" s="1393"/>
      <c r="B951" s="1304" t="s">
        <v>2736</v>
      </c>
      <c r="C951" s="1304"/>
      <c r="D951" s="1304"/>
      <c r="E951" s="1304"/>
      <c r="F951" s="1304"/>
      <c r="G951" s="1304"/>
      <c r="H951" s="1304"/>
      <c r="I951" s="1304"/>
      <c r="J951" s="1304"/>
      <c r="K951" s="1304"/>
      <c r="L951" s="1304"/>
      <c r="M951" s="1304"/>
      <c r="N951" s="1304"/>
      <c r="O951" s="1304"/>
      <c r="P951" s="1304"/>
      <c r="Q951" s="1304"/>
      <c r="R951" s="1304"/>
      <c r="S951" s="1304"/>
      <c r="T951" s="1304"/>
      <c r="U951" s="1304"/>
      <c r="V951" s="1304"/>
      <c r="W951" s="1304"/>
      <c r="X951" s="548"/>
    </row>
    <row r="952" spans="1:24" s="549" customFormat="1" ht="11.25">
      <c r="A952" s="1393"/>
      <c r="B952" s="1304" t="s">
        <v>2737</v>
      </c>
      <c r="C952" s="1304"/>
      <c r="D952" s="1304"/>
      <c r="E952" s="1304"/>
      <c r="F952" s="1304"/>
      <c r="G952" s="1304"/>
      <c r="H952" s="1304"/>
      <c r="I952" s="1304"/>
      <c r="J952" s="1304"/>
      <c r="K952" s="1304"/>
      <c r="L952" s="1304"/>
      <c r="M952" s="1304"/>
      <c r="N952" s="1304"/>
      <c r="O952" s="1304"/>
      <c r="P952" s="1304"/>
      <c r="Q952" s="1304"/>
      <c r="R952" s="1304"/>
      <c r="S952" s="1304"/>
      <c r="T952" s="1304"/>
      <c r="U952" s="1304"/>
      <c r="V952" s="1304"/>
      <c r="W952" s="1304"/>
      <c r="X952" s="548"/>
    </row>
    <row r="953" spans="1:24" s="549" customFormat="1" ht="11.25">
      <c r="A953" s="1393"/>
      <c r="B953" s="1304" t="s">
        <v>2738</v>
      </c>
      <c r="C953" s="1304"/>
      <c r="D953" s="1304"/>
      <c r="E953" s="1304"/>
      <c r="F953" s="1304"/>
      <c r="G953" s="1304"/>
      <c r="H953" s="1304"/>
      <c r="I953" s="1304"/>
      <c r="J953" s="1304"/>
      <c r="K953" s="1304"/>
      <c r="L953" s="1304"/>
      <c r="M953" s="1304"/>
      <c r="N953" s="1304"/>
      <c r="O953" s="1304"/>
      <c r="P953" s="1304"/>
      <c r="Q953" s="1304"/>
      <c r="R953" s="1304"/>
      <c r="S953" s="1304"/>
      <c r="T953" s="1304"/>
      <c r="U953" s="1304"/>
      <c r="V953" s="1304"/>
      <c r="W953" s="1304"/>
      <c r="X953" s="548"/>
    </row>
    <row r="954" spans="1:24">
      <c r="A954" s="1393"/>
      <c r="B954" s="1380" t="s">
        <v>2739</v>
      </c>
      <c r="C954" s="1380"/>
      <c r="D954" s="1380"/>
      <c r="E954" s="1380"/>
      <c r="F954" s="1380"/>
      <c r="G954" s="1380"/>
      <c r="H954" s="1380"/>
      <c r="I954" s="1380"/>
      <c r="J954" s="1380"/>
      <c r="K954" s="1380"/>
      <c r="L954" s="1380"/>
      <c r="M954" s="1380"/>
      <c r="N954" s="1380"/>
      <c r="O954" s="1380"/>
      <c r="P954" s="1380"/>
      <c r="Q954" s="1380"/>
      <c r="R954" s="1380"/>
      <c r="S954" s="1380"/>
      <c r="T954" s="1380"/>
      <c r="U954" s="1380"/>
      <c r="V954" s="1380"/>
      <c r="W954" s="1380"/>
      <c r="X954" s="452"/>
    </row>
    <row r="955" spans="1:24">
      <c r="A955" s="1393"/>
      <c r="B955" s="1380" t="s">
        <v>2740</v>
      </c>
      <c r="C955" s="1380"/>
      <c r="D955" s="1380"/>
      <c r="E955" s="1380"/>
      <c r="F955" s="1380"/>
      <c r="G955" s="1380"/>
      <c r="H955" s="1380"/>
      <c r="I955" s="1380"/>
      <c r="J955" s="1380"/>
      <c r="K955" s="1380"/>
      <c r="L955" s="1380"/>
      <c r="M955" s="1380"/>
      <c r="N955" s="1380"/>
      <c r="O955" s="1380"/>
      <c r="P955" s="1380"/>
      <c r="Q955" s="1380"/>
      <c r="R955" s="1380"/>
      <c r="S955" s="1380"/>
      <c r="T955" s="1380"/>
      <c r="U955" s="1380"/>
      <c r="V955" s="1380"/>
      <c r="W955" s="1380"/>
      <c r="X955" s="452"/>
    </row>
    <row r="956" spans="1:24">
      <c r="A956" s="1393"/>
      <c r="B956" s="1380" t="s">
        <v>2741</v>
      </c>
      <c r="C956" s="1380"/>
      <c r="D956" s="1380"/>
      <c r="E956" s="1380"/>
      <c r="F956" s="1380"/>
      <c r="G956" s="1380"/>
      <c r="H956" s="1380"/>
      <c r="I956" s="1380"/>
      <c r="J956" s="1380"/>
      <c r="K956" s="1380"/>
      <c r="L956" s="1380"/>
      <c r="M956" s="1380"/>
      <c r="N956" s="1380"/>
      <c r="O956" s="1380"/>
      <c r="P956" s="1380"/>
      <c r="Q956" s="1380"/>
      <c r="R956" s="1380"/>
      <c r="S956" s="1380"/>
      <c r="T956" s="1380"/>
      <c r="U956" s="1380"/>
      <c r="V956" s="1380"/>
      <c r="W956" s="1380"/>
      <c r="X956" s="452"/>
    </row>
    <row r="957" spans="1:24">
      <c r="A957" s="1393"/>
      <c r="B957" s="1378"/>
      <c r="C957" s="1378"/>
      <c r="D957" s="1380" t="s">
        <v>2742</v>
      </c>
      <c r="E957" s="1380"/>
      <c r="F957" s="1380"/>
      <c r="G957" s="1380"/>
      <c r="H957" s="1380"/>
      <c r="I957" s="1380"/>
      <c r="J957" s="1380"/>
      <c r="K957" s="1380"/>
      <c r="L957" s="1380"/>
      <c r="M957" s="1380"/>
      <c r="N957" s="1380"/>
      <c r="O957" s="1380"/>
      <c r="P957" s="1380"/>
      <c r="Q957" s="1380"/>
      <c r="R957" s="1380"/>
      <c r="S957" s="1380"/>
      <c r="T957" s="1380"/>
      <c r="U957" s="1380"/>
      <c r="V957" s="1380"/>
      <c r="W957" s="1380"/>
      <c r="X957" s="452"/>
    </row>
    <row r="958" spans="1:24">
      <c r="A958" s="1393"/>
      <c r="B958" s="1378"/>
      <c r="C958" s="1378"/>
      <c r="D958" s="1380" t="s">
        <v>2743</v>
      </c>
      <c r="E958" s="1380"/>
      <c r="F958" s="1380"/>
      <c r="G958" s="1380"/>
      <c r="H958" s="1380"/>
      <c r="I958" s="1380"/>
      <c r="J958" s="1380"/>
      <c r="K958" s="1380"/>
      <c r="L958" s="1380"/>
      <c r="M958" s="1380"/>
      <c r="N958" s="1380"/>
      <c r="O958" s="1380"/>
      <c r="P958" s="1380"/>
      <c r="Q958" s="1380"/>
      <c r="R958" s="1380"/>
      <c r="S958" s="1380"/>
      <c r="T958" s="1380"/>
      <c r="U958" s="1380"/>
      <c r="V958" s="1380"/>
      <c r="W958" s="1380"/>
      <c r="X958" s="452"/>
    </row>
    <row r="959" spans="1:24">
      <c r="A959" s="1393"/>
      <c r="B959" s="1378"/>
      <c r="C959" s="1378"/>
      <c r="D959" s="1380" t="s">
        <v>2744</v>
      </c>
      <c r="E959" s="1380"/>
      <c r="F959" s="1380"/>
      <c r="G959" s="1380"/>
      <c r="H959" s="1380"/>
      <c r="I959" s="1380"/>
      <c r="J959" s="1380"/>
      <c r="K959" s="1380"/>
      <c r="L959" s="1380"/>
      <c r="M959" s="1380"/>
      <c r="N959" s="1380"/>
      <c r="O959" s="1380"/>
      <c r="P959" s="1380"/>
      <c r="Q959" s="1380"/>
      <c r="R959" s="1380"/>
      <c r="S959" s="1380"/>
      <c r="T959" s="1380"/>
      <c r="U959" s="1380"/>
      <c r="V959" s="1380"/>
      <c r="W959" s="1380"/>
      <c r="X959" s="452"/>
    </row>
    <row r="960" spans="1:24">
      <c r="A960" s="1393"/>
      <c r="B960" s="1378"/>
      <c r="C960" s="1378"/>
      <c r="D960" s="1380" t="s">
        <v>2745</v>
      </c>
      <c r="E960" s="1380"/>
      <c r="F960" s="1380"/>
      <c r="G960" s="1380"/>
      <c r="H960" s="1380"/>
      <c r="I960" s="1380"/>
      <c r="J960" s="1380"/>
      <c r="K960" s="1380"/>
      <c r="L960" s="1380"/>
      <c r="M960" s="1380"/>
      <c r="N960" s="1380"/>
      <c r="O960" s="1380"/>
      <c r="P960" s="1380"/>
      <c r="Q960" s="1380"/>
      <c r="R960" s="1380"/>
      <c r="S960" s="1380"/>
      <c r="T960" s="1380"/>
      <c r="U960" s="1380"/>
      <c r="V960" s="1380"/>
      <c r="W960" s="1380"/>
      <c r="X960" s="452"/>
    </row>
    <row r="961" spans="1:24" ht="12" customHeight="1">
      <c r="A961" s="1393"/>
      <c r="B961" s="1378"/>
      <c r="C961" s="1378"/>
      <c r="D961" s="1380" t="s">
        <v>2746</v>
      </c>
      <c r="E961" s="1380"/>
      <c r="F961" s="1380"/>
      <c r="G961" s="1380"/>
      <c r="H961" s="1380"/>
      <c r="I961" s="1380"/>
      <c r="J961" s="1380"/>
      <c r="K961" s="1380"/>
      <c r="L961" s="1380"/>
      <c r="M961" s="1380"/>
      <c r="N961" s="1380"/>
      <c r="O961" s="1380"/>
      <c r="P961" s="1380"/>
      <c r="Q961" s="1380"/>
      <c r="R961" s="1380"/>
      <c r="S961" s="1380"/>
      <c r="T961" s="1380"/>
      <c r="U961" s="1380"/>
      <c r="V961" s="1380"/>
      <c r="W961" s="1380"/>
      <c r="X961" s="452"/>
    </row>
  </sheetData>
  <mergeCells count="1282">
    <mergeCell ref="A1:W1"/>
    <mergeCell ref="U418:W419"/>
    <mergeCell ref="B419:T419"/>
    <mergeCell ref="D432:T432"/>
    <mergeCell ref="A359:W359"/>
    <mergeCell ref="A360:W360"/>
    <mergeCell ref="A361:W361"/>
    <mergeCell ref="A362:W362"/>
    <mergeCell ref="C420:T420"/>
    <mergeCell ref="C421:T421"/>
    <mergeCell ref="C428:T428"/>
    <mergeCell ref="C429:T429"/>
    <mergeCell ref="C430:T430"/>
    <mergeCell ref="D431:T431"/>
    <mergeCell ref="C422:T422"/>
    <mergeCell ref="C423:T423"/>
    <mergeCell ref="C424:T424"/>
    <mergeCell ref="C425:T425"/>
    <mergeCell ref="C426:T426"/>
    <mergeCell ref="C427:T427"/>
    <mergeCell ref="A338:W338"/>
    <mergeCell ref="A345:W345"/>
    <mergeCell ref="A346:W346"/>
    <mergeCell ref="A339:W339"/>
    <mergeCell ref="A340:W340"/>
    <mergeCell ref="A341:W341"/>
    <mergeCell ref="A342:W342"/>
    <mergeCell ref="A369:W369"/>
    <mergeCell ref="A370:W370"/>
    <mergeCell ref="A347:W347"/>
    <mergeCell ref="A294:W294"/>
    <mergeCell ref="A295:W295"/>
    <mergeCell ref="A312:W312"/>
    <mergeCell ref="A304:W304"/>
    <mergeCell ref="A305:W305"/>
    <mergeCell ref="A306:W306"/>
    <mergeCell ref="A307:W307"/>
    <mergeCell ref="A309:W309"/>
    <mergeCell ref="A313:W313"/>
    <mergeCell ref="A314:W314"/>
    <mergeCell ref="A315:W315"/>
    <mergeCell ref="A323:W323"/>
    <mergeCell ref="A324:W324"/>
    <mergeCell ref="A325:W325"/>
    <mergeCell ref="A326:W326"/>
    <mergeCell ref="A343:W343"/>
    <mergeCell ref="A344:W344"/>
    <mergeCell ref="A327:W327"/>
    <mergeCell ref="A334:W334"/>
    <mergeCell ref="A322:W322"/>
    <mergeCell ref="A335:W335"/>
    <mergeCell ref="A216:W216"/>
    <mergeCell ref="A208:W208"/>
    <mergeCell ref="A209:W209"/>
    <mergeCell ref="A210:W210"/>
    <mergeCell ref="A211:W211"/>
    <mergeCell ref="A213:W213"/>
    <mergeCell ref="A217:W217"/>
    <mergeCell ref="A237:W237"/>
    <mergeCell ref="A241:W241"/>
    <mergeCell ref="A242:W242"/>
    <mergeCell ref="A243:W243"/>
    <mergeCell ref="A250:W250"/>
    <mergeCell ref="A244:W244"/>
    <mergeCell ref="A245:W245"/>
    <mergeCell ref="A246:W246"/>
    <mergeCell ref="A247:W247"/>
    <mergeCell ref="A264:W264"/>
    <mergeCell ref="A256:W256"/>
    <mergeCell ref="A257:W257"/>
    <mergeCell ref="A258:W258"/>
    <mergeCell ref="A259:W259"/>
    <mergeCell ref="A261:W261"/>
    <mergeCell ref="A219:W219"/>
    <mergeCell ref="A226:W226"/>
    <mergeCell ref="A220:W220"/>
    <mergeCell ref="A221:W221"/>
    <mergeCell ref="A222:W222"/>
    <mergeCell ref="A223:W223"/>
    <mergeCell ref="A240:W240"/>
    <mergeCell ref="A232:W232"/>
    <mergeCell ref="A233:W233"/>
    <mergeCell ref="A234:W234"/>
    <mergeCell ref="A131:W131"/>
    <mergeCell ref="A132:W132"/>
    <mergeCell ref="A133:W133"/>
    <mergeCell ref="A134:W134"/>
    <mergeCell ref="A152:W152"/>
    <mergeCell ref="A153:W153"/>
    <mergeCell ref="A135:W135"/>
    <mergeCell ref="A142:W142"/>
    <mergeCell ref="A140:W140"/>
    <mergeCell ref="A143:W143"/>
    <mergeCell ref="A187:W187"/>
    <mergeCell ref="A189:W189"/>
    <mergeCell ref="A193:W193"/>
    <mergeCell ref="A194:W194"/>
    <mergeCell ref="A195:W195"/>
    <mergeCell ref="A202:W202"/>
    <mergeCell ref="A196:W196"/>
    <mergeCell ref="A197:W197"/>
    <mergeCell ref="A198:W198"/>
    <mergeCell ref="A199:W199"/>
    <mergeCell ref="A144:W144"/>
    <mergeCell ref="A136:W136"/>
    <mergeCell ref="A137:W137"/>
    <mergeCell ref="A138:W138"/>
    <mergeCell ref="A139:W139"/>
    <mergeCell ref="A141:W141"/>
    <mergeCell ref="A145:W145"/>
    <mergeCell ref="A146:W146"/>
    <mergeCell ref="A147:W147"/>
    <mergeCell ref="A154:W154"/>
    <mergeCell ref="A148:W148"/>
    <mergeCell ref="A149:W149"/>
    <mergeCell ref="A150:W150"/>
    <mergeCell ref="A151:W151"/>
    <mergeCell ref="A168:W168"/>
    <mergeCell ref="A160:W160"/>
    <mergeCell ref="A161:W161"/>
    <mergeCell ref="A162:W162"/>
    <mergeCell ref="A163:W163"/>
    <mergeCell ref="A165:W165"/>
    <mergeCell ref="A96:W96"/>
    <mergeCell ref="A97:W97"/>
    <mergeCell ref="A98:W98"/>
    <mergeCell ref="A99:W99"/>
    <mergeCell ref="A106:W106"/>
    <mergeCell ref="A107:W107"/>
    <mergeCell ref="A100:W100"/>
    <mergeCell ref="A101:W101"/>
    <mergeCell ref="A102:W102"/>
    <mergeCell ref="A103:W103"/>
    <mergeCell ref="A104:W104"/>
    <mergeCell ref="A105:W105"/>
    <mergeCell ref="A112:W112"/>
    <mergeCell ref="A113:W113"/>
    <mergeCell ref="A114:W114"/>
    <mergeCell ref="A115:W115"/>
    <mergeCell ref="A108:W108"/>
    <mergeCell ref="A109:W109"/>
    <mergeCell ref="A110:W110"/>
    <mergeCell ref="A111:W111"/>
    <mergeCell ref="A118:W118"/>
    <mergeCell ref="A116:W116"/>
    <mergeCell ref="A119:W119"/>
    <mergeCell ref="A120:W120"/>
    <mergeCell ref="A89:W89"/>
    <mergeCell ref="A90:W90"/>
    <mergeCell ref="A91:W91"/>
    <mergeCell ref="A84:W84"/>
    <mergeCell ref="A85:W85"/>
    <mergeCell ref="A86:W86"/>
    <mergeCell ref="A87:W87"/>
    <mergeCell ref="R67:T67"/>
    <mergeCell ref="R68:T68"/>
    <mergeCell ref="R69:T69"/>
    <mergeCell ref="A72:W72"/>
    <mergeCell ref="A73:W73"/>
    <mergeCell ref="A74:W74"/>
    <mergeCell ref="A75:W75"/>
    <mergeCell ref="A82:W82"/>
    <mergeCell ref="A80:W80"/>
    <mergeCell ref="A81:W81"/>
    <mergeCell ref="A83:W83"/>
    <mergeCell ref="A76:W76"/>
    <mergeCell ref="A77:W77"/>
    <mergeCell ref="A78:W78"/>
    <mergeCell ref="A79:W79"/>
    <mergeCell ref="U69:W69"/>
    <mergeCell ref="U70:W70"/>
    <mergeCell ref="A71:W71"/>
    <mergeCell ref="A95:W95"/>
    <mergeCell ref="A92:W92"/>
    <mergeCell ref="A93:W93"/>
    <mergeCell ref="D961:W961"/>
    <mergeCell ref="B953:W953"/>
    <mergeCell ref="B954:W954"/>
    <mergeCell ref="B955:W955"/>
    <mergeCell ref="B956:W956"/>
    <mergeCell ref="D958:W958"/>
    <mergeCell ref="D959:W959"/>
    <mergeCell ref="D960:W960"/>
    <mergeCell ref="A59:W59"/>
    <mergeCell ref="U880:W880"/>
    <mergeCell ref="B888:W888"/>
    <mergeCell ref="B889:W889"/>
    <mergeCell ref="B890:W890"/>
    <mergeCell ref="B891:W891"/>
    <mergeCell ref="U431:W431"/>
    <mergeCell ref="U434:W434"/>
    <mergeCell ref="U426:W426"/>
    <mergeCell ref="A418:T418"/>
    <mergeCell ref="D433:T433"/>
    <mergeCell ref="D434:T434"/>
    <mergeCell ref="C436:T436"/>
    <mergeCell ref="U425:W425"/>
    <mergeCell ref="U436:W436"/>
    <mergeCell ref="U427:W427"/>
    <mergeCell ref="U428:W428"/>
    <mergeCell ref="D939:W939"/>
    <mergeCell ref="D929:W929"/>
    <mergeCell ref="D930:W930"/>
    <mergeCell ref="A88:W88"/>
    <mergeCell ref="D931:W931"/>
    <mergeCell ref="D932:W932"/>
    <mergeCell ref="U64:W64"/>
    <mergeCell ref="U65:W65"/>
    <mergeCell ref="A53:W53"/>
    <mergeCell ref="R54:T54"/>
    <mergeCell ref="U54:W54"/>
    <mergeCell ref="R62:T62"/>
    <mergeCell ref="B909:W909"/>
    <mergeCell ref="B910:W910"/>
    <mergeCell ref="D919:W919"/>
    <mergeCell ref="B915:W915"/>
    <mergeCell ref="D917:W917"/>
    <mergeCell ref="D918:W918"/>
    <mergeCell ref="U420:W420"/>
    <mergeCell ref="U421:W421"/>
    <mergeCell ref="U422:W422"/>
    <mergeCell ref="U423:W423"/>
    <mergeCell ref="U424:W424"/>
    <mergeCell ref="U437:W437"/>
    <mergeCell ref="U438:W438"/>
    <mergeCell ref="U439:W439"/>
    <mergeCell ref="R63:T63"/>
    <mergeCell ref="R64:T64"/>
    <mergeCell ref="R65:T65"/>
    <mergeCell ref="R70:T70"/>
    <mergeCell ref="U61:W61"/>
    <mergeCell ref="U62:W62"/>
    <mergeCell ref="U63:W63"/>
    <mergeCell ref="U66:W66"/>
    <mergeCell ref="U67:W67"/>
    <mergeCell ref="U68:W68"/>
    <mergeCell ref="A44:W44"/>
    <mergeCell ref="R58:T58"/>
    <mergeCell ref="U55:W55"/>
    <mergeCell ref="R56:T56"/>
    <mergeCell ref="R57:T57"/>
    <mergeCell ref="A414:W414"/>
    <mergeCell ref="U452:W452"/>
    <mergeCell ref="A52:W52"/>
    <mergeCell ref="A908:W908"/>
    <mergeCell ref="U56:W56"/>
    <mergeCell ref="U57:W57"/>
    <mergeCell ref="U58:W58"/>
    <mergeCell ref="R60:T60"/>
    <mergeCell ref="U60:W60"/>
    <mergeCell ref="R61:T61"/>
    <mergeCell ref="U450:W450"/>
    <mergeCell ref="U451:W451"/>
    <mergeCell ref="U449:W449"/>
    <mergeCell ref="B45:T45"/>
    <mergeCell ref="B46:T46"/>
    <mergeCell ref="B47:T47"/>
    <mergeCell ref="B48:T48"/>
    <mergeCell ref="U432:W432"/>
    <mergeCell ref="U433:W433"/>
    <mergeCell ref="A904:X904"/>
    <mergeCell ref="D897:W897"/>
    <mergeCell ref="C898:W898"/>
    <mergeCell ref="B899:W899"/>
    <mergeCell ref="B901:W901"/>
    <mergeCell ref="B49:T49"/>
    <mergeCell ref="B50:T50"/>
    <mergeCell ref="A94:W94"/>
    <mergeCell ref="A26:W26"/>
    <mergeCell ref="A27:W27"/>
    <mergeCell ref="A28:W28"/>
    <mergeCell ref="B916:W916"/>
    <mergeCell ref="A29:W29"/>
    <mergeCell ref="A30:W30"/>
    <mergeCell ref="A31:W31"/>
    <mergeCell ref="A32:W32"/>
    <mergeCell ref="A33:W33"/>
    <mergeCell ref="A34:W34"/>
    <mergeCell ref="A38:W38"/>
    <mergeCell ref="A39:W39"/>
    <mergeCell ref="A40:W40"/>
    <mergeCell ref="A41:W41"/>
    <mergeCell ref="A42:W42"/>
    <mergeCell ref="A43:W43"/>
    <mergeCell ref="A415:W415"/>
    <mergeCell ref="U45:W45"/>
    <mergeCell ref="U46:W46"/>
    <mergeCell ref="A907:W907"/>
    <mergeCell ref="U48:W48"/>
    <mergeCell ref="U49:W49"/>
    <mergeCell ref="U50:W50"/>
    <mergeCell ref="U51:W51"/>
    <mergeCell ref="A905:W905"/>
    <mergeCell ref="A906:W906"/>
    <mergeCell ref="A35:W35"/>
    <mergeCell ref="A36:W36"/>
    <mergeCell ref="A37:W37"/>
    <mergeCell ref="U47:W47"/>
    <mergeCell ref="R55:T55"/>
    <mergeCell ref="R66:T66"/>
    <mergeCell ref="A8:W8"/>
    <mergeCell ref="A9:W9"/>
    <mergeCell ref="A10:W10"/>
    <mergeCell ref="B950:W950"/>
    <mergeCell ref="B951:W951"/>
    <mergeCell ref="B952:W952"/>
    <mergeCell ref="A909:A961"/>
    <mergeCell ref="A416:T416"/>
    <mergeCell ref="D946:W946"/>
    <mergeCell ref="D935:W935"/>
    <mergeCell ref="A2:W2"/>
    <mergeCell ref="A3:W3"/>
    <mergeCell ref="A4:W4"/>
    <mergeCell ref="A5:W5"/>
    <mergeCell ref="A6:W6"/>
    <mergeCell ref="A7:W7"/>
    <mergeCell ref="A11:W11"/>
    <mergeCell ref="A12:W12"/>
    <mergeCell ref="A13:W13"/>
    <mergeCell ref="A14:W14"/>
    <mergeCell ref="D925:W925"/>
    <mergeCell ref="A15:W15"/>
    <mergeCell ref="A16:W16"/>
    <mergeCell ref="A17:W17"/>
    <mergeCell ref="A18:W18"/>
    <mergeCell ref="A19:W19"/>
    <mergeCell ref="A20:W20"/>
    <mergeCell ref="A21:W21"/>
    <mergeCell ref="A22:W22"/>
    <mergeCell ref="A23:W23"/>
    <mergeCell ref="A24:W24"/>
    <mergeCell ref="B51:T51"/>
    <mergeCell ref="A25:W25"/>
    <mergeCell ref="U460:W460"/>
    <mergeCell ref="U461:W461"/>
    <mergeCell ref="U462:W462"/>
    <mergeCell ref="U463:W463"/>
    <mergeCell ref="U464:W464"/>
    <mergeCell ref="U453:W453"/>
    <mergeCell ref="U454:W454"/>
    <mergeCell ref="U455:W455"/>
    <mergeCell ref="U456:W456"/>
    <mergeCell ref="U457:W457"/>
    <mergeCell ref="U458:W458"/>
    <mergeCell ref="B957:C961"/>
    <mergeCell ref="B949:W949"/>
    <mergeCell ref="U770:W770"/>
    <mergeCell ref="S773:T773"/>
    <mergeCell ref="A769:W769"/>
    <mergeCell ref="A798:A813"/>
    <mergeCell ref="A770:R770"/>
    <mergeCell ref="A870:W870"/>
    <mergeCell ref="A871:W871"/>
    <mergeCell ref="D936:W936"/>
    <mergeCell ref="D937:W937"/>
    <mergeCell ref="D938:W938"/>
    <mergeCell ref="D957:W957"/>
    <mergeCell ref="B892:B898"/>
    <mergeCell ref="B900:W900"/>
    <mergeCell ref="B902:W902"/>
    <mergeCell ref="B903:W903"/>
    <mergeCell ref="B912:C914"/>
    <mergeCell ref="B917:C948"/>
    <mergeCell ref="B911:W911"/>
    <mergeCell ref="U489:W489"/>
    <mergeCell ref="U490:W490"/>
    <mergeCell ref="U471:W471"/>
    <mergeCell ref="U472:W472"/>
    <mergeCell ref="U478:W478"/>
    <mergeCell ref="U479:W479"/>
    <mergeCell ref="U480:W480"/>
    <mergeCell ref="U481:W481"/>
    <mergeCell ref="U477:W477"/>
    <mergeCell ref="U522:W522"/>
    <mergeCell ref="U523:W523"/>
    <mergeCell ref="U536:W536"/>
    <mergeCell ref="U533:W533"/>
    <mergeCell ref="U534:W534"/>
    <mergeCell ref="U535:W535"/>
    <mergeCell ref="U516:W516"/>
    <mergeCell ref="U517:W517"/>
    <mergeCell ref="U519:W519"/>
    <mergeCell ref="U520:W520"/>
    <mergeCell ref="U521:W521"/>
    <mergeCell ref="U518:W518"/>
    <mergeCell ref="U510:W510"/>
    <mergeCell ref="U511:W511"/>
    <mergeCell ref="U515:W515"/>
    <mergeCell ref="U512:W512"/>
    <mergeCell ref="U513:W513"/>
    <mergeCell ref="U514:W514"/>
    <mergeCell ref="U465:W465"/>
    <mergeCell ref="U466:W466"/>
    <mergeCell ref="U467:W467"/>
    <mergeCell ref="U468:W468"/>
    <mergeCell ref="U469:W469"/>
    <mergeCell ref="U470:W470"/>
    <mergeCell ref="U504:W504"/>
    <mergeCell ref="U505:W505"/>
    <mergeCell ref="U507:W507"/>
    <mergeCell ref="U508:W508"/>
    <mergeCell ref="U509:W509"/>
    <mergeCell ref="U506:W506"/>
    <mergeCell ref="U498:W498"/>
    <mergeCell ref="U499:W499"/>
    <mergeCell ref="U503:W503"/>
    <mergeCell ref="U500:W500"/>
    <mergeCell ref="U501:W501"/>
    <mergeCell ref="U502:W502"/>
    <mergeCell ref="U491:W491"/>
    <mergeCell ref="U492:W492"/>
    <mergeCell ref="U493:W493"/>
    <mergeCell ref="U495:W495"/>
    <mergeCell ref="U496:W496"/>
    <mergeCell ref="U497:W497"/>
    <mergeCell ref="U494:W494"/>
    <mergeCell ref="U482:W482"/>
    <mergeCell ref="U483:W483"/>
    <mergeCell ref="U484:W484"/>
    <mergeCell ref="U485:W485"/>
    <mergeCell ref="U486:W486"/>
    <mergeCell ref="U487:W487"/>
    <mergeCell ref="U488:W488"/>
    <mergeCell ref="U549:W549"/>
    <mergeCell ref="U550:W550"/>
    <mergeCell ref="U552:W552"/>
    <mergeCell ref="U553:W553"/>
    <mergeCell ref="U554:W554"/>
    <mergeCell ref="U551:W551"/>
    <mergeCell ref="U543:W543"/>
    <mergeCell ref="U544:W544"/>
    <mergeCell ref="U548:W548"/>
    <mergeCell ref="U545:W545"/>
    <mergeCell ref="U546:W546"/>
    <mergeCell ref="U547:W547"/>
    <mergeCell ref="U537:W537"/>
    <mergeCell ref="U538:W538"/>
    <mergeCell ref="U540:W540"/>
    <mergeCell ref="U541:W541"/>
    <mergeCell ref="U542:W542"/>
    <mergeCell ref="U539:W539"/>
    <mergeCell ref="U567:W567"/>
    <mergeCell ref="U568:W568"/>
    <mergeCell ref="U572:W572"/>
    <mergeCell ref="U569:W569"/>
    <mergeCell ref="U570:W570"/>
    <mergeCell ref="U571:W571"/>
    <mergeCell ref="U561:W561"/>
    <mergeCell ref="U562:W562"/>
    <mergeCell ref="U564:W564"/>
    <mergeCell ref="U565:W565"/>
    <mergeCell ref="U566:W566"/>
    <mergeCell ref="U563:W563"/>
    <mergeCell ref="U555:W555"/>
    <mergeCell ref="U556:W556"/>
    <mergeCell ref="U560:W560"/>
    <mergeCell ref="U557:W557"/>
    <mergeCell ref="U558:W558"/>
    <mergeCell ref="U559:W559"/>
    <mergeCell ref="U585:W585"/>
    <mergeCell ref="U589:W589"/>
    <mergeCell ref="U591:W591"/>
    <mergeCell ref="U592:W592"/>
    <mergeCell ref="U593:W593"/>
    <mergeCell ref="U590:W590"/>
    <mergeCell ref="U579:W579"/>
    <mergeCell ref="U580:W580"/>
    <mergeCell ref="U584:W584"/>
    <mergeCell ref="U581:W581"/>
    <mergeCell ref="U582:W582"/>
    <mergeCell ref="U583:W583"/>
    <mergeCell ref="U573:W573"/>
    <mergeCell ref="U574:W574"/>
    <mergeCell ref="U576:W576"/>
    <mergeCell ref="U577:W577"/>
    <mergeCell ref="U578:W578"/>
    <mergeCell ref="U575:W575"/>
    <mergeCell ref="U607:W607"/>
    <mergeCell ref="U611:W611"/>
    <mergeCell ref="U608:W608"/>
    <mergeCell ref="U609:W609"/>
    <mergeCell ref="U610:W610"/>
    <mergeCell ref="U612:W612"/>
    <mergeCell ref="U601:W601"/>
    <mergeCell ref="U603:W603"/>
    <mergeCell ref="U604:W604"/>
    <mergeCell ref="U605:W605"/>
    <mergeCell ref="U606:W606"/>
    <mergeCell ref="U602:W602"/>
    <mergeCell ref="U595:W595"/>
    <mergeCell ref="U596:W596"/>
    <mergeCell ref="U600:W600"/>
    <mergeCell ref="U597:W597"/>
    <mergeCell ref="U598:W598"/>
    <mergeCell ref="U599:W599"/>
    <mergeCell ref="U625:W625"/>
    <mergeCell ref="U627:W627"/>
    <mergeCell ref="U628:W628"/>
    <mergeCell ref="U629:W629"/>
    <mergeCell ref="U626:W626"/>
    <mergeCell ref="U630:W630"/>
    <mergeCell ref="U619:W619"/>
    <mergeCell ref="U623:W623"/>
    <mergeCell ref="U620:W620"/>
    <mergeCell ref="U621:W621"/>
    <mergeCell ref="U622:W622"/>
    <mergeCell ref="U624:W624"/>
    <mergeCell ref="U613:W613"/>
    <mergeCell ref="U615:W615"/>
    <mergeCell ref="U616:W616"/>
    <mergeCell ref="U617:W617"/>
    <mergeCell ref="U614:W614"/>
    <mergeCell ref="U618:W618"/>
    <mergeCell ref="R691:T691"/>
    <mergeCell ref="B691:Q691"/>
    <mergeCell ref="U652:W652"/>
    <mergeCell ref="U653:W653"/>
    <mergeCell ref="U658:W658"/>
    <mergeCell ref="U654:W654"/>
    <mergeCell ref="U655:W655"/>
    <mergeCell ref="U656:W656"/>
    <mergeCell ref="U646:W646"/>
    <mergeCell ref="U649:W649"/>
    <mergeCell ref="U650:W650"/>
    <mergeCell ref="U651:W651"/>
    <mergeCell ref="U647:W647"/>
    <mergeCell ref="U648:W648"/>
    <mergeCell ref="U631:W631"/>
    <mergeCell ref="U635:W635"/>
    <mergeCell ref="U632:W632"/>
    <mergeCell ref="U633:W633"/>
    <mergeCell ref="U634:W634"/>
    <mergeCell ref="U645:W645"/>
    <mergeCell ref="B662:T662"/>
    <mergeCell ref="B703:Q703"/>
    <mergeCell ref="B704:Q704"/>
    <mergeCell ref="B659:T659"/>
    <mergeCell ref="B660:T660"/>
    <mergeCell ref="B658:T658"/>
    <mergeCell ref="B701:Q701"/>
    <mergeCell ref="B702:Q702"/>
    <mergeCell ref="B697:Q697"/>
    <mergeCell ref="B698:Q698"/>
    <mergeCell ref="B693:Q693"/>
    <mergeCell ref="B694:Q694"/>
    <mergeCell ref="B695:Q695"/>
    <mergeCell ref="B705:Q705"/>
    <mergeCell ref="B696:Q696"/>
    <mergeCell ref="B700:Q700"/>
    <mergeCell ref="U704:W704"/>
    <mergeCell ref="U705:W705"/>
    <mergeCell ref="U701:W701"/>
    <mergeCell ref="R699:T699"/>
    <mergeCell ref="R700:T700"/>
    <mergeCell ref="R701:T701"/>
    <mergeCell ref="R704:T704"/>
    <mergeCell ref="R703:T703"/>
    <mergeCell ref="R702:T702"/>
    <mergeCell ref="R705:T705"/>
    <mergeCell ref="U659:W659"/>
    <mergeCell ref="B661:T661"/>
    <mergeCell ref="R697:T697"/>
    <mergeCell ref="U702:W702"/>
    <mergeCell ref="R698:T698"/>
    <mergeCell ref="U660:W660"/>
    <mergeCell ref="U661:W661"/>
    <mergeCell ref="R694:T694"/>
    <mergeCell ref="C464:T464"/>
    <mergeCell ref="C455:C458"/>
    <mergeCell ref="U416:W416"/>
    <mergeCell ref="B699:Q699"/>
    <mergeCell ref="D457:T457"/>
    <mergeCell ref="D463:T463"/>
    <mergeCell ref="D492:T492"/>
    <mergeCell ref="D482:T482"/>
    <mergeCell ref="C450:T450"/>
    <mergeCell ref="D502:T502"/>
    <mergeCell ref="A657:T657"/>
    <mergeCell ref="A689:W689"/>
    <mergeCell ref="A690:W690"/>
    <mergeCell ref="U697:W697"/>
    <mergeCell ref="D456:T456"/>
    <mergeCell ref="D486:T486"/>
    <mergeCell ref="C491:T491"/>
    <mergeCell ref="A658:A663"/>
    <mergeCell ref="R696:T696"/>
    <mergeCell ref="R693:T693"/>
    <mergeCell ref="U694:W694"/>
    <mergeCell ref="U696:W696"/>
    <mergeCell ref="U693:W693"/>
    <mergeCell ref="U662:W662"/>
    <mergeCell ref="U663:W663"/>
    <mergeCell ref="U665:W665"/>
    <mergeCell ref="U691:W691"/>
    <mergeCell ref="U695:W695"/>
    <mergeCell ref="B663:T663"/>
    <mergeCell ref="A692:W692"/>
    <mergeCell ref="R695:T695"/>
    <mergeCell ref="D500:T500"/>
    <mergeCell ref="D501:T501"/>
    <mergeCell ref="D497:T497"/>
    <mergeCell ref="D490:T490"/>
    <mergeCell ref="C460:T460"/>
    <mergeCell ref="D480:T480"/>
    <mergeCell ref="A477:T477"/>
    <mergeCell ref="D439:T439"/>
    <mergeCell ref="D440:T440"/>
    <mergeCell ref="C441:T441"/>
    <mergeCell ref="D442:T442"/>
    <mergeCell ref="D458:T458"/>
    <mergeCell ref="D449:T449"/>
    <mergeCell ref="C451:C453"/>
    <mergeCell ref="D451:T451"/>
    <mergeCell ref="D452:T452"/>
    <mergeCell ref="D453:T453"/>
    <mergeCell ref="C454:T454"/>
    <mergeCell ref="D455:T455"/>
    <mergeCell ref="D472:T472"/>
    <mergeCell ref="D465:T465"/>
    <mergeCell ref="D466:T466"/>
    <mergeCell ref="D467:T467"/>
    <mergeCell ref="D469:T469"/>
    <mergeCell ref="C469:C472"/>
    <mergeCell ref="B468:B472"/>
    <mergeCell ref="C480:C482"/>
    <mergeCell ref="D461:T461"/>
    <mergeCell ref="D470:T470"/>
    <mergeCell ref="D471:T471"/>
    <mergeCell ref="C461:C463"/>
    <mergeCell ref="B479:B503"/>
    <mergeCell ref="C487:T487"/>
    <mergeCell ref="D481:T481"/>
    <mergeCell ref="C496:C498"/>
    <mergeCell ref="C492:C494"/>
    <mergeCell ref="D462:T462"/>
    <mergeCell ref="C468:T468"/>
    <mergeCell ref="C479:T479"/>
    <mergeCell ref="D489:T489"/>
    <mergeCell ref="D484:T484"/>
    <mergeCell ref="B478:T478"/>
    <mergeCell ref="C483:T483"/>
    <mergeCell ref="B460:B463"/>
    <mergeCell ref="B465:C467"/>
    <mergeCell ref="D503:T503"/>
    <mergeCell ref="A588:T588"/>
    <mergeCell ref="B653:T653"/>
    <mergeCell ref="B646:T646"/>
    <mergeCell ref="B634:C635"/>
    <mergeCell ref="A646:A656"/>
    <mergeCell ref="B649:T649"/>
    <mergeCell ref="D654:T654"/>
    <mergeCell ref="D655:T655"/>
    <mergeCell ref="D656:T656"/>
    <mergeCell ref="D485:T485"/>
    <mergeCell ref="D507:T507"/>
    <mergeCell ref="C510:T510"/>
    <mergeCell ref="C488:C490"/>
    <mergeCell ref="B504:T504"/>
    <mergeCell ref="C506:C508"/>
    <mergeCell ref="D488:T488"/>
    <mergeCell ref="D508:T508"/>
    <mergeCell ref="C495:T495"/>
    <mergeCell ref="D496:T496"/>
    <mergeCell ref="C484:C486"/>
    <mergeCell ref="D518:T518"/>
    <mergeCell ref="D631:T631"/>
    <mergeCell ref="D632:T632"/>
    <mergeCell ref="D634:T634"/>
    <mergeCell ref="D635:T635"/>
    <mergeCell ref="D629:T629"/>
    <mergeCell ref="D615:T615"/>
    <mergeCell ref="B648:T648"/>
    <mergeCell ref="A645:T645"/>
    <mergeCell ref="D630:T630"/>
    <mergeCell ref="B613:T613"/>
    <mergeCell ref="D614:T614"/>
    <mergeCell ref="B650:T650"/>
    <mergeCell ref="D616:T616"/>
    <mergeCell ref="D617:T617"/>
    <mergeCell ref="D618:T618"/>
    <mergeCell ref="B614:C622"/>
    <mergeCell ref="A644:T644"/>
    <mergeCell ref="B589:T589"/>
    <mergeCell ref="B515:B523"/>
    <mergeCell ref="C516:C518"/>
    <mergeCell ref="C520:C523"/>
    <mergeCell ref="D516:T516"/>
    <mergeCell ref="D619:T619"/>
    <mergeCell ref="D620:T620"/>
    <mergeCell ref="D621:T621"/>
    <mergeCell ref="D607:T607"/>
    <mergeCell ref="D601:T601"/>
    <mergeCell ref="D602:T602"/>
    <mergeCell ref="D603:T603"/>
    <mergeCell ref="D604:T604"/>
    <mergeCell ref="D605:T605"/>
    <mergeCell ref="B654:C656"/>
    <mergeCell ref="B647:T647"/>
    <mergeCell ref="D622:T622"/>
    <mergeCell ref="B623:T623"/>
    <mergeCell ref="D624:T624"/>
    <mergeCell ref="B624:C632"/>
    <mergeCell ref="D625:T625"/>
    <mergeCell ref="D626:T626"/>
    <mergeCell ref="D627:T627"/>
    <mergeCell ref="D628:T628"/>
    <mergeCell ref="B651:T651"/>
    <mergeCell ref="B652:T652"/>
    <mergeCell ref="B505:B508"/>
    <mergeCell ref="D493:T493"/>
    <mergeCell ref="D494:T494"/>
    <mergeCell ref="D498:T498"/>
    <mergeCell ref="C499:T499"/>
    <mergeCell ref="C515:T515"/>
    <mergeCell ref="C500:C503"/>
    <mergeCell ref="C505:T505"/>
    <mergeCell ref="D513:T513"/>
    <mergeCell ref="D506:T506"/>
    <mergeCell ref="D591:T591"/>
    <mergeCell ref="D592:T592"/>
    <mergeCell ref="D593:T593"/>
    <mergeCell ref="C590:T590"/>
    <mergeCell ref="A594:T594"/>
    <mergeCell ref="B633:T633"/>
    <mergeCell ref="B590:B593"/>
    <mergeCell ref="C591:C593"/>
    <mergeCell ref="A595:A635"/>
    <mergeCell ref="B596:C612"/>
    <mergeCell ref="D606:T606"/>
    <mergeCell ref="B595:T595"/>
    <mergeCell ref="D596:T596"/>
    <mergeCell ref="D597:T597"/>
    <mergeCell ref="D598:T598"/>
    <mergeCell ref="D599:T599"/>
    <mergeCell ref="D600:T600"/>
    <mergeCell ref="D608:T608"/>
    <mergeCell ref="D609:T609"/>
    <mergeCell ref="D610:T610"/>
    <mergeCell ref="D611:T611"/>
    <mergeCell ref="D612:T612"/>
    <mergeCell ref="C579:C581"/>
    <mergeCell ref="C583:C585"/>
    <mergeCell ref="D559:T559"/>
    <mergeCell ref="D560:T560"/>
    <mergeCell ref="D561:T561"/>
    <mergeCell ref="D562:T562"/>
    <mergeCell ref="C558:C567"/>
    <mergeCell ref="D563:T563"/>
    <mergeCell ref="D564:T564"/>
    <mergeCell ref="D565:T565"/>
    <mergeCell ref="D579:T579"/>
    <mergeCell ref="D580:T580"/>
    <mergeCell ref="C568:T568"/>
    <mergeCell ref="C570:T570"/>
    <mergeCell ref="C571:T571"/>
    <mergeCell ref="C572:T572"/>
    <mergeCell ref="C573:T573"/>
    <mergeCell ref="C574:T574"/>
    <mergeCell ref="B569:T569"/>
    <mergeCell ref="B570:B585"/>
    <mergeCell ref="D581:T581"/>
    <mergeCell ref="C582:T582"/>
    <mergeCell ref="D583:T583"/>
    <mergeCell ref="D584:T584"/>
    <mergeCell ref="D585:T585"/>
    <mergeCell ref="C575:T575"/>
    <mergeCell ref="C576:T576"/>
    <mergeCell ref="C577:T577"/>
    <mergeCell ref="C578:T578"/>
    <mergeCell ref="C537:T537"/>
    <mergeCell ref="D538:T538"/>
    <mergeCell ref="B533:T533"/>
    <mergeCell ref="B514:T514"/>
    <mergeCell ref="B510:B513"/>
    <mergeCell ref="C511:C513"/>
    <mergeCell ref="D521:T521"/>
    <mergeCell ref="B509:T509"/>
    <mergeCell ref="D522:T522"/>
    <mergeCell ref="D520:T520"/>
    <mergeCell ref="D511:T511"/>
    <mergeCell ref="D512:T512"/>
    <mergeCell ref="B534:B568"/>
    <mergeCell ref="D539:T539"/>
    <mergeCell ref="D542:T542"/>
    <mergeCell ref="D543:T543"/>
    <mergeCell ref="D540:T540"/>
    <mergeCell ref="D553:T553"/>
    <mergeCell ref="D554:T554"/>
    <mergeCell ref="D555:T555"/>
    <mergeCell ref="D556:T556"/>
    <mergeCell ref="D544:T544"/>
    <mergeCell ref="D566:T566"/>
    <mergeCell ref="D567:T567"/>
    <mergeCell ref="C557:T557"/>
    <mergeCell ref="C546:T546"/>
    <mergeCell ref="D547:T547"/>
    <mergeCell ref="D548:T548"/>
    <mergeCell ref="D549:T549"/>
    <mergeCell ref="D558:T558"/>
    <mergeCell ref="A531:T531"/>
    <mergeCell ref="D517:T517"/>
    <mergeCell ref="R727:T727"/>
    <mergeCell ref="R728:T728"/>
    <mergeCell ref="R729:T729"/>
    <mergeCell ref="R730:T730"/>
    <mergeCell ref="U723:W723"/>
    <mergeCell ref="U430:W430"/>
    <mergeCell ref="U594:W594"/>
    <mergeCell ref="U531:W531"/>
    <mergeCell ref="U588:W588"/>
    <mergeCell ref="U644:W644"/>
    <mergeCell ref="U703:W703"/>
    <mergeCell ref="U698:W698"/>
    <mergeCell ref="U699:W699"/>
    <mergeCell ref="U700:W700"/>
    <mergeCell ref="U657:W657"/>
    <mergeCell ref="U727:W727"/>
    <mergeCell ref="U728:W728"/>
    <mergeCell ref="C534:T534"/>
    <mergeCell ref="D545:T545"/>
    <mergeCell ref="D550:T550"/>
    <mergeCell ref="C547:C556"/>
    <mergeCell ref="U724:W724"/>
    <mergeCell ref="D551:T551"/>
    <mergeCell ref="D552:T552"/>
    <mergeCell ref="D541:T541"/>
    <mergeCell ref="U725:W725"/>
    <mergeCell ref="U726:W726"/>
    <mergeCell ref="C535:T535"/>
    <mergeCell ref="C538:C545"/>
    <mergeCell ref="C519:T519"/>
    <mergeCell ref="D523:T523"/>
    <mergeCell ref="C536:T536"/>
    <mergeCell ref="B730:Q730"/>
    <mergeCell ref="C723:Q723"/>
    <mergeCell ref="C724:Q724"/>
    <mergeCell ref="C725:Q725"/>
    <mergeCell ref="C726:Q726"/>
    <mergeCell ref="C727:Q727"/>
    <mergeCell ref="C728:Q728"/>
    <mergeCell ref="C729:Q729"/>
    <mergeCell ref="A723:B729"/>
    <mergeCell ref="R735:T735"/>
    <mergeCell ref="R736:T736"/>
    <mergeCell ref="R737:T737"/>
    <mergeCell ref="A718:W718"/>
    <mergeCell ref="A719:W719"/>
    <mergeCell ref="B720:Q720"/>
    <mergeCell ref="R720:T720"/>
    <mergeCell ref="U720:W720"/>
    <mergeCell ref="B722:W722"/>
    <mergeCell ref="U729:W729"/>
    <mergeCell ref="U732:W732"/>
    <mergeCell ref="U733:W733"/>
    <mergeCell ref="U734:W734"/>
    <mergeCell ref="U735:W735"/>
    <mergeCell ref="U736:W736"/>
    <mergeCell ref="U737:W737"/>
    <mergeCell ref="R732:T732"/>
    <mergeCell ref="R733:T733"/>
    <mergeCell ref="U730:W730"/>
    <mergeCell ref="R723:T723"/>
    <mergeCell ref="R724:T724"/>
    <mergeCell ref="R725:T725"/>
    <mergeCell ref="R726:T726"/>
    <mergeCell ref="A732:B738"/>
    <mergeCell ref="C735:Q735"/>
    <mergeCell ref="C736:Q736"/>
    <mergeCell ref="U738:W738"/>
    <mergeCell ref="U739:W739"/>
    <mergeCell ref="S782:T782"/>
    <mergeCell ref="A772:R772"/>
    <mergeCell ref="U782:W782"/>
    <mergeCell ref="S772:W772"/>
    <mergeCell ref="A766:W766"/>
    <mergeCell ref="A767:W767"/>
    <mergeCell ref="A768:W768"/>
    <mergeCell ref="B731:W731"/>
    <mergeCell ref="C732:Q732"/>
    <mergeCell ref="C733:Q733"/>
    <mergeCell ref="C734:Q734"/>
    <mergeCell ref="C737:Q737"/>
    <mergeCell ref="C738:Q738"/>
    <mergeCell ref="B739:Q739"/>
    <mergeCell ref="R734:T734"/>
    <mergeCell ref="R738:T738"/>
    <mergeCell ref="R739:T739"/>
    <mergeCell ref="S770:T770"/>
    <mergeCell ref="U773:W773"/>
    <mergeCell ref="U777:W777"/>
    <mergeCell ref="U778:W778"/>
    <mergeCell ref="U779:W779"/>
    <mergeCell ref="U780:W780"/>
    <mergeCell ref="U781:W781"/>
    <mergeCell ref="S778:T778"/>
    <mergeCell ref="S779:T779"/>
    <mergeCell ref="S780:T780"/>
    <mergeCell ref="S805:T805"/>
    <mergeCell ref="S806:T806"/>
    <mergeCell ref="S807:T807"/>
    <mergeCell ref="S795:T795"/>
    <mergeCell ref="S797:T797"/>
    <mergeCell ref="S798:T798"/>
    <mergeCell ref="S799:T799"/>
    <mergeCell ref="S800:T800"/>
    <mergeCell ref="S801:T801"/>
    <mergeCell ref="S789:T789"/>
    <mergeCell ref="S790:T790"/>
    <mergeCell ref="S791:T791"/>
    <mergeCell ref="S792:T792"/>
    <mergeCell ref="S793:T793"/>
    <mergeCell ref="S794:T794"/>
    <mergeCell ref="A869:W869"/>
    <mergeCell ref="S774:T774"/>
    <mergeCell ref="S775:T775"/>
    <mergeCell ref="S776:T776"/>
    <mergeCell ref="S777:T777"/>
    <mergeCell ref="S783:T783"/>
    <mergeCell ref="S784:T784"/>
    <mergeCell ref="S785:T785"/>
    <mergeCell ref="S786:T786"/>
    <mergeCell ref="S788:T788"/>
    <mergeCell ref="U774:W774"/>
    <mergeCell ref="U775:W775"/>
    <mergeCell ref="U776:W776"/>
    <mergeCell ref="S843:T843"/>
    <mergeCell ref="S835:T835"/>
    <mergeCell ref="S846:T846"/>
    <mergeCell ref="S847:T847"/>
    <mergeCell ref="U795:W795"/>
    <mergeCell ref="U785:W785"/>
    <mergeCell ref="U786:W786"/>
    <mergeCell ref="U788:W788"/>
    <mergeCell ref="U789:W789"/>
    <mergeCell ref="S845:T845"/>
    <mergeCell ref="S841:T841"/>
    <mergeCell ref="S828:T828"/>
    <mergeCell ref="S829:T829"/>
    <mergeCell ref="S830:T830"/>
    <mergeCell ref="S831:T831"/>
    <mergeCell ref="S848:T848"/>
    <mergeCell ref="S849:T849"/>
    <mergeCell ref="S836:T836"/>
    <mergeCell ref="S837:T837"/>
    <mergeCell ref="S838:T838"/>
    <mergeCell ref="S839:T839"/>
    <mergeCell ref="S840:T840"/>
    <mergeCell ref="S832:T832"/>
    <mergeCell ref="S834:T834"/>
    <mergeCell ref="S822:T822"/>
    <mergeCell ref="S823:T823"/>
    <mergeCell ref="S824:T824"/>
    <mergeCell ref="S825:T825"/>
    <mergeCell ref="S826:T826"/>
    <mergeCell ref="S827:T827"/>
    <mergeCell ref="S816:T816"/>
    <mergeCell ref="S817:T817"/>
    <mergeCell ref="S818:T818"/>
    <mergeCell ref="S819:T819"/>
    <mergeCell ref="S820:T820"/>
    <mergeCell ref="S821:T821"/>
    <mergeCell ref="S781:T781"/>
    <mergeCell ref="S810:T810"/>
    <mergeCell ref="S811:T811"/>
    <mergeCell ref="S812:T812"/>
    <mergeCell ref="S813:T813"/>
    <mergeCell ref="S802:T802"/>
    <mergeCell ref="S803:T803"/>
    <mergeCell ref="S804:T804"/>
    <mergeCell ref="U811:W811"/>
    <mergeCell ref="U812:W812"/>
    <mergeCell ref="U813:W813"/>
    <mergeCell ref="U816:W816"/>
    <mergeCell ref="U815:W815"/>
    <mergeCell ref="U803:W803"/>
    <mergeCell ref="U804:W804"/>
    <mergeCell ref="U805:W805"/>
    <mergeCell ref="U806:W806"/>
    <mergeCell ref="U807:W807"/>
    <mergeCell ref="U808:W808"/>
    <mergeCell ref="U797:W797"/>
    <mergeCell ref="U798:W798"/>
    <mergeCell ref="U799:W799"/>
    <mergeCell ref="U800:W800"/>
    <mergeCell ref="U801:W801"/>
    <mergeCell ref="U802:W802"/>
    <mergeCell ref="S808:T808"/>
    <mergeCell ref="S809:T809"/>
    <mergeCell ref="U790:W790"/>
    <mergeCell ref="U791:W791"/>
    <mergeCell ref="U792:W792"/>
    <mergeCell ref="U793:W793"/>
    <mergeCell ref="U794:W794"/>
    <mergeCell ref="B774:R774"/>
    <mergeCell ref="B775:R775"/>
    <mergeCell ref="B776:R776"/>
    <mergeCell ref="S787:W787"/>
    <mergeCell ref="B777:R777"/>
    <mergeCell ref="B778:R778"/>
    <mergeCell ref="B779:R786"/>
    <mergeCell ref="B787:R787"/>
    <mergeCell ref="U783:W783"/>
    <mergeCell ref="U784:W784"/>
    <mergeCell ref="A773:A787"/>
    <mergeCell ref="U849:W849"/>
    <mergeCell ref="U850:W850"/>
    <mergeCell ref="U851:W851"/>
    <mergeCell ref="C788:R791"/>
    <mergeCell ref="C792:R795"/>
    <mergeCell ref="S833:W833"/>
    <mergeCell ref="B844:R844"/>
    <mergeCell ref="U829:W829"/>
    <mergeCell ref="B773:R773"/>
    <mergeCell ref="U830:W830"/>
    <mergeCell ref="U831:W831"/>
    <mergeCell ref="U832:W832"/>
    <mergeCell ref="U834:W834"/>
    <mergeCell ref="U848:W848"/>
    <mergeCell ref="U835:W835"/>
    <mergeCell ref="U836:W836"/>
    <mergeCell ref="U837:W837"/>
    <mergeCell ref="U838:W838"/>
    <mergeCell ref="U840:W840"/>
    <mergeCell ref="U823:W823"/>
    <mergeCell ref="U824:W824"/>
    <mergeCell ref="A788:B795"/>
    <mergeCell ref="A843:R843"/>
    <mergeCell ref="A816:R816"/>
    <mergeCell ref="B817:R824"/>
    <mergeCell ref="B825:R832"/>
    <mergeCell ref="B833:R833"/>
    <mergeCell ref="A797:R797"/>
    <mergeCell ref="A815:R815"/>
    <mergeCell ref="B798:R805"/>
    <mergeCell ref="B806:R809"/>
    <mergeCell ref="B810:R813"/>
    <mergeCell ref="C845:R852"/>
    <mergeCell ref="A845:B852"/>
    <mergeCell ref="U841:W841"/>
    <mergeCell ref="U843:W843"/>
    <mergeCell ref="U845:W845"/>
    <mergeCell ref="A817:A841"/>
    <mergeCell ref="S815:T815"/>
    <mergeCell ref="U852:W852"/>
    <mergeCell ref="U839:W839"/>
    <mergeCell ref="U825:W825"/>
    <mergeCell ref="U826:W826"/>
    <mergeCell ref="U827:W827"/>
    <mergeCell ref="U828:W828"/>
    <mergeCell ref="U817:W817"/>
    <mergeCell ref="U818:W818"/>
    <mergeCell ref="U819:W819"/>
    <mergeCell ref="U820:W820"/>
    <mergeCell ref="U821:W821"/>
    <mergeCell ref="U822:W822"/>
    <mergeCell ref="U809:W809"/>
    <mergeCell ref="U810:W810"/>
    <mergeCell ref="B877:T877"/>
    <mergeCell ref="B878:T878"/>
    <mergeCell ref="B879:T879"/>
    <mergeCell ref="B880:T880"/>
    <mergeCell ref="S844:W844"/>
    <mergeCell ref="B887:W887"/>
    <mergeCell ref="A872:W872"/>
    <mergeCell ref="U875:W875"/>
    <mergeCell ref="U876:W876"/>
    <mergeCell ref="U877:W877"/>
    <mergeCell ref="U878:W878"/>
    <mergeCell ref="U879:W879"/>
    <mergeCell ref="U873:W873"/>
    <mergeCell ref="B873:T873"/>
    <mergeCell ref="C834:R837"/>
    <mergeCell ref="C838:R841"/>
    <mergeCell ref="B834:B841"/>
    <mergeCell ref="B875:T875"/>
    <mergeCell ref="U846:W846"/>
    <mergeCell ref="U847:W847"/>
    <mergeCell ref="S850:T850"/>
    <mergeCell ref="S851:T851"/>
    <mergeCell ref="S852:T852"/>
    <mergeCell ref="B876:T876"/>
    <mergeCell ref="D947:W947"/>
    <mergeCell ref="D948:W948"/>
    <mergeCell ref="D912:W912"/>
    <mergeCell ref="D913:W913"/>
    <mergeCell ref="D914:W914"/>
    <mergeCell ref="A882:W882"/>
    <mergeCell ref="A883:W883"/>
    <mergeCell ref="A884:W884"/>
    <mergeCell ref="A885:W885"/>
    <mergeCell ref="A887:A903"/>
    <mergeCell ref="D940:W940"/>
    <mergeCell ref="D941:W941"/>
    <mergeCell ref="D942:W942"/>
    <mergeCell ref="D943:W943"/>
    <mergeCell ref="D944:W944"/>
    <mergeCell ref="D945:W945"/>
    <mergeCell ref="C892:W892"/>
    <mergeCell ref="C893:W893"/>
    <mergeCell ref="D894:W894"/>
    <mergeCell ref="D895:W895"/>
    <mergeCell ref="D896:W896"/>
    <mergeCell ref="C894:C897"/>
    <mergeCell ref="D920:W920"/>
    <mergeCell ref="D921:W921"/>
    <mergeCell ref="D922:W922"/>
    <mergeCell ref="D923:W923"/>
    <mergeCell ref="D926:W926"/>
    <mergeCell ref="D927:W927"/>
    <mergeCell ref="D928:W928"/>
    <mergeCell ref="D933:W933"/>
    <mergeCell ref="D934:W934"/>
    <mergeCell ref="D924:W924"/>
    <mergeCell ref="A121:W121"/>
    <mergeCell ref="A122:W122"/>
    <mergeCell ref="A117:W117"/>
    <mergeCell ref="A123:W123"/>
    <mergeCell ref="A130:W130"/>
    <mergeCell ref="A124:W124"/>
    <mergeCell ref="A125:W125"/>
    <mergeCell ref="A126:W126"/>
    <mergeCell ref="A127:W127"/>
    <mergeCell ref="A128:W128"/>
    <mergeCell ref="A129:W129"/>
    <mergeCell ref="A179:W179"/>
    <mergeCell ref="A180:W180"/>
    <mergeCell ref="A181:W181"/>
    <mergeCell ref="A182:W182"/>
    <mergeCell ref="A200:W200"/>
    <mergeCell ref="A201:W201"/>
    <mergeCell ref="A183:W183"/>
    <mergeCell ref="A190:W190"/>
    <mergeCell ref="A188:W188"/>
    <mergeCell ref="A191:W191"/>
    <mergeCell ref="A155:W155"/>
    <mergeCell ref="A156:W156"/>
    <mergeCell ref="A157:W157"/>
    <mergeCell ref="A158:W158"/>
    <mergeCell ref="A176:W176"/>
    <mergeCell ref="A177:W177"/>
    <mergeCell ref="A159:W159"/>
    <mergeCell ref="A166:W166"/>
    <mergeCell ref="A164:W164"/>
    <mergeCell ref="A167:W167"/>
    <mergeCell ref="A169:W169"/>
    <mergeCell ref="A170:W170"/>
    <mergeCell ref="A171:W171"/>
    <mergeCell ref="A178:W178"/>
    <mergeCell ref="A172:W172"/>
    <mergeCell ref="A173:W173"/>
    <mergeCell ref="A174:W174"/>
    <mergeCell ref="A175:W175"/>
    <mergeCell ref="A192:W192"/>
    <mergeCell ref="A184:W184"/>
    <mergeCell ref="A185:W185"/>
    <mergeCell ref="A186:W186"/>
    <mergeCell ref="A227:W227"/>
    <mergeCell ref="A228:W228"/>
    <mergeCell ref="A229:W229"/>
    <mergeCell ref="A230:W230"/>
    <mergeCell ref="A248:W248"/>
    <mergeCell ref="A249:W249"/>
    <mergeCell ref="A231:W231"/>
    <mergeCell ref="A238:W238"/>
    <mergeCell ref="A236:W236"/>
    <mergeCell ref="A239:W239"/>
    <mergeCell ref="A203:W203"/>
    <mergeCell ref="A204:W204"/>
    <mergeCell ref="A205:W205"/>
    <mergeCell ref="A206:W206"/>
    <mergeCell ref="A224:W224"/>
    <mergeCell ref="A225:W225"/>
    <mergeCell ref="A207:W207"/>
    <mergeCell ref="A214:W214"/>
    <mergeCell ref="A212:W212"/>
    <mergeCell ref="A215:W215"/>
    <mergeCell ref="A218:W218"/>
    <mergeCell ref="A235:W235"/>
    <mergeCell ref="A251:W251"/>
    <mergeCell ref="A252:W252"/>
    <mergeCell ref="A253:W253"/>
    <mergeCell ref="A254:W254"/>
    <mergeCell ref="A272:W272"/>
    <mergeCell ref="A273:W273"/>
    <mergeCell ref="A255:W255"/>
    <mergeCell ref="A262:W262"/>
    <mergeCell ref="A260:W260"/>
    <mergeCell ref="A263:W263"/>
    <mergeCell ref="A267:W267"/>
    <mergeCell ref="A274:W274"/>
    <mergeCell ref="A268:W268"/>
    <mergeCell ref="A269:W269"/>
    <mergeCell ref="A270:W270"/>
    <mergeCell ref="A271:W271"/>
    <mergeCell ref="A288:W288"/>
    <mergeCell ref="A280:W280"/>
    <mergeCell ref="A281:W281"/>
    <mergeCell ref="A282:W282"/>
    <mergeCell ref="A283:W283"/>
    <mergeCell ref="A285:W285"/>
    <mergeCell ref="A265:W265"/>
    <mergeCell ref="A266:W266"/>
    <mergeCell ref="A299:W299"/>
    <mergeCell ref="A300:W300"/>
    <mergeCell ref="A301:W301"/>
    <mergeCell ref="A302:W302"/>
    <mergeCell ref="A320:W320"/>
    <mergeCell ref="A321:W321"/>
    <mergeCell ref="A303:W303"/>
    <mergeCell ref="A310:W310"/>
    <mergeCell ref="A308:W308"/>
    <mergeCell ref="A311:W311"/>
    <mergeCell ref="A316:W316"/>
    <mergeCell ref="A317:W317"/>
    <mergeCell ref="A318:W318"/>
    <mergeCell ref="A319:W319"/>
    <mergeCell ref="A275:W275"/>
    <mergeCell ref="A276:W276"/>
    <mergeCell ref="A277:W277"/>
    <mergeCell ref="A278:W278"/>
    <mergeCell ref="A296:W296"/>
    <mergeCell ref="A297:W297"/>
    <mergeCell ref="A279:W279"/>
    <mergeCell ref="A286:W286"/>
    <mergeCell ref="A284:W284"/>
    <mergeCell ref="A287:W287"/>
    <mergeCell ref="A289:W289"/>
    <mergeCell ref="A290:W290"/>
    <mergeCell ref="A291:W291"/>
    <mergeCell ref="A298:W298"/>
    <mergeCell ref="A292:W292"/>
    <mergeCell ref="A293:W293"/>
    <mergeCell ref="B459:T459"/>
    <mergeCell ref="A365:W365"/>
    <mergeCell ref="A366:W366"/>
    <mergeCell ref="A367:W367"/>
    <mergeCell ref="A368:W368"/>
    <mergeCell ref="D437:T437"/>
    <mergeCell ref="D438:T438"/>
    <mergeCell ref="C437:C440"/>
    <mergeCell ref="C431:C434"/>
    <mergeCell ref="U435:W435"/>
    <mergeCell ref="A435:T435"/>
    <mergeCell ref="A351:W351"/>
    <mergeCell ref="A352:W352"/>
    <mergeCell ref="A353:W353"/>
    <mergeCell ref="A354:W354"/>
    <mergeCell ref="A363:W363"/>
    <mergeCell ref="A364:W364"/>
    <mergeCell ref="D443:T443"/>
    <mergeCell ref="D444:T444"/>
    <mergeCell ref="D445:T445"/>
    <mergeCell ref="U459:W459"/>
    <mergeCell ref="A357:W357"/>
    <mergeCell ref="A358:W358"/>
    <mergeCell ref="A355:W355"/>
    <mergeCell ref="A356:W356"/>
    <mergeCell ref="U447:W447"/>
    <mergeCell ref="U448:W448"/>
    <mergeCell ref="U440:W440"/>
    <mergeCell ref="U441:W441"/>
    <mergeCell ref="U442:W442"/>
    <mergeCell ref="U443:W443"/>
    <mergeCell ref="U444:W444"/>
    <mergeCell ref="U445:W445"/>
    <mergeCell ref="U446:W446"/>
    <mergeCell ref="A336:W336"/>
    <mergeCell ref="A328:W328"/>
    <mergeCell ref="A329:W329"/>
    <mergeCell ref="A330:W330"/>
    <mergeCell ref="A331:W331"/>
    <mergeCell ref="A333:W333"/>
    <mergeCell ref="A337:W337"/>
    <mergeCell ref="C446:T446"/>
    <mergeCell ref="D447:T447"/>
    <mergeCell ref="D448:T448"/>
    <mergeCell ref="C442:C445"/>
    <mergeCell ref="A332:W332"/>
    <mergeCell ref="A348:W348"/>
    <mergeCell ref="A349:W349"/>
    <mergeCell ref="A350:W350"/>
    <mergeCell ref="U429:W429"/>
  </mergeCells>
  <pageMargins left="0.70866141732283472" right="0.70866141732283472" top="0.74803149606299213" bottom="0.74803149606299213" header="0.31496062992125984" footer="0.31496062992125984"/>
  <pageSetup paperSize="9" orientation="portrait" r:id="rId1"/>
  <headerFooter>
    <oddFooter>Sayfa &amp;P / &amp;N</oddFooter>
  </headerFooter>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79"/>
  <sheetViews>
    <sheetView zoomScaleNormal="100" workbookViewId="0">
      <selection activeCell="Z8" sqref="Z8"/>
    </sheetView>
  </sheetViews>
  <sheetFormatPr defaultRowHeight="12.75"/>
  <cols>
    <col min="1" max="1" width="3.28515625" customWidth="1"/>
    <col min="2" max="2" width="3.140625" customWidth="1"/>
    <col min="3" max="17" width="3.85546875" customWidth="1"/>
    <col min="18" max="22" width="3.85546875" style="181" customWidth="1"/>
    <col min="23" max="23" width="4" style="181" customWidth="1"/>
    <col min="24" max="24" width="1.85546875" customWidth="1"/>
  </cols>
  <sheetData>
    <row r="1" spans="1:24">
      <c r="A1" s="853">
        <v>451</v>
      </c>
      <c r="B1" s="853"/>
      <c r="C1" s="853"/>
      <c r="D1" s="853"/>
      <c r="E1" s="853"/>
      <c r="F1" s="853"/>
      <c r="G1" s="853"/>
      <c r="H1" s="853"/>
      <c r="I1" s="853"/>
      <c r="J1" s="853"/>
      <c r="K1" s="853"/>
      <c r="L1" s="853"/>
      <c r="M1" s="853"/>
      <c r="N1" s="853"/>
      <c r="O1" s="853"/>
      <c r="P1" s="853"/>
      <c r="Q1" s="853"/>
      <c r="R1" s="853"/>
      <c r="S1" s="853"/>
      <c r="T1" s="853"/>
      <c r="U1" s="853"/>
      <c r="V1" s="853"/>
      <c r="W1" s="853"/>
      <c r="X1" s="452"/>
    </row>
    <row r="2" spans="1:24" ht="93.75" customHeight="1">
      <c r="A2" s="1394" t="s">
        <v>2271</v>
      </c>
      <c r="B2" s="1394"/>
      <c r="C2" s="1394"/>
      <c r="D2" s="1394"/>
      <c r="E2" s="1394"/>
      <c r="F2" s="1394"/>
      <c r="G2" s="1394"/>
      <c r="H2" s="1394"/>
      <c r="I2" s="1394"/>
      <c r="J2" s="1394"/>
      <c r="K2" s="1394"/>
      <c r="L2" s="1394"/>
      <c r="M2" s="1394"/>
      <c r="N2" s="1394"/>
      <c r="O2" s="1394"/>
      <c r="P2" s="1394"/>
      <c r="Q2" s="1394"/>
      <c r="R2" s="1394"/>
      <c r="S2" s="1394"/>
      <c r="T2" s="1394"/>
      <c r="U2" s="1394"/>
      <c r="V2" s="1394"/>
      <c r="W2" s="1394"/>
    </row>
    <row r="3" spans="1:24">
      <c r="A3" s="853" t="s">
        <v>2272</v>
      </c>
      <c r="B3" s="853"/>
      <c r="C3" s="853"/>
      <c r="D3" s="853"/>
      <c r="E3" s="853"/>
      <c r="F3" s="853"/>
      <c r="G3" s="853"/>
      <c r="H3" s="853"/>
      <c r="I3" s="853"/>
      <c r="J3" s="853"/>
      <c r="K3" s="853"/>
      <c r="L3" s="853"/>
      <c r="M3" s="853"/>
      <c r="N3" s="853"/>
      <c r="O3" s="853"/>
      <c r="P3" s="853"/>
      <c r="Q3" s="853"/>
      <c r="R3" s="853"/>
      <c r="S3" s="853"/>
      <c r="T3" s="853"/>
      <c r="U3" s="853"/>
      <c r="V3" s="853"/>
      <c r="W3" s="853"/>
      <c r="X3" s="452"/>
    </row>
    <row r="4" spans="1:24">
      <c r="A4" s="853" t="s">
        <v>2273</v>
      </c>
      <c r="B4" s="853"/>
      <c r="C4" s="853"/>
      <c r="D4" s="853"/>
      <c r="E4" s="853"/>
      <c r="F4" s="853"/>
      <c r="G4" s="853"/>
      <c r="H4" s="853"/>
      <c r="I4" s="853"/>
      <c r="J4" s="853"/>
      <c r="K4" s="853"/>
      <c r="L4" s="853"/>
      <c r="M4" s="853"/>
      <c r="N4" s="853"/>
      <c r="O4" s="853"/>
      <c r="P4" s="853"/>
      <c r="Q4" s="853"/>
      <c r="R4" s="853"/>
      <c r="S4" s="853"/>
      <c r="T4" s="853"/>
      <c r="U4" s="853"/>
      <c r="V4" s="853"/>
      <c r="W4" s="853"/>
      <c r="X4" s="452"/>
    </row>
    <row r="5" spans="1:24">
      <c r="A5" s="853" t="s">
        <v>2274</v>
      </c>
      <c r="B5" s="853"/>
      <c r="C5" s="853"/>
      <c r="D5" s="853"/>
      <c r="E5" s="853"/>
      <c r="F5" s="853"/>
      <c r="G5" s="853"/>
      <c r="H5" s="853"/>
      <c r="I5" s="853"/>
      <c r="J5" s="853"/>
      <c r="K5" s="853"/>
      <c r="L5" s="853"/>
      <c r="M5" s="853"/>
      <c r="N5" s="853"/>
      <c r="O5" s="853"/>
      <c r="P5" s="853"/>
      <c r="Q5" s="853"/>
      <c r="R5" s="853"/>
      <c r="S5" s="853"/>
      <c r="T5" s="853"/>
      <c r="U5" s="853"/>
      <c r="V5" s="853"/>
      <c r="W5" s="853"/>
      <c r="X5" s="452"/>
    </row>
    <row r="6" spans="1:24">
      <c r="A6" s="853" t="s">
        <v>2275</v>
      </c>
      <c r="B6" s="853"/>
      <c r="C6" s="853"/>
      <c r="D6" s="853"/>
      <c r="E6" s="853"/>
      <c r="F6" s="853"/>
      <c r="G6" s="853"/>
      <c r="H6" s="853"/>
      <c r="I6" s="853"/>
      <c r="J6" s="853"/>
      <c r="K6" s="853"/>
      <c r="L6" s="853"/>
      <c r="M6" s="853"/>
      <c r="N6" s="853"/>
      <c r="O6" s="853"/>
      <c r="P6" s="853"/>
      <c r="Q6" s="853"/>
      <c r="R6" s="853"/>
      <c r="S6" s="853"/>
      <c r="T6" s="853"/>
      <c r="U6" s="853"/>
      <c r="V6" s="853"/>
      <c r="W6" s="853"/>
      <c r="X6" s="452"/>
    </row>
    <row r="7" spans="1:24">
      <c r="A7" s="853" t="s">
        <v>2276</v>
      </c>
      <c r="B7" s="853"/>
      <c r="C7" s="853"/>
      <c r="D7" s="853"/>
      <c r="E7" s="853"/>
      <c r="F7" s="853"/>
      <c r="G7" s="853"/>
      <c r="H7" s="853"/>
      <c r="I7" s="853"/>
      <c r="J7" s="853"/>
      <c r="K7" s="853"/>
      <c r="L7" s="853"/>
      <c r="M7" s="853"/>
      <c r="N7" s="853"/>
      <c r="O7" s="853"/>
      <c r="P7" s="853"/>
      <c r="Q7" s="853"/>
      <c r="R7" s="853"/>
      <c r="S7" s="853"/>
      <c r="T7" s="853"/>
      <c r="U7" s="853"/>
      <c r="V7" s="853"/>
      <c r="W7" s="853"/>
      <c r="X7" s="452"/>
    </row>
    <row r="8" spans="1:24">
      <c r="A8" s="853" t="s">
        <v>2277</v>
      </c>
      <c r="B8" s="853"/>
      <c r="C8" s="853"/>
      <c r="D8" s="853"/>
      <c r="E8" s="853"/>
      <c r="F8" s="853"/>
      <c r="G8" s="853"/>
      <c r="H8" s="853"/>
      <c r="I8" s="853"/>
      <c r="J8" s="853"/>
      <c r="K8" s="853"/>
      <c r="L8" s="853"/>
      <c r="M8" s="853"/>
      <c r="N8" s="853"/>
      <c r="O8" s="853"/>
      <c r="P8" s="853"/>
      <c r="Q8" s="853"/>
      <c r="R8" s="853"/>
      <c r="S8" s="853"/>
      <c r="T8" s="853"/>
      <c r="U8" s="853"/>
      <c r="V8" s="853"/>
      <c r="W8" s="853"/>
      <c r="X8" s="452"/>
    </row>
    <row r="9" spans="1:24">
      <c r="A9" s="853" t="s">
        <v>2278</v>
      </c>
      <c r="B9" s="853"/>
      <c r="C9" s="853"/>
      <c r="D9" s="853"/>
      <c r="E9" s="853"/>
      <c r="F9" s="853"/>
      <c r="G9" s="853"/>
      <c r="H9" s="853"/>
      <c r="I9" s="853"/>
      <c r="J9" s="853"/>
      <c r="K9" s="853"/>
      <c r="L9" s="853"/>
      <c r="M9" s="853"/>
      <c r="N9" s="853"/>
      <c r="O9" s="853"/>
      <c r="P9" s="853"/>
      <c r="Q9" s="853"/>
      <c r="R9" s="853"/>
      <c r="S9" s="853"/>
      <c r="T9" s="853"/>
      <c r="U9" s="853"/>
      <c r="V9" s="853"/>
      <c r="W9" s="853"/>
      <c r="X9" s="452"/>
    </row>
    <row r="10" spans="1:24" s="99" customFormat="1" ht="34.5" customHeight="1">
      <c r="A10" s="1216" t="s">
        <v>2279</v>
      </c>
      <c r="B10" s="1216"/>
      <c r="C10" s="1216"/>
      <c r="D10" s="1216"/>
      <c r="E10" s="1216"/>
      <c r="F10" s="1216"/>
      <c r="G10" s="1216"/>
      <c r="H10" s="1216"/>
      <c r="I10" s="1216"/>
      <c r="J10" s="1216"/>
      <c r="K10" s="1216"/>
      <c r="L10" s="1216"/>
      <c r="M10" s="1216"/>
      <c r="N10" s="1216"/>
      <c r="O10" s="1216"/>
      <c r="P10" s="1216"/>
      <c r="Q10" s="1216"/>
      <c r="R10" s="1216"/>
      <c r="S10" s="1216"/>
      <c r="T10" s="1216"/>
      <c r="U10" s="1216"/>
      <c r="V10" s="1216"/>
      <c r="W10" s="1216"/>
    </row>
    <row r="11" spans="1:24" s="99" customFormat="1" ht="58.5" customHeight="1">
      <c r="A11" s="1216" t="s">
        <v>2747</v>
      </c>
      <c r="B11" s="1216"/>
      <c r="C11" s="1216"/>
      <c r="D11" s="1216"/>
      <c r="E11" s="1216"/>
      <c r="F11" s="1216"/>
      <c r="G11" s="1216"/>
      <c r="H11" s="1216"/>
      <c r="I11" s="1216"/>
      <c r="J11" s="1216"/>
      <c r="K11" s="1216"/>
      <c r="L11" s="1216"/>
      <c r="M11" s="1216"/>
      <c r="N11" s="1216"/>
      <c r="O11" s="1216"/>
      <c r="P11" s="1216"/>
      <c r="Q11" s="1216"/>
      <c r="R11" s="1216"/>
      <c r="S11" s="1216"/>
      <c r="T11" s="1216"/>
      <c r="U11" s="1216"/>
      <c r="V11" s="1216"/>
      <c r="W11" s="1216"/>
    </row>
    <row r="12" spans="1:24" s="99" customFormat="1" ht="43.5" customHeight="1">
      <c r="A12" s="1216" t="s">
        <v>2748</v>
      </c>
      <c r="B12" s="1216"/>
      <c r="C12" s="1216"/>
      <c r="D12" s="1216"/>
      <c r="E12" s="1216"/>
      <c r="F12" s="1216"/>
      <c r="G12" s="1216"/>
      <c r="H12" s="1216"/>
      <c r="I12" s="1216"/>
      <c r="J12" s="1216"/>
      <c r="K12" s="1216"/>
      <c r="L12" s="1216"/>
      <c r="M12" s="1216"/>
      <c r="N12" s="1216"/>
      <c r="O12" s="1216"/>
      <c r="P12" s="1216"/>
      <c r="Q12" s="1216"/>
      <c r="R12" s="1216"/>
      <c r="S12" s="1216"/>
      <c r="T12" s="1216"/>
      <c r="U12" s="1216"/>
      <c r="V12" s="1216"/>
      <c r="W12" s="1216"/>
    </row>
    <row r="13" spans="1:24" s="99" customFormat="1" ht="76.5" customHeight="1">
      <c r="A13" s="1216" t="s">
        <v>2280</v>
      </c>
      <c r="B13" s="1216"/>
      <c r="C13" s="1216"/>
      <c r="D13" s="1216"/>
      <c r="E13" s="1216"/>
      <c r="F13" s="1216"/>
      <c r="G13" s="1216"/>
      <c r="H13" s="1216"/>
      <c r="I13" s="1216"/>
      <c r="J13" s="1216"/>
      <c r="K13" s="1216"/>
      <c r="L13" s="1216"/>
      <c r="M13" s="1216"/>
      <c r="N13" s="1216"/>
      <c r="O13" s="1216"/>
      <c r="P13" s="1216"/>
      <c r="Q13" s="1216"/>
      <c r="R13" s="1216"/>
      <c r="S13" s="1216"/>
      <c r="T13" s="1216"/>
      <c r="U13" s="1216"/>
      <c r="V13" s="1216"/>
      <c r="W13" s="1216"/>
    </row>
    <row r="14" spans="1:24" s="99" customFormat="1" ht="33" customHeight="1">
      <c r="A14" s="1216" t="s">
        <v>2281</v>
      </c>
      <c r="B14" s="1216"/>
      <c r="C14" s="1216"/>
      <c r="D14" s="1216"/>
      <c r="E14" s="1216"/>
      <c r="F14" s="1216"/>
      <c r="G14" s="1216"/>
      <c r="H14" s="1216"/>
      <c r="I14" s="1216"/>
      <c r="J14" s="1216"/>
      <c r="K14" s="1216"/>
      <c r="L14" s="1216"/>
      <c r="M14" s="1216"/>
      <c r="N14" s="1216"/>
      <c r="O14" s="1216"/>
      <c r="P14" s="1216"/>
      <c r="Q14" s="1216"/>
      <c r="R14" s="1216"/>
      <c r="S14" s="1216"/>
      <c r="T14" s="1216"/>
      <c r="U14" s="1216"/>
      <c r="V14" s="1216"/>
      <c r="W14" s="1216"/>
    </row>
    <row r="15" spans="1:24">
      <c r="A15" s="1371" t="s">
        <v>2282</v>
      </c>
      <c r="B15" s="1371"/>
      <c r="C15" s="1371"/>
      <c r="D15" s="1371"/>
      <c r="E15" s="1371"/>
      <c r="F15" s="1371"/>
      <c r="G15" s="1371"/>
      <c r="H15" s="1371"/>
      <c r="I15" s="1371"/>
      <c r="J15" s="1371"/>
      <c r="K15" s="1371"/>
      <c r="L15" s="1371"/>
      <c r="M15" s="1371"/>
      <c r="N15" s="1371"/>
      <c r="O15" s="1371"/>
      <c r="P15" s="1371"/>
      <c r="Q15" s="1371"/>
      <c r="R15" s="1371"/>
      <c r="S15" s="1371"/>
      <c r="T15" s="1371"/>
      <c r="U15" s="1371"/>
      <c r="V15" s="1371"/>
      <c r="W15" s="1371"/>
    </row>
    <row r="16" spans="1:24" s="294" customFormat="1" ht="46.5" customHeight="1">
      <c r="A16" s="1377" t="s">
        <v>2283</v>
      </c>
      <c r="B16" s="1377"/>
      <c r="C16" s="1377"/>
      <c r="D16" s="1377"/>
      <c r="E16" s="1377"/>
      <c r="F16" s="1377"/>
      <c r="G16" s="1377"/>
      <c r="H16" s="1377"/>
      <c r="I16" s="1377"/>
      <c r="J16" s="1377"/>
      <c r="K16" s="1377"/>
      <c r="L16" s="1377"/>
      <c r="M16" s="1377"/>
      <c r="N16" s="1377"/>
      <c r="O16" s="1377"/>
      <c r="P16" s="1377"/>
      <c r="Q16" s="1377"/>
      <c r="R16" s="1377"/>
      <c r="S16" s="1377"/>
      <c r="T16" s="1377"/>
      <c r="U16" s="1377"/>
      <c r="V16" s="1377"/>
      <c r="W16" s="1377"/>
      <c r="X16" s="185"/>
    </row>
    <row r="17" spans="1:24" s="294" customFormat="1" ht="45.75" customHeight="1">
      <c r="A17" s="1377" t="s">
        <v>2749</v>
      </c>
      <c r="B17" s="1377"/>
      <c r="C17" s="1377"/>
      <c r="D17" s="1377"/>
      <c r="E17" s="1377"/>
      <c r="F17" s="1377"/>
      <c r="G17" s="1377"/>
      <c r="H17" s="1377"/>
      <c r="I17" s="1377"/>
      <c r="J17" s="1377"/>
      <c r="K17" s="1377"/>
      <c r="L17" s="1377"/>
      <c r="M17" s="1377"/>
      <c r="N17" s="1377"/>
      <c r="O17" s="1377"/>
      <c r="P17" s="1377"/>
      <c r="Q17" s="1377"/>
      <c r="R17" s="1377"/>
      <c r="S17" s="1377"/>
      <c r="T17" s="1377"/>
      <c r="U17" s="1377"/>
      <c r="V17" s="1377"/>
      <c r="W17" s="1377"/>
      <c r="X17" s="185"/>
    </row>
    <row r="18" spans="1:24" s="294" customFormat="1" ht="40.5" customHeight="1">
      <c r="A18" s="1377" t="s">
        <v>2284</v>
      </c>
      <c r="B18" s="1377"/>
      <c r="C18" s="1377"/>
      <c r="D18" s="1377"/>
      <c r="E18" s="1377"/>
      <c r="F18" s="1377"/>
      <c r="G18" s="1377"/>
      <c r="H18" s="1377"/>
      <c r="I18" s="1377"/>
      <c r="J18" s="1377"/>
      <c r="K18" s="1377"/>
      <c r="L18" s="1377"/>
      <c r="M18" s="1377"/>
      <c r="N18" s="1377"/>
      <c r="O18" s="1377"/>
      <c r="P18" s="1377"/>
      <c r="Q18" s="1377"/>
      <c r="R18" s="1377"/>
      <c r="S18" s="1377"/>
      <c r="T18" s="1377"/>
      <c r="U18" s="1377"/>
      <c r="V18" s="1377"/>
      <c r="W18" s="1377"/>
      <c r="X18" s="185"/>
    </row>
    <row r="19" spans="1:24" s="294" customFormat="1" ht="12.75" customHeight="1">
      <c r="A19" s="1377" t="s">
        <v>2750</v>
      </c>
      <c r="B19" s="1377"/>
      <c r="C19" s="1377"/>
      <c r="D19" s="1377"/>
      <c r="E19" s="1377"/>
      <c r="F19" s="1377"/>
      <c r="G19" s="1377"/>
      <c r="H19" s="1377"/>
      <c r="I19" s="1377"/>
      <c r="J19" s="1377"/>
      <c r="K19" s="1377"/>
      <c r="L19" s="1377"/>
      <c r="M19" s="1377"/>
      <c r="N19" s="1377"/>
      <c r="O19" s="1377"/>
      <c r="P19" s="1377"/>
      <c r="Q19" s="1377"/>
      <c r="R19" s="1377"/>
      <c r="S19" s="1377"/>
      <c r="T19" s="1377"/>
      <c r="U19" s="1377"/>
      <c r="V19" s="1377"/>
      <c r="W19" s="1377"/>
      <c r="X19" s="185"/>
    </row>
    <row r="20" spans="1:24" s="294" customFormat="1" ht="12.75" customHeight="1">
      <c r="A20" s="1395" t="s">
        <v>3339</v>
      </c>
      <c r="B20" s="1377"/>
      <c r="C20" s="1377"/>
      <c r="D20" s="1377"/>
      <c r="E20" s="1377"/>
      <c r="F20" s="1377"/>
      <c r="G20" s="1377"/>
      <c r="H20" s="1377"/>
      <c r="I20" s="1377"/>
      <c r="J20" s="1377"/>
      <c r="K20" s="1377"/>
      <c r="L20" s="1377"/>
      <c r="M20" s="1377"/>
      <c r="N20" s="1377"/>
      <c r="O20" s="1377"/>
      <c r="P20" s="1377"/>
      <c r="Q20" s="1377"/>
      <c r="R20" s="1377"/>
      <c r="S20" s="1377"/>
      <c r="T20" s="1377"/>
      <c r="U20" s="1377"/>
      <c r="V20" s="1377"/>
      <c r="W20" s="1377"/>
      <c r="X20" s="185"/>
    </row>
    <row r="21" spans="1:24" s="294" customFormat="1" ht="12.75" customHeight="1">
      <c r="A21" s="1395" t="s">
        <v>3340</v>
      </c>
      <c r="B21" s="1377"/>
      <c r="C21" s="1377"/>
      <c r="D21" s="1377"/>
      <c r="E21" s="1377"/>
      <c r="F21" s="1377"/>
      <c r="G21" s="1377"/>
      <c r="H21" s="1377"/>
      <c r="I21" s="1377"/>
      <c r="J21" s="1377"/>
      <c r="K21" s="1377"/>
      <c r="L21" s="1377"/>
      <c r="M21" s="1377"/>
      <c r="N21" s="1377"/>
      <c r="O21" s="1377"/>
      <c r="P21" s="1377"/>
      <c r="Q21" s="1377"/>
      <c r="R21" s="1377"/>
      <c r="S21" s="1377"/>
      <c r="T21" s="1377"/>
      <c r="U21" s="1377"/>
      <c r="V21" s="1377"/>
      <c r="W21" s="1377"/>
      <c r="X21" s="185"/>
    </row>
    <row r="22" spans="1:24" s="294" customFormat="1" ht="83.25" customHeight="1">
      <c r="A22" s="1395" t="s">
        <v>3341</v>
      </c>
      <c r="B22" s="1377"/>
      <c r="C22" s="1377"/>
      <c r="D22" s="1377"/>
      <c r="E22" s="1377"/>
      <c r="F22" s="1377"/>
      <c r="G22" s="1377"/>
      <c r="H22" s="1377"/>
      <c r="I22" s="1377"/>
      <c r="J22" s="1377"/>
      <c r="K22" s="1377"/>
      <c r="L22" s="1377"/>
      <c r="M22" s="1377"/>
      <c r="N22" s="1377"/>
      <c r="O22" s="1377"/>
      <c r="P22" s="1377"/>
      <c r="Q22" s="1377"/>
      <c r="R22" s="1377"/>
      <c r="S22" s="1377"/>
      <c r="T22" s="1377"/>
      <c r="U22" s="1377"/>
      <c r="V22" s="1377"/>
      <c r="W22" s="1377"/>
      <c r="X22" s="185"/>
    </row>
    <row r="23" spans="1:24">
      <c r="A23" s="1371" t="s">
        <v>2285</v>
      </c>
      <c r="B23" s="1371"/>
      <c r="C23" s="1371"/>
      <c r="D23" s="1371"/>
      <c r="E23" s="1371"/>
      <c r="F23" s="1371"/>
      <c r="G23" s="1371"/>
      <c r="H23" s="1371"/>
      <c r="I23" s="1371"/>
      <c r="J23" s="1371"/>
      <c r="K23" s="1371"/>
      <c r="L23" s="1371"/>
      <c r="M23" s="1371"/>
      <c r="N23" s="1371"/>
      <c r="O23" s="1371"/>
      <c r="P23" s="1371"/>
      <c r="Q23" s="1371"/>
      <c r="R23" s="1371"/>
      <c r="S23" s="1371"/>
      <c r="T23" s="1371"/>
      <c r="U23" s="1371"/>
      <c r="V23" s="1371"/>
      <c r="W23" s="1371"/>
    </row>
    <row r="24" spans="1:24" ht="31.5" customHeight="1">
      <c r="A24" s="1377" t="s">
        <v>2286</v>
      </c>
      <c r="B24" s="1377"/>
      <c r="C24" s="1377"/>
      <c r="D24" s="1377"/>
      <c r="E24" s="1377"/>
      <c r="F24" s="1377"/>
      <c r="G24" s="1377"/>
      <c r="H24" s="1377"/>
      <c r="I24" s="1377"/>
      <c r="J24" s="1377"/>
      <c r="K24" s="1377"/>
      <c r="L24" s="1377"/>
      <c r="M24" s="1377"/>
      <c r="N24" s="1377"/>
      <c r="O24" s="1377"/>
      <c r="P24" s="1377"/>
      <c r="Q24" s="1377"/>
      <c r="R24" s="1377"/>
      <c r="S24" s="1377"/>
      <c r="T24" s="1377"/>
      <c r="U24" s="1377"/>
      <c r="V24" s="1377"/>
      <c r="W24" s="1377"/>
      <c r="X24" s="185"/>
    </row>
    <row r="25" spans="1:24" ht="29.25" customHeight="1">
      <c r="A25" s="1377" t="s">
        <v>2751</v>
      </c>
      <c r="B25" s="1377"/>
      <c r="C25" s="1377"/>
      <c r="D25" s="1377"/>
      <c r="E25" s="1377"/>
      <c r="F25" s="1377"/>
      <c r="G25" s="1377"/>
      <c r="H25" s="1377"/>
      <c r="I25" s="1377"/>
      <c r="J25" s="1377"/>
      <c r="K25" s="1377"/>
      <c r="L25" s="1377"/>
      <c r="M25" s="1377"/>
      <c r="N25" s="1377"/>
      <c r="O25" s="1377"/>
      <c r="P25" s="1377"/>
      <c r="Q25" s="1377"/>
      <c r="R25" s="1377"/>
      <c r="S25" s="1377"/>
      <c r="T25" s="1377"/>
      <c r="U25" s="1377"/>
      <c r="V25" s="1377"/>
      <c r="W25" s="1377"/>
      <c r="X25" s="185"/>
    </row>
    <row r="26" spans="1:24" ht="53.25" customHeight="1">
      <c r="A26" s="1377" t="s">
        <v>2287</v>
      </c>
      <c r="B26" s="1377"/>
      <c r="C26" s="1377"/>
      <c r="D26" s="1377"/>
      <c r="E26" s="1377"/>
      <c r="F26" s="1377"/>
      <c r="G26" s="1377"/>
      <c r="H26" s="1377"/>
      <c r="I26" s="1377"/>
      <c r="J26" s="1377"/>
      <c r="K26" s="1377"/>
      <c r="L26" s="1377"/>
      <c r="M26" s="1377"/>
      <c r="N26" s="1377"/>
      <c r="O26" s="1377"/>
      <c r="P26" s="1377"/>
      <c r="Q26" s="1377"/>
      <c r="R26" s="1377"/>
      <c r="S26" s="1377"/>
      <c r="T26" s="1377"/>
      <c r="U26" s="1377"/>
      <c r="V26" s="1377"/>
      <c r="W26" s="1377"/>
      <c r="X26" s="185"/>
    </row>
    <row r="27" spans="1:24" ht="24.95" customHeight="1">
      <c r="A27" s="1216" t="s">
        <v>2752</v>
      </c>
      <c r="B27" s="1216"/>
      <c r="C27" s="1216"/>
      <c r="D27" s="1216"/>
      <c r="E27" s="1216"/>
      <c r="F27" s="1216"/>
      <c r="G27" s="1216"/>
      <c r="H27" s="1216"/>
      <c r="I27" s="1216"/>
      <c r="J27" s="1216"/>
      <c r="K27" s="1216"/>
      <c r="L27" s="1216"/>
      <c r="M27" s="1216"/>
      <c r="N27" s="1216"/>
      <c r="O27" s="1216"/>
      <c r="P27" s="1216"/>
      <c r="Q27" s="1216"/>
      <c r="R27" s="1216"/>
      <c r="S27" s="1216"/>
      <c r="T27" s="1216"/>
      <c r="U27" s="1216"/>
      <c r="V27" s="1216"/>
      <c r="W27" s="1216"/>
      <c r="X27" s="185"/>
    </row>
    <row r="28" spans="1:24" ht="32.25" customHeight="1">
      <c r="A28" s="1216" t="s">
        <v>2753</v>
      </c>
      <c r="B28" s="1216"/>
      <c r="C28" s="1216"/>
      <c r="D28" s="1216"/>
      <c r="E28" s="1216"/>
      <c r="F28" s="1216"/>
      <c r="G28" s="1216"/>
      <c r="H28" s="1216"/>
      <c r="I28" s="1216"/>
      <c r="J28" s="1216"/>
      <c r="K28" s="1216"/>
      <c r="L28" s="1216"/>
      <c r="M28" s="1216"/>
      <c r="N28" s="1216"/>
      <c r="O28" s="1216"/>
      <c r="P28" s="1216"/>
      <c r="Q28" s="1216"/>
      <c r="R28" s="1216"/>
      <c r="S28" s="1216"/>
      <c r="T28" s="1216"/>
      <c r="U28" s="1216"/>
      <c r="V28" s="1216"/>
      <c r="W28" s="1216"/>
      <c r="X28" s="185"/>
    </row>
    <row r="29" spans="1:24" ht="30" customHeight="1">
      <c r="A29" s="1216" t="s">
        <v>2754</v>
      </c>
      <c r="B29" s="1216"/>
      <c r="C29" s="1216"/>
      <c r="D29" s="1216"/>
      <c r="E29" s="1216"/>
      <c r="F29" s="1216"/>
      <c r="G29" s="1216"/>
      <c r="H29" s="1216"/>
      <c r="I29" s="1216"/>
      <c r="J29" s="1216"/>
      <c r="K29" s="1216"/>
      <c r="L29" s="1216"/>
      <c r="M29" s="1216"/>
      <c r="N29" s="1216"/>
      <c r="O29" s="1216"/>
      <c r="P29" s="1216"/>
      <c r="Q29" s="1216"/>
      <c r="R29" s="1216"/>
      <c r="S29" s="1216"/>
      <c r="T29" s="1216"/>
      <c r="U29" s="1216"/>
      <c r="V29" s="1216"/>
      <c r="W29" s="1216"/>
      <c r="X29" s="185"/>
    </row>
    <row r="30" spans="1:24" ht="117.75" customHeight="1">
      <c r="A30" s="1216" t="s">
        <v>2755</v>
      </c>
      <c r="B30" s="1216"/>
      <c r="C30" s="1216"/>
      <c r="D30" s="1216"/>
      <c r="E30" s="1216"/>
      <c r="F30" s="1216"/>
      <c r="G30" s="1216"/>
      <c r="H30" s="1216"/>
      <c r="I30" s="1216"/>
      <c r="J30" s="1216"/>
      <c r="K30" s="1216"/>
      <c r="L30" s="1216"/>
      <c r="M30" s="1216"/>
      <c r="N30" s="1216"/>
      <c r="O30" s="1216"/>
      <c r="P30" s="1216"/>
      <c r="Q30" s="1216"/>
      <c r="R30" s="1216"/>
      <c r="S30" s="1216"/>
      <c r="T30" s="1216"/>
      <c r="U30" s="1216"/>
      <c r="V30" s="1216"/>
      <c r="W30" s="1216"/>
      <c r="X30" s="185"/>
    </row>
    <row r="31" spans="1:24" ht="15.75" customHeight="1">
      <c r="A31" s="1216" t="s">
        <v>2756</v>
      </c>
      <c r="B31" s="1216"/>
      <c r="C31" s="1216"/>
      <c r="D31" s="1216"/>
      <c r="E31" s="1216"/>
      <c r="F31" s="1216"/>
      <c r="G31" s="1216"/>
      <c r="H31" s="1216"/>
      <c r="I31" s="1216"/>
      <c r="J31" s="1216"/>
      <c r="K31" s="1216"/>
      <c r="L31" s="1216"/>
      <c r="M31" s="1216"/>
      <c r="N31" s="1216"/>
      <c r="O31" s="1216"/>
      <c r="P31" s="1216"/>
      <c r="Q31" s="1216"/>
      <c r="R31" s="1216"/>
      <c r="S31" s="1216"/>
      <c r="T31" s="1216"/>
      <c r="U31" s="1216"/>
      <c r="V31" s="1216"/>
      <c r="W31" s="1216"/>
      <c r="X31" s="185"/>
    </row>
    <row r="32" spans="1:24" ht="117" customHeight="1">
      <c r="A32" s="1216" t="s">
        <v>2288</v>
      </c>
      <c r="B32" s="1216"/>
      <c r="C32" s="1216"/>
      <c r="D32" s="1216"/>
      <c r="E32" s="1216"/>
      <c r="F32" s="1216"/>
      <c r="G32" s="1216"/>
      <c r="H32" s="1216"/>
      <c r="I32" s="1216"/>
      <c r="J32" s="1216"/>
      <c r="K32" s="1216"/>
      <c r="L32" s="1216"/>
      <c r="M32" s="1216"/>
      <c r="N32" s="1216"/>
      <c r="O32" s="1216"/>
      <c r="P32" s="1216"/>
      <c r="Q32" s="1216"/>
      <c r="R32" s="1216"/>
      <c r="S32" s="1216"/>
      <c r="T32" s="1216"/>
      <c r="U32" s="1216"/>
      <c r="V32" s="1216"/>
      <c r="W32" s="1216"/>
      <c r="X32" s="185"/>
    </row>
    <row r="33" spans="1:24" ht="43.5" customHeight="1">
      <c r="A33" s="1216" t="s">
        <v>2289</v>
      </c>
      <c r="B33" s="1216"/>
      <c r="C33" s="1216"/>
      <c r="D33" s="1216"/>
      <c r="E33" s="1216"/>
      <c r="F33" s="1216"/>
      <c r="G33" s="1216"/>
      <c r="H33" s="1216"/>
      <c r="I33" s="1216"/>
      <c r="J33" s="1216"/>
      <c r="K33" s="1216"/>
      <c r="L33" s="1216"/>
      <c r="M33" s="1216"/>
      <c r="N33" s="1216"/>
      <c r="O33" s="1216"/>
      <c r="P33" s="1216"/>
      <c r="Q33" s="1216"/>
      <c r="R33" s="1216"/>
      <c r="S33" s="1216"/>
      <c r="T33" s="1216"/>
      <c r="U33" s="1216"/>
      <c r="V33" s="1216"/>
      <c r="W33" s="1216"/>
      <c r="X33" s="185"/>
    </row>
    <row r="34" spans="1:24" ht="20.25" customHeight="1">
      <c r="A34" s="1216" t="s">
        <v>2290</v>
      </c>
      <c r="B34" s="1216"/>
      <c r="C34" s="1216"/>
      <c r="D34" s="1216"/>
      <c r="E34" s="1216"/>
      <c r="F34" s="1216"/>
      <c r="G34" s="1216"/>
      <c r="H34" s="1216"/>
      <c r="I34" s="1216"/>
      <c r="J34" s="1216"/>
      <c r="K34" s="1216"/>
      <c r="L34" s="1216"/>
      <c r="M34" s="1216"/>
      <c r="N34" s="1216"/>
      <c r="O34" s="1216"/>
      <c r="P34" s="1216"/>
      <c r="Q34" s="1216"/>
      <c r="R34" s="1216"/>
      <c r="S34" s="1216"/>
      <c r="T34" s="1216"/>
      <c r="U34" s="1216"/>
      <c r="V34" s="1216"/>
      <c r="W34" s="1216"/>
      <c r="X34" s="185"/>
    </row>
    <row r="35" spans="1:24">
      <c r="A35" s="1371" t="s">
        <v>2291</v>
      </c>
      <c r="B35" s="1371"/>
      <c r="C35" s="1371"/>
      <c r="D35" s="1371"/>
      <c r="E35" s="1371"/>
      <c r="F35" s="1371"/>
      <c r="G35" s="1371"/>
      <c r="H35" s="1371"/>
      <c r="I35" s="1371"/>
      <c r="J35" s="1371"/>
      <c r="K35" s="1371"/>
      <c r="L35" s="1371"/>
      <c r="M35" s="1371"/>
      <c r="N35" s="1371"/>
      <c r="O35" s="1371"/>
      <c r="P35" s="1371"/>
      <c r="Q35" s="1371"/>
      <c r="R35" s="1371"/>
      <c r="S35" s="1371"/>
      <c r="T35" s="1371"/>
      <c r="U35" s="1371"/>
      <c r="V35" s="1371"/>
      <c r="W35" s="1371"/>
    </row>
    <row r="36" spans="1:24" ht="37.5" customHeight="1">
      <c r="A36" s="1216" t="s">
        <v>2292</v>
      </c>
      <c r="B36" s="1216"/>
      <c r="C36" s="1216"/>
      <c r="D36" s="1216"/>
      <c r="E36" s="1216"/>
      <c r="F36" s="1216"/>
      <c r="G36" s="1216"/>
      <c r="H36" s="1216"/>
      <c r="I36" s="1216"/>
      <c r="J36" s="1216"/>
      <c r="K36" s="1216"/>
      <c r="L36" s="1216"/>
      <c r="M36" s="1216"/>
      <c r="N36" s="1216"/>
      <c r="O36" s="1216"/>
      <c r="P36" s="1216"/>
      <c r="Q36" s="1216"/>
      <c r="R36" s="1216"/>
      <c r="S36" s="1216"/>
      <c r="T36" s="1216"/>
      <c r="U36" s="1216"/>
      <c r="V36" s="1216"/>
      <c r="W36" s="1216"/>
      <c r="X36" s="185"/>
    </row>
    <row r="37" spans="1:24" ht="59.25" customHeight="1">
      <c r="A37" s="1216" t="s">
        <v>2293</v>
      </c>
      <c r="B37" s="1216"/>
      <c r="C37" s="1216"/>
      <c r="D37" s="1216"/>
      <c r="E37" s="1216"/>
      <c r="F37" s="1216"/>
      <c r="G37" s="1216"/>
      <c r="H37" s="1216"/>
      <c r="I37" s="1216"/>
      <c r="J37" s="1216"/>
      <c r="K37" s="1216"/>
      <c r="L37" s="1216"/>
      <c r="M37" s="1216"/>
      <c r="N37" s="1216"/>
      <c r="O37" s="1216"/>
      <c r="P37" s="1216"/>
      <c r="Q37" s="1216"/>
      <c r="R37" s="1216"/>
      <c r="S37" s="1216"/>
      <c r="T37" s="1216"/>
      <c r="U37" s="1216"/>
      <c r="V37" s="1216"/>
      <c r="W37" s="1216"/>
      <c r="X37" s="185"/>
    </row>
    <row r="38" spans="1:24" ht="51" customHeight="1">
      <c r="A38" s="1216" t="s">
        <v>2294</v>
      </c>
      <c r="B38" s="1216"/>
      <c r="C38" s="1216"/>
      <c r="D38" s="1216"/>
      <c r="E38" s="1216"/>
      <c r="F38" s="1216"/>
      <c r="G38" s="1216"/>
      <c r="H38" s="1216"/>
      <c r="I38" s="1216"/>
      <c r="J38" s="1216"/>
      <c r="K38" s="1216"/>
      <c r="L38" s="1216"/>
      <c r="M38" s="1216"/>
      <c r="N38" s="1216"/>
      <c r="O38" s="1216"/>
      <c r="P38" s="1216"/>
      <c r="Q38" s="1216"/>
      <c r="R38" s="1216"/>
      <c r="S38" s="1216"/>
      <c r="T38" s="1216"/>
      <c r="U38" s="1216"/>
      <c r="V38" s="1216"/>
      <c r="W38" s="1216"/>
      <c r="X38" s="185"/>
    </row>
    <row r="39" spans="1:24" ht="42" customHeight="1">
      <c r="A39" s="1216" t="s">
        <v>2757</v>
      </c>
      <c r="B39" s="1216"/>
      <c r="C39" s="1216"/>
      <c r="D39" s="1216"/>
      <c r="E39" s="1216"/>
      <c r="F39" s="1216"/>
      <c r="G39" s="1216"/>
      <c r="H39" s="1216"/>
      <c r="I39" s="1216"/>
      <c r="J39" s="1216"/>
      <c r="K39" s="1216"/>
      <c r="L39" s="1216"/>
      <c r="M39" s="1216"/>
      <c r="N39" s="1216"/>
      <c r="O39" s="1216"/>
      <c r="P39" s="1216"/>
      <c r="Q39" s="1216"/>
      <c r="R39" s="1216"/>
      <c r="S39" s="1216"/>
      <c r="T39" s="1216"/>
      <c r="U39" s="1216"/>
      <c r="V39" s="1216"/>
      <c r="W39" s="1216"/>
      <c r="X39" s="185"/>
    </row>
    <row r="40" spans="1:24" ht="44.25" customHeight="1">
      <c r="A40" s="1216" t="s">
        <v>2295</v>
      </c>
      <c r="B40" s="1216"/>
      <c r="C40" s="1216"/>
      <c r="D40" s="1216"/>
      <c r="E40" s="1216"/>
      <c r="F40" s="1216"/>
      <c r="G40" s="1216"/>
      <c r="H40" s="1216"/>
      <c r="I40" s="1216"/>
      <c r="J40" s="1216"/>
      <c r="K40" s="1216"/>
      <c r="L40" s="1216"/>
      <c r="M40" s="1216"/>
      <c r="N40" s="1216"/>
      <c r="O40" s="1216"/>
      <c r="P40" s="1216"/>
      <c r="Q40" s="1216"/>
      <c r="R40" s="1216"/>
      <c r="S40" s="1216"/>
      <c r="T40" s="1216"/>
      <c r="U40" s="1216"/>
      <c r="V40" s="1216"/>
      <c r="W40" s="1216"/>
      <c r="X40" s="185"/>
    </row>
    <row r="41" spans="1:24" ht="45" customHeight="1">
      <c r="A41" s="1216" t="s">
        <v>2296</v>
      </c>
      <c r="B41" s="1216"/>
      <c r="C41" s="1216"/>
      <c r="D41" s="1216"/>
      <c r="E41" s="1216"/>
      <c r="F41" s="1216"/>
      <c r="G41" s="1216"/>
      <c r="H41" s="1216"/>
      <c r="I41" s="1216"/>
      <c r="J41" s="1216"/>
      <c r="K41" s="1216"/>
      <c r="L41" s="1216"/>
      <c r="M41" s="1216"/>
      <c r="N41" s="1216"/>
      <c r="O41" s="1216"/>
      <c r="P41" s="1216"/>
      <c r="Q41" s="1216"/>
      <c r="R41" s="1216"/>
      <c r="S41" s="1216"/>
      <c r="T41" s="1216"/>
      <c r="U41" s="1216"/>
      <c r="V41" s="1216"/>
      <c r="W41" s="1216"/>
      <c r="X41" s="185"/>
    </row>
    <row r="42" spans="1:24" ht="53.25" customHeight="1">
      <c r="A42" s="1216" t="s">
        <v>2297</v>
      </c>
      <c r="B42" s="1216"/>
      <c r="C42" s="1216"/>
      <c r="D42" s="1216"/>
      <c r="E42" s="1216"/>
      <c r="F42" s="1216"/>
      <c r="G42" s="1216"/>
      <c r="H42" s="1216"/>
      <c r="I42" s="1216"/>
      <c r="J42" s="1216"/>
      <c r="K42" s="1216"/>
      <c r="L42" s="1216"/>
      <c r="M42" s="1216"/>
      <c r="N42" s="1216"/>
      <c r="O42" s="1216"/>
      <c r="P42" s="1216"/>
      <c r="Q42" s="1216"/>
      <c r="R42" s="1216"/>
      <c r="S42" s="1216"/>
      <c r="T42" s="1216"/>
      <c r="U42" s="1216"/>
      <c r="V42" s="1216"/>
      <c r="W42" s="1216"/>
      <c r="X42" s="185"/>
    </row>
    <row r="43" spans="1:24" ht="26.25" customHeight="1">
      <c r="A43" s="1216" t="s">
        <v>2298</v>
      </c>
      <c r="B43" s="1216"/>
      <c r="C43" s="1216"/>
      <c r="D43" s="1216"/>
      <c r="E43" s="1216"/>
      <c r="F43" s="1216"/>
      <c r="G43" s="1216"/>
      <c r="H43" s="1216"/>
      <c r="I43" s="1216"/>
      <c r="J43" s="1216"/>
      <c r="K43" s="1216"/>
      <c r="L43" s="1216"/>
      <c r="M43" s="1216"/>
      <c r="N43" s="1216"/>
      <c r="O43" s="1216"/>
      <c r="P43" s="1216"/>
      <c r="Q43" s="1216"/>
      <c r="R43" s="1216"/>
      <c r="S43" s="1216"/>
      <c r="T43" s="1216"/>
      <c r="U43" s="1216"/>
      <c r="V43" s="1216"/>
      <c r="W43" s="1216"/>
      <c r="X43" s="185"/>
    </row>
    <row r="44" spans="1:24" ht="46.5" customHeight="1">
      <c r="A44" s="1216" t="s">
        <v>2758</v>
      </c>
      <c r="B44" s="1216"/>
      <c r="C44" s="1216"/>
      <c r="D44" s="1216"/>
      <c r="E44" s="1216"/>
      <c r="F44" s="1216"/>
      <c r="G44" s="1216"/>
      <c r="H44" s="1216"/>
      <c r="I44" s="1216"/>
      <c r="J44" s="1216"/>
      <c r="K44" s="1216"/>
      <c r="L44" s="1216"/>
      <c r="M44" s="1216"/>
      <c r="N44" s="1216"/>
      <c r="O44" s="1216"/>
      <c r="P44" s="1216"/>
      <c r="Q44" s="1216"/>
      <c r="R44" s="1216"/>
      <c r="S44" s="1216"/>
      <c r="T44" s="1216"/>
      <c r="U44" s="1216"/>
      <c r="V44" s="1216"/>
      <c r="W44" s="1216"/>
      <c r="X44" s="185"/>
    </row>
    <row r="45" spans="1:24" s="79" customFormat="1" ht="17.25" customHeight="1">
      <c r="B45" s="1373" t="s">
        <v>3327</v>
      </c>
      <c r="C45" s="1363"/>
      <c r="D45" s="1363"/>
      <c r="E45" s="1363"/>
      <c r="F45" s="1363"/>
      <c r="G45" s="1363"/>
      <c r="H45" s="1363"/>
      <c r="I45" s="1363"/>
      <c r="J45" s="1363"/>
      <c r="K45" s="1363"/>
      <c r="L45" s="1363"/>
      <c r="M45" s="1363"/>
      <c r="N45" s="1363"/>
      <c r="O45" s="1363"/>
      <c r="P45" s="1363"/>
      <c r="Q45" s="1363"/>
      <c r="R45" s="1363"/>
      <c r="S45" s="1363"/>
      <c r="T45" s="1363"/>
      <c r="U45" s="1363">
        <v>4500</v>
      </c>
      <c r="V45" s="1363"/>
      <c r="W45" s="1363"/>
      <c r="X45" s="99"/>
    </row>
    <row r="46" spans="1:24" s="79" customFormat="1" ht="24.95" customHeight="1">
      <c r="B46" s="1373" t="s">
        <v>3326</v>
      </c>
      <c r="C46" s="1363"/>
      <c r="D46" s="1363"/>
      <c r="E46" s="1363"/>
      <c r="F46" s="1363"/>
      <c r="G46" s="1363"/>
      <c r="H46" s="1363"/>
      <c r="I46" s="1363"/>
      <c r="J46" s="1363"/>
      <c r="K46" s="1363"/>
      <c r="L46" s="1363"/>
      <c r="M46" s="1363"/>
      <c r="N46" s="1363"/>
      <c r="O46" s="1363"/>
      <c r="P46" s="1363"/>
      <c r="Q46" s="1363"/>
      <c r="R46" s="1363"/>
      <c r="S46" s="1363"/>
      <c r="T46" s="1363"/>
      <c r="U46" s="1363">
        <v>4200</v>
      </c>
      <c r="V46" s="1363"/>
      <c r="W46" s="1363"/>
      <c r="X46" s="99"/>
    </row>
    <row r="47" spans="1:24" s="79" customFormat="1" ht="24.95" customHeight="1">
      <c r="B47" s="1373" t="s">
        <v>3328</v>
      </c>
      <c r="C47" s="1363"/>
      <c r="D47" s="1363"/>
      <c r="E47" s="1363"/>
      <c r="F47" s="1363"/>
      <c r="G47" s="1363"/>
      <c r="H47" s="1363"/>
      <c r="I47" s="1363"/>
      <c r="J47" s="1363"/>
      <c r="K47" s="1363"/>
      <c r="L47" s="1363"/>
      <c r="M47" s="1363"/>
      <c r="N47" s="1363"/>
      <c r="O47" s="1363"/>
      <c r="P47" s="1363"/>
      <c r="Q47" s="1363"/>
      <c r="R47" s="1363"/>
      <c r="S47" s="1363"/>
      <c r="T47" s="1363"/>
      <c r="U47" s="1363">
        <v>4000</v>
      </c>
      <c r="V47" s="1363"/>
      <c r="W47" s="1363"/>
      <c r="X47" s="99"/>
    </row>
    <row r="48" spans="1:24" s="79" customFormat="1" ht="24.95" customHeight="1">
      <c r="B48" s="1373" t="s">
        <v>3329</v>
      </c>
      <c r="C48" s="1363"/>
      <c r="D48" s="1363"/>
      <c r="E48" s="1363"/>
      <c r="F48" s="1363"/>
      <c r="G48" s="1363"/>
      <c r="H48" s="1363"/>
      <c r="I48" s="1363"/>
      <c r="J48" s="1363"/>
      <c r="K48" s="1363"/>
      <c r="L48" s="1363"/>
      <c r="M48" s="1363"/>
      <c r="N48" s="1363"/>
      <c r="O48" s="1363"/>
      <c r="P48" s="1363"/>
      <c r="Q48" s="1363"/>
      <c r="R48" s="1363"/>
      <c r="S48" s="1363"/>
      <c r="T48" s="1363"/>
      <c r="U48" s="1363">
        <v>3800</v>
      </c>
      <c r="V48" s="1363"/>
      <c r="W48" s="1363"/>
      <c r="X48" s="99"/>
    </row>
    <row r="49" spans="1:24" s="79" customFormat="1" ht="45" customHeight="1">
      <c r="B49" s="1373" t="s">
        <v>3330</v>
      </c>
      <c r="C49" s="1363"/>
      <c r="D49" s="1363"/>
      <c r="E49" s="1363"/>
      <c r="F49" s="1363"/>
      <c r="G49" s="1363"/>
      <c r="H49" s="1363"/>
      <c r="I49" s="1363"/>
      <c r="J49" s="1363"/>
      <c r="K49" s="1363"/>
      <c r="L49" s="1363"/>
      <c r="M49" s="1363"/>
      <c r="N49" s="1363"/>
      <c r="O49" s="1363"/>
      <c r="P49" s="1363"/>
      <c r="Q49" s="1363"/>
      <c r="R49" s="1363"/>
      <c r="S49" s="1363"/>
      <c r="T49" s="1363"/>
      <c r="U49" s="1363">
        <v>3500</v>
      </c>
      <c r="V49" s="1363"/>
      <c r="W49" s="1363"/>
      <c r="X49" s="99"/>
    </row>
    <row r="50" spans="1:24" s="79" customFormat="1" ht="17.25" customHeight="1">
      <c r="B50" s="1373" t="s">
        <v>3331</v>
      </c>
      <c r="C50" s="1363"/>
      <c r="D50" s="1363"/>
      <c r="E50" s="1363"/>
      <c r="F50" s="1363"/>
      <c r="G50" s="1363"/>
      <c r="H50" s="1363"/>
      <c r="I50" s="1363"/>
      <c r="J50" s="1363"/>
      <c r="K50" s="1363"/>
      <c r="L50" s="1363"/>
      <c r="M50" s="1363"/>
      <c r="N50" s="1363"/>
      <c r="O50" s="1363"/>
      <c r="P50" s="1363"/>
      <c r="Q50" s="1363"/>
      <c r="R50" s="1363"/>
      <c r="S50" s="1363"/>
      <c r="T50" s="1363"/>
      <c r="U50" s="1363">
        <v>2600</v>
      </c>
      <c r="V50" s="1363"/>
      <c r="W50" s="1363"/>
      <c r="X50" s="99"/>
    </row>
    <row r="51" spans="1:24" s="79" customFormat="1" ht="15" customHeight="1">
      <c r="B51" s="1373" t="s">
        <v>3332</v>
      </c>
      <c r="C51" s="1363"/>
      <c r="D51" s="1363"/>
      <c r="E51" s="1363"/>
      <c r="F51" s="1363"/>
      <c r="G51" s="1363"/>
      <c r="H51" s="1363"/>
      <c r="I51" s="1363"/>
      <c r="J51" s="1363"/>
      <c r="K51" s="1363"/>
      <c r="L51" s="1363"/>
      <c r="M51" s="1363"/>
      <c r="N51" s="1363"/>
      <c r="O51" s="1363"/>
      <c r="P51" s="1363"/>
      <c r="Q51" s="1363"/>
      <c r="R51" s="1363"/>
      <c r="S51" s="1363"/>
      <c r="T51" s="1363"/>
      <c r="U51" s="1363">
        <v>2400</v>
      </c>
      <c r="V51" s="1363"/>
      <c r="W51" s="1363"/>
      <c r="X51" s="99"/>
    </row>
    <row r="52" spans="1:24" ht="24.95" customHeight="1">
      <c r="A52" s="1377" t="s">
        <v>2299</v>
      </c>
      <c r="B52" s="1377"/>
      <c r="C52" s="1377"/>
      <c r="D52" s="1377"/>
      <c r="E52" s="1377"/>
      <c r="F52" s="1377"/>
      <c r="G52" s="1377"/>
      <c r="H52" s="1377"/>
      <c r="I52" s="1377"/>
      <c r="J52" s="1377"/>
      <c r="K52" s="1377"/>
      <c r="L52" s="1377"/>
      <c r="M52" s="1377"/>
      <c r="N52" s="1377"/>
      <c r="O52" s="1377"/>
      <c r="P52" s="1377"/>
      <c r="Q52" s="1377"/>
      <c r="R52" s="1377"/>
      <c r="S52" s="1377"/>
      <c r="T52" s="1377"/>
      <c r="U52" s="1377"/>
      <c r="V52" s="1377"/>
      <c r="W52" s="1377"/>
      <c r="X52" s="185"/>
    </row>
    <row r="53" spans="1:24" ht="15.75" customHeight="1">
      <c r="A53" s="1395" t="s">
        <v>3333</v>
      </c>
      <c r="B53" s="1377"/>
      <c r="C53" s="1377"/>
      <c r="D53" s="1377"/>
      <c r="E53" s="1377"/>
      <c r="F53" s="1377"/>
      <c r="G53" s="1377"/>
      <c r="H53" s="1377"/>
      <c r="I53" s="1377"/>
      <c r="J53" s="1377"/>
      <c r="K53" s="1377"/>
      <c r="L53" s="1377"/>
      <c r="M53" s="1377"/>
      <c r="N53" s="1377"/>
      <c r="O53" s="1377"/>
      <c r="P53" s="1377"/>
      <c r="Q53" s="1377"/>
      <c r="R53" s="1377"/>
      <c r="S53" s="1377"/>
      <c r="T53" s="1377"/>
      <c r="U53" s="1377"/>
      <c r="V53" s="1377"/>
      <c r="W53" s="1377"/>
      <c r="X53" s="185"/>
    </row>
    <row r="54" spans="1:24" ht="24.95" customHeight="1">
      <c r="A54" s="527"/>
      <c r="B54" s="452"/>
      <c r="C54" s="452"/>
      <c r="D54" s="452"/>
      <c r="E54" s="452"/>
      <c r="F54" s="452"/>
      <c r="G54" s="452"/>
      <c r="H54" s="452"/>
      <c r="I54" s="452"/>
      <c r="J54" s="452"/>
      <c r="K54" s="452"/>
      <c r="L54" s="452"/>
      <c r="M54" s="452"/>
      <c r="N54" s="452"/>
      <c r="O54" s="452"/>
      <c r="P54" s="452"/>
      <c r="R54" s="1393" t="s">
        <v>3334</v>
      </c>
      <c r="S54" s="1393"/>
      <c r="T54" s="1393"/>
      <c r="U54" s="1393" t="s">
        <v>3334</v>
      </c>
      <c r="V54" s="1393"/>
      <c r="W54" s="1393"/>
      <c r="X54" s="452"/>
    </row>
    <row r="55" spans="1:24">
      <c r="B55" s="452"/>
      <c r="C55" s="452"/>
      <c r="D55" s="452"/>
      <c r="E55" s="452"/>
      <c r="F55" s="452"/>
      <c r="G55" s="452"/>
      <c r="H55" s="452"/>
      <c r="I55" s="452"/>
      <c r="J55" s="452"/>
      <c r="K55" s="452"/>
      <c r="L55" s="452"/>
      <c r="M55" s="452"/>
      <c r="N55" s="452"/>
      <c r="O55" s="452"/>
      <c r="P55" s="452"/>
      <c r="Q55" s="452"/>
      <c r="R55" s="1306">
        <v>3300</v>
      </c>
      <c r="S55" s="1306"/>
      <c r="T55" s="1306"/>
      <c r="U55" s="1308">
        <v>3800</v>
      </c>
      <c r="V55" s="1308"/>
      <c r="W55" s="1308"/>
      <c r="X55" s="452"/>
    </row>
    <row r="56" spans="1:24">
      <c r="B56" s="452"/>
      <c r="C56" s="452"/>
      <c r="D56" s="452"/>
      <c r="E56" s="452"/>
      <c r="F56" s="452"/>
      <c r="G56" s="452"/>
      <c r="H56" s="452"/>
      <c r="I56" s="452"/>
      <c r="J56" s="452"/>
      <c r="K56" s="452"/>
      <c r="L56" s="452"/>
      <c r="M56" s="452"/>
      <c r="N56" s="452"/>
      <c r="O56" s="452"/>
      <c r="P56" s="452"/>
      <c r="Q56" s="452"/>
      <c r="R56" s="1306">
        <v>3000</v>
      </c>
      <c r="S56" s="1306"/>
      <c r="T56" s="1306"/>
      <c r="U56" s="1308">
        <v>3500</v>
      </c>
      <c r="V56" s="1308"/>
      <c r="W56" s="1308"/>
      <c r="X56" s="452"/>
    </row>
    <row r="57" spans="1:24">
      <c r="B57" s="452"/>
      <c r="C57" s="452"/>
      <c r="D57" s="452"/>
      <c r="E57" s="452"/>
      <c r="F57" s="452"/>
      <c r="G57" s="452"/>
      <c r="H57" s="452"/>
      <c r="I57" s="452"/>
      <c r="J57" s="452"/>
      <c r="K57" s="452"/>
      <c r="L57" s="452"/>
      <c r="M57" s="452"/>
      <c r="N57" s="452"/>
      <c r="O57" s="452"/>
      <c r="P57" s="452"/>
      <c r="Q57" s="452"/>
      <c r="R57" s="1306">
        <v>2700</v>
      </c>
      <c r="S57" s="1306"/>
      <c r="T57" s="1306"/>
      <c r="U57" s="1308">
        <v>3200</v>
      </c>
      <c r="V57" s="1308"/>
      <c r="W57" s="1308"/>
      <c r="X57" s="452"/>
    </row>
    <row r="58" spans="1:24">
      <c r="B58" s="452"/>
      <c r="C58" s="452"/>
      <c r="D58" s="452"/>
      <c r="E58" s="452"/>
      <c r="F58" s="452"/>
      <c r="G58" s="452"/>
      <c r="H58" s="452"/>
      <c r="I58" s="452"/>
      <c r="J58" s="452"/>
      <c r="K58" s="452"/>
      <c r="L58" s="452"/>
      <c r="M58" s="452"/>
      <c r="N58" s="452"/>
      <c r="O58" s="452"/>
      <c r="P58" s="452"/>
      <c r="Q58" s="452"/>
      <c r="R58" s="1306">
        <v>2400</v>
      </c>
      <c r="S58" s="1306"/>
      <c r="T58" s="1306"/>
      <c r="U58" s="1308">
        <v>2900</v>
      </c>
      <c r="V58" s="1308"/>
      <c r="W58" s="1308"/>
      <c r="X58" s="452"/>
    </row>
    <row r="59" spans="1:24" ht="13.5" customHeight="1">
      <c r="A59" s="1404" t="s">
        <v>3333</v>
      </c>
      <c r="B59" s="1405"/>
      <c r="C59" s="1405"/>
      <c r="D59" s="1405"/>
      <c r="E59" s="1405"/>
      <c r="F59" s="1405"/>
      <c r="G59" s="1405"/>
      <c r="H59" s="1405"/>
      <c r="I59" s="1405"/>
      <c r="J59" s="1405"/>
      <c r="K59" s="1405"/>
      <c r="L59" s="1405"/>
      <c r="M59" s="1405"/>
      <c r="N59" s="1405"/>
      <c r="O59" s="1405"/>
      <c r="P59" s="1405"/>
      <c r="Q59" s="1405"/>
      <c r="R59" s="1405"/>
      <c r="S59" s="1405"/>
      <c r="T59" s="1405"/>
      <c r="U59" s="1405"/>
      <c r="V59" s="1405"/>
      <c r="W59" s="1405"/>
      <c r="X59" s="452"/>
    </row>
    <row r="60" spans="1:24" ht="24.95" customHeight="1">
      <c r="A60" s="527"/>
      <c r="B60" s="452"/>
      <c r="C60" s="452"/>
      <c r="D60" s="452"/>
      <c r="E60" s="452"/>
      <c r="F60" s="452"/>
      <c r="G60" s="452"/>
      <c r="H60" s="452"/>
      <c r="I60" s="452"/>
      <c r="J60" s="452"/>
      <c r="K60" s="452"/>
      <c r="L60" s="452"/>
      <c r="M60" s="452"/>
      <c r="N60" s="452"/>
      <c r="O60" s="452"/>
      <c r="P60" s="452"/>
      <c r="Q60" s="452"/>
      <c r="R60" s="1393" t="s">
        <v>3334</v>
      </c>
      <c r="S60" s="1393"/>
      <c r="T60" s="1393"/>
      <c r="U60" s="1393" t="s">
        <v>3334</v>
      </c>
      <c r="V60" s="1393"/>
      <c r="W60" s="1393"/>
      <c r="X60" s="452"/>
    </row>
    <row r="61" spans="1:24">
      <c r="B61" s="452"/>
      <c r="C61" s="452"/>
      <c r="D61" s="452"/>
      <c r="E61" s="452"/>
      <c r="F61" s="452"/>
      <c r="G61" s="452"/>
      <c r="H61" s="452"/>
      <c r="I61" s="452"/>
      <c r="J61" s="452"/>
      <c r="K61" s="452"/>
      <c r="L61" s="452"/>
      <c r="M61" s="452"/>
      <c r="N61" s="452"/>
      <c r="O61" s="452"/>
      <c r="P61" s="452"/>
      <c r="Q61" s="452"/>
      <c r="R61" s="1400" t="s">
        <v>3335</v>
      </c>
      <c r="S61" s="1400"/>
      <c r="T61" s="1400"/>
      <c r="U61" s="1306">
        <v>2400</v>
      </c>
      <c r="V61" s="1306"/>
      <c r="W61" s="1306"/>
      <c r="X61" s="452"/>
    </row>
    <row r="62" spans="1:24">
      <c r="B62" s="452"/>
      <c r="C62" s="452"/>
      <c r="D62" s="452"/>
      <c r="E62" s="452"/>
      <c r="F62" s="452"/>
      <c r="G62" s="452"/>
      <c r="H62" s="452"/>
      <c r="I62" s="452"/>
      <c r="J62" s="452"/>
      <c r="K62" s="452"/>
      <c r="L62" s="452"/>
      <c r="M62" s="452"/>
      <c r="N62" s="452"/>
      <c r="O62" s="452"/>
      <c r="P62" s="452"/>
      <c r="Q62" s="452"/>
      <c r="R62" s="1306">
        <v>1800</v>
      </c>
      <c r="S62" s="1306"/>
      <c r="T62" s="1306"/>
      <c r="U62" s="1306">
        <v>2150</v>
      </c>
      <c r="V62" s="1306"/>
      <c r="W62" s="1306"/>
      <c r="X62" s="452"/>
    </row>
    <row r="63" spans="1:24">
      <c r="B63" s="452"/>
      <c r="C63" s="452"/>
      <c r="D63" s="452"/>
      <c r="E63" s="452"/>
      <c r="F63" s="452"/>
      <c r="G63" s="452"/>
      <c r="H63" s="452"/>
      <c r="I63" s="452"/>
      <c r="J63" s="452"/>
      <c r="K63" s="452"/>
      <c r="L63" s="452"/>
      <c r="M63" s="452"/>
      <c r="N63" s="452"/>
      <c r="O63" s="452"/>
      <c r="P63" s="452"/>
      <c r="Q63" s="452"/>
      <c r="R63" s="1306">
        <v>1650</v>
      </c>
      <c r="S63" s="1306"/>
      <c r="T63" s="1306"/>
      <c r="U63" s="1306">
        <v>2000</v>
      </c>
      <c r="V63" s="1306"/>
      <c r="W63" s="1306"/>
      <c r="X63" s="452"/>
    </row>
    <row r="64" spans="1:24">
      <c r="B64" s="452"/>
      <c r="C64" s="452"/>
      <c r="D64" s="452"/>
      <c r="E64" s="452"/>
      <c r="F64" s="452"/>
      <c r="G64" s="452"/>
      <c r="H64" s="452"/>
      <c r="I64" s="452"/>
      <c r="J64" s="452"/>
      <c r="K64" s="452"/>
      <c r="L64" s="452"/>
      <c r="M64" s="452"/>
      <c r="N64" s="452"/>
      <c r="O64" s="452"/>
      <c r="P64" s="452"/>
      <c r="Q64" s="452"/>
      <c r="R64" s="1306">
        <v>1500</v>
      </c>
      <c r="S64" s="1306"/>
      <c r="T64" s="1306"/>
      <c r="U64" s="1306">
        <v>1800</v>
      </c>
      <c r="V64" s="1306"/>
      <c r="W64" s="1306"/>
      <c r="X64" s="452"/>
    </row>
    <row r="65" spans="1:24">
      <c r="B65" s="452"/>
      <c r="C65" s="452"/>
      <c r="D65" s="452"/>
      <c r="E65" s="452"/>
      <c r="F65" s="452"/>
      <c r="G65" s="452"/>
      <c r="H65" s="452"/>
      <c r="I65" s="452"/>
      <c r="J65" s="452"/>
      <c r="K65" s="452"/>
      <c r="L65" s="452"/>
      <c r="M65" s="452"/>
      <c r="N65" s="452"/>
      <c r="O65" s="452"/>
      <c r="P65" s="452"/>
      <c r="Q65" s="452"/>
      <c r="R65" s="1306">
        <v>1200</v>
      </c>
      <c r="S65" s="1306"/>
      <c r="T65" s="1306"/>
      <c r="U65" s="1306">
        <v>1500</v>
      </c>
      <c r="V65" s="1306"/>
      <c r="W65" s="1306"/>
      <c r="X65" s="452"/>
    </row>
    <row r="66" spans="1:24">
      <c r="B66" s="452"/>
      <c r="C66" s="452"/>
      <c r="D66" s="452"/>
      <c r="E66" s="452"/>
      <c r="F66" s="452"/>
      <c r="G66" s="452"/>
      <c r="H66" s="452"/>
      <c r="I66" s="452"/>
      <c r="J66" s="452"/>
      <c r="K66" s="452"/>
      <c r="L66" s="452"/>
      <c r="M66" s="452"/>
      <c r="N66" s="452"/>
      <c r="O66" s="452"/>
      <c r="P66" s="452"/>
      <c r="Q66" s="452"/>
      <c r="R66" s="1306">
        <v>900</v>
      </c>
      <c r="S66" s="1306"/>
      <c r="T66" s="1306"/>
      <c r="U66" s="1306">
        <v>1100</v>
      </c>
      <c r="V66" s="1306"/>
      <c r="W66" s="1306"/>
      <c r="X66" s="452"/>
    </row>
    <row r="67" spans="1:24">
      <c r="B67" s="452"/>
      <c r="C67" s="452"/>
      <c r="D67" s="452"/>
      <c r="E67" s="452"/>
      <c r="F67" s="452"/>
      <c r="G67" s="452"/>
      <c r="H67" s="452"/>
      <c r="I67" s="452"/>
      <c r="J67" s="452"/>
      <c r="K67" s="452"/>
      <c r="L67" s="452"/>
      <c r="M67" s="452"/>
      <c r="N67" s="452"/>
      <c r="O67" s="452"/>
      <c r="P67" s="452"/>
      <c r="Q67" s="452"/>
      <c r="R67" s="1306">
        <v>600</v>
      </c>
      <c r="S67" s="1306"/>
      <c r="T67" s="1306"/>
      <c r="U67" s="1306">
        <v>750</v>
      </c>
      <c r="V67" s="1306"/>
      <c r="W67" s="1306"/>
      <c r="X67" s="452"/>
    </row>
    <row r="68" spans="1:24">
      <c r="B68" s="452"/>
      <c r="C68" s="452"/>
      <c r="D68" s="452"/>
      <c r="E68" s="452"/>
      <c r="F68" s="452"/>
      <c r="G68" s="452"/>
      <c r="H68" s="452"/>
      <c r="I68" s="452"/>
      <c r="J68" s="452"/>
      <c r="K68" s="452"/>
      <c r="L68" s="452"/>
      <c r="M68" s="452"/>
      <c r="N68" s="452"/>
      <c r="O68" s="452"/>
      <c r="P68" s="452"/>
      <c r="Q68" s="452"/>
      <c r="R68" s="1306">
        <v>450</v>
      </c>
      <c r="S68" s="1306"/>
      <c r="T68" s="1306"/>
      <c r="U68" s="1306">
        <v>550</v>
      </c>
      <c r="V68" s="1306"/>
      <c r="W68" s="1306"/>
      <c r="X68" s="452"/>
    </row>
    <row r="69" spans="1:24">
      <c r="B69" s="452"/>
      <c r="C69" s="452"/>
      <c r="D69" s="452"/>
      <c r="E69" s="452"/>
      <c r="F69" s="452"/>
      <c r="G69" s="452"/>
      <c r="H69" s="452"/>
      <c r="I69" s="452"/>
      <c r="J69" s="452"/>
      <c r="K69" s="452"/>
      <c r="L69" s="452"/>
      <c r="M69" s="452"/>
      <c r="N69" s="452"/>
      <c r="O69" s="452"/>
      <c r="P69" s="452"/>
      <c r="Q69" s="452"/>
      <c r="R69" s="1306">
        <v>300</v>
      </c>
      <c r="S69" s="1306"/>
      <c r="T69" s="1306"/>
      <c r="U69" s="1306">
        <v>400</v>
      </c>
      <c r="V69" s="1306"/>
      <c r="W69" s="1306"/>
      <c r="X69" s="452"/>
    </row>
    <row r="70" spans="1:24">
      <c r="B70" s="452"/>
      <c r="C70" s="452"/>
      <c r="D70" s="452"/>
      <c r="E70" s="452"/>
      <c r="F70" s="452"/>
      <c r="G70" s="452"/>
      <c r="H70" s="452"/>
      <c r="I70" s="452"/>
      <c r="J70" s="452"/>
      <c r="K70" s="452"/>
      <c r="L70" s="452"/>
      <c r="M70" s="452"/>
      <c r="N70" s="452"/>
      <c r="O70" s="452"/>
      <c r="P70" s="452"/>
      <c r="Q70" s="452"/>
      <c r="R70" s="1306">
        <v>150</v>
      </c>
      <c r="S70" s="1306"/>
      <c r="T70" s="1306"/>
      <c r="U70" s="1306">
        <v>200</v>
      </c>
      <c r="V70" s="1306"/>
      <c r="W70" s="1306"/>
      <c r="X70" s="452"/>
    </row>
    <row r="71" spans="1:24" s="79" customFormat="1" ht="42" customHeight="1">
      <c r="A71" s="1216" t="s">
        <v>2300</v>
      </c>
      <c r="B71" s="1216"/>
      <c r="C71" s="1216"/>
      <c r="D71" s="1216"/>
      <c r="E71" s="1216"/>
      <c r="F71" s="1216"/>
      <c r="G71" s="1216"/>
      <c r="H71" s="1216"/>
      <c r="I71" s="1216"/>
      <c r="J71" s="1216"/>
      <c r="K71" s="1216"/>
      <c r="L71" s="1216"/>
      <c r="M71" s="1216"/>
      <c r="N71" s="1216"/>
      <c r="O71" s="1216"/>
      <c r="P71" s="1216"/>
      <c r="Q71" s="1216"/>
      <c r="R71" s="1216"/>
      <c r="S71" s="1216"/>
      <c r="T71" s="1216"/>
      <c r="U71" s="1216"/>
      <c r="V71" s="1216"/>
      <c r="W71" s="1216"/>
      <c r="X71" s="99"/>
    </row>
    <row r="72" spans="1:24" s="79" customFormat="1" ht="27.75" customHeight="1">
      <c r="A72" s="1216" t="s">
        <v>2301</v>
      </c>
      <c r="B72" s="1216"/>
      <c r="C72" s="1216"/>
      <c r="D72" s="1216"/>
      <c r="E72" s="1216"/>
      <c r="F72" s="1216"/>
      <c r="G72" s="1216"/>
      <c r="H72" s="1216"/>
      <c r="I72" s="1216"/>
      <c r="J72" s="1216"/>
      <c r="K72" s="1216"/>
      <c r="L72" s="1216"/>
      <c r="M72" s="1216"/>
      <c r="N72" s="1216"/>
      <c r="O72" s="1216"/>
      <c r="P72" s="1216"/>
      <c r="Q72" s="1216"/>
      <c r="R72" s="1216"/>
      <c r="S72" s="1216"/>
      <c r="T72" s="1216"/>
      <c r="U72" s="1216"/>
      <c r="V72" s="1216"/>
      <c r="W72" s="1216"/>
      <c r="X72" s="99"/>
    </row>
    <row r="73" spans="1:24" s="79" customFormat="1" ht="27.75" customHeight="1">
      <c r="A73" s="1216" t="s">
        <v>2302</v>
      </c>
      <c r="B73" s="1216"/>
      <c r="C73" s="1216"/>
      <c r="D73" s="1216"/>
      <c r="E73" s="1216"/>
      <c r="F73" s="1216"/>
      <c r="G73" s="1216"/>
      <c r="H73" s="1216"/>
      <c r="I73" s="1216"/>
      <c r="J73" s="1216"/>
      <c r="K73" s="1216"/>
      <c r="L73" s="1216"/>
      <c r="M73" s="1216"/>
      <c r="N73" s="1216"/>
      <c r="O73" s="1216"/>
      <c r="P73" s="1216"/>
      <c r="Q73" s="1216"/>
      <c r="R73" s="1216"/>
      <c r="S73" s="1216"/>
      <c r="T73" s="1216"/>
      <c r="U73" s="1216"/>
      <c r="V73" s="1216"/>
      <c r="W73" s="1216"/>
      <c r="X73" s="99"/>
    </row>
    <row r="74" spans="1:24" s="79" customFormat="1" ht="27.75" customHeight="1">
      <c r="A74" s="1216" t="s">
        <v>2303</v>
      </c>
      <c r="B74" s="1216"/>
      <c r="C74" s="1216"/>
      <c r="D74" s="1216"/>
      <c r="E74" s="1216"/>
      <c r="F74" s="1216"/>
      <c r="G74" s="1216"/>
      <c r="H74" s="1216"/>
      <c r="I74" s="1216"/>
      <c r="J74" s="1216"/>
      <c r="K74" s="1216"/>
      <c r="L74" s="1216"/>
      <c r="M74" s="1216"/>
      <c r="N74" s="1216"/>
      <c r="O74" s="1216"/>
      <c r="P74" s="1216"/>
      <c r="Q74" s="1216"/>
      <c r="R74" s="1216"/>
      <c r="S74" s="1216"/>
      <c r="T74" s="1216"/>
      <c r="U74" s="1216"/>
      <c r="V74" s="1216"/>
      <c r="W74" s="1216"/>
      <c r="X74" s="99"/>
    </row>
    <row r="75" spans="1:24" s="79" customFormat="1" ht="27.75" customHeight="1">
      <c r="A75" s="1216" t="s">
        <v>2304</v>
      </c>
      <c r="B75" s="1216"/>
      <c r="C75" s="1216"/>
      <c r="D75" s="1216"/>
      <c r="E75" s="1216"/>
      <c r="F75" s="1216"/>
      <c r="G75" s="1216"/>
      <c r="H75" s="1216"/>
      <c r="I75" s="1216"/>
      <c r="J75" s="1216"/>
      <c r="K75" s="1216"/>
      <c r="L75" s="1216"/>
      <c r="M75" s="1216"/>
      <c r="N75" s="1216"/>
      <c r="O75" s="1216"/>
      <c r="P75" s="1216"/>
      <c r="Q75" s="1216"/>
      <c r="R75" s="1216"/>
      <c r="S75" s="1216"/>
      <c r="T75" s="1216"/>
      <c r="U75" s="1216"/>
      <c r="V75" s="1216"/>
      <c r="W75" s="1216"/>
      <c r="X75" s="99"/>
    </row>
    <row r="76" spans="1:24" s="79" customFormat="1" ht="27.75" customHeight="1">
      <c r="A76" s="1216" t="s">
        <v>2305</v>
      </c>
      <c r="B76" s="1216"/>
      <c r="C76" s="1216"/>
      <c r="D76" s="1216"/>
      <c r="E76" s="1216"/>
      <c r="F76" s="1216"/>
      <c r="G76" s="1216"/>
      <c r="H76" s="1216"/>
      <c r="I76" s="1216"/>
      <c r="J76" s="1216"/>
      <c r="K76" s="1216"/>
      <c r="L76" s="1216"/>
      <c r="M76" s="1216"/>
      <c r="N76" s="1216"/>
      <c r="O76" s="1216"/>
      <c r="P76" s="1216"/>
      <c r="Q76" s="1216"/>
      <c r="R76" s="1216"/>
      <c r="S76" s="1216"/>
      <c r="T76" s="1216"/>
      <c r="U76" s="1216"/>
      <c r="V76" s="1216"/>
      <c r="W76" s="1216"/>
      <c r="X76" s="99"/>
    </row>
    <row r="77" spans="1:24" s="79" customFormat="1" ht="27.75" customHeight="1">
      <c r="A77" s="1216" t="s">
        <v>2306</v>
      </c>
      <c r="B77" s="1216"/>
      <c r="C77" s="1216"/>
      <c r="D77" s="1216"/>
      <c r="E77" s="1216"/>
      <c r="F77" s="1216"/>
      <c r="G77" s="1216"/>
      <c r="H77" s="1216"/>
      <c r="I77" s="1216"/>
      <c r="J77" s="1216"/>
      <c r="K77" s="1216"/>
      <c r="L77" s="1216"/>
      <c r="M77" s="1216"/>
      <c r="N77" s="1216"/>
      <c r="O77" s="1216"/>
      <c r="P77" s="1216"/>
      <c r="Q77" s="1216"/>
      <c r="R77" s="1216"/>
      <c r="S77" s="1216"/>
      <c r="T77" s="1216"/>
      <c r="U77" s="1216"/>
      <c r="V77" s="1216"/>
      <c r="W77" s="1216"/>
      <c r="X77" s="99"/>
    </row>
    <row r="78" spans="1:24" s="79" customFormat="1" ht="15.75" customHeight="1">
      <c r="A78" s="1216" t="s">
        <v>2307</v>
      </c>
      <c r="B78" s="1216"/>
      <c r="C78" s="1216"/>
      <c r="D78" s="1216"/>
      <c r="E78" s="1216"/>
      <c r="F78" s="1216"/>
      <c r="G78" s="1216"/>
      <c r="H78" s="1216"/>
      <c r="I78" s="1216"/>
      <c r="J78" s="1216"/>
      <c r="K78" s="1216"/>
      <c r="L78" s="1216"/>
      <c r="M78" s="1216"/>
      <c r="N78" s="1216"/>
      <c r="O78" s="1216"/>
      <c r="P78" s="1216"/>
      <c r="Q78" s="1216"/>
      <c r="R78" s="1216"/>
      <c r="S78" s="1216"/>
      <c r="T78" s="1216"/>
      <c r="U78" s="1216"/>
      <c r="V78" s="1216"/>
      <c r="W78" s="1216"/>
      <c r="X78" s="99"/>
    </row>
    <row r="79" spans="1:24" s="79" customFormat="1" ht="27.75" customHeight="1">
      <c r="A79" s="1216" t="s">
        <v>2308</v>
      </c>
      <c r="B79" s="1216"/>
      <c r="C79" s="1216"/>
      <c r="D79" s="1216"/>
      <c r="E79" s="1216"/>
      <c r="F79" s="1216"/>
      <c r="G79" s="1216"/>
      <c r="H79" s="1216"/>
      <c r="I79" s="1216"/>
      <c r="J79" s="1216"/>
      <c r="K79" s="1216"/>
      <c r="L79" s="1216"/>
      <c r="M79" s="1216"/>
      <c r="N79" s="1216"/>
      <c r="O79" s="1216"/>
      <c r="P79" s="1216"/>
      <c r="Q79" s="1216"/>
      <c r="R79" s="1216"/>
      <c r="S79" s="1216"/>
      <c r="T79" s="1216"/>
      <c r="U79" s="1216"/>
      <c r="V79" s="1216"/>
      <c r="W79" s="1216"/>
      <c r="X79" s="99"/>
    </row>
    <row r="80" spans="1:24" s="79" customFormat="1" ht="21" customHeight="1">
      <c r="A80" s="1302" t="s">
        <v>2309</v>
      </c>
      <c r="B80" s="1302"/>
      <c r="C80" s="1302"/>
      <c r="D80" s="1302"/>
      <c r="E80" s="1302"/>
      <c r="F80" s="1302"/>
      <c r="G80" s="1302"/>
      <c r="H80" s="1302"/>
      <c r="I80" s="1302"/>
      <c r="J80" s="1302"/>
      <c r="K80" s="1302"/>
      <c r="L80" s="1302"/>
      <c r="M80" s="1302"/>
      <c r="N80" s="1302"/>
      <c r="O80" s="1302"/>
      <c r="P80" s="1302"/>
      <c r="Q80" s="1302"/>
      <c r="R80" s="1302"/>
      <c r="S80" s="1302"/>
      <c r="T80" s="1302"/>
      <c r="U80" s="1302"/>
      <c r="V80" s="1302"/>
      <c r="W80" s="1302"/>
      <c r="X80" s="99"/>
    </row>
    <row r="81" spans="1:24" s="79" customFormat="1" ht="30.75" customHeight="1">
      <c r="A81" s="1216" t="s">
        <v>2310</v>
      </c>
      <c r="B81" s="1216"/>
      <c r="C81" s="1216"/>
      <c r="D81" s="1216"/>
      <c r="E81" s="1216"/>
      <c r="F81" s="1216"/>
      <c r="G81" s="1216"/>
      <c r="H81" s="1216"/>
      <c r="I81" s="1216"/>
      <c r="J81" s="1216"/>
      <c r="K81" s="1216"/>
      <c r="L81" s="1216"/>
      <c r="M81" s="1216"/>
      <c r="N81" s="1216"/>
      <c r="O81" s="1216"/>
      <c r="P81" s="1216"/>
      <c r="Q81" s="1216"/>
      <c r="R81" s="1216"/>
      <c r="S81" s="1216"/>
      <c r="T81" s="1216"/>
      <c r="U81" s="1216"/>
      <c r="V81" s="1216"/>
      <c r="W81" s="1216"/>
      <c r="X81" s="99"/>
    </row>
    <row r="82" spans="1:24" s="79" customFormat="1" ht="27.75" customHeight="1">
      <c r="A82" s="1216" t="s">
        <v>2311</v>
      </c>
      <c r="B82" s="1216"/>
      <c r="C82" s="1216"/>
      <c r="D82" s="1216"/>
      <c r="E82" s="1216"/>
      <c r="F82" s="1216"/>
      <c r="G82" s="1216"/>
      <c r="H82" s="1216"/>
      <c r="I82" s="1216"/>
      <c r="J82" s="1216"/>
      <c r="K82" s="1216"/>
      <c r="L82" s="1216"/>
      <c r="M82" s="1216"/>
      <c r="N82" s="1216"/>
      <c r="O82" s="1216"/>
      <c r="P82" s="1216"/>
      <c r="Q82" s="1216"/>
      <c r="R82" s="1216"/>
      <c r="S82" s="1216"/>
      <c r="T82" s="1216"/>
      <c r="U82" s="1216"/>
      <c r="V82" s="1216"/>
      <c r="W82" s="1216"/>
      <c r="X82" s="99"/>
    </row>
    <row r="83" spans="1:24" s="79" customFormat="1" ht="27.75" customHeight="1">
      <c r="A83" s="1216" t="s">
        <v>2312</v>
      </c>
      <c r="B83" s="1216"/>
      <c r="C83" s="1216"/>
      <c r="D83" s="1216"/>
      <c r="E83" s="1216"/>
      <c r="F83" s="1216"/>
      <c r="G83" s="1216"/>
      <c r="H83" s="1216"/>
      <c r="I83" s="1216"/>
      <c r="J83" s="1216"/>
      <c r="K83" s="1216"/>
      <c r="L83" s="1216"/>
      <c r="M83" s="1216"/>
      <c r="N83" s="1216"/>
      <c r="O83" s="1216"/>
      <c r="P83" s="1216"/>
      <c r="Q83" s="1216"/>
      <c r="R83" s="1216"/>
      <c r="S83" s="1216"/>
      <c r="T83" s="1216"/>
      <c r="U83" s="1216"/>
      <c r="V83" s="1216"/>
      <c r="W83" s="1216"/>
      <c r="X83" s="99"/>
    </row>
    <row r="84" spans="1:24" s="79" customFormat="1" ht="12.75" customHeight="1">
      <c r="A84" s="1216" t="s">
        <v>2759</v>
      </c>
      <c r="B84" s="1216"/>
      <c r="C84" s="1216"/>
      <c r="D84" s="1216"/>
      <c r="E84" s="1216"/>
      <c r="F84" s="1216"/>
      <c r="G84" s="1216"/>
      <c r="H84" s="1216"/>
      <c r="I84" s="1216"/>
      <c r="J84" s="1216"/>
      <c r="K84" s="1216"/>
      <c r="L84" s="1216"/>
      <c r="M84" s="1216"/>
      <c r="N84" s="1216"/>
      <c r="O84" s="1216"/>
      <c r="P84" s="1216"/>
      <c r="Q84" s="1216"/>
      <c r="R84" s="1216"/>
      <c r="S84" s="1216"/>
      <c r="T84" s="1216"/>
      <c r="U84" s="1216"/>
      <c r="V84" s="1216"/>
      <c r="W84" s="1216"/>
      <c r="X84" s="99"/>
    </row>
    <row r="85" spans="1:24" s="79" customFormat="1" ht="93" customHeight="1">
      <c r="A85" s="1287" t="s">
        <v>3336</v>
      </c>
      <c r="B85" s="1216"/>
      <c r="C85" s="1216"/>
      <c r="D85" s="1216"/>
      <c r="E85" s="1216"/>
      <c r="F85" s="1216"/>
      <c r="G85" s="1216"/>
      <c r="H85" s="1216"/>
      <c r="I85" s="1216"/>
      <c r="J85" s="1216"/>
      <c r="K85" s="1216"/>
      <c r="L85" s="1216"/>
      <c r="M85" s="1216"/>
      <c r="N85" s="1216"/>
      <c r="O85" s="1216"/>
      <c r="P85" s="1216"/>
      <c r="Q85" s="1216"/>
      <c r="R85" s="1216"/>
      <c r="S85" s="1216"/>
      <c r="T85" s="1216"/>
      <c r="U85" s="1216"/>
      <c r="V85" s="1216"/>
      <c r="W85" s="1216"/>
      <c r="X85" s="99"/>
    </row>
    <row r="86" spans="1:24" s="79" customFormat="1">
      <c r="A86" s="1406" t="s">
        <v>2313</v>
      </c>
      <c r="B86" s="1406"/>
      <c r="C86" s="1406"/>
      <c r="D86" s="1406"/>
      <c r="E86" s="1406"/>
      <c r="F86" s="1406"/>
      <c r="G86" s="1406"/>
      <c r="H86" s="1406"/>
      <c r="I86" s="1406"/>
      <c r="J86" s="1406"/>
      <c r="K86" s="1406"/>
      <c r="L86" s="1406"/>
      <c r="M86" s="1406"/>
      <c r="N86" s="1406"/>
      <c r="O86" s="1406"/>
      <c r="P86" s="1406"/>
      <c r="Q86" s="1406"/>
      <c r="R86" s="1406"/>
      <c r="S86" s="1406"/>
      <c r="T86" s="1406"/>
      <c r="U86" s="1406"/>
      <c r="V86" s="1406"/>
      <c r="W86" s="1406"/>
    </row>
    <row r="87" spans="1:24" s="79" customFormat="1" ht="51.75" customHeight="1">
      <c r="A87" s="1216" t="s">
        <v>2314</v>
      </c>
      <c r="B87" s="1216"/>
      <c r="C87" s="1216"/>
      <c r="D87" s="1216"/>
      <c r="E87" s="1216"/>
      <c r="F87" s="1216"/>
      <c r="G87" s="1216"/>
      <c r="H87" s="1216"/>
      <c r="I87" s="1216"/>
      <c r="J87" s="1216"/>
      <c r="K87" s="1216"/>
      <c r="L87" s="1216"/>
      <c r="M87" s="1216"/>
      <c r="N87" s="1216"/>
      <c r="O87" s="1216"/>
      <c r="P87" s="1216"/>
      <c r="Q87" s="1216"/>
      <c r="R87" s="1216"/>
      <c r="S87" s="1216"/>
      <c r="T87" s="1216"/>
      <c r="U87" s="1216"/>
      <c r="V87" s="1216"/>
      <c r="W87" s="1216"/>
    </row>
    <row r="88" spans="1:24" s="79" customFormat="1" ht="30" customHeight="1">
      <c r="A88" s="1216" t="s">
        <v>2315</v>
      </c>
      <c r="B88" s="1216"/>
      <c r="C88" s="1216"/>
      <c r="D88" s="1216"/>
      <c r="E88" s="1216"/>
      <c r="F88" s="1216"/>
      <c r="G88" s="1216"/>
      <c r="H88" s="1216"/>
      <c r="I88" s="1216"/>
      <c r="J88" s="1216"/>
      <c r="K88" s="1216"/>
      <c r="L88" s="1216"/>
      <c r="M88" s="1216"/>
      <c r="N88" s="1216"/>
      <c r="O88" s="1216"/>
      <c r="P88" s="1216"/>
      <c r="Q88" s="1216"/>
      <c r="R88" s="1216"/>
      <c r="S88" s="1216"/>
      <c r="T88" s="1216"/>
      <c r="U88" s="1216"/>
      <c r="V88" s="1216"/>
      <c r="W88" s="1216"/>
    </row>
    <row r="89" spans="1:24" s="79" customFormat="1" ht="45.75" customHeight="1">
      <c r="A89" s="1216" t="s">
        <v>2316</v>
      </c>
      <c r="B89" s="1216"/>
      <c r="C89" s="1216"/>
      <c r="D89" s="1216"/>
      <c r="E89" s="1216"/>
      <c r="F89" s="1216"/>
      <c r="G89" s="1216"/>
      <c r="H89" s="1216"/>
      <c r="I89" s="1216"/>
      <c r="J89" s="1216"/>
      <c r="K89" s="1216"/>
      <c r="L89" s="1216"/>
      <c r="M89" s="1216"/>
      <c r="N89" s="1216"/>
      <c r="O89" s="1216"/>
      <c r="P89" s="1216"/>
      <c r="Q89" s="1216"/>
      <c r="R89" s="1216"/>
      <c r="S89" s="1216"/>
      <c r="T89" s="1216"/>
      <c r="U89" s="1216"/>
      <c r="V89" s="1216"/>
      <c r="W89" s="1216"/>
    </row>
    <row r="90" spans="1:24" s="79" customFormat="1" ht="72.75" customHeight="1">
      <c r="A90" s="1216" t="s">
        <v>2317</v>
      </c>
      <c r="B90" s="1216"/>
      <c r="C90" s="1216"/>
      <c r="D90" s="1216"/>
      <c r="E90" s="1216"/>
      <c r="F90" s="1216"/>
      <c r="G90" s="1216"/>
      <c r="H90" s="1216"/>
      <c r="I90" s="1216"/>
      <c r="J90" s="1216"/>
      <c r="K90" s="1216"/>
      <c r="L90" s="1216"/>
      <c r="M90" s="1216"/>
      <c r="N90" s="1216"/>
      <c r="O90" s="1216"/>
      <c r="P90" s="1216"/>
      <c r="Q90" s="1216"/>
      <c r="R90" s="1216"/>
      <c r="S90" s="1216"/>
      <c r="T90" s="1216"/>
      <c r="U90" s="1216"/>
      <c r="V90" s="1216"/>
      <c r="W90" s="1216"/>
    </row>
    <row r="91" spans="1:24" s="79" customFormat="1" ht="58.5" customHeight="1">
      <c r="A91" s="1216" t="s">
        <v>2318</v>
      </c>
      <c r="B91" s="1216"/>
      <c r="C91" s="1216"/>
      <c r="D91" s="1216"/>
      <c r="E91" s="1216"/>
      <c r="F91" s="1216"/>
      <c r="G91" s="1216"/>
      <c r="H91" s="1216"/>
      <c r="I91" s="1216"/>
      <c r="J91" s="1216"/>
      <c r="K91" s="1216"/>
      <c r="L91" s="1216"/>
      <c r="M91" s="1216"/>
      <c r="N91" s="1216"/>
      <c r="O91" s="1216"/>
      <c r="P91" s="1216"/>
      <c r="Q91" s="1216"/>
      <c r="R91" s="1216"/>
      <c r="S91" s="1216"/>
      <c r="T91" s="1216"/>
      <c r="U91" s="1216"/>
      <c r="V91" s="1216"/>
      <c r="W91" s="1216"/>
    </row>
    <row r="92" spans="1:24" s="79" customFormat="1" ht="19.5" customHeight="1">
      <c r="A92" s="1216" t="s">
        <v>2319</v>
      </c>
      <c r="B92" s="1216"/>
      <c r="C92" s="1216"/>
      <c r="D92" s="1216"/>
      <c r="E92" s="1216"/>
      <c r="F92" s="1216"/>
      <c r="G92" s="1216"/>
      <c r="H92" s="1216"/>
      <c r="I92" s="1216"/>
      <c r="J92" s="1216"/>
      <c r="K92" s="1216"/>
      <c r="L92" s="1216"/>
      <c r="M92" s="1216"/>
      <c r="N92" s="1216"/>
      <c r="O92" s="1216"/>
      <c r="P92" s="1216"/>
      <c r="Q92" s="1216"/>
      <c r="R92" s="1216"/>
      <c r="S92" s="1216"/>
      <c r="T92" s="1216"/>
      <c r="U92" s="1216"/>
      <c r="V92" s="1216"/>
      <c r="W92" s="1216"/>
    </row>
    <row r="93" spans="1:24" s="79" customFormat="1" ht="114" customHeight="1">
      <c r="A93" s="1216" t="s">
        <v>2760</v>
      </c>
      <c r="B93" s="1216"/>
      <c r="C93" s="1216"/>
      <c r="D93" s="1216"/>
      <c r="E93" s="1216"/>
      <c r="F93" s="1216"/>
      <c r="G93" s="1216"/>
      <c r="H93" s="1216"/>
      <c r="I93" s="1216"/>
      <c r="J93" s="1216"/>
      <c r="K93" s="1216"/>
      <c r="L93" s="1216"/>
      <c r="M93" s="1216"/>
      <c r="N93" s="1216"/>
      <c r="O93" s="1216"/>
      <c r="P93" s="1216"/>
      <c r="Q93" s="1216"/>
      <c r="R93" s="1216"/>
      <c r="S93" s="1216"/>
      <c r="T93" s="1216"/>
      <c r="U93" s="1216"/>
      <c r="V93" s="1216"/>
      <c r="W93" s="1216"/>
    </row>
    <row r="94" spans="1:24" s="79" customFormat="1" ht="58.5" customHeight="1">
      <c r="A94" s="1216" t="s">
        <v>2320</v>
      </c>
      <c r="B94" s="1216"/>
      <c r="C94" s="1216"/>
      <c r="D94" s="1216"/>
      <c r="E94" s="1216"/>
      <c r="F94" s="1216"/>
      <c r="G94" s="1216"/>
      <c r="H94" s="1216"/>
      <c r="I94" s="1216"/>
      <c r="J94" s="1216"/>
      <c r="K94" s="1216"/>
      <c r="L94" s="1216"/>
      <c r="M94" s="1216"/>
      <c r="N94" s="1216"/>
      <c r="O94" s="1216"/>
      <c r="P94" s="1216"/>
      <c r="Q94" s="1216"/>
      <c r="R94" s="1216"/>
      <c r="S94" s="1216"/>
      <c r="T94" s="1216"/>
      <c r="U94" s="1216"/>
      <c r="V94" s="1216"/>
      <c r="W94" s="1216"/>
    </row>
    <row r="95" spans="1:24" s="79" customFormat="1" ht="35.25" customHeight="1">
      <c r="A95" s="1216" t="s">
        <v>2321</v>
      </c>
      <c r="B95" s="1216"/>
      <c r="C95" s="1216"/>
      <c r="D95" s="1216"/>
      <c r="E95" s="1216"/>
      <c r="F95" s="1216"/>
      <c r="G95" s="1216"/>
      <c r="H95" s="1216"/>
      <c r="I95" s="1216"/>
      <c r="J95" s="1216"/>
      <c r="K95" s="1216"/>
      <c r="L95" s="1216"/>
      <c r="M95" s="1216"/>
      <c r="N95" s="1216"/>
      <c r="O95" s="1216"/>
      <c r="P95" s="1216"/>
      <c r="Q95" s="1216"/>
      <c r="R95" s="1216"/>
      <c r="S95" s="1216"/>
      <c r="T95" s="1216"/>
      <c r="U95" s="1216"/>
      <c r="V95" s="1216"/>
      <c r="W95" s="1216"/>
    </row>
    <row r="96" spans="1:24" s="79" customFormat="1" ht="20.25" customHeight="1">
      <c r="A96" s="1216" t="s">
        <v>2322</v>
      </c>
      <c r="B96" s="1216"/>
      <c r="C96" s="1216"/>
      <c r="D96" s="1216"/>
      <c r="E96" s="1216"/>
      <c r="F96" s="1216"/>
      <c r="G96" s="1216"/>
      <c r="H96" s="1216"/>
      <c r="I96" s="1216"/>
      <c r="J96" s="1216"/>
      <c r="K96" s="1216"/>
      <c r="L96" s="1216"/>
      <c r="M96" s="1216"/>
      <c r="N96" s="1216"/>
      <c r="O96" s="1216"/>
      <c r="P96" s="1216"/>
      <c r="Q96" s="1216"/>
      <c r="R96" s="1216"/>
      <c r="S96" s="1216"/>
      <c r="T96" s="1216"/>
      <c r="U96" s="1216"/>
      <c r="V96" s="1216"/>
      <c r="W96" s="1216"/>
    </row>
    <row r="97" spans="1:24" s="79" customFormat="1" ht="34.5" customHeight="1">
      <c r="A97" s="1216" t="s">
        <v>2323</v>
      </c>
      <c r="B97" s="1216"/>
      <c r="C97" s="1216"/>
      <c r="D97" s="1216"/>
      <c r="E97" s="1216"/>
      <c r="F97" s="1216"/>
      <c r="G97" s="1216"/>
      <c r="H97" s="1216"/>
      <c r="I97" s="1216"/>
      <c r="J97" s="1216"/>
      <c r="K97" s="1216"/>
      <c r="L97" s="1216"/>
      <c r="M97" s="1216"/>
      <c r="N97" s="1216"/>
      <c r="O97" s="1216"/>
      <c r="P97" s="1216"/>
      <c r="Q97" s="1216"/>
      <c r="R97" s="1216"/>
      <c r="S97" s="1216"/>
      <c r="T97" s="1216"/>
      <c r="U97" s="1216"/>
      <c r="V97" s="1216"/>
      <c r="W97" s="1216"/>
    </row>
    <row r="98" spans="1:24" s="79" customFormat="1" ht="21" customHeight="1">
      <c r="A98" s="1216" t="s">
        <v>2324</v>
      </c>
      <c r="B98" s="1216"/>
      <c r="C98" s="1216"/>
      <c r="D98" s="1216"/>
      <c r="E98" s="1216"/>
      <c r="F98" s="1216"/>
      <c r="G98" s="1216"/>
      <c r="H98" s="1216"/>
      <c r="I98" s="1216"/>
      <c r="J98" s="1216"/>
      <c r="K98" s="1216"/>
      <c r="L98" s="1216"/>
      <c r="M98" s="1216"/>
      <c r="N98" s="1216"/>
      <c r="O98" s="1216"/>
      <c r="P98" s="1216"/>
      <c r="Q98" s="1216"/>
      <c r="R98" s="1216"/>
      <c r="S98" s="1216"/>
      <c r="T98" s="1216"/>
      <c r="U98" s="1216"/>
      <c r="V98" s="1216"/>
      <c r="W98" s="1216"/>
    </row>
    <row r="99" spans="1:24" s="79" customFormat="1" ht="28.5" customHeight="1">
      <c r="A99" s="1216" t="s">
        <v>2325</v>
      </c>
      <c r="B99" s="1216"/>
      <c r="C99" s="1216"/>
      <c r="D99" s="1216"/>
      <c r="E99" s="1216"/>
      <c r="F99" s="1216"/>
      <c r="G99" s="1216"/>
      <c r="H99" s="1216"/>
      <c r="I99" s="1216"/>
      <c r="J99" s="1216"/>
      <c r="K99" s="1216"/>
      <c r="L99" s="1216"/>
      <c r="M99" s="1216"/>
      <c r="N99" s="1216"/>
      <c r="O99" s="1216"/>
      <c r="P99" s="1216"/>
      <c r="Q99" s="1216"/>
      <c r="R99" s="1216"/>
      <c r="S99" s="1216"/>
      <c r="T99" s="1216"/>
      <c r="U99" s="1216"/>
      <c r="V99" s="1216"/>
      <c r="W99" s="1216"/>
    </row>
    <row r="100" spans="1:24" s="79" customFormat="1" ht="25.5" customHeight="1">
      <c r="A100" s="1216" t="s">
        <v>2761</v>
      </c>
      <c r="B100" s="1216"/>
      <c r="C100" s="1216"/>
      <c r="D100" s="1216"/>
      <c r="E100" s="1216"/>
      <c r="F100" s="1216"/>
      <c r="G100" s="1216"/>
      <c r="H100" s="1216"/>
      <c r="I100" s="1216"/>
      <c r="J100" s="1216"/>
      <c r="K100" s="1216"/>
      <c r="L100" s="1216"/>
      <c r="M100" s="1216"/>
      <c r="N100" s="1216"/>
      <c r="O100" s="1216"/>
      <c r="P100" s="1216"/>
      <c r="Q100" s="1216"/>
      <c r="R100" s="1216"/>
      <c r="S100" s="1216"/>
      <c r="T100" s="1216"/>
      <c r="U100" s="1216"/>
      <c r="V100" s="1216"/>
      <c r="W100" s="1216"/>
    </row>
    <row r="101" spans="1:24" s="79" customFormat="1" ht="97.5" customHeight="1">
      <c r="A101" s="1216" t="s">
        <v>2762</v>
      </c>
      <c r="B101" s="1216"/>
      <c r="C101" s="1216"/>
      <c r="D101" s="1216"/>
      <c r="E101" s="1216"/>
      <c r="F101" s="1216"/>
      <c r="G101" s="1216"/>
      <c r="H101" s="1216"/>
      <c r="I101" s="1216"/>
      <c r="J101" s="1216"/>
      <c r="K101" s="1216"/>
      <c r="L101" s="1216"/>
      <c r="M101" s="1216"/>
      <c r="N101" s="1216"/>
      <c r="O101" s="1216"/>
      <c r="P101" s="1216"/>
      <c r="Q101" s="1216"/>
      <c r="R101" s="1216"/>
      <c r="S101" s="1216"/>
      <c r="T101" s="1216"/>
      <c r="U101" s="1216"/>
      <c r="V101" s="1216"/>
      <c r="W101" s="1216"/>
    </row>
    <row r="102" spans="1:24" s="79" customFormat="1" ht="41.25" customHeight="1">
      <c r="A102" s="1216" t="s">
        <v>2326</v>
      </c>
      <c r="B102" s="1216"/>
      <c r="C102" s="1216"/>
      <c r="D102" s="1216"/>
      <c r="E102" s="1216"/>
      <c r="F102" s="1216"/>
      <c r="G102" s="1216"/>
      <c r="H102" s="1216"/>
      <c r="I102" s="1216"/>
      <c r="J102" s="1216"/>
      <c r="K102" s="1216"/>
      <c r="L102" s="1216"/>
      <c r="M102" s="1216"/>
      <c r="N102" s="1216"/>
      <c r="O102" s="1216"/>
      <c r="P102" s="1216"/>
      <c r="Q102" s="1216"/>
      <c r="R102" s="1216"/>
      <c r="S102" s="1216"/>
      <c r="T102" s="1216"/>
      <c r="U102" s="1216"/>
      <c r="V102" s="1216"/>
      <c r="W102" s="1216"/>
    </row>
    <row r="103" spans="1:24" s="79" customFormat="1" ht="22.5" customHeight="1">
      <c r="A103" s="1216" t="s">
        <v>2763</v>
      </c>
      <c r="B103" s="1216"/>
      <c r="C103" s="1216"/>
      <c r="D103" s="1216"/>
      <c r="E103" s="1216"/>
      <c r="F103" s="1216"/>
      <c r="G103" s="1216"/>
      <c r="H103" s="1216"/>
      <c r="I103" s="1216"/>
      <c r="J103" s="1216"/>
      <c r="K103" s="1216"/>
      <c r="L103" s="1216"/>
      <c r="M103" s="1216"/>
      <c r="N103" s="1216"/>
      <c r="O103" s="1216"/>
      <c r="P103" s="1216"/>
      <c r="Q103" s="1216"/>
      <c r="R103" s="1216"/>
      <c r="S103" s="1216"/>
      <c r="T103" s="1216"/>
      <c r="U103" s="1216"/>
      <c r="V103" s="1216"/>
      <c r="W103" s="1216"/>
    </row>
    <row r="104" spans="1:24" s="79" customFormat="1" ht="73.5" customHeight="1">
      <c r="A104" s="1216" t="s">
        <v>2327</v>
      </c>
      <c r="B104" s="1216"/>
      <c r="C104" s="1216"/>
      <c r="D104" s="1216"/>
      <c r="E104" s="1216"/>
      <c r="F104" s="1216"/>
      <c r="G104" s="1216"/>
      <c r="H104" s="1216"/>
      <c r="I104" s="1216"/>
      <c r="J104" s="1216"/>
      <c r="K104" s="1216"/>
      <c r="L104" s="1216"/>
      <c r="M104" s="1216"/>
      <c r="N104" s="1216"/>
      <c r="O104" s="1216"/>
      <c r="P104" s="1216"/>
      <c r="Q104" s="1216"/>
      <c r="R104" s="1216"/>
      <c r="S104" s="1216"/>
      <c r="T104" s="1216"/>
      <c r="U104" s="1216"/>
      <c r="V104" s="1216"/>
      <c r="W104" s="1216"/>
    </row>
    <row r="105" spans="1:24" s="79" customFormat="1" ht="45" customHeight="1">
      <c r="A105" s="1216" t="s">
        <v>2328</v>
      </c>
      <c r="B105" s="1216"/>
      <c r="C105" s="1216"/>
      <c r="D105" s="1216"/>
      <c r="E105" s="1216"/>
      <c r="F105" s="1216"/>
      <c r="G105" s="1216"/>
      <c r="H105" s="1216"/>
      <c r="I105" s="1216"/>
      <c r="J105" s="1216"/>
      <c r="K105" s="1216"/>
      <c r="L105" s="1216"/>
      <c r="M105" s="1216"/>
      <c r="N105" s="1216"/>
      <c r="O105" s="1216"/>
      <c r="P105" s="1216"/>
      <c r="Q105" s="1216"/>
      <c r="R105" s="1216"/>
      <c r="S105" s="1216"/>
      <c r="T105" s="1216"/>
      <c r="U105" s="1216"/>
      <c r="V105" s="1216"/>
      <c r="W105" s="1216"/>
    </row>
    <row r="106" spans="1:24" s="79" customFormat="1" ht="33" customHeight="1">
      <c r="A106" s="1216" t="s">
        <v>2329</v>
      </c>
      <c r="B106" s="1216"/>
      <c r="C106" s="1216"/>
      <c r="D106" s="1216"/>
      <c r="E106" s="1216"/>
      <c r="F106" s="1216"/>
      <c r="G106" s="1216"/>
      <c r="H106" s="1216"/>
      <c r="I106" s="1216"/>
      <c r="J106" s="1216"/>
      <c r="K106" s="1216"/>
      <c r="L106" s="1216"/>
      <c r="M106" s="1216"/>
      <c r="N106" s="1216"/>
      <c r="O106" s="1216"/>
      <c r="P106" s="1216"/>
      <c r="Q106" s="1216"/>
      <c r="R106" s="1216"/>
      <c r="S106" s="1216"/>
      <c r="T106" s="1216"/>
      <c r="U106" s="1216"/>
      <c r="V106" s="1216"/>
      <c r="W106" s="1216"/>
    </row>
    <row r="107" spans="1:24" s="79" customFormat="1" ht="41.25" customHeight="1">
      <c r="A107" s="1216" t="s">
        <v>2330</v>
      </c>
      <c r="B107" s="1216"/>
      <c r="C107" s="1216"/>
      <c r="D107" s="1216"/>
      <c r="E107" s="1216"/>
      <c r="F107" s="1216"/>
      <c r="G107" s="1216"/>
      <c r="H107" s="1216"/>
      <c r="I107" s="1216"/>
      <c r="J107" s="1216"/>
      <c r="K107" s="1216"/>
      <c r="L107" s="1216"/>
      <c r="M107" s="1216"/>
      <c r="N107" s="1216"/>
      <c r="O107" s="1216"/>
      <c r="P107" s="1216"/>
      <c r="Q107" s="1216"/>
      <c r="R107" s="1216"/>
      <c r="S107" s="1216"/>
      <c r="T107" s="1216"/>
      <c r="U107" s="1216"/>
      <c r="V107" s="1216"/>
      <c r="W107" s="1216"/>
    </row>
    <row r="108" spans="1:24" s="79" customFormat="1" ht="23.25" customHeight="1">
      <c r="A108" s="1216" t="s">
        <v>2331</v>
      </c>
      <c r="B108" s="1216"/>
      <c r="C108" s="1216"/>
      <c r="D108" s="1216"/>
      <c r="E108" s="1216"/>
      <c r="F108" s="1216"/>
      <c r="G108" s="1216"/>
      <c r="H108" s="1216"/>
      <c r="I108" s="1216"/>
      <c r="J108" s="1216"/>
      <c r="K108" s="1216"/>
      <c r="L108" s="1216"/>
      <c r="M108" s="1216"/>
      <c r="N108" s="1216"/>
      <c r="O108" s="1216"/>
      <c r="P108" s="1216"/>
      <c r="Q108" s="1216"/>
      <c r="R108" s="1216"/>
      <c r="S108" s="1216"/>
      <c r="T108" s="1216"/>
      <c r="U108" s="1216"/>
      <c r="V108" s="1216"/>
      <c r="W108" s="1216"/>
    </row>
    <row r="109" spans="1:24" s="79" customFormat="1" ht="96" customHeight="1">
      <c r="A109" s="1216" t="s">
        <v>2332</v>
      </c>
      <c r="B109" s="1216"/>
      <c r="C109" s="1216"/>
      <c r="D109" s="1216"/>
      <c r="E109" s="1216"/>
      <c r="F109" s="1216"/>
      <c r="G109" s="1216"/>
      <c r="H109" s="1216"/>
      <c r="I109" s="1216"/>
      <c r="J109" s="1216"/>
      <c r="K109" s="1216"/>
      <c r="L109" s="1216"/>
      <c r="M109" s="1216"/>
      <c r="N109" s="1216"/>
      <c r="O109" s="1216"/>
      <c r="P109" s="1216"/>
      <c r="Q109" s="1216"/>
      <c r="R109" s="1216"/>
      <c r="S109" s="1216"/>
      <c r="T109" s="1216"/>
      <c r="U109" s="1216"/>
      <c r="V109" s="1216"/>
      <c r="W109" s="1216"/>
    </row>
    <row r="110" spans="1:24" s="79" customFormat="1" ht="43.5" customHeight="1">
      <c r="A110" s="1216" t="s">
        <v>2333</v>
      </c>
      <c r="B110" s="1216"/>
      <c r="C110" s="1216"/>
      <c r="D110" s="1216"/>
      <c r="E110" s="1216"/>
      <c r="F110" s="1216"/>
      <c r="G110" s="1216"/>
      <c r="H110" s="1216"/>
      <c r="I110" s="1216"/>
      <c r="J110" s="1216"/>
      <c r="K110" s="1216"/>
      <c r="L110" s="1216"/>
      <c r="M110" s="1216"/>
      <c r="N110" s="1216"/>
      <c r="O110" s="1216"/>
      <c r="P110" s="1216"/>
      <c r="Q110" s="1216"/>
      <c r="R110" s="1216"/>
      <c r="S110" s="1216"/>
      <c r="T110" s="1216"/>
      <c r="U110" s="1216"/>
      <c r="V110" s="1216"/>
      <c r="W110" s="1216"/>
    </row>
    <row r="111" spans="1:24" s="79" customFormat="1">
      <c r="A111" s="1406" t="s">
        <v>2285</v>
      </c>
      <c r="B111" s="1406"/>
      <c r="C111" s="1406"/>
      <c r="D111" s="1406"/>
      <c r="E111" s="1406"/>
      <c r="F111" s="1406"/>
      <c r="G111" s="1406"/>
      <c r="H111" s="1406"/>
      <c r="I111" s="1406"/>
      <c r="J111" s="1406"/>
      <c r="K111" s="1406"/>
      <c r="L111" s="1406"/>
      <c r="M111" s="1406"/>
      <c r="N111" s="1406"/>
      <c r="O111" s="1406"/>
      <c r="P111" s="1406"/>
      <c r="Q111" s="1406"/>
      <c r="R111" s="1406"/>
      <c r="S111" s="1406"/>
      <c r="T111" s="1406"/>
      <c r="U111" s="1406"/>
      <c r="V111" s="1406"/>
      <c r="W111" s="1406"/>
    </row>
    <row r="112" spans="1:24" s="79" customFormat="1" ht="33" customHeight="1">
      <c r="A112" s="1216" t="s">
        <v>2334</v>
      </c>
      <c r="B112" s="1216"/>
      <c r="C112" s="1216"/>
      <c r="D112" s="1216"/>
      <c r="E112" s="1216"/>
      <c r="F112" s="1216"/>
      <c r="G112" s="1216"/>
      <c r="H112" s="1216"/>
      <c r="I112" s="1216"/>
      <c r="J112" s="1216"/>
      <c r="K112" s="1216"/>
      <c r="L112" s="1216"/>
      <c r="M112" s="1216"/>
      <c r="N112" s="1216"/>
      <c r="O112" s="1216"/>
      <c r="P112" s="1216"/>
      <c r="Q112" s="1216"/>
      <c r="R112" s="1216"/>
      <c r="S112" s="1216"/>
      <c r="T112" s="1216"/>
      <c r="U112" s="1216"/>
      <c r="V112" s="1216"/>
      <c r="W112" s="1216"/>
      <c r="X112" s="99"/>
    </row>
    <row r="113" spans="1:24" s="79" customFormat="1">
      <c r="A113" s="1216"/>
      <c r="B113" s="1216"/>
      <c r="C113" s="1216"/>
      <c r="D113" s="1216"/>
      <c r="E113" s="1216"/>
      <c r="F113" s="1216"/>
      <c r="G113" s="1216"/>
      <c r="H113" s="1216"/>
      <c r="I113" s="1216"/>
      <c r="J113" s="1216"/>
      <c r="K113" s="1216"/>
      <c r="L113" s="1216"/>
      <c r="M113" s="1216"/>
      <c r="N113" s="1216"/>
      <c r="O113" s="1216"/>
      <c r="P113" s="1216"/>
      <c r="Q113" s="1216"/>
      <c r="R113" s="1216"/>
      <c r="S113" s="1216"/>
      <c r="T113" s="1216"/>
      <c r="U113" s="1216"/>
      <c r="V113" s="1216"/>
      <c r="W113" s="1216"/>
      <c r="X113" s="99"/>
    </row>
    <row r="114" spans="1:24" s="79" customFormat="1" ht="12.75" customHeight="1">
      <c r="A114" s="1216" t="s">
        <v>2764</v>
      </c>
      <c r="B114" s="1216"/>
      <c r="C114" s="1216"/>
      <c r="D114" s="1216"/>
      <c r="E114" s="1216"/>
      <c r="F114" s="1216"/>
      <c r="G114" s="1216"/>
      <c r="H114" s="1216"/>
      <c r="I114" s="1216"/>
      <c r="J114" s="1216"/>
      <c r="K114" s="1216"/>
      <c r="L114" s="1216"/>
      <c r="M114" s="1216"/>
      <c r="N114" s="1216"/>
      <c r="O114" s="1216"/>
      <c r="P114" s="1216"/>
      <c r="Q114" s="1216"/>
      <c r="R114" s="1216"/>
      <c r="S114" s="1216"/>
      <c r="T114" s="1216"/>
      <c r="U114" s="1216"/>
      <c r="V114" s="1216"/>
      <c r="W114" s="1216"/>
      <c r="X114" s="99"/>
    </row>
    <row r="115" spans="1:24" s="79" customFormat="1" ht="351.75" customHeight="1">
      <c r="A115" s="1407" t="s">
        <v>2765</v>
      </c>
      <c r="B115" s="1407"/>
      <c r="C115" s="1407"/>
      <c r="D115" s="1407"/>
      <c r="E115" s="1407"/>
      <c r="F115" s="1407"/>
      <c r="G115" s="1407"/>
      <c r="H115" s="1407"/>
      <c r="I115" s="1407"/>
      <c r="J115" s="1407"/>
      <c r="K115" s="1407"/>
      <c r="L115" s="1407"/>
      <c r="M115" s="1407"/>
      <c r="N115" s="1407"/>
      <c r="O115" s="1407"/>
      <c r="P115" s="1407"/>
      <c r="Q115" s="1407"/>
      <c r="R115" s="1407"/>
      <c r="S115" s="1407"/>
      <c r="T115" s="1407"/>
      <c r="U115" s="1407"/>
      <c r="V115" s="1407"/>
      <c r="W115" s="1407"/>
      <c r="X115" s="99"/>
    </row>
    <row r="116" spans="1:24" s="79" customFormat="1" ht="18.75" customHeight="1">
      <c r="A116" s="1216"/>
      <c r="B116" s="1216"/>
      <c r="C116" s="1216"/>
      <c r="D116" s="1216"/>
      <c r="E116" s="1216"/>
      <c r="F116" s="1216"/>
      <c r="G116" s="1216"/>
      <c r="H116" s="1216"/>
      <c r="I116" s="1216"/>
      <c r="J116" s="1216"/>
      <c r="K116" s="1216"/>
      <c r="L116" s="1216"/>
      <c r="M116" s="1216"/>
      <c r="N116" s="1216"/>
      <c r="O116" s="1216"/>
      <c r="P116" s="1216"/>
      <c r="Q116" s="1216"/>
      <c r="R116" s="1216"/>
      <c r="S116" s="1216"/>
      <c r="T116" s="1216"/>
      <c r="U116" s="1216"/>
      <c r="V116" s="1216"/>
      <c r="W116" s="1216"/>
      <c r="X116" s="99"/>
    </row>
    <row r="117" spans="1:24" s="79" customFormat="1" ht="164.25" customHeight="1">
      <c r="A117" s="1303" t="s">
        <v>2335</v>
      </c>
      <c r="B117" s="1303"/>
      <c r="C117" s="1303"/>
      <c r="D117" s="1303"/>
      <c r="E117" s="1303"/>
      <c r="F117" s="1303"/>
      <c r="G117" s="1303"/>
      <c r="H117" s="1303"/>
      <c r="I117" s="1303"/>
      <c r="J117" s="1303"/>
      <c r="K117" s="1303"/>
      <c r="L117" s="1303"/>
      <c r="M117" s="1303"/>
      <c r="N117" s="1303"/>
      <c r="O117" s="1303"/>
      <c r="P117" s="1303"/>
      <c r="Q117" s="1303"/>
      <c r="R117" s="1303"/>
      <c r="S117" s="1303"/>
      <c r="T117" s="1303"/>
      <c r="U117" s="1303"/>
      <c r="V117" s="1303"/>
      <c r="W117" s="1303"/>
      <c r="X117" s="99"/>
    </row>
    <row r="118" spans="1:24" s="79" customFormat="1" ht="33" customHeight="1">
      <c r="A118" s="1216" t="s">
        <v>2336</v>
      </c>
      <c r="B118" s="1216"/>
      <c r="C118" s="1216"/>
      <c r="D118" s="1216"/>
      <c r="E118" s="1216"/>
      <c r="F118" s="1216"/>
      <c r="G118" s="1216"/>
      <c r="H118" s="1216"/>
      <c r="I118" s="1216"/>
      <c r="J118" s="1216"/>
      <c r="K118" s="1216"/>
      <c r="L118" s="1216"/>
      <c r="M118" s="1216"/>
      <c r="N118" s="1216"/>
      <c r="O118" s="1216"/>
      <c r="P118" s="1216"/>
      <c r="Q118" s="1216"/>
      <c r="R118" s="1216"/>
      <c r="S118" s="1216"/>
      <c r="T118" s="1216"/>
      <c r="U118" s="1216"/>
      <c r="V118" s="1216"/>
      <c r="W118" s="1216"/>
      <c r="X118" s="99"/>
    </row>
    <row r="119" spans="1:24" s="79" customFormat="1" ht="64.5" customHeight="1">
      <c r="A119" s="1216" t="s">
        <v>2337</v>
      </c>
      <c r="B119" s="1216"/>
      <c r="C119" s="1216"/>
      <c r="D119" s="1216"/>
      <c r="E119" s="1216"/>
      <c r="F119" s="1216"/>
      <c r="G119" s="1216"/>
      <c r="H119" s="1216"/>
      <c r="I119" s="1216"/>
      <c r="J119" s="1216"/>
      <c r="K119" s="1216"/>
      <c r="L119" s="1216"/>
      <c r="M119" s="1216"/>
      <c r="N119" s="1216"/>
      <c r="O119" s="1216"/>
      <c r="P119" s="1216"/>
      <c r="Q119" s="1216"/>
      <c r="R119" s="1216"/>
      <c r="S119" s="1216"/>
      <c r="T119" s="1216"/>
      <c r="U119" s="1216"/>
      <c r="V119" s="1216"/>
      <c r="W119" s="1216"/>
      <c r="X119" s="99"/>
    </row>
    <row r="120" spans="1:24" s="79" customFormat="1" ht="41.25" customHeight="1">
      <c r="A120" s="1216" t="s">
        <v>2338</v>
      </c>
      <c r="B120" s="1216"/>
      <c r="C120" s="1216"/>
      <c r="D120" s="1216"/>
      <c r="E120" s="1216"/>
      <c r="F120" s="1216"/>
      <c r="G120" s="1216"/>
      <c r="H120" s="1216"/>
      <c r="I120" s="1216"/>
      <c r="J120" s="1216"/>
      <c r="K120" s="1216"/>
      <c r="L120" s="1216"/>
      <c r="M120" s="1216"/>
      <c r="N120" s="1216"/>
      <c r="O120" s="1216"/>
      <c r="P120" s="1216"/>
      <c r="Q120" s="1216"/>
      <c r="R120" s="1216"/>
      <c r="S120" s="1216"/>
      <c r="T120" s="1216"/>
      <c r="U120" s="1216"/>
      <c r="V120" s="1216"/>
      <c r="W120" s="1216"/>
      <c r="X120" s="99"/>
    </row>
    <row r="121" spans="1:24" s="79" customFormat="1" ht="41.25" customHeight="1">
      <c r="A121" s="1216" t="s">
        <v>2339</v>
      </c>
      <c r="B121" s="1216"/>
      <c r="C121" s="1216"/>
      <c r="D121" s="1216"/>
      <c r="E121" s="1216"/>
      <c r="F121" s="1216"/>
      <c r="G121" s="1216"/>
      <c r="H121" s="1216"/>
      <c r="I121" s="1216"/>
      <c r="J121" s="1216"/>
      <c r="K121" s="1216"/>
      <c r="L121" s="1216"/>
      <c r="M121" s="1216"/>
      <c r="N121" s="1216"/>
      <c r="O121" s="1216"/>
      <c r="P121" s="1216"/>
      <c r="Q121" s="1216"/>
      <c r="R121" s="1216"/>
      <c r="S121" s="1216"/>
      <c r="T121" s="1216"/>
      <c r="U121" s="1216"/>
      <c r="V121" s="1216"/>
      <c r="W121" s="1216"/>
      <c r="X121" s="99"/>
    </row>
    <row r="122" spans="1:24" s="79" customFormat="1" ht="41.25" customHeight="1">
      <c r="A122" s="1216" t="s">
        <v>2340</v>
      </c>
      <c r="B122" s="1216"/>
      <c r="C122" s="1216"/>
      <c r="D122" s="1216"/>
      <c r="E122" s="1216"/>
      <c r="F122" s="1216"/>
      <c r="G122" s="1216"/>
      <c r="H122" s="1216"/>
      <c r="I122" s="1216"/>
      <c r="J122" s="1216"/>
      <c r="K122" s="1216"/>
      <c r="L122" s="1216"/>
      <c r="M122" s="1216"/>
      <c r="N122" s="1216"/>
      <c r="O122" s="1216"/>
      <c r="P122" s="1216"/>
      <c r="Q122" s="1216"/>
      <c r="R122" s="1216"/>
      <c r="S122" s="1216"/>
      <c r="T122" s="1216"/>
      <c r="U122" s="1216"/>
      <c r="V122" s="1216"/>
      <c r="W122" s="1216"/>
      <c r="X122" s="99"/>
    </row>
    <row r="123" spans="1:24" s="79" customFormat="1" ht="41.25" customHeight="1">
      <c r="A123" s="1216" t="s">
        <v>2341</v>
      </c>
      <c r="B123" s="1216"/>
      <c r="C123" s="1216"/>
      <c r="D123" s="1216"/>
      <c r="E123" s="1216"/>
      <c r="F123" s="1216"/>
      <c r="G123" s="1216"/>
      <c r="H123" s="1216"/>
      <c r="I123" s="1216"/>
      <c r="J123" s="1216"/>
      <c r="K123" s="1216"/>
      <c r="L123" s="1216"/>
      <c r="M123" s="1216"/>
      <c r="N123" s="1216"/>
      <c r="O123" s="1216"/>
      <c r="P123" s="1216"/>
      <c r="Q123" s="1216"/>
      <c r="R123" s="1216"/>
      <c r="S123" s="1216"/>
      <c r="T123" s="1216"/>
      <c r="U123" s="1216"/>
      <c r="V123" s="1216"/>
      <c r="W123" s="1216"/>
      <c r="X123" s="99"/>
    </row>
    <row r="124" spans="1:24" s="79" customFormat="1" ht="41.25" customHeight="1">
      <c r="A124" s="1216" t="s">
        <v>2342</v>
      </c>
      <c r="B124" s="1216"/>
      <c r="C124" s="1216"/>
      <c r="D124" s="1216"/>
      <c r="E124" s="1216"/>
      <c r="F124" s="1216"/>
      <c r="G124" s="1216"/>
      <c r="H124" s="1216"/>
      <c r="I124" s="1216"/>
      <c r="J124" s="1216"/>
      <c r="K124" s="1216"/>
      <c r="L124" s="1216"/>
      <c r="M124" s="1216"/>
      <c r="N124" s="1216"/>
      <c r="O124" s="1216"/>
      <c r="P124" s="1216"/>
      <c r="Q124" s="1216"/>
      <c r="R124" s="1216"/>
      <c r="S124" s="1216"/>
      <c r="T124" s="1216"/>
      <c r="U124" s="1216"/>
      <c r="V124" s="1216"/>
      <c r="W124" s="1216"/>
      <c r="X124" s="99"/>
    </row>
    <row r="125" spans="1:24" s="79" customFormat="1" ht="41.25" customHeight="1">
      <c r="A125" s="1216" t="s">
        <v>2343</v>
      </c>
      <c r="B125" s="1216"/>
      <c r="C125" s="1216"/>
      <c r="D125" s="1216"/>
      <c r="E125" s="1216"/>
      <c r="F125" s="1216"/>
      <c r="G125" s="1216"/>
      <c r="H125" s="1216"/>
      <c r="I125" s="1216"/>
      <c r="J125" s="1216"/>
      <c r="K125" s="1216"/>
      <c r="L125" s="1216"/>
      <c r="M125" s="1216"/>
      <c r="N125" s="1216"/>
      <c r="O125" s="1216"/>
      <c r="P125" s="1216"/>
      <c r="Q125" s="1216"/>
      <c r="R125" s="1216"/>
      <c r="S125" s="1216"/>
      <c r="T125" s="1216"/>
      <c r="U125" s="1216"/>
      <c r="V125" s="1216"/>
      <c r="W125" s="1216"/>
      <c r="X125" s="99"/>
    </row>
    <row r="126" spans="1:24" s="79" customFormat="1" ht="41.25" customHeight="1">
      <c r="A126" s="1216" t="s">
        <v>2344</v>
      </c>
      <c r="B126" s="1216"/>
      <c r="C126" s="1216"/>
      <c r="D126" s="1216"/>
      <c r="E126" s="1216"/>
      <c r="F126" s="1216"/>
      <c r="G126" s="1216"/>
      <c r="H126" s="1216"/>
      <c r="I126" s="1216"/>
      <c r="J126" s="1216"/>
      <c r="K126" s="1216"/>
      <c r="L126" s="1216"/>
      <c r="M126" s="1216"/>
      <c r="N126" s="1216"/>
      <c r="O126" s="1216"/>
      <c r="P126" s="1216"/>
      <c r="Q126" s="1216"/>
      <c r="R126" s="1216"/>
      <c r="S126" s="1216"/>
      <c r="T126" s="1216"/>
      <c r="U126" s="1216"/>
      <c r="V126" s="1216"/>
      <c r="W126" s="1216"/>
      <c r="X126" s="99"/>
    </row>
    <row r="127" spans="1:24" s="79" customFormat="1" ht="179.25" customHeight="1">
      <c r="A127" s="1216" t="s">
        <v>2345</v>
      </c>
      <c r="B127" s="1216"/>
      <c r="C127" s="1216"/>
      <c r="D127" s="1216"/>
      <c r="E127" s="1216"/>
      <c r="F127" s="1216"/>
      <c r="G127" s="1216"/>
      <c r="H127" s="1216"/>
      <c r="I127" s="1216"/>
      <c r="J127" s="1216"/>
      <c r="K127" s="1216"/>
      <c r="L127" s="1216"/>
      <c r="M127" s="1216"/>
      <c r="N127" s="1216"/>
      <c r="O127" s="1216"/>
      <c r="P127" s="1216"/>
      <c r="Q127" s="1216"/>
      <c r="R127" s="1216"/>
      <c r="S127" s="1216"/>
      <c r="T127" s="1216"/>
      <c r="U127" s="1216"/>
      <c r="V127" s="1216"/>
      <c r="W127" s="1216"/>
      <c r="X127" s="99"/>
    </row>
    <row r="128" spans="1:24" s="79" customFormat="1" ht="35.25" customHeight="1">
      <c r="A128" s="1216" t="s">
        <v>2346</v>
      </c>
      <c r="B128" s="1216"/>
      <c r="C128" s="1216"/>
      <c r="D128" s="1216"/>
      <c r="E128" s="1216"/>
      <c r="F128" s="1216"/>
      <c r="G128" s="1216"/>
      <c r="H128" s="1216"/>
      <c r="I128" s="1216"/>
      <c r="J128" s="1216"/>
      <c r="K128" s="1216"/>
      <c r="L128" s="1216"/>
      <c r="M128" s="1216"/>
      <c r="N128" s="1216"/>
      <c r="O128" s="1216"/>
      <c r="P128" s="1216"/>
      <c r="Q128" s="1216"/>
      <c r="R128" s="1216"/>
      <c r="S128" s="1216"/>
      <c r="T128" s="1216"/>
      <c r="U128" s="1216"/>
      <c r="V128" s="1216"/>
      <c r="W128" s="1216"/>
      <c r="X128" s="99"/>
    </row>
    <row r="129" spans="1:24" s="79" customFormat="1" ht="41.25" customHeight="1">
      <c r="A129" s="1216" t="s">
        <v>2347</v>
      </c>
      <c r="B129" s="1216"/>
      <c r="C129" s="1216"/>
      <c r="D129" s="1216"/>
      <c r="E129" s="1216"/>
      <c r="F129" s="1216"/>
      <c r="G129" s="1216"/>
      <c r="H129" s="1216"/>
      <c r="I129" s="1216"/>
      <c r="J129" s="1216"/>
      <c r="K129" s="1216"/>
      <c r="L129" s="1216"/>
      <c r="M129" s="1216"/>
      <c r="N129" s="1216"/>
      <c r="O129" s="1216"/>
      <c r="P129" s="1216"/>
      <c r="Q129" s="1216"/>
      <c r="R129" s="1216"/>
      <c r="S129" s="1216"/>
      <c r="T129" s="1216"/>
      <c r="U129" s="1216"/>
      <c r="V129" s="1216"/>
      <c r="W129" s="1216"/>
      <c r="X129" s="99"/>
    </row>
    <row r="130" spans="1:24" s="79" customFormat="1" ht="41.25" customHeight="1">
      <c r="A130" s="1216" t="s">
        <v>2348</v>
      </c>
      <c r="B130" s="1216"/>
      <c r="C130" s="1216"/>
      <c r="D130" s="1216"/>
      <c r="E130" s="1216"/>
      <c r="F130" s="1216"/>
      <c r="G130" s="1216"/>
      <c r="H130" s="1216"/>
      <c r="I130" s="1216"/>
      <c r="J130" s="1216"/>
      <c r="K130" s="1216"/>
      <c r="L130" s="1216"/>
      <c r="M130" s="1216"/>
      <c r="N130" s="1216"/>
      <c r="O130" s="1216"/>
      <c r="P130" s="1216"/>
      <c r="Q130" s="1216"/>
      <c r="R130" s="1216"/>
      <c r="S130" s="1216"/>
      <c r="T130" s="1216"/>
      <c r="U130" s="1216"/>
      <c r="V130" s="1216"/>
      <c r="W130" s="1216"/>
      <c r="X130" s="99"/>
    </row>
    <row r="131" spans="1:24" s="79" customFormat="1" ht="41.25" customHeight="1">
      <c r="A131" s="1216" t="s">
        <v>2349</v>
      </c>
      <c r="B131" s="1216"/>
      <c r="C131" s="1216"/>
      <c r="D131" s="1216"/>
      <c r="E131" s="1216"/>
      <c r="F131" s="1216"/>
      <c r="G131" s="1216"/>
      <c r="H131" s="1216"/>
      <c r="I131" s="1216"/>
      <c r="J131" s="1216"/>
      <c r="K131" s="1216"/>
      <c r="L131" s="1216"/>
      <c r="M131" s="1216"/>
      <c r="N131" s="1216"/>
      <c r="O131" s="1216"/>
      <c r="P131" s="1216"/>
      <c r="Q131" s="1216"/>
      <c r="R131" s="1216"/>
      <c r="S131" s="1216"/>
      <c r="T131" s="1216"/>
      <c r="U131" s="1216"/>
      <c r="V131" s="1216"/>
      <c r="W131" s="1216"/>
      <c r="X131" s="99"/>
    </row>
    <row r="132" spans="1:24" s="79" customFormat="1" ht="147" customHeight="1">
      <c r="A132" s="1216" t="s">
        <v>2766</v>
      </c>
      <c r="B132" s="1216"/>
      <c r="C132" s="1216"/>
      <c r="D132" s="1216"/>
      <c r="E132" s="1216"/>
      <c r="F132" s="1216"/>
      <c r="G132" s="1216"/>
      <c r="H132" s="1216"/>
      <c r="I132" s="1216"/>
      <c r="J132" s="1216"/>
      <c r="K132" s="1216"/>
      <c r="L132" s="1216"/>
      <c r="M132" s="1216"/>
      <c r="N132" s="1216"/>
      <c r="O132" s="1216"/>
      <c r="P132" s="1216"/>
      <c r="Q132" s="1216"/>
      <c r="R132" s="1216"/>
      <c r="S132" s="1216"/>
      <c r="T132" s="1216"/>
      <c r="U132" s="1216"/>
      <c r="V132" s="1216"/>
      <c r="W132" s="1216"/>
      <c r="X132" s="99"/>
    </row>
    <row r="133" spans="1:24" s="79" customFormat="1" ht="204" customHeight="1">
      <c r="A133" s="1303" t="s">
        <v>2767</v>
      </c>
      <c r="B133" s="1303"/>
      <c r="C133" s="1303"/>
      <c r="D133" s="1303"/>
      <c r="E133" s="1303"/>
      <c r="F133" s="1303"/>
      <c r="G133" s="1303"/>
      <c r="H133" s="1303"/>
      <c r="I133" s="1303"/>
      <c r="J133" s="1303"/>
      <c r="K133" s="1303"/>
      <c r="L133" s="1303"/>
      <c r="M133" s="1303"/>
      <c r="N133" s="1303"/>
      <c r="O133" s="1303"/>
      <c r="P133" s="1303"/>
      <c r="Q133" s="1303"/>
      <c r="R133" s="1303"/>
      <c r="S133" s="1303"/>
      <c r="T133" s="1303"/>
      <c r="U133" s="1303"/>
      <c r="V133" s="1303"/>
      <c r="W133" s="1303"/>
      <c r="X133" s="99"/>
    </row>
    <row r="134" spans="1:24" s="79" customFormat="1" ht="12.75" customHeight="1">
      <c r="A134" s="1216" t="s">
        <v>2350</v>
      </c>
      <c r="B134" s="1216"/>
      <c r="C134" s="1216"/>
      <c r="D134" s="1216"/>
      <c r="E134" s="1216"/>
      <c r="F134" s="1216"/>
      <c r="G134" s="1216"/>
      <c r="H134" s="1216"/>
      <c r="I134" s="1216"/>
      <c r="J134" s="1216"/>
      <c r="K134" s="1216"/>
      <c r="L134" s="1216"/>
      <c r="M134" s="1216"/>
      <c r="N134" s="1216"/>
      <c r="O134" s="1216"/>
      <c r="P134" s="1216"/>
      <c r="Q134" s="1216"/>
      <c r="R134" s="1216"/>
      <c r="S134" s="1216"/>
      <c r="T134" s="1216"/>
      <c r="U134" s="1216"/>
      <c r="V134" s="1216"/>
      <c r="W134" s="1216"/>
      <c r="X134" s="99"/>
    </row>
    <row r="135" spans="1:24" s="79" customFormat="1" ht="29.25" customHeight="1">
      <c r="A135" s="1216" t="s">
        <v>2351</v>
      </c>
      <c r="B135" s="1216"/>
      <c r="C135" s="1216"/>
      <c r="D135" s="1216"/>
      <c r="E135" s="1216"/>
      <c r="F135" s="1216"/>
      <c r="G135" s="1216"/>
      <c r="H135" s="1216"/>
      <c r="I135" s="1216"/>
      <c r="J135" s="1216"/>
      <c r="K135" s="1216"/>
      <c r="L135" s="1216"/>
      <c r="M135" s="1216"/>
      <c r="N135" s="1216"/>
      <c r="O135" s="1216"/>
      <c r="P135" s="1216"/>
      <c r="Q135" s="1216"/>
      <c r="R135" s="1216"/>
      <c r="S135" s="1216"/>
      <c r="T135" s="1216"/>
      <c r="U135" s="1216"/>
      <c r="V135" s="1216"/>
      <c r="W135" s="1216"/>
      <c r="X135" s="99"/>
    </row>
    <row r="136" spans="1:24" s="79" customFormat="1" ht="39.75" customHeight="1">
      <c r="A136" s="1216" t="s">
        <v>2352</v>
      </c>
      <c r="B136" s="1216"/>
      <c r="C136" s="1216"/>
      <c r="D136" s="1216"/>
      <c r="E136" s="1216"/>
      <c r="F136" s="1216"/>
      <c r="G136" s="1216"/>
      <c r="H136" s="1216"/>
      <c r="I136" s="1216"/>
      <c r="J136" s="1216"/>
      <c r="K136" s="1216"/>
      <c r="L136" s="1216"/>
      <c r="M136" s="1216"/>
      <c r="N136" s="1216"/>
      <c r="O136" s="1216"/>
      <c r="P136" s="1216"/>
      <c r="Q136" s="1216"/>
      <c r="R136" s="1216"/>
      <c r="S136" s="1216"/>
      <c r="T136" s="1216"/>
      <c r="U136" s="1216"/>
      <c r="V136" s="1216"/>
      <c r="W136" s="1216"/>
      <c r="X136" s="99"/>
    </row>
    <row r="137" spans="1:24" s="79" customFormat="1" ht="39.75" customHeight="1">
      <c r="A137" s="1216" t="s">
        <v>2353</v>
      </c>
      <c r="B137" s="1216"/>
      <c r="C137" s="1216"/>
      <c r="D137" s="1216"/>
      <c r="E137" s="1216"/>
      <c r="F137" s="1216"/>
      <c r="G137" s="1216"/>
      <c r="H137" s="1216"/>
      <c r="I137" s="1216"/>
      <c r="J137" s="1216"/>
      <c r="K137" s="1216"/>
      <c r="L137" s="1216"/>
      <c r="M137" s="1216"/>
      <c r="N137" s="1216"/>
      <c r="O137" s="1216"/>
      <c r="P137" s="1216"/>
      <c r="Q137" s="1216"/>
      <c r="R137" s="1216"/>
      <c r="S137" s="1216"/>
      <c r="T137" s="1216"/>
      <c r="U137" s="1216"/>
      <c r="V137" s="1216"/>
      <c r="W137" s="1216"/>
      <c r="X137" s="99"/>
    </row>
    <row r="138" spans="1:24" s="79" customFormat="1" ht="84.75" customHeight="1">
      <c r="A138" s="1216" t="s">
        <v>2354</v>
      </c>
      <c r="B138" s="1216"/>
      <c r="C138" s="1216"/>
      <c r="D138" s="1216"/>
      <c r="E138" s="1216"/>
      <c r="F138" s="1216"/>
      <c r="G138" s="1216"/>
      <c r="H138" s="1216"/>
      <c r="I138" s="1216"/>
      <c r="J138" s="1216"/>
      <c r="K138" s="1216"/>
      <c r="L138" s="1216"/>
      <c r="M138" s="1216"/>
      <c r="N138" s="1216"/>
      <c r="O138" s="1216"/>
      <c r="P138" s="1216"/>
      <c r="Q138" s="1216"/>
      <c r="R138" s="1216"/>
      <c r="S138" s="1216"/>
      <c r="T138" s="1216"/>
      <c r="U138" s="1216"/>
      <c r="V138" s="1216"/>
      <c r="W138" s="1216"/>
      <c r="X138" s="99"/>
    </row>
    <row r="139" spans="1:24" s="79" customFormat="1" ht="59.25" customHeight="1">
      <c r="A139" s="1216" t="s">
        <v>2355</v>
      </c>
      <c r="B139" s="1216"/>
      <c r="C139" s="1216"/>
      <c r="D139" s="1216"/>
      <c r="E139" s="1216"/>
      <c r="F139" s="1216"/>
      <c r="G139" s="1216"/>
      <c r="H139" s="1216"/>
      <c r="I139" s="1216"/>
      <c r="J139" s="1216"/>
      <c r="K139" s="1216"/>
      <c r="L139" s="1216"/>
      <c r="M139" s="1216"/>
      <c r="N139" s="1216"/>
      <c r="O139" s="1216"/>
      <c r="P139" s="1216"/>
      <c r="Q139" s="1216"/>
      <c r="R139" s="1216"/>
      <c r="S139" s="1216"/>
      <c r="T139" s="1216"/>
      <c r="U139" s="1216"/>
      <c r="V139" s="1216"/>
      <c r="W139" s="1216"/>
      <c r="X139" s="99"/>
    </row>
    <row r="140" spans="1:24" s="79" customFormat="1" ht="170.25" customHeight="1">
      <c r="A140" s="1303" t="s">
        <v>2768</v>
      </c>
      <c r="B140" s="1303"/>
      <c r="C140" s="1303"/>
      <c r="D140" s="1303"/>
      <c r="E140" s="1303"/>
      <c r="F140" s="1303"/>
      <c r="G140" s="1303"/>
      <c r="H140" s="1303"/>
      <c r="I140" s="1303"/>
      <c r="J140" s="1303"/>
      <c r="K140" s="1303"/>
      <c r="L140" s="1303"/>
      <c r="M140" s="1303"/>
      <c r="N140" s="1303"/>
      <c r="O140" s="1303"/>
      <c r="P140" s="1303"/>
      <c r="Q140" s="1303"/>
      <c r="R140" s="1303"/>
      <c r="S140" s="1303"/>
      <c r="T140" s="1303"/>
      <c r="U140" s="1303"/>
      <c r="V140" s="1303"/>
      <c r="W140" s="1303"/>
      <c r="X140" s="99"/>
    </row>
    <row r="141" spans="1:24" s="79" customFormat="1" ht="129" customHeight="1">
      <c r="A141" s="1216" t="s">
        <v>2769</v>
      </c>
      <c r="B141" s="1216"/>
      <c r="C141" s="1216"/>
      <c r="D141" s="1216"/>
      <c r="E141" s="1216"/>
      <c r="F141" s="1216"/>
      <c r="G141" s="1216"/>
      <c r="H141" s="1216"/>
      <c r="I141" s="1216"/>
      <c r="J141" s="1216"/>
      <c r="K141" s="1216"/>
      <c r="L141" s="1216"/>
      <c r="M141" s="1216"/>
      <c r="N141" s="1216"/>
      <c r="O141" s="1216"/>
      <c r="P141" s="1216"/>
      <c r="Q141" s="1216"/>
      <c r="R141" s="1216"/>
      <c r="S141" s="1216"/>
      <c r="T141" s="1216"/>
      <c r="U141" s="1216"/>
      <c r="V141" s="1216"/>
      <c r="W141" s="1216"/>
      <c r="X141" s="99"/>
    </row>
    <row r="142" spans="1:24" s="79" customFormat="1" ht="12.75" customHeight="1">
      <c r="A142" s="1216" t="s">
        <v>2356</v>
      </c>
      <c r="B142" s="1216"/>
      <c r="C142" s="1216"/>
      <c r="D142" s="1216"/>
      <c r="E142" s="1216"/>
      <c r="F142" s="1216"/>
      <c r="G142" s="1216"/>
      <c r="H142" s="1216"/>
      <c r="I142" s="1216"/>
      <c r="J142" s="1216"/>
      <c r="K142" s="1216"/>
      <c r="L142" s="1216"/>
      <c r="M142" s="1216"/>
      <c r="N142" s="1216"/>
      <c r="O142" s="1216"/>
      <c r="P142" s="1216"/>
      <c r="Q142" s="1216"/>
      <c r="R142" s="1216"/>
      <c r="S142" s="1216"/>
      <c r="T142" s="1216"/>
      <c r="U142" s="1216"/>
      <c r="V142" s="1216"/>
      <c r="W142" s="1216"/>
      <c r="X142" s="99"/>
    </row>
    <row r="143" spans="1:24" s="99" customFormat="1" ht="37.5" customHeight="1">
      <c r="A143" s="1216" t="s">
        <v>2770</v>
      </c>
      <c r="B143" s="1216"/>
      <c r="C143" s="1216"/>
      <c r="D143" s="1216"/>
      <c r="E143" s="1216"/>
      <c r="F143" s="1216"/>
      <c r="G143" s="1216"/>
      <c r="H143" s="1216"/>
      <c r="I143" s="1216"/>
      <c r="J143" s="1216"/>
      <c r="K143" s="1216"/>
      <c r="L143" s="1216"/>
      <c r="M143" s="1216"/>
      <c r="N143" s="1216"/>
      <c r="O143" s="1216"/>
      <c r="P143" s="1216"/>
      <c r="Q143" s="1216"/>
      <c r="R143" s="1216"/>
      <c r="S143" s="1216"/>
      <c r="T143" s="1216"/>
      <c r="U143" s="1216"/>
      <c r="V143" s="1216"/>
      <c r="W143" s="1216"/>
    </row>
    <row r="144" spans="1:24" s="99" customFormat="1" ht="67.5" customHeight="1">
      <c r="A144" s="1216" t="s">
        <v>2357</v>
      </c>
      <c r="B144" s="1216"/>
      <c r="C144" s="1216"/>
      <c r="D144" s="1216"/>
      <c r="E144" s="1216"/>
      <c r="F144" s="1216"/>
      <c r="G144" s="1216"/>
      <c r="H144" s="1216"/>
      <c r="I144" s="1216"/>
      <c r="J144" s="1216"/>
      <c r="K144" s="1216"/>
      <c r="L144" s="1216"/>
      <c r="M144" s="1216"/>
      <c r="N144" s="1216"/>
      <c r="O144" s="1216"/>
      <c r="P144" s="1216"/>
      <c r="Q144" s="1216"/>
      <c r="R144" s="1216"/>
      <c r="S144" s="1216"/>
      <c r="T144" s="1216"/>
      <c r="U144" s="1216"/>
      <c r="V144" s="1216"/>
      <c r="W144" s="1216"/>
    </row>
    <row r="145" spans="1:23" s="99" customFormat="1" ht="176.25" customHeight="1">
      <c r="A145" s="1216" t="s">
        <v>2358</v>
      </c>
      <c r="B145" s="1216"/>
      <c r="C145" s="1216"/>
      <c r="D145" s="1216"/>
      <c r="E145" s="1216"/>
      <c r="F145" s="1216"/>
      <c r="G145" s="1216"/>
      <c r="H145" s="1216"/>
      <c r="I145" s="1216"/>
      <c r="J145" s="1216"/>
      <c r="K145" s="1216"/>
      <c r="L145" s="1216"/>
      <c r="M145" s="1216"/>
      <c r="N145" s="1216"/>
      <c r="O145" s="1216"/>
      <c r="P145" s="1216"/>
      <c r="Q145" s="1216"/>
      <c r="R145" s="1216"/>
      <c r="S145" s="1216"/>
      <c r="T145" s="1216"/>
      <c r="U145" s="1216"/>
      <c r="V145" s="1216"/>
      <c r="W145" s="1216"/>
    </row>
    <row r="146" spans="1:23" s="99" customFormat="1" ht="112.5" customHeight="1">
      <c r="A146" s="1216" t="s">
        <v>2771</v>
      </c>
      <c r="B146" s="1216"/>
      <c r="C146" s="1216"/>
      <c r="D146" s="1216"/>
      <c r="E146" s="1216"/>
      <c r="F146" s="1216"/>
      <c r="G146" s="1216"/>
      <c r="H146" s="1216"/>
      <c r="I146" s="1216"/>
      <c r="J146" s="1216"/>
      <c r="K146" s="1216"/>
      <c r="L146" s="1216"/>
      <c r="M146" s="1216"/>
      <c r="N146" s="1216"/>
      <c r="O146" s="1216"/>
      <c r="P146" s="1216"/>
      <c r="Q146" s="1216"/>
      <c r="R146" s="1216"/>
      <c r="S146" s="1216"/>
      <c r="T146" s="1216"/>
      <c r="U146" s="1216"/>
      <c r="V146" s="1216"/>
      <c r="W146" s="1216"/>
    </row>
    <row r="147" spans="1:23" s="99" customFormat="1" ht="80.25" customHeight="1">
      <c r="A147" s="1216" t="s">
        <v>2359</v>
      </c>
      <c r="B147" s="1216"/>
      <c r="C147" s="1216"/>
      <c r="D147" s="1216"/>
      <c r="E147" s="1216"/>
      <c r="F147" s="1216"/>
      <c r="G147" s="1216"/>
      <c r="H147" s="1216"/>
      <c r="I147" s="1216"/>
      <c r="J147" s="1216"/>
      <c r="K147" s="1216"/>
      <c r="L147" s="1216"/>
      <c r="M147" s="1216"/>
      <c r="N147" s="1216"/>
      <c r="O147" s="1216"/>
      <c r="P147" s="1216"/>
      <c r="Q147" s="1216"/>
      <c r="R147" s="1216"/>
      <c r="S147" s="1216"/>
      <c r="T147" s="1216"/>
      <c r="U147" s="1216"/>
      <c r="V147" s="1216"/>
      <c r="W147" s="1216"/>
    </row>
    <row r="148" spans="1:23" s="99" customFormat="1" ht="30.75" customHeight="1">
      <c r="A148" s="1216" t="s">
        <v>2360</v>
      </c>
      <c r="B148" s="1216"/>
      <c r="C148" s="1216"/>
      <c r="D148" s="1216"/>
      <c r="E148" s="1216"/>
      <c r="F148" s="1216"/>
      <c r="G148" s="1216"/>
      <c r="H148" s="1216"/>
      <c r="I148" s="1216"/>
      <c r="J148" s="1216"/>
      <c r="K148" s="1216"/>
      <c r="L148" s="1216"/>
      <c r="M148" s="1216"/>
      <c r="N148" s="1216"/>
      <c r="O148" s="1216"/>
      <c r="P148" s="1216"/>
      <c r="Q148" s="1216"/>
      <c r="R148" s="1216"/>
      <c r="S148" s="1216"/>
      <c r="T148" s="1216"/>
      <c r="U148" s="1216"/>
      <c r="V148" s="1216"/>
      <c r="W148" s="1216"/>
    </row>
    <row r="149" spans="1:23" s="99" customFormat="1" ht="21" customHeight="1">
      <c r="A149" s="1216" t="s">
        <v>2772</v>
      </c>
      <c r="B149" s="1216"/>
      <c r="C149" s="1216"/>
      <c r="D149" s="1216"/>
      <c r="E149" s="1216"/>
      <c r="F149" s="1216"/>
      <c r="G149" s="1216"/>
      <c r="H149" s="1216"/>
      <c r="I149" s="1216"/>
      <c r="J149" s="1216"/>
      <c r="K149" s="1216"/>
      <c r="L149" s="1216"/>
      <c r="M149" s="1216"/>
      <c r="N149" s="1216"/>
      <c r="O149" s="1216"/>
      <c r="P149" s="1216"/>
      <c r="Q149" s="1216"/>
      <c r="R149" s="1216"/>
      <c r="S149" s="1216"/>
      <c r="T149" s="1216"/>
      <c r="U149" s="1216"/>
      <c r="V149" s="1216"/>
      <c r="W149" s="1216"/>
    </row>
    <row r="150" spans="1:23" s="99" customFormat="1" ht="81.75" customHeight="1">
      <c r="A150" s="1216" t="s">
        <v>2361</v>
      </c>
      <c r="B150" s="1216"/>
      <c r="C150" s="1216"/>
      <c r="D150" s="1216"/>
      <c r="E150" s="1216"/>
      <c r="F150" s="1216"/>
      <c r="G150" s="1216"/>
      <c r="H150" s="1216"/>
      <c r="I150" s="1216"/>
      <c r="J150" s="1216"/>
      <c r="K150" s="1216"/>
      <c r="L150" s="1216"/>
      <c r="M150" s="1216"/>
      <c r="N150" s="1216"/>
      <c r="O150" s="1216"/>
      <c r="P150" s="1216"/>
      <c r="Q150" s="1216"/>
      <c r="R150" s="1216"/>
      <c r="S150" s="1216"/>
      <c r="T150" s="1216"/>
      <c r="U150" s="1216"/>
      <c r="V150" s="1216"/>
      <c r="W150" s="1216"/>
    </row>
    <row r="151" spans="1:23" s="99" customFormat="1" ht="18" customHeight="1">
      <c r="A151" s="1216" t="s">
        <v>1939</v>
      </c>
      <c r="B151" s="1216"/>
      <c r="C151" s="1216"/>
      <c r="D151" s="1216"/>
      <c r="E151" s="1216"/>
      <c r="F151" s="1216"/>
      <c r="G151" s="1216"/>
      <c r="H151" s="1216"/>
      <c r="I151" s="1216"/>
      <c r="J151" s="1216"/>
      <c r="K151" s="1216"/>
      <c r="L151" s="1216"/>
      <c r="M151" s="1216"/>
      <c r="N151" s="1216"/>
      <c r="O151" s="1216"/>
      <c r="P151" s="1216"/>
      <c r="Q151" s="1216"/>
      <c r="R151" s="1216"/>
      <c r="S151" s="1216"/>
      <c r="T151" s="1216"/>
      <c r="U151" s="1216"/>
      <c r="V151" s="1216"/>
      <c r="W151" s="1216"/>
    </row>
    <row r="152" spans="1:23" s="99" customFormat="1" ht="62.25" customHeight="1">
      <c r="A152" s="1216" t="s">
        <v>2362</v>
      </c>
      <c r="B152" s="1216"/>
      <c r="C152" s="1216"/>
      <c r="D152" s="1216"/>
      <c r="E152" s="1216"/>
      <c r="F152" s="1216"/>
      <c r="G152" s="1216"/>
      <c r="H152" s="1216"/>
      <c r="I152" s="1216"/>
      <c r="J152" s="1216"/>
      <c r="K152" s="1216"/>
      <c r="L152" s="1216"/>
      <c r="M152" s="1216"/>
      <c r="N152" s="1216"/>
      <c r="O152" s="1216"/>
      <c r="P152" s="1216"/>
      <c r="Q152" s="1216"/>
      <c r="R152" s="1216"/>
      <c r="S152" s="1216"/>
      <c r="T152" s="1216"/>
      <c r="U152" s="1216"/>
      <c r="V152" s="1216"/>
      <c r="W152" s="1216"/>
    </row>
    <row r="153" spans="1:23" s="99" customFormat="1" ht="33.75" customHeight="1">
      <c r="A153" s="1216" t="s">
        <v>2363</v>
      </c>
      <c r="B153" s="1216"/>
      <c r="C153" s="1216"/>
      <c r="D153" s="1216"/>
      <c r="E153" s="1216"/>
      <c r="F153" s="1216"/>
      <c r="G153" s="1216"/>
      <c r="H153" s="1216"/>
      <c r="I153" s="1216"/>
      <c r="J153" s="1216"/>
      <c r="K153" s="1216"/>
      <c r="L153" s="1216"/>
      <c r="M153" s="1216"/>
      <c r="N153" s="1216"/>
      <c r="O153" s="1216"/>
      <c r="P153" s="1216"/>
      <c r="Q153" s="1216"/>
      <c r="R153" s="1216"/>
      <c r="S153" s="1216"/>
      <c r="T153" s="1216"/>
      <c r="U153" s="1216"/>
      <c r="V153" s="1216"/>
      <c r="W153" s="1216"/>
    </row>
    <row r="154" spans="1:23" s="99" customFormat="1" ht="18.75" customHeight="1">
      <c r="A154" s="1216" t="s">
        <v>2773</v>
      </c>
      <c r="B154" s="1216"/>
      <c r="C154" s="1216"/>
      <c r="D154" s="1216"/>
      <c r="E154" s="1216"/>
      <c r="F154" s="1216"/>
      <c r="G154" s="1216"/>
      <c r="H154" s="1216"/>
      <c r="I154" s="1216"/>
      <c r="J154" s="1216"/>
      <c r="K154" s="1216"/>
      <c r="L154" s="1216"/>
      <c r="M154" s="1216"/>
      <c r="N154" s="1216"/>
      <c r="O154" s="1216"/>
      <c r="P154" s="1216"/>
      <c r="Q154" s="1216"/>
      <c r="R154" s="1216"/>
      <c r="S154" s="1216"/>
      <c r="T154" s="1216"/>
      <c r="U154" s="1216"/>
      <c r="V154" s="1216"/>
      <c r="W154" s="1216"/>
    </row>
    <row r="155" spans="1:23" s="99" customFormat="1" ht="111.75" customHeight="1">
      <c r="A155" s="1216" t="s">
        <v>2364</v>
      </c>
      <c r="B155" s="1216"/>
      <c r="C155" s="1216"/>
      <c r="D155" s="1216"/>
      <c r="E155" s="1216"/>
      <c r="F155" s="1216"/>
      <c r="G155" s="1216"/>
      <c r="H155" s="1216"/>
      <c r="I155" s="1216"/>
      <c r="J155" s="1216"/>
      <c r="K155" s="1216"/>
      <c r="L155" s="1216"/>
      <c r="M155" s="1216"/>
      <c r="N155" s="1216"/>
      <c r="O155" s="1216"/>
      <c r="P155" s="1216"/>
      <c r="Q155" s="1216"/>
      <c r="R155" s="1216"/>
      <c r="S155" s="1216"/>
      <c r="T155" s="1216"/>
      <c r="U155" s="1216"/>
      <c r="V155" s="1216"/>
      <c r="W155" s="1216"/>
    </row>
    <row r="156" spans="1:23" s="99" customFormat="1" ht="19.5" customHeight="1">
      <c r="A156" s="1216" t="s">
        <v>2774</v>
      </c>
      <c r="B156" s="1216"/>
      <c r="C156" s="1216"/>
      <c r="D156" s="1216"/>
      <c r="E156" s="1216"/>
      <c r="F156" s="1216"/>
      <c r="G156" s="1216"/>
      <c r="H156" s="1216"/>
      <c r="I156" s="1216"/>
      <c r="J156" s="1216"/>
      <c r="K156" s="1216"/>
      <c r="L156" s="1216"/>
      <c r="M156" s="1216"/>
      <c r="N156" s="1216"/>
      <c r="O156" s="1216"/>
      <c r="P156" s="1216"/>
      <c r="Q156" s="1216"/>
      <c r="R156" s="1216"/>
      <c r="S156" s="1216"/>
      <c r="T156" s="1216"/>
      <c r="U156" s="1216"/>
      <c r="V156" s="1216"/>
      <c r="W156" s="1216"/>
    </row>
    <row r="157" spans="1:23" s="99" customFormat="1" ht="111.75" customHeight="1">
      <c r="A157" s="1216" t="s">
        <v>2775</v>
      </c>
      <c r="B157" s="1216"/>
      <c r="C157" s="1216"/>
      <c r="D157" s="1216"/>
      <c r="E157" s="1216"/>
      <c r="F157" s="1216"/>
      <c r="G157" s="1216"/>
      <c r="H157" s="1216"/>
      <c r="I157" s="1216"/>
      <c r="J157" s="1216"/>
      <c r="K157" s="1216"/>
      <c r="L157" s="1216"/>
      <c r="M157" s="1216"/>
      <c r="N157" s="1216"/>
      <c r="O157" s="1216"/>
      <c r="P157" s="1216"/>
      <c r="Q157" s="1216"/>
      <c r="R157" s="1216"/>
      <c r="S157" s="1216"/>
      <c r="T157" s="1216"/>
      <c r="U157" s="1216"/>
      <c r="V157" s="1216"/>
      <c r="W157" s="1216"/>
    </row>
    <row r="158" spans="1:23" s="99" customFormat="1" ht="46.5" customHeight="1">
      <c r="A158" s="1216" t="s">
        <v>2365</v>
      </c>
      <c r="B158" s="1216"/>
      <c r="C158" s="1216"/>
      <c r="D158" s="1216"/>
      <c r="E158" s="1216"/>
      <c r="F158" s="1216"/>
      <c r="G158" s="1216"/>
      <c r="H158" s="1216"/>
      <c r="I158" s="1216"/>
      <c r="J158" s="1216"/>
      <c r="K158" s="1216"/>
      <c r="L158" s="1216"/>
      <c r="M158" s="1216"/>
      <c r="N158" s="1216"/>
      <c r="O158" s="1216"/>
      <c r="P158" s="1216"/>
      <c r="Q158" s="1216"/>
      <c r="R158" s="1216"/>
      <c r="S158" s="1216"/>
      <c r="T158" s="1216"/>
      <c r="U158" s="1216"/>
      <c r="V158" s="1216"/>
      <c r="W158" s="1216"/>
    </row>
    <row r="159" spans="1:23" s="99" customFormat="1" ht="32.25" customHeight="1">
      <c r="A159" s="1216" t="s">
        <v>2366</v>
      </c>
      <c r="B159" s="1216"/>
      <c r="C159" s="1216"/>
      <c r="D159" s="1216"/>
      <c r="E159" s="1216"/>
      <c r="F159" s="1216"/>
      <c r="G159" s="1216"/>
      <c r="H159" s="1216"/>
      <c r="I159" s="1216"/>
      <c r="J159" s="1216"/>
      <c r="K159" s="1216"/>
      <c r="L159" s="1216"/>
      <c r="M159" s="1216"/>
      <c r="N159" s="1216"/>
      <c r="O159" s="1216"/>
      <c r="P159" s="1216"/>
      <c r="Q159" s="1216"/>
      <c r="R159" s="1216"/>
      <c r="S159" s="1216"/>
      <c r="T159" s="1216"/>
      <c r="U159" s="1216"/>
      <c r="V159" s="1216"/>
      <c r="W159" s="1216"/>
    </row>
    <row r="160" spans="1:23" s="99" customFormat="1" ht="20.25" customHeight="1">
      <c r="A160" s="1216" t="s">
        <v>2367</v>
      </c>
      <c r="B160" s="1216"/>
      <c r="C160" s="1216"/>
      <c r="D160" s="1216"/>
      <c r="E160" s="1216"/>
      <c r="F160" s="1216"/>
      <c r="G160" s="1216"/>
      <c r="H160" s="1216"/>
      <c r="I160" s="1216"/>
      <c r="J160" s="1216"/>
      <c r="K160" s="1216"/>
      <c r="L160" s="1216"/>
      <c r="M160" s="1216"/>
      <c r="N160" s="1216"/>
      <c r="O160" s="1216"/>
      <c r="P160" s="1216"/>
      <c r="Q160" s="1216"/>
      <c r="R160" s="1216"/>
      <c r="S160" s="1216"/>
      <c r="T160" s="1216"/>
      <c r="U160" s="1216"/>
      <c r="V160" s="1216"/>
      <c r="W160" s="1216"/>
    </row>
    <row r="161" spans="1:23" s="99" customFormat="1" ht="32.25" customHeight="1">
      <c r="A161" s="1216" t="s">
        <v>2368</v>
      </c>
      <c r="B161" s="1216"/>
      <c r="C161" s="1216"/>
      <c r="D161" s="1216"/>
      <c r="E161" s="1216"/>
      <c r="F161" s="1216"/>
      <c r="G161" s="1216"/>
      <c r="H161" s="1216"/>
      <c r="I161" s="1216"/>
      <c r="J161" s="1216"/>
      <c r="K161" s="1216"/>
      <c r="L161" s="1216"/>
      <c r="M161" s="1216"/>
      <c r="N161" s="1216"/>
      <c r="O161" s="1216"/>
      <c r="P161" s="1216"/>
      <c r="Q161" s="1216"/>
      <c r="R161" s="1216"/>
      <c r="S161" s="1216"/>
      <c r="T161" s="1216"/>
      <c r="U161" s="1216"/>
      <c r="V161" s="1216"/>
      <c r="W161" s="1216"/>
    </row>
    <row r="162" spans="1:23" s="99" customFormat="1" ht="21.75" customHeight="1">
      <c r="A162" s="1216" t="s">
        <v>2369</v>
      </c>
      <c r="B162" s="1216"/>
      <c r="C162" s="1216"/>
      <c r="D162" s="1216"/>
      <c r="E162" s="1216"/>
      <c r="F162" s="1216"/>
      <c r="G162" s="1216"/>
      <c r="H162" s="1216"/>
      <c r="I162" s="1216"/>
      <c r="J162" s="1216"/>
      <c r="K162" s="1216"/>
      <c r="L162" s="1216"/>
      <c r="M162" s="1216"/>
      <c r="N162" s="1216"/>
      <c r="O162" s="1216"/>
      <c r="P162" s="1216"/>
      <c r="Q162" s="1216"/>
      <c r="R162" s="1216"/>
      <c r="S162" s="1216"/>
      <c r="T162" s="1216"/>
      <c r="U162" s="1216"/>
      <c r="V162" s="1216"/>
      <c r="W162" s="1216"/>
    </row>
    <row r="163" spans="1:23" s="99" customFormat="1" ht="20.25" customHeight="1">
      <c r="A163" s="1216" t="s">
        <v>2370</v>
      </c>
      <c r="B163" s="1216"/>
      <c r="C163" s="1216"/>
      <c r="D163" s="1216"/>
      <c r="E163" s="1216"/>
      <c r="F163" s="1216"/>
      <c r="G163" s="1216"/>
      <c r="H163" s="1216"/>
      <c r="I163" s="1216"/>
      <c r="J163" s="1216"/>
      <c r="K163" s="1216"/>
      <c r="L163" s="1216"/>
      <c r="M163" s="1216"/>
      <c r="N163" s="1216"/>
      <c r="O163" s="1216"/>
      <c r="P163" s="1216"/>
      <c r="Q163" s="1216"/>
      <c r="R163" s="1216"/>
      <c r="S163" s="1216"/>
      <c r="T163" s="1216"/>
      <c r="U163" s="1216"/>
      <c r="V163" s="1216"/>
      <c r="W163" s="1216"/>
    </row>
    <row r="164" spans="1:23" s="99" customFormat="1" ht="30" customHeight="1">
      <c r="A164" s="1216" t="s">
        <v>2371</v>
      </c>
      <c r="B164" s="1216"/>
      <c r="C164" s="1216"/>
      <c r="D164" s="1216"/>
      <c r="E164" s="1216"/>
      <c r="F164" s="1216"/>
      <c r="G164" s="1216"/>
      <c r="H164" s="1216"/>
      <c r="I164" s="1216"/>
      <c r="J164" s="1216"/>
      <c r="K164" s="1216"/>
      <c r="L164" s="1216"/>
      <c r="M164" s="1216"/>
      <c r="N164" s="1216"/>
      <c r="O164" s="1216"/>
      <c r="P164" s="1216"/>
      <c r="Q164" s="1216"/>
      <c r="R164" s="1216"/>
      <c r="S164" s="1216"/>
      <c r="T164" s="1216"/>
      <c r="U164" s="1216"/>
      <c r="V164" s="1216"/>
      <c r="W164" s="1216"/>
    </row>
    <row r="165" spans="1:23" s="99" customFormat="1" ht="20.25" customHeight="1">
      <c r="A165" s="1216" t="s">
        <v>2372</v>
      </c>
      <c r="B165" s="1216"/>
      <c r="C165" s="1216"/>
      <c r="D165" s="1216"/>
      <c r="E165" s="1216"/>
      <c r="F165" s="1216"/>
      <c r="G165" s="1216"/>
      <c r="H165" s="1216"/>
      <c r="I165" s="1216"/>
      <c r="J165" s="1216"/>
      <c r="K165" s="1216"/>
      <c r="L165" s="1216"/>
      <c r="M165" s="1216"/>
      <c r="N165" s="1216"/>
      <c r="O165" s="1216"/>
      <c r="P165" s="1216"/>
      <c r="Q165" s="1216"/>
      <c r="R165" s="1216"/>
      <c r="S165" s="1216"/>
      <c r="T165" s="1216"/>
      <c r="U165" s="1216"/>
      <c r="V165" s="1216"/>
      <c r="W165" s="1216"/>
    </row>
    <row r="166" spans="1:23" s="99" customFormat="1" ht="20.25" customHeight="1">
      <c r="A166" s="1216" t="s">
        <v>2373</v>
      </c>
      <c r="B166" s="1216"/>
      <c r="C166" s="1216"/>
      <c r="D166" s="1216"/>
      <c r="E166" s="1216"/>
      <c r="F166" s="1216"/>
      <c r="G166" s="1216"/>
      <c r="H166" s="1216"/>
      <c r="I166" s="1216"/>
      <c r="J166" s="1216"/>
      <c r="K166" s="1216"/>
      <c r="L166" s="1216"/>
      <c r="M166" s="1216"/>
      <c r="N166" s="1216"/>
      <c r="O166" s="1216"/>
      <c r="P166" s="1216"/>
      <c r="Q166" s="1216"/>
      <c r="R166" s="1216"/>
      <c r="S166" s="1216"/>
      <c r="T166" s="1216"/>
      <c r="U166" s="1216"/>
      <c r="V166" s="1216"/>
      <c r="W166" s="1216"/>
    </row>
    <row r="167" spans="1:23" s="99" customFormat="1" ht="53.25" customHeight="1">
      <c r="A167" s="1216" t="s">
        <v>2374</v>
      </c>
      <c r="B167" s="1216"/>
      <c r="C167" s="1216"/>
      <c r="D167" s="1216"/>
      <c r="E167" s="1216"/>
      <c r="F167" s="1216"/>
      <c r="G167" s="1216"/>
      <c r="H167" s="1216"/>
      <c r="I167" s="1216"/>
      <c r="J167" s="1216"/>
      <c r="K167" s="1216"/>
      <c r="L167" s="1216"/>
      <c r="M167" s="1216"/>
      <c r="N167" s="1216"/>
      <c r="O167" s="1216"/>
      <c r="P167" s="1216"/>
      <c r="Q167" s="1216"/>
      <c r="R167" s="1216"/>
      <c r="S167" s="1216"/>
      <c r="T167" s="1216"/>
      <c r="U167" s="1216"/>
      <c r="V167" s="1216"/>
      <c r="W167" s="1216"/>
    </row>
    <row r="168" spans="1:23" s="99" customFormat="1" ht="12.75" customHeight="1">
      <c r="A168" s="1216" t="s">
        <v>2375</v>
      </c>
      <c r="B168" s="1216"/>
      <c r="C168" s="1216"/>
      <c r="D168" s="1216"/>
      <c r="E168" s="1216"/>
      <c r="F168" s="1216"/>
      <c r="G168" s="1216"/>
      <c r="H168" s="1216"/>
      <c r="I168" s="1216"/>
      <c r="J168" s="1216"/>
      <c r="K168" s="1216"/>
      <c r="L168" s="1216"/>
      <c r="M168" s="1216"/>
      <c r="N168" s="1216"/>
      <c r="O168" s="1216"/>
      <c r="P168" s="1216"/>
      <c r="Q168" s="1216"/>
      <c r="R168" s="1216"/>
      <c r="S168" s="1216"/>
      <c r="T168" s="1216"/>
      <c r="U168" s="1216"/>
      <c r="V168" s="1216"/>
      <c r="W168" s="1216"/>
    </row>
    <row r="169" spans="1:23" s="99" customFormat="1" ht="45" customHeight="1">
      <c r="A169" s="1302" t="s">
        <v>2376</v>
      </c>
      <c r="B169" s="1302"/>
      <c r="C169" s="1302"/>
      <c r="D169" s="1302"/>
      <c r="E169" s="1302"/>
      <c r="F169" s="1302"/>
      <c r="G169" s="1302"/>
      <c r="H169" s="1302"/>
      <c r="I169" s="1302"/>
      <c r="J169" s="1302"/>
      <c r="K169" s="1302"/>
      <c r="L169" s="1302"/>
      <c r="M169" s="1302"/>
      <c r="N169" s="1302"/>
      <c r="O169" s="1302"/>
      <c r="P169" s="1302"/>
      <c r="Q169" s="1302"/>
      <c r="R169" s="1302"/>
      <c r="S169" s="1302"/>
      <c r="T169" s="1302"/>
      <c r="U169" s="1302"/>
      <c r="V169" s="1302"/>
      <c r="W169" s="1302"/>
    </row>
    <row r="170" spans="1:23" s="99" customFormat="1" ht="62.25" customHeight="1">
      <c r="A170" s="1302" t="s">
        <v>2377</v>
      </c>
      <c r="B170" s="1302"/>
      <c r="C170" s="1302"/>
      <c r="D170" s="1302"/>
      <c r="E170" s="1302"/>
      <c r="F170" s="1302"/>
      <c r="G170" s="1302"/>
      <c r="H170" s="1302"/>
      <c r="I170" s="1302"/>
      <c r="J170" s="1302"/>
      <c r="K170" s="1302"/>
      <c r="L170" s="1302"/>
      <c r="M170" s="1302"/>
      <c r="N170" s="1302"/>
      <c r="O170" s="1302"/>
      <c r="P170" s="1302"/>
      <c r="Q170" s="1302"/>
      <c r="R170" s="1302"/>
      <c r="S170" s="1302"/>
      <c r="T170" s="1302"/>
      <c r="U170" s="1302"/>
      <c r="V170" s="1302"/>
      <c r="W170" s="1302"/>
    </row>
    <row r="171" spans="1:23" s="99" customFormat="1" ht="94.5" customHeight="1">
      <c r="A171" s="1302" t="s">
        <v>2776</v>
      </c>
      <c r="B171" s="1302"/>
      <c r="C171" s="1302"/>
      <c r="D171" s="1302"/>
      <c r="E171" s="1302"/>
      <c r="F171" s="1302"/>
      <c r="G171" s="1302"/>
      <c r="H171" s="1302"/>
      <c r="I171" s="1302"/>
      <c r="J171" s="1302"/>
      <c r="K171" s="1302"/>
      <c r="L171" s="1302"/>
      <c r="M171" s="1302"/>
      <c r="N171" s="1302"/>
      <c r="O171" s="1302"/>
      <c r="P171" s="1302"/>
      <c r="Q171" s="1302"/>
      <c r="R171" s="1302"/>
      <c r="S171" s="1302"/>
      <c r="T171" s="1302"/>
      <c r="U171" s="1302"/>
      <c r="V171" s="1302"/>
      <c r="W171" s="1302"/>
    </row>
    <row r="172" spans="1:23" s="99" customFormat="1" ht="12.75" customHeight="1">
      <c r="A172" s="1302" t="s">
        <v>2777</v>
      </c>
      <c r="B172" s="1302"/>
      <c r="C172" s="1302"/>
      <c r="D172" s="1302"/>
      <c r="E172" s="1302"/>
      <c r="F172" s="1302"/>
      <c r="G172" s="1302"/>
      <c r="H172" s="1302"/>
      <c r="I172" s="1302"/>
      <c r="J172" s="1302"/>
      <c r="K172" s="1302"/>
      <c r="L172" s="1302"/>
      <c r="M172" s="1302"/>
      <c r="N172" s="1302"/>
      <c r="O172" s="1302"/>
      <c r="P172" s="1302"/>
      <c r="Q172" s="1302"/>
      <c r="R172" s="1302"/>
      <c r="S172" s="1302"/>
      <c r="T172" s="1302"/>
      <c r="U172" s="1302"/>
      <c r="V172" s="1302"/>
      <c r="W172" s="1302"/>
    </row>
    <row r="173" spans="1:23" s="99" customFormat="1" ht="35.25" customHeight="1">
      <c r="A173" s="1302" t="s">
        <v>2378</v>
      </c>
      <c r="B173" s="1302"/>
      <c r="C173" s="1302"/>
      <c r="D173" s="1302"/>
      <c r="E173" s="1302"/>
      <c r="F173" s="1302"/>
      <c r="G173" s="1302"/>
      <c r="H173" s="1302"/>
      <c r="I173" s="1302"/>
      <c r="J173" s="1302"/>
      <c r="K173" s="1302"/>
      <c r="L173" s="1302"/>
      <c r="M173" s="1302"/>
      <c r="N173" s="1302"/>
      <c r="O173" s="1302"/>
      <c r="P173" s="1302"/>
      <c r="Q173" s="1302"/>
      <c r="R173" s="1302"/>
      <c r="S173" s="1302"/>
      <c r="T173" s="1302"/>
      <c r="U173" s="1302"/>
      <c r="V173" s="1302"/>
      <c r="W173" s="1302"/>
    </row>
    <row r="174" spans="1:23" s="99" customFormat="1" ht="12.75" customHeight="1">
      <c r="A174" s="1302" t="s">
        <v>2379</v>
      </c>
      <c r="B174" s="1302"/>
      <c r="C174" s="1302"/>
      <c r="D174" s="1302"/>
      <c r="E174" s="1302"/>
      <c r="F174" s="1302"/>
      <c r="G174" s="1302"/>
      <c r="H174" s="1302"/>
      <c r="I174" s="1302"/>
      <c r="J174" s="1302"/>
      <c r="K174" s="1302"/>
      <c r="L174" s="1302"/>
      <c r="M174" s="1302"/>
      <c r="N174" s="1302"/>
      <c r="O174" s="1302"/>
      <c r="P174" s="1302"/>
      <c r="Q174" s="1302"/>
      <c r="R174" s="1302"/>
      <c r="S174" s="1302"/>
      <c r="T174" s="1302"/>
      <c r="U174" s="1302"/>
      <c r="V174" s="1302"/>
      <c r="W174" s="1302"/>
    </row>
    <row r="175" spans="1:23" s="99" customFormat="1" ht="43.5" customHeight="1">
      <c r="A175" s="1302" t="s">
        <v>2380</v>
      </c>
      <c r="B175" s="1302"/>
      <c r="C175" s="1302"/>
      <c r="D175" s="1302"/>
      <c r="E175" s="1302"/>
      <c r="F175" s="1302"/>
      <c r="G175" s="1302"/>
      <c r="H175" s="1302"/>
      <c r="I175" s="1302"/>
      <c r="J175" s="1302"/>
      <c r="K175" s="1302"/>
      <c r="L175" s="1302"/>
      <c r="M175" s="1302"/>
      <c r="N175" s="1302"/>
      <c r="O175" s="1302"/>
      <c r="P175" s="1302"/>
      <c r="Q175" s="1302"/>
      <c r="R175" s="1302"/>
      <c r="S175" s="1302"/>
      <c r="T175" s="1302"/>
      <c r="U175" s="1302"/>
      <c r="V175" s="1302"/>
      <c r="W175" s="1302"/>
    </row>
    <row r="176" spans="1:23" s="99" customFormat="1" ht="67.5" customHeight="1">
      <c r="A176" s="1302" t="s">
        <v>2381</v>
      </c>
      <c r="B176" s="1302"/>
      <c r="C176" s="1302"/>
      <c r="D176" s="1302"/>
      <c r="E176" s="1302"/>
      <c r="F176" s="1302"/>
      <c r="G176" s="1302"/>
      <c r="H176" s="1302"/>
      <c r="I176" s="1302"/>
      <c r="J176" s="1302"/>
      <c r="K176" s="1302"/>
      <c r="L176" s="1302"/>
      <c r="M176" s="1302"/>
      <c r="N176" s="1302"/>
      <c r="O176" s="1302"/>
      <c r="P176" s="1302"/>
      <c r="Q176" s="1302"/>
      <c r="R176" s="1302"/>
      <c r="S176" s="1302"/>
      <c r="T176" s="1302"/>
      <c r="U176" s="1302"/>
      <c r="V176" s="1302"/>
      <c r="W176" s="1302"/>
    </row>
    <row r="177" spans="1:23" s="99" customFormat="1" ht="62.25" customHeight="1">
      <c r="A177" s="1302" t="s">
        <v>2382</v>
      </c>
      <c r="B177" s="1302"/>
      <c r="C177" s="1302"/>
      <c r="D177" s="1302"/>
      <c r="E177" s="1302"/>
      <c r="F177" s="1302"/>
      <c r="G177" s="1302"/>
      <c r="H177" s="1302"/>
      <c r="I177" s="1302"/>
      <c r="J177" s="1302"/>
      <c r="K177" s="1302"/>
      <c r="L177" s="1302"/>
      <c r="M177" s="1302"/>
      <c r="N177" s="1302"/>
      <c r="O177" s="1302"/>
      <c r="P177" s="1302"/>
      <c r="Q177" s="1302"/>
      <c r="R177" s="1302"/>
      <c r="S177" s="1302"/>
      <c r="T177" s="1302"/>
      <c r="U177" s="1302"/>
      <c r="V177" s="1302"/>
      <c r="W177" s="1302"/>
    </row>
    <row r="178" spans="1:23" s="99" customFormat="1" ht="15" customHeight="1">
      <c r="A178" s="1302" t="s">
        <v>2778</v>
      </c>
      <c r="B178" s="1302"/>
      <c r="C178" s="1302"/>
      <c r="D178" s="1302"/>
      <c r="E178" s="1302"/>
      <c r="F178" s="1302"/>
      <c r="G178" s="1302"/>
      <c r="H178" s="1302"/>
      <c r="I178" s="1302"/>
      <c r="J178" s="1302"/>
      <c r="K178" s="1302"/>
      <c r="L178" s="1302"/>
      <c r="M178" s="1302"/>
      <c r="N178" s="1302"/>
      <c r="O178" s="1302"/>
      <c r="P178" s="1302"/>
      <c r="Q178" s="1302"/>
      <c r="R178" s="1302"/>
      <c r="S178" s="1302"/>
      <c r="T178" s="1302"/>
      <c r="U178" s="1302"/>
      <c r="V178" s="1302"/>
      <c r="W178" s="1302"/>
    </row>
    <row r="179" spans="1:23" s="99" customFormat="1" ht="108.75" customHeight="1">
      <c r="A179" s="1302" t="s">
        <v>2383</v>
      </c>
      <c r="B179" s="1302"/>
      <c r="C179" s="1302"/>
      <c r="D179" s="1302"/>
      <c r="E179" s="1302"/>
      <c r="F179" s="1302"/>
      <c r="G179" s="1302"/>
      <c r="H179" s="1302"/>
      <c r="I179" s="1302"/>
      <c r="J179" s="1302"/>
      <c r="K179" s="1302"/>
      <c r="L179" s="1302"/>
      <c r="M179" s="1302"/>
      <c r="N179" s="1302"/>
      <c r="O179" s="1302"/>
      <c r="P179" s="1302"/>
      <c r="Q179" s="1302"/>
      <c r="R179" s="1302"/>
      <c r="S179" s="1302"/>
      <c r="T179" s="1302"/>
      <c r="U179" s="1302"/>
      <c r="V179" s="1302"/>
      <c r="W179" s="1302"/>
    </row>
    <row r="180" spans="1:23" s="99" customFormat="1" ht="12.75" customHeight="1">
      <c r="A180" s="1216" t="s">
        <v>2384</v>
      </c>
      <c r="B180" s="1216"/>
      <c r="C180" s="1216"/>
      <c r="D180" s="1216"/>
      <c r="E180" s="1216"/>
      <c r="F180" s="1216"/>
      <c r="G180" s="1216"/>
      <c r="H180" s="1216"/>
      <c r="I180" s="1216"/>
      <c r="J180" s="1216"/>
      <c r="K180" s="1216"/>
      <c r="L180" s="1216"/>
      <c r="M180" s="1216"/>
      <c r="N180" s="1216"/>
      <c r="O180" s="1216"/>
      <c r="P180" s="1216"/>
      <c r="Q180" s="1216"/>
      <c r="R180" s="1216"/>
      <c r="S180" s="1216"/>
      <c r="T180" s="1216"/>
      <c r="U180" s="1216"/>
      <c r="V180" s="1216"/>
      <c r="W180" s="1216"/>
    </row>
    <row r="181" spans="1:23" s="99" customFormat="1" ht="45.75" customHeight="1">
      <c r="A181" s="1216" t="s">
        <v>2385</v>
      </c>
      <c r="B181" s="1216"/>
      <c r="C181" s="1216"/>
      <c r="D181" s="1216"/>
      <c r="E181" s="1216"/>
      <c r="F181" s="1216"/>
      <c r="G181" s="1216"/>
      <c r="H181" s="1216"/>
      <c r="I181" s="1216"/>
      <c r="J181" s="1216"/>
      <c r="K181" s="1216"/>
      <c r="L181" s="1216"/>
      <c r="M181" s="1216"/>
      <c r="N181" s="1216"/>
      <c r="O181" s="1216"/>
      <c r="P181" s="1216"/>
      <c r="Q181" s="1216"/>
      <c r="R181" s="1216"/>
      <c r="S181" s="1216"/>
      <c r="T181" s="1216"/>
      <c r="U181" s="1216"/>
      <c r="V181" s="1216"/>
      <c r="W181" s="1216"/>
    </row>
    <row r="182" spans="1:23" s="99" customFormat="1" ht="31.5" customHeight="1">
      <c r="A182" s="1216" t="s">
        <v>2386</v>
      </c>
      <c r="B182" s="1216"/>
      <c r="C182" s="1216"/>
      <c r="D182" s="1216"/>
      <c r="E182" s="1216"/>
      <c r="F182" s="1216"/>
      <c r="G182" s="1216"/>
      <c r="H182" s="1216"/>
      <c r="I182" s="1216"/>
      <c r="J182" s="1216"/>
      <c r="K182" s="1216"/>
      <c r="L182" s="1216"/>
      <c r="M182" s="1216"/>
      <c r="N182" s="1216"/>
      <c r="O182" s="1216"/>
      <c r="P182" s="1216"/>
      <c r="Q182" s="1216"/>
      <c r="R182" s="1216"/>
      <c r="S182" s="1216"/>
      <c r="T182" s="1216"/>
      <c r="U182" s="1216"/>
      <c r="V182" s="1216"/>
      <c r="W182" s="1216"/>
    </row>
    <row r="183" spans="1:23" s="99" customFormat="1" ht="31.5" customHeight="1">
      <c r="A183" s="1216" t="s">
        <v>2387</v>
      </c>
      <c r="B183" s="1216"/>
      <c r="C183" s="1216"/>
      <c r="D183" s="1216"/>
      <c r="E183" s="1216"/>
      <c r="F183" s="1216"/>
      <c r="G183" s="1216"/>
      <c r="H183" s="1216"/>
      <c r="I183" s="1216"/>
      <c r="J183" s="1216"/>
      <c r="K183" s="1216"/>
      <c r="L183" s="1216"/>
      <c r="M183" s="1216"/>
      <c r="N183" s="1216"/>
      <c r="O183" s="1216"/>
      <c r="P183" s="1216"/>
      <c r="Q183" s="1216"/>
      <c r="R183" s="1216"/>
      <c r="S183" s="1216"/>
      <c r="T183" s="1216"/>
      <c r="U183" s="1216"/>
      <c r="V183" s="1216"/>
      <c r="W183" s="1216"/>
    </row>
    <row r="184" spans="1:23" s="99" customFormat="1" ht="12.75" customHeight="1">
      <c r="A184" s="1216" t="s">
        <v>2779</v>
      </c>
      <c r="B184" s="1216"/>
      <c r="C184" s="1216"/>
      <c r="D184" s="1216"/>
      <c r="E184" s="1216"/>
      <c r="F184" s="1216"/>
      <c r="G184" s="1216"/>
      <c r="H184" s="1216"/>
      <c r="I184" s="1216"/>
      <c r="J184" s="1216"/>
      <c r="K184" s="1216"/>
      <c r="L184" s="1216"/>
      <c r="M184" s="1216"/>
      <c r="N184" s="1216"/>
      <c r="O184" s="1216"/>
      <c r="P184" s="1216"/>
      <c r="Q184" s="1216"/>
      <c r="R184" s="1216"/>
      <c r="S184" s="1216"/>
      <c r="T184" s="1216"/>
      <c r="U184" s="1216"/>
      <c r="V184" s="1216"/>
      <c r="W184" s="1216"/>
    </row>
    <row r="185" spans="1:23" s="99" customFormat="1" ht="86.25" customHeight="1">
      <c r="A185" s="1216" t="s">
        <v>2388</v>
      </c>
      <c r="B185" s="1216"/>
      <c r="C185" s="1216"/>
      <c r="D185" s="1216"/>
      <c r="E185" s="1216"/>
      <c r="F185" s="1216"/>
      <c r="G185" s="1216"/>
      <c r="H185" s="1216"/>
      <c r="I185" s="1216"/>
      <c r="J185" s="1216"/>
      <c r="K185" s="1216"/>
      <c r="L185" s="1216"/>
      <c r="M185" s="1216"/>
      <c r="N185" s="1216"/>
      <c r="O185" s="1216"/>
      <c r="P185" s="1216"/>
      <c r="Q185" s="1216"/>
      <c r="R185" s="1216"/>
      <c r="S185" s="1216"/>
      <c r="T185" s="1216"/>
      <c r="U185" s="1216"/>
      <c r="V185" s="1216"/>
      <c r="W185" s="1216"/>
    </row>
    <row r="186" spans="1:23" s="99" customFormat="1" ht="12.75" customHeight="1">
      <c r="A186" s="1409" t="s">
        <v>2780</v>
      </c>
      <c r="B186" s="1409"/>
      <c r="C186" s="1409"/>
      <c r="D186" s="1409"/>
      <c r="E186" s="1409"/>
      <c r="F186" s="1409"/>
      <c r="G186" s="1409"/>
      <c r="H186" s="1409"/>
      <c r="I186" s="1409"/>
      <c r="J186" s="1409"/>
      <c r="K186" s="1409"/>
      <c r="L186" s="1409"/>
      <c r="M186" s="1409"/>
      <c r="N186" s="1409"/>
      <c r="O186" s="1409"/>
      <c r="P186" s="1409"/>
      <c r="Q186" s="1409"/>
      <c r="R186" s="1409"/>
      <c r="S186" s="1409"/>
      <c r="T186" s="1409"/>
      <c r="U186" s="1409"/>
      <c r="V186" s="1409"/>
      <c r="W186" s="1409"/>
    </row>
    <row r="187" spans="1:23" s="99" customFormat="1" ht="114" customHeight="1">
      <c r="A187" s="1216" t="s">
        <v>2389</v>
      </c>
      <c r="B187" s="1216"/>
      <c r="C187" s="1216"/>
      <c r="D187" s="1216"/>
      <c r="E187" s="1216"/>
      <c r="F187" s="1216"/>
      <c r="G187" s="1216"/>
      <c r="H187" s="1216"/>
      <c r="I187" s="1216"/>
      <c r="J187" s="1216"/>
      <c r="K187" s="1216"/>
      <c r="L187" s="1216"/>
      <c r="M187" s="1216"/>
      <c r="N187" s="1216"/>
      <c r="O187" s="1216"/>
      <c r="P187" s="1216"/>
      <c r="Q187" s="1216"/>
      <c r="R187" s="1216"/>
      <c r="S187" s="1216"/>
      <c r="T187" s="1216"/>
      <c r="U187" s="1216"/>
      <c r="V187" s="1216"/>
      <c r="W187" s="1216"/>
    </row>
    <row r="188" spans="1:23" s="99" customFormat="1" ht="57.75" customHeight="1">
      <c r="A188" s="1216" t="s">
        <v>2390</v>
      </c>
      <c r="B188" s="1216"/>
      <c r="C188" s="1216"/>
      <c r="D188" s="1216"/>
      <c r="E188" s="1216"/>
      <c r="F188" s="1216"/>
      <c r="G188" s="1216"/>
      <c r="H188" s="1216"/>
      <c r="I188" s="1216"/>
      <c r="J188" s="1216"/>
      <c r="K188" s="1216"/>
      <c r="L188" s="1216"/>
      <c r="M188" s="1216"/>
      <c r="N188" s="1216"/>
      <c r="O188" s="1216"/>
      <c r="P188" s="1216"/>
      <c r="Q188" s="1216"/>
      <c r="R188" s="1216"/>
      <c r="S188" s="1216"/>
      <c r="T188" s="1216"/>
      <c r="U188" s="1216"/>
      <c r="V188" s="1216"/>
      <c r="W188" s="1216"/>
    </row>
    <row r="189" spans="1:23" s="99" customFormat="1" ht="138.75" customHeight="1">
      <c r="A189" s="1216" t="s">
        <v>2391</v>
      </c>
      <c r="B189" s="1216"/>
      <c r="C189" s="1216"/>
      <c r="D189" s="1216"/>
      <c r="E189" s="1216"/>
      <c r="F189" s="1216"/>
      <c r="G189" s="1216"/>
      <c r="H189" s="1216"/>
      <c r="I189" s="1216"/>
      <c r="J189" s="1216"/>
      <c r="K189" s="1216"/>
      <c r="L189" s="1216"/>
      <c r="M189" s="1216"/>
      <c r="N189" s="1216"/>
      <c r="O189" s="1216"/>
      <c r="P189" s="1216"/>
      <c r="Q189" s="1216"/>
      <c r="R189" s="1216"/>
      <c r="S189" s="1216"/>
      <c r="T189" s="1216"/>
      <c r="U189" s="1216"/>
      <c r="V189" s="1216"/>
      <c r="W189" s="1216"/>
    </row>
    <row r="190" spans="1:23" s="99" customFormat="1" ht="81.75" customHeight="1">
      <c r="A190" s="1216" t="s">
        <v>2392</v>
      </c>
      <c r="B190" s="1216"/>
      <c r="C190" s="1216"/>
      <c r="D190" s="1216"/>
      <c r="E190" s="1216"/>
      <c r="F190" s="1216"/>
      <c r="G190" s="1216"/>
      <c r="H190" s="1216"/>
      <c r="I190" s="1216"/>
      <c r="J190" s="1216"/>
      <c r="K190" s="1216"/>
      <c r="L190" s="1216"/>
      <c r="M190" s="1216"/>
      <c r="N190" s="1216"/>
      <c r="O190" s="1216"/>
      <c r="P190" s="1216"/>
      <c r="Q190" s="1216"/>
      <c r="R190" s="1216"/>
      <c r="S190" s="1216"/>
      <c r="T190" s="1216"/>
      <c r="U190" s="1216"/>
      <c r="V190" s="1216"/>
      <c r="W190" s="1216"/>
    </row>
    <row r="191" spans="1:23" s="99" customFormat="1" ht="144" customHeight="1">
      <c r="A191" s="1216" t="s">
        <v>2393</v>
      </c>
      <c r="B191" s="1216"/>
      <c r="C191" s="1216"/>
      <c r="D191" s="1216"/>
      <c r="E191" s="1216"/>
      <c r="F191" s="1216"/>
      <c r="G191" s="1216"/>
      <c r="H191" s="1216"/>
      <c r="I191" s="1216"/>
      <c r="J191" s="1216"/>
      <c r="K191" s="1216"/>
      <c r="L191" s="1216"/>
      <c r="M191" s="1216"/>
      <c r="N191" s="1216"/>
      <c r="O191" s="1216"/>
      <c r="P191" s="1216"/>
      <c r="Q191" s="1216"/>
      <c r="R191" s="1216"/>
      <c r="S191" s="1216"/>
      <c r="T191" s="1216"/>
      <c r="U191" s="1216"/>
      <c r="V191" s="1216"/>
      <c r="W191" s="1216"/>
    </row>
    <row r="192" spans="1:23" s="99" customFormat="1" ht="47.25" customHeight="1">
      <c r="A192" s="1216" t="s">
        <v>2394</v>
      </c>
      <c r="B192" s="1216"/>
      <c r="C192" s="1216"/>
      <c r="D192" s="1216"/>
      <c r="E192" s="1216"/>
      <c r="F192" s="1216"/>
      <c r="G192" s="1216"/>
      <c r="H192" s="1216"/>
      <c r="I192" s="1216"/>
      <c r="J192" s="1216"/>
      <c r="K192" s="1216"/>
      <c r="L192" s="1216"/>
      <c r="M192" s="1216"/>
      <c r="N192" s="1216"/>
      <c r="O192" s="1216"/>
      <c r="P192" s="1216"/>
      <c r="Q192" s="1216"/>
      <c r="R192" s="1216"/>
      <c r="S192" s="1216"/>
      <c r="T192" s="1216"/>
      <c r="U192" s="1216"/>
      <c r="V192" s="1216"/>
      <c r="W192" s="1216"/>
    </row>
    <row r="193" spans="1:23" s="99" customFormat="1" ht="82.5" customHeight="1">
      <c r="A193" s="1216" t="s">
        <v>2395</v>
      </c>
      <c r="B193" s="1216"/>
      <c r="C193" s="1216"/>
      <c r="D193" s="1216"/>
      <c r="E193" s="1216"/>
      <c r="F193" s="1216"/>
      <c r="G193" s="1216"/>
      <c r="H193" s="1216"/>
      <c r="I193" s="1216"/>
      <c r="J193" s="1216"/>
      <c r="K193" s="1216"/>
      <c r="L193" s="1216"/>
      <c r="M193" s="1216"/>
      <c r="N193" s="1216"/>
      <c r="O193" s="1216"/>
      <c r="P193" s="1216"/>
      <c r="Q193" s="1216"/>
      <c r="R193" s="1216"/>
      <c r="S193" s="1216"/>
      <c r="T193" s="1216"/>
      <c r="U193" s="1216"/>
      <c r="V193" s="1216"/>
      <c r="W193" s="1216"/>
    </row>
    <row r="194" spans="1:23" s="99" customFormat="1" ht="112.5" customHeight="1">
      <c r="A194" s="1216" t="s">
        <v>2396</v>
      </c>
      <c r="B194" s="1216"/>
      <c r="C194" s="1216"/>
      <c r="D194" s="1216"/>
      <c r="E194" s="1216"/>
      <c r="F194" s="1216"/>
      <c r="G194" s="1216"/>
      <c r="H194" s="1216"/>
      <c r="I194" s="1216"/>
      <c r="J194" s="1216"/>
      <c r="K194" s="1216"/>
      <c r="L194" s="1216"/>
      <c r="M194" s="1216"/>
      <c r="N194" s="1216"/>
      <c r="O194" s="1216"/>
      <c r="P194" s="1216"/>
      <c r="Q194" s="1216"/>
      <c r="R194" s="1216"/>
      <c r="S194" s="1216"/>
      <c r="T194" s="1216"/>
      <c r="U194" s="1216"/>
      <c r="V194" s="1216"/>
      <c r="W194" s="1216"/>
    </row>
    <row r="195" spans="1:23" s="99" customFormat="1" ht="125.25" customHeight="1">
      <c r="A195" s="1216" t="s">
        <v>2397</v>
      </c>
      <c r="B195" s="1216"/>
      <c r="C195" s="1216"/>
      <c r="D195" s="1216"/>
      <c r="E195" s="1216"/>
      <c r="F195" s="1216"/>
      <c r="G195" s="1216"/>
      <c r="H195" s="1216"/>
      <c r="I195" s="1216"/>
      <c r="J195" s="1216"/>
      <c r="K195" s="1216"/>
      <c r="L195" s="1216"/>
      <c r="M195" s="1216"/>
      <c r="N195" s="1216"/>
      <c r="O195" s="1216"/>
      <c r="P195" s="1216"/>
      <c r="Q195" s="1216"/>
      <c r="R195" s="1216"/>
      <c r="S195" s="1216"/>
      <c r="T195" s="1216"/>
      <c r="U195" s="1216"/>
      <c r="V195" s="1216"/>
      <c r="W195" s="1216"/>
    </row>
    <row r="196" spans="1:23" s="99" customFormat="1" ht="30.75" customHeight="1">
      <c r="A196" s="1216" t="s">
        <v>2398</v>
      </c>
      <c r="B196" s="1216"/>
      <c r="C196" s="1216"/>
      <c r="D196" s="1216"/>
      <c r="E196" s="1216"/>
      <c r="F196" s="1216"/>
      <c r="G196" s="1216"/>
      <c r="H196" s="1216"/>
      <c r="I196" s="1216"/>
      <c r="J196" s="1216"/>
      <c r="K196" s="1216"/>
      <c r="L196" s="1216"/>
      <c r="M196" s="1216"/>
      <c r="N196" s="1216"/>
      <c r="O196" s="1216"/>
      <c r="P196" s="1216"/>
      <c r="Q196" s="1216"/>
      <c r="R196" s="1216"/>
      <c r="S196" s="1216"/>
      <c r="T196" s="1216"/>
      <c r="U196" s="1216"/>
      <c r="V196" s="1216"/>
      <c r="W196" s="1216"/>
    </row>
    <row r="197" spans="1:23" s="99" customFormat="1" ht="12.75" customHeight="1">
      <c r="A197" s="1216" t="s">
        <v>2399</v>
      </c>
      <c r="B197" s="1216"/>
      <c r="C197" s="1216"/>
      <c r="D197" s="1216"/>
      <c r="E197" s="1216"/>
      <c r="F197" s="1216"/>
      <c r="G197" s="1216"/>
      <c r="H197" s="1216"/>
      <c r="I197" s="1216"/>
      <c r="J197" s="1216"/>
      <c r="K197" s="1216"/>
      <c r="L197" s="1216"/>
      <c r="M197" s="1216"/>
      <c r="N197" s="1216"/>
      <c r="O197" s="1216"/>
      <c r="P197" s="1216"/>
      <c r="Q197" s="1216"/>
      <c r="R197" s="1216"/>
      <c r="S197" s="1216"/>
      <c r="T197" s="1216"/>
      <c r="U197" s="1216"/>
      <c r="V197" s="1216"/>
      <c r="W197" s="1216"/>
    </row>
    <row r="198" spans="1:23" s="99" customFormat="1" ht="72" customHeight="1">
      <c r="A198" s="1216" t="s">
        <v>2400</v>
      </c>
      <c r="B198" s="1216"/>
      <c r="C198" s="1216"/>
      <c r="D198" s="1216"/>
      <c r="E198" s="1216"/>
      <c r="F198" s="1216"/>
      <c r="G198" s="1216"/>
      <c r="H198" s="1216"/>
      <c r="I198" s="1216"/>
      <c r="J198" s="1216"/>
      <c r="K198" s="1216"/>
      <c r="L198" s="1216"/>
      <c r="M198" s="1216"/>
      <c r="N198" s="1216"/>
      <c r="O198" s="1216"/>
      <c r="P198" s="1216"/>
      <c r="Q198" s="1216"/>
      <c r="R198" s="1216"/>
      <c r="S198" s="1216"/>
      <c r="T198" s="1216"/>
      <c r="U198" s="1216"/>
      <c r="V198" s="1216"/>
      <c r="W198" s="1216"/>
    </row>
    <row r="199" spans="1:23" s="99" customFormat="1" ht="41.25" customHeight="1">
      <c r="A199" s="1216" t="s">
        <v>2401</v>
      </c>
      <c r="B199" s="1216"/>
      <c r="C199" s="1216"/>
      <c r="D199" s="1216"/>
      <c r="E199" s="1216"/>
      <c r="F199" s="1216"/>
      <c r="G199" s="1216"/>
      <c r="H199" s="1216"/>
      <c r="I199" s="1216"/>
      <c r="J199" s="1216"/>
      <c r="K199" s="1216"/>
      <c r="L199" s="1216"/>
      <c r="M199" s="1216"/>
      <c r="N199" s="1216"/>
      <c r="O199" s="1216"/>
      <c r="P199" s="1216"/>
      <c r="Q199" s="1216"/>
      <c r="R199" s="1216"/>
      <c r="S199" s="1216"/>
      <c r="T199" s="1216"/>
      <c r="U199" s="1216"/>
      <c r="V199" s="1216"/>
      <c r="W199" s="1216"/>
    </row>
    <row r="200" spans="1:23" s="99" customFormat="1">
      <c r="A200" s="1216" t="s">
        <v>2402</v>
      </c>
      <c r="B200" s="1216"/>
      <c r="C200" s="1216"/>
      <c r="D200" s="1216"/>
      <c r="E200" s="1216"/>
      <c r="F200" s="1216"/>
      <c r="G200" s="1216"/>
      <c r="H200" s="1216"/>
      <c r="I200" s="1216"/>
      <c r="J200" s="1216"/>
      <c r="K200" s="1216"/>
      <c r="L200" s="1216"/>
      <c r="M200" s="1216"/>
      <c r="N200" s="1216"/>
      <c r="O200" s="1216"/>
      <c r="P200" s="1216"/>
      <c r="Q200" s="1216"/>
      <c r="R200" s="1216"/>
      <c r="S200" s="1216"/>
      <c r="T200" s="1216"/>
      <c r="U200" s="1216"/>
      <c r="V200" s="1216"/>
      <c r="W200" s="1216"/>
    </row>
    <row r="201" spans="1:23" s="99" customFormat="1" ht="70.5" customHeight="1">
      <c r="A201" s="1216" t="s">
        <v>2403</v>
      </c>
      <c r="B201" s="1216"/>
      <c r="C201" s="1216"/>
      <c r="D201" s="1216"/>
      <c r="E201" s="1216"/>
      <c r="F201" s="1216"/>
      <c r="G201" s="1216"/>
      <c r="H201" s="1216"/>
      <c r="I201" s="1216"/>
      <c r="J201" s="1216"/>
      <c r="K201" s="1216"/>
      <c r="L201" s="1216"/>
      <c r="M201" s="1216"/>
      <c r="N201" s="1216"/>
      <c r="O201" s="1216"/>
      <c r="P201" s="1216"/>
      <c r="Q201" s="1216"/>
      <c r="R201" s="1216"/>
      <c r="S201" s="1216"/>
      <c r="T201" s="1216"/>
      <c r="U201" s="1216"/>
      <c r="V201" s="1216"/>
      <c r="W201" s="1216"/>
    </row>
    <row r="202" spans="1:23" s="99" customFormat="1" ht="99" customHeight="1">
      <c r="A202" s="1216" t="s">
        <v>2404</v>
      </c>
      <c r="B202" s="1216"/>
      <c r="C202" s="1216"/>
      <c r="D202" s="1216"/>
      <c r="E202" s="1216"/>
      <c r="F202" s="1216"/>
      <c r="G202" s="1216"/>
      <c r="H202" s="1216"/>
      <c r="I202" s="1216"/>
      <c r="J202" s="1216"/>
      <c r="K202" s="1216"/>
      <c r="L202" s="1216"/>
      <c r="M202" s="1216"/>
      <c r="N202" s="1216"/>
      <c r="O202" s="1216"/>
      <c r="P202" s="1216"/>
      <c r="Q202" s="1216"/>
      <c r="R202" s="1216"/>
      <c r="S202" s="1216"/>
      <c r="T202" s="1216"/>
      <c r="U202" s="1216"/>
      <c r="V202" s="1216"/>
      <c r="W202" s="1216"/>
    </row>
    <row r="203" spans="1:23" s="99" customFormat="1" ht="66.75" customHeight="1">
      <c r="A203" s="1216" t="s">
        <v>2405</v>
      </c>
      <c r="B203" s="1216"/>
      <c r="C203" s="1216"/>
      <c r="D203" s="1216"/>
      <c r="E203" s="1216"/>
      <c r="F203" s="1216"/>
      <c r="G203" s="1216"/>
      <c r="H203" s="1216"/>
      <c r="I203" s="1216"/>
      <c r="J203" s="1216"/>
      <c r="K203" s="1216"/>
      <c r="L203" s="1216"/>
      <c r="M203" s="1216"/>
      <c r="N203" s="1216"/>
      <c r="O203" s="1216"/>
      <c r="P203" s="1216"/>
      <c r="Q203" s="1216"/>
      <c r="R203" s="1216"/>
      <c r="S203" s="1216"/>
      <c r="T203" s="1216"/>
      <c r="U203" s="1216"/>
      <c r="V203" s="1216"/>
      <c r="W203" s="1216"/>
    </row>
    <row r="204" spans="1:23" s="99" customFormat="1" ht="120.75" customHeight="1">
      <c r="A204" s="1216" t="s">
        <v>2406</v>
      </c>
      <c r="B204" s="1216"/>
      <c r="C204" s="1216"/>
      <c r="D204" s="1216"/>
      <c r="E204" s="1216"/>
      <c r="F204" s="1216"/>
      <c r="G204" s="1216"/>
      <c r="H204" s="1216"/>
      <c r="I204" s="1216"/>
      <c r="J204" s="1216"/>
      <c r="K204" s="1216"/>
      <c r="L204" s="1216"/>
      <c r="M204" s="1216"/>
      <c r="N204" s="1216"/>
      <c r="O204" s="1216"/>
      <c r="P204" s="1216"/>
      <c r="Q204" s="1216"/>
      <c r="R204" s="1216"/>
      <c r="S204" s="1216"/>
      <c r="T204" s="1216"/>
      <c r="U204" s="1216"/>
      <c r="V204" s="1216"/>
      <c r="W204" s="1216"/>
    </row>
    <row r="205" spans="1:23" s="99" customFormat="1">
      <c r="A205" s="1216" t="s">
        <v>2407</v>
      </c>
      <c r="B205" s="1216"/>
      <c r="C205" s="1216"/>
      <c r="D205" s="1216"/>
      <c r="E205" s="1216"/>
      <c r="F205" s="1216"/>
      <c r="G205" s="1216"/>
      <c r="H205" s="1216"/>
      <c r="I205" s="1216"/>
      <c r="J205" s="1216"/>
      <c r="K205" s="1216"/>
      <c r="L205" s="1216"/>
      <c r="M205" s="1216"/>
      <c r="N205" s="1216"/>
      <c r="O205" s="1216"/>
      <c r="P205" s="1216"/>
      <c r="Q205" s="1216"/>
      <c r="R205" s="1216"/>
      <c r="S205" s="1216"/>
      <c r="T205" s="1216"/>
      <c r="U205" s="1216"/>
      <c r="V205" s="1216"/>
      <c r="W205" s="1216"/>
    </row>
    <row r="206" spans="1:23" s="99" customFormat="1" ht="32.25" customHeight="1">
      <c r="A206" s="1216" t="s">
        <v>2398</v>
      </c>
      <c r="B206" s="1216"/>
      <c r="C206" s="1216"/>
      <c r="D206" s="1216"/>
      <c r="E206" s="1216"/>
      <c r="F206" s="1216"/>
      <c r="G206" s="1216"/>
      <c r="H206" s="1216"/>
      <c r="I206" s="1216"/>
      <c r="J206" s="1216"/>
      <c r="K206" s="1216"/>
      <c r="L206" s="1216"/>
      <c r="M206" s="1216"/>
      <c r="N206" s="1216"/>
      <c r="O206" s="1216"/>
      <c r="P206" s="1216"/>
      <c r="Q206" s="1216"/>
      <c r="R206" s="1216"/>
      <c r="S206" s="1216"/>
      <c r="T206" s="1216"/>
      <c r="U206" s="1216"/>
      <c r="V206" s="1216"/>
      <c r="W206" s="1216"/>
    </row>
    <row r="207" spans="1:23" s="99" customFormat="1" ht="12.75" customHeight="1">
      <c r="A207" s="1298" t="s">
        <v>2781</v>
      </c>
      <c r="B207" s="1298"/>
      <c r="C207" s="1298"/>
      <c r="D207" s="1298"/>
      <c r="E207" s="1298"/>
      <c r="F207" s="1298"/>
      <c r="G207" s="1298"/>
      <c r="H207" s="1298"/>
      <c r="I207" s="1298"/>
      <c r="J207" s="1298"/>
      <c r="K207" s="1298"/>
      <c r="L207" s="1298"/>
      <c r="M207" s="1298"/>
      <c r="N207" s="1298"/>
      <c r="O207" s="1298"/>
      <c r="P207" s="1298"/>
      <c r="Q207" s="1298"/>
      <c r="R207" s="1298"/>
      <c r="S207" s="1298"/>
      <c r="T207" s="1298"/>
      <c r="U207" s="1298"/>
      <c r="V207" s="1298"/>
      <c r="W207" s="1298"/>
    </row>
    <row r="208" spans="1:23" s="99" customFormat="1" ht="12.75" customHeight="1">
      <c r="A208" s="1216" t="s">
        <v>2408</v>
      </c>
      <c r="B208" s="1216"/>
      <c r="C208" s="1216"/>
      <c r="D208" s="1216"/>
      <c r="E208" s="1216"/>
      <c r="F208" s="1216"/>
      <c r="G208" s="1216"/>
      <c r="H208" s="1216"/>
      <c r="I208" s="1216"/>
      <c r="J208" s="1216"/>
      <c r="K208" s="1216"/>
      <c r="L208" s="1216"/>
      <c r="M208" s="1216"/>
      <c r="N208" s="1216"/>
      <c r="O208" s="1216"/>
      <c r="P208" s="1216"/>
      <c r="Q208" s="1216"/>
      <c r="R208" s="1216"/>
      <c r="S208" s="1216"/>
      <c r="T208" s="1216"/>
      <c r="U208" s="1216"/>
      <c r="V208" s="1216"/>
      <c r="W208" s="1216"/>
    </row>
    <row r="209" spans="1:23" s="99" customFormat="1" ht="98.25" customHeight="1">
      <c r="A209" s="1216" t="s">
        <v>2409</v>
      </c>
      <c r="B209" s="1216"/>
      <c r="C209" s="1216"/>
      <c r="D209" s="1216"/>
      <c r="E209" s="1216"/>
      <c r="F209" s="1216"/>
      <c r="G209" s="1216"/>
      <c r="H209" s="1216"/>
      <c r="I209" s="1216"/>
      <c r="J209" s="1216"/>
      <c r="K209" s="1216"/>
      <c r="L209" s="1216"/>
      <c r="M209" s="1216"/>
      <c r="N209" s="1216"/>
      <c r="O209" s="1216"/>
      <c r="P209" s="1216"/>
      <c r="Q209" s="1216"/>
      <c r="R209" s="1216"/>
      <c r="S209" s="1216"/>
      <c r="T209" s="1216"/>
      <c r="U209" s="1216"/>
      <c r="V209" s="1216"/>
      <c r="W209" s="1216"/>
    </row>
    <row r="210" spans="1:23" s="99" customFormat="1" ht="136.5" customHeight="1">
      <c r="A210" s="1216" t="s">
        <v>2410</v>
      </c>
      <c r="B210" s="1216"/>
      <c r="C210" s="1216"/>
      <c r="D210" s="1216"/>
      <c r="E210" s="1216"/>
      <c r="F210" s="1216"/>
      <c r="G210" s="1216"/>
      <c r="H210" s="1216"/>
      <c r="I210" s="1216"/>
      <c r="J210" s="1216"/>
      <c r="K210" s="1216"/>
      <c r="L210" s="1216"/>
      <c r="M210" s="1216"/>
      <c r="N210" s="1216"/>
      <c r="O210" s="1216"/>
      <c r="P210" s="1216"/>
      <c r="Q210" s="1216"/>
      <c r="R210" s="1216"/>
      <c r="S210" s="1216"/>
      <c r="T210" s="1216"/>
      <c r="U210" s="1216"/>
      <c r="V210" s="1216"/>
      <c r="W210" s="1216"/>
    </row>
    <row r="211" spans="1:23" s="99" customFormat="1" ht="147.75" customHeight="1">
      <c r="A211" s="1216" t="s">
        <v>2411</v>
      </c>
      <c r="B211" s="1216"/>
      <c r="C211" s="1216"/>
      <c r="D211" s="1216"/>
      <c r="E211" s="1216"/>
      <c r="F211" s="1216"/>
      <c r="G211" s="1216"/>
      <c r="H211" s="1216"/>
      <c r="I211" s="1216"/>
      <c r="J211" s="1216"/>
      <c r="K211" s="1216"/>
      <c r="L211" s="1216"/>
      <c r="M211" s="1216"/>
      <c r="N211" s="1216"/>
      <c r="O211" s="1216"/>
      <c r="P211" s="1216"/>
      <c r="Q211" s="1216"/>
      <c r="R211" s="1216"/>
      <c r="S211" s="1216"/>
      <c r="T211" s="1216"/>
      <c r="U211" s="1216"/>
      <c r="V211" s="1216"/>
      <c r="W211" s="1216"/>
    </row>
    <row r="212" spans="1:23" s="99" customFormat="1" ht="135.75" customHeight="1">
      <c r="A212" s="1216" t="s">
        <v>2412</v>
      </c>
      <c r="B212" s="1216"/>
      <c r="C212" s="1216"/>
      <c r="D212" s="1216"/>
      <c r="E212" s="1216"/>
      <c r="F212" s="1216"/>
      <c r="G212" s="1216"/>
      <c r="H212" s="1216"/>
      <c r="I212" s="1216"/>
      <c r="J212" s="1216"/>
      <c r="K212" s="1216"/>
      <c r="L212" s="1216"/>
      <c r="M212" s="1216"/>
      <c r="N212" s="1216"/>
      <c r="O212" s="1216"/>
      <c r="P212" s="1216"/>
      <c r="Q212" s="1216"/>
      <c r="R212" s="1216"/>
      <c r="S212" s="1216"/>
      <c r="T212" s="1216"/>
      <c r="U212" s="1216"/>
      <c r="V212" s="1216"/>
      <c r="W212" s="1216"/>
    </row>
    <row r="213" spans="1:23" s="99" customFormat="1" ht="45" customHeight="1">
      <c r="A213" s="1216" t="s">
        <v>2413</v>
      </c>
      <c r="B213" s="1216"/>
      <c r="C213" s="1216"/>
      <c r="D213" s="1216"/>
      <c r="E213" s="1216"/>
      <c r="F213" s="1216"/>
      <c r="G213" s="1216"/>
      <c r="H213" s="1216"/>
      <c r="I213" s="1216"/>
      <c r="J213" s="1216"/>
      <c r="K213" s="1216"/>
      <c r="L213" s="1216"/>
      <c r="M213" s="1216"/>
      <c r="N213" s="1216"/>
      <c r="O213" s="1216"/>
      <c r="P213" s="1216"/>
      <c r="Q213" s="1216"/>
      <c r="R213" s="1216"/>
      <c r="S213" s="1216"/>
      <c r="T213" s="1216"/>
      <c r="U213" s="1216"/>
      <c r="V213" s="1216"/>
      <c r="W213" s="1216"/>
    </row>
    <row r="214" spans="1:23" s="99" customFormat="1">
      <c r="A214" s="1216" t="s">
        <v>2414</v>
      </c>
      <c r="B214" s="1216"/>
      <c r="C214" s="1216"/>
      <c r="D214" s="1216"/>
      <c r="E214" s="1216"/>
      <c r="F214" s="1216"/>
      <c r="G214" s="1216"/>
      <c r="H214" s="1216"/>
      <c r="I214" s="1216"/>
      <c r="J214" s="1216"/>
      <c r="K214" s="1216"/>
      <c r="L214" s="1216"/>
      <c r="M214" s="1216"/>
      <c r="N214" s="1216"/>
      <c r="O214" s="1216"/>
      <c r="P214" s="1216"/>
      <c r="Q214" s="1216"/>
      <c r="R214" s="1216"/>
      <c r="S214" s="1216"/>
      <c r="T214" s="1216"/>
      <c r="U214" s="1216"/>
      <c r="V214" s="1216"/>
      <c r="W214" s="1216"/>
    </row>
    <row r="215" spans="1:23" s="99" customFormat="1" ht="12.75" customHeight="1">
      <c r="A215" s="1216" t="s">
        <v>2782</v>
      </c>
      <c r="B215" s="1216"/>
      <c r="C215" s="1216"/>
      <c r="D215" s="1216"/>
      <c r="E215" s="1216"/>
      <c r="F215" s="1216"/>
      <c r="G215" s="1216"/>
      <c r="H215" s="1216"/>
      <c r="I215" s="1216"/>
      <c r="J215" s="1216"/>
      <c r="K215" s="1216"/>
      <c r="L215" s="1216"/>
      <c r="M215" s="1216"/>
      <c r="N215" s="1216"/>
      <c r="O215" s="1216"/>
      <c r="P215" s="1216"/>
      <c r="Q215" s="1216"/>
      <c r="R215" s="1216"/>
      <c r="S215" s="1216"/>
      <c r="T215" s="1216"/>
      <c r="U215" s="1216"/>
      <c r="V215" s="1216"/>
      <c r="W215" s="1216"/>
    </row>
    <row r="216" spans="1:23" s="99" customFormat="1" ht="12.75" customHeight="1">
      <c r="A216" s="1298" t="s">
        <v>2415</v>
      </c>
      <c r="B216" s="1298"/>
      <c r="C216" s="1298"/>
      <c r="D216" s="1298"/>
      <c r="E216" s="1298"/>
      <c r="F216" s="1298"/>
      <c r="G216" s="1298"/>
      <c r="H216" s="1298"/>
      <c r="I216" s="1298"/>
      <c r="J216" s="1298"/>
      <c r="K216" s="1298"/>
      <c r="L216" s="1298"/>
      <c r="M216" s="1298"/>
      <c r="N216" s="1298"/>
      <c r="O216" s="1298"/>
      <c r="P216" s="1298"/>
      <c r="Q216" s="1298"/>
      <c r="R216" s="1298"/>
      <c r="S216" s="1298"/>
      <c r="T216" s="1298"/>
      <c r="U216" s="1298"/>
      <c r="V216" s="1298"/>
      <c r="W216" s="1298"/>
    </row>
    <row r="217" spans="1:23" s="99" customFormat="1" ht="29.25" customHeight="1">
      <c r="A217" s="1216" t="s">
        <v>2416</v>
      </c>
      <c r="B217" s="1216"/>
      <c r="C217" s="1216"/>
      <c r="D217" s="1216"/>
      <c r="E217" s="1216"/>
      <c r="F217" s="1216"/>
      <c r="G217" s="1216"/>
      <c r="H217" s="1216"/>
      <c r="I217" s="1216"/>
      <c r="J217" s="1216"/>
      <c r="K217" s="1216"/>
      <c r="L217" s="1216"/>
      <c r="M217" s="1216"/>
      <c r="N217" s="1216"/>
      <c r="O217" s="1216"/>
      <c r="P217" s="1216"/>
      <c r="Q217" s="1216"/>
      <c r="R217" s="1216"/>
      <c r="S217" s="1216"/>
      <c r="T217" s="1216"/>
      <c r="U217" s="1216"/>
      <c r="V217" s="1216"/>
      <c r="W217" s="1216"/>
    </row>
    <row r="218" spans="1:23" s="99" customFormat="1" ht="45.75" customHeight="1">
      <c r="A218" s="1216" t="s">
        <v>2417</v>
      </c>
      <c r="B218" s="1216"/>
      <c r="C218" s="1216"/>
      <c r="D218" s="1216"/>
      <c r="E218" s="1216"/>
      <c r="F218" s="1216"/>
      <c r="G218" s="1216"/>
      <c r="H218" s="1216"/>
      <c r="I218" s="1216"/>
      <c r="J218" s="1216"/>
      <c r="K218" s="1216"/>
      <c r="L218" s="1216"/>
      <c r="M218" s="1216"/>
      <c r="N218" s="1216"/>
      <c r="O218" s="1216"/>
      <c r="P218" s="1216"/>
      <c r="Q218" s="1216"/>
      <c r="R218" s="1216"/>
      <c r="S218" s="1216"/>
      <c r="T218" s="1216"/>
      <c r="U218" s="1216"/>
      <c r="V218" s="1216"/>
      <c r="W218" s="1216"/>
    </row>
    <row r="219" spans="1:23" s="99" customFormat="1" ht="12.75" customHeight="1">
      <c r="A219" s="1216" t="s">
        <v>2418</v>
      </c>
      <c r="B219" s="1216"/>
      <c r="C219" s="1216"/>
      <c r="D219" s="1216"/>
      <c r="E219" s="1216"/>
      <c r="F219" s="1216"/>
      <c r="G219" s="1216"/>
      <c r="H219" s="1216"/>
      <c r="I219" s="1216"/>
      <c r="J219" s="1216"/>
      <c r="K219" s="1216"/>
      <c r="L219" s="1216"/>
      <c r="M219" s="1216"/>
      <c r="N219" s="1216"/>
      <c r="O219" s="1216"/>
      <c r="P219" s="1216"/>
      <c r="Q219" s="1216"/>
      <c r="R219" s="1216"/>
      <c r="S219" s="1216"/>
      <c r="T219" s="1216"/>
      <c r="U219" s="1216"/>
      <c r="V219" s="1216"/>
      <c r="W219" s="1216"/>
    </row>
    <row r="220" spans="1:23" s="99" customFormat="1" ht="12.75" customHeight="1">
      <c r="A220" s="1216" t="s">
        <v>2419</v>
      </c>
      <c r="B220" s="1216"/>
      <c r="C220" s="1216"/>
      <c r="D220" s="1216"/>
      <c r="E220" s="1216"/>
      <c r="F220" s="1216"/>
      <c r="G220" s="1216"/>
      <c r="H220" s="1216"/>
      <c r="I220" s="1216"/>
      <c r="J220" s="1216"/>
      <c r="K220" s="1216"/>
      <c r="L220" s="1216"/>
      <c r="M220" s="1216"/>
      <c r="N220" s="1216"/>
      <c r="O220" s="1216"/>
      <c r="P220" s="1216"/>
      <c r="Q220" s="1216"/>
      <c r="R220" s="1216"/>
      <c r="S220" s="1216"/>
      <c r="T220" s="1216"/>
      <c r="U220" s="1216"/>
      <c r="V220" s="1216"/>
      <c r="W220" s="1216"/>
    </row>
    <row r="221" spans="1:23" s="99" customFormat="1" ht="12.75" customHeight="1">
      <c r="A221" s="1216" t="s">
        <v>2420</v>
      </c>
      <c r="B221" s="1216"/>
      <c r="C221" s="1216"/>
      <c r="D221" s="1216"/>
      <c r="E221" s="1216"/>
      <c r="F221" s="1216"/>
      <c r="G221" s="1216"/>
      <c r="H221" s="1216"/>
      <c r="I221" s="1216"/>
      <c r="J221" s="1216"/>
      <c r="K221" s="1216"/>
      <c r="L221" s="1216"/>
      <c r="M221" s="1216"/>
      <c r="N221" s="1216"/>
      <c r="O221" s="1216"/>
      <c r="P221" s="1216"/>
      <c r="Q221" s="1216"/>
      <c r="R221" s="1216"/>
      <c r="S221" s="1216"/>
      <c r="T221" s="1216"/>
      <c r="U221" s="1216"/>
      <c r="V221" s="1216"/>
      <c r="W221" s="1216"/>
    </row>
    <row r="222" spans="1:23" s="99" customFormat="1" ht="30.75" customHeight="1">
      <c r="A222" s="1216" t="s">
        <v>2421</v>
      </c>
      <c r="B222" s="1216"/>
      <c r="C222" s="1216"/>
      <c r="D222" s="1216"/>
      <c r="E222" s="1216"/>
      <c r="F222" s="1216"/>
      <c r="G222" s="1216"/>
      <c r="H222" s="1216"/>
      <c r="I222" s="1216"/>
      <c r="J222" s="1216"/>
      <c r="K222" s="1216"/>
      <c r="L222" s="1216"/>
      <c r="M222" s="1216"/>
      <c r="N222" s="1216"/>
      <c r="O222" s="1216"/>
      <c r="P222" s="1216"/>
      <c r="Q222" s="1216"/>
      <c r="R222" s="1216"/>
      <c r="S222" s="1216"/>
      <c r="T222" s="1216"/>
      <c r="U222" s="1216"/>
      <c r="V222" s="1216"/>
      <c r="W222" s="1216"/>
    </row>
    <row r="223" spans="1:23" s="99" customFormat="1" ht="15" customHeight="1">
      <c r="A223" s="1216" t="s">
        <v>2422</v>
      </c>
      <c r="B223" s="1216"/>
      <c r="C223" s="1216"/>
      <c r="D223" s="1216"/>
      <c r="E223" s="1216"/>
      <c r="F223" s="1216"/>
      <c r="G223" s="1216"/>
      <c r="H223" s="1216"/>
      <c r="I223" s="1216"/>
      <c r="J223" s="1216"/>
      <c r="K223" s="1216"/>
      <c r="L223" s="1216"/>
      <c r="M223" s="1216"/>
      <c r="N223" s="1216"/>
      <c r="O223" s="1216"/>
      <c r="P223" s="1216"/>
      <c r="Q223" s="1216"/>
      <c r="R223" s="1216"/>
      <c r="S223" s="1216"/>
      <c r="T223" s="1216"/>
      <c r="U223" s="1216"/>
      <c r="V223" s="1216"/>
      <c r="W223" s="1216"/>
    </row>
    <row r="224" spans="1:23" s="99" customFormat="1" ht="12.75" customHeight="1">
      <c r="A224" s="1216" t="s">
        <v>2423</v>
      </c>
      <c r="B224" s="1216"/>
      <c r="C224" s="1216"/>
      <c r="D224" s="1216"/>
      <c r="E224" s="1216"/>
      <c r="F224" s="1216"/>
      <c r="G224" s="1216"/>
      <c r="H224" s="1216"/>
      <c r="I224" s="1216"/>
      <c r="J224" s="1216"/>
      <c r="K224" s="1216"/>
      <c r="L224" s="1216"/>
      <c r="M224" s="1216"/>
      <c r="N224" s="1216"/>
      <c r="O224" s="1216"/>
      <c r="P224" s="1216"/>
      <c r="Q224" s="1216"/>
      <c r="R224" s="1216"/>
      <c r="S224" s="1216"/>
      <c r="T224" s="1216"/>
      <c r="U224" s="1216"/>
      <c r="V224" s="1216"/>
      <c r="W224" s="1216"/>
    </row>
    <row r="225" spans="1:23" s="99" customFormat="1" ht="12.75" customHeight="1">
      <c r="A225" s="1216" t="s">
        <v>2424</v>
      </c>
      <c r="B225" s="1216"/>
      <c r="C225" s="1216"/>
      <c r="D225" s="1216"/>
      <c r="E225" s="1216"/>
      <c r="F225" s="1216"/>
      <c r="G225" s="1216"/>
      <c r="H225" s="1216"/>
      <c r="I225" s="1216"/>
      <c r="J225" s="1216"/>
      <c r="K225" s="1216"/>
      <c r="L225" s="1216"/>
      <c r="M225" s="1216"/>
      <c r="N225" s="1216"/>
      <c r="O225" s="1216"/>
      <c r="P225" s="1216"/>
      <c r="Q225" s="1216"/>
      <c r="R225" s="1216"/>
      <c r="S225" s="1216"/>
      <c r="T225" s="1216"/>
      <c r="U225" s="1216"/>
      <c r="V225" s="1216"/>
      <c r="W225" s="1216"/>
    </row>
    <row r="226" spans="1:23" s="99" customFormat="1" ht="12.75" customHeight="1">
      <c r="A226" s="1216" t="s">
        <v>2425</v>
      </c>
      <c r="B226" s="1216"/>
      <c r="C226" s="1216"/>
      <c r="D226" s="1216"/>
      <c r="E226" s="1216"/>
      <c r="F226" s="1216"/>
      <c r="G226" s="1216"/>
      <c r="H226" s="1216"/>
      <c r="I226" s="1216"/>
      <c r="J226" s="1216"/>
      <c r="K226" s="1216"/>
      <c r="L226" s="1216"/>
      <c r="M226" s="1216"/>
      <c r="N226" s="1216"/>
      <c r="O226" s="1216"/>
      <c r="P226" s="1216"/>
      <c r="Q226" s="1216"/>
      <c r="R226" s="1216"/>
      <c r="S226" s="1216"/>
      <c r="T226" s="1216"/>
      <c r="U226" s="1216"/>
      <c r="V226" s="1216"/>
      <c r="W226" s="1216"/>
    </row>
    <row r="227" spans="1:23" s="99" customFormat="1" ht="35.25" customHeight="1">
      <c r="A227" s="1216" t="s">
        <v>2426</v>
      </c>
      <c r="B227" s="1216"/>
      <c r="C227" s="1216"/>
      <c r="D227" s="1216"/>
      <c r="E227" s="1216"/>
      <c r="F227" s="1216"/>
      <c r="G227" s="1216"/>
      <c r="H227" s="1216"/>
      <c r="I227" s="1216"/>
      <c r="J227" s="1216"/>
      <c r="K227" s="1216"/>
      <c r="L227" s="1216"/>
      <c r="M227" s="1216"/>
      <c r="N227" s="1216"/>
      <c r="O227" s="1216"/>
      <c r="P227" s="1216"/>
      <c r="Q227" s="1216"/>
      <c r="R227" s="1216"/>
      <c r="S227" s="1216"/>
      <c r="T227" s="1216"/>
      <c r="U227" s="1216"/>
      <c r="V227" s="1216"/>
      <c r="W227" s="1216"/>
    </row>
    <row r="228" spans="1:23" s="99" customFormat="1" ht="12.75" customHeight="1">
      <c r="A228" s="1216" t="s">
        <v>2427</v>
      </c>
      <c r="B228" s="1216"/>
      <c r="C228" s="1216"/>
      <c r="D228" s="1216"/>
      <c r="E228" s="1216"/>
      <c r="F228" s="1216"/>
      <c r="G228" s="1216"/>
      <c r="H228" s="1216"/>
      <c r="I228" s="1216"/>
      <c r="J228" s="1216"/>
      <c r="K228" s="1216"/>
      <c r="L228" s="1216"/>
      <c r="M228" s="1216"/>
      <c r="N228" s="1216"/>
      <c r="O228" s="1216"/>
      <c r="P228" s="1216"/>
      <c r="Q228" s="1216"/>
      <c r="R228" s="1216"/>
      <c r="S228" s="1216"/>
      <c r="T228" s="1216"/>
      <c r="U228" s="1216"/>
      <c r="V228" s="1216"/>
      <c r="W228" s="1216"/>
    </row>
    <row r="229" spans="1:23" s="99" customFormat="1" ht="12.75" customHeight="1">
      <c r="A229" s="1216" t="s">
        <v>2428</v>
      </c>
      <c r="B229" s="1216"/>
      <c r="C229" s="1216"/>
      <c r="D229" s="1216"/>
      <c r="E229" s="1216"/>
      <c r="F229" s="1216"/>
      <c r="G229" s="1216"/>
      <c r="H229" s="1216"/>
      <c r="I229" s="1216"/>
      <c r="J229" s="1216"/>
      <c r="K229" s="1216"/>
      <c r="L229" s="1216"/>
      <c r="M229" s="1216"/>
      <c r="N229" s="1216"/>
      <c r="O229" s="1216"/>
      <c r="P229" s="1216"/>
      <c r="Q229" s="1216"/>
      <c r="R229" s="1216"/>
      <c r="S229" s="1216"/>
      <c r="T229" s="1216"/>
      <c r="U229" s="1216"/>
      <c r="V229" s="1216"/>
      <c r="W229" s="1216"/>
    </row>
    <row r="230" spans="1:23" s="99" customFormat="1" ht="12.75" customHeight="1">
      <c r="A230" s="1216" t="s">
        <v>2429</v>
      </c>
      <c r="B230" s="1216"/>
      <c r="C230" s="1216"/>
      <c r="D230" s="1216"/>
      <c r="E230" s="1216"/>
      <c r="F230" s="1216"/>
      <c r="G230" s="1216"/>
      <c r="H230" s="1216"/>
      <c r="I230" s="1216"/>
      <c r="J230" s="1216"/>
      <c r="K230" s="1216"/>
      <c r="L230" s="1216"/>
      <c r="M230" s="1216"/>
      <c r="N230" s="1216"/>
      <c r="O230" s="1216"/>
      <c r="P230" s="1216"/>
      <c r="Q230" s="1216"/>
      <c r="R230" s="1216"/>
      <c r="S230" s="1216"/>
      <c r="T230" s="1216"/>
      <c r="U230" s="1216"/>
      <c r="V230" s="1216"/>
      <c r="W230" s="1216"/>
    </row>
    <row r="231" spans="1:23" s="99" customFormat="1" ht="32.25" customHeight="1">
      <c r="A231" s="1216" t="s">
        <v>2430</v>
      </c>
      <c r="B231" s="1216"/>
      <c r="C231" s="1216"/>
      <c r="D231" s="1216"/>
      <c r="E231" s="1216"/>
      <c r="F231" s="1216"/>
      <c r="G231" s="1216"/>
      <c r="H231" s="1216"/>
      <c r="I231" s="1216"/>
      <c r="J231" s="1216"/>
      <c r="K231" s="1216"/>
      <c r="L231" s="1216"/>
      <c r="M231" s="1216"/>
      <c r="N231" s="1216"/>
      <c r="O231" s="1216"/>
      <c r="P231" s="1216"/>
      <c r="Q231" s="1216"/>
      <c r="R231" s="1216"/>
      <c r="S231" s="1216"/>
      <c r="T231" s="1216"/>
      <c r="U231" s="1216"/>
      <c r="V231" s="1216"/>
      <c r="W231" s="1216"/>
    </row>
    <row r="232" spans="1:23" s="99" customFormat="1" ht="12.75" customHeight="1">
      <c r="A232" s="1298" t="s">
        <v>2431</v>
      </c>
      <c r="B232" s="1298"/>
      <c r="C232" s="1298"/>
      <c r="D232" s="1298"/>
      <c r="E232" s="1298"/>
      <c r="F232" s="1298"/>
      <c r="G232" s="1298"/>
      <c r="H232" s="1298"/>
      <c r="I232" s="1298"/>
      <c r="J232" s="1298"/>
      <c r="K232" s="1298"/>
      <c r="L232" s="1298"/>
      <c r="M232" s="1298"/>
      <c r="N232" s="1298"/>
      <c r="O232" s="1298"/>
      <c r="P232" s="1298"/>
      <c r="Q232" s="1298"/>
      <c r="R232" s="1298"/>
      <c r="S232" s="1298"/>
      <c r="T232" s="1298"/>
      <c r="U232" s="1298"/>
      <c r="V232" s="1298"/>
      <c r="W232" s="1298"/>
    </row>
    <row r="233" spans="1:23" s="99" customFormat="1" ht="30" customHeight="1">
      <c r="A233" s="1216" t="s">
        <v>2432</v>
      </c>
      <c r="B233" s="1216"/>
      <c r="C233" s="1216"/>
      <c r="D233" s="1216"/>
      <c r="E233" s="1216"/>
      <c r="F233" s="1216"/>
      <c r="G233" s="1216"/>
      <c r="H233" s="1216"/>
      <c r="I233" s="1216"/>
      <c r="J233" s="1216"/>
      <c r="K233" s="1216"/>
      <c r="L233" s="1216"/>
      <c r="M233" s="1216"/>
      <c r="N233" s="1216"/>
      <c r="O233" s="1216"/>
      <c r="P233" s="1216"/>
      <c r="Q233" s="1216"/>
      <c r="R233" s="1216"/>
      <c r="S233" s="1216"/>
      <c r="T233" s="1216"/>
      <c r="U233" s="1216"/>
      <c r="V233" s="1216"/>
      <c r="W233" s="1216"/>
    </row>
    <row r="234" spans="1:23" s="99" customFormat="1" ht="12.75" customHeight="1">
      <c r="A234" s="1216" t="s">
        <v>2433</v>
      </c>
      <c r="B234" s="1216"/>
      <c r="C234" s="1216"/>
      <c r="D234" s="1216"/>
      <c r="E234" s="1216"/>
      <c r="F234" s="1216"/>
      <c r="G234" s="1216"/>
      <c r="H234" s="1216"/>
      <c r="I234" s="1216"/>
      <c r="J234" s="1216"/>
      <c r="K234" s="1216"/>
      <c r="L234" s="1216"/>
      <c r="M234" s="1216"/>
      <c r="N234" s="1216"/>
      <c r="O234" s="1216"/>
      <c r="P234" s="1216"/>
      <c r="Q234" s="1216"/>
      <c r="R234" s="1216"/>
      <c r="S234" s="1216"/>
      <c r="T234" s="1216"/>
      <c r="U234" s="1216"/>
      <c r="V234" s="1216"/>
      <c r="W234" s="1216"/>
    </row>
    <row r="235" spans="1:23" s="99" customFormat="1" ht="12.75" customHeight="1">
      <c r="A235" s="1216" t="s">
        <v>2434</v>
      </c>
      <c r="B235" s="1216"/>
      <c r="C235" s="1216"/>
      <c r="D235" s="1216"/>
      <c r="E235" s="1216"/>
      <c r="F235" s="1216"/>
      <c r="G235" s="1216"/>
      <c r="H235" s="1216"/>
      <c r="I235" s="1216"/>
      <c r="J235" s="1216"/>
      <c r="K235" s="1216"/>
      <c r="L235" s="1216"/>
      <c r="M235" s="1216"/>
      <c r="N235" s="1216"/>
      <c r="O235" s="1216"/>
      <c r="P235" s="1216"/>
      <c r="Q235" s="1216"/>
      <c r="R235" s="1216"/>
      <c r="S235" s="1216"/>
      <c r="T235" s="1216"/>
      <c r="U235" s="1216"/>
      <c r="V235" s="1216"/>
      <c r="W235" s="1216"/>
    </row>
    <row r="236" spans="1:23" s="99" customFormat="1" ht="12.75" customHeight="1">
      <c r="A236" s="1216" t="s">
        <v>2435</v>
      </c>
      <c r="B236" s="1216"/>
      <c r="C236" s="1216"/>
      <c r="D236" s="1216"/>
      <c r="E236" s="1216"/>
      <c r="F236" s="1216"/>
      <c r="G236" s="1216"/>
      <c r="H236" s="1216"/>
      <c r="I236" s="1216"/>
      <c r="J236" s="1216"/>
      <c r="K236" s="1216"/>
      <c r="L236" s="1216"/>
      <c r="M236" s="1216"/>
      <c r="N236" s="1216"/>
      <c r="O236" s="1216"/>
      <c r="P236" s="1216"/>
      <c r="Q236" s="1216"/>
      <c r="R236" s="1216"/>
      <c r="S236" s="1216"/>
      <c r="T236" s="1216"/>
      <c r="U236" s="1216"/>
      <c r="V236" s="1216"/>
      <c r="W236" s="1216"/>
    </row>
    <row r="237" spans="1:23" s="99" customFormat="1" ht="12.75" customHeight="1">
      <c r="A237" s="1216" t="s">
        <v>2436</v>
      </c>
      <c r="B237" s="1216"/>
      <c r="C237" s="1216"/>
      <c r="D237" s="1216"/>
      <c r="E237" s="1216"/>
      <c r="F237" s="1216"/>
      <c r="G237" s="1216"/>
      <c r="H237" s="1216"/>
      <c r="I237" s="1216"/>
      <c r="J237" s="1216"/>
      <c r="K237" s="1216"/>
      <c r="L237" s="1216"/>
      <c r="M237" s="1216"/>
      <c r="N237" s="1216"/>
      <c r="O237" s="1216"/>
      <c r="P237" s="1216"/>
      <c r="Q237" s="1216"/>
      <c r="R237" s="1216"/>
      <c r="S237" s="1216"/>
      <c r="T237" s="1216"/>
      <c r="U237" s="1216"/>
      <c r="V237" s="1216"/>
      <c r="W237" s="1216"/>
    </row>
    <row r="238" spans="1:23" s="99" customFormat="1" ht="12.75" customHeight="1">
      <c r="A238" s="1216" t="s">
        <v>2437</v>
      </c>
      <c r="B238" s="1216"/>
      <c r="C238" s="1216"/>
      <c r="D238" s="1216"/>
      <c r="E238" s="1216"/>
      <c r="F238" s="1216"/>
      <c r="G238" s="1216"/>
      <c r="H238" s="1216"/>
      <c r="I238" s="1216"/>
      <c r="J238" s="1216"/>
      <c r="K238" s="1216"/>
      <c r="L238" s="1216"/>
      <c r="M238" s="1216"/>
      <c r="N238" s="1216"/>
      <c r="O238" s="1216"/>
      <c r="P238" s="1216"/>
      <c r="Q238" s="1216"/>
      <c r="R238" s="1216"/>
      <c r="S238" s="1216"/>
      <c r="T238" s="1216"/>
      <c r="U238" s="1216"/>
      <c r="V238" s="1216"/>
      <c r="W238" s="1216"/>
    </row>
    <row r="239" spans="1:23" s="99" customFormat="1" ht="12.75" customHeight="1">
      <c r="A239" s="1216" t="s">
        <v>2438</v>
      </c>
      <c r="B239" s="1216"/>
      <c r="C239" s="1216"/>
      <c r="D239" s="1216"/>
      <c r="E239" s="1216"/>
      <c r="F239" s="1216"/>
      <c r="G239" s="1216"/>
      <c r="H239" s="1216"/>
      <c r="I239" s="1216"/>
      <c r="J239" s="1216"/>
      <c r="K239" s="1216"/>
      <c r="L239" s="1216"/>
      <c r="M239" s="1216"/>
      <c r="N239" s="1216"/>
      <c r="O239" s="1216"/>
      <c r="P239" s="1216"/>
      <c r="Q239" s="1216"/>
      <c r="R239" s="1216"/>
      <c r="S239" s="1216"/>
      <c r="T239" s="1216"/>
      <c r="U239" s="1216"/>
      <c r="V239" s="1216"/>
      <c r="W239" s="1216"/>
    </row>
    <row r="240" spans="1:23" s="99" customFormat="1" ht="12.75" customHeight="1">
      <c r="A240" s="1216" t="s">
        <v>2439</v>
      </c>
      <c r="B240" s="1216"/>
      <c r="C240" s="1216"/>
      <c r="D240" s="1216"/>
      <c r="E240" s="1216"/>
      <c r="F240" s="1216"/>
      <c r="G240" s="1216"/>
      <c r="H240" s="1216"/>
      <c r="I240" s="1216"/>
      <c r="J240" s="1216"/>
      <c r="K240" s="1216"/>
      <c r="L240" s="1216"/>
      <c r="M240" s="1216"/>
      <c r="N240" s="1216"/>
      <c r="O240" s="1216"/>
      <c r="P240" s="1216"/>
      <c r="Q240" s="1216"/>
      <c r="R240" s="1216"/>
      <c r="S240" s="1216"/>
      <c r="T240" s="1216"/>
      <c r="U240" s="1216"/>
      <c r="V240" s="1216"/>
      <c r="W240" s="1216"/>
    </row>
    <row r="241" spans="1:23" s="99" customFormat="1" ht="54" customHeight="1">
      <c r="A241" s="1298" t="s">
        <v>2440</v>
      </c>
      <c r="B241" s="1298"/>
      <c r="C241" s="1298"/>
      <c r="D241" s="1298"/>
      <c r="E241" s="1298"/>
      <c r="F241" s="1298"/>
      <c r="G241" s="1298"/>
      <c r="H241" s="1298"/>
      <c r="I241" s="1298"/>
      <c r="J241" s="1298"/>
      <c r="K241" s="1298"/>
      <c r="L241" s="1298"/>
      <c r="M241" s="1298"/>
      <c r="N241" s="1298"/>
      <c r="O241" s="1298"/>
      <c r="P241" s="1298"/>
      <c r="Q241" s="1298"/>
      <c r="R241" s="1298"/>
      <c r="S241" s="1298"/>
      <c r="T241" s="1298"/>
      <c r="U241" s="1298"/>
      <c r="V241" s="1298"/>
      <c r="W241" s="1298"/>
    </row>
    <row r="242" spans="1:23" s="99" customFormat="1" ht="32.25" customHeight="1">
      <c r="A242" s="1216" t="s">
        <v>2441</v>
      </c>
      <c r="B242" s="1216"/>
      <c r="C242" s="1216"/>
      <c r="D242" s="1216"/>
      <c r="E242" s="1216"/>
      <c r="F242" s="1216"/>
      <c r="G242" s="1216"/>
      <c r="H242" s="1216"/>
      <c r="I242" s="1216"/>
      <c r="J242" s="1216"/>
      <c r="K242" s="1216"/>
      <c r="L242" s="1216"/>
      <c r="M242" s="1216"/>
      <c r="N242" s="1216"/>
      <c r="O242" s="1216"/>
      <c r="P242" s="1216"/>
      <c r="Q242" s="1216"/>
      <c r="R242" s="1216"/>
      <c r="S242" s="1216"/>
      <c r="T242" s="1216"/>
      <c r="U242" s="1216"/>
      <c r="V242" s="1216"/>
      <c r="W242" s="1216"/>
    </row>
    <row r="243" spans="1:23" s="99" customFormat="1" ht="12.75" customHeight="1">
      <c r="A243" s="1216" t="s">
        <v>2442</v>
      </c>
      <c r="B243" s="1216"/>
      <c r="C243" s="1216"/>
      <c r="D243" s="1216"/>
      <c r="E243" s="1216"/>
      <c r="F243" s="1216"/>
      <c r="G243" s="1216"/>
      <c r="H243" s="1216"/>
      <c r="I243" s="1216"/>
      <c r="J243" s="1216"/>
      <c r="K243" s="1216"/>
      <c r="L243" s="1216"/>
      <c r="M243" s="1216"/>
      <c r="N243" s="1216"/>
      <c r="O243" s="1216"/>
      <c r="P243" s="1216"/>
      <c r="Q243" s="1216"/>
      <c r="R243" s="1216"/>
      <c r="S243" s="1216"/>
      <c r="T243" s="1216"/>
      <c r="U243" s="1216"/>
      <c r="V243" s="1216"/>
      <c r="W243" s="1216"/>
    </row>
    <row r="244" spans="1:23" s="99" customFormat="1" ht="12.75" customHeight="1">
      <c r="A244" s="1216" t="s">
        <v>2443</v>
      </c>
      <c r="B244" s="1216"/>
      <c r="C244" s="1216"/>
      <c r="D244" s="1216"/>
      <c r="E244" s="1216"/>
      <c r="F244" s="1216"/>
      <c r="G244" s="1216"/>
      <c r="H244" s="1216"/>
      <c r="I244" s="1216"/>
      <c r="J244" s="1216"/>
      <c r="K244" s="1216"/>
      <c r="L244" s="1216"/>
      <c r="M244" s="1216"/>
      <c r="N244" s="1216"/>
      <c r="O244" s="1216"/>
      <c r="P244" s="1216"/>
      <c r="Q244" s="1216"/>
      <c r="R244" s="1216"/>
      <c r="S244" s="1216"/>
      <c r="T244" s="1216"/>
      <c r="U244" s="1216"/>
      <c r="V244" s="1216"/>
      <c r="W244" s="1216"/>
    </row>
    <row r="245" spans="1:23" s="99" customFormat="1" ht="26.25" customHeight="1">
      <c r="A245" s="1216" t="s">
        <v>2444</v>
      </c>
      <c r="B245" s="1216"/>
      <c r="C245" s="1216"/>
      <c r="D245" s="1216"/>
      <c r="E245" s="1216"/>
      <c r="F245" s="1216"/>
      <c r="G245" s="1216"/>
      <c r="H245" s="1216"/>
      <c r="I245" s="1216"/>
      <c r="J245" s="1216"/>
      <c r="K245" s="1216"/>
      <c r="L245" s="1216"/>
      <c r="M245" s="1216"/>
      <c r="N245" s="1216"/>
      <c r="O245" s="1216"/>
      <c r="P245" s="1216"/>
      <c r="Q245" s="1216"/>
      <c r="R245" s="1216"/>
      <c r="S245" s="1216"/>
      <c r="T245" s="1216"/>
      <c r="U245" s="1216"/>
      <c r="V245" s="1216"/>
      <c r="W245" s="1216"/>
    </row>
    <row r="246" spans="1:23" s="99" customFormat="1" ht="31.5" customHeight="1">
      <c r="A246" s="1216" t="s">
        <v>2445</v>
      </c>
      <c r="B246" s="1216"/>
      <c r="C246" s="1216"/>
      <c r="D246" s="1216"/>
      <c r="E246" s="1216"/>
      <c r="F246" s="1216"/>
      <c r="G246" s="1216"/>
      <c r="H246" s="1216"/>
      <c r="I246" s="1216"/>
      <c r="J246" s="1216"/>
      <c r="K246" s="1216"/>
      <c r="L246" s="1216"/>
      <c r="M246" s="1216"/>
      <c r="N246" s="1216"/>
      <c r="O246" s="1216"/>
      <c r="P246" s="1216"/>
      <c r="Q246" s="1216"/>
      <c r="R246" s="1216"/>
      <c r="S246" s="1216"/>
      <c r="T246" s="1216"/>
      <c r="U246" s="1216"/>
      <c r="V246" s="1216"/>
      <c r="W246" s="1216"/>
    </row>
    <row r="247" spans="1:23" s="99" customFormat="1" ht="27.75" customHeight="1">
      <c r="A247" s="1216" t="s">
        <v>2446</v>
      </c>
      <c r="B247" s="1216"/>
      <c r="C247" s="1216"/>
      <c r="D247" s="1216"/>
      <c r="E247" s="1216"/>
      <c r="F247" s="1216"/>
      <c r="G247" s="1216"/>
      <c r="H247" s="1216"/>
      <c r="I247" s="1216"/>
      <c r="J247" s="1216"/>
      <c r="K247" s="1216"/>
      <c r="L247" s="1216"/>
      <c r="M247" s="1216"/>
      <c r="N247" s="1216"/>
      <c r="O247" s="1216"/>
      <c r="P247" s="1216"/>
      <c r="Q247" s="1216"/>
      <c r="R247" s="1216"/>
      <c r="S247" s="1216"/>
      <c r="T247" s="1216"/>
      <c r="U247" s="1216"/>
      <c r="V247" s="1216"/>
      <c r="W247" s="1216"/>
    </row>
    <row r="248" spans="1:23" s="99" customFormat="1" ht="45.75" customHeight="1">
      <c r="A248" s="1216" t="s">
        <v>2447</v>
      </c>
      <c r="B248" s="1216"/>
      <c r="C248" s="1216"/>
      <c r="D248" s="1216"/>
      <c r="E248" s="1216"/>
      <c r="F248" s="1216"/>
      <c r="G248" s="1216"/>
      <c r="H248" s="1216"/>
      <c r="I248" s="1216"/>
      <c r="J248" s="1216"/>
      <c r="K248" s="1216"/>
      <c r="L248" s="1216"/>
      <c r="M248" s="1216"/>
      <c r="N248" s="1216"/>
      <c r="O248" s="1216"/>
      <c r="P248" s="1216"/>
      <c r="Q248" s="1216"/>
      <c r="R248" s="1216"/>
      <c r="S248" s="1216"/>
      <c r="T248" s="1216"/>
      <c r="U248" s="1216"/>
      <c r="V248" s="1216"/>
      <c r="W248" s="1216"/>
    </row>
    <row r="249" spans="1:23" s="99" customFormat="1" ht="12.75" customHeight="1">
      <c r="A249" s="1216" t="s">
        <v>2448</v>
      </c>
      <c r="B249" s="1216"/>
      <c r="C249" s="1216"/>
      <c r="D249" s="1216"/>
      <c r="E249" s="1216"/>
      <c r="F249" s="1216"/>
      <c r="G249" s="1216"/>
      <c r="H249" s="1216"/>
      <c r="I249" s="1216"/>
      <c r="J249" s="1216"/>
      <c r="K249" s="1216"/>
      <c r="L249" s="1216"/>
      <c r="M249" s="1216"/>
      <c r="N249" s="1216"/>
      <c r="O249" s="1216"/>
      <c r="P249" s="1216"/>
      <c r="Q249" s="1216"/>
      <c r="R249" s="1216"/>
      <c r="S249" s="1216"/>
      <c r="T249" s="1216"/>
      <c r="U249" s="1216"/>
      <c r="V249" s="1216"/>
      <c r="W249" s="1216"/>
    </row>
    <row r="250" spans="1:23" s="99" customFormat="1" ht="12.75" customHeight="1">
      <c r="A250" s="1216" t="s">
        <v>2449</v>
      </c>
      <c r="B250" s="1216"/>
      <c r="C250" s="1216"/>
      <c r="D250" s="1216"/>
      <c r="E250" s="1216"/>
      <c r="F250" s="1216"/>
      <c r="G250" s="1216"/>
      <c r="H250" s="1216"/>
      <c r="I250" s="1216"/>
      <c r="J250" s="1216"/>
      <c r="K250" s="1216"/>
      <c r="L250" s="1216"/>
      <c r="M250" s="1216"/>
      <c r="N250" s="1216"/>
      <c r="O250" s="1216"/>
      <c r="P250" s="1216"/>
      <c r="Q250" s="1216"/>
      <c r="R250" s="1216"/>
      <c r="S250" s="1216"/>
      <c r="T250" s="1216"/>
      <c r="U250" s="1216"/>
      <c r="V250" s="1216"/>
      <c r="W250" s="1216"/>
    </row>
    <row r="251" spans="1:23" s="99" customFormat="1" ht="33" customHeight="1">
      <c r="A251" s="1216" t="s">
        <v>2450</v>
      </c>
      <c r="B251" s="1216"/>
      <c r="C251" s="1216"/>
      <c r="D251" s="1216"/>
      <c r="E251" s="1216"/>
      <c r="F251" s="1216"/>
      <c r="G251" s="1216"/>
      <c r="H251" s="1216"/>
      <c r="I251" s="1216"/>
      <c r="J251" s="1216"/>
      <c r="K251" s="1216"/>
      <c r="L251" s="1216"/>
      <c r="M251" s="1216"/>
      <c r="N251" s="1216"/>
      <c r="O251" s="1216"/>
      <c r="P251" s="1216"/>
      <c r="Q251" s="1216"/>
      <c r="R251" s="1216"/>
      <c r="S251" s="1216"/>
      <c r="T251" s="1216"/>
      <c r="U251" s="1216"/>
      <c r="V251" s="1216"/>
      <c r="W251" s="1216"/>
    </row>
    <row r="252" spans="1:23" s="99" customFormat="1" ht="30.75" customHeight="1">
      <c r="A252" s="1216" t="s">
        <v>2451</v>
      </c>
      <c r="B252" s="1216"/>
      <c r="C252" s="1216"/>
      <c r="D252" s="1216"/>
      <c r="E252" s="1216"/>
      <c r="F252" s="1216"/>
      <c r="G252" s="1216"/>
      <c r="H252" s="1216"/>
      <c r="I252" s="1216"/>
      <c r="J252" s="1216"/>
      <c r="K252" s="1216"/>
      <c r="L252" s="1216"/>
      <c r="M252" s="1216"/>
      <c r="N252" s="1216"/>
      <c r="O252" s="1216"/>
      <c r="P252" s="1216"/>
      <c r="Q252" s="1216"/>
      <c r="R252" s="1216"/>
      <c r="S252" s="1216"/>
      <c r="T252" s="1216"/>
      <c r="U252" s="1216"/>
      <c r="V252" s="1216"/>
      <c r="W252" s="1216"/>
    </row>
    <row r="253" spans="1:23" s="99" customFormat="1" ht="12.75" customHeight="1">
      <c r="A253" s="1216" t="s">
        <v>2452</v>
      </c>
      <c r="B253" s="1216"/>
      <c r="C253" s="1216"/>
      <c r="D253" s="1216"/>
      <c r="E253" s="1216"/>
      <c r="F253" s="1216"/>
      <c r="G253" s="1216"/>
      <c r="H253" s="1216"/>
      <c r="I253" s="1216"/>
      <c r="J253" s="1216"/>
      <c r="K253" s="1216"/>
      <c r="L253" s="1216"/>
      <c r="M253" s="1216"/>
      <c r="N253" s="1216"/>
      <c r="O253" s="1216"/>
      <c r="P253" s="1216"/>
      <c r="Q253" s="1216"/>
      <c r="R253" s="1216"/>
      <c r="S253" s="1216"/>
      <c r="T253" s="1216"/>
      <c r="U253" s="1216"/>
      <c r="V253" s="1216"/>
      <c r="W253" s="1216"/>
    </row>
    <row r="254" spans="1:23" s="99" customFormat="1" ht="12.75" customHeight="1">
      <c r="A254" s="1216" t="s">
        <v>2453</v>
      </c>
      <c r="B254" s="1216"/>
      <c r="C254" s="1216"/>
      <c r="D254" s="1216"/>
      <c r="E254" s="1216"/>
      <c r="F254" s="1216"/>
      <c r="G254" s="1216"/>
      <c r="H254" s="1216"/>
      <c r="I254" s="1216"/>
      <c r="J254" s="1216"/>
      <c r="K254" s="1216"/>
      <c r="L254" s="1216"/>
      <c r="M254" s="1216"/>
      <c r="N254" s="1216"/>
      <c r="O254" s="1216"/>
      <c r="P254" s="1216"/>
      <c r="Q254" s="1216"/>
      <c r="R254" s="1216"/>
      <c r="S254" s="1216"/>
      <c r="T254" s="1216"/>
      <c r="U254" s="1216"/>
      <c r="V254" s="1216"/>
      <c r="W254" s="1216"/>
    </row>
    <row r="255" spans="1:23" s="99" customFormat="1" ht="42" customHeight="1">
      <c r="A255" s="1216" t="s">
        <v>2454</v>
      </c>
      <c r="B255" s="1216"/>
      <c r="C255" s="1216"/>
      <c r="D255" s="1216"/>
      <c r="E255" s="1216"/>
      <c r="F255" s="1216"/>
      <c r="G255" s="1216"/>
      <c r="H255" s="1216"/>
      <c r="I255" s="1216"/>
      <c r="J255" s="1216"/>
      <c r="K255" s="1216"/>
      <c r="L255" s="1216"/>
      <c r="M255" s="1216"/>
      <c r="N255" s="1216"/>
      <c r="O255" s="1216"/>
      <c r="P255" s="1216"/>
      <c r="Q255" s="1216"/>
      <c r="R255" s="1216"/>
      <c r="S255" s="1216"/>
      <c r="T255" s="1216"/>
      <c r="U255" s="1216"/>
      <c r="V255" s="1216"/>
      <c r="W255" s="1216"/>
    </row>
    <row r="256" spans="1:23" s="99" customFormat="1" ht="16.5" customHeight="1">
      <c r="A256" s="1216" t="s">
        <v>2455</v>
      </c>
      <c r="B256" s="1216"/>
      <c r="C256" s="1216"/>
      <c r="D256" s="1216"/>
      <c r="E256" s="1216"/>
      <c r="F256" s="1216"/>
      <c r="G256" s="1216"/>
      <c r="H256" s="1216"/>
      <c r="I256" s="1216"/>
      <c r="J256" s="1216"/>
      <c r="K256" s="1216"/>
      <c r="L256" s="1216"/>
      <c r="M256" s="1216"/>
      <c r="N256" s="1216"/>
      <c r="O256" s="1216"/>
      <c r="P256" s="1216"/>
      <c r="Q256" s="1216"/>
      <c r="R256" s="1216"/>
      <c r="S256" s="1216"/>
      <c r="T256" s="1216"/>
      <c r="U256" s="1216"/>
      <c r="V256" s="1216"/>
      <c r="W256" s="1216"/>
    </row>
    <row r="257" spans="1:23" s="99" customFormat="1" ht="12.75" customHeight="1">
      <c r="A257" s="1216" t="s">
        <v>2456</v>
      </c>
      <c r="B257" s="1216"/>
      <c r="C257" s="1216"/>
      <c r="D257" s="1216"/>
      <c r="E257" s="1216"/>
      <c r="F257" s="1216"/>
      <c r="G257" s="1216"/>
      <c r="H257" s="1216"/>
      <c r="I257" s="1216"/>
      <c r="J257" s="1216"/>
      <c r="K257" s="1216"/>
      <c r="L257" s="1216"/>
      <c r="M257" s="1216"/>
      <c r="N257" s="1216"/>
      <c r="O257" s="1216"/>
      <c r="P257" s="1216"/>
      <c r="Q257" s="1216"/>
      <c r="R257" s="1216"/>
      <c r="S257" s="1216"/>
      <c r="T257" s="1216"/>
      <c r="U257" s="1216"/>
      <c r="V257" s="1216"/>
      <c r="W257" s="1216"/>
    </row>
    <row r="258" spans="1:23" s="99" customFormat="1" ht="12.75" customHeight="1">
      <c r="A258" s="1216" t="s">
        <v>2457</v>
      </c>
      <c r="B258" s="1216"/>
      <c r="C258" s="1216"/>
      <c r="D258" s="1216"/>
      <c r="E258" s="1216"/>
      <c r="F258" s="1216"/>
      <c r="G258" s="1216"/>
      <c r="H258" s="1216"/>
      <c r="I258" s="1216"/>
      <c r="J258" s="1216"/>
      <c r="K258" s="1216"/>
      <c r="L258" s="1216"/>
      <c r="M258" s="1216"/>
      <c r="N258" s="1216"/>
      <c r="O258" s="1216"/>
      <c r="P258" s="1216"/>
      <c r="Q258" s="1216"/>
      <c r="R258" s="1216"/>
      <c r="S258" s="1216"/>
      <c r="T258" s="1216"/>
      <c r="U258" s="1216"/>
      <c r="V258" s="1216"/>
      <c r="W258" s="1216"/>
    </row>
    <row r="259" spans="1:23" s="99" customFormat="1" ht="12.75" customHeight="1">
      <c r="A259" s="1216" t="s">
        <v>2458</v>
      </c>
      <c r="B259" s="1216"/>
      <c r="C259" s="1216"/>
      <c r="D259" s="1216"/>
      <c r="E259" s="1216"/>
      <c r="F259" s="1216"/>
      <c r="G259" s="1216"/>
      <c r="H259" s="1216"/>
      <c r="I259" s="1216"/>
      <c r="J259" s="1216"/>
      <c r="K259" s="1216"/>
      <c r="L259" s="1216"/>
      <c r="M259" s="1216"/>
      <c r="N259" s="1216"/>
      <c r="O259" s="1216"/>
      <c r="P259" s="1216"/>
      <c r="Q259" s="1216"/>
      <c r="R259" s="1216"/>
      <c r="S259" s="1216"/>
      <c r="T259" s="1216"/>
      <c r="U259" s="1216"/>
      <c r="V259" s="1216"/>
      <c r="W259" s="1216"/>
    </row>
    <row r="260" spans="1:23" s="99" customFormat="1" ht="28.5" customHeight="1">
      <c r="A260" s="1216" t="s">
        <v>2459</v>
      </c>
      <c r="B260" s="1216"/>
      <c r="C260" s="1216"/>
      <c r="D260" s="1216"/>
      <c r="E260" s="1216"/>
      <c r="F260" s="1216"/>
      <c r="G260" s="1216"/>
      <c r="H260" s="1216"/>
      <c r="I260" s="1216"/>
      <c r="J260" s="1216"/>
      <c r="K260" s="1216"/>
      <c r="L260" s="1216"/>
      <c r="M260" s="1216"/>
      <c r="N260" s="1216"/>
      <c r="O260" s="1216"/>
      <c r="P260" s="1216"/>
      <c r="Q260" s="1216"/>
      <c r="R260" s="1216"/>
      <c r="S260" s="1216"/>
      <c r="T260" s="1216"/>
      <c r="U260" s="1216"/>
      <c r="V260" s="1216"/>
      <c r="W260" s="1216"/>
    </row>
    <row r="261" spans="1:23" s="99" customFormat="1" ht="12.75" customHeight="1">
      <c r="A261" s="1216" t="s">
        <v>2460</v>
      </c>
      <c r="B261" s="1216"/>
      <c r="C261" s="1216"/>
      <c r="D261" s="1216"/>
      <c r="E261" s="1216"/>
      <c r="F261" s="1216"/>
      <c r="G261" s="1216"/>
      <c r="H261" s="1216"/>
      <c r="I261" s="1216"/>
      <c r="J261" s="1216"/>
      <c r="K261" s="1216"/>
      <c r="L261" s="1216"/>
      <c r="M261" s="1216"/>
      <c r="N261" s="1216"/>
      <c r="O261" s="1216"/>
      <c r="P261" s="1216"/>
      <c r="Q261" s="1216"/>
      <c r="R261" s="1216"/>
      <c r="S261" s="1216"/>
      <c r="T261" s="1216"/>
      <c r="U261" s="1216"/>
      <c r="V261" s="1216"/>
      <c r="W261" s="1216"/>
    </row>
    <row r="262" spans="1:23" s="99" customFormat="1" ht="12.75" customHeight="1">
      <c r="A262" s="1216" t="s">
        <v>2461</v>
      </c>
      <c r="B262" s="1216"/>
      <c r="C262" s="1216"/>
      <c r="D262" s="1216"/>
      <c r="E262" s="1216"/>
      <c r="F262" s="1216"/>
      <c r="G262" s="1216"/>
      <c r="H262" s="1216"/>
      <c r="I262" s="1216"/>
      <c r="J262" s="1216"/>
      <c r="K262" s="1216"/>
      <c r="L262" s="1216"/>
      <c r="M262" s="1216"/>
      <c r="N262" s="1216"/>
      <c r="O262" s="1216"/>
      <c r="P262" s="1216"/>
      <c r="Q262" s="1216"/>
      <c r="R262" s="1216"/>
      <c r="S262" s="1216"/>
      <c r="T262" s="1216"/>
      <c r="U262" s="1216"/>
      <c r="V262" s="1216"/>
      <c r="W262" s="1216"/>
    </row>
    <row r="263" spans="1:23" s="99" customFormat="1" ht="12.75" customHeight="1">
      <c r="A263" s="1216" t="s">
        <v>2462</v>
      </c>
      <c r="B263" s="1216"/>
      <c r="C263" s="1216"/>
      <c r="D263" s="1216"/>
      <c r="E263" s="1216"/>
      <c r="F263" s="1216"/>
      <c r="G263" s="1216"/>
      <c r="H263" s="1216"/>
      <c r="I263" s="1216"/>
      <c r="J263" s="1216"/>
      <c r="K263" s="1216"/>
      <c r="L263" s="1216"/>
      <c r="M263" s="1216"/>
      <c r="N263" s="1216"/>
      <c r="O263" s="1216"/>
      <c r="P263" s="1216"/>
      <c r="Q263" s="1216"/>
      <c r="R263" s="1216"/>
      <c r="S263" s="1216"/>
      <c r="T263" s="1216"/>
      <c r="U263" s="1216"/>
      <c r="V263" s="1216"/>
      <c r="W263" s="1216"/>
    </row>
    <row r="264" spans="1:23" s="99" customFormat="1" ht="12.75" customHeight="1">
      <c r="A264" s="1216" t="s">
        <v>2463</v>
      </c>
      <c r="B264" s="1216"/>
      <c r="C264" s="1216"/>
      <c r="D264" s="1216"/>
      <c r="E264" s="1216"/>
      <c r="F264" s="1216"/>
      <c r="G264" s="1216"/>
      <c r="H264" s="1216"/>
      <c r="I264" s="1216"/>
      <c r="J264" s="1216"/>
      <c r="K264" s="1216"/>
      <c r="L264" s="1216"/>
      <c r="M264" s="1216"/>
      <c r="N264" s="1216"/>
      <c r="O264" s="1216"/>
      <c r="P264" s="1216"/>
      <c r="Q264" s="1216"/>
      <c r="R264" s="1216"/>
      <c r="S264" s="1216"/>
      <c r="T264" s="1216"/>
      <c r="U264" s="1216"/>
      <c r="V264" s="1216"/>
      <c r="W264" s="1216"/>
    </row>
    <row r="265" spans="1:23" s="99" customFormat="1" ht="12.75" customHeight="1">
      <c r="A265" s="1216" t="s">
        <v>2464</v>
      </c>
      <c r="B265" s="1216"/>
      <c r="C265" s="1216"/>
      <c r="D265" s="1216"/>
      <c r="E265" s="1216"/>
      <c r="F265" s="1216"/>
      <c r="G265" s="1216"/>
      <c r="H265" s="1216"/>
      <c r="I265" s="1216"/>
      <c r="J265" s="1216"/>
      <c r="K265" s="1216"/>
      <c r="L265" s="1216"/>
      <c r="M265" s="1216"/>
      <c r="N265" s="1216"/>
      <c r="O265" s="1216"/>
      <c r="P265" s="1216"/>
      <c r="Q265" s="1216"/>
      <c r="R265" s="1216"/>
      <c r="S265" s="1216"/>
      <c r="T265" s="1216"/>
      <c r="U265" s="1216"/>
      <c r="V265" s="1216"/>
      <c r="W265" s="1216"/>
    </row>
    <row r="266" spans="1:23" s="99" customFormat="1" ht="12.75" customHeight="1">
      <c r="A266" s="1216" t="s">
        <v>2465</v>
      </c>
      <c r="B266" s="1216"/>
      <c r="C266" s="1216"/>
      <c r="D266" s="1216"/>
      <c r="E266" s="1216"/>
      <c r="F266" s="1216"/>
      <c r="G266" s="1216"/>
      <c r="H266" s="1216"/>
      <c r="I266" s="1216"/>
      <c r="J266" s="1216"/>
      <c r="K266" s="1216"/>
      <c r="L266" s="1216"/>
      <c r="M266" s="1216"/>
      <c r="N266" s="1216"/>
      <c r="O266" s="1216"/>
      <c r="P266" s="1216"/>
      <c r="Q266" s="1216"/>
      <c r="R266" s="1216"/>
      <c r="S266" s="1216"/>
      <c r="T266" s="1216"/>
      <c r="U266" s="1216"/>
      <c r="V266" s="1216"/>
      <c r="W266" s="1216"/>
    </row>
    <row r="267" spans="1:23" s="99" customFormat="1" ht="12.75" customHeight="1">
      <c r="A267" s="1216" t="s">
        <v>2466</v>
      </c>
      <c r="B267" s="1216"/>
      <c r="C267" s="1216"/>
      <c r="D267" s="1216"/>
      <c r="E267" s="1216"/>
      <c r="F267" s="1216"/>
      <c r="G267" s="1216"/>
      <c r="H267" s="1216"/>
      <c r="I267" s="1216"/>
      <c r="J267" s="1216"/>
      <c r="K267" s="1216"/>
      <c r="L267" s="1216"/>
      <c r="M267" s="1216"/>
      <c r="N267" s="1216"/>
      <c r="O267" s="1216"/>
      <c r="P267" s="1216"/>
      <c r="Q267" s="1216"/>
      <c r="R267" s="1216"/>
      <c r="S267" s="1216"/>
      <c r="T267" s="1216"/>
      <c r="U267" s="1216"/>
      <c r="V267" s="1216"/>
      <c r="W267" s="1216"/>
    </row>
    <row r="268" spans="1:23" s="99" customFormat="1" ht="12.75" customHeight="1">
      <c r="A268" s="1216" t="s">
        <v>2467</v>
      </c>
      <c r="B268" s="1216"/>
      <c r="C268" s="1216"/>
      <c r="D268" s="1216"/>
      <c r="E268" s="1216"/>
      <c r="F268" s="1216"/>
      <c r="G268" s="1216"/>
      <c r="H268" s="1216"/>
      <c r="I268" s="1216"/>
      <c r="J268" s="1216"/>
      <c r="K268" s="1216"/>
      <c r="L268" s="1216"/>
      <c r="M268" s="1216"/>
      <c r="N268" s="1216"/>
      <c r="O268" s="1216"/>
      <c r="P268" s="1216"/>
      <c r="Q268" s="1216"/>
      <c r="R268" s="1216"/>
      <c r="S268" s="1216"/>
      <c r="T268" s="1216"/>
      <c r="U268" s="1216"/>
      <c r="V268" s="1216"/>
      <c r="W268" s="1216"/>
    </row>
    <row r="269" spans="1:23" s="99" customFormat="1" ht="12.75" customHeight="1">
      <c r="A269" s="1216" t="s">
        <v>2468</v>
      </c>
      <c r="B269" s="1216"/>
      <c r="C269" s="1216"/>
      <c r="D269" s="1216"/>
      <c r="E269" s="1216"/>
      <c r="F269" s="1216"/>
      <c r="G269" s="1216"/>
      <c r="H269" s="1216"/>
      <c r="I269" s="1216"/>
      <c r="J269" s="1216"/>
      <c r="K269" s="1216"/>
      <c r="L269" s="1216"/>
      <c r="M269" s="1216"/>
      <c r="N269" s="1216"/>
      <c r="O269" s="1216"/>
      <c r="P269" s="1216"/>
      <c r="Q269" s="1216"/>
      <c r="R269" s="1216"/>
      <c r="S269" s="1216"/>
      <c r="T269" s="1216"/>
      <c r="U269" s="1216"/>
      <c r="V269" s="1216"/>
      <c r="W269" s="1216"/>
    </row>
    <row r="270" spans="1:23" s="99" customFormat="1" ht="12.75" customHeight="1">
      <c r="A270" s="1216" t="s">
        <v>2469</v>
      </c>
      <c r="B270" s="1216"/>
      <c r="C270" s="1216"/>
      <c r="D270" s="1216"/>
      <c r="E270" s="1216"/>
      <c r="F270" s="1216"/>
      <c r="G270" s="1216"/>
      <c r="H270" s="1216"/>
      <c r="I270" s="1216"/>
      <c r="J270" s="1216"/>
      <c r="K270" s="1216"/>
      <c r="L270" s="1216"/>
      <c r="M270" s="1216"/>
      <c r="N270" s="1216"/>
      <c r="O270" s="1216"/>
      <c r="P270" s="1216"/>
      <c r="Q270" s="1216"/>
      <c r="R270" s="1216"/>
      <c r="S270" s="1216"/>
      <c r="T270" s="1216"/>
      <c r="U270" s="1216"/>
      <c r="V270" s="1216"/>
      <c r="W270" s="1216"/>
    </row>
    <row r="271" spans="1:23" s="99" customFormat="1" ht="12.75" customHeight="1">
      <c r="A271" s="1216" t="s">
        <v>2470</v>
      </c>
      <c r="B271" s="1216"/>
      <c r="C271" s="1216"/>
      <c r="D271" s="1216"/>
      <c r="E271" s="1216"/>
      <c r="F271" s="1216"/>
      <c r="G271" s="1216"/>
      <c r="H271" s="1216"/>
      <c r="I271" s="1216"/>
      <c r="J271" s="1216"/>
      <c r="K271" s="1216"/>
      <c r="L271" s="1216"/>
      <c r="M271" s="1216"/>
      <c r="N271" s="1216"/>
      <c r="O271" s="1216"/>
      <c r="P271" s="1216"/>
      <c r="Q271" s="1216"/>
      <c r="R271" s="1216"/>
      <c r="S271" s="1216"/>
      <c r="T271" s="1216"/>
      <c r="U271" s="1216"/>
      <c r="V271" s="1216"/>
      <c r="W271" s="1216"/>
    </row>
    <row r="272" spans="1:23" s="99" customFormat="1" ht="12.75" customHeight="1">
      <c r="A272" s="1216" t="s">
        <v>2471</v>
      </c>
      <c r="B272" s="1216"/>
      <c r="C272" s="1216"/>
      <c r="D272" s="1216"/>
      <c r="E272" s="1216"/>
      <c r="F272" s="1216"/>
      <c r="G272" s="1216"/>
      <c r="H272" s="1216"/>
      <c r="I272" s="1216"/>
      <c r="J272" s="1216"/>
      <c r="K272" s="1216"/>
      <c r="L272" s="1216"/>
      <c r="M272" s="1216"/>
      <c r="N272" s="1216"/>
      <c r="O272" s="1216"/>
      <c r="P272" s="1216"/>
      <c r="Q272" s="1216"/>
      <c r="R272" s="1216"/>
      <c r="S272" s="1216"/>
      <c r="T272" s="1216"/>
      <c r="U272" s="1216"/>
      <c r="V272" s="1216"/>
      <c r="W272" s="1216"/>
    </row>
    <row r="273" spans="1:23" s="99" customFormat="1" ht="12.75" customHeight="1">
      <c r="A273" s="1216" t="s">
        <v>2472</v>
      </c>
      <c r="B273" s="1216"/>
      <c r="C273" s="1216"/>
      <c r="D273" s="1216"/>
      <c r="E273" s="1216"/>
      <c r="F273" s="1216"/>
      <c r="G273" s="1216"/>
      <c r="H273" s="1216"/>
      <c r="I273" s="1216"/>
      <c r="J273" s="1216"/>
      <c r="K273" s="1216"/>
      <c r="L273" s="1216"/>
      <c r="M273" s="1216"/>
      <c r="N273" s="1216"/>
      <c r="O273" s="1216"/>
      <c r="P273" s="1216"/>
      <c r="Q273" s="1216"/>
      <c r="R273" s="1216"/>
      <c r="S273" s="1216"/>
      <c r="T273" s="1216"/>
      <c r="U273" s="1216"/>
      <c r="V273" s="1216"/>
      <c r="W273" s="1216"/>
    </row>
    <row r="274" spans="1:23" s="99" customFormat="1" ht="29.25" customHeight="1">
      <c r="A274" s="1216" t="s">
        <v>2473</v>
      </c>
      <c r="B274" s="1216"/>
      <c r="C274" s="1216"/>
      <c r="D274" s="1216"/>
      <c r="E274" s="1216"/>
      <c r="F274" s="1216"/>
      <c r="G274" s="1216"/>
      <c r="H274" s="1216"/>
      <c r="I274" s="1216"/>
      <c r="J274" s="1216"/>
      <c r="K274" s="1216"/>
      <c r="L274" s="1216"/>
      <c r="M274" s="1216"/>
      <c r="N274" s="1216"/>
      <c r="O274" s="1216"/>
      <c r="P274" s="1216"/>
      <c r="Q274" s="1216"/>
      <c r="R274" s="1216"/>
      <c r="S274" s="1216"/>
      <c r="T274" s="1216"/>
      <c r="U274" s="1216"/>
      <c r="V274" s="1216"/>
      <c r="W274" s="1216"/>
    </row>
    <row r="275" spans="1:23" s="99" customFormat="1" ht="12.75" customHeight="1">
      <c r="A275" s="1298" t="s">
        <v>2474</v>
      </c>
      <c r="B275" s="1298"/>
      <c r="C275" s="1298"/>
      <c r="D275" s="1298"/>
      <c r="E275" s="1298"/>
      <c r="F275" s="1298"/>
      <c r="G275" s="1298"/>
      <c r="H275" s="1298"/>
      <c r="I275" s="1298"/>
      <c r="J275" s="1298"/>
      <c r="K275" s="1298"/>
      <c r="L275" s="1298"/>
      <c r="M275" s="1298"/>
      <c r="N275" s="1298"/>
      <c r="O275" s="1298"/>
      <c r="P275" s="1298"/>
      <c r="Q275" s="1298"/>
      <c r="R275" s="1298"/>
      <c r="S275" s="1298"/>
      <c r="T275" s="1298"/>
      <c r="U275" s="1298"/>
      <c r="V275" s="1298"/>
      <c r="W275" s="1298"/>
    </row>
    <row r="276" spans="1:23" s="99" customFormat="1" ht="12.75" customHeight="1">
      <c r="A276" s="1216" t="s">
        <v>2475</v>
      </c>
      <c r="B276" s="1216"/>
      <c r="C276" s="1216"/>
      <c r="D276" s="1216"/>
      <c r="E276" s="1216"/>
      <c r="F276" s="1216"/>
      <c r="G276" s="1216"/>
      <c r="H276" s="1216"/>
      <c r="I276" s="1216"/>
      <c r="J276" s="1216"/>
      <c r="K276" s="1216"/>
      <c r="L276" s="1216"/>
      <c r="M276" s="1216"/>
      <c r="N276" s="1216"/>
      <c r="O276" s="1216"/>
      <c r="P276" s="1216"/>
      <c r="Q276" s="1216"/>
      <c r="R276" s="1216"/>
      <c r="S276" s="1216"/>
      <c r="T276" s="1216"/>
      <c r="U276" s="1216"/>
      <c r="V276" s="1216"/>
      <c r="W276" s="1216"/>
    </row>
    <row r="277" spans="1:23" s="99" customFormat="1" ht="51.75" customHeight="1">
      <c r="A277" s="1216" t="s">
        <v>2476</v>
      </c>
      <c r="B277" s="1216"/>
      <c r="C277" s="1216"/>
      <c r="D277" s="1216"/>
      <c r="E277" s="1216"/>
      <c r="F277" s="1216"/>
      <c r="G277" s="1216"/>
      <c r="H277" s="1216"/>
      <c r="I277" s="1216"/>
      <c r="J277" s="1216"/>
      <c r="K277" s="1216"/>
      <c r="L277" s="1216"/>
      <c r="M277" s="1216"/>
      <c r="N277" s="1216"/>
      <c r="O277" s="1216"/>
      <c r="P277" s="1216"/>
      <c r="Q277" s="1216"/>
      <c r="R277" s="1216"/>
      <c r="S277" s="1216"/>
      <c r="T277" s="1216"/>
      <c r="U277" s="1216"/>
      <c r="V277" s="1216"/>
      <c r="W277" s="1216"/>
    </row>
    <row r="278" spans="1:23" s="99" customFormat="1" ht="12.75" customHeight="1">
      <c r="A278" s="1298" t="s">
        <v>2477</v>
      </c>
      <c r="B278" s="1298"/>
      <c r="C278" s="1298"/>
      <c r="D278" s="1298"/>
      <c r="E278" s="1298"/>
      <c r="F278" s="1298"/>
      <c r="G278" s="1298"/>
      <c r="H278" s="1298"/>
      <c r="I278" s="1298"/>
      <c r="J278" s="1298"/>
      <c r="K278" s="1298"/>
      <c r="L278" s="1298"/>
      <c r="M278" s="1298"/>
      <c r="N278" s="1298"/>
      <c r="O278" s="1298"/>
      <c r="P278" s="1298"/>
      <c r="Q278" s="1298"/>
      <c r="R278" s="1298"/>
      <c r="S278" s="1298"/>
      <c r="T278" s="1298"/>
      <c r="U278" s="1298"/>
      <c r="V278" s="1298"/>
      <c r="W278" s="1298"/>
    </row>
    <row r="279" spans="1:23" s="99" customFormat="1" ht="31.5" customHeight="1">
      <c r="A279" s="1294" t="s">
        <v>2478</v>
      </c>
      <c r="B279" s="1294"/>
      <c r="C279" s="1294"/>
      <c r="D279" s="1294"/>
      <c r="E279" s="1294"/>
      <c r="F279" s="1294"/>
      <c r="G279" s="1294"/>
      <c r="H279" s="1294"/>
      <c r="I279" s="1294"/>
      <c r="J279" s="1294"/>
      <c r="K279" s="1294"/>
      <c r="L279" s="1294"/>
      <c r="M279" s="1294"/>
      <c r="N279" s="1294"/>
      <c r="O279" s="1294"/>
      <c r="P279" s="1294"/>
      <c r="Q279" s="1294"/>
      <c r="R279" s="1294"/>
      <c r="S279" s="1294"/>
      <c r="T279" s="1294"/>
      <c r="U279" s="1294"/>
      <c r="V279" s="1294"/>
      <c r="W279" s="1294"/>
    </row>
    <row r="280" spans="1:23" s="99" customFormat="1" ht="44.25" customHeight="1">
      <c r="A280" s="1410" t="s">
        <v>3376</v>
      </c>
      <c r="B280" s="1410"/>
      <c r="C280" s="1410"/>
      <c r="D280" s="1410"/>
      <c r="E280" s="1410"/>
      <c r="F280" s="1410"/>
      <c r="G280" s="1410"/>
      <c r="H280" s="1410"/>
      <c r="I280" s="1410"/>
      <c r="J280" s="1410"/>
      <c r="K280" s="1410"/>
      <c r="L280" s="1410"/>
      <c r="M280" s="1410"/>
      <c r="N280" s="1410"/>
      <c r="O280" s="1410"/>
      <c r="P280" s="1410"/>
      <c r="Q280" s="1410"/>
      <c r="R280" s="1410"/>
      <c r="S280" s="1410"/>
      <c r="T280" s="1410"/>
      <c r="U280" s="1410"/>
      <c r="V280" s="1410"/>
      <c r="W280" s="1410"/>
    </row>
    <row r="281" spans="1:23" s="99" customFormat="1" ht="16.5" customHeight="1">
      <c r="A281" s="1294" t="s">
        <v>2479</v>
      </c>
      <c r="B281" s="1294"/>
      <c r="C281" s="1294"/>
      <c r="D281" s="1294"/>
      <c r="E281" s="1294"/>
      <c r="F281" s="1294"/>
      <c r="G281" s="1294"/>
      <c r="H281" s="1294"/>
      <c r="I281" s="1294"/>
      <c r="J281" s="1294"/>
      <c r="K281" s="1294"/>
      <c r="L281" s="1294"/>
      <c r="M281" s="1294"/>
      <c r="N281" s="1294"/>
      <c r="O281" s="1294"/>
      <c r="P281" s="1294"/>
      <c r="Q281" s="1294"/>
      <c r="R281" s="1294"/>
      <c r="S281" s="1294"/>
      <c r="T281" s="1294"/>
      <c r="U281" s="1294"/>
      <c r="V281" s="1294"/>
      <c r="W281" s="1294"/>
    </row>
    <row r="282" spans="1:23" s="99" customFormat="1" ht="62.25" customHeight="1">
      <c r="A282" s="1410" t="s">
        <v>3377</v>
      </c>
      <c r="B282" s="1410"/>
      <c r="C282" s="1410"/>
      <c r="D282" s="1410"/>
      <c r="E282" s="1410"/>
      <c r="F282" s="1410"/>
      <c r="G282" s="1410"/>
      <c r="H282" s="1410"/>
      <c r="I282" s="1410"/>
      <c r="J282" s="1410"/>
      <c r="K282" s="1410"/>
      <c r="L282" s="1410"/>
      <c r="M282" s="1410"/>
      <c r="N282" s="1410"/>
      <c r="O282" s="1410"/>
      <c r="P282" s="1410"/>
      <c r="Q282" s="1410"/>
      <c r="R282" s="1410"/>
      <c r="S282" s="1410"/>
      <c r="T282" s="1410"/>
      <c r="U282" s="1410"/>
      <c r="V282" s="1410"/>
      <c r="W282" s="1410"/>
    </row>
    <row r="283" spans="1:23" s="99" customFormat="1" ht="12.75" customHeight="1">
      <c r="A283" s="1294" t="s">
        <v>2480</v>
      </c>
      <c r="B283" s="1294"/>
      <c r="C283" s="1294"/>
      <c r="D283" s="1294"/>
      <c r="E283" s="1294"/>
      <c r="F283" s="1294"/>
      <c r="G283" s="1294"/>
      <c r="H283" s="1294"/>
      <c r="I283" s="1294"/>
      <c r="J283" s="1294"/>
      <c r="K283" s="1294"/>
      <c r="L283" s="1294"/>
      <c r="M283" s="1294"/>
      <c r="N283" s="1294"/>
      <c r="O283" s="1294"/>
      <c r="P283" s="1294"/>
      <c r="Q283" s="1294"/>
      <c r="R283" s="1294"/>
      <c r="S283" s="1294"/>
      <c r="T283" s="1294"/>
      <c r="U283" s="1294"/>
      <c r="V283" s="1294"/>
      <c r="W283" s="1294"/>
    </row>
    <row r="284" spans="1:23" s="99" customFormat="1" ht="66.75" customHeight="1">
      <c r="A284" s="1410" t="s">
        <v>3378</v>
      </c>
      <c r="B284" s="1410"/>
      <c r="C284" s="1410"/>
      <c r="D284" s="1410"/>
      <c r="E284" s="1410"/>
      <c r="F284" s="1410"/>
      <c r="G284" s="1410"/>
      <c r="H284" s="1410"/>
      <c r="I284" s="1410"/>
      <c r="J284" s="1410"/>
      <c r="K284" s="1410"/>
      <c r="L284" s="1410"/>
      <c r="M284" s="1410"/>
      <c r="N284" s="1410"/>
      <c r="O284" s="1410"/>
      <c r="P284" s="1410"/>
      <c r="Q284" s="1410"/>
      <c r="R284" s="1410"/>
      <c r="S284" s="1410"/>
      <c r="T284" s="1410"/>
      <c r="U284" s="1410"/>
      <c r="V284" s="1410"/>
      <c r="W284" s="1410"/>
    </row>
    <row r="285" spans="1:23" s="99" customFormat="1" ht="29.25" customHeight="1">
      <c r="A285" s="1294" t="s">
        <v>2481</v>
      </c>
      <c r="B285" s="1294"/>
      <c r="C285" s="1294"/>
      <c r="D285" s="1294"/>
      <c r="E285" s="1294"/>
      <c r="F285" s="1294"/>
      <c r="G285" s="1294"/>
      <c r="H285" s="1294"/>
      <c r="I285" s="1294"/>
      <c r="J285" s="1294"/>
      <c r="K285" s="1294"/>
      <c r="L285" s="1294"/>
      <c r="M285" s="1294"/>
      <c r="N285" s="1294"/>
      <c r="O285" s="1294"/>
      <c r="P285" s="1294"/>
      <c r="Q285" s="1294"/>
      <c r="R285" s="1294"/>
      <c r="S285" s="1294"/>
      <c r="T285" s="1294"/>
      <c r="U285" s="1294"/>
      <c r="V285" s="1294"/>
      <c r="W285" s="1294"/>
    </row>
    <row r="286" spans="1:23" s="99" customFormat="1" ht="72" customHeight="1">
      <c r="A286" s="1410" t="s">
        <v>3379</v>
      </c>
      <c r="B286" s="1410"/>
      <c r="C286" s="1410"/>
      <c r="D286" s="1410"/>
      <c r="E286" s="1410"/>
      <c r="F286" s="1410"/>
      <c r="G286" s="1410"/>
      <c r="H286" s="1410"/>
      <c r="I286" s="1410"/>
      <c r="J286" s="1410"/>
      <c r="K286" s="1410"/>
      <c r="L286" s="1410"/>
      <c r="M286" s="1410"/>
      <c r="N286" s="1410"/>
      <c r="O286" s="1410"/>
      <c r="P286" s="1410"/>
      <c r="Q286" s="1410"/>
      <c r="R286" s="1410"/>
      <c r="S286" s="1410"/>
      <c r="T286" s="1410"/>
      <c r="U286" s="1410"/>
      <c r="V286" s="1410"/>
      <c r="W286" s="1410"/>
    </row>
    <row r="287" spans="1:23" s="99" customFormat="1" ht="12.75" customHeight="1">
      <c r="A287" s="1294" t="s">
        <v>2482</v>
      </c>
      <c r="B287" s="1294"/>
      <c r="C287" s="1294"/>
      <c r="D287" s="1294"/>
      <c r="E287" s="1294"/>
      <c r="F287" s="1294"/>
      <c r="G287" s="1294"/>
      <c r="H287" s="1294"/>
      <c r="I287" s="1294"/>
      <c r="J287" s="1294"/>
      <c r="K287" s="1294"/>
      <c r="L287" s="1294"/>
      <c r="M287" s="1294"/>
      <c r="N287" s="1294"/>
      <c r="O287" s="1294"/>
      <c r="P287" s="1294"/>
      <c r="Q287" s="1294"/>
      <c r="R287" s="1294"/>
      <c r="S287" s="1294"/>
      <c r="T287" s="1294"/>
      <c r="U287" s="1294"/>
      <c r="V287" s="1294"/>
      <c r="W287" s="1294"/>
    </row>
    <row r="288" spans="1:23" s="99" customFormat="1" ht="63.75" customHeight="1">
      <c r="A288" s="1410" t="s">
        <v>3380</v>
      </c>
      <c r="B288" s="1410"/>
      <c r="C288" s="1410"/>
      <c r="D288" s="1410"/>
      <c r="E288" s="1410"/>
      <c r="F288" s="1410"/>
      <c r="G288" s="1410"/>
      <c r="H288" s="1410"/>
      <c r="I288" s="1410"/>
      <c r="J288" s="1410"/>
      <c r="K288" s="1410"/>
      <c r="L288" s="1410"/>
      <c r="M288" s="1410"/>
      <c r="N288" s="1410"/>
      <c r="O288" s="1410"/>
      <c r="P288" s="1410"/>
      <c r="Q288" s="1410"/>
      <c r="R288" s="1410"/>
      <c r="S288" s="1410"/>
      <c r="T288" s="1410"/>
      <c r="U288" s="1410"/>
      <c r="V288" s="1410"/>
      <c r="W288" s="1410"/>
    </row>
    <row r="289" spans="1:23" s="99" customFormat="1" ht="29.25" customHeight="1">
      <c r="A289" s="1294" t="s">
        <v>2483</v>
      </c>
      <c r="B289" s="1294"/>
      <c r="C289" s="1294"/>
      <c r="D289" s="1294"/>
      <c r="E289" s="1294"/>
      <c r="F289" s="1294"/>
      <c r="G289" s="1294"/>
      <c r="H289" s="1294"/>
      <c r="I289" s="1294"/>
      <c r="J289" s="1294"/>
      <c r="K289" s="1294"/>
      <c r="L289" s="1294"/>
      <c r="M289" s="1294"/>
      <c r="N289" s="1294"/>
      <c r="O289" s="1294"/>
      <c r="P289" s="1294"/>
      <c r="Q289" s="1294"/>
      <c r="R289" s="1294"/>
      <c r="S289" s="1294"/>
      <c r="T289" s="1294"/>
      <c r="U289" s="1294"/>
      <c r="V289" s="1294"/>
      <c r="W289" s="1294"/>
    </row>
    <row r="290" spans="1:23" s="99" customFormat="1" ht="77.25" customHeight="1">
      <c r="A290" s="1410" t="s">
        <v>3381</v>
      </c>
      <c r="B290" s="1410"/>
      <c r="C290" s="1410"/>
      <c r="D290" s="1410"/>
      <c r="E290" s="1410"/>
      <c r="F290" s="1410"/>
      <c r="G290" s="1410"/>
      <c r="H290" s="1410"/>
      <c r="I290" s="1410"/>
      <c r="J290" s="1410"/>
      <c r="K290" s="1410"/>
      <c r="L290" s="1410"/>
      <c r="M290" s="1410"/>
      <c r="N290" s="1410"/>
      <c r="O290" s="1410"/>
      <c r="P290" s="1410"/>
      <c r="Q290" s="1410"/>
      <c r="R290" s="1410"/>
      <c r="S290" s="1410"/>
      <c r="T290" s="1410"/>
      <c r="U290" s="1410"/>
      <c r="V290" s="1410"/>
      <c r="W290" s="1410"/>
    </row>
    <row r="291" spans="1:23" s="99" customFormat="1" ht="84.75" customHeight="1">
      <c r="A291" s="1294" t="s">
        <v>2484</v>
      </c>
      <c r="B291" s="1294"/>
      <c r="C291" s="1294"/>
      <c r="D291" s="1294"/>
      <c r="E291" s="1294"/>
      <c r="F291" s="1294"/>
      <c r="G291" s="1294"/>
      <c r="H291" s="1294"/>
      <c r="I291" s="1294"/>
      <c r="J291" s="1294"/>
      <c r="K291" s="1294"/>
      <c r="L291" s="1294"/>
      <c r="M291" s="1294"/>
      <c r="N291" s="1294"/>
      <c r="O291" s="1294"/>
      <c r="P291" s="1294"/>
      <c r="Q291" s="1294"/>
      <c r="R291" s="1294"/>
      <c r="S291" s="1294"/>
      <c r="T291" s="1294"/>
      <c r="U291" s="1294"/>
      <c r="V291" s="1294"/>
      <c r="W291" s="1294"/>
    </row>
    <row r="292" spans="1:23" s="99" customFormat="1" ht="71.25" customHeight="1">
      <c r="A292" s="1410" t="s">
        <v>3382</v>
      </c>
      <c r="B292" s="1410"/>
      <c r="C292" s="1410"/>
      <c r="D292" s="1410"/>
      <c r="E292" s="1410"/>
      <c r="F292" s="1410"/>
      <c r="G292" s="1410"/>
      <c r="H292" s="1410"/>
      <c r="I292" s="1410"/>
      <c r="J292" s="1410"/>
      <c r="K292" s="1410"/>
      <c r="L292" s="1410"/>
      <c r="M292" s="1410"/>
      <c r="N292" s="1410"/>
      <c r="O292" s="1410"/>
      <c r="P292" s="1410"/>
      <c r="Q292" s="1410"/>
      <c r="R292" s="1410"/>
      <c r="S292" s="1410"/>
      <c r="T292" s="1410"/>
      <c r="U292" s="1410"/>
      <c r="V292" s="1410"/>
      <c r="W292" s="1410"/>
    </row>
    <row r="293" spans="1:23" s="99" customFormat="1" ht="30" customHeight="1">
      <c r="A293" s="1294" t="s">
        <v>2485</v>
      </c>
      <c r="B293" s="1294"/>
      <c r="C293" s="1294"/>
      <c r="D293" s="1294"/>
      <c r="E293" s="1294"/>
      <c r="F293" s="1294"/>
      <c r="G293" s="1294"/>
      <c r="H293" s="1294"/>
      <c r="I293" s="1294"/>
      <c r="J293" s="1294"/>
      <c r="K293" s="1294"/>
      <c r="L293" s="1294"/>
      <c r="M293" s="1294"/>
      <c r="N293" s="1294"/>
      <c r="O293" s="1294"/>
      <c r="P293" s="1294"/>
      <c r="Q293" s="1294"/>
      <c r="R293" s="1294"/>
      <c r="S293" s="1294"/>
      <c r="T293" s="1294"/>
      <c r="U293" s="1294"/>
      <c r="V293" s="1294"/>
      <c r="W293" s="1294"/>
    </row>
    <row r="294" spans="1:23" s="99" customFormat="1" ht="105" customHeight="1">
      <c r="A294" s="1410" t="s">
        <v>3383</v>
      </c>
      <c r="B294" s="1410"/>
      <c r="C294" s="1410"/>
      <c r="D294" s="1410"/>
      <c r="E294" s="1410"/>
      <c r="F294" s="1410"/>
      <c r="G294" s="1410"/>
      <c r="H294" s="1410"/>
      <c r="I294" s="1410"/>
      <c r="J294" s="1410"/>
      <c r="K294" s="1410"/>
      <c r="L294" s="1410"/>
      <c r="M294" s="1410"/>
      <c r="N294" s="1410"/>
      <c r="O294" s="1410"/>
      <c r="P294" s="1410"/>
      <c r="Q294" s="1410"/>
      <c r="R294" s="1410"/>
      <c r="S294" s="1410"/>
      <c r="T294" s="1410"/>
      <c r="U294" s="1410"/>
      <c r="V294" s="1410"/>
      <c r="W294" s="1410"/>
    </row>
    <row r="295" spans="1:23" s="99" customFormat="1" ht="12.75" customHeight="1">
      <c r="A295" s="1294" t="s">
        <v>2486</v>
      </c>
      <c r="B295" s="1294"/>
      <c r="C295" s="1294"/>
      <c r="D295" s="1294"/>
      <c r="E295" s="1294"/>
      <c r="F295" s="1294"/>
      <c r="G295" s="1294"/>
      <c r="H295" s="1294"/>
      <c r="I295" s="1294"/>
      <c r="J295" s="1294"/>
      <c r="K295" s="1294"/>
      <c r="L295" s="1294"/>
      <c r="M295" s="1294"/>
      <c r="N295" s="1294"/>
      <c r="O295" s="1294"/>
      <c r="P295" s="1294"/>
      <c r="Q295" s="1294"/>
      <c r="R295" s="1294"/>
      <c r="S295" s="1294"/>
      <c r="T295" s="1294"/>
      <c r="U295" s="1294"/>
      <c r="V295" s="1294"/>
      <c r="W295" s="1294"/>
    </row>
    <row r="296" spans="1:23" s="99" customFormat="1" ht="74.25" customHeight="1">
      <c r="A296" s="1410" t="s">
        <v>3384</v>
      </c>
      <c r="B296" s="1410"/>
      <c r="C296" s="1410"/>
      <c r="D296" s="1410"/>
      <c r="E296" s="1410"/>
      <c r="F296" s="1410"/>
      <c r="G296" s="1410"/>
      <c r="H296" s="1410"/>
      <c r="I296" s="1410"/>
      <c r="J296" s="1410"/>
      <c r="K296" s="1410"/>
      <c r="L296" s="1410"/>
      <c r="M296" s="1410"/>
      <c r="N296" s="1410"/>
      <c r="O296" s="1410"/>
      <c r="P296" s="1410"/>
      <c r="Q296" s="1410"/>
      <c r="R296" s="1410"/>
      <c r="S296" s="1410"/>
      <c r="T296" s="1410"/>
      <c r="U296" s="1410"/>
      <c r="V296" s="1410"/>
      <c r="W296" s="1410"/>
    </row>
    <row r="297" spans="1:23" s="99" customFormat="1" ht="12.75" customHeight="1">
      <c r="A297" s="1294" t="s">
        <v>2487</v>
      </c>
      <c r="B297" s="1294"/>
      <c r="C297" s="1294"/>
      <c r="D297" s="1294"/>
      <c r="E297" s="1294"/>
      <c r="F297" s="1294"/>
      <c r="G297" s="1294"/>
      <c r="H297" s="1294"/>
      <c r="I297" s="1294"/>
      <c r="J297" s="1294"/>
      <c r="K297" s="1294"/>
      <c r="L297" s="1294"/>
      <c r="M297" s="1294"/>
      <c r="N297" s="1294"/>
      <c r="O297" s="1294"/>
      <c r="P297" s="1294"/>
      <c r="Q297" s="1294"/>
      <c r="R297" s="1294"/>
      <c r="S297" s="1294"/>
      <c r="T297" s="1294"/>
      <c r="U297" s="1294"/>
      <c r="V297" s="1294"/>
      <c r="W297" s="1294"/>
    </row>
    <row r="298" spans="1:23" s="99" customFormat="1" ht="45" customHeight="1">
      <c r="A298" s="1410" t="s">
        <v>3385</v>
      </c>
      <c r="B298" s="1410"/>
      <c r="C298" s="1410"/>
      <c r="D298" s="1410"/>
      <c r="E298" s="1410"/>
      <c r="F298" s="1410"/>
      <c r="G298" s="1410"/>
      <c r="H298" s="1410"/>
      <c r="I298" s="1410"/>
      <c r="J298" s="1410"/>
      <c r="K298" s="1410"/>
      <c r="L298" s="1410"/>
      <c r="M298" s="1410"/>
      <c r="N298" s="1410"/>
      <c r="O298" s="1410"/>
      <c r="P298" s="1410"/>
      <c r="Q298" s="1410"/>
      <c r="R298" s="1410"/>
      <c r="S298" s="1410"/>
      <c r="T298" s="1410"/>
      <c r="U298" s="1410"/>
      <c r="V298" s="1410"/>
      <c r="W298" s="1410"/>
    </row>
    <row r="299" spans="1:23" s="99" customFormat="1" ht="12.75" customHeight="1">
      <c r="A299" s="1294" t="s">
        <v>2488</v>
      </c>
      <c r="B299" s="1294"/>
      <c r="C299" s="1294"/>
      <c r="D299" s="1294"/>
      <c r="E299" s="1294"/>
      <c r="F299" s="1294"/>
      <c r="G299" s="1294"/>
      <c r="H299" s="1294"/>
      <c r="I299" s="1294"/>
      <c r="J299" s="1294"/>
      <c r="K299" s="1294"/>
      <c r="L299" s="1294"/>
      <c r="M299" s="1294"/>
      <c r="N299" s="1294"/>
      <c r="O299" s="1294"/>
      <c r="P299" s="1294"/>
      <c r="Q299" s="1294"/>
      <c r="R299" s="1294"/>
      <c r="S299" s="1294"/>
      <c r="T299" s="1294"/>
      <c r="U299" s="1294"/>
      <c r="V299" s="1294"/>
      <c r="W299" s="1294"/>
    </row>
    <row r="300" spans="1:23" s="99" customFormat="1" ht="54" customHeight="1">
      <c r="A300" s="1410" t="s">
        <v>3386</v>
      </c>
      <c r="B300" s="1410"/>
      <c r="C300" s="1410"/>
      <c r="D300" s="1410"/>
      <c r="E300" s="1410"/>
      <c r="F300" s="1410"/>
      <c r="G300" s="1410"/>
      <c r="H300" s="1410"/>
      <c r="I300" s="1410"/>
      <c r="J300" s="1410"/>
      <c r="K300" s="1410"/>
      <c r="L300" s="1410"/>
      <c r="M300" s="1410"/>
      <c r="N300" s="1410"/>
      <c r="O300" s="1410"/>
      <c r="P300" s="1410"/>
      <c r="Q300" s="1410"/>
      <c r="R300" s="1410"/>
      <c r="S300" s="1410"/>
      <c r="T300" s="1410"/>
      <c r="U300" s="1410"/>
      <c r="V300" s="1410"/>
      <c r="W300" s="1410"/>
    </row>
    <row r="301" spans="1:23" s="99" customFormat="1" ht="29.25" customHeight="1">
      <c r="A301" s="1294" t="s">
        <v>2489</v>
      </c>
      <c r="B301" s="1294"/>
      <c r="C301" s="1294"/>
      <c r="D301" s="1294"/>
      <c r="E301" s="1294"/>
      <c r="F301" s="1294"/>
      <c r="G301" s="1294"/>
      <c r="H301" s="1294"/>
      <c r="I301" s="1294"/>
      <c r="J301" s="1294"/>
      <c r="K301" s="1294"/>
      <c r="L301" s="1294"/>
      <c r="M301" s="1294"/>
      <c r="N301" s="1294"/>
      <c r="O301" s="1294"/>
      <c r="P301" s="1294"/>
      <c r="Q301" s="1294"/>
      <c r="R301" s="1294"/>
      <c r="S301" s="1294"/>
      <c r="T301" s="1294"/>
      <c r="U301" s="1294"/>
      <c r="V301" s="1294"/>
      <c r="W301" s="1294"/>
    </row>
    <row r="302" spans="1:23" s="99" customFormat="1" ht="33" customHeight="1">
      <c r="A302" s="1410" t="s">
        <v>3387</v>
      </c>
      <c r="B302" s="1410"/>
      <c r="C302" s="1410"/>
      <c r="D302" s="1410"/>
      <c r="E302" s="1410"/>
      <c r="F302" s="1410"/>
      <c r="G302" s="1410"/>
      <c r="H302" s="1410"/>
      <c r="I302" s="1410"/>
      <c r="J302" s="1410"/>
      <c r="K302" s="1410"/>
      <c r="L302" s="1410"/>
      <c r="M302" s="1410"/>
      <c r="N302" s="1410"/>
      <c r="O302" s="1410"/>
      <c r="P302" s="1410"/>
      <c r="Q302" s="1410"/>
      <c r="R302" s="1410"/>
      <c r="S302" s="1410"/>
      <c r="T302" s="1410"/>
      <c r="U302" s="1410"/>
      <c r="V302" s="1410"/>
      <c r="W302" s="1410"/>
    </row>
    <row r="303" spans="1:23" s="99" customFormat="1" ht="18" customHeight="1">
      <c r="A303" s="1294" t="s">
        <v>2490</v>
      </c>
      <c r="B303" s="1294"/>
      <c r="C303" s="1294"/>
      <c r="D303" s="1294"/>
      <c r="E303" s="1294"/>
      <c r="F303" s="1294"/>
      <c r="G303" s="1294"/>
      <c r="H303" s="1294"/>
      <c r="I303" s="1294"/>
      <c r="J303" s="1294"/>
      <c r="K303" s="1294"/>
      <c r="L303" s="1294"/>
      <c r="M303" s="1294"/>
      <c r="N303" s="1294"/>
      <c r="O303" s="1294"/>
      <c r="P303" s="1294"/>
      <c r="Q303" s="1294"/>
      <c r="R303" s="1294"/>
      <c r="S303" s="1294"/>
      <c r="T303" s="1294"/>
      <c r="U303" s="1294"/>
      <c r="V303" s="1294"/>
      <c r="W303" s="1294"/>
    </row>
    <row r="304" spans="1:23" s="99" customFormat="1" ht="24.75" customHeight="1">
      <c r="A304" s="1410" t="s">
        <v>3388</v>
      </c>
      <c r="B304" s="1410"/>
      <c r="C304" s="1410"/>
      <c r="D304" s="1410"/>
      <c r="E304" s="1410"/>
      <c r="F304" s="1410"/>
      <c r="G304" s="1410"/>
      <c r="H304" s="1410"/>
      <c r="I304" s="1410"/>
      <c r="J304" s="1410"/>
      <c r="K304" s="1410"/>
      <c r="L304" s="1410"/>
      <c r="M304" s="1410"/>
      <c r="N304" s="1410"/>
      <c r="O304" s="1410"/>
      <c r="P304" s="1410"/>
      <c r="Q304" s="1410"/>
      <c r="R304" s="1410"/>
      <c r="S304" s="1410"/>
      <c r="T304" s="1410"/>
      <c r="U304" s="1410"/>
      <c r="V304" s="1410"/>
      <c r="W304" s="1410"/>
    </row>
    <row r="305" spans="1:27" s="99" customFormat="1" ht="20.25" customHeight="1">
      <c r="A305" s="1294" t="s">
        <v>2491</v>
      </c>
      <c r="B305" s="1294"/>
      <c r="C305" s="1294"/>
      <c r="D305" s="1294"/>
      <c r="E305" s="1294"/>
      <c r="F305" s="1294"/>
      <c r="G305" s="1294"/>
      <c r="H305" s="1294"/>
      <c r="I305" s="1294"/>
      <c r="J305" s="1294"/>
      <c r="K305" s="1294"/>
      <c r="L305" s="1294"/>
      <c r="M305" s="1294"/>
      <c r="N305" s="1294"/>
      <c r="O305" s="1294"/>
      <c r="P305" s="1294"/>
      <c r="Q305" s="1294"/>
      <c r="R305" s="1294"/>
      <c r="S305" s="1294"/>
      <c r="T305" s="1294"/>
      <c r="U305" s="1294"/>
      <c r="V305" s="1294"/>
      <c r="W305" s="1294"/>
    </row>
    <row r="306" spans="1:27" s="99" customFormat="1" ht="20.25" customHeight="1">
      <c r="A306" s="1410" t="s">
        <v>3389</v>
      </c>
      <c r="B306" s="1410"/>
      <c r="C306" s="1410"/>
      <c r="D306" s="1410"/>
      <c r="E306" s="1410"/>
      <c r="F306" s="1410"/>
      <c r="G306" s="1410"/>
      <c r="H306" s="1410"/>
      <c r="I306" s="1410"/>
      <c r="J306" s="1410"/>
      <c r="K306" s="1410"/>
      <c r="L306" s="1410"/>
      <c r="M306" s="1410"/>
      <c r="N306" s="1410"/>
      <c r="O306" s="1410"/>
      <c r="P306" s="1410"/>
      <c r="Q306" s="1410"/>
      <c r="R306" s="1410"/>
      <c r="S306" s="1410"/>
      <c r="T306" s="1410"/>
      <c r="U306" s="1410"/>
      <c r="V306" s="1410"/>
      <c r="W306" s="1410"/>
    </row>
    <row r="307" spans="1:27" s="99" customFormat="1" ht="27.75" customHeight="1">
      <c r="A307" s="1294" t="s">
        <v>2492</v>
      </c>
      <c r="B307" s="1294"/>
      <c r="C307" s="1294"/>
      <c r="D307" s="1294"/>
      <c r="E307" s="1294"/>
      <c r="F307" s="1294"/>
      <c r="G307" s="1294"/>
      <c r="H307" s="1294"/>
      <c r="I307" s="1294"/>
      <c r="J307" s="1294"/>
      <c r="K307" s="1294"/>
      <c r="L307" s="1294"/>
      <c r="M307" s="1294"/>
      <c r="N307" s="1294"/>
      <c r="O307" s="1294"/>
      <c r="P307" s="1294"/>
      <c r="Q307" s="1294"/>
      <c r="R307" s="1294"/>
      <c r="S307" s="1294"/>
      <c r="T307" s="1294"/>
      <c r="U307" s="1294"/>
      <c r="V307" s="1294"/>
      <c r="W307" s="1294"/>
    </row>
    <row r="308" spans="1:27" s="99" customFormat="1" ht="45.75" customHeight="1">
      <c r="A308" s="1410" t="s">
        <v>3390</v>
      </c>
      <c r="B308" s="1410"/>
      <c r="C308" s="1410"/>
      <c r="D308" s="1410"/>
      <c r="E308" s="1410"/>
      <c r="F308" s="1410"/>
      <c r="G308" s="1410"/>
      <c r="H308" s="1410"/>
      <c r="I308" s="1410"/>
      <c r="J308" s="1410"/>
      <c r="K308" s="1410"/>
      <c r="L308" s="1410"/>
      <c r="M308" s="1410"/>
      <c r="N308" s="1410"/>
      <c r="O308" s="1410"/>
      <c r="P308" s="1410"/>
      <c r="Q308" s="1410"/>
      <c r="R308" s="1410"/>
      <c r="S308" s="1410"/>
      <c r="T308" s="1410"/>
      <c r="U308" s="1410"/>
      <c r="V308" s="1410"/>
      <c r="W308" s="1410"/>
    </row>
    <row r="309" spans="1:27" s="99" customFormat="1" ht="33" customHeight="1">
      <c r="A309" s="1294" t="s">
        <v>2493</v>
      </c>
      <c r="B309" s="1294"/>
      <c r="C309" s="1294"/>
      <c r="D309" s="1294"/>
      <c r="E309" s="1294"/>
      <c r="F309" s="1294"/>
      <c r="G309" s="1294"/>
      <c r="H309" s="1294"/>
      <c r="I309" s="1294"/>
      <c r="J309" s="1294"/>
      <c r="K309" s="1294"/>
      <c r="L309" s="1294"/>
      <c r="M309" s="1294"/>
      <c r="N309" s="1294"/>
      <c r="O309" s="1294"/>
      <c r="P309" s="1294"/>
      <c r="Q309" s="1294"/>
      <c r="R309" s="1294"/>
      <c r="S309" s="1294"/>
      <c r="T309" s="1294"/>
      <c r="U309" s="1294"/>
      <c r="V309" s="1294"/>
      <c r="W309" s="1294"/>
    </row>
    <row r="310" spans="1:27" s="99" customFormat="1" ht="33" customHeight="1">
      <c r="A310" s="1410" t="s">
        <v>3391</v>
      </c>
      <c r="B310" s="1410"/>
      <c r="C310" s="1410"/>
      <c r="D310" s="1410"/>
      <c r="E310" s="1410"/>
      <c r="F310" s="1410"/>
      <c r="G310" s="1410"/>
      <c r="H310" s="1410"/>
      <c r="I310" s="1410"/>
      <c r="J310" s="1410"/>
      <c r="K310" s="1410"/>
      <c r="L310" s="1410"/>
      <c r="M310" s="1410"/>
      <c r="N310" s="1410"/>
      <c r="O310" s="1410"/>
      <c r="P310" s="1410"/>
      <c r="Q310" s="1410"/>
      <c r="R310" s="1410"/>
      <c r="S310" s="1410"/>
      <c r="T310" s="1410"/>
      <c r="U310" s="1410"/>
      <c r="V310" s="1410"/>
      <c r="W310" s="1410"/>
    </row>
    <row r="311" spans="1:27" s="99" customFormat="1" ht="33" customHeight="1">
      <c r="A311" s="1294" t="s">
        <v>2494</v>
      </c>
      <c r="B311" s="1294"/>
      <c r="C311" s="1294"/>
      <c r="D311" s="1294"/>
      <c r="E311" s="1294"/>
      <c r="F311" s="1294"/>
      <c r="G311" s="1294"/>
      <c r="H311" s="1294"/>
      <c r="I311" s="1294"/>
      <c r="J311" s="1294"/>
      <c r="K311" s="1294"/>
      <c r="L311" s="1294"/>
      <c r="M311" s="1294"/>
      <c r="N311" s="1294"/>
      <c r="O311" s="1294"/>
      <c r="P311" s="1294"/>
      <c r="Q311" s="1294"/>
      <c r="R311" s="1294"/>
      <c r="S311" s="1294"/>
      <c r="T311" s="1294"/>
      <c r="U311" s="1294"/>
      <c r="V311" s="1294"/>
      <c r="W311" s="1294"/>
    </row>
    <row r="312" spans="1:27" s="99" customFormat="1" ht="33" customHeight="1">
      <c r="A312" s="1410" t="s">
        <v>3392</v>
      </c>
      <c r="B312" s="1410"/>
      <c r="C312" s="1410"/>
      <c r="D312" s="1410"/>
      <c r="E312" s="1410"/>
      <c r="F312" s="1410"/>
      <c r="G312" s="1410"/>
      <c r="H312" s="1410"/>
      <c r="I312" s="1410"/>
      <c r="J312" s="1410"/>
      <c r="K312" s="1410"/>
      <c r="L312" s="1410"/>
      <c r="M312" s="1410"/>
      <c r="N312" s="1410"/>
      <c r="O312" s="1410"/>
      <c r="P312" s="1410"/>
      <c r="Q312" s="1410"/>
      <c r="R312" s="1410"/>
      <c r="S312" s="1410"/>
      <c r="T312" s="1410"/>
      <c r="U312" s="1410"/>
      <c r="V312" s="1410"/>
      <c r="W312" s="1410"/>
    </row>
    <row r="313" spans="1:27" s="99" customFormat="1" ht="26.25" customHeight="1">
      <c r="A313" s="1294" t="s">
        <v>2495</v>
      </c>
      <c r="B313" s="1294"/>
      <c r="C313" s="1294"/>
      <c r="D313" s="1294"/>
      <c r="E313" s="1294"/>
      <c r="F313" s="1294"/>
      <c r="G313" s="1294"/>
      <c r="H313" s="1294"/>
      <c r="I313" s="1294"/>
      <c r="J313" s="1294"/>
      <c r="K313" s="1294"/>
      <c r="L313" s="1294"/>
      <c r="M313" s="1294"/>
      <c r="N313" s="1294"/>
      <c r="O313" s="1294"/>
      <c r="P313" s="1294"/>
      <c r="Q313" s="1294"/>
      <c r="R313" s="1294"/>
      <c r="S313" s="1294"/>
      <c r="T313" s="1294"/>
      <c r="U313" s="1294"/>
      <c r="V313" s="1294"/>
      <c r="W313" s="1294"/>
    </row>
    <row r="314" spans="1:27" s="99" customFormat="1" ht="26.25" customHeight="1">
      <c r="A314" s="1410" t="s">
        <v>3393</v>
      </c>
      <c r="B314" s="1410"/>
      <c r="C314" s="1410"/>
      <c r="D314" s="1410"/>
      <c r="E314" s="1410"/>
      <c r="F314" s="1410"/>
      <c r="G314" s="1410"/>
      <c r="H314" s="1410"/>
      <c r="I314" s="1410"/>
      <c r="J314" s="1410"/>
      <c r="K314" s="1410"/>
      <c r="L314" s="1410"/>
      <c r="M314" s="1410"/>
      <c r="N314" s="1410"/>
      <c r="O314" s="1410"/>
      <c r="P314" s="1410"/>
      <c r="Q314" s="1410"/>
      <c r="R314" s="1410"/>
      <c r="S314" s="1410"/>
      <c r="T314" s="1410"/>
      <c r="U314" s="1410"/>
      <c r="V314" s="1410"/>
      <c r="W314" s="1410"/>
    </row>
    <row r="315" spans="1:27" s="99" customFormat="1" ht="30" customHeight="1">
      <c r="A315" s="1294" t="s">
        <v>2496</v>
      </c>
      <c r="B315" s="1294"/>
      <c r="C315" s="1294"/>
      <c r="D315" s="1294"/>
      <c r="E315" s="1294"/>
      <c r="F315" s="1294"/>
      <c r="G315" s="1294"/>
      <c r="H315" s="1294"/>
      <c r="I315" s="1294"/>
      <c r="J315" s="1294"/>
      <c r="K315" s="1294"/>
      <c r="L315" s="1294"/>
      <c r="M315" s="1294"/>
      <c r="N315" s="1294"/>
      <c r="O315" s="1294"/>
      <c r="P315" s="1294"/>
      <c r="Q315" s="1294"/>
      <c r="R315" s="1294"/>
      <c r="S315" s="1294"/>
      <c r="T315" s="1294"/>
      <c r="U315" s="1294"/>
      <c r="V315" s="1294"/>
      <c r="W315" s="1294"/>
    </row>
    <row r="316" spans="1:27" s="99" customFormat="1" ht="41.25" customHeight="1">
      <c r="A316" s="1410" t="s">
        <v>3395</v>
      </c>
      <c r="B316" s="1410"/>
      <c r="C316" s="1410"/>
      <c r="D316" s="1410"/>
      <c r="E316" s="1410"/>
      <c r="F316" s="1410"/>
      <c r="G316" s="1410"/>
      <c r="H316" s="1410"/>
      <c r="I316" s="1410"/>
      <c r="J316" s="1410"/>
      <c r="K316" s="1410"/>
      <c r="L316" s="1410"/>
      <c r="M316" s="1410"/>
      <c r="N316" s="1410"/>
      <c r="O316" s="1410"/>
      <c r="P316" s="1410"/>
      <c r="Q316" s="1410"/>
      <c r="R316" s="1410"/>
      <c r="S316" s="1410"/>
      <c r="T316" s="1410"/>
      <c r="U316" s="1410"/>
      <c r="V316" s="1410"/>
      <c r="W316" s="1410"/>
    </row>
    <row r="317" spans="1:27" s="99" customFormat="1" ht="34.5" customHeight="1">
      <c r="A317" s="1294" t="s">
        <v>2497</v>
      </c>
      <c r="B317" s="1294"/>
      <c r="C317" s="1294"/>
      <c r="D317" s="1294"/>
      <c r="E317" s="1294"/>
      <c r="F317" s="1294"/>
      <c r="G317" s="1294"/>
      <c r="H317" s="1294"/>
      <c r="I317" s="1294"/>
      <c r="J317" s="1294"/>
      <c r="K317" s="1294"/>
      <c r="L317" s="1294"/>
      <c r="M317" s="1294"/>
      <c r="N317" s="1294"/>
      <c r="O317" s="1294"/>
      <c r="P317" s="1294"/>
      <c r="Q317" s="1294"/>
      <c r="R317" s="1294"/>
      <c r="S317" s="1294"/>
      <c r="T317" s="1294"/>
      <c r="U317" s="1294"/>
      <c r="V317" s="1294"/>
      <c r="W317" s="1294"/>
    </row>
    <row r="318" spans="1:27" s="99" customFormat="1" ht="48" customHeight="1">
      <c r="A318" s="1410" t="s">
        <v>3394</v>
      </c>
      <c r="B318" s="1410"/>
      <c r="C318" s="1410"/>
      <c r="D318" s="1410"/>
      <c r="E318" s="1410"/>
      <c r="F318" s="1410"/>
      <c r="G318" s="1410"/>
      <c r="H318" s="1410"/>
      <c r="I318" s="1410"/>
      <c r="J318" s="1410"/>
      <c r="K318" s="1410"/>
      <c r="L318" s="1410"/>
      <c r="M318" s="1410"/>
      <c r="N318" s="1410"/>
      <c r="O318" s="1410"/>
      <c r="P318" s="1410"/>
      <c r="Q318" s="1410"/>
      <c r="R318" s="1410"/>
      <c r="S318" s="1410"/>
      <c r="T318" s="1410"/>
      <c r="U318" s="1410"/>
      <c r="V318" s="1410"/>
      <c r="W318" s="1410"/>
    </row>
    <row r="319" spans="1:27" s="99" customFormat="1" ht="32.25" customHeight="1">
      <c r="A319" s="1294" t="s">
        <v>2498</v>
      </c>
      <c r="B319" s="1294"/>
      <c r="C319" s="1294"/>
      <c r="D319" s="1294"/>
      <c r="E319" s="1294"/>
      <c r="F319" s="1294"/>
      <c r="G319" s="1294"/>
      <c r="H319" s="1294"/>
      <c r="I319" s="1294"/>
      <c r="J319" s="1294"/>
      <c r="K319" s="1294"/>
      <c r="L319" s="1294"/>
      <c r="M319" s="1294"/>
      <c r="N319" s="1294"/>
      <c r="O319" s="1294"/>
      <c r="P319" s="1294"/>
      <c r="Q319" s="1294"/>
      <c r="R319" s="1294"/>
      <c r="S319" s="1294"/>
      <c r="T319" s="1294"/>
      <c r="U319" s="1294"/>
      <c r="V319" s="1294"/>
      <c r="W319" s="1294"/>
      <c r="AA319" s="550"/>
    </row>
    <row r="320" spans="1:27" s="99" customFormat="1" ht="32.25" customHeight="1">
      <c r="A320" s="1410" t="s">
        <v>3396</v>
      </c>
      <c r="B320" s="1410"/>
      <c r="C320" s="1410"/>
      <c r="D320" s="1410"/>
      <c r="E320" s="1410"/>
      <c r="F320" s="1410"/>
      <c r="G320" s="1410"/>
      <c r="H320" s="1410"/>
      <c r="I320" s="1410"/>
      <c r="J320" s="1410"/>
      <c r="K320" s="1410"/>
      <c r="L320" s="1410"/>
      <c r="M320" s="1410"/>
      <c r="N320" s="1410"/>
      <c r="O320" s="1410"/>
      <c r="P320" s="1410"/>
      <c r="Q320" s="1410"/>
      <c r="R320" s="1410"/>
      <c r="S320" s="1410"/>
      <c r="T320" s="1410"/>
      <c r="U320" s="1410"/>
      <c r="V320" s="1410"/>
      <c r="W320" s="1410"/>
    </row>
    <row r="321" spans="1:23" s="99" customFormat="1" ht="12.75" customHeight="1">
      <c r="A321" s="1294" t="s">
        <v>2499</v>
      </c>
      <c r="B321" s="1294"/>
      <c r="C321" s="1294"/>
      <c r="D321" s="1294"/>
      <c r="E321" s="1294"/>
      <c r="F321" s="1294"/>
      <c r="G321" s="1294"/>
      <c r="H321" s="1294"/>
      <c r="I321" s="1294"/>
      <c r="J321" s="1294"/>
      <c r="K321" s="1294"/>
      <c r="L321" s="1294"/>
      <c r="M321" s="1294"/>
      <c r="N321" s="1294"/>
      <c r="O321" s="1294"/>
      <c r="P321" s="1294"/>
      <c r="Q321" s="1294"/>
      <c r="R321" s="1294"/>
      <c r="S321" s="1294"/>
      <c r="T321" s="1294"/>
      <c r="U321" s="1294"/>
      <c r="V321" s="1294"/>
      <c r="W321" s="1294"/>
    </row>
    <row r="322" spans="1:23" s="99" customFormat="1" ht="41.25" customHeight="1">
      <c r="A322" s="1410" t="s">
        <v>3397</v>
      </c>
      <c r="B322" s="1410"/>
      <c r="C322" s="1410"/>
      <c r="D322" s="1410"/>
      <c r="E322" s="1410"/>
      <c r="F322" s="1410"/>
      <c r="G322" s="1410"/>
      <c r="H322" s="1410"/>
      <c r="I322" s="1410"/>
      <c r="J322" s="1410"/>
      <c r="K322" s="1410"/>
      <c r="L322" s="1410"/>
      <c r="M322" s="1410"/>
      <c r="N322" s="1410"/>
      <c r="O322" s="1410"/>
      <c r="P322" s="1410"/>
      <c r="Q322" s="1410"/>
      <c r="R322" s="1410"/>
      <c r="S322" s="1410"/>
      <c r="T322" s="1410"/>
      <c r="U322" s="1410"/>
      <c r="V322" s="1410"/>
      <c r="W322" s="1410"/>
    </row>
    <row r="323" spans="1:23" s="99" customFormat="1" ht="12.75" customHeight="1">
      <c r="A323" s="1294" t="s">
        <v>2500</v>
      </c>
      <c r="B323" s="1294"/>
      <c r="C323" s="1294"/>
      <c r="D323" s="1294"/>
      <c r="E323" s="1294"/>
      <c r="F323" s="1294"/>
      <c r="G323" s="1294"/>
      <c r="H323" s="1294"/>
      <c r="I323" s="1294"/>
      <c r="J323" s="1294"/>
      <c r="K323" s="1294"/>
      <c r="L323" s="1294"/>
      <c r="M323" s="1294"/>
      <c r="N323" s="1294"/>
      <c r="O323" s="1294"/>
      <c r="P323" s="1294"/>
      <c r="Q323" s="1294"/>
      <c r="R323" s="1294"/>
      <c r="S323" s="1294"/>
      <c r="T323" s="1294"/>
      <c r="U323" s="1294"/>
      <c r="V323" s="1294"/>
      <c r="W323" s="1294"/>
    </row>
    <row r="324" spans="1:23" s="99" customFormat="1" ht="43.5" customHeight="1">
      <c r="A324" s="1410" t="s">
        <v>3398</v>
      </c>
      <c r="B324" s="1410"/>
      <c r="C324" s="1410"/>
      <c r="D324" s="1410"/>
      <c r="E324" s="1410"/>
      <c r="F324" s="1410"/>
      <c r="G324" s="1410"/>
      <c r="H324" s="1410"/>
      <c r="I324" s="1410"/>
      <c r="J324" s="1410"/>
      <c r="K324" s="1410"/>
      <c r="L324" s="1410"/>
      <c r="M324" s="1410"/>
      <c r="N324" s="1410"/>
      <c r="O324" s="1410"/>
      <c r="P324" s="1410"/>
      <c r="Q324" s="1410"/>
      <c r="R324" s="1410"/>
      <c r="S324" s="1410"/>
      <c r="T324" s="1410"/>
      <c r="U324" s="1410"/>
      <c r="V324" s="1410"/>
      <c r="W324" s="1410"/>
    </row>
    <row r="325" spans="1:23" s="99" customFormat="1" ht="12.75" customHeight="1">
      <c r="A325" s="1294" t="s">
        <v>2501</v>
      </c>
      <c r="B325" s="1294"/>
      <c r="C325" s="1294"/>
      <c r="D325" s="1294"/>
      <c r="E325" s="1294"/>
      <c r="F325" s="1294"/>
      <c r="G325" s="1294"/>
      <c r="H325" s="1294"/>
      <c r="I325" s="1294"/>
      <c r="J325" s="1294"/>
      <c r="K325" s="1294"/>
      <c r="L325" s="1294"/>
      <c r="M325" s="1294"/>
      <c r="N325" s="1294"/>
      <c r="O325" s="1294"/>
      <c r="P325" s="1294"/>
      <c r="Q325" s="1294"/>
      <c r="R325" s="1294"/>
      <c r="S325" s="1294"/>
      <c r="T325" s="1294"/>
      <c r="U325" s="1294"/>
      <c r="V325" s="1294"/>
      <c r="W325" s="1294"/>
    </row>
    <row r="326" spans="1:23" s="99" customFormat="1" ht="24.75" customHeight="1">
      <c r="A326" s="1410" t="s">
        <v>3399</v>
      </c>
      <c r="B326" s="1410"/>
      <c r="C326" s="1410"/>
      <c r="D326" s="1410"/>
      <c r="E326" s="1410"/>
      <c r="F326" s="1410"/>
      <c r="G326" s="1410"/>
      <c r="H326" s="1410"/>
      <c r="I326" s="1410"/>
      <c r="J326" s="1410"/>
      <c r="K326" s="1410"/>
      <c r="L326" s="1410"/>
      <c r="M326" s="1410"/>
      <c r="N326" s="1410"/>
      <c r="O326" s="1410"/>
      <c r="P326" s="1410"/>
      <c r="Q326" s="1410"/>
      <c r="R326" s="1410"/>
      <c r="S326" s="1410"/>
      <c r="T326" s="1410"/>
      <c r="U326" s="1410"/>
      <c r="V326" s="1410"/>
      <c r="W326" s="1410"/>
    </row>
    <row r="327" spans="1:23" s="99" customFormat="1" ht="12.75" customHeight="1">
      <c r="A327" s="1294" t="s">
        <v>2502</v>
      </c>
      <c r="B327" s="1294"/>
      <c r="C327" s="1294"/>
      <c r="D327" s="1294"/>
      <c r="E327" s="1294"/>
      <c r="F327" s="1294"/>
      <c r="G327" s="1294"/>
      <c r="H327" s="1294"/>
      <c r="I327" s="1294"/>
      <c r="J327" s="1294"/>
      <c r="K327" s="1294"/>
      <c r="L327" s="1294"/>
      <c r="M327" s="1294"/>
      <c r="N327" s="1294"/>
      <c r="O327" s="1294"/>
      <c r="P327" s="1294"/>
      <c r="Q327" s="1294"/>
      <c r="R327" s="1294"/>
      <c r="S327" s="1294"/>
      <c r="T327" s="1294"/>
      <c r="U327" s="1294"/>
      <c r="V327" s="1294"/>
      <c r="W327" s="1294"/>
    </row>
    <row r="328" spans="1:23" s="99" customFormat="1" ht="39" customHeight="1">
      <c r="A328" s="1410" t="s">
        <v>3400</v>
      </c>
      <c r="B328" s="1410"/>
      <c r="C328" s="1410"/>
      <c r="D328" s="1410"/>
      <c r="E328" s="1410"/>
      <c r="F328" s="1410"/>
      <c r="G328" s="1410"/>
      <c r="H328" s="1410"/>
      <c r="I328" s="1410"/>
      <c r="J328" s="1410"/>
      <c r="K328" s="1410"/>
      <c r="L328" s="1410"/>
      <c r="M328" s="1410"/>
      <c r="N328" s="1410"/>
      <c r="O328" s="1410"/>
      <c r="P328" s="1410"/>
      <c r="Q328" s="1410"/>
      <c r="R328" s="1410"/>
      <c r="S328" s="1410"/>
      <c r="T328" s="1410"/>
      <c r="U328" s="1410"/>
      <c r="V328" s="1410"/>
      <c r="W328" s="1410"/>
    </row>
    <row r="329" spans="1:23" s="99" customFormat="1" ht="32.25" customHeight="1">
      <c r="A329" s="1294" t="s">
        <v>2503</v>
      </c>
      <c r="B329" s="1294"/>
      <c r="C329" s="1294"/>
      <c r="D329" s="1294"/>
      <c r="E329" s="1294"/>
      <c r="F329" s="1294"/>
      <c r="G329" s="1294"/>
      <c r="H329" s="1294"/>
      <c r="I329" s="1294"/>
      <c r="J329" s="1294"/>
      <c r="K329" s="1294"/>
      <c r="L329" s="1294"/>
      <c r="M329" s="1294"/>
      <c r="N329" s="1294"/>
      <c r="O329" s="1294"/>
      <c r="P329" s="1294"/>
      <c r="Q329" s="1294"/>
      <c r="R329" s="1294"/>
      <c r="S329" s="1294"/>
      <c r="T329" s="1294"/>
      <c r="U329" s="1294"/>
      <c r="V329" s="1294"/>
      <c r="W329" s="1294"/>
    </row>
    <row r="330" spans="1:23" s="99" customFormat="1" ht="32.25" customHeight="1">
      <c r="A330" s="1410" t="s">
        <v>3401</v>
      </c>
      <c r="B330" s="1410"/>
      <c r="C330" s="1410"/>
      <c r="D330" s="1410"/>
      <c r="E330" s="1410"/>
      <c r="F330" s="1410"/>
      <c r="G330" s="1410"/>
      <c r="H330" s="1410"/>
      <c r="I330" s="1410"/>
      <c r="J330" s="1410"/>
      <c r="K330" s="1410"/>
      <c r="L330" s="1410"/>
      <c r="M330" s="1410"/>
      <c r="N330" s="1410"/>
      <c r="O330" s="1410"/>
      <c r="P330" s="1410"/>
      <c r="Q330" s="1410"/>
      <c r="R330" s="1410"/>
      <c r="S330" s="1410"/>
      <c r="T330" s="1410"/>
      <c r="U330" s="1410"/>
      <c r="V330" s="1410"/>
      <c r="W330" s="1410"/>
    </row>
    <row r="331" spans="1:23" s="99" customFormat="1" ht="27.75" customHeight="1">
      <c r="A331" s="1294" t="s">
        <v>2504</v>
      </c>
      <c r="B331" s="1294"/>
      <c r="C331" s="1294"/>
      <c r="D331" s="1294"/>
      <c r="E331" s="1294"/>
      <c r="F331" s="1294"/>
      <c r="G331" s="1294"/>
      <c r="H331" s="1294"/>
      <c r="I331" s="1294"/>
      <c r="J331" s="1294"/>
      <c r="K331" s="1294"/>
      <c r="L331" s="1294"/>
      <c r="M331" s="1294"/>
      <c r="N331" s="1294"/>
      <c r="O331" s="1294"/>
      <c r="P331" s="1294"/>
      <c r="Q331" s="1294"/>
      <c r="R331" s="1294"/>
      <c r="S331" s="1294"/>
      <c r="T331" s="1294"/>
      <c r="U331" s="1294"/>
      <c r="V331" s="1294"/>
      <c r="W331" s="1294"/>
    </row>
    <row r="332" spans="1:23" s="99" customFormat="1" ht="27.75" customHeight="1">
      <c r="A332" s="1410" t="s">
        <v>3402</v>
      </c>
      <c r="B332" s="1410"/>
      <c r="C332" s="1410"/>
      <c r="D332" s="1410"/>
      <c r="E332" s="1410"/>
      <c r="F332" s="1410"/>
      <c r="G332" s="1410"/>
      <c r="H332" s="1410"/>
      <c r="I332" s="1410"/>
      <c r="J332" s="1410"/>
      <c r="K332" s="1410"/>
      <c r="L332" s="1410"/>
      <c r="M332" s="1410"/>
      <c r="N332" s="1410"/>
      <c r="O332" s="1410"/>
      <c r="P332" s="1410"/>
      <c r="Q332" s="1410"/>
      <c r="R332" s="1410"/>
      <c r="S332" s="1410"/>
      <c r="T332" s="1410"/>
      <c r="U332" s="1410"/>
      <c r="V332" s="1410"/>
      <c r="W332" s="1410"/>
    </row>
    <row r="333" spans="1:23" s="99" customFormat="1" ht="26.25" customHeight="1">
      <c r="A333" s="1294" t="s">
        <v>2505</v>
      </c>
      <c r="B333" s="1294"/>
      <c r="C333" s="1294"/>
      <c r="D333" s="1294"/>
      <c r="E333" s="1294"/>
      <c r="F333" s="1294"/>
      <c r="G333" s="1294"/>
      <c r="H333" s="1294"/>
      <c r="I333" s="1294"/>
      <c r="J333" s="1294"/>
      <c r="K333" s="1294"/>
      <c r="L333" s="1294"/>
      <c r="M333" s="1294"/>
      <c r="N333" s="1294"/>
      <c r="O333" s="1294"/>
      <c r="P333" s="1294"/>
      <c r="Q333" s="1294"/>
      <c r="R333" s="1294"/>
      <c r="S333" s="1294"/>
      <c r="T333" s="1294"/>
      <c r="U333" s="1294"/>
      <c r="V333" s="1294"/>
      <c r="W333" s="1294"/>
    </row>
    <row r="334" spans="1:23" s="99" customFormat="1" ht="46.5" customHeight="1">
      <c r="A334" s="1410" t="s">
        <v>3403</v>
      </c>
      <c r="B334" s="1410"/>
      <c r="C334" s="1410"/>
      <c r="D334" s="1410"/>
      <c r="E334" s="1410"/>
      <c r="F334" s="1410"/>
      <c r="G334" s="1410"/>
      <c r="H334" s="1410"/>
      <c r="I334" s="1410"/>
      <c r="J334" s="1410"/>
      <c r="K334" s="1410"/>
      <c r="L334" s="1410"/>
      <c r="M334" s="1410"/>
      <c r="N334" s="1410"/>
      <c r="O334" s="1410"/>
      <c r="P334" s="1410"/>
      <c r="Q334" s="1410"/>
      <c r="R334" s="1410"/>
      <c r="S334" s="1410"/>
      <c r="T334" s="1410"/>
      <c r="U334" s="1410"/>
      <c r="V334" s="1410"/>
      <c r="W334" s="1410"/>
    </row>
    <row r="335" spans="1:23" s="99" customFormat="1" ht="29.25" customHeight="1">
      <c r="A335" s="1294" t="s">
        <v>2506</v>
      </c>
      <c r="B335" s="1294"/>
      <c r="C335" s="1294"/>
      <c r="D335" s="1294"/>
      <c r="E335" s="1294"/>
      <c r="F335" s="1294"/>
      <c r="G335" s="1294"/>
      <c r="H335" s="1294"/>
      <c r="I335" s="1294"/>
      <c r="J335" s="1294"/>
      <c r="K335" s="1294"/>
      <c r="L335" s="1294"/>
      <c r="M335" s="1294"/>
      <c r="N335" s="1294"/>
      <c r="O335" s="1294"/>
      <c r="P335" s="1294"/>
      <c r="Q335" s="1294"/>
      <c r="R335" s="1294"/>
      <c r="S335" s="1294"/>
      <c r="T335" s="1294"/>
      <c r="U335" s="1294"/>
      <c r="V335" s="1294"/>
      <c r="W335" s="1294"/>
    </row>
    <row r="336" spans="1:23" s="99" customFormat="1" ht="39" customHeight="1">
      <c r="A336" s="1410" t="s">
        <v>3404</v>
      </c>
      <c r="B336" s="1410"/>
      <c r="C336" s="1410"/>
      <c r="D336" s="1410"/>
      <c r="E336" s="1410"/>
      <c r="F336" s="1410"/>
      <c r="G336" s="1410"/>
      <c r="H336" s="1410"/>
      <c r="I336" s="1410"/>
      <c r="J336" s="1410"/>
      <c r="K336" s="1410"/>
      <c r="L336" s="1410"/>
      <c r="M336" s="1410"/>
      <c r="N336" s="1410"/>
      <c r="O336" s="1410"/>
      <c r="P336" s="1410"/>
      <c r="Q336" s="1410"/>
      <c r="R336" s="1410"/>
      <c r="S336" s="1410"/>
      <c r="T336" s="1410"/>
      <c r="U336" s="1410"/>
      <c r="V336" s="1410"/>
      <c r="W336" s="1410"/>
    </row>
    <row r="337" spans="1:24" s="99" customFormat="1" ht="30.75" customHeight="1">
      <c r="A337" s="1294" t="s">
        <v>2507</v>
      </c>
      <c r="B337" s="1294"/>
      <c r="C337" s="1294"/>
      <c r="D337" s="1294"/>
      <c r="E337" s="1294"/>
      <c r="F337" s="1294"/>
      <c r="G337" s="1294"/>
      <c r="H337" s="1294"/>
      <c r="I337" s="1294"/>
      <c r="J337" s="1294"/>
      <c r="K337" s="1294"/>
      <c r="L337" s="1294"/>
      <c r="M337" s="1294"/>
      <c r="N337" s="1294"/>
      <c r="O337" s="1294"/>
      <c r="P337" s="1294"/>
      <c r="Q337" s="1294"/>
      <c r="R337" s="1294"/>
      <c r="S337" s="1294"/>
      <c r="T337" s="1294"/>
      <c r="U337" s="1294"/>
      <c r="V337" s="1294"/>
      <c r="W337" s="1294"/>
    </row>
    <row r="338" spans="1:24" s="99" customFormat="1" ht="59.25" customHeight="1">
      <c r="A338" s="1410" t="s">
        <v>3405</v>
      </c>
      <c r="B338" s="1410"/>
      <c r="C338" s="1410"/>
      <c r="D338" s="1410"/>
      <c r="E338" s="1410"/>
      <c r="F338" s="1410"/>
      <c r="G338" s="1410"/>
      <c r="H338" s="1410"/>
      <c r="I338" s="1410"/>
      <c r="J338" s="1410"/>
      <c r="K338" s="1410"/>
      <c r="L338" s="1410"/>
      <c r="M338" s="1410"/>
      <c r="N338" s="1410"/>
      <c r="O338" s="1410"/>
      <c r="P338" s="1410"/>
      <c r="Q338" s="1410"/>
      <c r="R338" s="1410"/>
      <c r="S338" s="1410"/>
      <c r="T338" s="1410"/>
      <c r="U338" s="1410"/>
      <c r="V338" s="1410"/>
      <c r="W338" s="1410"/>
    </row>
    <row r="339" spans="1:24" s="99" customFormat="1" ht="33" customHeight="1">
      <c r="A339" s="1294" t="s">
        <v>2508</v>
      </c>
      <c r="B339" s="1294"/>
      <c r="C339" s="1294"/>
      <c r="D339" s="1294"/>
      <c r="E339" s="1294"/>
      <c r="F339" s="1294"/>
      <c r="G339" s="1294"/>
      <c r="H339" s="1294"/>
      <c r="I339" s="1294"/>
      <c r="J339" s="1294"/>
      <c r="K339" s="1294"/>
      <c r="L339" s="1294"/>
      <c r="M339" s="1294"/>
      <c r="N339" s="1294"/>
      <c r="O339" s="1294"/>
      <c r="P339" s="1294"/>
      <c r="Q339" s="1294"/>
      <c r="R339" s="1294"/>
      <c r="S339" s="1294"/>
      <c r="T339" s="1294"/>
      <c r="U339" s="1294"/>
      <c r="V339" s="1294"/>
      <c r="W339" s="1294"/>
    </row>
    <row r="340" spans="1:24" s="99" customFormat="1" ht="56.25" customHeight="1">
      <c r="A340" s="1410" t="s">
        <v>3406</v>
      </c>
      <c r="B340" s="1410"/>
      <c r="C340" s="1410"/>
      <c r="D340" s="1410"/>
      <c r="E340" s="1410"/>
      <c r="F340" s="1410"/>
      <c r="G340" s="1410"/>
      <c r="H340" s="1410"/>
      <c r="I340" s="1410"/>
      <c r="J340" s="1410"/>
      <c r="K340" s="1410"/>
      <c r="L340" s="1410"/>
      <c r="M340" s="1410"/>
      <c r="N340" s="1410"/>
      <c r="O340" s="1410"/>
      <c r="P340" s="1410"/>
      <c r="Q340" s="1410"/>
      <c r="R340" s="1410"/>
      <c r="S340" s="1410"/>
      <c r="T340" s="1410"/>
      <c r="U340" s="1410"/>
      <c r="V340" s="1410"/>
      <c r="W340" s="1410"/>
    </row>
    <row r="341" spans="1:24" s="99" customFormat="1" ht="28.5" customHeight="1">
      <c r="A341" s="1294" t="s">
        <v>2509</v>
      </c>
      <c r="B341" s="1294"/>
      <c r="C341" s="1294"/>
      <c r="D341" s="1294"/>
      <c r="E341" s="1294"/>
      <c r="F341" s="1294"/>
      <c r="G341" s="1294"/>
      <c r="H341" s="1294"/>
      <c r="I341" s="1294"/>
      <c r="J341" s="1294"/>
      <c r="K341" s="1294"/>
      <c r="L341" s="1294"/>
      <c r="M341" s="1294"/>
      <c r="N341" s="1294"/>
      <c r="O341" s="1294"/>
      <c r="P341" s="1294"/>
      <c r="Q341" s="1294"/>
      <c r="R341" s="1294"/>
      <c r="S341" s="1294"/>
      <c r="T341" s="1294"/>
      <c r="U341" s="1294"/>
      <c r="V341" s="1294"/>
      <c r="W341" s="1294"/>
    </row>
    <row r="342" spans="1:24" s="99" customFormat="1" ht="45.75" customHeight="1">
      <c r="A342" s="1410" t="s">
        <v>3407</v>
      </c>
      <c r="B342" s="1410"/>
      <c r="C342" s="1410"/>
      <c r="D342" s="1410"/>
      <c r="E342" s="1410"/>
      <c r="F342" s="1410"/>
      <c r="G342" s="1410"/>
      <c r="H342" s="1410"/>
      <c r="I342" s="1410"/>
      <c r="J342" s="1410"/>
      <c r="K342" s="1410"/>
      <c r="L342" s="1410"/>
      <c r="M342" s="1410"/>
      <c r="N342" s="1410"/>
      <c r="O342" s="1410"/>
      <c r="P342" s="1410"/>
      <c r="Q342" s="1410"/>
      <c r="R342" s="1410"/>
      <c r="S342" s="1410"/>
      <c r="T342" s="1410"/>
      <c r="U342" s="1410"/>
      <c r="V342" s="1410"/>
      <c r="W342" s="1410"/>
    </row>
    <row r="343" spans="1:24" s="99" customFormat="1" ht="12.75" customHeight="1">
      <c r="A343" s="1298" t="s">
        <v>2510</v>
      </c>
      <c r="B343" s="1298"/>
      <c r="C343" s="1298"/>
      <c r="D343" s="1298"/>
      <c r="E343" s="1298"/>
      <c r="F343" s="1298"/>
      <c r="G343" s="1298"/>
      <c r="H343" s="1298"/>
      <c r="I343" s="1298"/>
      <c r="J343" s="1298"/>
      <c r="K343" s="1298"/>
      <c r="L343" s="1298"/>
      <c r="M343" s="1298"/>
      <c r="N343" s="1298"/>
      <c r="O343" s="1298"/>
      <c r="P343" s="1298"/>
      <c r="Q343" s="1298"/>
      <c r="R343" s="1298"/>
      <c r="S343" s="1298"/>
      <c r="T343" s="1298"/>
      <c r="U343" s="1298"/>
      <c r="V343" s="1298"/>
      <c r="W343" s="1298"/>
    </row>
    <row r="344" spans="1:24" s="79" customFormat="1" ht="12.75" customHeight="1">
      <c r="A344" s="1298" t="s">
        <v>2783</v>
      </c>
      <c r="B344" s="1298"/>
      <c r="C344" s="1298"/>
      <c r="D344" s="1298"/>
      <c r="E344" s="1298"/>
      <c r="F344" s="1298"/>
      <c r="G344" s="1298"/>
      <c r="H344" s="1298"/>
      <c r="I344" s="1298"/>
      <c r="J344" s="1298"/>
      <c r="K344" s="1298"/>
      <c r="L344" s="1298"/>
      <c r="M344" s="1298"/>
      <c r="N344" s="1298"/>
      <c r="O344" s="1298"/>
      <c r="P344" s="1298"/>
      <c r="Q344" s="1298"/>
      <c r="R344" s="1298"/>
      <c r="S344" s="1298"/>
      <c r="T344" s="1298"/>
      <c r="U344" s="1298"/>
      <c r="V344" s="1298"/>
      <c r="W344" s="1298"/>
      <c r="X344" s="99"/>
    </row>
    <row r="345" spans="1:24" s="79" customFormat="1" ht="112.5" customHeight="1">
      <c r="A345" s="1298" t="s">
        <v>2511</v>
      </c>
      <c r="B345" s="1298"/>
      <c r="C345" s="1298"/>
      <c r="D345" s="1298"/>
      <c r="E345" s="1298"/>
      <c r="F345" s="1298"/>
      <c r="G345" s="1298"/>
      <c r="H345" s="1298"/>
      <c r="I345" s="1298"/>
      <c r="J345" s="1298"/>
      <c r="K345" s="1298"/>
      <c r="L345" s="1298"/>
      <c r="M345" s="1298"/>
      <c r="N345" s="1298"/>
      <c r="O345" s="1298"/>
      <c r="P345" s="1298"/>
      <c r="Q345" s="1298"/>
      <c r="R345" s="1298"/>
      <c r="S345" s="1298"/>
      <c r="T345" s="1298"/>
      <c r="U345" s="1298"/>
      <c r="V345" s="1298"/>
      <c r="W345" s="1298"/>
      <c r="X345" s="99"/>
    </row>
    <row r="346" spans="1:24" s="79" customFormat="1" ht="16.5" customHeight="1">
      <c r="A346" s="1216" t="s">
        <v>2784</v>
      </c>
      <c r="B346" s="1216"/>
      <c r="C346" s="1216"/>
      <c r="D346" s="1216"/>
      <c r="E346" s="1216"/>
      <c r="F346" s="1216"/>
      <c r="G346" s="1216"/>
      <c r="H346" s="1216"/>
      <c r="I346" s="1216"/>
      <c r="J346" s="1216"/>
      <c r="K346" s="1216"/>
      <c r="L346" s="1216"/>
      <c r="M346" s="1216"/>
      <c r="N346" s="1216"/>
      <c r="O346" s="1216"/>
      <c r="P346" s="1216"/>
      <c r="Q346" s="1216"/>
      <c r="R346" s="1216"/>
      <c r="S346" s="1216"/>
      <c r="T346" s="1216"/>
      <c r="U346" s="1216"/>
      <c r="V346" s="1216"/>
      <c r="W346" s="1216"/>
      <c r="X346" s="99"/>
    </row>
    <row r="347" spans="1:24" s="79" customFormat="1" ht="90.75" customHeight="1">
      <c r="A347" s="1216" t="s">
        <v>2512</v>
      </c>
      <c r="B347" s="1216"/>
      <c r="C347" s="1216"/>
      <c r="D347" s="1216"/>
      <c r="E347" s="1216"/>
      <c r="F347" s="1216"/>
      <c r="G347" s="1216"/>
      <c r="H347" s="1216"/>
      <c r="I347" s="1216"/>
      <c r="J347" s="1216"/>
      <c r="K347" s="1216"/>
      <c r="L347" s="1216"/>
      <c r="M347" s="1216"/>
      <c r="N347" s="1216"/>
      <c r="O347" s="1216"/>
      <c r="P347" s="1216"/>
      <c r="Q347" s="1216"/>
      <c r="R347" s="1216"/>
      <c r="S347" s="1216"/>
      <c r="T347" s="1216"/>
      <c r="U347" s="1216"/>
      <c r="V347" s="1216"/>
      <c r="W347" s="1216"/>
      <c r="X347" s="99"/>
    </row>
    <row r="348" spans="1:24" s="79" customFormat="1">
      <c r="A348" s="1216"/>
      <c r="B348" s="1216"/>
      <c r="C348" s="1216"/>
      <c r="D348" s="1216"/>
      <c r="E348" s="1216"/>
      <c r="F348" s="1216"/>
      <c r="G348" s="1216"/>
      <c r="H348" s="1216"/>
      <c r="I348" s="1216"/>
      <c r="J348" s="1216"/>
      <c r="K348" s="1216"/>
      <c r="L348" s="1216"/>
      <c r="M348" s="1216"/>
      <c r="N348" s="1216"/>
      <c r="O348" s="1216"/>
      <c r="P348" s="1216"/>
      <c r="Q348" s="1216"/>
      <c r="R348" s="1216"/>
      <c r="S348" s="1216"/>
      <c r="T348" s="1216"/>
      <c r="U348" s="1216"/>
      <c r="V348" s="1216"/>
      <c r="W348" s="1216"/>
      <c r="X348" s="99"/>
    </row>
    <row r="349" spans="1:24" s="524" customFormat="1" ht="33.75" customHeight="1">
      <c r="A349" s="1302" t="s">
        <v>2785</v>
      </c>
      <c r="B349" s="1302"/>
      <c r="C349" s="1302"/>
      <c r="D349" s="1302"/>
      <c r="E349" s="1302"/>
      <c r="F349" s="1302"/>
      <c r="G349" s="1302"/>
      <c r="H349" s="1302"/>
      <c r="I349" s="1302"/>
      <c r="J349" s="1302"/>
      <c r="K349" s="1302"/>
      <c r="L349" s="1302"/>
      <c r="M349" s="1302"/>
      <c r="N349" s="1302"/>
      <c r="O349" s="1302"/>
      <c r="P349" s="1302"/>
      <c r="Q349" s="1302"/>
      <c r="R349" s="1302"/>
      <c r="S349" s="1302"/>
      <c r="T349" s="1302"/>
      <c r="U349" s="1302"/>
      <c r="V349" s="1302"/>
      <c r="W349" s="1302"/>
      <c r="X349" s="295"/>
    </row>
    <row r="350" spans="1:24" s="524" customFormat="1" ht="71.25" customHeight="1">
      <c r="A350" s="1302" t="s">
        <v>2786</v>
      </c>
      <c r="B350" s="1302"/>
      <c r="C350" s="1302"/>
      <c r="D350" s="1302"/>
      <c r="E350" s="1302"/>
      <c r="F350" s="1302"/>
      <c r="G350" s="1302"/>
      <c r="H350" s="1302"/>
      <c r="I350" s="1302"/>
      <c r="J350" s="1302"/>
      <c r="K350" s="1302"/>
      <c r="L350" s="1302"/>
      <c r="M350" s="1302"/>
      <c r="N350" s="1302"/>
      <c r="O350" s="1302"/>
      <c r="P350" s="1302"/>
      <c r="Q350" s="1302"/>
      <c r="R350" s="1302"/>
      <c r="S350" s="1302"/>
      <c r="T350" s="1302"/>
      <c r="U350" s="1302"/>
      <c r="V350" s="1302"/>
      <c r="W350" s="1302"/>
      <c r="X350" s="295"/>
    </row>
    <row r="351" spans="1:24" s="524" customFormat="1" ht="55.5" customHeight="1">
      <c r="A351" s="1302" t="s">
        <v>2787</v>
      </c>
      <c r="B351" s="1302"/>
      <c r="C351" s="1302"/>
      <c r="D351" s="1302"/>
      <c r="E351" s="1302"/>
      <c r="F351" s="1302"/>
      <c r="G351" s="1302"/>
      <c r="H351" s="1302"/>
      <c r="I351" s="1302"/>
      <c r="J351" s="1302"/>
      <c r="K351" s="1302"/>
      <c r="L351" s="1302"/>
      <c r="M351" s="1302"/>
      <c r="N351" s="1302"/>
      <c r="O351" s="1302"/>
      <c r="P351" s="1302"/>
      <c r="Q351" s="1302"/>
      <c r="R351" s="1302"/>
      <c r="S351" s="1302"/>
      <c r="T351" s="1302"/>
      <c r="U351" s="1302"/>
      <c r="V351" s="1302"/>
      <c r="W351" s="1302"/>
      <c r="X351" s="295"/>
    </row>
    <row r="352" spans="1:24" s="524" customFormat="1" ht="57" customHeight="1">
      <c r="A352" s="1302" t="s">
        <v>2788</v>
      </c>
      <c r="B352" s="1302"/>
      <c r="C352" s="1302"/>
      <c r="D352" s="1302"/>
      <c r="E352" s="1302"/>
      <c r="F352" s="1302"/>
      <c r="G352" s="1302"/>
      <c r="H352" s="1302"/>
      <c r="I352" s="1302"/>
      <c r="J352" s="1302"/>
      <c r="K352" s="1302"/>
      <c r="L352" s="1302"/>
      <c r="M352" s="1302"/>
      <c r="N352" s="1302"/>
      <c r="O352" s="1302"/>
      <c r="P352" s="1302"/>
      <c r="Q352" s="1302"/>
      <c r="R352" s="1302"/>
      <c r="S352" s="1302"/>
      <c r="T352" s="1302"/>
      <c r="U352" s="1302"/>
      <c r="V352" s="1302"/>
      <c r="W352" s="1302"/>
      <c r="X352" s="295"/>
    </row>
    <row r="353" spans="1:24" s="524" customFormat="1" ht="51.75" customHeight="1">
      <c r="A353" s="1302" t="s">
        <v>2789</v>
      </c>
      <c r="B353" s="1302"/>
      <c r="C353" s="1302"/>
      <c r="D353" s="1302"/>
      <c r="E353" s="1302"/>
      <c r="F353" s="1302"/>
      <c r="G353" s="1302"/>
      <c r="H353" s="1302"/>
      <c r="I353" s="1302"/>
      <c r="J353" s="1302"/>
      <c r="K353" s="1302"/>
      <c r="L353" s="1302"/>
      <c r="M353" s="1302"/>
      <c r="N353" s="1302"/>
      <c r="O353" s="1302"/>
      <c r="P353" s="1302"/>
      <c r="Q353" s="1302"/>
      <c r="R353" s="1302"/>
      <c r="S353" s="1302"/>
      <c r="T353" s="1302"/>
      <c r="U353" s="1302"/>
      <c r="V353" s="1302"/>
      <c r="W353" s="1302"/>
      <c r="X353" s="295"/>
    </row>
    <row r="354" spans="1:24" s="524" customFormat="1" ht="51.75" customHeight="1">
      <c r="A354" s="1302" t="s">
        <v>2513</v>
      </c>
      <c r="B354" s="1302"/>
      <c r="C354" s="1302"/>
      <c r="D354" s="1302"/>
      <c r="E354" s="1302"/>
      <c r="F354" s="1302"/>
      <c r="G354" s="1302"/>
      <c r="H354" s="1302"/>
      <c r="I354" s="1302"/>
      <c r="J354" s="1302"/>
      <c r="K354" s="1302"/>
      <c r="L354" s="1302"/>
      <c r="M354" s="1302"/>
      <c r="N354" s="1302"/>
      <c r="O354" s="1302"/>
      <c r="P354" s="1302"/>
      <c r="Q354" s="1302"/>
      <c r="R354" s="1302"/>
      <c r="S354" s="1302"/>
      <c r="T354" s="1302"/>
      <c r="U354" s="1302"/>
      <c r="V354" s="1302"/>
      <c r="W354" s="1302"/>
      <c r="X354" s="295"/>
    </row>
    <row r="355" spans="1:24" s="524" customFormat="1" ht="24" customHeight="1">
      <c r="A355" s="1302" t="s">
        <v>2514</v>
      </c>
      <c r="B355" s="1302"/>
      <c r="C355" s="1302"/>
      <c r="D355" s="1302"/>
      <c r="E355" s="1302"/>
      <c r="F355" s="1302"/>
      <c r="G355" s="1302"/>
      <c r="H355" s="1302"/>
      <c r="I355" s="1302"/>
      <c r="J355" s="1302"/>
      <c r="K355" s="1302"/>
      <c r="L355" s="1302"/>
      <c r="M355" s="1302"/>
      <c r="N355" s="1302"/>
      <c r="O355" s="1302"/>
      <c r="P355" s="1302"/>
      <c r="Q355" s="1302"/>
      <c r="R355" s="1302"/>
      <c r="S355" s="1302"/>
      <c r="T355" s="1302"/>
      <c r="U355" s="1302"/>
      <c r="V355" s="1302"/>
      <c r="W355" s="1302"/>
      <c r="X355" s="295"/>
    </row>
    <row r="356" spans="1:24" s="524" customFormat="1" ht="33.75" customHeight="1">
      <c r="A356" s="1302" t="s">
        <v>2515</v>
      </c>
      <c r="B356" s="1302"/>
      <c r="C356" s="1302"/>
      <c r="D356" s="1302"/>
      <c r="E356" s="1302"/>
      <c r="F356" s="1302"/>
      <c r="G356" s="1302"/>
      <c r="H356" s="1302"/>
      <c r="I356" s="1302"/>
      <c r="J356" s="1302"/>
      <c r="K356" s="1302"/>
      <c r="L356" s="1302"/>
      <c r="M356" s="1302"/>
      <c r="N356" s="1302"/>
      <c r="O356" s="1302"/>
      <c r="P356" s="1302"/>
      <c r="Q356" s="1302"/>
      <c r="R356" s="1302"/>
      <c r="S356" s="1302"/>
      <c r="T356" s="1302"/>
      <c r="U356" s="1302"/>
      <c r="V356" s="1302"/>
      <c r="W356" s="1302"/>
      <c r="X356" s="295"/>
    </row>
    <row r="357" spans="1:24" s="524" customFormat="1" ht="19.5" customHeight="1">
      <c r="A357" s="1302" t="s">
        <v>2516</v>
      </c>
      <c r="B357" s="1302"/>
      <c r="C357" s="1302"/>
      <c r="D357" s="1302"/>
      <c r="E357" s="1302"/>
      <c r="F357" s="1302"/>
      <c r="G357" s="1302"/>
      <c r="H357" s="1302"/>
      <c r="I357" s="1302"/>
      <c r="J357" s="1302"/>
      <c r="K357" s="1302"/>
      <c r="L357" s="1302"/>
      <c r="M357" s="1302"/>
      <c r="N357" s="1302"/>
      <c r="O357" s="1302"/>
      <c r="P357" s="1302"/>
      <c r="Q357" s="1302"/>
      <c r="R357" s="1302"/>
      <c r="S357" s="1302"/>
      <c r="T357" s="1302"/>
      <c r="U357" s="1302"/>
      <c r="V357" s="1302"/>
      <c r="W357" s="1302"/>
      <c r="X357" s="295"/>
    </row>
    <row r="358" spans="1:24" s="79" customFormat="1" ht="46.5" customHeight="1">
      <c r="A358" s="1216" t="s">
        <v>2517</v>
      </c>
      <c r="B358" s="1216"/>
      <c r="C358" s="1216"/>
      <c r="D358" s="1216"/>
      <c r="E358" s="1216"/>
      <c r="F358" s="1216"/>
      <c r="G358" s="1216"/>
      <c r="H358" s="1216"/>
      <c r="I358" s="1216"/>
      <c r="J358" s="1216"/>
      <c r="K358" s="1216"/>
      <c r="L358" s="1216"/>
      <c r="M358" s="1216"/>
      <c r="N358" s="1216"/>
      <c r="O358" s="1216"/>
      <c r="P358" s="1216"/>
      <c r="Q358" s="1216"/>
      <c r="R358" s="1216"/>
      <c r="S358" s="1216"/>
      <c r="T358" s="1216"/>
      <c r="U358" s="1216"/>
      <c r="V358" s="1216"/>
      <c r="W358" s="1216"/>
      <c r="X358" s="99"/>
    </row>
    <row r="359" spans="1:24" s="79" customFormat="1" ht="30" customHeight="1">
      <c r="A359" s="1216" t="s">
        <v>2518</v>
      </c>
      <c r="B359" s="1216"/>
      <c r="C359" s="1216"/>
      <c r="D359" s="1216"/>
      <c r="E359" s="1216"/>
      <c r="F359" s="1216"/>
      <c r="G359" s="1216"/>
      <c r="H359" s="1216"/>
      <c r="I359" s="1216"/>
      <c r="J359" s="1216"/>
      <c r="K359" s="1216"/>
      <c r="L359" s="1216"/>
      <c r="M359" s="1216"/>
      <c r="N359" s="1216"/>
      <c r="O359" s="1216"/>
      <c r="P359" s="1216"/>
      <c r="Q359" s="1216"/>
      <c r="R359" s="1216"/>
      <c r="S359" s="1216"/>
      <c r="T359" s="1216"/>
      <c r="U359" s="1216"/>
      <c r="V359" s="1216"/>
      <c r="W359" s="1216"/>
      <c r="X359" s="99"/>
    </row>
    <row r="360" spans="1:24" s="79" customFormat="1">
      <c r="A360" s="1216" t="s">
        <v>2519</v>
      </c>
      <c r="B360" s="1216"/>
      <c r="C360" s="1216"/>
      <c r="D360" s="1216"/>
      <c r="E360" s="1216"/>
      <c r="F360" s="1216"/>
      <c r="G360" s="1216"/>
      <c r="H360" s="1216"/>
      <c r="I360" s="1216"/>
      <c r="J360" s="1216"/>
      <c r="K360" s="1216"/>
      <c r="L360" s="1216"/>
      <c r="M360" s="1216"/>
      <c r="N360" s="1216"/>
      <c r="O360" s="1216"/>
      <c r="P360" s="1216"/>
      <c r="Q360" s="1216"/>
      <c r="R360" s="1216"/>
      <c r="S360" s="1216"/>
      <c r="T360" s="1216"/>
      <c r="U360" s="1216"/>
      <c r="V360" s="1216"/>
      <c r="W360" s="1216"/>
      <c r="X360" s="99"/>
    </row>
    <row r="361" spans="1:24" s="79" customFormat="1">
      <c r="A361" s="1216" t="s">
        <v>2790</v>
      </c>
      <c r="B361" s="1216"/>
      <c r="C361" s="1216"/>
      <c r="D361" s="1216"/>
      <c r="E361" s="1216"/>
      <c r="F361" s="1216"/>
      <c r="G361" s="1216"/>
      <c r="H361" s="1216"/>
      <c r="I361" s="1216"/>
      <c r="J361" s="1216"/>
      <c r="K361" s="1216"/>
      <c r="L361" s="1216"/>
      <c r="M361" s="1216"/>
      <c r="N361" s="1216"/>
      <c r="O361" s="1216"/>
      <c r="P361" s="1216"/>
      <c r="Q361" s="1216"/>
      <c r="R361" s="1216"/>
      <c r="S361" s="1216"/>
      <c r="T361" s="1216"/>
      <c r="U361" s="1216"/>
      <c r="V361" s="1216"/>
      <c r="W361" s="1216"/>
      <c r="X361" s="99"/>
    </row>
    <row r="362" spans="1:24" s="79" customFormat="1">
      <c r="A362" s="1216" t="s">
        <v>2520</v>
      </c>
      <c r="B362" s="1216"/>
      <c r="C362" s="1216"/>
      <c r="D362" s="1216"/>
      <c r="E362" s="1216"/>
      <c r="F362" s="1216"/>
      <c r="G362" s="1216"/>
      <c r="H362" s="1216"/>
      <c r="I362" s="1216"/>
      <c r="J362" s="1216"/>
      <c r="K362" s="1216"/>
      <c r="L362" s="1216"/>
      <c r="M362" s="1216"/>
      <c r="N362" s="1216"/>
      <c r="O362" s="1216"/>
      <c r="P362" s="1216"/>
      <c r="Q362" s="1216"/>
      <c r="R362" s="1216"/>
      <c r="S362" s="1216"/>
      <c r="T362" s="1216"/>
      <c r="U362" s="1216"/>
      <c r="V362" s="1216"/>
      <c r="W362" s="1216"/>
      <c r="X362" s="99"/>
    </row>
    <row r="363" spans="1:24" s="79" customFormat="1" ht="30" customHeight="1">
      <c r="A363" s="1216" t="s">
        <v>2521</v>
      </c>
      <c r="B363" s="1216"/>
      <c r="C363" s="1216"/>
      <c r="D363" s="1216"/>
      <c r="E363" s="1216"/>
      <c r="F363" s="1216"/>
      <c r="G363" s="1216"/>
      <c r="H363" s="1216"/>
      <c r="I363" s="1216"/>
      <c r="J363" s="1216"/>
      <c r="K363" s="1216"/>
      <c r="L363" s="1216"/>
      <c r="M363" s="1216"/>
      <c r="N363" s="1216"/>
      <c r="O363" s="1216"/>
      <c r="P363" s="1216"/>
      <c r="Q363" s="1216"/>
      <c r="R363" s="1216"/>
      <c r="S363" s="1216"/>
      <c r="T363" s="1216"/>
      <c r="U363" s="1216"/>
      <c r="V363" s="1216"/>
      <c r="W363" s="1216"/>
      <c r="X363" s="99"/>
    </row>
    <row r="364" spans="1:24" s="79" customFormat="1">
      <c r="A364" s="1216" t="s">
        <v>2791</v>
      </c>
      <c r="B364" s="1216"/>
      <c r="C364" s="1216"/>
      <c r="D364" s="1216"/>
      <c r="E364" s="1216"/>
      <c r="F364" s="1216"/>
      <c r="G364" s="1216"/>
      <c r="H364" s="1216"/>
      <c r="I364" s="1216"/>
      <c r="J364" s="1216"/>
      <c r="K364" s="1216"/>
      <c r="L364" s="1216"/>
      <c r="M364" s="1216"/>
      <c r="N364" s="1216"/>
      <c r="O364" s="1216"/>
      <c r="P364" s="1216"/>
      <c r="Q364" s="1216"/>
      <c r="R364" s="1216"/>
      <c r="S364" s="1216"/>
      <c r="T364" s="1216"/>
      <c r="U364" s="1216"/>
      <c r="V364" s="1216"/>
      <c r="W364" s="1216"/>
      <c r="X364" s="99"/>
    </row>
    <row r="365" spans="1:24" s="79" customFormat="1" ht="44.25" customHeight="1">
      <c r="A365" s="1287" t="s">
        <v>3337</v>
      </c>
      <c r="B365" s="1216"/>
      <c r="C365" s="1216"/>
      <c r="D365" s="1216"/>
      <c r="E365" s="1216"/>
      <c r="F365" s="1216"/>
      <c r="G365" s="1216"/>
      <c r="H365" s="1216"/>
      <c r="I365" s="1216"/>
      <c r="J365" s="1216"/>
      <c r="K365" s="1216"/>
      <c r="L365" s="1216"/>
      <c r="M365" s="1216"/>
      <c r="N365" s="1216"/>
      <c r="O365" s="1216"/>
      <c r="P365" s="1216"/>
      <c r="Q365" s="1216"/>
      <c r="R365" s="1216"/>
      <c r="S365" s="1216"/>
      <c r="T365" s="1216"/>
      <c r="U365" s="1216"/>
      <c r="V365" s="1216"/>
      <c r="W365" s="1216"/>
      <c r="X365" s="99"/>
    </row>
    <row r="366" spans="1:24" s="79" customFormat="1">
      <c r="A366" s="1298" t="s">
        <v>2792</v>
      </c>
      <c r="B366" s="1298"/>
      <c r="C366" s="1298"/>
      <c r="D366" s="1298"/>
      <c r="E366" s="1298"/>
      <c r="F366" s="1298"/>
      <c r="G366" s="1298"/>
      <c r="H366" s="1298"/>
      <c r="I366" s="1298"/>
      <c r="J366" s="1298"/>
      <c r="K366" s="1298"/>
      <c r="L366" s="1298"/>
      <c r="M366" s="1298"/>
      <c r="N366" s="1298"/>
      <c r="O366" s="1298"/>
      <c r="P366" s="1298"/>
      <c r="Q366" s="1298"/>
      <c r="R366" s="1298"/>
      <c r="S366" s="1298"/>
      <c r="T366" s="1298"/>
      <c r="U366" s="1298"/>
      <c r="V366" s="1298"/>
      <c r="W366" s="1298"/>
      <c r="X366" s="99"/>
    </row>
    <row r="367" spans="1:24" s="79" customFormat="1" ht="168" customHeight="1">
      <c r="A367" s="1216" t="s">
        <v>2522</v>
      </c>
      <c r="B367" s="1216"/>
      <c r="C367" s="1216"/>
      <c r="D367" s="1216"/>
      <c r="E367" s="1216"/>
      <c r="F367" s="1216"/>
      <c r="G367" s="1216"/>
      <c r="H367" s="1216"/>
      <c r="I367" s="1216"/>
      <c r="J367" s="1216"/>
      <c r="K367" s="1216"/>
      <c r="L367" s="1216"/>
      <c r="M367" s="1216"/>
      <c r="N367" s="1216"/>
      <c r="O367" s="1216"/>
      <c r="P367" s="1216"/>
      <c r="Q367" s="1216"/>
      <c r="R367" s="1216"/>
      <c r="S367" s="1216"/>
      <c r="T367" s="1216"/>
      <c r="U367" s="1216"/>
      <c r="V367" s="1216"/>
      <c r="W367" s="1216"/>
      <c r="X367" s="99"/>
    </row>
    <row r="368" spans="1:24" s="79" customFormat="1">
      <c r="A368" s="1216" t="s">
        <v>2793</v>
      </c>
      <c r="B368" s="1216"/>
      <c r="C368" s="1216"/>
      <c r="D368" s="1216"/>
      <c r="E368" s="1216"/>
      <c r="F368" s="1216"/>
      <c r="G368" s="1216"/>
      <c r="H368" s="1216"/>
      <c r="I368" s="1216"/>
      <c r="J368" s="1216"/>
      <c r="K368" s="1216"/>
      <c r="L368" s="1216"/>
      <c r="M368" s="1216"/>
      <c r="N368" s="1216"/>
      <c r="O368" s="1216"/>
      <c r="P368" s="1216"/>
      <c r="Q368" s="1216"/>
      <c r="R368" s="1216"/>
      <c r="S368" s="1216"/>
      <c r="T368" s="1216"/>
      <c r="U368" s="1216"/>
      <c r="V368" s="1216"/>
      <c r="W368" s="1216"/>
      <c r="X368" s="99"/>
    </row>
    <row r="369" spans="1:24" s="79" customFormat="1" ht="201" customHeight="1">
      <c r="A369" s="1216" t="s">
        <v>2523</v>
      </c>
      <c r="B369" s="1216"/>
      <c r="C369" s="1216"/>
      <c r="D369" s="1216"/>
      <c r="E369" s="1216"/>
      <c r="F369" s="1216"/>
      <c r="G369" s="1216"/>
      <c r="H369" s="1216"/>
      <c r="I369" s="1216"/>
      <c r="J369" s="1216"/>
      <c r="K369" s="1216"/>
      <c r="L369" s="1216"/>
      <c r="M369" s="1216"/>
      <c r="N369" s="1216"/>
      <c r="O369" s="1216"/>
      <c r="P369" s="1216"/>
      <c r="Q369" s="1216"/>
      <c r="R369" s="1216"/>
      <c r="S369" s="1216"/>
      <c r="T369" s="1216"/>
      <c r="U369" s="1216"/>
      <c r="V369" s="1216"/>
      <c r="W369" s="1216"/>
      <c r="X369" s="99"/>
    </row>
    <row r="370" spans="1:24" s="79" customFormat="1">
      <c r="A370" s="1216" t="s">
        <v>2794</v>
      </c>
      <c r="B370" s="1216"/>
      <c r="C370" s="1216"/>
      <c r="D370" s="1216"/>
      <c r="E370" s="1216"/>
      <c r="F370" s="1216"/>
      <c r="G370" s="1216"/>
      <c r="H370" s="1216"/>
      <c r="I370" s="1216"/>
      <c r="J370" s="1216"/>
      <c r="K370" s="1216"/>
      <c r="L370" s="1216"/>
      <c r="M370" s="1216"/>
      <c r="N370" s="1216"/>
      <c r="O370" s="1216"/>
      <c r="P370" s="1216"/>
      <c r="Q370" s="1216"/>
      <c r="R370" s="1216"/>
      <c r="S370" s="1216"/>
      <c r="T370" s="1216"/>
      <c r="U370" s="1216"/>
      <c r="V370" s="1216"/>
      <c r="W370" s="1216"/>
      <c r="X370" s="99"/>
    </row>
    <row r="371" spans="1:24" s="79" customFormat="1" ht="50.25" customHeight="1">
      <c r="A371" s="1298" t="s">
        <v>2524</v>
      </c>
      <c r="B371" s="1298"/>
      <c r="C371" s="1298"/>
      <c r="D371" s="1298"/>
      <c r="E371" s="1298"/>
      <c r="F371" s="1298"/>
      <c r="G371" s="1298"/>
      <c r="H371" s="1298"/>
      <c r="I371" s="1298"/>
      <c r="J371" s="1298"/>
      <c r="K371" s="1298"/>
      <c r="L371" s="1298"/>
      <c r="M371" s="1298"/>
      <c r="N371" s="1298"/>
      <c r="O371" s="1298"/>
      <c r="P371" s="1298"/>
      <c r="Q371" s="1298"/>
      <c r="R371" s="1298"/>
      <c r="S371" s="1298"/>
      <c r="T371" s="1298"/>
      <c r="U371" s="1298"/>
      <c r="V371" s="1298"/>
      <c r="W371" s="1298"/>
      <c r="X371" s="99"/>
    </row>
    <row r="372" spans="1:24" s="79" customFormat="1" ht="20.25" customHeight="1">
      <c r="A372" s="1298" t="s">
        <v>2795</v>
      </c>
      <c r="B372" s="1298"/>
      <c r="C372" s="1298"/>
      <c r="D372" s="1298"/>
      <c r="E372" s="1298"/>
      <c r="F372" s="1298"/>
      <c r="G372" s="1298"/>
      <c r="H372" s="1298"/>
      <c r="I372" s="1298"/>
      <c r="J372" s="1298"/>
      <c r="K372" s="1298"/>
      <c r="L372" s="1298"/>
      <c r="M372" s="1298"/>
      <c r="N372" s="1298"/>
      <c r="O372" s="1298"/>
      <c r="P372" s="1298"/>
      <c r="Q372" s="1298"/>
      <c r="R372" s="1298"/>
      <c r="S372" s="1298"/>
      <c r="T372" s="1298"/>
      <c r="U372" s="1298"/>
      <c r="V372" s="1298"/>
      <c r="W372" s="1298"/>
      <c r="X372" s="99"/>
    </row>
    <row r="373" spans="1:24" s="79" customFormat="1" ht="72" customHeight="1">
      <c r="A373" s="1216" t="s">
        <v>2525</v>
      </c>
      <c r="B373" s="1216"/>
      <c r="C373" s="1216"/>
      <c r="D373" s="1216"/>
      <c r="E373" s="1216"/>
      <c r="F373" s="1216"/>
      <c r="G373" s="1216"/>
      <c r="H373" s="1216"/>
      <c r="I373" s="1216"/>
      <c r="J373" s="1216"/>
      <c r="K373" s="1216"/>
      <c r="L373" s="1216"/>
      <c r="M373" s="1216"/>
      <c r="N373" s="1216"/>
      <c r="O373" s="1216"/>
      <c r="P373" s="1216"/>
      <c r="Q373" s="1216"/>
      <c r="R373" s="1216"/>
      <c r="S373" s="1216"/>
      <c r="T373" s="1216"/>
      <c r="U373" s="1216"/>
      <c r="V373" s="1216"/>
      <c r="W373" s="1216"/>
      <c r="X373" s="99"/>
    </row>
    <row r="374" spans="1:24" s="79" customFormat="1" ht="20.25" customHeight="1">
      <c r="A374" s="1298" t="s">
        <v>2796</v>
      </c>
      <c r="B374" s="1298"/>
      <c r="C374" s="1298"/>
      <c r="D374" s="1298"/>
      <c r="E374" s="1298"/>
      <c r="F374" s="1298"/>
      <c r="G374" s="1298"/>
      <c r="H374" s="1298"/>
      <c r="I374" s="1298"/>
      <c r="J374" s="1298"/>
      <c r="K374" s="1298"/>
      <c r="L374" s="1298"/>
      <c r="M374" s="1298"/>
      <c r="N374" s="1298"/>
      <c r="O374" s="1298"/>
      <c r="P374" s="1298"/>
      <c r="Q374" s="1298"/>
      <c r="R374" s="1298"/>
      <c r="S374" s="1298"/>
      <c r="T374" s="1298"/>
      <c r="U374" s="1298"/>
      <c r="V374" s="1298"/>
      <c r="W374" s="1298"/>
      <c r="X374" s="99"/>
    </row>
    <row r="375" spans="1:24" s="79" customFormat="1" ht="141.75" customHeight="1">
      <c r="A375" s="1216" t="s">
        <v>2526</v>
      </c>
      <c r="B375" s="1216"/>
      <c r="C375" s="1216"/>
      <c r="D375" s="1216"/>
      <c r="E375" s="1216"/>
      <c r="F375" s="1216"/>
      <c r="G375" s="1216"/>
      <c r="H375" s="1216"/>
      <c r="I375" s="1216"/>
      <c r="J375" s="1216"/>
      <c r="K375" s="1216"/>
      <c r="L375" s="1216"/>
      <c r="M375" s="1216"/>
      <c r="N375" s="1216"/>
      <c r="O375" s="1216"/>
      <c r="P375" s="1216"/>
      <c r="Q375" s="1216"/>
      <c r="R375" s="1216"/>
      <c r="S375" s="1216"/>
      <c r="T375" s="1216"/>
      <c r="U375" s="1216"/>
      <c r="V375" s="1216"/>
      <c r="W375" s="1216"/>
      <c r="X375" s="99"/>
    </row>
    <row r="376" spans="1:24" s="79" customFormat="1" ht="74.25" customHeight="1">
      <c r="A376" s="1216" t="s">
        <v>2527</v>
      </c>
      <c r="B376" s="1216"/>
      <c r="C376" s="1216"/>
      <c r="D376" s="1216"/>
      <c r="E376" s="1216"/>
      <c r="F376" s="1216"/>
      <c r="G376" s="1216"/>
      <c r="H376" s="1216"/>
      <c r="I376" s="1216"/>
      <c r="J376" s="1216"/>
      <c r="K376" s="1216"/>
      <c r="L376" s="1216"/>
      <c r="M376" s="1216"/>
      <c r="N376" s="1216"/>
      <c r="O376" s="1216"/>
      <c r="P376" s="1216"/>
      <c r="Q376" s="1216"/>
      <c r="R376" s="1216"/>
      <c r="S376" s="1216"/>
      <c r="T376" s="1216"/>
      <c r="U376" s="1216"/>
      <c r="V376" s="1216"/>
      <c r="W376" s="1216"/>
      <c r="X376" s="99"/>
    </row>
    <row r="377" spans="1:24" s="79" customFormat="1">
      <c r="A377" s="1216"/>
      <c r="B377" s="1216"/>
      <c r="C377" s="1216"/>
      <c r="D377" s="1216"/>
      <c r="E377" s="1216"/>
      <c r="F377" s="1216"/>
      <c r="G377" s="1216"/>
      <c r="H377" s="1216"/>
      <c r="I377" s="1216"/>
      <c r="J377" s="1216"/>
      <c r="K377" s="1216"/>
      <c r="L377" s="1216"/>
      <c r="M377" s="1216"/>
      <c r="N377" s="1216"/>
      <c r="O377" s="1216"/>
      <c r="P377" s="1216"/>
      <c r="Q377" s="1216"/>
      <c r="R377" s="1216"/>
      <c r="S377" s="1216"/>
      <c r="T377" s="1216"/>
      <c r="U377" s="1216"/>
      <c r="V377" s="1216"/>
      <c r="W377" s="1216"/>
      <c r="X377" s="99"/>
    </row>
    <row r="378" spans="1:24" s="79" customFormat="1">
      <c r="A378" s="1216"/>
      <c r="B378" s="1216"/>
      <c r="C378" s="1216"/>
      <c r="D378" s="1216"/>
      <c r="E378" s="1216"/>
      <c r="F378" s="1216"/>
      <c r="G378" s="1216"/>
      <c r="H378" s="1216"/>
      <c r="I378" s="1216"/>
      <c r="J378" s="1216"/>
      <c r="K378" s="1216"/>
      <c r="L378" s="1216"/>
      <c r="M378" s="1216"/>
      <c r="N378" s="1216"/>
      <c r="O378" s="1216"/>
      <c r="P378" s="1216"/>
      <c r="Q378" s="1216"/>
      <c r="R378" s="1216"/>
      <c r="S378" s="1216"/>
      <c r="T378" s="1216"/>
      <c r="U378" s="1216"/>
      <c r="V378" s="1216"/>
      <c r="W378" s="1216"/>
      <c r="X378" s="99"/>
    </row>
    <row r="379" spans="1:24" s="79" customFormat="1" ht="12.75" customHeight="1">
      <c r="A379" s="1216" t="s">
        <v>2797</v>
      </c>
      <c r="B379" s="1216"/>
      <c r="C379" s="1216"/>
      <c r="D379" s="1216"/>
      <c r="E379" s="1216"/>
      <c r="F379" s="1216"/>
      <c r="G379" s="1216"/>
      <c r="H379" s="1216"/>
      <c r="I379" s="1216"/>
      <c r="J379" s="1216"/>
      <c r="K379" s="1216"/>
      <c r="L379" s="1216"/>
      <c r="M379" s="1216"/>
      <c r="N379" s="1216"/>
      <c r="O379" s="1216"/>
      <c r="P379" s="1216"/>
      <c r="Q379" s="1216"/>
      <c r="R379" s="1216"/>
      <c r="S379" s="1216"/>
      <c r="T379" s="1216"/>
      <c r="U379" s="1216"/>
      <c r="V379" s="1216"/>
      <c r="W379" s="1216"/>
      <c r="X379" s="99"/>
    </row>
    <row r="380" spans="1:24" s="79" customFormat="1" ht="72" customHeight="1">
      <c r="A380" s="1216" t="s">
        <v>2528</v>
      </c>
      <c r="B380" s="1216"/>
      <c r="C380" s="1216"/>
      <c r="D380" s="1216"/>
      <c r="E380" s="1216"/>
      <c r="F380" s="1216"/>
      <c r="G380" s="1216"/>
      <c r="H380" s="1216"/>
      <c r="I380" s="1216"/>
      <c r="J380" s="1216"/>
      <c r="K380" s="1216"/>
      <c r="L380" s="1216"/>
      <c r="M380" s="1216"/>
      <c r="N380" s="1216"/>
      <c r="O380" s="1216"/>
      <c r="P380" s="1216"/>
      <c r="Q380" s="1216"/>
      <c r="R380" s="1216"/>
      <c r="S380" s="1216"/>
      <c r="T380" s="1216"/>
      <c r="U380" s="1216"/>
      <c r="V380" s="1216"/>
      <c r="W380" s="1216"/>
      <c r="X380" s="99"/>
    </row>
    <row r="381" spans="1:24" s="79" customFormat="1" ht="12.75" customHeight="1">
      <c r="A381" s="1216" t="s">
        <v>2798</v>
      </c>
      <c r="B381" s="1216"/>
      <c r="C381" s="1216"/>
      <c r="D381" s="1216"/>
      <c r="E381" s="1216"/>
      <c r="F381" s="1216"/>
      <c r="G381" s="1216"/>
      <c r="H381" s="1216"/>
      <c r="I381" s="1216"/>
      <c r="J381" s="1216"/>
      <c r="K381" s="1216"/>
      <c r="L381" s="1216"/>
      <c r="M381" s="1216"/>
      <c r="N381" s="1216"/>
      <c r="O381" s="1216"/>
      <c r="P381" s="1216"/>
      <c r="Q381" s="1216"/>
      <c r="R381" s="1216"/>
      <c r="S381" s="1216"/>
      <c r="T381" s="1216"/>
      <c r="U381" s="1216"/>
      <c r="V381" s="1216"/>
      <c r="W381" s="1216"/>
      <c r="X381" s="99"/>
    </row>
    <row r="382" spans="1:24" s="79" customFormat="1" ht="58.5" customHeight="1">
      <c r="A382" s="1216" t="s">
        <v>2529</v>
      </c>
      <c r="B382" s="1216"/>
      <c r="C382" s="1216"/>
      <c r="D382" s="1216"/>
      <c r="E382" s="1216"/>
      <c r="F382" s="1216"/>
      <c r="G382" s="1216"/>
      <c r="H382" s="1216"/>
      <c r="I382" s="1216"/>
      <c r="J382" s="1216"/>
      <c r="K382" s="1216"/>
      <c r="L382" s="1216"/>
      <c r="M382" s="1216"/>
      <c r="N382" s="1216"/>
      <c r="O382" s="1216"/>
      <c r="P382" s="1216"/>
      <c r="Q382" s="1216"/>
      <c r="R382" s="1216"/>
      <c r="S382" s="1216"/>
      <c r="T382" s="1216"/>
      <c r="U382" s="1216"/>
      <c r="V382" s="1216"/>
      <c r="W382" s="1216"/>
      <c r="X382" s="99"/>
    </row>
    <row r="383" spans="1:24" s="79" customFormat="1" ht="12.75" customHeight="1">
      <c r="A383" s="1216" t="s">
        <v>2799</v>
      </c>
      <c r="B383" s="1216"/>
      <c r="C383" s="1216"/>
      <c r="D383" s="1216"/>
      <c r="E383" s="1216"/>
      <c r="F383" s="1216"/>
      <c r="G383" s="1216"/>
      <c r="H383" s="1216"/>
      <c r="I383" s="1216"/>
      <c r="J383" s="1216"/>
      <c r="K383" s="1216"/>
      <c r="L383" s="1216"/>
      <c r="M383" s="1216"/>
      <c r="N383" s="1216"/>
      <c r="O383" s="1216"/>
      <c r="P383" s="1216"/>
      <c r="Q383" s="1216"/>
      <c r="R383" s="1216"/>
      <c r="S383" s="1216"/>
      <c r="T383" s="1216"/>
      <c r="U383" s="1216"/>
      <c r="V383" s="1216"/>
      <c r="W383" s="1216"/>
      <c r="X383" s="99"/>
    </row>
    <row r="384" spans="1:24" s="79" customFormat="1" ht="98.25" customHeight="1">
      <c r="A384" s="1216" t="s">
        <v>2530</v>
      </c>
      <c r="B384" s="1216"/>
      <c r="C384" s="1216"/>
      <c r="D384" s="1216"/>
      <c r="E384" s="1216"/>
      <c r="F384" s="1216"/>
      <c r="G384" s="1216"/>
      <c r="H384" s="1216"/>
      <c r="I384" s="1216"/>
      <c r="J384" s="1216"/>
      <c r="K384" s="1216"/>
      <c r="L384" s="1216"/>
      <c r="M384" s="1216"/>
      <c r="N384" s="1216"/>
      <c r="O384" s="1216"/>
      <c r="P384" s="1216"/>
      <c r="Q384" s="1216"/>
      <c r="R384" s="1216"/>
      <c r="S384" s="1216"/>
      <c r="T384" s="1216"/>
      <c r="U384" s="1216"/>
      <c r="V384" s="1216"/>
      <c r="W384" s="1216"/>
      <c r="X384" s="99"/>
    </row>
    <row r="385" spans="1:24" s="79" customFormat="1" ht="12.75" customHeight="1">
      <c r="A385" s="1216" t="s">
        <v>2800</v>
      </c>
      <c r="B385" s="1216"/>
      <c r="C385" s="1216"/>
      <c r="D385" s="1216"/>
      <c r="E385" s="1216"/>
      <c r="F385" s="1216"/>
      <c r="G385" s="1216"/>
      <c r="H385" s="1216"/>
      <c r="I385" s="1216"/>
      <c r="J385" s="1216"/>
      <c r="K385" s="1216"/>
      <c r="L385" s="1216"/>
      <c r="M385" s="1216"/>
      <c r="N385" s="1216"/>
      <c r="O385" s="1216"/>
      <c r="P385" s="1216"/>
      <c r="Q385" s="1216"/>
      <c r="R385" s="1216"/>
      <c r="S385" s="1216"/>
      <c r="T385" s="1216"/>
      <c r="U385" s="1216"/>
      <c r="V385" s="1216"/>
      <c r="W385" s="1216"/>
      <c r="X385" s="99"/>
    </row>
    <row r="386" spans="1:24" s="79" customFormat="1" ht="58.5" customHeight="1">
      <c r="A386" s="1216" t="s">
        <v>2531</v>
      </c>
      <c r="B386" s="1216"/>
      <c r="C386" s="1216"/>
      <c r="D386" s="1216"/>
      <c r="E386" s="1216"/>
      <c r="F386" s="1216"/>
      <c r="G386" s="1216"/>
      <c r="H386" s="1216"/>
      <c r="I386" s="1216"/>
      <c r="J386" s="1216"/>
      <c r="K386" s="1216"/>
      <c r="L386" s="1216"/>
      <c r="M386" s="1216"/>
      <c r="N386" s="1216"/>
      <c r="O386" s="1216"/>
      <c r="P386" s="1216"/>
      <c r="Q386" s="1216"/>
      <c r="R386" s="1216"/>
      <c r="S386" s="1216"/>
      <c r="T386" s="1216"/>
      <c r="U386" s="1216"/>
      <c r="V386" s="1216"/>
      <c r="W386" s="1216"/>
      <c r="X386" s="99"/>
    </row>
    <row r="387" spans="1:24" s="79" customFormat="1" ht="12.75" customHeight="1">
      <c r="A387" s="1216" t="s">
        <v>2801</v>
      </c>
      <c r="B387" s="1216"/>
      <c r="C387" s="1216"/>
      <c r="D387" s="1216"/>
      <c r="E387" s="1216"/>
      <c r="F387" s="1216"/>
      <c r="G387" s="1216"/>
      <c r="H387" s="1216"/>
      <c r="I387" s="1216"/>
      <c r="J387" s="1216"/>
      <c r="K387" s="1216"/>
      <c r="L387" s="1216"/>
      <c r="M387" s="1216"/>
      <c r="N387" s="1216"/>
      <c r="O387" s="1216"/>
      <c r="P387" s="1216"/>
      <c r="Q387" s="1216"/>
      <c r="R387" s="1216"/>
      <c r="S387" s="1216"/>
      <c r="T387" s="1216"/>
      <c r="U387" s="1216"/>
      <c r="V387" s="1216"/>
      <c r="W387" s="1216"/>
      <c r="X387" s="99"/>
    </row>
    <row r="388" spans="1:24" s="79" customFormat="1" ht="52.5" customHeight="1">
      <c r="A388" s="1216" t="s">
        <v>2532</v>
      </c>
      <c r="B388" s="1216"/>
      <c r="C388" s="1216"/>
      <c r="D388" s="1216"/>
      <c r="E388" s="1216"/>
      <c r="F388" s="1216"/>
      <c r="G388" s="1216"/>
      <c r="H388" s="1216"/>
      <c r="I388" s="1216"/>
      <c r="J388" s="1216"/>
      <c r="K388" s="1216"/>
      <c r="L388" s="1216"/>
      <c r="M388" s="1216"/>
      <c r="N388" s="1216"/>
      <c r="O388" s="1216"/>
      <c r="P388" s="1216"/>
      <c r="Q388" s="1216"/>
      <c r="R388" s="1216"/>
      <c r="S388" s="1216"/>
      <c r="T388" s="1216"/>
      <c r="U388" s="1216"/>
      <c r="V388" s="1216"/>
      <c r="W388" s="1216"/>
      <c r="X388" s="99"/>
    </row>
    <row r="389" spans="1:24" s="79" customFormat="1" ht="12.75" customHeight="1">
      <c r="A389" s="1216" t="s">
        <v>2802</v>
      </c>
      <c r="B389" s="1216"/>
      <c r="C389" s="1216"/>
      <c r="D389" s="1216"/>
      <c r="E389" s="1216"/>
      <c r="F389" s="1216"/>
      <c r="G389" s="1216"/>
      <c r="H389" s="1216"/>
      <c r="I389" s="1216"/>
      <c r="J389" s="1216"/>
      <c r="K389" s="1216"/>
      <c r="L389" s="1216"/>
      <c r="M389" s="1216"/>
      <c r="N389" s="1216"/>
      <c r="O389" s="1216"/>
      <c r="P389" s="1216"/>
      <c r="Q389" s="1216"/>
      <c r="R389" s="1216"/>
      <c r="S389" s="1216"/>
      <c r="T389" s="1216"/>
      <c r="U389" s="1216"/>
      <c r="V389" s="1216"/>
      <c r="W389" s="1216"/>
      <c r="X389" s="99"/>
    </row>
    <row r="390" spans="1:24" s="79" customFormat="1" ht="58.5" customHeight="1">
      <c r="A390" s="1216" t="s">
        <v>2533</v>
      </c>
      <c r="B390" s="1216"/>
      <c r="C390" s="1216"/>
      <c r="D390" s="1216"/>
      <c r="E390" s="1216"/>
      <c r="F390" s="1216"/>
      <c r="G390" s="1216"/>
      <c r="H390" s="1216"/>
      <c r="I390" s="1216"/>
      <c r="J390" s="1216"/>
      <c r="K390" s="1216"/>
      <c r="L390" s="1216"/>
      <c r="M390" s="1216"/>
      <c r="N390" s="1216"/>
      <c r="O390" s="1216"/>
      <c r="P390" s="1216"/>
      <c r="Q390" s="1216"/>
      <c r="R390" s="1216"/>
      <c r="S390" s="1216"/>
      <c r="T390" s="1216"/>
      <c r="U390" s="1216"/>
      <c r="V390" s="1216"/>
      <c r="W390" s="1216"/>
      <c r="X390" s="99"/>
    </row>
    <row r="391" spans="1:24" s="79" customFormat="1" ht="26.25" customHeight="1">
      <c r="A391" s="1298" t="s">
        <v>2803</v>
      </c>
      <c r="B391" s="1298"/>
      <c r="C391" s="1298"/>
      <c r="D391" s="1298"/>
      <c r="E391" s="1298"/>
      <c r="F391" s="1298"/>
      <c r="G391" s="1298"/>
      <c r="H391" s="1298"/>
      <c r="I391" s="1298"/>
      <c r="J391" s="1298"/>
      <c r="K391" s="1298"/>
      <c r="L391" s="1298"/>
      <c r="M391" s="1298"/>
      <c r="N391" s="1298"/>
      <c r="O391" s="1298"/>
      <c r="P391" s="1298"/>
      <c r="Q391" s="1298"/>
      <c r="R391" s="1298"/>
      <c r="S391" s="1298"/>
      <c r="T391" s="1298"/>
      <c r="U391" s="1298"/>
      <c r="V391" s="1298"/>
      <c r="W391" s="1298"/>
      <c r="X391" s="99"/>
    </row>
    <row r="392" spans="1:24" s="79" customFormat="1" ht="22.5" customHeight="1">
      <c r="A392" s="1216" t="s">
        <v>2534</v>
      </c>
      <c r="B392" s="1216"/>
      <c r="C392" s="1216"/>
      <c r="D392" s="1216"/>
      <c r="E392" s="1216"/>
      <c r="F392" s="1216"/>
      <c r="G392" s="1216"/>
      <c r="H392" s="1216"/>
      <c r="I392" s="1216"/>
      <c r="J392" s="1216"/>
      <c r="K392" s="1216"/>
      <c r="L392" s="1216"/>
      <c r="M392" s="1216"/>
      <c r="N392" s="1216"/>
      <c r="O392" s="1216"/>
      <c r="P392" s="1216"/>
      <c r="Q392" s="1216"/>
      <c r="R392" s="1216"/>
      <c r="S392" s="1216"/>
      <c r="T392" s="1216"/>
      <c r="U392" s="1216"/>
      <c r="V392" s="1216"/>
      <c r="W392" s="1216"/>
      <c r="X392" s="99"/>
    </row>
    <row r="393" spans="1:24" s="79" customFormat="1" ht="22.5" customHeight="1">
      <c r="A393" s="1411"/>
      <c r="B393" s="1411"/>
      <c r="C393" s="1411"/>
      <c r="D393" s="1411"/>
      <c r="E393" s="1411"/>
      <c r="F393" s="1411"/>
      <c r="G393" s="1411"/>
      <c r="H393" s="1411"/>
      <c r="I393" s="1411"/>
      <c r="J393" s="1411"/>
      <c r="K393" s="1411"/>
      <c r="L393" s="1411"/>
      <c r="M393" s="1411"/>
      <c r="N393" s="1411"/>
      <c r="O393" s="1411"/>
      <c r="P393" s="1411"/>
      <c r="Q393" s="1411"/>
      <c r="R393" s="1411"/>
      <c r="S393" s="1411"/>
      <c r="T393" s="1411"/>
      <c r="U393" s="1411"/>
      <c r="V393" s="1411"/>
      <c r="W393" s="1411"/>
      <c r="X393" s="99"/>
    </row>
    <row r="394" spans="1:24" s="79" customFormat="1" ht="18.75" customHeight="1">
      <c r="A394" s="1216" t="s">
        <v>2535</v>
      </c>
      <c r="B394" s="1216"/>
      <c r="C394" s="1216"/>
      <c r="D394" s="1216"/>
      <c r="E394" s="1216"/>
      <c r="F394" s="1216"/>
      <c r="G394" s="1216"/>
      <c r="H394" s="1216"/>
      <c r="I394" s="1216"/>
      <c r="J394" s="1216"/>
      <c r="K394" s="1216"/>
      <c r="L394" s="1216"/>
      <c r="M394" s="1216"/>
      <c r="N394" s="1216"/>
      <c r="O394" s="1216"/>
      <c r="P394" s="1216"/>
      <c r="Q394" s="1216"/>
      <c r="R394" s="1216"/>
      <c r="S394" s="1216"/>
      <c r="T394" s="1216"/>
      <c r="U394" s="1216"/>
      <c r="V394" s="1216"/>
      <c r="W394" s="1216"/>
      <c r="X394" s="99"/>
    </row>
    <row r="395" spans="1:24" s="79" customFormat="1" ht="100.5" customHeight="1">
      <c r="A395" s="1410" t="s">
        <v>3408</v>
      </c>
      <c r="B395" s="1410"/>
      <c r="C395" s="1410"/>
      <c r="D395" s="1410"/>
      <c r="E395" s="1410"/>
      <c r="F395" s="1410"/>
      <c r="G395" s="1410"/>
      <c r="H395" s="1410"/>
      <c r="I395" s="1410"/>
      <c r="J395" s="1410"/>
      <c r="K395" s="1410"/>
      <c r="L395" s="1410"/>
      <c r="M395" s="1410"/>
      <c r="N395" s="1410"/>
      <c r="O395" s="1410"/>
      <c r="P395" s="1410"/>
      <c r="Q395" s="1410"/>
      <c r="R395" s="1410"/>
      <c r="S395" s="1410"/>
      <c r="T395" s="1410"/>
      <c r="U395" s="1410"/>
      <c r="V395" s="1410"/>
      <c r="W395" s="1410"/>
      <c r="X395" s="99"/>
    </row>
    <row r="396" spans="1:24" s="79" customFormat="1" ht="23.25" customHeight="1">
      <c r="A396" s="1216" t="s">
        <v>2536</v>
      </c>
      <c r="B396" s="1216"/>
      <c r="C396" s="1216"/>
      <c r="D396" s="1216"/>
      <c r="E396" s="1216"/>
      <c r="F396" s="1216"/>
      <c r="G396" s="1216"/>
      <c r="H396" s="1216"/>
      <c r="I396" s="1216"/>
      <c r="J396" s="1216"/>
      <c r="K396" s="1216"/>
      <c r="L396" s="1216"/>
      <c r="M396" s="1216"/>
      <c r="N396" s="1216"/>
      <c r="O396" s="1216"/>
      <c r="P396" s="1216"/>
      <c r="Q396" s="1216"/>
      <c r="R396" s="1216"/>
      <c r="S396" s="1216"/>
      <c r="T396" s="1216"/>
      <c r="U396" s="1216"/>
      <c r="V396" s="1216"/>
      <c r="W396" s="1216"/>
      <c r="X396" s="99"/>
    </row>
    <row r="397" spans="1:24" s="79" customFormat="1" ht="57" customHeight="1">
      <c r="A397" s="1216" t="s">
        <v>2804</v>
      </c>
      <c r="B397" s="1216"/>
      <c r="C397" s="1216"/>
      <c r="D397" s="1216"/>
      <c r="E397" s="1216"/>
      <c r="F397" s="1216"/>
      <c r="G397" s="1216"/>
      <c r="H397" s="1216"/>
      <c r="I397" s="1216"/>
      <c r="J397" s="1216"/>
      <c r="K397" s="1216"/>
      <c r="L397" s="1216"/>
      <c r="M397" s="1216"/>
      <c r="N397" s="1216"/>
      <c r="O397" s="1216"/>
      <c r="P397" s="1216"/>
      <c r="Q397" s="1216"/>
      <c r="R397" s="1216"/>
      <c r="S397" s="1216"/>
      <c r="T397" s="1216"/>
      <c r="U397" s="1216"/>
      <c r="V397" s="1216"/>
      <c r="W397" s="1216"/>
      <c r="X397" s="99"/>
    </row>
    <row r="398" spans="1:24" s="79" customFormat="1" ht="12.75" customHeight="1">
      <c r="A398" s="1216" t="s">
        <v>2805</v>
      </c>
      <c r="B398" s="1216"/>
      <c r="C398" s="1216"/>
      <c r="D398" s="1216"/>
      <c r="E398" s="1216"/>
      <c r="F398" s="1216"/>
      <c r="G398" s="1216"/>
      <c r="H398" s="1216"/>
      <c r="I398" s="1216"/>
      <c r="J398" s="1216"/>
      <c r="K398" s="1216"/>
      <c r="L398" s="1216"/>
      <c r="M398" s="1216"/>
      <c r="N398" s="1216"/>
      <c r="O398" s="1216"/>
      <c r="P398" s="1216"/>
      <c r="Q398" s="1216"/>
      <c r="R398" s="1216"/>
      <c r="S398" s="1216"/>
      <c r="T398" s="1216"/>
      <c r="U398" s="1216"/>
      <c r="V398" s="1216"/>
      <c r="W398" s="1216"/>
      <c r="X398" s="99"/>
    </row>
    <row r="399" spans="1:24" s="79" customFormat="1" ht="12.75" customHeight="1">
      <c r="A399" s="1216" t="s">
        <v>2537</v>
      </c>
      <c r="B399" s="1216"/>
      <c r="C399" s="1216"/>
      <c r="D399" s="1216"/>
      <c r="E399" s="1216"/>
      <c r="F399" s="1216"/>
      <c r="G399" s="1216"/>
      <c r="H399" s="1216"/>
      <c r="I399" s="1216"/>
      <c r="J399" s="1216"/>
      <c r="K399" s="1216"/>
      <c r="L399" s="1216"/>
      <c r="M399" s="1216"/>
      <c r="N399" s="1216"/>
      <c r="O399" s="1216"/>
      <c r="P399" s="1216"/>
      <c r="Q399" s="1216"/>
      <c r="R399" s="1216"/>
      <c r="S399" s="1216"/>
      <c r="T399" s="1216"/>
      <c r="U399" s="1216"/>
      <c r="V399" s="1216"/>
      <c r="W399" s="1216"/>
      <c r="X399" s="99"/>
    </row>
    <row r="400" spans="1:24" s="79" customFormat="1" ht="12.75" customHeight="1">
      <c r="A400" s="1216" t="s">
        <v>2538</v>
      </c>
      <c r="B400" s="1216"/>
      <c r="C400" s="1216"/>
      <c r="D400" s="1216"/>
      <c r="E400" s="1216"/>
      <c r="F400" s="1216"/>
      <c r="G400" s="1216"/>
      <c r="H400" s="1216"/>
      <c r="I400" s="1216"/>
      <c r="J400" s="1216"/>
      <c r="K400" s="1216"/>
      <c r="L400" s="1216"/>
      <c r="M400" s="1216"/>
      <c r="N400" s="1216"/>
      <c r="O400" s="1216"/>
      <c r="P400" s="1216"/>
      <c r="Q400" s="1216"/>
      <c r="R400" s="1216"/>
      <c r="S400" s="1216"/>
      <c r="T400" s="1216"/>
      <c r="U400" s="1216"/>
      <c r="V400" s="1216"/>
      <c r="W400" s="1216"/>
      <c r="X400" s="99"/>
    </row>
    <row r="401" spans="1:24" s="79" customFormat="1" ht="120.75" customHeight="1">
      <c r="A401" s="1216" t="s">
        <v>2806</v>
      </c>
      <c r="B401" s="1216"/>
      <c r="C401" s="1216"/>
      <c r="D401" s="1216"/>
      <c r="E401" s="1216"/>
      <c r="F401" s="1216"/>
      <c r="G401" s="1216"/>
      <c r="H401" s="1216"/>
      <c r="I401" s="1216"/>
      <c r="J401" s="1216"/>
      <c r="K401" s="1216"/>
      <c r="L401" s="1216"/>
      <c r="M401" s="1216"/>
      <c r="N401" s="1216"/>
      <c r="O401" s="1216"/>
      <c r="P401" s="1216"/>
      <c r="Q401" s="1216"/>
      <c r="R401" s="1216"/>
      <c r="S401" s="1216"/>
      <c r="T401" s="1216"/>
      <c r="U401" s="1216"/>
      <c r="V401" s="1216"/>
      <c r="W401" s="1216"/>
      <c r="X401" s="99"/>
    </row>
    <row r="402" spans="1:24" s="79" customFormat="1" ht="75" customHeight="1">
      <c r="A402" s="1216" t="s">
        <v>2807</v>
      </c>
      <c r="B402" s="1216"/>
      <c r="C402" s="1216"/>
      <c r="D402" s="1216"/>
      <c r="E402" s="1216"/>
      <c r="F402" s="1216"/>
      <c r="G402" s="1216"/>
      <c r="H402" s="1216"/>
      <c r="I402" s="1216"/>
      <c r="J402" s="1216"/>
      <c r="K402" s="1216"/>
      <c r="L402" s="1216"/>
      <c r="M402" s="1216"/>
      <c r="N402" s="1216"/>
      <c r="O402" s="1216"/>
      <c r="P402" s="1216"/>
      <c r="Q402" s="1216"/>
      <c r="R402" s="1216"/>
      <c r="S402" s="1216"/>
      <c r="T402" s="1216"/>
      <c r="U402" s="1216"/>
      <c r="V402" s="1216"/>
      <c r="W402" s="1216"/>
      <c r="X402" s="99"/>
    </row>
    <row r="403" spans="1:24" s="79" customFormat="1">
      <c r="A403" s="1216"/>
      <c r="B403" s="1216"/>
      <c r="C403" s="1216"/>
      <c r="D403" s="1216"/>
      <c r="E403" s="1216"/>
      <c r="F403" s="1216"/>
      <c r="G403" s="1216"/>
      <c r="H403" s="1216"/>
      <c r="I403" s="1216"/>
      <c r="J403" s="1216"/>
      <c r="K403" s="1216"/>
      <c r="L403" s="1216"/>
      <c r="M403" s="1216"/>
      <c r="N403" s="1216"/>
      <c r="O403" s="1216"/>
      <c r="P403" s="1216"/>
      <c r="Q403" s="1216"/>
      <c r="R403" s="1216"/>
      <c r="S403" s="1216"/>
      <c r="T403" s="1216"/>
      <c r="U403" s="1216"/>
      <c r="V403" s="1216"/>
      <c r="W403" s="1216"/>
      <c r="X403" s="99"/>
    </row>
    <row r="404" spans="1:24" s="79" customFormat="1">
      <c r="A404" s="1406" t="s">
        <v>2808</v>
      </c>
      <c r="B404" s="1406"/>
      <c r="C404" s="1406"/>
      <c r="D404" s="1406"/>
      <c r="E404" s="1406"/>
      <c r="F404" s="1406"/>
      <c r="G404" s="1406"/>
      <c r="H404" s="1406"/>
      <c r="I404" s="1406"/>
      <c r="J404" s="1406"/>
      <c r="K404" s="1406"/>
      <c r="L404" s="1406"/>
      <c r="M404" s="1406"/>
      <c r="N404" s="1406"/>
      <c r="O404" s="1406"/>
      <c r="P404" s="1406"/>
      <c r="Q404" s="1406"/>
      <c r="R404" s="1406"/>
      <c r="S404" s="1406"/>
      <c r="T404" s="1406"/>
      <c r="U404" s="1406"/>
      <c r="V404" s="1406"/>
      <c r="W404" s="1406"/>
    </row>
    <row r="405" spans="1:24" s="79" customFormat="1"/>
    <row r="406" spans="1:24" s="79" customFormat="1"/>
    <row r="407" spans="1:24" s="79" customFormat="1"/>
    <row r="408" spans="1:24" s="79" customFormat="1"/>
    <row r="409" spans="1:24" s="79" customFormat="1"/>
    <row r="410" spans="1:24" s="79" customFormat="1"/>
    <row r="411" spans="1:24" s="79" customFormat="1"/>
    <row r="412" spans="1:24" s="79" customFormat="1"/>
    <row r="413" spans="1:24" s="79" customFormat="1"/>
    <row r="414" spans="1:24" s="79" customFormat="1"/>
    <row r="415" spans="1:24" s="79" customFormat="1"/>
    <row r="416" spans="1:24" s="79" customFormat="1"/>
    <row r="417" spans="1:24" s="79" customFormat="1"/>
    <row r="418" spans="1:24" s="79" customFormat="1"/>
    <row r="419" spans="1:24" s="79" customFormat="1"/>
    <row r="420" spans="1:24" s="79" customFormat="1"/>
    <row r="421" spans="1:24" s="79" customFormat="1"/>
    <row r="422" spans="1:24" s="79" customFormat="1"/>
    <row r="423" spans="1:24" s="79" customFormat="1"/>
    <row r="424" spans="1:24" s="79" customFormat="1"/>
    <row r="425" spans="1:24" s="79" customFormat="1"/>
    <row r="426" spans="1:24" s="79" customFormat="1"/>
    <row r="427" spans="1:24" s="79" customFormat="1"/>
    <row r="428" spans="1:24" s="79" customFormat="1"/>
    <row r="429" spans="1:24" s="79" customFormat="1"/>
    <row r="430" spans="1:24" s="79" customFormat="1"/>
    <row r="431" spans="1:24">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row>
    <row r="432" spans="1:24" ht="18">
      <c r="A432" s="1399" t="s">
        <v>2539</v>
      </c>
      <c r="B432" s="1399"/>
      <c r="C432" s="1399"/>
      <c r="D432" s="1399"/>
      <c r="E432" s="1399"/>
      <c r="F432" s="1399"/>
      <c r="G432" s="1399"/>
      <c r="H432" s="1399"/>
      <c r="I432" s="1399"/>
      <c r="J432" s="1399"/>
      <c r="K432" s="1399"/>
      <c r="L432" s="1399"/>
      <c r="M432" s="1399"/>
      <c r="N432" s="1399"/>
      <c r="O432" s="1399"/>
      <c r="P432" s="1399"/>
      <c r="Q432" s="1399"/>
      <c r="R432" s="1399"/>
      <c r="S432" s="1399"/>
      <c r="T432" s="1399"/>
      <c r="U432" s="1399"/>
      <c r="V432" s="1399"/>
      <c r="W432" s="1399"/>
    </row>
    <row r="433" spans="1:23" ht="18">
      <c r="A433" s="1396" t="s">
        <v>2540</v>
      </c>
      <c r="B433" s="1396"/>
      <c r="C433" s="1396"/>
      <c r="D433" s="1396"/>
      <c r="E433" s="1396"/>
      <c r="F433" s="1396"/>
      <c r="G433" s="1396"/>
      <c r="H433" s="1396"/>
      <c r="I433" s="1396"/>
      <c r="J433" s="1396"/>
      <c r="K433" s="1396"/>
      <c r="L433" s="1396"/>
      <c r="M433" s="1396"/>
      <c r="N433" s="1396"/>
      <c r="O433" s="1396"/>
      <c r="P433" s="1396"/>
      <c r="Q433" s="1396"/>
      <c r="R433" s="1396"/>
      <c r="S433" s="1396"/>
      <c r="T433" s="1396"/>
      <c r="U433" s="1396"/>
      <c r="V433" s="1396"/>
      <c r="W433" s="1396"/>
    </row>
    <row r="434" spans="1:23" ht="29.25" customHeight="1">
      <c r="A434" s="1300" t="s">
        <v>2541</v>
      </c>
      <c r="B434" s="1300"/>
      <c r="C434" s="1300"/>
      <c r="D434" s="1300"/>
      <c r="E434" s="1300"/>
      <c r="F434" s="1300"/>
      <c r="G434" s="1300"/>
      <c r="H434" s="1300"/>
      <c r="I434" s="1300"/>
      <c r="J434" s="1300"/>
      <c r="K434" s="1300"/>
      <c r="L434" s="1300"/>
      <c r="M434" s="1300"/>
      <c r="N434" s="1300"/>
      <c r="O434" s="1300"/>
      <c r="P434" s="1300"/>
      <c r="Q434" s="1300"/>
      <c r="R434" s="1300"/>
      <c r="S434" s="1300"/>
      <c r="T434" s="1300"/>
      <c r="U434" s="1299" t="s">
        <v>3305</v>
      </c>
      <c r="V434" s="1299"/>
      <c r="W434" s="1299"/>
    </row>
    <row r="435" spans="1:23" ht="7.5" customHeight="1"/>
    <row r="436" spans="1:23" s="295" customFormat="1" ht="12.75" customHeight="1">
      <c r="A436" s="1295" t="s">
        <v>678</v>
      </c>
      <c r="B436" s="1296"/>
      <c r="C436" s="1296"/>
      <c r="D436" s="1296"/>
      <c r="E436" s="1296"/>
      <c r="F436" s="1296"/>
      <c r="G436" s="1296"/>
      <c r="H436" s="1296"/>
      <c r="I436" s="1296"/>
      <c r="J436" s="1296"/>
      <c r="K436" s="1296"/>
      <c r="L436" s="1296"/>
      <c r="M436" s="1296"/>
      <c r="N436" s="1296"/>
      <c r="O436" s="1296"/>
      <c r="P436" s="1296"/>
      <c r="Q436" s="1296"/>
      <c r="R436" s="1296"/>
      <c r="S436" s="1296"/>
      <c r="T436" s="1297"/>
      <c r="U436" s="1349"/>
      <c r="V436" s="1360"/>
      <c r="W436" s="1291"/>
    </row>
    <row r="437" spans="1:23" s="295" customFormat="1" ht="54.75" customHeight="1">
      <c r="A437" s="538"/>
      <c r="B437" s="1352" t="s">
        <v>3306</v>
      </c>
      <c r="C437" s="1353"/>
      <c r="D437" s="1353"/>
      <c r="E437" s="1353"/>
      <c r="F437" s="1353"/>
      <c r="G437" s="1353"/>
      <c r="H437" s="1353"/>
      <c r="I437" s="1353"/>
      <c r="J437" s="1353"/>
      <c r="K437" s="1353"/>
      <c r="L437" s="1353"/>
      <c r="M437" s="1353"/>
      <c r="N437" s="1353"/>
      <c r="O437" s="1353"/>
      <c r="P437" s="1353"/>
      <c r="Q437" s="1353"/>
      <c r="R437" s="1353"/>
      <c r="S437" s="1353"/>
      <c r="T437" s="1354"/>
      <c r="U437" s="1351"/>
      <c r="V437" s="1362"/>
      <c r="W437" s="1293"/>
    </row>
    <row r="438" spans="1:23" s="295" customFormat="1" ht="12.75" customHeight="1">
      <c r="A438" s="539"/>
      <c r="B438" s="541"/>
      <c r="C438" s="1288" t="s">
        <v>3343</v>
      </c>
      <c r="D438" s="1289"/>
      <c r="E438" s="1289"/>
      <c r="F438" s="1289"/>
      <c r="G438" s="1289"/>
      <c r="H438" s="1289"/>
      <c r="I438" s="1289"/>
      <c r="J438" s="1289"/>
      <c r="K438" s="1289"/>
      <c r="L438" s="1289"/>
      <c r="M438" s="1289"/>
      <c r="N438" s="1289"/>
      <c r="O438" s="1289"/>
      <c r="P438" s="1289"/>
      <c r="Q438" s="1289"/>
      <c r="R438" s="1289"/>
      <c r="S438" s="1289"/>
      <c r="T438" s="1290"/>
      <c r="U438" s="1284">
        <v>200</v>
      </c>
      <c r="V438" s="1285"/>
      <c r="W438" s="1286"/>
    </row>
    <row r="439" spans="1:23" s="295" customFormat="1" ht="12.75" customHeight="1">
      <c r="A439" s="539"/>
      <c r="B439" s="542"/>
      <c r="C439" s="1288" t="s">
        <v>3344</v>
      </c>
      <c r="D439" s="1289"/>
      <c r="E439" s="1289"/>
      <c r="F439" s="1289"/>
      <c r="G439" s="1289"/>
      <c r="H439" s="1289"/>
      <c r="I439" s="1289"/>
      <c r="J439" s="1289"/>
      <c r="K439" s="1289"/>
      <c r="L439" s="1289"/>
      <c r="M439" s="1289"/>
      <c r="N439" s="1289"/>
      <c r="O439" s="1289"/>
      <c r="P439" s="1289"/>
      <c r="Q439" s="1289"/>
      <c r="R439" s="1289"/>
      <c r="S439" s="1289"/>
      <c r="T439" s="1290"/>
      <c r="U439" s="1284">
        <v>198</v>
      </c>
      <c r="V439" s="1285"/>
      <c r="W439" s="1286"/>
    </row>
    <row r="440" spans="1:23" s="295" customFormat="1" ht="30" customHeight="1">
      <c r="A440" s="539"/>
      <c r="B440" s="542"/>
      <c r="C440" s="1288" t="s">
        <v>3345</v>
      </c>
      <c r="D440" s="1289"/>
      <c r="E440" s="1289"/>
      <c r="F440" s="1289"/>
      <c r="G440" s="1289"/>
      <c r="H440" s="1289"/>
      <c r="I440" s="1289"/>
      <c r="J440" s="1289"/>
      <c r="K440" s="1289"/>
      <c r="L440" s="1289"/>
      <c r="M440" s="1289"/>
      <c r="N440" s="1289"/>
      <c r="O440" s="1289"/>
      <c r="P440" s="1289"/>
      <c r="Q440" s="1289"/>
      <c r="R440" s="1289"/>
      <c r="S440" s="1289"/>
      <c r="T440" s="1290"/>
      <c r="U440" s="1284">
        <v>195</v>
      </c>
      <c r="V440" s="1285"/>
      <c r="W440" s="1286"/>
    </row>
    <row r="441" spans="1:23" s="295" customFormat="1" ht="27.75" customHeight="1">
      <c r="A441" s="539"/>
      <c r="B441" s="542"/>
      <c r="C441" s="1288" t="s">
        <v>3346</v>
      </c>
      <c r="D441" s="1289"/>
      <c r="E441" s="1289"/>
      <c r="F441" s="1289"/>
      <c r="G441" s="1289"/>
      <c r="H441" s="1289"/>
      <c r="I441" s="1289"/>
      <c r="J441" s="1289"/>
      <c r="K441" s="1289"/>
      <c r="L441" s="1289"/>
      <c r="M441" s="1289"/>
      <c r="N441" s="1289"/>
      <c r="O441" s="1289"/>
      <c r="P441" s="1289"/>
      <c r="Q441" s="1289"/>
      <c r="R441" s="1289"/>
      <c r="S441" s="1289"/>
      <c r="T441" s="1290"/>
      <c r="U441" s="1284">
        <v>193</v>
      </c>
      <c r="V441" s="1285"/>
      <c r="W441" s="1286"/>
    </row>
    <row r="442" spans="1:23" s="295" customFormat="1" ht="68.25" customHeight="1">
      <c r="A442" s="539"/>
      <c r="B442" s="542"/>
      <c r="C442" s="1288" t="s">
        <v>3347</v>
      </c>
      <c r="D442" s="1289"/>
      <c r="E442" s="1289"/>
      <c r="F442" s="1289"/>
      <c r="G442" s="1289"/>
      <c r="H442" s="1289"/>
      <c r="I442" s="1289"/>
      <c r="J442" s="1289"/>
      <c r="K442" s="1289"/>
      <c r="L442" s="1289"/>
      <c r="M442" s="1289"/>
      <c r="N442" s="1289"/>
      <c r="O442" s="1289"/>
      <c r="P442" s="1289"/>
      <c r="Q442" s="1289"/>
      <c r="R442" s="1289"/>
      <c r="S442" s="1289"/>
      <c r="T442" s="1290"/>
      <c r="U442" s="1284">
        <v>190</v>
      </c>
      <c r="V442" s="1285"/>
      <c r="W442" s="1286"/>
    </row>
    <row r="443" spans="1:23" s="295" customFormat="1" ht="51" customHeight="1">
      <c r="A443" s="539"/>
      <c r="B443" s="542"/>
      <c r="C443" s="1288" t="s">
        <v>3348</v>
      </c>
      <c r="D443" s="1289"/>
      <c r="E443" s="1289"/>
      <c r="F443" s="1289"/>
      <c r="G443" s="1289"/>
      <c r="H443" s="1289"/>
      <c r="I443" s="1289"/>
      <c r="J443" s="1289"/>
      <c r="K443" s="1289"/>
      <c r="L443" s="1289"/>
      <c r="M443" s="1289"/>
      <c r="N443" s="1289"/>
      <c r="O443" s="1289"/>
      <c r="P443" s="1289"/>
      <c r="Q443" s="1289"/>
      <c r="R443" s="1289"/>
      <c r="S443" s="1289"/>
      <c r="T443" s="1290"/>
      <c r="U443" s="1284">
        <v>185</v>
      </c>
      <c r="V443" s="1285"/>
      <c r="W443" s="1286"/>
    </row>
    <row r="444" spans="1:23" s="295" customFormat="1" ht="91.5" customHeight="1">
      <c r="A444" s="539"/>
      <c r="B444" s="542"/>
      <c r="C444" s="1288" t="s">
        <v>3349</v>
      </c>
      <c r="D444" s="1289"/>
      <c r="E444" s="1289"/>
      <c r="F444" s="1289"/>
      <c r="G444" s="1289"/>
      <c r="H444" s="1289"/>
      <c r="I444" s="1289"/>
      <c r="J444" s="1289"/>
      <c r="K444" s="1289"/>
      <c r="L444" s="1289"/>
      <c r="M444" s="1289"/>
      <c r="N444" s="1289"/>
      <c r="O444" s="1289"/>
      <c r="P444" s="1289"/>
      <c r="Q444" s="1289"/>
      <c r="R444" s="1289"/>
      <c r="S444" s="1289"/>
      <c r="T444" s="1290"/>
      <c r="U444" s="1284">
        <v>180</v>
      </c>
      <c r="V444" s="1285"/>
      <c r="W444" s="1286"/>
    </row>
    <row r="445" spans="1:23" s="295" customFormat="1" ht="97.5" customHeight="1">
      <c r="A445" s="539"/>
      <c r="B445" s="542"/>
      <c r="C445" s="1288" t="s">
        <v>3350</v>
      </c>
      <c r="D445" s="1289"/>
      <c r="E445" s="1289"/>
      <c r="F445" s="1289"/>
      <c r="G445" s="1289"/>
      <c r="H445" s="1289"/>
      <c r="I445" s="1289"/>
      <c r="J445" s="1289"/>
      <c r="K445" s="1289"/>
      <c r="L445" s="1289"/>
      <c r="M445" s="1289"/>
      <c r="N445" s="1289"/>
      <c r="O445" s="1289"/>
      <c r="P445" s="1289"/>
      <c r="Q445" s="1289"/>
      <c r="R445" s="1289"/>
      <c r="S445" s="1289"/>
      <c r="T445" s="1290"/>
      <c r="U445" s="1284">
        <v>170</v>
      </c>
      <c r="V445" s="1285"/>
      <c r="W445" s="1286"/>
    </row>
    <row r="446" spans="1:23" s="295" customFormat="1" ht="29.25" customHeight="1">
      <c r="A446" s="539"/>
      <c r="B446" s="542"/>
      <c r="C446" s="1288" t="s">
        <v>3351</v>
      </c>
      <c r="D446" s="1289"/>
      <c r="E446" s="1289"/>
      <c r="F446" s="1289"/>
      <c r="G446" s="1289"/>
      <c r="H446" s="1289"/>
      <c r="I446" s="1289"/>
      <c r="J446" s="1289"/>
      <c r="K446" s="1289"/>
      <c r="L446" s="1289"/>
      <c r="M446" s="1289"/>
      <c r="N446" s="1289"/>
      <c r="O446" s="1289"/>
      <c r="P446" s="1289"/>
      <c r="Q446" s="1289"/>
      <c r="R446" s="1289"/>
      <c r="S446" s="1289"/>
      <c r="T446" s="1290"/>
      <c r="U446" s="1284">
        <v>165</v>
      </c>
      <c r="V446" s="1285"/>
      <c r="W446" s="1286"/>
    </row>
    <row r="447" spans="1:23" s="295" customFormat="1" ht="79.5" customHeight="1">
      <c r="A447" s="539"/>
      <c r="B447" s="542"/>
      <c r="C447" s="1288" t="s">
        <v>3352</v>
      </c>
      <c r="D447" s="1289"/>
      <c r="E447" s="1289"/>
      <c r="F447" s="1289"/>
      <c r="G447" s="1289"/>
      <c r="H447" s="1289"/>
      <c r="I447" s="1289"/>
      <c r="J447" s="1289"/>
      <c r="K447" s="1289"/>
      <c r="L447" s="1289"/>
      <c r="M447" s="1289"/>
      <c r="N447" s="1289"/>
      <c r="O447" s="1289"/>
      <c r="P447" s="1289"/>
      <c r="Q447" s="1289"/>
      <c r="R447" s="1289"/>
      <c r="S447" s="1289"/>
      <c r="T447" s="1290"/>
      <c r="U447" s="1284">
        <v>145</v>
      </c>
      <c r="V447" s="1285"/>
      <c r="W447" s="1286"/>
    </row>
    <row r="448" spans="1:23" s="295" customFormat="1" ht="54.75" customHeight="1">
      <c r="A448" s="539"/>
      <c r="B448" s="542"/>
      <c r="C448" s="1288" t="s">
        <v>3353</v>
      </c>
      <c r="D448" s="1289"/>
      <c r="E448" s="1289"/>
      <c r="F448" s="1289"/>
      <c r="G448" s="1289"/>
      <c r="H448" s="1289"/>
      <c r="I448" s="1289"/>
      <c r="J448" s="1289"/>
      <c r="K448" s="1289"/>
      <c r="L448" s="1289"/>
      <c r="M448" s="1289"/>
      <c r="N448" s="1289"/>
      <c r="O448" s="1289"/>
      <c r="P448" s="1289"/>
      <c r="Q448" s="1289"/>
      <c r="R448" s="1289"/>
      <c r="S448" s="1289"/>
      <c r="T448" s="1290"/>
      <c r="U448" s="1284"/>
      <c r="V448" s="1285"/>
      <c r="W448" s="1286"/>
    </row>
    <row r="449" spans="1:23" s="295" customFormat="1" ht="12.75" customHeight="1">
      <c r="A449" s="539"/>
      <c r="B449" s="542"/>
      <c r="C449" s="1291"/>
      <c r="D449" s="1288" t="s">
        <v>2542</v>
      </c>
      <c r="E449" s="1289"/>
      <c r="F449" s="1289"/>
      <c r="G449" s="1289"/>
      <c r="H449" s="1289"/>
      <c r="I449" s="1289"/>
      <c r="J449" s="1289"/>
      <c r="K449" s="1289"/>
      <c r="L449" s="1289"/>
      <c r="M449" s="1289"/>
      <c r="N449" s="1289"/>
      <c r="O449" s="1289"/>
      <c r="P449" s="1289"/>
      <c r="Q449" s="1289"/>
      <c r="R449" s="1289"/>
      <c r="S449" s="1289"/>
      <c r="T449" s="1290"/>
      <c r="U449" s="1284">
        <v>165</v>
      </c>
      <c r="V449" s="1285"/>
      <c r="W449" s="1286"/>
    </row>
    <row r="450" spans="1:23" s="295" customFormat="1" ht="12.75" customHeight="1">
      <c r="A450" s="539"/>
      <c r="B450" s="542"/>
      <c r="C450" s="1292"/>
      <c r="D450" s="1288" t="s">
        <v>2543</v>
      </c>
      <c r="E450" s="1289"/>
      <c r="F450" s="1289"/>
      <c r="G450" s="1289"/>
      <c r="H450" s="1289"/>
      <c r="I450" s="1289"/>
      <c r="J450" s="1289"/>
      <c r="K450" s="1289"/>
      <c r="L450" s="1289"/>
      <c r="M450" s="1289"/>
      <c r="N450" s="1289"/>
      <c r="O450" s="1289"/>
      <c r="P450" s="1289"/>
      <c r="Q450" s="1289"/>
      <c r="R450" s="1289"/>
      <c r="S450" s="1289"/>
      <c r="T450" s="1290"/>
      <c r="U450" s="1284">
        <v>163</v>
      </c>
      <c r="V450" s="1285"/>
      <c r="W450" s="1286"/>
    </row>
    <row r="451" spans="1:23" s="295" customFormat="1" ht="12.75" customHeight="1">
      <c r="A451" s="539"/>
      <c r="B451" s="542"/>
      <c r="C451" s="1292"/>
      <c r="D451" s="1288" t="s">
        <v>2544</v>
      </c>
      <c r="E451" s="1289"/>
      <c r="F451" s="1289"/>
      <c r="G451" s="1289"/>
      <c r="H451" s="1289"/>
      <c r="I451" s="1289"/>
      <c r="J451" s="1289"/>
      <c r="K451" s="1289"/>
      <c r="L451" s="1289"/>
      <c r="M451" s="1289"/>
      <c r="N451" s="1289"/>
      <c r="O451" s="1289"/>
      <c r="P451" s="1289"/>
      <c r="Q451" s="1289"/>
      <c r="R451" s="1289"/>
      <c r="S451" s="1289"/>
      <c r="T451" s="1290"/>
      <c r="U451" s="1284">
        <v>160</v>
      </c>
      <c r="V451" s="1285"/>
      <c r="W451" s="1286"/>
    </row>
    <row r="452" spans="1:23" s="295" customFormat="1" ht="12.75" customHeight="1">
      <c r="A452" s="539"/>
      <c r="B452" s="542"/>
      <c r="C452" s="1293"/>
      <c r="D452" s="1288" t="s">
        <v>3354</v>
      </c>
      <c r="E452" s="1289"/>
      <c r="F452" s="1289"/>
      <c r="G452" s="1289"/>
      <c r="H452" s="1289"/>
      <c r="I452" s="1289"/>
      <c r="J452" s="1289"/>
      <c r="K452" s="1289"/>
      <c r="L452" s="1289"/>
      <c r="M452" s="1289"/>
      <c r="N452" s="1289"/>
      <c r="O452" s="1289"/>
      <c r="P452" s="1289"/>
      <c r="Q452" s="1289"/>
      <c r="R452" s="1289"/>
      <c r="S452" s="1289"/>
      <c r="T452" s="1290"/>
      <c r="U452" s="1284">
        <v>155</v>
      </c>
      <c r="V452" s="1285"/>
      <c r="W452" s="1286"/>
    </row>
    <row r="453" spans="1:23" s="295" customFormat="1" ht="30" customHeight="1">
      <c r="A453" s="1300" t="s">
        <v>2541</v>
      </c>
      <c r="B453" s="1300"/>
      <c r="C453" s="1300"/>
      <c r="D453" s="1300"/>
      <c r="E453" s="1300"/>
      <c r="F453" s="1300"/>
      <c r="G453" s="1300"/>
      <c r="H453" s="1300"/>
      <c r="I453" s="1300"/>
      <c r="J453" s="1300"/>
      <c r="K453" s="1300"/>
      <c r="L453" s="1300"/>
      <c r="M453" s="1300"/>
      <c r="N453" s="1300"/>
      <c r="O453" s="1300"/>
      <c r="P453" s="1300"/>
      <c r="Q453" s="1300"/>
      <c r="R453" s="1300"/>
      <c r="S453" s="1300"/>
      <c r="T453" s="1300"/>
      <c r="U453" s="1299" t="s">
        <v>3305</v>
      </c>
      <c r="V453" s="1299"/>
      <c r="W453" s="1299"/>
    </row>
    <row r="454" spans="1:23" s="295" customFormat="1" ht="26.25" customHeight="1">
      <c r="A454" s="539"/>
      <c r="B454" s="542"/>
      <c r="C454" s="1343" t="s">
        <v>3355</v>
      </c>
      <c r="D454" s="1344"/>
      <c r="E454" s="1344"/>
      <c r="F454" s="1344"/>
      <c r="G454" s="1344"/>
      <c r="H454" s="1344"/>
      <c r="I454" s="1344"/>
      <c r="J454" s="1344"/>
      <c r="K454" s="1344"/>
      <c r="L454" s="1344"/>
      <c r="M454" s="1344"/>
      <c r="N454" s="1344"/>
      <c r="O454" s="1344"/>
      <c r="P454" s="1344"/>
      <c r="Q454" s="1344"/>
      <c r="R454" s="1344"/>
      <c r="S454" s="1344"/>
      <c r="T454" s="1345"/>
      <c r="U454" s="1284"/>
      <c r="V454" s="1285"/>
      <c r="W454" s="1286"/>
    </row>
    <row r="455" spans="1:23" s="295" customFormat="1" ht="12.75" customHeight="1">
      <c r="A455" s="539"/>
      <c r="B455" s="542"/>
      <c r="C455" s="1291"/>
      <c r="D455" s="1288" t="s">
        <v>2542</v>
      </c>
      <c r="E455" s="1289"/>
      <c r="F455" s="1289"/>
      <c r="G455" s="1289"/>
      <c r="H455" s="1289"/>
      <c r="I455" s="1289"/>
      <c r="J455" s="1289"/>
      <c r="K455" s="1289"/>
      <c r="L455" s="1289"/>
      <c r="M455" s="1289"/>
      <c r="N455" s="1289"/>
      <c r="O455" s="1289"/>
      <c r="P455" s="1289"/>
      <c r="Q455" s="1289"/>
      <c r="R455" s="1289"/>
      <c r="S455" s="1289"/>
      <c r="T455" s="1290"/>
      <c r="U455" s="1284">
        <v>155</v>
      </c>
      <c r="V455" s="1285"/>
      <c r="W455" s="1286"/>
    </row>
    <row r="456" spans="1:23" s="295" customFormat="1" ht="12.75" customHeight="1">
      <c r="A456" s="539"/>
      <c r="B456" s="542"/>
      <c r="C456" s="1292"/>
      <c r="D456" s="1288" t="s">
        <v>2543</v>
      </c>
      <c r="E456" s="1289"/>
      <c r="F456" s="1289"/>
      <c r="G456" s="1289"/>
      <c r="H456" s="1289"/>
      <c r="I456" s="1289"/>
      <c r="J456" s="1289"/>
      <c r="K456" s="1289"/>
      <c r="L456" s="1289"/>
      <c r="M456" s="1289"/>
      <c r="N456" s="1289"/>
      <c r="O456" s="1289"/>
      <c r="P456" s="1289"/>
      <c r="Q456" s="1289"/>
      <c r="R456" s="1289"/>
      <c r="S456" s="1289"/>
      <c r="T456" s="1290"/>
      <c r="U456" s="1284">
        <v>150</v>
      </c>
      <c r="V456" s="1285"/>
      <c r="W456" s="1286"/>
    </row>
    <row r="457" spans="1:23" s="295" customFormat="1" ht="12.75" customHeight="1">
      <c r="A457" s="539"/>
      <c r="B457" s="542"/>
      <c r="C457" s="1292"/>
      <c r="D457" s="1288" t="s">
        <v>2544</v>
      </c>
      <c r="E457" s="1289"/>
      <c r="F457" s="1289"/>
      <c r="G457" s="1289"/>
      <c r="H457" s="1289"/>
      <c r="I457" s="1289"/>
      <c r="J457" s="1289"/>
      <c r="K457" s="1289"/>
      <c r="L457" s="1289"/>
      <c r="M457" s="1289"/>
      <c r="N457" s="1289"/>
      <c r="O457" s="1289"/>
      <c r="P457" s="1289"/>
      <c r="Q457" s="1289"/>
      <c r="R457" s="1289"/>
      <c r="S457" s="1289"/>
      <c r="T457" s="1290"/>
      <c r="U457" s="1284">
        <v>145</v>
      </c>
      <c r="V457" s="1285"/>
      <c r="W457" s="1286"/>
    </row>
    <row r="458" spans="1:23" s="295" customFormat="1" ht="12.75" customHeight="1">
      <c r="A458" s="539"/>
      <c r="B458" s="542"/>
      <c r="C458" s="1293"/>
      <c r="D458" s="1288" t="s">
        <v>3356</v>
      </c>
      <c r="E458" s="1289"/>
      <c r="F458" s="1289"/>
      <c r="G458" s="1289"/>
      <c r="H458" s="1289"/>
      <c r="I458" s="1289"/>
      <c r="J458" s="1289"/>
      <c r="K458" s="1289"/>
      <c r="L458" s="1289"/>
      <c r="M458" s="1289"/>
      <c r="N458" s="1289"/>
      <c r="O458" s="1289"/>
      <c r="P458" s="1289"/>
      <c r="Q458" s="1289"/>
      <c r="R458" s="1289"/>
      <c r="S458" s="1289"/>
      <c r="T458" s="1290"/>
      <c r="U458" s="1284">
        <v>140</v>
      </c>
      <c r="V458" s="1285"/>
      <c r="W458" s="1286"/>
    </row>
    <row r="459" spans="1:23" s="295" customFormat="1" ht="72.75" customHeight="1">
      <c r="A459" s="539"/>
      <c r="B459" s="542"/>
      <c r="C459" s="1288" t="s">
        <v>3357</v>
      </c>
      <c r="D459" s="1289"/>
      <c r="E459" s="1289"/>
      <c r="F459" s="1289"/>
      <c r="G459" s="1289"/>
      <c r="H459" s="1289"/>
      <c r="I459" s="1289"/>
      <c r="J459" s="1289"/>
      <c r="K459" s="1289"/>
      <c r="L459" s="1289"/>
      <c r="M459" s="1289"/>
      <c r="N459" s="1289"/>
      <c r="O459" s="1289"/>
      <c r="P459" s="1289"/>
      <c r="Q459" s="1289"/>
      <c r="R459" s="1289"/>
      <c r="S459" s="1289"/>
      <c r="T459" s="1290"/>
      <c r="U459" s="1284"/>
      <c r="V459" s="1285"/>
      <c r="W459" s="1286"/>
    </row>
    <row r="460" spans="1:23" s="295" customFormat="1" ht="12.75" customHeight="1">
      <c r="A460" s="539"/>
      <c r="B460" s="542"/>
      <c r="C460" s="1291"/>
      <c r="D460" s="1288" t="s">
        <v>2542</v>
      </c>
      <c r="E460" s="1289"/>
      <c r="F460" s="1289"/>
      <c r="G460" s="1289"/>
      <c r="H460" s="1289"/>
      <c r="I460" s="1289"/>
      <c r="J460" s="1289"/>
      <c r="K460" s="1289"/>
      <c r="L460" s="1289"/>
      <c r="M460" s="1289"/>
      <c r="N460" s="1289"/>
      <c r="O460" s="1289"/>
      <c r="P460" s="1289"/>
      <c r="Q460" s="1289"/>
      <c r="R460" s="1289"/>
      <c r="S460" s="1289"/>
      <c r="T460" s="1290"/>
      <c r="U460" s="1284">
        <v>140</v>
      </c>
      <c r="V460" s="1285"/>
      <c r="W460" s="1286"/>
    </row>
    <row r="461" spans="1:23" s="295" customFormat="1" ht="12.75" customHeight="1">
      <c r="A461" s="539"/>
      <c r="B461" s="542"/>
      <c r="C461" s="1292"/>
      <c r="D461" s="1288" t="s">
        <v>2543</v>
      </c>
      <c r="E461" s="1289"/>
      <c r="F461" s="1289"/>
      <c r="G461" s="1289"/>
      <c r="H461" s="1289"/>
      <c r="I461" s="1289"/>
      <c r="J461" s="1289"/>
      <c r="K461" s="1289"/>
      <c r="L461" s="1289"/>
      <c r="M461" s="1289"/>
      <c r="N461" s="1289"/>
      <c r="O461" s="1289"/>
      <c r="P461" s="1289"/>
      <c r="Q461" s="1289"/>
      <c r="R461" s="1289"/>
      <c r="S461" s="1289"/>
      <c r="T461" s="1290"/>
      <c r="U461" s="1284">
        <v>135</v>
      </c>
      <c r="V461" s="1285"/>
      <c r="W461" s="1286"/>
    </row>
    <row r="462" spans="1:23" s="295" customFormat="1" ht="12.75" customHeight="1">
      <c r="A462" s="539"/>
      <c r="B462" s="542"/>
      <c r="C462" s="1292"/>
      <c r="D462" s="1288" t="s">
        <v>2544</v>
      </c>
      <c r="E462" s="1289"/>
      <c r="F462" s="1289"/>
      <c r="G462" s="1289"/>
      <c r="H462" s="1289"/>
      <c r="I462" s="1289"/>
      <c r="J462" s="1289"/>
      <c r="K462" s="1289"/>
      <c r="L462" s="1289"/>
      <c r="M462" s="1289"/>
      <c r="N462" s="1289"/>
      <c r="O462" s="1289"/>
      <c r="P462" s="1289"/>
      <c r="Q462" s="1289"/>
      <c r="R462" s="1289"/>
      <c r="S462" s="1289"/>
      <c r="T462" s="1290"/>
      <c r="U462" s="1284">
        <v>130</v>
      </c>
      <c r="V462" s="1285"/>
      <c r="W462" s="1286"/>
    </row>
    <row r="463" spans="1:23" s="295" customFormat="1" ht="12.75" customHeight="1">
      <c r="A463" s="539"/>
      <c r="B463" s="542"/>
      <c r="C463" s="1293"/>
      <c r="D463" s="1288" t="s">
        <v>3356</v>
      </c>
      <c r="E463" s="1289"/>
      <c r="F463" s="1289"/>
      <c r="G463" s="1289"/>
      <c r="H463" s="1289"/>
      <c r="I463" s="1289"/>
      <c r="J463" s="1289"/>
      <c r="K463" s="1289"/>
      <c r="L463" s="1289"/>
      <c r="M463" s="1289"/>
      <c r="N463" s="1289"/>
      <c r="O463" s="1289"/>
      <c r="P463" s="1289"/>
      <c r="Q463" s="1289"/>
      <c r="R463" s="1289"/>
      <c r="S463" s="1289"/>
      <c r="T463" s="1290"/>
      <c r="U463" s="1284">
        <v>125</v>
      </c>
      <c r="V463" s="1285"/>
      <c r="W463" s="1286"/>
    </row>
    <row r="464" spans="1:23" s="295" customFormat="1" ht="64.5" customHeight="1">
      <c r="A464" s="539"/>
      <c r="B464" s="542"/>
      <c r="C464" s="1288" t="s">
        <v>3358</v>
      </c>
      <c r="D464" s="1289"/>
      <c r="E464" s="1289"/>
      <c r="F464" s="1289"/>
      <c r="G464" s="1289"/>
      <c r="H464" s="1289"/>
      <c r="I464" s="1289"/>
      <c r="J464" s="1289"/>
      <c r="K464" s="1289"/>
      <c r="L464" s="1289"/>
      <c r="M464" s="1289"/>
      <c r="N464" s="1289"/>
      <c r="O464" s="1289"/>
      <c r="P464" s="1289"/>
      <c r="Q464" s="1289"/>
      <c r="R464" s="1289"/>
      <c r="S464" s="1289"/>
      <c r="T464" s="1290"/>
      <c r="U464" s="1284"/>
      <c r="V464" s="1285"/>
      <c r="W464" s="1286"/>
    </row>
    <row r="465" spans="1:23" s="295" customFormat="1" ht="12.75" customHeight="1">
      <c r="A465" s="539"/>
      <c r="B465" s="542"/>
      <c r="C465" s="308"/>
      <c r="D465" s="1288" t="s">
        <v>2542</v>
      </c>
      <c r="E465" s="1289"/>
      <c r="F465" s="1289"/>
      <c r="G465" s="1289"/>
      <c r="H465" s="1289"/>
      <c r="I465" s="1289"/>
      <c r="J465" s="1289"/>
      <c r="K465" s="1289"/>
      <c r="L465" s="1289"/>
      <c r="M465" s="1289"/>
      <c r="N465" s="1289"/>
      <c r="O465" s="1289"/>
      <c r="P465" s="1289"/>
      <c r="Q465" s="1289"/>
      <c r="R465" s="1289"/>
      <c r="S465" s="1289"/>
      <c r="T465" s="1290"/>
      <c r="U465" s="1284">
        <v>115</v>
      </c>
      <c r="V465" s="1285"/>
      <c r="W465" s="1286"/>
    </row>
    <row r="466" spans="1:23" s="295" customFormat="1" ht="12.75" customHeight="1">
      <c r="A466" s="539"/>
      <c r="B466" s="542"/>
      <c r="C466" s="308"/>
      <c r="D466" s="1288" t="s">
        <v>2543</v>
      </c>
      <c r="E466" s="1289"/>
      <c r="F466" s="1289"/>
      <c r="G466" s="1289"/>
      <c r="H466" s="1289"/>
      <c r="I466" s="1289"/>
      <c r="J466" s="1289"/>
      <c r="K466" s="1289"/>
      <c r="L466" s="1289"/>
      <c r="M466" s="1289"/>
      <c r="N466" s="1289"/>
      <c r="O466" s="1289"/>
      <c r="P466" s="1289"/>
      <c r="Q466" s="1289"/>
      <c r="R466" s="1289"/>
      <c r="S466" s="1289"/>
      <c r="T466" s="1290"/>
      <c r="U466" s="1284">
        <v>110</v>
      </c>
      <c r="V466" s="1285"/>
      <c r="W466" s="1286"/>
    </row>
    <row r="467" spans="1:23" s="295" customFormat="1" ht="12.75" customHeight="1">
      <c r="A467" s="539"/>
      <c r="B467" s="542"/>
      <c r="C467" s="308"/>
      <c r="D467" s="1288" t="s">
        <v>2544</v>
      </c>
      <c r="E467" s="1289"/>
      <c r="F467" s="1289"/>
      <c r="G467" s="1289"/>
      <c r="H467" s="1289"/>
      <c r="I467" s="1289"/>
      <c r="J467" s="1289"/>
      <c r="K467" s="1289"/>
      <c r="L467" s="1289"/>
      <c r="M467" s="1289"/>
      <c r="N467" s="1289"/>
      <c r="O467" s="1289"/>
      <c r="P467" s="1289"/>
      <c r="Q467" s="1289"/>
      <c r="R467" s="1289"/>
      <c r="S467" s="1289"/>
      <c r="T467" s="1290"/>
      <c r="U467" s="1284">
        <v>100</v>
      </c>
      <c r="V467" s="1285"/>
      <c r="W467" s="1286"/>
    </row>
    <row r="468" spans="1:23" s="295" customFormat="1" ht="30" customHeight="1">
      <c r="A468" s="539"/>
      <c r="B468" s="542"/>
      <c r="C468" s="1288" t="s">
        <v>3359</v>
      </c>
      <c r="D468" s="1289"/>
      <c r="E468" s="1289"/>
      <c r="F468" s="1289"/>
      <c r="G468" s="1289"/>
      <c r="H468" s="1289"/>
      <c r="I468" s="1289"/>
      <c r="J468" s="1289"/>
      <c r="K468" s="1289"/>
      <c r="L468" s="1289"/>
      <c r="M468" s="1289"/>
      <c r="N468" s="1289"/>
      <c r="O468" s="1289"/>
      <c r="P468" s="1289"/>
      <c r="Q468" s="1289"/>
      <c r="R468" s="1289"/>
      <c r="S468" s="1289"/>
      <c r="T468" s="1290"/>
      <c r="U468" s="1284"/>
      <c r="V468" s="1285"/>
      <c r="W468" s="1286"/>
    </row>
    <row r="469" spans="1:23" s="295" customFormat="1" ht="12.75" customHeight="1">
      <c r="A469" s="539"/>
      <c r="B469" s="542"/>
      <c r="C469" s="1291"/>
      <c r="D469" s="1366" t="s">
        <v>2542</v>
      </c>
      <c r="E469" s="1367"/>
      <c r="F469" s="1367"/>
      <c r="G469" s="1367"/>
      <c r="H469" s="1367"/>
      <c r="I469" s="1367"/>
      <c r="J469" s="1367"/>
      <c r="K469" s="1367"/>
      <c r="L469" s="1367"/>
      <c r="M469" s="1367"/>
      <c r="N469" s="1367"/>
      <c r="O469" s="1367"/>
      <c r="P469" s="1367"/>
      <c r="Q469" s="1367"/>
      <c r="R469" s="1367"/>
      <c r="S469" s="1367"/>
      <c r="T469" s="1368"/>
      <c r="U469" s="1284">
        <v>115</v>
      </c>
      <c r="V469" s="1285"/>
      <c r="W469" s="1286"/>
    </row>
    <row r="470" spans="1:23" s="295" customFormat="1" ht="12.75" customHeight="1">
      <c r="A470" s="539"/>
      <c r="B470" s="542"/>
      <c r="C470" s="1292"/>
      <c r="D470" s="1366" t="s">
        <v>2543</v>
      </c>
      <c r="E470" s="1367"/>
      <c r="F470" s="1367"/>
      <c r="G470" s="1367"/>
      <c r="H470" s="1367"/>
      <c r="I470" s="1367"/>
      <c r="J470" s="1367"/>
      <c r="K470" s="1367"/>
      <c r="L470" s="1367"/>
      <c r="M470" s="1367"/>
      <c r="N470" s="1367"/>
      <c r="O470" s="1367"/>
      <c r="P470" s="1367"/>
      <c r="Q470" s="1367"/>
      <c r="R470" s="1367"/>
      <c r="S470" s="1367"/>
      <c r="T470" s="1368"/>
      <c r="U470" s="1284">
        <v>105</v>
      </c>
      <c r="V470" s="1285"/>
      <c r="W470" s="1286"/>
    </row>
    <row r="471" spans="1:23" s="295" customFormat="1" ht="12.75" customHeight="1">
      <c r="A471" s="539"/>
      <c r="B471" s="542"/>
      <c r="C471" s="1293"/>
      <c r="D471" s="1366" t="s">
        <v>2544</v>
      </c>
      <c r="E471" s="1367"/>
      <c r="F471" s="1367"/>
      <c r="G471" s="1367"/>
      <c r="H471" s="1367"/>
      <c r="I471" s="1367"/>
      <c r="J471" s="1367"/>
      <c r="K471" s="1367"/>
      <c r="L471" s="1367"/>
      <c r="M471" s="1367"/>
      <c r="N471" s="1367"/>
      <c r="O471" s="1367"/>
      <c r="P471" s="1367"/>
      <c r="Q471" s="1367"/>
      <c r="R471" s="1367"/>
      <c r="S471" s="1367"/>
      <c r="T471" s="1368"/>
      <c r="U471" s="1284">
        <v>95</v>
      </c>
      <c r="V471" s="1285"/>
      <c r="W471" s="1286"/>
    </row>
    <row r="472" spans="1:23" s="295" customFormat="1" ht="12.75" customHeight="1">
      <c r="A472" s="539"/>
      <c r="B472" s="542"/>
      <c r="C472" s="1288" t="s">
        <v>3360</v>
      </c>
      <c r="D472" s="1289"/>
      <c r="E472" s="1289"/>
      <c r="F472" s="1289"/>
      <c r="G472" s="1289"/>
      <c r="H472" s="1289"/>
      <c r="I472" s="1289"/>
      <c r="J472" s="1289"/>
      <c r="K472" s="1289"/>
      <c r="L472" s="1289"/>
      <c r="M472" s="1289"/>
      <c r="N472" s="1289"/>
      <c r="O472" s="1289"/>
      <c r="P472" s="1289"/>
      <c r="Q472" s="1289"/>
      <c r="R472" s="1289"/>
      <c r="S472" s="1289"/>
      <c r="T472" s="1290"/>
      <c r="U472" s="1284"/>
      <c r="V472" s="1285"/>
      <c r="W472" s="1286"/>
    </row>
    <row r="473" spans="1:23" s="295" customFormat="1" ht="12.75" customHeight="1">
      <c r="A473" s="539"/>
      <c r="B473" s="542"/>
      <c r="C473" s="1291"/>
      <c r="D473" s="1288" t="s">
        <v>2542</v>
      </c>
      <c r="E473" s="1289"/>
      <c r="F473" s="1289"/>
      <c r="G473" s="1289"/>
      <c r="H473" s="1289"/>
      <c r="I473" s="1289"/>
      <c r="J473" s="1289"/>
      <c r="K473" s="1289"/>
      <c r="L473" s="1289"/>
      <c r="M473" s="1289"/>
      <c r="N473" s="1289"/>
      <c r="O473" s="1289"/>
      <c r="P473" s="1289"/>
      <c r="Q473" s="1289"/>
      <c r="R473" s="1289"/>
      <c r="S473" s="1289"/>
      <c r="T473" s="1290"/>
      <c r="U473" s="1284">
        <v>110</v>
      </c>
      <c r="V473" s="1285"/>
      <c r="W473" s="1286"/>
    </row>
    <row r="474" spans="1:23" s="295" customFormat="1" ht="12.75" customHeight="1">
      <c r="A474" s="539"/>
      <c r="B474" s="542"/>
      <c r="C474" s="1292"/>
      <c r="D474" s="1288" t="s">
        <v>2543</v>
      </c>
      <c r="E474" s="1289"/>
      <c r="F474" s="1289"/>
      <c r="G474" s="1289"/>
      <c r="H474" s="1289"/>
      <c r="I474" s="1289"/>
      <c r="J474" s="1289"/>
      <c r="K474" s="1289"/>
      <c r="L474" s="1289"/>
      <c r="M474" s="1289"/>
      <c r="N474" s="1289"/>
      <c r="O474" s="1289"/>
      <c r="P474" s="1289"/>
      <c r="Q474" s="1289"/>
      <c r="R474" s="1289"/>
      <c r="S474" s="1289"/>
      <c r="T474" s="1290"/>
      <c r="U474" s="1284">
        <v>100</v>
      </c>
      <c r="V474" s="1285"/>
      <c r="W474" s="1286"/>
    </row>
    <row r="475" spans="1:23" s="295" customFormat="1" ht="12.75" customHeight="1">
      <c r="A475" s="539"/>
      <c r="B475" s="542"/>
      <c r="C475" s="1292"/>
      <c r="D475" s="1288" t="s">
        <v>2545</v>
      </c>
      <c r="E475" s="1289"/>
      <c r="F475" s="1289"/>
      <c r="G475" s="1289"/>
      <c r="H475" s="1289"/>
      <c r="I475" s="1289"/>
      <c r="J475" s="1289"/>
      <c r="K475" s="1289"/>
      <c r="L475" s="1289"/>
      <c r="M475" s="1289"/>
      <c r="N475" s="1289"/>
      <c r="O475" s="1289"/>
      <c r="P475" s="1289"/>
      <c r="Q475" s="1289"/>
      <c r="R475" s="1289"/>
      <c r="S475" s="1289"/>
      <c r="T475" s="1290"/>
      <c r="U475" s="1284">
        <v>90</v>
      </c>
      <c r="V475" s="1285"/>
      <c r="W475" s="1286"/>
    </row>
    <row r="476" spans="1:23" s="295" customFormat="1" ht="12.75" customHeight="1">
      <c r="A476" s="539"/>
      <c r="B476" s="543"/>
      <c r="C476" s="1293"/>
      <c r="D476" s="1288" t="s">
        <v>2546</v>
      </c>
      <c r="E476" s="1289"/>
      <c r="F476" s="1289"/>
      <c r="G476" s="1289"/>
      <c r="H476" s="1289"/>
      <c r="I476" s="1289"/>
      <c r="J476" s="1289"/>
      <c r="K476" s="1289"/>
      <c r="L476" s="1289"/>
      <c r="M476" s="1289"/>
      <c r="N476" s="1289"/>
      <c r="O476" s="1289"/>
      <c r="P476" s="1289"/>
      <c r="Q476" s="1289"/>
      <c r="R476" s="1289"/>
      <c r="S476" s="1289"/>
      <c r="T476" s="1290"/>
      <c r="U476" s="1284">
        <v>85</v>
      </c>
      <c r="V476" s="1285"/>
      <c r="W476" s="1286"/>
    </row>
    <row r="477" spans="1:23" s="295" customFormat="1" ht="12.75" customHeight="1">
      <c r="A477" s="539"/>
      <c r="B477" s="1295" t="s">
        <v>3307</v>
      </c>
      <c r="C477" s="1296"/>
      <c r="D477" s="1296"/>
      <c r="E477" s="1296"/>
      <c r="F477" s="1296"/>
      <c r="G477" s="1296"/>
      <c r="H477" s="1296"/>
      <c r="I477" s="1296"/>
      <c r="J477" s="1296"/>
      <c r="K477" s="1296"/>
      <c r="L477" s="1296"/>
      <c r="M477" s="1296"/>
      <c r="N477" s="1296"/>
      <c r="O477" s="1296"/>
      <c r="P477" s="1296"/>
      <c r="Q477" s="1296"/>
      <c r="R477" s="1296"/>
      <c r="S477" s="1296"/>
      <c r="T477" s="1297"/>
      <c r="U477" s="1284"/>
      <c r="V477" s="1285"/>
      <c r="W477" s="1286"/>
    </row>
    <row r="478" spans="1:23" s="295" customFormat="1" ht="28.5" customHeight="1">
      <c r="A478" s="539"/>
      <c r="B478" s="1349"/>
      <c r="C478" s="1343" t="s">
        <v>3361</v>
      </c>
      <c r="D478" s="1344"/>
      <c r="E478" s="1344"/>
      <c r="F478" s="1344"/>
      <c r="G478" s="1344"/>
      <c r="H478" s="1344"/>
      <c r="I478" s="1344"/>
      <c r="J478" s="1344"/>
      <c r="K478" s="1344"/>
      <c r="L478" s="1344"/>
      <c r="M478" s="1344"/>
      <c r="N478" s="1344"/>
      <c r="O478" s="1344"/>
      <c r="P478" s="1344"/>
      <c r="Q478" s="1344"/>
      <c r="R478" s="1344"/>
      <c r="S478" s="1344"/>
      <c r="T478" s="1345"/>
      <c r="U478" s="1284"/>
      <c r="V478" s="1285"/>
      <c r="W478" s="1286"/>
    </row>
    <row r="479" spans="1:23" s="295" customFormat="1" ht="12.75" customHeight="1">
      <c r="A479" s="539"/>
      <c r="B479" s="1350"/>
      <c r="C479" s="1291"/>
      <c r="D479" s="1288" t="s">
        <v>2542</v>
      </c>
      <c r="E479" s="1289"/>
      <c r="F479" s="1289"/>
      <c r="G479" s="1289"/>
      <c r="H479" s="1289"/>
      <c r="I479" s="1289"/>
      <c r="J479" s="1289"/>
      <c r="K479" s="1289"/>
      <c r="L479" s="1289"/>
      <c r="M479" s="1289"/>
      <c r="N479" s="1289"/>
      <c r="O479" s="1289"/>
      <c r="P479" s="1289"/>
      <c r="Q479" s="1289"/>
      <c r="R479" s="1289"/>
      <c r="S479" s="1289"/>
      <c r="T479" s="1290"/>
      <c r="U479" s="1284">
        <v>150</v>
      </c>
      <c r="V479" s="1285"/>
      <c r="W479" s="1286"/>
    </row>
    <row r="480" spans="1:23" s="295" customFormat="1" ht="12.75" customHeight="1">
      <c r="A480" s="539"/>
      <c r="B480" s="1350"/>
      <c r="C480" s="1292"/>
      <c r="D480" s="1288" t="s">
        <v>2543</v>
      </c>
      <c r="E480" s="1289"/>
      <c r="F480" s="1289"/>
      <c r="G480" s="1289"/>
      <c r="H480" s="1289"/>
      <c r="I480" s="1289"/>
      <c r="J480" s="1289"/>
      <c r="K480" s="1289"/>
      <c r="L480" s="1289"/>
      <c r="M480" s="1289"/>
      <c r="N480" s="1289"/>
      <c r="O480" s="1289"/>
      <c r="P480" s="1289"/>
      <c r="Q480" s="1289"/>
      <c r="R480" s="1289"/>
      <c r="S480" s="1289"/>
      <c r="T480" s="1290"/>
      <c r="U480" s="1284">
        <v>140</v>
      </c>
      <c r="V480" s="1285"/>
      <c r="W480" s="1286"/>
    </row>
    <row r="481" spans="1:23" s="295" customFormat="1" ht="12.75" customHeight="1">
      <c r="A481" s="539"/>
      <c r="B481" s="1350"/>
      <c r="C481" s="1293"/>
      <c r="D481" s="1288" t="s">
        <v>2544</v>
      </c>
      <c r="E481" s="1289"/>
      <c r="F481" s="1289"/>
      <c r="G481" s="1289"/>
      <c r="H481" s="1289"/>
      <c r="I481" s="1289"/>
      <c r="J481" s="1289"/>
      <c r="K481" s="1289"/>
      <c r="L481" s="1289"/>
      <c r="M481" s="1289"/>
      <c r="N481" s="1289"/>
      <c r="O481" s="1289"/>
      <c r="P481" s="1289"/>
      <c r="Q481" s="1289"/>
      <c r="R481" s="1289"/>
      <c r="S481" s="1289"/>
      <c r="T481" s="1290"/>
      <c r="U481" s="1284">
        <v>130</v>
      </c>
      <c r="V481" s="1285"/>
      <c r="W481" s="1286"/>
    </row>
    <row r="482" spans="1:23" s="295" customFormat="1" ht="30.75" customHeight="1">
      <c r="A482" s="539"/>
      <c r="B482" s="533"/>
      <c r="C482" s="1288" t="s">
        <v>3362</v>
      </c>
      <c r="D482" s="1289"/>
      <c r="E482" s="1289"/>
      <c r="F482" s="1289"/>
      <c r="G482" s="1289"/>
      <c r="H482" s="1289"/>
      <c r="I482" s="1289"/>
      <c r="J482" s="1289"/>
      <c r="K482" s="1289"/>
      <c r="L482" s="1289"/>
      <c r="M482" s="1289"/>
      <c r="N482" s="1289"/>
      <c r="O482" s="1289"/>
      <c r="P482" s="1289"/>
      <c r="Q482" s="1289"/>
      <c r="R482" s="1289"/>
      <c r="S482" s="1289"/>
      <c r="T482" s="1290"/>
      <c r="U482" s="1284"/>
      <c r="V482" s="1285"/>
      <c r="W482" s="1286"/>
    </row>
    <row r="483" spans="1:23" s="295" customFormat="1" ht="12.75" customHeight="1">
      <c r="A483" s="539"/>
      <c r="B483" s="1350"/>
      <c r="C483" s="1292"/>
      <c r="D483" s="1288" t="s">
        <v>2542</v>
      </c>
      <c r="E483" s="1289"/>
      <c r="F483" s="1289"/>
      <c r="G483" s="1289"/>
      <c r="H483" s="1289"/>
      <c r="I483" s="1289"/>
      <c r="J483" s="1289"/>
      <c r="K483" s="1289"/>
      <c r="L483" s="1289"/>
      <c r="M483" s="1289"/>
      <c r="N483" s="1289"/>
      <c r="O483" s="1289"/>
      <c r="P483" s="1289"/>
      <c r="Q483" s="1289"/>
      <c r="R483" s="1289"/>
      <c r="S483" s="1289"/>
      <c r="T483" s="1290"/>
      <c r="U483" s="1284">
        <v>120</v>
      </c>
      <c r="V483" s="1285"/>
      <c r="W483" s="1286"/>
    </row>
    <row r="484" spans="1:23" s="295" customFormat="1" ht="12.75" customHeight="1">
      <c r="A484" s="539"/>
      <c r="B484" s="1350"/>
      <c r="C484" s="1292"/>
      <c r="D484" s="1288" t="s">
        <v>2543</v>
      </c>
      <c r="E484" s="1289"/>
      <c r="F484" s="1289"/>
      <c r="G484" s="1289"/>
      <c r="H484" s="1289"/>
      <c r="I484" s="1289"/>
      <c r="J484" s="1289"/>
      <c r="K484" s="1289"/>
      <c r="L484" s="1289"/>
      <c r="M484" s="1289"/>
      <c r="N484" s="1289"/>
      <c r="O484" s="1289"/>
      <c r="P484" s="1289"/>
      <c r="Q484" s="1289"/>
      <c r="R484" s="1289"/>
      <c r="S484" s="1289"/>
      <c r="T484" s="1290"/>
      <c r="U484" s="1284">
        <v>110</v>
      </c>
      <c r="V484" s="1285"/>
      <c r="W484" s="1286"/>
    </row>
    <row r="485" spans="1:23" s="295" customFormat="1" ht="12.75" customHeight="1">
      <c r="A485" s="539"/>
      <c r="B485" s="1350"/>
      <c r="C485" s="1292"/>
      <c r="D485" s="1288" t="s">
        <v>2544</v>
      </c>
      <c r="E485" s="1289"/>
      <c r="F485" s="1289"/>
      <c r="G485" s="1289"/>
      <c r="H485" s="1289"/>
      <c r="I485" s="1289"/>
      <c r="J485" s="1289"/>
      <c r="K485" s="1289"/>
      <c r="L485" s="1289"/>
      <c r="M485" s="1289"/>
      <c r="N485" s="1289"/>
      <c r="O485" s="1289"/>
      <c r="P485" s="1289"/>
      <c r="Q485" s="1289"/>
      <c r="R485" s="1289"/>
      <c r="S485" s="1289"/>
      <c r="T485" s="1290"/>
      <c r="U485" s="1284">
        <v>100</v>
      </c>
      <c r="V485" s="1285"/>
      <c r="W485" s="1286"/>
    </row>
    <row r="486" spans="1:23" s="295" customFormat="1" ht="29.25" customHeight="1">
      <c r="A486" s="539"/>
      <c r="B486" s="1359"/>
      <c r="C486" s="1288" t="s">
        <v>3363</v>
      </c>
      <c r="D486" s="1289"/>
      <c r="E486" s="1289"/>
      <c r="F486" s="1289"/>
      <c r="G486" s="1289"/>
      <c r="H486" s="1289"/>
      <c r="I486" s="1289"/>
      <c r="J486" s="1289"/>
      <c r="K486" s="1289"/>
      <c r="L486" s="1289"/>
      <c r="M486" s="1289"/>
      <c r="N486" s="1289"/>
      <c r="O486" s="1289"/>
      <c r="P486" s="1289"/>
      <c r="Q486" s="1289"/>
      <c r="R486" s="1289"/>
      <c r="S486" s="1289"/>
      <c r="T486" s="1290"/>
      <c r="U486" s="1284"/>
      <c r="V486" s="1285"/>
      <c r="W486" s="1286"/>
    </row>
    <row r="487" spans="1:23" s="295" customFormat="1" ht="12.75" customHeight="1">
      <c r="A487" s="539"/>
      <c r="B487" s="1359"/>
      <c r="C487" s="1358"/>
      <c r="D487" s="1366" t="s">
        <v>2542</v>
      </c>
      <c r="E487" s="1367"/>
      <c r="F487" s="1367"/>
      <c r="G487" s="1367"/>
      <c r="H487" s="1367"/>
      <c r="I487" s="1367"/>
      <c r="J487" s="1367"/>
      <c r="K487" s="1367"/>
      <c r="L487" s="1367"/>
      <c r="M487" s="1367"/>
      <c r="N487" s="1367"/>
      <c r="O487" s="1367"/>
      <c r="P487" s="1367"/>
      <c r="Q487" s="1367"/>
      <c r="R487" s="1367"/>
      <c r="S487" s="1367"/>
      <c r="T487" s="1368"/>
      <c r="U487" s="1284">
        <v>110</v>
      </c>
      <c r="V487" s="1285"/>
      <c r="W487" s="1286"/>
    </row>
    <row r="488" spans="1:23" s="295" customFormat="1" ht="12.75" customHeight="1">
      <c r="A488" s="539"/>
      <c r="B488" s="1359"/>
      <c r="C488" s="1359"/>
      <c r="D488" s="1366" t="s">
        <v>2543</v>
      </c>
      <c r="E488" s="1367"/>
      <c r="F488" s="1367"/>
      <c r="G488" s="1367"/>
      <c r="H488" s="1367"/>
      <c r="I488" s="1367"/>
      <c r="J488" s="1367"/>
      <c r="K488" s="1367"/>
      <c r="L488" s="1367"/>
      <c r="M488" s="1367"/>
      <c r="N488" s="1367"/>
      <c r="O488" s="1367"/>
      <c r="P488" s="1367"/>
      <c r="Q488" s="1367"/>
      <c r="R488" s="1367"/>
      <c r="S488" s="1367"/>
      <c r="T488" s="1368"/>
      <c r="U488" s="1284">
        <v>100</v>
      </c>
      <c r="V488" s="1285"/>
      <c r="W488" s="1286"/>
    </row>
    <row r="489" spans="1:23" s="295" customFormat="1" ht="12.75" customHeight="1">
      <c r="A489" s="539"/>
      <c r="B489" s="1359"/>
      <c r="C489" s="1359"/>
      <c r="D489" s="1366" t="s">
        <v>2545</v>
      </c>
      <c r="E489" s="1367"/>
      <c r="F489" s="1367"/>
      <c r="G489" s="1367"/>
      <c r="H489" s="1367"/>
      <c r="I489" s="1367"/>
      <c r="J489" s="1367"/>
      <c r="K489" s="1367"/>
      <c r="L489" s="1367"/>
      <c r="M489" s="1367"/>
      <c r="N489" s="1367"/>
      <c r="O489" s="1367"/>
      <c r="P489" s="1367"/>
      <c r="Q489" s="1367"/>
      <c r="R489" s="1367"/>
      <c r="S489" s="1367"/>
      <c r="T489" s="1368"/>
      <c r="U489" s="1284">
        <v>90</v>
      </c>
      <c r="V489" s="1285"/>
      <c r="W489" s="1286"/>
    </row>
    <row r="490" spans="1:23" s="295" customFormat="1" ht="12.75" customHeight="1">
      <c r="A490" s="540"/>
      <c r="B490" s="1369"/>
      <c r="C490" s="1369"/>
      <c r="D490" s="1366" t="s">
        <v>2546</v>
      </c>
      <c r="E490" s="1367"/>
      <c r="F490" s="1367"/>
      <c r="G490" s="1367"/>
      <c r="H490" s="1367"/>
      <c r="I490" s="1367"/>
      <c r="J490" s="1367"/>
      <c r="K490" s="1367"/>
      <c r="L490" s="1367"/>
      <c r="M490" s="1367"/>
      <c r="N490" s="1367"/>
      <c r="O490" s="1367"/>
      <c r="P490" s="1367"/>
      <c r="Q490" s="1367"/>
      <c r="R490" s="1367"/>
      <c r="S490" s="1367"/>
      <c r="T490" s="1368"/>
      <c r="U490" s="1284">
        <v>85</v>
      </c>
      <c r="V490" s="1285"/>
      <c r="W490" s="1286"/>
    </row>
    <row r="491" spans="1:23" s="295" customFormat="1" ht="12.75" customHeight="1">
      <c r="A491" s="542"/>
      <c r="B491" s="316"/>
      <c r="C491" s="316"/>
      <c r="D491" s="544"/>
      <c r="E491" s="544"/>
      <c r="F491" s="544"/>
      <c r="G491" s="544"/>
      <c r="H491" s="544"/>
      <c r="I491" s="544"/>
      <c r="J491" s="544"/>
      <c r="K491" s="544"/>
      <c r="L491" s="544"/>
      <c r="M491" s="544"/>
      <c r="N491" s="544"/>
      <c r="O491" s="544"/>
      <c r="P491" s="544"/>
      <c r="Q491" s="544"/>
      <c r="R491" s="544"/>
      <c r="S491" s="544"/>
      <c r="T491" s="544"/>
      <c r="U491" s="418"/>
      <c r="V491" s="418"/>
      <c r="W491" s="418"/>
    </row>
    <row r="492" spans="1:23" s="295" customFormat="1" ht="12.75" customHeight="1">
      <c r="A492" s="542"/>
      <c r="B492" s="316"/>
      <c r="C492" s="316"/>
      <c r="D492" s="544"/>
      <c r="E492" s="544"/>
      <c r="F492" s="544"/>
      <c r="G492" s="544"/>
      <c r="H492" s="544"/>
      <c r="I492" s="544"/>
      <c r="J492" s="544"/>
      <c r="K492" s="544"/>
      <c r="L492" s="544"/>
      <c r="M492" s="544"/>
      <c r="N492" s="544"/>
      <c r="O492" s="544"/>
      <c r="P492" s="544"/>
      <c r="Q492" s="544"/>
      <c r="R492" s="544"/>
      <c r="S492" s="544"/>
      <c r="T492" s="544"/>
      <c r="U492" s="316"/>
      <c r="V492" s="316"/>
      <c r="W492" s="316"/>
    </row>
    <row r="493" spans="1:23" s="295" customFormat="1" ht="12.75" customHeight="1">
      <c r="A493" s="542"/>
      <c r="B493" s="316"/>
      <c r="C493" s="316"/>
      <c r="D493" s="544"/>
      <c r="E493" s="544"/>
      <c r="F493" s="544"/>
      <c r="G493" s="544"/>
      <c r="H493" s="544"/>
      <c r="I493" s="544"/>
      <c r="J493" s="544"/>
      <c r="K493" s="544"/>
      <c r="L493" s="544"/>
      <c r="M493" s="544"/>
      <c r="N493" s="544"/>
      <c r="O493" s="544"/>
      <c r="P493" s="544"/>
      <c r="Q493" s="544"/>
      <c r="R493" s="544"/>
      <c r="S493" s="544"/>
      <c r="T493" s="544"/>
      <c r="U493" s="316"/>
      <c r="V493" s="316"/>
      <c r="W493" s="316"/>
    </row>
    <row r="494" spans="1:23" s="295" customFormat="1" ht="12.75" customHeight="1">
      <c r="A494" s="545"/>
      <c r="B494" s="546"/>
      <c r="C494" s="546"/>
      <c r="D494" s="547"/>
      <c r="E494" s="547"/>
      <c r="F494" s="547"/>
      <c r="G494" s="547"/>
      <c r="H494" s="547"/>
      <c r="I494" s="547"/>
      <c r="J494" s="547"/>
      <c r="K494" s="547"/>
      <c r="L494" s="547"/>
      <c r="M494" s="547"/>
      <c r="N494" s="547"/>
      <c r="O494" s="547"/>
      <c r="P494" s="547"/>
      <c r="Q494" s="547"/>
      <c r="R494" s="547"/>
      <c r="S494" s="547"/>
      <c r="T494" s="547"/>
      <c r="U494" s="546"/>
      <c r="V494" s="546"/>
      <c r="W494" s="546"/>
    </row>
    <row r="495" spans="1:23" s="295" customFormat="1" ht="30" customHeight="1">
      <c r="A495" s="1300" t="s">
        <v>2541</v>
      </c>
      <c r="B495" s="1300"/>
      <c r="C495" s="1300"/>
      <c r="D495" s="1300"/>
      <c r="E495" s="1300"/>
      <c r="F495" s="1300"/>
      <c r="G495" s="1300"/>
      <c r="H495" s="1300"/>
      <c r="I495" s="1300"/>
      <c r="J495" s="1300"/>
      <c r="K495" s="1300"/>
      <c r="L495" s="1300"/>
      <c r="M495" s="1300"/>
      <c r="N495" s="1300"/>
      <c r="O495" s="1300"/>
      <c r="P495" s="1300"/>
      <c r="Q495" s="1300"/>
      <c r="R495" s="1300"/>
      <c r="S495" s="1300"/>
      <c r="T495" s="1300"/>
      <c r="U495" s="1299" t="s">
        <v>3305</v>
      </c>
      <c r="V495" s="1299"/>
      <c r="W495" s="1299"/>
    </row>
    <row r="496" spans="1:23" s="295" customFormat="1" ht="12.75" customHeight="1">
      <c r="A496" s="539"/>
      <c r="B496" s="1295" t="s">
        <v>3342</v>
      </c>
      <c r="C496" s="1296"/>
      <c r="D496" s="1296"/>
      <c r="E496" s="1296"/>
      <c r="F496" s="1296"/>
      <c r="G496" s="1296"/>
      <c r="H496" s="1296"/>
      <c r="I496" s="1296"/>
      <c r="J496" s="1296"/>
      <c r="K496" s="1296"/>
      <c r="L496" s="1296"/>
      <c r="M496" s="1296"/>
      <c r="N496" s="1296"/>
      <c r="O496" s="1296"/>
      <c r="P496" s="1296"/>
      <c r="Q496" s="1296"/>
      <c r="R496" s="1296"/>
      <c r="S496" s="1296"/>
      <c r="T496" s="1297"/>
      <c r="U496" s="1284"/>
      <c r="V496" s="1285"/>
      <c r="W496" s="1286"/>
    </row>
    <row r="497" spans="1:23" s="295" customFormat="1" ht="12.75" customHeight="1">
      <c r="A497" s="539"/>
      <c r="B497" s="1349"/>
      <c r="C497" s="1366" t="s">
        <v>3364</v>
      </c>
      <c r="D497" s="1367"/>
      <c r="E497" s="1367"/>
      <c r="F497" s="1367"/>
      <c r="G497" s="1367"/>
      <c r="H497" s="1367"/>
      <c r="I497" s="1367"/>
      <c r="J497" s="1367"/>
      <c r="K497" s="1367"/>
      <c r="L497" s="1367"/>
      <c r="M497" s="1367"/>
      <c r="N497" s="1367"/>
      <c r="O497" s="1367"/>
      <c r="P497" s="1367"/>
      <c r="Q497" s="1367"/>
      <c r="R497" s="1367"/>
      <c r="S497" s="1367"/>
      <c r="T497" s="1368"/>
      <c r="U497" s="1284"/>
      <c r="V497" s="1285"/>
      <c r="W497" s="1286"/>
    </row>
    <row r="498" spans="1:23" s="295" customFormat="1" ht="12.75" customHeight="1">
      <c r="A498" s="539"/>
      <c r="B498" s="1350"/>
      <c r="C498" s="1291"/>
      <c r="D498" s="1288" t="s">
        <v>2542</v>
      </c>
      <c r="E498" s="1289"/>
      <c r="F498" s="1289"/>
      <c r="G498" s="1289"/>
      <c r="H498" s="1289"/>
      <c r="I498" s="1289"/>
      <c r="J498" s="1289"/>
      <c r="K498" s="1289"/>
      <c r="L498" s="1289"/>
      <c r="M498" s="1289"/>
      <c r="N498" s="1289"/>
      <c r="O498" s="1289"/>
      <c r="P498" s="1289"/>
      <c r="Q498" s="1289"/>
      <c r="R498" s="1289"/>
      <c r="S498" s="1289"/>
      <c r="T498" s="1290"/>
      <c r="U498" s="1284">
        <v>200</v>
      </c>
      <c r="V498" s="1285"/>
      <c r="W498" s="1286"/>
    </row>
    <row r="499" spans="1:23" s="295" customFormat="1" ht="12.75" customHeight="1">
      <c r="A499" s="539"/>
      <c r="B499" s="1350"/>
      <c r="C499" s="1292"/>
      <c r="D499" s="1288" t="s">
        <v>2543</v>
      </c>
      <c r="E499" s="1289"/>
      <c r="F499" s="1289"/>
      <c r="G499" s="1289"/>
      <c r="H499" s="1289"/>
      <c r="I499" s="1289"/>
      <c r="J499" s="1289"/>
      <c r="K499" s="1289"/>
      <c r="L499" s="1289"/>
      <c r="M499" s="1289"/>
      <c r="N499" s="1289"/>
      <c r="O499" s="1289"/>
      <c r="P499" s="1289"/>
      <c r="Q499" s="1289"/>
      <c r="R499" s="1289"/>
      <c r="S499" s="1289"/>
      <c r="T499" s="1290"/>
      <c r="U499" s="1284">
        <v>190</v>
      </c>
      <c r="V499" s="1285"/>
      <c r="W499" s="1286"/>
    </row>
    <row r="500" spans="1:23" s="295" customFormat="1" ht="12.75" customHeight="1">
      <c r="A500" s="539"/>
      <c r="B500" s="1350"/>
      <c r="C500" s="1293"/>
      <c r="D500" s="1288" t="s">
        <v>2544</v>
      </c>
      <c r="E500" s="1289"/>
      <c r="F500" s="1289"/>
      <c r="G500" s="1289"/>
      <c r="H500" s="1289"/>
      <c r="I500" s="1289"/>
      <c r="J500" s="1289"/>
      <c r="K500" s="1289"/>
      <c r="L500" s="1289"/>
      <c r="M500" s="1289"/>
      <c r="N500" s="1289"/>
      <c r="O500" s="1289"/>
      <c r="P500" s="1289"/>
      <c r="Q500" s="1289"/>
      <c r="R500" s="1289"/>
      <c r="S500" s="1289"/>
      <c r="T500" s="1290"/>
      <c r="U500" s="1284">
        <v>180</v>
      </c>
      <c r="V500" s="1285"/>
      <c r="W500" s="1286"/>
    </row>
    <row r="501" spans="1:23" s="295" customFormat="1" ht="27.75" customHeight="1">
      <c r="A501" s="539"/>
      <c r="B501" s="1350"/>
      <c r="C501" s="1288" t="s">
        <v>3365</v>
      </c>
      <c r="D501" s="1289"/>
      <c r="E501" s="1289"/>
      <c r="F501" s="1289"/>
      <c r="G501" s="1289"/>
      <c r="H501" s="1289"/>
      <c r="I501" s="1289"/>
      <c r="J501" s="1289"/>
      <c r="K501" s="1289"/>
      <c r="L501" s="1289"/>
      <c r="M501" s="1289"/>
      <c r="N501" s="1289"/>
      <c r="O501" s="1289"/>
      <c r="P501" s="1289"/>
      <c r="Q501" s="1289"/>
      <c r="R501" s="1289"/>
      <c r="S501" s="1289"/>
      <c r="T501" s="1290"/>
      <c r="U501" s="1284"/>
      <c r="V501" s="1285"/>
      <c r="W501" s="1286"/>
    </row>
    <row r="502" spans="1:23" s="295" customFormat="1" ht="12.75" customHeight="1">
      <c r="A502" s="539"/>
      <c r="B502" s="1350"/>
      <c r="C502" s="1291"/>
      <c r="D502" s="1288" t="s">
        <v>2542</v>
      </c>
      <c r="E502" s="1289"/>
      <c r="F502" s="1289"/>
      <c r="G502" s="1289"/>
      <c r="H502" s="1289"/>
      <c r="I502" s="1289"/>
      <c r="J502" s="1289"/>
      <c r="K502" s="1289"/>
      <c r="L502" s="1289"/>
      <c r="M502" s="1289"/>
      <c r="N502" s="1289"/>
      <c r="O502" s="1289"/>
      <c r="P502" s="1289"/>
      <c r="Q502" s="1289"/>
      <c r="R502" s="1289"/>
      <c r="S502" s="1289"/>
      <c r="T502" s="1290"/>
      <c r="U502" s="1284">
        <v>190</v>
      </c>
      <c r="V502" s="1285"/>
      <c r="W502" s="1286"/>
    </row>
    <row r="503" spans="1:23" s="295" customFormat="1" ht="12.75" customHeight="1">
      <c r="A503" s="539"/>
      <c r="B503" s="1350"/>
      <c r="C503" s="1292"/>
      <c r="D503" s="1288" t="s">
        <v>2543</v>
      </c>
      <c r="E503" s="1289"/>
      <c r="F503" s="1289"/>
      <c r="G503" s="1289"/>
      <c r="H503" s="1289"/>
      <c r="I503" s="1289"/>
      <c r="J503" s="1289"/>
      <c r="K503" s="1289"/>
      <c r="L503" s="1289"/>
      <c r="M503" s="1289"/>
      <c r="N503" s="1289"/>
      <c r="O503" s="1289"/>
      <c r="P503" s="1289"/>
      <c r="Q503" s="1289"/>
      <c r="R503" s="1289"/>
      <c r="S503" s="1289"/>
      <c r="T503" s="1290"/>
      <c r="U503" s="1284">
        <v>180</v>
      </c>
      <c r="V503" s="1285"/>
      <c r="W503" s="1286"/>
    </row>
    <row r="504" spans="1:23" s="295" customFormat="1" ht="12.75" customHeight="1">
      <c r="A504" s="539"/>
      <c r="B504" s="1350"/>
      <c r="C504" s="1293"/>
      <c r="D504" s="1288" t="s">
        <v>2544</v>
      </c>
      <c r="E504" s="1289"/>
      <c r="F504" s="1289"/>
      <c r="G504" s="1289"/>
      <c r="H504" s="1289"/>
      <c r="I504" s="1289"/>
      <c r="J504" s="1289"/>
      <c r="K504" s="1289"/>
      <c r="L504" s="1289"/>
      <c r="M504" s="1289"/>
      <c r="N504" s="1289"/>
      <c r="O504" s="1289"/>
      <c r="P504" s="1289"/>
      <c r="Q504" s="1289"/>
      <c r="R504" s="1289"/>
      <c r="S504" s="1289"/>
      <c r="T504" s="1290"/>
      <c r="U504" s="1284">
        <v>170</v>
      </c>
      <c r="V504" s="1285"/>
      <c r="W504" s="1286"/>
    </row>
    <row r="505" spans="1:23" s="295" customFormat="1" ht="12.75" customHeight="1">
      <c r="A505" s="539"/>
      <c r="B505" s="1350"/>
      <c r="C505" s="1366" t="s">
        <v>3366</v>
      </c>
      <c r="D505" s="1367"/>
      <c r="E505" s="1367"/>
      <c r="F505" s="1367"/>
      <c r="G505" s="1367"/>
      <c r="H505" s="1367"/>
      <c r="I505" s="1367"/>
      <c r="J505" s="1367"/>
      <c r="K505" s="1367"/>
      <c r="L505" s="1367"/>
      <c r="M505" s="1367"/>
      <c r="N505" s="1367"/>
      <c r="O505" s="1367"/>
      <c r="P505" s="1367"/>
      <c r="Q505" s="1367"/>
      <c r="R505" s="1367"/>
      <c r="S505" s="1367"/>
      <c r="T505" s="1368"/>
      <c r="U505" s="1284"/>
      <c r="V505" s="1285"/>
      <c r="W505" s="1286"/>
    </row>
    <row r="506" spans="1:23" s="295" customFormat="1" ht="12.75" customHeight="1">
      <c r="A506" s="539"/>
      <c r="B506" s="1350"/>
      <c r="C506" s="1291"/>
      <c r="D506" s="1288" t="s">
        <v>2542</v>
      </c>
      <c r="E506" s="1289"/>
      <c r="F506" s="1289"/>
      <c r="G506" s="1289"/>
      <c r="H506" s="1289"/>
      <c r="I506" s="1289"/>
      <c r="J506" s="1289"/>
      <c r="K506" s="1289"/>
      <c r="L506" s="1289"/>
      <c r="M506" s="1289"/>
      <c r="N506" s="1289"/>
      <c r="O506" s="1289"/>
      <c r="P506" s="1289"/>
      <c r="Q506" s="1289"/>
      <c r="R506" s="1289"/>
      <c r="S506" s="1289"/>
      <c r="T506" s="1290"/>
      <c r="U506" s="1284">
        <v>185</v>
      </c>
      <c r="V506" s="1285"/>
      <c r="W506" s="1286"/>
    </row>
    <row r="507" spans="1:23" s="295" customFormat="1" ht="12.75" customHeight="1">
      <c r="A507" s="539"/>
      <c r="B507" s="1350"/>
      <c r="C507" s="1292"/>
      <c r="D507" s="1288" t="s">
        <v>2543</v>
      </c>
      <c r="E507" s="1289"/>
      <c r="F507" s="1289"/>
      <c r="G507" s="1289"/>
      <c r="H507" s="1289"/>
      <c r="I507" s="1289"/>
      <c r="J507" s="1289"/>
      <c r="K507" s="1289"/>
      <c r="L507" s="1289"/>
      <c r="M507" s="1289"/>
      <c r="N507" s="1289"/>
      <c r="O507" s="1289"/>
      <c r="P507" s="1289"/>
      <c r="Q507" s="1289"/>
      <c r="R507" s="1289"/>
      <c r="S507" s="1289"/>
      <c r="T507" s="1290"/>
      <c r="U507" s="1284">
        <v>175</v>
      </c>
      <c r="V507" s="1285"/>
      <c r="W507" s="1286"/>
    </row>
    <row r="508" spans="1:23" s="295" customFormat="1" ht="12.75" customHeight="1">
      <c r="A508" s="539"/>
      <c r="B508" s="1350"/>
      <c r="C508" s="1293"/>
      <c r="D508" s="1288" t="s">
        <v>2544</v>
      </c>
      <c r="E508" s="1289"/>
      <c r="F508" s="1289"/>
      <c r="G508" s="1289"/>
      <c r="H508" s="1289"/>
      <c r="I508" s="1289"/>
      <c r="J508" s="1289"/>
      <c r="K508" s="1289"/>
      <c r="L508" s="1289"/>
      <c r="M508" s="1289"/>
      <c r="N508" s="1289"/>
      <c r="O508" s="1289"/>
      <c r="P508" s="1289"/>
      <c r="Q508" s="1289"/>
      <c r="R508" s="1289"/>
      <c r="S508" s="1289"/>
      <c r="T508" s="1290"/>
      <c r="U508" s="1284">
        <v>165</v>
      </c>
      <c r="V508" s="1285"/>
      <c r="W508" s="1286"/>
    </row>
    <row r="509" spans="1:23" s="295" customFormat="1" ht="12.75" customHeight="1">
      <c r="A509" s="539"/>
      <c r="B509" s="1350"/>
      <c r="C509" s="1288" t="s">
        <v>3367</v>
      </c>
      <c r="D509" s="1289"/>
      <c r="E509" s="1289"/>
      <c r="F509" s="1289"/>
      <c r="G509" s="1289"/>
      <c r="H509" s="1289"/>
      <c r="I509" s="1289"/>
      <c r="J509" s="1289"/>
      <c r="K509" s="1289"/>
      <c r="L509" s="1289"/>
      <c r="M509" s="1289"/>
      <c r="N509" s="1289"/>
      <c r="O509" s="1289"/>
      <c r="P509" s="1289"/>
      <c r="Q509" s="1289"/>
      <c r="R509" s="1289"/>
      <c r="S509" s="1289"/>
      <c r="T509" s="1290"/>
      <c r="U509" s="1284"/>
      <c r="V509" s="1285"/>
      <c r="W509" s="1286"/>
    </row>
    <row r="510" spans="1:23" s="295" customFormat="1" ht="12.75" customHeight="1">
      <c r="A510" s="539"/>
      <c r="B510" s="1350"/>
      <c r="C510" s="1291"/>
      <c r="D510" s="1288" t="s">
        <v>2542</v>
      </c>
      <c r="E510" s="1289"/>
      <c r="F510" s="1289"/>
      <c r="G510" s="1289"/>
      <c r="H510" s="1289"/>
      <c r="I510" s="1289"/>
      <c r="J510" s="1289"/>
      <c r="K510" s="1289"/>
      <c r="L510" s="1289"/>
      <c r="M510" s="1289"/>
      <c r="N510" s="1289"/>
      <c r="O510" s="1289"/>
      <c r="P510" s="1289"/>
      <c r="Q510" s="1289"/>
      <c r="R510" s="1289"/>
      <c r="S510" s="1289"/>
      <c r="T510" s="1290"/>
      <c r="U510" s="1284">
        <v>165</v>
      </c>
      <c r="V510" s="1285"/>
      <c r="W510" s="1286"/>
    </row>
    <row r="511" spans="1:23" s="295" customFormat="1" ht="12.75" customHeight="1">
      <c r="A511" s="539"/>
      <c r="B511" s="1350"/>
      <c r="C511" s="1292"/>
      <c r="D511" s="1288" t="s">
        <v>2543</v>
      </c>
      <c r="E511" s="1289"/>
      <c r="F511" s="1289"/>
      <c r="G511" s="1289"/>
      <c r="H511" s="1289"/>
      <c r="I511" s="1289"/>
      <c r="J511" s="1289"/>
      <c r="K511" s="1289"/>
      <c r="L511" s="1289"/>
      <c r="M511" s="1289"/>
      <c r="N511" s="1289"/>
      <c r="O511" s="1289"/>
      <c r="P511" s="1289"/>
      <c r="Q511" s="1289"/>
      <c r="R511" s="1289"/>
      <c r="S511" s="1289"/>
      <c r="T511" s="1290"/>
      <c r="U511" s="1284">
        <v>155</v>
      </c>
      <c r="V511" s="1285"/>
      <c r="W511" s="1286"/>
    </row>
    <row r="512" spans="1:23" s="295" customFormat="1" ht="12.75" customHeight="1">
      <c r="A512" s="539"/>
      <c r="B512" s="1350"/>
      <c r="C512" s="1293"/>
      <c r="D512" s="1288" t="s">
        <v>2544</v>
      </c>
      <c r="E512" s="1289"/>
      <c r="F512" s="1289"/>
      <c r="G512" s="1289"/>
      <c r="H512" s="1289"/>
      <c r="I512" s="1289"/>
      <c r="J512" s="1289"/>
      <c r="K512" s="1289"/>
      <c r="L512" s="1289"/>
      <c r="M512" s="1289"/>
      <c r="N512" s="1289"/>
      <c r="O512" s="1289"/>
      <c r="P512" s="1289"/>
      <c r="Q512" s="1289"/>
      <c r="R512" s="1289"/>
      <c r="S512" s="1289"/>
      <c r="T512" s="1290"/>
      <c r="U512" s="1284">
        <v>145</v>
      </c>
      <c r="V512" s="1285"/>
      <c r="W512" s="1286"/>
    </row>
    <row r="513" spans="1:23" s="295" customFormat="1" ht="12.75" customHeight="1">
      <c r="A513" s="539"/>
      <c r="B513" s="1350"/>
      <c r="C513" s="1343" t="s">
        <v>3368</v>
      </c>
      <c r="D513" s="1344"/>
      <c r="E513" s="1344"/>
      <c r="F513" s="1344"/>
      <c r="G513" s="1344"/>
      <c r="H513" s="1344"/>
      <c r="I513" s="1344"/>
      <c r="J513" s="1344"/>
      <c r="K513" s="1344"/>
      <c r="L513" s="1344"/>
      <c r="M513" s="1344"/>
      <c r="N513" s="1344"/>
      <c r="O513" s="1344"/>
      <c r="P513" s="1344"/>
      <c r="Q513" s="1344"/>
      <c r="R513" s="1344"/>
      <c r="S513" s="1344"/>
      <c r="T513" s="1345"/>
      <c r="U513" s="1284"/>
      <c r="V513" s="1285"/>
      <c r="W513" s="1286"/>
    </row>
    <row r="514" spans="1:23" s="295" customFormat="1" ht="12.75" customHeight="1">
      <c r="A514" s="539"/>
      <c r="B514" s="1350"/>
      <c r="C514" s="1291"/>
      <c r="D514" s="1288" t="s">
        <v>2542</v>
      </c>
      <c r="E514" s="1289"/>
      <c r="F514" s="1289"/>
      <c r="G514" s="1289"/>
      <c r="H514" s="1289"/>
      <c r="I514" s="1289"/>
      <c r="J514" s="1289"/>
      <c r="K514" s="1289"/>
      <c r="L514" s="1289"/>
      <c r="M514" s="1289"/>
      <c r="N514" s="1289"/>
      <c r="O514" s="1289"/>
      <c r="P514" s="1289"/>
      <c r="Q514" s="1289"/>
      <c r="R514" s="1289"/>
      <c r="S514" s="1289"/>
      <c r="T514" s="1290"/>
      <c r="U514" s="1284">
        <v>140</v>
      </c>
      <c r="V514" s="1285"/>
      <c r="W514" s="1286"/>
    </row>
    <row r="515" spans="1:23" s="295" customFormat="1" ht="12.75" customHeight="1">
      <c r="A515" s="539"/>
      <c r="B515" s="1350"/>
      <c r="C515" s="1292"/>
      <c r="D515" s="1288" t="s">
        <v>2543</v>
      </c>
      <c r="E515" s="1289"/>
      <c r="F515" s="1289"/>
      <c r="G515" s="1289"/>
      <c r="H515" s="1289"/>
      <c r="I515" s="1289"/>
      <c r="J515" s="1289"/>
      <c r="K515" s="1289"/>
      <c r="L515" s="1289"/>
      <c r="M515" s="1289"/>
      <c r="N515" s="1289"/>
      <c r="O515" s="1289"/>
      <c r="P515" s="1289"/>
      <c r="Q515" s="1289"/>
      <c r="R515" s="1289"/>
      <c r="S515" s="1289"/>
      <c r="T515" s="1290"/>
      <c r="U515" s="1284">
        <v>130</v>
      </c>
      <c r="V515" s="1285"/>
      <c r="W515" s="1286"/>
    </row>
    <row r="516" spans="1:23" s="295" customFormat="1" ht="12.75" customHeight="1">
      <c r="A516" s="539"/>
      <c r="B516" s="1350"/>
      <c r="C516" s="1293"/>
      <c r="D516" s="1288" t="s">
        <v>2544</v>
      </c>
      <c r="E516" s="1289"/>
      <c r="F516" s="1289"/>
      <c r="G516" s="1289"/>
      <c r="H516" s="1289"/>
      <c r="I516" s="1289"/>
      <c r="J516" s="1289"/>
      <c r="K516" s="1289"/>
      <c r="L516" s="1289"/>
      <c r="M516" s="1289"/>
      <c r="N516" s="1289"/>
      <c r="O516" s="1289"/>
      <c r="P516" s="1289"/>
      <c r="Q516" s="1289"/>
      <c r="R516" s="1289"/>
      <c r="S516" s="1289"/>
      <c r="T516" s="1290"/>
      <c r="U516" s="1284">
        <v>120</v>
      </c>
      <c r="V516" s="1285"/>
      <c r="W516" s="1286"/>
    </row>
    <row r="517" spans="1:23" s="295" customFormat="1" ht="27" customHeight="1">
      <c r="A517" s="539"/>
      <c r="B517" s="1350"/>
      <c r="C517" s="1288" t="s">
        <v>3369</v>
      </c>
      <c r="D517" s="1289"/>
      <c r="E517" s="1289"/>
      <c r="F517" s="1289"/>
      <c r="G517" s="1289"/>
      <c r="H517" s="1289"/>
      <c r="I517" s="1289"/>
      <c r="J517" s="1289"/>
      <c r="K517" s="1289"/>
      <c r="L517" s="1289"/>
      <c r="M517" s="1289"/>
      <c r="N517" s="1289"/>
      <c r="O517" s="1289"/>
      <c r="P517" s="1289"/>
      <c r="Q517" s="1289"/>
      <c r="R517" s="1289"/>
      <c r="S517" s="1289"/>
      <c r="T517" s="1290"/>
      <c r="U517" s="1284"/>
      <c r="V517" s="1285"/>
      <c r="W517" s="1286"/>
    </row>
    <row r="518" spans="1:23" s="295" customFormat="1" ht="12.75" customHeight="1">
      <c r="A518" s="539"/>
      <c r="B518" s="1350"/>
      <c r="C518" s="1291"/>
      <c r="D518" s="1288" t="s">
        <v>2542</v>
      </c>
      <c r="E518" s="1289"/>
      <c r="F518" s="1289"/>
      <c r="G518" s="1289"/>
      <c r="H518" s="1289"/>
      <c r="I518" s="1289"/>
      <c r="J518" s="1289"/>
      <c r="K518" s="1289"/>
      <c r="L518" s="1289"/>
      <c r="M518" s="1289"/>
      <c r="N518" s="1289"/>
      <c r="O518" s="1289"/>
      <c r="P518" s="1289"/>
      <c r="Q518" s="1289"/>
      <c r="R518" s="1289"/>
      <c r="S518" s="1289"/>
      <c r="T518" s="1290"/>
      <c r="U518" s="1284">
        <v>115</v>
      </c>
      <c r="V518" s="1285"/>
      <c r="W518" s="1286"/>
    </row>
    <row r="519" spans="1:23" s="295" customFormat="1" ht="12.75" customHeight="1">
      <c r="A519" s="539"/>
      <c r="B519" s="1350"/>
      <c r="C519" s="1292"/>
      <c r="D519" s="1343" t="s">
        <v>2543</v>
      </c>
      <c r="E519" s="1344"/>
      <c r="F519" s="1344"/>
      <c r="G519" s="1344"/>
      <c r="H519" s="1344"/>
      <c r="I519" s="1344"/>
      <c r="J519" s="1344"/>
      <c r="K519" s="1344"/>
      <c r="L519" s="1344"/>
      <c r="M519" s="1344"/>
      <c r="N519" s="1344"/>
      <c r="O519" s="1344"/>
      <c r="P519" s="1344"/>
      <c r="Q519" s="1344"/>
      <c r="R519" s="1344"/>
      <c r="S519" s="1344"/>
      <c r="T519" s="1345"/>
      <c r="U519" s="1284">
        <v>105</v>
      </c>
      <c r="V519" s="1285"/>
      <c r="W519" s="1286"/>
    </row>
    <row r="520" spans="1:23" s="295" customFormat="1" ht="12.75" customHeight="1">
      <c r="A520" s="539"/>
      <c r="B520" s="1350"/>
      <c r="C520" s="1292"/>
      <c r="D520" s="1343" t="s">
        <v>2545</v>
      </c>
      <c r="E520" s="1344"/>
      <c r="F520" s="1344"/>
      <c r="G520" s="1344"/>
      <c r="H520" s="1344"/>
      <c r="I520" s="1344"/>
      <c r="J520" s="1344"/>
      <c r="K520" s="1344"/>
      <c r="L520" s="1344"/>
      <c r="M520" s="1344"/>
      <c r="N520" s="1344"/>
      <c r="O520" s="1344"/>
      <c r="P520" s="1344"/>
      <c r="Q520" s="1344"/>
      <c r="R520" s="1344"/>
      <c r="S520" s="1344"/>
      <c r="T520" s="1345"/>
      <c r="U520" s="1284">
        <v>95</v>
      </c>
      <c r="V520" s="1285"/>
      <c r="W520" s="1286"/>
    </row>
    <row r="521" spans="1:23" s="295" customFormat="1" ht="12.75" customHeight="1">
      <c r="A521" s="539"/>
      <c r="B521" s="1351"/>
      <c r="C521" s="1293"/>
      <c r="D521" s="1343" t="s">
        <v>2546</v>
      </c>
      <c r="E521" s="1344"/>
      <c r="F521" s="1344"/>
      <c r="G521" s="1344"/>
      <c r="H521" s="1344"/>
      <c r="I521" s="1344"/>
      <c r="J521" s="1344"/>
      <c r="K521" s="1344"/>
      <c r="L521" s="1344"/>
      <c r="M521" s="1344"/>
      <c r="N521" s="1344"/>
      <c r="O521" s="1344"/>
      <c r="P521" s="1344"/>
      <c r="Q521" s="1344"/>
      <c r="R521" s="1344"/>
      <c r="S521" s="1344"/>
      <c r="T521" s="1345"/>
      <c r="U521" s="1284">
        <v>90</v>
      </c>
      <c r="V521" s="1285"/>
      <c r="W521" s="1286"/>
    </row>
    <row r="522" spans="1:23" s="295" customFormat="1" ht="12.75" customHeight="1">
      <c r="A522" s="539"/>
      <c r="B522" s="1295" t="s">
        <v>3370</v>
      </c>
      <c r="C522" s="1296"/>
      <c r="D522" s="1296"/>
      <c r="E522" s="1296"/>
      <c r="F522" s="1296"/>
      <c r="G522" s="1296"/>
      <c r="H522" s="1296"/>
      <c r="I522" s="1296"/>
      <c r="J522" s="1296"/>
      <c r="K522" s="1296"/>
      <c r="L522" s="1296"/>
      <c r="M522" s="1296"/>
      <c r="N522" s="1296"/>
      <c r="O522" s="1296"/>
      <c r="P522" s="1296"/>
      <c r="Q522" s="1296"/>
      <c r="R522" s="1296"/>
      <c r="S522" s="1296"/>
      <c r="T522" s="1297"/>
      <c r="U522" s="1284"/>
      <c r="V522" s="1285"/>
      <c r="W522" s="1286"/>
    </row>
    <row r="523" spans="1:23" s="295" customFormat="1" ht="12.75" customHeight="1">
      <c r="A523" s="539"/>
      <c r="B523" s="1349"/>
      <c r="C523" s="1343" t="s">
        <v>2547</v>
      </c>
      <c r="D523" s="1344"/>
      <c r="E523" s="1344"/>
      <c r="F523" s="1344"/>
      <c r="G523" s="1344"/>
      <c r="H523" s="1344"/>
      <c r="I523" s="1344"/>
      <c r="J523" s="1344"/>
      <c r="K523" s="1344"/>
      <c r="L523" s="1344"/>
      <c r="M523" s="1344"/>
      <c r="N523" s="1344"/>
      <c r="O523" s="1344"/>
      <c r="P523" s="1344"/>
      <c r="Q523" s="1344"/>
      <c r="R523" s="1344"/>
      <c r="S523" s="1344"/>
      <c r="T523" s="1345"/>
      <c r="U523" s="1284"/>
      <c r="V523" s="1285"/>
      <c r="W523" s="1286"/>
    </row>
    <row r="524" spans="1:23" s="295" customFormat="1" ht="12.75" customHeight="1">
      <c r="A524" s="539"/>
      <c r="B524" s="1350"/>
      <c r="C524" s="1291"/>
      <c r="D524" s="1343" t="s">
        <v>2542</v>
      </c>
      <c r="E524" s="1344"/>
      <c r="F524" s="1344"/>
      <c r="G524" s="1344"/>
      <c r="H524" s="1344"/>
      <c r="I524" s="1344"/>
      <c r="J524" s="1344"/>
      <c r="K524" s="1344"/>
      <c r="L524" s="1344"/>
      <c r="M524" s="1344"/>
      <c r="N524" s="1344"/>
      <c r="O524" s="1344"/>
      <c r="P524" s="1344"/>
      <c r="Q524" s="1344"/>
      <c r="R524" s="1344"/>
      <c r="S524" s="1344"/>
      <c r="T524" s="1345"/>
      <c r="U524" s="1284">
        <v>65</v>
      </c>
      <c r="V524" s="1285"/>
      <c r="W524" s="1286"/>
    </row>
    <row r="525" spans="1:23" s="295" customFormat="1" ht="12.75" customHeight="1">
      <c r="A525" s="539"/>
      <c r="B525" s="1350"/>
      <c r="C525" s="1292"/>
      <c r="D525" s="1343" t="s">
        <v>2543</v>
      </c>
      <c r="E525" s="1344"/>
      <c r="F525" s="1344"/>
      <c r="G525" s="1344"/>
      <c r="H525" s="1344"/>
      <c r="I525" s="1344"/>
      <c r="J525" s="1344"/>
      <c r="K525" s="1344"/>
      <c r="L525" s="1344"/>
      <c r="M525" s="1344"/>
      <c r="N525" s="1344"/>
      <c r="O525" s="1344"/>
      <c r="P525" s="1344"/>
      <c r="Q525" s="1344"/>
      <c r="R525" s="1344"/>
      <c r="S525" s="1344"/>
      <c r="T525" s="1345"/>
      <c r="U525" s="1284">
        <v>65</v>
      </c>
      <c r="V525" s="1285"/>
      <c r="W525" s="1286"/>
    </row>
    <row r="526" spans="1:23" s="295" customFormat="1" ht="12.75" customHeight="1">
      <c r="A526" s="539"/>
      <c r="B526" s="1351"/>
      <c r="C526" s="1293"/>
      <c r="D526" s="1343" t="s">
        <v>2544</v>
      </c>
      <c r="E526" s="1344"/>
      <c r="F526" s="1344"/>
      <c r="G526" s="1344"/>
      <c r="H526" s="1344"/>
      <c r="I526" s="1344"/>
      <c r="J526" s="1344"/>
      <c r="K526" s="1344"/>
      <c r="L526" s="1344"/>
      <c r="M526" s="1344"/>
      <c r="N526" s="1344"/>
      <c r="O526" s="1344"/>
      <c r="P526" s="1344"/>
      <c r="Q526" s="1344"/>
      <c r="R526" s="1344"/>
      <c r="S526" s="1344"/>
      <c r="T526" s="1345"/>
      <c r="U526" s="1284">
        <v>65</v>
      </c>
      <c r="V526" s="1285"/>
      <c r="W526" s="1286"/>
    </row>
    <row r="527" spans="1:23" s="295" customFormat="1" ht="12.75" customHeight="1">
      <c r="A527" s="539"/>
      <c r="B527" s="1295" t="s">
        <v>3371</v>
      </c>
      <c r="C527" s="1296"/>
      <c r="D527" s="1296"/>
      <c r="E527" s="1296"/>
      <c r="F527" s="1296"/>
      <c r="G527" s="1296"/>
      <c r="H527" s="1296"/>
      <c r="I527" s="1296"/>
      <c r="J527" s="1296"/>
      <c r="K527" s="1296"/>
      <c r="L527" s="1296"/>
      <c r="M527" s="1296"/>
      <c r="N527" s="1296"/>
      <c r="O527" s="1296"/>
      <c r="P527" s="1296"/>
      <c r="Q527" s="1296"/>
      <c r="R527" s="1296"/>
      <c r="S527" s="1296"/>
      <c r="T527" s="1297"/>
      <c r="U527" s="1284"/>
      <c r="V527" s="1285"/>
      <c r="W527" s="1286"/>
    </row>
    <row r="528" spans="1:23" s="295" customFormat="1" ht="12.75" customHeight="1">
      <c r="A528" s="539"/>
      <c r="B528" s="1349"/>
      <c r="C528" s="1343" t="s">
        <v>2548</v>
      </c>
      <c r="D528" s="1344"/>
      <c r="E528" s="1344"/>
      <c r="F528" s="1344"/>
      <c r="G528" s="1344"/>
      <c r="H528" s="1344"/>
      <c r="I528" s="1344"/>
      <c r="J528" s="1344"/>
      <c r="K528" s="1344"/>
      <c r="L528" s="1344"/>
      <c r="M528" s="1344"/>
      <c r="N528" s="1344"/>
      <c r="O528" s="1344"/>
      <c r="P528" s="1344"/>
      <c r="Q528" s="1344"/>
      <c r="R528" s="1344"/>
      <c r="S528" s="1344"/>
      <c r="T528" s="1345"/>
      <c r="U528" s="1284"/>
      <c r="V528" s="1285"/>
      <c r="W528" s="1286"/>
    </row>
    <row r="529" spans="1:23" s="295" customFormat="1" ht="12.75" customHeight="1">
      <c r="A529" s="539"/>
      <c r="B529" s="1350"/>
      <c r="C529" s="1291"/>
      <c r="D529" s="1343" t="s">
        <v>2542</v>
      </c>
      <c r="E529" s="1344"/>
      <c r="F529" s="1344"/>
      <c r="G529" s="1344"/>
      <c r="H529" s="1344"/>
      <c r="I529" s="1344"/>
      <c r="J529" s="1344"/>
      <c r="K529" s="1344"/>
      <c r="L529" s="1344"/>
      <c r="M529" s="1344"/>
      <c r="N529" s="1344"/>
      <c r="O529" s="1344"/>
      <c r="P529" s="1344"/>
      <c r="Q529" s="1344"/>
      <c r="R529" s="1344"/>
      <c r="S529" s="1344"/>
      <c r="T529" s="1345"/>
      <c r="U529" s="1284">
        <v>150</v>
      </c>
      <c r="V529" s="1285"/>
      <c r="W529" s="1286"/>
    </row>
    <row r="530" spans="1:23" s="295" customFormat="1" ht="12.75" customHeight="1">
      <c r="A530" s="539"/>
      <c r="B530" s="1350"/>
      <c r="C530" s="1292"/>
      <c r="D530" s="1343" t="s">
        <v>2543</v>
      </c>
      <c r="E530" s="1344"/>
      <c r="F530" s="1344"/>
      <c r="G530" s="1344"/>
      <c r="H530" s="1344"/>
      <c r="I530" s="1344"/>
      <c r="J530" s="1344"/>
      <c r="K530" s="1344"/>
      <c r="L530" s="1344"/>
      <c r="M530" s="1344"/>
      <c r="N530" s="1344"/>
      <c r="O530" s="1344"/>
      <c r="P530" s="1344"/>
      <c r="Q530" s="1344"/>
      <c r="R530" s="1344"/>
      <c r="S530" s="1344"/>
      <c r="T530" s="1345"/>
      <c r="U530" s="1284">
        <v>140</v>
      </c>
      <c r="V530" s="1285"/>
      <c r="W530" s="1286"/>
    </row>
    <row r="531" spans="1:23" s="295" customFormat="1" ht="12.75" customHeight="1">
      <c r="A531" s="539"/>
      <c r="B531" s="1351"/>
      <c r="C531" s="1293"/>
      <c r="D531" s="1343" t="s">
        <v>2544</v>
      </c>
      <c r="E531" s="1344"/>
      <c r="F531" s="1344"/>
      <c r="G531" s="1344"/>
      <c r="H531" s="1344"/>
      <c r="I531" s="1344"/>
      <c r="J531" s="1344"/>
      <c r="K531" s="1344"/>
      <c r="L531" s="1344"/>
      <c r="M531" s="1344"/>
      <c r="N531" s="1344"/>
      <c r="O531" s="1344"/>
      <c r="P531" s="1344"/>
      <c r="Q531" s="1344"/>
      <c r="R531" s="1344"/>
      <c r="S531" s="1344"/>
      <c r="T531" s="1345"/>
      <c r="U531" s="1284">
        <v>130</v>
      </c>
      <c r="V531" s="1285"/>
      <c r="W531" s="1286"/>
    </row>
    <row r="532" spans="1:23" s="295" customFormat="1" ht="12.75" customHeight="1">
      <c r="A532" s="539"/>
      <c r="B532" s="1295" t="s">
        <v>3372</v>
      </c>
      <c r="C532" s="1296"/>
      <c r="D532" s="1296"/>
      <c r="E532" s="1296"/>
      <c r="F532" s="1296"/>
      <c r="G532" s="1296"/>
      <c r="H532" s="1296"/>
      <c r="I532" s="1296"/>
      <c r="J532" s="1296"/>
      <c r="K532" s="1296"/>
      <c r="L532" s="1296"/>
      <c r="M532" s="1296"/>
      <c r="N532" s="1296"/>
      <c r="O532" s="1296"/>
      <c r="P532" s="1296"/>
      <c r="Q532" s="1296"/>
      <c r="R532" s="1296"/>
      <c r="S532" s="1296"/>
      <c r="T532" s="1297"/>
      <c r="U532" s="1284"/>
      <c r="V532" s="1285"/>
      <c r="W532" s="1286"/>
    </row>
    <row r="533" spans="1:23" s="295" customFormat="1" ht="12.75" customHeight="1">
      <c r="A533" s="539"/>
      <c r="B533" s="1349"/>
      <c r="C533" s="1343" t="s">
        <v>2549</v>
      </c>
      <c r="D533" s="1344"/>
      <c r="E533" s="1344"/>
      <c r="F533" s="1344"/>
      <c r="G533" s="1344"/>
      <c r="H533" s="1344"/>
      <c r="I533" s="1344"/>
      <c r="J533" s="1344"/>
      <c r="K533" s="1344"/>
      <c r="L533" s="1344"/>
      <c r="M533" s="1344"/>
      <c r="N533" s="1344"/>
      <c r="O533" s="1344"/>
      <c r="P533" s="1344"/>
      <c r="Q533" s="1344"/>
      <c r="R533" s="1344"/>
      <c r="S533" s="1344"/>
      <c r="T533" s="1345"/>
      <c r="U533" s="1284"/>
      <c r="V533" s="1285"/>
      <c r="W533" s="1286"/>
    </row>
    <row r="534" spans="1:23" s="295" customFormat="1" ht="12.75" customHeight="1">
      <c r="A534" s="539"/>
      <c r="B534" s="1350"/>
      <c r="C534" s="1291"/>
      <c r="D534" s="1343" t="s">
        <v>2542</v>
      </c>
      <c r="E534" s="1344"/>
      <c r="F534" s="1344"/>
      <c r="G534" s="1344"/>
      <c r="H534" s="1344"/>
      <c r="I534" s="1344"/>
      <c r="J534" s="1344"/>
      <c r="K534" s="1344"/>
      <c r="L534" s="1344"/>
      <c r="M534" s="1344"/>
      <c r="N534" s="1344"/>
      <c r="O534" s="1344"/>
      <c r="P534" s="1344"/>
      <c r="Q534" s="1344"/>
      <c r="R534" s="1344"/>
      <c r="S534" s="1344"/>
      <c r="T534" s="1345"/>
      <c r="U534" s="1284">
        <v>66</v>
      </c>
      <c r="V534" s="1285"/>
      <c r="W534" s="1286"/>
    </row>
    <row r="535" spans="1:23" s="295" customFormat="1" ht="12.75" customHeight="1">
      <c r="A535" s="539"/>
      <c r="B535" s="1350"/>
      <c r="C535" s="1292"/>
      <c r="D535" s="1343" t="s">
        <v>2543</v>
      </c>
      <c r="E535" s="1344"/>
      <c r="F535" s="1344"/>
      <c r="G535" s="1344"/>
      <c r="H535" s="1344"/>
      <c r="I535" s="1344"/>
      <c r="J535" s="1344"/>
      <c r="K535" s="1344"/>
      <c r="L535" s="1344"/>
      <c r="M535" s="1344"/>
      <c r="N535" s="1344"/>
      <c r="O535" s="1344"/>
      <c r="P535" s="1344"/>
      <c r="Q535" s="1344"/>
      <c r="R535" s="1344"/>
      <c r="S535" s="1344"/>
      <c r="T535" s="1345"/>
      <c r="U535" s="1284">
        <v>66</v>
      </c>
      <c r="V535" s="1285"/>
      <c r="W535" s="1286"/>
    </row>
    <row r="536" spans="1:23" s="295" customFormat="1" ht="12.75" customHeight="1">
      <c r="A536" s="539"/>
      <c r="B536" s="1350"/>
      <c r="C536" s="1293"/>
      <c r="D536" s="1343" t="s">
        <v>2544</v>
      </c>
      <c r="E536" s="1344"/>
      <c r="F536" s="1344"/>
      <c r="G536" s="1344"/>
      <c r="H536" s="1344"/>
      <c r="I536" s="1344"/>
      <c r="J536" s="1344"/>
      <c r="K536" s="1344"/>
      <c r="L536" s="1344"/>
      <c r="M536" s="1344"/>
      <c r="N536" s="1344"/>
      <c r="O536" s="1344"/>
      <c r="P536" s="1344"/>
      <c r="Q536" s="1344"/>
      <c r="R536" s="1344"/>
      <c r="S536" s="1344"/>
      <c r="T536" s="1345"/>
      <c r="U536" s="1284">
        <v>66</v>
      </c>
      <c r="V536" s="1285"/>
      <c r="W536" s="1286"/>
    </row>
    <row r="537" spans="1:23" s="295" customFormat="1" ht="12.75" customHeight="1">
      <c r="A537" s="539"/>
      <c r="B537" s="1350"/>
      <c r="C537" s="1343" t="s">
        <v>2550</v>
      </c>
      <c r="D537" s="1344"/>
      <c r="E537" s="1344"/>
      <c r="F537" s="1344"/>
      <c r="G537" s="1344"/>
      <c r="H537" s="1344"/>
      <c r="I537" s="1344"/>
      <c r="J537" s="1344"/>
      <c r="K537" s="1344"/>
      <c r="L537" s="1344"/>
      <c r="M537" s="1344"/>
      <c r="N537" s="1344"/>
      <c r="O537" s="1344"/>
      <c r="P537" s="1344"/>
      <c r="Q537" s="1344"/>
      <c r="R537" s="1344"/>
      <c r="S537" s="1344"/>
      <c r="T537" s="1345"/>
      <c r="U537" s="1284"/>
      <c r="V537" s="1285"/>
      <c r="W537" s="1286"/>
    </row>
    <row r="538" spans="1:23" s="295" customFormat="1" ht="12.75" customHeight="1">
      <c r="A538" s="539"/>
      <c r="B538" s="1350"/>
      <c r="C538" s="1291"/>
      <c r="D538" s="1343" t="s">
        <v>2542</v>
      </c>
      <c r="E538" s="1344"/>
      <c r="F538" s="1344"/>
      <c r="G538" s="1344"/>
      <c r="H538" s="1344"/>
      <c r="I538" s="1344"/>
      <c r="J538" s="1344"/>
      <c r="K538" s="1344"/>
      <c r="L538" s="1344"/>
      <c r="M538" s="1344"/>
      <c r="N538" s="1344"/>
      <c r="O538" s="1344"/>
      <c r="P538" s="1344"/>
      <c r="Q538" s="1344"/>
      <c r="R538" s="1344"/>
      <c r="S538" s="1344"/>
      <c r="T538" s="1345"/>
      <c r="U538" s="1284">
        <v>65</v>
      </c>
      <c r="V538" s="1285"/>
      <c r="W538" s="1286"/>
    </row>
    <row r="539" spans="1:23" s="295" customFormat="1" ht="12.75" customHeight="1">
      <c r="A539" s="539"/>
      <c r="B539" s="1350"/>
      <c r="C539" s="1292"/>
      <c r="D539" s="1343" t="s">
        <v>2543</v>
      </c>
      <c r="E539" s="1344"/>
      <c r="F539" s="1344"/>
      <c r="G539" s="1344"/>
      <c r="H539" s="1344"/>
      <c r="I539" s="1344"/>
      <c r="J539" s="1344"/>
      <c r="K539" s="1344"/>
      <c r="L539" s="1344"/>
      <c r="M539" s="1344"/>
      <c r="N539" s="1344"/>
      <c r="O539" s="1344"/>
      <c r="P539" s="1344"/>
      <c r="Q539" s="1344"/>
      <c r="R539" s="1344"/>
      <c r="S539" s="1344"/>
      <c r="T539" s="1345"/>
      <c r="U539" s="1284">
        <v>65</v>
      </c>
      <c r="V539" s="1285"/>
      <c r="W539" s="1286"/>
    </row>
    <row r="540" spans="1:23" s="295" customFormat="1" ht="12.75" customHeight="1">
      <c r="A540" s="539"/>
      <c r="B540" s="1350"/>
      <c r="C540" s="1292"/>
      <c r="D540" s="1343" t="s">
        <v>2545</v>
      </c>
      <c r="E540" s="1344"/>
      <c r="F540" s="1344"/>
      <c r="G540" s="1344"/>
      <c r="H540" s="1344"/>
      <c r="I540" s="1344"/>
      <c r="J540" s="1344"/>
      <c r="K540" s="1344"/>
      <c r="L540" s="1344"/>
      <c r="M540" s="1344"/>
      <c r="N540" s="1344"/>
      <c r="O540" s="1344"/>
      <c r="P540" s="1344"/>
      <c r="Q540" s="1344"/>
      <c r="R540" s="1344"/>
      <c r="S540" s="1344"/>
      <c r="T540" s="1345"/>
      <c r="U540" s="1284">
        <v>65</v>
      </c>
      <c r="V540" s="1285"/>
      <c r="W540" s="1286"/>
    </row>
    <row r="541" spans="1:23" s="295" customFormat="1" ht="12.75" customHeight="1">
      <c r="A541" s="539"/>
      <c r="B541" s="1350"/>
      <c r="C541" s="1292"/>
      <c r="D541" s="1346" t="s">
        <v>2546</v>
      </c>
      <c r="E541" s="1347"/>
      <c r="F541" s="1347"/>
      <c r="G541" s="1347"/>
      <c r="H541" s="1347"/>
      <c r="I541" s="1347"/>
      <c r="J541" s="1347"/>
      <c r="K541" s="1347"/>
      <c r="L541" s="1347"/>
      <c r="M541" s="1347"/>
      <c r="N541" s="1347"/>
      <c r="O541" s="1347"/>
      <c r="P541" s="1347"/>
      <c r="Q541" s="1347"/>
      <c r="R541" s="1347"/>
      <c r="S541" s="1347"/>
      <c r="T541" s="1348"/>
      <c r="U541" s="1349">
        <v>65</v>
      </c>
      <c r="V541" s="1360"/>
      <c r="W541" s="1291"/>
    </row>
    <row r="542" spans="1:23" s="295" customFormat="1" ht="12.75" customHeight="1">
      <c r="A542" s="541"/>
      <c r="B542" s="418"/>
      <c r="C542" s="418"/>
      <c r="D542" s="437"/>
      <c r="E542" s="437"/>
      <c r="F542" s="437"/>
      <c r="G542" s="437"/>
      <c r="H542" s="437"/>
      <c r="I542" s="437"/>
      <c r="J542" s="437"/>
      <c r="K542" s="437"/>
      <c r="L542" s="437"/>
      <c r="M542" s="437"/>
      <c r="N542" s="437"/>
      <c r="O542" s="437"/>
      <c r="P542" s="437"/>
      <c r="Q542" s="437"/>
      <c r="R542" s="437"/>
      <c r="S542" s="437"/>
      <c r="T542" s="437"/>
      <c r="U542" s="418"/>
      <c r="V542" s="418"/>
      <c r="W542" s="418"/>
    </row>
    <row r="543" spans="1:23" s="295" customFormat="1" ht="12.75" customHeight="1">
      <c r="A543" s="542"/>
      <c r="B543" s="316"/>
      <c r="C543" s="316"/>
      <c r="D543" s="531"/>
      <c r="E543" s="531"/>
      <c r="F543" s="531"/>
      <c r="G543" s="531"/>
      <c r="H543" s="531"/>
      <c r="I543" s="531"/>
      <c r="J543" s="531"/>
      <c r="K543" s="531"/>
      <c r="L543" s="531"/>
      <c r="M543" s="531"/>
      <c r="N543" s="531"/>
      <c r="O543" s="531"/>
      <c r="P543" s="531"/>
      <c r="Q543" s="531"/>
      <c r="R543" s="531"/>
      <c r="S543" s="531"/>
      <c r="T543" s="531"/>
      <c r="U543" s="316"/>
      <c r="V543" s="316"/>
      <c r="W543" s="316"/>
    </row>
    <row r="544" spans="1:23" s="295" customFormat="1" ht="12.75" customHeight="1">
      <c r="A544" s="542"/>
      <c r="B544" s="316"/>
      <c r="C544" s="316"/>
      <c r="D544" s="531"/>
      <c r="E544" s="531"/>
      <c r="F544" s="531"/>
      <c r="G544" s="531"/>
      <c r="H544" s="531"/>
      <c r="I544" s="531"/>
      <c r="J544" s="531"/>
      <c r="K544" s="531"/>
      <c r="L544" s="531"/>
      <c r="M544" s="531"/>
      <c r="N544" s="531"/>
      <c r="O544" s="531"/>
      <c r="P544" s="531"/>
      <c r="Q544" s="531"/>
      <c r="R544" s="531"/>
      <c r="S544" s="531"/>
      <c r="T544" s="531"/>
      <c r="U544" s="316"/>
      <c r="V544" s="316"/>
      <c r="W544" s="316"/>
    </row>
    <row r="545" spans="1:23" s="295" customFormat="1" ht="12.75" customHeight="1">
      <c r="A545" s="542"/>
      <c r="B545" s="316"/>
      <c r="C545" s="316"/>
      <c r="D545" s="531"/>
      <c r="E545" s="531"/>
      <c r="F545" s="531"/>
      <c r="G545" s="531"/>
      <c r="H545" s="531"/>
      <c r="I545" s="531"/>
      <c r="J545" s="531"/>
      <c r="K545" s="531"/>
      <c r="L545" s="531"/>
      <c r="M545" s="531"/>
      <c r="N545" s="531"/>
      <c r="O545" s="531"/>
      <c r="P545" s="531"/>
      <c r="Q545" s="531"/>
      <c r="R545" s="531"/>
      <c r="S545" s="531"/>
      <c r="T545" s="531"/>
      <c r="U545" s="316"/>
      <c r="V545" s="316"/>
      <c r="W545" s="316"/>
    </row>
    <row r="546" spans="1:23" s="295" customFormat="1" ht="12.75" customHeight="1">
      <c r="A546" s="542"/>
      <c r="B546" s="316"/>
      <c r="C546" s="316"/>
      <c r="D546" s="531"/>
      <c r="E546" s="531"/>
      <c r="F546" s="531"/>
      <c r="G546" s="531"/>
      <c r="H546" s="531"/>
      <c r="I546" s="531"/>
      <c r="J546" s="531"/>
      <c r="K546" s="531"/>
      <c r="L546" s="531"/>
      <c r="M546" s="531"/>
      <c r="N546" s="531"/>
      <c r="O546" s="531"/>
      <c r="P546" s="531"/>
      <c r="Q546" s="531"/>
      <c r="R546" s="531"/>
      <c r="S546" s="531"/>
      <c r="T546" s="531"/>
      <c r="U546" s="316"/>
      <c r="V546" s="316"/>
      <c r="W546" s="316"/>
    </row>
    <row r="547" spans="1:23" s="295" customFormat="1" ht="12.75" customHeight="1">
      <c r="A547" s="542"/>
      <c r="B547" s="316"/>
      <c r="C547" s="316"/>
      <c r="D547" s="531"/>
      <c r="E547" s="531"/>
      <c r="F547" s="531"/>
      <c r="G547" s="531"/>
      <c r="H547" s="531"/>
      <c r="I547" s="531"/>
      <c r="J547" s="531"/>
      <c r="K547" s="531"/>
      <c r="L547" s="531"/>
      <c r="M547" s="531"/>
      <c r="N547" s="531"/>
      <c r="O547" s="531"/>
      <c r="P547" s="531"/>
      <c r="Q547" s="531"/>
      <c r="R547" s="531"/>
      <c r="S547" s="531"/>
      <c r="T547" s="531"/>
      <c r="U547" s="316"/>
      <c r="V547" s="316"/>
      <c r="W547" s="316"/>
    </row>
    <row r="548" spans="1:23" s="295" customFormat="1" ht="12.75" customHeight="1">
      <c r="A548" s="542"/>
      <c r="B548" s="530"/>
      <c r="C548" s="530"/>
      <c r="D548" s="532"/>
      <c r="E548" s="532"/>
      <c r="F548" s="532"/>
      <c r="G548" s="532"/>
      <c r="H548" s="532"/>
      <c r="I548" s="532"/>
      <c r="J548" s="532"/>
      <c r="K548" s="532"/>
      <c r="L548" s="532"/>
      <c r="M548" s="532"/>
      <c r="N548" s="532"/>
      <c r="O548" s="532"/>
      <c r="P548" s="532"/>
      <c r="Q548" s="532"/>
      <c r="R548" s="532"/>
      <c r="S548" s="532"/>
      <c r="T548" s="532"/>
      <c r="U548" s="530"/>
      <c r="V548" s="530"/>
      <c r="W548" s="530"/>
    </row>
    <row r="549" spans="1:23" s="295" customFormat="1" ht="30" customHeight="1">
      <c r="A549" s="1300" t="s">
        <v>2541</v>
      </c>
      <c r="B549" s="1300"/>
      <c r="C549" s="1300"/>
      <c r="D549" s="1300"/>
      <c r="E549" s="1300"/>
      <c r="F549" s="1300"/>
      <c r="G549" s="1300"/>
      <c r="H549" s="1300"/>
      <c r="I549" s="1300"/>
      <c r="J549" s="1300"/>
      <c r="K549" s="1300"/>
      <c r="L549" s="1300"/>
      <c r="M549" s="1300"/>
      <c r="N549" s="1300"/>
      <c r="O549" s="1300"/>
      <c r="P549" s="1300"/>
      <c r="Q549" s="1300"/>
      <c r="R549" s="1300"/>
      <c r="S549" s="1300"/>
      <c r="T549" s="1300"/>
      <c r="U549" s="1299" t="s">
        <v>3305</v>
      </c>
      <c r="V549" s="1299"/>
      <c r="W549" s="1299"/>
    </row>
    <row r="550" spans="1:23" s="295" customFormat="1" ht="12.75" customHeight="1">
      <c r="A550" s="539"/>
      <c r="B550" s="529"/>
      <c r="C550" s="530"/>
      <c r="D550" s="483"/>
      <c r="E550" s="483"/>
      <c r="F550" s="483"/>
      <c r="G550" s="483"/>
      <c r="H550" s="483"/>
      <c r="I550" s="483"/>
      <c r="J550" s="483"/>
      <c r="K550" s="483"/>
      <c r="L550" s="483"/>
      <c r="M550" s="483"/>
      <c r="N550" s="483"/>
      <c r="O550" s="483"/>
      <c r="P550" s="483"/>
      <c r="Q550" s="483"/>
      <c r="R550" s="483"/>
      <c r="S550" s="483"/>
      <c r="T550" s="435"/>
      <c r="U550" s="313"/>
      <c r="V550" s="484"/>
      <c r="W550" s="455"/>
    </row>
    <row r="551" spans="1:23" s="295" customFormat="1" ht="12.75" customHeight="1">
      <c r="A551" s="539"/>
      <c r="B551" s="1295" t="s">
        <v>3373</v>
      </c>
      <c r="C551" s="1296"/>
      <c r="D551" s="1296"/>
      <c r="E551" s="1296"/>
      <c r="F551" s="1296"/>
      <c r="G551" s="1296"/>
      <c r="H551" s="1296"/>
      <c r="I551" s="1296"/>
      <c r="J551" s="1296"/>
      <c r="K551" s="1296"/>
      <c r="L551" s="1296"/>
      <c r="M551" s="1296"/>
      <c r="N551" s="1296"/>
      <c r="O551" s="1296"/>
      <c r="P551" s="1296"/>
      <c r="Q551" s="1296"/>
      <c r="R551" s="1296"/>
      <c r="S551" s="1296"/>
      <c r="T551" s="1297"/>
      <c r="U551" s="1284"/>
      <c r="V551" s="1285"/>
      <c r="W551" s="1286"/>
    </row>
    <row r="552" spans="1:23" s="295" customFormat="1" ht="12.75" customHeight="1">
      <c r="A552" s="539"/>
      <c r="B552" s="1349"/>
      <c r="C552" s="1343" t="s">
        <v>2551</v>
      </c>
      <c r="D552" s="1344"/>
      <c r="E552" s="1344"/>
      <c r="F552" s="1344"/>
      <c r="G552" s="1344"/>
      <c r="H552" s="1344"/>
      <c r="I552" s="1344"/>
      <c r="J552" s="1344"/>
      <c r="K552" s="1344"/>
      <c r="L552" s="1344"/>
      <c r="M552" s="1344"/>
      <c r="N552" s="1344"/>
      <c r="O552" s="1344"/>
      <c r="P552" s="1344"/>
      <c r="Q552" s="1344"/>
      <c r="R552" s="1344"/>
      <c r="S552" s="1344"/>
      <c r="T552" s="1345"/>
      <c r="U552" s="1284">
        <v>195</v>
      </c>
      <c r="V552" s="1285"/>
      <c r="W552" s="1286"/>
    </row>
    <row r="553" spans="1:23" s="295" customFormat="1" ht="12.75" customHeight="1">
      <c r="A553" s="539"/>
      <c r="B553" s="1350"/>
      <c r="C553" s="1343" t="s">
        <v>2552</v>
      </c>
      <c r="D553" s="1344"/>
      <c r="E553" s="1344"/>
      <c r="F553" s="1344"/>
      <c r="G553" s="1344"/>
      <c r="H553" s="1344"/>
      <c r="I553" s="1344"/>
      <c r="J553" s="1344"/>
      <c r="K553" s="1344"/>
      <c r="L553" s="1344"/>
      <c r="M553" s="1344"/>
      <c r="N553" s="1344"/>
      <c r="O553" s="1344"/>
      <c r="P553" s="1344"/>
      <c r="Q553" s="1344"/>
      <c r="R553" s="1344"/>
      <c r="S553" s="1344"/>
      <c r="T553" s="1345"/>
      <c r="U553" s="1284">
        <v>180</v>
      </c>
      <c r="V553" s="1285"/>
      <c r="W553" s="1286"/>
    </row>
    <row r="554" spans="1:23" s="295" customFormat="1" ht="12.75" customHeight="1">
      <c r="A554" s="539"/>
      <c r="B554" s="1350"/>
      <c r="C554" s="1343" t="s">
        <v>2553</v>
      </c>
      <c r="D554" s="1344"/>
      <c r="E554" s="1344"/>
      <c r="F554" s="1344"/>
      <c r="G554" s="1344"/>
      <c r="H554" s="1344"/>
      <c r="I554" s="1344"/>
      <c r="J554" s="1344"/>
      <c r="K554" s="1344"/>
      <c r="L554" s="1344"/>
      <c r="M554" s="1344"/>
      <c r="N554" s="1344"/>
      <c r="O554" s="1344"/>
      <c r="P554" s="1344"/>
      <c r="Q554" s="1344"/>
      <c r="R554" s="1344"/>
      <c r="S554" s="1344"/>
      <c r="T554" s="1345"/>
      <c r="U554" s="1284">
        <v>178</v>
      </c>
      <c r="V554" s="1285"/>
      <c r="W554" s="1286"/>
    </row>
    <row r="555" spans="1:23" s="295" customFormat="1" ht="12.75" customHeight="1">
      <c r="A555" s="539"/>
      <c r="B555" s="1350"/>
      <c r="C555" s="1343" t="s">
        <v>2554</v>
      </c>
      <c r="D555" s="1344"/>
      <c r="E555" s="1344"/>
      <c r="F555" s="1344"/>
      <c r="G555" s="1344"/>
      <c r="H555" s="1344"/>
      <c r="I555" s="1344"/>
      <c r="J555" s="1344"/>
      <c r="K555" s="1344"/>
      <c r="L555" s="1344"/>
      <c r="M555" s="1344"/>
      <c r="N555" s="1344"/>
      <c r="O555" s="1344"/>
      <c r="P555" s="1344"/>
      <c r="Q555" s="1344"/>
      <c r="R555" s="1344"/>
      <c r="S555" s="1344"/>
      <c r="T555" s="1345"/>
      <c r="U555" s="1284"/>
      <c r="V555" s="1285"/>
      <c r="W555" s="1286"/>
    </row>
    <row r="556" spans="1:23" s="295" customFormat="1" ht="12.75" customHeight="1">
      <c r="A556" s="539"/>
      <c r="B556" s="1350"/>
      <c r="C556" s="1291"/>
      <c r="D556" s="1343" t="s">
        <v>2555</v>
      </c>
      <c r="E556" s="1344"/>
      <c r="F556" s="1344"/>
      <c r="G556" s="1344"/>
      <c r="H556" s="1344"/>
      <c r="I556" s="1344"/>
      <c r="J556" s="1344"/>
      <c r="K556" s="1344"/>
      <c r="L556" s="1344"/>
      <c r="M556" s="1344"/>
      <c r="N556" s="1344"/>
      <c r="O556" s="1344"/>
      <c r="P556" s="1344"/>
      <c r="Q556" s="1344"/>
      <c r="R556" s="1344"/>
      <c r="S556" s="1344"/>
      <c r="T556" s="1345"/>
      <c r="U556" s="1284">
        <v>195</v>
      </c>
      <c r="V556" s="1285"/>
      <c r="W556" s="1286"/>
    </row>
    <row r="557" spans="1:23" s="295" customFormat="1" ht="12.75" customHeight="1">
      <c r="A557" s="539"/>
      <c r="B557" s="1350"/>
      <c r="C557" s="1292"/>
      <c r="D557" s="1343" t="s">
        <v>2556</v>
      </c>
      <c r="E557" s="1344"/>
      <c r="F557" s="1344"/>
      <c r="G557" s="1344"/>
      <c r="H557" s="1344"/>
      <c r="I557" s="1344"/>
      <c r="J557" s="1344"/>
      <c r="K557" s="1344"/>
      <c r="L557" s="1344"/>
      <c r="M557" s="1344"/>
      <c r="N557" s="1344"/>
      <c r="O557" s="1344"/>
      <c r="P557" s="1344"/>
      <c r="Q557" s="1344"/>
      <c r="R557" s="1344"/>
      <c r="S557" s="1344"/>
      <c r="T557" s="1345"/>
      <c r="U557" s="1284">
        <v>190</v>
      </c>
      <c r="V557" s="1285"/>
      <c r="W557" s="1286"/>
    </row>
    <row r="558" spans="1:23" s="295" customFormat="1" ht="12.75" customHeight="1">
      <c r="A558" s="539"/>
      <c r="B558" s="1350"/>
      <c r="C558" s="1292"/>
      <c r="D558" s="1343" t="s">
        <v>2557</v>
      </c>
      <c r="E558" s="1344"/>
      <c r="F558" s="1344"/>
      <c r="G558" s="1344"/>
      <c r="H558" s="1344"/>
      <c r="I558" s="1344"/>
      <c r="J558" s="1344"/>
      <c r="K558" s="1344"/>
      <c r="L558" s="1344"/>
      <c r="M558" s="1344"/>
      <c r="N558" s="1344"/>
      <c r="O558" s="1344"/>
      <c r="P558" s="1344"/>
      <c r="Q558" s="1344"/>
      <c r="R558" s="1344"/>
      <c r="S558" s="1344"/>
      <c r="T558" s="1345"/>
      <c r="U558" s="1284">
        <v>195</v>
      </c>
      <c r="V558" s="1285"/>
      <c r="W558" s="1286"/>
    </row>
    <row r="559" spans="1:23" s="295" customFormat="1" ht="12.75" customHeight="1">
      <c r="A559" s="539"/>
      <c r="B559" s="1350"/>
      <c r="C559" s="1292"/>
      <c r="D559" s="1343" t="s">
        <v>2558</v>
      </c>
      <c r="E559" s="1344"/>
      <c r="F559" s="1344"/>
      <c r="G559" s="1344"/>
      <c r="H559" s="1344"/>
      <c r="I559" s="1344"/>
      <c r="J559" s="1344"/>
      <c r="K559" s="1344"/>
      <c r="L559" s="1344"/>
      <c r="M559" s="1344"/>
      <c r="N559" s="1344"/>
      <c r="O559" s="1344"/>
      <c r="P559" s="1344"/>
      <c r="Q559" s="1344"/>
      <c r="R559" s="1344"/>
      <c r="S559" s="1344"/>
      <c r="T559" s="1345"/>
      <c r="U559" s="1284">
        <v>115</v>
      </c>
      <c r="V559" s="1285"/>
      <c r="W559" s="1286"/>
    </row>
    <row r="560" spans="1:23" s="295" customFormat="1" ht="12.75" customHeight="1">
      <c r="A560" s="539"/>
      <c r="B560" s="1350"/>
      <c r="C560" s="1292"/>
      <c r="D560" s="1343" t="s">
        <v>2559</v>
      </c>
      <c r="E560" s="1344"/>
      <c r="F560" s="1344"/>
      <c r="G560" s="1344"/>
      <c r="H560" s="1344"/>
      <c r="I560" s="1344"/>
      <c r="J560" s="1344"/>
      <c r="K560" s="1344"/>
      <c r="L560" s="1344"/>
      <c r="M560" s="1344"/>
      <c r="N560" s="1344"/>
      <c r="O560" s="1344"/>
      <c r="P560" s="1344"/>
      <c r="Q560" s="1344"/>
      <c r="R560" s="1344"/>
      <c r="S560" s="1344"/>
      <c r="T560" s="1345"/>
      <c r="U560" s="1284">
        <v>155</v>
      </c>
      <c r="V560" s="1285"/>
      <c r="W560" s="1286"/>
    </row>
    <row r="561" spans="1:23" s="295" customFormat="1" ht="12.75" customHeight="1">
      <c r="A561" s="539"/>
      <c r="B561" s="1350"/>
      <c r="C561" s="1292"/>
      <c r="D561" s="1343" t="s">
        <v>2560</v>
      </c>
      <c r="E561" s="1344"/>
      <c r="F561" s="1344"/>
      <c r="G561" s="1344"/>
      <c r="H561" s="1344"/>
      <c r="I561" s="1344"/>
      <c r="J561" s="1344"/>
      <c r="K561" s="1344"/>
      <c r="L561" s="1344"/>
      <c r="M561" s="1344"/>
      <c r="N561" s="1344"/>
      <c r="O561" s="1344"/>
      <c r="P561" s="1344"/>
      <c r="Q561" s="1344"/>
      <c r="R561" s="1344"/>
      <c r="S561" s="1344"/>
      <c r="T561" s="1345"/>
      <c r="U561" s="1284">
        <v>130</v>
      </c>
      <c r="V561" s="1285"/>
      <c r="W561" s="1286"/>
    </row>
    <row r="562" spans="1:23" s="295" customFormat="1" ht="12.75" customHeight="1">
      <c r="A562" s="539"/>
      <c r="B562" s="1350"/>
      <c r="C562" s="1292"/>
      <c r="D562" s="1343" t="s">
        <v>2561</v>
      </c>
      <c r="E562" s="1344"/>
      <c r="F562" s="1344"/>
      <c r="G562" s="1344"/>
      <c r="H562" s="1344"/>
      <c r="I562" s="1344"/>
      <c r="J562" s="1344"/>
      <c r="K562" s="1344"/>
      <c r="L562" s="1344"/>
      <c r="M562" s="1344"/>
      <c r="N562" s="1344"/>
      <c r="O562" s="1344"/>
      <c r="P562" s="1344"/>
      <c r="Q562" s="1344"/>
      <c r="R562" s="1344"/>
      <c r="S562" s="1344"/>
      <c r="T562" s="1345"/>
      <c r="U562" s="1284">
        <v>130</v>
      </c>
      <c r="V562" s="1285"/>
      <c r="W562" s="1286"/>
    </row>
    <row r="563" spans="1:23" s="295" customFormat="1" ht="12.75" customHeight="1">
      <c r="A563" s="539"/>
      <c r="B563" s="1350"/>
      <c r="C563" s="1293"/>
      <c r="D563" s="1343" t="s">
        <v>2562</v>
      </c>
      <c r="E563" s="1344"/>
      <c r="F563" s="1344"/>
      <c r="G563" s="1344"/>
      <c r="H563" s="1344"/>
      <c r="I563" s="1344"/>
      <c r="J563" s="1344"/>
      <c r="K563" s="1344"/>
      <c r="L563" s="1344"/>
      <c r="M563" s="1344"/>
      <c r="N563" s="1344"/>
      <c r="O563" s="1344"/>
      <c r="P563" s="1344"/>
      <c r="Q563" s="1344"/>
      <c r="R563" s="1344"/>
      <c r="S563" s="1344"/>
      <c r="T563" s="1345"/>
      <c r="U563" s="1284">
        <v>105</v>
      </c>
      <c r="V563" s="1285"/>
      <c r="W563" s="1286"/>
    </row>
    <row r="564" spans="1:23" s="295" customFormat="1" ht="12.75" customHeight="1">
      <c r="A564" s="539"/>
      <c r="B564" s="1350"/>
      <c r="C564" s="1343" t="s">
        <v>2563</v>
      </c>
      <c r="D564" s="1344"/>
      <c r="E564" s="1344"/>
      <c r="F564" s="1344"/>
      <c r="G564" s="1344"/>
      <c r="H564" s="1344"/>
      <c r="I564" s="1344"/>
      <c r="J564" s="1344"/>
      <c r="K564" s="1344"/>
      <c r="L564" s="1344"/>
      <c r="M564" s="1344"/>
      <c r="N564" s="1344"/>
      <c r="O564" s="1344"/>
      <c r="P564" s="1344"/>
      <c r="Q564" s="1344"/>
      <c r="R564" s="1344"/>
      <c r="S564" s="1344"/>
      <c r="T564" s="1345"/>
      <c r="U564" s="1284"/>
      <c r="V564" s="1285"/>
      <c r="W564" s="1286"/>
    </row>
    <row r="565" spans="1:23" s="295" customFormat="1" ht="12.75" customHeight="1">
      <c r="A565" s="539"/>
      <c r="B565" s="1350"/>
      <c r="C565" s="1291"/>
      <c r="D565" s="1343" t="s">
        <v>2555</v>
      </c>
      <c r="E565" s="1344"/>
      <c r="F565" s="1344"/>
      <c r="G565" s="1344"/>
      <c r="H565" s="1344"/>
      <c r="I565" s="1344"/>
      <c r="J565" s="1344"/>
      <c r="K565" s="1344"/>
      <c r="L565" s="1344"/>
      <c r="M565" s="1344"/>
      <c r="N565" s="1344"/>
      <c r="O565" s="1344"/>
      <c r="P565" s="1344"/>
      <c r="Q565" s="1344"/>
      <c r="R565" s="1344"/>
      <c r="S565" s="1344"/>
      <c r="T565" s="1345"/>
      <c r="U565" s="1284">
        <v>200</v>
      </c>
      <c r="V565" s="1285"/>
      <c r="W565" s="1286"/>
    </row>
    <row r="566" spans="1:23" s="295" customFormat="1" ht="12.75" customHeight="1">
      <c r="A566" s="539"/>
      <c r="B566" s="1350"/>
      <c r="C566" s="1292"/>
      <c r="D566" s="1343" t="s">
        <v>2556</v>
      </c>
      <c r="E566" s="1344"/>
      <c r="F566" s="1344"/>
      <c r="G566" s="1344"/>
      <c r="H566" s="1344"/>
      <c r="I566" s="1344"/>
      <c r="J566" s="1344"/>
      <c r="K566" s="1344"/>
      <c r="L566" s="1344"/>
      <c r="M566" s="1344"/>
      <c r="N566" s="1344"/>
      <c r="O566" s="1344"/>
      <c r="P566" s="1344"/>
      <c r="Q566" s="1344"/>
      <c r="R566" s="1344"/>
      <c r="S566" s="1344"/>
      <c r="T566" s="1345"/>
      <c r="U566" s="1284">
        <v>200</v>
      </c>
      <c r="V566" s="1285"/>
      <c r="W566" s="1286"/>
    </row>
    <row r="567" spans="1:23" s="295" customFormat="1" ht="12.75" customHeight="1">
      <c r="A567" s="539"/>
      <c r="B567" s="1350"/>
      <c r="C567" s="1292"/>
      <c r="D567" s="1343" t="s">
        <v>2557</v>
      </c>
      <c r="E567" s="1344"/>
      <c r="F567" s="1344"/>
      <c r="G567" s="1344"/>
      <c r="H567" s="1344"/>
      <c r="I567" s="1344"/>
      <c r="J567" s="1344"/>
      <c r="K567" s="1344"/>
      <c r="L567" s="1344"/>
      <c r="M567" s="1344"/>
      <c r="N567" s="1344"/>
      <c r="O567" s="1344"/>
      <c r="P567" s="1344"/>
      <c r="Q567" s="1344"/>
      <c r="R567" s="1344"/>
      <c r="S567" s="1344"/>
      <c r="T567" s="1345"/>
      <c r="U567" s="1284">
        <v>200</v>
      </c>
      <c r="V567" s="1285"/>
      <c r="W567" s="1286"/>
    </row>
    <row r="568" spans="1:23" s="295" customFormat="1" ht="12.75" customHeight="1">
      <c r="A568" s="539"/>
      <c r="B568" s="1350"/>
      <c r="C568" s="1292"/>
      <c r="D568" s="1343" t="s">
        <v>2558</v>
      </c>
      <c r="E568" s="1344"/>
      <c r="F568" s="1344"/>
      <c r="G568" s="1344"/>
      <c r="H568" s="1344"/>
      <c r="I568" s="1344"/>
      <c r="J568" s="1344"/>
      <c r="K568" s="1344"/>
      <c r="L568" s="1344"/>
      <c r="M568" s="1344"/>
      <c r="N568" s="1344"/>
      <c r="O568" s="1344"/>
      <c r="P568" s="1344"/>
      <c r="Q568" s="1344"/>
      <c r="R568" s="1344"/>
      <c r="S568" s="1344"/>
      <c r="T568" s="1345"/>
      <c r="U568" s="1284">
        <v>132</v>
      </c>
      <c r="V568" s="1285"/>
      <c r="W568" s="1286"/>
    </row>
    <row r="569" spans="1:23" s="295" customFormat="1" ht="12.75" customHeight="1">
      <c r="A569" s="539"/>
      <c r="B569" s="1350"/>
      <c r="C569" s="1292"/>
      <c r="D569" s="1343" t="s">
        <v>2559</v>
      </c>
      <c r="E569" s="1344"/>
      <c r="F569" s="1344"/>
      <c r="G569" s="1344"/>
      <c r="H569" s="1344"/>
      <c r="I569" s="1344"/>
      <c r="J569" s="1344"/>
      <c r="K569" s="1344"/>
      <c r="L569" s="1344"/>
      <c r="M569" s="1344"/>
      <c r="N569" s="1344"/>
      <c r="O569" s="1344"/>
      <c r="P569" s="1344"/>
      <c r="Q569" s="1344"/>
      <c r="R569" s="1344"/>
      <c r="S569" s="1344"/>
      <c r="T569" s="1345"/>
      <c r="U569" s="1284">
        <v>172</v>
      </c>
      <c r="V569" s="1285"/>
      <c r="W569" s="1286"/>
    </row>
    <row r="570" spans="1:23" s="295" customFormat="1" ht="12.75" customHeight="1">
      <c r="A570" s="539"/>
      <c r="B570" s="1350"/>
      <c r="C570" s="1292"/>
      <c r="D570" s="1343" t="s">
        <v>2560</v>
      </c>
      <c r="E570" s="1344"/>
      <c r="F570" s="1344"/>
      <c r="G570" s="1344"/>
      <c r="H570" s="1344"/>
      <c r="I570" s="1344"/>
      <c r="J570" s="1344"/>
      <c r="K570" s="1344"/>
      <c r="L570" s="1344"/>
      <c r="M570" s="1344"/>
      <c r="N570" s="1344"/>
      <c r="O570" s="1344"/>
      <c r="P570" s="1344"/>
      <c r="Q570" s="1344"/>
      <c r="R570" s="1344"/>
      <c r="S570" s="1344"/>
      <c r="T570" s="1345"/>
      <c r="U570" s="1284">
        <v>147</v>
      </c>
      <c r="V570" s="1285"/>
      <c r="W570" s="1286"/>
    </row>
    <row r="571" spans="1:23" s="295" customFormat="1" ht="12.75" customHeight="1">
      <c r="A571" s="539"/>
      <c r="B571" s="1350"/>
      <c r="C571" s="1292"/>
      <c r="D571" s="1343" t="s">
        <v>2561</v>
      </c>
      <c r="E571" s="1344"/>
      <c r="F571" s="1344"/>
      <c r="G571" s="1344"/>
      <c r="H571" s="1344"/>
      <c r="I571" s="1344"/>
      <c r="J571" s="1344"/>
      <c r="K571" s="1344"/>
      <c r="L571" s="1344"/>
      <c r="M571" s="1344"/>
      <c r="N571" s="1344"/>
      <c r="O571" s="1344"/>
      <c r="P571" s="1344"/>
      <c r="Q571" s="1344"/>
      <c r="R571" s="1344"/>
      <c r="S571" s="1344"/>
      <c r="T571" s="1345"/>
      <c r="U571" s="1284">
        <v>147</v>
      </c>
      <c r="V571" s="1285"/>
      <c r="W571" s="1286"/>
    </row>
    <row r="572" spans="1:23" s="295" customFormat="1" ht="12.75" customHeight="1">
      <c r="A572" s="539"/>
      <c r="B572" s="1350"/>
      <c r="C572" s="1292"/>
      <c r="D572" s="1343" t="s">
        <v>2562</v>
      </c>
      <c r="E572" s="1344"/>
      <c r="F572" s="1344"/>
      <c r="G572" s="1344"/>
      <c r="H572" s="1344"/>
      <c r="I572" s="1344"/>
      <c r="J572" s="1344"/>
      <c r="K572" s="1344"/>
      <c r="L572" s="1344"/>
      <c r="M572" s="1344"/>
      <c r="N572" s="1344"/>
      <c r="O572" s="1344"/>
      <c r="P572" s="1344"/>
      <c r="Q572" s="1344"/>
      <c r="R572" s="1344"/>
      <c r="S572" s="1344"/>
      <c r="T572" s="1345"/>
      <c r="U572" s="1284">
        <v>122</v>
      </c>
      <c r="V572" s="1285"/>
      <c r="W572" s="1286"/>
    </row>
    <row r="573" spans="1:23" s="295" customFormat="1" ht="12.75" customHeight="1">
      <c r="A573" s="539"/>
      <c r="B573" s="1350"/>
      <c r="C573" s="1292"/>
      <c r="D573" s="1343" t="s">
        <v>2564</v>
      </c>
      <c r="E573" s="1344"/>
      <c r="F573" s="1344"/>
      <c r="G573" s="1344"/>
      <c r="H573" s="1344"/>
      <c r="I573" s="1344"/>
      <c r="J573" s="1344"/>
      <c r="K573" s="1344"/>
      <c r="L573" s="1344"/>
      <c r="M573" s="1344"/>
      <c r="N573" s="1344"/>
      <c r="O573" s="1344"/>
      <c r="P573" s="1344"/>
      <c r="Q573" s="1344"/>
      <c r="R573" s="1344"/>
      <c r="S573" s="1344"/>
      <c r="T573" s="1345"/>
      <c r="U573" s="1284">
        <v>137</v>
      </c>
      <c r="V573" s="1285"/>
      <c r="W573" s="1286"/>
    </row>
    <row r="574" spans="1:23" s="295" customFormat="1" ht="12.75" customHeight="1">
      <c r="A574" s="539"/>
      <c r="B574" s="1350"/>
      <c r="C574" s="1293"/>
      <c r="D574" s="1343" t="s">
        <v>2565</v>
      </c>
      <c r="E574" s="1344"/>
      <c r="F574" s="1344"/>
      <c r="G574" s="1344"/>
      <c r="H574" s="1344"/>
      <c r="I574" s="1344"/>
      <c r="J574" s="1344"/>
      <c r="K574" s="1344"/>
      <c r="L574" s="1344"/>
      <c r="M574" s="1344"/>
      <c r="N574" s="1344"/>
      <c r="O574" s="1344"/>
      <c r="P574" s="1344"/>
      <c r="Q574" s="1344"/>
      <c r="R574" s="1344"/>
      <c r="S574" s="1344"/>
      <c r="T574" s="1345"/>
      <c r="U574" s="1284">
        <v>117</v>
      </c>
      <c r="V574" s="1285"/>
      <c r="W574" s="1286"/>
    </row>
    <row r="575" spans="1:23" s="295" customFormat="1" ht="12.75" customHeight="1">
      <c r="A575" s="539"/>
      <c r="B575" s="1350"/>
      <c r="C575" s="1343" t="s">
        <v>2566</v>
      </c>
      <c r="D575" s="1344"/>
      <c r="E575" s="1344"/>
      <c r="F575" s="1344"/>
      <c r="G575" s="1344"/>
      <c r="H575" s="1344"/>
      <c r="I575" s="1344"/>
      <c r="J575" s="1344"/>
      <c r="K575" s="1344"/>
      <c r="L575" s="1344"/>
      <c r="M575" s="1344"/>
      <c r="N575" s="1344"/>
      <c r="O575" s="1344"/>
      <c r="P575" s="1344"/>
      <c r="Q575" s="1344"/>
      <c r="R575" s="1344"/>
      <c r="S575" s="1344"/>
      <c r="T575" s="1345"/>
      <c r="U575" s="1284"/>
      <c r="V575" s="1285"/>
      <c r="W575" s="1286"/>
    </row>
    <row r="576" spans="1:23" s="295" customFormat="1" ht="12.75" customHeight="1">
      <c r="A576" s="539"/>
      <c r="B576" s="1350"/>
      <c r="C576" s="1291"/>
      <c r="D576" s="1343" t="s">
        <v>2555</v>
      </c>
      <c r="E576" s="1344"/>
      <c r="F576" s="1344"/>
      <c r="G576" s="1344"/>
      <c r="H576" s="1344"/>
      <c r="I576" s="1344"/>
      <c r="J576" s="1344"/>
      <c r="K576" s="1344"/>
      <c r="L576" s="1344"/>
      <c r="M576" s="1344"/>
      <c r="N576" s="1344"/>
      <c r="O576" s="1344"/>
      <c r="P576" s="1344"/>
      <c r="Q576" s="1344"/>
      <c r="R576" s="1344"/>
      <c r="S576" s="1344"/>
      <c r="T576" s="1345"/>
      <c r="U576" s="1284">
        <v>195</v>
      </c>
      <c r="V576" s="1285"/>
      <c r="W576" s="1286"/>
    </row>
    <row r="577" spans="1:23" s="295" customFormat="1" ht="12.75" customHeight="1">
      <c r="A577" s="539"/>
      <c r="B577" s="1350"/>
      <c r="C577" s="1292"/>
      <c r="D577" s="1343" t="s">
        <v>2556</v>
      </c>
      <c r="E577" s="1344"/>
      <c r="F577" s="1344"/>
      <c r="G577" s="1344"/>
      <c r="H577" s="1344"/>
      <c r="I577" s="1344"/>
      <c r="J577" s="1344"/>
      <c r="K577" s="1344"/>
      <c r="L577" s="1344"/>
      <c r="M577" s="1344"/>
      <c r="N577" s="1344"/>
      <c r="O577" s="1344"/>
      <c r="P577" s="1344"/>
      <c r="Q577" s="1344"/>
      <c r="R577" s="1344"/>
      <c r="S577" s="1344"/>
      <c r="T577" s="1345"/>
      <c r="U577" s="1284">
        <v>190</v>
      </c>
      <c r="V577" s="1285"/>
      <c r="W577" s="1286"/>
    </row>
    <row r="578" spans="1:23" s="295" customFormat="1" ht="12.75" customHeight="1">
      <c r="A578" s="539"/>
      <c r="B578" s="1350"/>
      <c r="C578" s="1292"/>
      <c r="D578" s="1343" t="s">
        <v>2557</v>
      </c>
      <c r="E578" s="1344"/>
      <c r="F578" s="1344"/>
      <c r="G578" s="1344"/>
      <c r="H578" s="1344"/>
      <c r="I578" s="1344"/>
      <c r="J578" s="1344"/>
      <c r="K578" s="1344"/>
      <c r="L578" s="1344"/>
      <c r="M578" s="1344"/>
      <c r="N578" s="1344"/>
      <c r="O578" s="1344"/>
      <c r="P578" s="1344"/>
      <c r="Q578" s="1344"/>
      <c r="R578" s="1344"/>
      <c r="S578" s="1344"/>
      <c r="T578" s="1345"/>
      <c r="U578" s="1284">
        <v>195</v>
      </c>
      <c r="V578" s="1285"/>
      <c r="W578" s="1286"/>
    </row>
    <row r="579" spans="1:23" s="295" customFormat="1" ht="12.75" customHeight="1">
      <c r="A579" s="539"/>
      <c r="B579" s="1350"/>
      <c r="C579" s="1292"/>
      <c r="D579" s="1343" t="s">
        <v>2558</v>
      </c>
      <c r="E579" s="1344"/>
      <c r="F579" s="1344"/>
      <c r="G579" s="1344"/>
      <c r="H579" s="1344"/>
      <c r="I579" s="1344"/>
      <c r="J579" s="1344"/>
      <c r="K579" s="1344"/>
      <c r="L579" s="1344"/>
      <c r="M579" s="1344"/>
      <c r="N579" s="1344"/>
      <c r="O579" s="1344"/>
      <c r="P579" s="1344"/>
      <c r="Q579" s="1344"/>
      <c r="R579" s="1344"/>
      <c r="S579" s="1344"/>
      <c r="T579" s="1345"/>
      <c r="U579" s="1284">
        <v>160</v>
      </c>
      <c r="V579" s="1285"/>
      <c r="W579" s="1286"/>
    </row>
    <row r="580" spans="1:23" s="295" customFormat="1" ht="12.75" customHeight="1">
      <c r="A580" s="539"/>
      <c r="B580" s="1350"/>
      <c r="C580" s="1292"/>
      <c r="D580" s="1343" t="s">
        <v>2559</v>
      </c>
      <c r="E580" s="1344"/>
      <c r="F580" s="1344"/>
      <c r="G580" s="1344"/>
      <c r="H580" s="1344"/>
      <c r="I580" s="1344"/>
      <c r="J580" s="1344"/>
      <c r="K580" s="1344"/>
      <c r="L580" s="1344"/>
      <c r="M580" s="1344"/>
      <c r="N580" s="1344"/>
      <c r="O580" s="1344"/>
      <c r="P580" s="1344"/>
      <c r="Q580" s="1344"/>
      <c r="R580" s="1344"/>
      <c r="S580" s="1344"/>
      <c r="T580" s="1345"/>
      <c r="U580" s="1284">
        <v>195</v>
      </c>
      <c r="V580" s="1285"/>
      <c r="W580" s="1286"/>
    </row>
    <row r="581" spans="1:23" s="295" customFormat="1" ht="12.75" customHeight="1">
      <c r="A581" s="539"/>
      <c r="B581" s="1350"/>
      <c r="C581" s="1292"/>
      <c r="D581" s="1343" t="s">
        <v>2560</v>
      </c>
      <c r="E581" s="1344"/>
      <c r="F581" s="1344"/>
      <c r="G581" s="1344"/>
      <c r="H581" s="1344"/>
      <c r="I581" s="1344"/>
      <c r="J581" s="1344"/>
      <c r="K581" s="1344"/>
      <c r="L581" s="1344"/>
      <c r="M581" s="1344"/>
      <c r="N581" s="1344"/>
      <c r="O581" s="1344"/>
      <c r="P581" s="1344"/>
      <c r="Q581" s="1344"/>
      <c r="R581" s="1344"/>
      <c r="S581" s="1344"/>
      <c r="T581" s="1345"/>
      <c r="U581" s="1284">
        <v>175</v>
      </c>
      <c r="V581" s="1285"/>
      <c r="W581" s="1286"/>
    </row>
    <row r="582" spans="1:23" s="295" customFormat="1" ht="12.75" customHeight="1">
      <c r="A582" s="539"/>
      <c r="B582" s="1350"/>
      <c r="C582" s="1292"/>
      <c r="D582" s="1343" t="s">
        <v>2561</v>
      </c>
      <c r="E582" s="1344"/>
      <c r="F582" s="1344"/>
      <c r="G582" s="1344"/>
      <c r="H582" s="1344"/>
      <c r="I582" s="1344"/>
      <c r="J582" s="1344"/>
      <c r="K582" s="1344"/>
      <c r="L582" s="1344"/>
      <c r="M582" s="1344"/>
      <c r="N582" s="1344"/>
      <c r="O582" s="1344"/>
      <c r="P582" s="1344"/>
      <c r="Q582" s="1344"/>
      <c r="R582" s="1344"/>
      <c r="S582" s="1344"/>
      <c r="T582" s="1345"/>
      <c r="U582" s="1284">
        <v>175</v>
      </c>
      <c r="V582" s="1285"/>
      <c r="W582" s="1286"/>
    </row>
    <row r="583" spans="1:23" s="295" customFormat="1" ht="12.75" customHeight="1">
      <c r="A583" s="539"/>
      <c r="B583" s="1350"/>
      <c r="C583" s="1292"/>
      <c r="D583" s="1343" t="s">
        <v>2562</v>
      </c>
      <c r="E583" s="1344"/>
      <c r="F583" s="1344"/>
      <c r="G583" s="1344"/>
      <c r="H583" s="1344"/>
      <c r="I583" s="1344"/>
      <c r="J583" s="1344"/>
      <c r="K583" s="1344"/>
      <c r="L583" s="1344"/>
      <c r="M583" s="1344"/>
      <c r="N583" s="1344"/>
      <c r="O583" s="1344"/>
      <c r="P583" s="1344"/>
      <c r="Q583" s="1344"/>
      <c r="R583" s="1344"/>
      <c r="S583" s="1344"/>
      <c r="T583" s="1345"/>
      <c r="U583" s="1284">
        <v>150</v>
      </c>
      <c r="V583" s="1285"/>
      <c r="W583" s="1286"/>
    </row>
    <row r="584" spans="1:23" s="295" customFormat="1" ht="12.75" customHeight="1">
      <c r="A584" s="539"/>
      <c r="B584" s="1350"/>
      <c r="C584" s="1292"/>
      <c r="D584" s="1343" t="s">
        <v>2564</v>
      </c>
      <c r="E584" s="1344"/>
      <c r="F584" s="1344"/>
      <c r="G584" s="1344"/>
      <c r="H584" s="1344"/>
      <c r="I584" s="1344"/>
      <c r="J584" s="1344"/>
      <c r="K584" s="1344"/>
      <c r="L584" s="1344"/>
      <c r="M584" s="1344"/>
      <c r="N584" s="1344"/>
      <c r="O584" s="1344"/>
      <c r="P584" s="1344"/>
      <c r="Q584" s="1344"/>
      <c r="R584" s="1344"/>
      <c r="S584" s="1344"/>
      <c r="T584" s="1345"/>
      <c r="U584" s="1284">
        <v>165</v>
      </c>
      <c r="V584" s="1285"/>
      <c r="W584" s="1286"/>
    </row>
    <row r="585" spans="1:23" s="295" customFormat="1" ht="12.75" customHeight="1">
      <c r="A585" s="539"/>
      <c r="B585" s="1350"/>
      <c r="C585" s="1293"/>
      <c r="D585" s="1343" t="s">
        <v>2565</v>
      </c>
      <c r="E585" s="1344"/>
      <c r="F585" s="1344"/>
      <c r="G585" s="1344"/>
      <c r="H585" s="1344"/>
      <c r="I585" s="1344"/>
      <c r="J585" s="1344"/>
      <c r="K585" s="1344"/>
      <c r="L585" s="1344"/>
      <c r="M585" s="1344"/>
      <c r="N585" s="1344"/>
      <c r="O585" s="1344"/>
      <c r="P585" s="1344"/>
      <c r="Q585" s="1344"/>
      <c r="R585" s="1344"/>
      <c r="S585" s="1344"/>
      <c r="T585" s="1345"/>
      <c r="U585" s="1284">
        <v>145</v>
      </c>
      <c r="V585" s="1285"/>
      <c r="W585" s="1286"/>
    </row>
    <row r="586" spans="1:23" s="295" customFormat="1" ht="12.75" customHeight="1">
      <c r="A586" s="539"/>
      <c r="B586" s="1351"/>
      <c r="C586" s="1343" t="s">
        <v>2567</v>
      </c>
      <c r="D586" s="1344"/>
      <c r="E586" s="1344"/>
      <c r="F586" s="1344"/>
      <c r="G586" s="1344"/>
      <c r="H586" s="1344"/>
      <c r="I586" s="1344"/>
      <c r="J586" s="1344"/>
      <c r="K586" s="1344"/>
      <c r="L586" s="1344"/>
      <c r="M586" s="1344"/>
      <c r="N586" s="1344"/>
      <c r="O586" s="1344"/>
      <c r="P586" s="1344"/>
      <c r="Q586" s="1344"/>
      <c r="R586" s="1344"/>
      <c r="S586" s="1344"/>
      <c r="T586" s="1345"/>
      <c r="U586" s="1284">
        <v>145</v>
      </c>
      <c r="V586" s="1285"/>
      <c r="W586" s="1286"/>
    </row>
    <row r="587" spans="1:23" s="295" customFormat="1" ht="12.75" customHeight="1">
      <c r="A587" s="539"/>
      <c r="B587" s="1352" t="s">
        <v>3374</v>
      </c>
      <c r="C587" s="1353"/>
      <c r="D587" s="1353"/>
      <c r="E587" s="1353"/>
      <c r="F587" s="1353"/>
      <c r="G587" s="1353"/>
      <c r="H587" s="1353"/>
      <c r="I587" s="1353"/>
      <c r="J587" s="1353"/>
      <c r="K587" s="1353"/>
      <c r="L587" s="1353"/>
      <c r="M587" s="1353"/>
      <c r="N587" s="1353"/>
      <c r="O587" s="1353"/>
      <c r="P587" s="1353"/>
      <c r="Q587" s="1353"/>
      <c r="R587" s="1353"/>
      <c r="S587" s="1353"/>
      <c r="T587" s="1354"/>
      <c r="U587" s="1284"/>
      <c r="V587" s="1285"/>
      <c r="W587" s="1286"/>
    </row>
    <row r="588" spans="1:23" s="295" customFormat="1" ht="12.75" customHeight="1">
      <c r="A588" s="539"/>
      <c r="B588" s="1349"/>
      <c r="C588" s="1343" t="s">
        <v>2568</v>
      </c>
      <c r="D588" s="1344"/>
      <c r="E588" s="1344"/>
      <c r="F588" s="1344"/>
      <c r="G588" s="1344"/>
      <c r="H588" s="1344"/>
      <c r="I588" s="1344"/>
      <c r="J588" s="1344"/>
      <c r="K588" s="1344"/>
      <c r="L588" s="1344"/>
      <c r="M588" s="1344"/>
      <c r="N588" s="1344"/>
      <c r="O588" s="1344"/>
      <c r="P588" s="1344"/>
      <c r="Q588" s="1344"/>
      <c r="R588" s="1344"/>
      <c r="S588" s="1344"/>
      <c r="T588" s="1345"/>
      <c r="U588" s="1374" t="s">
        <v>3303</v>
      </c>
      <c r="V588" s="1375"/>
      <c r="W588" s="1376"/>
    </row>
    <row r="589" spans="1:23" s="295" customFormat="1" ht="12.75" customHeight="1">
      <c r="A589" s="539"/>
      <c r="B589" s="1350"/>
      <c r="C589" s="1343" t="s">
        <v>2569</v>
      </c>
      <c r="D589" s="1344"/>
      <c r="E589" s="1344"/>
      <c r="F589" s="1344"/>
      <c r="G589" s="1344"/>
      <c r="H589" s="1344"/>
      <c r="I589" s="1344"/>
      <c r="J589" s="1344"/>
      <c r="K589" s="1344"/>
      <c r="L589" s="1344"/>
      <c r="M589" s="1344"/>
      <c r="N589" s="1344"/>
      <c r="O589" s="1344"/>
      <c r="P589" s="1344"/>
      <c r="Q589" s="1344"/>
      <c r="R589" s="1344"/>
      <c r="S589" s="1344"/>
      <c r="T589" s="1345"/>
      <c r="U589" s="1284">
        <v>74</v>
      </c>
      <c r="V589" s="1285"/>
      <c r="W589" s="1286"/>
    </row>
    <row r="590" spans="1:23" s="295" customFormat="1" ht="12.75" customHeight="1">
      <c r="A590" s="539"/>
      <c r="B590" s="1350"/>
      <c r="C590" s="1343" t="s">
        <v>2570</v>
      </c>
      <c r="D590" s="1344"/>
      <c r="E590" s="1344"/>
      <c r="F590" s="1344"/>
      <c r="G590" s="1344"/>
      <c r="H590" s="1344"/>
      <c r="I590" s="1344"/>
      <c r="J590" s="1344"/>
      <c r="K590" s="1344"/>
      <c r="L590" s="1344"/>
      <c r="M590" s="1344"/>
      <c r="N590" s="1344"/>
      <c r="O590" s="1344"/>
      <c r="P590" s="1344"/>
      <c r="Q590" s="1344"/>
      <c r="R590" s="1344"/>
      <c r="S590" s="1344"/>
      <c r="T590" s="1345"/>
      <c r="U590" s="1284">
        <v>74</v>
      </c>
      <c r="V590" s="1285"/>
      <c r="W590" s="1286"/>
    </row>
    <row r="591" spans="1:23" s="295" customFormat="1" ht="12.75" customHeight="1">
      <c r="A591" s="539"/>
      <c r="B591" s="1350"/>
      <c r="C591" s="1343" t="s">
        <v>2571</v>
      </c>
      <c r="D591" s="1344"/>
      <c r="E591" s="1344"/>
      <c r="F591" s="1344"/>
      <c r="G591" s="1344"/>
      <c r="H591" s="1344"/>
      <c r="I591" s="1344"/>
      <c r="J591" s="1344"/>
      <c r="K591" s="1344"/>
      <c r="L591" s="1344"/>
      <c r="M591" s="1344"/>
      <c r="N591" s="1344"/>
      <c r="O591" s="1344"/>
      <c r="P591" s="1344"/>
      <c r="Q591" s="1344"/>
      <c r="R591" s="1344"/>
      <c r="S591" s="1344"/>
      <c r="T591" s="1345"/>
      <c r="U591" s="1284">
        <v>74</v>
      </c>
      <c r="V591" s="1285"/>
      <c r="W591" s="1286"/>
    </row>
    <row r="592" spans="1:23" s="295" customFormat="1" ht="12.75" customHeight="1">
      <c r="A592" s="539"/>
      <c r="B592" s="1350"/>
      <c r="C592" s="1343" t="s">
        <v>2572</v>
      </c>
      <c r="D592" s="1344"/>
      <c r="E592" s="1344"/>
      <c r="F592" s="1344"/>
      <c r="G592" s="1344"/>
      <c r="H592" s="1344"/>
      <c r="I592" s="1344"/>
      <c r="J592" s="1344"/>
      <c r="K592" s="1344"/>
      <c r="L592" s="1344"/>
      <c r="M592" s="1344"/>
      <c r="N592" s="1344"/>
      <c r="O592" s="1344"/>
      <c r="P592" s="1344"/>
      <c r="Q592" s="1344"/>
      <c r="R592" s="1344"/>
      <c r="S592" s="1344"/>
      <c r="T592" s="1345"/>
      <c r="U592" s="1284">
        <v>74</v>
      </c>
      <c r="V592" s="1285"/>
      <c r="W592" s="1286"/>
    </row>
    <row r="593" spans="1:23" s="295" customFormat="1" ht="12.75" customHeight="1">
      <c r="A593" s="539"/>
      <c r="B593" s="1350"/>
      <c r="C593" s="1343" t="s">
        <v>2573</v>
      </c>
      <c r="D593" s="1344"/>
      <c r="E593" s="1344"/>
      <c r="F593" s="1344"/>
      <c r="G593" s="1344"/>
      <c r="H593" s="1344"/>
      <c r="I593" s="1344"/>
      <c r="J593" s="1344"/>
      <c r="K593" s="1344"/>
      <c r="L593" s="1344"/>
      <c r="M593" s="1344"/>
      <c r="N593" s="1344"/>
      <c r="O593" s="1344"/>
      <c r="P593" s="1344"/>
      <c r="Q593" s="1344"/>
      <c r="R593" s="1344"/>
      <c r="S593" s="1344"/>
      <c r="T593" s="1345"/>
      <c r="U593" s="1284">
        <v>74</v>
      </c>
      <c r="V593" s="1285"/>
      <c r="W593" s="1286"/>
    </row>
    <row r="594" spans="1:23" s="295" customFormat="1" ht="12.75" customHeight="1">
      <c r="A594" s="539"/>
      <c r="B594" s="1350"/>
      <c r="C594" s="1343" t="s">
        <v>2574</v>
      </c>
      <c r="D594" s="1344"/>
      <c r="E594" s="1344"/>
      <c r="F594" s="1344"/>
      <c r="G594" s="1344"/>
      <c r="H594" s="1344"/>
      <c r="I594" s="1344"/>
      <c r="J594" s="1344"/>
      <c r="K594" s="1344"/>
      <c r="L594" s="1344"/>
      <c r="M594" s="1344"/>
      <c r="N594" s="1344"/>
      <c r="O594" s="1344"/>
      <c r="P594" s="1344"/>
      <c r="Q594" s="1344"/>
      <c r="R594" s="1344"/>
      <c r="S594" s="1344"/>
      <c r="T594" s="1345"/>
      <c r="U594" s="1284">
        <v>74</v>
      </c>
      <c r="V594" s="1285"/>
      <c r="W594" s="1286"/>
    </row>
    <row r="595" spans="1:23" s="295" customFormat="1" ht="12.75" customHeight="1">
      <c r="A595" s="539"/>
      <c r="B595" s="1350"/>
      <c r="C595" s="1343" t="s">
        <v>2575</v>
      </c>
      <c r="D595" s="1344"/>
      <c r="E595" s="1344"/>
      <c r="F595" s="1344"/>
      <c r="G595" s="1344"/>
      <c r="H595" s="1344"/>
      <c r="I595" s="1344"/>
      <c r="J595" s="1344"/>
      <c r="K595" s="1344"/>
      <c r="L595" s="1344"/>
      <c r="M595" s="1344"/>
      <c r="N595" s="1344"/>
      <c r="O595" s="1344"/>
      <c r="P595" s="1344"/>
      <c r="Q595" s="1344"/>
      <c r="R595" s="1344"/>
      <c r="S595" s="1344"/>
      <c r="T595" s="1345"/>
      <c r="U595" s="1284">
        <v>74</v>
      </c>
      <c r="V595" s="1285"/>
      <c r="W595" s="1286"/>
    </row>
    <row r="596" spans="1:23" s="295" customFormat="1" ht="12.75" customHeight="1">
      <c r="A596" s="539"/>
      <c r="B596" s="1350"/>
      <c r="C596" s="1343" t="s">
        <v>2576</v>
      </c>
      <c r="D596" s="1344"/>
      <c r="E596" s="1344"/>
      <c r="F596" s="1344"/>
      <c r="G596" s="1344"/>
      <c r="H596" s="1344"/>
      <c r="I596" s="1344"/>
      <c r="J596" s="1344"/>
      <c r="K596" s="1344"/>
      <c r="L596" s="1344"/>
      <c r="M596" s="1344"/>
      <c r="N596" s="1344"/>
      <c r="O596" s="1344"/>
      <c r="P596" s="1344"/>
      <c r="Q596" s="1344"/>
      <c r="R596" s="1344"/>
      <c r="S596" s="1344"/>
      <c r="T596" s="1345"/>
      <c r="U596" s="1284"/>
      <c r="V596" s="1285"/>
      <c r="W596" s="1286"/>
    </row>
    <row r="597" spans="1:23" s="295" customFormat="1" ht="12.75" customHeight="1">
      <c r="A597" s="539"/>
      <c r="B597" s="1350"/>
      <c r="C597" s="1291"/>
      <c r="D597" s="1343" t="s">
        <v>2542</v>
      </c>
      <c r="E597" s="1344"/>
      <c r="F597" s="1344"/>
      <c r="G597" s="1344"/>
      <c r="H597" s="1344"/>
      <c r="I597" s="1344"/>
      <c r="J597" s="1344"/>
      <c r="K597" s="1344"/>
      <c r="L597" s="1344"/>
      <c r="M597" s="1344"/>
      <c r="N597" s="1344"/>
      <c r="O597" s="1344"/>
      <c r="P597" s="1344"/>
      <c r="Q597" s="1344"/>
      <c r="R597" s="1344"/>
      <c r="S597" s="1344"/>
      <c r="T597" s="1345"/>
      <c r="U597" s="1284">
        <v>75</v>
      </c>
      <c r="V597" s="1285"/>
      <c r="W597" s="1286"/>
    </row>
    <row r="598" spans="1:23" s="295" customFormat="1" ht="12.75" customHeight="1">
      <c r="A598" s="539"/>
      <c r="B598" s="1350"/>
      <c r="C598" s="1292"/>
      <c r="D598" s="1343" t="s">
        <v>2543</v>
      </c>
      <c r="E598" s="1344"/>
      <c r="F598" s="1344"/>
      <c r="G598" s="1344"/>
      <c r="H598" s="1344"/>
      <c r="I598" s="1344"/>
      <c r="J598" s="1344"/>
      <c r="K598" s="1344"/>
      <c r="L598" s="1344"/>
      <c r="M598" s="1344"/>
      <c r="N598" s="1344"/>
      <c r="O598" s="1344"/>
      <c r="P598" s="1344"/>
      <c r="Q598" s="1344"/>
      <c r="R598" s="1344"/>
      <c r="S598" s="1344"/>
      <c r="T598" s="1345"/>
      <c r="U598" s="1284">
        <v>75</v>
      </c>
      <c r="V598" s="1285"/>
      <c r="W598" s="1286"/>
    </row>
    <row r="599" spans="1:23" s="295" customFormat="1" ht="12.75" customHeight="1">
      <c r="A599" s="539"/>
      <c r="B599" s="1350"/>
      <c r="C599" s="1293"/>
      <c r="D599" s="1343" t="s">
        <v>2544</v>
      </c>
      <c r="E599" s="1344"/>
      <c r="F599" s="1344"/>
      <c r="G599" s="1344"/>
      <c r="H599" s="1344"/>
      <c r="I599" s="1344"/>
      <c r="J599" s="1344"/>
      <c r="K599" s="1344"/>
      <c r="L599" s="1344"/>
      <c r="M599" s="1344"/>
      <c r="N599" s="1344"/>
      <c r="O599" s="1344"/>
      <c r="P599" s="1344"/>
      <c r="Q599" s="1344"/>
      <c r="R599" s="1344"/>
      <c r="S599" s="1344"/>
      <c r="T599" s="1345"/>
      <c r="U599" s="1284">
        <v>75</v>
      </c>
      <c r="V599" s="1285"/>
      <c r="W599" s="1286"/>
    </row>
    <row r="600" spans="1:23" s="295" customFormat="1" ht="12.75" customHeight="1">
      <c r="A600" s="539"/>
      <c r="B600" s="1350"/>
      <c r="C600" s="1355" t="s">
        <v>2577</v>
      </c>
      <c r="D600" s="1356"/>
      <c r="E600" s="1356"/>
      <c r="F600" s="1356"/>
      <c r="G600" s="1356"/>
      <c r="H600" s="1356"/>
      <c r="I600" s="1356"/>
      <c r="J600" s="1356"/>
      <c r="K600" s="1356"/>
      <c r="L600" s="1356"/>
      <c r="M600" s="1356"/>
      <c r="N600" s="1356"/>
      <c r="O600" s="1356"/>
      <c r="P600" s="1356"/>
      <c r="Q600" s="1356"/>
      <c r="R600" s="1356"/>
      <c r="S600" s="1356"/>
      <c r="T600" s="1357"/>
      <c r="U600" s="1284">
        <v>66</v>
      </c>
      <c r="V600" s="1285"/>
      <c r="W600" s="1286"/>
    </row>
    <row r="601" spans="1:23" s="295" customFormat="1" ht="12.75" customHeight="1">
      <c r="A601" s="539"/>
      <c r="B601" s="1350"/>
      <c r="C601" s="1291"/>
      <c r="D601" s="1343" t="s">
        <v>2578</v>
      </c>
      <c r="E601" s="1344"/>
      <c r="F601" s="1344"/>
      <c r="G601" s="1344"/>
      <c r="H601" s="1344"/>
      <c r="I601" s="1344"/>
      <c r="J601" s="1344"/>
      <c r="K601" s="1344"/>
      <c r="L601" s="1344"/>
      <c r="M601" s="1344"/>
      <c r="N601" s="1344"/>
      <c r="O601" s="1344"/>
      <c r="P601" s="1344"/>
      <c r="Q601" s="1344"/>
      <c r="R601" s="1344"/>
      <c r="S601" s="1344"/>
      <c r="T601" s="1345"/>
      <c r="U601" s="1284">
        <v>66</v>
      </c>
      <c r="V601" s="1285"/>
      <c r="W601" s="1286"/>
    </row>
    <row r="602" spans="1:23" s="295" customFormat="1" ht="12.75" customHeight="1">
      <c r="A602" s="539"/>
      <c r="B602" s="1350"/>
      <c r="C602" s="1292"/>
      <c r="D602" s="1343" t="s">
        <v>2579</v>
      </c>
      <c r="E602" s="1344"/>
      <c r="F602" s="1344"/>
      <c r="G602" s="1344"/>
      <c r="H602" s="1344"/>
      <c r="I602" s="1344"/>
      <c r="J602" s="1344"/>
      <c r="K602" s="1344"/>
      <c r="L602" s="1344"/>
      <c r="M602" s="1344"/>
      <c r="N602" s="1344"/>
      <c r="O602" s="1344"/>
      <c r="P602" s="1344"/>
      <c r="Q602" s="1344"/>
      <c r="R602" s="1344"/>
      <c r="S602" s="1344"/>
      <c r="T602" s="1345"/>
      <c r="U602" s="1284">
        <v>66</v>
      </c>
      <c r="V602" s="1285"/>
      <c r="W602" s="1286"/>
    </row>
    <row r="603" spans="1:23" s="295" customFormat="1" ht="12.75" customHeight="1">
      <c r="A603" s="539"/>
      <c r="B603" s="1351"/>
      <c r="C603" s="1293"/>
      <c r="D603" s="1343" t="s">
        <v>2544</v>
      </c>
      <c r="E603" s="1344"/>
      <c r="F603" s="1344"/>
      <c r="G603" s="1344"/>
      <c r="H603" s="1344"/>
      <c r="I603" s="1344"/>
      <c r="J603" s="1344"/>
      <c r="K603" s="1344"/>
      <c r="L603" s="1344"/>
      <c r="M603" s="1344"/>
      <c r="N603" s="1344"/>
      <c r="O603" s="1344"/>
      <c r="P603" s="1344"/>
      <c r="Q603" s="1344"/>
      <c r="R603" s="1344"/>
      <c r="S603" s="1344"/>
      <c r="T603" s="1345"/>
      <c r="U603" s="1284">
        <v>66</v>
      </c>
      <c r="V603" s="1285"/>
      <c r="W603" s="1286"/>
    </row>
    <row r="604" spans="1:23" s="295" customFormat="1" ht="12.75" customHeight="1">
      <c r="A604" s="539"/>
      <c r="B604" s="529"/>
      <c r="C604" s="530"/>
      <c r="D604" s="483"/>
      <c r="E604" s="483"/>
      <c r="F604" s="483"/>
      <c r="G604" s="483"/>
      <c r="H604" s="483"/>
      <c r="I604" s="483"/>
      <c r="J604" s="483"/>
      <c r="K604" s="483"/>
      <c r="L604" s="483"/>
      <c r="M604" s="483"/>
      <c r="N604" s="483"/>
      <c r="O604" s="483"/>
      <c r="P604" s="483"/>
      <c r="Q604" s="483"/>
      <c r="R604" s="483"/>
      <c r="S604" s="483"/>
      <c r="T604" s="435"/>
      <c r="U604" s="313"/>
      <c r="V604" s="484"/>
      <c r="W604" s="455"/>
    </row>
    <row r="605" spans="1:23" s="295" customFormat="1" ht="12.75" customHeight="1">
      <c r="A605" s="539"/>
      <c r="B605" s="529"/>
      <c r="C605" s="530"/>
      <c r="D605" s="483"/>
      <c r="E605" s="483"/>
      <c r="F605" s="483"/>
      <c r="G605" s="483"/>
      <c r="H605" s="483"/>
      <c r="I605" s="483"/>
      <c r="J605" s="483"/>
      <c r="K605" s="483"/>
      <c r="L605" s="483"/>
      <c r="M605" s="483"/>
      <c r="N605" s="483"/>
      <c r="O605" s="483"/>
      <c r="P605" s="483"/>
      <c r="Q605" s="483"/>
      <c r="R605" s="483"/>
      <c r="S605" s="483"/>
      <c r="T605" s="435"/>
      <c r="U605" s="313"/>
      <c r="V605" s="484"/>
      <c r="W605" s="455"/>
    </row>
    <row r="606" spans="1:23" s="295" customFormat="1" ht="30" customHeight="1">
      <c r="A606" s="1300" t="s">
        <v>2541</v>
      </c>
      <c r="B606" s="1300"/>
      <c r="C606" s="1300"/>
      <c r="D606" s="1300"/>
      <c r="E606" s="1300"/>
      <c r="F606" s="1300"/>
      <c r="G606" s="1300"/>
      <c r="H606" s="1300"/>
      <c r="I606" s="1300"/>
      <c r="J606" s="1300"/>
      <c r="K606" s="1300"/>
      <c r="L606" s="1300"/>
      <c r="M606" s="1300"/>
      <c r="N606" s="1300"/>
      <c r="O606" s="1300"/>
      <c r="P606" s="1300"/>
      <c r="Q606" s="1300"/>
      <c r="R606" s="1300"/>
      <c r="S606" s="1300"/>
      <c r="T606" s="1300"/>
      <c r="U606" s="1299" t="s">
        <v>3305</v>
      </c>
      <c r="V606" s="1299"/>
      <c r="W606" s="1299"/>
    </row>
    <row r="607" spans="1:23" s="295" customFormat="1" ht="12.75" customHeight="1">
      <c r="A607" s="539"/>
      <c r="B607" s="1352" t="s">
        <v>3375</v>
      </c>
      <c r="C607" s="1353"/>
      <c r="D607" s="1353"/>
      <c r="E607" s="1353"/>
      <c r="F607" s="1353"/>
      <c r="G607" s="1353"/>
      <c r="H607" s="1353"/>
      <c r="I607" s="1353"/>
      <c r="J607" s="1353"/>
      <c r="K607" s="1353"/>
      <c r="L607" s="1353"/>
      <c r="M607" s="1353"/>
      <c r="N607" s="1353"/>
      <c r="O607" s="1353"/>
      <c r="P607" s="1353"/>
      <c r="Q607" s="1353"/>
      <c r="R607" s="1353"/>
      <c r="S607" s="1353"/>
      <c r="T607" s="1354"/>
      <c r="U607" s="1284"/>
      <c r="V607" s="1285"/>
      <c r="W607" s="1286"/>
    </row>
    <row r="608" spans="1:23" s="295" customFormat="1" ht="12.75" customHeight="1">
      <c r="A608" s="539"/>
      <c r="B608" s="1349"/>
      <c r="C608" s="1343" t="s">
        <v>2580</v>
      </c>
      <c r="D608" s="1344"/>
      <c r="E608" s="1344"/>
      <c r="F608" s="1344"/>
      <c r="G608" s="1344"/>
      <c r="H608" s="1344"/>
      <c r="I608" s="1344"/>
      <c r="J608" s="1344"/>
      <c r="K608" s="1344"/>
      <c r="L608" s="1344"/>
      <c r="M608" s="1344"/>
      <c r="N608" s="1344"/>
      <c r="O608" s="1344"/>
      <c r="P608" s="1344"/>
      <c r="Q608" s="1344"/>
      <c r="R608" s="1344"/>
      <c r="S608" s="1344"/>
      <c r="T608" s="1345"/>
      <c r="U608" s="1284"/>
      <c r="V608" s="1285"/>
      <c r="W608" s="1286"/>
    </row>
    <row r="609" spans="1:23" s="295" customFormat="1" ht="12.75" customHeight="1">
      <c r="A609" s="539"/>
      <c r="B609" s="1350"/>
      <c r="C609" s="1291"/>
      <c r="D609" s="1343" t="s">
        <v>2578</v>
      </c>
      <c r="E609" s="1344"/>
      <c r="F609" s="1344"/>
      <c r="G609" s="1344"/>
      <c r="H609" s="1344"/>
      <c r="I609" s="1344"/>
      <c r="J609" s="1344"/>
      <c r="K609" s="1344"/>
      <c r="L609" s="1344"/>
      <c r="M609" s="1344"/>
      <c r="N609" s="1344"/>
      <c r="O609" s="1344"/>
      <c r="P609" s="1344"/>
      <c r="Q609" s="1344"/>
      <c r="R609" s="1344"/>
      <c r="S609" s="1344"/>
      <c r="T609" s="1345"/>
      <c r="U609" s="1284">
        <v>90</v>
      </c>
      <c r="V609" s="1285"/>
      <c r="W609" s="1286"/>
    </row>
    <row r="610" spans="1:23" s="295" customFormat="1" ht="12.75" customHeight="1">
      <c r="A610" s="539"/>
      <c r="B610" s="1350"/>
      <c r="C610" s="1292"/>
      <c r="D610" s="1343" t="s">
        <v>2579</v>
      </c>
      <c r="E610" s="1344"/>
      <c r="F610" s="1344"/>
      <c r="G610" s="1344"/>
      <c r="H610" s="1344"/>
      <c r="I610" s="1344"/>
      <c r="J610" s="1344"/>
      <c r="K610" s="1344"/>
      <c r="L610" s="1344"/>
      <c r="M610" s="1344"/>
      <c r="N610" s="1344"/>
      <c r="O610" s="1344"/>
      <c r="P610" s="1344"/>
      <c r="Q610" s="1344"/>
      <c r="R610" s="1344"/>
      <c r="S610" s="1344"/>
      <c r="T610" s="1345"/>
      <c r="U610" s="1284">
        <v>80</v>
      </c>
      <c r="V610" s="1285"/>
      <c r="W610" s="1286"/>
    </row>
    <row r="611" spans="1:23" s="295" customFormat="1" ht="12.75" customHeight="1">
      <c r="A611" s="540"/>
      <c r="B611" s="1351"/>
      <c r="C611" s="1293"/>
      <c r="D611" s="1343" t="s">
        <v>2544</v>
      </c>
      <c r="E611" s="1344"/>
      <c r="F611" s="1344"/>
      <c r="G611" s="1344"/>
      <c r="H611" s="1344"/>
      <c r="I611" s="1344"/>
      <c r="J611" s="1344"/>
      <c r="K611" s="1344"/>
      <c r="L611" s="1344"/>
      <c r="M611" s="1344"/>
      <c r="N611" s="1344"/>
      <c r="O611" s="1344"/>
      <c r="P611" s="1344"/>
      <c r="Q611" s="1344"/>
      <c r="R611" s="1344"/>
      <c r="S611" s="1344"/>
      <c r="T611" s="1345"/>
      <c r="U611" s="1284">
        <v>70</v>
      </c>
      <c r="V611" s="1285"/>
      <c r="W611" s="1286"/>
    </row>
    <row r="612" spans="1:23" s="295" customFormat="1" ht="30" customHeight="1">
      <c r="A612" s="1364" t="s">
        <v>764</v>
      </c>
      <c r="B612" s="1364"/>
      <c r="C612" s="1364"/>
      <c r="D612" s="1364"/>
      <c r="E612" s="1364"/>
      <c r="F612" s="1364"/>
      <c r="G612" s="1364"/>
      <c r="H612" s="1364"/>
      <c r="I612" s="1364"/>
      <c r="J612" s="1364"/>
      <c r="K612" s="1364"/>
      <c r="L612" s="1364"/>
      <c r="M612" s="1364"/>
      <c r="N612" s="1364"/>
      <c r="O612" s="1364"/>
      <c r="P612" s="1364"/>
      <c r="Q612" s="1364"/>
      <c r="R612" s="1364"/>
      <c r="S612" s="1364"/>
      <c r="T612" s="1364"/>
      <c r="U612" s="1340"/>
      <c r="V612" s="1341"/>
      <c r="W612" s="1342"/>
    </row>
    <row r="613" spans="1:23" s="295" customFormat="1" ht="12.75" customHeight="1">
      <c r="A613" s="1358"/>
      <c r="B613" s="1364" t="s">
        <v>765</v>
      </c>
      <c r="C613" s="1364"/>
      <c r="D613" s="1364"/>
      <c r="E613" s="1364"/>
      <c r="F613" s="1364"/>
      <c r="G613" s="1364"/>
      <c r="H613" s="1364"/>
      <c r="I613" s="1364"/>
      <c r="J613" s="1364"/>
      <c r="K613" s="1364"/>
      <c r="L613" s="1364"/>
      <c r="M613" s="1364"/>
      <c r="N613" s="1364"/>
      <c r="O613" s="1364"/>
      <c r="P613" s="1364"/>
      <c r="Q613" s="1364"/>
      <c r="R613" s="1364"/>
      <c r="S613" s="1364"/>
      <c r="T613" s="1364"/>
      <c r="U613" s="1214"/>
      <c r="V613" s="1214"/>
      <c r="W613" s="1214"/>
    </row>
    <row r="614" spans="1:23" s="295" customFormat="1" ht="12.75" customHeight="1">
      <c r="A614" s="1350"/>
      <c r="B614" s="1360"/>
      <c r="C614" s="1291"/>
      <c r="D614" s="1363" t="s">
        <v>2581</v>
      </c>
      <c r="E614" s="1363"/>
      <c r="F614" s="1363"/>
      <c r="G614" s="1363"/>
      <c r="H614" s="1363"/>
      <c r="I614" s="1363"/>
      <c r="J614" s="1363"/>
      <c r="K614" s="1363"/>
      <c r="L614" s="1363"/>
      <c r="M614" s="1363"/>
      <c r="N614" s="1363"/>
      <c r="O614" s="1363"/>
      <c r="P614" s="1363"/>
      <c r="Q614" s="1363"/>
      <c r="R614" s="1363"/>
      <c r="S614" s="1363"/>
      <c r="T614" s="1363"/>
      <c r="U614" s="1214">
        <v>103</v>
      </c>
      <c r="V614" s="1214"/>
      <c r="W614" s="1214"/>
    </row>
    <row r="615" spans="1:23" s="295" customFormat="1" ht="12.75" customHeight="1">
      <c r="A615" s="1350"/>
      <c r="B615" s="1361"/>
      <c r="C615" s="1292"/>
      <c r="D615" s="1363" t="s">
        <v>2582</v>
      </c>
      <c r="E615" s="1363"/>
      <c r="F615" s="1363"/>
      <c r="G615" s="1363"/>
      <c r="H615" s="1363"/>
      <c r="I615" s="1363"/>
      <c r="J615" s="1363"/>
      <c r="K615" s="1363"/>
      <c r="L615" s="1363"/>
      <c r="M615" s="1363"/>
      <c r="N615" s="1363"/>
      <c r="O615" s="1363"/>
      <c r="P615" s="1363"/>
      <c r="Q615" s="1363"/>
      <c r="R615" s="1363"/>
      <c r="S615" s="1363"/>
      <c r="T615" s="1363"/>
      <c r="U615" s="1214">
        <v>82</v>
      </c>
      <c r="V615" s="1214"/>
      <c r="W615" s="1214"/>
    </row>
    <row r="616" spans="1:23" s="295" customFormat="1" ht="12.75" customHeight="1">
      <c r="A616" s="1350"/>
      <c r="B616" s="1361"/>
      <c r="C616" s="1292"/>
      <c r="D616" s="1363" t="s">
        <v>2583</v>
      </c>
      <c r="E616" s="1363"/>
      <c r="F616" s="1363"/>
      <c r="G616" s="1363"/>
      <c r="H616" s="1363"/>
      <c r="I616" s="1363"/>
      <c r="J616" s="1363"/>
      <c r="K616" s="1363"/>
      <c r="L616" s="1363"/>
      <c r="M616" s="1363"/>
      <c r="N616" s="1363"/>
      <c r="O616" s="1363"/>
      <c r="P616" s="1363"/>
      <c r="Q616" s="1363"/>
      <c r="R616" s="1363"/>
      <c r="S616" s="1363"/>
      <c r="T616" s="1363"/>
      <c r="U616" s="1214">
        <v>81</v>
      </c>
      <c r="V616" s="1214"/>
      <c r="W616" s="1214"/>
    </row>
    <row r="617" spans="1:23" s="295" customFormat="1" ht="12.75" customHeight="1">
      <c r="A617" s="1350"/>
      <c r="B617" s="1361"/>
      <c r="C617" s="1292"/>
      <c r="D617" s="1363" t="s">
        <v>2584</v>
      </c>
      <c r="E617" s="1363"/>
      <c r="F617" s="1363"/>
      <c r="G617" s="1363"/>
      <c r="H617" s="1363"/>
      <c r="I617" s="1363"/>
      <c r="J617" s="1363"/>
      <c r="K617" s="1363"/>
      <c r="L617" s="1363"/>
      <c r="M617" s="1363"/>
      <c r="N617" s="1363"/>
      <c r="O617" s="1363"/>
      <c r="P617" s="1363"/>
      <c r="Q617" s="1363"/>
      <c r="R617" s="1363"/>
      <c r="S617" s="1363"/>
      <c r="T617" s="1363"/>
      <c r="U617" s="1214">
        <v>79</v>
      </c>
      <c r="V617" s="1214"/>
      <c r="W617" s="1214"/>
    </row>
    <row r="618" spans="1:23" s="295" customFormat="1" ht="12.75" customHeight="1">
      <c r="A618" s="1350"/>
      <c r="B618" s="1361"/>
      <c r="C618" s="1292"/>
      <c r="D618" s="1363" t="s">
        <v>2585</v>
      </c>
      <c r="E618" s="1363"/>
      <c r="F618" s="1363"/>
      <c r="G618" s="1363"/>
      <c r="H618" s="1363"/>
      <c r="I618" s="1363"/>
      <c r="J618" s="1363"/>
      <c r="K618" s="1363"/>
      <c r="L618" s="1363"/>
      <c r="M618" s="1363"/>
      <c r="N618" s="1363"/>
      <c r="O618" s="1363"/>
      <c r="P618" s="1363"/>
      <c r="Q618" s="1363"/>
      <c r="R618" s="1363"/>
      <c r="S618" s="1363"/>
      <c r="T618" s="1363"/>
      <c r="U618" s="1214">
        <v>77</v>
      </c>
      <c r="V618" s="1214"/>
      <c r="W618" s="1214"/>
    </row>
    <row r="619" spans="1:23" s="295" customFormat="1" ht="12.75" customHeight="1">
      <c r="A619" s="1350"/>
      <c r="B619" s="1361"/>
      <c r="C619" s="1292"/>
      <c r="D619" s="1363" t="s">
        <v>2586</v>
      </c>
      <c r="E619" s="1363"/>
      <c r="F619" s="1363"/>
      <c r="G619" s="1363"/>
      <c r="H619" s="1363"/>
      <c r="I619" s="1363"/>
      <c r="J619" s="1363"/>
      <c r="K619" s="1363"/>
      <c r="L619" s="1363"/>
      <c r="M619" s="1363"/>
      <c r="N619" s="1363"/>
      <c r="O619" s="1363"/>
      <c r="P619" s="1363"/>
      <c r="Q619" s="1363"/>
      <c r="R619" s="1363"/>
      <c r="S619" s="1363"/>
      <c r="T619" s="1363"/>
      <c r="U619" s="1214">
        <v>75</v>
      </c>
      <c r="V619" s="1214"/>
      <c r="W619" s="1214"/>
    </row>
    <row r="620" spans="1:23" s="295" customFormat="1" ht="12.75" customHeight="1">
      <c r="A620" s="1350"/>
      <c r="B620" s="1361"/>
      <c r="C620" s="1292"/>
      <c r="D620" s="1363" t="s">
        <v>2587</v>
      </c>
      <c r="E620" s="1363"/>
      <c r="F620" s="1363"/>
      <c r="G620" s="1363"/>
      <c r="H620" s="1363"/>
      <c r="I620" s="1363"/>
      <c r="J620" s="1363"/>
      <c r="K620" s="1363"/>
      <c r="L620" s="1363"/>
      <c r="M620" s="1363"/>
      <c r="N620" s="1363"/>
      <c r="O620" s="1363"/>
      <c r="P620" s="1363"/>
      <c r="Q620" s="1363"/>
      <c r="R620" s="1363"/>
      <c r="S620" s="1363"/>
      <c r="T620" s="1363"/>
      <c r="U620" s="1214">
        <v>63</v>
      </c>
      <c r="V620" s="1214"/>
      <c r="W620" s="1214"/>
    </row>
    <row r="621" spans="1:23" s="295" customFormat="1" ht="12.75" customHeight="1">
      <c r="A621" s="1350"/>
      <c r="B621" s="1361"/>
      <c r="C621" s="1292"/>
      <c r="D621" s="1363" t="s">
        <v>2588</v>
      </c>
      <c r="E621" s="1363"/>
      <c r="F621" s="1363"/>
      <c r="G621" s="1363"/>
      <c r="H621" s="1363"/>
      <c r="I621" s="1363"/>
      <c r="J621" s="1363"/>
      <c r="K621" s="1363"/>
      <c r="L621" s="1363"/>
      <c r="M621" s="1363"/>
      <c r="N621" s="1363"/>
      <c r="O621" s="1363"/>
      <c r="P621" s="1363"/>
      <c r="Q621" s="1363"/>
      <c r="R621" s="1363"/>
      <c r="S621" s="1363"/>
      <c r="T621" s="1363"/>
      <c r="U621" s="1214">
        <v>59</v>
      </c>
      <c r="V621" s="1214"/>
      <c r="W621" s="1214"/>
    </row>
    <row r="622" spans="1:23" s="295" customFormat="1" ht="12.75" customHeight="1">
      <c r="A622" s="1350"/>
      <c r="B622" s="1361"/>
      <c r="C622" s="1292"/>
      <c r="D622" s="1363" t="s">
        <v>2589</v>
      </c>
      <c r="E622" s="1363"/>
      <c r="F622" s="1363"/>
      <c r="G622" s="1363"/>
      <c r="H622" s="1363"/>
      <c r="I622" s="1363"/>
      <c r="J622" s="1363"/>
      <c r="K622" s="1363"/>
      <c r="L622" s="1363"/>
      <c r="M622" s="1363"/>
      <c r="N622" s="1363"/>
      <c r="O622" s="1363"/>
      <c r="P622" s="1363"/>
      <c r="Q622" s="1363"/>
      <c r="R622" s="1363"/>
      <c r="S622" s="1363"/>
      <c r="T622" s="1363"/>
      <c r="U622" s="1214">
        <v>56</v>
      </c>
      <c r="V622" s="1214"/>
      <c r="W622" s="1214"/>
    </row>
    <row r="623" spans="1:23" s="295" customFormat="1" ht="12.75" customHeight="1">
      <c r="A623" s="1350"/>
      <c r="B623" s="1361"/>
      <c r="C623" s="1292"/>
      <c r="D623" s="1363" t="s">
        <v>2590</v>
      </c>
      <c r="E623" s="1363"/>
      <c r="F623" s="1363"/>
      <c r="G623" s="1363"/>
      <c r="H623" s="1363"/>
      <c r="I623" s="1363"/>
      <c r="J623" s="1363"/>
      <c r="K623" s="1363"/>
      <c r="L623" s="1363"/>
      <c r="M623" s="1363"/>
      <c r="N623" s="1363"/>
      <c r="O623" s="1363"/>
      <c r="P623" s="1363"/>
      <c r="Q623" s="1363"/>
      <c r="R623" s="1363"/>
      <c r="S623" s="1363"/>
      <c r="T623" s="1363"/>
      <c r="U623" s="1214">
        <v>68</v>
      </c>
      <c r="V623" s="1214"/>
      <c r="W623" s="1214"/>
    </row>
    <row r="624" spans="1:23" s="295" customFormat="1" ht="12.75" customHeight="1">
      <c r="A624" s="1350"/>
      <c r="B624" s="1361"/>
      <c r="C624" s="1292"/>
      <c r="D624" s="1363" t="s">
        <v>2591</v>
      </c>
      <c r="E624" s="1363"/>
      <c r="F624" s="1363"/>
      <c r="G624" s="1363"/>
      <c r="H624" s="1363"/>
      <c r="I624" s="1363"/>
      <c r="J624" s="1363"/>
      <c r="K624" s="1363"/>
      <c r="L624" s="1363"/>
      <c r="M624" s="1363"/>
      <c r="N624" s="1363"/>
      <c r="O624" s="1363"/>
      <c r="P624" s="1363"/>
      <c r="Q624" s="1363"/>
      <c r="R624" s="1363"/>
      <c r="S624" s="1363"/>
      <c r="T624" s="1363"/>
      <c r="U624" s="1214">
        <v>68</v>
      </c>
      <c r="V624" s="1214"/>
      <c r="W624" s="1214"/>
    </row>
    <row r="625" spans="1:23" s="295" customFormat="1" ht="12.75" customHeight="1">
      <c r="A625" s="1350"/>
      <c r="B625" s="1361"/>
      <c r="C625" s="1292"/>
      <c r="D625" s="1363" t="s">
        <v>2592</v>
      </c>
      <c r="E625" s="1363"/>
      <c r="F625" s="1363"/>
      <c r="G625" s="1363"/>
      <c r="H625" s="1363"/>
      <c r="I625" s="1363"/>
      <c r="J625" s="1363"/>
      <c r="K625" s="1363"/>
      <c r="L625" s="1363"/>
      <c r="M625" s="1363"/>
      <c r="N625" s="1363"/>
      <c r="O625" s="1363"/>
      <c r="P625" s="1363"/>
      <c r="Q625" s="1363"/>
      <c r="R625" s="1363"/>
      <c r="S625" s="1363"/>
      <c r="T625" s="1363"/>
      <c r="U625" s="1214">
        <v>68</v>
      </c>
      <c r="V625" s="1214"/>
      <c r="W625" s="1214"/>
    </row>
    <row r="626" spans="1:23" s="295" customFormat="1" ht="12.75" customHeight="1">
      <c r="A626" s="1350"/>
      <c r="B626" s="1361"/>
      <c r="C626" s="1292"/>
      <c r="D626" s="1363" t="s">
        <v>2593</v>
      </c>
      <c r="E626" s="1363"/>
      <c r="F626" s="1363"/>
      <c r="G626" s="1363"/>
      <c r="H626" s="1363"/>
      <c r="I626" s="1363"/>
      <c r="J626" s="1363"/>
      <c r="K626" s="1363"/>
      <c r="L626" s="1363"/>
      <c r="M626" s="1363"/>
      <c r="N626" s="1363"/>
      <c r="O626" s="1363"/>
      <c r="P626" s="1363"/>
      <c r="Q626" s="1363"/>
      <c r="R626" s="1363"/>
      <c r="S626" s="1363"/>
      <c r="T626" s="1363"/>
      <c r="U626" s="1214">
        <v>68</v>
      </c>
      <c r="V626" s="1214"/>
      <c r="W626" s="1214"/>
    </row>
    <row r="627" spans="1:23" s="295" customFormat="1" ht="12.75" customHeight="1">
      <c r="A627" s="1350"/>
      <c r="B627" s="1361"/>
      <c r="C627" s="1292"/>
      <c r="D627" s="1363" t="s">
        <v>2594</v>
      </c>
      <c r="E627" s="1363"/>
      <c r="F627" s="1363"/>
      <c r="G627" s="1363"/>
      <c r="H627" s="1363"/>
      <c r="I627" s="1363"/>
      <c r="J627" s="1363"/>
      <c r="K627" s="1363"/>
      <c r="L627" s="1363"/>
      <c r="M627" s="1363"/>
      <c r="N627" s="1363"/>
      <c r="O627" s="1363"/>
      <c r="P627" s="1363"/>
      <c r="Q627" s="1363"/>
      <c r="R627" s="1363"/>
      <c r="S627" s="1363"/>
      <c r="T627" s="1363"/>
      <c r="U627" s="1214">
        <v>69</v>
      </c>
      <c r="V627" s="1214"/>
      <c r="W627" s="1214"/>
    </row>
    <row r="628" spans="1:23" s="295" customFormat="1" ht="12.75" customHeight="1">
      <c r="A628" s="1350"/>
      <c r="B628" s="1361"/>
      <c r="C628" s="1292"/>
      <c r="D628" s="1363" t="s">
        <v>2595</v>
      </c>
      <c r="E628" s="1363"/>
      <c r="F628" s="1363"/>
      <c r="G628" s="1363"/>
      <c r="H628" s="1363"/>
      <c r="I628" s="1363"/>
      <c r="J628" s="1363"/>
      <c r="K628" s="1363"/>
      <c r="L628" s="1363"/>
      <c r="M628" s="1363"/>
      <c r="N628" s="1363"/>
      <c r="O628" s="1363"/>
      <c r="P628" s="1363"/>
      <c r="Q628" s="1363"/>
      <c r="R628" s="1363"/>
      <c r="S628" s="1363"/>
      <c r="T628" s="1363"/>
      <c r="U628" s="1214">
        <v>69</v>
      </c>
      <c r="V628" s="1214"/>
      <c r="W628" s="1214"/>
    </row>
    <row r="629" spans="1:23" s="295" customFormat="1" ht="12.75" customHeight="1">
      <c r="A629" s="1350"/>
      <c r="B629" s="1361"/>
      <c r="C629" s="1292"/>
      <c r="D629" s="1363" t="s">
        <v>2596</v>
      </c>
      <c r="E629" s="1363"/>
      <c r="F629" s="1363"/>
      <c r="G629" s="1363"/>
      <c r="H629" s="1363"/>
      <c r="I629" s="1363"/>
      <c r="J629" s="1363"/>
      <c r="K629" s="1363"/>
      <c r="L629" s="1363"/>
      <c r="M629" s="1363"/>
      <c r="N629" s="1363"/>
      <c r="O629" s="1363"/>
      <c r="P629" s="1363"/>
      <c r="Q629" s="1363"/>
      <c r="R629" s="1363"/>
      <c r="S629" s="1363"/>
      <c r="T629" s="1363"/>
      <c r="U629" s="1214">
        <v>69</v>
      </c>
      <c r="V629" s="1214"/>
      <c r="W629" s="1214"/>
    </row>
    <row r="630" spans="1:23" s="295" customFormat="1" ht="12.75" customHeight="1">
      <c r="A630" s="1350"/>
      <c r="B630" s="1362"/>
      <c r="C630" s="1293"/>
      <c r="D630" s="1363" t="s">
        <v>2597</v>
      </c>
      <c r="E630" s="1363"/>
      <c r="F630" s="1363"/>
      <c r="G630" s="1363"/>
      <c r="H630" s="1363"/>
      <c r="I630" s="1363"/>
      <c r="J630" s="1363"/>
      <c r="K630" s="1363"/>
      <c r="L630" s="1363"/>
      <c r="M630" s="1363"/>
      <c r="N630" s="1363"/>
      <c r="O630" s="1363"/>
      <c r="P630" s="1363"/>
      <c r="Q630" s="1363"/>
      <c r="R630" s="1363"/>
      <c r="S630" s="1363"/>
      <c r="T630" s="1363"/>
      <c r="U630" s="1214">
        <v>69</v>
      </c>
      <c r="V630" s="1214"/>
      <c r="W630" s="1214"/>
    </row>
    <row r="631" spans="1:23" s="295" customFormat="1" ht="12.75" customHeight="1">
      <c r="A631" s="1359"/>
      <c r="B631" s="1364" t="s">
        <v>783</v>
      </c>
      <c r="C631" s="1364"/>
      <c r="D631" s="1364"/>
      <c r="E631" s="1364"/>
      <c r="F631" s="1364"/>
      <c r="G631" s="1364"/>
      <c r="H631" s="1364"/>
      <c r="I631" s="1364"/>
      <c r="J631" s="1364"/>
      <c r="K631" s="1364"/>
      <c r="L631" s="1364"/>
      <c r="M631" s="1364"/>
      <c r="N631" s="1364"/>
      <c r="O631" s="1364"/>
      <c r="P631" s="1364"/>
      <c r="Q631" s="1364"/>
      <c r="R631" s="1364"/>
      <c r="S631" s="1364"/>
      <c r="T631" s="1364"/>
      <c r="U631" s="1214"/>
      <c r="V631" s="1214"/>
      <c r="W631" s="1214"/>
    </row>
    <row r="632" spans="1:23" s="295" customFormat="1" ht="12.75" customHeight="1">
      <c r="A632" s="1350"/>
      <c r="B632" s="1360"/>
      <c r="C632" s="1291"/>
      <c r="D632" s="1363" t="s">
        <v>2598</v>
      </c>
      <c r="E632" s="1363"/>
      <c r="F632" s="1363"/>
      <c r="G632" s="1363"/>
      <c r="H632" s="1363"/>
      <c r="I632" s="1363"/>
      <c r="J632" s="1363"/>
      <c r="K632" s="1363"/>
      <c r="L632" s="1363"/>
      <c r="M632" s="1363"/>
      <c r="N632" s="1363"/>
      <c r="O632" s="1363"/>
      <c r="P632" s="1363"/>
      <c r="Q632" s="1363"/>
      <c r="R632" s="1363"/>
      <c r="S632" s="1363"/>
      <c r="T632" s="1363"/>
      <c r="U632" s="1214">
        <v>67</v>
      </c>
      <c r="V632" s="1214"/>
      <c r="W632" s="1214"/>
    </row>
    <row r="633" spans="1:23" s="295" customFormat="1" ht="12.75" customHeight="1">
      <c r="A633" s="1350"/>
      <c r="B633" s="1361"/>
      <c r="C633" s="1292"/>
      <c r="D633" s="1363" t="s">
        <v>2599</v>
      </c>
      <c r="E633" s="1363"/>
      <c r="F633" s="1363"/>
      <c r="G633" s="1363"/>
      <c r="H633" s="1363"/>
      <c r="I633" s="1363"/>
      <c r="J633" s="1363"/>
      <c r="K633" s="1363"/>
      <c r="L633" s="1363"/>
      <c r="M633" s="1363"/>
      <c r="N633" s="1363"/>
      <c r="O633" s="1363"/>
      <c r="P633" s="1363"/>
      <c r="Q633" s="1363"/>
      <c r="R633" s="1363"/>
      <c r="S633" s="1363"/>
      <c r="T633" s="1363"/>
      <c r="U633" s="1214">
        <v>67</v>
      </c>
      <c r="V633" s="1214"/>
      <c r="W633" s="1214"/>
    </row>
    <row r="634" spans="1:23" s="295" customFormat="1" ht="12.75" customHeight="1">
      <c r="A634" s="1350"/>
      <c r="B634" s="1361"/>
      <c r="C634" s="1292"/>
      <c r="D634" s="1363" t="s">
        <v>2600</v>
      </c>
      <c r="E634" s="1363"/>
      <c r="F634" s="1363"/>
      <c r="G634" s="1363"/>
      <c r="H634" s="1363"/>
      <c r="I634" s="1363"/>
      <c r="J634" s="1363"/>
      <c r="K634" s="1363"/>
      <c r="L634" s="1363"/>
      <c r="M634" s="1363"/>
      <c r="N634" s="1363"/>
      <c r="O634" s="1363"/>
      <c r="P634" s="1363"/>
      <c r="Q634" s="1363"/>
      <c r="R634" s="1363"/>
      <c r="S634" s="1363"/>
      <c r="T634" s="1363"/>
      <c r="U634" s="1214">
        <v>67</v>
      </c>
      <c r="V634" s="1214"/>
      <c r="W634" s="1214"/>
    </row>
    <row r="635" spans="1:23" s="295" customFormat="1" ht="12.75" customHeight="1">
      <c r="A635" s="1350"/>
      <c r="B635" s="1361"/>
      <c r="C635" s="1292"/>
      <c r="D635" s="1363" t="s">
        <v>2601</v>
      </c>
      <c r="E635" s="1363"/>
      <c r="F635" s="1363"/>
      <c r="G635" s="1363"/>
      <c r="H635" s="1363"/>
      <c r="I635" s="1363"/>
      <c r="J635" s="1363"/>
      <c r="K635" s="1363"/>
      <c r="L635" s="1363"/>
      <c r="M635" s="1363"/>
      <c r="N635" s="1363"/>
      <c r="O635" s="1363"/>
      <c r="P635" s="1363"/>
      <c r="Q635" s="1363"/>
      <c r="R635" s="1363"/>
      <c r="S635" s="1363"/>
      <c r="T635" s="1363"/>
      <c r="U635" s="1214">
        <v>67</v>
      </c>
      <c r="V635" s="1214"/>
      <c r="W635" s="1214"/>
    </row>
    <row r="636" spans="1:23" s="295" customFormat="1" ht="12.75" customHeight="1">
      <c r="A636" s="1350"/>
      <c r="B636" s="1361"/>
      <c r="C636" s="1292"/>
      <c r="D636" s="1363" t="s">
        <v>2602</v>
      </c>
      <c r="E636" s="1363"/>
      <c r="F636" s="1363"/>
      <c r="G636" s="1363"/>
      <c r="H636" s="1363"/>
      <c r="I636" s="1363"/>
      <c r="J636" s="1363"/>
      <c r="K636" s="1363"/>
      <c r="L636" s="1363"/>
      <c r="M636" s="1363"/>
      <c r="N636" s="1363"/>
      <c r="O636" s="1363"/>
      <c r="P636" s="1363"/>
      <c r="Q636" s="1363"/>
      <c r="R636" s="1363"/>
      <c r="S636" s="1363"/>
      <c r="T636" s="1363"/>
      <c r="U636" s="1214">
        <v>67</v>
      </c>
      <c r="V636" s="1214"/>
      <c r="W636" s="1214"/>
    </row>
    <row r="637" spans="1:23" s="295" customFormat="1" ht="12.75" customHeight="1">
      <c r="A637" s="1350"/>
      <c r="B637" s="1361"/>
      <c r="C637" s="1292"/>
      <c r="D637" s="1363" t="s">
        <v>2603</v>
      </c>
      <c r="E637" s="1363"/>
      <c r="F637" s="1363"/>
      <c r="G637" s="1363"/>
      <c r="H637" s="1363"/>
      <c r="I637" s="1363"/>
      <c r="J637" s="1363"/>
      <c r="K637" s="1363"/>
      <c r="L637" s="1363"/>
      <c r="M637" s="1363"/>
      <c r="N637" s="1363"/>
      <c r="O637" s="1363"/>
      <c r="P637" s="1363"/>
      <c r="Q637" s="1363"/>
      <c r="R637" s="1363"/>
      <c r="S637" s="1363"/>
      <c r="T637" s="1363"/>
      <c r="U637" s="1214">
        <v>68</v>
      </c>
      <c r="V637" s="1214"/>
      <c r="W637" s="1214"/>
    </row>
    <row r="638" spans="1:23" s="295" customFormat="1" ht="12.75" customHeight="1">
      <c r="A638" s="1350"/>
      <c r="B638" s="1361"/>
      <c r="C638" s="1292"/>
      <c r="D638" s="1363" t="s">
        <v>2604</v>
      </c>
      <c r="E638" s="1363"/>
      <c r="F638" s="1363"/>
      <c r="G638" s="1363"/>
      <c r="H638" s="1363"/>
      <c r="I638" s="1363"/>
      <c r="J638" s="1363"/>
      <c r="K638" s="1363"/>
      <c r="L638" s="1363"/>
      <c r="M638" s="1363"/>
      <c r="N638" s="1363"/>
      <c r="O638" s="1363"/>
      <c r="P638" s="1363"/>
      <c r="Q638" s="1363"/>
      <c r="R638" s="1363"/>
      <c r="S638" s="1363"/>
      <c r="T638" s="1363"/>
      <c r="U638" s="1214">
        <v>68</v>
      </c>
      <c r="V638" s="1214"/>
      <c r="W638" s="1214"/>
    </row>
    <row r="639" spans="1:23" s="295" customFormat="1" ht="12.75" customHeight="1">
      <c r="A639" s="1350"/>
      <c r="B639" s="1361"/>
      <c r="C639" s="1292"/>
      <c r="D639" s="1363" t="s">
        <v>2605</v>
      </c>
      <c r="E639" s="1363"/>
      <c r="F639" s="1363"/>
      <c r="G639" s="1363"/>
      <c r="H639" s="1363"/>
      <c r="I639" s="1363"/>
      <c r="J639" s="1363"/>
      <c r="K639" s="1363"/>
      <c r="L639" s="1363"/>
      <c r="M639" s="1363"/>
      <c r="N639" s="1363"/>
      <c r="O639" s="1363"/>
      <c r="P639" s="1363"/>
      <c r="Q639" s="1363"/>
      <c r="R639" s="1363"/>
      <c r="S639" s="1363"/>
      <c r="T639" s="1363"/>
      <c r="U639" s="1214">
        <v>68</v>
      </c>
      <c r="V639" s="1214"/>
      <c r="W639" s="1214"/>
    </row>
    <row r="640" spans="1:23" s="295" customFormat="1" ht="12.75" customHeight="1">
      <c r="A640" s="1350"/>
      <c r="B640" s="1362"/>
      <c r="C640" s="1293"/>
      <c r="D640" s="1363" t="s">
        <v>2606</v>
      </c>
      <c r="E640" s="1363"/>
      <c r="F640" s="1363"/>
      <c r="G640" s="1363"/>
      <c r="H640" s="1363"/>
      <c r="I640" s="1363"/>
      <c r="J640" s="1363"/>
      <c r="K640" s="1363"/>
      <c r="L640" s="1363"/>
      <c r="M640" s="1363"/>
      <c r="N640" s="1363"/>
      <c r="O640" s="1363"/>
      <c r="P640" s="1363"/>
      <c r="Q640" s="1363"/>
      <c r="R640" s="1363"/>
      <c r="S640" s="1363"/>
      <c r="T640" s="1363"/>
      <c r="U640" s="1214">
        <v>68</v>
      </c>
      <c r="V640" s="1214"/>
      <c r="W640" s="1214"/>
    </row>
    <row r="641" spans="1:23" s="295" customFormat="1" ht="12.75" customHeight="1">
      <c r="A641" s="1359"/>
      <c r="B641" s="1364" t="s">
        <v>793</v>
      </c>
      <c r="C641" s="1364"/>
      <c r="D641" s="1364"/>
      <c r="E641" s="1364"/>
      <c r="F641" s="1364"/>
      <c r="G641" s="1364"/>
      <c r="H641" s="1364"/>
      <c r="I641" s="1364"/>
      <c r="J641" s="1364"/>
      <c r="K641" s="1364"/>
      <c r="L641" s="1364"/>
      <c r="M641" s="1364"/>
      <c r="N641" s="1364"/>
      <c r="O641" s="1364"/>
      <c r="P641" s="1364"/>
      <c r="Q641" s="1364"/>
      <c r="R641" s="1364"/>
      <c r="S641" s="1364"/>
      <c r="T641" s="1364"/>
      <c r="U641" s="1214"/>
      <c r="V641" s="1214"/>
      <c r="W641" s="1214"/>
    </row>
    <row r="642" spans="1:23" s="295" customFormat="1" ht="12.75" customHeight="1">
      <c r="A642" s="1350"/>
      <c r="B642" s="1360"/>
      <c r="C642" s="1291"/>
      <c r="D642" s="1363" t="s">
        <v>2607</v>
      </c>
      <c r="E642" s="1363"/>
      <c r="F642" s="1363"/>
      <c r="G642" s="1363"/>
      <c r="H642" s="1363"/>
      <c r="I642" s="1363"/>
      <c r="J642" s="1363"/>
      <c r="K642" s="1363"/>
      <c r="L642" s="1363"/>
      <c r="M642" s="1363"/>
      <c r="N642" s="1363"/>
      <c r="O642" s="1363"/>
      <c r="P642" s="1363"/>
      <c r="Q642" s="1363"/>
      <c r="R642" s="1363"/>
      <c r="S642" s="1363"/>
      <c r="T642" s="1363"/>
      <c r="U642" s="1214">
        <v>67</v>
      </c>
      <c r="V642" s="1214"/>
      <c r="W642" s="1214"/>
    </row>
    <row r="643" spans="1:23" s="295" customFormat="1" ht="12.75" customHeight="1">
      <c r="A643" s="1350"/>
      <c r="B643" s="1361"/>
      <c r="C643" s="1292"/>
      <c r="D643" s="1363" t="s">
        <v>2608</v>
      </c>
      <c r="E643" s="1363"/>
      <c r="F643" s="1363"/>
      <c r="G643" s="1363"/>
      <c r="H643" s="1363"/>
      <c r="I643" s="1363"/>
      <c r="J643" s="1363"/>
      <c r="K643" s="1363"/>
      <c r="L643" s="1363"/>
      <c r="M643" s="1363"/>
      <c r="N643" s="1363"/>
      <c r="O643" s="1363"/>
      <c r="P643" s="1363"/>
      <c r="Q643" s="1363"/>
      <c r="R643" s="1363"/>
      <c r="S643" s="1363"/>
      <c r="T643" s="1363"/>
      <c r="U643" s="1214">
        <v>67</v>
      </c>
      <c r="V643" s="1214"/>
      <c r="W643" s="1214"/>
    </row>
    <row r="644" spans="1:23" s="295" customFormat="1" ht="12.75" customHeight="1">
      <c r="A644" s="1350"/>
      <c r="B644" s="1361"/>
      <c r="C644" s="1292"/>
      <c r="D644" s="1363" t="s">
        <v>2609</v>
      </c>
      <c r="E644" s="1363"/>
      <c r="F644" s="1363"/>
      <c r="G644" s="1363"/>
      <c r="H644" s="1363"/>
      <c r="I644" s="1363"/>
      <c r="J644" s="1363"/>
      <c r="K644" s="1363"/>
      <c r="L644" s="1363"/>
      <c r="M644" s="1363"/>
      <c r="N644" s="1363"/>
      <c r="O644" s="1363"/>
      <c r="P644" s="1363"/>
      <c r="Q644" s="1363"/>
      <c r="R644" s="1363"/>
      <c r="S644" s="1363"/>
      <c r="T644" s="1363"/>
      <c r="U644" s="1214">
        <v>67</v>
      </c>
      <c r="V644" s="1214"/>
      <c r="W644" s="1214"/>
    </row>
    <row r="645" spans="1:23" s="295" customFormat="1">
      <c r="A645" s="1350"/>
      <c r="B645" s="1361"/>
      <c r="C645" s="1292"/>
      <c r="D645" s="1363" t="s">
        <v>2610</v>
      </c>
      <c r="E645" s="1363"/>
      <c r="F645" s="1363"/>
      <c r="G645" s="1363"/>
      <c r="H645" s="1363"/>
      <c r="I645" s="1363"/>
      <c r="J645" s="1363"/>
      <c r="K645" s="1363"/>
      <c r="L645" s="1363"/>
      <c r="M645" s="1363"/>
      <c r="N645" s="1363"/>
      <c r="O645" s="1363"/>
      <c r="P645" s="1363"/>
      <c r="Q645" s="1363"/>
      <c r="R645" s="1363"/>
      <c r="S645" s="1363"/>
      <c r="T645" s="1363"/>
      <c r="U645" s="1214">
        <v>67</v>
      </c>
      <c r="V645" s="1214"/>
      <c r="W645" s="1214"/>
    </row>
    <row r="646" spans="1:23" s="295" customFormat="1" ht="12.75" customHeight="1">
      <c r="A646" s="1350"/>
      <c r="B646" s="1361"/>
      <c r="C646" s="1292"/>
      <c r="D646" s="1363" t="s">
        <v>2611</v>
      </c>
      <c r="E646" s="1363"/>
      <c r="F646" s="1363"/>
      <c r="G646" s="1363"/>
      <c r="H646" s="1363"/>
      <c r="I646" s="1363"/>
      <c r="J646" s="1363"/>
      <c r="K646" s="1363"/>
      <c r="L646" s="1363"/>
      <c r="M646" s="1363"/>
      <c r="N646" s="1363"/>
      <c r="O646" s="1363"/>
      <c r="P646" s="1363"/>
      <c r="Q646" s="1363"/>
      <c r="R646" s="1363"/>
      <c r="S646" s="1363"/>
      <c r="T646" s="1363"/>
      <c r="U646" s="1214">
        <v>67</v>
      </c>
      <c r="V646" s="1214"/>
      <c r="W646" s="1214"/>
    </row>
    <row r="647" spans="1:23" s="295" customFormat="1" ht="12.75" customHeight="1">
      <c r="A647" s="1350"/>
      <c r="B647" s="1361"/>
      <c r="C647" s="1292"/>
      <c r="D647" s="1363" t="s">
        <v>2612</v>
      </c>
      <c r="E647" s="1363"/>
      <c r="F647" s="1363"/>
      <c r="G647" s="1363"/>
      <c r="H647" s="1363"/>
      <c r="I647" s="1363"/>
      <c r="J647" s="1363"/>
      <c r="K647" s="1363"/>
      <c r="L647" s="1363"/>
      <c r="M647" s="1363"/>
      <c r="N647" s="1363"/>
      <c r="O647" s="1363"/>
      <c r="P647" s="1363"/>
      <c r="Q647" s="1363"/>
      <c r="R647" s="1363"/>
      <c r="S647" s="1363"/>
      <c r="T647" s="1363"/>
      <c r="U647" s="1214">
        <v>67</v>
      </c>
      <c r="V647" s="1214"/>
      <c r="W647" s="1214"/>
    </row>
    <row r="648" spans="1:23" s="295" customFormat="1" ht="12.75" customHeight="1">
      <c r="A648" s="1350"/>
      <c r="B648" s="1361"/>
      <c r="C648" s="1292"/>
      <c r="D648" s="1363" t="s">
        <v>2613</v>
      </c>
      <c r="E648" s="1363"/>
      <c r="F648" s="1363"/>
      <c r="G648" s="1363"/>
      <c r="H648" s="1363"/>
      <c r="I648" s="1363"/>
      <c r="J648" s="1363"/>
      <c r="K648" s="1363"/>
      <c r="L648" s="1363"/>
      <c r="M648" s="1363"/>
      <c r="N648" s="1363"/>
      <c r="O648" s="1363"/>
      <c r="P648" s="1363"/>
      <c r="Q648" s="1363"/>
      <c r="R648" s="1363"/>
      <c r="S648" s="1363"/>
      <c r="T648" s="1363"/>
      <c r="U648" s="1214">
        <v>67</v>
      </c>
      <c r="V648" s="1214"/>
      <c r="W648" s="1214"/>
    </row>
    <row r="649" spans="1:23" s="295" customFormat="1" ht="12.75" customHeight="1">
      <c r="A649" s="1350"/>
      <c r="B649" s="1361"/>
      <c r="C649" s="1292"/>
      <c r="D649" s="1363" t="s">
        <v>2614</v>
      </c>
      <c r="E649" s="1363"/>
      <c r="F649" s="1363"/>
      <c r="G649" s="1363"/>
      <c r="H649" s="1363"/>
      <c r="I649" s="1363"/>
      <c r="J649" s="1363"/>
      <c r="K649" s="1363"/>
      <c r="L649" s="1363"/>
      <c r="M649" s="1363"/>
      <c r="N649" s="1363"/>
      <c r="O649" s="1363"/>
      <c r="P649" s="1363"/>
      <c r="Q649" s="1363"/>
      <c r="R649" s="1363"/>
      <c r="S649" s="1363"/>
      <c r="T649" s="1363"/>
      <c r="U649" s="1214">
        <v>67</v>
      </c>
      <c r="V649" s="1214"/>
      <c r="W649" s="1214"/>
    </row>
    <row r="650" spans="1:23" s="295" customFormat="1" ht="12.75" customHeight="1">
      <c r="A650" s="1350"/>
      <c r="B650" s="1362"/>
      <c r="C650" s="1293"/>
      <c r="D650" s="1363" t="s">
        <v>2606</v>
      </c>
      <c r="E650" s="1363"/>
      <c r="F650" s="1363"/>
      <c r="G650" s="1363"/>
      <c r="H650" s="1363"/>
      <c r="I650" s="1363"/>
      <c r="J650" s="1363"/>
      <c r="K650" s="1363"/>
      <c r="L650" s="1363"/>
      <c r="M650" s="1363"/>
      <c r="N650" s="1363"/>
      <c r="O650" s="1363"/>
      <c r="P650" s="1363"/>
      <c r="Q650" s="1363"/>
      <c r="R650" s="1363"/>
      <c r="S650" s="1363"/>
      <c r="T650" s="1363"/>
      <c r="U650" s="1214">
        <v>67</v>
      </c>
      <c r="V650" s="1214"/>
      <c r="W650" s="1214"/>
    </row>
    <row r="651" spans="1:23" s="295" customFormat="1" ht="12.75" customHeight="1">
      <c r="A651" s="1359"/>
      <c r="B651" s="1364" t="s">
        <v>802</v>
      </c>
      <c r="C651" s="1364"/>
      <c r="D651" s="1364"/>
      <c r="E651" s="1364"/>
      <c r="F651" s="1364"/>
      <c r="G651" s="1364"/>
      <c r="H651" s="1364"/>
      <c r="I651" s="1364"/>
      <c r="J651" s="1364"/>
      <c r="K651" s="1364"/>
      <c r="L651" s="1364"/>
      <c r="M651" s="1364"/>
      <c r="N651" s="1364"/>
      <c r="O651" s="1364"/>
      <c r="P651" s="1364"/>
      <c r="Q651" s="1364"/>
      <c r="R651" s="1364"/>
      <c r="S651" s="1364"/>
      <c r="T651" s="1364"/>
      <c r="U651" s="1214"/>
      <c r="V651" s="1214"/>
      <c r="W651" s="1214"/>
    </row>
    <row r="652" spans="1:23" s="295" customFormat="1" ht="12.75" customHeight="1">
      <c r="A652" s="1350"/>
      <c r="B652" s="1360"/>
      <c r="C652" s="1291"/>
      <c r="D652" s="1363" t="s">
        <v>2615</v>
      </c>
      <c r="E652" s="1363"/>
      <c r="F652" s="1363"/>
      <c r="G652" s="1363"/>
      <c r="H652" s="1363"/>
      <c r="I652" s="1363"/>
      <c r="J652" s="1363"/>
      <c r="K652" s="1363"/>
      <c r="L652" s="1363"/>
      <c r="M652" s="1363"/>
      <c r="N652" s="1363"/>
      <c r="O652" s="1363"/>
      <c r="P652" s="1363"/>
      <c r="Q652" s="1363"/>
      <c r="R652" s="1363"/>
      <c r="S652" s="1363"/>
      <c r="T652" s="1363"/>
      <c r="U652" s="1214">
        <v>67</v>
      </c>
      <c r="V652" s="1214"/>
      <c r="W652" s="1214"/>
    </row>
    <row r="653" spans="1:23" s="295" customFormat="1" ht="12.75" customHeight="1">
      <c r="A653" s="1351"/>
      <c r="B653" s="1362"/>
      <c r="C653" s="1293"/>
      <c r="D653" s="1363" t="s">
        <v>2616</v>
      </c>
      <c r="E653" s="1363"/>
      <c r="F653" s="1363"/>
      <c r="G653" s="1363"/>
      <c r="H653" s="1363"/>
      <c r="I653" s="1363"/>
      <c r="J653" s="1363"/>
      <c r="K653" s="1363"/>
      <c r="L653" s="1363"/>
      <c r="M653" s="1363"/>
      <c r="N653" s="1363"/>
      <c r="O653" s="1363"/>
      <c r="P653" s="1363"/>
      <c r="Q653" s="1363"/>
      <c r="R653" s="1363"/>
      <c r="S653" s="1363"/>
      <c r="T653" s="1363"/>
      <c r="U653" s="1214">
        <v>67</v>
      </c>
      <c r="V653" s="1214"/>
      <c r="W653" s="1214"/>
    </row>
    <row r="654" spans="1:23" s="295" customFormat="1" ht="12.75" customHeight="1">
      <c r="A654" s="418"/>
      <c r="B654" s="418"/>
      <c r="C654" s="418"/>
      <c r="D654" s="437"/>
      <c r="E654" s="437"/>
      <c r="F654" s="437"/>
      <c r="G654" s="437"/>
      <c r="H654" s="437"/>
      <c r="I654" s="437"/>
      <c r="J654" s="437"/>
      <c r="K654" s="437"/>
      <c r="L654" s="437"/>
      <c r="M654" s="437"/>
      <c r="N654" s="437"/>
      <c r="O654" s="437"/>
      <c r="P654" s="437"/>
      <c r="Q654" s="437"/>
      <c r="R654" s="437"/>
      <c r="S654" s="437"/>
      <c r="T654" s="437"/>
      <c r="U654" s="418"/>
      <c r="V654" s="418"/>
      <c r="W654" s="418"/>
    </row>
    <row r="655" spans="1:23" s="295" customFormat="1" ht="12.75" customHeight="1">
      <c r="A655" s="316"/>
      <c r="B655" s="316"/>
      <c r="C655" s="316"/>
      <c r="D655" s="531"/>
      <c r="E655" s="531"/>
      <c r="F655" s="531"/>
      <c r="G655" s="531"/>
      <c r="H655" s="531"/>
      <c r="I655" s="531"/>
      <c r="J655" s="531"/>
      <c r="K655" s="531"/>
      <c r="L655" s="531"/>
      <c r="M655" s="531"/>
      <c r="N655" s="531"/>
      <c r="O655" s="531"/>
      <c r="P655" s="531"/>
      <c r="Q655" s="531"/>
      <c r="R655" s="531"/>
      <c r="S655" s="531"/>
      <c r="T655" s="531"/>
      <c r="U655" s="316"/>
      <c r="V655" s="316"/>
      <c r="W655" s="316"/>
    </row>
    <row r="656" spans="1:23" s="295" customFormat="1" ht="12.75" customHeight="1">
      <c r="A656" s="316"/>
      <c r="B656" s="316"/>
      <c r="C656" s="316"/>
      <c r="D656" s="531"/>
      <c r="E656" s="531"/>
      <c r="F656" s="531"/>
      <c r="G656" s="531"/>
      <c r="H656" s="531"/>
      <c r="I656" s="531"/>
      <c r="J656" s="531"/>
      <c r="K656" s="531"/>
      <c r="L656" s="531"/>
      <c r="M656" s="531"/>
      <c r="N656" s="531"/>
      <c r="O656" s="531"/>
      <c r="P656" s="531"/>
      <c r="Q656" s="531"/>
      <c r="R656" s="531"/>
      <c r="S656" s="531"/>
      <c r="T656" s="531"/>
      <c r="U656" s="316"/>
      <c r="V656" s="316"/>
      <c r="W656" s="316"/>
    </row>
    <row r="657" spans="1:23" s="295" customFormat="1" ht="12.75" customHeight="1">
      <c r="A657" s="316"/>
      <c r="B657" s="316"/>
      <c r="C657" s="316"/>
      <c r="D657" s="531"/>
      <c r="E657" s="531"/>
      <c r="F657" s="531"/>
      <c r="G657" s="531"/>
      <c r="H657" s="531"/>
      <c r="I657" s="531"/>
      <c r="J657" s="531"/>
      <c r="K657" s="531"/>
      <c r="L657" s="531"/>
      <c r="M657" s="531"/>
      <c r="N657" s="531"/>
      <c r="O657" s="531"/>
      <c r="P657" s="531"/>
      <c r="Q657" s="531"/>
      <c r="R657" s="531"/>
      <c r="S657" s="531"/>
      <c r="T657" s="531"/>
      <c r="U657" s="316"/>
      <c r="V657" s="316"/>
      <c r="W657" s="316"/>
    </row>
    <row r="658" spans="1:23" s="295" customFormat="1" ht="12.75" customHeight="1">
      <c r="A658" s="316"/>
      <c r="B658" s="316"/>
      <c r="C658" s="316"/>
      <c r="D658" s="531"/>
      <c r="E658" s="531"/>
      <c r="F658" s="531"/>
      <c r="G658" s="531"/>
      <c r="H658" s="531"/>
      <c r="I658" s="531"/>
      <c r="J658" s="531"/>
      <c r="K658" s="531"/>
      <c r="L658" s="531"/>
      <c r="M658" s="531"/>
      <c r="N658" s="531"/>
      <c r="O658" s="531"/>
      <c r="P658" s="531"/>
      <c r="Q658" s="531"/>
      <c r="R658" s="531"/>
      <c r="S658" s="531"/>
      <c r="T658" s="531"/>
      <c r="U658" s="316"/>
      <c r="V658" s="316"/>
      <c r="W658" s="316"/>
    </row>
    <row r="659" spans="1:23" s="295" customFormat="1" ht="12.75" customHeight="1">
      <c r="A659" s="316"/>
      <c r="B659" s="316"/>
      <c r="C659" s="316"/>
      <c r="D659" s="531"/>
      <c r="E659" s="531"/>
      <c r="F659" s="531"/>
      <c r="G659" s="531"/>
      <c r="H659" s="531"/>
      <c r="I659" s="531"/>
      <c r="J659" s="531"/>
      <c r="K659" s="531"/>
      <c r="L659" s="531"/>
      <c r="M659" s="531"/>
      <c r="N659" s="531"/>
      <c r="O659" s="531"/>
      <c r="P659" s="531"/>
      <c r="Q659" s="531"/>
      <c r="R659" s="531"/>
      <c r="S659" s="531"/>
      <c r="T659" s="531"/>
      <c r="U659" s="316"/>
      <c r="V659" s="316"/>
      <c r="W659" s="316"/>
    </row>
    <row r="660" spans="1:23" s="295" customFormat="1" ht="12.75" customHeight="1">
      <c r="A660" s="316"/>
      <c r="B660" s="316"/>
      <c r="C660" s="316"/>
      <c r="D660" s="531"/>
      <c r="E660" s="531"/>
      <c r="F660" s="531"/>
      <c r="G660" s="531"/>
      <c r="H660" s="531"/>
      <c r="I660" s="531"/>
      <c r="J660" s="531"/>
      <c r="K660" s="531"/>
      <c r="L660" s="531"/>
      <c r="M660" s="531"/>
      <c r="N660" s="531"/>
      <c r="O660" s="531"/>
      <c r="P660" s="531"/>
      <c r="Q660" s="531"/>
      <c r="R660" s="531"/>
      <c r="S660" s="531"/>
      <c r="T660" s="531"/>
      <c r="U660" s="316"/>
      <c r="V660" s="316"/>
      <c r="W660" s="316"/>
    </row>
    <row r="661" spans="1:23" s="295" customFormat="1" ht="12.75" customHeight="1">
      <c r="A661" s="530"/>
      <c r="B661" s="530"/>
      <c r="C661" s="530"/>
      <c r="D661" s="532"/>
      <c r="E661" s="532"/>
      <c r="F661" s="532"/>
      <c r="G661" s="532"/>
      <c r="H661" s="532"/>
      <c r="I661" s="532"/>
      <c r="J661" s="532"/>
      <c r="K661" s="532"/>
      <c r="L661" s="532"/>
      <c r="M661" s="532"/>
      <c r="N661" s="532"/>
      <c r="O661" s="532"/>
      <c r="P661" s="532"/>
      <c r="Q661" s="532"/>
      <c r="R661" s="532"/>
      <c r="S661" s="532"/>
      <c r="T661" s="532"/>
      <c r="U661" s="530"/>
      <c r="V661" s="530"/>
      <c r="W661" s="530"/>
    </row>
    <row r="662" spans="1:23" s="295" customFormat="1" ht="30" customHeight="1">
      <c r="A662" s="1300" t="s">
        <v>2541</v>
      </c>
      <c r="B662" s="1300"/>
      <c r="C662" s="1300"/>
      <c r="D662" s="1300"/>
      <c r="E662" s="1300"/>
      <c r="F662" s="1300"/>
      <c r="G662" s="1300"/>
      <c r="H662" s="1300"/>
      <c r="I662" s="1300"/>
      <c r="J662" s="1300"/>
      <c r="K662" s="1300"/>
      <c r="L662" s="1300"/>
      <c r="M662" s="1300"/>
      <c r="N662" s="1300"/>
      <c r="O662" s="1300"/>
      <c r="P662" s="1300"/>
      <c r="Q662" s="1300"/>
      <c r="R662" s="1300"/>
      <c r="S662" s="1300"/>
      <c r="T662" s="1300"/>
      <c r="U662" s="1299" t="s">
        <v>3305</v>
      </c>
      <c r="V662" s="1299"/>
      <c r="W662" s="1299"/>
    </row>
    <row r="663" spans="1:23" s="295" customFormat="1" ht="15.75" customHeight="1">
      <c r="A663" s="1365" t="s">
        <v>2617</v>
      </c>
      <c r="B663" s="1365"/>
      <c r="C663" s="1365"/>
      <c r="D663" s="1365"/>
      <c r="E663" s="1365"/>
      <c r="F663" s="1365"/>
      <c r="G663" s="1365"/>
      <c r="H663" s="1365"/>
      <c r="I663" s="1365"/>
      <c r="J663" s="1365"/>
      <c r="K663" s="1365"/>
      <c r="L663" s="1365"/>
      <c r="M663" s="1365"/>
      <c r="N663" s="1365"/>
      <c r="O663" s="1365"/>
      <c r="P663" s="1365"/>
      <c r="Q663" s="1365"/>
      <c r="R663" s="1365"/>
      <c r="S663" s="1365"/>
      <c r="T663" s="1365"/>
      <c r="U663" s="1214"/>
      <c r="V663" s="1214"/>
      <c r="W663" s="1214"/>
    </row>
    <row r="664" spans="1:23" s="295" customFormat="1" ht="12.75" customHeight="1">
      <c r="A664" s="1349"/>
      <c r="B664" s="1343" t="s">
        <v>2618</v>
      </c>
      <c r="C664" s="1344"/>
      <c r="D664" s="1344"/>
      <c r="E664" s="1344"/>
      <c r="F664" s="1344"/>
      <c r="G664" s="1344"/>
      <c r="H664" s="1344"/>
      <c r="I664" s="1344"/>
      <c r="J664" s="1344"/>
      <c r="K664" s="1344"/>
      <c r="L664" s="1344"/>
      <c r="M664" s="1344"/>
      <c r="N664" s="1344"/>
      <c r="O664" s="1344"/>
      <c r="P664" s="1344"/>
      <c r="Q664" s="1344"/>
      <c r="R664" s="1344"/>
      <c r="S664" s="1344"/>
      <c r="T664" s="1345"/>
      <c r="U664" s="1284">
        <v>72</v>
      </c>
      <c r="V664" s="1285"/>
      <c r="W664" s="1286"/>
    </row>
    <row r="665" spans="1:23" s="295" customFormat="1" ht="12.75" customHeight="1">
      <c r="A665" s="1350"/>
      <c r="B665" s="1343" t="s">
        <v>807</v>
      </c>
      <c r="C665" s="1344"/>
      <c r="D665" s="1344"/>
      <c r="E665" s="1344"/>
      <c r="F665" s="1344"/>
      <c r="G665" s="1344"/>
      <c r="H665" s="1344"/>
      <c r="I665" s="1344"/>
      <c r="J665" s="1344"/>
      <c r="K665" s="1344"/>
      <c r="L665" s="1344"/>
      <c r="M665" s="1344"/>
      <c r="N665" s="1344"/>
      <c r="O665" s="1344"/>
      <c r="P665" s="1344"/>
      <c r="Q665" s="1344"/>
      <c r="R665" s="1344"/>
      <c r="S665" s="1344"/>
      <c r="T665" s="1345"/>
      <c r="U665" s="1284">
        <v>70</v>
      </c>
      <c r="V665" s="1285"/>
      <c r="W665" s="1286"/>
    </row>
    <row r="666" spans="1:23" s="295" customFormat="1" ht="12.75" customHeight="1">
      <c r="A666" s="1350"/>
      <c r="B666" s="1343" t="s">
        <v>2619</v>
      </c>
      <c r="C666" s="1344"/>
      <c r="D666" s="1344"/>
      <c r="E666" s="1344"/>
      <c r="F666" s="1344"/>
      <c r="G666" s="1344"/>
      <c r="H666" s="1344"/>
      <c r="I666" s="1344"/>
      <c r="J666" s="1344"/>
      <c r="K666" s="1344"/>
      <c r="L666" s="1344"/>
      <c r="M666" s="1344"/>
      <c r="N666" s="1344"/>
      <c r="O666" s="1344"/>
      <c r="P666" s="1344"/>
      <c r="Q666" s="1344"/>
      <c r="R666" s="1344"/>
      <c r="S666" s="1344"/>
      <c r="T666" s="1345"/>
      <c r="U666" s="1284">
        <v>63</v>
      </c>
      <c r="V666" s="1285"/>
      <c r="W666" s="1286"/>
    </row>
    <row r="667" spans="1:23" s="295" customFormat="1" ht="12.75" customHeight="1">
      <c r="A667" s="1350"/>
      <c r="B667" s="1343" t="s">
        <v>2620</v>
      </c>
      <c r="C667" s="1344"/>
      <c r="D667" s="1344"/>
      <c r="E667" s="1344"/>
      <c r="F667" s="1344"/>
      <c r="G667" s="1344"/>
      <c r="H667" s="1344"/>
      <c r="I667" s="1344"/>
      <c r="J667" s="1344"/>
      <c r="K667" s="1344"/>
      <c r="L667" s="1344"/>
      <c r="M667" s="1344"/>
      <c r="N667" s="1344"/>
      <c r="O667" s="1344"/>
      <c r="P667" s="1344"/>
      <c r="Q667" s="1344"/>
      <c r="R667" s="1344"/>
      <c r="S667" s="1344"/>
      <c r="T667" s="1345"/>
      <c r="U667" s="1284">
        <v>57</v>
      </c>
      <c r="V667" s="1285"/>
      <c r="W667" s="1286"/>
    </row>
    <row r="668" spans="1:23" s="295" customFormat="1" ht="12.75" customHeight="1">
      <c r="A668" s="1350"/>
      <c r="B668" s="1343" t="s">
        <v>2621</v>
      </c>
      <c r="C668" s="1344"/>
      <c r="D668" s="1344"/>
      <c r="E668" s="1344"/>
      <c r="F668" s="1344"/>
      <c r="G668" s="1344"/>
      <c r="H668" s="1344"/>
      <c r="I668" s="1344"/>
      <c r="J668" s="1344"/>
      <c r="K668" s="1344"/>
      <c r="L668" s="1344"/>
      <c r="M668" s="1344"/>
      <c r="N668" s="1344"/>
      <c r="O668" s="1344"/>
      <c r="P668" s="1344"/>
      <c r="Q668" s="1344"/>
      <c r="R668" s="1344"/>
      <c r="S668" s="1344"/>
      <c r="T668" s="1345"/>
      <c r="U668" s="1284">
        <v>68</v>
      </c>
      <c r="V668" s="1285"/>
      <c r="W668" s="1286"/>
    </row>
    <row r="669" spans="1:23" s="295" customFormat="1" ht="12.75" customHeight="1">
      <c r="A669" s="1350"/>
      <c r="B669" s="1343" t="s">
        <v>811</v>
      </c>
      <c r="C669" s="1344"/>
      <c r="D669" s="1344"/>
      <c r="E669" s="1344"/>
      <c r="F669" s="1344"/>
      <c r="G669" s="1344"/>
      <c r="H669" s="1344"/>
      <c r="I669" s="1344"/>
      <c r="J669" s="1344"/>
      <c r="K669" s="1344"/>
      <c r="L669" s="1344"/>
      <c r="M669" s="1344"/>
      <c r="N669" s="1344"/>
      <c r="O669" s="1344"/>
      <c r="P669" s="1344"/>
      <c r="Q669" s="1344"/>
      <c r="R669" s="1344"/>
      <c r="S669" s="1344"/>
      <c r="T669" s="1345"/>
      <c r="U669" s="1284">
        <v>67</v>
      </c>
      <c r="V669" s="1285"/>
      <c r="W669" s="1286"/>
    </row>
    <row r="670" spans="1:23" s="295" customFormat="1" ht="12.75" customHeight="1">
      <c r="A670" s="1350"/>
      <c r="B670" s="1343" t="s">
        <v>812</v>
      </c>
      <c r="C670" s="1344"/>
      <c r="D670" s="1344"/>
      <c r="E670" s="1344"/>
      <c r="F670" s="1344"/>
      <c r="G670" s="1344"/>
      <c r="H670" s="1344"/>
      <c r="I670" s="1344"/>
      <c r="J670" s="1344"/>
      <c r="K670" s="1344"/>
      <c r="L670" s="1344"/>
      <c r="M670" s="1344"/>
      <c r="N670" s="1344"/>
      <c r="O670" s="1344"/>
      <c r="P670" s="1344"/>
      <c r="Q670" s="1344"/>
      <c r="R670" s="1344"/>
      <c r="S670" s="1344"/>
      <c r="T670" s="1345"/>
      <c r="U670" s="1284">
        <v>77</v>
      </c>
      <c r="V670" s="1285"/>
      <c r="W670" s="1286"/>
    </row>
    <row r="671" spans="1:23" s="295" customFormat="1" ht="12.75" customHeight="1">
      <c r="A671" s="1350"/>
      <c r="B671" s="1343" t="s">
        <v>813</v>
      </c>
      <c r="C671" s="1344"/>
      <c r="D671" s="1344"/>
      <c r="E671" s="1344"/>
      <c r="F671" s="1344"/>
      <c r="G671" s="1344"/>
      <c r="H671" s="1344"/>
      <c r="I671" s="1344"/>
      <c r="J671" s="1344"/>
      <c r="K671" s="1344"/>
      <c r="L671" s="1344"/>
      <c r="M671" s="1344"/>
      <c r="N671" s="1344"/>
      <c r="O671" s="1344"/>
      <c r="P671" s="1344"/>
      <c r="Q671" s="1344"/>
      <c r="R671" s="1344"/>
      <c r="S671" s="1344"/>
      <c r="T671" s="1345"/>
      <c r="U671" s="1284"/>
      <c r="V671" s="1285"/>
      <c r="W671" s="1286"/>
    </row>
    <row r="672" spans="1:23" s="295" customFormat="1" ht="12.75" customHeight="1">
      <c r="A672" s="1350"/>
      <c r="B672" s="1360"/>
      <c r="C672" s="1291"/>
      <c r="D672" s="1343" t="s">
        <v>2622</v>
      </c>
      <c r="E672" s="1344"/>
      <c r="F672" s="1344"/>
      <c r="G672" s="1344"/>
      <c r="H672" s="1344"/>
      <c r="I672" s="1344"/>
      <c r="J672" s="1344"/>
      <c r="K672" s="1344"/>
      <c r="L672" s="1344"/>
      <c r="M672" s="1344"/>
      <c r="N672" s="1344"/>
      <c r="O672" s="1344"/>
      <c r="P672" s="1344"/>
      <c r="Q672" s="1344"/>
      <c r="R672" s="1344"/>
      <c r="S672" s="1344"/>
      <c r="T672" s="1345"/>
      <c r="U672" s="1284">
        <v>66</v>
      </c>
      <c r="V672" s="1285"/>
      <c r="W672" s="1286"/>
    </row>
    <row r="673" spans="1:23" s="295" customFormat="1" ht="12.75" customHeight="1">
      <c r="A673" s="1350"/>
      <c r="B673" s="1361"/>
      <c r="C673" s="1292"/>
      <c r="D673" s="1343" t="s">
        <v>2623</v>
      </c>
      <c r="E673" s="1344"/>
      <c r="F673" s="1344"/>
      <c r="G673" s="1344"/>
      <c r="H673" s="1344"/>
      <c r="I673" s="1344"/>
      <c r="J673" s="1344"/>
      <c r="K673" s="1344"/>
      <c r="L673" s="1344"/>
      <c r="M673" s="1344"/>
      <c r="N673" s="1344"/>
      <c r="O673" s="1344"/>
      <c r="P673" s="1344"/>
      <c r="Q673" s="1344"/>
      <c r="R673" s="1344"/>
      <c r="S673" s="1344"/>
      <c r="T673" s="1345"/>
      <c r="U673" s="1284">
        <v>66</v>
      </c>
      <c r="V673" s="1285"/>
      <c r="W673" s="1286"/>
    </row>
    <row r="674" spans="1:23" s="295" customFormat="1" ht="12.75" customHeight="1">
      <c r="A674" s="1351"/>
      <c r="B674" s="1362"/>
      <c r="C674" s="1293"/>
      <c r="D674" s="1343" t="s">
        <v>2624</v>
      </c>
      <c r="E674" s="1344"/>
      <c r="F674" s="1344"/>
      <c r="G674" s="1344"/>
      <c r="H674" s="1344"/>
      <c r="I674" s="1344"/>
      <c r="J674" s="1344"/>
      <c r="K674" s="1344"/>
      <c r="L674" s="1344"/>
      <c r="M674" s="1344"/>
      <c r="N674" s="1344"/>
      <c r="O674" s="1344"/>
      <c r="P674" s="1344"/>
      <c r="Q674" s="1344"/>
      <c r="R674" s="1344"/>
      <c r="S674" s="1344"/>
      <c r="T674" s="1345"/>
      <c r="U674" s="1284">
        <v>66</v>
      </c>
      <c r="V674" s="1285"/>
      <c r="W674" s="1286"/>
    </row>
    <row r="675" spans="1:23" s="295" customFormat="1" ht="54" customHeight="1">
      <c r="A675" s="1364" t="s">
        <v>2625</v>
      </c>
      <c r="B675" s="1364"/>
      <c r="C675" s="1364"/>
      <c r="D675" s="1364"/>
      <c r="E675" s="1364"/>
      <c r="F675" s="1364"/>
      <c r="G675" s="1364"/>
      <c r="H675" s="1364"/>
      <c r="I675" s="1364"/>
      <c r="J675" s="1364"/>
      <c r="K675" s="1364"/>
      <c r="L675" s="1364"/>
      <c r="M675" s="1364"/>
      <c r="N675" s="1364"/>
      <c r="O675" s="1364"/>
      <c r="P675" s="1364"/>
      <c r="Q675" s="1364"/>
      <c r="R675" s="1364"/>
      <c r="S675" s="1364"/>
      <c r="T675" s="1364"/>
      <c r="U675" s="1214"/>
      <c r="V675" s="1214"/>
      <c r="W675" s="1214"/>
    </row>
    <row r="676" spans="1:23" s="295" customFormat="1" ht="85.5" customHeight="1">
      <c r="A676" s="1358"/>
      <c r="B676" s="1363" t="s">
        <v>2626</v>
      </c>
      <c r="C676" s="1363"/>
      <c r="D676" s="1363"/>
      <c r="E676" s="1363"/>
      <c r="F676" s="1363"/>
      <c r="G676" s="1363"/>
      <c r="H676" s="1363"/>
      <c r="I676" s="1363"/>
      <c r="J676" s="1363"/>
      <c r="K676" s="1363"/>
      <c r="L676" s="1363"/>
      <c r="M676" s="1363"/>
      <c r="N676" s="1363"/>
      <c r="O676" s="1363"/>
      <c r="P676" s="1363"/>
      <c r="Q676" s="1363"/>
      <c r="R676" s="1363"/>
      <c r="S676" s="1363"/>
      <c r="T676" s="1363"/>
      <c r="U676" s="1214">
        <v>82</v>
      </c>
      <c r="V676" s="1214"/>
      <c r="W676" s="1214"/>
    </row>
    <row r="677" spans="1:23" s="295" customFormat="1" ht="34.5" customHeight="1">
      <c r="A677" s="1359"/>
      <c r="B677" s="1363" t="s">
        <v>2627</v>
      </c>
      <c r="C677" s="1363"/>
      <c r="D677" s="1363"/>
      <c r="E677" s="1363"/>
      <c r="F677" s="1363"/>
      <c r="G677" s="1363"/>
      <c r="H677" s="1363"/>
      <c r="I677" s="1363"/>
      <c r="J677" s="1363"/>
      <c r="K677" s="1363"/>
      <c r="L677" s="1363"/>
      <c r="M677" s="1363"/>
      <c r="N677" s="1363"/>
      <c r="O677" s="1363"/>
      <c r="P677" s="1363"/>
      <c r="Q677" s="1363"/>
      <c r="R677" s="1363"/>
      <c r="S677" s="1363"/>
      <c r="T677" s="1363"/>
      <c r="U677" s="1214">
        <v>67</v>
      </c>
      <c r="V677" s="1214"/>
      <c r="W677" s="1214"/>
    </row>
    <row r="678" spans="1:23" s="295" customFormat="1">
      <c r="A678" s="1359"/>
      <c r="B678" s="1363" t="s">
        <v>2628</v>
      </c>
      <c r="C678" s="1363"/>
      <c r="D678" s="1363"/>
      <c r="E678" s="1363"/>
      <c r="F678" s="1363"/>
      <c r="G678" s="1363"/>
      <c r="H678" s="1363"/>
      <c r="I678" s="1363"/>
      <c r="J678" s="1363"/>
      <c r="K678" s="1363"/>
      <c r="L678" s="1363"/>
      <c r="M678" s="1363"/>
      <c r="N678" s="1363"/>
      <c r="O678" s="1363"/>
      <c r="P678" s="1363"/>
      <c r="Q678" s="1363"/>
      <c r="R678" s="1363"/>
      <c r="S678" s="1363"/>
      <c r="T678" s="1363"/>
      <c r="U678" s="1214">
        <v>53</v>
      </c>
      <c r="V678" s="1214"/>
      <c r="W678" s="1214"/>
    </row>
    <row r="679" spans="1:23" s="295" customFormat="1">
      <c r="A679" s="1359"/>
      <c r="B679" s="1363" t="s">
        <v>2629</v>
      </c>
      <c r="C679" s="1363"/>
      <c r="D679" s="1363"/>
      <c r="E679" s="1363"/>
      <c r="F679" s="1363"/>
      <c r="G679" s="1363"/>
      <c r="H679" s="1363"/>
      <c r="I679" s="1363"/>
      <c r="J679" s="1363"/>
      <c r="K679" s="1363"/>
      <c r="L679" s="1363"/>
      <c r="M679" s="1363"/>
      <c r="N679" s="1363"/>
      <c r="O679" s="1363"/>
      <c r="P679" s="1363"/>
      <c r="Q679" s="1363"/>
      <c r="R679" s="1363"/>
      <c r="S679" s="1363"/>
      <c r="T679" s="1363"/>
      <c r="U679" s="1214">
        <v>48</v>
      </c>
      <c r="V679" s="1214"/>
      <c r="W679" s="1214"/>
    </row>
    <row r="680" spans="1:23" s="295" customFormat="1" ht="32.25" customHeight="1">
      <c r="A680" s="1359"/>
      <c r="B680" s="1363" t="s">
        <v>2630</v>
      </c>
      <c r="C680" s="1363"/>
      <c r="D680" s="1363"/>
      <c r="E680" s="1363"/>
      <c r="F680" s="1363"/>
      <c r="G680" s="1363"/>
      <c r="H680" s="1363"/>
      <c r="I680" s="1363"/>
      <c r="J680" s="1363"/>
      <c r="K680" s="1363"/>
      <c r="L680" s="1363"/>
      <c r="M680" s="1363"/>
      <c r="N680" s="1363"/>
      <c r="O680" s="1363"/>
      <c r="P680" s="1363"/>
      <c r="Q680" s="1363"/>
      <c r="R680" s="1363"/>
      <c r="S680" s="1363"/>
      <c r="T680" s="1363"/>
      <c r="U680" s="1214">
        <v>47</v>
      </c>
      <c r="V680" s="1214"/>
      <c r="W680" s="1214"/>
    </row>
    <row r="681" spans="1:23" s="295" customFormat="1">
      <c r="A681" s="1369"/>
      <c r="B681" s="1363" t="s">
        <v>2631</v>
      </c>
      <c r="C681" s="1363"/>
      <c r="D681" s="1363"/>
      <c r="E681" s="1363"/>
      <c r="F681" s="1363"/>
      <c r="G681" s="1363"/>
      <c r="H681" s="1363"/>
      <c r="I681" s="1363"/>
      <c r="J681" s="1363"/>
      <c r="K681" s="1363"/>
      <c r="L681" s="1363"/>
      <c r="M681" s="1363"/>
      <c r="N681" s="1363"/>
      <c r="O681" s="1363"/>
      <c r="P681" s="1363"/>
      <c r="Q681" s="1363"/>
      <c r="R681" s="1363"/>
      <c r="S681" s="1363"/>
      <c r="T681" s="1363"/>
      <c r="U681" s="1214">
        <v>42</v>
      </c>
      <c r="V681" s="1214"/>
      <c r="W681" s="1214"/>
    </row>
    <row r="682" spans="1:23" s="295" customFormat="1" ht="12.75" customHeight="1">
      <c r="B682" s="99"/>
      <c r="C682" s="99"/>
      <c r="D682" s="99"/>
      <c r="E682" s="99"/>
      <c r="F682" s="99"/>
      <c r="G682" s="99"/>
      <c r="H682" s="99"/>
      <c r="I682" s="99"/>
      <c r="J682" s="99"/>
      <c r="K682" s="99"/>
      <c r="L682" s="99"/>
      <c r="M682" s="99"/>
      <c r="N682" s="99"/>
      <c r="O682" s="99"/>
      <c r="P682" s="99"/>
      <c r="Q682" s="99"/>
      <c r="R682" s="99"/>
      <c r="S682" s="99"/>
      <c r="T682" s="99"/>
      <c r="U682" s="292"/>
      <c r="V682" s="292"/>
      <c r="W682" s="292"/>
    </row>
    <row r="683" spans="1:23">
      <c r="U683" s="1194"/>
      <c r="V683" s="1194"/>
      <c r="W683" s="1194"/>
    </row>
    <row r="707" spans="1:23" ht="18">
      <c r="A707" s="1370" t="s">
        <v>2632</v>
      </c>
      <c r="B707" s="1370"/>
      <c r="C707" s="1370"/>
      <c r="D707" s="1370"/>
      <c r="E707" s="1370"/>
      <c r="F707" s="1370"/>
      <c r="G707" s="1370"/>
      <c r="H707" s="1370"/>
      <c r="I707" s="1370"/>
      <c r="J707" s="1370"/>
      <c r="K707" s="1370"/>
      <c r="L707" s="1370"/>
      <c r="M707" s="1370"/>
      <c r="N707" s="1370"/>
      <c r="O707" s="1370"/>
      <c r="P707" s="1370"/>
      <c r="Q707" s="1370"/>
      <c r="R707" s="1370"/>
      <c r="S707" s="1370"/>
      <c r="T707" s="1370"/>
      <c r="U707" s="1370"/>
      <c r="V707" s="1370"/>
      <c r="W707" s="1370"/>
    </row>
    <row r="708" spans="1:23" ht="59.25" customHeight="1">
      <c r="A708" s="1370" t="s">
        <v>2633</v>
      </c>
      <c r="B708" s="1370"/>
      <c r="C708" s="1370"/>
      <c r="D708" s="1370"/>
      <c r="E708" s="1370"/>
      <c r="F708" s="1370"/>
      <c r="G708" s="1370"/>
      <c r="H708" s="1370"/>
      <c r="I708" s="1370"/>
      <c r="J708" s="1370"/>
      <c r="K708" s="1370"/>
      <c r="L708" s="1370"/>
      <c r="M708" s="1370"/>
      <c r="N708" s="1370"/>
      <c r="O708" s="1370"/>
      <c r="P708" s="1370"/>
      <c r="Q708" s="1370"/>
      <c r="R708" s="1370"/>
      <c r="S708" s="1370"/>
      <c r="T708" s="1370"/>
      <c r="U708" s="1370"/>
      <c r="V708" s="1370"/>
      <c r="W708" s="1370"/>
    </row>
    <row r="709" spans="1:23" ht="40.5" customHeight="1">
      <c r="A709" s="518" t="s">
        <v>2634</v>
      </c>
      <c r="B709" s="1300" t="s">
        <v>2635</v>
      </c>
      <c r="C709" s="1300"/>
      <c r="D709" s="1300"/>
      <c r="E709" s="1300"/>
      <c r="F709" s="1300"/>
      <c r="G709" s="1300"/>
      <c r="H709" s="1300"/>
      <c r="I709" s="1300"/>
      <c r="J709" s="1300"/>
      <c r="K709" s="1300"/>
      <c r="L709" s="1300"/>
      <c r="M709" s="1300"/>
      <c r="N709" s="1300"/>
      <c r="O709" s="1300"/>
      <c r="P709" s="1300"/>
      <c r="Q709" s="1300"/>
      <c r="R709" s="1299" t="s">
        <v>2636</v>
      </c>
      <c r="S709" s="1299"/>
      <c r="T709" s="1299"/>
      <c r="U709" s="1299" t="s">
        <v>3304</v>
      </c>
      <c r="V709" s="1299"/>
      <c r="W709" s="1299"/>
    </row>
    <row r="710" spans="1:23" ht="7.5" customHeight="1">
      <c r="A710" s="1371"/>
      <c r="B710" s="1371"/>
      <c r="C710" s="1371"/>
      <c r="D710" s="1371"/>
      <c r="E710" s="1371"/>
      <c r="F710" s="1371"/>
      <c r="G710" s="1371"/>
      <c r="H710" s="1371"/>
      <c r="I710" s="1371"/>
      <c r="J710" s="1371"/>
      <c r="K710" s="1371"/>
      <c r="L710" s="1371"/>
      <c r="M710" s="1371"/>
      <c r="N710" s="1371"/>
      <c r="O710" s="1371"/>
      <c r="P710" s="1371"/>
      <c r="Q710" s="1371"/>
      <c r="R710" s="1371"/>
      <c r="S710" s="1371"/>
      <c r="T710" s="1371"/>
      <c r="U710" s="1371"/>
      <c r="V710" s="1371"/>
      <c r="W710" s="1371"/>
    </row>
    <row r="711" spans="1:23" ht="33.75" customHeight="1">
      <c r="A711" s="517">
        <v>1</v>
      </c>
      <c r="B711" s="1363" t="s">
        <v>2637</v>
      </c>
      <c r="C711" s="1363"/>
      <c r="D711" s="1363"/>
      <c r="E711" s="1363"/>
      <c r="F711" s="1363"/>
      <c r="G711" s="1363"/>
      <c r="H711" s="1363"/>
      <c r="I711" s="1363"/>
      <c r="J711" s="1363"/>
      <c r="K711" s="1363"/>
      <c r="L711" s="1363"/>
      <c r="M711" s="1363"/>
      <c r="N711" s="1363"/>
      <c r="O711" s="1363"/>
      <c r="P711" s="1363"/>
      <c r="Q711" s="1363"/>
      <c r="R711" s="1320">
        <v>81200</v>
      </c>
      <c r="S711" s="1320"/>
      <c r="T711" s="1320"/>
      <c r="U711" s="1320">
        <v>43600</v>
      </c>
      <c r="V711" s="1320"/>
      <c r="W711" s="1320"/>
    </row>
    <row r="712" spans="1:23" ht="40.5" customHeight="1">
      <c r="A712" s="517">
        <v>2</v>
      </c>
      <c r="B712" s="1363" t="s">
        <v>2638</v>
      </c>
      <c r="C712" s="1363"/>
      <c r="D712" s="1363"/>
      <c r="E712" s="1363"/>
      <c r="F712" s="1363"/>
      <c r="G712" s="1363"/>
      <c r="H712" s="1363"/>
      <c r="I712" s="1363"/>
      <c r="J712" s="1363"/>
      <c r="K712" s="1363"/>
      <c r="L712" s="1363"/>
      <c r="M712" s="1363"/>
      <c r="N712" s="1363"/>
      <c r="O712" s="1363"/>
      <c r="P712" s="1363"/>
      <c r="Q712" s="1363"/>
      <c r="R712" s="1320">
        <v>77450</v>
      </c>
      <c r="S712" s="1320"/>
      <c r="T712" s="1320"/>
      <c r="U712" s="1320">
        <v>42600</v>
      </c>
      <c r="V712" s="1320"/>
      <c r="W712" s="1320"/>
    </row>
    <row r="713" spans="1:23" ht="63.75" customHeight="1">
      <c r="A713" s="517">
        <v>3</v>
      </c>
      <c r="B713" s="1363" t="s">
        <v>2639</v>
      </c>
      <c r="C713" s="1363"/>
      <c r="D713" s="1363"/>
      <c r="E713" s="1363"/>
      <c r="F713" s="1363"/>
      <c r="G713" s="1363"/>
      <c r="H713" s="1363"/>
      <c r="I713" s="1363"/>
      <c r="J713" s="1363"/>
      <c r="K713" s="1363"/>
      <c r="L713" s="1363"/>
      <c r="M713" s="1363"/>
      <c r="N713" s="1363"/>
      <c r="O713" s="1363"/>
      <c r="P713" s="1363"/>
      <c r="Q713" s="1363"/>
      <c r="R713" s="1320">
        <v>72250</v>
      </c>
      <c r="S713" s="1320"/>
      <c r="T713" s="1320"/>
      <c r="U713" s="1320">
        <v>39750</v>
      </c>
      <c r="V713" s="1320"/>
      <c r="W713" s="1320"/>
    </row>
    <row r="714" spans="1:23" ht="228" customHeight="1">
      <c r="A714" s="517">
        <v>4</v>
      </c>
      <c r="B714" s="1363" t="s">
        <v>2640</v>
      </c>
      <c r="C714" s="1363"/>
      <c r="D714" s="1363"/>
      <c r="E714" s="1363"/>
      <c r="F714" s="1363"/>
      <c r="G714" s="1363"/>
      <c r="H714" s="1363"/>
      <c r="I714" s="1363"/>
      <c r="J714" s="1363"/>
      <c r="K714" s="1363"/>
      <c r="L714" s="1363"/>
      <c r="M714" s="1363"/>
      <c r="N714" s="1363"/>
      <c r="O714" s="1363"/>
      <c r="P714" s="1363"/>
      <c r="Q714" s="1363"/>
      <c r="R714" s="1320">
        <v>67300</v>
      </c>
      <c r="S714" s="1320"/>
      <c r="T714" s="1320"/>
      <c r="U714" s="1320">
        <v>37050</v>
      </c>
      <c r="V714" s="1320"/>
      <c r="W714" s="1320"/>
    </row>
    <row r="715" spans="1:23" ht="93" customHeight="1">
      <c r="A715" s="517">
        <v>5</v>
      </c>
      <c r="B715" s="1363" t="s">
        <v>2641</v>
      </c>
      <c r="C715" s="1363"/>
      <c r="D715" s="1363"/>
      <c r="E715" s="1363"/>
      <c r="F715" s="1363"/>
      <c r="G715" s="1363"/>
      <c r="H715" s="1363"/>
      <c r="I715" s="1363"/>
      <c r="J715" s="1363"/>
      <c r="K715" s="1363"/>
      <c r="L715" s="1363"/>
      <c r="M715" s="1363"/>
      <c r="N715" s="1363"/>
      <c r="O715" s="1363"/>
      <c r="P715" s="1363"/>
      <c r="Q715" s="1363"/>
      <c r="R715" s="1320">
        <v>63850</v>
      </c>
      <c r="S715" s="1320"/>
      <c r="T715" s="1320"/>
      <c r="U715" s="1320">
        <v>35125</v>
      </c>
      <c r="V715" s="1320"/>
      <c r="W715" s="1320"/>
    </row>
    <row r="716" spans="1:23" ht="39" customHeight="1">
      <c r="A716" s="517">
        <v>6</v>
      </c>
      <c r="B716" s="1363" t="s">
        <v>2642</v>
      </c>
      <c r="C716" s="1363"/>
      <c r="D716" s="1363"/>
      <c r="E716" s="1363"/>
      <c r="F716" s="1363"/>
      <c r="G716" s="1363"/>
      <c r="H716" s="1363"/>
      <c r="I716" s="1363"/>
      <c r="J716" s="1363"/>
      <c r="K716" s="1363"/>
      <c r="L716" s="1363"/>
      <c r="M716" s="1363"/>
      <c r="N716" s="1363"/>
      <c r="O716" s="1363"/>
      <c r="P716" s="1363"/>
      <c r="Q716" s="1363"/>
      <c r="R716" s="1320">
        <v>56500</v>
      </c>
      <c r="S716" s="1320"/>
      <c r="T716" s="1320"/>
      <c r="U716" s="1320">
        <v>31100</v>
      </c>
      <c r="V716" s="1320"/>
      <c r="W716" s="1320"/>
    </row>
    <row r="717" spans="1:23" ht="206.25" customHeight="1">
      <c r="A717" s="517">
        <v>7</v>
      </c>
      <c r="B717" s="1363" t="s">
        <v>2643</v>
      </c>
      <c r="C717" s="1363"/>
      <c r="D717" s="1363"/>
      <c r="E717" s="1363"/>
      <c r="F717" s="1363"/>
      <c r="G717" s="1363"/>
      <c r="H717" s="1363"/>
      <c r="I717" s="1363"/>
      <c r="J717" s="1363"/>
      <c r="K717" s="1363"/>
      <c r="L717" s="1363"/>
      <c r="M717" s="1363"/>
      <c r="N717" s="1363"/>
      <c r="O717" s="1363"/>
      <c r="P717" s="1363"/>
      <c r="Q717" s="1363"/>
      <c r="R717" s="1320">
        <v>54300</v>
      </c>
      <c r="S717" s="1320"/>
      <c r="T717" s="1320"/>
      <c r="U717" s="1320">
        <v>30000</v>
      </c>
      <c r="V717" s="1320"/>
      <c r="W717" s="1320"/>
    </row>
    <row r="718" spans="1:23" ht="99" customHeight="1">
      <c r="A718" s="517">
        <v>8</v>
      </c>
      <c r="B718" s="1363" t="s">
        <v>2644</v>
      </c>
      <c r="C718" s="1363"/>
      <c r="D718" s="1363"/>
      <c r="E718" s="1363"/>
      <c r="F718" s="1363"/>
      <c r="G718" s="1363"/>
      <c r="H718" s="1363"/>
      <c r="I718" s="1363"/>
      <c r="J718" s="1363"/>
      <c r="K718" s="1363"/>
      <c r="L718" s="1363"/>
      <c r="M718" s="1363"/>
      <c r="N718" s="1363"/>
      <c r="O718" s="1363"/>
      <c r="P718" s="1363"/>
      <c r="Q718" s="1363"/>
      <c r="R718" s="1320">
        <v>51900</v>
      </c>
      <c r="S718" s="1320"/>
      <c r="T718" s="1320"/>
      <c r="U718" s="1320">
        <v>28575</v>
      </c>
      <c r="V718" s="1320"/>
      <c r="W718" s="1320"/>
    </row>
    <row r="719" spans="1:23" ht="155.25" customHeight="1">
      <c r="A719" s="517">
        <v>9</v>
      </c>
      <c r="B719" s="1373" t="s">
        <v>3338</v>
      </c>
      <c r="C719" s="1363"/>
      <c r="D719" s="1363"/>
      <c r="E719" s="1363"/>
      <c r="F719" s="1363"/>
      <c r="G719" s="1363"/>
      <c r="H719" s="1363"/>
      <c r="I719" s="1363"/>
      <c r="J719" s="1363"/>
      <c r="K719" s="1363"/>
      <c r="L719" s="1363"/>
      <c r="M719" s="1363"/>
      <c r="N719" s="1363"/>
      <c r="O719" s="1363"/>
      <c r="P719" s="1363"/>
      <c r="Q719" s="1363"/>
      <c r="R719" s="1190"/>
      <c r="S719" s="1190"/>
      <c r="T719" s="1190"/>
      <c r="U719" s="1190"/>
      <c r="V719" s="1190"/>
      <c r="W719" s="1190"/>
    </row>
    <row r="720" spans="1:23" ht="18" customHeight="1">
      <c r="A720" s="517"/>
      <c r="B720" s="1363" t="s">
        <v>2645</v>
      </c>
      <c r="C720" s="1363"/>
      <c r="D720" s="1363"/>
      <c r="E720" s="1363"/>
      <c r="F720" s="1363"/>
      <c r="G720" s="1363"/>
      <c r="H720" s="1363"/>
      <c r="I720" s="1363"/>
      <c r="J720" s="1363"/>
      <c r="K720" s="1363"/>
      <c r="L720" s="1363"/>
      <c r="M720" s="1363"/>
      <c r="N720" s="1363"/>
      <c r="O720" s="1363"/>
      <c r="P720" s="1363"/>
      <c r="Q720" s="1363"/>
      <c r="R720" s="1320">
        <v>50750</v>
      </c>
      <c r="S720" s="1320"/>
      <c r="T720" s="1320"/>
      <c r="U720" s="1320">
        <v>27950</v>
      </c>
      <c r="V720" s="1320"/>
      <c r="W720" s="1320"/>
    </row>
    <row r="721" spans="1:24" ht="18" customHeight="1">
      <c r="A721" s="517"/>
      <c r="B721" s="1372" t="s">
        <v>2646</v>
      </c>
      <c r="C721" s="1372"/>
      <c r="D721" s="1372"/>
      <c r="E721" s="1372"/>
      <c r="F721" s="1372"/>
      <c r="G721" s="1372"/>
      <c r="H721" s="1372"/>
      <c r="I721" s="1372"/>
      <c r="J721" s="1372"/>
      <c r="K721" s="1372"/>
      <c r="L721" s="1372"/>
      <c r="M721" s="1372"/>
      <c r="N721" s="1372"/>
      <c r="O721" s="1372"/>
      <c r="P721" s="1372"/>
      <c r="Q721" s="1372"/>
      <c r="R721" s="1320">
        <v>46850</v>
      </c>
      <c r="S721" s="1320"/>
      <c r="T721" s="1320"/>
      <c r="U721" s="1320">
        <v>25775</v>
      </c>
      <c r="V721" s="1320"/>
      <c r="W721" s="1320"/>
    </row>
    <row r="722" spans="1:24" ht="18" customHeight="1">
      <c r="A722" s="517"/>
      <c r="B722" s="1363" t="s">
        <v>2647</v>
      </c>
      <c r="C722" s="1363"/>
      <c r="D722" s="1363"/>
      <c r="E722" s="1363"/>
      <c r="F722" s="1363"/>
      <c r="G722" s="1363"/>
      <c r="H722" s="1363"/>
      <c r="I722" s="1363"/>
      <c r="J722" s="1363"/>
      <c r="K722" s="1363"/>
      <c r="L722" s="1363"/>
      <c r="M722" s="1363"/>
      <c r="N722" s="1363"/>
      <c r="O722" s="1363"/>
      <c r="P722" s="1363"/>
      <c r="Q722" s="1363"/>
      <c r="R722" s="1320">
        <v>45800</v>
      </c>
      <c r="S722" s="1320"/>
      <c r="T722" s="1320"/>
      <c r="U722" s="1320">
        <v>25200</v>
      </c>
      <c r="V722" s="1320"/>
      <c r="W722" s="1320"/>
    </row>
    <row r="723" spans="1:24" ht="84" customHeight="1">
      <c r="A723" s="517">
        <v>10</v>
      </c>
      <c r="B723" s="1363" t="s">
        <v>2648</v>
      </c>
      <c r="C723" s="1363"/>
      <c r="D723" s="1363"/>
      <c r="E723" s="1363"/>
      <c r="F723" s="1363"/>
      <c r="G723" s="1363"/>
      <c r="H723" s="1363"/>
      <c r="I723" s="1363"/>
      <c r="J723" s="1363"/>
      <c r="K723" s="1363"/>
      <c r="L723" s="1363"/>
      <c r="M723" s="1363"/>
      <c r="N723" s="1363"/>
      <c r="O723" s="1363"/>
      <c r="P723" s="1363"/>
      <c r="Q723" s="1363"/>
      <c r="R723" s="1320">
        <v>46850</v>
      </c>
      <c r="S723" s="1320"/>
      <c r="T723" s="1320"/>
      <c r="U723" s="1320">
        <v>25775</v>
      </c>
      <c r="V723" s="1320"/>
      <c r="W723" s="1320"/>
    </row>
    <row r="736" spans="1:24" ht="15.75" customHeight="1">
      <c r="A736" s="1338" t="s">
        <v>819</v>
      </c>
      <c r="B736" s="1338"/>
      <c r="C736" s="1338"/>
      <c r="D736" s="1338"/>
      <c r="E736" s="1338"/>
      <c r="F736" s="1338"/>
      <c r="G736" s="1338"/>
      <c r="H736" s="1338"/>
      <c r="I736" s="1338"/>
      <c r="J736" s="1338"/>
      <c r="K736" s="1338"/>
      <c r="L736" s="1338"/>
      <c r="M736" s="1338"/>
      <c r="N736" s="1338"/>
      <c r="O736" s="1338"/>
      <c r="P736" s="1338"/>
      <c r="Q736" s="1338"/>
      <c r="R736" s="1338"/>
      <c r="S736" s="1338"/>
      <c r="T736" s="1338"/>
      <c r="U736" s="1338"/>
      <c r="V736" s="1338"/>
      <c r="W736" s="1338"/>
      <c r="X736" s="520"/>
    </row>
    <row r="737" spans="1:24" ht="35.25" customHeight="1">
      <c r="A737" s="1338" t="s">
        <v>2649</v>
      </c>
      <c r="B737" s="1338"/>
      <c r="C737" s="1338"/>
      <c r="D737" s="1338"/>
      <c r="E737" s="1338"/>
      <c r="F737" s="1338"/>
      <c r="G737" s="1338"/>
      <c r="H737" s="1338"/>
      <c r="I737" s="1338"/>
      <c r="J737" s="1338"/>
      <c r="K737" s="1338"/>
      <c r="L737" s="1338"/>
      <c r="M737" s="1338"/>
      <c r="N737" s="1338"/>
      <c r="O737" s="1338"/>
      <c r="P737" s="1338"/>
      <c r="Q737" s="1338"/>
      <c r="R737" s="1338"/>
      <c r="S737" s="1338"/>
      <c r="T737" s="1338"/>
      <c r="U737" s="1338"/>
      <c r="V737" s="1338"/>
      <c r="W737" s="1338"/>
      <c r="X737" s="520"/>
    </row>
    <row r="738" spans="1:24" ht="40.5">
      <c r="A738" s="518" t="s">
        <v>2634</v>
      </c>
      <c r="B738" s="1300" t="s">
        <v>2635</v>
      </c>
      <c r="C738" s="1300"/>
      <c r="D738" s="1300"/>
      <c r="E738" s="1300"/>
      <c r="F738" s="1300"/>
      <c r="G738" s="1300"/>
      <c r="H738" s="1300"/>
      <c r="I738" s="1300"/>
      <c r="J738" s="1300"/>
      <c r="K738" s="1300"/>
      <c r="L738" s="1300"/>
      <c r="M738" s="1300"/>
      <c r="N738" s="1300"/>
      <c r="O738" s="1300"/>
      <c r="P738" s="1300"/>
      <c r="Q738" s="1300"/>
      <c r="R738" s="1299" t="s">
        <v>2636</v>
      </c>
      <c r="S738" s="1299"/>
      <c r="T738" s="1299"/>
      <c r="U738" s="1299" t="s">
        <v>3304</v>
      </c>
      <c r="V738" s="1299"/>
      <c r="W738" s="1299"/>
    </row>
    <row r="739" spans="1:24" ht="9" customHeight="1"/>
    <row r="740" spans="1:24" ht="96" customHeight="1">
      <c r="A740" s="521">
        <v>1</v>
      </c>
      <c r="B740" s="1339" t="s">
        <v>2650</v>
      </c>
      <c r="C740" s="1339"/>
      <c r="D740" s="1339"/>
      <c r="E740" s="1339"/>
      <c r="F740" s="1339"/>
      <c r="G740" s="1339"/>
      <c r="H740" s="1339"/>
      <c r="I740" s="1339"/>
      <c r="J740" s="1339"/>
      <c r="K740" s="1339"/>
      <c r="L740" s="1339"/>
      <c r="M740" s="1339"/>
      <c r="N740" s="1339"/>
      <c r="O740" s="1339"/>
      <c r="P740" s="1339"/>
      <c r="Q740" s="1339"/>
      <c r="R740" s="1339"/>
      <c r="S740" s="1339"/>
      <c r="T740" s="1339"/>
      <c r="U740" s="1339"/>
      <c r="V740" s="1339"/>
      <c r="W740" s="1339"/>
    </row>
    <row r="741" spans="1:24">
      <c r="A741" s="1315"/>
      <c r="B741" s="1306"/>
      <c r="C741" s="1333" t="s">
        <v>2651</v>
      </c>
      <c r="D741" s="1333"/>
      <c r="E741" s="1333"/>
      <c r="F741" s="1333"/>
      <c r="G741" s="1333"/>
      <c r="H741" s="1333"/>
      <c r="I741" s="1333"/>
      <c r="J741" s="1333"/>
      <c r="K741" s="1333"/>
      <c r="L741" s="1333"/>
      <c r="M741" s="1333"/>
      <c r="N741" s="1333"/>
      <c r="O741" s="1333"/>
      <c r="P741" s="1333"/>
      <c r="Q741" s="1333"/>
      <c r="R741" s="1320">
        <v>46450</v>
      </c>
      <c r="S741" s="1320"/>
      <c r="T741" s="1320"/>
      <c r="U741" s="1320">
        <v>25560</v>
      </c>
      <c r="V741" s="1320"/>
      <c r="W741" s="1320"/>
    </row>
    <row r="742" spans="1:24">
      <c r="A742" s="1306"/>
      <c r="B742" s="1306"/>
      <c r="C742" s="1333" t="s">
        <v>2652</v>
      </c>
      <c r="D742" s="1333"/>
      <c r="E742" s="1333"/>
      <c r="F742" s="1333"/>
      <c r="G742" s="1333"/>
      <c r="H742" s="1333"/>
      <c r="I742" s="1333"/>
      <c r="J742" s="1333"/>
      <c r="K742" s="1333"/>
      <c r="L742" s="1333"/>
      <c r="M742" s="1333"/>
      <c r="N742" s="1333"/>
      <c r="O742" s="1333"/>
      <c r="P742" s="1333"/>
      <c r="Q742" s="1333"/>
      <c r="R742" s="1320">
        <v>43400</v>
      </c>
      <c r="S742" s="1320"/>
      <c r="T742" s="1320"/>
      <c r="U742" s="1320">
        <v>23870</v>
      </c>
      <c r="V742" s="1320"/>
      <c r="W742" s="1320"/>
    </row>
    <row r="743" spans="1:24">
      <c r="A743" s="1306"/>
      <c r="B743" s="1306"/>
      <c r="C743" s="1333" t="s">
        <v>2653</v>
      </c>
      <c r="D743" s="1333"/>
      <c r="E743" s="1333"/>
      <c r="F743" s="1333"/>
      <c r="G743" s="1333"/>
      <c r="H743" s="1333"/>
      <c r="I743" s="1333"/>
      <c r="J743" s="1333"/>
      <c r="K743" s="1333"/>
      <c r="L743" s="1333"/>
      <c r="M743" s="1333"/>
      <c r="N743" s="1333"/>
      <c r="O743" s="1333"/>
      <c r="P743" s="1333"/>
      <c r="Q743" s="1333"/>
      <c r="R743" s="1320">
        <v>40850</v>
      </c>
      <c r="S743" s="1320"/>
      <c r="T743" s="1320"/>
      <c r="U743" s="1320">
        <v>22475</v>
      </c>
      <c r="V743" s="1320"/>
      <c r="W743" s="1320"/>
    </row>
    <row r="744" spans="1:24">
      <c r="A744" s="1306"/>
      <c r="B744" s="1306"/>
      <c r="C744" s="1333" t="s">
        <v>2654</v>
      </c>
      <c r="D744" s="1333"/>
      <c r="E744" s="1333"/>
      <c r="F744" s="1333"/>
      <c r="G744" s="1333"/>
      <c r="H744" s="1333"/>
      <c r="I744" s="1333"/>
      <c r="J744" s="1333"/>
      <c r="K744" s="1333"/>
      <c r="L744" s="1333"/>
      <c r="M744" s="1333"/>
      <c r="N744" s="1333"/>
      <c r="O744" s="1333"/>
      <c r="P744" s="1333"/>
      <c r="Q744" s="1333"/>
      <c r="R744" s="1320">
        <v>39300</v>
      </c>
      <c r="S744" s="1320"/>
      <c r="T744" s="1320"/>
      <c r="U744" s="1320">
        <v>21625</v>
      </c>
      <c r="V744" s="1320"/>
      <c r="W744" s="1320"/>
    </row>
    <row r="745" spans="1:24">
      <c r="A745" s="1306"/>
      <c r="B745" s="1306"/>
      <c r="C745" s="1333" t="s">
        <v>2655</v>
      </c>
      <c r="D745" s="1333"/>
      <c r="E745" s="1333"/>
      <c r="F745" s="1333"/>
      <c r="G745" s="1333"/>
      <c r="H745" s="1333"/>
      <c r="I745" s="1333"/>
      <c r="J745" s="1333"/>
      <c r="K745" s="1333"/>
      <c r="L745" s="1333"/>
      <c r="M745" s="1333"/>
      <c r="N745" s="1333"/>
      <c r="O745" s="1333"/>
      <c r="P745" s="1333"/>
      <c r="Q745" s="1333"/>
      <c r="R745" s="1320">
        <v>37950</v>
      </c>
      <c r="S745" s="1320"/>
      <c r="T745" s="1320"/>
      <c r="U745" s="1320">
        <v>21000</v>
      </c>
      <c r="V745" s="1320"/>
      <c r="W745" s="1320"/>
    </row>
    <row r="746" spans="1:24">
      <c r="A746" s="1306"/>
      <c r="B746" s="1306"/>
      <c r="C746" s="1333" t="s">
        <v>2656</v>
      </c>
      <c r="D746" s="1333"/>
      <c r="E746" s="1333"/>
      <c r="F746" s="1333"/>
      <c r="G746" s="1333"/>
      <c r="H746" s="1333"/>
      <c r="I746" s="1333"/>
      <c r="J746" s="1333"/>
      <c r="K746" s="1333"/>
      <c r="L746" s="1333"/>
      <c r="M746" s="1333"/>
      <c r="N746" s="1333"/>
      <c r="O746" s="1333"/>
      <c r="P746" s="1333"/>
      <c r="Q746" s="1333"/>
      <c r="R746" s="1320">
        <v>36800</v>
      </c>
      <c r="S746" s="1320"/>
      <c r="T746" s="1320"/>
      <c r="U746" s="1320">
        <v>20250</v>
      </c>
      <c r="V746" s="1320"/>
      <c r="W746" s="1320"/>
    </row>
    <row r="747" spans="1:24">
      <c r="A747" s="1306"/>
      <c r="B747" s="1306"/>
      <c r="C747" s="1333" t="s">
        <v>2657</v>
      </c>
      <c r="D747" s="1333"/>
      <c r="E747" s="1333"/>
      <c r="F747" s="1333"/>
      <c r="G747" s="1333"/>
      <c r="H747" s="1333"/>
      <c r="I747" s="1333"/>
      <c r="J747" s="1333"/>
      <c r="K747" s="1333"/>
      <c r="L747" s="1333"/>
      <c r="M747" s="1333"/>
      <c r="N747" s="1333"/>
      <c r="O747" s="1333"/>
      <c r="P747" s="1333"/>
      <c r="Q747" s="1333"/>
      <c r="R747" s="1320">
        <v>35550</v>
      </c>
      <c r="S747" s="1320"/>
      <c r="T747" s="1320"/>
      <c r="U747" s="1320">
        <v>19550</v>
      </c>
      <c r="V747" s="1320"/>
      <c r="W747" s="1320"/>
    </row>
    <row r="748" spans="1:24">
      <c r="A748" s="105">
        <v>2</v>
      </c>
      <c r="B748" s="1337" t="s">
        <v>2658</v>
      </c>
      <c r="C748" s="1337"/>
      <c r="D748" s="1337"/>
      <c r="E748" s="1337"/>
      <c r="F748" s="1337"/>
      <c r="G748" s="1337"/>
      <c r="H748" s="1337"/>
      <c r="I748" s="1337"/>
      <c r="J748" s="1337"/>
      <c r="K748" s="1337"/>
      <c r="L748" s="1337"/>
      <c r="M748" s="1337"/>
      <c r="N748" s="1337"/>
      <c r="O748" s="1337"/>
      <c r="P748" s="1337"/>
      <c r="Q748" s="1337"/>
      <c r="R748" s="1320">
        <v>30575</v>
      </c>
      <c r="S748" s="1320"/>
      <c r="T748" s="1320"/>
      <c r="U748" s="1320">
        <v>16800</v>
      </c>
      <c r="V748" s="1320"/>
      <c r="W748" s="1320"/>
    </row>
    <row r="749" spans="1:24" ht="14.25" customHeight="1">
      <c r="A749" s="521">
        <v>3</v>
      </c>
      <c r="B749" s="1336" t="s">
        <v>2659</v>
      </c>
      <c r="C749" s="1336"/>
      <c r="D749" s="1336"/>
      <c r="E749" s="1336"/>
      <c r="F749" s="1336"/>
      <c r="G749" s="1336"/>
      <c r="H749" s="1336"/>
      <c r="I749" s="1336"/>
      <c r="J749" s="1336"/>
      <c r="K749" s="1336"/>
      <c r="L749" s="1336"/>
      <c r="M749" s="1336"/>
      <c r="N749" s="1336"/>
      <c r="O749" s="1336"/>
      <c r="P749" s="1336"/>
      <c r="Q749" s="1336"/>
      <c r="R749" s="1336"/>
      <c r="S749" s="1336"/>
      <c r="T749" s="1336"/>
      <c r="U749" s="1336"/>
      <c r="V749" s="1336"/>
      <c r="W749" s="1336"/>
    </row>
    <row r="750" spans="1:24">
      <c r="A750" s="1315"/>
      <c r="B750" s="1306"/>
      <c r="C750" s="1333" t="s">
        <v>2651</v>
      </c>
      <c r="D750" s="1333"/>
      <c r="E750" s="1333"/>
      <c r="F750" s="1333"/>
      <c r="G750" s="1333"/>
      <c r="H750" s="1333"/>
      <c r="I750" s="1333"/>
      <c r="J750" s="1333"/>
      <c r="K750" s="1333"/>
      <c r="L750" s="1333"/>
      <c r="M750" s="1333"/>
      <c r="N750" s="1333"/>
      <c r="O750" s="1333"/>
      <c r="P750" s="1333"/>
      <c r="Q750" s="1333"/>
      <c r="R750" s="1320">
        <v>37250</v>
      </c>
      <c r="S750" s="1320"/>
      <c r="T750" s="1320"/>
      <c r="U750" s="1320">
        <v>20500</v>
      </c>
      <c r="V750" s="1320"/>
      <c r="W750" s="1320"/>
    </row>
    <row r="751" spans="1:24">
      <c r="A751" s="1306"/>
      <c r="B751" s="1306"/>
      <c r="C751" s="1333" t="s">
        <v>2652</v>
      </c>
      <c r="D751" s="1333"/>
      <c r="E751" s="1333"/>
      <c r="F751" s="1333"/>
      <c r="G751" s="1333"/>
      <c r="H751" s="1333"/>
      <c r="I751" s="1333"/>
      <c r="J751" s="1333"/>
      <c r="K751" s="1333"/>
      <c r="L751" s="1333"/>
      <c r="M751" s="1333"/>
      <c r="N751" s="1333"/>
      <c r="O751" s="1333"/>
      <c r="P751" s="1333"/>
      <c r="Q751" s="1333"/>
      <c r="R751" s="1320">
        <v>35650</v>
      </c>
      <c r="S751" s="1320"/>
      <c r="T751" s="1320"/>
      <c r="U751" s="1320">
        <v>19650</v>
      </c>
      <c r="V751" s="1320"/>
      <c r="W751" s="1320"/>
    </row>
    <row r="752" spans="1:24">
      <c r="A752" s="1306"/>
      <c r="B752" s="1306"/>
      <c r="C752" s="1333" t="s">
        <v>2653</v>
      </c>
      <c r="D752" s="1333"/>
      <c r="E752" s="1333"/>
      <c r="F752" s="1333"/>
      <c r="G752" s="1333"/>
      <c r="H752" s="1333"/>
      <c r="I752" s="1333"/>
      <c r="J752" s="1333"/>
      <c r="K752" s="1333"/>
      <c r="L752" s="1333"/>
      <c r="M752" s="1333"/>
      <c r="N752" s="1333"/>
      <c r="O752" s="1333"/>
      <c r="P752" s="1333"/>
      <c r="Q752" s="1333"/>
      <c r="R752" s="1320">
        <v>34400</v>
      </c>
      <c r="S752" s="1320"/>
      <c r="T752" s="1320"/>
      <c r="U752" s="1320">
        <v>18925</v>
      </c>
      <c r="V752" s="1320"/>
      <c r="W752" s="1320"/>
    </row>
    <row r="753" spans="1:23">
      <c r="A753" s="1306"/>
      <c r="B753" s="1306"/>
      <c r="C753" s="1333" t="s">
        <v>2654</v>
      </c>
      <c r="D753" s="1333"/>
      <c r="E753" s="1333"/>
      <c r="F753" s="1333"/>
      <c r="G753" s="1333"/>
      <c r="H753" s="1333"/>
      <c r="I753" s="1333"/>
      <c r="J753" s="1333"/>
      <c r="K753" s="1333"/>
      <c r="L753" s="1333"/>
      <c r="M753" s="1333"/>
      <c r="N753" s="1333"/>
      <c r="O753" s="1333"/>
      <c r="P753" s="1333"/>
      <c r="Q753" s="1333"/>
      <c r="R753" s="1320">
        <v>33150</v>
      </c>
      <c r="S753" s="1320"/>
      <c r="T753" s="1320"/>
      <c r="U753" s="1320">
        <v>18250</v>
      </c>
      <c r="V753" s="1320"/>
      <c r="W753" s="1320"/>
    </row>
    <row r="754" spans="1:23">
      <c r="A754" s="1306"/>
      <c r="B754" s="1306"/>
      <c r="C754" s="1333" t="s">
        <v>2655</v>
      </c>
      <c r="D754" s="1333"/>
      <c r="E754" s="1333"/>
      <c r="F754" s="1333"/>
      <c r="G754" s="1333"/>
      <c r="H754" s="1333"/>
      <c r="I754" s="1333"/>
      <c r="J754" s="1333"/>
      <c r="K754" s="1333"/>
      <c r="L754" s="1333"/>
      <c r="M754" s="1333"/>
      <c r="N754" s="1333"/>
      <c r="O754" s="1333"/>
      <c r="P754" s="1333"/>
      <c r="Q754" s="1333"/>
      <c r="R754" s="1320">
        <v>32650</v>
      </c>
      <c r="S754" s="1320"/>
      <c r="T754" s="1320"/>
      <c r="U754" s="1320">
        <v>17950</v>
      </c>
      <c r="V754" s="1320"/>
      <c r="W754" s="1320"/>
    </row>
    <row r="755" spans="1:23">
      <c r="A755" s="1306"/>
      <c r="B755" s="1306"/>
      <c r="C755" s="1333" t="s">
        <v>2656</v>
      </c>
      <c r="D755" s="1333"/>
      <c r="E755" s="1333"/>
      <c r="F755" s="1333"/>
      <c r="G755" s="1333"/>
      <c r="H755" s="1333"/>
      <c r="I755" s="1333"/>
      <c r="J755" s="1333"/>
      <c r="K755" s="1333"/>
      <c r="L755" s="1333"/>
      <c r="M755" s="1333"/>
      <c r="N755" s="1333"/>
      <c r="O755" s="1333"/>
      <c r="P755" s="1333"/>
      <c r="Q755" s="1333"/>
      <c r="R755" s="1320">
        <v>31450</v>
      </c>
      <c r="S755" s="1320"/>
      <c r="T755" s="1320"/>
      <c r="U755" s="1320">
        <v>17300</v>
      </c>
      <c r="V755" s="1320"/>
      <c r="W755" s="1320"/>
    </row>
    <row r="756" spans="1:23">
      <c r="A756" s="1306"/>
      <c r="B756" s="1306"/>
      <c r="C756" s="1333" t="s">
        <v>2657</v>
      </c>
      <c r="D756" s="1333"/>
      <c r="E756" s="1333"/>
      <c r="F756" s="1333"/>
      <c r="G756" s="1333"/>
      <c r="H756" s="1333"/>
      <c r="I756" s="1333"/>
      <c r="J756" s="1333"/>
      <c r="K756" s="1333"/>
      <c r="L756" s="1333"/>
      <c r="M756" s="1333"/>
      <c r="N756" s="1333"/>
      <c r="O756" s="1333"/>
      <c r="P756" s="1333"/>
      <c r="Q756" s="1333"/>
      <c r="R756" s="1320">
        <v>30250</v>
      </c>
      <c r="S756" s="1320"/>
      <c r="T756" s="1320"/>
      <c r="U756" s="1320">
        <v>16650</v>
      </c>
      <c r="V756" s="1320"/>
      <c r="W756" s="1320"/>
    </row>
    <row r="757" spans="1:23">
      <c r="A757" s="105">
        <v>4</v>
      </c>
      <c r="B757" s="1337" t="s">
        <v>2660</v>
      </c>
      <c r="C757" s="1337"/>
      <c r="D757" s="1337"/>
      <c r="E757" s="1337"/>
      <c r="F757" s="1337"/>
      <c r="G757" s="1337"/>
      <c r="H757" s="1337"/>
      <c r="I757" s="1337"/>
      <c r="J757" s="1337"/>
      <c r="K757" s="1337"/>
      <c r="L757" s="1337"/>
      <c r="M757" s="1337"/>
      <c r="N757" s="1337"/>
      <c r="O757" s="1337"/>
      <c r="P757" s="1337"/>
      <c r="Q757" s="1337"/>
      <c r="R757" s="1320">
        <v>25875</v>
      </c>
      <c r="S757" s="1320"/>
      <c r="T757" s="1320"/>
      <c r="U757" s="1320">
        <v>14225</v>
      </c>
      <c r="V757" s="1320"/>
      <c r="W757" s="1320"/>
    </row>
    <row r="784" spans="1:24" ht="15.75">
      <c r="A784" s="1319" t="s">
        <v>2661</v>
      </c>
      <c r="B784" s="1319"/>
      <c r="C784" s="1319"/>
      <c r="D784" s="1319"/>
      <c r="E784" s="1319"/>
      <c r="F784" s="1319"/>
      <c r="G784" s="1319"/>
      <c r="H784" s="1319"/>
      <c r="I784" s="1319"/>
      <c r="J784" s="1319"/>
      <c r="K784" s="1319"/>
      <c r="L784" s="1319"/>
      <c r="M784" s="1319"/>
      <c r="N784" s="1319"/>
      <c r="O784" s="1319"/>
      <c r="P784" s="1319"/>
      <c r="Q784" s="1319"/>
      <c r="R784" s="1319"/>
      <c r="S784" s="1319"/>
      <c r="T784" s="1319"/>
      <c r="U784" s="1319"/>
      <c r="V784" s="1319"/>
      <c r="W784" s="1319"/>
      <c r="X784" s="528"/>
    </row>
    <row r="785" spans="1:24" ht="15.75">
      <c r="A785" s="1319" t="s">
        <v>2662</v>
      </c>
      <c r="B785" s="1319"/>
      <c r="C785" s="1319"/>
      <c r="D785" s="1319"/>
      <c r="E785" s="1319"/>
      <c r="F785" s="1319"/>
      <c r="G785" s="1319"/>
      <c r="H785" s="1319"/>
      <c r="I785" s="1319"/>
      <c r="J785" s="1319"/>
      <c r="K785" s="1319"/>
      <c r="L785" s="1319"/>
      <c r="M785" s="1319"/>
      <c r="N785" s="1319"/>
      <c r="O785" s="1319"/>
      <c r="P785" s="1319"/>
      <c r="Q785" s="1319"/>
      <c r="R785" s="1319"/>
      <c r="S785" s="1319"/>
      <c r="T785" s="1319"/>
      <c r="U785" s="1319"/>
      <c r="V785" s="1319"/>
      <c r="W785" s="1319"/>
      <c r="X785" s="528"/>
    </row>
    <row r="786" spans="1:24" ht="15.75">
      <c r="A786" s="1319" t="s">
        <v>2663</v>
      </c>
      <c r="B786" s="1319"/>
      <c r="C786" s="1319"/>
      <c r="D786" s="1319"/>
      <c r="E786" s="1319"/>
      <c r="F786" s="1319"/>
      <c r="G786" s="1319"/>
      <c r="H786" s="1319"/>
      <c r="I786" s="1319"/>
      <c r="J786" s="1319"/>
      <c r="K786" s="1319"/>
      <c r="L786" s="1319"/>
      <c r="M786" s="1319"/>
      <c r="N786" s="1319"/>
      <c r="O786" s="1319"/>
      <c r="P786" s="1319"/>
      <c r="Q786" s="1319"/>
      <c r="R786" s="1319"/>
      <c r="S786" s="1319"/>
      <c r="T786" s="1319"/>
      <c r="U786" s="1319"/>
      <c r="V786" s="1319"/>
      <c r="W786" s="1319"/>
      <c r="X786" s="528"/>
    </row>
    <row r="787" spans="1:24" ht="15.75">
      <c r="A787" s="1379" t="s">
        <v>2664</v>
      </c>
      <c r="B787" s="1379"/>
      <c r="C787" s="1379"/>
      <c r="D787" s="1379"/>
      <c r="E787" s="1379"/>
      <c r="F787" s="1379"/>
      <c r="G787" s="1379"/>
      <c r="H787" s="1379"/>
      <c r="I787" s="1379"/>
      <c r="J787" s="1379"/>
      <c r="K787" s="1379"/>
      <c r="L787" s="1379"/>
      <c r="M787" s="1379"/>
      <c r="N787" s="1379"/>
      <c r="O787" s="1379"/>
      <c r="P787" s="1379"/>
      <c r="Q787" s="1379"/>
      <c r="R787" s="1379"/>
      <c r="S787" s="1379"/>
      <c r="T787" s="1379"/>
      <c r="U787" s="1379"/>
      <c r="V787" s="1379"/>
      <c r="W787" s="1379"/>
      <c r="X787" s="528"/>
    </row>
    <row r="788" spans="1:24" ht="31.5" customHeight="1">
      <c r="A788" s="1300" t="s">
        <v>3309</v>
      </c>
      <c r="B788" s="1300"/>
      <c r="C788" s="1300"/>
      <c r="D788" s="1300"/>
      <c r="E788" s="1300"/>
      <c r="F788" s="1300"/>
      <c r="G788" s="1300"/>
      <c r="H788" s="1300"/>
      <c r="I788" s="1300"/>
      <c r="J788" s="1300"/>
      <c r="K788" s="1300"/>
      <c r="L788" s="1300"/>
      <c r="M788" s="1300"/>
      <c r="N788" s="1300"/>
      <c r="O788" s="1300"/>
      <c r="P788" s="1300"/>
      <c r="Q788" s="1300"/>
      <c r="R788" s="1300"/>
      <c r="S788" s="1330" t="s">
        <v>3308</v>
      </c>
      <c r="T788" s="1330"/>
      <c r="U788" s="1335" t="s">
        <v>2951</v>
      </c>
      <c r="V788" s="1335"/>
      <c r="W788" s="1335"/>
      <c r="X788" s="519"/>
    </row>
    <row r="789" spans="1:24" ht="15.75">
      <c r="A789" s="519"/>
      <c r="B789" s="519"/>
      <c r="C789" s="519"/>
      <c r="D789" s="519"/>
      <c r="E789" s="519"/>
      <c r="F789" s="519"/>
      <c r="G789" s="519"/>
      <c r="H789" s="519"/>
      <c r="I789" s="519"/>
      <c r="J789" s="519"/>
      <c r="K789" s="519"/>
      <c r="L789" s="519"/>
      <c r="M789" s="519"/>
      <c r="N789" s="519"/>
      <c r="O789" s="519"/>
      <c r="P789" s="519"/>
      <c r="Q789" s="519"/>
      <c r="R789" s="519"/>
      <c r="S789" s="519"/>
      <c r="T789" s="519"/>
      <c r="U789" s="519"/>
      <c r="V789" s="519"/>
      <c r="W789" s="519"/>
      <c r="X789" s="519"/>
    </row>
    <row r="790" spans="1:24" ht="15.75">
      <c r="A790" s="1327" t="s">
        <v>873</v>
      </c>
      <c r="B790" s="1327"/>
      <c r="C790" s="1327"/>
      <c r="D790" s="1327"/>
      <c r="E790" s="1327"/>
      <c r="F790" s="1327"/>
      <c r="G790" s="1327"/>
      <c r="H790" s="1327"/>
      <c r="I790" s="1327"/>
      <c r="J790" s="1327"/>
      <c r="K790" s="1327"/>
      <c r="L790" s="1327"/>
      <c r="M790" s="1327"/>
      <c r="N790" s="1327"/>
      <c r="O790" s="1327"/>
      <c r="P790" s="1327"/>
      <c r="Q790" s="1327"/>
      <c r="R790" s="1327"/>
      <c r="S790" s="1194"/>
      <c r="T790" s="1194"/>
      <c r="U790" s="1194"/>
      <c r="V790" s="1194"/>
      <c r="W790" s="1194"/>
    </row>
    <row r="791" spans="1:24">
      <c r="A791" s="1306"/>
      <c r="B791" s="1331" t="s">
        <v>2665</v>
      </c>
      <c r="C791" s="1331"/>
      <c r="D791" s="1331"/>
      <c r="E791" s="1331"/>
      <c r="F791" s="1331"/>
      <c r="G791" s="1331"/>
      <c r="H791" s="1331"/>
      <c r="I791" s="1331"/>
      <c r="J791" s="1331"/>
      <c r="K791" s="1331"/>
      <c r="L791" s="1331"/>
      <c r="M791" s="1331"/>
      <c r="N791" s="1331"/>
      <c r="O791" s="1331"/>
      <c r="P791" s="1331"/>
      <c r="Q791" s="1331"/>
      <c r="R791" s="1331"/>
      <c r="S791" s="1334">
        <v>1</v>
      </c>
      <c r="T791" s="1334"/>
      <c r="U791" s="1334">
        <v>8000</v>
      </c>
      <c r="V791" s="1334"/>
      <c r="W791" s="1334"/>
    </row>
    <row r="792" spans="1:24">
      <c r="A792" s="1306"/>
      <c r="B792" s="1331" t="s">
        <v>2666</v>
      </c>
      <c r="C792" s="1331"/>
      <c r="D792" s="1331"/>
      <c r="E792" s="1331"/>
      <c r="F792" s="1331"/>
      <c r="G792" s="1331"/>
      <c r="H792" s="1331"/>
      <c r="I792" s="1331"/>
      <c r="J792" s="1331"/>
      <c r="K792" s="1331"/>
      <c r="L792" s="1331"/>
      <c r="M792" s="1331"/>
      <c r="N792" s="1331"/>
      <c r="O792" s="1331"/>
      <c r="P792" s="1331"/>
      <c r="Q792" s="1331"/>
      <c r="R792" s="1331"/>
      <c r="S792" s="1334">
        <v>1</v>
      </c>
      <c r="T792" s="1334"/>
      <c r="U792" s="1334">
        <v>7600</v>
      </c>
      <c r="V792" s="1334"/>
      <c r="W792" s="1334"/>
    </row>
    <row r="793" spans="1:24">
      <c r="A793" s="1306"/>
      <c r="B793" s="1331" t="s">
        <v>2667</v>
      </c>
      <c r="C793" s="1331"/>
      <c r="D793" s="1331"/>
      <c r="E793" s="1331"/>
      <c r="F793" s="1331"/>
      <c r="G793" s="1331"/>
      <c r="H793" s="1331"/>
      <c r="I793" s="1331"/>
      <c r="J793" s="1331"/>
      <c r="K793" s="1331"/>
      <c r="L793" s="1331"/>
      <c r="M793" s="1331"/>
      <c r="N793" s="1331"/>
      <c r="O793" s="1331"/>
      <c r="P793" s="1331"/>
      <c r="Q793" s="1331"/>
      <c r="R793" s="1331"/>
      <c r="S793" s="1334">
        <v>1</v>
      </c>
      <c r="T793" s="1334"/>
      <c r="U793" s="1334">
        <v>7000</v>
      </c>
      <c r="V793" s="1334"/>
      <c r="W793" s="1334"/>
    </row>
    <row r="794" spans="1:24" ht="41.25" customHeight="1">
      <c r="A794" s="1306"/>
      <c r="B794" s="1332" t="s">
        <v>3311</v>
      </c>
      <c r="C794" s="1331"/>
      <c r="D794" s="1331"/>
      <c r="E794" s="1331"/>
      <c r="F794" s="1331"/>
      <c r="G794" s="1331"/>
      <c r="H794" s="1331"/>
      <c r="I794" s="1331"/>
      <c r="J794" s="1331"/>
      <c r="K794" s="1331"/>
      <c r="L794" s="1331"/>
      <c r="M794" s="1331"/>
      <c r="N794" s="1331"/>
      <c r="O794" s="1331"/>
      <c r="P794" s="1331"/>
      <c r="Q794" s="1331"/>
      <c r="R794" s="1331"/>
      <c r="S794" s="1334">
        <v>1</v>
      </c>
      <c r="T794" s="1334"/>
      <c r="U794" s="1334">
        <v>6400</v>
      </c>
      <c r="V794" s="1334"/>
      <c r="W794" s="1334"/>
    </row>
    <row r="795" spans="1:24" ht="39.75" customHeight="1">
      <c r="A795" s="1306"/>
      <c r="B795" s="1331" t="s">
        <v>2668</v>
      </c>
      <c r="C795" s="1331"/>
      <c r="D795" s="1331"/>
      <c r="E795" s="1331"/>
      <c r="F795" s="1331"/>
      <c r="G795" s="1331"/>
      <c r="H795" s="1331"/>
      <c r="I795" s="1331"/>
      <c r="J795" s="1331"/>
      <c r="K795" s="1331"/>
      <c r="L795" s="1331"/>
      <c r="M795" s="1331"/>
      <c r="N795" s="1331"/>
      <c r="O795" s="1331"/>
      <c r="P795" s="1331"/>
      <c r="Q795" s="1331"/>
      <c r="R795" s="1331"/>
      <c r="S795" s="1334">
        <v>1</v>
      </c>
      <c r="T795" s="1334"/>
      <c r="U795" s="1334">
        <v>3600</v>
      </c>
      <c r="V795" s="1334"/>
      <c r="W795" s="1334"/>
    </row>
    <row r="796" spans="1:24" ht="33.75" customHeight="1">
      <c r="A796" s="1306"/>
      <c r="B796" s="1332" t="s">
        <v>3310</v>
      </c>
      <c r="C796" s="1331"/>
      <c r="D796" s="1331"/>
      <c r="E796" s="1331"/>
      <c r="F796" s="1331"/>
      <c r="G796" s="1331"/>
      <c r="H796" s="1331"/>
      <c r="I796" s="1331"/>
      <c r="J796" s="1331"/>
      <c r="K796" s="1331"/>
      <c r="L796" s="1331"/>
      <c r="M796" s="1331"/>
      <c r="N796" s="1331"/>
      <c r="O796" s="1331"/>
      <c r="P796" s="1331"/>
      <c r="Q796" s="1331"/>
      <c r="R796" s="1331"/>
      <c r="S796" s="1334">
        <v>1</v>
      </c>
      <c r="T796" s="1334"/>
      <c r="U796" s="1334">
        <v>3000</v>
      </c>
      <c r="V796" s="1334"/>
      <c r="W796" s="1334"/>
    </row>
    <row r="797" spans="1:24" ht="13.5" customHeight="1">
      <c r="A797" s="1306"/>
      <c r="B797" s="1312" t="s">
        <v>2669</v>
      </c>
      <c r="C797" s="1312"/>
      <c r="D797" s="1312"/>
      <c r="E797" s="1312"/>
      <c r="F797" s="1312"/>
      <c r="G797" s="1312"/>
      <c r="H797" s="1312"/>
      <c r="I797" s="1312"/>
      <c r="J797" s="1312"/>
      <c r="K797" s="1312"/>
      <c r="L797" s="1312"/>
      <c r="M797" s="1312"/>
      <c r="N797" s="1312"/>
      <c r="O797" s="1312"/>
      <c r="P797" s="1312"/>
      <c r="Q797" s="1312"/>
      <c r="R797" s="1312"/>
      <c r="S797" s="1334">
        <v>1</v>
      </c>
      <c r="T797" s="1334"/>
      <c r="U797" s="1334">
        <v>3600</v>
      </c>
      <c r="V797" s="1334"/>
      <c r="W797" s="1334"/>
    </row>
    <row r="798" spans="1:24">
      <c r="A798" s="1306"/>
      <c r="B798" s="1312"/>
      <c r="C798" s="1312"/>
      <c r="D798" s="1312"/>
      <c r="E798" s="1312"/>
      <c r="F798" s="1312"/>
      <c r="G798" s="1312"/>
      <c r="H798" s="1312"/>
      <c r="I798" s="1312"/>
      <c r="J798" s="1312"/>
      <c r="K798" s="1312"/>
      <c r="L798" s="1312"/>
      <c r="M798" s="1312"/>
      <c r="N798" s="1312"/>
      <c r="O798" s="1312"/>
      <c r="P798" s="1312"/>
      <c r="Q798" s="1312"/>
      <c r="R798" s="1312"/>
      <c r="S798" s="1334">
        <v>2</v>
      </c>
      <c r="T798" s="1334"/>
      <c r="U798" s="1334">
        <v>3000</v>
      </c>
      <c r="V798" s="1334"/>
      <c r="W798" s="1334"/>
    </row>
    <row r="799" spans="1:24">
      <c r="A799" s="1306"/>
      <c r="B799" s="1312"/>
      <c r="C799" s="1312"/>
      <c r="D799" s="1312"/>
      <c r="E799" s="1312"/>
      <c r="F799" s="1312"/>
      <c r="G799" s="1312"/>
      <c r="H799" s="1312"/>
      <c r="I799" s="1312"/>
      <c r="J799" s="1312"/>
      <c r="K799" s="1312"/>
      <c r="L799" s="1312"/>
      <c r="M799" s="1312"/>
      <c r="N799" s="1312"/>
      <c r="O799" s="1312"/>
      <c r="P799" s="1312"/>
      <c r="Q799" s="1312"/>
      <c r="R799" s="1312"/>
      <c r="S799" s="1334">
        <v>3</v>
      </c>
      <c r="T799" s="1334"/>
      <c r="U799" s="1334">
        <v>2200</v>
      </c>
      <c r="V799" s="1334"/>
      <c r="W799" s="1334"/>
    </row>
    <row r="800" spans="1:24">
      <c r="A800" s="1306"/>
      <c r="B800" s="1312"/>
      <c r="C800" s="1312"/>
      <c r="D800" s="1312"/>
      <c r="E800" s="1312"/>
      <c r="F800" s="1312"/>
      <c r="G800" s="1312"/>
      <c r="H800" s="1312"/>
      <c r="I800" s="1312"/>
      <c r="J800" s="1312"/>
      <c r="K800" s="1312"/>
      <c r="L800" s="1312"/>
      <c r="M800" s="1312"/>
      <c r="N800" s="1312"/>
      <c r="O800" s="1312"/>
      <c r="P800" s="1312"/>
      <c r="Q800" s="1312"/>
      <c r="R800" s="1312"/>
      <c r="S800" s="1334">
        <v>4</v>
      </c>
      <c r="T800" s="1334"/>
      <c r="U800" s="1334">
        <v>1600</v>
      </c>
      <c r="V800" s="1334"/>
      <c r="W800" s="1334"/>
    </row>
    <row r="801" spans="1:23">
      <c r="A801" s="1306"/>
      <c r="B801" s="1312"/>
      <c r="C801" s="1312"/>
      <c r="D801" s="1312"/>
      <c r="E801" s="1312"/>
      <c r="F801" s="1312"/>
      <c r="G801" s="1312"/>
      <c r="H801" s="1312"/>
      <c r="I801" s="1312"/>
      <c r="J801" s="1312"/>
      <c r="K801" s="1312"/>
      <c r="L801" s="1312"/>
      <c r="M801" s="1312"/>
      <c r="N801" s="1312"/>
      <c r="O801" s="1312"/>
      <c r="P801" s="1312"/>
      <c r="Q801" s="1312"/>
      <c r="R801" s="1312"/>
      <c r="S801" s="1334">
        <v>5</v>
      </c>
      <c r="T801" s="1334"/>
      <c r="U801" s="1334">
        <v>1300</v>
      </c>
      <c r="V801" s="1334"/>
      <c r="W801" s="1334"/>
    </row>
    <row r="802" spans="1:23">
      <c r="A802" s="1306"/>
      <c r="B802" s="1312"/>
      <c r="C802" s="1312"/>
      <c r="D802" s="1312"/>
      <c r="E802" s="1312"/>
      <c r="F802" s="1312"/>
      <c r="G802" s="1312"/>
      <c r="H802" s="1312"/>
      <c r="I802" s="1312"/>
      <c r="J802" s="1312"/>
      <c r="K802" s="1312"/>
      <c r="L802" s="1312"/>
      <c r="M802" s="1312"/>
      <c r="N802" s="1312"/>
      <c r="O802" s="1312"/>
      <c r="P802" s="1312"/>
      <c r="Q802" s="1312"/>
      <c r="R802" s="1312"/>
      <c r="S802" s="1334">
        <v>6</v>
      </c>
      <c r="T802" s="1334"/>
      <c r="U802" s="1334">
        <v>1150</v>
      </c>
      <c r="V802" s="1334"/>
      <c r="W802" s="1334"/>
    </row>
    <row r="803" spans="1:23">
      <c r="A803" s="1306"/>
      <c r="B803" s="1312"/>
      <c r="C803" s="1312"/>
      <c r="D803" s="1312"/>
      <c r="E803" s="1312"/>
      <c r="F803" s="1312"/>
      <c r="G803" s="1312"/>
      <c r="H803" s="1312"/>
      <c r="I803" s="1312"/>
      <c r="J803" s="1312"/>
      <c r="K803" s="1312"/>
      <c r="L803" s="1312"/>
      <c r="M803" s="1312"/>
      <c r="N803" s="1312"/>
      <c r="O803" s="1312"/>
      <c r="P803" s="1312"/>
      <c r="Q803" s="1312"/>
      <c r="R803" s="1312"/>
      <c r="S803" s="1334">
        <v>7</v>
      </c>
      <c r="T803" s="1334"/>
      <c r="U803" s="1334">
        <v>950</v>
      </c>
      <c r="V803" s="1334"/>
      <c r="W803" s="1334"/>
    </row>
    <row r="804" spans="1:23">
      <c r="A804" s="1306"/>
      <c r="B804" s="1312"/>
      <c r="C804" s="1312"/>
      <c r="D804" s="1312"/>
      <c r="E804" s="1312"/>
      <c r="F804" s="1312"/>
      <c r="G804" s="1312"/>
      <c r="H804" s="1312"/>
      <c r="I804" s="1312"/>
      <c r="J804" s="1312"/>
      <c r="K804" s="1312"/>
      <c r="L804" s="1312"/>
      <c r="M804" s="1312"/>
      <c r="N804" s="1312"/>
      <c r="O804" s="1312"/>
      <c r="P804" s="1312"/>
      <c r="Q804" s="1312"/>
      <c r="R804" s="1312"/>
      <c r="S804" s="1334">
        <v>8</v>
      </c>
      <c r="T804" s="1334"/>
      <c r="U804" s="1334">
        <v>850</v>
      </c>
      <c r="V804" s="1334"/>
      <c r="W804" s="1334"/>
    </row>
    <row r="805" spans="1:23">
      <c r="A805" s="1306"/>
      <c r="B805" s="1333" t="s">
        <v>2670</v>
      </c>
      <c r="C805" s="1333"/>
      <c r="D805" s="1333"/>
      <c r="E805" s="1333"/>
      <c r="F805" s="1333"/>
      <c r="G805" s="1333"/>
      <c r="H805" s="1333"/>
      <c r="I805" s="1333"/>
      <c r="J805" s="1333"/>
      <c r="K805" s="1333"/>
      <c r="L805" s="1333"/>
      <c r="M805" s="1333"/>
      <c r="N805" s="1333"/>
      <c r="O805" s="1333"/>
      <c r="P805" s="1333"/>
      <c r="Q805" s="1333"/>
      <c r="R805" s="1333"/>
      <c r="S805" s="1190"/>
      <c r="T805" s="1190"/>
      <c r="U805" s="1190"/>
      <c r="V805" s="1190"/>
      <c r="W805" s="1190"/>
    </row>
    <row r="806" spans="1:23" ht="14.25" customHeight="1">
      <c r="A806" s="1306"/>
      <c r="B806" s="1306"/>
      <c r="C806" s="1325" t="s">
        <v>902</v>
      </c>
      <c r="D806" s="1325"/>
      <c r="E806" s="1325"/>
      <c r="F806" s="1325"/>
      <c r="G806" s="1325"/>
      <c r="H806" s="1325"/>
      <c r="I806" s="1325"/>
      <c r="J806" s="1325"/>
      <c r="K806" s="1325"/>
      <c r="L806" s="1325"/>
      <c r="M806" s="1325"/>
      <c r="N806" s="1325"/>
      <c r="O806" s="1325"/>
      <c r="P806" s="1325"/>
      <c r="Q806" s="1325"/>
      <c r="R806" s="1325"/>
      <c r="S806" s="1306">
        <v>1</v>
      </c>
      <c r="T806" s="1306"/>
      <c r="U806" s="1190">
        <v>2200</v>
      </c>
      <c r="V806" s="1190"/>
      <c r="W806" s="1190"/>
    </row>
    <row r="807" spans="1:23">
      <c r="A807" s="1306"/>
      <c r="B807" s="1306"/>
      <c r="C807" s="1325"/>
      <c r="D807" s="1325"/>
      <c r="E807" s="1325"/>
      <c r="F807" s="1325"/>
      <c r="G807" s="1325"/>
      <c r="H807" s="1325"/>
      <c r="I807" s="1325"/>
      <c r="J807" s="1325"/>
      <c r="K807" s="1325"/>
      <c r="L807" s="1325"/>
      <c r="M807" s="1325"/>
      <c r="N807" s="1325"/>
      <c r="O807" s="1325"/>
      <c r="P807" s="1325"/>
      <c r="Q807" s="1325"/>
      <c r="R807" s="1325"/>
      <c r="S807" s="1306">
        <v>2</v>
      </c>
      <c r="T807" s="1306"/>
      <c r="U807" s="1190">
        <v>1600</v>
      </c>
      <c r="V807" s="1190"/>
      <c r="W807" s="1190"/>
    </row>
    <row r="808" spans="1:23">
      <c r="A808" s="1306"/>
      <c r="B808" s="1306"/>
      <c r="C808" s="1325"/>
      <c r="D808" s="1325"/>
      <c r="E808" s="1325"/>
      <c r="F808" s="1325"/>
      <c r="G808" s="1325"/>
      <c r="H808" s="1325"/>
      <c r="I808" s="1325"/>
      <c r="J808" s="1325"/>
      <c r="K808" s="1325"/>
      <c r="L808" s="1325"/>
      <c r="M808" s="1325"/>
      <c r="N808" s="1325"/>
      <c r="O808" s="1325"/>
      <c r="P808" s="1325"/>
      <c r="Q808" s="1325"/>
      <c r="R808" s="1325"/>
      <c r="S808" s="1306">
        <v>3</v>
      </c>
      <c r="T808" s="1306"/>
      <c r="U808" s="1190">
        <v>1100</v>
      </c>
      <c r="V808" s="1190"/>
      <c r="W808" s="1190"/>
    </row>
    <row r="809" spans="1:23">
      <c r="A809" s="1306"/>
      <c r="B809" s="1306"/>
      <c r="C809" s="1325"/>
      <c r="D809" s="1325"/>
      <c r="E809" s="1325"/>
      <c r="F809" s="1325"/>
      <c r="G809" s="1325"/>
      <c r="H809" s="1325"/>
      <c r="I809" s="1325"/>
      <c r="J809" s="1325"/>
      <c r="K809" s="1325"/>
      <c r="L809" s="1325"/>
      <c r="M809" s="1325"/>
      <c r="N809" s="1325"/>
      <c r="O809" s="1325"/>
      <c r="P809" s="1325"/>
      <c r="Q809" s="1325"/>
      <c r="R809" s="1325"/>
      <c r="S809" s="1306">
        <v>4</v>
      </c>
      <c r="T809" s="1306"/>
      <c r="U809" s="1190">
        <v>800</v>
      </c>
      <c r="V809" s="1190"/>
      <c r="W809" s="1190"/>
    </row>
    <row r="810" spans="1:23">
      <c r="A810" s="1306"/>
      <c r="B810" s="1306"/>
      <c r="C810" s="1325" t="s">
        <v>2671</v>
      </c>
      <c r="D810" s="1325"/>
      <c r="E810" s="1325"/>
      <c r="F810" s="1325"/>
      <c r="G810" s="1325"/>
      <c r="H810" s="1325"/>
      <c r="I810" s="1325"/>
      <c r="J810" s="1325"/>
      <c r="K810" s="1325"/>
      <c r="L810" s="1325"/>
      <c r="M810" s="1325"/>
      <c r="N810" s="1325"/>
      <c r="O810" s="1325"/>
      <c r="P810" s="1325"/>
      <c r="Q810" s="1325"/>
      <c r="R810" s="1325"/>
      <c r="S810" s="1306">
        <v>1</v>
      </c>
      <c r="T810" s="1306"/>
      <c r="U810" s="1190">
        <v>1500</v>
      </c>
      <c r="V810" s="1190"/>
      <c r="W810" s="1190"/>
    </row>
    <row r="811" spans="1:23">
      <c r="A811" s="1306"/>
      <c r="B811" s="1306"/>
      <c r="C811" s="1325"/>
      <c r="D811" s="1325"/>
      <c r="E811" s="1325"/>
      <c r="F811" s="1325"/>
      <c r="G811" s="1325"/>
      <c r="H811" s="1325"/>
      <c r="I811" s="1325"/>
      <c r="J811" s="1325"/>
      <c r="K811" s="1325"/>
      <c r="L811" s="1325"/>
      <c r="M811" s="1325"/>
      <c r="N811" s="1325"/>
      <c r="O811" s="1325"/>
      <c r="P811" s="1325"/>
      <c r="Q811" s="1325"/>
      <c r="R811" s="1325"/>
      <c r="S811" s="1306">
        <v>2</v>
      </c>
      <c r="T811" s="1306"/>
      <c r="U811" s="1190">
        <v>1100</v>
      </c>
      <c r="V811" s="1190"/>
      <c r="W811" s="1190"/>
    </row>
    <row r="812" spans="1:23">
      <c r="A812" s="1306"/>
      <c r="B812" s="1306"/>
      <c r="C812" s="1325"/>
      <c r="D812" s="1325"/>
      <c r="E812" s="1325"/>
      <c r="F812" s="1325"/>
      <c r="G812" s="1325"/>
      <c r="H812" s="1325"/>
      <c r="I812" s="1325"/>
      <c r="J812" s="1325"/>
      <c r="K812" s="1325"/>
      <c r="L812" s="1325"/>
      <c r="M812" s="1325"/>
      <c r="N812" s="1325"/>
      <c r="O812" s="1325"/>
      <c r="P812" s="1325"/>
      <c r="Q812" s="1325"/>
      <c r="R812" s="1325"/>
      <c r="S812" s="1306">
        <v>3</v>
      </c>
      <c r="T812" s="1306"/>
      <c r="U812" s="1190">
        <v>800</v>
      </c>
      <c r="V812" s="1190"/>
      <c r="W812" s="1190"/>
    </row>
    <row r="813" spans="1:23">
      <c r="A813" s="1306"/>
      <c r="B813" s="1306"/>
      <c r="C813" s="1325"/>
      <c r="D813" s="1325"/>
      <c r="E813" s="1325"/>
      <c r="F813" s="1325"/>
      <c r="G813" s="1325"/>
      <c r="H813" s="1325"/>
      <c r="I813" s="1325"/>
      <c r="J813" s="1325"/>
      <c r="K813" s="1325"/>
      <c r="L813" s="1325"/>
      <c r="M813" s="1325"/>
      <c r="N813" s="1325"/>
      <c r="O813" s="1325"/>
      <c r="P813" s="1325"/>
      <c r="Q813" s="1325"/>
      <c r="R813" s="1325"/>
      <c r="S813" s="1306">
        <v>4</v>
      </c>
      <c r="T813" s="1306"/>
      <c r="U813" s="1190">
        <v>650</v>
      </c>
      <c r="V813" s="1190"/>
      <c r="W813" s="1190"/>
    </row>
    <row r="814" spans="1:23">
      <c r="A814" s="534"/>
      <c r="B814" s="534"/>
      <c r="C814" s="535"/>
      <c r="D814" s="535"/>
      <c r="E814" s="535"/>
      <c r="F814" s="535"/>
      <c r="G814" s="535"/>
      <c r="H814" s="535"/>
      <c r="I814" s="535"/>
      <c r="J814" s="535"/>
      <c r="K814" s="535"/>
      <c r="L814" s="535"/>
      <c r="M814" s="535"/>
      <c r="N814" s="535"/>
      <c r="O814" s="535"/>
      <c r="P814" s="535"/>
      <c r="Q814" s="535"/>
      <c r="R814" s="535"/>
      <c r="S814" s="536"/>
      <c r="T814" s="536"/>
      <c r="U814" s="537"/>
      <c r="V814" s="537"/>
      <c r="W814" s="537"/>
    </row>
    <row r="815" spans="1:23" ht="15.75">
      <c r="A815" s="1327" t="s">
        <v>904</v>
      </c>
      <c r="B815" s="1327"/>
      <c r="C815" s="1327"/>
      <c r="D815" s="1327"/>
      <c r="E815" s="1327"/>
      <c r="F815" s="1327"/>
      <c r="G815" s="1327"/>
      <c r="H815" s="1327"/>
      <c r="I815" s="1327"/>
      <c r="J815" s="1327"/>
      <c r="K815" s="1327"/>
      <c r="L815" s="1327"/>
      <c r="M815" s="1327"/>
      <c r="N815" s="1327"/>
      <c r="O815" s="1327"/>
      <c r="P815" s="1327"/>
      <c r="Q815" s="1327"/>
      <c r="R815" s="1327"/>
      <c r="S815" s="853"/>
      <c r="T815" s="853"/>
      <c r="U815" s="1194"/>
      <c r="V815" s="1194"/>
      <c r="W815" s="1194"/>
    </row>
    <row r="816" spans="1:23">
      <c r="A816" s="1306"/>
      <c r="B816" s="1312" t="s">
        <v>2672</v>
      </c>
      <c r="C816" s="1312"/>
      <c r="D816" s="1312"/>
      <c r="E816" s="1312"/>
      <c r="F816" s="1312"/>
      <c r="G816" s="1312"/>
      <c r="H816" s="1312"/>
      <c r="I816" s="1312"/>
      <c r="J816" s="1312"/>
      <c r="K816" s="1312"/>
      <c r="L816" s="1312"/>
      <c r="M816" s="1312"/>
      <c r="N816" s="1312"/>
      <c r="O816" s="1312"/>
      <c r="P816" s="1312"/>
      <c r="Q816" s="1312"/>
      <c r="R816" s="1312"/>
      <c r="S816" s="1306">
        <v>1</v>
      </c>
      <c r="T816" s="1306"/>
      <c r="U816" s="1190">
        <v>3600</v>
      </c>
      <c r="V816" s="1190"/>
      <c r="W816" s="1190"/>
    </row>
    <row r="817" spans="1:23">
      <c r="A817" s="1306"/>
      <c r="B817" s="1312"/>
      <c r="C817" s="1312"/>
      <c r="D817" s="1312"/>
      <c r="E817" s="1312"/>
      <c r="F817" s="1312"/>
      <c r="G817" s="1312"/>
      <c r="H817" s="1312"/>
      <c r="I817" s="1312"/>
      <c r="J817" s="1312"/>
      <c r="K817" s="1312"/>
      <c r="L817" s="1312"/>
      <c r="M817" s="1312"/>
      <c r="N817" s="1312"/>
      <c r="O817" s="1312"/>
      <c r="P817" s="1312"/>
      <c r="Q817" s="1312"/>
      <c r="R817" s="1312"/>
      <c r="S817" s="1306">
        <v>2</v>
      </c>
      <c r="T817" s="1306"/>
      <c r="U817" s="1190">
        <v>3000</v>
      </c>
      <c r="V817" s="1190"/>
      <c r="W817" s="1190"/>
    </row>
    <row r="818" spans="1:23">
      <c r="A818" s="1306"/>
      <c r="B818" s="1312"/>
      <c r="C818" s="1312"/>
      <c r="D818" s="1312"/>
      <c r="E818" s="1312"/>
      <c r="F818" s="1312"/>
      <c r="G818" s="1312"/>
      <c r="H818" s="1312"/>
      <c r="I818" s="1312"/>
      <c r="J818" s="1312"/>
      <c r="K818" s="1312"/>
      <c r="L818" s="1312"/>
      <c r="M818" s="1312"/>
      <c r="N818" s="1312"/>
      <c r="O818" s="1312"/>
      <c r="P818" s="1312"/>
      <c r="Q818" s="1312"/>
      <c r="R818" s="1312"/>
      <c r="S818" s="1306">
        <v>3</v>
      </c>
      <c r="T818" s="1306"/>
      <c r="U818" s="1190">
        <v>2200</v>
      </c>
      <c r="V818" s="1190"/>
      <c r="W818" s="1190"/>
    </row>
    <row r="819" spans="1:23">
      <c r="A819" s="1306"/>
      <c r="B819" s="1312"/>
      <c r="C819" s="1312"/>
      <c r="D819" s="1312"/>
      <c r="E819" s="1312"/>
      <c r="F819" s="1312"/>
      <c r="G819" s="1312"/>
      <c r="H819" s="1312"/>
      <c r="I819" s="1312"/>
      <c r="J819" s="1312"/>
      <c r="K819" s="1312"/>
      <c r="L819" s="1312"/>
      <c r="M819" s="1312"/>
      <c r="N819" s="1312"/>
      <c r="O819" s="1312"/>
      <c r="P819" s="1312"/>
      <c r="Q819" s="1312"/>
      <c r="R819" s="1312"/>
      <c r="S819" s="1306">
        <v>4</v>
      </c>
      <c r="T819" s="1306"/>
      <c r="U819" s="1190">
        <v>1600</v>
      </c>
      <c r="V819" s="1190"/>
      <c r="W819" s="1190"/>
    </row>
    <row r="820" spans="1:23">
      <c r="A820" s="1306"/>
      <c r="B820" s="1312"/>
      <c r="C820" s="1312"/>
      <c r="D820" s="1312"/>
      <c r="E820" s="1312"/>
      <c r="F820" s="1312"/>
      <c r="G820" s="1312"/>
      <c r="H820" s="1312"/>
      <c r="I820" s="1312"/>
      <c r="J820" s="1312"/>
      <c r="K820" s="1312"/>
      <c r="L820" s="1312"/>
      <c r="M820" s="1312"/>
      <c r="N820" s="1312"/>
      <c r="O820" s="1312"/>
      <c r="P820" s="1312"/>
      <c r="Q820" s="1312"/>
      <c r="R820" s="1312"/>
      <c r="S820" s="1306">
        <v>5</v>
      </c>
      <c r="T820" s="1306"/>
      <c r="U820" s="1190">
        <v>1300</v>
      </c>
      <c r="V820" s="1190"/>
      <c r="W820" s="1190"/>
    </row>
    <row r="821" spans="1:23">
      <c r="A821" s="1306"/>
      <c r="B821" s="1312"/>
      <c r="C821" s="1312"/>
      <c r="D821" s="1312"/>
      <c r="E821" s="1312"/>
      <c r="F821" s="1312"/>
      <c r="G821" s="1312"/>
      <c r="H821" s="1312"/>
      <c r="I821" s="1312"/>
      <c r="J821" s="1312"/>
      <c r="K821" s="1312"/>
      <c r="L821" s="1312"/>
      <c r="M821" s="1312"/>
      <c r="N821" s="1312"/>
      <c r="O821" s="1312"/>
      <c r="P821" s="1312"/>
      <c r="Q821" s="1312"/>
      <c r="R821" s="1312"/>
      <c r="S821" s="1306">
        <v>6</v>
      </c>
      <c r="T821" s="1306"/>
      <c r="U821" s="1190">
        <v>1150</v>
      </c>
      <c r="V821" s="1190"/>
      <c r="W821" s="1190"/>
    </row>
    <row r="822" spans="1:23">
      <c r="A822" s="1306"/>
      <c r="B822" s="1312"/>
      <c r="C822" s="1312"/>
      <c r="D822" s="1312"/>
      <c r="E822" s="1312"/>
      <c r="F822" s="1312"/>
      <c r="G822" s="1312"/>
      <c r="H822" s="1312"/>
      <c r="I822" s="1312"/>
      <c r="J822" s="1312"/>
      <c r="K822" s="1312"/>
      <c r="L822" s="1312"/>
      <c r="M822" s="1312"/>
      <c r="N822" s="1312"/>
      <c r="O822" s="1312"/>
      <c r="P822" s="1312"/>
      <c r="Q822" s="1312"/>
      <c r="R822" s="1312"/>
      <c r="S822" s="1306">
        <v>7</v>
      </c>
      <c r="T822" s="1306"/>
      <c r="U822" s="1190">
        <v>950</v>
      </c>
      <c r="V822" s="1190"/>
      <c r="W822" s="1190"/>
    </row>
    <row r="823" spans="1:23">
      <c r="A823" s="1306"/>
      <c r="B823" s="1312"/>
      <c r="C823" s="1312"/>
      <c r="D823" s="1312"/>
      <c r="E823" s="1312"/>
      <c r="F823" s="1312"/>
      <c r="G823" s="1312"/>
      <c r="H823" s="1312"/>
      <c r="I823" s="1312"/>
      <c r="J823" s="1312"/>
      <c r="K823" s="1312"/>
      <c r="L823" s="1312"/>
      <c r="M823" s="1312"/>
      <c r="N823" s="1312"/>
      <c r="O823" s="1312"/>
      <c r="P823" s="1312"/>
      <c r="Q823" s="1312"/>
      <c r="R823" s="1312"/>
      <c r="S823" s="1306">
        <v>8</v>
      </c>
      <c r="T823" s="1306"/>
      <c r="U823" s="1190">
        <v>850</v>
      </c>
      <c r="V823" s="1190"/>
      <c r="W823" s="1190"/>
    </row>
    <row r="824" spans="1:23" ht="14.25" customHeight="1">
      <c r="A824" s="1306"/>
      <c r="B824" s="1312" t="s">
        <v>2673</v>
      </c>
      <c r="C824" s="1312"/>
      <c r="D824" s="1312"/>
      <c r="E824" s="1312"/>
      <c r="F824" s="1312"/>
      <c r="G824" s="1312"/>
      <c r="H824" s="1312"/>
      <c r="I824" s="1312"/>
      <c r="J824" s="1312"/>
      <c r="K824" s="1312"/>
      <c r="L824" s="1312"/>
      <c r="M824" s="1312"/>
      <c r="N824" s="1312"/>
      <c r="O824" s="1312"/>
      <c r="P824" s="1312"/>
      <c r="Q824" s="1312"/>
      <c r="R824" s="1312"/>
      <c r="S824" s="1306">
        <v>1</v>
      </c>
      <c r="T824" s="1306"/>
      <c r="U824" s="1190">
        <v>2200</v>
      </c>
      <c r="V824" s="1190"/>
      <c r="W824" s="1190"/>
    </row>
    <row r="825" spans="1:23">
      <c r="A825" s="1306"/>
      <c r="B825" s="1312"/>
      <c r="C825" s="1312"/>
      <c r="D825" s="1312"/>
      <c r="E825" s="1312"/>
      <c r="F825" s="1312"/>
      <c r="G825" s="1312"/>
      <c r="H825" s="1312"/>
      <c r="I825" s="1312"/>
      <c r="J825" s="1312"/>
      <c r="K825" s="1312"/>
      <c r="L825" s="1312"/>
      <c r="M825" s="1312"/>
      <c r="N825" s="1312"/>
      <c r="O825" s="1312"/>
      <c r="P825" s="1312"/>
      <c r="Q825" s="1312"/>
      <c r="R825" s="1312"/>
      <c r="S825" s="1306">
        <v>2</v>
      </c>
      <c r="T825" s="1306"/>
      <c r="U825" s="1190">
        <v>1600</v>
      </c>
      <c r="V825" s="1190"/>
      <c r="W825" s="1190"/>
    </row>
    <row r="826" spans="1:23">
      <c r="A826" s="1306"/>
      <c r="B826" s="1312"/>
      <c r="C826" s="1312"/>
      <c r="D826" s="1312"/>
      <c r="E826" s="1312"/>
      <c r="F826" s="1312"/>
      <c r="G826" s="1312"/>
      <c r="H826" s="1312"/>
      <c r="I826" s="1312"/>
      <c r="J826" s="1312"/>
      <c r="K826" s="1312"/>
      <c r="L826" s="1312"/>
      <c r="M826" s="1312"/>
      <c r="N826" s="1312"/>
      <c r="O826" s="1312"/>
      <c r="P826" s="1312"/>
      <c r="Q826" s="1312"/>
      <c r="R826" s="1312"/>
      <c r="S826" s="1306">
        <v>3</v>
      </c>
      <c r="T826" s="1306"/>
      <c r="U826" s="1190">
        <v>1500</v>
      </c>
      <c r="V826" s="1190"/>
      <c r="W826" s="1190"/>
    </row>
    <row r="827" spans="1:23">
      <c r="A827" s="1306"/>
      <c r="B827" s="1312"/>
      <c r="C827" s="1312"/>
      <c r="D827" s="1312"/>
      <c r="E827" s="1312"/>
      <c r="F827" s="1312"/>
      <c r="G827" s="1312"/>
      <c r="H827" s="1312"/>
      <c r="I827" s="1312"/>
      <c r="J827" s="1312"/>
      <c r="K827" s="1312"/>
      <c r="L827" s="1312"/>
      <c r="M827" s="1312"/>
      <c r="N827" s="1312"/>
      <c r="O827" s="1312"/>
      <c r="P827" s="1312"/>
      <c r="Q827" s="1312"/>
      <c r="R827" s="1312"/>
      <c r="S827" s="1306">
        <v>4</v>
      </c>
      <c r="T827" s="1306"/>
      <c r="U827" s="1190">
        <v>1100</v>
      </c>
      <c r="V827" s="1190"/>
      <c r="W827" s="1190"/>
    </row>
    <row r="828" spans="1:23">
      <c r="A828" s="1306"/>
      <c r="B828" s="1312" t="s">
        <v>2674</v>
      </c>
      <c r="C828" s="1312"/>
      <c r="D828" s="1312"/>
      <c r="E828" s="1312"/>
      <c r="F828" s="1312"/>
      <c r="G828" s="1312"/>
      <c r="H828" s="1312"/>
      <c r="I828" s="1312"/>
      <c r="J828" s="1312"/>
      <c r="K828" s="1312"/>
      <c r="L828" s="1312"/>
      <c r="M828" s="1312"/>
      <c r="N828" s="1312"/>
      <c r="O828" s="1312"/>
      <c r="P828" s="1312"/>
      <c r="Q828" s="1312"/>
      <c r="R828" s="1312"/>
      <c r="S828" s="1306">
        <v>1</v>
      </c>
      <c r="T828" s="1306"/>
      <c r="U828" s="1190">
        <v>1500</v>
      </c>
      <c r="V828" s="1190"/>
      <c r="W828" s="1190"/>
    </row>
    <row r="829" spans="1:23">
      <c r="A829" s="1306"/>
      <c r="B829" s="1312"/>
      <c r="C829" s="1312"/>
      <c r="D829" s="1312"/>
      <c r="E829" s="1312"/>
      <c r="F829" s="1312"/>
      <c r="G829" s="1312"/>
      <c r="H829" s="1312"/>
      <c r="I829" s="1312"/>
      <c r="J829" s="1312"/>
      <c r="K829" s="1312"/>
      <c r="L829" s="1312"/>
      <c r="M829" s="1312"/>
      <c r="N829" s="1312"/>
      <c r="O829" s="1312"/>
      <c r="P829" s="1312"/>
      <c r="Q829" s="1312"/>
      <c r="R829" s="1312"/>
      <c r="S829" s="1306">
        <v>2</v>
      </c>
      <c r="T829" s="1306"/>
      <c r="U829" s="1190">
        <v>1100</v>
      </c>
      <c r="V829" s="1190"/>
      <c r="W829" s="1190"/>
    </row>
    <row r="830" spans="1:23">
      <c r="A830" s="1306"/>
      <c r="B830" s="1312"/>
      <c r="C830" s="1312"/>
      <c r="D830" s="1312"/>
      <c r="E830" s="1312"/>
      <c r="F830" s="1312"/>
      <c r="G830" s="1312"/>
      <c r="H830" s="1312"/>
      <c r="I830" s="1312"/>
      <c r="J830" s="1312"/>
      <c r="K830" s="1312"/>
      <c r="L830" s="1312"/>
      <c r="M830" s="1312"/>
      <c r="N830" s="1312"/>
      <c r="O830" s="1312"/>
      <c r="P830" s="1312"/>
      <c r="Q830" s="1312"/>
      <c r="R830" s="1312"/>
      <c r="S830" s="1306">
        <v>3</v>
      </c>
      <c r="T830" s="1306"/>
      <c r="U830" s="1190">
        <v>800</v>
      </c>
      <c r="V830" s="1190"/>
      <c r="W830" s="1190"/>
    </row>
    <row r="831" spans="1:23">
      <c r="A831" s="1306"/>
      <c r="B831" s="1312"/>
      <c r="C831" s="1312"/>
      <c r="D831" s="1312"/>
      <c r="E831" s="1312"/>
      <c r="F831" s="1312"/>
      <c r="G831" s="1312"/>
      <c r="H831" s="1312"/>
      <c r="I831" s="1312"/>
      <c r="J831" s="1312"/>
      <c r="K831" s="1312"/>
      <c r="L831" s="1312"/>
      <c r="M831" s="1312"/>
      <c r="N831" s="1312"/>
      <c r="O831" s="1312"/>
      <c r="P831" s="1312"/>
      <c r="Q831" s="1312"/>
      <c r="R831" s="1312"/>
      <c r="S831" s="1306">
        <v>4</v>
      </c>
      <c r="T831" s="1306"/>
      <c r="U831" s="1190">
        <v>650</v>
      </c>
      <c r="V831" s="1190"/>
      <c r="W831" s="1190"/>
    </row>
    <row r="832" spans="1:23">
      <c r="A832" s="66"/>
      <c r="B832" s="454"/>
      <c r="C832" s="454"/>
      <c r="D832" s="454"/>
      <c r="E832" s="454"/>
      <c r="F832" s="454"/>
      <c r="G832" s="454"/>
      <c r="H832" s="454"/>
      <c r="I832" s="454"/>
      <c r="J832" s="454"/>
      <c r="K832" s="454"/>
      <c r="L832" s="454"/>
      <c r="M832" s="454"/>
      <c r="N832" s="454"/>
      <c r="O832" s="454"/>
      <c r="P832" s="454"/>
      <c r="Q832" s="454"/>
      <c r="R832" s="454"/>
      <c r="S832" s="66"/>
      <c r="T832" s="66"/>
    </row>
    <row r="833" spans="1:23" ht="30" customHeight="1">
      <c r="A833" s="1300" t="s">
        <v>3309</v>
      </c>
      <c r="B833" s="1300"/>
      <c r="C833" s="1300"/>
      <c r="D833" s="1300"/>
      <c r="E833" s="1300"/>
      <c r="F833" s="1300"/>
      <c r="G833" s="1300"/>
      <c r="H833" s="1300"/>
      <c r="I833" s="1300"/>
      <c r="J833" s="1300"/>
      <c r="K833" s="1300"/>
      <c r="L833" s="1300"/>
      <c r="M833" s="1300"/>
      <c r="N833" s="1300"/>
      <c r="O833" s="1300"/>
      <c r="P833" s="1300"/>
      <c r="Q833" s="1300"/>
      <c r="R833" s="1300"/>
      <c r="S833" s="1330" t="s">
        <v>3308</v>
      </c>
      <c r="T833" s="1330"/>
      <c r="U833" s="1335" t="s">
        <v>2951</v>
      </c>
      <c r="V833" s="1335"/>
      <c r="W833" s="1335"/>
    </row>
    <row r="834" spans="1:23" ht="15.75">
      <c r="A834" s="1328" t="s">
        <v>2675</v>
      </c>
      <c r="B834" s="1328"/>
      <c r="C834" s="1328"/>
      <c r="D834" s="1328"/>
      <c r="E834" s="1328"/>
      <c r="F834" s="1328"/>
      <c r="G834" s="1328"/>
      <c r="H834" s="1328"/>
      <c r="I834" s="1328"/>
      <c r="J834" s="1328"/>
      <c r="K834" s="1328"/>
      <c r="L834" s="1328"/>
      <c r="M834" s="1328"/>
      <c r="N834" s="1328"/>
      <c r="O834" s="1328"/>
      <c r="P834" s="1328"/>
      <c r="Q834" s="1328"/>
      <c r="R834" s="1328"/>
      <c r="S834" s="853"/>
      <c r="T834" s="853"/>
      <c r="U834" s="1194"/>
      <c r="V834" s="1194"/>
      <c r="W834" s="1194"/>
    </row>
    <row r="835" spans="1:23">
      <c r="A835" s="1306"/>
      <c r="B835" s="1312" t="s">
        <v>2676</v>
      </c>
      <c r="C835" s="1312"/>
      <c r="D835" s="1312"/>
      <c r="E835" s="1312"/>
      <c r="F835" s="1312"/>
      <c r="G835" s="1312"/>
      <c r="H835" s="1312"/>
      <c r="I835" s="1312"/>
      <c r="J835" s="1312"/>
      <c r="K835" s="1312"/>
      <c r="L835" s="1312"/>
      <c r="M835" s="1312"/>
      <c r="N835" s="1312"/>
      <c r="O835" s="1312"/>
      <c r="P835" s="1312"/>
      <c r="Q835" s="1312"/>
      <c r="R835" s="1312"/>
      <c r="S835" s="1306">
        <v>1</v>
      </c>
      <c r="T835" s="1306"/>
      <c r="U835" s="1190">
        <v>3600</v>
      </c>
      <c r="V835" s="1190"/>
      <c r="W835" s="1190"/>
    </row>
    <row r="836" spans="1:23">
      <c r="A836" s="1306"/>
      <c r="B836" s="1312"/>
      <c r="C836" s="1312"/>
      <c r="D836" s="1312"/>
      <c r="E836" s="1312"/>
      <c r="F836" s="1312"/>
      <c r="G836" s="1312"/>
      <c r="H836" s="1312"/>
      <c r="I836" s="1312"/>
      <c r="J836" s="1312"/>
      <c r="K836" s="1312"/>
      <c r="L836" s="1312"/>
      <c r="M836" s="1312"/>
      <c r="N836" s="1312"/>
      <c r="O836" s="1312"/>
      <c r="P836" s="1312"/>
      <c r="Q836" s="1312"/>
      <c r="R836" s="1312"/>
      <c r="S836" s="1306">
        <v>2</v>
      </c>
      <c r="T836" s="1306"/>
      <c r="U836" s="1190">
        <v>3000</v>
      </c>
      <c r="V836" s="1190"/>
      <c r="W836" s="1190"/>
    </row>
    <row r="837" spans="1:23">
      <c r="A837" s="1306"/>
      <c r="B837" s="1312"/>
      <c r="C837" s="1312"/>
      <c r="D837" s="1312"/>
      <c r="E837" s="1312"/>
      <c r="F837" s="1312"/>
      <c r="G837" s="1312"/>
      <c r="H837" s="1312"/>
      <c r="I837" s="1312"/>
      <c r="J837" s="1312"/>
      <c r="K837" s="1312"/>
      <c r="L837" s="1312"/>
      <c r="M837" s="1312"/>
      <c r="N837" s="1312"/>
      <c r="O837" s="1312"/>
      <c r="P837" s="1312"/>
      <c r="Q837" s="1312"/>
      <c r="R837" s="1312"/>
      <c r="S837" s="1306">
        <v>3</v>
      </c>
      <c r="T837" s="1306"/>
      <c r="U837" s="1190">
        <v>2200</v>
      </c>
      <c r="V837" s="1190"/>
      <c r="W837" s="1190"/>
    </row>
    <row r="838" spans="1:23">
      <c r="A838" s="1306"/>
      <c r="B838" s="1312"/>
      <c r="C838" s="1312"/>
      <c r="D838" s="1312"/>
      <c r="E838" s="1312"/>
      <c r="F838" s="1312"/>
      <c r="G838" s="1312"/>
      <c r="H838" s="1312"/>
      <c r="I838" s="1312"/>
      <c r="J838" s="1312"/>
      <c r="K838" s="1312"/>
      <c r="L838" s="1312"/>
      <c r="M838" s="1312"/>
      <c r="N838" s="1312"/>
      <c r="O838" s="1312"/>
      <c r="P838" s="1312"/>
      <c r="Q838" s="1312"/>
      <c r="R838" s="1312"/>
      <c r="S838" s="1306">
        <v>4</v>
      </c>
      <c r="T838" s="1306"/>
      <c r="U838" s="1190">
        <v>1600</v>
      </c>
      <c r="V838" s="1190"/>
      <c r="W838" s="1190"/>
    </row>
    <row r="839" spans="1:23">
      <c r="A839" s="1306"/>
      <c r="B839" s="1312"/>
      <c r="C839" s="1312"/>
      <c r="D839" s="1312"/>
      <c r="E839" s="1312"/>
      <c r="F839" s="1312"/>
      <c r="G839" s="1312"/>
      <c r="H839" s="1312"/>
      <c r="I839" s="1312"/>
      <c r="J839" s="1312"/>
      <c r="K839" s="1312"/>
      <c r="L839" s="1312"/>
      <c r="M839" s="1312"/>
      <c r="N839" s="1312"/>
      <c r="O839" s="1312"/>
      <c r="P839" s="1312"/>
      <c r="Q839" s="1312"/>
      <c r="R839" s="1312"/>
      <c r="S839" s="1306">
        <v>5</v>
      </c>
      <c r="T839" s="1306"/>
      <c r="U839" s="1190">
        <v>1300</v>
      </c>
      <c r="V839" s="1190"/>
      <c r="W839" s="1190"/>
    </row>
    <row r="840" spans="1:23">
      <c r="A840" s="1306"/>
      <c r="B840" s="1312"/>
      <c r="C840" s="1312"/>
      <c r="D840" s="1312"/>
      <c r="E840" s="1312"/>
      <c r="F840" s="1312"/>
      <c r="G840" s="1312"/>
      <c r="H840" s="1312"/>
      <c r="I840" s="1312"/>
      <c r="J840" s="1312"/>
      <c r="K840" s="1312"/>
      <c r="L840" s="1312"/>
      <c r="M840" s="1312"/>
      <c r="N840" s="1312"/>
      <c r="O840" s="1312"/>
      <c r="P840" s="1312"/>
      <c r="Q840" s="1312"/>
      <c r="R840" s="1312"/>
      <c r="S840" s="1306">
        <v>6</v>
      </c>
      <c r="T840" s="1306"/>
      <c r="U840" s="1190">
        <v>1150</v>
      </c>
      <c r="V840" s="1190"/>
      <c r="W840" s="1190"/>
    </row>
    <row r="841" spans="1:23">
      <c r="A841" s="1306"/>
      <c r="B841" s="1312"/>
      <c r="C841" s="1312"/>
      <c r="D841" s="1312"/>
      <c r="E841" s="1312"/>
      <c r="F841" s="1312"/>
      <c r="G841" s="1312"/>
      <c r="H841" s="1312"/>
      <c r="I841" s="1312"/>
      <c r="J841" s="1312"/>
      <c r="K841" s="1312"/>
      <c r="L841" s="1312"/>
      <c r="M841" s="1312"/>
      <c r="N841" s="1312"/>
      <c r="O841" s="1312"/>
      <c r="P841" s="1312"/>
      <c r="Q841" s="1312"/>
      <c r="R841" s="1312"/>
      <c r="S841" s="1306">
        <v>7</v>
      </c>
      <c r="T841" s="1306"/>
      <c r="U841" s="1190">
        <v>950</v>
      </c>
      <c r="V841" s="1190"/>
      <c r="W841" s="1190"/>
    </row>
    <row r="842" spans="1:23">
      <c r="A842" s="1306"/>
      <c r="B842" s="1312"/>
      <c r="C842" s="1312"/>
      <c r="D842" s="1312"/>
      <c r="E842" s="1312"/>
      <c r="F842" s="1312"/>
      <c r="G842" s="1312"/>
      <c r="H842" s="1312"/>
      <c r="I842" s="1312"/>
      <c r="J842" s="1312"/>
      <c r="K842" s="1312"/>
      <c r="L842" s="1312"/>
      <c r="M842" s="1312"/>
      <c r="N842" s="1312"/>
      <c r="O842" s="1312"/>
      <c r="P842" s="1312"/>
      <c r="Q842" s="1312"/>
      <c r="R842" s="1312"/>
      <c r="S842" s="1306">
        <v>8</v>
      </c>
      <c r="T842" s="1306"/>
      <c r="U842" s="1190">
        <v>850</v>
      </c>
      <c r="V842" s="1190"/>
      <c r="W842" s="1190"/>
    </row>
    <row r="843" spans="1:23">
      <c r="A843" s="1306"/>
      <c r="B843" s="1312" t="s">
        <v>2677</v>
      </c>
      <c r="C843" s="1312"/>
      <c r="D843" s="1312"/>
      <c r="E843" s="1312"/>
      <c r="F843" s="1312"/>
      <c r="G843" s="1312"/>
      <c r="H843" s="1312"/>
      <c r="I843" s="1312"/>
      <c r="J843" s="1312"/>
      <c r="K843" s="1312"/>
      <c r="L843" s="1312"/>
      <c r="M843" s="1312"/>
      <c r="N843" s="1312"/>
      <c r="O843" s="1312"/>
      <c r="P843" s="1312"/>
      <c r="Q843" s="1312"/>
      <c r="R843" s="1312"/>
      <c r="S843" s="1306">
        <v>1</v>
      </c>
      <c r="T843" s="1306"/>
      <c r="U843" s="1190">
        <v>3000</v>
      </c>
      <c r="V843" s="1190"/>
      <c r="W843" s="1190"/>
    </row>
    <row r="844" spans="1:23">
      <c r="A844" s="1306"/>
      <c r="B844" s="1312"/>
      <c r="C844" s="1312"/>
      <c r="D844" s="1312"/>
      <c r="E844" s="1312"/>
      <c r="F844" s="1312"/>
      <c r="G844" s="1312"/>
      <c r="H844" s="1312"/>
      <c r="I844" s="1312"/>
      <c r="J844" s="1312"/>
      <c r="K844" s="1312"/>
      <c r="L844" s="1312"/>
      <c r="M844" s="1312"/>
      <c r="N844" s="1312"/>
      <c r="O844" s="1312"/>
      <c r="P844" s="1312"/>
      <c r="Q844" s="1312"/>
      <c r="R844" s="1312"/>
      <c r="S844" s="1306">
        <v>2</v>
      </c>
      <c r="T844" s="1306"/>
      <c r="U844" s="1190">
        <v>2200</v>
      </c>
      <c r="V844" s="1190"/>
      <c r="W844" s="1190"/>
    </row>
    <row r="845" spans="1:23">
      <c r="A845" s="1306"/>
      <c r="B845" s="1312"/>
      <c r="C845" s="1312"/>
      <c r="D845" s="1312"/>
      <c r="E845" s="1312"/>
      <c r="F845" s="1312"/>
      <c r="G845" s="1312"/>
      <c r="H845" s="1312"/>
      <c r="I845" s="1312"/>
      <c r="J845" s="1312"/>
      <c r="K845" s="1312"/>
      <c r="L845" s="1312"/>
      <c r="M845" s="1312"/>
      <c r="N845" s="1312"/>
      <c r="O845" s="1312"/>
      <c r="P845" s="1312"/>
      <c r="Q845" s="1312"/>
      <c r="R845" s="1312"/>
      <c r="S845" s="1306">
        <v>3</v>
      </c>
      <c r="T845" s="1306"/>
      <c r="U845" s="1190">
        <v>1600</v>
      </c>
      <c r="V845" s="1190"/>
      <c r="W845" s="1190"/>
    </row>
    <row r="846" spans="1:23">
      <c r="A846" s="1306"/>
      <c r="B846" s="1312"/>
      <c r="C846" s="1312"/>
      <c r="D846" s="1312"/>
      <c r="E846" s="1312"/>
      <c r="F846" s="1312"/>
      <c r="G846" s="1312"/>
      <c r="H846" s="1312"/>
      <c r="I846" s="1312"/>
      <c r="J846" s="1312"/>
      <c r="K846" s="1312"/>
      <c r="L846" s="1312"/>
      <c r="M846" s="1312"/>
      <c r="N846" s="1312"/>
      <c r="O846" s="1312"/>
      <c r="P846" s="1312"/>
      <c r="Q846" s="1312"/>
      <c r="R846" s="1312"/>
      <c r="S846" s="1306">
        <v>4</v>
      </c>
      <c r="T846" s="1306"/>
      <c r="U846" s="1190">
        <v>1500</v>
      </c>
      <c r="V846" s="1190"/>
      <c r="W846" s="1190"/>
    </row>
    <row r="847" spans="1:23">
      <c r="A847" s="1306"/>
      <c r="B847" s="1312"/>
      <c r="C847" s="1312"/>
      <c r="D847" s="1312"/>
      <c r="E847" s="1312"/>
      <c r="F847" s="1312"/>
      <c r="G847" s="1312"/>
      <c r="H847" s="1312"/>
      <c r="I847" s="1312"/>
      <c r="J847" s="1312"/>
      <c r="K847" s="1312"/>
      <c r="L847" s="1312"/>
      <c r="M847" s="1312"/>
      <c r="N847" s="1312"/>
      <c r="O847" s="1312"/>
      <c r="P847" s="1312"/>
      <c r="Q847" s="1312"/>
      <c r="R847" s="1312"/>
      <c r="S847" s="1306">
        <v>5</v>
      </c>
      <c r="T847" s="1306"/>
      <c r="U847" s="1190">
        <v>1200</v>
      </c>
      <c r="V847" s="1190"/>
      <c r="W847" s="1190"/>
    </row>
    <row r="848" spans="1:23">
      <c r="A848" s="1306"/>
      <c r="B848" s="1312"/>
      <c r="C848" s="1312"/>
      <c r="D848" s="1312"/>
      <c r="E848" s="1312"/>
      <c r="F848" s="1312"/>
      <c r="G848" s="1312"/>
      <c r="H848" s="1312"/>
      <c r="I848" s="1312"/>
      <c r="J848" s="1312"/>
      <c r="K848" s="1312"/>
      <c r="L848" s="1312"/>
      <c r="M848" s="1312"/>
      <c r="N848" s="1312"/>
      <c r="O848" s="1312"/>
      <c r="P848" s="1312"/>
      <c r="Q848" s="1312"/>
      <c r="R848" s="1312"/>
      <c r="S848" s="1306">
        <v>6</v>
      </c>
      <c r="T848" s="1306"/>
      <c r="U848" s="1190">
        <v>1100</v>
      </c>
      <c r="V848" s="1190"/>
      <c r="W848" s="1190"/>
    </row>
    <row r="849" spans="1:23">
      <c r="A849" s="1306"/>
      <c r="B849" s="1312"/>
      <c r="C849" s="1312"/>
      <c r="D849" s="1312"/>
      <c r="E849" s="1312"/>
      <c r="F849" s="1312"/>
      <c r="G849" s="1312"/>
      <c r="H849" s="1312"/>
      <c r="I849" s="1312"/>
      <c r="J849" s="1312"/>
      <c r="K849" s="1312"/>
      <c r="L849" s="1312"/>
      <c r="M849" s="1312"/>
      <c r="N849" s="1312"/>
      <c r="O849" s="1312"/>
      <c r="P849" s="1312"/>
      <c r="Q849" s="1312"/>
      <c r="R849" s="1312"/>
      <c r="S849" s="1306">
        <v>7</v>
      </c>
      <c r="T849" s="1306"/>
      <c r="U849" s="1190">
        <v>900</v>
      </c>
      <c r="V849" s="1190"/>
      <c r="W849" s="1190"/>
    </row>
    <row r="850" spans="1:23">
      <c r="A850" s="1306"/>
      <c r="B850" s="1312"/>
      <c r="C850" s="1312"/>
      <c r="D850" s="1312"/>
      <c r="E850" s="1312"/>
      <c r="F850" s="1312"/>
      <c r="G850" s="1312"/>
      <c r="H850" s="1312"/>
      <c r="I850" s="1312"/>
      <c r="J850" s="1312"/>
      <c r="K850" s="1312"/>
      <c r="L850" s="1312"/>
      <c r="M850" s="1312"/>
      <c r="N850" s="1312"/>
      <c r="O850" s="1312"/>
      <c r="P850" s="1312"/>
      <c r="Q850" s="1312"/>
      <c r="R850" s="1312"/>
      <c r="S850" s="1306">
        <v>8</v>
      </c>
      <c r="T850" s="1306"/>
      <c r="U850" s="1190">
        <v>800</v>
      </c>
      <c r="V850" s="1190"/>
      <c r="W850" s="1190"/>
    </row>
    <row r="851" spans="1:23">
      <c r="A851" s="1306"/>
      <c r="B851" s="1325" t="s">
        <v>2678</v>
      </c>
      <c r="C851" s="1325"/>
      <c r="D851" s="1325"/>
      <c r="E851" s="1325"/>
      <c r="F851" s="1325"/>
      <c r="G851" s="1325"/>
      <c r="H851" s="1325"/>
      <c r="I851" s="1325"/>
      <c r="J851" s="1325"/>
      <c r="K851" s="1325"/>
      <c r="L851" s="1325"/>
      <c r="M851" s="1325"/>
      <c r="N851" s="1325"/>
      <c r="O851" s="1325"/>
      <c r="P851" s="1325"/>
      <c r="Q851" s="1325"/>
      <c r="R851" s="1325"/>
      <c r="S851" s="1306"/>
      <c r="T851" s="1306"/>
      <c r="U851" s="1306"/>
      <c r="V851" s="1306"/>
      <c r="W851" s="1306"/>
    </row>
    <row r="852" spans="1:23">
      <c r="A852" s="1329"/>
      <c r="B852" s="1326"/>
      <c r="C852" s="1325" t="s">
        <v>906</v>
      </c>
      <c r="D852" s="1325"/>
      <c r="E852" s="1325"/>
      <c r="F852" s="1325"/>
      <c r="G852" s="1325"/>
      <c r="H852" s="1325"/>
      <c r="I852" s="1325"/>
      <c r="J852" s="1325"/>
      <c r="K852" s="1325"/>
      <c r="L852" s="1325"/>
      <c r="M852" s="1325"/>
      <c r="N852" s="1325"/>
      <c r="O852" s="1325"/>
      <c r="P852" s="1325"/>
      <c r="Q852" s="1325"/>
      <c r="R852" s="1325"/>
      <c r="S852" s="1306">
        <v>1</v>
      </c>
      <c r="T852" s="1306"/>
      <c r="U852" s="1190">
        <v>2200</v>
      </c>
      <c r="V852" s="1190"/>
      <c r="W852" s="1190"/>
    </row>
    <row r="853" spans="1:23">
      <c r="A853" s="1329"/>
      <c r="B853" s="1326"/>
      <c r="C853" s="1325"/>
      <c r="D853" s="1325"/>
      <c r="E853" s="1325"/>
      <c r="F853" s="1325"/>
      <c r="G853" s="1325"/>
      <c r="H853" s="1325"/>
      <c r="I853" s="1325"/>
      <c r="J853" s="1325"/>
      <c r="K853" s="1325"/>
      <c r="L853" s="1325"/>
      <c r="M853" s="1325"/>
      <c r="N853" s="1325"/>
      <c r="O853" s="1325"/>
      <c r="P853" s="1325"/>
      <c r="Q853" s="1325"/>
      <c r="R853" s="1325"/>
      <c r="S853" s="1306">
        <v>2</v>
      </c>
      <c r="T853" s="1306"/>
      <c r="U853" s="1190">
        <v>1600</v>
      </c>
      <c r="V853" s="1190"/>
      <c r="W853" s="1190"/>
    </row>
    <row r="854" spans="1:23">
      <c r="A854" s="1329"/>
      <c r="B854" s="1326"/>
      <c r="C854" s="1325"/>
      <c r="D854" s="1325"/>
      <c r="E854" s="1325"/>
      <c r="F854" s="1325"/>
      <c r="G854" s="1325"/>
      <c r="H854" s="1325"/>
      <c r="I854" s="1325"/>
      <c r="J854" s="1325"/>
      <c r="K854" s="1325"/>
      <c r="L854" s="1325"/>
      <c r="M854" s="1325"/>
      <c r="N854" s="1325"/>
      <c r="O854" s="1325"/>
      <c r="P854" s="1325"/>
      <c r="Q854" s="1325"/>
      <c r="R854" s="1325"/>
      <c r="S854" s="1306">
        <v>3</v>
      </c>
      <c r="T854" s="1306"/>
      <c r="U854" s="1190">
        <v>1100</v>
      </c>
      <c r="V854" s="1190"/>
      <c r="W854" s="1190"/>
    </row>
    <row r="855" spans="1:23">
      <c r="A855" s="1329"/>
      <c r="B855" s="1326"/>
      <c r="C855" s="1325"/>
      <c r="D855" s="1325"/>
      <c r="E855" s="1325"/>
      <c r="F855" s="1325"/>
      <c r="G855" s="1325"/>
      <c r="H855" s="1325"/>
      <c r="I855" s="1325"/>
      <c r="J855" s="1325"/>
      <c r="K855" s="1325"/>
      <c r="L855" s="1325"/>
      <c r="M855" s="1325"/>
      <c r="N855" s="1325"/>
      <c r="O855" s="1325"/>
      <c r="P855" s="1325"/>
      <c r="Q855" s="1325"/>
      <c r="R855" s="1325"/>
      <c r="S855" s="1306">
        <v>4</v>
      </c>
      <c r="T855" s="1306"/>
      <c r="U855" s="1190">
        <v>800</v>
      </c>
      <c r="V855" s="1190"/>
      <c r="W855" s="1190"/>
    </row>
    <row r="856" spans="1:23">
      <c r="A856" s="1329"/>
      <c r="B856" s="1326"/>
      <c r="C856" s="1325" t="s">
        <v>908</v>
      </c>
      <c r="D856" s="1325"/>
      <c r="E856" s="1325"/>
      <c r="F856" s="1325"/>
      <c r="G856" s="1325"/>
      <c r="H856" s="1325"/>
      <c r="I856" s="1325"/>
      <c r="J856" s="1325"/>
      <c r="K856" s="1325"/>
      <c r="L856" s="1325"/>
      <c r="M856" s="1325"/>
      <c r="N856" s="1325"/>
      <c r="O856" s="1325"/>
      <c r="P856" s="1325"/>
      <c r="Q856" s="1325"/>
      <c r="R856" s="1325"/>
      <c r="S856" s="1306">
        <v>1</v>
      </c>
      <c r="T856" s="1306"/>
      <c r="U856" s="1190">
        <v>1500</v>
      </c>
      <c r="V856" s="1190"/>
      <c r="W856" s="1190"/>
    </row>
    <row r="857" spans="1:23">
      <c r="A857" s="1329"/>
      <c r="B857" s="1326"/>
      <c r="C857" s="1325"/>
      <c r="D857" s="1325"/>
      <c r="E857" s="1325"/>
      <c r="F857" s="1325"/>
      <c r="G857" s="1325"/>
      <c r="H857" s="1325"/>
      <c r="I857" s="1325"/>
      <c r="J857" s="1325"/>
      <c r="K857" s="1325"/>
      <c r="L857" s="1325"/>
      <c r="M857" s="1325"/>
      <c r="N857" s="1325"/>
      <c r="O857" s="1325"/>
      <c r="P857" s="1325"/>
      <c r="Q857" s="1325"/>
      <c r="R857" s="1325"/>
      <c r="S857" s="1306">
        <v>2</v>
      </c>
      <c r="T857" s="1306"/>
      <c r="U857" s="1190">
        <v>1100</v>
      </c>
      <c r="V857" s="1190"/>
      <c r="W857" s="1190"/>
    </row>
    <row r="858" spans="1:23">
      <c r="A858" s="1329"/>
      <c r="B858" s="1326"/>
      <c r="C858" s="1325"/>
      <c r="D858" s="1325"/>
      <c r="E858" s="1325"/>
      <c r="F858" s="1325"/>
      <c r="G858" s="1325"/>
      <c r="H858" s="1325"/>
      <c r="I858" s="1325"/>
      <c r="J858" s="1325"/>
      <c r="K858" s="1325"/>
      <c r="L858" s="1325"/>
      <c r="M858" s="1325"/>
      <c r="N858" s="1325"/>
      <c r="O858" s="1325"/>
      <c r="P858" s="1325"/>
      <c r="Q858" s="1325"/>
      <c r="R858" s="1325"/>
      <c r="S858" s="1306">
        <v>3</v>
      </c>
      <c r="T858" s="1306"/>
      <c r="U858" s="1190">
        <v>800</v>
      </c>
      <c r="V858" s="1190"/>
      <c r="W858" s="1190"/>
    </row>
    <row r="859" spans="1:23">
      <c r="A859" s="1329"/>
      <c r="B859" s="1326"/>
      <c r="C859" s="1325"/>
      <c r="D859" s="1325"/>
      <c r="E859" s="1325"/>
      <c r="F859" s="1325"/>
      <c r="G859" s="1325"/>
      <c r="H859" s="1325"/>
      <c r="I859" s="1325"/>
      <c r="J859" s="1325"/>
      <c r="K859" s="1325"/>
      <c r="L859" s="1325"/>
      <c r="M859" s="1325"/>
      <c r="N859" s="1325"/>
      <c r="O859" s="1325"/>
      <c r="P859" s="1325"/>
      <c r="Q859" s="1325"/>
      <c r="R859" s="1325"/>
      <c r="S859" s="1306">
        <v>4</v>
      </c>
      <c r="T859" s="1306"/>
      <c r="U859" s="1190">
        <v>650</v>
      </c>
      <c r="V859" s="1190"/>
      <c r="W859" s="1190"/>
    </row>
    <row r="860" spans="1:23">
      <c r="A860" s="66"/>
      <c r="B860" s="522"/>
      <c r="C860" s="523"/>
      <c r="D860" s="523"/>
      <c r="E860" s="523"/>
      <c r="F860" s="523"/>
      <c r="G860" s="523"/>
      <c r="H860" s="523"/>
      <c r="I860" s="523"/>
      <c r="J860" s="523"/>
      <c r="K860" s="523"/>
      <c r="L860" s="523"/>
      <c r="M860" s="523"/>
      <c r="N860" s="523"/>
      <c r="O860" s="523"/>
      <c r="P860" s="523"/>
      <c r="Q860" s="523"/>
      <c r="R860" s="523"/>
      <c r="S860" s="66"/>
      <c r="T860" s="66"/>
    </row>
    <row r="861" spans="1:23" ht="15.75">
      <c r="A861" s="1327" t="s">
        <v>2679</v>
      </c>
      <c r="B861" s="1327"/>
      <c r="C861" s="1327"/>
      <c r="D861" s="1327"/>
      <c r="E861" s="1327"/>
      <c r="F861" s="1327"/>
      <c r="G861" s="1327"/>
      <c r="H861" s="1327"/>
      <c r="I861" s="1327"/>
      <c r="J861" s="1327"/>
      <c r="K861" s="1327"/>
      <c r="L861" s="1327"/>
      <c r="M861" s="1327"/>
      <c r="N861" s="1327"/>
      <c r="O861" s="1327"/>
      <c r="P861" s="1327"/>
      <c r="Q861" s="1327"/>
      <c r="R861" s="1327"/>
      <c r="S861" s="853"/>
      <c r="T861" s="853"/>
      <c r="U861" s="1194"/>
      <c r="V861" s="1194"/>
      <c r="W861" s="1194"/>
    </row>
    <row r="862" spans="1:23" ht="15.75">
      <c r="A862" s="526"/>
      <c r="B862" s="1333" t="s">
        <v>909</v>
      </c>
      <c r="C862" s="1333"/>
      <c r="D862" s="1333"/>
      <c r="E862" s="1333"/>
      <c r="F862" s="1333"/>
      <c r="G862" s="1333"/>
      <c r="H862" s="1333"/>
      <c r="I862" s="1333"/>
      <c r="J862" s="1333"/>
      <c r="K862" s="1333"/>
      <c r="L862" s="1333"/>
      <c r="M862" s="1333"/>
      <c r="N862" s="1333"/>
      <c r="O862" s="1333"/>
      <c r="P862" s="1333"/>
      <c r="Q862" s="1333"/>
      <c r="R862" s="1333"/>
      <c r="S862" s="1306"/>
      <c r="T862" s="1306"/>
      <c r="U862" s="1306"/>
      <c r="V862" s="1306"/>
      <c r="W862" s="1306"/>
    </row>
    <row r="863" spans="1:23">
      <c r="A863" s="1306"/>
      <c r="B863" s="1306"/>
      <c r="C863" s="1325" t="s">
        <v>2680</v>
      </c>
      <c r="D863" s="1325"/>
      <c r="E863" s="1325"/>
      <c r="F863" s="1325"/>
      <c r="G863" s="1325"/>
      <c r="H863" s="1325"/>
      <c r="I863" s="1325"/>
      <c r="J863" s="1325"/>
      <c r="K863" s="1325"/>
      <c r="L863" s="1325"/>
      <c r="M863" s="1325"/>
      <c r="N863" s="1325"/>
      <c r="O863" s="1325"/>
      <c r="P863" s="1325"/>
      <c r="Q863" s="1325"/>
      <c r="R863" s="1325"/>
      <c r="S863" s="1306">
        <v>1</v>
      </c>
      <c r="T863" s="1306"/>
      <c r="U863" s="1190">
        <v>3000</v>
      </c>
      <c r="V863" s="1190"/>
      <c r="W863" s="1190"/>
    </row>
    <row r="864" spans="1:23">
      <c r="A864" s="1306"/>
      <c r="B864" s="1306"/>
      <c r="C864" s="1325"/>
      <c r="D864" s="1325"/>
      <c r="E864" s="1325"/>
      <c r="F864" s="1325"/>
      <c r="G864" s="1325"/>
      <c r="H864" s="1325"/>
      <c r="I864" s="1325"/>
      <c r="J864" s="1325"/>
      <c r="K864" s="1325"/>
      <c r="L864" s="1325"/>
      <c r="M864" s="1325"/>
      <c r="N864" s="1325"/>
      <c r="O864" s="1325"/>
      <c r="P864" s="1325"/>
      <c r="Q864" s="1325"/>
      <c r="R864" s="1325"/>
      <c r="S864" s="1306">
        <v>2</v>
      </c>
      <c r="T864" s="1306"/>
      <c r="U864" s="1190">
        <v>2200</v>
      </c>
      <c r="V864" s="1190"/>
      <c r="W864" s="1190"/>
    </row>
    <row r="865" spans="1:23">
      <c r="A865" s="1306"/>
      <c r="B865" s="1306"/>
      <c r="C865" s="1325"/>
      <c r="D865" s="1325"/>
      <c r="E865" s="1325"/>
      <c r="F865" s="1325"/>
      <c r="G865" s="1325"/>
      <c r="H865" s="1325"/>
      <c r="I865" s="1325"/>
      <c r="J865" s="1325"/>
      <c r="K865" s="1325"/>
      <c r="L865" s="1325"/>
      <c r="M865" s="1325"/>
      <c r="N865" s="1325"/>
      <c r="O865" s="1325"/>
      <c r="P865" s="1325"/>
      <c r="Q865" s="1325"/>
      <c r="R865" s="1325"/>
      <c r="S865" s="1306">
        <v>3</v>
      </c>
      <c r="T865" s="1306"/>
      <c r="U865" s="1190">
        <v>1600</v>
      </c>
      <c r="V865" s="1190"/>
      <c r="W865" s="1190"/>
    </row>
    <row r="866" spans="1:23">
      <c r="A866" s="1306"/>
      <c r="B866" s="1306"/>
      <c r="C866" s="1325"/>
      <c r="D866" s="1325"/>
      <c r="E866" s="1325"/>
      <c r="F866" s="1325"/>
      <c r="G866" s="1325"/>
      <c r="H866" s="1325"/>
      <c r="I866" s="1325"/>
      <c r="J866" s="1325"/>
      <c r="K866" s="1325"/>
      <c r="L866" s="1325"/>
      <c r="M866" s="1325"/>
      <c r="N866" s="1325"/>
      <c r="O866" s="1325"/>
      <c r="P866" s="1325"/>
      <c r="Q866" s="1325"/>
      <c r="R866" s="1325"/>
      <c r="S866" s="1306">
        <v>4</v>
      </c>
      <c r="T866" s="1306"/>
      <c r="U866" s="1190">
        <v>1100</v>
      </c>
      <c r="V866" s="1190"/>
      <c r="W866" s="1190"/>
    </row>
    <row r="867" spans="1:23">
      <c r="A867" s="1306"/>
      <c r="B867" s="1306"/>
      <c r="C867" s="1325"/>
      <c r="D867" s="1325"/>
      <c r="E867" s="1325"/>
      <c r="F867" s="1325"/>
      <c r="G867" s="1325"/>
      <c r="H867" s="1325"/>
      <c r="I867" s="1325"/>
      <c r="J867" s="1325"/>
      <c r="K867" s="1325"/>
      <c r="L867" s="1325"/>
      <c r="M867" s="1325"/>
      <c r="N867" s="1325"/>
      <c r="O867" s="1325"/>
      <c r="P867" s="1325"/>
      <c r="Q867" s="1325"/>
      <c r="R867" s="1325"/>
      <c r="S867" s="1306">
        <v>5</v>
      </c>
      <c r="T867" s="1306"/>
      <c r="U867" s="1190">
        <v>900</v>
      </c>
      <c r="V867" s="1190"/>
      <c r="W867" s="1190"/>
    </row>
    <row r="868" spans="1:23">
      <c r="A868" s="1306"/>
      <c r="B868" s="1306"/>
      <c r="C868" s="1325"/>
      <c r="D868" s="1325"/>
      <c r="E868" s="1325"/>
      <c r="F868" s="1325"/>
      <c r="G868" s="1325"/>
      <c r="H868" s="1325"/>
      <c r="I868" s="1325"/>
      <c r="J868" s="1325"/>
      <c r="K868" s="1325"/>
      <c r="L868" s="1325"/>
      <c r="M868" s="1325"/>
      <c r="N868" s="1325"/>
      <c r="O868" s="1325"/>
      <c r="P868" s="1325"/>
      <c r="Q868" s="1325"/>
      <c r="R868" s="1325"/>
      <c r="S868" s="1306">
        <v>6</v>
      </c>
      <c r="T868" s="1306"/>
      <c r="U868" s="1190">
        <v>800</v>
      </c>
      <c r="V868" s="1190"/>
      <c r="W868" s="1190"/>
    </row>
    <row r="869" spans="1:23">
      <c r="A869" s="1306"/>
      <c r="B869" s="1306"/>
      <c r="C869" s="1325"/>
      <c r="D869" s="1325"/>
      <c r="E869" s="1325"/>
      <c r="F869" s="1325"/>
      <c r="G869" s="1325"/>
      <c r="H869" s="1325"/>
      <c r="I869" s="1325"/>
      <c r="J869" s="1325"/>
      <c r="K869" s="1325"/>
      <c r="L869" s="1325"/>
      <c r="M869" s="1325"/>
      <c r="N869" s="1325"/>
      <c r="O869" s="1325"/>
      <c r="P869" s="1325"/>
      <c r="Q869" s="1325"/>
      <c r="R869" s="1325"/>
      <c r="S869" s="1306">
        <v>7</v>
      </c>
      <c r="T869" s="1306"/>
      <c r="U869" s="1190">
        <v>500</v>
      </c>
      <c r="V869" s="1190"/>
      <c r="W869" s="1190"/>
    </row>
    <row r="870" spans="1:23">
      <c r="A870" s="1306"/>
      <c r="B870" s="1306"/>
      <c r="C870" s="1325"/>
      <c r="D870" s="1325"/>
      <c r="E870" s="1325"/>
      <c r="F870" s="1325"/>
      <c r="G870" s="1325"/>
      <c r="H870" s="1325"/>
      <c r="I870" s="1325"/>
      <c r="J870" s="1325"/>
      <c r="K870" s="1325"/>
      <c r="L870" s="1325"/>
      <c r="M870" s="1325"/>
      <c r="N870" s="1325"/>
      <c r="O870" s="1325"/>
      <c r="P870" s="1325"/>
      <c r="Q870" s="1325"/>
      <c r="R870" s="1325"/>
      <c r="S870" s="1306">
        <v>8</v>
      </c>
      <c r="T870" s="1306"/>
      <c r="U870" s="1190">
        <v>450</v>
      </c>
      <c r="V870" s="1190"/>
      <c r="W870" s="1190"/>
    </row>
    <row r="871" spans="1:23">
      <c r="A871" s="66"/>
      <c r="B871" s="66"/>
      <c r="C871" s="523"/>
      <c r="D871" s="523"/>
      <c r="E871" s="523"/>
      <c r="F871" s="523"/>
      <c r="G871" s="523"/>
      <c r="H871" s="523"/>
      <c r="I871" s="523"/>
      <c r="J871" s="523"/>
      <c r="K871" s="523"/>
      <c r="L871" s="523"/>
      <c r="M871" s="523"/>
      <c r="N871" s="523"/>
      <c r="O871" s="523"/>
      <c r="P871" s="523"/>
      <c r="Q871" s="523"/>
      <c r="R871" s="523"/>
      <c r="S871" s="66"/>
      <c r="T871" s="66"/>
    </row>
    <row r="872" spans="1:23">
      <c r="A872" s="66"/>
      <c r="B872" s="66"/>
      <c r="C872" s="523"/>
      <c r="D872" s="523"/>
      <c r="E872" s="523"/>
      <c r="F872" s="523"/>
      <c r="G872" s="523"/>
      <c r="H872" s="523"/>
      <c r="I872" s="523"/>
      <c r="J872" s="523"/>
      <c r="K872" s="523"/>
      <c r="L872" s="523"/>
      <c r="M872" s="523"/>
      <c r="N872" s="523"/>
      <c r="O872" s="523"/>
      <c r="P872" s="523"/>
      <c r="Q872" s="523"/>
      <c r="R872" s="523"/>
      <c r="S872" s="66"/>
      <c r="T872" s="66"/>
    </row>
    <row r="873" spans="1:23">
      <c r="A873" s="66"/>
      <c r="B873" s="66"/>
      <c r="C873" s="523"/>
      <c r="D873" s="523"/>
      <c r="E873" s="523"/>
      <c r="F873" s="523"/>
      <c r="G873" s="523"/>
      <c r="H873" s="523"/>
      <c r="I873" s="523"/>
      <c r="J873" s="523"/>
      <c r="K873" s="523"/>
      <c r="L873" s="523"/>
      <c r="M873" s="523"/>
      <c r="N873" s="523"/>
      <c r="O873" s="523"/>
      <c r="P873" s="523"/>
      <c r="Q873" s="523"/>
      <c r="R873" s="523"/>
      <c r="S873" s="66"/>
      <c r="T873" s="66"/>
    </row>
    <row r="874" spans="1:23">
      <c r="A874" s="66"/>
      <c r="B874" s="66"/>
      <c r="C874" s="523"/>
      <c r="D874" s="523"/>
      <c r="E874" s="523"/>
      <c r="F874" s="523"/>
      <c r="G874" s="523"/>
      <c r="H874" s="523"/>
      <c r="I874" s="523"/>
      <c r="J874" s="523"/>
      <c r="K874" s="523"/>
      <c r="L874" s="523"/>
      <c r="M874" s="523"/>
      <c r="N874" s="523"/>
      <c r="O874" s="523"/>
      <c r="P874" s="523"/>
      <c r="Q874" s="523"/>
      <c r="R874" s="523"/>
      <c r="S874" s="66"/>
      <c r="T874" s="66"/>
    </row>
    <row r="875" spans="1:23">
      <c r="A875" s="66"/>
      <c r="B875" s="66"/>
      <c r="C875" s="523"/>
      <c r="D875" s="523"/>
      <c r="E875" s="523"/>
      <c r="F875" s="523"/>
      <c r="G875" s="523"/>
      <c r="H875" s="523"/>
      <c r="I875" s="523"/>
      <c r="J875" s="523"/>
      <c r="K875" s="523"/>
      <c r="L875" s="523"/>
      <c r="M875" s="523"/>
      <c r="N875" s="523"/>
      <c r="O875" s="523"/>
      <c r="P875" s="523"/>
      <c r="Q875" s="523"/>
      <c r="R875" s="523"/>
      <c r="S875" s="66"/>
      <c r="T875" s="66"/>
    </row>
    <row r="876" spans="1:23">
      <c r="A876" s="66"/>
      <c r="B876" s="66"/>
      <c r="C876" s="523"/>
      <c r="D876" s="523"/>
      <c r="E876" s="523"/>
      <c r="F876" s="523"/>
      <c r="G876" s="523"/>
      <c r="H876" s="523"/>
      <c r="I876" s="523"/>
      <c r="J876" s="523"/>
      <c r="K876" s="523"/>
      <c r="L876" s="523"/>
      <c r="M876" s="523"/>
      <c r="N876" s="523"/>
      <c r="O876" s="523"/>
      <c r="P876" s="523"/>
      <c r="Q876" s="523"/>
      <c r="R876" s="523"/>
      <c r="S876" s="66"/>
      <c r="T876" s="66"/>
    </row>
    <row r="877" spans="1:23">
      <c r="A877" s="66"/>
      <c r="B877" s="66"/>
      <c r="C877" s="523"/>
      <c r="D877" s="523"/>
      <c r="E877" s="523"/>
      <c r="F877" s="523"/>
      <c r="G877" s="523"/>
      <c r="H877" s="523"/>
      <c r="I877" s="523"/>
      <c r="J877" s="523"/>
      <c r="K877" s="523"/>
      <c r="L877" s="523"/>
      <c r="M877" s="523"/>
      <c r="N877" s="523"/>
      <c r="O877" s="523"/>
      <c r="P877" s="523"/>
      <c r="Q877" s="523"/>
      <c r="R877" s="523"/>
      <c r="S877" s="66"/>
      <c r="T877" s="66"/>
    </row>
    <row r="878" spans="1:23">
      <c r="A878" s="66"/>
      <c r="B878" s="66"/>
      <c r="C878" s="523"/>
      <c r="D878" s="523"/>
      <c r="E878" s="523"/>
      <c r="F878" s="523"/>
      <c r="G878" s="523"/>
      <c r="H878" s="523"/>
      <c r="I878" s="523"/>
      <c r="J878" s="523"/>
      <c r="K878" s="523"/>
      <c r="L878" s="523"/>
      <c r="M878" s="523"/>
      <c r="N878" s="523"/>
      <c r="O878" s="523"/>
      <c r="P878" s="523"/>
      <c r="Q878" s="523"/>
      <c r="R878" s="523"/>
      <c r="S878" s="66"/>
      <c r="T878" s="66"/>
    </row>
    <row r="879" spans="1:23">
      <c r="A879" s="66"/>
      <c r="B879" s="66"/>
      <c r="C879" s="523"/>
      <c r="D879" s="523"/>
      <c r="E879" s="523"/>
      <c r="F879" s="523"/>
      <c r="G879" s="523"/>
      <c r="H879" s="523"/>
      <c r="I879" s="523"/>
      <c r="J879" s="523"/>
      <c r="K879" s="523"/>
      <c r="L879" s="523"/>
      <c r="M879" s="523"/>
      <c r="N879" s="523"/>
      <c r="O879" s="523"/>
      <c r="P879" s="523"/>
      <c r="Q879" s="523"/>
      <c r="R879" s="523"/>
      <c r="S879" s="66"/>
      <c r="T879" s="66"/>
    </row>
    <row r="880" spans="1:23">
      <c r="A880" s="66"/>
      <c r="B880" s="66"/>
      <c r="C880" s="523"/>
      <c r="D880" s="523"/>
      <c r="E880" s="523"/>
      <c r="F880" s="523"/>
      <c r="G880" s="523"/>
      <c r="H880" s="523"/>
      <c r="I880" s="523"/>
      <c r="J880" s="523"/>
      <c r="K880" s="523"/>
      <c r="L880" s="523"/>
      <c r="M880" s="523"/>
      <c r="N880" s="523"/>
      <c r="O880" s="523"/>
      <c r="P880" s="523"/>
      <c r="Q880" s="523"/>
      <c r="R880" s="523"/>
      <c r="S880" s="66"/>
      <c r="T880" s="66"/>
    </row>
    <row r="881" spans="1:24">
      <c r="A881" s="66"/>
      <c r="B881" s="66"/>
      <c r="C881" s="523"/>
      <c r="D881" s="523"/>
      <c r="E881" s="523"/>
      <c r="F881" s="523"/>
      <c r="G881" s="523"/>
      <c r="H881" s="523"/>
      <c r="I881" s="523"/>
      <c r="J881" s="523"/>
      <c r="K881" s="523"/>
      <c r="L881" s="523"/>
      <c r="M881" s="523"/>
      <c r="N881" s="523"/>
      <c r="O881" s="523"/>
      <c r="P881" s="523"/>
      <c r="Q881" s="523"/>
      <c r="R881" s="523"/>
      <c r="S881" s="66"/>
      <c r="T881" s="66"/>
    </row>
    <row r="882" spans="1:24" ht="18.75" customHeight="1">
      <c r="A882" s="66"/>
      <c r="B882" s="66"/>
      <c r="C882" s="523"/>
      <c r="D882" s="523"/>
      <c r="E882" s="523"/>
      <c r="F882" s="523"/>
      <c r="G882" s="523"/>
      <c r="H882" s="523"/>
      <c r="I882" s="523"/>
      <c r="J882" s="523"/>
      <c r="K882" s="523"/>
      <c r="L882" s="523"/>
      <c r="M882" s="523"/>
      <c r="N882" s="523"/>
      <c r="O882" s="523"/>
      <c r="P882" s="523"/>
      <c r="Q882" s="523"/>
      <c r="R882" s="523"/>
      <c r="S882" s="66"/>
      <c r="T882" s="66"/>
    </row>
    <row r="883" spans="1:24" ht="18.75" customHeight="1">
      <c r="A883" s="66"/>
      <c r="B883" s="66"/>
      <c r="C883" s="523"/>
      <c r="D883" s="523"/>
      <c r="E883" s="523"/>
      <c r="F883" s="523"/>
      <c r="G883" s="523"/>
      <c r="H883" s="523"/>
      <c r="I883" s="523"/>
      <c r="J883" s="523"/>
      <c r="K883" s="523"/>
      <c r="L883" s="523"/>
      <c r="M883" s="523"/>
      <c r="N883" s="523"/>
      <c r="O883" s="523"/>
      <c r="P883" s="523"/>
      <c r="Q883" s="523"/>
      <c r="R883" s="523"/>
      <c r="S883" s="66"/>
      <c r="T883" s="66"/>
    </row>
    <row r="884" spans="1:24" ht="18.75" customHeight="1">
      <c r="A884" s="66"/>
      <c r="B884" s="66"/>
      <c r="C884" s="523"/>
      <c r="D884" s="523"/>
      <c r="E884" s="523"/>
      <c r="F884" s="523"/>
      <c r="G884" s="523"/>
      <c r="H884" s="523"/>
      <c r="I884" s="523"/>
      <c r="J884" s="523"/>
      <c r="K884" s="523"/>
      <c r="L884" s="523"/>
      <c r="M884" s="523"/>
      <c r="N884" s="523"/>
      <c r="O884" s="523"/>
      <c r="P884" s="523"/>
      <c r="Q884" s="523"/>
      <c r="R884" s="523"/>
      <c r="S884" s="66"/>
      <c r="T884" s="66"/>
    </row>
    <row r="885" spans="1:24" ht="18.75" customHeight="1">
      <c r="A885" s="66"/>
      <c r="B885" s="66"/>
      <c r="C885" s="523"/>
      <c r="D885" s="523"/>
      <c r="E885" s="523"/>
      <c r="F885" s="523"/>
      <c r="G885" s="523"/>
      <c r="H885" s="523"/>
      <c r="I885" s="523"/>
      <c r="J885" s="523"/>
      <c r="K885" s="523"/>
      <c r="L885" s="523"/>
      <c r="M885" s="523"/>
      <c r="N885" s="523"/>
      <c r="O885" s="523"/>
      <c r="P885" s="523"/>
      <c r="Q885" s="523"/>
      <c r="R885" s="523"/>
      <c r="S885" s="66"/>
      <c r="T885" s="66"/>
    </row>
    <row r="886" spans="1:24" ht="18.75" customHeight="1">
      <c r="A886" s="66"/>
      <c r="B886" s="66"/>
      <c r="C886" s="523"/>
      <c r="D886" s="523"/>
      <c r="E886" s="523"/>
      <c r="F886" s="523"/>
      <c r="G886" s="523"/>
      <c r="H886" s="523"/>
      <c r="I886" s="523"/>
      <c r="J886" s="523"/>
      <c r="K886" s="523"/>
      <c r="L886" s="523"/>
      <c r="M886" s="523"/>
      <c r="N886" s="523"/>
      <c r="O886" s="523"/>
      <c r="P886" s="523"/>
      <c r="Q886" s="523"/>
      <c r="R886" s="523"/>
      <c r="S886" s="66"/>
      <c r="T886" s="66"/>
    </row>
    <row r="887" spans="1:24" ht="15.75">
      <c r="A887" s="1319" t="s">
        <v>2681</v>
      </c>
      <c r="B887" s="1319"/>
      <c r="C887" s="1319"/>
      <c r="D887" s="1319"/>
      <c r="E887" s="1319"/>
      <c r="F887" s="1319"/>
      <c r="G887" s="1319"/>
      <c r="H887" s="1319"/>
      <c r="I887" s="1319"/>
      <c r="J887" s="1319"/>
      <c r="K887" s="1319"/>
      <c r="L887" s="1319"/>
      <c r="M887" s="1319"/>
      <c r="N887" s="1319"/>
      <c r="O887" s="1319"/>
      <c r="P887" s="1319"/>
      <c r="Q887" s="1319"/>
      <c r="R887" s="1319"/>
      <c r="S887" s="1319"/>
      <c r="T887" s="1319"/>
      <c r="U887" s="1319"/>
      <c r="V887" s="1319"/>
      <c r="W887" s="1319"/>
      <c r="X887" s="452"/>
    </row>
    <row r="888" spans="1:24" ht="15.75">
      <c r="A888" s="1319" t="s">
        <v>2662</v>
      </c>
      <c r="B888" s="1319"/>
      <c r="C888" s="1319"/>
      <c r="D888" s="1319"/>
      <c r="E888" s="1319"/>
      <c r="F888" s="1319"/>
      <c r="G888" s="1319"/>
      <c r="H888" s="1319"/>
      <c r="I888" s="1319"/>
      <c r="J888" s="1319"/>
      <c r="K888" s="1319"/>
      <c r="L888" s="1319"/>
      <c r="M888" s="1319"/>
      <c r="N888" s="1319"/>
      <c r="O888" s="1319"/>
      <c r="P888" s="1319"/>
      <c r="Q888" s="1319"/>
      <c r="R888" s="1319"/>
      <c r="S888" s="1319"/>
      <c r="T888" s="1319"/>
      <c r="U888" s="1319"/>
      <c r="V888" s="1319"/>
      <c r="W888" s="1319"/>
      <c r="X888" s="452"/>
    </row>
    <row r="889" spans="1:24" ht="15.75">
      <c r="A889" s="1319" t="s">
        <v>2663</v>
      </c>
      <c r="B889" s="1319"/>
      <c r="C889" s="1319"/>
      <c r="D889" s="1319"/>
      <c r="E889" s="1319"/>
      <c r="F889" s="1319"/>
      <c r="G889" s="1319"/>
      <c r="H889" s="1319"/>
      <c r="I889" s="1319"/>
      <c r="J889" s="1319"/>
      <c r="K889" s="1319"/>
      <c r="L889" s="1319"/>
      <c r="M889" s="1319"/>
      <c r="N889" s="1319"/>
      <c r="O889" s="1319"/>
      <c r="P889" s="1319"/>
      <c r="Q889" s="1319"/>
      <c r="R889" s="1319"/>
      <c r="S889" s="1319"/>
      <c r="T889" s="1319"/>
      <c r="U889" s="1319"/>
      <c r="V889" s="1319"/>
      <c r="W889" s="1319"/>
      <c r="X889" s="452"/>
    </row>
    <row r="890" spans="1:24" ht="15.75">
      <c r="A890" s="1319" t="s">
        <v>2682</v>
      </c>
      <c r="B890" s="1319"/>
      <c r="C890" s="1319"/>
      <c r="D890" s="1319"/>
      <c r="E890" s="1319"/>
      <c r="F890" s="1319"/>
      <c r="G890" s="1319"/>
      <c r="H890" s="1319"/>
      <c r="I890" s="1319"/>
      <c r="J890" s="1319"/>
      <c r="K890" s="1319"/>
      <c r="L890" s="1319"/>
      <c r="M890" s="1319"/>
      <c r="N890" s="1319"/>
      <c r="O890" s="1319"/>
      <c r="P890" s="1319"/>
      <c r="Q890" s="1319"/>
      <c r="R890" s="1319"/>
      <c r="S890" s="1319"/>
      <c r="T890" s="1319"/>
      <c r="U890" s="1319"/>
      <c r="V890" s="1319"/>
      <c r="W890" s="1319"/>
      <c r="X890" s="452"/>
    </row>
    <row r="891" spans="1:24" ht="40.5">
      <c r="A891" s="518" t="s">
        <v>2634</v>
      </c>
      <c r="B891" s="1322" t="s">
        <v>3313</v>
      </c>
      <c r="C891" s="1323"/>
      <c r="D891" s="1323"/>
      <c r="E891" s="1323"/>
      <c r="F891" s="1323"/>
      <c r="G891" s="1323"/>
      <c r="H891" s="1323"/>
      <c r="I891" s="1323"/>
      <c r="J891" s="1323"/>
      <c r="K891" s="1323"/>
      <c r="L891" s="1323"/>
      <c r="M891" s="1323"/>
      <c r="N891" s="1323"/>
      <c r="O891" s="1323"/>
      <c r="P891" s="1323"/>
      <c r="Q891" s="1323"/>
      <c r="R891" s="1323"/>
      <c r="S891" s="1323"/>
      <c r="T891" s="1324"/>
      <c r="U891" s="1321" t="s">
        <v>3312</v>
      </c>
      <c r="V891" s="1321"/>
      <c r="W891" s="1321"/>
      <c r="X891" s="452"/>
    </row>
    <row r="893" spans="1:24" s="523" customFormat="1" ht="14.25" customHeight="1">
      <c r="A893" s="525">
        <v>1</v>
      </c>
      <c r="B893" s="1316" t="s">
        <v>2683</v>
      </c>
      <c r="C893" s="1317"/>
      <c r="D893" s="1317"/>
      <c r="E893" s="1317"/>
      <c r="F893" s="1317"/>
      <c r="G893" s="1317"/>
      <c r="H893" s="1317"/>
      <c r="I893" s="1317"/>
      <c r="J893" s="1317"/>
      <c r="K893" s="1317"/>
      <c r="L893" s="1317"/>
      <c r="M893" s="1317"/>
      <c r="N893" s="1317"/>
      <c r="O893" s="1317"/>
      <c r="P893" s="1317"/>
      <c r="Q893" s="1317"/>
      <c r="R893" s="1317"/>
      <c r="S893" s="1317"/>
      <c r="T893" s="1318"/>
      <c r="U893" s="1320">
        <v>13000</v>
      </c>
      <c r="V893" s="1320"/>
      <c r="W893" s="1320"/>
    </row>
    <row r="894" spans="1:24" s="523" customFormat="1" ht="15" customHeight="1">
      <c r="A894" s="525">
        <v>2</v>
      </c>
      <c r="B894" s="1316" t="s">
        <v>2684</v>
      </c>
      <c r="C894" s="1317"/>
      <c r="D894" s="1317"/>
      <c r="E894" s="1317"/>
      <c r="F894" s="1317"/>
      <c r="G894" s="1317"/>
      <c r="H894" s="1317"/>
      <c r="I894" s="1317"/>
      <c r="J894" s="1317"/>
      <c r="K894" s="1317"/>
      <c r="L894" s="1317"/>
      <c r="M894" s="1317"/>
      <c r="N894" s="1317"/>
      <c r="O894" s="1317"/>
      <c r="P894" s="1317"/>
      <c r="Q894" s="1317"/>
      <c r="R894" s="1317"/>
      <c r="S894" s="1317"/>
      <c r="T894" s="1318"/>
      <c r="U894" s="1320">
        <v>10000</v>
      </c>
      <c r="V894" s="1320"/>
      <c r="W894" s="1320"/>
    </row>
    <row r="895" spans="1:24" s="523" customFormat="1" ht="15" customHeight="1">
      <c r="A895" s="525">
        <v>3</v>
      </c>
      <c r="B895" s="1316" t="s">
        <v>2685</v>
      </c>
      <c r="C895" s="1317"/>
      <c r="D895" s="1317"/>
      <c r="E895" s="1317"/>
      <c r="F895" s="1317"/>
      <c r="G895" s="1317"/>
      <c r="H895" s="1317"/>
      <c r="I895" s="1317"/>
      <c r="J895" s="1317"/>
      <c r="K895" s="1317"/>
      <c r="L895" s="1317"/>
      <c r="M895" s="1317"/>
      <c r="N895" s="1317"/>
      <c r="O895" s="1317"/>
      <c r="P895" s="1317"/>
      <c r="Q895" s="1317"/>
      <c r="R895" s="1317"/>
      <c r="S895" s="1317"/>
      <c r="T895" s="1318"/>
      <c r="U895" s="1320">
        <v>7000</v>
      </c>
      <c r="V895" s="1320"/>
      <c r="W895" s="1320"/>
    </row>
    <row r="896" spans="1:24" s="523" customFormat="1" ht="15" customHeight="1">
      <c r="A896" s="525">
        <v>4</v>
      </c>
      <c r="B896" s="1316" t="s">
        <v>2686</v>
      </c>
      <c r="C896" s="1317"/>
      <c r="D896" s="1317"/>
      <c r="E896" s="1317"/>
      <c r="F896" s="1317"/>
      <c r="G896" s="1317"/>
      <c r="H896" s="1317"/>
      <c r="I896" s="1317"/>
      <c r="J896" s="1317"/>
      <c r="K896" s="1317"/>
      <c r="L896" s="1317"/>
      <c r="M896" s="1317"/>
      <c r="N896" s="1317"/>
      <c r="O896" s="1317"/>
      <c r="P896" s="1317"/>
      <c r="Q896" s="1317"/>
      <c r="R896" s="1317"/>
      <c r="S896" s="1317"/>
      <c r="T896" s="1318"/>
      <c r="U896" s="1320">
        <v>4500</v>
      </c>
      <c r="V896" s="1320"/>
      <c r="W896" s="1320"/>
    </row>
    <row r="897" spans="1:24" s="523" customFormat="1" ht="27" customHeight="1">
      <c r="A897" s="525">
        <v>5</v>
      </c>
      <c r="B897" s="1316" t="s">
        <v>2687</v>
      </c>
      <c r="C897" s="1317"/>
      <c r="D897" s="1317"/>
      <c r="E897" s="1317"/>
      <c r="F897" s="1317"/>
      <c r="G897" s="1317"/>
      <c r="H897" s="1317"/>
      <c r="I897" s="1317"/>
      <c r="J897" s="1317"/>
      <c r="K897" s="1317"/>
      <c r="L897" s="1317"/>
      <c r="M897" s="1317"/>
      <c r="N897" s="1317"/>
      <c r="O897" s="1317"/>
      <c r="P897" s="1317"/>
      <c r="Q897" s="1317"/>
      <c r="R897" s="1317"/>
      <c r="S897" s="1317"/>
      <c r="T897" s="1318"/>
      <c r="U897" s="1320">
        <v>3000</v>
      </c>
      <c r="V897" s="1320"/>
      <c r="W897" s="1320"/>
    </row>
    <row r="898" spans="1:24" s="523" customFormat="1" ht="42.75" customHeight="1">
      <c r="A898" s="525">
        <v>6</v>
      </c>
      <c r="B898" s="1316" t="s">
        <v>2688</v>
      </c>
      <c r="C898" s="1317"/>
      <c r="D898" s="1317"/>
      <c r="E898" s="1317"/>
      <c r="F898" s="1317"/>
      <c r="G898" s="1317"/>
      <c r="H898" s="1317"/>
      <c r="I898" s="1317"/>
      <c r="J898" s="1317"/>
      <c r="K898" s="1317"/>
      <c r="L898" s="1317"/>
      <c r="M898" s="1317"/>
      <c r="N898" s="1317"/>
      <c r="O898" s="1317"/>
      <c r="P898" s="1317"/>
      <c r="Q898" s="1317"/>
      <c r="R898" s="1317"/>
      <c r="S898" s="1317"/>
      <c r="T898" s="1318"/>
      <c r="U898" s="1320">
        <v>2000</v>
      </c>
      <c r="V898" s="1320"/>
      <c r="W898" s="1320"/>
    </row>
    <row r="900" spans="1:24" ht="15.75">
      <c r="A900" s="1305" t="s">
        <v>2689</v>
      </c>
      <c r="B900" s="1305"/>
      <c r="C900" s="1305"/>
      <c r="D900" s="1305"/>
      <c r="E900" s="1305"/>
      <c r="F900" s="1305"/>
      <c r="G900" s="1305"/>
      <c r="H900" s="1305"/>
      <c r="I900" s="1305"/>
      <c r="J900" s="1305"/>
      <c r="K900" s="1305"/>
      <c r="L900" s="1305"/>
      <c r="M900" s="1305"/>
      <c r="N900" s="1305"/>
      <c r="O900" s="1305"/>
      <c r="P900" s="1305"/>
      <c r="Q900" s="1305"/>
      <c r="R900" s="1305"/>
      <c r="S900" s="1305"/>
      <c r="T900" s="1305"/>
      <c r="U900" s="1305"/>
      <c r="V900" s="1305"/>
      <c r="W900" s="1305"/>
      <c r="X900" s="528"/>
    </row>
    <row r="901" spans="1:24" ht="15.75">
      <c r="A901" s="1305" t="s">
        <v>2809</v>
      </c>
      <c r="B901" s="1305"/>
      <c r="C901" s="1305"/>
      <c r="D901" s="1305"/>
      <c r="E901" s="1305"/>
      <c r="F901" s="1305"/>
      <c r="G901" s="1305"/>
      <c r="H901" s="1305"/>
      <c r="I901" s="1305"/>
      <c r="J901" s="1305"/>
      <c r="K901" s="1305"/>
      <c r="L901" s="1305"/>
      <c r="M901" s="1305"/>
      <c r="N901" s="1305"/>
      <c r="O901" s="1305"/>
      <c r="P901" s="1305"/>
      <c r="Q901" s="1305"/>
      <c r="R901" s="1305"/>
      <c r="S901" s="1305"/>
      <c r="T901" s="1305"/>
      <c r="U901" s="1305"/>
      <c r="V901" s="1305"/>
      <c r="W901" s="1305"/>
      <c r="X901" s="528"/>
    </row>
    <row r="902" spans="1:24">
      <c r="A902" s="853" t="s">
        <v>2690</v>
      </c>
      <c r="B902" s="853"/>
      <c r="C902" s="853"/>
      <c r="D902" s="853"/>
      <c r="E902" s="853"/>
      <c r="F902" s="853"/>
      <c r="G902" s="853"/>
      <c r="H902" s="853"/>
      <c r="I902" s="853"/>
      <c r="J902" s="853"/>
      <c r="K902" s="853"/>
      <c r="L902" s="853"/>
      <c r="M902" s="853"/>
      <c r="N902" s="853"/>
      <c r="O902" s="853"/>
      <c r="P902" s="853"/>
      <c r="Q902" s="853"/>
      <c r="R902" s="853"/>
      <c r="S902" s="853"/>
      <c r="T902" s="853"/>
      <c r="U902" s="853"/>
      <c r="V902" s="853"/>
      <c r="W902" s="853"/>
      <c r="X902" s="452"/>
    </row>
    <row r="903" spans="1:24">
      <c r="A903" s="853" t="s">
        <v>2691</v>
      </c>
      <c r="B903" s="853"/>
      <c r="C903" s="853"/>
      <c r="D903" s="853"/>
      <c r="E903" s="853"/>
      <c r="F903" s="853"/>
      <c r="G903" s="853"/>
      <c r="H903" s="853"/>
      <c r="I903" s="853"/>
      <c r="J903" s="853"/>
      <c r="K903" s="853"/>
      <c r="L903" s="853"/>
      <c r="M903" s="853"/>
      <c r="N903" s="853"/>
      <c r="O903" s="853"/>
      <c r="P903" s="853"/>
      <c r="Q903" s="853"/>
      <c r="R903" s="853"/>
      <c r="S903" s="853"/>
      <c r="T903" s="853"/>
      <c r="U903" s="853"/>
      <c r="V903" s="853"/>
      <c r="W903" s="853"/>
      <c r="X903" s="452"/>
    </row>
    <row r="904" spans="1:24">
      <c r="A904" t="s">
        <v>2692</v>
      </c>
    </row>
    <row r="905" spans="1:24">
      <c r="A905" s="1306"/>
      <c r="B905" s="1308" t="s">
        <v>2693</v>
      </c>
      <c r="C905" s="1308"/>
      <c r="D905" s="1308"/>
      <c r="E905" s="1308"/>
      <c r="F905" s="1308"/>
      <c r="G905" s="1308"/>
      <c r="H905" s="1308"/>
      <c r="I905" s="1308"/>
      <c r="J905" s="1308"/>
      <c r="K905" s="1308"/>
      <c r="L905" s="1308"/>
      <c r="M905" s="1308"/>
      <c r="N905" s="1308"/>
      <c r="O905" s="1308"/>
      <c r="P905" s="1308"/>
      <c r="Q905" s="1308"/>
      <c r="R905" s="1308"/>
      <c r="S905" s="1308"/>
      <c r="T905" s="1308"/>
      <c r="U905" s="1308"/>
      <c r="V905" s="1308"/>
      <c r="W905" s="1308"/>
      <c r="X905" s="452"/>
    </row>
    <row r="906" spans="1:24">
      <c r="A906" s="1306"/>
      <c r="B906" s="1308" t="s">
        <v>2694</v>
      </c>
      <c r="C906" s="1308"/>
      <c r="D906" s="1308"/>
      <c r="E906" s="1308"/>
      <c r="F906" s="1308"/>
      <c r="G906" s="1308"/>
      <c r="H906" s="1308"/>
      <c r="I906" s="1308"/>
      <c r="J906" s="1308"/>
      <c r="K906" s="1308"/>
      <c r="L906" s="1308"/>
      <c r="M906" s="1308"/>
      <c r="N906" s="1308"/>
      <c r="O906" s="1308"/>
      <c r="P906" s="1308"/>
      <c r="Q906" s="1308"/>
      <c r="R906" s="1308"/>
      <c r="S906" s="1308"/>
      <c r="T906" s="1308"/>
      <c r="U906" s="1308"/>
      <c r="V906" s="1308"/>
      <c r="W906" s="1308"/>
      <c r="X906" s="452"/>
    </row>
    <row r="907" spans="1:24">
      <c r="A907" s="1306"/>
      <c r="B907" s="1308" t="s">
        <v>2695</v>
      </c>
      <c r="C907" s="1308"/>
      <c r="D907" s="1308"/>
      <c r="E907" s="1308"/>
      <c r="F907" s="1308"/>
      <c r="G907" s="1308"/>
      <c r="H907" s="1308"/>
      <c r="I907" s="1308"/>
      <c r="J907" s="1308"/>
      <c r="K907" s="1308"/>
      <c r="L907" s="1308"/>
      <c r="M907" s="1308"/>
      <c r="N907" s="1308"/>
      <c r="O907" s="1308"/>
      <c r="P907" s="1308"/>
      <c r="Q907" s="1308"/>
      <c r="R907" s="1308"/>
      <c r="S907" s="1308"/>
      <c r="T907" s="1308"/>
      <c r="U907" s="1308"/>
      <c r="V907" s="1308"/>
      <c r="W907" s="1308"/>
      <c r="X907" s="452"/>
    </row>
    <row r="908" spans="1:24">
      <c r="A908" s="1306"/>
      <c r="B908" s="1308" t="s">
        <v>2696</v>
      </c>
      <c r="C908" s="1308"/>
      <c r="D908" s="1308"/>
      <c r="E908" s="1308"/>
      <c r="F908" s="1308"/>
      <c r="G908" s="1308"/>
      <c r="H908" s="1308"/>
      <c r="I908" s="1308"/>
      <c r="J908" s="1308"/>
      <c r="K908" s="1308"/>
      <c r="L908" s="1308"/>
      <c r="M908" s="1308"/>
      <c r="N908" s="1308"/>
      <c r="O908" s="1308"/>
      <c r="P908" s="1308"/>
      <c r="Q908" s="1308"/>
      <c r="R908" s="1308"/>
      <c r="S908" s="1308"/>
      <c r="T908" s="1308"/>
      <c r="U908" s="1308"/>
      <c r="V908" s="1308"/>
      <c r="W908" s="1308"/>
      <c r="X908" s="452"/>
    </row>
    <row r="909" spans="1:24">
      <c r="A909" s="1306"/>
      <c r="B909" s="1307" t="s">
        <v>3314</v>
      </c>
      <c r="C909" s="1307"/>
      <c r="D909" s="1307"/>
      <c r="E909" s="1307"/>
      <c r="F909" s="1307"/>
      <c r="G909" s="1307"/>
      <c r="H909" s="1307"/>
      <c r="I909" s="1307"/>
      <c r="J909" s="1307"/>
      <c r="K909" s="1307"/>
      <c r="L909" s="1307"/>
      <c r="M909" s="1307"/>
      <c r="N909" s="1307"/>
      <c r="O909" s="1307"/>
      <c r="P909" s="1307"/>
      <c r="Q909" s="1307"/>
      <c r="R909" s="1307"/>
      <c r="S909" s="1307"/>
      <c r="T909" s="1307"/>
      <c r="U909" s="1307"/>
      <c r="V909" s="1307"/>
      <c r="W909" s="1307"/>
      <c r="X909" s="452"/>
    </row>
    <row r="910" spans="1:24">
      <c r="A910" s="1306"/>
      <c r="B910" s="1381"/>
      <c r="C910" s="1307" t="s">
        <v>3315</v>
      </c>
      <c r="D910" s="1308"/>
      <c r="E910" s="1308"/>
      <c r="F910" s="1308"/>
      <c r="G910" s="1308"/>
      <c r="H910" s="1308"/>
      <c r="I910" s="1308"/>
      <c r="J910" s="1308"/>
      <c r="K910" s="1308"/>
      <c r="L910" s="1308"/>
      <c r="M910" s="1308"/>
      <c r="N910" s="1308"/>
      <c r="O910" s="1308"/>
      <c r="P910" s="1308"/>
      <c r="Q910" s="1308"/>
      <c r="R910" s="1308"/>
      <c r="S910" s="1308"/>
      <c r="T910" s="1308"/>
      <c r="U910" s="1308"/>
      <c r="V910" s="1308"/>
      <c r="W910" s="1308"/>
      <c r="X910" s="452"/>
    </row>
    <row r="911" spans="1:24" ht="27" customHeight="1">
      <c r="A911" s="1306"/>
      <c r="B911" s="1382"/>
      <c r="C911" s="1309" t="s">
        <v>3316</v>
      </c>
      <c r="D911" s="1310"/>
      <c r="E911" s="1310"/>
      <c r="F911" s="1310"/>
      <c r="G911" s="1310"/>
      <c r="H911" s="1310"/>
      <c r="I911" s="1310"/>
      <c r="J911" s="1310"/>
      <c r="K911" s="1310"/>
      <c r="L911" s="1310"/>
      <c r="M911" s="1310"/>
      <c r="N911" s="1310"/>
      <c r="O911" s="1310"/>
      <c r="P911" s="1310"/>
      <c r="Q911" s="1310"/>
      <c r="R911" s="1310"/>
      <c r="S911" s="1310"/>
      <c r="T911" s="1310"/>
      <c r="U911" s="1310"/>
      <c r="V911" s="1310"/>
      <c r="W911" s="1310"/>
      <c r="X911" s="452"/>
    </row>
    <row r="912" spans="1:24" ht="80.25" customHeight="1">
      <c r="A912" s="1306"/>
      <c r="B912" s="1382"/>
      <c r="C912" s="1313"/>
      <c r="D912" s="1311" t="s">
        <v>3317</v>
      </c>
      <c r="E912" s="1312"/>
      <c r="F912" s="1312"/>
      <c r="G912" s="1312"/>
      <c r="H912" s="1312"/>
      <c r="I912" s="1312"/>
      <c r="J912" s="1312"/>
      <c r="K912" s="1312"/>
      <c r="L912" s="1312"/>
      <c r="M912" s="1312"/>
      <c r="N912" s="1312"/>
      <c r="O912" s="1312"/>
      <c r="P912" s="1312"/>
      <c r="Q912" s="1312"/>
      <c r="R912" s="1312"/>
      <c r="S912" s="1312"/>
      <c r="T912" s="1312"/>
      <c r="U912" s="1312"/>
      <c r="V912" s="1312"/>
      <c r="W912" s="1312"/>
      <c r="X912" s="452"/>
    </row>
    <row r="913" spans="1:25" ht="92.25" customHeight="1">
      <c r="A913" s="1306"/>
      <c r="B913" s="1382"/>
      <c r="C913" s="1314"/>
      <c r="D913" s="1311" t="s">
        <v>3318</v>
      </c>
      <c r="E913" s="1311"/>
      <c r="F913" s="1311"/>
      <c r="G913" s="1311"/>
      <c r="H913" s="1311"/>
      <c r="I913" s="1311"/>
      <c r="J913" s="1311"/>
      <c r="K913" s="1311"/>
      <c r="L913" s="1311"/>
      <c r="M913" s="1311"/>
      <c r="N913" s="1311"/>
      <c r="O913" s="1311"/>
      <c r="P913" s="1311"/>
      <c r="Q913" s="1311"/>
      <c r="R913" s="1311"/>
      <c r="S913" s="1311"/>
      <c r="T913" s="1311"/>
      <c r="U913" s="1311"/>
      <c r="V913" s="1311"/>
      <c r="W913" s="1311"/>
      <c r="X913" s="452"/>
    </row>
    <row r="914" spans="1:25" ht="41.25" customHeight="1">
      <c r="A914" s="1306"/>
      <c r="B914" s="1382"/>
      <c r="C914" s="1314"/>
      <c r="D914" s="1312" t="s">
        <v>3319</v>
      </c>
      <c r="E914" s="1312"/>
      <c r="F914" s="1312"/>
      <c r="G914" s="1312"/>
      <c r="H914" s="1312"/>
      <c r="I914" s="1312"/>
      <c r="J914" s="1312"/>
      <c r="K914" s="1312"/>
      <c r="L914" s="1312"/>
      <c r="M914" s="1312"/>
      <c r="N914" s="1312"/>
      <c r="O914" s="1312"/>
      <c r="P914" s="1312"/>
      <c r="Q914" s="1312"/>
      <c r="R914" s="1312"/>
      <c r="S914" s="1312"/>
      <c r="T914" s="1312"/>
      <c r="U914" s="1312"/>
      <c r="V914" s="1312"/>
      <c r="W914" s="1312"/>
      <c r="X914" s="452"/>
    </row>
    <row r="915" spans="1:25">
      <c r="A915" s="1306"/>
      <c r="B915" s="1382"/>
      <c r="C915" s="1315"/>
      <c r="D915" s="1308" t="s">
        <v>2697</v>
      </c>
      <c r="E915" s="1308"/>
      <c r="F915" s="1308"/>
      <c r="G915" s="1308"/>
      <c r="H915" s="1308"/>
      <c r="I915" s="1308"/>
      <c r="J915" s="1308"/>
      <c r="K915" s="1308"/>
      <c r="L915" s="1308"/>
      <c r="M915" s="1308"/>
      <c r="N915" s="1308"/>
      <c r="O915" s="1308"/>
      <c r="P915" s="1308"/>
      <c r="Q915" s="1308"/>
      <c r="R915" s="1308"/>
      <c r="S915" s="1308"/>
      <c r="T915" s="1308"/>
      <c r="U915" s="1308"/>
      <c r="V915" s="1308"/>
      <c r="W915" s="1308"/>
      <c r="X915" s="452"/>
    </row>
    <row r="916" spans="1:25">
      <c r="A916" s="1306"/>
      <c r="B916" s="1383"/>
      <c r="C916" s="1308" t="s">
        <v>2698</v>
      </c>
      <c r="D916" s="1308"/>
      <c r="E916" s="1308"/>
      <c r="F916" s="1308"/>
      <c r="G916" s="1308"/>
      <c r="H916" s="1308"/>
      <c r="I916" s="1308"/>
      <c r="J916" s="1308"/>
      <c r="K916" s="1308"/>
      <c r="L916" s="1308"/>
      <c r="M916" s="1308"/>
      <c r="N916" s="1308"/>
      <c r="O916" s="1308"/>
      <c r="P916" s="1308"/>
      <c r="Q916" s="1308"/>
      <c r="R916" s="1308"/>
      <c r="S916" s="1308"/>
      <c r="T916" s="1308"/>
      <c r="U916" s="1308"/>
      <c r="V916" s="1308"/>
      <c r="W916" s="1308"/>
      <c r="X916" s="452"/>
    </row>
    <row r="917" spans="1:25">
      <c r="A917" s="1306"/>
      <c r="B917" s="1307" t="s">
        <v>3320</v>
      </c>
      <c r="C917" s="1307"/>
      <c r="D917" s="1307"/>
      <c r="E917" s="1307"/>
      <c r="F917" s="1307"/>
      <c r="G917" s="1307"/>
      <c r="H917" s="1307"/>
      <c r="I917" s="1307"/>
      <c r="J917" s="1307"/>
      <c r="K917" s="1307"/>
      <c r="L917" s="1307"/>
      <c r="M917" s="1307"/>
      <c r="N917" s="1307"/>
      <c r="O917" s="1307"/>
      <c r="P917" s="1307"/>
      <c r="Q917" s="1307"/>
      <c r="R917" s="1307"/>
      <c r="S917" s="1307"/>
      <c r="T917" s="1307"/>
      <c r="U917" s="1307"/>
      <c r="V917" s="1307"/>
      <c r="W917" s="1307"/>
      <c r="X917" s="452"/>
    </row>
    <row r="918" spans="1:25">
      <c r="A918" s="1306"/>
      <c r="B918" s="1384" t="s">
        <v>2699</v>
      </c>
      <c r="C918" s="1385"/>
      <c r="D918" s="1385"/>
      <c r="E918" s="1385"/>
      <c r="F918" s="1385"/>
      <c r="G918" s="1385"/>
      <c r="H918" s="1385"/>
      <c r="I918" s="1385"/>
      <c r="J918" s="1385"/>
      <c r="K918" s="1385"/>
      <c r="L918" s="1385"/>
      <c r="M918" s="1385"/>
      <c r="N918" s="1385"/>
      <c r="O918" s="1385"/>
      <c r="P918" s="1385"/>
      <c r="Q918" s="1385"/>
      <c r="R918" s="1385"/>
      <c r="S918" s="1385"/>
      <c r="T918" s="1385"/>
      <c r="U918" s="1385"/>
      <c r="V918" s="1385"/>
      <c r="W918" s="1386"/>
      <c r="X918" s="452"/>
      <c r="Y918" s="452"/>
    </row>
    <row r="919" spans="1:25" ht="31.5" customHeight="1">
      <c r="A919" s="1306"/>
      <c r="B919" s="1401" t="s">
        <v>3323</v>
      </c>
      <c r="C919" s="1402"/>
      <c r="D919" s="1402"/>
      <c r="E919" s="1402"/>
      <c r="F919" s="1402"/>
      <c r="G919" s="1402"/>
      <c r="H919" s="1402"/>
      <c r="I919" s="1402"/>
      <c r="J919" s="1402"/>
      <c r="K919" s="1402"/>
      <c r="L919" s="1402"/>
      <c r="M919" s="1402"/>
      <c r="N919" s="1402"/>
      <c r="O919" s="1402"/>
      <c r="P919" s="1402"/>
      <c r="Q919" s="1402"/>
      <c r="R919" s="1402"/>
      <c r="S919" s="1402"/>
      <c r="T919" s="1402"/>
      <c r="U919" s="1402"/>
      <c r="V919" s="1402"/>
      <c r="W919" s="1403"/>
      <c r="X919" s="452"/>
    </row>
    <row r="920" spans="1:25">
      <c r="A920" s="1306"/>
      <c r="B920" s="1387" t="s">
        <v>3324</v>
      </c>
      <c r="C920" s="1388"/>
      <c r="D920" s="1388"/>
      <c r="E920" s="1388"/>
      <c r="F920" s="1388"/>
      <c r="G920" s="1388"/>
      <c r="H920" s="1388"/>
      <c r="I920" s="1388"/>
      <c r="J920" s="1388"/>
      <c r="K920" s="1388"/>
      <c r="L920" s="1388"/>
      <c r="M920" s="1388"/>
      <c r="N920" s="1388"/>
      <c r="O920" s="1388"/>
      <c r="P920" s="1388"/>
      <c r="Q920" s="1388"/>
      <c r="R920" s="1388"/>
      <c r="S920" s="1388"/>
      <c r="T920" s="1388"/>
      <c r="U920" s="1388"/>
      <c r="V920" s="1388"/>
      <c r="W920" s="1389"/>
    </row>
    <row r="921" spans="1:25">
      <c r="A921" s="1306"/>
      <c r="B921" s="1390" t="s">
        <v>3325</v>
      </c>
      <c r="C921" s="1385"/>
      <c r="D921" s="1385"/>
      <c r="E921" s="1385"/>
      <c r="F921" s="1385"/>
      <c r="G921" s="1385"/>
      <c r="H921" s="1385"/>
      <c r="I921" s="1385"/>
      <c r="J921" s="1385"/>
      <c r="K921" s="1385"/>
      <c r="L921" s="1385"/>
      <c r="M921" s="1385"/>
      <c r="N921" s="1385"/>
      <c r="O921" s="1385"/>
      <c r="P921" s="1385"/>
      <c r="Q921" s="1385"/>
      <c r="R921" s="1385"/>
      <c r="S921" s="1385"/>
      <c r="T921" s="1385"/>
      <c r="U921" s="1385"/>
      <c r="V921" s="1385"/>
      <c r="W921" s="1386"/>
      <c r="X921" s="452"/>
    </row>
    <row r="922" spans="1:25">
      <c r="A922" s="1371"/>
      <c r="B922" s="1371"/>
      <c r="C922" s="1371"/>
      <c r="D922" s="1371"/>
      <c r="E922" s="1371"/>
      <c r="F922" s="1371"/>
      <c r="G922" s="1371"/>
      <c r="H922" s="1371"/>
      <c r="I922" s="1371"/>
      <c r="J922" s="1371"/>
      <c r="K922" s="1371"/>
      <c r="L922" s="1371"/>
      <c r="M922" s="1371"/>
      <c r="N922" s="1371"/>
      <c r="O922" s="1371"/>
      <c r="P922" s="1371"/>
      <c r="Q922" s="1371"/>
      <c r="R922" s="1371"/>
      <c r="S922" s="1371"/>
      <c r="T922" s="1371"/>
      <c r="U922" s="1371"/>
      <c r="V922" s="1371"/>
      <c r="W922" s="1371"/>
      <c r="X922" s="1371"/>
    </row>
    <row r="923" spans="1:25">
      <c r="A923" s="1398" t="s">
        <v>2689</v>
      </c>
      <c r="B923" s="1398"/>
      <c r="C923" s="1398"/>
      <c r="D923" s="1398"/>
      <c r="E923" s="1398"/>
      <c r="F923" s="1398"/>
      <c r="G923" s="1398"/>
      <c r="H923" s="1398"/>
      <c r="I923" s="1398"/>
      <c r="J923" s="1398"/>
      <c r="K923" s="1398"/>
      <c r="L923" s="1398"/>
      <c r="M923" s="1398"/>
      <c r="N923" s="1398"/>
      <c r="O923" s="1398"/>
      <c r="P923" s="1398"/>
      <c r="Q923" s="1398"/>
      <c r="R923" s="1398"/>
      <c r="S923" s="1398"/>
      <c r="T923" s="1398"/>
      <c r="U923" s="1398"/>
      <c r="V923" s="1398"/>
      <c r="W923" s="1398"/>
      <c r="X923" s="452"/>
    </row>
    <row r="924" spans="1:25">
      <c r="A924" s="1398" t="s">
        <v>2809</v>
      </c>
      <c r="B924" s="1398"/>
      <c r="C924" s="1398"/>
      <c r="D924" s="1398"/>
      <c r="E924" s="1398"/>
      <c r="F924" s="1398"/>
      <c r="G924" s="1398"/>
      <c r="H924" s="1398"/>
      <c r="I924" s="1398"/>
      <c r="J924" s="1398"/>
      <c r="K924" s="1398"/>
      <c r="L924" s="1398"/>
      <c r="M924" s="1398"/>
      <c r="N924" s="1398"/>
      <c r="O924" s="1398"/>
      <c r="P924" s="1398"/>
      <c r="Q924" s="1398"/>
      <c r="R924" s="1398"/>
      <c r="S924" s="1398"/>
      <c r="T924" s="1398"/>
      <c r="U924" s="1398"/>
      <c r="V924" s="1398"/>
      <c r="W924" s="1398"/>
      <c r="X924" s="452"/>
    </row>
    <row r="925" spans="1:25">
      <c r="A925" s="1397" t="s">
        <v>2690</v>
      </c>
      <c r="B925" s="1397"/>
      <c r="C925" s="1397"/>
      <c r="D925" s="1397"/>
      <c r="E925" s="1397"/>
      <c r="F925" s="1397"/>
      <c r="G925" s="1397"/>
      <c r="H925" s="1397"/>
      <c r="I925" s="1397"/>
      <c r="J925" s="1397"/>
      <c r="K925" s="1397"/>
      <c r="L925" s="1397"/>
      <c r="M925" s="1397"/>
      <c r="N925" s="1397"/>
      <c r="O925" s="1397"/>
      <c r="P925" s="1397"/>
      <c r="Q925" s="1397"/>
      <c r="R925" s="1397"/>
      <c r="S925" s="1397"/>
      <c r="T925" s="1397"/>
      <c r="U925" s="1397"/>
      <c r="V925" s="1397"/>
      <c r="W925" s="1397"/>
      <c r="X925" s="452"/>
    </row>
    <row r="926" spans="1:25">
      <c r="A926" s="1397" t="s">
        <v>2691</v>
      </c>
      <c r="B926" s="1397"/>
      <c r="C926" s="1397"/>
      <c r="D926" s="1397"/>
      <c r="E926" s="1397"/>
      <c r="F926" s="1397"/>
      <c r="G926" s="1397"/>
      <c r="H926" s="1397"/>
      <c r="I926" s="1397"/>
      <c r="J926" s="1397"/>
      <c r="K926" s="1397"/>
      <c r="L926" s="1397"/>
      <c r="M926" s="1397"/>
      <c r="N926" s="1397"/>
      <c r="O926" s="1397"/>
      <c r="P926" s="1397"/>
      <c r="Q926" s="1397"/>
      <c r="R926" s="1397"/>
      <c r="S926" s="1397"/>
      <c r="T926" s="1397"/>
      <c r="U926" s="1397"/>
      <c r="V926" s="1397"/>
      <c r="W926" s="1397"/>
      <c r="X926" s="452"/>
    </row>
    <row r="927" spans="1:25">
      <c r="A927" s="1393"/>
      <c r="B927" s="1304" t="s">
        <v>2700</v>
      </c>
      <c r="C927" s="1304"/>
      <c r="D927" s="1304"/>
      <c r="E927" s="1304"/>
      <c r="F927" s="1304"/>
      <c r="G927" s="1304"/>
      <c r="H927" s="1304"/>
      <c r="I927" s="1304"/>
      <c r="J927" s="1304"/>
      <c r="K927" s="1304"/>
      <c r="L927" s="1304"/>
      <c r="M927" s="1304"/>
      <c r="N927" s="1304"/>
      <c r="O927" s="1304"/>
      <c r="P927" s="1304"/>
      <c r="Q927" s="1304"/>
      <c r="R927" s="1304"/>
      <c r="S927" s="1304"/>
      <c r="T927" s="1304"/>
      <c r="U927" s="1304"/>
      <c r="V927" s="1304"/>
      <c r="W927" s="1304"/>
      <c r="X927" s="452"/>
    </row>
    <row r="928" spans="1:25">
      <c r="A928" s="1393"/>
      <c r="B928" s="1304" t="s">
        <v>2701</v>
      </c>
      <c r="C928" s="1304"/>
      <c r="D928" s="1304"/>
      <c r="E928" s="1304"/>
      <c r="F928" s="1304"/>
      <c r="G928" s="1304"/>
      <c r="H928" s="1304"/>
      <c r="I928" s="1304"/>
      <c r="J928" s="1304"/>
      <c r="K928" s="1304"/>
      <c r="L928" s="1304"/>
      <c r="M928" s="1304"/>
      <c r="N928" s="1304"/>
      <c r="O928" s="1304"/>
      <c r="P928" s="1304"/>
      <c r="Q928" s="1304"/>
      <c r="R928" s="1304"/>
      <c r="S928" s="1304"/>
      <c r="T928" s="1304"/>
      <c r="U928" s="1304"/>
      <c r="V928" s="1304"/>
      <c r="W928" s="1304"/>
      <c r="X928" s="452"/>
    </row>
    <row r="929" spans="1:24">
      <c r="A929" s="1393"/>
      <c r="B929" s="1304" t="s">
        <v>2702</v>
      </c>
      <c r="C929" s="1304"/>
      <c r="D929" s="1304"/>
      <c r="E929" s="1304"/>
      <c r="F929" s="1304"/>
      <c r="G929" s="1304"/>
      <c r="H929" s="1304"/>
      <c r="I929" s="1304"/>
      <c r="J929" s="1304"/>
      <c r="K929" s="1304"/>
      <c r="L929" s="1304"/>
      <c r="M929" s="1304"/>
      <c r="N929" s="1304"/>
      <c r="O929" s="1304"/>
      <c r="P929" s="1304"/>
      <c r="Q929" s="1304"/>
      <c r="R929" s="1304"/>
      <c r="S929" s="1304"/>
      <c r="T929" s="1304"/>
      <c r="U929" s="1304"/>
      <c r="V929" s="1304"/>
      <c r="W929" s="1304"/>
      <c r="X929" s="452"/>
    </row>
    <row r="930" spans="1:24">
      <c r="A930" s="1393"/>
      <c r="B930" s="1391"/>
      <c r="C930" s="1391"/>
      <c r="D930" s="1304" t="s">
        <v>2703</v>
      </c>
      <c r="E930" s="1304"/>
      <c r="F930" s="1304"/>
      <c r="G930" s="1304"/>
      <c r="H930" s="1304"/>
      <c r="I930" s="1304"/>
      <c r="J930" s="1304"/>
      <c r="K930" s="1304"/>
      <c r="L930" s="1304"/>
      <c r="M930" s="1304"/>
      <c r="N930" s="1304"/>
      <c r="O930" s="1304"/>
      <c r="P930" s="1304"/>
      <c r="Q930" s="1304"/>
      <c r="R930" s="1304"/>
      <c r="S930" s="1304"/>
      <c r="T930" s="1304"/>
      <c r="U930" s="1304"/>
      <c r="V930" s="1304"/>
      <c r="W930" s="1304"/>
      <c r="X930" s="452"/>
    </row>
    <row r="931" spans="1:24">
      <c r="A931" s="1393"/>
      <c r="B931" s="1391"/>
      <c r="C931" s="1391"/>
      <c r="D931" s="1304" t="s">
        <v>2704</v>
      </c>
      <c r="E931" s="1304"/>
      <c r="F931" s="1304"/>
      <c r="G931" s="1304"/>
      <c r="H931" s="1304"/>
      <c r="I931" s="1304"/>
      <c r="J931" s="1304"/>
      <c r="K931" s="1304"/>
      <c r="L931" s="1304"/>
      <c r="M931" s="1304"/>
      <c r="N931" s="1304"/>
      <c r="O931" s="1304"/>
      <c r="P931" s="1304"/>
      <c r="Q931" s="1304"/>
      <c r="R931" s="1304"/>
      <c r="S931" s="1304"/>
      <c r="T931" s="1304"/>
      <c r="U931" s="1304"/>
      <c r="V931" s="1304"/>
      <c r="W931" s="1304"/>
      <c r="X931" s="452"/>
    </row>
    <row r="932" spans="1:24">
      <c r="A932" s="1393"/>
      <c r="B932" s="1391"/>
      <c r="C932" s="1391"/>
      <c r="D932" s="1304" t="s">
        <v>3322</v>
      </c>
      <c r="E932" s="1304"/>
      <c r="F932" s="1304"/>
      <c r="G932" s="1304"/>
      <c r="H932" s="1304"/>
      <c r="I932" s="1304"/>
      <c r="J932" s="1304"/>
      <c r="K932" s="1304"/>
      <c r="L932" s="1304"/>
      <c r="M932" s="1304"/>
      <c r="N932" s="1304"/>
      <c r="O932" s="1304"/>
      <c r="P932" s="1304"/>
      <c r="Q932" s="1304"/>
      <c r="R932" s="1304"/>
      <c r="S932" s="1304"/>
      <c r="T932" s="1304"/>
      <c r="U932" s="1304"/>
      <c r="V932" s="1304"/>
      <c r="W932" s="1304"/>
      <c r="X932" s="452"/>
    </row>
    <row r="933" spans="1:24">
      <c r="A933" s="1393"/>
      <c r="B933" s="1304" t="s">
        <v>3321</v>
      </c>
      <c r="C933" s="1304"/>
      <c r="D933" s="1304"/>
      <c r="E933" s="1304"/>
      <c r="F933" s="1304"/>
      <c r="G933" s="1304"/>
      <c r="H933" s="1304"/>
      <c r="I933" s="1304"/>
      <c r="J933" s="1304"/>
      <c r="K933" s="1304"/>
      <c r="L933" s="1304"/>
      <c r="M933" s="1304"/>
      <c r="N933" s="1304"/>
      <c r="O933" s="1304"/>
      <c r="P933" s="1304"/>
      <c r="Q933" s="1304"/>
      <c r="R933" s="1304"/>
      <c r="S933" s="1304"/>
      <c r="T933" s="1304"/>
      <c r="U933" s="1304"/>
      <c r="V933" s="1304"/>
      <c r="W933" s="1304"/>
      <c r="X933" s="452"/>
    </row>
    <row r="934" spans="1:24">
      <c r="A934" s="1393"/>
      <c r="B934" s="1304" t="s">
        <v>2705</v>
      </c>
      <c r="C934" s="1304"/>
      <c r="D934" s="1304"/>
      <c r="E934" s="1304"/>
      <c r="F934" s="1304"/>
      <c r="G934" s="1304"/>
      <c r="H934" s="1304"/>
      <c r="I934" s="1304"/>
      <c r="J934" s="1304"/>
      <c r="K934" s="1304"/>
      <c r="L934" s="1304"/>
      <c r="M934" s="1304"/>
      <c r="N934" s="1304"/>
      <c r="O934" s="1304"/>
      <c r="P934" s="1304"/>
      <c r="Q934" s="1304"/>
      <c r="R934" s="1304"/>
      <c r="S934" s="1304"/>
      <c r="T934" s="1304"/>
      <c r="U934" s="1304"/>
      <c r="V934" s="1304"/>
      <c r="W934" s="1304"/>
      <c r="X934" s="452"/>
    </row>
    <row r="935" spans="1:24">
      <c r="A935" s="1393"/>
      <c r="B935" s="1392" t="s">
        <v>2202</v>
      </c>
      <c r="C935" s="1392"/>
      <c r="D935" s="1304" t="s">
        <v>2706</v>
      </c>
      <c r="E935" s="1304"/>
      <c r="F935" s="1304"/>
      <c r="G935" s="1304"/>
      <c r="H935" s="1304"/>
      <c r="I935" s="1304"/>
      <c r="J935" s="1304"/>
      <c r="K935" s="1304"/>
      <c r="L935" s="1304"/>
      <c r="M935" s="1304"/>
      <c r="N935" s="1304"/>
      <c r="O935" s="1304"/>
      <c r="P935" s="1304"/>
      <c r="Q935" s="1304"/>
      <c r="R935" s="1304"/>
      <c r="S935" s="1304"/>
      <c r="T935" s="1304"/>
      <c r="U935" s="1304"/>
      <c r="V935" s="1304"/>
      <c r="W935" s="1304"/>
      <c r="X935" s="452"/>
    </row>
    <row r="936" spans="1:24">
      <c r="A936" s="1393"/>
      <c r="B936" s="1392"/>
      <c r="C936" s="1392"/>
      <c r="D936" s="1304" t="s">
        <v>2707</v>
      </c>
      <c r="E936" s="1304"/>
      <c r="F936" s="1304"/>
      <c r="G936" s="1304"/>
      <c r="H936" s="1304"/>
      <c r="I936" s="1304"/>
      <c r="J936" s="1304"/>
      <c r="K936" s="1304"/>
      <c r="L936" s="1304"/>
      <c r="M936" s="1304"/>
      <c r="N936" s="1304"/>
      <c r="O936" s="1304"/>
      <c r="P936" s="1304"/>
      <c r="Q936" s="1304"/>
      <c r="R936" s="1304"/>
      <c r="S936" s="1304"/>
      <c r="T936" s="1304"/>
      <c r="U936" s="1304"/>
      <c r="V936" s="1304"/>
      <c r="W936" s="1304"/>
      <c r="X936" s="452"/>
    </row>
    <row r="937" spans="1:24">
      <c r="A937" s="1393"/>
      <c r="B937" s="1392"/>
      <c r="C937" s="1392"/>
      <c r="D937" s="1304" t="s">
        <v>2708</v>
      </c>
      <c r="E937" s="1304"/>
      <c r="F937" s="1304"/>
      <c r="G937" s="1304"/>
      <c r="H937" s="1304"/>
      <c r="I937" s="1304"/>
      <c r="J937" s="1304"/>
      <c r="K937" s="1304"/>
      <c r="L937" s="1304"/>
      <c r="M937" s="1304"/>
      <c r="N937" s="1304"/>
      <c r="O937" s="1304"/>
      <c r="P937" s="1304"/>
      <c r="Q937" s="1304"/>
      <c r="R937" s="1304"/>
      <c r="S937" s="1304"/>
      <c r="T937" s="1304"/>
      <c r="U937" s="1304"/>
      <c r="V937" s="1304"/>
      <c r="W937" s="1304"/>
      <c r="X937" s="452"/>
    </row>
    <row r="938" spans="1:24">
      <c r="A938" s="1393"/>
      <c r="B938" s="1392"/>
      <c r="C938" s="1392"/>
      <c r="D938" s="1304" t="s">
        <v>2709</v>
      </c>
      <c r="E938" s="1304"/>
      <c r="F938" s="1304"/>
      <c r="G938" s="1304"/>
      <c r="H938" s="1304"/>
      <c r="I938" s="1304"/>
      <c r="J938" s="1304"/>
      <c r="K938" s="1304"/>
      <c r="L938" s="1304"/>
      <c r="M938" s="1304"/>
      <c r="N938" s="1304"/>
      <c r="O938" s="1304"/>
      <c r="P938" s="1304"/>
      <c r="Q938" s="1304"/>
      <c r="R938" s="1304"/>
      <c r="S938" s="1304"/>
      <c r="T938" s="1304"/>
      <c r="U938" s="1304"/>
      <c r="V938" s="1304"/>
      <c r="W938" s="1304"/>
      <c r="X938" s="452"/>
    </row>
    <row r="939" spans="1:24">
      <c r="A939" s="1393"/>
      <c r="B939" s="1392"/>
      <c r="C939" s="1392"/>
      <c r="D939" s="1304" t="s">
        <v>2710</v>
      </c>
      <c r="E939" s="1304"/>
      <c r="F939" s="1304"/>
      <c r="G939" s="1304"/>
      <c r="H939" s="1304"/>
      <c r="I939" s="1304"/>
      <c r="J939" s="1304"/>
      <c r="K939" s="1304"/>
      <c r="L939" s="1304"/>
      <c r="M939" s="1304"/>
      <c r="N939" s="1304"/>
      <c r="O939" s="1304"/>
      <c r="P939" s="1304"/>
      <c r="Q939" s="1304"/>
      <c r="R939" s="1304"/>
      <c r="S939" s="1304"/>
      <c r="T939" s="1304"/>
      <c r="U939" s="1304"/>
      <c r="V939" s="1304"/>
      <c r="W939" s="1304"/>
      <c r="X939" s="452"/>
    </row>
    <row r="940" spans="1:24">
      <c r="A940" s="1393"/>
      <c r="B940" s="1392"/>
      <c r="C940" s="1392"/>
      <c r="D940" s="1304" t="s">
        <v>2711</v>
      </c>
      <c r="E940" s="1304"/>
      <c r="F940" s="1304"/>
      <c r="G940" s="1304"/>
      <c r="H940" s="1304"/>
      <c r="I940" s="1304"/>
      <c r="J940" s="1304"/>
      <c r="K940" s="1304"/>
      <c r="L940" s="1304"/>
      <c r="M940" s="1304"/>
      <c r="N940" s="1304"/>
      <c r="O940" s="1304"/>
      <c r="P940" s="1304"/>
      <c r="Q940" s="1304"/>
      <c r="R940" s="1304"/>
      <c r="S940" s="1304"/>
      <c r="T940" s="1304"/>
      <c r="U940" s="1304"/>
      <c r="V940" s="1304"/>
      <c r="W940" s="1304"/>
      <c r="X940" s="452"/>
    </row>
    <row r="941" spans="1:24">
      <c r="A941" s="1393"/>
      <c r="B941" s="1392"/>
      <c r="C941" s="1392"/>
      <c r="D941" s="1304" t="s">
        <v>2712</v>
      </c>
      <c r="E941" s="1304"/>
      <c r="F941" s="1304"/>
      <c r="G941" s="1304"/>
      <c r="H941" s="1304"/>
      <c r="I941" s="1304"/>
      <c r="J941" s="1304"/>
      <c r="K941" s="1304"/>
      <c r="L941" s="1304"/>
      <c r="M941" s="1304"/>
      <c r="N941" s="1304"/>
      <c r="O941" s="1304"/>
      <c r="P941" s="1304"/>
      <c r="Q941" s="1304"/>
      <c r="R941" s="1304"/>
      <c r="S941" s="1304"/>
      <c r="T941" s="1304"/>
      <c r="U941" s="1304"/>
      <c r="V941" s="1304"/>
      <c r="W941" s="1304"/>
      <c r="X941" s="452"/>
    </row>
    <row r="942" spans="1:24">
      <c r="A942" s="1393"/>
      <c r="B942" s="1392"/>
      <c r="C942" s="1392"/>
      <c r="D942" s="1304" t="s">
        <v>2713</v>
      </c>
      <c r="E942" s="1304"/>
      <c r="F942" s="1304"/>
      <c r="G942" s="1304"/>
      <c r="H942" s="1304"/>
      <c r="I942" s="1304"/>
      <c r="J942" s="1304"/>
      <c r="K942" s="1304"/>
      <c r="L942" s="1304"/>
      <c r="M942" s="1304"/>
      <c r="N942" s="1304"/>
      <c r="O942" s="1304"/>
      <c r="P942" s="1304"/>
      <c r="Q942" s="1304"/>
      <c r="R942" s="1304"/>
      <c r="S942" s="1304"/>
      <c r="T942" s="1304"/>
      <c r="U942" s="1304"/>
      <c r="V942" s="1304"/>
      <c r="W942" s="1304"/>
      <c r="X942" s="452"/>
    </row>
    <row r="943" spans="1:24">
      <c r="A943" s="1393"/>
      <c r="B943" s="1392"/>
      <c r="C943" s="1392"/>
      <c r="D943" s="1304" t="s">
        <v>2712</v>
      </c>
      <c r="E943" s="1304"/>
      <c r="F943" s="1304"/>
      <c r="G943" s="1304"/>
      <c r="H943" s="1304"/>
      <c r="I943" s="1304"/>
      <c r="J943" s="1304"/>
      <c r="K943" s="1304"/>
      <c r="L943" s="1304"/>
      <c r="M943" s="1304"/>
      <c r="N943" s="1304"/>
      <c r="O943" s="1304"/>
      <c r="P943" s="1304"/>
      <c r="Q943" s="1304"/>
      <c r="R943" s="1304"/>
      <c r="S943" s="1304"/>
      <c r="T943" s="1304"/>
      <c r="U943" s="1304"/>
      <c r="V943" s="1304"/>
      <c r="W943" s="1304"/>
      <c r="X943" s="452"/>
    </row>
    <row r="944" spans="1:24">
      <c r="A944" s="1393"/>
      <c r="B944" s="1392"/>
      <c r="C944" s="1392"/>
      <c r="D944" s="1304" t="s">
        <v>2714</v>
      </c>
      <c r="E944" s="1304"/>
      <c r="F944" s="1304"/>
      <c r="G944" s="1304"/>
      <c r="H944" s="1304"/>
      <c r="I944" s="1304"/>
      <c r="J944" s="1304"/>
      <c r="K944" s="1304"/>
      <c r="L944" s="1304"/>
      <c r="M944" s="1304"/>
      <c r="N944" s="1304"/>
      <c r="O944" s="1304"/>
      <c r="P944" s="1304"/>
      <c r="Q944" s="1304"/>
      <c r="R944" s="1304"/>
      <c r="S944" s="1304"/>
      <c r="T944" s="1304"/>
      <c r="U944" s="1304"/>
      <c r="V944" s="1304"/>
      <c r="W944" s="1304"/>
      <c r="X944" s="452"/>
    </row>
    <row r="945" spans="1:24">
      <c r="A945" s="1393"/>
      <c r="B945" s="1392"/>
      <c r="C945" s="1392"/>
      <c r="D945" s="1304" t="s">
        <v>2715</v>
      </c>
      <c r="E945" s="1304"/>
      <c r="F945" s="1304"/>
      <c r="G945" s="1304"/>
      <c r="H945" s="1304"/>
      <c r="I945" s="1304"/>
      <c r="J945" s="1304"/>
      <c r="K945" s="1304"/>
      <c r="L945" s="1304"/>
      <c r="M945" s="1304"/>
      <c r="N945" s="1304"/>
      <c r="O945" s="1304"/>
      <c r="P945" s="1304"/>
      <c r="Q945" s="1304"/>
      <c r="R945" s="1304"/>
      <c r="S945" s="1304"/>
      <c r="T945" s="1304"/>
      <c r="U945" s="1304"/>
      <c r="V945" s="1304"/>
      <c r="W945" s="1304"/>
      <c r="X945" s="452"/>
    </row>
    <row r="946" spans="1:24">
      <c r="A946" s="1393"/>
      <c r="B946" s="1392"/>
      <c r="C946" s="1392"/>
      <c r="D946" s="1304" t="s">
        <v>2716</v>
      </c>
      <c r="E946" s="1304"/>
      <c r="F946" s="1304"/>
      <c r="G946" s="1304"/>
      <c r="H946" s="1304"/>
      <c r="I946" s="1304"/>
      <c r="J946" s="1304"/>
      <c r="K946" s="1304"/>
      <c r="L946" s="1304"/>
      <c r="M946" s="1304"/>
      <c r="N946" s="1304"/>
      <c r="O946" s="1304"/>
      <c r="P946" s="1304"/>
      <c r="Q946" s="1304"/>
      <c r="R946" s="1304"/>
      <c r="S946" s="1304"/>
      <c r="T946" s="1304"/>
      <c r="U946" s="1304"/>
      <c r="V946" s="1304"/>
      <c r="W946" s="1304"/>
      <c r="X946" s="452"/>
    </row>
    <row r="947" spans="1:24">
      <c r="A947" s="1393"/>
      <c r="B947" s="1392"/>
      <c r="C947" s="1392"/>
      <c r="D947" s="1304" t="s">
        <v>2717</v>
      </c>
      <c r="E947" s="1304"/>
      <c r="F947" s="1304"/>
      <c r="G947" s="1304"/>
      <c r="H947" s="1304"/>
      <c r="I947" s="1304"/>
      <c r="J947" s="1304"/>
      <c r="K947" s="1304"/>
      <c r="L947" s="1304"/>
      <c r="M947" s="1304"/>
      <c r="N947" s="1304"/>
      <c r="O947" s="1304"/>
      <c r="P947" s="1304"/>
      <c r="Q947" s="1304"/>
      <c r="R947" s="1304"/>
      <c r="S947" s="1304"/>
      <c r="T947" s="1304"/>
      <c r="U947" s="1304"/>
      <c r="V947" s="1304"/>
      <c r="W947" s="1304"/>
      <c r="X947" s="452"/>
    </row>
    <row r="948" spans="1:24">
      <c r="A948" s="1393"/>
      <c r="B948" s="1392"/>
      <c r="C948" s="1392"/>
      <c r="D948" s="1304" t="s">
        <v>2810</v>
      </c>
      <c r="E948" s="1304"/>
      <c r="F948" s="1304"/>
      <c r="G948" s="1304"/>
      <c r="H948" s="1304"/>
      <c r="I948" s="1304"/>
      <c r="J948" s="1304"/>
      <c r="K948" s="1304"/>
      <c r="L948" s="1304"/>
      <c r="M948" s="1304"/>
      <c r="N948" s="1304"/>
      <c r="O948" s="1304"/>
      <c r="P948" s="1304"/>
      <c r="Q948" s="1304"/>
      <c r="R948" s="1304"/>
      <c r="S948" s="1304"/>
      <c r="T948" s="1304"/>
      <c r="U948" s="1304"/>
      <c r="V948" s="1304"/>
      <c r="W948" s="1304"/>
      <c r="X948" s="452"/>
    </row>
    <row r="949" spans="1:24">
      <c r="A949" s="1393"/>
      <c r="B949" s="1392"/>
      <c r="C949" s="1392"/>
      <c r="D949" s="1304" t="s">
        <v>2718</v>
      </c>
      <c r="E949" s="1304"/>
      <c r="F949" s="1304"/>
      <c r="G949" s="1304"/>
      <c r="H949" s="1304"/>
      <c r="I949" s="1304"/>
      <c r="J949" s="1304"/>
      <c r="K949" s="1304"/>
      <c r="L949" s="1304"/>
      <c r="M949" s="1304"/>
      <c r="N949" s="1304"/>
      <c r="O949" s="1304"/>
      <c r="P949" s="1304"/>
      <c r="Q949" s="1304"/>
      <c r="R949" s="1304"/>
      <c r="S949" s="1304"/>
      <c r="T949" s="1304"/>
      <c r="U949" s="1304"/>
      <c r="V949" s="1304"/>
      <c r="W949" s="1304"/>
      <c r="X949" s="452"/>
    </row>
    <row r="950" spans="1:24">
      <c r="A950" s="1393"/>
      <c r="B950" s="1392"/>
      <c r="C950" s="1392"/>
      <c r="D950" s="1304" t="s">
        <v>2719</v>
      </c>
      <c r="E950" s="1304"/>
      <c r="F950" s="1304"/>
      <c r="G950" s="1304"/>
      <c r="H950" s="1304"/>
      <c r="I950" s="1304"/>
      <c r="J950" s="1304"/>
      <c r="K950" s="1304"/>
      <c r="L950" s="1304"/>
      <c r="M950" s="1304"/>
      <c r="N950" s="1304"/>
      <c r="O950" s="1304"/>
      <c r="P950" s="1304"/>
      <c r="Q950" s="1304"/>
      <c r="R950" s="1304"/>
      <c r="S950" s="1304"/>
      <c r="T950" s="1304"/>
      <c r="U950" s="1304"/>
      <c r="V950" s="1304"/>
      <c r="W950" s="1304"/>
      <c r="X950" s="452"/>
    </row>
    <row r="951" spans="1:24">
      <c r="A951" s="1393"/>
      <c r="B951" s="1392"/>
      <c r="C951" s="1392"/>
      <c r="D951" s="1304" t="s">
        <v>2720</v>
      </c>
      <c r="E951" s="1304"/>
      <c r="F951" s="1304"/>
      <c r="G951" s="1304"/>
      <c r="H951" s="1304"/>
      <c r="I951" s="1304"/>
      <c r="J951" s="1304"/>
      <c r="K951" s="1304"/>
      <c r="L951" s="1304"/>
      <c r="M951" s="1304"/>
      <c r="N951" s="1304"/>
      <c r="O951" s="1304"/>
      <c r="P951" s="1304"/>
      <c r="Q951" s="1304"/>
      <c r="R951" s="1304"/>
      <c r="S951" s="1304"/>
      <c r="T951" s="1304"/>
      <c r="U951" s="1304"/>
      <c r="V951" s="1304"/>
      <c r="W951" s="1304"/>
      <c r="X951" s="452"/>
    </row>
    <row r="952" spans="1:24">
      <c r="A952" s="1393"/>
      <c r="B952" s="1392"/>
      <c r="C952" s="1392"/>
      <c r="D952" s="1304" t="s">
        <v>2721</v>
      </c>
      <c r="E952" s="1304"/>
      <c r="F952" s="1304"/>
      <c r="G952" s="1304"/>
      <c r="H952" s="1304"/>
      <c r="I952" s="1304"/>
      <c r="J952" s="1304"/>
      <c r="K952" s="1304"/>
      <c r="L952" s="1304"/>
      <c r="M952" s="1304"/>
      <c r="N952" s="1304"/>
      <c r="O952" s="1304"/>
      <c r="P952" s="1304"/>
      <c r="Q952" s="1304"/>
      <c r="R952" s="1304"/>
      <c r="S952" s="1304"/>
      <c r="T952" s="1304"/>
      <c r="U952" s="1304"/>
      <c r="V952" s="1304"/>
      <c r="W952" s="1304"/>
      <c r="X952" s="452"/>
    </row>
    <row r="953" spans="1:24">
      <c r="A953" s="1393"/>
      <c r="B953" s="1392"/>
      <c r="C953" s="1392"/>
      <c r="D953" s="1304" t="s">
        <v>2722</v>
      </c>
      <c r="E953" s="1304"/>
      <c r="F953" s="1304"/>
      <c r="G953" s="1304"/>
      <c r="H953" s="1304"/>
      <c r="I953" s="1304"/>
      <c r="J953" s="1304"/>
      <c r="K953" s="1304"/>
      <c r="L953" s="1304"/>
      <c r="M953" s="1304"/>
      <c r="N953" s="1304"/>
      <c r="O953" s="1304"/>
      <c r="P953" s="1304"/>
      <c r="Q953" s="1304"/>
      <c r="R953" s="1304"/>
      <c r="S953" s="1304"/>
      <c r="T953" s="1304"/>
      <c r="U953" s="1304"/>
      <c r="V953" s="1304"/>
      <c r="W953" s="1304"/>
      <c r="X953" s="452"/>
    </row>
    <row r="954" spans="1:24">
      <c r="A954" s="1393"/>
      <c r="B954" s="1392"/>
      <c r="C954" s="1392"/>
      <c r="D954" s="1304" t="s">
        <v>2723</v>
      </c>
      <c r="E954" s="1304"/>
      <c r="F954" s="1304"/>
      <c r="G954" s="1304"/>
      <c r="H954" s="1304"/>
      <c r="I954" s="1304"/>
      <c r="J954" s="1304"/>
      <c r="K954" s="1304"/>
      <c r="L954" s="1304"/>
      <c r="M954" s="1304"/>
      <c r="N954" s="1304"/>
      <c r="O954" s="1304"/>
      <c r="P954" s="1304"/>
      <c r="Q954" s="1304"/>
      <c r="R954" s="1304"/>
      <c r="S954" s="1304"/>
      <c r="T954" s="1304"/>
      <c r="U954" s="1304"/>
      <c r="V954" s="1304"/>
      <c r="W954" s="1304"/>
      <c r="X954" s="452"/>
    </row>
    <row r="955" spans="1:24">
      <c r="A955" s="1393"/>
      <c r="B955" s="1392"/>
      <c r="C955" s="1392"/>
      <c r="D955" s="1304" t="s">
        <v>2724</v>
      </c>
      <c r="E955" s="1304"/>
      <c r="F955" s="1304"/>
      <c r="G955" s="1304"/>
      <c r="H955" s="1304"/>
      <c r="I955" s="1304"/>
      <c r="J955" s="1304"/>
      <c r="K955" s="1304"/>
      <c r="L955" s="1304"/>
      <c r="M955" s="1304"/>
      <c r="N955" s="1304"/>
      <c r="O955" s="1304"/>
      <c r="P955" s="1304"/>
      <c r="Q955" s="1304"/>
      <c r="R955" s="1304"/>
      <c r="S955" s="1304"/>
      <c r="T955" s="1304"/>
      <c r="U955" s="1304"/>
      <c r="V955" s="1304"/>
      <c r="W955" s="1304"/>
      <c r="X955" s="452"/>
    </row>
    <row r="956" spans="1:24">
      <c r="A956" s="1393"/>
      <c r="B956" s="1392"/>
      <c r="C956" s="1392"/>
      <c r="D956" s="1304" t="s">
        <v>2725</v>
      </c>
      <c r="E956" s="1304"/>
      <c r="F956" s="1304"/>
      <c r="G956" s="1304"/>
      <c r="H956" s="1304"/>
      <c r="I956" s="1304"/>
      <c r="J956" s="1304"/>
      <c r="K956" s="1304"/>
      <c r="L956" s="1304"/>
      <c r="M956" s="1304"/>
      <c r="N956" s="1304"/>
      <c r="O956" s="1304"/>
      <c r="P956" s="1304"/>
      <c r="Q956" s="1304"/>
      <c r="R956" s="1304"/>
      <c r="S956" s="1304"/>
      <c r="T956" s="1304"/>
      <c r="U956" s="1304"/>
      <c r="V956" s="1304"/>
      <c r="W956" s="1304"/>
      <c r="X956" s="452"/>
    </row>
    <row r="957" spans="1:24">
      <c r="A957" s="1393"/>
      <c r="B957" s="1392"/>
      <c r="C957" s="1392"/>
      <c r="D957" s="1304" t="s">
        <v>2726</v>
      </c>
      <c r="E957" s="1304"/>
      <c r="F957" s="1304"/>
      <c r="G957" s="1304"/>
      <c r="H957" s="1304"/>
      <c r="I957" s="1304"/>
      <c r="J957" s="1304"/>
      <c r="K957" s="1304"/>
      <c r="L957" s="1304"/>
      <c r="M957" s="1304"/>
      <c r="N957" s="1304"/>
      <c r="O957" s="1304"/>
      <c r="P957" s="1304"/>
      <c r="Q957" s="1304"/>
      <c r="R957" s="1304"/>
      <c r="S957" s="1304"/>
      <c r="T957" s="1304"/>
      <c r="U957" s="1304"/>
      <c r="V957" s="1304"/>
      <c r="W957" s="1304"/>
      <c r="X957" s="452"/>
    </row>
    <row r="958" spans="1:24">
      <c r="A958" s="1393"/>
      <c r="B958" s="1392"/>
      <c r="C958" s="1392"/>
      <c r="D958" s="1304" t="s">
        <v>2727</v>
      </c>
      <c r="E958" s="1304"/>
      <c r="F958" s="1304"/>
      <c r="G958" s="1304"/>
      <c r="H958" s="1304"/>
      <c r="I958" s="1304"/>
      <c r="J958" s="1304"/>
      <c r="K958" s="1304"/>
      <c r="L958" s="1304"/>
      <c r="M958" s="1304"/>
      <c r="N958" s="1304"/>
      <c r="O958" s="1304"/>
      <c r="P958" s="1304"/>
      <c r="Q958" s="1304"/>
      <c r="R958" s="1304"/>
      <c r="S958" s="1304"/>
      <c r="T958" s="1304"/>
      <c r="U958" s="1304"/>
      <c r="V958" s="1304"/>
      <c r="W958" s="1304"/>
      <c r="X958" s="452"/>
    </row>
    <row r="959" spans="1:24">
      <c r="A959" s="1393"/>
      <c r="B959" s="1392"/>
      <c r="C959" s="1392"/>
      <c r="D959" s="1304" t="s">
        <v>2728</v>
      </c>
      <c r="E959" s="1304"/>
      <c r="F959" s="1304"/>
      <c r="G959" s="1304"/>
      <c r="H959" s="1304"/>
      <c r="I959" s="1304"/>
      <c r="J959" s="1304"/>
      <c r="K959" s="1304"/>
      <c r="L959" s="1304"/>
      <c r="M959" s="1304"/>
      <c r="N959" s="1304"/>
      <c r="O959" s="1304"/>
      <c r="P959" s="1304"/>
      <c r="Q959" s="1304"/>
      <c r="R959" s="1304"/>
      <c r="S959" s="1304"/>
      <c r="T959" s="1304"/>
      <c r="U959" s="1304"/>
      <c r="V959" s="1304"/>
      <c r="W959" s="1304"/>
      <c r="X959" s="452"/>
    </row>
    <row r="960" spans="1:24">
      <c r="A960" s="1393"/>
      <c r="B960" s="1392"/>
      <c r="C960" s="1392"/>
      <c r="D960" s="1304" t="s">
        <v>2729</v>
      </c>
      <c r="E960" s="1304"/>
      <c r="F960" s="1304"/>
      <c r="G960" s="1304"/>
      <c r="H960" s="1304"/>
      <c r="I960" s="1304"/>
      <c r="J960" s="1304"/>
      <c r="K960" s="1304"/>
      <c r="L960" s="1304"/>
      <c r="M960" s="1304"/>
      <c r="N960" s="1304"/>
      <c r="O960" s="1304"/>
      <c r="P960" s="1304"/>
      <c r="Q960" s="1304"/>
      <c r="R960" s="1304"/>
      <c r="S960" s="1304"/>
      <c r="T960" s="1304"/>
      <c r="U960" s="1304"/>
      <c r="V960" s="1304"/>
      <c r="W960" s="1304"/>
      <c r="X960" s="452"/>
    </row>
    <row r="961" spans="1:24">
      <c r="A961" s="1393"/>
      <c r="B961" s="1392"/>
      <c r="C961" s="1392"/>
      <c r="D961" s="1304" t="s">
        <v>2730</v>
      </c>
      <c r="E961" s="1304"/>
      <c r="F961" s="1304"/>
      <c r="G961" s="1304"/>
      <c r="H961" s="1304"/>
      <c r="I961" s="1304"/>
      <c r="J961" s="1304"/>
      <c r="K961" s="1304"/>
      <c r="L961" s="1304"/>
      <c r="M961" s="1304"/>
      <c r="N961" s="1304"/>
      <c r="O961" s="1304"/>
      <c r="P961" s="1304"/>
      <c r="Q961" s="1304"/>
      <c r="R961" s="1304"/>
      <c r="S961" s="1304"/>
      <c r="T961" s="1304"/>
      <c r="U961" s="1304"/>
      <c r="V961" s="1304"/>
      <c r="W961" s="1304"/>
      <c r="X961" s="452"/>
    </row>
    <row r="962" spans="1:24">
      <c r="A962" s="1393"/>
      <c r="B962" s="1392"/>
      <c r="C962" s="1392"/>
      <c r="D962" s="1304" t="s">
        <v>2731</v>
      </c>
      <c r="E962" s="1304"/>
      <c r="F962" s="1304"/>
      <c r="G962" s="1304"/>
      <c r="H962" s="1304"/>
      <c r="I962" s="1304"/>
      <c r="J962" s="1304"/>
      <c r="K962" s="1304"/>
      <c r="L962" s="1304"/>
      <c r="M962" s="1304"/>
      <c r="N962" s="1304"/>
      <c r="O962" s="1304"/>
      <c r="P962" s="1304"/>
      <c r="Q962" s="1304"/>
      <c r="R962" s="1304"/>
      <c r="S962" s="1304"/>
      <c r="T962" s="1304"/>
      <c r="U962" s="1304"/>
      <c r="V962" s="1304"/>
      <c r="W962" s="1304"/>
      <c r="X962" s="452"/>
    </row>
    <row r="963" spans="1:24">
      <c r="A963" s="1393"/>
      <c r="B963" s="1392"/>
      <c r="C963" s="1392"/>
      <c r="D963" s="1304" t="s">
        <v>2732</v>
      </c>
      <c r="E963" s="1304"/>
      <c r="F963" s="1304"/>
      <c r="G963" s="1304"/>
      <c r="H963" s="1304"/>
      <c r="I963" s="1304"/>
      <c r="J963" s="1304"/>
      <c r="K963" s="1304"/>
      <c r="L963" s="1304"/>
      <c r="M963" s="1304"/>
      <c r="N963" s="1304"/>
      <c r="O963" s="1304"/>
      <c r="P963" s="1304"/>
      <c r="Q963" s="1304"/>
      <c r="R963" s="1304"/>
      <c r="S963" s="1304"/>
      <c r="T963" s="1304"/>
      <c r="U963" s="1304"/>
      <c r="V963" s="1304"/>
      <c r="W963" s="1304"/>
      <c r="X963" s="452"/>
    </row>
    <row r="964" spans="1:24" ht="14.25" customHeight="1">
      <c r="A964" s="1393"/>
      <c r="B964" s="1392"/>
      <c r="C964" s="1392"/>
      <c r="D964" s="1304" t="s">
        <v>2733</v>
      </c>
      <c r="E964" s="1304"/>
      <c r="F964" s="1304"/>
      <c r="G964" s="1304"/>
      <c r="H964" s="1304"/>
      <c r="I964" s="1304"/>
      <c r="J964" s="1304"/>
      <c r="K964" s="1304"/>
      <c r="L964" s="1304"/>
      <c r="M964" s="1304"/>
      <c r="N964" s="1304"/>
      <c r="O964" s="1304"/>
      <c r="P964" s="1304"/>
      <c r="Q964" s="1304"/>
      <c r="R964" s="1304"/>
      <c r="S964" s="1304"/>
      <c r="T964" s="1304"/>
      <c r="U964" s="1304"/>
      <c r="V964" s="1304"/>
      <c r="W964" s="1304"/>
      <c r="X964" s="452"/>
    </row>
    <row r="965" spans="1:24">
      <c r="A965" s="1393"/>
      <c r="B965" s="1392"/>
      <c r="C965" s="1392"/>
      <c r="D965" s="1304" t="s">
        <v>2734</v>
      </c>
      <c r="E965" s="1304"/>
      <c r="F965" s="1304"/>
      <c r="G965" s="1304"/>
      <c r="H965" s="1304"/>
      <c r="I965" s="1304"/>
      <c r="J965" s="1304"/>
      <c r="K965" s="1304"/>
      <c r="L965" s="1304"/>
      <c r="M965" s="1304"/>
      <c r="N965" s="1304"/>
      <c r="O965" s="1304"/>
      <c r="P965" s="1304"/>
      <c r="Q965" s="1304"/>
      <c r="R965" s="1304"/>
      <c r="S965" s="1304"/>
      <c r="T965" s="1304"/>
      <c r="U965" s="1304"/>
      <c r="V965" s="1304"/>
      <c r="W965" s="1304"/>
      <c r="X965" s="452"/>
    </row>
    <row r="966" spans="1:24">
      <c r="A966" s="1393"/>
      <c r="B966" s="1392"/>
      <c r="C966" s="1392"/>
      <c r="D966" s="1304" t="s">
        <v>2735</v>
      </c>
      <c r="E966" s="1304"/>
      <c r="F966" s="1304"/>
      <c r="G966" s="1304"/>
      <c r="H966" s="1304"/>
      <c r="I966" s="1304"/>
      <c r="J966" s="1304"/>
      <c r="K966" s="1304"/>
      <c r="L966" s="1304"/>
      <c r="M966" s="1304"/>
      <c r="N966" s="1304"/>
      <c r="O966" s="1304"/>
      <c r="P966" s="1304"/>
      <c r="Q966" s="1304"/>
      <c r="R966" s="1304"/>
      <c r="S966" s="1304"/>
      <c r="T966" s="1304"/>
      <c r="U966" s="1304"/>
      <c r="V966" s="1304"/>
      <c r="W966" s="1304"/>
      <c r="X966" s="452"/>
    </row>
    <row r="967" spans="1:24" s="185" customFormat="1" ht="20.25" customHeight="1">
      <c r="A967" s="1393"/>
      <c r="B967" s="1304" t="s">
        <v>2811</v>
      </c>
      <c r="C967" s="1304"/>
      <c r="D967" s="1304"/>
      <c r="E967" s="1304"/>
      <c r="F967" s="1304"/>
      <c r="G967" s="1304"/>
      <c r="H967" s="1304"/>
      <c r="I967" s="1304"/>
      <c r="J967" s="1304"/>
      <c r="K967" s="1304"/>
      <c r="L967" s="1304"/>
      <c r="M967" s="1304"/>
      <c r="N967" s="1304"/>
      <c r="O967" s="1304"/>
      <c r="P967" s="1304"/>
      <c r="Q967" s="1304"/>
      <c r="R967" s="1304"/>
      <c r="S967" s="1304"/>
      <c r="T967" s="1304"/>
      <c r="U967" s="1304"/>
      <c r="V967" s="1304"/>
      <c r="W967" s="1304"/>
    </row>
    <row r="968" spans="1:24" s="185" customFormat="1" ht="21" customHeight="1">
      <c r="A968" s="1393"/>
      <c r="B968" s="1304" t="s">
        <v>2812</v>
      </c>
      <c r="C968" s="1304"/>
      <c r="D968" s="1304"/>
      <c r="E968" s="1304"/>
      <c r="F968" s="1304"/>
      <c r="G968" s="1304"/>
      <c r="H968" s="1304"/>
      <c r="I968" s="1304"/>
      <c r="J968" s="1304"/>
      <c r="K968" s="1304"/>
      <c r="L968" s="1304"/>
      <c r="M968" s="1304"/>
      <c r="N968" s="1304"/>
      <c r="O968" s="1304"/>
      <c r="P968" s="1304"/>
      <c r="Q968" s="1304"/>
      <c r="R968" s="1304"/>
      <c r="S968" s="1304"/>
      <c r="T968" s="1304"/>
      <c r="U968" s="1304"/>
      <c r="V968" s="1304"/>
      <c r="W968" s="1304"/>
    </row>
    <row r="969" spans="1:24" s="549" customFormat="1" ht="11.25">
      <c r="A969" s="1393"/>
      <c r="B969" s="1304" t="s">
        <v>2736</v>
      </c>
      <c r="C969" s="1304"/>
      <c r="D969" s="1304"/>
      <c r="E969" s="1304"/>
      <c r="F969" s="1304"/>
      <c r="G969" s="1304"/>
      <c r="H969" s="1304"/>
      <c r="I969" s="1304"/>
      <c r="J969" s="1304"/>
      <c r="K969" s="1304"/>
      <c r="L969" s="1304"/>
      <c r="M969" s="1304"/>
      <c r="N969" s="1304"/>
      <c r="O969" s="1304"/>
      <c r="P969" s="1304"/>
      <c r="Q969" s="1304"/>
      <c r="R969" s="1304"/>
      <c r="S969" s="1304"/>
      <c r="T969" s="1304"/>
      <c r="U969" s="1304"/>
      <c r="V969" s="1304"/>
      <c r="W969" s="1304"/>
      <c r="X969" s="548"/>
    </row>
    <row r="970" spans="1:24" s="549" customFormat="1" ht="11.25">
      <c r="A970" s="1393"/>
      <c r="B970" s="1304" t="s">
        <v>2737</v>
      </c>
      <c r="C970" s="1304"/>
      <c r="D970" s="1304"/>
      <c r="E970" s="1304"/>
      <c r="F970" s="1304"/>
      <c r="G970" s="1304"/>
      <c r="H970" s="1304"/>
      <c r="I970" s="1304"/>
      <c r="J970" s="1304"/>
      <c r="K970" s="1304"/>
      <c r="L970" s="1304"/>
      <c r="M970" s="1304"/>
      <c r="N970" s="1304"/>
      <c r="O970" s="1304"/>
      <c r="P970" s="1304"/>
      <c r="Q970" s="1304"/>
      <c r="R970" s="1304"/>
      <c r="S970" s="1304"/>
      <c r="T970" s="1304"/>
      <c r="U970" s="1304"/>
      <c r="V970" s="1304"/>
      <c r="W970" s="1304"/>
      <c r="X970" s="548"/>
    </row>
    <row r="971" spans="1:24" s="549" customFormat="1" ht="11.25">
      <c r="A971" s="1393"/>
      <c r="B971" s="1304" t="s">
        <v>2738</v>
      </c>
      <c r="C971" s="1304"/>
      <c r="D971" s="1304"/>
      <c r="E971" s="1304"/>
      <c r="F971" s="1304"/>
      <c r="G971" s="1304"/>
      <c r="H971" s="1304"/>
      <c r="I971" s="1304"/>
      <c r="J971" s="1304"/>
      <c r="K971" s="1304"/>
      <c r="L971" s="1304"/>
      <c r="M971" s="1304"/>
      <c r="N971" s="1304"/>
      <c r="O971" s="1304"/>
      <c r="P971" s="1304"/>
      <c r="Q971" s="1304"/>
      <c r="R971" s="1304"/>
      <c r="S971" s="1304"/>
      <c r="T971" s="1304"/>
      <c r="U971" s="1304"/>
      <c r="V971" s="1304"/>
      <c r="W971" s="1304"/>
      <c r="X971" s="548"/>
    </row>
    <row r="972" spans="1:24">
      <c r="A972" s="1393"/>
      <c r="B972" s="1380" t="s">
        <v>2739</v>
      </c>
      <c r="C972" s="1380"/>
      <c r="D972" s="1380"/>
      <c r="E972" s="1380"/>
      <c r="F972" s="1380"/>
      <c r="G972" s="1380"/>
      <c r="H972" s="1380"/>
      <c r="I972" s="1380"/>
      <c r="J972" s="1380"/>
      <c r="K972" s="1380"/>
      <c r="L972" s="1380"/>
      <c r="M972" s="1380"/>
      <c r="N972" s="1380"/>
      <c r="O972" s="1380"/>
      <c r="P972" s="1380"/>
      <c r="Q972" s="1380"/>
      <c r="R972" s="1380"/>
      <c r="S972" s="1380"/>
      <c r="T972" s="1380"/>
      <c r="U972" s="1380"/>
      <c r="V972" s="1380"/>
      <c r="W972" s="1380"/>
      <c r="X972" s="452"/>
    </row>
    <row r="973" spans="1:24">
      <c r="A973" s="1393"/>
      <c r="B973" s="1380" t="s">
        <v>2740</v>
      </c>
      <c r="C973" s="1380"/>
      <c r="D973" s="1380"/>
      <c r="E973" s="1380"/>
      <c r="F973" s="1380"/>
      <c r="G973" s="1380"/>
      <c r="H973" s="1380"/>
      <c r="I973" s="1380"/>
      <c r="J973" s="1380"/>
      <c r="K973" s="1380"/>
      <c r="L973" s="1380"/>
      <c r="M973" s="1380"/>
      <c r="N973" s="1380"/>
      <c r="O973" s="1380"/>
      <c r="P973" s="1380"/>
      <c r="Q973" s="1380"/>
      <c r="R973" s="1380"/>
      <c r="S973" s="1380"/>
      <c r="T973" s="1380"/>
      <c r="U973" s="1380"/>
      <c r="V973" s="1380"/>
      <c r="W973" s="1380"/>
      <c r="X973" s="452"/>
    </row>
    <row r="974" spans="1:24">
      <c r="A974" s="1393"/>
      <c r="B974" s="1380" t="s">
        <v>2741</v>
      </c>
      <c r="C974" s="1380"/>
      <c r="D974" s="1380"/>
      <c r="E974" s="1380"/>
      <c r="F974" s="1380"/>
      <c r="G974" s="1380"/>
      <c r="H974" s="1380"/>
      <c r="I974" s="1380"/>
      <c r="J974" s="1380"/>
      <c r="K974" s="1380"/>
      <c r="L974" s="1380"/>
      <c r="M974" s="1380"/>
      <c r="N974" s="1380"/>
      <c r="O974" s="1380"/>
      <c r="P974" s="1380"/>
      <c r="Q974" s="1380"/>
      <c r="R974" s="1380"/>
      <c r="S974" s="1380"/>
      <c r="T974" s="1380"/>
      <c r="U974" s="1380"/>
      <c r="V974" s="1380"/>
      <c r="W974" s="1380"/>
      <c r="X974" s="452"/>
    </row>
    <row r="975" spans="1:24">
      <c r="A975" s="1393"/>
      <c r="B975" s="1378"/>
      <c r="C975" s="1378"/>
      <c r="D975" s="1380" t="s">
        <v>2742</v>
      </c>
      <c r="E975" s="1380"/>
      <c r="F975" s="1380"/>
      <c r="G975" s="1380"/>
      <c r="H975" s="1380"/>
      <c r="I975" s="1380"/>
      <c r="J975" s="1380"/>
      <c r="K975" s="1380"/>
      <c r="L975" s="1380"/>
      <c r="M975" s="1380"/>
      <c r="N975" s="1380"/>
      <c r="O975" s="1380"/>
      <c r="P975" s="1380"/>
      <c r="Q975" s="1380"/>
      <c r="R975" s="1380"/>
      <c r="S975" s="1380"/>
      <c r="T975" s="1380"/>
      <c r="U975" s="1380"/>
      <c r="V975" s="1380"/>
      <c r="W975" s="1380"/>
      <c r="X975" s="452"/>
    </row>
    <row r="976" spans="1:24">
      <c r="A976" s="1393"/>
      <c r="B976" s="1378"/>
      <c r="C976" s="1378"/>
      <c r="D976" s="1380" t="s">
        <v>2743</v>
      </c>
      <c r="E976" s="1380"/>
      <c r="F976" s="1380"/>
      <c r="G976" s="1380"/>
      <c r="H976" s="1380"/>
      <c r="I976" s="1380"/>
      <c r="J976" s="1380"/>
      <c r="K976" s="1380"/>
      <c r="L976" s="1380"/>
      <c r="M976" s="1380"/>
      <c r="N976" s="1380"/>
      <c r="O976" s="1380"/>
      <c r="P976" s="1380"/>
      <c r="Q976" s="1380"/>
      <c r="R976" s="1380"/>
      <c r="S976" s="1380"/>
      <c r="T976" s="1380"/>
      <c r="U976" s="1380"/>
      <c r="V976" s="1380"/>
      <c r="W976" s="1380"/>
      <c r="X976" s="452"/>
    </row>
    <row r="977" spans="1:24">
      <c r="A977" s="1393"/>
      <c r="B977" s="1378"/>
      <c r="C977" s="1378"/>
      <c r="D977" s="1380" t="s">
        <v>2744</v>
      </c>
      <c r="E977" s="1380"/>
      <c r="F977" s="1380"/>
      <c r="G977" s="1380"/>
      <c r="H977" s="1380"/>
      <c r="I977" s="1380"/>
      <c r="J977" s="1380"/>
      <c r="K977" s="1380"/>
      <c r="L977" s="1380"/>
      <c r="M977" s="1380"/>
      <c r="N977" s="1380"/>
      <c r="O977" s="1380"/>
      <c r="P977" s="1380"/>
      <c r="Q977" s="1380"/>
      <c r="R977" s="1380"/>
      <c r="S977" s="1380"/>
      <c r="T977" s="1380"/>
      <c r="U977" s="1380"/>
      <c r="V977" s="1380"/>
      <c r="W977" s="1380"/>
      <c r="X977" s="452"/>
    </row>
    <row r="978" spans="1:24">
      <c r="A978" s="1393"/>
      <c r="B978" s="1378"/>
      <c r="C978" s="1378"/>
      <c r="D978" s="1380" t="s">
        <v>2745</v>
      </c>
      <c r="E978" s="1380"/>
      <c r="F978" s="1380"/>
      <c r="G978" s="1380"/>
      <c r="H978" s="1380"/>
      <c r="I978" s="1380"/>
      <c r="J978" s="1380"/>
      <c r="K978" s="1380"/>
      <c r="L978" s="1380"/>
      <c r="M978" s="1380"/>
      <c r="N978" s="1380"/>
      <c r="O978" s="1380"/>
      <c r="P978" s="1380"/>
      <c r="Q978" s="1380"/>
      <c r="R978" s="1380"/>
      <c r="S978" s="1380"/>
      <c r="T978" s="1380"/>
      <c r="U978" s="1380"/>
      <c r="V978" s="1380"/>
      <c r="W978" s="1380"/>
      <c r="X978" s="452"/>
    </row>
    <row r="979" spans="1:24" ht="12" customHeight="1">
      <c r="A979" s="1393"/>
      <c r="B979" s="1378"/>
      <c r="C979" s="1378"/>
      <c r="D979" s="1380" t="s">
        <v>2746</v>
      </c>
      <c r="E979" s="1380"/>
      <c r="F979" s="1380"/>
      <c r="G979" s="1380"/>
      <c r="H979" s="1380"/>
      <c r="I979" s="1380"/>
      <c r="J979" s="1380"/>
      <c r="K979" s="1380"/>
      <c r="L979" s="1380"/>
      <c r="M979" s="1380"/>
      <c r="N979" s="1380"/>
      <c r="O979" s="1380"/>
      <c r="P979" s="1380"/>
      <c r="Q979" s="1380"/>
      <c r="R979" s="1380"/>
      <c r="S979" s="1380"/>
      <c r="T979" s="1380"/>
      <c r="U979" s="1380"/>
      <c r="V979" s="1380"/>
      <c r="W979" s="1380"/>
      <c r="X979" s="452"/>
    </row>
  </sheetData>
  <mergeCells count="1316">
    <mergeCell ref="B968:W968"/>
    <mergeCell ref="B969:W969"/>
    <mergeCell ref="B970:W970"/>
    <mergeCell ref="B971:W971"/>
    <mergeCell ref="B972:W972"/>
    <mergeCell ref="B973:W973"/>
    <mergeCell ref="B974:W974"/>
    <mergeCell ref="B975:C979"/>
    <mergeCell ref="D975:W975"/>
    <mergeCell ref="D976:W976"/>
    <mergeCell ref="D977:W977"/>
    <mergeCell ref="D978:W978"/>
    <mergeCell ref="D979:W979"/>
    <mergeCell ref="A288:W288"/>
    <mergeCell ref="A290:W290"/>
    <mergeCell ref="A292:W292"/>
    <mergeCell ref="A294:W294"/>
    <mergeCell ref="A296:W296"/>
    <mergeCell ref="A298:W298"/>
    <mergeCell ref="A306:W306"/>
    <mergeCell ref="A308:W308"/>
    <mergeCell ref="A310:W310"/>
    <mergeCell ref="A312:W312"/>
    <mergeCell ref="A303:W303"/>
    <mergeCell ref="A305:W305"/>
    <mergeCell ref="A307:W307"/>
    <mergeCell ref="A309:W309"/>
    <mergeCell ref="A311:W311"/>
    <mergeCell ref="A314:W314"/>
    <mergeCell ref="A316:W316"/>
    <mergeCell ref="A318:W318"/>
    <mergeCell ref="A320:W320"/>
    <mergeCell ref="D951:W951"/>
    <mergeCell ref="D952:W952"/>
    <mergeCell ref="D953:W953"/>
    <mergeCell ref="D954:W954"/>
    <mergeCell ref="D955:W955"/>
    <mergeCell ref="D956:W956"/>
    <mergeCell ref="D957:W957"/>
    <mergeCell ref="D958:W958"/>
    <mergeCell ref="D959:W959"/>
    <mergeCell ref="D960:W960"/>
    <mergeCell ref="D961:W961"/>
    <mergeCell ref="D962:W962"/>
    <mergeCell ref="D963:W963"/>
    <mergeCell ref="D964:W964"/>
    <mergeCell ref="D965:W965"/>
    <mergeCell ref="D966:W966"/>
    <mergeCell ref="B967:W967"/>
    <mergeCell ref="A922:X922"/>
    <mergeCell ref="A923:W923"/>
    <mergeCell ref="A924:W924"/>
    <mergeCell ref="A925:W925"/>
    <mergeCell ref="A926:W926"/>
    <mergeCell ref="A927:A979"/>
    <mergeCell ref="B927:W927"/>
    <mergeCell ref="B928:W928"/>
    <mergeCell ref="B929:W929"/>
    <mergeCell ref="B930:C932"/>
    <mergeCell ref="D930:W930"/>
    <mergeCell ref="D931:W931"/>
    <mergeCell ref="D932:W932"/>
    <mergeCell ref="B933:W933"/>
    <mergeCell ref="B934:W934"/>
    <mergeCell ref="B935:C966"/>
    <mergeCell ref="D935:W935"/>
    <mergeCell ref="D936:W936"/>
    <mergeCell ref="D937:W937"/>
    <mergeCell ref="D938:W938"/>
    <mergeCell ref="D939:W939"/>
    <mergeCell ref="D940:W940"/>
    <mergeCell ref="D941:W941"/>
    <mergeCell ref="D942:W942"/>
    <mergeCell ref="D943:W943"/>
    <mergeCell ref="D944:W944"/>
    <mergeCell ref="D945:W945"/>
    <mergeCell ref="D946:W946"/>
    <mergeCell ref="D947:W947"/>
    <mergeCell ref="D948:W948"/>
    <mergeCell ref="D949:W949"/>
    <mergeCell ref="D950:W950"/>
    <mergeCell ref="A900:W900"/>
    <mergeCell ref="A901:W901"/>
    <mergeCell ref="A902:W902"/>
    <mergeCell ref="A903:W903"/>
    <mergeCell ref="A905:A921"/>
    <mergeCell ref="B905:W905"/>
    <mergeCell ref="B906:W906"/>
    <mergeCell ref="B907:W907"/>
    <mergeCell ref="B908:W908"/>
    <mergeCell ref="B909:W909"/>
    <mergeCell ref="B910:B916"/>
    <mergeCell ref="C910:W910"/>
    <mergeCell ref="C911:W911"/>
    <mergeCell ref="C912:C915"/>
    <mergeCell ref="D912:W912"/>
    <mergeCell ref="D913:W913"/>
    <mergeCell ref="D914:W914"/>
    <mergeCell ref="D915:W915"/>
    <mergeCell ref="C916:W916"/>
    <mergeCell ref="B917:W917"/>
    <mergeCell ref="B918:W918"/>
    <mergeCell ref="B919:W919"/>
    <mergeCell ref="B920:W920"/>
    <mergeCell ref="B921:W921"/>
    <mergeCell ref="A887:W887"/>
    <mergeCell ref="A888:W888"/>
    <mergeCell ref="A889:W889"/>
    <mergeCell ref="A890:W890"/>
    <mergeCell ref="B891:T891"/>
    <mergeCell ref="U891:W891"/>
    <mergeCell ref="B893:T893"/>
    <mergeCell ref="U893:W893"/>
    <mergeCell ref="B894:T894"/>
    <mergeCell ref="U894:W894"/>
    <mergeCell ref="B895:T895"/>
    <mergeCell ref="U895:W895"/>
    <mergeCell ref="B896:T896"/>
    <mergeCell ref="U896:W896"/>
    <mergeCell ref="B897:T897"/>
    <mergeCell ref="U897:W897"/>
    <mergeCell ref="B898:T898"/>
    <mergeCell ref="U898:W898"/>
    <mergeCell ref="A861:R861"/>
    <mergeCell ref="S861:T861"/>
    <mergeCell ref="U861:W861"/>
    <mergeCell ref="A835:A859"/>
    <mergeCell ref="B835:R842"/>
    <mergeCell ref="S835:T835"/>
    <mergeCell ref="U835:W835"/>
    <mergeCell ref="B862:R862"/>
    <mergeCell ref="S862:W862"/>
    <mergeCell ref="A863:B870"/>
    <mergeCell ref="C863:R870"/>
    <mergeCell ref="S863:T863"/>
    <mergeCell ref="U863:W863"/>
    <mergeCell ref="S864:T864"/>
    <mergeCell ref="U864:W864"/>
    <mergeCell ref="S865:T865"/>
    <mergeCell ref="U865:W865"/>
    <mergeCell ref="S866:T866"/>
    <mergeCell ref="U866:W866"/>
    <mergeCell ref="S867:T867"/>
    <mergeCell ref="U867:W867"/>
    <mergeCell ref="S868:T868"/>
    <mergeCell ref="U868:W868"/>
    <mergeCell ref="S869:T869"/>
    <mergeCell ref="U869:W869"/>
    <mergeCell ref="S870:T870"/>
    <mergeCell ref="U870:W870"/>
    <mergeCell ref="B851:R851"/>
    <mergeCell ref="S851:W851"/>
    <mergeCell ref="B852:B859"/>
    <mergeCell ref="C852:R855"/>
    <mergeCell ref="S852:T852"/>
    <mergeCell ref="U852:W852"/>
    <mergeCell ref="S853:T853"/>
    <mergeCell ref="U853:W853"/>
    <mergeCell ref="S854:T854"/>
    <mergeCell ref="U854:W854"/>
    <mergeCell ref="S855:T855"/>
    <mergeCell ref="U855:W855"/>
    <mergeCell ref="C856:R859"/>
    <mergeCell ref="S856:T856"/>
    <mergeCell ref="U856:W856"/>
    <mergeCell ref="S857:T857"/>
    <mergeCell ref="U857:W857"/>
    <mergeCell ref="S858:T858"/>
    <mergeCell ref="U858:W858"/>
    <mergeCell ref="S859:T859"/>
    <mergeCell ref="U859:W859"/>
    <mergeCell ref="S838:T838"/>
    <mergeCell ref="U838:W838"/>
    <mergeCell ref="S839:T839"/>
    <mergeCell ref="U839:W839"/>
    <mergeCell ref="S840:T840"/>
    <mergeCell ref="U840:W840"/>
    <mergeCell ref="S841:T841"/>
    <mergeCell ref="U841:W841"/>
    <mergeCell ref="S842:T842"/>
    <mergeCell ref="U842:W842"/>
    <mergeCell ref="B843:R850"/>
    <mergeCell ref="S843:T843"/>
    <mergeCell ref="U843:W843"/>
    <mergeCell ref="S844:T844"/>
    <mergeCell ref="U844:W844"/>
    <mergeCell ref="S845:T845"/>
    <mergeCell ref="U845:W845"/>
    <mergeCell ref="S846:T846"/>
    <mergeCell ref="U846:W846"/>
    <mergeCell ref="S847:T847"/>
    <mergeCell ref="U847:W847"/>
    <mergeCell ref="S848:T848"/>
    <mergeCell ref="U848:W848"/>
    <mergeCell ref="S849:T849"/>
    <mergeCell ref="U849:W849"/>
    <mergeCell ref="S850:T850"/>
    <mergeCell ref="U850:W850"/>
    <mergeCell ref="U828:W828"/>
    <mergeCell ref="S829:T829"/>
    <mergeCell ref="U829:W829"/>
    <mergeCell ref="S830:T830"/>
    <mergeCell ref="U830:W830"/>
    <mergeCell ref="S831:T831"/>
    <mergeCell ref="U831:W831"/>
    <mergeCell ref="A833:R833"/>
    <mergeCell ref="S833:T833"/>
    <mergeCell ref="U833:W833"/>
    <mergeCell ref="A834:R834"/>
    <mergeCell ref="S834:T834"/>
    <mergeCell ref="U834:W834"/>
    <mergeCell ref="S836:T836"/>
    <mergeCell ref="U836:W836"/>
    <mergeCell ref="S837:T837"/>
    <mergeCell ref="U837:W837"/>
    <mergeCell ref="A815:R815"/>
    <mergeCell ref="S815:T815"/>
    <mergeCell ref="U815:W815"/>
    <mergeCell ref="A816:A831"/>
    <mergeCell ref="B816:R823"/>
    <mergeCell ref="S816:T816"/>
    <mergeCell ref="U816:W816"/>
    <mergeCell ref="S817:T817"/>
    <mergeCell ref="U817:W817"/>
    <mergeCell ref="S818:T818"/>
    <mergeCell ref="U818:W818"/>
    <mergeCell ref="S819:T819"/>
    <mergeCell ref="U819:W819"/>
    <mergeCell ref="S820:T820"/>
    <mergeCell ref="U820:W820"/>
    <mergeCell ref="S821:T821"/>
    <mergeCell ref="U821:W821"/>
    <mergeCell ref="S822:T822"/>
    <mergeCell ref="U822:W822"/>
    <mergeCell ref="S823:T823"/>
    <mergeCell ref="U823:W823"/>
    <mergeCell ref="B824:R827"/>
    <mergeCell ref="S824:T824"/>
    <mergeCell ref="U824:W824"/>
    <mergeCell ref="S825:T825"/>
    <mergeCell ref="U825:W825"/>
    <mergeCell ref="S826:T826"/>
    <mergeCell ref="U826:W826"/>
    <mergeCell ref="S827:T827"/>
    <mergeCell ref="U827:W827"/>
    <mergeCell ref="B828:R831"/>
    <mergeCell ref="S828:T828"/>
    <mergeCell ref="A806:B813"/>
    <mergeCell ref="C806:R809"/>
    <mergeCell ref="S806:T806"/>
    <mergeCell ref="U806:W806"/>
    <mergeCell ref="S807:T807"/>
    <mergeCell ref="U807:W807"/>
    <mergeCell ref="S808:T808"/>
    <mergeCell ref="U808:W808"/>
    <mergeCell ref="S809:T809"/>
    <mergeCell ref="U809:W809"/>
    <mergeCell ref="C810:R813"/>
    <mergeCell ref="S810:T810"/>
    <mergeCell ref="U810:W810"/>
    <mergeCell ref="S811:T811"/>
    <mergeCell ref="U811:W811"/>
    <mergeCell ref="S812:T812"/>
    <mergeCell ref="U812:W812"/>
    <mergeCell ref="S813:T813"/>
    <mergeCell ref="U813:W813"/>
    <mergeCell ref="S797:T797"/>
    <mergeCell ref="U797:W797"/>
    <mergeCell ref="S798:T798"/>
    <mergeCell ref="U798:W798"/>
    <mergeCell ref="S799:T799"/>
    <mergeCell ref="U799:W799"/>
    <mergeCell ref="S800:T800"/>
    <mergeCell ref="U800:W800"/>
    <mergeCell ref="S801:T801"/>
    <mergeCell ref="U801:W801"/>
    <mergeCell ref="S802:T802"/>
    <mergeCell ref="U802:W802"/>
    <mergeCell ref="S803:T803"/>
    <mergeCell ref="U803:W803"/>
    <mergeCell ref="S804:T804"/>
    <mergeCell ref="U804:W804"/>
    <mergeCell ref="B805:R805"/>
    <mergeCell ref="S805:W805"/>
    <mergeCell ref="B757:Q757"/>
    <mergeCell ref="R757:T757"/>
    <mergeCell ref="U757:W757"/>
    <mergeCell ref="A784:W784"/>
    <mergeCell ref="A785:W785"/>
    <mergeCell ref="A786:W786"/>
    <mergeCell ref="A787:W787"/>
    <mergeCell ref="A788:R788"/>
    <mergeCell ref="S788:T788"/>
    <mergeCell ref="U788:W788"/>
    <mergeCell ref="A790:R790"/>
    <mergeCell ref="S790:W790"/>
    <mergeCell ref="A791:A805"/>
    <mergeCell ref="B791:R791"/>
    <mergeCell ref="S791:T791"/>
    <mergeCell ref="U791:W791"/>
    <mergeCell ref="B792:R792"/>
    <mergeCell ref="S792:T792"/>
    <mergeCell ref="U792:W792"/>
    <mergeCell ref="B793:R793"/>
    <mergeCell ref="S793:T793"/>
    <mergeCell ref="U793:W793"/>
    <mergeCell ref="B794:R794"/>
    <mergeCell ref="S794:T794"/>
    <mergeCell ref="U794:W794"/>
    <mergeCell ref="B795:R795"/>
    <mergeCell ref="S795:T795"/>
    <mergeCell ref="U795:W795"/>
    <mergeCell ref="B796:R796"/>
    <mergeCell ref="S796:T796"/>
    <mergeCell ref="U796:W796"/>
    <mergeCell ref="B797:R804"/>
    <mergeCell ref="R746:T746"/>
    <mergeCell ref="U746:W746"/>
    <mergeCell ref="C747:Q747"/>
    <mergeCell ref="R747:T747"/>
    <mergeCell ref="U747:W747"/>
    <mergeCell ref="B748:Q748"/>
    <mergeCell ref="R748:T748"/>
    <mergeCell ref="U748:W748"/>
    <mergeCell ref="B749:W749"/>
    <mergeCell ref="A750:B756"/>
    <mergeCell ref="C750:Q750"/>
    <mergeCell ref="R750:T750"/>
    <mergeCell ref="U750:W750"/>
    <mergeCell ref="C751:Q751"/>
    <mergeCell ref="R751:T751"/>
    <mergeCell ref="U751:W751"/>
    <mergeCell ref="C752:Q752"/>
    <mergeCell ref="R752:T752"/>
    <mergeCell ref="U752:W752"/>
    <mergeCell ref="C753:Q753"/>
    <mergeCell ref="R753:T753"/>
    <mergeCell ref="U753:W753"/>
    <mergeCell ref="C754:Q754"/>
    <mergeCell ref="R754:T754"/>
    <mergeCell ref="U754:W754"/>
    <mergeCell ref="C755:Q755"/>
    <mergeCell ref="R755:T755"/>
    <mergeCell ref="U755:W755"/>
    <mergeCell ref="C756:Q756"/>
    <mergeCell ref="R756:T756"/>
    <mergeCell ref="U756:W756"/>
    <mergeCell ref="B721:Q721"/>
    <mergeCell ref="R721:T721"/>
    <mergeCell ref="U721:W721"/>
    <mergeCell ref="B722:Q722"/>
    <mergeCell ref="R722:T722"/>
    <mergeCell ref="U722:W722"/>
    <mergeCell ref="B723:Q723"/>
    <mergeCell ref="R723:T723"/>
    <mergeCell ref="U723:W723"/>
    <mergeCell ref="A736:W736"/>
    <mergeCell ref="A737:W737"/>
    <mergeCell ref="B738:Q738"/>
    <mergeCell ref="R738:T738"/>
    <mergeCell ref="U738:W738"/>
    <mergeCell ref="B740:W740"/>
    <mergeCell ref="A741:B747"/>
    <mergeCell ref="C741:Q741"/>
    <mergeCell ref="R741:T741"/>
    <mergeCell ref="U741:W741"/>
    <mergeCell ref="C742:Q742"/>
    <mergeCell ref="R742:T742"/>
    <mergeCell ref="U742:W742"/>
    <mergeCell ref="C743:Q743"/>
    <mergeCell ref="R743:T743"/>
    <mergeCell ref="U743:W743"/>
    <mergeCell ref="C744:Q744"/>
    <mergeCell ref="R744:T744"/>
    <mergeCell ref="U744:W744"/>
    <mergeCell ref="C745:Q745"/>
    <mergeCell ref="R745:T745"/>
    <mergeCell ref="U745:W745"/>
    <mergeCell ref="C746:Q746"/>
    <mergeCell ref="B715:Q715"/>
    <mergeCell ref="R715:T715"/>
    <mergeCell ref="U715:W715"/>
    <mergeCell ref="B716:Q716"/>
    <mergeCell ref="R716:T716"/>
    <mergeCell ref="U716:W716"/>
    <mergeCell ref="B717:Q717"/>
    <mergeCell ref="R717:T717"/>
    <mergeCell ref="U717:W717"/>
    <mergeCell ref="B718:Q718"/>
    <mergeCell ref="R718:T718"/>
    <mergeCell ref="U718:W718"/>
    <mergeCell ref="B719:Q719"/>
    <mergeCell ref="R719:T719"/>
    <mergeCell ref="U719:W719"/>
    <mergeCell ref="B720:Q720"/>
    <mergeCell ref="R720:T720"/>
    <mergeCell ref="U720:W720"/>
    <mergeCell ref="U683:W683"/>
    <mergeCell ref="A707:W707"/>
    <mergeCell ref="A708:W708"/>
    <mergeCell ref="B709:Q709"/>
    <mergeCell ref="R709:T709"/>
    <mergeCell ref="U709:W709"/>
    <mergeCell ref="A710:W710"/>
    <mergeCell ref="B711:Q711"/>
    <mergeCell ref="R711:T711"/>
    <mergeCell ref="U711:W711"/>
    <mergeCell ref="B712:Q712"/>
    <mergeCell ref="R712:T712"/>
    <mergeCell ref="U712:W712"/>
    <mergeCell ref="B713:Q713"/>
    <mergeCell ref="R713:T713"/>
    <mergeCell ref="U713:W713"/>
    <mergeCell ref="B714:Q714"/>
    <mergeCell ref="R714:T714"/>
    <mergeCell ref="U714:W714"/>
    <mergeCell ref="U673:W673"/>
    <mergeCell ref="D674:T674"/>
    <mergeCell ref="U674:W674"/>
    <mergeCell ref="A675:T675"/>
    <mergeCell ref="U675:W675"/>
    <mergeCell ref="A676:A681"/>
    <mergeCell ref="B676:T676"/>
    <mergeCell ref="U676:W676"/>
    <mergeCell ref="B677:T677"/>
    <mergeCell ref="U677:W677"/>
    <mergeCell ref="B678:T678"/>
    <mergeCell ref="U678:W678"/>
    <mergeCell ref="B679:T679"/>
    <mergeCell ref="U679:W679"/>
    <mergeCell ref="B680:T680"/>
    <mergeCell ref="U680:W680"/>
    <mergeCell ref="B681:T681"/>
    <mergeCell ref="U681:W681"/>
    <mergeCell ref="B651:T651"/>
    <mergeCell ref="U651:W651"/>
    <mergeCell ref="B652:C653"/>
    <mergeCell ref="D652:T652"/>
    <mergeCell ref="U652:W652"/>
    <mergeCell ref="D653:T653"/>
    <mergeCell ref="U653:W653"/>
    <mergeCell ref="A662:T662"/>
    <mergeCell ref="U662:W662"/>
    <mergeCell ref="A663:T663"/>
    <mergeCell ref="U663:W663"/>
    <mergeCell ref="A664:A674"/>
    <mergeCell ref="B664:T664"/>
    <mergeCell ref="U664:W664"/>
    <mergeCell ref="B665:T665"/>
    <mergeCell ref="U665:W665"/>
    <mergeCell ref="B666:T666"/>
    <mergeCell ref="U666:W666"/>
    <mergeCell ref="B667:T667"/>
    <mergeCell ref="U667:W667"/>
    <mergeCell ref="B668:T668"/>
    <mergeCell ref="U668:W668"/>
    <mergeCell ref="B669:T669"/>
    <mergeCell ref="U669:W669"/>
    <mergeCell ref="B670:T670"/>
    <mergeCell ref="U670:W670"/>
    <mergeCell ref="B671:T671"/>
    <mergeCell ref="U671:W671"/>
    <mergeCell ref="B672:C674"/>
    <mergeCell ref="D672:T672"/>
    <mergeCell ref="U672:W672"/>
    <mergeCell ref="D673:T673"/>
    <mergeCell ref="B641:T641"/>
    <mergeCell ref="U641:W641"/>
    <mergeCell ref="B642:C650"/>
    <mergeCell ref="D642:T642"/>
    <mergeCell ref="U642:W642"/>
    <mergeCell ref="D643:T643"/>
    <mergeCell ref="U643:W643"/>
    <mergeCell ref="D644:T644"/>
    <mergeCell ref="U644:W644"/>
    <mergeCell ref="D645:T645"/>
    <mergeCell ref="U645:W645"/>
    <mergeCell ref="D646:T646"/>
    <mergeCell ref="U646:W646"/>
    <mergeCell ref="D647:T647"/>
    <mergeCell ref="U647:W647"/>
    <mergeCell ref="D648:T648"/>
    <mergeCell ref="U648:W648"/>
    <mergeCell ref="D649:T649"/>
    <mergeCell ref="U649:W649"/>
    <mergeCell ref="D650:T650"/>
    <mergeCell ref="U650:W650"/>
    <mergeCell ref="D629:T629"/>
    <mergeCell ref="U629:W629"/>
    <mergeCell ref="D630:T630"/>
    <mergeCell ref="U630:W630"/>
    <mergeCell ref="B631:T631"/>
    <mergeCell ref="U631:W631"/>
    <mergeCell ref="B632:C640"/>
    <mergeCell ref="D632:T632"/>
    <mergeCell ref="U632:W632"/>
    <mergeCell ref="D633:T633"/>
    <mergeCell ref="U633:W633"/>
    <mergeCell ref="D634:T634"/>
    <mergeCell ref="U634:W634"/>
    <mergeCell ref="D635:T635"/>
    <mergeCell ref="U635:W635"/>
    <mergeCell ref="D636:T636"/>
    <mergeCell ref="U636:W636"/>
    <mergeCell ref="D637:T637"/>
    <mergeCell ref="U637:W637"/>
    <mergeCell ref="D638:T638"/>
    <mergeCell ref="U638:W638"/>
    <mergeCell ref="D639:T639"/>
    <mergeCell ref="U639:W639"/>
    <mergeCell ref="D640:T640"/>
    <mergeCell ref="U640:W640"/>
    <mergeCell ref="D620:T620"/>
    <mergeCell ref="U620:W620"/>
    <mergeCell ref="D621:T621"/>
    <mergeCell ref="U621:W621"/>
    <mergeCell ref="D622:T622"/>
    <mergeCell ref="U622:W622"/>
    <mergeCell ref="D623:T623"/>
    <mergeCell ref="U623:W623"/>
    <mergeCell ref="D624:T624"/>
    <mergeCell ref="U624:W624"/>
    <mergeCell ref="D625:T625"/>
    <mergeCell ref="U625:W625"/>
    <mergeCell ref="D626:T626"/>
    <mergeCell ref="U626:W626"/>
    <mergeCell ref="D627:T627"/>
    <mergeCell ref="U627:W627"/>
    <mergeCell ref="D628:T628"/>
    <mergeCell ref="U628:W628"/>
    <mergeCell ref="A606:T606"/>
    <mergeCell ref="U606:W606"/>
    <mergeCell ref="B607:T607"/>
    <mergeCell ref="U607:W607"/>
    <mergeCell ref="B608:B611"/>
    <mergeCell ref="C608:T608"/>
    <mergeCell ref="U608:W608"/>
    <mergeCell ref="C609:C611"/>
    <mergeCell ref="D609:T609"/>
    <mergeCell ref="U609:W609"/>
    <mergeCell ref="D610:T610"/>
    <mergeCell ref="U610:W610"/>
    <mergeCell ref="D611:T611"/>
    <mergeCell ref="U611:W611"/>
    <mergeCell ref="A612:T612"/>
    <mergeCell ref="U612:W612"/>
    <mergeCell ref="A613:A653"/>
    <mergeCell ref="B613:T613"/>
    <mergeCell ref="U613:W613"/>
    <mergeCell ref="B614:C630"/>
    <mergeCell ref="D614:T614"/>
    <mergeCell ref="U614:W614"/>
    <mergeCell ref="D615:T615"/>
    <mergeCell ref="U615:W615"/>
    <mergeCell ref="D616:T616"/>
    <mergeCell ref="U616:W616"/>
    <mergeCell ref="D617:T617"/>
    <mergeCell ref="U617:W617"/>
    <mergeCell ref="D618:T618"/>
    <mergeCell ref="U618:W618"/>
    <mergeCell ref="D619:T619"/>
    <mergeCell ref="U619:W619"/>
    <mergeCell ref="U595:W595"/>
    <mergeCell ref="C596:T596"/>
    <mergeCell ref="U596:W596"/>
    <mergeCell ref="C597:C599"/>
    <mergeCell ref="D597:T597"/>
    <mergeCell ref="U597:W597"/>
    <mergeCell ref="D598:T598"/>
    <mergeCell ref="U598:W598"/>
    <mergeCell ref="D599:T599"/>
    <mergeCell ref="U599:W599"/>
    <mergeCell ref="C600:T600"/>
    <mergeCell ref="U600:W600"/>
    <mergeCell ref="C601:C603"/>
    <mergeCell ref="D601:T601"/>
    <mergeCell ref="U601:W601"/>
    <mergeCell ref="D602:T602"/>
    <mergeCell ref="U602:W602"/>
    <mergeCell ref="D603:T603"/>
    <mergeCell ref="U603:W603"/>
    <mergeCell ref="D582:T582"/>
    <mergeCell ref="U582:W582"/>
    <mergeCell ref="D583:T583"/>
    <mergeCell ref="U583:W583"/>
    <mergeCell ref="D584:T584"/>
    <mergeCell ref="U584:W584"/>
    <mergeCell ref="D585:T585"/>
    <mergeCell ref="U585:W585"/>
    <mergeCell ref="C586:T586"/>
    <mergeCell ref="U586:W586"/>
    <mergeCell ref="C576:C585"/>
    <mergeCell ref="D576:T576"/>
    <mergeCell ref="U576:W576"/>
    <mergeCell ref="D577:T577"/>
    <mergeCell ref="B587:T587"/>
    <mergeCell ref="U587:W587"/>
    <mergeCell ref="B588:B603"/>
    <mergeCell ref="C588:T588"/>
    <mergeCell ref="U588:W588"/>
    <mergeCell ref="C589:T589"/>
    <mergeCell ref="U589:W589"/>
    <mergeCell ref="C590:T590"/>
    <mergeCell ref="U590:W590"/>
    <mergeCell ref="C591:T591"/>
    <mergeCell ref="U591:W591"/>
    <mergeCell ref="C592:T592"/>
    <mergeCell ref="U592:W592"/>
    <mergeCell ref="C593:T593"/>
    <mergeCell ref="U593:W593"/>
    <mergeCell ref="C594:T594"/>
    <mergeCell ref="U594:W594"/>
    <mergeCell ref="C595:T595"/>
    <mergeCell ref="D574:T574"/>
    <mergeCell ref="U574:W574"/>
    <mergeCell ref="C575:T575"/>
    <mergeCell ref="U575:W575"/>
    <mergeCell ref="C565:C574"/>
    <mergeCell ref="D565:T565"/>
    <mergeCell ref="U565:W565"/>
    <mergeCell ref="D566:T566"/>
    <mergeCell ref="U577:W577"/>
    <mergeCell ref="D578:T578"/>
    <mergeCell ref="U578:W578"/>
    <mergeCell ref="D579:T579"/>
    <mergeCell ref="U579:W579"/>
    <mergeCell ref="D580:T580"/>
    <mergeCell ref="U580:W580"/>
    <mergeCell ref="D581:T581"/>
    <mergeCell ref="U581:W581"/>
    <mergeCell ref="U563:W563"/>
    <mergeCell ref="C564:T564"/>
    <mergeCell ref="U564:W564"/>
    <mergeCell ref="U566:W566"/>
    <mergeCell ref="D567:T567"/>
    <mergeCell ref="U567:W567"/>
    <mergeCell ref="D568:T568"/>
    <mergeCell ref="U568:W568"/>
    <mergeCell ref="D569:T569"/>
    <mergeCell ref="U569:W569"/>
    <mergeCell ref="D570:T570"/>
    <mergeCell ref="U570:W570"/>
    <mergeCell ref="D571:T571"/>
    <mergeCell ref="U571:W571"/>
    <mergeCell ref="D572:T572"/>
    <mergeCell ref="U572:W572"/>
    <mergeCell ref="D573:T573"/>
    <mergeCell ref="U573:W573"/>
    <mergeCell ref="U540:W540"/>
    <mergeCell ref="D541:T541"/>
    <mergeCell ref="U541:W541"/>
    <mergeCell ref="A549:T549"/>
    <mergeCell ref="U549:W549"/>
    <mergeCell ref="B551:T551"/>
    <mergeCell ref="U551:W551"/>
    <mergeCell ref="B552:B586"/>
    <mergeCell ref="C552:T552"/>
    <mergeCell ref="U552:W552"/>
    <mergeCell ref="C553:T553"/>
    <mergeCell ref="U553:W553"/>
    <mergeCell ref="C554:T554"/>
    <mergeCell ref="U554:W554"/>
    <mergeCell ref="C555:T555"/>
    <mergeCell ref="U555:W555"/>
    <mergeCell ref="C556:C563"/>
    <mergeCell ref="D556:T556"/>
    <mergeCell ref="U556:W556"/>
    <mergeCell ref="D557:T557"/>
    <mergeCell ref="U557:W557"/>
    <mergeCell ref="D558:T558"/>
    <mergeCell ref="U558:W558"/>
    <mergeCell ref="D559:T559"/>
    <mergeCell ref="U559:W559"/>
    <mergeCell ref="D560:T560"/>
    <mergeCell ref="U560:W560"/>
    <mergeCell ref="D561:T561"/>
    <mergeCell ref="U561:W561"/>
    <mergeCell ref="D562:T562"/>
    <mergeCell ref="U562:W562"/>
    <mergeCell ref="D563:T563"/>
    <mergeCell ref="B527:T527"/>
    <mergeCell ref="U527:W527"/>
    <mergeCell ref="B528:B531"/>
    <mergeCell ref="C528:T528"/>
    <mergeCell ref="U528:W528"/>
    <mergeCell ref="C529:C531"/>
    <mergeCell ref="D529:T529"/>
    <mergeCell ref="U529:W529"/>
    <mergeCell ref="D530:T530"/>
    <mergeCell ref="U530:W530"/>
    <mergeCell ref="D531:T531"/>
    <mergeCell ref="U531:W531"/>
    <mergeCell ref="B532:T532"/>
    <mergeCell ref="U532:W532"/>
    <mergeCell ref="B533:B541"/>
    <mergeCell ref="C533:T533"/>
    <mergeCell ref="U533:W533"/>
    <mergeCell ref="C534:C536"/>
    <mergeCell ref="D534:T534"/>
    <mergeCell ref="U534:W534"/>
    <mergeCell ref="D535:T535"/>
    <mergeCell ref="U535:W535"/>
    <mergeCell ref="D536:T536"/>
    <mergeCell ref="U536:W536"/>
    <mergeCell ref="C537:T537"/>
    <mergeCell ref="U537:W537"/>
    <mergeCell ref="C538:C541"/>
    <mergeCell ref="D538:T538"/>
    <mergeCell ref="U538:W538"/>
    <mergeCell ref="D539:T539"/>
    <mergeCell ref="U539:W539"/>
    <mergeCell ref="D540:T540"/>
    <mergeCell ref="C517:T517"/>
    <mergeCell ref="U517:W517"/>
    <mergeCell ref="C518:C521"/>
    <mergeCell ref="D518:T518"/>
    <mergeCell ref="U518:W518"/>
    <mergeCell ref="D519:T519"/>
    <mergeCell ref="U519:W519"/>
    <mergeCell ref="D520:T520"/>
    <mergeCell ref="U520:W520"/>
    <mergeCell ref="D521:T521"/>
    <mergeCell ref="U521:W521"/>
    <mergeCell ref="B522:T522"/>
    <mergeCell ref="U522:W522"/>
    <mergeCell ref="B523:B526"/>
    <mergeCell ref="C523:T523"/>
    <mergeCell ref="U523:W523"/>
    <mergeCell ref="C524:C526"/>
    <mergeCell ref="D524:T524"/>
    <mergeCell ref="U524:W524"/>
    <mergeCell ref="D525:T525"/>
    <mergeCell ref="U525:W525"/>
    <mergeCell ref="D526:T526"/>
    <mergeCell ref="U526:W526"/>
    <mergeCell ref="C509:T509"/>
    <mergeCell ref="U509:W509"/>
    <mergeCell ref="C510:C512"/>
    <mergeCell ref="D510:T510"/>
    <mergeCell ref="U510:W510"/>
    <mergeCell ref="D511:T511"/>
    <mergeCell ref="U511:W511"/>
    <mergeCell ref="D512:T512"/>
    <mergeCell ref="U512:W512"/>
    <mergeCell ref="C513:T513"/>
    <mergeCell ref="U513:W513"/>
    <mergeCell ref="C514:C516"/>
    <mergeCell ref="D514:T514"/>
    <mergeCell ref="U514:W514"/>
    <mergeCell ref="D515:T515"/>
    <mergeCell ref="U515:W515"/>
    <mergeCell ref="D516:T516"/>
    <mergeCell ref="U516:W516"/>
    <mergeCell ref="A495:T495"/>
    <mergeCell ref="U495:W495"/>
    <mergeCell ref="B496:T496"/>
    <mergeCell ref="U496:W496"/>
    <mergeCell ref="B497:B521"/>
    <mergeCell ref="C497:T497"/>
    <mergeCell ref="U497:W497"/>
    <mergeCell ref="C498:C500"/>
    <mergeCell ref="D498:T498"/>
    <mergeCell ref="U498:W498"/>
    <mergeCell ref="D499:T499"/>
    <mergeCell ref="U499:W499"/>
    <mergeCell ref="D500:T500"/>
    <mergeCell ref="U500:W500"/>
    <mergeCell ref="C501:T501"/>
    <mergeCell ref="U501:W501"/>
    <mergeCell ref="C502:C504"/>
    <mergeCell ref="D502:T502"/>
    <mergeCell ref="U502:W502"/>
    <mergeCell ref="D503:T503"/>
    <mergeCell ref="U503:W503"/>
    <mergeCell ref="D504:T504"/>
    <mergeCell ref="U504:W504"/>
    <mergeCell ref="C505:T505"/>
    <mergeCell ref="U505:W505"/>
    <mergeCell ref="C506:C508"/>
    <mergeCell ref="D506:T506"/>
    <mergeCell ref="U506:W506"/>
    <mergeCell ref="D507:T507"/>
    <mergeCell ref="U507:W507"/>
    <mergeCell ref="D508:T508"/>
    <mergeCell ref="U508:W508"/>
    <mergeCell ref="C482:T482"/>
    <mergeCell ref="U482:W482"/>
    <mergeCell ref="B483:C485"/>
    <mergeCell ref="D483:T483"/>
    <mergeCell ref="U483:W483"/>
    <mergeCell ref="D484:T484"/>
    <mergeCell ref="U484:W484"/>
    <mergeCell ref="D485:T485"/>
    <mergeCell ref="U485:W485"/>
    <mergeCell ref="B486:B490"/>
    <mergeCell ref="C486:T486"/>
    <mergeCell ref="U486:W486"/>
    <mergeCell ref="C487:C490"/>
    <mergeCell ref="D487:T487"/>
    <mergeCell ref="U487:W487"/>
    <mergeCell ref="D488:T488"/>
    <mergeCell ref="U488:W488"/>
    <mergeCell ref="D489:T489"/>
    <mergeCell ref="U489:W489"/>
    <mergeCell ref="D490:T490"/>
    <mergeCell ref="U490:W490"/>
    <mergeCell ref="C472:T472"/>
    <mergeCell ref="U472:W472"/>
    <mergeCell ref="C473:C476"/>
    <mergeCell ref="D473:T473"/>
    <mergeCell ref="U473:W473"/>
    <mergeCell ref="D474:T474"/>
    <mergeCell ref="U474:W474"/>
    <mergeCell ref="D475:T475"/>
    <mergeCell ref="U475:W475"/>
    <mergeCell ref="D476:T476"/>
    <mergeCell ref="U476:W476"/>
    <mergeCell ref="B477:T477"/>
    <mergeCell ref="U477:W477"/>
    <mergeCell ref="B478:B481"/>
    <mergeCell ref="C478:T478"/>
    <mergeCell ref="U478:W478"/>
    <mergeCell ref="C479:C481"/>
    <mergeCell ref="D479:T479"/>
    <mergeCell ref="U479:W479"/>
    <mergeCell ref="D480:T480"/>
    <mergeCell ref="U480:W480"/>
    <mergeCell ref="D481:T481"/>
    <mergeCell ref="U481:W481"/>
    <mergeCell ref="C464:T464"/>
    <mergeCell ref="U464:W464"/>
    <mergeCell ref="D465:T465"/>
    <mergeCell ref="U465:W465"/>
    <mergeCell ref="D466:T466"/>
    <mergeCell ref="U466:W466"/>
    <mergeCell ref="D467:T467"/>
    <mergeCell ref="U467:W467"/>
    <mergeCell ref="C468:T468"/>
    <mergeCell ref="U468:W468"/>
    <mergeCell ref="C469:C471"/>
    <mergeCell ref="D469:T469"/>
    <mergeCell ref="U469:W469"/>
    <mergeCell ref="D470:T470"/>
    <mergeCell ref="U470:W470"/>
    <mergeCell ref="D471:T471"/>
    <mergeCell ref="U471:W471"/>
    <mergeCell ref="A453:T453"/>
    <mergeCell ref="U453:W453"/>
    <mergeCell ref="C454:T454"/>
    <mergeCell ref="U454:W454"/>
    <mergeCell ref="C455:C458"/>
    <mergeCell ref="D455:T455"/>
    <mergeCell ref="U455:W455"/>
    <mergeCell ref="D456:T456"/>
    <mergeCell ref="U456:W456"/>
    <mergeCell ref="D457:T457"/>
    <mergeCell ref="U457:W457"/>
    <mergeCell ref="D458:T458"/>
    <mergeCell ref="U458:W458"/>
    <mergeCell ref="C459:T459"/>
    <mergeCell ref="U459:W459"/>
    <mergeCell ref="C460:C463"/>
    <mergeCell ref="D460:T460"/>
    <mergeCell ref="U460:W460"/>
    <mergeCell ref="D461:T461"/>
    <mergeCell ref="U461:W461"/>
    <mergeCell ref="D462:T462"/>
    <mergeCell ref="U462:W462"/>
    <mergeCell ref="D463:T463"/>
    <mergeCell ref="U463:W463"/>
    <mergeCell ref="C443:T443"/>
    <mergeCell ref="U443:W443"/>
    <mergeCell ref="C444:T444"/>
    <mergeCell ref="U444:W444"/>
    <mergeCell ref="C445:T445"/>
    <mergeCell ref="U445:W445"/>
    <mergeCell ref="C446:T446"/>
    <mergeCell ref="U446:W446"/>
    <mergeCell ref="C447:T447"/>
    <mergeCell ref="U447:W447"/>
    <mergeCell ref="C448:T448"/>
    <mergeCell ref="U448:W448"/>
    <mergeCell ref="C449:C452"/>
    <mergeCell ref="D449:T449"/>
    <mergeCell ref="U449:W449"/>
    <mergeCell ref="D450:T450"/>
    <mergeCell ref="U450:W450"/>
    <mergeCell ref="D451:T451"/>
    <mergeCell ref="U451:W451"/>
    <mergeCell ref="D452:T452"/>
    <mergeCell ref="U452:W452"/>
    <mergeCell ref="A432:W432"/>
    <mergeCell ref="A433:W433"/>
    <mergeCell ref="A434:T434"/>
    <mergeCell ref="U434:W434"/>
    <mergeCell ref="A436:T436"/>
    <mergeCell ref="U436:W437"/>
    <mergeCell ref="B437:T437"/>
    <mergeCell ref="C438:T438"/>
    <mergeCell ref="U438:W438"/>
    <mergeCell ref="C439:T439"/>
    <mergeCell ref="U439:W439"/>
    <mergeCell ref="C440:T440"/>
    <mergeCell ref="U440:W440"/>
    <mergeCell ref="C441:T441"/>
    <mergeCell ref="U441:W441"/>
    <mergeCell ref="C442:T442"/>
    <mergeCell ref="U442:W442"/>
    <mergeCell ref="A388:W388"/>
    <mergeCell ref="A389:W389"/>
    <mergeCell ref="A390:W390"/>
    <mergeCell ref="A391:W391"/>
    <mergeCell ref="A392:W392"/>
    <mergeCell ref="A394:W394"/>
    <mergeCell ref="A396:W396"/>
    <mergeCell ref="A395:W395"/>
    <mergeCell ref="A393:W393"/>
    <mergeCell ref="A397:W397"/>
    <mergeCell ref="A398:W398"/>
    <mergeCell ref="A399:W399"/>
    <mergeCell ref="A400:W400"/>
    <mergeCell ref="A401:W401"/>
    <mergeCell ref="A402:W402"/>
    <mergeCell ref="A403:W403"/>
    <mergeCell ref="A404:W404"/>
    <mergeCell ref="A371:W371"/>
    <mergeCell ref="A372:W372"/>
    <mergeCell ref="A373:W373"/>
    <mergeCell ref="A374:W374"/>
    <mergeCell ref="A375:W375"/>
    <mergeCell ref="A376:W376"/>
    <mergeCell ref="A377:W377"/>
    <mergeCell ref="A378:W378"/>
    <mergeCell ref="A379:W379"/>
    <mergeCell ref="A380:W380"/>
    <mergeCell ref="A381:W381"/>
    <mergeCell ref="A382:W382"/>
    <mergeCell ref="A383:W383"/>
    <mergeCell ref="A384:W384"/>
    <mergeCell ref="A385:W385"/>
    <mergeCell ref="A386:W386"/>
    <mergeCell ref="A387:W387"/>
    <mergeCell ref="A354:W354"/>
    <mergeCell ref="A355:W355"/>
    <mergeCell ref="A356:W356"/>
    <mergeCell ref="A357:W357"/>
    <mergeCell ref="A358:W358"/>
    <mergeCell ref="A359:W359"/>
    <mergeCell ref="A360:W360"/>
    <mergeCell ref="A361:W361"/>
    <mergeCell ref="A362:W362"/>
    <mergeCell ref="A363:W363"/>
    <mergeCell ref="A364:W364"/>
    <mergeCell ref="A365:W365"/>
    <mergeCell ref="A366:W366"/>
    <mergeCell ref="A367:W367"/>
    <mergeCell ref="A368:W368"/>
    <mergeCell ref="A369:W369"/>
    <mergeCell ref="A370:W370"/>
    <mergeCell ref="A341:W341"/>
    <mergeCell ref="A343:W343"/>
    <mergeCell ref="A344:W344"/>
    <mergeCell ref="A345:W345"/>
    <mergeCell ref="A346:W346"/>
    <mergeCell ref="A327:W327"/>
    <mergeCell ref="A329:W329"/>
    <mergeCell ref="A331:W331"/>
    <mergeCell ref="A333:W333"/>
    <mergeCell ref="A335:W335"/>
    <mergeCell ref="A347:W347"/>
    <mergeCell ref="A348:W348"/>
    <mergeCell ref="A349:W349"/>
    <mergeCell ref="A350:W350"/>
    <mergeCell ref="A351:W351"/>
    <mergeCell ref="A352:W352"/>
    <mergeCell ref="A353:W353"/>
    <mergeCell ref="A338:W338"/>
    <mergeCell ref="A340:W340"/>
    <mergeCell ref="A342:W342"/>
    <mergeCell ref="A328:W328"/>
    <mergeCell ref="A330:W330"/>
    <mergeCell ref="A332:W332"/>
    <mergeCell ref="A334:W334"/>
    <mergeCell ref="A336:W336"/>
    <mergeCell ref="A339:W339"/>
    <mergeCell ref="A313:W313"/>
    <mergeCell ref="A291:W291"/>
    <mergeCell ref="A293:W293"/>
    <mergeCell ref="A295:W295"/>
    <mergeCell ref="A297:W297"/>
    <mergeCell ref="A299:W299"/>
    <mergeCell ref="A301:W301"/>
    <mergeCell ref="A300:W300"/>
    <mergeCell ref="A302:W302"/>
    <mergeCell ref="A304:W304"/>
    <mergeCell ref="A337:W337"/>
    <mergeCell ref="A315:W315"/>
    <mergeCell ref="A317:W317"/>
    <mergeCell ref="A319:W319"/>
    <mergeCell ref="A321:W321"/>
    <mergeCell ref="A323:W323"/>
    <mergeCell ref="A325:W325"/>
    <mergeCell ref="A322:W322"/>
    <mergeCell ref="A324:W324"/>
    <mergeCell ref="A326:W326"/>
    <mergeCell ref="A269:W269"/>
    <mergeCell ref="A270:W270"/>
    <mergeCell ref="A271:W271"/>
    <mergeCell ref="A272:W272"/>
    <mergeCell ref="A273:W273"/>
    <mergeCell ref="A274:W274"/>
    <mergeCell ref="A275:W275"/>
    <mergeCell ref="A276:W276"/>
    <mergeCell ref="A277:W277"/>
    <mergeCell ref="A278:W278"/>
    <mergeCell ref="A279:W279"/>
    <mergeCell ref="A281:W281"/>
    <mergeCell ref="A283:W283"/>
    <mergeCell ref="A285:W285"/>
    <mergeCell ref="A287:W287"/>
    <mergeCell ref="A289:W289"/>
    <mergeCell ref="A280:W280"/>
    <mergeCell ref="A282:W282"/>
    <mergeCell ref="A284:W284"/>
    <mergeCell ref="A286:W286"/>
    <mergeCell ref="A252:W252"/>
    <mergeCell ref="A253:W253"/>
    <mergeCell ref="A254:W254"/>
    <mergeCell ref="A255:W255"/>
    <mergeCell ref="A256:W256"/>
    <mergeCell ref="A257:W257"/>
    <mergeCell ref="A258:W258"/>
    <mergeCell ref="A259:W259"/>
    <mergeCell ref="A260:W260"/>
    <mergeCell ref="A261:W261"/>
    <mergeCell ref="A262:W262"/>
    <mergeCell ref="A263:W263"/>
    <mergeCell ref="A264:W264"/>
    <mergeCell ref="A265:W265"/>
    <mergeCell ref="A266:W266"/>
    <mergeCell ref="A267:W267"/>
    <mergeCell ref="A268:W268"/>
    <mergeCell ref="A235:W235"/>
    <mergeCell ref="A236:W236"/>
    <mergeCell ref="A237:W237"/>
    <mergeCell ref="A238:W238"/>
    <mergeCell ref="A239:W239"/>
    <mergeCell ref="A240:W240"/>
    <mergeCell ref="A241:W241"/>
    <mergeCell ref="A242:W242"/>
    <mergeCell ref="A243:W243"/>
    <mergeCell ref="A244:W244"/>
    <mergeCell ref="A245:W245"/>
    <mergeCell ref="A246:W246"/>
    <mergeCell ref="A247:W247"/>
    <mergeCell ref="A248:W248"/>
    <mergeCell ref="A249:W249"/>
    <mergeCell ref="A250:W250"/>
    <mergeCell ref="A251:W251"/>
    <mergeCell ref="A218:W218"/>
    <mergeCell ref="A219:W219"/>
    <mergeCell ref="A220:W220"/>
    <mergeCell ref="A221:W221"/>
    <mergeCell ref="A222:W222"/>
    <mergeCell ref="A223:W223"/>
    <mergeCell ref="A224:W224"/>
    <mergeCell ref="A225:W225"/>
    <mergeCell ref="A226:W226"/>
    <mergeCell ref="A227:W227"/>
    <mergeCell ref="A228:W228"/>
    <mergeCell ref="A229:W229"/>
    <mergeCell ref="A230:W230"/>
    <mergeCell ref="A231:W231"/>
    <mergeCell ref="A232:W232"/>
    <mergeCell ref="A233:W233"/>
    <mergeCell ref="A234:W234"/>
    <mergeCell ref="A201:W201"/>
    <mergeCell ref="A202:W202"/>
    <mergeCell ref="A203:W203"/>
    <mergeCell ref="A204:W204"/>
    <mergeCell ref="A205:W205"/>
    <mergeCell ref="A206:W206"/>
    <mergeCell ref="A207:W207"/>
    <mergeCell ref="A208:W208"/>
    <mergeCell ref="A209:W209"/>
    <mergeCell ref="A210:W210"/>
    <mergeCell ref="A211:W211"/>
    <mergeCell ref="A212:W212"/>
    <mergeCell ref="A213:W213"/>
    <mergeCell ref="A214:W214"/>
    <mergeCell ref="A215:W215"/>
    <mergeCell ref="A216:W216"/>
    <mergeCell ref="A217:W217"/>
    <mergeCell ref="A184:W184"/>
    <mergeCell ref="A185:W185"/>
    <mergeCell ref="A186:W186"/>
    <mergeCell ref="A187:W187"/>
    <mergeCell ref="A188:W188"/>
    <mergeCell ref="A189:W189"/>
    <mergeCell ref="A190:W190"/>
    <mergeCell ref="A191:W191"/>
    <mergeCell ref="A192:W192"/>
    <mergeCell ref="A193:W193"/>
    <mergeCell ref="A194:W194"/>
    <mergeCell ref="A195:W195"/>
    <mergeCell ref="A196:W196"/>
    <mergeCell ref="A197:W197"/>
    <mergeCell ref="A198:W198"/>
    <mergeCell ref="A199:W199"/>
    <mergeCell ref="A200:W200"/>
    <mergeCell ref="A167:W167"/>
    <mergeCell ref="A168:W168"/>
    <mergeCell ref="A169:W169"/>
    <mergeCell ref="A170:W170"/>
    <mergeCell ref="A171:W171"/>
    <mergeCell ref="A172:W172"/>
    <mergeCell ref="A173:W173"/>
    <mergeCell ref="A174:W174"/>
    <mergeCell ref="A175:W175"/>
    <mergeCell ref="A176:W176"/>
    <mergeCell ref="A177:W177"/>
    <mergeCell ref="A178:W178"/>
    <mergeCell ref="A179:W179"/>
    <mergeCell ref="A180:W180"/>
    <mergeCell ref="A181:W181"/>
    <mergeCell ref="A182:W182"/>
    <mergeCell ref="A183:W183"/>
    <mergeCell ref="A150:W150"/>
    <mergeCell ref="A151:W151"/>
    <mergeCell ref="A152:W152"/>
    <mergeCell ref="A153:W153"/>
    <mergeCell ref="A154:W154"/>
    <mergeCell ref="A155:W155"/>
    <mergeCell ref="A156:W156"/>
    <mergeCell ref="A157:W157"/>
    <mergeCell ref="A158:W158"/>
    <mergeCell ref="A159:W159"/>
    <mergeCell ref="A160:W160"/>
    <mergeCell ref="A161:W161"/>
    <mergeCell ref="A162:W162"/>
    <mergeCell ref="A163:W163"/>
    <mergeCell ref="A164:W164"/>
    <mergeCell ref="A165:W165"/>
    <mergeCell ref="A166:W166"/>
    <mergeCell ref="A133:W133"/>
    <mergeCell ref="A134:W134"/>
    <mergeCell ref="A135:W135"/>
    <mergeCell ref="A136:W136"/>
    <mergeCell ref="A137:W137"/>
    <mergeCell ref="A138:W138"/>
    <mergeCell ref="A139:W139"/>
    <mergeCell ref="A140:W140"/>
    <mergeCell ref="A141:W141"/>
    <mergeCell ref="A142:W142"/>
    <mergeCell ref="A143:W143"/>
    <mergeCell ref="A144:W144"/>
    <mergeCell ref="A145:W145"/>
    <mergeCell ref="A146:W146"/>
    <mergeCell ref="A147:W147"/>
    <mergeCell ref="A148:W148"/>
    <mergeCell ref="A149:W149"/>
    <mergeCell ref="A116:W116"/>
    <mergeCell ref="A117:W117"/>
    <mergeCell ref="A118:W118"/>
    <mergeCell ref="A119:W119"/>
    <mergeCell ref="A120:W120"/>
    <mergeCell ref="A121:W121"/>
    <mergeCell ref="A122:W122"/>
    <mergeCell ref="A123:W123"/>
    <mergeCell ref="A124:W124"/>
    <mergeCell ref="A125:W125"/>
    <mergeCell ref="A126:W126"/>
    <mergeCell ref="A127:W127"/>
    <mergeCell ref="A128:W128"/>
    <mergeCell ref="A129:W129"/>
    <mergeCell ref="A130:W130"/>
    <mergeCell ref="A131:W131"/>
    <mergeCell ref="A132:W132"/>
    <mergeCell ref="A99:W99"/>
    <mergeCell ref="A100:W100"/>
    <mergeCell ref="A101:W101"/>
    <mergeCell ref="A102:W102"/>
    <mergeCell ref="A103:W103"/>
    <mergeCell ref="A104:W104"/>
    <mergeCell ref="A105:W105"/>
    <mergeCell ref="A106:W106"/>
    <mergeCell ref="A107:W107"/>
    <mergeCell ref="A108:W108"/>
    <mergeCell ref="A109:W109"/>
    <mergeCell ref="A110:W110"/>
    <mergeCell ref="A111:W111"/>
    <mergeCell ref="A112:W112"/>
    <mergeCell ref="A113:W113"/>
    <mergeCell ref="A114:W114"/>
    <mergeCell ref="A115:W115"/>
    <mergeCell ref="A82:W82"/>
    <mergeCell ref="A83:W83"/>
    <mergeCell ref="A84:W84"/>
    <mergeCell ref="A85:W85"/>
    <mergeCell ref="A86:W86"/>
    <mergeCell ref="A87:W87"/>
    <mergeCell ref="A88:W88"/>
    <mergeCell ref="A89:W89"/>
    <mergeCell ref="A90:W90"/>
    <mergeCell ref="A91:W91"/>
    <mergeCell ref="A92:W92"/>
    <mergeCell ref="A93:W93"/>
    <mergeCell ref="A94:W94"/>
    <mergeCell ref="A95:W95"/>
    <mergeCell ref="A96:W96"/>
    <mergeCell ref="A97:W97"/>
    <mergeCell ref="A98:W98"/>
    <mergeCell ref="R68:T68"/>
    <mergeCell ref="U68:W68"/>
    <mergeCell ref="R69:T69"/>
    <mergeCell ref="U69:W69"/>
    <mergeCell ref="R70:T70"/>
    <mergeCell ref="U70:W70"/>
    <mergeCell ref="A71:W71"/>
    <mergeCell ref="A72:W72"/>
    <mergeCell ref="A73:W73"/>
    <mergeCell ref="A74:W74"/>
    <mergeCell ref="A75:W75"/>
    <mergeCell ref="A76:W76"/>
    <mergeCell ref="A77:W77"/>
    <mergeCell ref="A78:W78"/>
    <mergeCell ref="A79:W79"/>
    <mergeCell ref="A80:W80"/>
    <mergeCell ref="A81:W81"/>
    <mergeCell ref="A59:W59"/>
    <mergeCell ref="R60:T60"/>
    <mergeCell ref="U60:W60"/>
    <mergeCell ref="R61:T61"/>
    <mergeCell ref="U61:W61"/>
    <mergeCell ref="R62:T62"/>
    <mergeCell ref="U62:W62"/>
    <mergeCell ref="R63:T63"/>
    <mergeCell ref="U63:W63"/>
    <mergeCell ref="R64:T64"/>
    <mergeCell ref="U64:W64"/>
    <mergeCell ref="R65:T65"/>
    <mergeCell ref="U65:W65"/>
    <mergeCell ref="R66:T66"/>
    <mergeCell ref="U66:W66"/>
    <mergeCell ref="R67:T67"/>
    <mergeCell ref="U67:W67"/>
    <mergeCell ref="B49:T49"/>
    <mergeCell ref="U49:W49"/>
    <mergeCell ref="B50:T50"/>
    <mergeCell ref="U50:W50"/>
    <mergeCell ref="B51:T51"/>
    <mergeCell ref="U51:W51"/>
    <mergeCell ref="A52:W52"/>
    <mergeCell ref="A53:W53"/>
    <mergeCell ref="R54:T54"/>
    <mergeCell ref="U54:W54"/>
    <mergeCell ref="R55:T55"/>
    <mergeCell ref="U55:W55"/>
    <mergeCell ref="R56:T56"/>
    <mergeCell ref="U56:W56"/>
    <mergeCell ref="R57:T57"/>
    <mergeCell ref="U57:W57"/>
    <mergeCell ref="R58:T58"/>
    <mergeCell ref="U58:W58"/>
    <mergeCell ref="A35:W35"/>
    <mergeCell ref="A36:W36"/>
    <mergeCell ref="A37:W37"/>
    <mergeCell ref="A38:W38"/>
    <mergeCell ref="A39:W39"/>
    <mergeCell ref="A40:W40"/>
    <mergeCell ref="A41:W41"/>
    <mergeCell ref="A42:W42"/>
    <mergeCell ref="A43:W43"/>
    <mergeCell ref="A44:W44"/>
    <mergeCell ref="B45:T45"/>
    <mergeCell ref="U45:W45"/>
    <mergeCell ref="B46:T46"/>
    <mergeCell ref="U46:W46"/>
    <mergeCell ref="B47:T47"/>
    <mergeCell ref="U47:W47"/>
    <mergeCell ref="B48:T48"/>
    <mergeCell ref="U48:W48"/>
    <mergeCell ref="A18:W18"/>
    <mergeCell ref="A19:W19"/>
    <mergeCell ref="A20:W20"/>
    <mergeCell ref="A21:W21"/>
    <mergeCell ref="A22:W22"/>
    <mergeCell ref="A23:W23"/>
    <mergeCell ref="A24:W24"/>
    <mergeCell ref="A25:W25"/>
    <mergeCell ref="A26:W26"/>
    <mergeCell ref="A27:W27"/>
    <mergeCell ref="A28:W28"/>
    <mergeCell ref="A29:W29"/>
    <mergeCell ref="A30:W30"/>
    <mergeCell ref="A31:W31"/>
    <mergeCell ref="A32:W32"/>
    <mergeCell ref="A33:W33"/>
    <mergeCell ref="A34:W34"/>
    <mergeCell ref="A1:W1"/>
    <mergeCell ref="A2:W2"/>
    <mergeCell ref="A3:W3"/>
    <mergeCell ref="A4:W4"/>
    <mergeCell ref="A5:W5"/>
    <mergeCell ref="A6:W6"/>
    <mergeCell ref="A7:W7"/>
    <mergeCell ref="A8:W8"/>
    <mergeCell ref="A9:W9"/>
    <mergeCell ref="A10:W10"/>
    <mergeCell ref="A11:W11"/>
    <mergeCell ref="A12:W12"/>
    <mergeCell ref="A13:W13"/>
    <mergeCell ref="A14:W14"/>
    <mergeCell ref="A15:W15"/>
    <mergeCell ref="A16:W16"/>
    <mergeCell ref="A17:W17"/>
  </mergeCells>
  <pageMargins left="0.70866141732283472" right="0.70866141732283472" top="0.74803149606299213" bottom="0.74803149606299213" header="0.31496062992125984" footer="0.31496062992125984"/>
  <pageSetup paperSize="9" orientation="portrait" r:id="rId1"/>
  <headerFooter>
    <oddFooter>Sayfa &amp;P / &amp;N</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1833"/>
  <sheetViews>
    <sheetView topLeftCell="A248" zoomScale="89" zoomScaleNormal="89" workbookViewId="0">
      <selection activeCell="C190" sqref="C190:E190"/>
    </sheetView>
  </sheetViews>
  <sheetFormatPr defaultRowHeight="12.75"/>
  <cols>
    <col min="1" max="1" width="5.140625" style="475" customWidth="1"/>
    <col min="2" max="2" width="4.5703125" style="310" customWidth="1"/>
    <col min="3" max="3" width="17.7109375" style="453" customWidth="1"/>
    <col min="4" max="4" width="2.7109375" style="457" customWidth="1"/>
    <col min="5" max="5" width="26.7109375" style="457" customWidth="1"/>
    <col min="6" max="6" width="1.7109375" style="99" customWidth="1"/>
    <col min="7" max="7" width="1.7109375" style="292" customWidth="1"/>
    <col min="8" max="8" width="6.42578125" style="292" customWidth="1"/>
    <col min="9" max="12" width="4.140625" style="292" customWidth="1"/>
    <col min="13" max="15" width="4.140625" style="99" customWidth="1"/>
    <col min="16" max="16" width="1.28515625" style="185" customWidth="1"/>
    <col min="17" max="25" width="4.7109375" style="185" customWidth="1"/>
    <col min="26" max="26" width="3.85546875" style="185" customWidth="1"/>
    <col min="27" max="16384" width="9.140625" style="185"/>
  </cols>
  <sheetData>
    <row r="1" spans="1:16">
      <c r="A1" s="1538" t="s">
        <v>1011</v>
      </c>
      <c r="B1" s="1538"/>
      <c r="C1" s="1538"/>
      <c r="D1" s="1538"/>
      <c r="E1" s="1538"/>
      <c r="F1" s="1538"/>
      <c r="G1" s="1538"/>
      <c r="H1" s="1538"/>
      <c r="I1" s="1538"/>
      <c r="J1" s="1538"/>
      <c r="K1" s="1538"/>
      <c r="L1" s="1538"/>
      <c r="M1" s="1538"/>
      <c r="N1" s="1538"/>
      <c r="O1" s="1538"/>
      <c r="P1" s="1538"/>
    </row>
    <row r="2" spans="1:16" ht="15" customHeight="1">
      <c r="A2" s="1538" t="s">
        <v>583</v>
      </c>
      <c r="B2" s="1538"/>
      <c r="C2" s="1538"/>
      <c r="D2" s="1538"/>
      <c r="E2" s="1538"/>
      <c r="F2" s="1538"/>
      <c r="G2" s="1538"/>
      <c r="H2" s="1538"/>
      <c r="I2" s="1538"/>
      <c r="J2" s="1538"/>
      <c r="K2" s="1538"/>
      <c r="L2" s="1538"/>
      <c r="M2" s="1538"/>
      <c r="N2" s="1538"/>
      <c r="O2" s="1538"/>
      <c r="P2" s="1538"/>
    </row>
    <row r="3" spans="1:16">
      <c r="A3" s="1411" t="s">
        <v>1012</v>
      </c>
      <c r="B3" s="1411"/>
      <c r="C3" s="1411"/>
      <c r="D3" s="1411"/>
      <c r="E3" s="1411"/>
      <c r="F3" s="1411"/>
      <c r="G3" s="1411"/>
      <c r="H3" s="1411"/>
      <c r="I3" s="1411"/>
      <c r="J3" s="1411"/>
      <c r="K3" s="1411"/>
      <c r="L3" s="1411"/>
      <c r="M3" s="1411"/>
      <c r="N3" s="1411"/>
      <c r="O3" s="1411"/>
      <c r="P3" s="1411"/>
    </row>
    <row r="4" spans="1:16" ht="57" customHeight="1">
      <c r="A4" s="1425" t="s">
        <v>1013</v>
      </c>
      <c r="B4" s="1425"/>
      <c r="C4" s="1425"/>
      <c r="D4" s="1425"/>
      <c r="E4" s="1425"/>
      <c r="F4" s="1425"/>
      <c r="G4" s="1425"/>
      <c r="H4" s="1425"/>
      <c r="I4" s="1425"/>
      <c r="J4" s="1425"/>
      <c r="K4" s="1425"/>
      <c r="L4" s="1425"/>
      <c r="M4" s="1425"/>
      <c r="N4" s="1425"/>
      <c r="O4" s="1425"/>
      <c r="P4" s="1425"/>
    </row>
    <row r="5" spans="1:16" ht="15">
      <c r="A5" s="1539" t="s">
        <v>1014</v>
      </c>
      <c r="B5" s="1539"/>
      <c r="C5" s="1539"/>
      <c r="D5" s="1539"/>
      <c r="E5" s="1539"/>
      <c r="F5" s="1539"/>
      <c r="G5" s="1539"/>
      <c r="H5" s="1539"/>
      <c r="I5" s="1539"/>
      <c r="J5" s="1539"/>
      <c r="K5" s="1539"/>
      <c r="L5" s="1539"/>
      <c r="M5" s="1539"/>
      <c r="N5" s="1539"/>
      <c r="O5" s="1539"/>
      <c r="P5" s="1539"/>
    </row>
    <row r="7" spans="1:16">
      <c r="A7" s="1511" t="s">
        <v>1015</v>
      </c>
      <c r="B7" s="1511"/>
      <c r="C7" s="1511"/>
      <c r="D7" s="1511"/>
      <c r="E7" s="1511"/>
      <c r="F7" s="1511"/>
      <c r="G7" s="1511"/>
      <c r="H7" s="1511"/>
      <c r="I7" s="1511"/>
      <c r="J7" s="1511"/>
      <c r="K7" s="1511"/>
      <c r="L7" s="1511"/>
      <c r="M7" s="1511"/>
      <c r="N7" s="1511"/>
      <c r="O7" s="1511"/>
      <c r="P7" s="1511"/>
    </row>
    <row r="8" spans="1:16" ht="27.75" customHeight="1">
      <c r="A8" s="1510" t="s">
        <v>1016</v>
      </c>
      <c r="B8" s="1510"/>
      <c r="C8" s="1510"/>
      <c r="D8" s="1510"/>
      <c r="E8" s="1510"/>
      <c r="F8" s="1510"/>
      <c r="G8" s="1510"/>
      <c r="H8" s="1510"/>
      <c r="I8" s="1510"/>
      <c r="J8" s="1510"/>
      <c r="K8" s="1510"/>
      <c r="L8" s="1510"/>
      <c r="M8" s="1510"/>
      <c r="N8" s="1510"/>
      <c r="O8" s="1510"/>
      <c r="P8" s="1510"/>
    </row>
    <row r="9" spans="1:16" ht="18.75" customHeight="1">
      <c r="A9" s="1540" t="s">
        <v>2093</v>
      </c>
      <c r="B9" s="1540"/>
      <c r="C9" s="1540"/>
      <c r="D9" s="1540"/>
      <c r="E9" s="1540"/>
      <c r="F9" s="1540"/>
      <c r="G9" s="1540"/>
      <c r="H9" s="1540"/>
      <c r="I9" s="1540"/>
      <c r="J9" s="1540"/>
      <c r="K9" s="1540"/>
      <c r="L9" s="1540"/>
      <c r="M9" s="1540"/>
      <c r="N9" s="1540"/>
      <c r="O9" s="1540"/>
      <c r="P9" s="1540"/>
    </row>
    <row r="10" spans="1:16" ht="12.75" customHeight="1">
      <c r="A10" s="1536" t="s">
        <v>2094</v>
      </c>
      <c r="B10" s="1536"/>
      <c r="C10" s="1510"/>
      <c r="D10" s="1510"/>
      <c r="E10" s="1510"/>
      <c r="F10" s="1510"/>
      <c r="G10" s="1510"/>
      <c r="H10" s="1510"/>
      <c r="I10" s="1510"/>
      <c r="J10" s="1510"/>
      <c r="K10" s="1510"/>
      <c r="L10" s="1510"/>
      <c r="M10" s="1510"/>
      <c r="N10" s="1510"/>
      <c r="O10" s="1510"/>
      <c r="P10" s="1510"/>
    </row>
    <row r="11" spans="1:16" ht="15" customHeight="1">
      <c r="A11" s="1536" t="s">
        <v>2090</v>
      </c>
      <c r="B11" s="1536"/>
      <c r="C11" s="1536"/>
      <c r="D11" s="1536"/>
      <c r="E11" s="1536"/>
      <c r="F11" s="1536"/>
      <c r="G11" s="1536"/>
      <c r="H11" s="1536"/>
      <c r="I11" s="1536"/>
      <c r="J11" s="1536"/>
      <c r="K11" s="1536"/>
      <c r="L11" s="1536"/>
      <c r="M11" s="1536"/>
      <c r="N11" s="1536"/>
      <c r="O11" s="1536"/>
      <c r="P11" s="1536"/>
    </row>
    <row r="12" spans="1:16" ht="41.25" customHeight="1">
      <c r="A12" s="1415" t="s">
        <v>2091</v>
      </c>
      <c r="B12" s="1415"/>
      <c r="C12" s="1302"/>
      <c r="D12" s="1302"/>
      <c r="E12" s="1302"/>
      <c r="F12" s="1302"/>
      <c r="G12" s="1302"/>
      <c r="H12" s="1302"/>
      <c r="I12" s="1302"/>
      <c r="J12" s="1302"/>
      <c r="K12" s="1302"/>
      <c r="L12" s="1302"/>
      <c r="M12" s="1302"/>
      <c r="N12" s="1302"/>
      <c r="O12" s="1302"/>
      <c r="P12" s="1302"/>
    </row>
    <row r="13" spans="1:16" ht="29.25" customHeight="1">
      <c r="A13" s="1536" t="s">
        <v>2092</v>
      </c>
      <c r="B13" s="1536"/>
      <c r="C13" s="1510"/>
      <c r="D13" s="1510"/>
      <c r="E13" s="1510"/>
      <c r="F13" s="1510"/>
      <c r="G13" s="1510"/>
      <c r="H13" s="1510"/>
      <c r="I13" s="1510"/>
      <c r="J13" s="1510"/>
      <c r="K13" s="1510"/>
      <c r="L13" s="1510"/>
      <c r="M13" s="1510"/>
      <c r="N13" s="1510"/>
      <c r="O13" s="1510"/>
      <c r="P13" s="1510"/>
    </row>
    <row r="14" spans="1:16">
      <c r="A14" s="1536" t="s">
        <v>2095</v>
      </c>
      <c r="B14" s="1536"/>
      <c r="C14" s="1536"/>
      <c r="D14" s="1536"/>
      <c r="E14" s="1536"/>
      <c r="F14" s="1536"/>
      <c r="G14" s="1536"/>
      <c r="H14" s="1536"/>
      <c r="I14" s="1536"/>
      <c r="J14" s="1536"/>
      <c r="K14" s="1536"/>
      <c r="L14" s="1536"/>
      <c r="M14" s="1536"/>
      <c r="N14" s="1536"/>
      <c r="O14" s="1536"/>
      <c r="P14" s="1536"/>
    </row>
    <row r="15" spans="1:16">
      <c r="A15" s="1511" t="s">
        <v>2096</v>
      </c>
      <c r="B15" s="1511"/>
      <c r="C15" s="1511"/>
      <c r="D15" s="1511"/>
      <c r="E15" s="1511"/>
      <c r="F15" s="1511"/>
      <c r="G15" s="1511"/>
      <c r="H15" s="1511"/>
      <c r="I15" s="1511"/>
      <c r="J15" s="1511"/>
      <c r="K15" s="1511"/>
      <c r="L15" s="1511"/>
      <c r="M15" s="1511"/>
      <c r="N15" s="1511"/>
      <c r="O15" s="1511"/>
      <c r="P15" s="1511"/>
    </row>
    <row r="16" spans="1:16" ht="27" customHeight="1">
      <c r="A16" s="1415" t="s">
        <v>2111</v>
      </c>
      <c r="B16" s="1302"/>
      <c r="C16" s="1302"/>
      <c r="D16" s="1302"/>
      <c r="E16" s="1302"/>
      <c r="F16" s="1302"/>
      <c r="G16" s="1302"/>
      <c r="H16" s="1302"/>
      <c r="I16" s="1302"/>
      <c r="J16" s="1302"/>
      <c r="K16" s="1302"/>
      <c r="L16" s="1302"/>
      <c r="M16" s="1302"/>
      <c r="N16" s="1302"/>
      <c r="O16" s="1302"/>
      <c r="P16" s="1302"/>
    </row>
    <row r="17" spans="1:16" ht="41.25" customHeight="1">
      <c r="A17" s="1536" t="s">
        <v>2112</v>
      </c>
      <c r="B17" s="1510"/>
      <c r="C17" s="1510"/>
      <c r="D17" s="1510"/>
      <c r="E17" s="1510"/>
      <c r="F17" s="1510"/>
      <c r="G17" s="1510"/>
      <c r="H17" s="1510"/>
      <c r="I17" s="1510"/>
      <c r="J17" s="1510"/>
      <c r="K17" s="1510"/>
      <c r="L17" s="1510"/>
      <c r="M17" s="1510"/>
      <c r="N17" s="1510"/>
      <c r="O17" s="1510"/>
      <c r="P17" s="1510"/>
    </row>
    <row r="18" spans="1:16" ht="44.25" customHeight="1">
      <c r="A18" s="1536" t="s">
        <v>2113</v>
      </c>
      <c r="B18" s="1510"/>
      <c r="C18" s="1510"/>
      <c r="D18" s="1510"/>
      <c r="E18" s="1510"/>
      <c r="F18" s="1510"/>
      <c r="G18" s="1510"/>
      <c r="H18" s="1510"/>
      <c r="I18" s="1510"/>
      <c r="J18" s="1510"/>
      <c r="K18" s="1510"/>
      <c r="L18" s="1510"/>
      <c r="M18" s="1510"/>
      <c r="N18" s="1510"/>
      <c r="O18" s="1510"/>
      <c r="P18" s="1510"/>
    </row>
    <row r="19" spans="1:16">
      <c r="A19" s="1511" t="s">
        <v>1017</v>
      </c>
      <c r="B19" s="1511"/>
      <c r="C19" s="1511"/>
      <c r="D19" s="1511"/>
      <c r="E19" s="1511"/>
      <c r="F19" s="1511"/>
      <c r="G19" s="1511"/>
      <c r="H19" s="1511"/>
      <c r="I19" s="1511"/>
      <c r="J19" s="1511"/>
      <c r="K19" s="1511"/>
      <c r="L19" s="1511"/>
      <c r="M19" s="1511"/>
      <c r="N19" s="1511"/>
      <c r="O19" s="1511"/>
      <c r="P19" s="1511"/>
    </row>
    <row r="20" spans="1:16" ht="41.25" customHeight="1">
      <c r="A20" s="1536" t="s">
        <v>2114</v>
      </c>
      <c r="B20" s="1510"/>
      <c r="C20" s="1510"/>
      <c r="D20" s="1510"/>
      <c r="E20" s="1510"/>
      <c r="F20" s="1510"/>
      <c r="G20" s="1510"/>
      <c r="H20" s="1510"/>
      <c r="I20" s="1510"/>
      <c r="J20" s="1510"/>
      <c r="K20" s="1510"/>
      <c r="L20" s="1510"/>
      <c r="M20" s="1510"/>
      <c r="N20" s="1510"/>
      <c r="O20" s="1510"/>
      <c r="P20" s="1510"/>
    </row>
    <row r="21" spans="1:16" ht="18" customHeight="1">
      <c r="A21" s="1536" t="s">
        <v>2115</v>
      </c>
      <c r="B21" s="1510"/>
      <c r="C21" s="1510"/>
      <c r="D21" s="1510"/>
      <c r="E21" s="1510"/>
      <c r="F21" s="1510"/>
      <c r="G21" s="1510"/>
      <c r="H21" s="1510"/>
      <c r="I21" s="1510"/>
      <c r="J21" s="1510"/>
      <c r="K21" s="1510"/>
      <c r="L21" s="1510"/>
      <c r="M21" s="1510"/>
      <c r="N21" s="1510"/>
      <c r="O21" s="1510"/>
      <c r="P21" s="1510"/>
    </row>
    <row r="22" spans="1:16" ht="27.75" customHeight="1">
      <c r="A22" s="1536" t="s">
        <v>2116</v>
      </c>
      <c r="B22" s="1510"/>
      <c r="C22" s="1510"/>
      <c r="D22" s="1510"/>
      <c r="E22" s="1510"/>
      <c r="F22" s="1510"/>
      <c r="G22" s="1510"/>
      <c r="H22" s="1510"/>
      <c r="I22" s="1510"/>
      <c r="J22" s="1510"/>
      <c r="K22" s="1510"/>
      <c r="L22" s="1510"/>
      <c r="M22" s="1510"/>
      <c r="N22" s="1510"/>
      <c r="O22" s="1510"/>
      <c r="P22" s="1510"/>
    </row>
    <row r="23" spans="1:16" ht="28.5" customHeight="1">
      <c r="A23" s="1536" t="s">
        <v>2117</v>
      </c>
      <c r="B23" s="1510"/>
      <c r="C23" s="1510"/>
      <c r="D23" s="1510"/>
      <c r="E23" s="1510"/>
      <c r="F23" s="1510"/>
      <c r="G23" s="1510"/>
      <c r="H23" s="1510"/>
      <c r="I23" s="1510"/>
      <c r="J23" s="1510"/>
      <c r="K23" s="1510"/>
      <c r="L23" s="1510"/>
      <c r="M23" s="1510"/>
      <c r="N23" s="1510"/>
      <c r="O23" s="1510"/>
      <c r="P23" s="1510"/>
    </row>
    <row r="24" spans="1:16" ht="42.75" customHeight="1">
      <c r="A24" s="1536" t="s">
        <v>2118</v>
      </c>
      <c r="B24" s="1510"/>
      <c r="C24" s="1510"/>
      <c r="D24" s="1510"/>
      <c r="E24" s="1510"/>
      <c r="F24" s="1510"/>
      <c r="G24" s="1510"/>
      <c r="H24" s="1510"/>
      <c r="I24" s="1510"/>
      <c r="J24" s="1510"/>
      <c r="K24" s="1510"/>
      <c r="L24" s="1510"/>
      <c r="M24" s="1510"/>
      <c r="N24" s="1510"/>
      <c r="O24" s="1510"/>
      <c r="P24" s="1510"/>
    </row>
    <row r="25" spans="1:16" ht="18" customHeight="1">
      <c r="A25" s="1536" t="s">
        <v>2119</v>
      </c>
      <c r="B25" s="1510"/>
      <c r="C25" s="1510"/>
      <c r="D25" s="1510"/>
      <c r="E25" s="1510"/>
      <c r="F25" s="1510"/>
      <c r="G25" s="1510"/>
      <c r="H25" s="1510"/>
      <c r="I25" s="1510"/>
      <c r="J25" s="1510"/>
      <c r="K25" s="1510"/>
      <c r="L25" s="1510"/>
      <c r="M25" s="1510"/>
      <c r="N25" s="1510"/>
      <c r="O25" s="1510"/>
      <c r="P25" s="1510"/>
    </row>
    <row r="26" spans="1:16" ht="15" customHeight="1">
      <c r="A26" s="1536" t="s">
        <v>2097</v>
      </c>
      <c r="B26" s="1536"/>
      <c r="C26" s="1510"/>
      <c r="D26" s="1510"/>
      <c r="E26" s="1510"/>
      <c r="F26" s="1510"/>
      <c r="G26" s="1510"/>
      <c r="H26" s="1510"/>
      <c r="I26" s="1510"/>
      <c r="J26" s="1510"/>
      <c r="K26" s="1510"/>
      <c r="L26" s="1510"/>
      <c r="M26" s="1510"/>
      <c r="N26" s="1510"/>
      <c r="O26" s="1510"/>
      <c r="P26" s="1510"/>
    </row>
    <row r="27" spans="1:16" ht="16.5" customHeight="1">
      <c r="A27" s="1511" t="s">
        <v>1018</v>
      </c>
      <c r="B27" s="1511"/>
      <c r="C27" s="1511"/>
      <c r="D27" s="1511"/>
      <c r="E27" s="1511"/>
      <c r="F27" s="1511"/>
      <c r="G27" s="1511"/>
      <c r="H27" s="1511"/>
      <c r="I27" s="1511"/>
      <c r="J27" s="1511"/>
      <c r="K27" s="1511"/>
      <c r="L27" s="1511"/>
      <c r="M27" s="1511"/>
      <c r="N27" s="1511"/>
      <c r="O27" s="1511"/>
      <c r="P27" s="1511"/>
    </row>
    <row r="28" spans="1:16" ht="36.75" customHeight="1">
      <c r="A28" s="1510" t="s">
        <v>1019</v>
      </c>
      <c r="B28" s="1510"/>
      <c r="C28" s="1510"/>
      <c r="D28" s="1510"/>
      <c r="E28" s="1510"/>
      <c r="F28" s="1510"/>
      <c r="G28" s="1510"/>
      <c r="H28" s="1510"/>
      <c r="I28" s="1510"/>
      <c r="J28" s="1510"/>
      <c r="K28" s="1510"/>
      <c r="L28" s="1510"/>
      <c r="M28" s="1510"/>
      <c r="N28" s="1510"/>
      <c r="O28" s="1510"/>
      <c r="P28" s="1510"/>
    </row>
    <row r="29" spans="1:16" ht="129.75" customHeight="1">
      <c r="A29" s="1536" t="s">
        <v>2120</v>
      </c>
      <c r="B29" s="1510"/>
      <c r="C29" s="1510"/>
      <c r="D29" s="1510"/>
      <c r="E29" s="1510"/>
      <c r="F29" s="1510"/>
      <c r="G29" s="1510"/>
      <c r="H29" s="1510"/>
      <c r="I29" s="1510"/>
      <c r="J29" s="1510"/>
      <c r="K29" s="1510"/>
      <c r="L29" s="1510"/>
      <c r="M29" s="1510"/>
      <c r="N29" s="1510"/>
      <c r="O29" s="1510"/>
      <c r="P29" s="1510"/>
    </row>
    <row r="30" spans="1:16" ht="39.75" customHeight="1">
      <c r="A30" s="1537" t="s">
        <v>4760</v>
      </c>
      <c r="B30" s="1537"/>
      <c r="C30" s="1537"/>
      <c r="D30" s="1537"/>
      <c r="E30" s="1537"/>
      <c r="F30" s="1537"/>
      <c r="G30" s="1537"/>
      <c r="H30" s="1537"/>
      <c r="I30" s="1537"/>
      <c r="J30" s="1537"/>
      <c r="K30" s="1537"/>
      <c r="L30" s="1537"/>
      <c r="M30" s="1537"/>
      <c r="N30" s="1537"/>
      <c r="O30" s="1537"/>
      <c r="P30" s="1537"/>
    </row>
    <row r="31" spans="1:16" ht="28.5" customHeight="1">
      <c r="A31" s="1536" t="s">
        <v>2121</v>
      </c>
      <c r="B31" s="1536"/>
      <c r="C31" s="1536"/>
      <c r="D31" s="1536"/>
      <c r="E31" s="1536"/>
      <c r="F31" s="1536"/>
      <c r="G31" s="1536"/>
      <c r="H31" s="1536"/>
      <c r="I31" s="1536"/>
      <c r="J31" s="1536"/>
      <c r="K31" s="1536"/>
      <c r="L31" s="1536"/>
      <c r="M31" s="1536"/>
      <c r="N31" s="1536"/>
      <c r="O31" s="1536"/>
      <c r="P31" s="1536"/>
    </row>
    <row r="32" spans="1:16" ht="30" customHeight="1">
      <c r="A32" s="1536" t="s">
        <v>2122</v>
      </c>
      <c r="B32" s="1510"/>
      <c r="C32" s="1510"/>
      <c r="D32" s="1510"/>
      <c r="E32" s="1510"/>
      <c r="F32" s="1510"/>
      <c r="G32" s="1510"/>
      <c r="H32" s="1510"/>
      <c r="I32" s="1510"/>
      <c r="J32" s="1510"/>
      <c r="K32" s="1510"/>
      <c r="L32" s="1510"/>
      <c r="M32" s="1510"/>
      <c r="N32" s="1510"/>
      <c r="O32" s="1510"/>
      <c r="P32" s="1510"/>
    </row>
    <row r="33" spans="1:16" ht="30.75" customHeight="1">
      <c r="A33" s="1536" t="s">
        <v>2123</v>
      </c>
      <c r="B33" s="1510"/>
      <c r="C33" s="1510"/>
      <c r="D33" s="1510"/>
      <c r="E33" s="1510"/>
      <c r="F33" s="1510"/>
      <c r="G33" s="1510"/>
      <c r="H33" s="1510"/>
      <c r="I33" s="1510"/>
      <c r="J33" s="1510"/>
      <c r="K33" s="1510"/>
      <c r="L33" s="1510"/>
      <c r="M33" s="1510"/>
      <c r="N33" s="1510"/>
      <c r="O33" s="1510"/>
      <c r="P33" s="1510"/>
    </row>
    <row r="34" spans="1:16" ht="68.25" customHeight="1">
      <c r="A34" s="1536" t="s">
        <v>2124</v>
      </c>
      <c r="B34" s="1510"/>
      <c r="C34" s="1510"/>
      <c r="D34" s="1510"/>
      <c r="E34" s="1510"/>
      <c r="F34" s="1510"/>
      <c r="G34" s="1510"/>
      <c r="H34" s="1510"/>
      <c r="I34" s="1510"/>
      <c r="J34" s="1510"/>
      <c r="K34" s="1510"/>
      <c r="L34" s="1510"/>
      <c r="M34" s="1510"/>
      <c r="N34" s="1510"/>
      <c r="O34" s="1510"/>
      <c r="P34" s="1510"/>
    </row>
    <row r="35" spans="1:16" ht="47.25" customHeight="1">
      <c r="A35" s="1536" t="s">
        <v>2125</v>
      </c>
      <c r="B35" s="1510"/>
      <c r="C35" s="1510"/>
      <c r="D35" s="1510"/>
      <c r="E35" s="1510"/>
      <c r="F35" s="1510"/>
      <c r="G35" s="1510"/>
      <c r="H35" s="1510"/>
      <c r="I35" s="1510"/>
      <c r="J35" s="1510"/>
      <c r="K35" s="1510"/>
      <c r="L35" s="1510"/>
      <c r="M35" s="1510"/>
      <c r="N35" s="1510"/>
      <c r="O35" s="1510"/>
      <c r="P35" s="1510"/>
    </row>
    <row r="36" spans="1:16" ht="53.25" customHeight="1">
      <c r="A36" s="1536" t="s">
        <v>2126</v>
      </c>
      <c r="B36" s="1510"/>
      <c r="C36" s="1510"/>
      <c r="D36" s="1510"/>
      <c r="E36" s="1510"/>
      <c r="F36" s="1510"/>
      <c r="G36" s="1510"/>
      <c r="H36" s="1510"/>
      <c r="I36" s="1510"/>
      <c r="J36" s="1510"/>
      <c r="K36" s="1510"/>
      <c r="L36" s="1510"/>
      <c r="M36" s="1510"/>
      <c r="N36" s="1510"/>
      <c r="O36" s="1510"/>
      <c r="P36" s="1510"/>
    </row>
    <row r="37" spans="1:16" ht="51.75" customHeight="1">
      <c r="A37" s="1536" t="s">
        <v>2127</v>
      </c>
      <c r="B37" s="1510"/>
      <c r="C37" s="1510"/>
      <c r="D37" s="1510"/>
      <c r="E37" s="1510"/>
      <c r="F37" s="1510"/>
      <c r="G37" s="1510"/>
      <c r="H37" s="1510"/>
      <c r="I37" s="1510"/>
      <c r="J37" s="1510"/>
      <c r="K37" s="1510"/>
      <c r="L37" s="1510"/>
      <c r="M37" s="1510"/>
      <c r="N37" s="1510"/>
      <c r="O37" s="1510"/>
      <c r="P37" s="1510"/>
    </row>
    <row r="38" spans="1:16" ht="15.75" customHeight="1">
      <c r="A38" s="1511" t="s">
        <v>1020</v>
      </c>
      <c r="B38" s="1511"/>
      <c r="C38" s="1511"/>
      <c r="D38" s="1511"/>
      <c r="E38" s="1511"/>
      <c r="F38" s="1511"/>
      <c r="G38" s="1511"/>
      <c r="H38" s="1511"/>
      <c r="I38" s="1511"/>
      <c r="J38" s="1511"/>
      <c r="K38" s="1511"/>
      <c r="L38" s="1511"/>
      <c r="M38" s="1511"/>
      <c r="N38" s="1511"/>
      <c r="O38" s="1511"/>
      <c r="P38" s="1511"/>
    </row>
    <row r="39" spans="1:16" ht="35.25" customHeight="1">
      <c r="A39" s="1302" t="s">
        <v>1021</v>
      </c>
      <c r="B39" s="1302"/>
      <c r="C39" s="1302"/>
      <c r="D39" s="1302"/>
      <c r="E39" s="1302"/>
      <c r="F39" s="1302"/>
      <c r="G39" s="1302"/>
      <c r="H39" s="1302"/>
      <c r="I39" s="1302"/>
      <c r="J39" s="1302"/>
      <c r="K39" s="1302"/>
      <c r="L39" s="1302"/>
      <c r="M39" s="1302"/>
      <c r="N39" s="1302"/>
      <c r="O39" s="1302"/>
      <c r="P39" s="1302"/>
    </row>
    <row r="40" spans="1:16" ht="45" customHeight="1">
      <c r="A40" s="1415" t="s">
        <v>2128</v>
      </c>
      <c r="B40" s="1302"/>
      <c r="C40" s="1302"/>
      <c r="D40" s="1302"/>
      <c r="E40" s="1302"/>
      <c r="F40" s="1302"/>
      <c r="G40" s="1302"/>
      <c r="H40" s="1302"/>
      <c r="I40" s="1302"/>
      <c r="J40" s="1302"/>
      <c r="K40" s="1302"/>
      <c r="L40" s="1302"/>
      <c r="M40" s="1302"/>
      <c r="N40" s="1302"/>
      <c r="O40" s="1302"/>
      <c r="P40" s="1302"/>
    </row>
    <row r="41" spans="1:16">
      <c r="A41" s="1536" t="s">
        <v>2129</v>
      </c>
      <c r="B41" s="1510"/>
      <c r="C41" s="1510"/>
      <c r="D41" s="1510"/>
      <c r="E41" s="1510"/>
      <c r="F41" s="1510"/>
      <c r="G41" s="1510"/>
      <c r="H41" s="1510"/>
      <c r="I41" s="1510"/>
      <c r="J41" s="1510"/>
      <c r="K41" s="1510"/>
      <c r="L41" s="1510"/>
      <c r="M41" s="1510"/>
      <c r="N41" s="1510"/>
      <c r="O41" s="1510"/>
      <c r="P41" s="1510"/>
    </row>
    <row r="42" spans="1:16" ht="32.25" customHeight="1">
      <c r="A42" s="1536" t="s">
        <v>2130</v>
      </c>
      <c r="B42" s="1510"/>
      <c r="C42" s="1510"/>
      <c r="D42" s="1510"/>
      <c r="E42" s="1510"/>
      <c r="F42" s="1510"/>
      <c r="G42" s="1510"/>
      <c r="H42" s="1510"/>
      <c r="I42" s="1510"/>
      <c r="J42" s="1510"/>
      <c r="K42" s="1510"/>
      <c r="L42" s="1510"/>
      <c r="M42" s="1510"/>
      <c r="N42" s="1510"/>
      <c r="O42" s="1510"/>
      <c r="P42" s="1510"/>
    </row>
    <row r="43" spans="1:16" ht="30.75" customHeight="1">
      <c r="A43" s="1536" t="s">
        <v>2131</v>
      </c>
      <c r="B43" s="1510"/>
      <c r="C43" s="1510"/>
      <c r="D43" s="1510"/>
      <c r="E43" s="1510"/>
      <c r="F43" s="1510"/>
      <c r="G43" s="1510"/>
      <c r="H43" s="1510"/>
      <c r="I43" s="1510"/>
      <c r="J43" s="1510"/>
      <c r="K43" s="1510"/>
      <c r="L43" s="1510"/>
      <c r="M43" s="1510"/>
      <c r="N43" s="1510"/>
      <c r="O43" s="1510"/>
      <c r="P43" s="1510"/>
    </row>
    <row r="44" spans="1:16" ht="39" customHeight="1">
      <c r="A44" s="1536" t="s">
        <v>2132</v>
      </c>
      <c r="B44" s="1510"/>
      <c r="C44" s="1510"/>
      <c r="D44" s="1510"/>
      <c r="E44" s="1510"/>
      <c r="F44" s="1510"/>
      <c r="G44" s="1510"/>
      <c r="H44" s="1510"/>
      <c r="I44" s="1510"/>
      <c r="J44" s="1510"/>
      <c r="K44" s="1510"/>
      <c r="L44" s="1510"/>
      <c r="M44" s="1510"/>
      <c r="N44" s="1510"/>
      <c r="O44" s="1510"/>
      <c r="P44" s="1510"/>
    </row>
    <row r="45" spans="1:16" ht="12.75" customHeight="1">
      <c r="A45" s="1536" t="s">
        <v>2133</v>
      </c>
      <c r="B45" s="1510"/>
      <c r="C45" s="1510"/>
      <c r="D45" s="1510"/>
      <c r="E45" s="1510"/>
      <c r="F45" s="1510"/>
      <c r="G45" s="1510"/>
      <c r="H45" s="1510"/>
      <c r="I45" s="1510"/>
      <c r="J45" s="1510"/>
      <c r="K45" s="1510"/>
      <c r="L45" s="1510"/>
      <c r="M45" s="1510"/>
      <c r="N45" s="1510"/>
      <c r="O45" s="1510"/>
      <c r="P45" s="1510"/>
    </row>
    <row r="46" spans="1:16" ht="27" customHeight="1">
      <c r="A46" s="1536" t="s">
        <v>2134</v>
      </c>
      <c r="B46" s="1510"/>
      <c r="C46" s="1510"/>
      <c r="D46" s="1510"/>
      <c r="E46" s="1510"/>
      <c r="F46" s="1510"/>
      <c r="G46" s="1510"/>
      <c r="H46" s="1510"/>
      <c r="I46" s="1510"/>
      <c r="J46" s="1510"/>
      <c r="K46" s="1510"/>
      <c r="L46" s="1510"/>
      <c r="M46" s="1510"/>
      <c r="N46" s="1510"/>
      <c r="O46" s="1510"/>
      <c r="P46" s="1510"/>
    </row>
    <row r="47" spans="1:16" ht="42.75" customHeight="1">
      <c r="A47" s="1536" t="s">
        <v>2135</v>
      </c>
      <c r="B47" s="1510"/>
      <c r="C47" s="1510"/>
      <c r="D47" s="1510"/>
      <c r="E47" s="1510"/>
      <c r="F47" s="1510"/>
      <c r="G47" s="1510"/>
      <c r="H47" s="1510"/>
      <c r="I47" s="1510"/>
      <c r="J47" s="1510"/>
      <c r="K47" s="1510"/>
      <c r="L47" s="1510"/>
      <c r="M47" s="1510"/>
      <c r="N47" s="1510"/>
      <c r="O47" s="1510"/>
      <c r="P47" s="1510"/>
    </row>
    <row r="48" spans="1:16" ht="69.75" customHeight="1">
      <c r="A48" s="1536" t="s">
        <v>2136</v>
      </c>
      <c r="B48" s="1510"/>
      <c r="C48" s="1510"/>
      <c r="D48" s="1510"/>
      <c r="E48" s="1510"/>
      <c r="F48" s="1510"/>
      <c r="G48" s="1510"/>
      <c r="H48" s="1510"/>
      <c r="I48" s="1510"/>
      <c r="J48" s="1510"/>
      <c r="K48" s="1510"/>
      <c r="L48" s="1510"/>
      <c r="M48" s="1510"/>
      <c r="N48" s="1510"/>
      <c r="O48" s="1510"/>
      <c r="P48" s="1510"/>
    </row>
    <row r="49" spans="1:16" ht="39.75" customHeight="1">
      <c r="A49" s="1536" t="s">
        <v>2137</v>
      </c>
      <c r="B49" s="1510"/>
      <c r="C49" s="1510"/>
      <c r="D49" s="1510"/>
      <c r="E49" s="1510"/>
      <c r="F49" s="1510"/>
      <c r="G49" s="1510"/>
      <c r="H49" s="1510"/>
      <c r="I49" s="1510"/>
      <c r="J49" s="1510"/>
      <c r="K49" s="1510"/>
      <c r="L49" s="1510"/>
      <c r="M49" s="1510"/>
      <c r="N49" s="1510"/>
      <c r="O49" s="1510"/>
      <c r="P49" s="1510"/>
    </row>
    <row r="50" spans="1:16" ht="41.25" customHeight="1">
      <c r="A50" s="1536" t="s">
        <v>2138</v>
      </c>
      <c r="B50" s="1510"/>
      <c r="C50" s="1510"/>
      <c r="D50" s="1510"/>
      <c r="E50" s="1510"/>
      <c r="F50" s="1510"/>
      <c r="G50" s="1510"/>
      <c r="H50" s="1510"/>
      <c r="I50" s="1510"/>
      <c r="J50" s="1510"/>
      <c r="K50" s="1510"/>
      <c r="L50" s="1510"/>
      <c r="M50" s="1510"/>
      <c r="N50" s="1510"/>
      <c r="O50" s="1510"/>
      <c r="P50" s="1510"/>
    </row>
    <row r="51" spans="1:16" ht="45.75" customHeight="1">
      <c r="A51" s="1536" t="s">
        <v>2139</v>
      </c>
      <c r="B51" s="1510"/>
      <c r="C51" s="1510"/>
      <c r="D51" s="1510"/>
      <c r="E51" s="1510"/>
      <c r="F51" s="1510"/>
      <c r="G51" s="1510"/>
      <c r="H51" s="1510"/>
      <c r="I51" s="1510"/>
      <c r="J51" s="1510"/>
      <c r="K51" s="1510"/>
      <c r="L51" s="1510"/>
      <c r="M51" s="1510"/>
      <c r="N51" s="1510"/>
      <c r="O51" s="1510"/>
      <c r="P51" s="1510"/>
    </row>
    <row r="52" spans="1:16" ht="30" customHeight="1">
      <c r="A52" s="1536" t="s">
        <v>2140</v>
      </c>
      <c r="B52" s="1510"/>
      <c r="C52" s="1510"/>
      <c r="D52" s="1510"/>
      <c r="E52" s="1510"/>
      <c r="F52" s="1510"/>
      <c r="G52" s="1510"/>
      <c r="H52" s="1510"/>
      <c r="I52" s="1510"/>
      <c r="J52" s="1510"/>
      <c r="K52" s="1510"/>
      <c r="L52" s="1510"/>
      <c r="M52" s="1510"/>
      <c r="N52" s="1510"/>
      <c r="O52" s="1510"/>
      <c r="P52" s="1510"/>
    </row>
    <row r="53" spans="1:16">
      <c r="A53" s="1511" t="s">
        <v>1022</v>
      </c>
      <c r="B53" s="1511"/>
      <c r="C53" s="1511"/>
      <c r="D53" s="1511"/>
      <c r="E53" s="1511"/>
      <c r="F53" s="1511"/>
      <c r="G53" s="1511"/>
      <c r="H53" s="1511"/>
      <c r="I53" s="1511"/>
      <c r="J53" s="1511"/>
      <c r="K53" s="1511"/>
      <c r="L53" s="1511"/>
      <c r="M53" s="1511"/>
      <c r="N53" s="1511"/>
      <c r="O53" s="1511"/>
      <c r="P53" s="1511"/>
    </row>
    <row r="54" spans="1:16" ht="43.5" customHeight="1">
      <c r="A54" s="1510" t="s">
        <v>1023</v>
      </c>
      <c r="B54" s="1510"/>
      <c r="C54" s="1510"/>
      <c r="D54" s="1510"/>
      <c r="E54" s="1510"/>
      <c r="F54" s="1510"/>
      <c r="G54" s="1510"/>
      <c r="H54" s="1510"/>
      <c r="I54" s="1510"/>
      <c r="J54" s="1510"/>
      <c r="K54" s="1510"/>
      <c r="L54" s="1510"/>
      <c r="M54" s="1510"/>
      <c r="N54" s="1510"/>
      <c r="O54" s="1510"/>
      <c r="P54" s="1510"/>
    </row>
    <row r="55" spans="1:16" ht="15.75" customHeight="1">
      <c r="A55" s="1511" t="s">
        <v>1024</v>
      </c>
      <c r="B55" s="1511"/>
      <c r="C55" s="1511"/>
      <c r="D55" s="1511"/>
      <c r="E55" s="1511"/>
      <c r="F55" s="1511"/>
      <c r="G55" s="1511"/>
      <c r="H55" s="1511"/>
      <c r="I55" s="1511"/>
      <c r="J55" s="1511"/>
      <c r="K55" s="1511"/>
      <c r="L55" s="1511"/>
      <c r="M55" s="1511"/>
      <c r="N55" s="1511"/>
      <c r="O55" s="1511"/>
      <c r="P55" s="1511"/>
    </row>
    <row r="56" spans="1:16" ht="52.5" customHeight="1">
      <c r="A56" s="1510" t="s">
        <v>1025</v>
      </c>
      <c r="B56" s="1510"/>
      <c r="C56" s="1510"/>
      <c r="D56" s="1510"/>
      <c r="E56" s="1510"/>
      <c r="F56" s="1510"/>
      <c r="G56" s="1510"/>
      <c r="H56" s="1510"/>
      <c r="I56" s="1510"/>
      <c r="J56" s="1510"/>
      <c r="K56" s="1510"/>
      <c r="L56" s="1510"/>
      <c r="M56" s="1510"/>
      <c r="N56" s="1510"/>
      <c r="O56" s="1510"/>
      <c r="P56" s="1510"/>
    </row>
    <row r="57" spans="1:16" ht="29.25" customHeight="1">
      <c r="A57" s="1536" t="s">
        <v>2141</v>
      </c>
      <c r="B57" s="1510"/>
      <c r="C57" s="1510"/>
      <c r="D57" s="1510"/>
      <c r="E57" s="1510"/>
      <c r="F57" s="1510"/>
      <c r="G57" s="1510"/>
      <c r="H57" s="1510"/>
      <c r="I57" s="1510"/>
      <c r="J57" s="1510"/>
      <c r="K57" s="1510"/>
      <c r="L57" s="1510"/>
      <c r="M57" s="1510"/>
      <c r="N57" s="1510"/>
      <c r="O57" s="1510"/>
      <c r="P57" s="1510"/>
    </row>
    <row r="58" spans="1:16">
      <c r="A58" s="1536" t="s">
        <v>2142</v>
      </c>
      <c r="B58" s="1510"/>
      <c r="C58" s="1510"/>
      <c r="D58" s="1510"/>
      <c r="E58" s="1510"/>
      <c r="F58" s="1510"/>
      <c r="G58" s="1510"/>
      <c r="H58" s="1510"/>
      <c r="I58" s="1510"/>
      <c r="J58" s="1510"/>
      <c r="K58" s="1510"/>
      <c r="L58" s="1510"/>
      <c r="M58" s="1510"/>
      <c r="N58" s="1510"/>
      <c r="O58" s="1510"/>
      <c r="P58" s="1510"/>
    </row>
    <row r="59" spans="1:16" ht="42.75" customHeight="1">
      <c r="A59" s="1536" t="s">
        <v>2143</v>
      </c>
      <c r="B59" s="1510"/>
      <c r="C59" s="1510"/>
      <c r="D59" s="1510"/>
      <c r="E59" s="1510"/>
      <c r="F59" s="1510"/>
      <c r="G59" s="1510"/>
      <c r="H59" s="1510"/>
      <c r="I59" s="1510"/>
      <c r="J59" s="1510"/>
      <c r="K59" s="1510"/>
      <c r="L59" s="1510"/>
      <c r="M59" s="1510"/>
      <c r="N59" s="1510"/>
      <c r="O59" s="1510"/>
      <c r="P59" s="1510"/>
    </row>
    <row r="60" spans="1:16" ht="39.75" customHeight="1">
      <c r="A60" s="1536" t="s">
        <v>2144</v>
      </c>
      <c r="B60" s="1510"/>
      <c r="C60" s="1510"/>
      <c r="D60" s="1510"/>
      <c r="E60" s="1510"/>
      <c r="F60" s="1510"/>
      <c r="G60" s="1510"/>
      <c r="H60" s="1510"/>
      <c r="I60" s="1510"/>
      <c r="J60" s="1510"/>
      <c r="K60" s="1510"/>
      <c r="L60" s="1510"/>
      <c r="M60" s="1510"/>
      <c r="N60" s="1510"/>
      <c r="O60" s="1510"/>
      <c r="P60" s="1510"/>
    </row>
    <row r="61" spans="1:16">
      <c r="A61" s="1536" t="s">
        <v>2145</v>
      </c>
      <c r="B61" s="1510"/>
      <c r="C61" s="1510"/>
      <c r="D61" s="1510"/>
      <c r="E61" s="1510"/>
      <c r="F61" s="1510"/>
      <c r="G61" s="1510"/>
      <c r="H61" s="1510"/>
      <c r="I61" s="1510"/>
      <c r="J61" s="1510"/>
      <c r="K61" s="1510"/>
      <c r="L61" s="1510"/>
      <c r="M61" s="1510"/>
      <c r="N61" s="1510"/>
      <c r="O61" s="1510"/>
      <c r="P61" s="1510"/>
    </row>
    <row r="62" spans="1:16" ht="15.75" customHeight="1">
      <c r="A62" s="1536" t="s">
        <v>2146</v>
      </c>
      <c r="B62" s="1510"/>
      <c r="C62" s="1510"/>
      <c r="D62" s="1510"/>
      <c r="E62" s="1510"/>
      <c r="F62" s="1510"/>
      <c r="G62" s="1510"/>
      <c r="H62" s="1510"/>
      <c r="I62" s="1510"/>
      <c r="J62" s="1510"/>
      <c r="K62" s="1510"/>
      <c r="L62" s="1510"/>
      <c r="M62" s="1510"/>
      <c r="N62" s="1510"/>
      <c r="O62" s="1510"/>
      <c r="P62" s="1510"/>
    </row>
    <row r="63" spans="1:16" ht="51.75" customHeight="1">
      <c r="A63" s="1536" t="s">
        <v>2147</v>
      </c>
      <c r="B63" s="1510"/>
      <c r="C63" s="1510"/>
      <c r="D63" s="1510"/>
      <c r="E63" s="1510"/>
      <c r="F63" s="1510"/>
      <c r="G63" s="1510"/>
      <c r="H63" s="1510"/>
      <c r="I63" s="1510"/>
      <c r="J63" s="1510"/>
      <c r="K63" s="1510"/>
      <c r="L63" s="1510"/>
      <c r="M63" s="1510"/>
      <c r="N63" s="1510"/>
      <c r="O63" s="1510"/>
      <c r="P63" s="1510"/>
    </row>
    <row r="64" spans="1:16">
      <c r="A64" s="1528" t="s">
        <v>1026</v>
      </c>
      <c r="B64" s="1528"/>
      <c r="C64" s="1528"/>
      <c r="D64" s="1528"/>
      <c r="H64" s="99"/>
      <c r="I64" s="99"/>
    </row>
    <row r="65" spans="1:16" ht="66.75" customHeight="1">
      <c r="A65" s="1536" t="s">
        <v>2148</v>
      </c>
      <c r="B65" s="1510"/>
      <c r="C65" s="1510"/>
      <c r="D65" s="1510"/>
      <c r="E65" s="1510"/>
      <c r="F65" s="1510"/>
      <c r="G65" s="1510"/>
      <c r="H65" s="1510"/>
      <c r="I65" s="1510"/>
      <c r="J65" s="1510"/>
      <c r="K65" s="1510"/>
      <c r="L65" s="1510"/>
      <c r="M65" s="1510"/>
      <c r="N65" s="1510"/>
      <c r="O65" s="1510"/>
      <c r="P65" s="1510"/>
    </row>
    <row r="66" spans="1:16" ht="30.75" customHeight="1">
      <c r="A66" s="1536" t="s">
        <v>2149</v>
      </c>
      <c r="B66" s="1510"/>
      <c r="C66" s="1510"/>
      <c r="D66" s="1510"/>
      <c r="E66" s="1510"/>
      <c r="F66" s="1510"/>
      <c r="G66" s="1510"/>
      <c r="H66" s="1510"/>
      <c r="I66" s="1510"/>
      <c r="J66" s="1510"/>
      <c r="K66" s="1510"/>
      <c r="L66" s="1510"/>
      <c r="M66" s="1510"/>
      <c r="N66" s="1510"/>
      <c r="O66" s="1510"/>
      <c r="P66" s="1510"/>
    </row>
    <row r="67" spans="1:16" ht="42" customHeight="1">
      <c r="A67" s="1536" t="s">
        <v>2150</v>
      </c>
      <c r="B67" s="1510"/>
      <c r="C67" s="1510"/>
      <c r="D67" s="1510"/>
      <c r="E67" s="1510"/>
      <c r="F67" s="1510"/>
      <c r="G67" s="1510"/>
      <c r="H67" s="1510"/>
      <c r="I67" s="1510"/>
      <c r="J67" s="1510"/>
      <c r="K67" s="1510"/>
      <c r="L67" s="1510"/>
      <c r="M67" s="1510"/>
      <c r="N67" s="1510"/>
      <c r="O67" s="1510"/>
      <c r="P67" s="1510"/>
    </row>
    <row r="68" spans="1:16">
      <c r="A68" s="1511" t="s">
        <v>1027</v>
      </c>
      <c r="B68" s="1511"/>
      <c r="C68" s="1511"/>
      <c r="D68" s="1511"/>
      <c r="E68" s="1511"/>
      <c r="F68" s="1511"/>
      <c r="G68" s="1511"/>
      <c r="H68" s="1511"/>
      <c r="I68" s="1511"/>
      <c r="J68" s="1511"/>
      <c r="K68" s="1511"/>
      <c r="L68" s="1511"/>
      <c r="M68" s="1511"/>
      <c r="N68" s="1511"/>
      <c r="O68" s="1511"/>
      <c r="P68" s="1511"/>
    </row>
    <row r="69" spans="1:16" ht="69" customHeight="1">
      <c r="A69" s="1510" t="s">
        <v>1028</v>
      </c>
      <c r="B69" s="1510"/>
      <c r="C69" s="1510"/>
      <c r="D69" s="1510"/>
      <c r="E69" s="1510"/>
      <c r="F69" s="1510"/>
      <c r="G69" s="1510"/>
      <c r="H69" s="1510"/>
      <c r="I69" s="1510"/>
      <c r="J69" s="1510"/>
      <c r="K69" s="1510"/>
      <c r="L69" s="1510"/>
      <c r="M69" s="1510"/>
      <c r="N69" s="1510"/>
      <c r="O69" s="1510"/>
      <c r="P69" s="1510"/>
    </row>
    <row r="70" spans="1:16">
      <c r="A70" s="1541" t="s">
        <v>1029</v>
      </c>
      <c r="B70" s="1541"/>
      <c r="C70" s="1541"/>
      <c r="D70" s="1541"/>
      <c r="E70" s="1541"/>
      <c r="F70" s="1541"/>
      <c r="G70" s="1541"/>
      <c r="H70" s="1541"/>
      <c r="I70" s="1541"/>
      <c r="J70" s="1541"/>
      <c r="K70" s="1541"/>
      <c r="L70" s="1541"/>
      <c r="M70" s="1541"/>
      <c r="N70" s="1541"/>
      <c r="O70" s="1541"/>
      <c r="P70" s="1541"/>
    </row>
    <row r="71" spans="1:16" ht="15" customHeight="1">
      <c r="A71" s="1510" t="s">
        <v>1030</v>
      </c>
      <c r="B71" s="1510"/>
      <c r="C71" s="1510"/>
      <c r="D71" s="1510"/>
      <c r="E71" s="1510"/>
      <c r="F71" s="1510"/>
      <c r="G71" s="1510"/>
      <c r="H71" s="1510"/>
      <c r="I71" s="1510"/>
      <c r="J71" s="1510"/>
      <c r="K71" s="1510"/>
      <c r="L71" s="1510"/>
      <c r="M71" s="1510"/>
      <c r="N71" s="1510"/>
      <c r="O71" s="1510"/>
      <c r="P71" s="1510"/>
    </row>
    <row r="72" spans="1:16" ht="15" customHeight="1">
      <c r="A72" s="1536" t="s">
        <v>2151</v>
      </c>
      <c r="B72" s="1510"/>
      <c r="C72" s="1510"/>
      <c r="D72" s="1510"/>
      <c r="E72" s="1510"/>
      <c r="F72" s="1510"/>
      <c r="G72" s="1510"/>
      <c r="H72" s="1510"/>
      <c r="I72" s="1510"/>
      <c r="J72" s="1510"/>
      <c r="K72" s="1510"/>
      <c r="L72" s="1510"/>
      <c r="M72" s="1510"/>
      <c r="N72" s="1510"/>
      <c r="O72" s="1510"/>
      <c r="P72" s="1510"/>
    </row>
    <row r="73" spans="1:16" ht="39.75" customHeight="1">
      <c r="A73" s="1537" t="s">
        <v>3296</v>
      </c>
      <c r="B73" s="1537"/>
      <c r="C73" s="1537"/>
      <c r="D73" s="1537"/>
      <c r="E73" s="1537"/>
      <c r="F73" s="1537"/>
      <c r="G73" s="1537"/>
      <c r="H73" s="1537"/>
      <c r="I73" s="1537"/>
      <c r="J73" s="1537"/>
      <c r="K73" s="1537"/>
      <c r="L73" s="1537"/>
      <c r="M73" s="1537"/>
      <c r="N73" s="1537"/>
      <c r="O73" s="1537"/>
      <c r="P73" s="1537"/>
    </row>
    <row r="74" spans="1:16" ht="30.75" customHeight="1">
      <c r="A74" s="1536" t="s">
        <v>3294</v>
      </c>
      <c r="B74" s="1510"/>
      <c r="C74" s="1510"/>
      <c r="D74" s="1510"/>
      <c r="E74" s="1510"/>
      <c r="F74" s="1510"/>
      <c r="G74" s="1510"/>
      <c r="H74" s="1510"/>
      <c r="I74" s="1510"/>
      <c r="J74" s="1510"/>
      <c r="K74" s="1510"/>
      <c r="L74" s="1510"/>
      <c r="M74" s="1510"/>
      <c r="N74" s="1510"/>
      <c r="O74" s="1510"/>
      <c r="P74" s="1510"/>
    </row>
    <row r="75" spans="1:16" ht="107.25" customHeight="1">
      <c r="A75" s="1537" t="s">
        <v>3295</v>
      </c>
      <c r="B75" s="1537"/>
      <c r="C75" s="1537"/>
      <c r="D75" s="1537"/>
      <c r="E75" s="1537"/>
      <c r="F75" s="1537"/>
      <c r="G75" s="1537"/>
      <c r="H75" s="1537"/>
      <c r="I75" s="1537"/>
      <c r="J75" s="1537"/>
      <c r="K75" s="1537"/>
      <c r="L75" s="1537"/>
      <c r="M75" s="1537"/>
      <c r="N75" s="1537"/>
      <c r="O75" s="1537"/>
      <c r="P75" s="1537"/>
    </row>
    <row r="76" spans="1:16" ht="19.5" customHeight="1">
      <c r="A76" s="1536" t="s">
        <v>2152</v>
      </c>
      <c r="B76" s="1510"/>
      <c r="C76" s="1510"/>
      <c r="D76" s="1510"/>
      <c r="E76" s="1510"/>
      <c r="F76" s="1510"/>
      <c r="G76" s="1510"/>
      <c r="H76" s="1510"/>
      <c r="I76" s="1510"/>
      <c r="J76" s="1510"/>
      <c r="K76" s="1510"/>
      <c r="L76" s="1510"/>
      <c r="M76" s="1510"/>
      <c r="N76" s="1510"/>
      <c r="O76" s="1510"/>
      <c r="P76" s="1510"/>
    </row>
    <row r="77" spans="1:16" ht="37.5" customHeight="1">
      <c r="A77" s="1536" t="s">
        <v>2153</v>
      </c>
      <c r="B77" s="1510"/>
      <c r="C77" s="1510"/>
      <c r="D77" s="1510"/>
      <c r="E77" s="1510"/>
      <c r="F77" s="1510"/>
      <c r="G77" s="1510"/>
      <c r="H77" s="1510"/>
      <c r="I77" s="1510"/>
      <c r="J77" s="1510"/>
      <c r="K77" s="1510"/>
      <c r="L77" s="1510"/>
      <c r="M77" s="1510"/>
      <c r="N77" s="1510"/>
      <c r="O77" s="1510"/>
      <c r="P77" s="1510"/>
    </row>
    <row r="78" spans="1:16" ht="37.5" customHeight="1">
      <c r="A78" s="1536" t="s">
        <v>2154</v>
      </c>
      <c r="B78" s="1510"/>
      <c r="C78" s="1510"/>
      <c r="D78" s="1510"/>
      <c r="E78" s="1510"/>
      <c r="F78" s="1510"/>
      <c r="G78" s="1510"/>
      <c r="H78" s="1510"/>
      <c r="I78" s="1510"/>
      <c r="J78" s="1510"/>
      <c r="K78" s="1510"/>
      <c r="L78" s="1510"/>
      <c r="M78" s="1510"/>
      <c r="N78" s="1510"/>
      <c r="O78" s="1510"/>
      <c r="P78" s="1510"/>
    </row>
    <row r="79" spans="1:16" ht="27.75" customHeight="1">
      <c r="A79" s="1536" t="s">
        <v>2155</v>
      </c>
      <c r="B79" s="1510"/>
      <c r="C79" s="1510"/>
      <c r="D79" s="1510"/>
      <c r="E79" s="1510"/>
      <c r="F79" s="1510"/>
      <c r="G79" s="1510"/>
      <c r="H79" s="1510"/>
      <c r="I79" s="1510"/>
      <c r="J79" s="1510"/>
      <c r="K79" s="1510"/>
      <c r="L79" s="1510"/>
      <c r="M79" s="1510"/>
      <c r="N79" s="1510"/>
      <c r="O79" s="1510"/>
      <c r="P79" s="1510"/>
    </row>
    <row r="80" spans="1:16" ht="30.75" customHeight="1">
      <c r="A80" s="1536" t="s">
        <v>2156</v>
      </c>
      <c r="B80" s="1510"/>
      <c r="C80" s="1510"/>
      <c r="D80" s="1510"/>
      <c r="E80" s="1510"/>
      <c r="F80" s="1510"/>
      <c r="G80" s="1510"/>
      <c r="H80" s="1510"/>
      <c r="I80" s="1510"/>
      <c r="J80" s="1510"/>
      <c r="K80" s="1510"/>
      <c r="L80" s="1510"/>
      <c r="M80" s="1510"/>
      <c r="N80" s="1510"/>
      <c r="O80" s="1510"/>
      <c r="P80" s="1510"/>
    </row>
    <row r="81" spans="1:16" ht="42.75" customHeight="1">
      <c r="A81" s="1536" t="s">
        <v>2157</v>
      </c>
      <c r="B81" s="1510"/>
      <c r="C81" s="1510"/>
      <c r="D81" s="1510"/>
      <c r="E81" s="1510"/>
      <c r="F81" s="1510"/>
      <c r="G81" s="1510"/>
      <c r="H81" s="1510"/>
      <c r="I81" s="1510"/>
      <c r="J81" s="1510"/>
      <c r="K81" s="1510"/>
      <c r="L81" s="1510"/>
      <c r="M81" s="1510"/>
      <c r="N81" s="1510"/>
      <c r="O81" s="1510"/>
      <c r="P81" s="1510"/>
    </row>
    <row r="82" spans="1:16" s="294" customFormat="1" ht="16.5" customHeight="1">
      <c r="A82" s="1536" t="s">
        <v>2158</v>
      </c>
      <c r="B82" s="1510"/>
      <c r="C82" s="1510"/>
      <c r="D82" s="1510"/>
      <c r="E82" s="1510"/>
      <c r="F82" s="1510"/>
      <c r="G82" s="1510"/>
      <c r="H82" s="1510"/>
      <c r="I82" s="1510"/>
      <c r="J82" s="1510"/>
      <c r="K82" s="1510"/>
      <c r="L82" s="1510"/>
      <c r="M82" s="1510"/>
      <c r="N82" s="1510"/>
      <c r="O82" s="1510"/>
      <c r="P82" s="1510"/>
    </row>
    <row r="83" spans="1:16" s="294" customFormat="1" ht="30" customHeight="1">
      <c r="A83" s="1536" t="s">
        <v>2159</v>
      </c>
      <c r="B83" s="1510"/>
      <c r="C83" s="1510"/>
      <c r="D83" s="1510"/>
      <c r="E83" s="1510"/>
      <c r="F83" s="1510"/>
      <c r="G83" s="1510"/>
      <c r="H83" s="1510"/>
      <c r="I83" s="1510"/>
      <c r="J83" s="1510"/>
      <c r="K83" s="1510"/>
      <c r="L83" s="1510"/>
      <c r="M83" s="1510"/>
      <c r="N83" s="1510"/>
      <c r="O83" s="1510"/>
      <c r="P83" s="1510"/>
    </row>
    <row r="84" spans="1:16" ht="19.5" customHeight="1">
      <c r="A84" s="1536" t="s">
        <v>2160</v>
      </c>
      <c r="B84" s="1510"/>
      <c r="C84" s="1510"/>
      <c r="D84" s="1510"/>
      <c r="E84" s="1510"/>
      <c r="F84" s="1510"/>
      <c r="G84" s="1510"/>
      <c r="H84" s="1510"/>
      <c r="I84" s="1510"/>
      <c r="J84" s="1510"/>
      <c r="K84" s="1510"/>
      <c r="L84" s="1510"/>
      <c r="M84" s="1510"/>
      <c r="N84" s="1510"/>
      <c r="O84" s="1510"/>
      <c r="P84" s="1510"/>
    </row>
    <row r="85" spans="1:16" ht="99" customHeight="1">
      <c r="A85" s="1510" t="s">
        <v>1031</v>
      </c>
      <c r="B85" s="1510"/>
      <c r="C85" s="1510"/>
      <c r="D85" s="1510"/>
      <c r="E85" s="1510"/>
      <c r="F85" s="1510"/>
      <c r="G85" s="1510"/>
      <c r="H85" s="1510"/>
      <c r="I85" s="1510"/>
      <c r="J85" s="1510"/>
      <c r="K85" s="1510"/>
      <c r="L85" s="1510"/>
      <c r="M85" s="1510"/>
      <c r="N85" s="1510"/>
      <c r="O85" s="1510"/>
      <c r="P85" s="1510"/>
    </row>
    <row r="86" spans="1:16" ht="21.75" customHeight="1">
      <c r="A86" s="1537" t="s">
        <v>2161</v>
      </c>
      <c r="B86" s="1537"/>
      <c r="C86" s="1537"/>
      <c r="D86" s="1537"/>
      <c r="E86" s="1537"/>
      <c r="F86" s="1537"/>
      <c r="G86" s="1537"/>
      <c r="H86" s="1537"/>
      <c r="I86" s="1537"/>
      <c r="J86" s="1537"/>
      <c r="K86" s="1537"/>
      <c r="L86" s="1537"/>
      <c r="M86" s="1537"/>
      <c r="N86" s="1537"/>
      <c r="O86" s="1537"/>
      <c r="P86" s="1537"/>
    </row>
    <row r="87" spans="1:16" ht="34.5" customHeight="1">
      <c r="A87" s="1510" t="s">
        <v>1032</v>
      </c>
      <c r="B87" s="1510"/>
      <c r="C87" s="1510"/>
      <c r="D87" s="1510"/>
      <c r="E87" s="1510"/>
      <c r="F87" s="1510"/>
      <c r="G87" s="1510"/>
      <c r="H87" s="1510"/>
      <c r="I87" s="1510"/>
      <c r="J87" s="1510"/>
      <c r="K87" s="1510"/>
      <c r="L87" s="1510"/>
      <c r="M87" s="1510"/>
      <c r="N87" s="1510"/>
      <c r="O87" s="1510"/>
      <c r="P87" s="1510"/>
    </row>
    <row r="88" spans="1:16" ht="28.5" customHeight="1">
      <c r="A88" s="1536" t="s">
        <v>2162</v>
      </c>
      <c r="B88" s="1510"/>
      <c r="C88" s="1510"/>
      <c r="D88" s="1510"/>
      <c r="E88" s="1510"/>
      <c r="F88" s="1510"/>
      <c r="G88" s="1510"/>
      <c r="H88" s="1510"/>
      <c r="I88" s="1510"/>
      <c r="J88" s="1510"/>
      <c r="K88" s="1510"/>
      <c r="L88" s="1510"/>
      <c r="M88" s="1510"/>
      <c r="N88" s="1510"/>
      <c r="O88" s="1510"/>
      <c r="P88" s="1510"/>
    </row>
    <row r="89" spans="1:16">
      <c r="A89" s="1536" t="s">
        <v>2163</v>
      </c>
      <c r="B89" s="1510"/>
      <c r="C89" s="1510"/>
      <c r="D89" s="1510"/>
      <c r="E89" s="1510"/>
      <c r="F89" s="1510"/>
      <c r="G89" s="1510"/>
      <c r="H89" s="1510"/>
      <c r="I89" s="1510"/>
      <c r="J89" s="1510"/>
      <c r="K89" s="1510"/>
      <c r="L89" s="1510"/>
      <c r="M89" s="1510"/>
      <c r="N89" s="1510"/>
      <c r="O89" s="1510"/>
      <c r="P89" s="1510"/>
    </row>
    <row r="90" spans="1:16" ht="28.5" customHeight="1">
      <c r="A90" s="1536" t="s">
        <v>2164</v>
      </c>
      <c r="B90" s="1510"/>
      <c r="C90" s="1510"/>
      <c r="D90" s="1510"/>
      <c r="E90" s="1510"/>
      <c r="F90" s="1510"/>
      <c r="G90" s="1510"/>
      <c r="H90" s="1510"/>
      <c r="I90" s="1510"/>
      <c r="J90" s="1510"/>
      <c r="K90" s="1510"/>
      <c r="L90" s="1510"/>
      <c r="M90" s="1510"/>
      <c r="N90" s="1510"/>
      <c r="O90" s="1510"/>
      <c r="P90" s="1510"/>
    </row>
    <row r="91" spans="1:16">
      <c r="A91" s="1536" t="s">
        <v>2165</v>
      </c>
      <c r="B91" s="1510"/>
      <c r="C91" s="1510"/>
      <c r="D91" s="1510"/>
      <c r="E91" s="1510"/>
      <c r="F91" s="1510"/>
      <c r="G91" s="1510"/>
      <c r="H91" s="1510"/>
      <c r="I91" s="1510"/>
      <c r="J91" s="1510"/>
      <c r="K91" s="1510"/>
      <c r="L91" s="1510"/>
      <c r="M91" s="1510"/>
      <c r="N91" s="1510"/>
      <c r="O91" s="1510"/>
      <c r="P91" s="1510"/>
    </row>
    <row r="92" spans="1:16" ht="30" customHeight="1">
      <c r="A92" s="1536" t="s">
        <v>2166</v>
      </c>
      <c r="B92" s="1510"/>
      <c r="C92" s="1510"/>
      <c r="D92" s="1510"/>
      <c r="E92" s="1510"/>
      <c r="F92" s="1510"/>
      <c r="G92" s="1510"/>
      <c r="H92" s="1510"/>
      <c r="I92" s="1510"/>
      <c r="J92" s="1510"/>
      <c r="K92" s="1510"/>
      <c r="L92" s="1510"/>
      <c r="M92" s="1510"/>
      <c r="N92" s="1510"/>
      <c r="O92" s="1510"/>
      <c r="P92" s="1510"/>
    </row>
    <row r="93" spans="1:16" ht="29.25" customHeight="1">
      <c r="A93" s="1536" t="s">
        <v>2167</v>
      </c>
      <c r="B93" s="1510"/>
      <c r="C93" s="1510"/>
      <c r="D93" s="1510"/>
      <c r="E93" s="1510"/>
      <c r="F93" s="1510"/>
      <c r="G93" s="1510"/>
      <c r="H93" s="1510"/>
      <c r="I93" s="1510"/>
      <c r="J93" s="1510"/>
      <c r="K93" s="1510"/>
      <c r="L93" s="1510"/>
      <c r="M93" s="1510"/>
      <c r="N93" s="1510"/>
      <c r="O93" s="1510"/>
      <c r="P93" s="1510"/>
    </row>
    <row r="94" spans="1:16" ht="16.5" customHeight="1">
      <c r="A94" s="1536" t="s">
        <v>2168</v>
      </c>
      <c r="B94" s="1510"/>
      <c r="C94" s="1510"/>
      <c r="D94" s="1510"/>
      <c r="E94" s="1510"/>
      <c r="F94" s="1510"/>
      <c r="G94" s="1510"/>
      <c r="H94" s="1510"/>
      <c r="I94" s="1510"/>
      <c r="J94" s="1510"/>
      <c r="K94" s="1510"/>
      <c r="L94" s="1510"/>
      <c r="M94" s="1510"/>
      <c r="N94" s="1510"/>
      <c r="O94" s="1510"/>
      <c r="P94" s="1510"/>
    </row>
    <row r="95" spans="1:16" ht="60" customHeight="1">
      <c r="A95" s="1536" t="s">
        <v>2169</v>
      </c>
      <c r="B95" s="1510"/>
      <c r="C95" s="1510"/>
      <c r="D95" s="1510"/>
      <c r="E95" s="1510"/>
      <c r="F95" s="1510"/>
      <c r="G95" s="1510"/>
      <c r="H95" s="1510"/>
      <c r="I95" s="1510"/>
      <c r="J95" s="1510"/>
      <c r="K95" s="1510"/>
      <c r="L95" s="1510"/>
      <c r="M95" s="1510"/>
      <c r="N95" s="1510"/>
      <c r="O95" s="1510"/>
      <c r="P95" s="1510"/>
    </row>
    <row r="96" spans="1:16">
      <c r="A96" s="1536" t="s">
        <v>2170</v>
      </c>
      <c r="B96" s="1510"/>
      <c r="C96" s="1510"/>
      <c r="D96" s="1510"/>
      <c r="E96" s="1510"/>
      <c r="F96" s="1510"/>
      <c r="G96" s="1510"/>
      <c r="H96" s="1510"/>
      <c r="I96" s="1510"/>
      <c r="J96" s="1510"/>
      <c r="K96" s="1510"/>
      <c r="L96" s="1510"/>
      <c r="M96" s="1510"/>
      <c r="N96" s="1510"/>
      <c r="O96" s="1510"/>
      <c r="P96" s="1510"/>
    </row>
    <row r="97" spans="1:16" ht="41.25" customHeight="1">
      <c r="A97" s="1536" t="s">
        <v>2171</v>
      </c>
      <c r="B97" s="1510"/>
      <c r="C97" s="1510"/>
      <c r="D97" s="1510"/>
      <c r="E97" s="1510"/>
      <c r="F97" s="1510"/>
      <c r="G97" s="1510"/>
      <c r="H97" s="1510"/>
      <c r="I97" s="1510"/>
      <c r="J97" s="1510"/>
      <c r="K97" s="1510"/>
      <c r="L97" s="1510"/>
      <c r="M97" s="1510"/>
      <c r="N97" s="1510"/>
      <c r="O97" s="1510"/>
      <c r="P97" s="1510"/>
    </row>
    <row r="98" spans="1:16">
      <c r="A98" s="1536" t="s">
        <v>2172</v>
      </c>
      <c r="B98" s="1510"/>
      <c r="C98" s="1510"/>
      <c r="D98" s="1510"/>
      <c r="E98" s="1510"/>
      <c r="F98" s="1510"/>
      <c r="G98" s="1510"/>
      <c r="H98" s="1510"/>
      <c r="I98" s="1510"/>
      <c r="J98" s="1510"/>
      <c r="K98" s="1510"/>
      <c r="L98" s="1510"/>
      <c r="M98" s="1510"/>
      <c r="N98" s="1510"/>
      <c r="O98" s="1510"/>
      <c r="P98" s="1510"/>
    </row>
    <row r="99" spans="1:16" ht="31.5" customHeight="1">
      <c r="A99" s="1510" t="s">
        <v>1033</v>
      </c>
      <c r="B99" s="1510"/>
      <c r="C99" s="1510"/>
      <c r="D99" s="1510"/>
      <c r="E99" s="1510"/>
      <c r="F99" s="1510"/>
      <c r="G99" s="1510"/>
      <c r="H99" s="1510"/>
      <c r="I99" s="1510"/>
      <c r="J99" s="1510"/>
      <c r="K99" s="1510"/>
      <c r="L99" s="1510"/>
      <c r="M99" s="1510"/>
      <c r="N99" s="1510"/>
      <c r="O99" s="1510"/>
      <c r="P99" s="1510"/>
    </row>
    <row r="100" spans="1:16" ht="42" customHeight="1">
      <c r="A100" s="1536" t="s">
        <v>2173</v>
      </c>
      <c r="B100" s="1510"/>
      <c r="C100" s="1510"/>
      <c r="D100" s="1510"/>
      <c r="E100" s="1510"/>
      <c r="F100" s="1510"/>
      <c r="G100" s="1510"/>
      <c r="H100" s="1510"/>
      <c r="I100" s="1510"/>
      <c r="J100" s="1510"/>
      <c r="K100" s="1510"/>
      <c r="L100" s="1510"/>
      <c r="M100" s="1510"/>
      <c r="N100" s="1510"/>
      <c r="O100" s="1510"/>
      <c r="P100" s="1510"/>
    </row>
    <row r="101" spans="1:16" ht="16.5" customHeight="1">
      <c r="A101" s="1536" t="s">
        <v>2174</v>
      </c>
      <c r="B101" s="1510"/>
      <c r="C101" s="1510"/>
      <c r="D101" s="1510"/>
      <c r="E101" s="1510"/>
      <c r="F101" s="1510"/>
      <c r="G101" s="1510"/>
      <c r="H101" s="1510"/>
      <c r="I101" s="1510"/>
      <c r="J101" s="1510"/>
      <c r="K101" s="1510"/>
      <c r="L101" s="1510"/>
      <c r="M101" s="1510"/>
      <c r="N101" s="1510"/>
      <c r="O101" s="1510"/>
      <c r="P101" s="1510"/>
    </row>
    <row r="102" spans="1:16" ht="18" customHeight="1">
      <c r="A102" s="1536" t="s">
        <v>1034</v>
      </c>
      <c r="B102" s="1510"/>
      <c r="C102" s="1510"/>
      <c r="D102" s="1510"/>
      <c r="E102" s="1510"/>
      <c r="F102" s="1510"/>
      <c r="G102" s="1510"/>
      <c r="H102" s="1510"/>
      <c r="I102" s="1510"/>
      <c r="J102" s="1510"/>
      <c r="K102" s="1510"/>
      <c r="L102" s="1510"/>
      <c r="M102" s="1510"/>
      <c r="N102" s="1510"/>
      <c r="O102" s="1510"/>
      <c r="P102" s="1510"/>
    </row>
    <row r="103" spans="1:16" ht="27.75" customHeight="1">
      <c r="A103" s="1536" t="s">
        <v>2175</v>
      </c>
      <c r="B103" s="1510"/>
      <c r="C103" s="1510"/>
      <c r="D103" s="1510"/>
      <c r="E103" s="1510"/>
      <c r="F103" s="1510"/>
      <c r="G103" s="1510"/>
      <c r="H103" s="1510"/>
      <c r="I103" s="1510"/>
      <c r="J103" s="1510"/>
      <c r="K103" s="1510"/>
      <c r="L103" s="1510"/>
      <c r="M103" s="1510"/>
      <c r="N103" s="1510"/>
      <c r="O103" s="1510"/>
      <c r="P103" s="1510"/>
    </row>
    <row r="104" spans="1:16" ht="55.5" customHeight="1">
      <c r="A104" s="1536" t="s">
        <v>2176</v>
      </c>
      <c r="B104" s="1510"/>
      <c r="C104" s="1510"/>
      <c r="D104" s="1510"/>
      <c r="E104" s="1510"/>
      <c r="F104" s="1510"/>
      <c r="G104" s="1510"/>
      <c r="H104" s="1510"/>
      <c r="I104" s="1510"/>
      <c r="J104" s="1510"/>
      <c r="K104" s="1510"/>
      <c r="L104" s="1510"/>
      <c r="M104" s="1510"/>
      <c r="N104" s="1510"/>
      <c r="O104" s="1510"/>
      <c r="P104" s="1510"/>
    </row>
    <row r="105" spans="1:16">
      <c r="A105" s="1536" t="s">
        <v>2177</v>
      </c>
      <c r="B105" s="1510"/>
      <c r="C105" s="1510"/>
      <c r="D105" s="1510"/>
      <c r="E105" s="1510"/>
      <c r="F105" s="1510"/>
      <c r="G105" s="1510"/>
      <c r="H105" s="1510"/>
      <c r="I105" s="1510"/>
      <c r="J105" s="1510"/>
      <c r="K105" s="1510"/>
      <c r="L105" s="1510"/>
      <c r="M105" s="1510"/>
      <c r="N105" s="1510"/>
      <c r="O105" s="1510"/>
      <c r="P105" s="1510"/>
    </row>
    <row r="106" spans="1:16" ht="15" customHeight="1">
      <c r="A106" s="1536" t="s">
        <v>2178</v>
      </c>
      <c r="B106" s="1510"/>
      <c r="C106" s="1510"/>
      <c r="D106" s="1510"/>
      <c r="E106" s="1510"/>
      <c r="F106" s="1510"/>
      <c r="G106" s="1510"/>
      <c r="H106" s="1510"/>
      <c r="I106" s="1510"/>
      <c r="J106" s="1510"/>
      <c r="K106" s="1510"/>
      <c r="L106" s="1510"/>
      <c r="M106" s="1510"/>
      <c r="N106" s="1510"/>
      <c r="O106" s="1510"/>
      <c r="P106" s="1510"/>
    </row>
    <row r="107" spans="1:16" ht="44.25" customHeight="1">
      <c r="A107" s="1510" t="s">
        <v>1035</v>
      </c>
      <c r="B107" s="1510"/>
      <c r="C107" s="1510"/>
      <c r="D107" s="1510"/>
      <c r="E107" s="1510"/>
      <c r="F107" s="1510"/>
      <c r="G107" s="1510"/>
      <c r="H107" s="1510"/>
      <c r="I107" s="1510"/>
      <c r="J107" s="1510"/>
      <c r="K107" s="1510"/>
      <c r="L107" s="1510"/>
      <c r="M107" s="1510"/>
      <c r="N107" s="1510"/>
      <c r="O107" s="1510"/>
      <c r="P107" s="1510"/>
    </row>
    <row r="108" spans="1:16" ht="27" customHeight="1">
      <c r="A108" s="1536" t="s">
        <v>2179</v>
      </c>
      <c r="B108" s="1510"/>
      <c r="C108" s="1510"/>
      <c r="D108" s="1510"/>
      <c r="E108" s="1510"/>
      <c r="F108" s="1510"/>
      <c r="G108" s="1510"/>
      <c r="H108" s="1510"/>
      <c r="I108" s="1510"/>
      <c r="J108" s="1510"/>
      <c r="K108" s="1510"/>
      <c r="L108" s="1510"/>
      <c r="M108" s="1510"/>
      <c r="N108" s="1510"/>
      <c r="O108" s="1510"/>
      <c r="P108" s="1510"/>
    </row>
    <row r="109" spans="1:16" ht="18" customHeight="1">
      <c r="A109" s="1511" t="s">
        <v>1036</v>
      </c>
      <c r="B109" s="1511"/>
      <c r="C109" s="1511"/>
      <c r="D109" s="1511"/>
      <c r="E109" s="1511"/>
      <c r="F109" s="1511"/>
      <c r="G109" s="1511"/>
      <c r="H109" s="1511"/>
      <c r="I109" s="1511"/>
      <c r="J109" s="1511"/>
      <c r="K109" s="1511"/>
      <c r="L109" s="1511"/>
      <c r="M109" s="1511"/>
      <c r="N109" s="1511"/>
      <c r="O109" s="1511"/>
      <c r="P109" s="1511"/>
    </row>
    <row r="110" spans="1:16" ht="42" customHeight="1">
      <c r="A110" s="1510" t="s">
        <v>1037</v>
      </c>
      <c r="B110" s="1510"/>
      <c r="C110" s="1510"/>
      <c r="D110" s="1510"/>
      <c r="E110" s="1510"/>
      <c r="F110" s="1510"/>
      <c r="G110" s="1510"/>
      <c r="H110" s="1510"/>
      <c r="I110" s="1510"/>
      <c r="J110" s="1510"/>
      <c r="K110" s="1510"/>
      <c r="L110" s="1510"/>
      <c r="M110" s="1510"/>
      <c r="N110" s="1510"/>
      <c r="O110" s="1510"/>
      <c r="P110" s="1510"/>
    </row>
    <row r="111" spans="1:16">
      <c r="A111" s="1536" t="s">
        <v>2180</v>
      </c>
      <c r="B111" s="1510"/>
      <c r="C111" s="1510"/>
      <c r="D111" s="1510"/>
      <c r="E111" s="1510"/>
      <c r="F111" s="1510"/>
      <c r="G111" s="1510"/>
      <c r="H111" s="1510"/>
      <c r="I111" s="1510"/>
      <c r="J111" s="1510"/>
      <c r="K111" s="1510"/>
      <c r="L111" s="1510"/>
      <c r="M111" s="1510"/>
      <c r="N111" s="1510"/>
      <c r="O111" s="1510"/>
      <c r="P111" s="1510"/>
    </row>
    <row r="112" spans="1:16" ht="18" customHeight="1">
      <c r="A112" s="1510" t="s">
        <v>1038</v>
      </c>
      <c r="B112" s="1510"/>
      <c r="C112" s="1510"/>
      <c r="D112" s="1510"/>
      <c r="E112" s="1510"/>
      <c r="F112" s="1510"/>
      <c r="G112" s="1510"/>
      <c r="H112" s="1510"/>
      <c r="I112" s="1510"/>
      <c r="J112" s="1510"/>
      <c r="K112" s="1510"/>
      <c r="L112" s="1510"/>
      <c r="M112" s="1510"/>
      <c r="N112" s="1510"/>
      <c r="O112" s="1510"/>
      <c r="P112" s="1510"/>
    </row>
    <row r="113" spans="1:16" ht="16.5" customHeight="1">
      <c r="A113" s="1536" t="s">
        <v>2181</v>
      </c>
      <c r="B113" s="1510"/>
      <c r="C113" s="1510"/>
      <c r="D113" s="1510"/>
      <c r="E113" s="1510"/>
      <c r="F113" s="1510"/>
      <c r="G113" s="1510"/>
      <c r="H113" s="1510"/>
      <c r="I113" s="1510"/>
      <c r="J113" s="1510"/>
      <c r="K113" s="1510"/>
      <c r="L113" s="1510"/>
      <c r="M113" s="1510"/>
      <c r="N113" s="1510"/>
      <c r="O113" s="1510"/>
      <c r="P113" s="1510"/>
    </row>
    <row r="114" spans="1:16" ht="17.25" customHeight="1">
      <c r="A114" s="1536" t="s">
        <v>2182</v>
      </c>
      <c r="B114" s="1510"/>
      <c r="C114" s="1510"/>
      <c r="D114" s="1510"/>
      <c r="E114" s="1510"/>
      <c r="F114" s="1510"/>
      <c r="G114" s="1510"/>
      <c r="H114" s="1510"/>
      <c r="I114" s="1510"/>
      <c r="J114" s="1510"/>
      <c r="K114" s="1510"/>
      <c r="L114" s="1510"/>
      <c r="M114" s="1510"/>
      <c r="N114" s="1510"/>
      <c r="O114" s="1510"/>
      <c r="P114" s="1510"/>
    </row>
    <row r="115" spans="1:16">
      <c r="A115" s="1536" t="s">
        <v>2183</v>
      </c>
      <c r="B115" s="1510"/>
      <c r="C115" s="1510"/>
      <c r="D115" s="1510"/>
      <c r="E115" s="1510"/>
      <c r="F115" s="1510"/>
      <c r="G115" s="1510"/>
      <c r="H115" s="1510"/>
      <c r="I115" s="1510"/>
      <c r="J115" s="1510"/>
      <c r="K115" s="1510"/>
      <c r="L115" s="1510"/>
      <c r="M115" s="1510"/>
      <c r="N115" s="1510"/>
      <c r="O115" s="1510"/>
      <c r="P115" s="1510"/>
    </row>
    <row r="116" spans="1:16">
      <c r="A116" s="1511" t="s">
        <v>669</v>
      </c>
      <c r="B116" s="1511"/>
      <c r="C116" s="1511"/>
      <c r="D116" s="1511"/>
      <c r="E116" s="1511"/>
      <c r="F116" s="1511"/>
      <c r="G116" s="1511"/>
      <c r="H116" s="1511"/>
      <c r="I116" s="1511"/>
      <c r="J116" s="1511"/>
      <c r="K116" s="1511"/>
      <c r="L116" s="1511"/>
      <c r="M116" s="1511"/>
      <c r="N116" s="1511"/>
      <c r="O116" s="1511"/>
      <c r="P116" s="1511"/>
    </row>
    <row r="117" spans="1:16" ht="16.5" customHeight="1">
      <c r="A117" s="1510" t="s">
        <v>1039</v>
      </c>
      <c r="B117" s="1510"/>
      <c r="C117" s="1510"/>
      <c r="D117" s="1510"/>
      <c r="E117" s="1510"/>
      <c r="F117" s="1510"/>
      <c r="G117" s="1510"/>
      <c r="H117" s="1510"/>
      <c r="I117" s="1510"/>
      <c r="J117" s="1510"/>
      <c r="K117" s="1510"/>
      <c r="L117" s="1510"/>
      <c r="M117" s="1510"/>
      <c r="N117" s="1510"/>
      <c r="O117" s="1510"/>
      <c r="P117" s="1510"/>
    </row>
    <row r="145" spans="1:17">
      <c r="A145" s="1528" t="s">
        <v>1040</v>
      </c>
      <c r="B145" s="1528"/>
      <c r="C145" s="1528"/>
      <c r="D145" s="1528"/>
      <c r="E145" s="1528"/>
      <c r="F145" s="1528"/>
      <c r="G145" s="1528"/>
      <c r="H145" s="1528"/>
      <c r="I145" s="1528"/>
      <c r="J145" s="1528"/>
      <c r="K145" s="1528"/>
      <c r="L145" s="1528"/>
      <c r="M145" s="1528"/>
      <c r="N145" s="1528"/>
      <c r="O145" s="1528"/>
      <c r="P145" s="1528"/>
    </row>
    <row r="146" spans="1:17" ht="13.5" customHeight="1">
      <c r="A146" s="1528" t="s">
        <v>1041</v>
      </c>
      <c r="B146" s="1528"/>
      <c r="C146" s="1528"/>
      <c r="D146" s="1528"/>
      <c r="E146" s="1528"/>
      <c r="F146" s="1528"/>
      <c r="G146" s="1528"/>
      <c r="H146" s="1528"/>
      <c r="I146" s="1528"/>
      <c r="J146" s="1528"/>
      <c r="K146" s="1528"/>
      <c r="L146" s="1528"/>
      <c r="M146" s="1528"/>
      <c r="N146" s="1528"/>
      <c r="O146" s="1528"/>
      <c r="P146" s="1528"/>
    </row>
    <row r="147" spans="1:17">
      <c r="A147" s="1528" t="s">
        <v>1042</v>
      </c>
      <c r="B147" s="1528"/>
      <c r="C147" s="1528"/>
      <c r="D147" s="1528"/>
      <c r="E147" s="1528"/>
      <c r="F147" s="1528"/>
      <c r="G147" s="1528"/>
      <c r="H147" s="1528"/>
      <c r="I147" s="1528"/>
      <c r="J147" s="1528"/>
      <c r="K147" s="1528"/>
      <c r="L147" s="1528"/>
      <c r="M147" s="1528"/>
      <c r="N147" s="1528"/>
      <c r="O147" s="1528"/>
      <c r="P147" s="1528"/>
    </row>
    <row r="148" spans="1:17" ht="14.25" customHeight="1">
      <c r="A148" s="1528" t="s">
        <v>1043</v>
      </c>
      <c r="B148" s="1528"/>
      <c r="C148" s="1528"/>
      <c r="D148" s="1528"/>
      <c r="E148" s="1528"/>
      <c r="F148" s="1528"/>
      <c r="G148" s="1528"/>
      <c r="H148" s="1528"/>
      <c r="I148" s="1528"/>
      <c r="J148" s="1528"/>
      <c r="K148" s="1528"/>
      <c r="L148" s="1528"/>
      <c r="M148" s="1528"/>
      <c r="N148" s="1528"/>
      <c r="O148" s="1528"/>
      <c r="P148" s="1528"/>
    </row>
    <row r="150" spans="1:17" ht="13.5" customHeight="1">
      <c r="A150" s="1529" t="s">
        <v>1051</v>
      </c>
      <c r="B150" s="1530" t="s">
        <v>1052</v>
      </c>
      <c r="C150" s="1531"/>
      <c r="D150" s="1531"/>
      <c r="E150" s="1531"/>
      <c r="F150" s="428"/>
      <c r="G150" s="1532"/>
      <c r="H150" s="1535" t="s">
        <v>1044</v>
      </c>
      <c r="I150" s="1535"/>
      <c r="J150" s="1535" t="s">
        <v>1044</v>
      </c>
      <c r="K150" s="1535"/>
      <c r="L150" s="1535" t="s">
        <v>1045</v>
      </c>
      <c r="M150" s="1535"/>
      <c r="N150" s="1535" t="s">
        <v>1046</v>
      </c>
      <c r="O150" s="1535"/>
      <c r="P150" s="293"/>
      <c r="Q150" s="293"/>
    </row>
    <row r="151" spans="1:17" ht="13.5" customHeight="1">
      <c r="A151" s="1529"/>
      <c r="B151" s="1530"/>
      <c r="C151" s="1531"/>
      <c r="D151" s="1531"/>
      <c r="E151" s="1531"/>
      <c r="F151" s="443"/>
      <c r="G151" s="1533"/>
      <c r="H151" s="1526" t="s">
        <v>1047</v>
      </c>
      <c r="I151" s="1526"/>
      <c r="J151" s="1526" t="s">
        <v>1048</v>
      </c>
      <c r="K151" s="1526"/>
      <c r="L151" s="1526" t="s">
        <v>1049</v>
      </c>
      <c r="M151" s="1526"/>
      <c r="N151" s="1526" t="s">
        <v>1050</v>
      </c>
      <c r="O151" s="1526"/>
      <c r="P151" s="293"/>
      <c r="Q151" s="293"/>
    </row>
    <row r="152" spans="1:17" ht="13.5" customHeight="1">
      <c r="A152" s="1529"/>
      <c r="B152" s="1530"/>
      <c r="C152" s="1531"/>
      <c r="D152" s="1531"/>
      <c r="E152" s="1531"/>
      <c r="F152" s="444"/>
      <c r="G152" s="1534"/>
      <c r="H152" s="1527" t="s">
        <v>1053</v>
      </c>
      <c r="I152" s="1527"/>
      <c r="J152" s="1527" t="s">
        <v>1053</v>
      </c>
      <c r="K152" s="1527"/>
      <c r="L152" s="1527" t="s">
        <v>1053</v>
      </c>
      <c r="M152" s="1527"/>
      <c r="N152" s="1527" t="s">
        <v>1053</v>
      </c>
      <c r="O152" s="1527"/>
    </row>
    <row r="153" spans="1:17" ht="12.75" customHeight="1">
      <c r="A153" s="492">
        <v>1</v>
      </c>
      <c r="B153" s="1474" t="s">
        <v>1054</v>
      </c>
      <c r="C153" s="1474"/>
      <c r="D153" s="1474"/>
      <c r="E153" s="1556"/>
      <c r="F153" s="514"/>
      <c r="G153" s="1369"/>
      <c r="H153" s="1369"/>
      <c r="I153" s="1369"/>
      <c r="J153" s="1369"/>
      <c r="K153" s="1369"/>
      <c r="L153" s="1369"/>
      <c r="M153" s="1369"/>
      <c r="N153" s="1369"/>
      <c r="O153" s="1369"/>
    </row>
    <row r="154" spans="1:17">
      <c r="A154" s="1393"/>
      <c r="B154" s="1393"/>
      <c r="C154" s="1423" t="s">
        <v>1055</v>
      </c>
      <c r="D154" s="1423"/>
      <c r="E154" s="1523"/>
      <c r="F154" s="421"/>
      <c r="G154" s="485" t="s">
        <v>1056</v>
      </c>
      <c r="H154" s="1542">
        <v>2000</v>
      </c>
      <c r="I154" s="1542"/>
      <c r="J154" s="1542" t="s">
        <v>1057</v>
      </c>
      <c r="K154" s="1542"/>
      <c r="L154" s="1542">
        <v>2500</v>
      </c>
      <c r="M154" s="1542"/>
      <c r="N154" s="1542" t="s">
        <v>1057</v>
      </c>
      <c r="O154" s="1542"/>
      <c r="P154" s="300"/>
    </row>
    <row r="155" spans="1:17">
      <c r="A155" s="1393"/>
      <c r="B155" s="1393"/>
      <c r="C155" s="1423" t="s">
        <v>1058</v>
      </c>
      <c r="D155" s="1423"/>
      <c r="E155" s="1523"/>
      <c r="F155" s="421"/>
      <c r="G155" s="485" t="s">
        <v>1056</v>
      </c>
      <c r="H155" s="1542">
        <v>1800</v>
      </c>
      <c r="I155" s="1542"/>
      <c r="J155" s="1542" t="s">
        <v>1057</v>
      </c>
      <c r="K155" s="1542"/>
      <c r="L155" s="1542">
        <v>2200</v>
      </c>
      <c r="M155" s="1542"/>
      <c r="N155" s="1542" t="s">
        <v>1057</v>
      </c>
      <c r="O155" s="1542"/>
      <c r="P155" s="300"/>
    </row>
    <row r="156" spans="1:17" ht="12.75" customHeight="1">
      <c r="A156" s="493">
        <v>2</v>
      </c>
      <c r="B156" s="1460" t="s">
        <v>1059</v>
      </c>
      <c r="C156" s="1460"/>
      <c r="D156" s="1460"/>
      <c r="E156" s="1355"/>
      <c r="F156" s="421"/>
      <c r="G156" s="485"/>
      <c r="H156" s="1542">
        <v>1800</v>
      </c>
      <c r="I156" s="1542"/>
      <c r="J156" s="1542" t="s">
        <v>1057</v>
      </c>
      <c r="K156" s="1542"/>
      <c r="L156" s="1542">
        <v>2200</v>
      </c>
      <c r="M156" s="1542"/>
      <c r="N156" s="1542" t="s">
        <v>1057</v>
      </c>
      <c r="O156" s="1542"/>
      <c r="P156" s="300"/>
    </row>
    <row r="157" spans="1:17" ht="16.5" customHeight="1">
      <c r="A157" s="493">
        <v>3</v>
      </c>
      <c r="B157" s="1460" t="s">
        <v>2098</v>
      </c>
      <c r="C157" s="1460"/>
      <c r="D157" s="1460"/>
      <c r="E157" s="1355"/>
      <c r="F157" s="421"/>
      <c r="G157" s="1542"/>
      <c r="H157" s="1542"/>
      <c r="I157" s="1542"/>
      <c r="J157" s="1542"/>
      <c r="K157" s="1542"/>
      <c r="L157" s="1542"/>
      <c r="M157" s="1542"/>
      <c r="N157" s="1542"/>
      <c r="O157" s="1542"/>
      <c r="P157" s="300"/>
    </row>
    <row r="158" spans="1:17" ht="12" customHeight="1">
      <c r="A158" s="1393"/>
      <c r="B158" s="1393"/>
      <c r="C158" s="1423" t="s">
        <v>1060</v>
      </c>
      <c r="D158" s="1423"/>
      <c r="E158" s="1523"/>
      <c r="F158" s="421"/>
      <c r="G158" s="485" t="s">
        <v>1056</v>
      </c>
      <c r="H158" s="1542">
        <v>1200</v>
      </c>
      <c r="I158" s="1542"/>
      <c r="J158" s="1542" t="s">
        <v>1057</v>
      </c>
      <c r="K158" s="1542"/>
      <c r="L158" s="1542">
        <v>1600</v>
      </c>
      <c r="M158" s="1542"/>
      <c r="N158" s="1542" t="s">
        <v>1057</v>
      </c>
      <c r="O158" s="1542"/>
      <c r="P158" s="300"/>
    </row>
    <row r="159" spans="1:17">
      <c r="A159" s="1393"/>
      <c r="B159" s="1393"/>
      <c r="C159" s="1423" t="s">
        <v>1058</v>
      </c>
      <c r="D159" s="1423"/>
      <c r="E159" s="1523"/>
      <c r="F159" s="421"/>
      <c r="G159" s="485" t="s">
        <v>1056</v>
      </c>
      <c r="H159" s="1542">
        <v>975</v>
      </c>
      <c r="I159" s="1542"/>
      <c r="J159" s="1542" t="s">
        <v>1057</v>
      </c>
      <c r="K159" s="1542"/>
      <c r="L159" s="1542">
        <v>975</v>
      </c>
      <c r="M159" s="1542"/>
      <c r="N159" s="1542" t="s">
        <v>1057</v>
      </c>
      <c r="O159" s="1542"/>
      <c r="P159" s="301"/>
    </row>
    <row r="160" spans="1:17" ht="15.75" customHeight="1">
      <c r="A160" s="493">
        <v>4</v>
      </c>
      <c r="B160" s="1459" t="s">
        <v>2099</v>
      </c>
      <c r="C160" s="1459"/>
      <c r="D160" s="1459"/>
      <c r="E160" s="1366"/>
      <c r="F160" s="487"/>
      <c r="G160" s="1542"/>
      <c r="H160" s="1542"/>
      <c r="I160" s="1542"/>
      <c r="J160" s="1542"/>
      <c r="K160" s="1542"/>
      <c r="L160" s="1542"/>
      <c r="M160" s="1542"/>
      <c r="N160" s="1542"/>
      <c r="O160" s="1542"/>
      <c r="P160" s="300"/>
    </row>
    <row r="161" spans="1:19">
      <c r="A161" s="1393"/>
      <c r="B161" s="1393"/>
      <c r="C161" s="1423" t="s">
        <v>1061</v>
      </c>
      <c r="D161" s="1423"/>
      <c r="E161" s="1523"/>
      <c r="F161" s="421"/>
      <c r="G161" s="485" t="s">
        <v>1056</v>
      </c>
      <c r="H161" s="1542">
        <v>975</v>
      </c>
      <c r="I161" s="1542"/>
      <c r="J161" s="1542" t="s">
        <v>1057</v>
      </c>
      <c r="K161" s="1542"/>
      <c r="L161" s="1542">
        <v>975</v>
      </c>
      <c r="M161" s="1542"/>
      <c r="N161" s="1542" t="s">
        <v>1057</v>
      </c>
      <c r="O161" s="1542"/>
      <c r="P161" s="300"/>
    </row>
    <row r="162" spans="1:19">
      <c r="A162" s="1393"/>
      <c r="B162" s="1393"/>
      <c r="C162" s="1423" t="s">
        <v>1062</v>
      </c>
      <c r="D162" s="1423"/>
      <c r="E162" s="1523"/>
      <c r="F162" s="421"/>
      <c r="G162" s="485" t="s">
        <v>1056</v>
      </c>
      <c r="H162" s="1542">
        <v>950</v>
      </c>
      <c r="I162" s="1542"/>
      <c r="J162" s="1542" t="s">
        <v>1057</v>
      </c>
      <c r="K162" s="1542"/>
      <c r="L162" s="1542">
        <v>750</v>
      </c>
      <c r="M162" s="1542"/>
      <c r="N162" s="1542" t="s">
        <v>1057</v>
      </c>
      <c r="O162" s="1542"/>
      <c r="P162" s="300"/>
    </row>
    <row r="163" spans="1:19" ht="12" customHeight="1">
      <c r="A163" s="493">
        <v>5</v>
      </c>
      <c r="B163" s="1459" t="s">
        <v>2100</v>
      </c>
      <c r="C163" s="1459"/>
      <c r="D163" s="1459"/>
      <c r="E163" s="1366"/>
      <c r="F163" s="487"/>
      <c r="G163" s="1542"/>
      <c r="H163" s="1542"/>
      <c r="I163" s="1542"/>
      <c r="J163" s="1542"/>
      <c r="K163" s="1542"/>
      <c r="L163" s="1542"/>
      <c r="M163" s="1542"/>
      <c r="N163" s="1542"/>
      <c r="O163" s="1542"/>
      <c r="P163" s="300"/>
    </row>
    <row r="164" spans="1:19">
      <c r="A164" s="1393"/>
      <c r="B164" s="1393"/>
      <c r="C164" s="1422" t="s">
        <v>1063</v>
      </c>
      <c r="D164" s="1423"/>
      <c r="E164" s="1523"/>
      <c r="F164" s="421"/>
      <c r="G164" s="485" t="s">
        <v>1056</v>
      </c>
      <c r="H164" s="1542">
        <v>975</v>
      </c>
      <c r="I164" s="1542"/>
      <c r="J164" s="1542" t="s">
        <v>1057</v>
      </c>
      <c r="K164" s="1542"/>
      <c r="L164" s="1542">
        <v>975</v>
      </c>
      <c r="M164" s="1542"/>
      <c r="N164" s="1542" t="s">
        <v>1057</v>
      </c>
      <c r="O164" s="1542"/>
      <c r="P164" s="300"/>
    </row>
    <row r="165" spans="1:19">
      <c r="A165" s="1393"/>
      <c r="B165" s="1393"/>
      <c r="C165" s="1422" t="s">
        <v>1058</v>
      </c>
      <c r="D165" s="1423"/>
      <c r="E165" s="1523"/>
      <c r="F165" s="421"/>
      <c r="G165" s="485" t="s">
        <v>1056</v>
      </c>
      <c r="H165" s="1542">
        <v>800</v>
      </c>
      <c r="I165" s="1542"/>
      <c r="J165" s="1542" t="s">
        <v>1057</v>
      </c>
      <c r="K165" s="1542"/>
      <c r="L165" s="1542">
        <v>900</v>
      </c>
      <c r="M165" s="1542"/>
      <c r="N165" s="1542" t="s">
        <v>1057</v>
      </c>
      <c r="O165" s="1542"/>
      <c r="P165" s="300"/>
    </row>
    <row r="166" spans="1:19">
      <c r="A166" s="493">
        <v>6</v>
      </c>
      <c r="B166" s="1460" t="s">
        <v>1064</v>
      </c>
      <c r="C166" s="1460"/>
      <c r="D166" s="1460"/>
      <c r="E166" s="1355"/>
      <c r="F166" s="421"/>
      <c r="G166" s="1542"/>
      <c r="H166" s="1542"/>
      <c r="I166" s="1542"/>
      <c r="J166" s="1542"/>
      <c r="K166" s="1542"/>
      <c r="L166" s="1542"/>
      <c r="M166" s="1542"/>
      <c r="N166" s="1542"/>
      <c r="O166" s="1542"/>
      <c r="P166" s="300"/>
    </row>
    <row r="167" spans="1:19" ht="15" customHeight="1">
      <c r="A167" s="1393"/>
      <c r="B167" s="1393"/>
      <c r="C167" s="1423" t="s">
        <v>1065</v>
      </c>
      <c r="D167" s="1423"/>
      <c r="E167" s="1523"/>
      <c r="F167" s="421"/>
      <c r="G167" s="485" t="s">
        <v>1056</v>
      </c>
      <c r="H167" s="1542">
        <v>975</v>
      </c>
      <c r="I167" s="1542"/>
      <c r="J167" s="1542" t="s">
        <v>1057</v>
      </c>
      <c r="K167" s="1542"/>
      <c r="L167" s="1542">
        <v>975</v>
      </c>
      <c r="M167" s="1542"/>
      <c r="N167" s="1542" t="s">
        <v>1057</v>
      </c>
      <c r="O167" s="1542"/>
      <c r="P167" s="301"/>
    </row>
    <row r="168" spans="1:19" ht="17.25" customHeight="1">
      <c r="A168" s="493">
        <v>7</v>
      </c>
      <c r="B168" s="1460" t="s">
        <v>1066</v>
      </c>
      <c r="C168" s="1460"/>
      <c r="D168" s="1460"/>
      <c r="E168" s="1355"/>
      <c r="F168" s="421"/>
      <c r="G168" s="1542"/>
      <c r="H168" s="1542"/>
      <c r="I168" s="1542"/>
      <c r="J168" s="1542"/>
      <c r="K168" s="1542"/>
      <c r="L168" s="1542"/>
      <c r="M168" s="1542"/>
      <c r="N168" s="1542"/>
      <c r="O168" s="1542"/>
      <c r="P168" s="300"/>
    </row>
    <row r="169" spans="1:19" ht="13.5" customHeight="1">
      <c r="A169" s="493"/>
      <c r="B169" s="1459" t="s">
        <v>2101</v>
      </c>
      <c r="C169" s="1459"/>
      <c r="D169" s="1459"/>
      <c r="E169" s="1366"/>
      <c r="F169" s="487"/>
      <c r="G169" s="485" t="s">
        <v>2102</v>
      </c>
      <c r="H169" s="1542">
        <v>800</v>
      </c>
      <c r="I169" s="1542"/>
      <c r="J169" s="1542" t="s">
        <v>1057</v>
      </c>
      <c r="K169" s="1542"/>
      <c r="L169" s="1542">
        <v>900</v>
      </c>
      <c r="M169" s="1542"/>
      <c r="N169" s="1542" t="s">
        <v>1057</v>
      </c>
      <c r="O169" s="1542"/>
      <c r="P169" s="300"/>
      <c r="Q169" s="293"/>
      <c r="R169" s="293"/>
      <c r="S169" s="293"/>
    </row>
    <row r="170" spans="1:19" s="99" customFormat="1" ht="14.25" customHeight="1">
      <c r="A170" s="493">
        <v>8</v>
      </c>
      <c r="B170" s="1460" t="s">
        <v>1067</v>
      </c>
      <c r="C170" s="1460"/>
      <c r="D170" s="1460"/>
      <c r="E170" s="1355"/>
      <c r="F170" s="421"/>
      <c r="G170" s="485" t="s">
        <v>1056</v>
      </c>
      <c r="H170" s="1542">
        <v>800</v>
      </c>
      <c r="I170" s="1542"/>
      <c r="J170" s="1542" t="s">
        <v>1057</v>
      </c>
      <c r="K170" s="1542"/>
      <c r="L170" s="1542">
        <v>900</v>
      </c>
      <c r="M170" s="1542"/>
      <c r="N170" s="1542" t="s">
        <v>1057</v>
      </c>
      <c r="O170" s="1542"/>
      <c r="P170" s="302"/>
    </row>
    <row r="171" spans="1:19" ht="15" customHeight="1">
      <c r="A171" s="493">
        <v>9</v>
      </c>
      <c r="B171" s="1460" t="s">
        <v>2103</v>
      </c>
      <c r="C171" s="1460"/>
      <c r="D171" s="1460"/>
      <c r="E171" s="1355"/>
      <c r="F171" s="421"/>
      <c r="G171" s="1542"/>
      <c r="H171" s="1542"/>
      <c r="I171" s="1542"/>
      <c r="J171" s="1542"/>
      <c r="K171" s="1542"/>
      <c r="L171" s="1542"/>
      <c r="M171" s="1542"/>
      <c r="N171" s="1542"/>
      <c r="O171" s="1542"/>
      <c r="P171" s="300"/>
    </row>
    <row r="172" spans="1:19">
      <c r="A172" s="1461"/>
      <c r="B172" s="1461"/>
      <c r="C172" s="1423" t="s">
        <v>1068</v>
      </c>
      <c r="D172" s="1423"/>
      <c r="E172" s="1523"/>
      <c r="F172" s="421"/>
      <c r="G172" s="485" t="s">
        <v>1056</v>
      </c>
      <c r="H172" s="1542">
        <v>975</v>
      </c>
      <c r="I172" s="1542"/>
      <c r="J172" s="1542" t="s">
        <v>1057</v>
      </c>
      <c r="K172" s="1542"/>
      <c r="L172" s="1542">
        <v>800</v>
      </c>
      <c r="M172" s="1542"/>
      <c r="N172" s="1542" t="s">
        <v>1057</v>
      </c>
      <c r="O172" s="1542"/>
      <c r="P172" s="300"/>
    </row>
    <row r="173" spans="1:19">
      <c r="A173" s="1461"/>
      <c r="B173" s="1461"/>
      <c r="C173" s="1423" t="s">
        <v>1058</v>
      </c>
      <c r="D173" s="1423"/>
      <c r="E173" s="1523"/>
      <c r="F173" s="421"/>
      <c r="G173" s="485" t="s">
        <v>1056</v>
      </c>
      <c r="H173" s="1542">
        <v>800</v>
      </c>
      <c r="I173" s="1542"/>
      <c r="J173" s="1542" t="s">
        <v>1057</v>
      </c>
      <c r="K173" s="1542"/>
      <c r="L173" s="1542">
        <v>750</v>
      </c>
      <c r="M173" s="1542"/>
      <c r="N173" s="1542" t="s">
        <v>1057</v>
      </c>
      <c r="O173" s="1542"/>
      <c r="P173" s="300"/>
    </row>
    <row r="174" spans="1:19">
      <c r="A174" s="1461"/>
      <c r="B174" s="1461"/>
      <c r="C174" s="1423" t="s">
        <v>1069</v>
      </c>
      <c r="D174" s="1423"/>
      <c r="E174" s="1523"/>
      <c r="F174" s="421"/>
      <c r="G174" s="485" t="s">
        <v>1056</v>
      </c>
      <c r="H174" s="1542">
        <v>650</v>
      </c>
      <c r="I174" s="1542"/>
      <c r="J174" s="1542" t="s">
        <v>1057</v>
      </c>
      <c r="K174" s="1542"/>
      <c r="L174" s="1542">
        <v>300</v>
      </c>
      <c r="M174" s="1542"/>
      <c r="N174" s="1542" t="s">
        <v>1057</v>
      </c>
      <c r="O174" s="1542"/>
      <c r="P174" s="300"/>
    </row>
    <row r="175" spans="1:19" s="99" customFormat="1" ht="15" customHeight="1">
      <c r="A175" s="493">
        <v>10</v>
      </c>
      <c r="B175" s="1460" t="s">
        <v>1070</v>
      </c>
      <c r="C175" s="1460"/>
      <c r="D175" s="1460"/>
      <c r="E175" s="1355"/>
      <c r="F175" s="421"/>
      <c r="G175" s="485" t="s">
        <v>1056</v>
      </c>
      <c r="H175" s="1542">
        <v>800</v>
      </c>
      <c r="I175" s="1542"/>
      <c r="J175" s="1542">
        <v>750</v>
      </c>
      <c r="K175" s="1542"/>
      <c r="L175" s="1542" t="s">
        <v>1057</v>
      </c>
      <c r="M175" s="1542"/>
      <c r="N175" s="1542" t="s">
        <v>1057</v>
      </c>
      <c r="O175" s="1542"/>
      <c r="P175" s="303"/>
    </row>
    <row r="176" spans="1:19" ht="12" customHeight="1">
      <c r="A176" s="493">
        <v>11</v>
      </c>
      <c r="B176" s="1460" t="s">
        <v>1071</v>
      </c>
      <c r="C176" s="1460"/>
      <c r="D176" s="1460"/>
      <c r="E176" s="1355"/>
      <c r="F176" s="421"/>
      <c r="G176" s="1542"/>
      <c r="H176" s="1542"/>
      <c r="I176" s="1542"/>
      <c r="J176" s="1542"/>
      <c r="K176" s="1542"/>
      <c r="L176" s="1542"/>
      <c r="M176" s="1542"/>
      <c r="N176" s="1542"/>
      <c r="O176" s="1542"/>
      <c r="P176" s="300"/>
    </row>
    <row r="177" spans="1:16">
      <c r="A177" s="1504"/>
      <c r="B177" s="1505"/>
      <c r="C177" s="1423" t="s">
        <v>1072</v>
      </c>
      <c r="D177" s="1423"/>
      <c r="E177" s="1523"/>
      <c r="F177" s="421"/>
      <c r="G177" s="485" t="s">
        <v>1056</v>
      </c>
      <c r="H177" s="1542">
        <v>800</v>
      </c>
      <c r="I177" s="1542"/>
      <c r="J177" s="1542" t="s">
        <v>1057</v>
      </c>
      <c r="K177" s="1542"/>
      <c r="L177" s="1542">
        <v>900</v>
      </c>
      <c r="M177" s="1542"/>
      <c r="N177" s="1542" t="s">
        <v>1057</v>
      </c>
      <c r="O177" s="1542"/>
      <c r="P177" s="300"/>
    </row>
    <row r="178" spans="1:16">
      <c r="A178" s="1504"/>
      <c r="B178" s="1505"/>
      <c r="C178" s="1423" t="s">
        <v>1073</v>
      </c>
      <c r="D178" s="1423"/>
      <c r="E178" s="1523"/>
      <c r="F178" s="421"/>
      <c r="G178" s="485" t="s">
        <v>1056</v>
      </c>
      <c r="H178" s="1542">
        <v>800</v>
      </c>
      <c r="I178" s="1542"/>
      <c r="J178" s="1542" t="s">
        <v>1057</v>
      </c>
      <c r="K178" s="1542"/>
      <c r="L178" s="1542">
        <v>800</v>
      </c>
      <c r="M178" s="1542"/>
      <c r="N178" s="1542" t="s">
        <v>1057</v>
      </c>
      <c r="O178" s="1542"/>
      <c r="P178" s="300"/>
    </row>
    <row r="179" spans="1:16">
      <c r="A179" s="1504"/>
      <c r="B179" s="1505"/>
      <c r="C179" s="1423" t="s">
        <v>1074</v>
      </c>
      <c r="D179" s="1423"/>
      <c r="E179" s="1523"/>
      <c r="F179" s="421"/>
      <c r="G179" s="485" t="s">
        <v>1056</v>
      </c>
      <c r="H179" s="1542">
        <v>800</v>
      </c>
      <c r="I179" s="1542"/>
      <c r="J179" s="1542" t="s">
        <v>1057</v>
      </c>
      <c r="K179" s="1542"/>
      <c r="L179" s="1542">
        <v>500</v>
      </c>
      <c r="M179" s="1542"/>
      <c r="N179" s="1542" t="s">
        <v>1057</v>
      </c>
      <c r="O179" s="1542"/>
      <c r="P179" s="300"/>
    </row>
    <row r="180" spans="1:16" ht="14.25" customHeight="1">
      <c r="A180" s="1504"/>
      <c r="B180" s="1460" t="s">
        <v>1075</v>
      </c>
      <c r="C180" s="1460"/>
      <c r="D180" s="1460"/>
      <c r="E180" s="1355"/>
      <c r="F180" s="421"/>
      <c r="G180" s="485" t="s">
        <v>1056</v>
      </c>
      <c r="H180" s="1542">
        <v>650</v>
      </c>
      <c r="I180" s="1542"/>
      <c r="J180" s="1542" t="s">
        <v>1057</v>
      </c>
      <c r="K180" s="1542"/>
      <c r="L180" s="1542">
        <v>450</v>
      </c>
      <c r="M180" s="1542"/>
      <c r="N180" s="1542" t="s">
        <v>1057</v>
      </c>
      <c r="O180" s="1542"/>
      <c r="P180" s="301"/>
    </row>
    <row r="181" spans="1:16" ht="16.5" customHeight="1">
      <c r="A181" s="493">
        <v>12</v>
      </c>
      <c r="B181" s="1460" t="s">
        <v>1076</v>
      </c>
      <c r="C181" s="1460"/>
      <c r="D181" s="1460"/>
      <c r="E181" s="1355"/>
      <c r="F181" s="421"/>
      <c r="G181" s="485" t="s">
        <v>1056</v>
      </c>
      <c r="H181" s="1542">
        <v>725</v>
      </c>
      <c r="I181" s="1542"/>
      <c r="J181" s="1542" t="s">
        <v>1057</v>
      </c>
      <c r="K181" s="1542"/>
      <c r="L181" s="1542" t="s">
        <v>1057</v>
      </c>
      <c r="M181" s="1542"/>
      <c r="N181" s="1542" t="s">
        <v>1057</v>
      </c>
      <c r="O181" s="1542"/>
      <c r="P181" s="301"/>
    </row>
    <row r="182" spans="1:16" ht="16.5" customHeight="1">
      <c r="A182" s="493">
        <v>13</v>
      </c>
      <c r="B182" s="1460" t="s">
        <v>1077</v>
      </c>
      <c r="C182" s="1460"/>
      <c r="D182" s="1460"/>
      <c r="E182" s="1355"/>
      <c r="F182" s="421"/>
      <c r="G182" s="485" t="s">
        <v>1056</v>
      </c>
      <c r="H182" s="1542">
        <v>850</v>
      </c>
      <c r="I182" s="1542"/>
      <c r="J182" s="1542" t="s">
        <v>1057</v>
      </c>
      <c r="K182" s="1542"/>
      <c r="L182" s="1542">
        <v>550</v>
      </c>
      <c r="M182" s="1542"/>
      <c r="N182" s="1542" t="s">
        <v>1057</v>
      </c>
      <c r="O182" s="1542"/>
      <c r="P182" s="301"/>
    </row>
    <row r="183" spans="1:16" ht="16.5" customHeight="1">
      <c r="A183" s="493">
        <v>14</v>
      </c>
      <c r="B183" s="1460" t="s">
        <v>1078</v>
      </c>
      <c r="C183" s="1460"/>
      <c r="D183" s="1460"/>
      <c r="E183" s="1355"/>
      <c r="F183" s="421"/>
      <c r="G183" s="485" t="s">
        <v>1056</v>
      </c>
      <c r="H183" s="1542">
        <v>650</v>
      </c>
      <c r="I183" s="1542"/>
      <c r="J183" s="1542" t="s">
        <v>1057</v>
      </c>
      <c r="K183" s="1542"/>
      <c r="L183" s="1542">
        <v>500</v>
      </c>
      <c r="M183" s="1542"/>
      <c r="N183" s="1542" t="s">
        <v>1057</v>
      </c>
      <c r="O183" s="1542"/>
      <c r="P183" s="301"/>
    </row>
    <row r="184" spans="1:16" ht="16.5" customHeight="1">
      <c r="A184" s="493">
        <v>15</v>
      </c>
      <c r="B184" s="1460" t="s">
        <v>1079</v>
      </c>
      <c r="C184" s="1460"/>
      <c r="D184" s="1460"/>
      <c r="E184" s="1355"/>
      <c r="F184" s="421"/>
      <c r="G184" s="485" t="s">
        <v>1056</v>
      </c>
      <c r="H184" s="1542">
        <v>650</v>
      </c>
      <c r="I184" s="1542"/>
      <c r="J184" s="1542" t="s">
        <v>1057</v>
      </c>
      <c r="K184" s="1542"/>
      <c r="L184" s="1542">
        <v>500</v>
      </c>
      <c r="M184" s="1542"/>
      <c r="N184" s="1542" t="s">
        <v>1057</v>
      </c>
      <c r="O184" s="1542"/>
      <c r="P184" s="301"/>
    </row>
    <row r="185" spans="1:16" ht="15.75" customHeight="1">
      <c r="A185" s="648">
        <v>16</v>
      </c>
      <c r="B185" s="1460" t="s">
        <v>2104</v>
      </c>
      <c r="C185" s="1460"/>
      <c r="D185" s="1460"/>
      <c r="E185" s="1355"/>
      <c r="F185" s="421"/>
      <c r="G185" s="1542"/>
      <c r="H185" s="1542"/>
      <c r="I185" s="1542"/>
      <c r="J185" s="1542"/>
      <c r="K185" s="1542"/>
      <c r="L185" s="1542"/>
      <c r="M185" s="1542"/>
      <c r="N185" s="1542"/>
      <c r="O185" s="1542"/>
      <c r="P185" s="300"/>
    </row>
    <row r="186" spans="1:16">
      <c r="A186" s="1461"/>
      <c r="B186" s="1461"/>
      <c r="C186" s="1423" t="s">
        <v>1080</v>
      </c>
      <c r="D186" s="1423"/>
      <c r="E186" s="1523"/>
      <c r="F186" s="421"/>
      <c r="G186" s="485" t="s">
        <v>1056</v>
      </c>
      <c r="H186" s="1542">
        <v>800</v>
      </c>
      <c r="I186" s="1542"/>
      <c r="J186" s="1542" t="s">
        <v>1057</v>
      </c>
      <c r="K186" s="1542"/>
      <c r="L186" s="1542">
        <v>900</v>
      </c>
      <c r="M186" s="1542"/>
      <c r="N186" s="1542" t="s">
        <v>1057</v>
      </c>
      <c r="O186" s="1542"/>
      <c r="P186" s="300"/>
    </row>
    <row r="187" spans="1:16">
      <c r="A187" s="1461"/>
      <c r="B187" s="1461"/>
      <c r="C187" s="1423" t="s">
        <v>1081</v>
      </c>
      <c r="D187" s="1423"/>
      <c r="E187" s="1523"/>
      <c r="F187" s="421"/>
      <c r="G187" s="485" t="s">
        <v>1056</v>
      </c>
      <c r="H187" s="1542">
        <v>750</v>
      </c>
      <c r="I187" s="1542"/>
      <c r="J187" s="1542" t="s">
        <v>1057</v>
      </c>
      <c r="K187" s="1542"/>
      <c r="L187" s="1542">
        <v>800</v>
      </c>
      <c r="M187" s="1542"/>
      <c r="N187" s="1542" t="s">
        <v>1057</v>
      </c>
      <c r="O187" s="1542"/>
      <c r="P187" s="300"/>
    </row>
    <row r="188" spans="1:16">
      <c r="A188" s="1461"/>
      <c r="B188" s="1461"/>
      <c r="C188" s="1422" t="s">
        <v>4780</v>
      </c>
      <c r="D188" s="1423"/>
      <c r="E188" s="1523"/>
      <c r="F188" s="421"/>
      <c r="G188" s="485" t="s">
        <v>1056</v>
      </c>
      <c r="H188" s="1542">
        <v>750</v>
      </c>
      <c r="I188" s="1542"/>
      <c r="J188" s="1542" t="s">
        <v>1057</v>
      </c>
      <c r="K188" s="1542"/>
      <c r="L188" s="1542">
        <v>650</v>
      </c>
      <c r="M188" s="1542"/>
      <c r="N188" s="1542" t="s">
        <v>1057</v>
      </c>
      <c r="O188" s="1542"/>
      <c r="P188" s="300"/>
    </row>
    <row r="189" spans="1:16">
      <c r="A189" s="1461"/>
      <c r="B189" s="1461"/>
      <c r="C189" s="1423" t="s">
        <v>1082</v>
      </c>
      <c r="D189" s="1423"/>
      <c r="E189" s="1523"/>
      <c r="F189" s="421"/>
      <c r="G189" s="485" t="s">
        <v>1056</v>
      </c>
      <c r="H189" s="1542">
        <v>750</v>
      </c>
      <c r="I189" s="1542"/>
      <c r="J189" s="1542" t="s">
        <v>1057</v>
      </c>
      <c r="K189" s="1542"/>
      <c r="L189" s="1542">
        <v>500</v>
      </c>
      <c r="M189" s="1542"/>
      <c r="N189" s="1542" t="s">
        <v>1057</v>
      </c>
      <c r="O189" s="1542"/>
      <c r="P189" s="300"/>
    </row>
    <row r="190" spans="1:16">
      <c r="A190" s="1461"/>
      <c r="B190" s="1461"/>
      <c r="C190" s="1423" t="s">
        <v>1083</v>
      </c>
      <c r="D190" s="1423"/>
      <c r="E190" s="1523"/>
      <c r="F190" s="421"/>
      <c r="G190" s="485" t="s">
        <v>1056</v>
      </c>
      <c r="H190" s="1542">
        <v>750</v>
      </c>
      <c r="I190" s="1542"/>
      <c r="J190" s="1542" t="s">
        <v>1057</v>
      </c>
      <c r="K190" s="1542"/>
      <c r="L190" s="1542">
        <v>250</v>
      </c>
      <c r="M190" s="1542"/>
      <c r="N190" s="1542" t="s">
        <v>1057</v>
      </c>
      <c r="O190" s="1542"/>
      <c r="P190" s="300"/>
    </row>
    <row r="191" spans="1:16" ht="15.75" customHeight="1">
      <c r="A191" s="493">
        <v>17</v>
      </c>
      <c r="B191" s="1460" t="s">
        <v>1084</v>
      </c>
      <c r="C191" s="1460"/>
      <c r="D191" s="1460"/>
      <c r="E191" s="1355"/>
      <c r="F191" s="421"/>
      <c r="G191" s="485" t="s">
        <v>1056</v>
      </c>
      <c r="H191" s="1542">
        <v>750</v>
      </c>
      <c r="I191" s="1542"/>
      <c r="J191" s="1542" t="s">
        <v>1057</v>
      </c>
      <c r="K191" s="1542"/>
      <c r="L191" s="1542">
        <v>250</v>
      </c>
      <c r="M191" s="1542"/>
      <c r="N191" s="1542" t="s">
        <v>1057</v>
      </c>
      <c r="O191" s="1542"/>
      <c r="P191" s="301"/>
    </row>
    <row r="192" spans="1:16" ht="15.75" customHeight="1">
      <c r="A192" s="493">
        <v>18</v>
      </c>
      <c r="B192" s="1460" t="s">
        <v>1085</v>
      </c>
      <c r="C192" s="1460"/>
      <c r="D192" s="1460"/>
      <c r="E192" s="1355"/>
      <c r="F192" s="421"/>
      <c r="G192" s="1543"/>
      <c r="H192" s="1544"/>
      <c r="I192" s="1544"/>
      <c r="J192" s="1544"/>
      <c r="K192" s="1544"/>
      <c r="L192" s="1544"/>
      <c r="M192" s="1544"/>
      <c r="N192" s="1544"/>
      <c r="O192" s="1545"/>
      <c r="P192" s="300"/>
    </row>
    <row r="193" spans="1:16">
      <c r="A193" s="1393"/>
      <c r="B193" s="1393"/>
      <c r="C193" s="1423" t="s">
        <v>1086</v>
      </c>
      <c r="D193" s="1423"/>
      <c r="E193" s="1523"/>
      <c r="F193" s="421"/>
      <c r="G193" s="485" t="s">
        <v>1056</v>
      </c>
      <c r="H193" s="1542">
        <v>800</v>
      </c>
      <c r="I193" s="1542"/>
      <c r="J193" s="1542" t="s">
        <v>1057</v>
      </c>
      <c r="K193" s="1542"/>
      <c r="L193" s="1542">
        <v>650</v>
      </c>
      <c r="M193" s="1542"/>
      <c r="N193" s="1542" t="s">
        <v>1057</v>
      </c>
      <c r="O193" s="1542"/>
      <c r="P193" s="300"/>
    </row>
    <row r="194" spans="1:16">
      <c r="A194" s="1393"/>
      <c r="B194" s="1393"/>
      <c r="C194" s="1423" t="s">
        <v>1087</v>
      </c>
      <c r="D194" s="1423"/>
      <c r="E194" s="1523"/>
      <c r="F194" s="421"/>
      <c r="G194" s="485" t="s">
        <v>1056</v>
      </c>
      <c r="H194" s="1542">
        <v>650</v>
      </c>
      <c r="I194" s="1542"/>
      <c r="J194" s="1542" t="s">
        <v>1057</v>
      </c>
      <c r="K194" s="1542"/>
      <c r="L194" s="1542">
        <v>500</v>
      </c>
      <c r="M194" s="1542"/>
      <c r="N194" s="1542" t="s">
        <v>1057</v>
      </c>
      <c r="O194" s="1542"/>
      <c r="P194" s="300"/>
    </row>
    <row r="195" spans="1:16" ht="14.25" customHeight="1">
      <c r="A195" s="493">
        <v>19</v>
      </c>
      <c r="B195" s="1460" t="s">
        <v>1259</v>
      </c>
      <c r="C195" s="1460"/>
      <c r="D195" s="1460"/>
      <c r="E195" s="1355"/>
      <c r="F195" s="421"/>
      <c r="G195" s="1542"/>
      <c r="H195" s="1542"/>
      <c r="I195" s="1542"/>
      <c r="J195" s="1542"/>
      <c r="K195" s="1542"/>
      <c r="L195" s="1542"/>
      <c r="M195" s="1542"/>
      <c r="N195" s="1542"/>
      <c r="O195" s="1542"/>
      <c r="P195" s="300"/>
    </row>
    <row r="196" spans="1:16">
      <c r="A196" s="1393"/>
      <c r="B196" s="1393"/>
      <c r="C196" s="1423" t="s">
        <v>1088</v>
      </c>
      <c r="D196" s="1423"/>
      <c r="E196" s="1523"/>
      <c r="F196" s="421"/>
      <c r="G196" s="485" t="s">
        <v>1056</v>
      </c>
      <c r="H196" s="1542">
        <v>975</v>
      </c>
      <c r="I196" s="1542"/>
      <c r="J196" s="1542" t="s">
        <v>1057</v>
      </c>
      <c r="K196" s="1542"/>
      <c r="L196" s="1542">
        <v>975</v>
      </c>
      <c r="M196" s="1542"/>
      <c r="N196" s="1542" t="s">
        <v>1057</v>
      </c>
      <c r="O196" s="1542"/>
      <c r="P196" s="300"/>
    </row>
    <row r="197" spans="1:16">
      <c r="A197" s="1393"/>
      <c r="B197" s="1393"/>
      <c r="C197" s="1423" t="s">
        <v>1089</v>
      </c>
      <c r="D197" s="1423"/>
      <c r="E197" s="1523"/>
      <c r="F197" s="421"/>
      <c r="G197" s="485" t="s">
        <v>1056</v>
      </c>
      <c r="H197" s="1542">
        <v>800</v>
      </c>
      <c r="I197" s="1542"/>
      <c r="J197" s="1542" t="s">
        <v>1057</v>
      </c>
      <c r="K197" s="1542"/>
      <c r="L197" s="1542">
        <v>900</v>
      </c>
      <c r="M197" s="1542"/>
      <c r="N197" s="1542" t="s">
        <v>1057</v>
      </c>
      <c r="O197" s="1542"/>
      <c r="P197" s="300"/>
    </row>
    <row r="198" spans="1:16" ht="12.75" customHeight="1">
      <c r="A198" s="493">
        <v>20</v>
      </c>
      <c r="B198" s="1460" t="s">
        <v>1090</v>
      </c>
      <c r="C198" s="1460"/>
      <c r="D198" s="1460"/>
      <c r="E198" s="1355"/>
      <c r="F198" s="421"/>
      <c r="G198" s="485" t="s">
        <v>1056</v>
      </c>
      <c r="H198" s="1542">
        <v>975</v>
      </c>
      <c r="I198" s="1542"/>
      <c r="J198" s="1542" t="s">
        <v>1057</v>
      </c>
      <c r="K198" s="1542"/>
      <c r="L198" s="1542">
        <v>975</v>
      </c>
      <c r="M198" s="1542"/>
      <c r="N198" s="1542" t="s">
        <v>1057</v>
      </c>
      <c r="O198" s="1542"/>
      <c r="P198" s="301"/>
    </row>
    <row r="199" spans="1:16" ht="12.75" customHeight="1">
      <c r="A199" s="493">
        <v>21</v>
      </c>
      <c r="B199" s="1460" t="s">
        <v>1091</v>
      </c>
      <c r="C199" s="1460"/>
      <c r="D199" s="1460"/>
      <c r="E199" s="1355"/>
      <c r="F199" s="421"/>
      <c r="G199" s="1542"/>
      <c r="H199" s="1542"/>
      <c r="I199" s="1542"/>
      <c r="J199" s="1542"/>
      <c r="K199" s="1542"/>
      <c r="L199" s="1542"/>
      <c r="M199" s="1542"/>
      <c r="N199" s="1542"/>
      <c r="O199" s="1542"/>
      <c r="P199" s="300"/>
    </row>
    <row r="200" spans="1:16" ht="12.75" customHeight="1">
      <c r="A200" s="493"/>
      <c r="B200" s="1460" t="s">
        <v>1092</v>
      </c>
      <c r="C200" s="1460"/>
      <c r="D200" s="1460"/>
      <c r="E200" s="1355"/>
      <c r="F200" s="421"/>
      <c r="G200" s="485" t="s">
        <v>1056</v>
      </c>
      <c r="H200" s="1542">
        <v>800</v>
      </c>
      <c r="I200" s="1542"/>
      <c r="J200" s="1542" t="s">
        <v>1057</v>
      </c>
      <c r="K200" s="1542"/>
      <c r="L200" s="1542">
        <v>900</v>
      </c>
      <c r="M200" s="1542"/>
      <c r="N200" s="1542" t="s">
        <v>1057</v>
      </c>
      <c r="O200" s="1542"/>
      <c r="P200" s="301"/>
    </row>
    <row r="201" spans="1:16" ht="12.75" customHeight="1">
      <c r="A201" s="493">
        <v>22</v>
      </c>
      <c r="B201" s="1460" t="s">
        <v>1093</v>
      </c>
      <c r="C201" s="1460"/>
      <c r="D201" s="1460"/>
      <c r="E201" s="1355"/>
      <c r="F201" s="421"/>
      <c r="G201" s="1543"/>
      <c r="H201" s="1544"/>
      <c r="I201" s="1544"/>
      <c r="J201" s="1544"/>
      <c r="K201" s="1544"/>
      <c r="L201" s="1544"/>
      <c r="M201" s="1544"/>
      <c r="N201" s="1544"/>
      <c r="O201" s="1545"/>
      <c r="P201" s="301"/>
    </row>
    <row r="202" spans="1:16" ht="12.75" customHeight="1">
      <c r="A202" s="493"/>
      <c r="B202" s="504"/>
      <c r="C202" s="1423" t="s">
        <v>1094</v>
      </c>
      <c r="D202" s="1423"/>
      <c r="E202" s="1523"/>
      <c r="F202" s="421"/>
      <c r="G202" s="485" t="s">
        <v>1056</v>
      </c>
      <c r="H202" s="1542">
        <v>600</v>
      </c>
      <c r="I202" s="1542"/>
      <c r="J202" s="1542" t="s">
        <v>1057</v>
      </c>
      <c r="K202" s="1542"/>
      <c r="L202" s="1542">
        <v>700</v>
      </c>
      <c r="M202" s="1542"/>
      <c r="N202" s="1542" t="s">
        <v>1057</v>
      </c>
      <c r="O202" s="1542"/>
      <c r="P202" s="301"/>
    </row>
    <row r="203" spans="1:16" ht="12.75" customHeight="1">
      <c r="A203" s="493">
        <v>23</v>
      </c>
      <c r="B203" s="1460" t="s">
        <v>1095</v>
      </c>
      <c r="C203" s="1460"/>
      <c r="D203" s="1460"/>
      <c r="E203" s="1355"/>
      <c r="F203" s="421"/>
      <c r="G203" s="485" t="s">
        <v>1056</v>
      </c>
      <c r="H203" s="1542">
        <v>800</v>
      </c>
      <c r="I203" s="1542"/>
      <c r="J203" s="1542" t="s">
        <v>1057</v>
      </c>
      <c r="K203" s="1542"/>
      <c r="L203" s="1542">
        <v>900</v>
      </c>
      <c r="M203" s="1542"/>
      <c r="N203" s="1542" t="s">
        <v>1057</v>
      </c>
      <c r="O203" s="1542"/>
      <c r="P203" s="301"/>
    </row>
    <row r="204" spans="1:16" ht="12.75" customHeight="1">
      <c r="A204" s="493"/>
      <c r="B204" s="1460" t="s">
        <v>1096</v>
      </c>
      <c r="C204" s="1460"/>
      <c r="D204" s="1460"/>
      <c r="E204" s="1355"/>
      <c r="F204" s="421"/>
      <c r="G204" s="485" t="s">
        <v>1056</v>
      </c>
      <c r="H204" s="1542">
        <v>800</v>
      </c>
      <c r="I204" s="1542"/>
      <c r="J204" s="1542" t="s">
        <v>1057</v>
      </c>
      <c r="K204" s="1542"/>
      <c r="L204" s="1542">
        <v>700</v>
      </c>
      <c r="M204" s="1542"/>
      <c r="N204" s="1542" t="s">
        <v>1057</v>
      </c>
      <c r="O204" s="1542"/>
      <c r="P204" s="301"/>
    </row>
    <row r="205" spans="1:16" ht="12.75" customHeight="1">
      <c r="A205" s="493">
        <v>24</v>
      </c>
      <c r="B205" s="1460" t="s">
        <v>1097</v>
      </c>
      <c r="C205" s="1460"/>
      <c r="D205" s="1460"/>
      <c r="E205" s="1355"/>
      <c r="F205" s="421"/>
      <c r="G205" s="485" t="s">
        <v>1056</v>
      </c>
      <c r="H205" s="1542">
        <v>700</v>
      </c>
      <c r="I205" s="1542"/>
      <c r="J205" s="1542" t="s">
        <v>1057</v>
      </c>
      <c r="K205" s="1542"/>
      <c r="L205" s="1542">
        <v>700</v>
      </c>
      <c r="M205" s="1542"/>
      <c r="N205" s="1542" t="s">
        <v>1057</v>
      </c>
      <c r="O205" s="1542"/>
      <c r="P205" s="301"/>
    </row>
    <row r="206" spans="1:16" ht="12.75" customHeight="1">
      <c r="A206" s="493"/>
      <c r="B206" s="1460" t="s">
        <v>1098</v>
      </c>
      <c r="C206" s="1460"/>
      <c r="D206" s="1460"/>
      <c r="E206" s="1355"/>
      <c r="F206" s="421"/>
      <c r="G206" s="485" t="s">
        <v>1056</v>
      </c>
      <c r="H206" s="1542">
        <v>600</v>
      </c>
      <c r="I206" s="1542"/>
      <c r="J206" s="1542" t="s">
        <v>1057</v>
      </c>
      <c r="K206" s="1542"/>
      <c r="L206" s="1542">
        <v>600</v>
      </c>
      <c r="M206" s="1542"/>
      <c r="N206" s="1542" t="s">
        <v>1057</v>
      </c>
      <c r="O206" s="1542"/>
      <c r="P206" s="301"/>
    </row>
    <row r="207" spans="1:16" ht="15" customHeight="1">
      <c r="A207" s="493">
        <v>25</v>
      </c>
      <c r="B207" s="1459" t="s">
        <v>2105</v>
      </c>
      <c r="C207" s="1460"/>
      <c r="D207" s="1460"/>
      <c r="E207" s="1355"/>
      <c r="F207" s="421"/>
      <c r="G207" s="1546"/>
      <c r="H207" s="1546"/>
      <c r="I207" s="1546"/>
      <c r="J207" s="1546"/>
      <c r="K207" s="1546"/>
      <c r="L207" s="1546"/>
      <c r="M207" s="1546"/>
      <c r="N207" s="1546"/>
      <c r="O207" s="1546"/>
      <c r="P207" s="300"/>
    </row>
    <row r="208" spans="1:16" ht="12.75" customHeight="1">
      <c r="A208" s="493"/>
      <c r="B208" s="504"/>
      <c r="C208" s="1423" t="s">
        <v>1099</v>
      </c>
      <c r="D208" s="1423"/>
      <c r="E208" s="1523"/>
      <c r="F208" s="421"/>
      <c r="G208" s="485" t="s">
        <v>1056</v>
      </c>
      <c r="H208" s="1542">
        <v>600</v>
      </c>
      <c r="I208" s="1542"/>
      <c r="J208" s="1542" t="s">
        <v>1057</v>
      </c>
      <c r="K208" s="1542"/>
      <c r="L208" s="1542">
        <v>500</v>
      </c>
      <c r="M208" s="1542"/>
      <c r="N208" s="1542" t="s">
        <v>1057</v>
      </c>
      <c r="O208" s="1542"/>
      <c r="P208" s="301"/>
    </row>
    <row r="209" spans="1:18">
      <c r="A209" s="493"/>
      <c r="B209" s="504"/>
      <c r="C209" s="1423" t="s">
        <v>1058</v>
      </c>
      <c r="D209" s="1423"/>
      <c r="E209" s="1523"/>
      <c r="F209" s="421"/>
      <c r="G209" s="485" t="s">
        <v>1056</v>
      </c>
      <c r="H209" s="1542">
        <v>550</v>
      </c>
      <c r="I209" s="1542"/>
      <c r="J209" s="1542" t="s">
        <v>1057</v>
      </c>
      <c r="K209" s="1542"/>
      <c r="L209" s="1542">
        <v>400</v>
      </c>
      <c r="M209" s="1542"/>
      <c r="N209" s="1542" t="s">
        <v>1057</v>
      </c>
      <c r="O209" s="1542"/>
      <c r="P209" s="300"/>
    </row>
    <row r="210" spans="1:18" ht="14.25" customHeight="1">
      <c r="A210" s="493"/>
      <c r="B210" s="504"/>
      <c r="C210" s="1422" t="s">
        <v>2106</v>
      </c>
      <c r="D210" s="1423"/>
      <c r="E210" s="1523"/>
      <c r="F210" s="421"/>
      <c r="G210" s="485" t="s">
        <v>1056</v>
      </c>
      <c r="H210" s="1542">
        <v>500</v>
      </c>
      <c r="I210" s="1542"/>
      <c r="J210" s="1542" t="s">
        <v>1057</v>
      </c>
      <c r="K210" s="1542"/>
      <c r="L210" s="1542">
        <v>300</v>
      </c>
      <c r="M210" s="1542"/>
      <c r="N210" s="1542" t="s">
        <v>1057</v>
      </c>
      <c r="O210" s="1542"/>
      <c r="P210" s="301"/>
      <c r="Q210" s="293"/>
      <c r="R210" s="293"/>
    </row>
    <row r="211" spans="1:18">
      <c r="A211" s="493">
        <v>26</v>
      </c>
      <c r="B211" s="1214" t="s">
        <v>1100</v>
      </c>
      <c r="C211" s="1214"/>
      <c r="D211" s="1214"/>
      <c r="E211" s="488"/>
      <c r="F211" s="435"/>
      <c r="G211" s="1542"/>
      <c r="H211" s="1542"/>
      <c r="I211" s="1542"/>
      <c r="J211" s="1542"/>
      <c r="K211" s="1542"/>
      <c r="L211" s="1542"/>
      <c r="M211" s="1542"/>
      <c r="N211" s="1542"/>
      <c r="O211" s="1542"/>
      <c r="P211" s="300"/>
    </row>
    <row r="212" spans="1:18">
      <c r="A212" s="1393"/>
      <c r="B212" s="1393"/>
      <c r="C212" s="1423" t="s">
        <v>1099</v>
      </c>
      <c r="D212" s="1423"/>
      <c r="E212" s="1523"/>
      <c r="F212" s="421"/>
      <c r="G212" s="485" t="s">
        <v>1056</v>
      </c>
      <c r="H212" s="1542">
        <v>600</v>
      </c>
      <c r="I212" s="1542"/>
      <c r="J212" s="1542" t="s">
        <v>1057</v>
      </c>
      <c r="K212" s="1542"/>
      <c r="L212" s="1542">
        <v>300</v>
      </c>
      <c r="M212" s="1542"/>
      <c r="N212" s="1542" t="s">
        <v>1057</v>
      </c>
      <c r="O212" s="1542"/>
      <c r="P212" s="300"/>
    </row>
    <row r="213" spans="1:18">
      <c r="A213" s="1393"/>
      <c r="B213" s="1393"/>
      <c r="C213" s="1423" t="s">
        <v>1058</v>
      </c>
      <c r="D213" s="1423"/>
      <c r="E213" s="1523"/>
      <c r="F213" s="421"/>
      <c r="G213" s="485" t="s">
        <v>1056</v>
      </c>
      <c r="H213" s="1542">
        <v>550</v>
      </c>
      <c r="I213" s="1542"/>
      <c r="J213" s="1542" t="s">
        <v>1057</v>
      </c>
      <c r="K213" s="1542"/>
      <c r="L213" s="1542">
        <v>300</v>
      </c>
      <c r="M213" s="1542"/>
      <c r="N213" s="1542" t="s">
        <v>1057</v>
      </c>
      <c r="O213" s="1542"/>
      <c r="P213" s="300"/>
    </row>
    <row r="214" spans="1:18">
      <c r="A214" s="1393"/>
      <c r="B214" s="1393"/>
      <c r="C214" s="1423" t="s">
        <v>1101</v>
      </c>
      <c r="D214" s="1423"/>
      <c r="E214" s="1523"/>
      <c r="F214" s="421"/>
      <c r="G214" s="485" t="s">
        <v>1056</v>
      </c>
      <c r="H214" s="1542">
        <v>525</v>
      </c>
      <c r="I214" s="1542"/>
      <c r="J214" s="1542" t="s">
        <v>1057</v>
      </c>
      <c r="K214" s="1542"/>
      <c r="L214" s="1542">
        <v>150</v>
      </c>
      <c r="M214" s="1542"/>
      <c r="N214" s="1542" t="s">
        <v>1057</v>
      </c>
      <c r="O214" s="1542"/>
      <c r="P214" s="300"/>
    </row>
    <row r="215" spans="1:18" ht="12.75" customHeight="1">
      <c r="A215" s="493">
        <v>27</v>
      </c>
      <c r="B215" s="1460" t="s">
        <v>1102</v>
      </c>
      <c r="C215" s="1460"/>
      <c r="D215" s="1460"/>
      <c r="E215" s="1355"/>
      <c r="F215" s="421"/>
      <c r="G215" s="485" t="s">
        <v>1056</v>
      </c>
      <c r="H215" s="1542">
        <v>550</v>
      </c>
      <c r="I215" s="1542"/>
      <c r="J215" s="1542" t="s">
        <v>1057</v>
      </c>
      <c r="K215" s="1542"/>
      <c r="L215" s="1542">
        <v>200</v>
      </c>
      <c r="M215" s="1542"/>
      <c r="N215" s="1542" t="s">
        <v>1057</v>
      </c>
      <c r="O215" s="1542"/>
      <c r="P215" s="301"/>
    </row>
    <row r="216" spans="1:18" ht="12.75" customHeight="1">
      <c r="A216" s="493" t="s">
        <v>2107</v>
      </c>
      <c r="B216" s="1459" t="s">
        <v>2108</v>
      </c>
      <c r="C216" s="1460"/>
      <c r="D216" s="1460"/>
      <c r="E216" s="1355"/>
      <c r="F216" s="421"/>
      <c r="G216" s="485" t="s">
        <v>1056</v>
      </c>
      <c r="H216" s="1542">
        <v>500</v>
      </c>
      <c r="I216" s="1542"/>
      <c r="J216" s="1542" t="s">
        <v>1057</v>
      </c>
      <c r="K216" s="1542"/>
      <c r="L216" s="1542">
        <v>200</v>
      </c>
      <c r="M216" s="1542"/>
      <c r="N216" s="1542" t="s">
        <v>1057</v>
      </c>
      <c r="O216" s="1542"/>
      <c r="P216" s="300"/>
    </row>
    <row r="217" spans="1:18" ht="12.75" customHeight="1">
      <c r="A217" s="493">
        <v>28</v>
      </c>
      <c r="B217" s="1460" t="s">
        <v>1103</v>
      </c>
      <c r="C217" s="1460"/>
      <c r="D217" s="1460"/>
      <c r="E217" s="1355"/>
      <c r="F217" s="421"/>
      <c r="G217" s="1542"/>
      <c r="H217" s="1542"/>
      <c r="I217" s="1542"/>
      <c r="J217" s="1542"/>
      <c r="K217" s="1542"/>
      <c r="L217" s="1542"/>
      <c r="M217" s="1542"/>
      <c r="N217" s="1542"/>
      <c r="O217" s="1542"/>
      <c r="P217" s="300"/>
    </row>
    <row r="218" spans="1:18" ht="12.75" customHeight="1">
      <c r="A218" s="493"/>
      <c r="B218" s="1460" t="s">
        <v>1104</v>
      </c>
      <c r="C218" s="1460"/>
      <c r="D218" s="1460"/>
      <c r="E218" s="1355"/>
      <c r="F218" s="421"/>
      <c r="G218" s="485" t="s">
        <v>1056</v>
      </c>
      <c r="H218" s="1542">
        <v>500</v>
      </c>
      <c r="I218" s="1542"/>
      <c r="J218" s="1542" t="s">
        <v>1057</v>
      </c>
      <c r="K218" s="1542"/>
      <c r="L218" s="1542">
        <v>400</v>
      </c>
      <c r="M218" s="1542"/>
      <c r="N218" s="1542" t="s">
        <v>1057</v>
      </c>
      <c r="O218" s="1542"/>
      <c r="P218" s="301"/>
    </row>
    <row r="219" spans="1:18" ht="12.75" customHeight="1">
      <c r="A219" s="493">
        <v>29</v>
      </c>
      <c r="B219" s="1460" t="s">
        <v>1105</v>
      </c>
      <c r="C219" s="1460"/>
      <c r="D219" s="1460"/>
      <c r="E219" s="1355"/>
      <c r="F219" s="421"/>
      <c r="G219" s="485" t="s">
        <v>1056</v>
      </c>
      <c r="H219" s="1542">
        <v>500</v>
      </c>
      <c r="I219" s="1542"/>
      <c r="J219" s="1542" t="s">
        <v>1057</v>
      </c>
      <c r="K219" s="1542"/>
      <c r="L219" s="1542">
        <v>500</v>
      </c>
      <c r="M219" s="1542"/>
      <c r="N219" s="1542" t="s">
        <v>1057</v>
      </c>
      <c r="O219" s="1542"/>
      <c r="P219" s="301"/>
    </row>
    <row r="220" spans="1:18" ht="12.75" customHeight="1">
      <c r="A220" s="493">
        <v>30</v>
      </c>
      <c r="B220" s="1460" t="s">
        <v>1106</v>
      </c>
      <c r="C220" s="1460"/>
      <c r="D220" s="1460"/>
      <c r="E220" s="1355"/>
      <c r="F220" s="421"/>
      <c r="G220" s="485" t="s">
        <v>1056</v>
      </c>
      <c r="H220" s="1542">
        <v>700</v>
      </c>
      <c r="I220" s="1542"/>
      <c r="J220" s="1542">
        <v>600</v>
      </c>
      <c r="K220" s="1542"/>
      <c r="L220" s="1542">
        <v>600</v>
      </c>
      <c r="M220" s="1542"/>
      <c r="N220" s="1542" t="s">
        <v>1057</v>
      </c>
      <c r="O220" s="1542"/>
      <c r="P220" s="301"/>
    </row>
    <row r="221" spans="1:18" ht="12.75" customHeight="1">
      <c r="A221" s="493">
        <v>31</v>
      </c>
      <c r="B221" s="1460" t="s">
        <v>1107</v>
      </c>
      <c r="C221" s="1460"/>
      <c r="D221" s="1460"/>
      <c r="E221" s="1355"/>
      <c r="F221" s="421"/>
      <c r="G221" s="485" t="s">
        <v>1056</v>
      </c>
      <c r="H221" s="1542">
        <v>600</v>
      </c>
      <c r="I221" s="1542"/>
      <c r="J221" s="1542">
        <v>600</v>
      </c>
      <c r="K221" s="1542"/>
      <c r="L221" s="1542">
        <v>500</v>
      </c>
      <c r="M221" s="1542"/>
      <c r="N221" s="1542" t="s">
        <v>1057</v>
      </c>
      <c r="O221" s="1542"/>
      <c r="P221" s="301"/>
    </row>
    <row r="222" spans="1:18" ht="12.75" customHeight="1">
      <c r="A222" s="493">
        <v>32</v>
      </c>
      <c r="B222" s="1460" t="s">
        <v>1108</v>
      </c>
      <c r="C222" s="1460"/>
      <c r="D222" s="1460"/>
      <c r="E222" s="1355"/>
      <c r="F222" s="421"/>
      <c r="G222" s="1542"/>
      <c r="H222" s="1542"/>
      <c r="I222" s="1542"/>
      <c r="J222" s="1542"/>
      <c r="K222" s="1542"/>
      <c r="L222" s="1542"/>
      <c r="M222" s="1542"/>
      <c r="N222" s="1542"/>
      <c r="O222" s="1542"/>
      <c r="P222" s="300"/>
    </row>
    <row r="223" spans="1:18">
      <c r="A223" s="1516"/>
      <c r="B223" s="1486"/>
      <c r="C223" s="1423" t="s">
        <v>1109</v>
      </c>
      <c r="D223" s="1423"/>
      <c r="E223" s="1523"/>
      <c r="F223" s="421"/>
      <c r="G223" s="1542"/>
      <c r="H223" s="1542"/>
      <c r="I223" s="1542"/>
      <c r="J223" s="1542"/>
      <c r="K223" s="1542"/>
      <c r="L223" s="1542"/>
      <c r="M223" s="1542"/>
      <c r="N223" s="1542"/>
      <c r="O223" s="1542"/>
      <c r="P223" s="300"/>
    </row>
    <row r="224" spans="1:18">
      <c r="A224" s="1485"/>
      <c r="B224" s="1487"/>
      <c r="C224" s="1423" t="s">
        <v>1110</v>
      </c>
      <c r="D224" s="1423"/>
      <c r="E224" s="1523"/>
      <c r="F224" s="421"/>
      <c r="G224" s="1542"/>
      <c r="H224" s="1542"/>
      <c r="I224" s="1542"/>
      <c r="J224" s="1542"/>
      <c r="K224" s="1542"/>
      <c r="L224" s="1542"/>
      <c r="M224" s="1542"/>
      <c r="N224" s="1542"/>
      <c r="O224" s="1542"/>
      <c r="P224" s="300"/>
    </row>
    <row r="225" spans="1:16">
      <c r="A225" s="1485"/>
      <c r="B225" s="1487"/>
      <c r="C225" s="1423" t="s">
        <v>1111</v>
      </c>
      <c r="D225" s="1423"/>
      <c r="E225" s="1523"/>
      <c r="F225" s="421"/>
      <c r="G225" s="485" t="s">
        <v>1056</v>
      </c>
      <c r="H225" s="1542">
        <v>900</v>
      </c>
      <c r="I225" s="1542"/>
      <c r="J225" s="1542" t="s">
        <v>1057</v>
      </c>
      <c r="K225" s="1542"/>
      <c r="L225" s="1542">
        <v>900</v>
      </c>
      <c r="M225" s="1542"/>
      <c r="N225" s="1542" t="s">
        <v>1057</v>
      </c>
      <c r="O225" s="1542"/>
      <c r="P225" s="300"/>
    </row>
    <row r="226" spans="1:16" ht="13.5" customHeight="1">
      <c r="A226" s="1485"/>
      <c r="B226" s="1487"/>
      <c r="C226" s="1423" t="s">
        <v>1112</v>
      </c>
      <c r="D226" s="1423"/>
      <c r="E226" s="1523"/>
      <c r="F226" s="421"/>
      <c r="G226" s="485" t="s">
        <v>1056</v>
      </c>
      <c r="H226" s="1542">
        <v>900</v>
      </c>
      <c r="I226" s="1542"/>
      <c r="J226" s="1542" t="s">
        <v>1057</v>
      </c>
      <c r="K226" s="1542"/>
      <c r="L226" s="1542">
        <v>800</v>
      </c>
      <c r="M226" s="1542"/>
      <c r="N226" s="1542" t="s">
        <v>1057</v>
      </c>
      <c r="O226" s="1542"/>
      <c r="P226" s="300"/>
    </row>
    <row r="227" spans="1:16" ht="13.5" customHeight="1">
      <c r="A227" s="1485"/>
      <c r="B227" s="1487"/>
      <c r="C227" s="1423" t="s">
        <v>1113</v>
      </c>
      <c r="D227" s="1423"/>
      <c r="E227" s="1523"/>
      <c r="F227" s="421"/>
      <c r="G227" s="485" t="s">
        <v>1056</v>
      </c>
      <c r="H227" s="1542">
        <v>800</v>
      </c>
      <c r="I227" s="1542"/>
      <c r="J227" s="1542" t="s">
        <v>1057</v>
      </c>
      <c r="K227" s="1542"/>
      <c r="L227" s="1542">
        <v>750</v>
      </c>
      <c r="M227" s="1542"/>
      <c r="N227" s="1542" t="s">
        <v>1057</v>
      </c>
      <c r="O227" s="1542"/>
      <c r="P227" s="300"/>
    </row>
    <row r="228" spans="1:16" ht="12.75" customHeight="1">
      <c r="A228" s="1488"/>
      <c r="B228" s="1489"/>
      <c r="C228" s="1423" t="s">
        <v>1114</v>
      </c>
      <c r="D228" s="1423"/>
      <c r="E228" s="1523"/>
      <c r="F228" s="421"/>
      <c r="G228" s="485" t="s">
        <v>1056</v>
      </c>
      <c r="H228" s="1542">
        <v>700</v>
      </c>
      <c r="I228" s="1542"/>
      <c r="J228" s="1542" t="s">
        <v>1057</v>
      </c>
      <c r="K228" s="1542"/>
      <c r="L228" s="1542">
        <v>600</v>
      </c>
      <c r="M228" s="1542"/>
      <c r="N228" s="1542" t="s">
        <v>1057</v>
      </c>
      <c r="O228" s="1542"/>
      <c r="P228" s="301"/>
    </row>
    <row r="229" spans="1:16">
      <c r="A229" s="493">
        <v>33</v>
      </c>
      <c r="B229" s="1460" t="s">
        <v>2109</v>
      </c>
      <c r="C229" s="1460"/>
      <c r="D229" s="1460"/>
      <c r="E229" s="1355"/>
      <c r="F229" s="421"/>
      <c r="G229" s="1542"/>
      <c r="H229" s="1542"/>
      <c r="I229" s="1542"/>
      <c r="J229" s="1542"/>
      <c r="K229" s="1542"/>
      <c r="L229" s="1542"/>
      <c r="M229" s="1542"/>
      <c r="N229" s="1542"/>
      <c r="O229" s="1542"/>
      <c r="P229" s="300"/>
    </row>
    <row r="230" spans="1:16" ht="12.75" customHeight="1">
      <c r="A230" s="493"/>
      <c r="B230" s="1460" t="s">
        <v>1115</v>
      </c>
      <c r="C230" s="1460"/>
      <c r="D230" s="1460"/>
      <c r="E230" s="1355"/>
      <c r="F230" s="421"/>
      <c r="G230" s="485" t="s">
        <v>1056</v>
      </c>
      <c r="H230" s="1542">
        <v>500</v>
      </c>
      <c r="I230" s="1542"/>
      <c r="J230" s="1542">
        <v>500</v>
      </c>
      <c r="K230" s="1542"/>
      <c r="L230" s="1542" t="s">
        <v>1057</v>
      </c>
      <c r="M230" s="1542"/>
      <c r="N230" s="1542">
        <v>700</v>
      </c>
      <c r="O230" s="1542"/>
      <c r="P230" s="301"/>
    </row>
    <row r="231" spans="1:16">
      <c r="A231" s="493">
        <v>34</v>
      </c>
      <c r="B231" s="1460" t="s">
        <v>1116</v>
      </c>
      <c r="C231" s="1460"/>
      <c r="D231" s="1460"/>
      <c r="E231" s="1355"/>
      <c r="F231" s="421"/>
      <c r="G231" s="1542"/>
      <c r="H231" s="1542"/>
      <c r="I231" s="1542"/>
      <c r="J231" s="1542"/>
      <c r="K231" s="1542"/>
      <c r="L231" s="1542"/>
      <c r="M231" s="1542"/>
      <c r="N231" s="1542"/>
      <c r="O231" s="1542"/>
      <c r="P231" s="301"/>
    </row>
    <row r="232" spans="1:16" ht="12.75" customHeight="1">
      <c r="A232" s="1393"/>
      <c r="B232" s="1393"/>
      <c r="C232" s="1423" t="s">
        <v>1117</v>
      </c>
      <c r="D232" s="1423"/>
      <c r="E232" s="1523"/>
      <c r="F232" s="421"/>
      <c r="G232" s="485" t="s">
        <v>1056</v>
      </c>
      <c r="H232" s="1542">
        <v>500</v>
      </c>
      <c r="I232" s="1542"/>
      <c r="J232" s="1542" t="s">
        <v>1057</v>
      </c>
      <c r="K232" s="1542"/>
      <c r="L232" s="1542">
        <v>200</v>
      </c>
      <c r="M232" s="1542"/>
      <c r="N232" s="1542" t="s">
        <v>1057</v>
      </c>
      <c r="O232" s="1542"/>
      <c r="P232" s="301"/>
    </row>
    <row r="233" spans="1:16" ht="12.75" customHeight="1">
      <c r="A233" s="1393"/>
      <c r="B233" s="1393"/>
      <c r="C233" s="1423" t="s">
        <v>1118</v>
      </c>
      <c r="D233" s="1423"/>
      <c r="E233" s="1523"/>
      <c r="F233" s="421"/>
      <c r="G233" s="1542"/>
      <c r="H233" s="1542"/>
      <c r="I233" s="1542"/>
      <c r="J233" s="1542"/>
      <c r="K233" s="1542"/>
      <c r="L233" s="1542"/>
      <c r="M233" s="1542"/>
      <c r="N233" s="1542"/>
      <c r="O233" s="1542"/>
      <c r="P233" s="301"/>
    </row>
    <row r="234" spans="1:16" ht="12.75" customHeight="1">
      <c r="A234" s="1393"/>
      <c r="B234" s="1393"/>
      <c r="C234" s="1423" t="s">
        <v>1119</v>
      </c>
      <c r="D234" s="1423"/>
      <c r="E234" s="1523"/>
      <c r="F234" s="421"/>
      <c r="G234" s="485" t="s">
        <v>1056</v>
      </c>
      <c r="H234" s="1542">
        <v>500</v>
      </c>
      <c r="I234" s="1542"/>
      <c r="J234" s="1542">
        <v>200</v>
      </c>
      <c r="K234" s="1542"/>
      <c r="L234" s="1542" t="s">
        <v>1057</v>
      </c>
      <c r="M234" s="1542"/>
      <c r="N234" s="1542" t="s">
        <v>1057</v>
      </c>
      <c r="O234" s="1542"/>
      <c r="P234" s="301"/>
    </row>
    <row r="235" spans="1:16" ht="12.75" customHeight="1">
      <c r="A235" s="493">
        <v>35</v>
      </c>
      <c r="B235" s="1460" t="s">
        <v>1120</v>
      </c>
      <c r="C235" s="1460"/>
      <c r="D235" s="1460"/>
      <c r="E235" s="1355"/>
      <c r="F235" s="421"/>
      <c r="G235" s="485" t="s">
        <v>1056</v>
      </c>
      <c r="H235" s="1542">
        <v>500</v>
      </c>
      <c r="I235" s="1542"/>
      <c r="J235" s="1542" t="s">
        <v>1057</v>
      </c>
      <c r="K235" s="1542"/>
      <c r="L235" s="1542" t="s">
        <v>1057</v>
      </c>
      <c r="M235" s="1542"/>
      <c r="N235" s="1542">
        <v>700</v>
      </c>
      <c r="O235" s="1542"/>
      <c r="P235" s="301"/>
    </row>
    <row r="236" spans="1:16" ht="12.75" customHeight="1">
      <c r="A236" s="493">
        <v>36</v>
      </c>
      <c r="B236" s="1460" t="s">
        <v>1121</v>
      </c>
      <c r="C236" s="1460"/>
      <c r="D236" s="1460"/>
      <c r="E236" s="1355"/>
      <c r="F236" s="318"/>
      <c r="G236" s="1550"/>
      <c r="H236" s="1551"/>
      <c r="I236" s="1551"/>
      <c r="J236" s="1551"/>
      <c r="K236" s="1551"/>
      <c r="L236" s="1551"/>
      <c r="M236" s="1551"/>
      <c r="N236" s="1551"/>
      <c r="O236" s="1552"/>
      <c r="P236" s="301"/>
    </row>
    <row r="237" spans="1:16" ht="12.75" customHeight="1">
      <c r="A237" s="1393"/>
      <c r="B237" s="1393"/>
      <c r="C237" s="1423" t="s">
        <v>1122</v>
      </c>
      <c r="D237" s="1423"/>
      <c r="E237" s="1523"/>
      <c r="F237" s="419"/>
      <c r="G237" s="1553"/>
      <c r="H237" s="1554"/>
      <c r="I237" s="1554"/>
      <c r="J237" s="1554"/>
      <c r="K237" s="1554"/>
      <c r="L237" s="1554"/>
      <c r="M237" s="1554"/>
      <c r="N237" s="1554"/>
      <c r="O237" s="1555"/>
      <c r="P237" s="301"/>
    </row>
    <row r="238" spans="1:16" ht="12.75" customHeight="1">
      <c r="A238" s="1393"/>
      <c r="B238" s="1393"/>
      <c r="C238" s="1548" t="s">
        <v>2184</v>
      </c>
      <c r="D238" s="1548"/>
      <c r="E238" s="1549"/>
      <c r="F238" s="515"/>
      <c r="G238" s="485" t="s">
        <v>1056</v>
      </c>
      <c r="H238" s="1542">
        <v>600</v>
      </c>
      <c r="I238" s="1542"/>
      <c r="J238" s="1542" t="s">
        <v>1057</v>
      </c>
      <c r="K238" s="1542"/>
      <c r="L238" s="1542">
        <v>300</v>
      </c>
      <c r="M238" s="1542"/>
      <c r="N238" s="1542">
        <v>400</v>
      </c>
      <c r="O238" s="1542"/>
      <c r="P238" s="301"/>
    </row>
    <row r="239" spans="1:16" ht="12.75" customHeight="1">
      <c r="A239" s="1393"/>
      <c r="B239" s="1393"/>
      <c r="C239" s="1423" t="s">
        <v>1123</v>
      </c>
      <c r="D239" s="1423"/>
      <c r="E239" s="1523"/>
      <c r="F239" s="421"/>
      <c r="G239" s="1542"/>
      <c r="H239" s="1542"/>
      <c r="I239" s="1542"/>
      <c r="J239" s="1542"/>
      <c r="K239" s="1542"/>
      <c r="L239" s="1542"/>
      <c r="M239" s="1542"/>
      <c r="N239" s="1542"/>
      <c r="O239" s="1542"/>
      <c r="P239" s="300"/>
    </row>
    <row r="240" spans="1:16" ht="12.75" customHeight="1">
      <c r="A240" s="1393"/>
      <c r="B240" s="1393"/>
      <c r="C240" s="1423" t="s">
        <v>1124</v>
      </c>
      <c r="D240" s="1423"/>
      <c r="E240" s="1523"/>
      <c r="F240" s="421"/>
      <c r="G240" s="1542"/>
      <c r="H240" s="1542"/>
      <c r="I240" s="1542"/>
      <c r="J240" s="1542"/>
      <c r="K240" s="1542"/>
      <c r="L240" s="1542"/>
      <c r="M240" s="1542"/>
      <c r="N240" s="1542"/>
      <c r="O240" s="1542"/>
      <c r="P240" s="300"/>
    </row>
    <row r="241" spans="1:17" ht="12.75" customHeight="1">
      <c r="A241" s="1393"/>
      <c r="B241" s="1393"/>
      <c r="C241" s="1478" t="s">
        <v>1125</v>
      </c>
      <c r="D241" s="1478"/>
      <c r="E241" s="1547"/>
      <c r="F241" s="455"/>
      <c r="G241" s="485" t="s">
        <v>1056</v>
      </c>
      <c r="H241" s="1542">
        <v>500</v>
      </c>
      <c r="I241" s="1542"/>
      <c r="J241" s="1542" t="s">
        <v>1057</v>
      </c>
      <c r="K241" s="1542"/>
      <c r="L241" s="1542" t="s">
        <v>1057</v>
      </c>
      <c r="M241" s="1542"/>
      <c r="N241" s="1542">
        <v>375</v>
      </c>
      <c r="O241" s="1542"/>
      <c r="P241" s="300"/>
    </row>
    <row r="242" spans="1:17" ht="12.75" customHeight="1">
      <c r="A242" s="493">
        <v>37</v>
      </c>
      <c r="B242" s="1460" t="s">
        <v>1126</v>
      </c>
      <c r="C242" s="1460"/>
      <c r="D242" s="1460"/>
      <c r="E242" s="1355"/>
      <c r="F242" s="421"/>
      <c r="G242" s="485" t="s">
        <v>1056</v>
      </c>
      <c r="H242" s="1542">
        <v>500</v>
      </c>
      <c r="I242" s="1542"/>
      <c r="J242" s="1542" t="s">
        <v>1057</v>
      </c>
      <c r="K242" s="1542"/>
      <c r="L242" s="1542" t="s">
        <v>1057</v>
      </c>
      <c r="M242" s="1542"/>
      <c r="N242" s="1542">
        <v>575</v>
      </c>
      <c r="O242" s="1542"/>
      <c r="P242" s="300"/>
    </row>
    <row r="243" spans="1:17">
      <c r="A243" s="493">
        <v>38</v>
      </c>
      <c r="B243" s="1373" t="s">
        <v>2110</v>
      </c>
      <c r="C243" s="1363"/>
      <c r="D243" s="1363"/>
      <c r="E243" s="1343"/>
      <c r="F243" s="435"/>
      <c r="G243" s="1542"/>
      <c r="H243" s="1542"/>
      <c r="I243" s="1542"/>
      <c r="J243" s="1542"/>
      <c r="K243" s="1542"/>
      <c r="L243" s="1542"/>
      <c r="M243" s="1542"/>
      <c r="N243" s="1542"/>
      <c r="O243" s="1542"/>
      <c r="P243" s="300"/>
    </row>
    <row r="244" spans="1:17" ht="12.75" customHeight="1">
      <c r="A244" s="493"/>
      <c r="B244" s="1460" t="s">
        <v>1127</v>
      </c>
      <c r="C244" s="1460"/>
      <c r="D244" s="1460"/>
      <c r="E244" s="1355"/>
      <c r="F244" s="421"/>
      <c r="G244" s="485" t="s">
        <v>1056</v>
      </c>
      <c r="H244" s="1542">
        <v>500</v>
      </c>
      <c r="I244" s="1542"/>
      <c r="J244" s="1542">
        <v>175</v>
      </c>
      <c r="K244" s="1542"/>
      <c r="L244" s="1542" t="s">
        <v>1057</v>
      </c>
      <c r="M244" s="1542"/>
      <c r="N244" s="1542" t="s">
        <v>1057</v>
      </c>
      <c r="O244" s="1542"/>
      <c r="P244" s="301"/>
      <c r="Q244" s="293"/>
    </row>
    <row r="246" spans="1:17" ht="12.75" customHeight="1">
      <c r="A246" s="649" t="s">
        <v>2185</v>
      </c>
      <c r="B246" s="310" t="s">
        <v>1507</v>
      </c>
    </row>
    <row r="247" spans="1:17" ht="29.25" customHeight="1">
      <c r="B247" s="1302" t="s">
        <v>1128</v>
      </c>
      <c r="C247" s="1302"/>
      <c r="D247" s="1302"/>
      <c r="E247" s="1302"/>
      <c r="F247" s="1302"/>
      <c r="G247" s="1302"/>
      <c r="H247" s="1302"/>
      <c r="I247" s="1302"/>
      <c r="J247" s="1302"/>
      <c r="K247" s="1302"/>
      <c r="L247" s="1302"/>
      <c r="M247" s="1302"/>
      <c r="N247" s="1302"/>
      <c r="O247" s="1302"/>
    </row>
    <row r="248" spans="1:17" ht="162" customHeight="1">
      <c r="B248" s="1302" t="s">
        <v>1129</v>
      </c>
      <c r="C248" s="1302"/>
      <c r="D248" s="1302"/>
      <c r="E248" s="1302"/>
      <c r="F248" s="1302"/>
      <c r="G248" s="1302"/>
      <c r="H248" s="1302"/>
      <c r="I248" s="1302"/>
      <c r="J248" s="1302"/>
      <c r="K248" s="1302"/>
      <c r="L248" s="1302"/>
      <c r="M248" s="1302"/>
      <c r="N248" s="1302"/>
      <c r="O248" s="1302"/>
    </row>
    <row r="249" spans="1:17" ht="15" customHeight="1">
      <c r="C249" s="1415" t="s">
        <v>1130</v>
      </c>
      <c r="D249" s="1415"/>
      <c r="E249" s="1415"/>
      <c r="F249" s="1415"/>
      <c r="G249" s="1415"/>
      <c r="H249" s="1415"/>
      <c r="I249" s="1415"/>
      <c r="J249" s="1415"/>
      <c r="K249" s="1415"/>
      <c r="L249" s="1415"/>
      <c r="M249" s="1415"/>
      <c r="N249" s="1415"/>
      <c r="O249" s="1415"/>
    </row>
    <row r="250" spans="1:17" ht="12.75" customHeight="1">
      <c r="C250" s="1216" t="s">
        <v>1131</v>
      </c>
      <c r="D250" s="1216"/>
      <c r="E250" s="1216"/>
      <c r="F250" s="1216"/>
      <c r="G250" s="1216"/>
      <c r="H250" s="1216"/>
      <c r="I250" s="1416" t="s">
        <v>1132</v>
      </c>
      <c r="J250" s="1416"/>
      <c r="K250" s="99"/>
      <c r="L250" s="99"/>
    </row>
    <row r="251" spans="1:17" ht="12.75" customHeight="1">
      <c r="C251" s="1216" t="s">
        <v>1133</v>
      </c>
      <c r="D251" s="1216"/>
      <c r="E251" s="1216"/>
      <c r="F251" s="1216"/>
      <c r="G251" s="1216"/>
      <c r="H251" s="1216"/>
      <c r="I251" s="1416" t="s">
        <v>1134</v>
      </c>
      <c r="J251" s="1416"/>
      <c r="K251" s="99"/>
      <c r="L251" s="99"/>
    </row>
    <row r="252" spans="1:17" ht="12.75" customHeight="1">
      <c r="C252" s="1216" t="s">
        <v>1135</v>
      </c>
      <c r="D252" s="1216"/>
      <c r="E252" s="1216"/>
      <c r="F252" s="1216"/>
      <c r="G252" s="1216"/>
      <c r="H252" s="1216"/>
      <c r="I252" s="1416">
        <v>800</v>
      </c>
      <c r="J252" s="1416"/>
      <c r="K252" s="99"/>
      <c r="L252" s="99"/>
    </row>
    <row r="253" spans="1:17" ht="15" customHeight="1">
      <c r="C253" s="1415" t="s">
        <v>4761</v>
      </c>
      <c r="D253" s="1302"/>
      <c r="E253" s="1302"/>
      <c r="F253" s="1302"/>
      <c r="G253" s="1302"/>
      <c r="H253" s="1302"/>
      <c r="I253" s="1302"/>
      <c r="J253" s="1302"/>
      <c r="K253" s="1302"/>
      <c r="L253" s="1302"/>
      <c r="M253" s="310"/>
      <c r="N253" s="310"/>
    </row>
    <row r="254" spans="1:17" ht="12.75" customHeight="1">
      <c r="C254" s="1413" t="s">
        <v>1131</v>
      </c>
      <c r="D254" s="1413"/>
      <c r="E254" s="1413"/>
      <c r="F254" s="1413"/>
      <c r="G254" s="1413"/>
      <c r="H254" s="1413"/>
      <c r="I254" s="1412" t="s">
        <v>1136</v>
      </c>
      <c r="J254" s="1412"/>
      <c r="K254" s="99"/>
      <c r="L254" s="185"/>
      <c r="M254" s="185"/>
      <c r="N254" s="613">
        <f>I254/2</f>
        <v>675</v>
      </c>
    </row>
    <row r="255" spans="1:17" ht="12.75" customHeight="1">
      <c r="C255" s="1413" t="s">
        <v>1133</v>
      </c>
      <c r="D255" s="1413"/>
      <c r="E255" s="1413"/>
      <c r="F255" s="1413"/>
      <c r="G255" s="1413"/>
      <c r="H255" s="1413"/>
      <c r="I255" s="1412">
        <v>1050</v>
      </c>
      <c r="J255" s="1412"/>
      <c r="K255" s="99"/>
      <c r="L255" s="185"/>
      <c r="M255" s="185"/>
      <c r="N255" s="613">
        <f>I255/2</f>
        <v>525</v>
      </c>
    </row>
    <row r="256" spans="1:17" ht="15" customHeight="1">
      <c r="C256" s="1414" t="s">
        <v>4759</v>
      </c>
      <c r="D256" s="1414"/>
      <c r="E256" s="1414"/>
      <c r="F256" s="1414"/>
      <c r="G256" s="1414"/>
      <c r="H256" s="1414"/>
      <c r="I256" s="1412">
        <v>600</v>
      </c>
      <c r="J256" s="1412"/>
      <c r="K256" s="99"/>
      <c r="L256" s="185"/>
      <c r="M256" s="185"/>
      <c r="N256" s="613">
        <f>I256/2+200</f>
        <v>500</v>
      </c>
    </row>
    <row r="257" spans="2:15" ht="16.5" customHeight="1">
      <c r="C257" s="1287" t="s">
        <v>4757</v>
      </c>
      <c r="D257" s="1287"/>
      <c r="E257" s="1287"/>
      <c r="F257" s="1287"/>
      <c r="G257" s="1287"/>
      <c r="H257" s="1287"/>
      <c r="I257" s="99"/>
      <c r="J257" s="99"/>
      <c r="K257" s="99"/>
      <c r="L257" s="99"/>
      <c r="M257" s="1216"/>
      <c r="N257" s="1216"/>
    </row>
    <row r="258" spans="2:15" ht="29.25" customHeight="1">
      <c r="C258" s="1415" t="s">
        <v>4758</v>
      </c>
      <c r="D258" s="1302"/>
      <c r="E258" s="1302"/>
      <c r="F258" s="1302"/>
      <c r="G258" s="1302"/>
      <c r="H258" s="1302"/>
      <c r="I258" s="1302"/>
      <c r="J258" s="1302"/>
      <c r="K258" s="1302"/>
      <c r="L258" s="1302"/>
      <c r="M258" s="1302"/>
      <c r="N258" s="1302"/>
      <c r="O258" s="1302"/>
    </row>
    <row r="260" spans="2:15" ht="12.75" customHeight="1">
      <c r="B260" s="1415" t="s">
        <v>4781</v>
      </c>
      <c r="C260" s="1302"/>
      <c r="D260" s="1302"/>
      <c r="E260" s="1302"/>
      <c r="F260" s="1302"/>
      <c r="G260" s="1302"/>
      <c r="H260" s="1302"/>
      <c r="I260" s="1302"/>
      <c r="J260" s="1302"/>
      <c r="K260" s="1302"/>
      <c r="L260" s="1302"/>
      <c r="M260" s="1302"/>
      <c r="N260" s="1302"/>
      <c r="O260" s="1302"/>
    </row>
    <row r="261" spans="2:15" ht="12.75" customHeight="1">
      <c r="C261" s="1302" t="s">
        <v>1137</v>
      </c>
      <c r="D261" s="1302"/>
      <c r="E261" s="1302"/>
      <c r="F261" s="1302"/>
      <c r="G261" s="1302"/>
      <c r="H261" s="1302"/>
      <c r="I261" s="1302"/>
      <c r="J261" s="1302"/>
      <c r="K261" s="1302"/>
      <c r="L261" s="1302"/>
      <c r="M261" s="1302"/>
      <c r="N261" s="1302"/>
      <c r="O261" s="1302"/>
    </row>
    <row r="262" spans="2:15" ht="27.75" customHeight="1">
      <c r="B262" s="1415" t="s">
        <v>4779</v>
      </c>
      <c r="C262" s="1415"/>
      <c r="D262" s="1415"/>
      <c r="E262" s="1415"/>
      <c r="F262" s="1415"/>
      <c r="G262" s="1415"/>
      <c r="H262" s="1415"/>
      <c r="I262" s="1415"/>
      <c r="J262" s="1415"/>
      <c r="K262" s="1415"/>
      <c r="L262" s="1415"/>
      <c r="M262" s="1415"/>
      <c r="N262" s="1415"/>
      <c r="O262" s="1415"/>
    </row>
    <row r="263" spans="2:15" ht="41.25" customHeight="1">
      <c r="B263" s="1415" t="s">
        <v>2186</v>
      </c>
      <c r="C263" s="1302"/>
      <c r="D263" s="1302"/>
      <c r="E263" s="1302"/>
      <c r="F263" s="1302"/>
      <c r="G263" s="1302"/>
      <c r="H263" s="1302"/>
      <c r="I263" s="1302"/>
      <c r="J263" s="1302"/>
      <c r="K263" s="1302"/>
      <c r="L263" s="1302"/>
      <c r="M263" s="1302"/>
      <c r="N263" s="1302"/>
      <c r="O263" s="1302"/>
    </row>
    <row r="311" spans="1:15">
      <c r="A311" s="1528" t="s">
        <v>1138</v>
      </c>
      <c r="B311" s="1528"/>
      <c r="C311" s="1528"/>
      <c r="D311" s="1528"/>
      <c r="E311" s="1528"/>
      <c r="F311" s="1528"/>
      <c r="G311" s="1528"/>
      <c r="H311" s="1528"/>
      <c r="I311" s="1528"/>
      <c r="J311" s="1528"/>
      <c r="K311" s="1528"/>
      <c r="L311" s="1528"/>
      <c r="M311" s="1528"/>
      <c r="N311" s="1528"/>
      <c r="O311" s="1528"/>
    </row>
    <row r="312" spans="1:15">
      <c r="A312" s="1528" t="s">
        <v>1139</v>
      </c>
      <c r="B312" s="1528"/>
      <c r="C312" s="1528"/>
      <c r="D312" s="1528"/>
      <c r="E312" s="1528"/>
      <c r="F312" s="1528"/>
      <c r="G312" s="1528"/>
      <c r="H312" s="1528"/>
      <c r="I312" s="1528"/>
      <c r="J312" s="1528"/>
      <c r="K312" s="1528"/>
      <c r="L312" s="1528"/>
      <c r="M312" s="1528"/>
      <c r="N312" s="1528"/>
      <c r="O312" s="1528"/>
    </row>
    <row r="314" spans="1:15" ht="12.75" customHeight="1">
      <c r="A314" s="1529" t="s">
        <v>1051</v>
      </c>
      <c r="B314" s="1530" t="s">
        <v>1052</v>
      </c>
      <c r="C314" s="1531"/>
      <c r="D314" s="1531"/>
      <c r="E314" s="1531"/>
      <c r="F314" s="428"/>
      <c r="G314" s="1532"/>
      <c r="H314" s="1535" t="s">
        <v>1044</v>
      </c>
      <c r="I314" s="1535"/>
      <c r="J314" s="1535" t="s">
        <v>1044</v>
      </c>
      <c r="K314" s="1535"/>
      <c r="L314" s="1535" t="s">
        <v>1045</v>
      </c>
      <c r="M314" s="1535"/>
      <c r="N314" s="1535" t="s">
        <v>1046</v>
      </c>
      <c r="O314" s="1535"/>
    </row>
    <row r="315" spans="1:15" ht="12.75" customHeight="1">
      <c r="A315" s="1529"/>
      <c r="B315" s="1530"/>
      <c r="C315" s="1531"/>
      <c r="D315" s="1531"/>
      <c r="E315" s="1531"/>
      <c r="F315" s="443"/>
      <c r="G315" s="1533"/>
      <c r="H315" s="1526" t="s">
        <v>1047</v>
      </c>
      <c r="I315" s="1526"/>
      <c r="J315" s="1526" t="s">
        <v>1048</v>
      </c>
      <c r="K315" s="1526"/>
      <c r="L315" s="1526" t="s">
        <v>1049</v>
      </c>
      <c r="M315" s="1526"/>
      <c r="N315" s="1526" t="s">
        <v>1050</v>
      </c>
      <c r="O315" s="1526"/>
    </row>
    <row r="316" spans="1:15" ht="12.75" customHeight="1">
      <c r="A316" s="1529"/>
      <c r="B316" s="1530"/>
      <c r="C316" s="1531"/>
      <c r="D316" s="1531"/>
      <c r="E316" s="1531"/>
      <c r="F316" s="444"/>
      <c r="G316" s="1534"/>
      <c r="H316" s="1527" t="s">
        <v>1053</v>
      </c>
      <c r="I316" s="1527"/>
      <c r="J316" s="1527" t="s">
        <v>1053</v>
      </c>
      <c r="K316" s="1527"/>
      <c r="L316" s="1527" t="s">
        <v>1053</v>
      </c>
      <c r="M316" s="1527"/>
      <c r="N316" s="1527" t="s">
        <v>1053</v>
      </c>
      <c r="O316" s="1527"/>
    </row>
    <row r="317" spans="1:15" ht="12.75" customHeight="1">
      <c r="A317" s="493"/>
      <c r="B317" s="1460" t="s">
        <v>1140</v>
      </c>
      <c r="C317" s="1460"/>
      <c r="D317" s="1460"/>
      <c r="E317" s="1355"/>
      <c r="F317" s="514"/>
      <c r="G317" s="1214"/>
      <c r="H317" s="1214"/>
      <c r="I317" s="1214"/>
      <c r="J317" s="1214"/>
      <c r="K317" s="1214"/>
      <c r="L317" s="1214"/>
      <c r="M317" s="1214"/>
      <c r="N317" s="1214"/>
      <c r="O317" s="1214"/>
    </row>
    <row r="318" spans="1:15" ht="12.75" customHeight="1">
      <c r="A318" s="493">
        <v>1</v>
      </c>
      <c r="B318" s="1460" t="s">
        <v>1141</v>
      </c>
      <c r="C318" s="1460"/>
      <c r="D318" s="1460"/>
      <c r="E318" s="1355"/>
      <c r="F318" s="421"/>
      <c r="G318" s="307" t="s">
        <v>1056</v>
      </c>
      <c r="H318" s="1214">
        <v>1025</v>
      </c>
      <c r="I318" s="1214"/>
      <c r="J318" s="1214" t="s">
        <v>1057</v>
      </c>
      <c r="K318" s="1214"/>
      <c r="L318" s="1214">
        <v>1400</v>
      </c>
      <c r="M318" s="1214"/>
      <c r="N318" s="1214" t="s">
        <v>1057</v>
      </c>
      <c r="O318" s="1214"/>
    </row>
    <row r="319" spans="1:15" ht="38.25" customHeight="1">
      <c r="A319" s="495">
        <v>2</v>
      </c>
      <c r="B319" s="1460" t="s">
        <v>2189</v>
      </c>
      <c r="C319" s="1460"/>
      <c r="D319" s="1460"/>
      <c r="E319" s="1355"/>
      <c r="F319" s="421"/>
      <c r="G319" s="1214"/>
      <c r="H319" s="1214"/>
      <c r="I319" s="1214"/>
      <c r="J319" s="1214"/>
      <c r="K319" s="1214"/>
      <c r="L319" s="1214"/>
      <c r="M319" s="1214"/>
      <c r="N319" s="1214"/>
      <c r="O319" s="1214"/>
    </row>
    <row r="320" spans="1:15">
      <c r="A320" s="1483"/>
      <c r="B320" s="1393"/>
      <c r="C320" s="1423" t="s">
        <v>1142</v>
      </c>
      <c r="D320" s="1423"/>
      <c r="E320" s="1523"/>
      <c r="F320" s="421"/>
      <c r="G320" s="307" t="s">
        <v>1056</v>
      </c>
      <c r="H320" s="1214">
        <v>800</v>
      </c>
      <c r="I320" s="1214"/>
      <c r="J320" s="1214" t="s">
        <v>1057</v>
      </c>
      <c r="K320" s="1214"/>
      <c r="L320" s="1214">
        <v>975</v>
      </c>
      <c r="M320" s="1214"/>
      <c r="N320" s="1214" t="s">
        <v>1057</v>
      </c>
      <c r="O320" s="1214"/>
    </row>
    <row r="321" spans="1:15">
      <c r="A321" s="1393"/>
      <c r="B321" s="1393"/>
      <c r="C321" s="1423" t="s">
        <v>1143</v>
      </c>
      <c r="D321" s="1423"/>
      <c r="E321" s="1523"/>
      <c r="F321" s="421"/>
      <c r="G321" s="307" t="s">
        <v>1056</v>
      </c>
      <c r="H321" s="1214">
        <v>800</v>
      </c>
      <c r="I321" s="1214"/>
      <c r="J321" s="1214" t="s">
        <v>1057</v>
      </c>
      <c r="K321" s="1214"/>
      <c r="L321" s="1214">
        <v>1400</v>
      </c>
      <c r="M321" s="1214"/>
      <c r="N321" s="1214" t="s">
        <v>1057</v>
      </c>
      <c r="O321" s="1214"/>
    </row>
    <row r="322" spans="1:15" ht="77.25" customHeight="1">
      <c r="A322" s="495" t="s">
        <v>2187</v>
      </c>
      <c r="B322" s="1460" t="s">
        <v>2188</v>
      </c>
      <c r="C322" s="1460"/>
      <c r="D322" s="1460"/>
      <c r="E322" s="1355"/>
      <c r="F322" s="421"/>
      <c r="G322" s="1214"/>
      <c r="H322" s="1214"/>
      <c r="I322" s="1214"/>
      <c r="J322" s="1214"/>
      <c r="K322" s="1214"/>
      <c r="L322" s="1214"/>
      <c r="M322" s="1214"/>
      <c r="N322" s="1214"/>
      <c r="O322" s="1214"/>
    </row>
    <row r="323" spans="1:15">
      <c r="A323" s="1483"/>
      <c r="B323" s="1393"/>
      <c r="C323" s="1423" t="s">
        <v>1142</v>
      </c>
      <c r="D323" s="1423"/>
      <c r="E323" s="1523"/>
      <c r="F323" s="421"/>
      <c r="G323" s="307" t="s">
        <v>1056</v>
      </c>
      <c r="H323" s="1214">
        <v>775</v>
      </c>
      <c r="I323" s="1214"/>
      <c r="J323" s="1214" t="s">
        <v>1057</v>
      </c>
      <c r="K323" s="1214"/>
      <c r="L323" s="1214">
        <v>975</v>
      </c>
      <c r="M323" s="1214"/>
      <c r="N323" s="1214" t="s">
        <v>1057</v>
      </c>
      <c r="O323" s="1214"/>
    </row>
    <row r="324" spans="1:15">
      <c r="A324" s="1393"/>
      <c r="B324" s="1393"/>
      <c r="C324" s="1423" t="s">
        <v>1143</v>
      </c>
      <c r="D324" s="1423"/>
      <c r="E324" s="1523"/>
      <c r="F324" s="421"/>
      <c r="G324" s="307" t="s">
        <v>1056</v>
      </c>
      <c r="H324" s="1214">
        <v>775</v>
      </c>
      <c r="I324" s="1214"/>
      <c r="J324" s="1214" t="s">
        <v>1057</v>
      </c>
      <c r="K324" s="1214"/>
      <c r="L324" s="1214">
        <v>1400</v>
      </c>
      <c r="M324" s="1214"/>
      <c r="N324" s="1214" t="s">
        <v>1057</v>
      </c>
      <c r="O324" s="1214"/>
    </row>
    <row r="325" spans="1:15" ht="28.5" customHeight="1">
      <c r="A325" s="495" t="s">
        <v>2190</v>
      </c>
      <c r="B325" s="1460" t="s">
        <v>2191</v>
      </c>
      <c r="C325" s="1460"/>
      <c r="D325" s="1460"/>
      <c r="E325" s="1355"/>
      <c r="F325" s="421"/>
      <c r="G325" s="1214"/>
      <c r="H325" s="1214"/>
      <c r="I325" s="1214"/>
      <c r="J325" s="1214"/>
      <c r="K325" s="1214"/>
      <c r="L325" s="1214"/>
      <c r="M325" s="1214"/>
      <c r="N325" s="1214"/>
      <c r="O325" s="1214"/>
    </row>
    <row r="326" spans="1:15">
      <c r="A326" s="1483"/>
      <c r="B326" s="1393"/>
      <c r="C326" s="1423" t="s">
        <v>1142</v>
      </c>
      <c r="D326" s="1423"/>
      <c r="E326" s="1523"/>
      <c r="F326" s="421"/>
      <c r="G326" s="307" t="s">
        <v>1056</v>
      </c>
      <c r="H326" s="1214">
        <v>700</v>
      </c>
      <c r="I326" s="1214"/>
      <c r="J326" s="1214" t="s">
        <v>1057</v>
      </c>
      <c r="K326" s="1214"/>
      <c r="L326" s="1214">
        <v>975</v>
      </c>
      <c r="M326" s="1214"/>
      <c r="N326" s="1214" t="s">
        <v>1057</v>
      </c>
      <c r="O326" s="1214"/>
    </row>
    <row r="327" spans="1:15">
      <c r="A327" s="1393"/>
      <c r="B327" s="1393"/>
      <c r="C327" s="1423" t="s">
        <v>1143</v>
      </c>
      <c r="D327" s="1423"/>
      <c r="E327" s="1523"/>
      <c r="F327" s="421"/>
      <c r="G327" s="307" t="s">
        <v>1056</v>
      </c>
      <c r="H327" s="1214">
        <v>700</v>
      </c>
      <c r="I327" s="1214"/>
      <c r="J327" s="1214" t="s">
        <v>1057</v>
      </c>
      <c r="K327" s="1214"/>
      <c r="L327" s="1214">
        <v>1400</v>
      </c>
      <c r="M327" s="1214"/>
      <c r="N327" s="1214" t="s">
        <v>1057</v>
      </c>
      <c r="O327" s="1214"/>
    </row>
    <row r="328" spans="1:15" ht="38.25" customHeight="1">
      <c r="A328" s="495">
        <v>5</v>
      </c>
      <c r="B328" s="1460" t="s">
        <v>2192</v>
      </c>
      <c r="C328" s="1460"/>
      <c r="D328" s="1460"/>
      <c r="E328" s="1355"/>
      <c r="F328" s="421"/>
      <c r="G328" s="1214"/>
      <c r="H328" s="1214"/>
      <c r="I328" s="1214"/>
      <c r="J328" s="1214"/>
      <c r="K328" s="1214"/>
      <c r="L328" s="1214"/>
      <c r="M328" s="1214"/>
      <c r="N328" s="1214"/>
      <c r="O328" s="1214"/>
    </row>
    <row r="329" spans="1:15">
      <c r="A329" s="1485"/>
      <c r="B329" s="1486"/>
      <c r="C329" s="1423" t="s">
        <v>1142</v>
      </c>
      <c r="D329" s="1423"/>
      <c r="E329" s="1523"/>
      <c r="F329" s="421"/>
      <c r="G329" s="307" t="s">
        <v>1056</v>
      </c>
      <c r="H329" s="1214">
        <v>650</v>
      </c>
      <c r="I329" s="1214"/>
      <c r="J329" s="1214" t="s">
        <v>1057</v>
      </c>
      <c r="K329" s="1214"/>
      <c r="L329" s="1214">
        <v>975</v>
      </c>
      <c r="M329" s="1214"/>
      <c r="N329" s="1214" t="s">
        <v>1057</v>
      </c>
      <c r="O329" s="1214"/>
    </row>
    <row r="330" spans="1:15">
      <c r="A330" s="1488"/>
      <c r="B330" s="1489"/>
      <c r="C330" s="1423" t="s">
        <v>1143</v>
      </c>
      <c r="D330" s="1423"/>
      <c r="E330" s="1523"/>
      <c r="F330" s="421"/>
      <c r="G330" s="307" t="s">
        <v>1056</v>
      </c>
      <c r="H330" s="1214">
        <v>650</v>
      </c>
      <c r="I330" s="1214"/>
      <c r="J330" s="1214" t="s">
        <v>1057</v>
      </c>
      <c r="K330" s="1214"/>
      <c r="L330" s="1214">
        <v>1400</v>
      </c>
      <c r="M330" s="1214"/>
      <c r="N330" s="1214" t="s">
        <v>1057</v>
      </c>
      <c r="O330" s="1214"/>
    </row>
    <row r="331" spans="1:15" ht="49.5" customHeight="1">
      <c r="A331" s="495">
        <v>6</v>
      </c>
      <c r="B331" s="1460" t="s">
        <v>2193</v>
      </c>
      <c r="C331" s="1460"/>
      <c r="D331" s="1460"/>
      <c r="E331" s="1355"/>
      <c r="F331" s="421"/>
      <c r="G331" s="1214"/>
      <c r="H331" s="1214"/>
      <c r="I331" s="1214"/>
      <c r="J331" s="1214"/>
      <c r="K331" s="1214"/>
      <c r="L331" s="1214"/>
      <c r="M331" s="1214"/>
      <c r="N331" s="1214"/>
      <c r="O331" s="1214"/>
    </row>
    <row r="332" spans="1:15" ht="12.75" customHeight="1">
      <c r="A332" s="1485"/>
      <c r="B332" s="1486"/>
      <c r="C332" s="1423" t="s">
        <v>1142</v>
      </c>
      <c r="D332" s="1423"/>
      <c r="E332" s="1523"/>
      <c r="F332" s="421"/>
      <c r="G332" s="307" t="s">
        <v>1056</v>
      </c>
      <c r="H332" s="1214">
        <v>600</v>
      </c>
      <c r="I332" s="1214"/>
      <c r="J332" s="1214" t="s">
        <v>1057</v>
      </c>
      <c r="K332" s="1214"/>
      <c r="L332" s="1214">
        <v>525</v>
      </c>
      <c r="M332" s="1214"/>
      <c r="N332" s="1214" t="s">
        <v>1057</v>
      </c>
      <c r="O332" s="1214"/>
    </row>
    <row r="333" spans="1:15" ht="12.75" customHeight="1">
      <c r="A333" s="1488"/>
      <c r="B333" s="1489"/>
      <c r="C333" s="1423" t="s">
        <v>1143</v>
      </c>
      <c r="D333" s="1423"/>
      <c r="E333" s="1523"/>
      <c r="F333" s="421"/>
      <c r="G333" s="307" t="s">
        <v>1056</v>
      </c>
      <c r="H333" s="1214">
        <v>600</v>
      </c>
      <c r="I333" s="1214"/>
      <c r="J333" s="1214" t="s">
        <v>1057</v>
      </c>
      <c r="K333" s="1214"/>
      <c r="L333" s="1214">
        <v>850</v>
      </c>
      <c r="M333" s="1214"/>
      <c r="N333" s="1214" t="s">
        <v>1057</v>
      </c>
      <c r="O333" s="1214"/>
    </row>
    <row r="334" spans="1:15" ht="32.25" customHeight="1">
      <c r="A334" s="495" t="s">
        <v>2194</v>
      </c>
      <c r="B334" s="1460" t="s">
        <v>2195</v>
      </c>
      <c r="C334" s="1460"/>
      <c r="D334" s="1460"/>
      <c r="E334" s="1355"/>
      <c r="F334" s="421"/>
      <c r="G334" s="1214"/>
      <c r="H334" s="1214"/>
      <c r="I334" s="1214"/>
      <c r="J334" s="1214"/>
      <c r="K334" s="1214"/>
      <c r="L334" s="1214"/>
      <c r="M334" s="1214"/>
      <c r="N334" s="1214"/>
      <c r="O334" s="1214"/>
    </row>
    <row r="335" spans="1:15">
      <c r="A335" s="1483"/>
      <c r="B335" s="1393"/>
      <c r="C335" s="1423" t="s">
        <v>1142</v>
      </c>
      <c r="D335" s="1423"/>
      <c r="E335" s="1523"/>
      <c r="F335" s="421"/>
      <c r="G335" s="307" t="s">
        <v>1056</v>
      </c>
      <c r="H335" s="1214">
        <v>525</v>
      </c>
      <c r="I335" s="1214"/>
      <c r="J335" s="1214" t="s">
        <v>1057</v>
      </c>
      <c r="K335" s="1214"/>
      <c r="L335" s="1214">
        <v>425</v>
      </c>
      <c r="M335" s="1214"/>
      <c r="N335" s="1214" t="s">
        <v>1057</v>
      </c>
      <c r="O335" s="1214"/>
    </row>
    <row r="336" spans="1:15">
      <c r="A336" s="1393"/>
      <c r="B336" s="1393"/>
      <c r="C336" s="1423" t="s">
        <v>1143</v>
      </c>
      <c r="D336" s="1423"/>
      <c r="E336" s="1523"/>
      <c r="F336" s="421"/>
      <c r="G336" s="307" t="s">
        <v>1056</v>
      </c>
      <c r="H336" s="1214">
        <v>525</v>
      </c>
      <c r="I336" s="1214"/>
      <c r="J336" s="1214" t="s">
        <v>1057</v>
      </c>
      <c r="K336" s="1214"/>
      <c r="L336" s="1214">
        <v>525</v>
      </c>
      <c r="M336" s="1214"/>
      <c r="N336" s="1214" t="s">
        <v>1057</v>
      </c>
      <c r="O336" s="1214"/>
    </row>
    <row r="337" spans="1:15" ht="27.75" customHeight="1">
      <c r="A337" s="495" t="s">
        <v>2196</v>
      </c>
      <c r="B337" s="1460" t="s">
        <v>2197</v>
      </c>
      <c r="C337" s="1460"/>
      <c r="D337" s="1460"/>
      <c r="E337" s="1355"/>
      <c r="F337" s="421"/>
      <c r="G337" s="1214"/>
      <c r="H337" s="1214"/>
      <c r="I337" s="1214"/>
      <c r="J337" s="1214"/>
      <c r="K337" s="1214"/>
      <c r="L337" s="1214"/>
      <c r="M337" s="1214"/>
      <c r="N337" s="1214"/>
      <c r="O337" s="1214"/>
    </row>
    <row r="338" spans="1:15">
      <c r="A338" s="1485"/>
      <c r="B338" s="1487"/>
      <c r="C338" s="1423" t="s">
        <v>1142</v>
      </c>
      <c r="D338" s="1423"/>
      <c r="E338" s="1523"/>
      <c r="F338" s="421"/>
      <c r="G338" s="307" t="s">
        <v>1056</v>
      </c>
      <c r="H338" s="1214">
        <v>500</v>
      </c>
      <c r="I338" s="1214"/>
      <c r="J338" s="1214" t="s">
        <v>1057</v>
      </c>
      <c r="K338" s="1214"/>
      <c r="L338" s="1214">
        <v>425</v>
      </c>
      <c r="M338" s="1214"/>
      <c r="N338" s="1214" t="s">
        <v>1057</v>
      </c>
      <c r="O338" s="1214"/>
    </row>
    <row r="339" spans="1:15">
      <c r="A339" s="1488"/>
      <c r="B339" s="1489"/>
      <c r="C339" s="1423" t="s">
        <v>1143</v>
      </c>
      <c r="D339" s="1423"/>
      <c r="E339" s="1523"/>
      <c r="F339" s="421"/>
      <c r="G339" s="307" t="s">
        <v>1056</v>
      </c>
      <c r="H339" s="1214">
        <v>500</v>
      </c>
      <c r="I339" s="1214"/>
      <c r="J339" s="1214" t="s">
        <v>1057</v>
      </c>
      <c r="K339" s="1214"/>
      <c r="L339" s="1214">
        <v>525</v>
      </c>
      <c r="M339" s="1214"/>
      <c r="N339" s="1214" t="s">
        <v>1057</v>
      </c>
      <c r="O339" s="1214"/>
    </row>
    <row r="340" spans="1:15" ht="62.25" customHeight="1">
      <c r="A340" s="1302" t="s">
        <v>1144</v>
      </c>
      <c r="B340" s="1302"/>
      <c r="C340" s="1302"/>
      <c r="D340" s="1302"/>
      <c r="E340" s="1302"/>
      <c r="F340" s="1302"/>
      <c r="G340" s="1302"/>
      <c r="H340" s="1302"/>
      <c r="I340" s="1302"/>
      <c r="J340" s="1302"/>
      <c r="K340" s="1302"/>
      <c r="L340" s="1302"/>
      <c r="M340" s="1302"/>
      <c r="N340" s="1302"/>
      <c r="O340" s="1302"/>
    </row>
    <row r="341" spans="1:15" s="99" customFormat="1" ht="12.75" customHeight="1">
      <c r="A341" s="475"/>
      <c r="B341" s="1302" t="s">
        <v>1145</v>
      </c>
      <c r="C341" s="1302"/>
      <c r="D341" s="1302"/>
      <c r="E341" s="1302"/>
      <c r="F341" s="1302"/>
      <c r="G341" s="1302"/>
      <c r="H341" s="1302"/>
      <c r="I341" s="1302"/>
      <c r="J341" s="1302"/>
      <c r="K341" s="1302"/>
      <c r="L341" s="1302"/>
      <c r="M341" s="1302"/>
      <c r="N341" s="1302"/>
      <c r="O341" s="1302"/>
    </row>
    <row r="342" spans="1:15" s="99" customFormat="1" ht="12.75" customHeight="1">
      <c r="A342" s="1411"/>
      <c r="B342" s="1411"/>
      <c r="C342" s="1302" t="s">
        <v>1146</v>
      </c>
      <c r="D342" s="1302"/>
      <c r="E342" s="1302"/>
      <c r="F342" s="1302"/>
      <c r="G342" s="1302"/>
      <c r="H342" s="1302"/>
      <c r="I342" s="1302"/>
      <c r="J342" s="1302"/>
      <c r="K342" s="1302"/>
      <c r="L342" s="1302"/>
      <c r="M342" s="1302"/>
      <c r="N342" s="1302"/>
      <c r="O342" s="1302"/>
    </row>
    <row r="343" spans="1:15" s="99" customFormat="1" ht="12.75" customHeight="1">
      <c r="A343" s="1411"/>
      <c r="B343" s="1411"/>
      <c r="C343" s="1302"/>
      <c r="D343" s="1302"/>
      <c r="E343" s="1302"/>
      <c r="F343" s="1302"/>
      <c r="G343" s="1302"/>
      <c r="H343" s="1302"/>
      <c r="I343" s="1302"/>
      <c r="J343" s="1302"/>
      <c r="K343" s="1302"/>
      <c r="L343" s="1302"/>
      <c r="M343" s="1302"/>
      <c r="N343" s="1302"/>
      <c r="O343" s="1302"/>
    </row>
    <row r="344" spans="1:15" s="99" customFormat="1" ht="12.75" customHeight="1">
      <c r="A344" s="1411"/>
      <c r="B344" s="1411"/>
      <c r="C344" s="1302" t="s">
        <v>1147</v>
      </c>
      <c r="D344" s="1302"/>
      <c r="E344" s="1302"/>
      <c r="F344" s="1302"/>
      <c r="G344" s="1302"/>
      <c r="H344" s="1302"/>
      <c r="I344" s="1302"/>
      <c r="J344" s="1302"/>
      <c r="K344" s="1302"/>
      <c r="L344" s="1302"/>
      <c r="M344" s="1302"/>
      <c r="N344" s="1302"/>
      <c r="O344" s="1302"/>
    </row>
    <row r="345" spans="1:15" s="99" customFormat="1" ht="12.75" customHeight="1">
      <c r="A345" s="1411"/>
      <c r="B345" s="1411"/>
      <c r="C345" s="1302" t="s">
        <v>1148</v>
      </c>
      <c r="D345" s="1302"/>
      <c r="E345" s="1302"/>
      <c r="F345" s="1302"/>
      <c r="G345" s="1302"/>
      <c r="H345" s="1302"/>
      <c r="I345" s="1302"/>
      <c r="J345" s="1302"/>
      <c r="K345" s="1302"/>
      <c r="L345" s="1302"/>
      <c r="M345" s="1302"/>
      <c r="N345" s="1302"/>
      <c r="O345" s="1302"/>
    </row>
    <row r="346" spans="1:15" s="99" customFormat="1" ht="12.75" customHeight="1">
      <c r="A346" s="1411"/>
      <c r="B346" s="1411"/>
      <c r="C346" s="1302"/>
      <c r="D346" s="1302"/>
      <c r="E346" s="1302"/>
      <c r="F346" s="1302"/>
      <c r="G346" s="1302"/>
      <c r="H346" s="1302"/>
      <c r="I346" s="1302"/>
      <c r="J346" s="1302"/>
      <c r="K346" s="1302"/>
      <c r="L346" s="1302"/>
      <c r="M346" s="1302"/>
      <c r="N346" s="1302"/>
      <c r="O346" s="1302"/>
    </row>
    <row r="347" spans="1:15" s="99" customFormat="1" ht="12.75" customHeight="1">
      <c r="A347" s="1411"/>
      <c r="B347" s="1411"/>
      <c r="C347" s="1302" t="s">
        <v>1149</v>
      </c>
      <c r="D347" s="1302"/>
      <c r="E347" s="1302"/>
      <c r="F347" s="1302"/>
      <c r="G347" s="1302"/>
      <c r="H347" s="1302"/>
      <c r="I347" s="1302"/>
      <c r="J347" s="1302"/>
      <c r="K347" s="1302"/>
      <c r="L347" s="1302"/>
      <c r="M347" s="1302"/>
      <c r="N347" s="1302"/>
      <c r="O347" s="1302"/>
    </row>
    <row r="348" spans="1:15" s="99" customFormat="1" ht="12.75" customHeight="1">
      <c r="A348" s="1411"/>
      <c r="B348" s="1411"/>
      <c r="C348" s="1302"/>
      <c r="D348" s="1302"/>
      <c r="E348" s="1302"/>
      <c r="F348" s="1302"/>
      <c r="G348" s="1302"/>
      <c r="H348" s="1302"/>
      <c r="I348" s="1302"/>
      <c r="J348" s="1302"/>
      <c r="K348" s="1302"/>
      <c r="L348" s="1302"/>
      <c r="M348" s="1302"/>
      <c r="N348" s="1302"/>
      <c r="O348" s="1302"/>
    </row>
    <row r="349" spans="1:15" s="99" customFormat="1" ht="12.75" customHeight="1">
      <c r="A349" s="1411"/>
      <c r="B349" s="1411"/>
      <c r="C349" s="1302"/>
      <c r="D349" s="1302"/>
      <c r="E349" s="1302"/>
      <c r="F349" s="1302"/>
      <c r="G349" s="1302"/>
      <c r="H349" s="1302"/>
      <c r="I349" s="1302"/>
      <c r="J349" s="1302"/>
      <c r="K349" s="1302"/>
      <c r="L349" s="1302"/>
      <c r="M349" s="1302"/>
      <c r="N349" s="1302"/>
      <c r="O349" s="1302"/>
    </row>
    <row r="350" spans="1:15" s="99" customFormat="1" ht="49.5" customHeight="1">
      <c r="A350" s="1411"/>
      <c r="B350" s="1411"/>
      <c r="C350" s="1302" t="s">
        <v>2198</v>
      </c>
      <c r="D350" s="1302"/>
      <c r="E350" s="1302"/>
      <c r="F350" s="1302"/>
      <c r="G350" s="1302"/>
      <c r="H350" s="1302"/>
      <c r="I350" s="1302"/>
      <c r="J350" s="1302"/>
      <c r="K350" s="1302"/>
      <c r="L350" s="1302"/>
      <c r="M350" s="1302"/>
      <c r="N350" s="1302"/>
      <c r="O350" s="1302"/>
    </row>
    <row r="351" spans="1:15" s="99" customFormat="1">
      <c r="A351" s="1411"/>
      <c r="B351" s="1411"/>
      <c r="C351" s="1302" t="s">
        <v>1150</v>
      </c>
      <c r="D351" s="1302"/>
      <c r="E351" s="1302"/>
      <c r="F351" s="1302"/>
      <c r="G351" s="1302"/>
      <c r="H351" s="1302"/>
      <c r="I351" s="1302"/>
      <c r="J351" s="1302"/>
      <c r="K351" s="1302"/>
      <c r="L351" s="1302"/>
      <c r="M351" s="1302"/>
      <c r="N351" s="1302"/>
      <c r="O351" s="1302"/>
    </row>
    <row r="352" spans="1:15" s="99" customFormat="1" ht="12.75" customHeight="1">
      <c r="A352" s="1411"/>
      <c r="B352" s="1411"/>
      <c r="C352" s="1302"/>
      <c r="D352" s="1302"/>
      <c r="E352" s="1302"/>
      <c r="F352" s="1302"/>
      <c r="G352" s="1302"/>
      <c r="H352" s="1302"/>
      <c r="I352" s="1302"/>
      <c r="J352" s="1302"/>
      <c r="K352" s="1302"/>
      <c r="L352" s="1302"/>
      <c r="M352" s="1302"/>
      <c r="N352" s="1302"/>
      <c r="O352" s="1302"/>
    </row>
    <row r="353" spans="1:15" s="99" customFormat="1" ht="27" customHeight="1">
      <c r="A353" s="475"/>
      <c r="B353" s="1302" t="s">
        <v>1151</v>
      </c>
      <c r="C353" s="1302"/>
      <c r="D353" s="1302"/>
      <c r="E353" s="1302"/>
      <c r="F353" s="1302"/>
      <c r="G353" s="1302"/>
      <c r="H353" s="1302"/>
      <c r="I353" s="1302"/>
      <c r="J353" s="1302"/>
      <c r="K353" s="1302"/>
      <c r="L353" s="1302"/>
      <c r="M353" s="1302"/>
      <c r="N353" s="1302"/>
      <c r="O353" s="1302"/>
    </row>
    <row r="354" spans="1:15" s="99" customFormat="1" ht="45" customHeight="1">
      <c r="A354" s="1411"/>
      <c r="B354" s="1411"/>
      <c r="C354" s="1302" t="s">
        <v>1152</v>
      </c>
      <c r="D354" s="1302"/>
      <c r="E354" s="1302"/>
      <c r="F354" s="1302"/>
      <c r="G354" s="1302"/>
      <c r="H354" s="1302"/>
      <c r="I354" s="1302"/>
      <c r="J354" s="1302"/>
      <c r="K354" s="1302"/>
      <c r="L354" s="1302"/>
      <c r="M354" s="1302"/>
      <c r="N354" s="1302"/>
      <c r="O354" s="1302"/>
    </row>
    <row r="355" spans="1:15" s="99" customFormat="1" ht="39.75" customHeight="1">
      <c r="A355" s="1411"/>
      <c r="B355" s="1411"/>
      <c r="C355" s="1302" t="s">
        <v>1153</v>
      </c>
      <c r="D355" s="1302"/>
      <c r="E355" s="1302"/>
      <c r="F355" s="1302"/>
      <c r="G355" s="1302"/>
      <c r="H355" s="1302"/>
      <c r="I355" s="1302"/>
      <c r="J355" s="1302"/>
      <c r="K355" s="1302"/>
      <c r="L355" s="1302"/>
      <c r="M355" s="1302"/>
      <c r="N355" s="1302"/>
      <c r="O355" s="1302"/>
    </row>
    <row r="356" spans="1:15" s="99" customFormat="1" ht="15" customHeight="1">
      <c r="A356" s="1411"/>
      <c r="B356" s="1411"/>
      <c r="C356" s="1302" t="s">
        <v>1154</v>
      </c>
      <c r="D356" s="1302"/>
      <c r="E356" s="1302"/>
      <c r="F356" s="1302"/>
      <c r="G356" s="1302"/>
      <c r="H356" s="1302"/>
      <c r="I356" s="1302"/>
      <c r="J356" s="1302"/>
      <c r="K356" s="1302"/>
      <c r="L356" s="1302"/>
      <c r="M356" s="1302"/>
      <c r="N356" s="1302"/>
      <c r="O356" s="1302"/>
    </row>
    <row r="357" spans="1:15" s="99" customFormat="1" ht="44.25" customHeight="1">
      <c r="A357" s="1411"/>
      <c r="B357" s="1411"/>
      <c r="C357" s="1302" t="s">
        <v>1155</v>
      </c>
      <c r="D357" s="1302"/>
      <c r="E357" s="1302"/>
      <c r="F357" s="1302"/>
      <c r="G357" s="1302"/>
      <c r="H357" s="1302"/>
      <c r="I357" s="1302"/>
      <c r="J357" s="1302"/>
      <c r="K357" s="1302"/>
      <c r="L357" s="1302"/>
      <c r="M357" s="1302"/>
      <c r="N357" s="1302"/>
      <c r="O357" s="1302"/>
    </row>
    <row r="358" spans="1:15" ht="122.25" customHeight="1">
      <c r="B358" s="1302" t="s">
        <v>1156</v>
      </c>
      <c r="C358" s="1302"/>
      <c r="D358" s="1302"/>
      <c r="E358" s="1302"/>
      <c r="F358" s="1302"/>
      <c r="G358" s="1302"/>
      <c r="H358" s="1302"/>
      <c r="I358" s="1302"/>
      <c r="J358" s="1302"/>
      <c r="K358" s="1302"/>
      <c r="L358" s="1302"/>
      <c r="M358" s="1302"/>
      <c r="N358" s="1302"/>
      <c r="O358" s="1302"/>
    </row>
    <row r="359" spans="1:15">
      <c r="B359" s="1302"/>
      <c r="C359" s="1302"/>
      <c r="D359" s="1302"/>
      <c r="E359" s="1302"/>
      <c r="F359" s="1302"/>
      <c r="G359" s="1302"/>
      <c r="H359" s="1302"/>
      <c r="I359" s="1302"/>
      <c r="J359" s="1302"/>
      <c r="K359" s="1302"/>
      <c r="L359" s="1302"/>
      <c r="M359" s="1302"/>
      <c r="N359" s="1302"/>
      <c r="O359" s="1302"/>
    </row>
    <row r="360" spans="1:15">
      <c r="B360" s="1302"/>
      <c r="C360" s="1302"/>
      <c r="D360" s="1302"/>
      <c r="E360" s="1302"/>
      <c r="F360" s="1302"/>
      <c r="G360" s="1302"/>
      <c r="H360" s="1302"/>
      <c r="I360" s="1302"/>
      <c r="J360" s="1302"/>
      <c r="K360" s="1302"/>
      <c r="L360" s="1302"/>
      <c r="M360" s="1302"/>
      <c r="N360" s="1302"/>
      <c r="O360" s="1302"/>
    </row>
    <row r="367" spans="1:15">
      <c r="A367" s="1528" t="s">
        <v>1157</v>
      </c>
      <c r="B367" s="1528"/>
      <c r="C367" s="1528"/>
      <c r="D367" s="1528"/>
      <c r="E367" s="1528"/>
      <c r="F367" s="1528"/>
      <c r="G367" s="1528"/>
      <c r="H367" s="1528"/>
      <c r="I367" s="1528"/>
      <c r="J367" s="1528"/>
      <c r="K367" s="1528"/>
      <c r="L367" s="1528"/>
      <c r="M367" s="1528"/>
      <c r="N367" s="1528"/>
      <c r="O367" s="1528"/>
    </row>
    <row r="368" spans="1:15">
      <c r="A368" s="1528" t="s">
        <v>1158</v>
      </c>
      <c r="B368" s="1528"/>
      <c r="C368" s="1528"/>
      <c r="D368" s="1528"/>
      <c r="E368" s="1528"/>
      <c r="F368" s="1528"/>
      <c r="G368" s="1528"/>
      <c r="H368" s="1528"/>
      <c r="I368" s="1528"/>
      <c r="J368" s="1528"/>
      <c r="K368" s="1528"/>
      <c r="L368" s="1528"/>
      <c r="M368" s="1528"/>
      <c r="N368" s="1528"/>
      <c r="O368" s="1528"/>
    </row>
    <row r="370" spans="1:15" ht="12.75" customHeight="1">
      <c r="A370" s="1529" t="s">
        <v>1051</v>
      </c>
      <c r="B370" s="1530" t="s">
        <v>1052</v>
      </c>
      <c r="C370" s="1531"/>
      <c r="D370" s="1531"/>
      <c r="E370" s="1531"/>
      <c r="F370" s="428"/>
      <c r="G370" s="1532"/>
      <c r="H370" s="1535" t="s">
        <v>1044</v>
      </c>
      <c r="I370" s="1535"/>
      <c r="J370" s="1535" t="s">
        <v>1044</v>
      </c>
      <c r="K370" s="1535"/>
      <c r="L370" s="1535" t="s">
        <v>1045</v>
      </c>
      <c r="M370" s="1535"/>
      <c r="N370" s="1535" t="s">
        <v>1046</v>
      </c>
      <c r="O370" s="1535"/>
    </row>
    <row r="371" spans="1:15" ht="12.75" customHeight="1">
      <c r="A371" s="1529"/>
      <c r="B371" s="1530"/>
      <c r="C371" s="1531"/>
      <c r="D371" s="1531"/>
      <c r="E371" s="1531"/>
      <c r="F371" s="443"/>
      <c r="G371" s="1533"/>
      <c r="H371" s="1526" t="s">
        <v>1047</v>
      </c>
      <c r="I371" s="1526"/>
      <c r="J371" s="1526" t="s">
        <v>1048</v>
      </c>
      <c r="K371" s="1526"/>
      <c r="L371" s="1526" t="s">
        <v>1049</v>
      </c>
      <c r="M371" s="1526"/>
      <c r="N371" s="1526" t="s">
        <v>1050</v>
      </c>
      <c r="O371" s="1526"/>
    </row>
    <row r="372" spans="1:15" ht="12.75" customHeight="1">
      <c r="A372" s="1529"/>
      <c r="B372" s="1530"/>
      <c r="C372" s="1531"/>
      <c r="D372" s="1531"/>
      <c r="E372" s="1531"/>
      <c r="F372" s="444"/>
      <c r="G372" s="1534"/>
      <c r="H372" s="1527" t="s">
        <v>1053</v>
      </c>
      <c r="I372" s="1527"/>
      <c r="J372" s="1527" t="s">
        <v>1053</v>
      </c>
      <c r="K372" s="1527"/>
      <c r="L372" s="1527" t="s">
        <v>1053</v>
      </c>
      <c r="M372" s="1527"/>
      <c r="N372" s="1527" t="s">
        <v>1053</v>
      </c>
      <c r="O372" s="1527"/>
    </row>
    <row r="373" spans="1:15" ht="12.75" customHeight="1">
      <c r="A373" s="493">
        <v>1</v>
      </c>
      <c r="B373" s="1626" t="s">
        <v>1159</v>
      </c>
      <c r="C373" s="1627"/>
      <c r="D373" s="1627"/>
      <c r="E373" s="1627"/>
      <c r="F373" s="1628"/>
      <c r="G373" s="307" t="s">
        <v>1056</v>
      </c>
      <c r="H373" s="1214">
        <v>900</v>
      </c>
      <c r="I373" s="1214"/>
      <c r="J373" s="1214">
        <v>500</v>
      </c>
      <c r="K373" s="1214"/>
      <c r="L373" s="1214">
        <v>1800</v>
      </c>
      <c r="M373" s="1214"/>
      <c r="N373" s="1484" t="s">
        <v>1057</v>
      </c>
      <c r="O373" s="1214"/>
    </row>
    <row r="374" spans="1:15" ht="12.75" customHeight="1">
      <c r="A374" s="1426"/>
      <c r="B374" s="1355" t="s">
        <v>1160</v>
      </c>
      <c r="C374" s="1356"/>
      <c r="D374" s="1356"/>
      <c r="E374" s="1356"/>
      <c r="F374" s="1357"/>
      <c r="G374" s="307" t="s">
        <v>1056</v>
      </c>
      <c r="H374" s="1214">
        <v>850</v>
      </c>
      <c r="I374" s="1214"/>
      <c r="J374" s="1214">
        <v>500</v>
      </c>
      <c r="K374" s="1214"/>
      <c r="L374" s="1214">
        <v>1700</v>
      </c>
      <c r="M374" s="1214"/>
      <c r="N374" s="1484" t="s">
        <v>1057</v>
      </c>
      <c r="O374" s="1214"/>
    </row>
    <row r="375" spans="1:15" ht="12.75" customHeight="1">
      <c r="A375" s="1426"/>
      <c r="B375" s="1355" t="s">
        <v>1161</v>
      </c>
      <c r="C375" s="1356"/>
      <c r="D375" s="1356"/>
      <c r="E375" s="1356"/>
      <c r="F375" s="1357"/>
      <c r="G375" s="307" t="s">
        <v>1056</v>
      </c>
      <c r="H375" s="1214">
        <v>825</v>
      </c>
      <c r="I375" s="1214"/>
      <c r="J375" s="1214">
        <v>500</v>
      </c>
      <c r="K375" s="1214"/>
      <c r="L375" s="1214">
        <v>1650</v>
      </c>
      <c r="M375" s="1214"/>
      <c r="N375" s="1484" t="s">
        <v>1057</v>
      </c>
      <c r="O375" s="1214"/>
    </row>
    <row r="376" spans="1:15" ht="12.75" customHeight="1">
      <c r="A376" s="1426"/>
      <c r="B376" s="1355" t="s">
        <v>1162</v>
      </c>
      <c r="C376" s="1356"/>
      <c r="D376" s="1356"/>
      <c r="E376" s="1356"/>
      <c r="F376" s="1357"/>
      <c r="G376" s="307" t="s">
        <v>1056</v>
      </c>
      <c r="H376" s="1214">
        <v>800</v>
      </c>
      <c r="I376" s="1214"/>
      <c r="J376" s="1214">
        <v>500</v>
      </c>
      <c r="K376" s="1214"/>
      <c r="L376" s="1214">
        <v>1600</v>
      </c>
      <c r="M376" s="1214"/>
      <c r="N376" s="1484" t="s">
        <v>1057</v>
      </c>
      <c r="O376" s="1214"/>
    </row>
    <row r="377" spans="1:15" ht="12.75" customHeight="1">
      <c r="A377" s="1426"/>
      <c r="B377" s="1355" t="s">
        <v>1163</v>
      </c>
      <c r="C377" s="1356"/>
      <c r="D377" s="1356"/>
      <c r="E377" s="1356"/>
      <c r="F377" s="1357"/>
      <c r="G377" s="307" t="s">
        <v>1056</v>
      </c>
      <c r="H377" s="1214">
        <v>800</v>
      </c>
      <c r="I377" s="1214"/>
      <c r="J377" s="1214">
        <v>500</v>
      </c>
      <c r="K377" s="1214"/>
      <c r="L377" s="1214">
        <v>1300</v>
      </c>
      <c r="M377" s="1214"/>
      <c r="N377" s="1484" t="s">
        <v>1057</v>
      </c>
      <c r="O377" s="1214"/>
    </row>
    <row r="378" spans="1:15" ht="12.75" customHeight="1">
      <c r="A378" s="1426"/>
      <c r="B378" s="1355" t="s">
        <v>1164</v>
      </c>
      <c r="C378" s="1356"/>
      <c r="D378" s="1356"/>
      <c r="E378" s="1356"/>
      <c r="F378" s="1357"/>
      <c r="G378" s="307" t="s">
        <v>1056</v>
      </c>
      <c r="H378" s="1214">
        <v>800</v>
      </c>
      <c r="I378" s="1214"/>
      <c r="J378" s="1214">
        <v>500</v>
      </c>
      <c r="K378" s="1214"/>
      <c r="L378" s="1214">
        <v>1200</v>
      </c>
      <c r="M378" s="1214"/>
      <c r="N378" s="1484" t="s">
        <v>1057</v>
      </c>
      <c r="O378" s="1214"/>
    </row>
    <row r="379" spans="1:15" ht="12.75" customHeight="1">
      <c r="A379" s="1426"/>
      <c r="B379" s="1355" t="s">
        <v>1165</v>
      </c>
      <c r="C379" s="1356"/>
      <c r="D379" s="1356"/>
      <c r="E379" s="1356"/>
      <c r="F379" s="1357"/>
      <c r="G379" s="1214"/>
      <c r="H379" s="1214"/>
      <c r="I379" s="1214"/>
      <c r="J379" s="1214"/>
      <c r="K379" s="1214"/>
      <c r="L379" s="1214"/>
      <c r="M379" s="1214"/>
      <c r="N379" s="1214"/>
      <c r="O379" s="1214"/>
    </row>
    <row r="380" spans="1:15" ht="12.75" customHeight="1">
      <c r="A380" s="1426"/>
      <c r="B380" s="1355" t="s">
        <v>1166</v>
      </c>
      <c r="C380" s="1356"/>
      <c r="D380" s="1356"/>
      <c r="E380" s="1356"/>
      <c r="F380" s="1357"/>
      <c r="G380" s="1214"/>
      <c r="H380" s="1214"/>
      <c r="I380" s="1214"/>
      <c r="J380" s="1214"/>
      <c r="K380" s="1214"/>
      <c r="L380" s="1214"/>
      <c r="M380" s="1214"/>
      <c r="N380" s="1214"/>
      <c r="O380" s="1214"/>
    </row>
    <row r="381" spans="1:15" ht="12.75" customHeight="1">
      <c r="A381" s="1426"/>
      <c r="B381" s="1355" t="s">
        <v>1167</v>
      </c>
      <c r="C381" s="1356"/>
      <c r="D381" s="1356"/>
      <c r="E381" s="1356"/>
      <c r="F381" s="1357"/>
      <c r="G381" s="1214"/>
      <c r="H381" s="1214"/>
      <c r="I381" s="1214"/>
      <c r="J381" s="1214"/>
      <c r="K381" s="1214"/>
      <c r="L381" s="1214"/>
      <c r="M381" s="1214"/>
      <c r="N381" s="1214"/>
      <c r="O381" s="1214"/>
    </row>
    <row r="382" spans="1:15" ht="12.75" customHeight="1">
      <c r="A382" s="1426"/>
      <c r="B382" s="1355" t="s">
        <v>1168</v>
      </c>
      <c r="C382" s="1356"/>
      <c r="D382" s="1356"/>
      <c r="E382" s="1356"/>
      <c r="F382" s="1357"/>
      <c r="G382" s="1214"/>
      <c r="H382" s="1214"/>
      <c r="I382" s="1214"/>
      <c r="J382" s="1214"/>
      <c r="K382" s="1214"/>
      <c r="L382" s="1214"/>
      <c r="M382" s="1214"/>
      <c r="N382" s="1214"/>
      <c r="O382" s="1214"/>
    </row>
    <row r="383" spans="1:15" ht="12.75" customHeight="1">
      <c r="A383" s="1426"/>
      <c r="B383" s="1355" t="s">
        <v>1169</v>
      </c>
      <c r="C383" s="1356"/>
      <c r="D383" s="1356"/>
      <c r="E383" s="1356"/>
      <c r="F383" s="1357"/>
      <c r="G383" s="307" t="s">
        <v>1056</v>
      </c>
      <c r="H383" s="1214">
        <v>800</v>
      </c>
      <c r="I383" s="1214"/>
      <c r="J383" s="1214">
        <v>500</v>
      </c>
      <c r="K383" s="1214"/>
      <c r="L383" s="1214">
        <v>1300</v>
      </c>
      <c r="M383" s="1214"/>
      <c r="N383" s="1484" t="s">
        <v>1057</v>
      </c>
      <c r="O383" s="1214"/>
    </row>
    <row r="384" spans="1:15" ht="12.75" customHeight="1">
      <c r="A384" s="1426"/>
      <c r="B384" s="1355" t="s">
        <v>1170</v>
      </c>
      <c r="C384" s="1356"/>
      <c r="D384" s="1356"/>
      <c r="E384" s="1356"/>
      <c r="F384" s="1357"/>
      <c r="G384" s="307" t="s">
        <v>1056</v>
      </c>
      <c r="H384" s="1214">
        <v>650</v>
      </c>
      <c r="I384" s="1214"/>
      <c r="J384" s="1214">
        <v>500</v>
      </c>
      <c r="K384" s="1214"/>
      <c r="L384" s="1214">
        <v>1100</v>
      </c>
      <c r="M384" s="1214"/>
      <c r="N384" s="1484" t="s">
        <v>1057</v>
      </c>
      <c r="O384" s="1214"/>
    </row>
    <row r="385" spans="1:15" ht="14.25" customHeight="1">
      <c r="A385" s="1433" t="s">
        <v>2199</v>
      </c>
      <c r="B385" s="1366" t="s">
        <v>2200</v>
      </c>
      <c r="C385" s="1367"/>
      <c r="D385" s="1367"/>
      <c r="E385" s="1367"/>
      <c r="F385" s="1368"/>
      <c r="G385" s="1214"/>
      <c r="H385" s="1214"/>
      <c r="I385" s="1214"/>
      <c r="J385" s="1214"/>
      <c r="K385" s="1214"/>
      <c r="L385" s="1214"/>
      <c r="M385" s="1214"/>
      <c r="N385" s="1214"/>
      <c r="O385" s="1214"/>
    </row>
    <row r="386" spans="1:15" ht="12.75" customHeight="1">
      <c r="A386" s="1434"/>
      <c r="B386" s="1358"/>
      <c r="C386" s="1523" t="s">
        <v>1171</v>
      </c>
      <c r="D386" s="1524"/>
      <c r="E386" s="1524"/>
      <c r="F386" s="1525"/>
      <c r="G386" s="307" t="s">
        <v>1056</v>
      </c>
      <c r="H386" s="1214">
        <v>650</v>
      </c>
      <c r="I386" s="1214"/>
      <c r="J386" s="1214">
        <v>500</v>
      </c>
      <c r="K386" s="1214"/>
      <c r="L386" s="1214">
        <v>800</v>
      </c>
      <c r="M386" s="1214"/>
      <c r="N386" s="1484" t="s">
        <v>1057</v>
      </c>
      <c r="O386" s="1214"/>
    </row>
    <row r="387" spans="1:15" ht="12.75" customHeight="1">
      <c r="A387" s="1435"/>
      <c r="B387" s="1369"/>
      <c r="C387" s="1523" t="s">
        <v>1172</v>
      </c>
      <c r="D387" s="1524"/>
      <c r="E387" s="1524"/>
      <c r="F387" s="1525"/>
      <c r="G387" s="307" t="s">
        <v>1056</v>
      </c>
      <c r="H387" s="1214">
        <v>600</v>
      </c>
      <c r="I387" s="1214"/>
      <c r="J387" s="1214">
        <v>500</v>
      </c>
      <c r="K387" s="1214"/>
      <c r="L387" s="1214">
        <v>700</v>
      </c>
      <c r="M387" s="1214"/>
      <c r="N387" s="1484" t="s">
        <v>1057</v>
      </c>
      <c r="O387" s="1214"/>
    </row>
    <row r="388" spans="1:15" ht="16.5" customHeight="1">
      <c r="A388" s="493" t="s">
        <v>2187</v>
      </c>
      <c r="B388" s="1366" t="s">
        <v>2201</v>
      </c>
      <c r="C388" s="1367"/>
      <c r="D388" s="1367"/>
      <c r="E388" s="1367"/>
      <c r="F388" s="1368"/>
      <c r="G388" s="1214"/>
      <c r="H388" s="1214"/>
      <c r="I388" s="1214"/>
      <c r="J388" s="1214"/>
      <c r="K388" s="1214"/>
      <c r="L388" s="1214"/>
      <c r="M388" s="1214"/>
      <c r="N388" s="1214"/>
      <c r="O388" s="1214"/>
    </row>
    <row r="389" spans="1:15" ht="12.75" customHeight="1">
      <c r="A389" s="1516"/>
      <c r="B389" s="1486"/>
      <c r="C389" s="1523" t="s">
        <v>1173</v>
      </c>
      <c r="D389" s="1524"/>
      <c r="E389" s="1524"/>
      <c r="F389" s="1525"/>
      <c r="G389" s="1214"/>
      <c r="H389" s="1214"/>
      <c r="I389" s="1214"/>
      <c r="J389" s="1214"/>
      <c r="K389" s="1214"/>
      <c r="L389" s="1214"/>
      <c r="M389" s="1214"/>
      <c r="N389" s="1214"/>
      <c r="O389" s="1214"/>
    </row>
    <row r="390" spans="1:15" ht="12.75" customHeight="1">
      <c r="A390" s="1485"/>
      <c r="B390" s="1487"/>
      <c r="C390" s="1439" t="s">
        <v>2203</v>
      </c>
      <c r="D390" s="1440"/>
      <c r="E390" s="1440"/>
      <c r="F390" s="1441"/>
      <c r="G390" s="307" t="s">
        <v>1056</v>
      </c>
      <c r="H390" s="1214">
        <v>600</v>
      </c>
      <c r="I390" s="1214"/>
      <c r="J390" s="1214">
        <v>500</v>
      </c>
      <c r="K390" s="1214"/>
      <c r="L390" s="1214">
        <v>600</v>
      </c>
      <c r="M390" s="1214"/>
      <c r="N390" s="1484" t="s">
        <v>1057</v>
      </c>
      <c r="O390" s="1214"/>
    </row>
    <row r="391" spans="1:15" ht="12.75" customHeight="1">
      <c r="A391" s="1485"/>
      <c r="B391" s="1487"/>
      <c r="C391" s="1439" t="s">
        <v>2204</v>
      </c>
      <c r="D391" s="1440"/>
      <c r="E391" s="1440"/>
      <c r="F391" s="1441"/>
      <c r="G391" s="307" t="s">
        <v>1056</v>
      </c>
      <c r="H391" s="1214">
        <v>550</v>
      </c>
      <c r="I391" s="1214"/>
      <c r="J391" s="1214">
        <v>500</v>
      </c>
      <c r="K391" s="1214"/>
      <c r="L391" s="1214">
        <v>500</v>
      </c>
      <c r="M391" s="1214"/>
      <c r="N391" s="1484" t="s">
        <v>1057</v>
      </c>
      <c r="O391" s="1214"/>
    </row>
    <row r="392" spans="1:15" ht="12.75" customHeight="1">
      <c r="A392" s="1485"/>
      <c r="B392" s="1487"/>
      <c r="C392" s="1439" t="s">
        <v>2205</v>
      </c>
      <c r="D392" s="1440"/>
      <c r="E392" s="1440"/>
      <c r="F392" s="1441"/>
      <c r="G392" s="1214"/>
      <c r="H392" s="1214"/>
      <c r="I392" s="1214"/>
      <c r="J392" s="1214"/>
      <c r="K392" s="1214"/>
      <c r="L392" s="1214"/>
      <c r="M392" s="1214"/>
      <c r="N392" s="1214"/>
      <c r="O392" s="1214"/>
    </row>
    <row r="393" spans="1:15" ht="12.75" customHeight="1">
      <c r="A393" s="1485"/>
      <c r="B393" s="1487"/>
      <c r="C393" s="1439" t="s">
        <v>2203</v>
      </c>
      <c r="D393" s="1440"/>
      <c r="E393" s="1440"/>
      <c r="F393" s="1441"/>
      <c r="G393" s="307" t="s">
        <v>1056</v>
      </c>
      <c r="H393" s="1214">
        <v>550</v>
      </c>
      <c r="I393" s="1214"/>
      <c r="J393" s="1214">
        <v>500</v>
      </c>
      <c r="K393" s="1214"/>
      <c r="L393" s="1214">
        <v>200</v>
      </c>
      <c r="M393" s="1214"/>
      <c r="N393" s="1484" t="s">
        <v>1057</v>
      </c>
      <c r="O393" s="1214"/>
    </row>
    <row r="394" spans="1:15" ht="12.75" customHeight="1">
      <c r="A394" s="1485"/>
      <c r="B394" s="1487"/>
      <c r="C394" s="1439" t="s">
        <v>2204</v>
      </c>
      <c r="D394" s="1440"/>
      <c r="E394" s="1440"/>
      <c r="F394" s="1441"/>
      <c r="G394" s="307" t="s">
        <v>1056</v>
      </c>
      <c r="H394" s="1214">
        <v>500</v>
      </c>
      <c r="I394" s="1214"/>
      <c r="J394" s="1214">
        <v>500</v>
      </c>
      <c r="K394" s="1214"/>
      <c r="L394" s="1214">
        <v>200</v>
      </c>
      <c r="M394" s="1214"/>
      <c r="N394" s="1484" t="s">
        <v>1057</v>
      </c>
      <c r="O394" s="1214"/>
    </row>
    <row r="395" spans="1:15">
      <c r="A395" s="1485"/>
      <c r="B395" s="1487"/>
      <c r="C395" s="1523" t="s">
        <v>1174</v>
      </c>
      <c r="D395" s="1524"/>
      <c r="E395" s="1524"/>
      <c r="F395" s="1525"/>
      <c r="G395" s="1214"/>
      <c r="H395" s="1214"/>
      <c r="I395" s="1214"/>
      <c r="J395" s="1214"/>
      <c r="K395" s="1214"/>
      <c r="L395" s="1214"/>
      <c r="M395" s="1214"/>
      <c r="N395" s="1214"/>
      <c r="O395" s="1214"/>
    </row>
    <row r="396" spans="1:15" ht="12.75" customHeight="1">
      <c r="A396" s="1485"/>
      <c r="B396" s="1487"/>
      <c r="C396" s="1439" t="s">
        <v>2203</v>
      </c>
      <c r="D396" s="1440"/>
      <c r="E396" s="1440"/>
      <c r="F396" s="1441"/>
      <c r="G396" s="307" t="s">
        <v>1056</v>
      </c>
      <c r="H396" s="1214">
        <v>550</v>
      </c>
      <c r="I396" s="1214"/>
      <c r="J396" s="1214">
        <v>500</v>
      </c>
      <c r="K396" s="1214"/>
      <c r="L396" s="1214" t="s">
        <v>1057</v>
      </c>
      <c r="M396" s="1214"/>
      <c r="N396" s="1214" t="s">
        <v>1057</v>
      </c>
      <c r="O396" s="1214"/>
    </row>
    <row r="397" spans="1:15" ht="12.75" customHeight="1">
      <c r="A397" s="1488"/>
      <c r="B397" s="1489"/>
      <c r="C397" s="1439" t="s">
        <v>2204</v>
      </c>
      <c r="D397" s="1440"/>
      <c r="E397" s="1440"/>
      <c r="F397" s="1441"/>
      <c r="G397" s="307" t="s">
        <v>1056</v>
      </c>
      <c r="H397" s="1214">
        <v>500</v>
      </c>
      <c r="I397" s="1214"/>
      <c r="J397" s="1214">
        <v>500</v>
      </c>
      <c r="K397" s="1214"/>
      <c r="L397" s="1214" t="s">
        <v>1057</v>
      </c>
      <c r="M397" s="1214"/>
      <c r="N397" s="1214" t="s">
        <v>1057</v>
      </c>
      <c r="O397" s="1214"/>
    </row>
    <row r="398" spans="1:15" ht="12.75" customHeight="1">
      <c r="A398" s="493">
        <v>4</v>
      </c>
      <c r="B398" s="1355" t="s">
        <v>1175</v>
      </c>
      <c r="C398" s="1356"/>
      <c r="D398" s="1356"/>
      <c r="E398" s="1356"/>
      <c r="F398" s="1357"/>
      <c r="G398" s="307" t="s">
        <v>1056</v>
      </c>
      <c r="H398" s="1214">
        <v>500</v>
      </c>
      <c r="I398" s="1214"/>
      <c r="J398" s="1214">
        <v>500</v>
      </c>
      <c r="K398" s="1214"/>
      <c r="L398" s="1214" t="s">
        <v>1057</v>
      </c>
      <c r="M398" s="1214"/>
      <c r="N398" s="1214" t="s">
        <v>1057</v>
      </c>
      <c r="O398" s="1214"/>
    </row>
    <row r="399" spans="1:15" ht="39.75" customHeight="1">
      <c r="A399" s="493">
        <v>5</v>
      </c>
      <c r="B399" s="1366" t="s">
        <v>2206</v>
      </c>
      <c r="C399" s="1367"/>
      <c r="D399" s="1367"/>
      <c r="E399" s="1367"/>
      <c r="F399" s="1368"/>
      <c r="G399" s="1214"/>
      <c r="H399" s="1214"/>
      <c r="I399" s="1214"/>
      <c r="J399" s="1214"/>
      <c r="K399" s="1214"/>
      <c r="L399" s="1214"/>
      <c r="M399" s="1214"/>
      <c r="N399" s="1214"/>
      <c r="O399" s="1214"/>
    </row>
    <row r="400" spans="1:15" ht="17.25" customHeight="1">
      <c r="A400" s="1517" t="s">
        <v>2202</v>
      </c>
      <c r="B400" s="1518"/>
      <c r="C400" s="1629" t="s">
        <v>2207</v>
      </c>
      <c r="D400" s="1630"/>
      <c r="E400" s="1630"/>
      <c r="F400" s="1631"/>
      <c r="G400" s="307" t="s">
        <v>1056</v>
      </c>
      <c r="H400" s="1214">
        <v>650</v>
      </c>
      <c r="I400" s="1214"/>
      <c r="J400" s="1214">
        <v>500</v>
      </c>
      <c r="K400" s="1214"/>
      <c r="L400" s="1214">
        <v>1800</v>
      </c>
      <c r="M400" s="1214"/>
      <c r="N400" s="1214" t="s">
        <v>1057</v>
      </c>
      <c r="O400" s="1214"/>
    </row>
    <row r="401" spans="1:15" ht="12.75" customHeight="1">
      <c r="A401" s="1519"/>
      <c r="B401" s="1520"/>
      <c r="C401" s="1629" t="s">
        <v>1176</v>
      </c>
      <c r="D401" s="1630"/>
      <c r="E401" s="1630"/>
      <c r="F401" s="1631"/>
      <c r="G401" s="307" t="s">
        <v>1056</v>
      </c>
      <c r="H401" s="1214">
        <v>550</v>
      </c>
      <c r="I401" s="1214"/>
      <c r="J401" s="1214">
        <v>500</v>
      </c>
      <c r="K401" s="1214"/>
      <c r="L401" s="1214">
        <v>1800</v>
      </c>
      <c r="M401" s="1214"/>
      <c r="N401" s="1214" t="s">
        <v>1057</v>
      </c>
      <c r="O401" s="1214"/>
    </row>
    <row r="402" spans="1:15" ht="12.75" customHeight="1">
      <c r="A402" s="1433">
        <v>6</v>
      </c>
      <c r="B402" s="1355" t="s">
        <v>1177</v>
      </c>
      <c r="C402" s="1356"/>
      <c r="D402" s="1356"/>
      <c r="E402" s="1356"/>
      <c r="F402" s="1357"/>
      <c r="G402" s="1214"/>
      <c r="H402" s="1214"/>
      <c r="I402" s="1214"/>
      <c r="J402" s="1214"/>
      <c r="K402" s="1214"/>
      <c r="L402" s="1214"/>
      <c r="M402" s="1214"/>
      <c r="N402" s="1214"/>
      <c r="O402" s="1214"/>
    </row>
    <row r="403" spans="1:15" ht="12.75" customHeight="1">
      <c r="A403" s="1434"/>
      <c r="B403" s="1355" t="s">
        <v>1178</v>
      </c>
      <c r="C403" s="1356"/>
      <c r="D403" s="1356"/>
      <c r="E403" s="1356"/>
      <c r="F403" s="1357"/>
      <c r="G403" s="1214"/>
      <c r="H403" s="1214"/>
      <c r="I403" s="1214"/>
      <c r="J403" s="1214"/>
      <c r="K403" s="1214"/>
      <c r="L403" s="1214"/>
      <c r="M403" s="1214"/>
      <c r="N403" s="1214"/>
      <c r="O403" s="1214"/>
    </row>
    <row r="404" spans="1:15" ht="12.75" customHeight="1">
      <c r="A404" s="1434"/>
      <c r="B404" s="1355" t="s">
        <v>1179</v>
      </c>
      <c r="C404" s="1356"/>
      <c r="D404" s="1356"/>
      <c r="E404" s="1356"/>
      <c r="F404" s="1357"/>
      <c r="G404" s="1214"/>
      <c r="H404" s="1214"/>
      <c r="I404" s="1214"/>
      <c r="J404" s="1214"/>
      <c r="K404" s="1214"/>
      <c r="L404" s="1214"/>
      <c r="M404" s="1214"/>
      <c r="N404" s="1214"/>
      <c r="O404" s="1214"/>
    </row>
    <row r="405" spans="1:15" ht="12.75" customHeight="1">
      <c r="A405" s="1434"/>
      <c r="B405" s="1521"/>
      <c r="C405" s="1523" t="s">
        <v>1180</v>
      </c>
      <c r="D405" s="1524"/>
      <c r="E405" s="1524"/>
      <c r="F405" s="1525"/>
      <c r="G405" s="307" t="s">
        <v>1056</v>
      </c>
      <c r="H405" s="1214">
        <v>550</v>
      </c>
      <c r="I405" s="1214"/>
      <c r="J405" s="1214">
        <v>500</v>
      </c>
      <c r="K405" s="1214"/>
      <c r="L405" s="1214">
        <v>950</v>
      </c>
      <c r="M405" s="1214"/>
      <c r="N405" s="1214" t="s">
        <v>1057</v>
      </c>
      <c r="O405" s="1214"/>
    </row>
    <row r="406" spans="1:15" ht="12.75" customHeight="1">
      <c r="A406" s="1435"/>
      <c r="B406" s="1522"/>
      <c r="C406" s="1523" t="s">
        <v>1058</v>
      </c>
      <c r="D406" s="1524"/>
      <c r="E406" s="1524"/>
      <c r="F406" s="1525"/>
      <c r="G406" s="307" t="s">
        <v>1056</v>
      </c>
      <c r="H406" s="1214">
        <v>550</v>
      </c>
      <c r="I406" s="1214"/>
      <c r="J406" s="1214">
        <v>500</v>
      </c>
      <c r="K406" s="1214"/>
      <c r="L406" s="1214">
        <v>875</v>
      </c>
      <c r="M406" s="1214"/>
      <c r="N406" s="1214" t="s">
        <v>1057</v>
      </c>
      <c r="O406" s="1214"/>
    </row>
    <row r="407" spans="1:15" ht="12.75" customHeight="1">
      <c r="A407" s="1433">
        <v>7</v>
      </c>
      <c r="B407" s="1622" t="s">
        <v>1181</v>
      </c>
      <c r="C407" s="1512"/>
      <c r="D407" s="1512"/>
      <c r="E407" s="1512"/>
      <c r="F407" s="1513"/>
      <c r="G407" s="1214"/>
      <c r="H407" s="1214"/>
      <c r="I407" s="1214"/>
      <c r="J407" s="1214"/>
      <c r="K407" s="1214"/>
      <c r="L407" s="1214"/>
      <c r="M407" s="1214"/>
      <c r="N407" s="1214"/>
      <c r="O407" s="1214"/>
    </row>
    <row r="408" spans="1:15" ht="12.75" customHeight="1">
      <c r="A408" s="1434"/>
      <c r="B408" s="1623" t="s">
        <v>1182</v>
      </c>
      <c r="C408" s="1624"/>
      <c r="D408" s="1624"/>
      <c r="E408" s="1624"/>
      <c r="F408" s="1625"/>
      <c r="G408" s="1214"/>
      <c r="H408" s="1214"/>
      <c r="I408" s="1214"/>
      <c r="J408" s="1214"/>
      <c r="K408" s="1214"/>
      <c r="L408" s="1214"/>
      <c r="M408" s="1214"/>
      <c r="N408" s="1214"/>
      <c r="O408" s="1214"/>
    </row>
    <row r="409" spans="1:15" ht="12.75" customHeight="1">
      <c r="A409" s="1434"/>
      <c r="B409" s="1623" t="s">
        <v>1183</v>
      </c>
      <c r="C409" s="1624"/>
      <c r="D409" s="1624"/>
      <c r="E409" s="1624"/>
      <c r="F409" s="1625"/>
      <c r="G409" s="1214"/>
      <c r="H409" s="1214"/>
      <c r="I409" s="1214"/>
      <c r="J409" s="1214"/>
      <c r="K409" s="1214"/>
      <c r="L409" s="1214"/>
      <c r="M409" s="1214"/>
      <c r="N409" s="1214"/>
      <c r="O409" s="1214"/>
    </row>
    <row r="410" spans="1:15" ht="12.75" customHeight="1">
      <c r="A410" s="1435"/>
      <c r="B410" s="1556" t="s">
        <v>1184</v>
      </c>
      <c r="C410" s="1514"/>
      <c r="D410" s="1514"/>
      <c r="E410" s="1514"/>
      <c r="F410" s="1515"/>
      <c r="G410" s="1214"/>
      <c r="H410" s="1214"/>
      <c r="I410" s="1214"/>
      <c r="J410" s="1214"/>
      <c r="K410" s="1214"/>
      <c r="L410" s="1214"/>
      <c r="M410" s="1214"/>
      <c r="N410" s="1214"/>
      <c r="O410" s="1214"/>
    </row>
    <row r="411" spans="1:15" ht="21" customHeight="1">
      <c r="A411" s="1392" t="s">
        <v>2208</v>
      </c>
      <c r="B411" s="1392"/>
      <c r="C411" s="1523" t="s">
        <v>1185</v>
      </c>
      <c r="D411" s="1524"/>
      <c r="E411" s="1524"/>
      <c r="F411" s="1525"/>
      <c r="G411" s="307" t="s">
        <v>1056</v>
      </c>
      <c r="H411" s="1214">
        <v>1000</v>
      </c>
      <c r="I411" s="1214"/>
      <c r="J411" s="1214">
        <v>500</v>
      </c>
      <c r="K411" s="1214"/>
      <c r="L411" s="1214">
        <v>1800</v>
      </c>
      <c r="M411" s="1214"/>
      <c r="N411" s="1214" t="s">
        <v>1057</v>
      </c>
      <c r="O411" s="1214"/>
    </row>
    <row r="412" spans="1:15" ht="44.25" customHeight="1">
      <c r="A412" s="1392"/>
      <c r="B412" s="1392"/>
      <c r="C412" s="1439" t="s">
        <v>3300</v>
      </c>
      <c r="D412" s="1440"/>
      <c r="E412" s="1440"/>
      <c r="F412" s="1441"/>
      <c r="G412" s="307" t="s">
        <v>1056</v>
      </c>
      <c r="H412" s="1214">
        <v>900</v>
      </c>
      <c r="I412" s="1214"/>
      <c r="J412" s="1214">
        <v>500</v>
      </c>
      <c r="K412" s="1214"/>
      <c r="L412" s="1214">
        <v>1300</v>
      </c>
      <c r="M412" s="1214"/>
      <c r="N412" s="1214" t="s">
        <v>1057</v>
      </c>
      <c r="O412" s="1214"/>
    </row>
    <row r="413" spans="1:15" ht="30.75" customHeight="1">
      <c r="A413" s="1392"/>
      <c r="B413" s="1392"/>
      <c r="C413" s="1439" t="s">
        <v>3299</v>
      </c>
      <c r="D413" s="1440"/>
      <c r="E413" s="1440"/>
      <c r="F413" s="1441"/>
      <c r="G413" s="307" t="s">
        <v>1056</v>
      </c>
      <c r="H413" s="1214">
        <v>900</v>
      </c>
      <c r="I413" s="1214"/>
      <c r="J413" s="1214">
        <v>500</v>
      </c>
      <c r="K413" s="1214"/>
      <c r="L413" s="1214">
        <v>1300</v>
      </c>
      <c r="M413" s="1214"/>
      <c r="N413" s="1214" t="s">
        <v>1057</v>
      </c>
      <c r="O413" s="1214"/>
    </row>
    <row r="414" spans="1:15" ht="25.5" customHeight="1">
      <c r="A414" s="1392"/>
      <c r="B414" s="1392"/>
      <c r="C414" s="1439" t="s">
        <v>3298</v>
      </c>
      <c r="D414" s="1440"/>
      <c r="E414" s="1440"/>
      <c r="F414" s="1441"/>
      <c r="G414" s="307" t="s">
        <v>1056</v>
      </c>
      <c r="H414" s="1214">
        <v>775</v>
      </c>
      <c r="I414" s="1214"/>
      <c r="J414" s="1214">
        <v>500</v>
      </c>
      <c r="K414" s="1214"/>
      <c r="L414" s="1214">
        <v>1125</v>
      </c>
      <c r="M414" s="1214"/>
      <c r="N414" s="1214" t="s">
        <v>1057</v>
      </c>
      <c r="O414" s="1214"/>
    </row>
    <row r="415" spans="1:15" ht="27.75" customHeight="1">
      <c r="A415" s="1392"/>
      <c r="B415" s="1392"/>
      <c r="C415" s="1439" t="s">
        <v>3297</v>
      </c>
      <c r="D415" s="1440"/>
      <c r="E415" s="1440"/>
      <c r="F415" s="1441"/>
      <c r="G415" s="1214"/>
      <c r="H415" s="1214"/>
      <c r="I415" s="1214"/>
      <c r="J415" s="1214"/>
      <c r="K415" s="1214"/>
      <c r="L415" s="1214"/>
      <c r="M415" s="1214"/>
      <c r="N415" s="1214"/>
      <c r="O415" s="1214"/>
    </row>
    <row r="416" spans="1:15" ht="19.5" customHeight="1">
      <c r="A416" s="1392"/>
      <c r="B416" s="1392"/>
      <c r="C416" s="1439" t="s">
        <v>2209</v>
      </c>
      <c r="D416" s="1440"/>
      <c r="E416" s="1440"/>
      <c r="F416" s="1441"/>
      <c r="G416" s="307" t="s">
        <v>1056</v>
      </c>
      <c r="H416" s="1214">
        <v>600</v>
      </c>
      <c r="I416" s="1214"/>
      <c r="J416" s="1214">
        <v>500</v>
      </c>
      <c r="K416" s="1214"/>
      <c r="L416" s="1214">
        <v>900</v>
      </c>
      <c r="M416" s="1214"/>
      <c r="N416" s="1214" t="s">
        <v>1057</v>
      </c>
      <c r="O416" s="1214"/>
    </row>
    <row r="417" spans="1:15" ht="17.25" customHeight="1">
      <c r="A417" s="1392"/>
      <c r="B417" s="1392"/>
      <c r="C417" s="1523" t="s">
        <v>1186</v>
      </c>
      <c r="D417" s="1524"/>
      <c r="E417" s="1524"/>
      <c r="F417" s="1525"/>
      <c r="G417" s="307" t="s">
        <v>1056</v>
      </c>
      <c r="H417" s="1214">
        <v>600</v>
      </c>
      <c r="I417" s="1214"/>
      <c r="J417" s="1214">
        <v>500</v>
      </c>
      <c r="K417" s="1214"/>
      <c r="L417" s="1214">
        <v>875</v>
      </c>
      <c r="M417" s="1214"/>
      <c r="N417" s="1214" t="s">
        <v>1057</v>
      </c>
      <c r="O417" s="1214"/>
    </row>
    <row r="418" spans="1:15" ht="18.75" customHeight="1">
      <c r="A418" s="1510" t="s">
        <v>1187</v>
      </c>
      <c r="B418" s="1510"/>
    </row>
    <row r="419" spans="1:15" ht="12.75" customHeight="1">
      <c r="B419" s="1302" t="s">
        <v>1188</v>
      </c>
      <c r="C419" s="1302"/>
      <c r="D419" s="1302"/>
      <c r="E419" s="1302"/>
      <c r="F419" s="1302"/>
      <c r="G419" s="1302"/>
      <c r="H419" s="1302"/>
      <c r="I419" s="1302"/>
      <c r="J419" s="1302"/>
      <c r="K419" s="1302"/>
      <c r="L419" s="1302"/>
      <c r="M419" s="1302"/>
      <c r="N419" s="1302"/>
      <c r="O419" s="1302"/>
    </row>
    <row r="420" spans="1:15" ht="42.75" customHeight="1">
      <c r="C420" s="1302" t="s">
        <v>2210</v>
      </c>
      <c r="D420" s="1302"/>
      <c r="E420" s="1302"/>
      <c r="F420" s="1302"/>
      <c r="G420" s="1302"/>
      <c r="H420" s="1302"/>
      <c r="I420" s="1302"/>
      <c r="J420" s="1302"/>
      <c r="K420" s="1302"/>
      <c r="L420" s="1302"/>
      <c r="M420" s="1302"/>
      <c r="N420" s="1302"/>
      <c r="O420" s="1302"/>
    </row>
    <row r="421" spans="1:15" ht="41.25" customHeight="1">
      <c r="C421" s="1415" t="s">
        <v>3301</v>
      </c>
      <c r="D421" s="1302"/>
      <c r="E421" s="1302"/>
      <c r="F421" s="1302"/>
      <c r="G421" s="1302"/>
      <c r="H421" s="1302"/>
      <c r="I421" s="1302"/>
      <c r="J421" s="1302"/>
      <c r="K421" s="1302"/>
      <c r="L421" s="1302"/>
      <c r="M421" s="1302"/>
      <c r="N421" s="1302"/>
      <c r="O421" s="1302"/>
    </row>
    <row r="422" spans="1:15" ht="32.25" customHeight="1">
      <c r="C422" s="1302" t="s">
        <v>1189</v>
      </c>
      <c r="D422" s="1302"/>
      <c r="E422" s="1302"/>
      <c r="F422" s="1302"/>
      <c r="G422" s="1302"/>
      <c r="H422" s="1302"/>
      <c r="I422" s="1302"/>
      <c r="J422" s="1302"/>
      <c r="K422" s="1302"/>
      <c r="L422" s="1302"/>
      <c r="M422" s="1302"/>
      <c r="N422" s="1302"/>
      <c r="O422" s="1302"/>
    </row>
    <row r="423" spans="1:15" ht="42" customHeight="1">
      <c r="B423" s="1302" t="s">
        <v>2211</v>
      </c>
      <c r="C423" s="1302"/>
      <c r="D423" s="1302"/>
      <c r="E423" s="1302"/>
      <c r="F423" s="1302"/>
      <c r="G423" s="1302"/>
      <c r="H423" s="1302"/>
      <c r="I423" s="1302"/>
      <c r="J423" s="1302"/>
      <c r="K423" s="1302"/>
      <c r="L423" s="1302"/>
      <c r="M423" s="1302"/>
      <c r="N423" s="1302"/>
      <c r="O423" s="1302"/>
    </row>
    <row r="424" spans="1:15" ht="12.75" customHeight="1">
      <c r="C424" s="1302" t="s">
        <v>1190</v>
      </c>
      <c r="D424" s="1302"/>
      <c r="E424" s="1302"/>
      <c r="F424" s="1302"/>
      <c r="G424" s="1302"/>
      <c r="H424" s="1302"/>
      <c r="I424" s="1302"/>
      <c r="J424" s="1302"/>
      <c r="K424" s="1302"/>
      <c r="L424" s="1302"/>
      <c r="M424" s="1302"/>
      <c r="N424" s="1302"/>
      <c r="O424" s="1302"/>
    </row>
    <row r="425" spans="1:15" ht="12.75" customHeight="1">
      <c r="C425" s="1302" t="s">
        <v>2212</v>
      </c>
      <c r="D425" s="1302"/>
      <c r="E425" s="1302"/>
      <c r="F425" s="1302"/>
      <c r="G425" s="1302"/>
      <c r="H425" s="1302"/>
      <c r="I425" s="1302"/>
      <c r="J425" s="1302"/>
      <c r="K425" s="292" t="s">
        <v>1056</v>
      </c>
      <c r="L425" s="1411">
        <v>1600</v>
      </c>
      <c r="M425" s="1411"/>
      <c r="N425" s="292"/>
      <c r="O425" s="292"/>
    </row>
    <row r="426" spans="1:15" ht="12.75" customHeight="1">
      <c r="C426" s="1302" t="s">
        <v>2213</v>
      </c>
      <c r="D426" s="1302"/>
      <c r="E426" s="1302"/>
      <c r="F426" s="1302"/>
      <c r="G426" s="1302"/>
      <c r="H426" s="1302"/>
      <c r="I426" s="1302"/>
      <c r="J426" s="1302"/>
      <c r="K426" s="292" t="s">
        <v>1056</v>
      </c>
      <c r="L426" s="1411">
        <v>2000</v>
      </c>
      <c r="M426" s="1411"/>
    </row>
    <row r="427" spans="1:15" ht="12.75" customHeight="1">
      <c r="C427" s="1302" t="s">
        <v>2214</v>
      </c>
      <c r="D427" s="1302"/>
      <c r="E427" s="1302"/>
      <c r="F427" s="1302"/>
      <c r="G427" s="1302"/>
      <c r="H427" s="1302"/>
      <c r="I427" s="1302"/>
      <c r="J427" s="1302"/>
      <c r="K427" s="292" t="s">
        <v>1056</v>
      </c>
      <c r="L427" s="1411">
        <v>2500</v>
      </c>
      <c r="M427" s="1411"/>
    </row>
    <row r="428" spans="1:15" ht="12.75" customHeight="1">
      <c r="C428" s="1302" t="s">
        <v>2215</v>
      </c>
      <c r="D428" s="1302"/>
      <c r="E428" s="1302"/>
      <c r="F428" s="1302"/>
      <c r="G428" s="1302"/>
      <c r="H428" s="1302"/>
      <c r="I428" s="1302"/>
      <c r="J428" s="1302"/>
      <c r="K428" s="292" t="s">
        <v>1056</v>
      </c>
      <c r="L428" s="1411">
        <v>3000</v>
      </c>
      <c r="M428" s="1411"/>
    </row>
    <row r="429" spans="1:15" ht="12.75" customHeight="1">
      <c r="C429" s="1302" t="s">
        <v>1191</v>
      </c>
      <c r="D429" s="1302"/>
      <c r="E429" s="1302"/>
      <c r="F429" s="1302"/>
      <c r="G429" s="1302"/>
      <c r="H429" s="1302"/>
      <c r="I429" s="1302"/>
      <c r="J429" s="1302"/>
    </row>
    <row r="430" spans="1:15" ht="12.75" customHeight="1">
      <c r="C430" s="1493" t="s">
        <v>3302</v>
      </c>
      <c r="D430" s="1411"/>
      <c r="E430" s="1411"/>
      <c r="F430" s="1411"/>
      <c r="G430" s="1411"/>
      <c r="H430" s="1411"/>
      <c r="I430" s="1411"/>
      <c r="J430" s="1411"/>
      <c r="K430" s="292" t="s">
        <v>1056</v>
      </c>
      <c r="L430" s="1411">
        <v>1500</v>
      </c>
      <c r="M430" s="1411"/>
    </row>
    <row r="431" spans="1:15" ht="12.75" customHeight="1">
      <c r="C431" s="1302" t="s">
        <v>2216</v>
      </c>
      <c r="D431" s="1302"/>
      <c r="E431" s="1302"/>
      <c r="F431" s="1302"/>
      <c r="G431" s="1302"/>
      <c r="H431" s="1302"/>
      <c r="I431" s="1302"/>
      <c r="J431" s="1302"/>
    </row>
    <row r="432" spans="1:15" ht="38.25" customHeight="1">
      <c r="B432" s="1302" t="s">
        <v>1192</v>
      </c>
      <c r="C432" s="1302"/>
      <c r="D432" s="1302"/>
      <c r="E432" s="1302"/>
      <c r="F432" s="1302"/>
      <c r="G432" s="1302"/>
      <c r="H432" s="1302"/>
      <c r="I432" s="1302"/>
      <c r="J432" s="1302"/>
      <c r="K432" s="1302"/>
      <c r="L432" s="1302"/>
      <c r="M432" s="1302"/>
      <c r="N432" s="1302"/>
      <c r="O432" s="1302"/>
    </row>
    <row r="435" spans="1:15">
      <c r="A435" s="1557" t="s">
        <v>1193</v>
      </c>
      <c r="B435" s="1557"/>
      <c r="C435" s="1557"/>
      <c r="D435" s="1557"/>
      <c r="E435" s="1557"/>
      <c r="F435" s="1557"/>
      <c r="G435" s="1557"/>
      <c r="H435" s="1557"/>
      <c r="I435" s="1557"/>
      <c r="J435" s="1557"/>
      <c r="K435" s="1557"/>
      <c r="L435" s="1557"/>
      <c r="M435" s="1557"/>
      <c r="N435" s="1557"/>
      <c r="O435" s="1557"/>
    </row>
    <row r="436" spans="1:15">
      <c r="A436" s="1557" t="s">
        <v>1194</v>
      </c>
      <c r="B436" s="1557"/>
      <c r="C436" s="1557"/>
      <c r="D436" s="1557"/>
      <c r="E436" s="1557"/>
      <c r="F436" s="1557"/>
      <c r="G436" s="1557"/>
      <c r="H436" s="1557"/>
      <c r="I436" s="1557"/>
      <c r="J436" s="1557"/>
      <c r="K436" s="1557"/>
      <c r="L436" s="1557"/>
      <c r="M436" s="1557"/>
      <c r="N436" s="1557"/>
      <c r="O436" s="1557"/>
    </row>
    <row r="438" spans="1:15" ht="12.75" customHeight="1">
      <c r="A438" s="1529" t="s">
        <v>1051</v>
      </c>
      <c r="B438" s="1530" t="s">
        <v>1052</v>
      </c>
      <c r="C438" s="1531"/>
      <c r="D438" s="1531"/>
      <c r="E438" s="1531"/>
      <c r="F438" s="428"/>
      <c r="G438" s="1532"/>
      <c r="H438" s="1535" t="s">
        <v>1044</v>
      </c>
      <c r="I438" s="1535"/>
      <c r="J438" s="1535" t="s">
        <v>1044</v>
      </c>
      <c r="K438" s="1535"/>
      <c r="L438" s="1535" t="s">
        <v>1045</v>
      </c>
      <c r="M438" s="1535"/>
      <c r="N438" s="1535" t="s">
        <v>1046</v>
      </c>
      <c r="O438" s="1535"/>
    </row>
    <row r="439" spans="1:15" ht="12.75" customHeight="1">
      <c r="A439" s="1529"/>
      <c r="B439" s="1530"/>
      <c r="C439" s="1531"/>
      <c r="D439" s="1531"/>
      <c r="E439" s="1531"/>
      <c r="F439" s="443"/>
      <c r="G439" s="1533"/>
      <c r="H439" s="1526" t="s">
        <v>1047</v>
      </c>
      <c r="I439" s="1526"/>
      <c r="J439" s="1526" t="s">
        <v>1048</v>
      </c>
      <c r="K439" s="1526"/>
      <c r="L439" s="1526" t="s">
        <v>1049</v>
      </c>
      <c r="M439" s="1526"/>
      <c r="N439" s="1526" t="s">
        <v>1050</v>
      </c>
      <c r="O439" s="1526"/>
    </row>
    <row r="440" spans="1:15" ht="12.75" customHeight="1">
      <c r="A440" s="1529"/>
      <c r="B440" s="1530"/>
      <c r="C440" s="1531"/>
      <c r="D440" s="1531"/>
      <c r="E440" s="1531"/>
      <c r="F440" s="444"/>
      <c r="G440" s="1534"/>
      <c r="H440" s="1527" t="s">
        <v>1053</v>
      </c>
      <c r="I440" s="1527"/>
      <c r="J440" s="1527" t="s">
        <v>1053</v>
      </c>
      <c r="K440" s="1527"/>
      <c r="L440" s="1527" t="s">
        <v>1053</v>
      </c>
      <c r="M440" s="1527"/>
      <c r="N440" s="1527" t="s">
        <v>1053</v>
      </c>
      <c r="O440" s="1527"/>
    </row>
    <row r="441" spans="1:15" ht="15.75" customHeight="1">
      <c r="A441" s="493">
        <v>1</v>
      </c>
      <c r="B441" s="1626" t="s">
        <v>1195</v>
      </c>
      <c r="C441" s="1627"/>
      <c r="D441" s="1627"/>
      <c r="E441" s="1627"/>
      <c r="F441" s="1628"/>
      <c r="G441" s="1214"/>
      <c r="H441" s="1214"/>
      <c r="I441" s="1214"/>
      <c r="J441" s="1214"/>
      <c r="K441" s="1214"/>
      <c r="L441" s="1214"/>
      <c r="M441" s="1214"/>
      <c r="N441" s="1214"/>
      <c r="O441" s="1214"/>
    </row>
    <row r="442" spans="1:15" ht="12.75" customHeight="1">
      <c r="A442" s="1393"/>
      <c r="B442" s="1393"/>
      <c r="C442" s="1558" t="s">
        <v>1086</v>
      </c>
      <c r="D442" s="1559"/>
      <c r="E442" s="1559"/>
      <c r="F442" s="1560"/>
      <c r="G442" s="307" t="s">
        <v>1056</v>
      </c>
      <c r="H442" s="1214">
        <v>975</v>
      </c>
      <c r="I442" s="1214"/>
      <c r="J442" s="1214">
        <v>250</v>
      </c>
      <c r="K442" s="1214"/>
      <c r="L442" s="307"/>
      <c r="M442" s="308"/>
      <c r="N442" s="308"/>
      <c r="O442" s="308"/>
    </row>
    <row r="443" spans="1:15" ht="13.5" customHeight="1">
      <c r="A443" s="1393"/>
      <c r="B443" s="1393"/>
      <c r="C443" s="1561" t="s">
        <v>1087</v>
      </c>
      <c r="D443" s="1562"/>
      <c r="E443" s="1562"/>
      <c r="F443" s="1563"/>
      <c r="G443" s="307" t="s">
        <v>1056</v>
      </c>
      <c r="H443" s="1214">
        <v>925</v>
      </c>
      <c r="I443" s="1214"/>
      <c r="J443" s="1214">
        <v>250</v>
      </c>
      <c r="K443" s="1214"/>
      <c r="L443" s="307"/>
      <c r="M443" s="308"/>
      <c r="N443" s="308"/>
      <c r="O443" s="308"/>
    </row>
    <row r="444" spans="1:15" ht="12.75" customHeight="1">
      <c r="A444" s="495">
        <v>2</v>
      </c>
      <c r="B444" s="1346" t="s">
        <v>1197</v>
      </c>
      <c r="C444" s="1347"/>
      <c r="D444" s="1347"/>
      <c r="E444" s="1347"/>
      <c r="F444" s="1348"/>
      <c r="G444" s="1214"/>
      <c r="H444" s="1214"/>
      <c r="I444" s="1214"/>
      <c r="J444" s="1214"/>
      <c r="K444" s="1214"/>
      <c r="L444" s="1214"/>
      <c r="M444" s="1214"/>
      <c r="N444" s="1214"/>
      <c r="O444" s="1214"/>
    </row>
    <row r="445" spans="1:15" ht="15" customHeight="1">
      <c r="A445" s="1435"/>
      <c r="B445" s="1632" t="s">
        <v>1198</v>
      </c>
      <c r="C445" s="1633"/>
      <c r="D445" s="1633"/>
      <c r="E445" s="1633"/>
      <c r="F445" s="1634"/>
      <c r="G445" s="1214"/>
      <c r="H445" s="1214"/>
      <c r="I445" s="1214"/>
      <c r="J445" s="1214"/>
      <c r="K445" s="1214"/>
      <c r="L445" s="1214"/>
      <c r="M445" s="1214"/>
      <c r="N445" s="1214"/>
      <c r="O445" s="1214"/>
    </row>
    <row r="446" spans="1:15" ht="14.25" customHeight="1">
      <c r="A446" s="1426"/>
      <c r="B446" s="1632" t="s">
        <v>1199</v>
      </c>
      <c r="C446" s="1633"/>
      <c r="D446" s="1633"/>
      <c r="E446" s="1633"/>
      <c r="F446" s="1634"/>
      <c r="G446" s="1214"/>
      <c r="H446" s="1214"/>
      <c r="I446" s="1214"/>
      <c r="J446" s="1214"/>
      <c r="K446" s="1214"/>
      <c r="L446" s="1214"/>
      <c r="M446" s="1214"/>
      <c r="N446" s="1214"/>
      <c r="O446" s="1214"/>
    </row>
    <row r="447" spans="1:15" ht="12.75" customHeight="1">
      <c r="A447" s="1433"/>
      <c r="B447" s="1635" t="s">
        <v>1200</v>
      </c>
      <c r="C447" s="1636"/>
      <c r="D447" s="1636"/>
      <c r="E447" s="1636"/>
      <c r="F447" s="1637"/>
      <c r="G447" s="1214"/>
      <c r="H447" s="1214"/>
      <c r="I447" s="1214"/>
      <c r="J447" s="1214"/>
      <c r="K447" s="1214"/>
      <c r="L447" s="1214"/>
      <c r="M447" s="1214"/>
      <c r="N447" s="1214"/>
      <c r="O447" s="1214"/>
    </row>
    <row r="448" spans="1:15" ht="12.75" customHeight="1">
      <c r="A448" s="1483"/>
      <c r="B448" s="1393"/>
      <c r="C448" s="1558" t="s">
        <v>1086</v>
      </c>
      <c r="D448" s="1559"/>
      <c r="E448" s="1559"/>
      <c r="F448" s="1560"/>
      <c r="G448" s="307" t="s">
        <v>1056</v>
      </c>
      <c r="H448" s="1214">
        <v>925</v>
      </c>
      <c r="I448" s="1214"/>
      <c r="J448" s="1214">
        <v>250</v>
      </c>
      <c r="K448" s="1214"/>
      <c r="L448" s="1214" t="s">
        <v>1057</v>
      </c>
      <c r="M448" s="1214"/>
      <c r="N448" s="1214" t="s">
        <v>1057</v>
      </c>
      <c r="O448" s="1214"/>
    </row>
    <row r="449" spans="1:15" ht="12.75" customHeight="1">
      <c r="A449" s="1393"/>
      <c r="B449" s="1393"/>
      <c r="C449" s="1561" t="s">
        <v>1087</v>
      </c>
      <c r="D449" s="1562"/>
      <c r="E449" s="1562"/>
      <c r="F449" s="1563"/>
      <c r="G449" s="307" t="s">
        <v>1056</v>
      </c>
      <c r="H449" s="1214">
        <v>900</v>
      </c>
      <c r="I449" s="1214"/>
      <c r="J449" s="1214">
        <v>250</v>
      </c>
      <c r="K449" s="1214"/>
      <c r="L449" s="1214" t="s">
        <v>1057</v>
      </c>
      <c r="M449" s="1214"/>
      <c r="N449" s="1214" t="s">
        <v>1057</v>
      </c>
      <c r="O449" s="1214"/>
    </row>
    <row r="450" spans="1:15" ht="12.75" customHeight="1">
      <c r="A450" s="495">
        <v>3</v>
      </c>
      <c r="B450" s="1622" t="s">
        <v>1201</v>
      </c>
      <c r="C450" s="1512"/>
      <c r="D450" s="1512"/>
      <c r="E450" s="1512"/>
      <c r="F450" s="1513"/>
      <c r="G450" s="1214"/>
      <c r="H450" s="1214"/>
      <c r="I450" s="1214"/>
      <c r="J450" s="1214"/>
      <c r="K450" s="1214"/>
      <c r="L450" s="1214"/>
      <c r="M450" s="1214"/>
      <c r="N450" s="1214"/>
      <c r="O450" s="1214"/>
    </row>
    <row r="451" spans="1:15" ht="12.75" customHeight="1">
      <c r="A451" s="492"/>
      <c r="B451" s="1556" t="s">
        <v>1202</v>
      </c>
      <c r="C451" s="1514"/>
      <c r="D451" s="1514"/>
      <c r="E451" s="1514"/>
      <c r="F451" s="1515"/>
      <c r="G451" s="307" t="s">
        <v>1056</v>
      </c>
      <c r="H451" s="1214">
        <v>725</v>
      </c>
      <c r="I451" s="1214"/>
      <c r="J451" s="1214">
        <v>250</v>
      </c>
      <c r="K451" s="1214"/>
      <c r="L451" s="1214" t="s">
        <v>1057</v>
      </c>
      <c r="M451" s="1214"/>
      <c r="N451" s="1214" t="s">
        <v>1057</v>
      </c>
      <c r="O451" s="1214"/>
    </row>
    <row r="452" spans="1:15" ht="15.75" customHeight="1">
      <c r="A452" s="495">
        <v>4</v>
      </c>
      <c r="B452" s="1622" t="s">
        <v>2218</v>
      </c>
      <c r="C452" s="1512"/>
      <c r="D452" s="1512"/>
      <c r="E452" s="1512"/>
      <c r="F452" s="1513"/>
      <c r="G452" s="1214"/>
      <c r="H452" s="1214"/>
      <c r="I452" s="1214"/>
      <c r="J452" s="1214"/>
      <c r="K452" s="1214"/>
      <c r="L452" s="1214"/>
      <c r="M452" s="1214"/>
      <c r="N452" s="1214"/>
      <c r="O452" s="1214"/>
    </row>
    <row r="453" spans="1:15" ht="13.5" customHeight="1">
      <c r="A453" s="1434"/>
      <c r="B453" s="1623" t="s">
        <v>1203</v>
      </c>
      <c r="C453" s="1624"/>
      <c r="D453" s="1624"/>
      <c r="E453" s="1624"/>
      <c r="F453" s="1625"/>
      <c r="G453" s="1214"/>
      <c r="H453" s="1214"/>
      <c r="I453" s="1214"/>
      <c r="J453" s="1214"/>
      <c r="K453" s="1214"/>
      <c r="L453" s="1214"/>
      <c r="M453" s="1214"/>
      <c r="N453" s="1214"/>
      <c r="O453" s="1214"/>
    </row>
    <row r="454" spans="1:15" ht="12.75" customHeight="1">
      <c r="A454" s="1434"/>
      <c r="B454" s="1556" t="s">
        <v>1204</v>
      </c>
      <c r="C454" s="1514"/>
      <c r="D454" s="1514"/>
      <c r="E454" s="1514"/>
      <c r="F454" s="1515"/>
      <c r="G454" s="1214"/>
      <c r="H454" s="1214"/>
      <c r="I454" s="1214"/>
      <c r="J454" s="1214"/>
      <c r="K454" s="1214"/>
      <c r="L454" s="1214"/>
      <c r="M454" s="1214"/>
      <c r="N454" s="1214"/>
      <c r="O454" s="1214"/>
    </row>
    <row r="455" spans="1:15" ht="12.75" customHeight="1">
      <c r="A455" s="1483"/>
      <c r="B455" s="1393"/>
      <c r="C455" s="1558" t="s">
        <v>1086</v>
      </c>
      <c r="D455" s="1559"/>
      <c r="E455" s="1559"/>
      <c r="F455" s="1560"/>
      <c r="G455" s="307" t="s">
        <v>1056</v>
      </c>
      <c r="H455" s="1214">
        <v>925</v>
      </c>
      <c r="I455" s="1214"/>
      <c r="J455" s="1214">
        <v>250</v>
      </c>
      <c r="K455" s="1214"/>
      <c r="L455" s="1214">
        <v>250</v>
      </c>
      <c r="M455" s="1214"/>
      <c r="N455" s="1214" t="s">
        <v>1057</v>
      </c>
      <c r="O455" s="1214"/>
    </row>
    <row r="456" spans="1:15" ht="12.75" customHeight="1">
      <c r="A456" s="1393"/>
      <c r="B456" s="1393"/>
      <c r="C456" s="1638" t="s">
        <v>1087</v>
      </c>
      <c r="D456" s="1639"/>
      <c r="E456" s="1639"/>
      <c r="F456" s="1640"/>
      <c r="G456" s="307" t="s">
        <v>1056</v>
      </c>
      <c r="H456" s="1214">
        <v>900</v>
      </c>
      <c r="I456" s="1214"/>
      <c r="J456" s="1214">
        <v>250</v>
      </c>
      <c r="K456" s="1214"/>
      <c r="L456" s="1214">
        <v>250</v>
      </c>
      <c r="M456" s="1214"/>
      <c r="N456" s="1214" t="s">
        <v>1057</v>
      </c>
      <c r="O456" s="1214"/>
    </row>
    <row r="457" spans="1:15" ht="12.75" customHeight="1">
      <c r="A457" s="1393"/>
      <c r="B457" s="1393"/>
      <c r="C457" s="1561" t="s">
        <v>1205</v>
      </c>
      <c r="D457" s="1562"/>
      <c r="E457" s="1562"/>
      <c r="F457" s="1563"/>
      <c r="G457" s="307" t="s">
        <v>1056</v>
      </c>
      <c r="H457" s="1214">
        <v>600</v>
      </c>
      <c r="I457" s="1214"/>
      <c r="J457" s="1214">
        <v>250</v>
      </c>
      <c r="K457" s="1214"/>
      <c r="L457" s="1214">
        <v>250</v>
      </c>
      <c r="M457" s="1214"/>
      <c r="N457" s="1214" t="s">
        <v>1057</v>
      </c>
      <c r="O457" s="1214"/>
    </row>
    <row r="458" spans="1:15" ht="14.25" customHeight="1">
      <c r="A458" s="493">
        <v>5</v>
      </c>
      <c r="B458" s="1460" t="s">
        <v>2217</v>
      </c>
      <c r="C458" s="1460"/>
      <c r="D458" s="1460"/>
      <c r="E458" s="1355"/>
      <c r="F458" s="421"/>
      <c r="G458" s="307" t="s">
        <v>1056</v>
      </c>
      <c r="H458" s="1214">
        <v>500</v>
      </c>
      <c r="I458" s="1214"/>
      <c r="J458" s="1214">
        <v>250</v>
      </c>
      <c r="K458" s="1214"/>
      <c r="L458" s="1214" t="s">
        <v>1057</v>
      </c>
      <c r="M458" s="1214"/>
      <c r="N458" s="1214" t="s">
        <v>1057</v>
      </c>
      <c r="O458" s="1214"/>
    </row>
    <row r="460" spans="1:15" ht="19.5" customHeight="1">
      <c r="A460" s="475" t="s">
        <v>2185</v>
      </c>
      <c r="B460" s="310" t="s">
        <v>1507</v>
      </c>
    </row>
    <row r="461" spans="1:15" ht="30.75" customHeight="1">
      <c r="B461" s="1302" t="s">
        <v>1206</v>
      </c>
      <c r="C461" s="1302"/>
      <c r="D461" s="1302"/>
      <c r="E461" s="1302"/>
      <c r="F461" s="1302"/>
      <c r="G461" s="1302"/>
      <c r="H461" s="1302"/>
      <c r="I461" s="1302"/>
      <c r="J461" s="1302"/>
      <c r="K461" s="1302"/>
      <c r="L461" s="1302"/>
      <c r="M461" s="1302"/>
      <c r="N461" s="1302"/>
      <c r="O461" s="1302"/>
    </row>
    <row r="462" spans="1:15" ht="17.25" customHeight="1">
      <c r="B462" s="1302" t="s">
        <v>1207</v>
      </c>
      <c r="C462" s="1302"/>
      <c r="D462" s="1302"/>
      <c r="E462" s="1302"/>
      <c r="F462" s="1302"/>
      <c r="G462" s="1302"/>
      <c r="H462" s="1302"/>
      <c r="I462" s="1302"/>
      <c r="J462" s="1302"/>
      <c r="K462" s="1302"/>
      <c r="L462" s="1302"/>
      <c r="M462" s="1302"/>
      <c r="N462" s="1302"/>
      <c r="O462" s="1302"/>
    </row>
    <row r="463" spans="1:15" ht="27.75" customHeight="1">
      <c r="B463" s="1302" t="s">
        <v>1208</v>
      </c>
      <c r="C463" s="1302"/>
      <c r="D463" s="1302"/>
      <c r="E463" s="1302"/>
      <c r="F463" s="1302"/>
      <c r="G463" s="1302"/>
      <c r="H463" s="1302"/>
      <c r="I463" s="1302"/>
      <c r="J463" s="1302"/>
      <c r="K463" s="1302"/>
      <c r="L463" s="1302"/>
      <c r="M463" s="1302"/>
      <c r="N463" s="1302"/>
      <c r="O463" s="1302"/>
    </row>
    <row r="464" spans="1:15" ht="15" customHeight="1">
      <c r="B464" s="1302" t="s">
        <v>1209</v>
      </c>
      <c r="C464" s="1302"/>
      <c r="D464" s="1302"/>
      <c r="E464" s="1302"/>
      <c r="F464" s="1302"/>
      <c r="G464" s="1302"/>
      <c r="H464" s="1302"/>
      <c r="I464" s="1302"/>
      <c r="J464" s="1302"/>
      <c r="K464" s="1302"/>
      <c r="L464" s="1302"/>
      <c r="M464" s="1302"/>
      <c r="N464" s="1302"/>
      <c r="O464" s="1302"/>
    </row>
    <row r="465" spans="1:15" ht="29.25" customHeight="1">
      <c r="B465" s="1302" t="s">
        <v>1210</v>
      </c>
      <c r="C465" s="1302"/>
      <c r="D465" s="1302"/>
      <c r="E465" s="1302"/>
      <c r="F465" s="1302"/>
      <c r="G465" s="1302"/>
      <c r="H465" s="1302"/>
      <c r="I465" s="1302"/>
      <c r="J465" s="1302"/>
      <c r="K465" s="1302"/>
      <c r="L465" s="1302"/>
      <c r="M465" s="1302"/>
      <c r="N465" s="1302"/>
      <c r="O465" s="1302"/>
    </row>
    <row r="466" spans="1:15" ht="12.75" customHeight="1">
      <c r="C466" s="1302" t="s">
        <v>1211</v>
      </c>
      <c r="D466" s="1302"/>
      <c r="E466" s="1302"/>
      <c r="F466" s="1302"/>
      <c r="G466" s="1302"/>
      <c r="H466" s="1302"/>
      <c r="I466" s="1302"/>
      <c r="J466" s="1302"/>
      <c r="K466" s="1302"/>
      <c r="L466" s="1302"/>
      <c r="M466" s="1302"/>
      <c r="N466" s="1302"/>
      <c r="O466" s="1302"/>
    </row>
    <row r="467" spans="1:15" ht="12.75" customHeight="1">
      <c r="C467" s="1302" t="s">
        <v>1212</v>
      </c>
      <c r="D467" s="1302"/>
      <c r="E467" s="1302"/>
      <c r="F467" s="1302"/>
      <c r="G467" s="1302"/>
      <c r="H467" s="1302"/>
      <c r="I467" s="1302"/>
      <c r="J467" s="1302"/>
      <c r="K467" s="1302"/>
      <c r="L467" s="1302"/>
      <c r="M467" s="1302"/>
      <c r="N467" s="1302"/>
      <c r="O467" s="1302"/>
    </row>
    <row r="468" spans="1:15">
      <c r="C468" s="1510" t="s">
        <v>2219</v>
      </c>
      <c r="D468" s="1510"/>
      <c r="E468" s="1510"/>
      <c r="F468" s="1510"/>
      <c r="G468" s="1510"/>
      <c r="H468" s="1510"/>
      <c r="I468" s="1510"/>
      <c r="J468" s="1510"/>
      <c r="K468" s="1510"/>
      <c r="L468" s="1510"/>
      <c r="M468" s="1510"/>
      <c r="N468" s="1510"/>
      <c r="O468" s="1510"/>
    </row>
    <row r="469" spans="1:15" ht="12.75" customHeight="1">
      <c r="C469" s="1302" t="s">
        <v>1213</v>
      </c>
      <c r="D469" s="1302"/>
      <c r="E469" s="1302"/>
      <c r="F469" s="1302"/>
      <c r="G469" s="1302"/>
      <c r="H469" s="1302"/>
      <c r="I469" s="1302"/>
      <c r="J469" s="1302"/>
      <c r="K469" s="1302"/>
      <c r="L469" s="1302"/>
      <c r="M469" s="1302"/>
      <c r="N469" s="1302"/>
      <c r="O469" s="1302"/>
    </row>
    <row r="470" spans="1:15" ht="28.5" customHeight="1">
      <c r="B470" s="1302" t="s">
        <v>1214</v>
      </c>
      <c r="C470" s="1302"/>
      <c r="D470" s="1302"/>
      <c r="E470" s="1302"/>
      <c r="F470" s="1302"/>
      <c r="G470" s="1302"/>
      <c r="H470" s="1302"/>
      <c r="I470" s="1302"/>
      <c r="J470" s="1302"/>
      <c r="K470" s="1302"/>
      <c r="L470" s="1302"/>
      <c r="M470" s="1302"/>
      <c r="N470" s="1302"/>
      <c r="O470" s="1302"/>
    </row>
    <row r="471" spans="1:15" ht="27" customHeight="1">
      <c r="B471" s="1302" t="s">
        <v>1215</v>
      </c>
      <c r="C471" s="1302"/>
      <c r="D471" s="1302"/>
      <c r="E471" s="1302"/>
      <c r="F471" s="1302"/>
      <c r="G471" s="1302"/>
      <c r="H471" s="1302"/>
      <c r="I471" s="1302"/>
      <c r="J471" s="1302"/>
      <c r="K471" s="1302"/>
      <c r="L471" s="1302"/>
      <c r="M471" s="1302"/>
      <c r="N471" s="1302"/>
      <c r="O471" s="1302"/>
    </row>
    <row r="474" spans="1:15">
      <c r="A474" s="1557" t="s">
        <v>1216</v>
      </c>
      <c r="B474" s="1557"/>
      <c r="C474" s="1557"/>
      <c r="D474" s="1557"/>
      <c r="E474" s="1557"/>
      <c r="F474" s="1557"/>
      <c r="G474" s="1557"/>
      <c r="H474" s="1557"/>
      <c r="I474" s="1557"/>
      <c r="J474" s="1557"/>
      <c r="K474" s="1557"/>
      <c r="L474" s="1557"/>
      <c r="M474" s="1557"/>
      <c r="N474" s="1557"/>
      <c r="O474" s="1557"/>
    </row>
    <row r="475" spans="1:15">
      <c r="A475" s="1557" t="s">
        <v>1217</v>
      </c>
      <c r="B475" s="1557"/>
      <c r="C475" s="1557"/>
      <c r="D475" s="1557"/>
      <c r="E475" s="1557"/>
      <c r="F475" s="1557"/>
      <c r="G475" s="1557"/>
      <c r="H475" s="1557"/>
      <c r="I475" s="1557"/>
      <c r="J475" s="1557"/>
      <c r="K475" s="1557"/>
      <c r="L475" s="1557"/>
      <c r="M475" s="1557"/>
      <c r="N475" s="1557"/>
      <c r="O475" s="1557"/>
    </row>
    <row r="477" spans="1:15">
      <c r="A477" s="1529" t="s">
        <v>1051</v>
      </c>
      <c r="B477" s="1530" t="s">
        <v>1052</v>
      </c>
      <c r="C477" s="1531"/>
      <c r="D477" s="1531"/>
      <c r="E477" s="1531"/>
      <c r="F477" s="428"/>
      <c r="G477" s="1532"/>
      <c r="H477" s="1535" t="s">
        <v>1044</v>
      </c>
      <c r="I477" s="1535"/>
      <c r="J477" s="1535" t="s">
        <v>1044</v>
      </c>
      <c r="K477" s="1535"/>
      <c r="L477" s="1535" t="s">
        <v>1045</v>
      </c>
      <c r="M477" s="1535"/>
      <c r="N477" s="1535" t="s">
        <v>1046</v>
      </c>
      <c r="O477" s="1535"/>
    </row>
    <row r="478" spans="1:15">
      <c r="A478" s="1529"/>
      <c r="B478" s="1530"/>
      <c r="C478" s="1531"/>
      <c r="D478" s="1531"/>
      <c r="E478" s="1531"/>
      <c r="F478" s="443"/>
      <c r="G478" s="1533"/>
      <c r="H478" s="1526" t="s">
        <v>1047</v>
      </c>
      <c r="I478" s="1526"/>
      <c r="J478" s="1526" t="s">
        <v>1048</v>
      </c>
      <c r="K478" s="1526"/>
      <c r="L478" s="1526" t="s">
        <v>1049</v>
      </c>
      <c r="M478" s="1526"/>
      <c r="N478" s="1526" t="s">
        <v>1050</v>
      </c>
      <c r="O478" s="1526"/>
    </row>
    <row r="479" spans="1:15">
      <c r="A479" s="1564"/>
      <c r="B479" s="1565"/>
      <c r="C479" s="1566"/>
      <c r="D479" s="1566"/>
      <c r="E479" s="1566"/>
      <c r="F479" s="443"/>
      <c r="G479" s="1533"/>
      <c r="H479" s="1526" t="s">
        <v>1053</v>
      </c>
      <c r="I479" s="1526"/>
      <c r="J479" s="1526" t="s">
        <v>1053</v>
      </c>
      <c r="K479" s="1526"/>
      <c r="L479" s="1526" t="s">
        <v>1053</v>
      </c>
      <c r="M479" s="1526"/>
      <c r="N479" s="1526" t="s">
        <v>1053</v>
      </c>
      <c r="O479" s="1526"/>
    </row>
    <row r="480" spans="1:15">
      <c r="A480" s="1310" t="s">
        <v>1218</v>
      </c>
      <c r="B480" s="1310"/>
      <c r="C480" s="1310"/>
      <c r="D480" s="1310"/>
      <c r="E480" s="1567"/>
      <c r="F480" s="486"/>
      <c r="G480" s="307"/>
      <c r="H480" s="307"/>
      <c r="I480" s="307"/>
      <c r="J480" s="307"/>
      <c r="K480" s="307"/>
      <c r="L480" s="307"/>
      <c r="M480" s="308"/>
      <c r="N480" s="308"/>
      <c r="O480" s="308"/>
    </row>
    <row r="481" spans="1:17" ht="18.75" customHeight="1">
      <c r="A481" s="493" t="s">
        <v>2220</v>
      </c>
      <c r="B481" s="1363" t="s">
        <v>2221</v>
      </c>
      <c r="C481" s="1363"/>
      <c r="D481" s="1363"/>
      <c r="E481" s="1343"/>
      <c r="F481" s="435"/>
      <c r="G481" s="307"/>
      <c r="H481" s="307"/>
      <c r="I481" s="307"/>
      <c r="J481" s="307"/>
      <c r="K481" s="307"/>
      <c r="L481" s="307"/>
      <c r="M481" s="308"/>
      <c r="N481" s="308"/>
      <c r="O481" s="308"/>
    </row>
    <row r="482" spans="1:17">
      <c r="A482" s="493"/>
      <c r="B482" s="1336" t="s">
        <v>1219</v>
      </c>
      <c r="C482" s="1336"/>
      <c r="D482" s="1336"/>
      <c r="E482" s="1568"/>
      <c r="F482" s="516"/>
      <c r="G482" s="307"/>
      <c r="H482" s="307"/>
      <c r="I482" s="307"/>
      <c r="J482" s="307"/>
      <c r="K482" s="307"/>
      <c r="L482" s="307"/>
      <c r="M482" s="308"/>
      <c r="N482" s="308"/>
      <c r="O482" s="308"/>
    </row>
    <row r="483" spans="1:17">
      <c r="A483" s="493"/>
      <c r="B483" s="1336" t="s">
        <v>1220</v>
      </c>
      <c r="C483" s="1336"/>
      <c r="D483" s="1336"/>
      <c r="E483" s="1568"/>
      <c r="F483" s="516"/>
      <c r="G483" s="307"/>
      <c r="H483" s="307"/>
      <c r="I483" s="307"/>
      <c r="J483" s="307"/>
      <c r="K483" s="307"/>
      <c r="L483" s="307"/>
      <c r="M483" s="308"/>
      <c r="N483" s="308"/>
      <c r="O483" s="308"/>
    </row>
    <row r="484" spans="1:17" ht="12.75" customHeight="1">
      <c r="A484" s="493"/>
      <c r="B484" s="1310" t="s">
        <v>1221</v>
      </c>
      <c r="C484" s="1310"/>
      <c r="D484" s="1310"/>
      <c r="E484" s="1567"/>
      <c r="F484" s="486"/>
      <c r="G484" s="307" t="s">
        <v>1056</v>
      </c>
      <c r="H484" s="1214">
        <v>500</v>
      </c>
      <c r="I484" s="1214"/>
      <c r="J484" s="1214">
        <v>300</v>
      </c>
      <c r="K484" s="1214"/>
      <c r="L484" s="1214" t="s">
        <v>1057</v>
      </c>
      <c r="M484" s="1214"/>
      <c r="N484" s="1214" t="s">
        <v>1057</v>
      </c>
      <c r="O484" s="1214"/>
      <c r="P484" s="99"/>
      <c r="Q484" s="99"/>
    </row>
    <row r="485" spans="1:17" ht="12.75" customHeight="1">
      <c r="A485" s="493">
        <v>2</v>
      </c>
      <c r="B485" s="1460" t="s">
        <v>1175</v>
      </c>
      <c r="C485" s="1460"/>
      <c r="D485" s="1460"/>
      <c r="E485" s="1355"/>
      <c r="F485" s="421"/>
      <c r="G485" s="307" t="s">
        <v>1056</v>
      </c>
      <c r="H485" s="1214">
        <v>500</v>
      </c>
      <c r="I485" s="1214"/>
      <c r="J485" s="1214" t="s">
        <v>1057</v>
      </c>
      <c r="K485" s="1214"/>
      <c r="L485" s="1214">
        <v>375</v>
      </c>
      <c r="M485" s="1214"/>
      <c r="N485" s="1214" t="s">
        <v>1057</v>
      </c>
      <c r="O485" s="1214"/>
      <c r="P485" s="99"/>
    </row>
    <row r="486" spans="1:17" ht="12.75" customHeight="1">
      <c r="A486" s="493">
        <v>3</v>
      </c>
      <c r="B486" s="1460" t="s">
        <v>1222</v>
      </c>
      <c r="C486" s="1460"/>
      <c r="D486" s="1460"/>
      <c r="E486" s="1355"/>
      <c r="F486" s="421"/>
      <c r="G486" s="307" t="s">
        <v>1056</v>
      </c>
      <c r="H486" s="1214">
        <v>500</v>
      </c>
      <c r="I486" s="1214"/>
      <c r="J486" s="1214">
        <v>175</v>
      </c>
      <c r="K486" s="1214"/>
      <c r="L486" s="1214" t="s">
        <v>1057</v>
      </c>
      <c r="M486" s="1214"/>
      <c r="N486" s="1214" t="s">
        <v>1057</v>
      </c>
      <c r="O486" s="1214"/>
      <c r="P486" s="99"/>
    </row>
    <row r="487" spans="1:17">
      <c r="A487" s="493">
        <v>4</v>
      </c>
      <c r="B487" s="1460" t="s">
        <v>1223</v>
      </c>
      <c r="C487" s="1460"/>
      <c r="D487" s="1460"/>
      <c r="E487" s="1355"/>
      <c r="F487" s="421"/>
      <c r="G487" s="307"/>
      <c r="H487" s="1214">
        <v>500</v>
      </c>
      <c r="I487" s="1214"/>
      <c r="J487" s="1214">
        <v>300</v>
      </c>
      <c r="K487" s="1214"/>
      <c r="L487" s="307"/>
      <c r="M487" s="307"/>
      <c r="N487" s="1214" t="s">
        <v>1057</v>
      </c>
      <c r="O487" s="1214"/>
      <c r="P487" s="99"/>
      <c r="Q487" s="99"/>
    </row>
    <row r="488" spans="1:17">
      <c r="A488" s="493">
        <v>5</v>
      </c>
      <c r="B488" s="1460" t="s">
        <v>1224</v>
      </c>
      <c r="C488" s="1460"/>
      <c r="D488" s="1460"/>
      <c r="E488" s="1355"/>
      <c r="F488" s="421"/>
      <c r="G488" s="307"/>
      <c r="H488" s="1214">
        <v>600</v>
      </c>
      <c r="I488" s="1214"/>
      <c r="J488" s="1214" t="s">
        <v>1057</v>
      </c>
      <c r="K488" s="1214"/>
      <c r="L488" s="1214">
        <v>200</v>
      </c>
      <c r="M488" s="1214"/>
      <c r="N488" s="1214" t="s">
        <v>1057</v>
      </c>
      <c r="O488" s="1214"/>
      <c r="P488" s="99"/>
      <c r="Q488" s="99"/>
    </row>
    <row r="489" spans="1:17" ht="12.75" customHeight="1">
      <c r="A489" s="493">
        <v>6</v>
      </c>
      <c r="B489" s="1460" t="s">
        <v>1225</v>
      </c>
      <c r="C489" s="1460"/>
      <c r="D489" s="1460"/>
      <c r="E489" s="1355"/>
      <c r="F489" s="421"/>
      <c r="G489" s="307" t="s">
        <v>1056</v>
      </c>
      <c r="H489" s="1214">
        <v>500</v>
      </c>
      <c r="I489" s="1214"/>
      <c r="J489" s="1214" t="s">
        <v>1057</v>
      </c>
      <c r="K489" s="1214"/>
      <c r="L489" s="307"/>
      <c r="M489" s="308"/>
      <c r="N489" s="1214" t="s">
        <v>1057</v>
      </c>
      <c r="O489" s="1214"/>
      <c r="P489" s="99"/>
    </row>
    <row r="492" spans="1:17">
      <c r="A492" s="1557" t="s">
        <v>1226</v>
      </c>
      <c r="B492" s="1557"/>
      <c r="C492" s="1557"/>
      <c r="D492" s="1557"/>
      <c r="E492" s="1557"/>
      <c r="F492" s="1557"/>
      <c r="G492" s="1557"/>
      <c r="H492" s="1557"/>
      <c r="I492" s="1557"/>
      <c r="J492" s="1557"/>
      <c r="K492" s="1557"/>
      <c r="L492" s="1557"/>
      <c r="M492" s="1557"/>
      <c r="N492" s="1557"/>
      <c r="O492" s="1557"/>
    </row>
    <row r="493" spans="1:17" ht="12.75" customHeight="1">
      <c r="A493" s="1557" t="s">
        <v>1227</v>
      </c>
      <c r="B493" s="1557"/>
      <c r="C493" s="1557"/>
      <c r="D493" s="1557"/>
      <c r="E493" s="1557"/>
      <c r="F493" s="1557"/>
      <c r="G493" s="1557"/>
      <c r="H493" s="1557"/>
      <c r="I493" s="1557"/>
      <c r="J493" s="1557"/>
      <c r="K493" s="1557"/>
      <c r="L493" s="1557"/>
      <c r="M493" s="1557"/>
      <c r="N493" s="1557"/>
      <c r="O493" s="1557"/>
    </row>
    <row r="495" spans="1:17">
      <c r="A495" s="1529" t="s">
        <v>1051</v>
      </c>
      <c r="B495" s="1530" t="s">
        <v>1052</v>
      </c>
      <c r="C495" s="1531"/>
      <c r="D495" s="1531"/>
      <c r="E495" s="1531"/>
      <c r="F495" s="428"/>
      <c r="G495" s="1532"/>
      <c r="H495" s="1535" t="s">
        <v>1044</v>
      </c>
      <c r="I495" s="1535"/>
      <c r="J495" s="1535" t="s">
        <v>1044</v>
      </c>
      <c r="K495" s="1535"/>
      <c r="L495" s="1535" t="s">
        <v>1045</v>
      </c>
      <c r="M495" s="1535"/>
      <c r="N495" s="1535" t="s">
        <v>1046</v>
      </c>
      <c r="O495" s="1535"/>
    </row>
    <row r="496" spans="1:17">
      <c r="A496" s="1529"/>
      <c r="B496" s="1530"/>
      <c r="C496" s="1531"/>
      <c r="D496" s="1531"/>
      <c r="E496" s="1531"/>
      <c r="F496" s="443"/>
      <c r="G496" s="1533"/>
      <c r="H496" s="1526" t="s">
        <v>1047</v>
      </c>
      <c r="I496" s="1526"/>
      <c r="J496" s="1526" t="s">
        <v>1048</v>
      </c>
      <c r="K496" s="1526"/>
      <c r="L496" s="1526" t="s">
        <v>1049</v>
      </c>
      <c r="M496" s="1526"/>
      <c r="N496" s="1526" t="s">
        <v>1050</v>
      </c>
      <c r="O496" s="1526"/>
    </row>
    <row r="497" spans="1:17">
      <c r="A497" s="1564"/>
      <c r="B497" s="1565"/>
      <c r="C497" s="1566"/>
      <c r="D497" s="1566"/>
      <c r="E497" s="1566"/>
      <c r="F497" s="443"/>
      <c r="G497" s="1533"/>
      <c r="H497" s="1526" t="s">
        <v>1053</v>
      </c>
      <c r="I497" s="1526"/>
      <c r="J497" s="1526" t="s">
        <v>1053</v>
      </c>
      <c r="K497" s="1526"/>
      <c r="L497" s="1526" t="s">
        <v>1053</v>
      </c>
      <c r="M497" s="1526"/>
      <c r="N497" s="1526" t="s">
        <v>1053</v>
      </c>
      <c r="O497" s="1526"/>
    </row>
    <row r="498" spans="1:17">
      <c r="A498" s="495">
        <v>1</v>
      </c>
      <c r="B498" s="1373" t="s">
        <v>2222</v>
      </c>
      <c r="C498" s="1363"/>
      <c r="D498" s="1363"/>
      <c r="E498" s="1363"/>
      <c r="F498" s="308"/>
      <c r="G498" s="1214"/>
      <c r="H498" s="1214"/>
      <c r="I498" s="1214"/>
      <c r="J498" s="1214"/>
      <c r="K498" s="1214"/>
      <c r="L498" s="1214"/>
      <c r="M498" s="1214"/>
      <c r="N498" s="1214"/>
      <c r="O498" s="1214"/>
    </row>
    <row r="499" spans="1:17" ht="12.75" customHeight="1">
      <c r="A499" s="492"/>
      <c r="B499" s="1336" t="s">
        <v>1228</v>
      </c>
      <c r="C499" s="1336"/>
      <c r="D499" s="1336"/>
      <c r="E499" s="1336"/>
      <c r="F499" s="296"/>
      <c r="G499" s="307" t="s">
        <v>1056</v>
      </c>
      <c r="H499" s="1214">
        <v>800</v>
      </c>
      <c r="I499" s="1214"/>
      <c r="J499" s="1214" t="s">
        <v>1057</v>
      </c>
      <c r="K499" s="1214"/>
      <c r="L499" s="1214">
        <v>900</v>
      </c>
      <c r="M499" s="1214"/>
      <c r="N499" s="1214" t="s">
        <v>1057</v>
      </c>
      <c r="O499" s="1214"/>
      <c r="P499" s="99"/>
      <c r="Q499" s="99"/>
    </row>
    <row r="500" spans="1:17" ht="12.75" customHeight="1">
      <c r="A500" s="495">
        <v>2</v>
      </c>
      <c r="B500" s="1363" t="s">
        <v>1229</v>
      </c>
      <c r="C500" s="1363"/>
      <c r="D500" s="1363"/>
      <c r="E500" s="1363"/>
      <c r="F500" s="308"/>
      <c r="G500" s="307" t="s">
        <v>1056</v>
      </c>
      <c r="H500" s="1214">
        <v>800</v>
      </c>
      <c r="I500" s="1214"/>
      <c r="J500" s="1214" t="s">
        <v>1057</v>
      </c>
      <c r="K500" s="1214"/>
      <c r="L500" s="1214">
        <v>700</v>
      </c>
      <c r="M500" s="1214"/>
      <c r="N500" s="1214" t="s">
        <v>1057</v>
      </c>
      <c r="O500" s="1214"/>
      <c r="P500" s="99"/>
    </row>
    <row r="501" spans="1:17" ht="12.75" customHeight="1">
      <c r="A501" s="492"/>
      <c r="B501" s="1363" t="s">
        <v>1230</v>
      </c>
      <c r="C501" s="1363"/>
      <c r="D501" s="1363"/>
      <c r="E501" s="1363"/>
      <c r="F501" s="308"/>
      <c r="G501" s="307" t="s">
        <v>1056</v>
      </c>
      <c r="H501" s="1214">
        <v>600</v>
      </c>
      <c r="I501" s="1214"/>
      <c r="J501" s="1214" t="s">
        <v>1057</v>
      </c>
      <c r="K501" s="1214"/>
      <c r="L501" s="1214">
        <v>500</v>
      </c>
      <c r="M501" s="1214"/>
      <c r="N501" s="1214" t="s">
        <v>1057</v>
      </c>
      <c r="O501" s="1214"/>
      <c r="P501" s="99"/>
    </row>
    <row r="502" spans="1:17" ht="12.75" customHeight="1">
      <c r="A502" s="493">
        <v>3</v>
      </c>
      <c r="B502" s="1460" t="s">
        <v>1231</v>
      </c>
      <c r="C502" s="1460"/>
      <c r="D502" s="1460"/>
      <c r="E502" s="1460"/>
      <c r="F502" s="304"/>
      <c r="G502" s="307" t="s">
        <v>1056</v>
      </c>
      <c r="H502" s="1214">
        <v>800</v>
      </c>
      <c r="I502" s="1214"/>
      <c r="J502" s="1214" t="s">
        <v>1057</v>
      </c>
      <c r="K502" s="1214"/>
      <c r="L502" s="1214">
        <v>800</v>
      </c>
      <c r="M502" s="1214"/>
      <c r="N502" s="1214" t="s">
        <v>1057</v>
      </c>
      <c r="O502" s="1214"/>
      <c r="P502" s="99"/>
    </row>
    <row r="503" spans="1:17" ht="12.75" customHeight="1">
      <c r="A503" s="493">
        <v>4</v>
      </c>
      <c r="B503" s="1460" t="s">
        <v>1232</v>
      </c>
      <c r="C503" s="1460"/>
      <c r="D503" s="1460"/>
      <c r="E503" s="1460"/>
      <c r="F503" s="304"/>
      <c r="G503" s="307" t="s">
        <v>1056</v>
      </c>
      <c r="H503" s="1214">
        <v>650</v>
      </c>
      <c r="I503" s="1214"/>
      <c r="J503" s="1214" t="s">
        <v>1057</v>
      </c>
      <c r="K503" s="1214"/>
      <c r="L503" s="1214">
        <v>650</v>
      </c>
      <c r="M503" s="1214"/>
      <c r="N503" s="1214" t="s">
        <v>1057</v>
      </c>
      <c r="O503" s="1214"/>
      <c r="P503" s="99"/>
    </row>
    <row r="504" spans="1:17" ht="12.75" customHeight="1">
      <c r="A504" s="493">
        <v>5</v>
      </c>
      <c r="B504" s="1460" t="s">
        <v>1233</v>
      </c>
      <c r="C504" s="1460"/>
      <c r="D504" s="1460"/>
      <c r="E504" s="1460"/>
      <c r="F504" s="304"/>
      <c r="G504" s="307" t="s">
        <v>1056</v>
      </c>
      <c r="H504" s="1214">
        <v>650</v>
      </c>
      <c r="I504" s="1214"/>
      <c r="J504" s="1214" t="s">
        <v>1057</v>
      </c>
      <c r="K504" s="1214"/>
      <c r="L504" s="1214">
        <v>725</v>
      </c>
      <c r="M504" s="1214"/>
      <c r="N504" s="1214" t="s">
        <v>1057</v>
      </c>
      <c r="O504" s="1214"/>
      <c r="P504" s="99"/>
    </row>
    <row r="505" spans="1:17" ht="12.75" customHeight="1">
      <c r="A505" s="493">
        <v>6</v>
      </c>
      <c r="B505" s="1460" t="s">
        <v>1234</v>
      </c>
      <c r="C505" s="1460"/>
      <c r="D505" s="1460"/>
      <c r="E505" s="1460"/>
      <c r="F505" s="304"/>
      <c r="G505" s="307" t="s">
        <v>1056</v>
      </c>
      <c r="H505" s="1214">
        <v>525</v>
      </c>
      <c r="I505" s="1214"/>
      <c r="J505" s="1214" t="s">
        <v>1057</v>
      </c>
      <c r="K505" s="1214"/>
      <c r="L505" s="1214">
        <v>650</v>
      </c>
      <c r="M505" s="1214"/>
      <c r="N505" s="1214" t="s">
        <v>1057</v>
      </c>
      <c r="O505" s="1214"/>
      <c r="P505" s="99"/>
    </row>
    <row r="506" spans="1:17" ht="12.75" customHeight="1">
      <c r="A506" s="493">
        <v>7</v>
      </c>
      <c r="B506" s="1460" t="s">
        <v>1235</v>
      </c>
      <c r="C506" s="1460"/>
      <c r="D506" s="1460"/>
      <c r="E506" s="1460"/>
      <c r="F506" s="304"/>
      <c r="G506" s="307" t="s">
        <v>1056</v>
      </c>
      <c r="H506" s="1214">
        <v>525</v>
      </c>
      <c r="I506" s="1214"/>
      <c r="J506" s="1214" t="s">
        <v>1057</v>
      </c>
      <c r="K506" s="1214"/>
      <c r="L506" s="1214">
        <v>525</v>
      </c>
      <c r="M506" s="1214"/>
      <c r="N506" s="1214" t="s">
        <v>1057</v>
      </c>
      <c r="O506" s="1214"/>
      <c r="P506" s="99"/>
    </row>
    <row r="507" spans="1:17" ht="15" customHeight="1">
      <c r="A507" s="493">
        <v>8</v>
      </c>
      <c r="B507" s="1459" t="s">
        <v>2232</v>
      </c>
      <c r="C507" s="1459"/>
      <c r="D507" s="1459"/>
      <c r="E507" s="1459"/>
      <c r="F507" s="424"/>
      <c r="G507" s="1214"/>
      <c r="H507" s="1214"/>
      <c r="I507" s="1214"/>
      <c r="J507" s="1214"/>
      <c r="K507" s="1214"/>
      <c r="L507" s="1214"/>
      <c r="M507" s="1214"/>
      <c r="N507" s="1214"/>
      <c r="O507" s="1214"/>
    </row>
    <row r="508" spans="1:17" ht="15" customHeight="1">
      <c r="A508" s="1426"/>
      <c r="B508" s="1309" t="s">
        <v>2233</v>
      </c>
      <c r="C508" s="1310"/>
      <c r="D508" s="1310"/>
      <c r="E508" s="1310"/>
      <c r="F508" s="423"/>
      <c r="G508" s="1214"/>
      <c r="H508" s="1214"/>
      <c r="I508" s="1214"/>
      <c r="J508" s="1214"/>
      <c r="K508" s="1214"/>
      <c r="L508" s="1214"/>
      <c r="M508" s="1214"/>
      <c r="N508" s="1214"/>
      <c r="O508" s="1214"/>
    </row>
    <row r="509" spans="1:17" ht="12.75" customHeight="1">
      <c r="A509" s="1504"/>
      <c r="B509" s="1505"/>
      <c r="C509" s="1423" t="s">
        <v>1086</v>
      </c>
      <c r="D509" s="1423"/>
      <c r="E509" s="1423"/>
      <c r="F509" s="304"/>
      <c r="G509" s="307" t="s">
        <v>1056</v>
      </c>
      <c r="H509" s="1214">
        <v>650</v>
      </c>
      <c r="I509" s="1214"/>
      <c r="J509" s="1214" t="s">
        <v>1057</v>
      </c>
      <c r="K509" s="1214"/>
      <c r="L509" s="1214">
        <v>500</v>
      </c>
      <c r="M509" s="1214"/>
      <c r="N509" s="1214" t="s">
        <v>1057</v>
      </c>
      <c r="O509" s="1214"/>
      <c r="P509" s="99"/>
    </row>
    <row r="510" spans="1:17" ht="12.75" customHeight="1">
      <c r="A510" s="1504"/>
      <c r="B510" s="1505"/>
      <c r="C510" s="1423" t="s">
        <v>1236</v>
      </c>
      <c r="D510" s="1423"/>
      <c r="E510" s="1423"/>
      <c r="F510" s="304"/>
      <c r="G510" s="307" t="s">
        <v>1056</v>
      </c>
      <c r="H510" s="1214">
        <v>500</v>
      </c>
      <c r="I510" s="1214"/>
      <c r="J510" s="1214" t="s">
        <v>1057</v>
      </c>
      <c r="K510" s="1214"/>
      <c r="L510" s="1214">
        <v>400</v>
      </c>
      <c r="M510" s="1214"/>
      <c r="N510" s="1214" t="s">
        <v>1057</v>
      </c>
      <c r="O510" s="1214"/>
      <c r="P510" s="99"/>
    </row>
    <row r="511" spans="1:17" ht="12.75" customHeight="1">
      <c r="A511" s="495">
        <v>9</v>
      </c>
      <c r="B511" s="1459" t="s">
        <v>2223</v>
      </c>
      <c r="C511" s="1459"/>
      <c r="D511" s="1459"/>
      <c r="E511" s="1459"/>
      <c r="F511" s="424"/>
      <c r="G511" s="1214"/>
      <c r="H511" s="1214"/>
      <c r="I511" s="1214"/>
      <c r="J511" s="1214"/>
      <c r="K511" s="1214"/>
      <c r="L511" s="1214"/>
      <c r="M511" s="1214"/>
      <c r="N511" s="1214"/>
      <c r="O511" s="1214"/>
    </row>
    <row r="512" spans="1:17" ht="12.75" customHeight="1">
      <c r="A512" s="496"/>
      <c r="B512" s="1310" t="s">
        <v>1237</v>
      </c>
      <c r="C512" s="1310"/>
      <c r="D512" s="1310"/>
      <c r="E512" s="1310"/>
      <c r="F512" s="423"/>
      <c r="G512" s="1214"/>
      <c r="H512" s="1214"/>
      <c r="I512" s="1214"/>
      <c r="J512" s="1214"/>
      <c r="K512" s="1214"/>
      <c r="L512" s="1214"/>
      <c r="M512" s="1214"/>
      <c r="N512" s="1214"/>
      <c r="O512" s="1214"/>
    </row>
    <row r="513" spans="1:17" ht="12.75" customHeight="1">
      <c r="A513" s="492"/>
      <c r="B513" s="1310" t="s">
        <v>1238</v>
      </c>
      <c r="C513" s="1310"/>
      <c r="D513" s="1310"/>
      <c r="E513" s="1310"/>
      <c r="F513" s="423"/>
      <c r="G513" s="307" t="s">
        <v>1056</v>
      </c>
      <c r="H513" s="1214">
        <v>650</v>
      </c>
      <c r="I513" s="1214"/>
      <c r="J513" s="1214" t="s">
        <v>1057</v>
      </c>
      <c r="K513" s="1214"/>
      <c r="L513" s="1214">
        <v>500</v>
      </c>
      <c r="M513" s="1214"/>
      <c r="N513" s="1214" t="s">
        <v>1057</v>
      </c>
      <c r="O513" s="1214"/>
      <c r="P513" s="99"/>
      <c r="Q513" s="99"/>
    </row>
    <row r="514" spans="1:17" ht="12.75" customHeight="1">
      <c r="A514" s="495">
        <v>10</v>
      </c>
      <c r="B514" s="1459" t="s">
        <v>2225</v>
      </c>
      <c r="C514" s="1459"/>
      <c r="D514" s="1459"/>
      <c r="E514" s="1459"/>
      <c r="F514" s="424"/>
      <c r="G514" s="1214"/>
      <c r="H514" s="1214"/>
      <c r="I514" s="1214"/>
      <c r="J514" s="1214"/>
      <c r="K514" s="1214"/>
      <c r="L514" s="1214"/>
      <c r="M514" s="1214"/>
      <c r="N514" s="1214"/>
      <c r="O514" s="1214"/>
    </row>
    <row r="515" spans="1:17" ht="12.75" customHeight="1">
      <c r="A515" s="492"/>
      <c r="B515" s="1310" t="s">
        <v>1239</v>
      </c>
      <c r="C515" s="1310"/>
      <c r="D515" s="1310"/>
      <c r="E515" s="1310"/>
      <c r="F515" s="423"/>
      <c r="G515" s="307" t="s">
        <v>1056</v>
      </c>
      <c r="H515" s="1214">
        <v>650</v>
      </c>
      <c r="I515" s="1214"/>
      <c r="J515" s="1214" t="s">
        <v>1057</v>
      </c>
      <c r="K515" s="1214"/>
      <c r="L515" s="1214">
        <v>500</v>
      </c>
      <c r="M515" s="1214"/>
      <c r="N515" s="1214">
        <v>250</v>
      </c>
      <c r="O515" s="1214"/>
      <c r="P515" s="99"/>
      <c r="Q515" s="99"/>
    </row>
    <row r="516" spans="1:17" ht="17.25" customHeight="1">
      <c r="A516" s="495">
        <v>11</v>
      </c>
      <c r="B516" s="1459" t="s">
        <v>2226</v>
      </c>
      <c r="C516" s="1459"/>
      <c r="D516" s="1459"/>
      <c r="E516" s="1459"/>
      <c r="F516" s="424"/>
      <c r="G516" s="1214"/>
      <c r="H516" s="1214"/>
      <c r="I516" s="1214"/>
      <c r="J516" s="1214"/>
      <c r="K516" s="1214"/>
      <c r="L516" s="1214"/>
      <c r="M516" s="1214"/>
      <c r="N516" s="1214"/>
      <c r="O516" s="1214"/>
    </row>
    <row r="517" spans="1:17" ht="12.75" customHeight="1">
      <c r="A517" s="492"/>
      <c r="B517" s="1310" t="s">
        <v>1240</v>
      </c>
      <c r="C517" s="1310"/>
      <c r="D517" s="1310"/>
      <c r="E517" s="1310"/>
      <c r="F517" s="423"/>
      <c r="G517" s="307" t="s">
        <v>1056</v>
      </c>
      <c r="H517" s="1214">
        <v>550</v>
      </c>
      <c r="I517" s="1214"/>
      <c r="J517" s="1214" t="s">
        <v>1057</v>
      </c>
      <c r="K517" s="1214"/>
      <c r="L517" s="1214">
        <v>400</v>
      </c>
      <c r="M517" s="1214"/>
      <c r="N517" s="1214">
        <v>250</v>
      </c>
      <c r="O517" s="1214"/>
      <c r="P517" s="99"/>
      <c r="Q517" s="99"/>
    </row>
    <row r="518" spans="1:17" ht="12.75" customHeight="1">
      <c r="A518" s="493">
        <v>12</v>
      </c>
      <c r="B518" s="1460" t="s">
        <v>1241</v>
      </c>
      <c r="C518" s="1460"/>
      <c r="D518" s="1460"/>
      <c r="E518" s="1460"/>
      <c r="F518" s="304"/>
      <c r="G518" s="307" t="s">
        <v>1056</v>
      </c>
      <c r="H518" s="1214">
        <v>500</v>
      </c>
      <c r="I518" s="1214"/>
      <c r="J518" s="1214" t="s">
        <v>1057</v>
      </c>
      <c r="K518" s="1214"/>
      <c r="L518" s="1214">
        <v>300</v>
      </c>
      <c r="M518" s="1214"/>
      <c r="N518" s="1214">
        <v>250</v>
      </c>
      <c r="O518" s="1214"/>
      <c r="P518" s="99"/>
    </row>
    <row r="519" spans="1:17" ht="12.75" customHeight="1">
      <c r="A519" s="493">
        <v>13</v>
      </c>
      <c r="B519" s="1460" t="s">
        <v>1242</v>
      </c>
      <c r="C519" s="1460"/>
      <c r="D519" s="1460"/>
      <c r="E519" s="1460"/>
      <c r="F519" s="304"/>
      <c r="G519" s="307" t="s">
        <v>1056</v>
      </c>
      <c r="H519" s="1214">
        <v>500</v>
      </c>
      <c r="I519" s="1214"/>
      <c r="J519" s="1214" t="s">
        <v>1057</v>
      </c>
      <c r="K519" s="1214"/>
      <c r="L519" s="1214">
        <v>200</v>
      </c>
      <c r="M519" s="1214"/>
      <c r="N519" s="1214">
        <v>250</v>
      </c>
      <c r="O519" s="1214"/>
      <c r="P519" s="99"/>
    </row>
    <row r="520" spans="1:17" ht="12.75" customHeight="1">
      <c r="A520" s="493">
        <v>14</v>
      </c>
      <c r="B520" s="1460" t="s">
        <v>1243</v>
      </c>
      <c r="C520" s="1460"/>
      <c r="D520" s="1460"/>
      <c r="E520" s="1460"/>
      <c r="F520" s="304"/>
      <c r="G520" s="307" t="s">
        <v>1056</v>
      </c>
      <c r="H520" s="1214">
        <v>600</v>
      </c>
      <c r="I520" s="1214"/>
      <c r="J520" s="1214" t="s">
        <v>1057</v>
      </c>
      <c r="K520" s="1214"/>
      <c r="L520" s="1214">
        <v>500</v>
      </c>
      <c r="M520" s="1214"/>
      <c r="N520" s="1214">
        <v>250</v>
      </c>
      <c r="O520" s="1214"/>
      <c r="P520" s="99"/>
    </row>
    <row r="521" spans="1:17" ht="12.75" customHeight="1">
      <c r="A521" s="493">
        <v>15</v>
      </c>
      <c r="B521" s="1460" t="s">
        <v>1244</v>
      </c>
      <c r="C521" s="1460"/>
      <c r="D521" s="1460"/>
      <c r="E521" s="1460"/>
      <c r="F521" s="304"/>
      <c r="G521" s="307" t="s">
        <v>1056</v>
      </c>
      <c r="H521" s="1214">
        <v>550</v>
      </c>
      <c r="I521" s="1214"/>
      <c r="J521" s="1214" t="s">
        <v>1057</v>
      </c>
      <c r="K521" s="1214"/>
      <c r="L521" s="1214">
        <v>200</v>
      </c>
      <c r="M521" s="1214"/>
      <c r="N521" s="1214">
        <v>250</v>
      </c>
      <c r="O521" s="1214"/>
      <c r="P521" s="99"/>
      <c r="Q521" s="99"/>
    </row>
    <row r="522" spans="1:17" ht="12.75" customHeight="1">
      <c r="A522" s="493">
        <v>16</v>
      </c>
      <c r="B522" s="1460" t="s">
        <v>1245</v>
      </c>
      <c r="C522" s="1460"/>
      <c r="D522" s="1460"/>
      <c r="E522" s="1460"/>
      <c r="F522" s="304"/>
      <c r="G522" s="307" t="s">
        <v>1056</v>
      </c>
      <c r="H522" s="1214">
        <v>500</v>
      </c>
      <c r="I522" s="1214"/>
      <c r="J522" s="1214" t="s">
        <v>1057</v>
      </c>
      <c r="K522" s="1214"/>
      <c r="L522" s="1214">
        <v>200</v>
      </c>
      <c r="M522" s="1214"/>
      <c r="N522" s="1214" t="s">
        <v>1057</v>
      </c>
      <c r="O522" s="1214"/>
      <c r="P522" s="99"/>
    </row>
    <row r="524" spans="1:17" ht="16.5" customHeight="1">
      <c r="A524" s="475" t="s">
        <v>2185</v>
      </c>
      <c r="B524" s="310" t="s">
        <v>1056</v>
      </c>
    </row>
    <row r="525" spans="1:17" ht="44.25" customHeight="1">
      <c r="B525" s="1302" t="s">
        <v>2224</v>
      </c>
      <c r="C525" s="1302"/>
      <c r="D525" s="1302"/>
      <c r="E525" s="1302"/>
      <c r="F525" s="1302"/>
      <c r="G525" s="1302"/>
      <c r="H525" s="1302"/>
      <c r="I525" s="1302"/>
      <c r="J525" s="1302"/>
      <c r="K525" s="1302"/>
      <c r="L525" s="1302"/>
      <c r="M525" s="1302"/>
      <c r="N525" s="1302"/>
      <c r="O525" s="1302"/>
    </row>
    <row r="527" spans="1:17" ht="15.75" customHeight="1">
      <c r="A527" s="1557" t="s">
        <v>1246</v>
      </c>
      <c r="B527" s="1557"/>
      <c r="C527" s="1557"/>
      <c r="D527" s="1557"/>
      <c r="E527" s="1557"/>
      <c r="F527" s="1557"/>
      <c r="G527" s="1557"/>
      <c r="H527" s="1557"/>
      <c r="I527" s="1557"/>
      <c r="J527" s="1557"/>
      <c r="K527" s="1557"/>
      <c r="L527" s="1557"/>
      <c r="M527" s="1557"/>
      <c r="N527" s="1557"/>
      <c r="O527" s="1557"/>
    </row>
    <row r="528" spans="1:17" ht="24" customHeight="1">
      <c r="A528" s="1569" t="s">
        <v>1247</v>
      </c>
      <c r="B528" s="1569"/>
      <c r="C528" s="1569"/>
      <c r="D528" s="1569"/>
      <c r="E528" s="1569"/>
      <c r="F528" s="1569"/>
      <c r="G528" s="1569"/>
      <c r="H528" s="1569"/>
      <c r="I528" s="1569"/>
      <c r="J528" s="1569"/>
      <c r="K528" s="1569"/>
      <c r="L528" s="1569"/>
      <c r="M528" s="1569"/>
      <c r="N528" s="1569"/>
      <c r="O528" s="1569"/>
    </row>
    <row r="530" spans="1:16">
      <c r="A530" s="1529" t="s">
        <v>1051</v>
      </c>
      <c r="B530" s="1530" t="s">
        <v>1052</v>
      </c>
      <c r="C530" s="1531"/>
      <c r="D530" s="1531"/>
      <c r="E530" s="1531"/>
      <c r="F530" s="428"/>
      <c r="G530" s="1532"/>
      <c r="H530" s="1535" t="s">
        <v>1044</v>
      </c>
      <c r="I530" s="1535"/>
      <c r="J530" s="1535" t="s">
        <v>1044</v>
      </c>
      <c r="K530" s="1535"/>
      <c r="L530" s="1535" t="s">
        <v>1045</v>
      </c>
      <c r="M530" s="1535"/>
      <c r="N530" s="1535" t="s">
        <v>1046</v>
      </c>
      <c r="O530" s="1535"/>
    </row>
    <row r="531" spans="1:16">
      <c r="A531" s="1529"/>
      <c r="B531" s="1530"/>
      <c r="C531" s="1531"/>
      <c r="D531" s="1531"/>
      <c r="E531" s="1531"/>
      <c r="F531" s="443"/>
      <c r="G531" s="1533"/>
      <c r="H531" s="1526" t="s">
        <v>1047</v>
      </c>
      <c r="I531" s="1526"/>
      <c r="J531" s="1526" t="s">
        <v>1048</v>
      </c>
      <c r="K531" s="1526"/>
      <c r="L531" s="1526" t="s">
        <v>1049</v>
      </c>
      <c r="M531" s="1526"/>
      <c r="N531" s="1526" t="s">
        <v>1050</v>
      </c>
      <c r="O531" s="1526"/>
    </row>
    <row r="532" spans="1:16">
      <c r="A532" s="1564"/>
      <c r="B532" s="1565"/>
      <c r="C532" s="1566"/>
      <c r="D532" s="1566"/>
      <c r="E532" s="1566"/>
      <c r="F532" s="443"/>
      <c r="G532" s="1533"/>
      <c r="H532" s="1526" t="s">
        <v>1053</v>
      </c>
      <c r="I532" s="1526"/>
      <c r="J532" s="1526" t="s">
        <v>1053</v>
      </c>
      <c r="K532" s="1526"/>
      <c r="L532" s="1526" t="s">
        <v>1053</v>
      </c>
      <c r="M532" s="1526"/>
      <c r="N532" s="1526" t="s">
        <v>1053</v>
      </c>
      <c r="O532" s="1526"/>
    </row>
    <row r="533" spans="1:16" ht="12.75" customHeight="1">
      <c r="A533" s="494"/>
      <c r="B533" s="1296" t="s">
        <v>1248</v>
      </c>
      <c r="C533" s="1296"/>
      <c r="D533" s="1296"/>
      <c r="E533" s="1297"/>
      <c r="F533" s="426"/>
      <c r="G533" s="1214"/>
      <c r="H533" s="1214"/>
      <c r="I533" s="1214"/>
      <c r="J533" s="1214"/>
      <c r="K533" s="1214"/>
      <c r="L533" s="1214"/>
      <c r="M533" s="1214"/>
      <c r="N533" s="1214"/>
      <c r="O533" s="1214"/>
    </row>
    <row r="534" spans="1:16" ht="12.75" customHeight="1">
      <c r="A534" s="495">
        <v>1</v>
      </c>
      <c r="B534" s="1460" t="s">
        <v>2227</v>
      </c>
      <c r="C534" s="1460"/>
      <c r="D534" s="1460"/>
      <c r="E534" s="1460"/>
      <c r="F534" s="304"/>
      <c r="G534" s="1214"/>
      <c r="H534" s="1214"/>
      <c r="I534" s="1214"/>
      <c r="J534" s="1214"/>
      <c r="K534" s="1214"/>
      <c r="L534" s="1214"/>
      <c r="M534" s="1214"/>
      <c r="N534" s="1214"/>
      <c r="O534" s="1214"/>
    </row>
    <row r="535" spans="1:16">
      <c r="A535" s="1483"/>
      <c r="B535" s="1393"/>
      <c r="C535" s="1421" t="s">
        <v>1249</v>
      </c>
      <c r="D535" s="1421"/>
      <c r="E535" s="1421"/>
      <c r="F535" s="308"/>
      <c r="G535" s="307" t="s">
        <v>1056</v>
      </c>
      <c r="H535" s="1214">
        <v>975</v>
      </c>
      <c r="I535" s="1214"/>
      <c r="J535" s="1214" t="s">
        <v>1057</v>
      </c>
      <c r="K535" s="1214"/>
      <c r="L535" s="1214">
        <v>975</v>
      </c>
      <c r="M535" s="1214"/>
      <c r="N535" s="1214" t="s">
        <v>1057</v>
      </c>
      <c r="O535" s="1214"/>
    </row>
    <row r="536" spans="1:16">
      <c r="A536" s="1393"/>
      <c r="B536" s="1393"/>
      <c r="C536" s="1421" t="s">
        <v>1250</v>
      </c>
      <c r="D536" s="1421"/>
      <c r="E536" s="1421"/>
      <c r="F536" s="308"/>
      <c r="G536" s="307" t="s">
        <v>1056</v>
      </c>
      <c r="H536" s="1214">
        <v>800</v>
      </c>
      <c r="I536" s="1214"/>
      <c r="J536" s="1214" t="s">
        <v>1057</v>
      </c>
      <c r="K536" s="1214"/>
      <c r="L536" s="1214">
        <v>900</v>
      </c>
      <c r="M536" s="1214"/>
      <c r="N536" s="1214" t="s">
        <v>1057</v>
      </c>
      <c r="O536" s="1214"/>
    </row>
    <row r="537" spans="1:16" ht="12.75" customHeight="1">
      <c r="A537" s="495">
        <v>2</v>
      </c>
      <c r="B537" s="1460" t="s">
        <v>2228</v>
      </c>
      <c r="C537" s="1460"/>
      <c r="D537" s="1460"/>
      <c r="E537" s="1460"/>
      <c r="F537" s="304"/>
      <c r="G537" s="1214"/>
      <c r="H537" s="1214"/>
      <c r="I537" s="1214"/>
      <c r="J537" s="1214"/>
      <c r="K537" s="1214"/>
      <c r="L537" s="1214"/>
      <c r="M537" s="1214"/>
      <c r="N537" s="1214"/>
      <c r="O537" s="1214"/>
    </row>
    <row r="538" spans="1:16">
      <c r="A538" s="1483"/>
      <c r="B538" s="1393"/>
      <c r="C538" s="1421" t="s">
        <v>1249</v>
      </c>
      <c r="D538" s="1421"/>
      <c r="E538" s="1421"/>
      <c r="F538" s="308"/>
      <c r="G538" s="307" t="s">
        <v>1056</v>
      </c>
      <c r="H538" s="1214">
        <v>800</v>
      </c>
      <c r="I538" s="1214"/>
      <c r="J538" s="1214" t="s">
        <v>1057</v>
      </c>
      <c r="K538" s="1214"/>
      <c r="L538" s="1214">
        <v>900</v>
      </c>
      <c r="M538" s="1214"/>
      <c r="N538" s="1214" t="s">
        <v>1057</v>
      </c>
      <c r="O538" s="1214"/>
    </row>
    <row r="539" spans="1:16">
      <c r="A539" s="1393"/>
      <c r="B539" s="1393"/>
      <c r="C539" s="1421" t="s">
        <v>1250</v>
      </c>
      <c r="D539" s="1421"/>
      <c r="E539" s="1421"/>
      <c r="F539" s="308"/>
      <c r="G539" s="307" t="s">
        <v>1056</v>
      </c>
      <c r="H539" s="1214">
        <v>600</v>
      </c>
      <c r="I539" s="1214"/>
      <c r="J539" s="1214" t="s">
        <v>1057</v>
      </c>
      <c r="K539" s="1214"/>
      <c r="L539" s="1214">
        <v>700</v>
      </c>
      <c r="M539" s="1214"/>
      <c r="N539" s="1214" t="s">
        <v>1057</v>
      </c>
      <c r="O539" s="1214"/>
    </row>
    <row r="540" spans="1:16" ht="12.75" customHeight="1">
      <c r="A540" s="495">
        <v>3</v>
      </c>
      <c r="B540" s="1460" t="s">
        <v>1251</v>
      </c>
      <c r="C540" s="1460"/>
      <c r="D540" s="1460"/>
      <c r="E540" s="1460"/>
      <c r="F540" s="304"/>
      <c r="G540" s="307" t="s">
        <v>1056</v>
      </c>
      <c r="H540" s="1214">
        <v>575</v>
      </c>
      <c r="I540" s="1214"/>
      <c r="J540" s="1214" t="s">
        <v>1057</v>
      </c>
      <c r="K540" s="1214"/>
      <c r="L540" s="1214" t="s">
        <v>1057</v>
      </c>
      <c r="M540" s="1214"/>
      <c r="N540" s="1214" t="s">
        <v>1057</v>
      </c>
      <c r="O540" s="1214"/>
      <c r="P540" s="99"/>
    </row>
    <row r="541" spans="1:16" ht="12.75" customHeight="1">
      <c r="A541" s="497"/>
      <c r="B541" s="1296" t="s">
        <v>1252</v>
      </c>
      <c r="C541" s="1296"/>
      <c r="D541" s="1296"/>
      <c r="E541" s="1297"/>
      <c r="F541" s="426"/>
      <c r="G541" s="1214"/>
      <c r="H541" s="1214"/>
      <c r="I541" s="1214"/>
      <c r="J541" s="1214"/>
      <c r="K541" s="1214"/>
      <c r="L541" s="1214"/>
      <c r="M541" s="1214"/>
      <c r="N541" s="1214"/>
      <c r="O541" s="1214"/>
      <c r="P541" s="99"/>
    </row>
    <row r="542" spans="1:16" ht="12.75" customHeight="1">
      <c r="A542" s="493">
        <v>1</v>
      </c>
      <c r="B542" s="1460" t="s">
        <v>1253</v>
      </c>
      <c r="C542" s="1460"/>
      <c r="D542" s="1460"/>
      <c r="E542" s="1460"/>
      <c r="F542" s="304"/>
      <c r="G542" s="307" t="s">
        <v>1056</v>
      </c>
      <c r="H542" s="1214">
        <v>975</v>
      </c>
      <c r="I542" s="1214"/>
      <c r="J542" s="1214" t="s">
        <v>1057</v>
      </c>
      <c r="K542" s="1214"/>
      <c r="L542" s="1214">
        <v>975</v>
      </c>
      <c r="M542" s="1214"/>
      <c r="N542" s="1214" t="s">
        <v>1057</v>
      </c>
      <c r="O542" s="1214"/>
      <c r="P542" s="99"/>
    </row>
    <row r="543" spans="1:16" ht="12.75" customHeight="1">
      <c r="A543" s="493">
        <v>2</v>
      </c>
      <c r="B543" s="1460" t="s">
        <v>1254</v>
      </c>
      <c r="C543" s="1460"/>
      <c r="D543" s="1460"/>
      <c r="E543" s="1460"/>
      <c r="F543" s="304"/>
      <c r="G543" s="307" t="s">
        <v>1056</v>
      </c>
      <c r="H543" s="1214">
        <v>800</v>
      </c>
      <c r="I543" s="1214"/>
      <c r="J543" s="1214" t="s">
        <v>1057</v>
      </c>
      <c r="K543" s="1214"/>
      <c r="L543" s="1214">
        <v>900</v>
      </c>
      <c r="M543" s="1214"/>
      <c r="N543" s="1214" t="s">
        <v>1057</v>
      </c>
      <c r="O543" s="1214"/>
      <c r="P543" s="99"/>
    </row>
    <row r="544" spans="1:16">
      <c r="A544" s="495">
        <v>3</v>
      </c>
      <c r="B544" s="1460" t="s">
        <v>2229</v>
      </c>
      <c r="C544" s="1460"/>
      <c r="D544" s="1460"/>
      <c r="E544" s="1460"/>
      <c r="F544" s="304"/>
      <c r="G544" s="1214"/>
      <c r="H544" s="1214"/>
      <c r="I544" s="1214"/>
      <c r="J544" s="1214"/>
      <c r="K544" s="1214"/>
      <c r="L544" s="1214"/>
      <c r="M544" s="1214"/>
      <c r="N544" s="1214"/>
      <c r="O544" s="1214"/>
    </row>
    <row r="545" spans="1:17">
      <c r="A545" s="1483"/>
      <c r="B545" s="1393"/>
      <c r="C545" s="1423" t="s">
        <v>1255</v>
      </c>
      <c r="D545" s="1423"/>
      <c r="E545" s="1423"/>
      <c r="F545" s="304"/>
      <c r="G545" s="1214"/>
      <c r="H545" s="1214"/>
      <c r="I545" s="1214"/>
      <c r="J545" s="1214"/>
      <c r="K545" s="1214"/>
      <c r="L545" s="1214"/>
      <c r="M545" s="1214"/>
      <c r="N545" s="1214"/>
      <c r="O545" s="1214"/>
    </row>
    <row r="546" spans="1:17" ht="12.75" customHeight="1">
      <c r="A546" s="1393"/>
      <c r="B546" s="1393"/>
      <c r="C546" s="1508" t="s">
        <v>1256</v>
      </c>
      <c r="D546" s="1508"/>
      <c r="E546" s="1508"/>
      <c r="F546" s="423"/>
      <c r="G546" s="307" t="s">
        <v>1056</v>
      </c>
      <c r="H546" s="1214">
        <v>800</v>
      </c>
      <c r="I546" s="1214"/>
      <c r="J546" s="1214" t="s">
        <v>1057</v>
      </c>
      <c r="K546" s="1214"/>
      <c r="L546" s="1214">
        <v>800</v>
      </c>
      <c r="M546" s="1214"/>
      <c r="N546" s="1214" t="s">
        <v>1057</v>
      </c>
      <c r="O546" s="1214"/>
      <c r="P546" s="99"/>
      <c r="Q546" s="99"/>
    </row>
    <row r="547" spans="1:17">
      <c r="A547" s="1393"/>
      <c r="B547" s="1393"/>
      <c r="C547" s="1508" t="s">
        <v>1257</v>
      </c>
      <c r="D547" s="1508"/>
      <c r="E547" s="1508"/>
      <c r="F547" s="423"/>
      <c r="G547" s="307" t="s">
        <v>1056</v>
      </c>
      <c r="H547" s="1214">
        <v>750</v>
      </c>
      <c r="I547" s="1214"/>
      <c r="J547" s="1214" t="s">
        <v>1057</v>
      </c>
      <c r="K547" s="1214"/>
      <c r="L547" s="1214">
        <v>500</v>
      </c>
      <c r="M547" s="1214"/>
      <c r="N547" s="1214" t="s">
        <v>1057</v>
      </c>
      <c r="O547" s="1214"/>
      <c r="P547" s="99"/>
      <c r="Q547" s="99"/>
    </row>
    <row r="548" spans="1:17" ht="12.75" customHeight="1">
      <c r="A548" s="493">
        <v>4</v>
      </c>
      <c r="B548" s="1460" t="s">
        <v>1258</v>
      </c>
      <c r="C548" s="1460"/>
      <c r="D548" s="1460"/>
      <c r="E548" s="1460"/>
      <c r="F548" s="304"/>
      <c r="G548" s="307" t="s">
        <v>1056</v>
      </c>
      <c r="H548" s="1214">
        <v>650</v>
      </c>
      <c r="I548" s="1214"/>
      <c r="J548" s="1214" t="s">
        <v>1057</v>
      </c>
      <c r="K548" s="1214"/>
      <c r="L548" s="1214">
        <v>500</v>
      </c>
      <c r="M548" s="1214"/>
      <c r="N548" s="1214" t="s">
        <v>1057</v>
      </c>
      <c r="O548" s="1214"/>
      <c r="P548" s="99"/>
    </row>
    <row r="549" spans="1:17" ht="12.75" customHeight="1">
      <c r="A549" s="495">
        <v>5</v>
      </c>
      <c r="B549" s="1460" t="s">
        <v>1259</v>
      </c>
      <c r="C549" s="1460"/>
      <c r="D549" s="1460"/>
      <c r="E549" s="1460"/>
      <c r="F549" s="304"/>
      <c r="G549" s="1214"/>
      <c r="H549" s="1214"/>
      <c r="I549" s="1214"/>
      <c r="J549" s="1214"/>
      <c r="K549" s="1214"/>
      <c r="L549" s="1214"/>
      <c r="M549" s="1214"/>
      <c r="N549" s="1214"/>
      <c r="O549" s="1214"/>
    </row>
    <row r="550" spans="1:17">
      <c r="A550" s="1483"/>
      <c r="B550" s="1393"/>
      <c r="C550" s="1423" t="s">
        <v>1260</v>
      </c>
      <c r="D550" s="1423"/>
      <c r="E550" s="1423"/>
      <c r="F550" s="304"/>
      <c r="G550" s="307" t="s">
        <v>1056</v>
      </c>
      <c r="H550" s="1214">
        <v>650</v>
      </c>
      <c r="I550" s="1214"/>
      <c r="J550" s="1214" t="s">
        <v>1057</v>
      </c>
      <c r="K550" s="1214"/>
      <c r="L550" s="1214">
        <v>400</v>
      </c>
      <c r="M550" s="1214"/>
      <c r="N550" s="1214" t="s">
        <v>1057</v>
      </c>
      <c r="O550" s="1214"/>
    </row>
    <row r="551" spans="1:17">
      <c r="A551" s="1393"/>
      <c r="B551" s="1393"/>
      <c r="C551" s="1423" t="s">
        <v>1058</v>
      </c>
      <c r="D551" s="1423"/>
      <c r="E551" s="1423"/>
      <c r="F551" s="304"/>
      <c r="G551" s="307" t="s">
        <v>1056</v>
      </c>
      <c r="H551" s="1214">
        <v>600</v>
      </c>
      <c r="I551" s="1214"/>
      <c r="J551" s="1214" t="s">
        <v>1057</v>
      </c>
      <c r="K551" s="1214"/>
      <c r="L551" s="1214">
        <v>400</v>
      </c>
      <c r="M551" s="1214"/>
      <c r="N551" s="1214" t="s">
        <v>1057</v>
      </c>
      <c r="O551" s="1214"/>
    </row>
    <row r="552" spans="1:17" ht="12.75" customHeight="1">
      <c r="A552" s="493">
        <v>6</v>
      </c>
      <c r="B552" s="505"/>
      <c r="C552" s="1524" t="s">
        <v>1261</v>
      </c>
      <c r="D552" s="1524"/>
      <c r="E552" s="1525"/>
      <c r="F552" s="421"/>
      <c r="G552" s="1214"/>
      <c r="H552" s="1214"/>
      <c r="I552" s="1214"/>
      <c r="J552" s="1214"/>
      <c r="K552" s="1214"/>
      <c r="L552" s="1214"/>
      <c r="M552" s="1214"/>
      <c r="N552" s="1214"/>
      <c r="O552" s="1214"/>
    </row>
    <row r="553" spans="1:17" ht="12.75" customHeight="1">
      <c r="A553" s="1393"/>
      <c r="B553" s="1393"/>
      <c r="C553" s="1478" t="s">
        <v>1262</v>
      </c>
      <c r="D553" s="1478"/>
      <c r="E553" s="1478"/>
      <c r="F553" s="307"/>
      <c r="G553" s="307" t="s">
        <v>1056</v>
      </c>
      <c r="H553" s="1214">
        <v>800</v>
      </c>
      <c r="I553" s="1214"/>
      <c r="J553" s="1214" t="s">
        <v>1057</v>
      </c>
      <c r="K553" s="1214"/>
      <c r="L553" s="1214">
        <v>1175</v>
      </c>
      <c r="M553" s="1214"/>
      <c r="N553" s="1214" t="s">
        <v>1057</v>
      </c>
      <c r="O553" s="1214"/>
      <c r="P553" s="99"/>
    </row>
    <row r="554" spans="1:17" ht="12.75" customHeight="1">
      <c r="A554" s="1393"/>
      <c r="B554" s="1393"/>
      <c r="C554" s="1423" t="s">
        <v>1263</v>
      </c>
      <c r="D554" s="1423"/>
      <c r="E554" s="1423"/>
      <c r="F554" s="304"/>
      <c r="G554" s="307" t="s">
        <v>1056</v>
      </c>
      <c r="H554" s="1214">
        <v>600</v>
      </c>
      <c r="I554" s="1214"/>
      <c r="J554" s="1214">
        <v>225</v>
      </c>
      <c r="K554" s="1214"/>
      <c r="L554" s="1214">
        <v>1100</v>
      </c>
      <c r="M554" s="1214"/>
      <c r="N554" s="1214" t="s">
        <v>1057</v>
      </c>
      <c r="O554" s="1214"/>
      <c r="P554" s="99"/>
    </row>
    <row r="555" spans="1:17" ht="12.75" customHeight="1">
      <c r="A555" s="1393"/>
      <c r="B555" s="1393"/>
      <c r="C555" s="1478" t="s">
        <v>1264</v>
      </c>
      <c r="D555" s="1478"/>
      <c r="E555" s="1478"/>
      <c r="F555" s="307"/>
      <c r="G555" s="307" t="s">
        <v>1056</v>
      </c>
      <c r="H555" s="1214">
        <v>600</v>
      </c>
      <c r="I555" s="1214"/>
      <c r="J555" s="1214" t="s">
        <v>1057</v>
      </c>
      <c r="K555" s="1214"/>
      <c r="L555" s="1214">
        <v>1100</v>
      </c>
      <c r="M555" s="1214"/>
      <c r="N555" s="1214" t="s">
        <v>1057</v>
      </c>
      <c r="O555" s="1214"/>
      <c r="P555" s="99"/>
    </row>
    <row r="556" spans="1:17" ht="12.75" customHeight="1">
      <c r="A556" s="493">
        <v>7</v>
      </c>
      <c r="B556" s="1214" t="s">
        <v>1265</v>
      </c>
      <c r="C556" s="1214"/>
      <c r="D556" s="1214"/>
      <c r="E556" s="1214"/>
      <c r="F556" s="307"/>
      <c r="G556" s="307" t="s">
        <v>1056</v>
      </c>
      <c r="H556" s="1214">
        <v>575</v>
      </c>
      <c r="I556" s="1214"/>
      <c r="J556" s="1214" t="s">
        <v>1057</v>
      </c>
      <c r="K556" s="1214"/>
      <c r="L556" s="1214" t="s">
        <v>1057</v>
      </c>
      <c r="M556" s="1214"/>
      <c r="N556" s="1214" t="s">
        <v>1057</v>
      </c>
      <c r="O556" s="1214"/>
      <c r="P556" s="99"/>
    </row>
    <row r="557" spans="1:17" ht="12.75" customHeight="1">
      <c r="A557" s="495">
        <v>8</v>
      </c>
      <c r="B557" s="1460" t="s">
        <v>1266</v>
      </c>
      <c r="C557" s="1460"/>
      <c r="D557" s="1460"/>
      <c r="E557" s="1460"/>
      <c r="F557" s="304"/>
      <c r="G557" s="1214"/>
      <c r="H557" s="1214"/>
      <c r="I557" s="1214"/>
      <c r="J557" s="1214"/>
      <c r="K557" s="1214"/>
      <c r="L557" s="1214"/>
      <c r="M557" s="1214"/>
      <c r="N557" s="1214"/>
      <c r="O557" s="1214"/>
    </row>
    <row r="558" spans="1:17">
      <c r="A558" s="492"/>
      <c r="B558" s="1310" t="s">
        <v>1267</v>
      </c>
      <c r="C558" s="1310"/>
      <c r="D558" s="1310"/>
      <c r="E558" s="1310"/>
      <c r="F558" s="423"/>
      <c r="G558" s="307" t="s">
        <v>1056</v>
      </c>
      <c r="H558" s="1214">
        <v>600</v>
      </c>
      <c r="I558" s="1214"/>
      <c r="J558" s="1214" t="s">
        <v>1057</v>
      </c>
      <c r="K558" s="1214"/>
      <c r="L558" s="1214">
        <v>300</v>
      </c>
      <c r="M558" s="1214"/>
      <c r="N558" s="1214">
        <v>400</v>
      </c>
      <c r="O558" s="1214"/>
      <c r="P558" s="99"/>
      <c r="Q558" s="99"/>
    </row>
    <row r="559" spans="1:17" ht="12.75" customHeight="1">
      <c r="A559" s="493">
        <v>9</v>
      </c>
      <c r="B559" s="1460" t="s">
        <v>1268</v>
      </c>
      <c r="C559" s="1460"/>
      <c r="D559" s="1460"/>
      <c r="E559" s="1460"/>
      <c r="F559" s="304"/>
      <c r="G559" s="307" t="s">
        <v>1056</v>
      </c>
      <c r="H559" s="1214">
        <v>550</v>
      </c>
      <c r="I559" s="1214"/>
      <c r="J559" s="1214" t="s">
        <v>1057</v>
      </c>
      <c r="K559" s="1214"/>
      <c r="L559" s="1214">
        <v>200</v>
      </c>
      <c r="M559" s="1214"/>
      <c r="N559" s="1214" t="s">
        <v>1057</v>
      </c>
      <c r="O559" s="1214"/>
      <c r="P559" s="99"/>
    </row>
    <row r="560" spans="1:17" ht="12.75" customHeight="1">
      <c r="A560" s="495">
        <v>10</v>
      </c>
      <c r="B560" s="1460" t="s">
        <v>2230</v>
      </c>
      <c r="C560" s="1460"/>
      <c r="D560" s="1460"/>
      <c r="E560" s="1460"/>
      <c r="F560" s="304"/>
      <c r="G560" s="1214"/>
      <c r="H560" s="1214"/>
      <c r="I560" s="1214"/>
      <c r="J560" s="1214"/>
      <c r="K560" s="1214"/>
      <c r="L560" s="1214"/>
      <c r="M560" s="1214"/>
      <c r="N560" s="1214"/>
      <c r="O560" s="1214"/>
    </row>
    <row r="561" spans="1:17" ht="13.5" customHeight="1">
      <c r="A561" s="1483"/>
      <c r="B561" s="1393"/>
      <c r="C561" s="1423" t="s">
        <v>1269</v>
      </c>
      <c r="D561" s="1423"/>
      <c r="E561" s="1423"/>
      <c r="F561" s="304"/>
      <c r="G561" s="1214"/>
      <c r="H561" s="1214"/>
      <c r="I561" s="1214"/>
      <c r="J561" s="1214"/>
      <c r="K561" s="1214"/>
      <c r="L561" s="1214"/>
      <c r="M561" s="1214"/>
      <c r="N561" s="1214"/>
      <c r="O561" s="1214"/>
    </row>
    <row r="562" spans="1:17" ht="13.5" customHeight="1">
      <c r="A562" s="1393"/>
      <c r="B562" s="1393"/>
      <c r="C562" s="1570" t="s">
        <v>1270</v>
      </c>
      <c r="D562" s="1570"/>
      <c r="E562" s="1570"/>
      <c r="F562" s="297"/>
      <c r="G562" s="307" t="s">
        <v>1056</v>
      </c>
      <c r="H562" s="1214">
        <v>500</v>
      </c>
      <c r="I562" s="1214"/>
      <c r="J562" s="1214">
        <v>175</v>
      </c>
      <c r="K562" s="1214"/>
      <c r="L562" s="1214" t="s">
        <v>1057</v>
      </c>
      <c r="M562" s="1214"/>
      <c r="N562" s="1214" t="s">
        <v>1057</v>
      </c>
      <c r="O562" s="1214"/>
      <c r="P562" s="99"/>
      <c r="Q562" s="99"/>
    </row>
    <row r="563" spans="1:17" ht="12.75" customHeight="1">
      <c r="A563" s="495">
        <v>11</v>
      </c>
      <c r="B563" s="1460" t="s">
        <v>1271</v>
      </c>
      <c r="C563" s="1460"/>
      <c r="D563" s="1460"/>
      <c r="E563" s="1460"/>
      <c r="F563" s="304"/>
      <c r="G563" s="298" t="s">
        <v>1507</v>
      </c>
      <c r="H563" s="1214">
        <v>500</v>
      </c>
      <c r="I563" s="1214"/>
      <c r="J563" s="1214" t="s">
        <v>1057</v>
      </c>
      <c r="K563" s="1214"/>
      <c r="L563" s="1214">
        <v>200</v>
      </c>
      <c r="M563" s="1214"/>
      <c r="N563" s="1214" t="s">
        <v>1057</v>
      </c>
      <c r="O563" s="1214"/>
      <c r="P563" s="99"/>
    </row>
    <row r="564" spans="1:17" ht="12.75" customHeight="1">
      <c r="A564" s="497"/>
      <c r="B564" s="1353" t="s">
        <v>1272</v>
      </c>
      <c r="C564" s="1353"/>
      <c r="D564" s="1353"/>
      <c r="E564" s="1354"/>
      <c r="F564" s="427"/>
      <c r="G564" s="1214"/>
      <c r="H564" s="1214"/>
      <c r="I564" s="1214"/>
      <c r="J564" s="1214"/>
      <c r="K564" s="1214"/>
      <c r="L564" s="1214"/>
      <c r="M564" s="1214"/>
      <c r="N564" s="1214"/>
      <c r="O564" s="1214"/>
    </row>
    <row r="565" spans="1:17" ht="12.75" customHeight="1">
      <c r="A565" s="493">
        <v>1</v>
      </c>
      <c r="B565" s="1363" t="s">
        <v>1273</v>
      </c>
      <c r="C565" s="1363"/>
      <c r="D565" s="1363"/>
      <c r="E565" s="1363"/>
      <c r="F565" s="308"/>
      <c r="G565" s="307" t="s">
        <v>1056</v>
      </c>
      <c r="H565" s="1214">
        <v>800</v>
      </c>
      <c r="I565" s="1214"/>
      <c r="J565" s="1214" t="s">
        <v>1057</v>
      </c>
      <c r="K565" s="1214"/>
      <c r="L565" s="1214">
        <v>900</v>
      </c>
      <c r="M565" s="1214"/>
      <c r="N565" s="1214" t="s">
        <v>1057</v>
      </c>
      <c r="O565" s="1214"/>
      <c r="P565" s="99"/>
    </row>
    <row r="566" spans="1:17" ht="12.75" customHeight="1">
      <c r="A566" s="493">
        <v>2</v>
      </c>
      <c r="B566" s="1363" t="s">
        <v>1274</v>
      </c>
      <c r="C566" s="1363"/>
      <c r="D566" s="1363"/>
      <c r="E566" s="1363"/>
      <c r="F566" s="308"/>
      <c r="G566" s="307" t="s">
        <v>1056</v>
      </c>
      <c r="H566" s="1214">
        <v>650</v>
      </c>
      <c r="I566" s="1214"/>
      <c r="J566" s="1214" t="s">
        <v>1057</v>
      </c>
      <c r="K566" s="1214"/>
      <c r="L566" s="1214">
        <v>350</v>
      </c>
      <c r="M566" s="1214"/>
      <c r="N566" s="1214" t="s">
        <v>1057</v>
      </c>
      <c r="O566" s="1214"/>
      <c r="P566" s="99"/>
    </row>
    <row r="567" spans="1:17" ht="12.75" customHeight="1">
      <c r="A567" s="493">
        <v>3</v>
      </c>
      <c r="B567" s="1363" t="s">
        <v>1275</v>
      </c>
      <c r="C567" s="1363"/>
      <c r="D567" s="1363"/>
      <c r="E567" s="1363"/>
      <c r="F567" s="308"/>
      <c r="G567" s="307" t="s">
        <v>1056</v>
      </c>
      <c r="H567" s="1214">
        <v>500</v>
      </c>
      <c r="I567" s="1214"/>
      <c r="J567" s="1214">
        <v>250</v>
      </c>
      <c r="K567" s="1214"/>
      <c r="L567" s="1214" t="s">
        <v>1057</v>
      </c>
      <c r="M567" s="1214"/>
      <c r="N567" s="1214">
        <v>250</v>
      </c>
      <c r="O567" s="1214"/>
      <c r="P567" s="99"/>
    </row>
    <row r="568" spans="1:17" ht="12.75" customHeight="1">
      <c r="A568" s="493">
        <v>4</v>
      </c>
      <c r="B568" s="1363" t="s">
        <v>1276</v>
      </c>
      <c r="C568" s="1363"/>
      <c r="D568" s="1363"/>
      <c r="E568" s="1363"/>
      <c r="F568" s="308"/>
      <c r="G568" s="307" t="s">
        <v>1056</v>
      </c>
      <c r="H568" s="1214">
        <v>525</v>
      </c>
      <c r="I568" s="1214"/>
      <c r="J568" s="1214" t="s">
        <v>1057</v>
      </c>
      <c r="K568" s="1214"/>
      <c r="L568" s="1214">
        <v>375</v>
      </c>
      <c r="M568" s="1214"/>
      <c r="N568" s="1214" t="s">
        <v>1057</v>
      </c>
      <c r="O568" s="1214"/>
      <c r="P568" s="99"/>
    </row>
    <row r="576" spans="1:17">
      <c r="A576" s="1528" t="s">
        <v>1277</v>
      </c>
      <c r="B576" s="1528"/>
      <c r="C576" s="1528"/>
      <c r="D576" s="1528"/>
      <c r="E576" s="1528"/>
      <c r="F576" s="1528"/>
      <c r="G576" s="1528"/>
      <c r="H576" s="1528"/>
      <c r="I576" s="1528"/>
      <c r="J576" s="1528"/>
      <c r="K576" s="1528"/>
      <c r="L576" s="1528"/>
      <c r="M576" s="1528"/>
      <c r="N576" s="1528"/>
      <c r="O576" s="1528"/>
    </row>
    <row r="577" spans="1:18">
      <c r="A577" s="1528" t="s">
        <v>1278</v>
      </c>
      <c r="B577" s="1528"/>
      <c r="C577" s="1528"/>
      <c r="D577" s="1528"/>
      <c r="E577" s="1528"/>
      <c r="F577" s="1528"/>
      <c r="G577" s="1528"/>
      <c r="H577" s="1528"/>
      <c r="I577" s="1528"/>
      <c r="J577" s="1528"/>
      <c r="K577" s="1528"/>
      <c r="L577" s="1528"/>
      <c r="M577" s="1528"/>
      <c r="N577" s="1528"/>
      <c r="O577" s="1528"/>
    </row>
    <row r="579" spans="1:18">
      <c r="A579" s="1529" t="s">
        <v>1051</v>
      </c>
      <c r="B579" s="1530" t="s">
        <v>1052</v>
      </c>
      <c r="C579" s="1531"/>
      <c r="D579" s="1531"/>
      <c r="E579" s="1531"/>
      <c r="F579" s="428"/>
      <c r="G579" s="1532"/>
      <c r="H579" s="1535" t="s">
        <v>1044</v>
      </c>
      <c r="I579" s="1535"/>
      <c r="J579" s="1535" t="s">
        <v>1044</v>
      </c>
      <c r="K579" s="1535"/>
      <c r="L579" s="1535" t="s">
        <v>1045</v>
      </c>
      <c r="M579" s="1535"/>
      <c r="N579" s="1535" t="s">
        <v>1046</v>
      </c>
      <c r="O579" s="1535"/>
    </row>
    <row r="580" spans="1:18">
      <c r="A580" s="1529"/>
      <c r="B580" s="1530"/>
      <c r="C580" s="1531"/>
      <c r="D580" s="1531"/>
      <c r="E580" s="1531"/>
      <c r="F580" s="443"/>
      <c r="G580" s="1533"/>
      <c r="H580" s="1526" t="s">
        <v>1047</v>
      </c>
      <c r="I580" s="1526"/>
      <c r="J580" s="1526" t="s">
        <v>1048</v>
      </c>
      <c r="K580" s="1526"/>
      <c r="L580" s="1526" t="s">
        <v>1049</v>
      </c>
      <c r="M580" s="1526"/>
      <c r="N580" s="1526" t="s">
        <v>1050</v>
      </c>
      <c r="O580" s="1526"/>
    </row>
    <row r="581" spans="1:18">
      <c r="A581" s="1564"/>
      <c r="B581" s="1565"/>
      <c r="C581" s="1566"/>
      <c r="D581" s="1566"/>
      <c r="E581" s="1566"/>
      <c r="F581" s="443"/>
      <c r="G581" s="1533"/>
      <c r="H581" s="1526" t="s">
        <v>1053</v>
      </c>
      <c r="I581" s="1526"/>
      <c r="J581" s="1526" t="s">
        <v>1053</v>
      </c>
      <c r="K581" s="1526"/>
      <c r="L581" s="1526" t="s">
        <v>1053</v>
      </c>
      <c r="M581" s="1526"/>
      <c r="N581" s="1526" t="s">
        <v>1053</v>
      </c>
      <c r="O581" s="1526"/>
    </row>
    <row r="582" spans="1:18" ht="12.75" customHeight="1">
      <c r="A582" s="493"/>
      <c r="B582" s="1365" t="s">
        <v>1279</v>
      </c>
      <c r="C582" s="1365"/>
      <c r="D582" s="1365"/>
      <c r="E582" s="1365"/>
      <c r="F582" s="425"/>
      <c r="G582" s="1214"/>
      <c r="H582" s="1214"/>
      <c r="I582" s="1214"/>
      <c r="J582" s="1214"/>
      <c r="K582" s="1214"/>
      <c r="L582" s="1214"/>
      <c r="M582" s="1214"/>
      <c r="N582" s="1214"/>
      <c r="O582" s="1214"/>
    </row>
    <row r="583" spans="1:18" ht="12.75" customHeight="1">
      <c r="A583" s="493">
        <v>1</v>
      </c>
      <c r="B583" s="1460" t="s">
        <v>1280</v>
      </c>
      <c r="C583" s="1460"/>
      <c r="D583" s="1460"/>
      <c r="E583" s="1460"/>
      <c r="F583" s="304"/>
      <c r="G583" s="307" t="s">
        <v>1056</v>
      </c>
      <c r="H583" s="1214">
        <v>900</v>
      </c>
      <c r="I583" s="1214"/>
      <c r="J583" s="1214" t="s">
        <v>1057</v>
      </c>
      <c r="K583" s="1214"/>
      <c r="L583" s="1214">
        <v>900</v>
      </c>
      <c r="M583" s="1214"/>
      <c r="N583" s="1214" t="s">
        <v>1057</v>
      </c>
      <c r="O583" s="1214"/>
      <c r="P583" s="99"/>
    </row>
    <row r="584" spans="1:18">
      <c r="A584" s="1571"/>
      <c r="B584" s="1393"/>
      <c r="C584" s="1393"/>
      <c r="D584" s="1393"/>
      <c r="E584" s="1393"/>
      <c r="F584" s="297"/>
      <c r="G584" s="1214"/>
      <c r="H584" s="1214"/>
      <c r="I584" s="1214"/>
      <c r="J584" s="1214"/>
      <c r="K584" s="1214"/>
      <c r="L584" s="1214"/>
      <c r="M584" s="1214"/>
      <c r="N584" s="1214"/>
      <c r="O584" s="1214"/>
      <c r="P584" s="99"/>
    </row>
    <row r="585" spans="1:18" ht="12.75" customHeight="1">
      <c r="A585" s="492"/>
      <c r="B585" s="1365" t="s">
        <v>1281</v>
      </c>
      <c r="C585" s="1365"/>
      <c r="D585" s="1365"/>
      <c r="E585" s="1365"/>
      <c r="F585" s="425"/>
      <c r="G585" s="1214"/>
      <c r="H585" s="1214"/>
      <c r="I585" s="1214"/>
      <c r="J585" s="1214"/>
      <c r="K585" s="1214"/>
      <c r="L585" s="1214"/>
      <c r="M585" s="1214"/>
      <c r="N585" s="1214"/>
      <c r="O585" s="1214"/>
      <c r="P585" s="99"/>
    </row>
    <row r="586" spans="1:18" ht="12.75" customHeight="1">
      <c r="A586" s="493">
        <v>1</v>
      </c>
      <c r="B586" s="1460" t="s">
        <v>1282</v>
      </c>
      <c r="C586" s="1460"/>
      <c r="D586" s="1460"/>
      <c r="E586" s="1460"/>
      <c r="F586" s="304"/>
      <c r="G586" s="298" t="s">
        <v>2235</v>
      </c>
      <c r="H586" s="1214">
        <v>1450</v>
      </c>
      <c r="I586" s="1214"/>
      <c r="J586" s="1214" t="s">
        <v>1057</v>
      </c>
      <c r="K586" s="1214"/>
      <c r="L586" s="1214">
        <v>1700</v>
      </c>
      <c r="M586" s="1214"/>
      <c r="N586" s="1214" t="s">
        <v>1057</v>
      </c>
      <c r="O586" s="1214"/>
      <c r="P586" s="99"/>
      <c r="Q586" s="99"/>
      <c r="R586" s="99"/>
    </row>
    <row r="587" spans="1:18" ht="12.75" customHeight="1">
      <c r="A587" s="493">
        <v>2</v>
      </c>
      <c r="B587" s="1460" t="s">
        <v>1283</v>
      </c>
      <c r="C587" s="1460"/>
      <c r="D587" s="1460"/>
      <c r="E587" s="1460"/>
      <c r="F587" s="304"/>
      <c r="G587" s="307" t="s">
        <v>1056</v>
      </c>
      <c r="H587" s="1214">
        <v>975</v>
      </c>
      <c r="I587" s="1214"/>
      <c r="J587" s="1214" t="s">
        <v>1057</v>
      </c>
      <c r="K587" s="1214"/>
      <c r="L587" s="1214">
        <v>975</v>
      </c>
      <c r="M587" s="1214"/>
      <c r="N587" s="1214" t="s">
        <v>1057</v>
      </c>
      <c r="O587" s="1214"/>
      <c r="P587" s="99"/>
    </row>
    <row r="588" spans="1:18" ht="12.75" customHeight="1">
      <c r="A588" s="495">
        <v>3</v>
      </c>
      <c r="B588" s="1460" t="s">
        <v>1284</v>
      </c>
      <c r="C588" s="1460"/>
      <c r="D588" s="1460"/>
      <c r="E588" s="1460"/>
      <c r="F588" s="304"/>
      <c r="G588" s="1214"/>
      <c r="H588" s="1214"/>
      <c r="I588" s="1214"/>
      <c r="J588" s="1214"/>
      <c r="K588" s="1214"/>
      <c r="L588" s="1214"/>
      <c r="M588" s="1214"/>
      <c r="N588" s="1214"/>
      <c r="O588" s="1214"/>
      <c r="P588" s="99"/>
    </row>
    <row r="589" spans="1:18" ht="12.75" customHeight="1">
      <c r="A589" s="496"/>
      <c r="B589" s="1460" t="s">
        <v>1285</v>
      </c>
      <c r="C589" s="1460"/>
      <c r="D589" s="1460"/>
      <c r="E589" s="1460"/>
      <c r="F589" s="304"/>
      <c r="G589" s="1214"/>
      <c r="H589" s="1214"/>
      <c r="I589" s="1214"/>
      <c r="J589" s="1214"/>
      <c r="K589" s="1214"/>
      <c r="L589" s="1214"/>
      <c r="M589" s="1214"/>
      <c r="N589" s="1214"/>
      <c r="O589" s="1214"/>
      <c r="P589" s="99"/>
    </row>
    <row r="590" spans="1:18" ht="12.75" customHeight="1">
      <c r="A590" s="492"/>
      <c r="B590" s="1460" t="s">
        <v>1286</v>
      </c>
      <c r="C590" s="1460"/>
      <c r="D590" s="1460"/>
      <c r="E590" s="1460"/>
      <c r="F590" s="304"/>
      <c r="G590" s="307" t="s">
        <v>1056</v>
      </c>
      <c r="H590" s="1214">
        <v>800</v>
      </c>
      <c r="I590" s="1214"/>
      <c r="J590" s="1214" t="s">
        <v>1057</v>
      </c>
      <c r="K590" s="1214"/>
      <c r="L590" s="1214">
        <v>800</v>
      </c>
      <c r="M590" s="1214"/>
      <c r="N590" s="1214" t="s">
        <v>1057</v>
      </c>
      <c r="O590" s="1214"/>
      <c r="P590" s="99"/>
    </row>
    <row r="591" spans="1:18" ht="12.75" customHeight="1">
      <c r="A591" s="493">
        <v>4</v>
      </c>
      <c r="B591" s="1460" t="s">
        <v>1287</v>
      </c>
      <c r="C591" s="1460"/>
      <c r="D591" s="1460"/>
      <c r="E591" s="1460"/>
      <c r="F591" s="304"/>
      <c r="G591" s="307" t="s">
        <v>1056</v>
      </c>
      <c r="H591" s="1214">
        <v>700</v>
      </c>
      <c r="I591" s="1214"/>
      <c r="J591" s="1214" t="s">
        <v>1057</v>
      </c>
      <c r="K591" s="1214"/>
      <c r="L591" s="1214">
        <v>750</v>
      </c>
      <c r="M591" s="1214"/>
      <c r="N591" s="1214" t="s">
        <v>1057</v>
      </c>
      <c r="O591" s="1214"/>
      <c r="P591" s="99"/>
    </row>
    <row r="592" spans="1:18" ht="12.75" customHeight="1">
      <c r="A592" s="493">
        <v>5</v>
      </c>
      <c r="B592" s="1214" t="s">
        <v>1288</v>
      </c>
      <c r="C592" s="1214"/>
      <c r="D592" s="1214"/>
      <c r="E592" s="1214"/>
      <c r="F592" s="307"/>
      <c r="G592" s="307" t="s">
        <v>1056</v>
      </c>
      <c r="H592" s="1214">
        <v>700</v>
      </c>
      <c r="I592" s="1214"/>
      <c r="J592" s="1214" t="s">
        <v>1057</v>
      </c>
      <c r="K592" s="1214"/>
      <c r="L592" s="1214">
        <v>800</v>
      </c>
      <c r="M592" s="1214"/>
      <c r="N592" s="1214" t="s">
        <v>1057</v>
      </c>
      <c r="O592" s="1214"/>
      <c r="P592" s="99"/>
    </row>
    <row r="593" spans="1:17" ht="12.75" customHeight="1">
      <c r="A593" s="495">
        <v>6</v>
      </c>
      <c r="B593" s="1460" t="s">
        <v>1289</v>
      </c>
      <c r="C593" s="1460"/>
      <c r="D593" s="1460"/>
      <c r="E593" s="1460"/>
      <c r="F593" s="304"/>
      <c r="G593" s="1214"/>
      <c r="H593" s="1214"/>
      <c r="I593" s="1214"/>
      <c r="J593" s="1214"/>
      <c r="K593" s="1214"/>
      <c r="L593" s="1214"/>
      <c r="M593" s="1214"/>
      <c r="N593" s="1214"/>
      <c r="O593" s="1214"/>
    </row>
    <row r="594" spans="1:17" ht="12.75" customHeight="1">
      <c r="A594" s="492"/>
      <c r="B594" s="1460" t="s">
        <v>1290</v>
      </c>
      <c r="C594" s="1460"/>
      <c r="D594" s="1460"/>
      <c r="E594" s="1460"/>
      <c r="F594" s="304"/>
      <c r="G594" s="307" t="s">
        <v>1056</v>
      </c>
      <c r="H594" s="1214">
        <v>700</v>
      </c>
      <c r="I594" s="1214"/>
      <c r="J594" s="1214" t="s">
        <v>1057</v>
      </c>
      <c r="K594" s="1214"/>
      <c r="L594" s="1214">
        <v>800</v>
      </c>
      <c r="M594" s="1214"/>
      <c r="N594" s="1214" t="s">
        <v>1057</v>
      </c>
      <c r="O594" s="1214"/>
      <c r="P594" s="99"/>
      <c r="Q594" s="99"/>
    </row>
    <row r="595" spans="1:17" ht="12.75" customHeight="1">
      <c r="A595" s="495">
        <v>7</v>
      </c>
      <c r="B595" s="1460" t="s">
        <v>1291</v>
      </c>
      <c r="C595" s="1460"/>
      <c r="D595" s="1460"/>
      <c r="E595" s="1460"/>
      <c r="F595" s="304"/>
      <c r="G595" s="1214"/>
      <c r="H595" s="1214"/>
      <c r="I595" s="1214"/>
      <c r="J595" s="1214"/>
      <c r="K595" s="1214"/>
      <c r="L595" s="1214"/>
      <c r="M595" s="1214"/>
      <c r="N595" s="1214"/>
      <c r="O595" s="1214"/>
    </row>
    <row r="596" spans="1:17">
      <c r="A596" s="1483"/>
      <c r="B596" s="1393"/>
      <c r="C596" s="1421" t="s">
        <v>1086</v>
      </c>
      <c r="D596" s="1421"/>
      <c r="E596" s="1421"/>
      <c r="F596" s="308"/>
      <c r="G596" s="307" t="s">
        <v>1056</v>
      </c>
      <c r="H596" s="1214">
        <v>900</v>
      </c>
      <c r="I596" s="1214"/>
      <c r="J596" s="1214" t="s">
        <v>1057</v>
      </c>
      <c r="K596" s="1214"/>
      <c r="L596" s="1214">
        <v>900</v>
      </c>
      <c r="M596" s="1214"/>
      <c r="N596" s="1214" t="s">
        <v>1057</v>
      </c>
      <c r="O596" s="1214"/>
    </row>
    <row r="597" spans="1:17">
      <c r="A597" s="1393"/>
      <c r="B597" s="1393"/>
      <c r="C597" s="1421" t="s">
        <v>1292</v>
      </c>
      <c r="D597" s="1421"/>
      <c r="E597" s="1421"/>
      <c r="F597" s="308"/>
      <c r="G597" s="307" t="s">
        <v>1056</v>
      </c>
      <c r="H597" s="1214">
        <v>800</v>
      </c>
      <c r="I597" s="1214"/>
      <c r="J597" s="1214" t="s">
        <v>1057</v>
      </c>
      <c r="K597" s="1214"/>
      <c r="L597" s="1214">
        <v>900</v>
      </c>
      <c r="M597" s="1214"/>
      <c r="N597" s="1214" t="s">
        <v>1057</v>
      </c>
      <c r="O597" s="1214"/>
    </row>
    <row r="598" spans="1:17">
      <c r="A598" s="1393"/>
      <c r="B598" s="1393"/>
      <c r="C598" s="1421" t="s">
        <v>1293</v>
      </c>
      <c r="D598" s="1421"/>
      <c r="E598" s="1421"/>
      <c r="F598" s="308"/>
      <c r="G598" s="307" t="s">
        <v>1056</v>
      </c>
      <c r="H598" s="1214">
        <v>700</v>
      </c>
      <c r="I598" s="1214"/>
      <c r="J598" s="1214" t="s">
        <v>1057</v>
      </c>
      <c r="K598" s="1214"/>
      <c r="L598" s="1214">
        <v>800</v>
      </c>
      <c r="M598" s="1214"/>
      <c r="N598" s="1214">
        <v>250</v>
      </c>
      <c r="O598" s="1214"/>
    </row>
    <row r="599" spans="1:17">
      <c r="A599" s="1393"/>
      <c r="B599" s="1393"/>
      <c r="C599" s="1421" t="s">
        <v>1294</v>
      </c>
      <c r="D599" s="1421"/>
      <c r="E599" s="1421"/>
      <c r="F599" s="308"/>
      <c r="G599" s="307" t="s">
        <v>1056</v>
      </c>
      <c r="H599" s="1214">
        <v>700</v>
      </c>
      <c r="I599" s="1214"/>
      <c r="J599" s="1214" t="s">
        <v>1057</v>
      </c>
      <c r="K599" s="1214"/>
      <c r="L599" s="1214">
        <v>800</v>
      </c>
      <c r="M599" s="1214"/>
      <c r="N599" s="1214" t="s">
        <v>1057</v>
      </c>
      <c r="O599" s="1214"/>
    </row>
    <row r="600" spans="1:17">
      <c r="A600" s="1393"/>
      <c r="B600" s="1393"/>
      <c r="C600" s="1421" t="s">
        <v>1295</v>
      </c>
      <c r="D600" s="1421"/>
      <c r="E600" s="1421"/>
      <c r="F600" s="308"/>
      <c r="G600" s="1214"/>
      <c r="H600" s="1214"/>
      <c r="I600" s="1214"/>
      <c r="J600" s="1214"/>
      <c r="K600" s="1214"/>
      <c r="L600" s="1214"/>
      <c r="M600" s="1214"/>
      <c r="N600" s="1214"/>
      <c r="O600" s="1214"/>
    </row>
    <row r="601" spans="1:17">
      <c r="A601" s="1393"/>
      <c r="B601" s="1393"/>
      <c r="C601" s="1421" t="s">
        <v>1296</v>
      </c>
      <c r="D601" s="1421"/>
      <c r="E601" s="1421"/>
      <c r="F601" s="308"/>
      <c r="G601" s="307" t="s">
        <v>1056</v>
      </c>
      <c r="H601" s="1214">
        <v>700</v>
      </c>
      <c r="I601" s="1214"/>
      <c r="J601" s="1214" t="s">
        <v>1057</v>
      </c>
      <c r="K601" s="1214"/>
      <c r="L601" s="1214">
        <v>300</v>
      </c>
      <c r="M601" s="1214"/>
      <c r="N601" s="1214" t="s">
        <v>1057</v>
      </c>
      <c r="O601" s="1214"/>
    </row>
    <row r="602" spans="1:17" ht="12.75" customHeight="1">
      <c r="A602" s="495">
        <v>8</v>
      </c>
      <c r="B602" s="1460" t="s">
        <v>1297</v>
      </c>
      <c r="C602" s="1460"/>
      <c r="D602" s="1460"/>
      <c r="E602" s="1460"/>
      <c r="F602" s="304"/>
      <c r="G602" s="1214"/>
      <c r="H602" s="1214"/>
      <c r="I602" s="1214"/>
      <c r="J602" s="1214"/>
      <c r="K602" s="1214"/>
      <c r="L602" s="1214"/>
      <c r="M602" s="1214"/>
      <c r="N602" s="1214"/>
      <c r="O602" s="1214"/>
    </row>
    <row r="603" spans="1:17" ht="14.25" customHeight="1">
      <c r="A603" s="492"/>
      <c r="B603" s="1310" t="s">
        <v>1298</v>
      </c>
      <c r="C603" s="1310"/>
      <c r="D603" s="1310"/>
      <c r="E603" s="1310"/>
      <c r="F603" s="423"/>
      <c r="G603" s="307" t="s">
        <v>1056</v>
      </c>
      <c r="H603" s="1214">
        <v>700</v>
      </c>
      <c r="I603" s="1214"/>
      <c r="J603" s="1214" t="s">
        <v>1057</v>
      </c>
      <c r="K603" s="1214"/>
      <c r="L603" s="1214">
        <v>300</v>
      </c>
      <c r="M603" s="1214"/>
      <c r="N603" s="1214" t="s">
        <v>1057</v>
      </c>
      <c r="O603" s="1214"/>
      <c r="P603" s="99"/>
      <c r="Q603" s="99"/>
    </row>
    <row r="605" spans="1:17" ht="16.5" customHeight="1">
      <c r="A605" s="475" t="s">
        <v>2185</v>
      </c>
      <c r="B605" s="310" t="s">
        <v>1056</v>
      </c>
    </row>
    <row r="606" spans="1:17">
      <c r="B606" s="1302" t="s">
        <v>2231</v>
      </c>
      <c r="C606" s="1302"/>
      <c r="D606" s="1302"/>
      <c r="E606" s="1302"/>
      <c r="F606" s="1302"/>
      <c r="G606" s="1302"/>
      <c r="H606" s="1302"/>
      <c r="I606" s="1302"/>
      <c r="J606" s="1302"/>
      <c r="K606" s="1302"/>
      <c r="L606" s="1302"/>
      <c r="M606" s="1302"/>
      <c r="N606" s="1302"/>
      <c r="O606" s="1302"/>
    </row>
    <row r="607" spans="1:17">
      <c r="D607" s="453"/>
      <c r="E607" s="453"/>
      <c r="F607" s="295"/>
      <c r="H607" s="295"/>
      <c r="I607" s="295"/>
      <c r="M607" s="295"/>
      <c r="N607" s="295"/>
      <c r="O607" s="295"/>
    </row>
    <row r="608" spans="1:17" ht="12.75" customHeight="1">
      <c r="B608" s="1490" t="s">
        <v>1299</v>
      </c>
      <c r="C608" s="1490"/>
      <c r="D608" s="1490"/>
      <c r="E608" s="1490"/>
      <c r="F608" s="306"/>
      <c r="G608" s="1411"/>
      <c r="H608" s="1411"/>
      <c r="I608" s="1411"/>
      <c r="J608" s="1411"/>
      <c r="K608" s="1411"/>
      <c r="L608" s="1411"/>
      <c r="M608" s="1411"/>
      <c r="N608" s="1411"/>
      <c r="O608" s="1411"/>
    </row>
    <row r="609" spans="1:18">
      <c r="A609" s="493">
        <v>1</v>
      </c>
      <c r="B609" s="1460" t="s">
        <v>1300</v>
      </c>
      <c r="C609" s="1460"/>
      <c r="D609" s="1460"/>
      <c r="E609" s="1460"/>
      <c r="F609" s="304"/>
      <c r="G609" s="307" t="s">
        <v>1056</v>
      </c>
      <c r="H609" s="1214">
        <v>1450</v>
      </c>
      <c r="I609" s="1214"/>
      <c r="J609" s="1484" t="s">
        <v>1057</v>
      </c>
      <c r="K609" s="1484"/>
      <c r="L609" s="1214">
        <v>1700</v>
      </c>
      <c r="M609" s="1214"/>
      <c r="N609" s="1484" t="s">
        <v>1057</v>
      </c>
      <c r="O609" s="1214"/>
      <c r="P609" s="99"/>
    </row>
    <row r="610" spans="1:18" ht="12.75" customHeight="1">
      <c r="A610" s="493">
        <v>2</v>
      </c>
      <c r="B610" s="1460" t="s">
        <v>1301</v>
      </c>
      <c r="C610" s="1460"/>
      <c r="D610" s="1460"/>
      <c r="E610" s="1460"/>
      <c r="F610" s="304"/>
      <c r="G610" s="307" t="s">
        <v>1056</v>
      </c>
      <c r="H610" s="1214">
        <v>975</v>
      </c>
      <c r="I610" s="1214"/>
      <c r="J610" s="1484" t="s">
        <v>1057</v>
      </c>
      <c r="K610" s="1484"/>
      <c r="L610" s="1214">
        <v>975</v>
      </c>
      <c r="M610" s="1214"/>
      <c r="N610" s="1484" t="s">
        <v>1057</v>
      </c>
      <c r="O610" s="1214"/>
      <c r="P610" s="99"/>
    </row>
    <row r="611" spans="1:18" ht="12.75" customHeight="1">
      <c r="A611" s="495">
        <v>3</v>
      </c>
      <c r="B611" s="1460" t="s">
        <v>1302</v>
      </c>
      <c r="C611" s="1460"/>
      <c r="D611" s="1460"/>
      <c r="E611" s="1460"/>
      <c r="F611" s="304"/>
      <c r="G611" s="1214"/>
      <c r="H611" s="1214"/>
      <c r="I611" s="1214"/>
      <c r="J611" s="1214"/>
      <c r="K611" s="1214"/>
      <c r="L611" s="1214"/>
      <c r="M611" s="1214"/>
      <c r="N611" s="1214"/>
      <c r="O611" s="1214"/>
      <c r="P611" s="99"/>
    </row>
    <row r="612" spans="1:18" ht="12.75" customHeight="1">
      <c r="A612" s="492"/>
      <c r="B612" s="1460" t="s">
        <v>1303</v>
      </c>
      <c r="C612" s="1460"/>
      <c r="D612" s="1460"/>
      <c r="E612" s="1460"/>
      <c r="F612" s="304"/>
      <c r="G612" s="307" t="s">
        <v>1056</v>
      </c>
      <c r="H612" s="1214">
        <v>800</v>
      </c>
      <c r="I612" s="1214"/>
      <c r="J612" s="1214" t="s">
        <v>1057</v>
      </c>
      <c r="K612" s="1214"/>
      <c r="L612" s="1214">
        <v>750</v>
      </c>
      <c r="M612" s="1214"/>
      <c r="N612" s="1214" t="s">
        <v>1057</v>
      </c>
      <c r="O612" s="1214"/>
      <c r="P612" s="99"/>
    </row>
    <row r="613" spans="1:18" ht="12.75" customHeight="1">
      <c r="A613" s="495">
        <v>4</v>
      </c>
      <c r="B613" s="1460" t="s">
        <v>1304</v>
      </c>
      <c r="C613" s="1460"/>
      <c r="D613" s="1460"/>
      <c r="E613" s="1460"/>
      <c r="F613" s="304"/>
      <c r="G613" s="1214"/>
      <c r="H613" s="1214"/>
      <c r="I613" s="1214"/>
      <c r="J613" s="1214"/>
      <c r="K613" s="1214"/>
      <c r="L613" s="1214"/>
      <c r="M613" s="1214"/>
      <c r="N613" s="1214"/>
      <c r="O613" s="1214"/>
    </row>
    <row r="614" spans="1:18">
      <c r="A614" s="1483"/>
      <c r="B614" s="1393"/>
      <c r="C614" s="1423" t="s">
        <v>1305</v>
      </c>
      <c r="D614" s="1423"/>
      <c r="E614" s="1423"/>
      <c r="F614" s="304"/>
      <c r="G614" s="307" t="s">
        <v>1056</v>
      </c>
      <c r="H614" s="1214">
        <v>800</v>
      </c>
      <c r="I614" s="1214"/>
      <c r="J614" s="1484" t="s">
        <v>1057</v>
      </c>
      <c r="K614" s="1484"/>
      <c r="L614" s="1214">
        <v>750</v>
      </c>
      <c r="M614" s="1214"/>
      <c r="N614" s="1484" t="s">
        <v>1057</v>
      </c>
      <c r="O614" s="1484"/>
    </row>
    <row r="615" spans="1:18">
      <c r="A615" s="1393"/>
      <c r="B615" s="1393"/>
      <c r="C615" s="1423" t="s">
        <v>1306</v>
      </c>
      <c r="D615" s="1423"/>
      <c r="E615" s="1423"/>
      <c r="F615" s="304"/>
      <c r="G615" s="307" t="s">
        <v>1056</v>
      </c>
      <c r="H615" s="1214">
        <v>750</v>
      </c>
      <c r="I615" s="1214"/>
      <c r="J615" s="1484" t="s">
        <v>1057</v>
      </c>
      <c r="K615" s="1484"/>
      <c r="L615" s="1214">
        <v>700</v>
      </c>
      <c r="M615" s="1214"/>
      <c r="N615" s="1484" t="s">
        <v>1057</v>
      </c>
      <c r="O615" s="1484"/>
    </row>
    <row r="616" spans="1:18" ht="12.75" customHeight="1">
      <c r="A616" s="493">
        <v>5</v>
      </c>
      <c r="B616" s="1460" t="s">
        <v>1307</v>
      </c>
      <c r="C616" s="1460"/>
      <c r="D616" s="1460"/>
      <c r="E616" s="1460"/>
      <c r="F616" s="304"/>
      <c r="G616" s="307" t="s">
        <v>1056</v>
      </c>
      <c r="H616" s="1214">
        <v>650</v>
      </c>
      <c r="I616" s="1214"/>
      <c r="J616" s="1484" t="s">
        <v>1057</v>
      </c>
      <c r="K616" s="1484"/>
      <c r="L616" s="1214">
        <v>350</v>
      </c>
      <c r="M616" s="1214"/>
      <c r="N616" s="1484" t="s">
        <v>1057</v>
      </c>
      <c r="O616" s="1484"/>
      <c r="P616" s="99"/>
    </row>
    <row r="617" spans="1:18">
      <c r="A617" s="493"/>
      <c r="B617" s="504"/>
      <c r="C617" s="461"/>
      <c r="D617" s="462"/>
      <c r="E617" s="462"/>
      <c r="F617" s="308"/>
      <c r="G617" s="1214"/>
      <c r="H617" s="1214"/>
      <c r="I617" s="1214"/>
      <c r="J617" s="1214"/>
      <c r="K617" s="1214"/>
      <c r="L617" s="1214"/>
      <c r="M617" s="1214"/>
      <c r="N617" s="1214"/>
      <c r="O617" s="1214"/>
      <c r="P617" s="99"/>
    </row>
    <row r="618" spans="1:18" ht="12.75" customHeight="1">
      <c r="A618" s="493"/>
      <c r="B618" s="1365" t="s">
        <v>1308</v>
      </c>
      <c r="C618" s="1365"/>
      <c r="D618" s="1365"/>
      <c r="E618" s="1365"/>
      <c r="F618" s="425"/>
      <c r="G618" s="1214"/>
      <c r="H618" s="1214"/>
      <c r="I618" s="1214"/>
      <c r="J618" s="1214"/>
      <c r="K618" s="1214"/>
      <c r="L618" s="1214"/>
      <c r="M618" s="1214"/>
      <c r="N618" s="1214"/>
      <c r="O618" s="1214"/>
      <c r="P618" s="99"/>
    </row>
    <row r="619" spans="1:18" ht="12.75" customHeight="1">
      <c r="A619" s="493">
        <v>1</v>
      </c>
      <c r="B619" s="1460" t="s">
        <v>1309</v>
      </c>
      <c r="C619" s="1460"/>
      <c r="D619" s="1460"/>
      <c r="E619" s="1460"/>
      <c r="F619" s="304"/>
      <c r="G619" s="307" t="s">
        <v>1056</v>
      </c>
      <c r="H619" s="1214">
        <v>1200</v>
      </c>
      <c r="I619" s="1214"/>
      <c r="J619" s="1484" t="s">
        <v>1057</v>
      </c>
      <c r="K619" s="1484"/>
      <c r="L619" s="1214">
        <v>1800</v>
      </c>
      <c r="M619" s="1214"/>
      <c r="N619" s="1484" t="s">
        <v>1057</v>
      </c>
      <c r="O619" s="1484"/>
      <c r="P619" s="99"/>
      <c r="Q619" s="99"/>
      <c r="R619" s="99"/>
    </row>
    <row r="620" spans="1:18" ht="12.75" customHeight="1">
      <c r="A620" s="493">
        <v>2</v>
      </c>
      <c r="B620" s="1460" t="s">
        <v>1310</v>
      </c>
      <c r="C620" s="1460"/>
      <c r="D620" s="1460"/>
      <c r="E620" s="1460"/>
      <c r="F620" s="304"/>
      <c r="G620" s="307" t="s">
        <v>1056</v>
      </c>
      <c r="H620" s="1214">
        <v>1000</v>
      </c>
      <c r="I620" s="1214"/>
      <c r="J620" s="1484" t="s">
        <v>1057</v>
      </c>
      <c r="K620" s="1484"/>
      <c r="L620" s="1214">
        <v>1500</v>
      </c>
      <c r="M620" s="1214"/>
      <c r="N620" s="1484" t="s">
        <v>1057</v>
      </c>
      <c r="O620" s="1484"/>
      <c r="P620" s="99"/>
      <c r="Q620" s="99"/>
      <c r="R620" s="99"/>
    </row>
    <row r="621" spans="1:18" ht="12.75" customHeight="1">
      <c r="A621" s="493">
        <v>3</v>
      </c>
      <c r="B621" s="1460" t="s">
        <v>1311</v>
      </c>
      <c r="C621" s="1460"/>
      <c r="D621" s="1460"/>
      <c r="E621" s="1460"/>
      <c r="F621" s="304"/>
      <c r="G621" s="307" t="s">
        <v>1056</v>
      </c>
      <c r="H621" s="1214">
        <v>975</v>
      </c>
      <c r="I621" s="1214"/>
      <c r="J621" s="1484" t="s">
        <v>1057</v>
      </c>
      <c r="K621" s="1484"/>
      <c r="L621" s="1214">
        <v>975</v>
      </c>
      <c r="M621" s="1214"/>
      <c r="N621" s="1484" t="s">
        <v>1057</v>
      </c>
      <c r="O621" s="1484"/>
      <c r="P621" s="99"/>
      <c r="Q621" s="99"/>
      <c r="R621" s="99"/>
    </row>
    <row r="622" spans="1:18" ht="12.75" customHeight="1">
      <c r="A622" s="493">
        <v>4</v>
      </c>
      <c r="B622" s="1460" t="s">
        <v>1312</v>
      </c>
      <c r="C622" s="1460"/>
      <c r="D622" s="1460"/>
      <c r="E622" s="1460"/>
      <c r="F622" s="304"/>
      <c r="G622" s="307" t="s">
        <v>1056</v>
      </c>
      <c r="H622" s="1214">
        <v>800</v>
      </c>
      <c r="I622" s="1214"/>
      <c r="J622" s="1484" t="s">
        <v>1057</v>
      </c>
      <c r="K622" s="1484"/>
      <c r="L622" s="1214">
        <v>800</v>
      </c>
      <c r="M622" s="1214"/>
      <c r="N622" s="1214">
        <v>400</v>
      </c>
      <c r="O622" s="1214"/>
      <c r="P622" s="99"/>
      <c r="Q622" s="99"/>
      <c r="R622" s="99"/>
    </row>
    <row r="623" spans="1:18" ht="12.75" customHeight="1">
      <c r="A623" s="493">
        <v>5</v>
      </c>
      <c r="B623" s="1460" t="s">
        <v>1313</v>
      </c>
      <c r="C623" s="1460"/>
      <c r="D623" s="1460"/>
      <c r="E623" s="1460"/>
      <c r="F623" s="304"/>
      <c r="G623" s="307" t="s">
        <v>1056</v>
      </c>
      <c r="H623" s="1214">
        <v>700</v>
      </c>
      <c r="I623" s="1214"/>
      <c r="J623" s="1484" t="s">
        <v>1057</v>
      </c>
      <c r="K623" s="1484"/>
      <c r="L623" s="1214">
        <v>700</v>
      </c>
      <c r="M623" s="1214"/>
      <c r="N623" s="1214">
        <v>300</v>
      </c>
      <c r="O623" s="1214"/>
      <c r="P623" s="99"/>
      <c r="Q623" s="99"/>
      <c r="R623" s="99"/>
    </row>
    <row r="624" spans="1:18" ht="12.75" customHeight="1">
      <c r="A624" s="493">
        <v>6</v>
      </c>
      <c r="B624" s="1460" t="s">
        <v>1314</v>
      </c>
      <c r="C624" s="1460"/>
      <c r="D624" s="1460"/>
      <c r="E624" s="1460"/>
      <c r="F624" s="304"/>
      <c r="G624" s="307" t="s">
        <v>1056</v>
      </c>
      <c r="H624" s="1214">
        <v>700</v>
      </c>
      <c r="I624" s="1214"/>
      <c r="J624" s="1484" t="s">
        <v>1057</v>
      </c>
      <c r="K624" s="1484"/>
      <c r="L624" s="1214">
        <v>700</v>
      </c>
      <c r="M624" s="1214"/>
      <c r="N624" s="1214" t="s">
        <v>1057</v>
      </c>
      <c r="O624" s="1214"/>
      <c r="P624" s="99"/>
      <c r="Q624" s="99"/>
      <c r="R624" s="99"/>
    </row>
    <row r="625" spans="1:16">
      <c r="H625" s="99"/>
      <c r="P625" s="99"/>
    </row>
    <row r="626" spans="1:16" ht="12.75" customHeight="1">
      <c r="B626" s="1569" t="s">
        <v>1315</v>
      </c>
      <c r="C626" s="1569"/>
      <c r="D626" s="1569"/>
      <c r="E626" s="1569"/>
      <c r="F626" s="312"/>
      <c r="H626" s="99"/>
      <c r="P626" s="99"/>
    </row>
    <row r="627" spans="1:16" ht="12.75" customHeight="1">
      <c r="A627" s="493">
        <v>1</v>
      </c>
      <c r="B627" s="1460" t="s">
        <v>1316</v>
      </c>
      <c r="C627" s="1460"/>
      <c r="D627" s="1460"/>
      <c r="E627" s="1460"/>
      <c r="F627" s="304"/>
      <c r="G627" s="298" t="s">
        <v>2235</v>
      </c>
      <c r="H627" s="1214">
        <v>1450</v>
      </c>
      <c r="I627" s="1214"/>
      <c r="J627" s="1484" t="s">
        <v>1057</v>
      </c>
      <c r="K627" s="1214"/>
      <c r="L627" s="1214">
        <v>1700</v>
      </c>
      <c r="M627" s="1214"/>
      <c r="N627" s="1484" t="s">
        <v>1057</v>
      </c>
      <c r="O627" s="1214"/>
      <c r="P627" s="99"/>
    </row>
    <row r="628" spans="1:16" ht="12.75" customHeight="1">
      <c r="A628" s="493">
        <v>2</v>
      </c>
      <c r="B628" s="1460" t="s">
        <v>1317</v>
      </c>
      <c r="C628" s="1460"/>
      <c r="D628" s="1460"/>
      <c r="E628" s="1460"/>
      <c r="F628" s="304"/>
      <c r="G628" s="298" t="s">
        <v>2236</v>
      </c>
      <c r="H628" s="1214">
        <v>800</v>
      </c>
      <c r="I628" s="1214"/>
      <c r="J628" s="1484" t="s">
        <v>1057</v>
      </c>
      <c r="K628" s="1214"/>
      <c r="L628" s="1214">
        <v>900</v>
      </c>
      <c r="M628" s="1214"/>
      <c r="N628" s="1484" t="s">
        <v>1057</v>
      </c>
      <c r="O628" s="1214"/>
      <c r="P628" s="99"/>
    </row>
    <row r="630" spans="1:16" ht="12.75" customHeight="1">
      <c r="B630" s="1490" t="s">
        <v>1318</v>
      </c>
      <c r="C630" s="1490"/>
      <c r="D630" s="1490"/>
      <c r="E630" s="1490"/>
      <c r="F630" s="306"/>
      <c r="H630" s="99"/>
      <c r="I630" s="99"/>
    </row>
    <row r="631" spans="1:16" ht="12.75" customHeight="1">
      <c r="A631" s="495">
        <v>1</v>
      </c>
      <c r="B631" s="1460" t="s">
        <v>1319</v>
      </c>
      <c r="C631" s="1460"/>
      <c r="D631" s="1460"/>
      <c r="E631" s="1460"/>
      <c r="F631" s="304"/>
      <c r="G631" s="1214"/>
      <c r="H631" s="1214"/>
      <c r="I631" s="1214"/>
      <c r="J631" s="1214"/>
      <c r="K631" s="1214"/>
      <c r="L631" s="1214"/>
      <c r="M631" s="1214"/>
      <c r="N631" s="1214"/>
      <c r="O631" s="1214"/>
    </row>
    <row r="632" spans="1:16">
      <c r="A632" s="1483"/>
      <c r="B632" s="1393"/>
      <c r="C632" s="1423" t="s">
        <v>1320</v>
      </c>
      <c r="D632" s="1423"/>
      <c r="E632" s="1423"/>
      <c r="F632" s="304"/>
      <c r="G632" s="307" t="s">
        <v>1056</v>
      </c>
      <c r="H632" s="1214">
        <v>975</v>
      </c>
      <c r="I632" s="1214"/>
      <c r="J632" s="1484" t="s">
        <v>1057</v>
      </c>
      <c r="K632" s="1214"/>
      <c r="L632" s="1214">
        <v>975</v>
      </c>
      <c r="M632" s="1214"/>
      <c r="N632" s="1484" t="s">
        <v>1057</v>
      </c>
      <c r="O632" s="1214"/>
    </row>
    <row r="633" spans="1:16">
      <c r="A633" s="1393"/>
      <c r="B633" s="1393"/>
      <c r="C633" s="1423" t="s">
        <v>1321</v>
      </c>
      <c r="D633" s="1423"/>
      <c r="E633" s="1423"/>
      <c r="F633" s="304"/>
      <c r="G633" s="307" t="s">
        <v>1056</v>
      </c>
      <c r="H633" s="1214">
        <v>800</v>
      </c>
      <c r="I633" s="1214"/>
      <c r="J633" s="1484" t="s">
        <v>1057</v>
      </c>
      <c r="K633" s="1214"/>
      <c r="L633" s="1214">
        <v>900</v>
      </c>
      <c r="M633" s="1214"/>
      <c r="N633" s="1484" t="s">
        <v>1057</v>
      </c>
      <c r="O633" s="1214"/>
    </row>
    <row r="634" spans="1:16">
      <c r="A634" s="1393"/>
      <c r="B634" s="1393"/>
      <c r="C634" s="1423" t="s">
        <v>1322</v>
      </c>
      <c r="D634" s="1423"/>
      <c r="E634" s="1423"/>
      <c r="F634" s="304"/>
      <c r="G634" s="1214"/>
      <c r="H634" s="1214"/>
      <c r="I634" s="1214"/>
      <c r="J634" s="1214"/>
      <c r="K634" s="1214"/>
      <c r="L634" s="1214"/>
      <c r="M634" s="1214"/>
      <c r="N634" s="1214"/>
      <c r="O634" s="1214"/>
    </row>
    <row r="635" spans="1:16">
      <c r="A635" s="1393"/>
      <c r="B635" s="1393"/>
      <c r="C635" s="1423" t="s">
        <v>1323</v>
      </c>
      <c r="D635" s="1423"/>
      <c r="E635" s="1423"/>
      <c r="F635" s="304"/>
      <c r="G635" s="307" t="s">
        <v>1056</v>
      </c>
      <c r="H635" s="1214">
        <v>550</v>
      </c>
      <c r="I635" s="1214"/>
      <c r="J635" s="1214" t="s">
        <v>1057</v>
      </c>
      <c r="K635" s="1214"/>
      <c r="L635" s="1214">
        <v>750</v>
      </c>
      <c r="M635" s="1214"/>
      <c r="N635" s="1214" t="s">
        <v>1057</v>
      </c>
      <c r="O635" s="1214"/>
    </row>
    <row r="636" spans="1:16" ht="12.75" customHeight="1">
      <c r="A636" s="495">
        <v>2</v>
      </c>
      <c r="B636" s="1459" t="s">
        <v>2237</v>
      </c>
      <c r="C636" s="1460"/>
      <c r="D636" s="1460"/>
      <c r="E636" s="1460"/>
      <c r="F636" s="304"/>
      <c r="G636" s="1214"/>
      <c r="H636" s="1214"/>
      <c r="I636" s="1214"/>
      <c r="J636" s="1214"/>
      <c r="K636" s="1214"/>
      <c r="L636" s="1214"/>
      <c r="M636" s="1214"/>
      <c r="N636" s="1214"/>
      <c r="O636" s="1214"/>
    </row>
    <row r="637" spans="1:16">
      <c r="A637" s="1483"/>
      <c r="B637" s="1393"/>
      <c r="C637" s="1423" t="s">
        <v>1324</v>
      </c>
      <c r="D637" s="1423"/>
      <c r="E637" s="1423"/>
      <c r="F637" s="304"/>
      <c r="G637" s="307" t="s">
        <v>1056</v>
      </c>
      <c r="H637" s="1214">
        <v>550</v>
      </c>
      <c r="I637" s="1214"/>
      <c r="J637" s="1214">
        <v>325</v>
      </c>
      <c r="K637" s="1214"/>
      <c r="L637" s="1214">
        <v>850</v>
      </c>
      <c r="M637" s="1214"/>
      <c r="N637" s="1214" t="s">
        <v>1057</v>
      </c>
      <c r="O637" s="1214"/>
    </row>
    <row r="638" spans="1:16">
      <c r="A638" s="1393"/>
      <c r="B638" s="1393"/>
      <c r="C638" s="1423" t="s">
        <v>1325</v>
      </c>
      <c r="D638" s="1423"/>
      <c r="E638" s="1423"/>
      <c r="F638" s="304"/>
      <c r="G638" s="307" t="s">
        <v>1056</v>
      </c>
      <c r="H638" s="1214">
        <v>500</v>
      </c>
      <c r="I638" s="1214"/>
      <c r="J638" s="1214">
        <v>325</v>
      </c>
      <c r="K638" s="1214"/>
      <c r="L638" s="1214">
        <v>800</v>
      </c>
      <c r="M638" s="1214"/>
      <c r="N638" s="1214" t="s">
        <v>1057</v>
      </c>
      <c r="O638" s="1214"/>
    </row>
    <row r="639" spans="1:16">
      <c r="A639" s="1393"/>
      <c r="B639" s="1393"/>
      <c r="C639" s="1423" t="s">
        <v>1326</v>
      </c>
      <c r="D639" s="1423"/>
      <c r="E639" s="1423"/>
      <c r="F639" s="304"/>
      <c r="G639" s="1214"/>
      <c r="H639" s="1214"/>
      <c r="I639" s="1214"/>
      <c r="J639" s="1214"/>
      <c r="K639" s="1214"/>
      <c r="L639" s="1214"/>
      <c r="M639" s="1214"/>
      <c r="N639" s="1214"/>
      <c r="O639" s="1214"/>
    </row>
    <row r="640" spans="1:16" ht="12.75" customHeight="1">
      <c r="A640" s="1393"/>
      <c r="B640" s="1393"/>
      <c r="C640" s="1423" t="s">
        <v>1327</v>
      </c>
      <c r="D640" s="1423"/>
      <c r="E640" s="1423"/>
      <c r="F640" s="304"/>
      <c r="G640" s="307" t="s">
        <v>1056</v>
      </c>
      <c r="H640" s="1214">
        <v>550</v>
      </c>
      <c r="I640" s="1214"/>
      <c r="J640" s="1214">
        <v>325</v>
      </c>
      <c r="K640" s="1214"/>
      <c r="L640" s="1214">
        <v>750</v>
      </c>
      <c r="M640" s="1214"/>
      <c r="N640" s="1214" t="s">
        <v>1057</v>
      </c>
      <c r="O640" s="1214"/>
      <c r="P640" s="99"/>
    </row>
    <row r="641" spans="1:17" ht="12.75" customHeight="1">
      <c r="A641" s="1393"/>
      <c r="B641" s="1393"/>
      <c r="C641" s="1423" t="s">
        <v>1328</v>
      </c>
      <c r="D641" s="1423"/>
      <c r="E641" s="1423"/>
      <c r="F641" s="304"/>
      <c r="G641" s="307" t="s">
        <v>1056</v>
      </c>
      <c r="H641" s="1214">
        <v>500</v>
      </c>
      <c r="I641" s="1214"/>
      <c r="J641" s="1214">
        <v>325</v>
      </c>
      <c r="K641" s="1214"/>
      <c r="L641" s="1214">
        <v>325</v>
      </c>
      <c r="M641" s="1214"/>
      <c r="N641" s="1214" t="s">
        <v>1057</v>
      </c>
      <c r="O641" s="1214"/>
      <c r="P641" s="99"/>
    </row>
    <row r="642" spans="1:17" ht="12.75" customHeight="1">
      <c r="A642" s="1393"/>
      <c r="B642" s="1393"/>
      <c r="C642" s="1423" t="s">
        <v>1329</v>
      </c>
      <c r="D642" s="1423"/>
      <c r="E642" s="1423"/>
      <c r="F642" s="304"/>
      <c r="G642" s="307" t="s">
        <v>1056</v>
      </c>
      <c r="H642" s="1214">
        <v>500</v>
      </c>
      <c r="I642" s="1214"/>
      <c r="J642" s="1214">
        <v>325</v>
      </c>
      <c r="K642" s="1214"/>
      <c r="L642" s="1214">
        <v>850</v>
      </c>
      <c r="M642" s="1214"/>
      <c r="N642" s="1214" t="s">
        <v>1057</v>
      </c>
      <c r="O642" s="1214"/>
      <c r="P642" s="99"/>
    </row>
    <row r="643" spans="1:17" ht="12.75" customHeight="1">
      <c r="A643" s="498">
        <v>3</v>
      </c>
      <c r="B643" s="506"/>
      <c r="C643" s="1422" t="s">
        <v>2238</v>
      </c>
      <c r="D643" s="1423"/>
      <c r="E643" s="1423"/>
      <c r="F643" s="304"/>
      <c r="G643" s="307" t="s">
        <v>1056</v>
      </c>
      <c r="H643" s="1214">
        <v>575</v>
      </c>
      <c r="I643" s="1214"/>
      <c r="J643" s="1214" t="s">
        <v>1057</v>
      </c>
      <c r="K643" s="1214"/>
      <c r="L643" s="1214" t="s">
        <v>1057</v>
      </c>
      <c r="M643" s="1214"/>
      <c r="N643" s="1214">
        <v>400</v>
      </c>
      <c r="O643" s="1214"/>
      <c r="P643" s="99"/>
    </row>
    <row r="644" spans="1:17" ht="12.75" customHeight="1">
      <c r="A644" s="1483"/>
      <c r="B644" s="1483"/>
      <c r="C644" s="1478" t="s">
        <v>1330</v>
      </c>
      <c r="D644" s="1478"/>
      <c r="E644" s="1478"/>
      <c r="F644" s="307"/>
      <c r="G644" s="307" t="s">
        <v>1056</v>
      </c>
      <c r="H644" s="1214">
        <v>500</v>
      </c>
      <c r="I644" s="1214"/>
      <c r="J644" s="1214" t="s">
        <v>1057</v>
      </c>
      <c r="K644" s="1214"/>
      <c r="L644" s="1214" t="s">
        <v>1057</v>
      </c>
      <c r="M644" s="1214"/>
      <c r="N644" s="1214">
        <v>375</v>
      </c>
      <c r="O644" s="1214"/>
      <c r="P644" s="99"/>
    </row>
    <row r="645" spans="1:17" ht="12.75" customHeight="1">
      <c r="A645" s="495">
        <v>4</v>
      </c>
      <c r="B645" s="1460" t="s">
        <v>1331</v>
      </c>
      <c r="C645" s="1460"/>
      <c r="D645" s="1460"/>
      <c r="E645" s="1460"/>
      <c r="F645" s="304"/>
      <c r="G645" s="1214"/>
      <c r="H645" s="1214"/>
      <c r="I645" s="1214"/>
      <c r="J645" s="1214"/>
      <c r="K645" s="1214"/>
      <c r="L645" s="1214"/>
      <c r="M645" s="1214"/>
      <c r="N645" s="1214"/>
      <c r="O645" s="1214"/>
    </row>
    <row r="646" spans="1:17" ht="12.75" customHeight="1">
      <c r="A646" s="496"/>
      <c r="B646" s="1310" t="s">
        <v>1332</v>
      </c>
      <c r="C646" s="1310"/>
      <c r="D646" s="1310"/>
      <c r="E646" s="1310"/>
      <c r="F646" s="423"/>
      <c r="G646" s="1214"/>
      <c r="H646" s="1214"/>
      <c r="I646" s="1214"/>
      <c r="J646" s="1214"/>
      <c r="K646" s="1214"/>
      <c r="L646" s="1214"/>
      <c r="M646" s="1214"/>
      <c r="N646" s="1214"/>
      <c r="O646" s="1214"/>
      <c r="P646" s="99"/>
      <c r="Q646" s="99"/>
    </row>
    <row r="647" spans="1:17">
      <c r="A647" s="1483"/>
      <c r="B647" s="1393"/>
      <c r="C647" s="1508" t="s">
        <v>1333</v>
      </c>
      <c r="D647" s="1508"/>
      <c r="E647" s="1508"/>
      <c r="F647" s="423"/>
      <c r="G647" s="307" t="s">
        <v>1056</v>
      </c>
      <c r="H647" s="1214">
        <v>800</v>
      </c>
      <c r="I647" s="1214"/>
      <c r="J647" s="1214" t="s">
        <v>1057</v>
      </c>
      <c r="K647" s="1214"/>
      <c r="L647" s="307">
        <v>750</v>
      </c>
      <c r="M647" s="296"/>
      <c r="N647" s="1214" t="s">
        <v>1057</v>
      </c>
      <c r="O647" s="1214"/>
      <c r="P647" s="99"/>
      <c r="Q647" s="99"/>
    </row>
    <row r="648" spans="1:17" ht="14.25" customHeight="1">
      <c r="A648" s="1571"/>
      <c r="B648" s="1393"/>
      <c r="C648" s="1508" t="s">
        <v>1334</v>
      </c>
      <c r="D648" s="1508"/>
      <c r="E648" s="1508"/>
      <c r="F648" s="423"/>
      <c r="G648" s="307" t="s">
        <v>1056</v>
      </c>
      <c r="H648" s="1214">
        <v>750</v>
      </c>
      <c r="I648" s="1214"/>
      <c r="J648" s="1214" t="s">
        <v>1057</v>
      </c>
      <c r="K648" s="1214"/>
      <c r="L648" s="307">
        <v>700</v>
      </c>
      <c r="M648" s="296"/>
      <c r="N648" s="1214" t="s">
        <v>1057</v>
      </c>
      <c r="O648" s="1214"/>
      <c r="P648" s="99"/>
      <c r="Q648" s="99"/>
    </row>
    <row r="649" spans="1:17" ht="12.75" customHeight="1">
      <c r="A649" s="492"/>
      <c r="B649" s="1460" t="s">
        <v>1335</v>
      </c>
      <c r="C649" s="1460"/>
      <c r="D649" s="1460"/>
      <c r="E649" s="1460"/>
      <c r="F649" s="304"/>
      <c r="G649" s="307" t="s">
        <v>1056</v>
      </c>
      <c r="H649" s="1214">
        <v>650</v>
      </c>
      <c r="I649" s="1214"/>
      <c r="J649" s="1214" t="s">
        <v>1057</v>
      </c>
      <c r="K649" s="1214"/>
      <c r="L649" s="307">
        <v>350</v>
      </c>
      <c r="M649" s="296"/>
      <c r="N649" s="1214" t="s">
        <v>1057</v>
      </c>
      <c r="O649" s="1214"/>
      <c r="P649" s="99"/>
    </row>
    <row r="651" spans="1:17">
      <c r="A651" s="475" t="s">
        <v>2185</v>
      </c>
      <c r="B651" s="310" t="s">
        <v>1056</v>
      </c>
      <c r="C651" s="1302" t="s">
        <v>2234</v>
      </c>
      <c r="D651" s="1302"/>
      <c r="E651" s="1302"/>
      <c r="F651" s="1302"/>
      <c r="G651" s="1302"/>
      <c r="H651" s="1302"/>
      <c r="I651" s="1302"/>
      <c r="J651" s="1302"/>
      <c r="K651" s="1302"/>
      <c r="L651" s="1302"/>
      <c r="M651" s="1302"/>
      <c r="N651" s="1302"/>
      <c r="O651" s="1302"/>
      <c r="P651" s="99"/>
    </row>
    <row r="652" spans="1:17" ht="18" customHeight="1">
      <c r="B652" s="507"/>
      <c r="C652" s="465"/>
      <c r="D652" s="465"/>
      <c r="E652" s="465"/>
      <c r="F652" s="185"/>
      <c r="G652" s="293"/>
      <c r="H652" s="185"/>
      <c r="I652" s="185"/>
      <c r="J652" s="293"/>
      <c r="K652" s="293"/>
      <c r="L652" s="293"/>
      <c r="M652" s="185"/>
      <c r="N652" s="185"/>
      <c r="O652" s="185"/>
    </row>
    <row r="653" spans="1:17" ht="6.75" customHeight="1">
      <c r="D653" s="453"/>
      <c r="E653" s="453"/>
      <c r="F653" s="295"/>
      <c r="H653" s="295"/>
      <c r="I653" s="295"/>
      <c r="M653" s="295"/>
      <c r="N653" s="295"/>
      <c r="O653" s="295"/>
    </row>
    <row r="654" spans="1:17" ht="12.75" customHeight="1">
      <c r="B654" s="1490" t="s">
        <v>1336</v>
      </c>
      <c r="C654" s="1490"/>
      <c r="D654" s="1490"/>
      <c r="E654" s="1490"/>
      <c r="F654" s="306"/>
    </row>
    <row r="655" spans="1:17" ht="12.75" customHeight="1">
      <c r="B655" s="1490" t="s">
        <v>1337</v>
      </c>
      <c r="C655" s="1490"/>
      <c r="D655" s="1490"/>
      <c r="E655" s="1490"/>
      <c r="F655" s="306"/>
    </row>
    <row r="656" spans="1:17" ht="12.75" customHeight="1">
      <c r="A656" s="493">
        <v>1</v>
      </c>
      <c r="B656" s="1363" t="s">
        <v>1338</v>
      </c>
      <c r="C656" s="1363"/>
      <c r="D656" s="1363"/>
      <c r="E656" s="1363"/>
      <c r="F656" s="308"/>
      <c r="G656" s="1214"/>
      <c r="H656" s="1214"/>
      <c r="I656" s="1214"/>
      <c r="J656" s="1214"/>
      <c r="K656" s="1214"/>
      <c r="L656" s="1214"/>
      <c r="M656" s="1214"/>
      <c r="N656" s="1214"/>
      <c r="O656" s="1214"/>
    </row>
    <row r="657" spans="1:17" ht="12.75" customHeight="1">
      <c r="A657" s="1426"/>
      <c r="B657" s="1336" t="s">
        <v>1339</v>
      </c>
      <c r="C657" s="1336"/>
      <c r="D657" s="1336"/>
      <c r="E657" s="1336"/>
      <c r="F657" s="296"/>
      <c r="G657" s="1214"/>
      <c r="H657" s="1214"/>
      <c r="I657" s="1214"/>
      <c r="J657" s="1214"/>
      <c r="K657" s="1214"/>
      <c r="L657" s="1214"/>
      <c r="M657" s="1214"/>
      <c r="N657" s="1214"/>
      <c r="O657" s="1214"/>
      <c r="P657" s="99"/>
      <c r="Q657" s="99"/>
    </row>
    <row r="658" spans="1:17" ht="12.75" customHeight="1">
      <c r="A658" s="1433"/>
      <c r="B658" s="1336" t="s">
        <v>1340</v>
      </c>
      <c r="C658" s="1336"/>
      <c r="D658" s="1336"/>
      <c r="E658" s="1336"/>
      <c r="F658" s="296"/>
      <c r="G658" s="1214"/>
      <c r="H658" s="1214"/>
      <c r="I658" s="1214"/>
      <c r="J658" s="1214"/>
      <c r="K658" s="1214"/>
      <c r="L658" s="1214"/>
      <c r="M658" s="1214"/>
      <c r="N658" s="1214"/>
      <c r="O658" s="1214"/>
      <c r="P658" s="99"/>
      <c r="Q658" s="99"/>
    </row>
    <row r="659" spans="1:17">
      <c r="A659" s="1483"/>
      <c r="B659" s="1393"/>
      <c r="C659" s="1478" t="s">
        <v>1305</v>
      </c>
      <c r="D659" s="1478"/>
      <c r="E659" s="463"/>
      <c r="F659" s="307"/>
      <c r="G659" s="307" t="s">
        <v>1056</v>
      </c>
      <c r="H659" s="1214">
        <v>800</v>
      </c>
      <c r="I659" s="1214"/>
      <c r="J659" s="1214" t="s">
        <v>1057</v>
      </c>
      <c r="K659" s="1214"/>
      <c r="L659" s="1214">
        <v>750</v>
      </c>
      <c r="M659" s="1214"/>
      <c r="N659" s="1214" t="s">
        <v>1057</v>
      </c>
      <c r="O659" s="1214"/>
      <c r="P659" s="99"/>
    </row>
    <row r="660" spans="1:17" ht="12.75" customHeight="1">
      <c r="A660" s="1393"/>
      <c r="B660" s="1393"/>
      <c r="C660" s="1423" t="s">
        <v>1058</v>
      </c>
      <c r="D660" s="1423"/>
      <c r="E660" s="1423"/>
      <c r="F660" s="304"/>
      <c r="G660" s="307" t="s">
        <v>1056</v>
      </c>
      <c r="H660" s="1214">
        <v>750</v>
      </c>
      <c r="I660" s="1214"/>
      <c r="J660" s="1214" t="s">
        <v>1057</v>
      </c>
      <c r="K660" s="1214"/>
      <c r="L660" s="1214">
        <v>700</v>
      </c>
      <c r="M660" s="1214"/>
      <c r="N660" s="1214" t="s">
        <v>1057</v>
      </c>
      <c r="O660" s="1214"/>
      <c r="P660" s="99"/>
    </row>
    <row r="661" spans="1:17" ht="12.75" customHeight="1">
      <c r="A661" s="1393"/>
      <c r="B661" s="1393"/>
      <c r="C661" s="1423" t="s">
        <v>1341</v>
      </c>
      <c r="D661" s="1423"/>
      <c r="E661" s="1423"/>
      <c r="F661" s="304"/>
      <c r="G661" s="1214"/>
      <c r="H661" s="1214"/>
      <c r="I661" s="1214"/>
      <c r="J661" s="1214"/>
      <c r="K661" s="1214"/>
      <c r="L661" s="1214"/>
      <c r="M661" s="1214"/>
      <c r="N661" s="1214"/>
      <c r="O661" s="1214"/>
      <c r="P661" s="99"/>
    </row>
    <row r="662" spans="1:17" ht="12.75" customHeight="1">
      <c r="A662" s="1393"/>
      <c r="B662" s="1393"/>
      <c r="C662" s="1423" t="s">
        <v>1342</v>
      </c>
      <c r="D662" s="1423"/>
      <c r="E662" s="1423"/>
      <c r="F662" s="304"/>
      <c r="G662" s="307" t="s">
        <v>1056</v>
      </c>
      <c r="H662" s="1214">
        <v>650</v>
      </c>
      <c r="I662" s="1214"/>
      <c r="J662" s="1214" t="s">
        <v>1057</v>
      </c>
      <c r="K662" s="1214"/>
      <c r="L662" s="1214">
        <v>600</v>
      </c>
      <c r="M662" s="1214"/>
      <c r="N662" s="1214" t="s">
        <v>1057</v>
      </c>
      <c r="O662" s="1214"/>
      <c r="P662" s="99"/>
    </row>
    <row r="663" spans="1:17" ht="12.75" customHeight="1">
      <c r="A663" s="493">
        <v>2</v>
      </c>
      <c r="B663" s="1460" t="s">
        <v>1343</v>
      </c>
      <c r="C663" s="1460"/>
      <c r="D663" s="1460"/>
      <c r="E663" s="1460"/>
      <c r="F663" s="304"/>
      <c r="G663" s="307" t="s">
        <v>1056</v>
      </c>
      <c r="H663" s="1214">
        <v>800</v>
      </c>
      <c r="I663" s="1214"/>
      <c r="J663" s="1214" t="s">
        <v>1057</v>
      </c>
      <c r="K663" s="1214"/>
      <c r="L663" s="1214">
        <v>750</v>
      </c>
      <c r="M663" s="1214"/>
      <c r="N663" s="1214">
        <v>400</v>
      </c>
      <c r="O663" s="1214"/>
      <c r="P663" s="99"/>
    </row>
    <row r="664" spans="1:17" ht="12.75" customHeight="1">
      <c r="A664" s="493">
        <v>3</v>
      </c>
      <c r="B664" s="1460" t="s">
        <v>1344</v>
      </c>
      <c r="C664" s="1460"/>
      <c r="D664" s="1460"/>
      <c r="E664" s="1460"/>
      <c r="F664" s="304"/>
      <c r="G664" s="307" t="s">
        <v>1056</v>
      </c>
      <c r="H664" s="1214">
        <v>650</v>
      </c>
      <c r="I664" s="1214"/>
      <c r="J664" s="1214" t="s">
        <v>1057</v>
      </c>
      <c r="K664" s="1214"/>
      <c r="L664" s="1214">
        <v>600</v>
      </c>
      <c r="M664" s="1214"/>
      <c r="N664" s="1214" t="s">
        <v>1057</v>
      </c>
      <c r="O664" s="1214"/>
      <c r="P664" s="99"/>
    </row>
    <row r="665" spans="1:17" ht="12.75" customHeight="1">
      <c r="A665" s="493">
        <v>4</v>
      </c>
      <c r="B665" s="1460" t="s">
        <v>1345</v>
      </c>
      <c r="C665" s="1460"/>
      <c r="D665" s="1460"/>
      <c r="E665" s="1460"/>
      <c r="F665" s="304"/>
      <c r="G665" s="307" t="s">
        <v>1056</v>
      </c>
      <c r="H665" s="1214">
        <v>700</v>
      </c>
      <c r="I665" s="1214"/>
      <c r="J665" s="1214" t="s">
        <v>1057</v>
      </c>
      <c r="K665" s="1214"/>
      <c r="L665" s="1214">
        <v>350</v>
      </c>
      <c r="M665" s="1214"/>
      <c r="N665" s="1214" t="s">
        <v>1057</v>
      </c>
      <c r="O665" s="1214"/>
      <c r="P665" s="99"/>
    </row>
    <row r="666" spans="1:17" ht="12.75" customHeight="1">
      <c r="A666" s="495">
        <v>5</v>
      </c>
      <c r="B666" s="1460" t="s">
        <v>1346</v>
      </c>
      <c r="C666" s="1460"/>
      <c r="D666" s="1460"/>
      <c r="E666" s="1460"/>
      <c r="F666" s="304"/>
      <c r="G666" s="1214"/>
      <c r="H666" s="1214"/>
      <c r="I666" s="1214"/>
      <c r="J666" s="1214"/>
      <c r="K666" s="1214"/>
      <c r="L666" s="1214"/>
      <c r="M666" s="1214"/>
      <c r="N666" s="1214"/>
      <c r="O666" s="1214"/>
      <c r="P666" s="99"/>
    </row>
    <row r="667" spans="1:17" ht="12.75" customHeight="1">
      <c r="A667" s="492"/>
      <c r="B667" s="1460" t="s">
        <v>1347</v>
      </c>
      <c r="C667" s="1460"/>
      <c r="D667" s="1460"/>
      <c r="E667" s="1460"/>
      <c r="F667" s="304"/>
      <c r="G667" s="307" t="s">
        <v>1056</v>
      </c>
      <c r="H667" s="1214">
        <v>650</v>
      </c>
      <c r="I667" s="1214"/>
      <c r="J667" s="1214" t="s">
        <v>1057</v>
      </c>
      <c r="K667" s="1214"/>
      <c r="L667" s="1214">
        <v>350</v>
      </c>
      <c r="M667" s="1214"/>
      <c r="N667" s="1214" t="s">
        <v>1057</v>
      </c>
      <c r="O667" s="1214"/>
      <c r="P667" s="99"/>
    </row>
    <row r="668" spans="1:17">
      <c r="N668" s="292"/>
    </row>
    <row r="669" spans="1:17" ht="12.75" customHeight="1">
      <c r="B669" s="1490" t="s">
        <v>1348</v>
      </c>
      <c r="C669" s="1490"/>
      <c r="D669" s="1490"/>
      <c r="E669" s="1490"/>
      <c r="F669" s="306"/>
      <c r="G669" s="1411"/>
      <c r="H669" s="1411"/>
      <c r="I669" s="1411"/>
      <c r="J669" s="1411"/>
      <c r="K669" s="1411"/>
      <c r="L669" s="1411"/>
      <c r="M669" s="1411"/>
      <c r="N669" s="1411"/>
      <c r="O669" s="1411"/>
    </row>
    <row r="670" spans="1:17" ht="12.75" customHeight="1">
      <c r="A670" s="493">
        <v>1</v>
      </c>
      <c r="B670" s="1460" t="s">
        <v>1349</v>
      </c>
      <c r="C670" s="1460"/>
      <c r="D670" s="1460"/>
      <c r="E670" s="1460"/>
      <c r="F670" s="304"/>
      <c r="G670" s="307" t="s">
        <v>1056</v>
      </c>
      <c r="H670" s="1214">
        <v>975</v>
      </c>
      <c r="I670" s="1214"/>
      <c r="J670" s="1214" t="s">
        <v>1057</v>
      </c>
      <c r="K670" s="1214"/>
      <c r="L670" s="1214">
        <v>975</v>
      </c>
      <c r="M670" s="1214"/>
      <c r="N670" s="1214" t="s">
        <v>1057</v>
      </c>
      <c r="O670" s="1214"/>
      <c r="P670" s="99"/>
    </row>
    <row r="671" spans="1:17" ht="12.75" customHeight="1">
      <c r="A671" s="493">
        <v>2</v>
      </c>
      <c r="B671" s="1214" t="s">
        <v>1280</v>
      </c>
      <c r="C671" s="1214"/>
      <c r="D671" s="1214"/>
      <c r="E671" s="1214"/>
      <c r="F671" s="307"/>
      <c r="G671" s="307" t="s">
        <v>1056</v>
      </c>
      <c r="H671" s="1214">
        <v>800</v>
      </c>
      <c r="I671" s="1214"/>
      <c r="J671" s="1214" t="s">
        <v>1057</v>
      </c>
      <c r="K671" s="1214"/>
      <c r="L671" s="1214">
        <v>900</v>
      </c>
      <c r="M671" s="1214"/>
      <c r="N671" s="1214" t="s">
        <v>1057</v>
      </c>
      <c r="O671" s="1214"/>
      <c r="P671" s="99"/>
    </row>
    <row r="672" spans="1:17" ht="12.75" customHeight="1">
      <c r="A672" s="493">
        <v>3</v>
      </c>
      <c r="B672" s="1214" t="s">
        <v>1350</v>
      </c>
      <c r="C672" s="1214"/>
      <c r="D672" s="1214"/>
      <c r="E672" s="1214"/>
      <c r="F672" s="307"/>
      <c r="G672" s="307" t="s">
        <v>1056</v>
      </c>
      <c r="H672" s="1214">
        <v>800</v>
      </c>
      <c r="I672" s="1214"/>
      <c r="J672" s="1214" t="s">
        <v>1057</v>
      </c>
      <c r="K672" s="1214"/>
      <c r="L672" s="1214">
        <v>750</v>
      </c>
      <c r="M672" s="1214"/>
      <c r="N672" s="1214" t="s">
        <v>1057</v>
      </c>
      <c r="O672" s="1214"/>
      <c r="P672" s="99"/>
    </row>
    <row r="673" spans="1:19" ht="12.75" customHeight="1">
      <c r="A673" s="495">
        <v>4</v>
      </c>
      <c r="B673" s="1460" t="s">
        <v>1304</v>
      </c>
      <c r="C673" s="1460"/>
      <c r="D673" s="1460"/>
      <c r="E673" s="1460"/>
      <c r="F673" s="304"/>
      <c r="G673" s="1214"/>
      <c r="H673" s="1214"/>
      <c r="I673" s="1214"/>
      <c r="J673" s="1214"/>
      <c r="K673" s="1214"/>
      <c r="L673" s="1214"/>
      <c r="M673" s="1214"/>
      <c r="N673" s="1214"/>
      <c r="O673" s="1214"/>
    </row>
    <row r="674" spans="1:19">
      <c r="A674" s="1485"/>
      <c r="B674" s="1486"/>
      <c r="C674" s="1423" t="s">
        <v>1351</v>
      </c>
      <c r="D674" s="1423"/>
      <c r="E674" s="1423"/>
      <c r="F674" s="304"/>
      <c r="G674" s="307" t="s">
        <v>1056</v>
      </c>
      <c r="H674" s="1214">
        <v>800</v>
      </c>
      <c r="I674" s="1214"/>
      <c r="J674" s="1214" t="s">
        <v>1057</v>
      </c>
      <c r="K674" s="1214"/>
      <c r="L674" s="1214">
        <v>750</v>
      </c>
      <c r="M674" s="1214"/>
      <c r="N674" s="1214" t="s">
        <v>1057</v>
      </c>
      <c r="O674" s="1214"/>
    </row>
    <row r="675" spans="1:19">
      <c r="A675" s="1488"/>
      <c r="B675" s="1489"/>
      <c r="C675" s="1423" t="s">
        <v>1058</v>
      </c>
      <c r="D675" s="1423"/>
      <c r="E675" s="1423"/>
      <c r="F675" s="304"/>
      <c r="G675" s="307" t="s">
        <v>1056</v>
      </c>
      <c r="H675" s="1214">
        <v>750</v>
      </c>
      <c r="I675" s="1214"/>
      <c r="J675" s="1214" t="s">
        <v>1057</v>
      </c>
      <c r="K675" s="1214"/>
      <c r="L675" s="1214">
        <v>700</v>
      </c>
      <c r="M675" s="1214"/>
      <c r="N675" s="1214" t="s">
        <v>1057</v>
      </c>
      <c r="O675" s="1214"/>
    </row>
    <row r="676" spans="1:19" ht="12.75" customHeight="1">
      <c r="A676" s="493">
        <v>5</v>
      </c>
      <c r="B676" s="1460" t="s">
        <v>1352</v>
      </c>
      <c r="C676" s="1460"/>
      <c r="D676" s="1460"/>
      <c r="E676" s="1460"/>
      <c r="F676" s="304"/>
      <c r="G676" s="307" t="s">
        <v>1056</v>
      </c>
      <c r="H676" s="1214">
        <v>650</v>
      </c>
      <c r="I676" s="1214"/>
      <c r="J676" s="1214" t="s">
        <v>1057</v>
      </c>
      <c r="K676" s="1214"/>
      <c r="L676" s="1214">
        <v>350</v>
      </c>
      <c r="M676" s="1214"/>
      <c r="N676" s="1214" t="s">
        <v>1057</v>
      </c>
      <c r="O676" s="1214"/>
      <c r="P676" s="99"/>
    </row>
    <row r="678" spans="1:19" ht="12.75" customHeight="1">
      <c r="B678" s="1490" t="s">
        <v>1353</v>
      </c>
      <c r="C678" s="1490"/>
      <c r="D678" s="1490"/>
      <c r="E678" s="1490"/>
      <c r="F678" s="306"/>
      <c r="G678" s="1411"/>
      <c r="H678" s="1411"/>
      <c r="I678" s="1411"/>
      <c r="J678" s="1411"/>
      <c r="K678" s="1411"/>
      <c r="L678" s="1411"/>
      <c r="M678" s="1411"/>
      <c r="N678" s="1411"/>
      <c r="O678" s="1411"/>
    </row>
    <row r="679" spans="1:19" ht="12.75" customHeight="1">
      <c r="A679" s="493">
        <v>1</v>
      </c>
      <c r="B679" s="1460" t="s">
        <v>1300</v>
      </c>
      <c r="C679" s="1460"/>
      <c r="D679" s="1460"/>
      <c r="E679" s="1460"/>
      <c r="F679" s="304"/>
      <c r="G679" s="307" t="s">
        <v>2239</v>
      </c>
      <c r="H679" s="1214">
        <v>1450</v>
      </c>
      <c r="I679" s="1214"/>
      <c r="J679" s="1214" t="s">
        <v>1057</v>
      </c>
      <c r="K679" s="1214"/>
      <c r="L679" s="1214">
        <v>1700</v>
      </c>
      <c r="M679" s="1214"/>
      <c r="N679" s="1214" t="s">
        <v>1057</v>
      </c>
      <c r="O679" s="1214"/>
      <c r="P679" s="99"/>
      <c r="Q679" s="99"/>
      <c r="R679" s="99"/>
      <c r="S679" s="99"/>
    </row>
    <row r="680" spans="1:19" ht="12.75" customHeight="1">
      <c r="A680" s="493">
        <v>2</v>
      </c>
      <c r="B680" s="1460" t="s">
        <v>1301</v>
      </c>
      <c r="C680" s="1460"/>
      <c r="D680" s="1460"/>
      <c r="E680" s="1460"/>
      <c r="F680" s="304"/>
      <c r="G680" s="307" t="s">
        <v>1056</v>
      </c>
      <c r="H680" s="1214">
        <v>975</v>
      </c>
      <c r="I680" s="1214"/>
      <c r="J680" s="1214" t="s">
        <v>1057</v>
      </c>
      <c r="K680" s="1214"/>
      <c r="L680" s="1214">
        <v>975</v>
      </c>
      <c r="M680" s="1214"/>
      <c r="N680" s="1214" t="s">
        <v>1057</v>
      </c>
      <c r="O680" s="1214"/>
      <c r="P680" s="99"/>
      <c r="Q680" s="99"/>
      <c r="R680" s="99"/>
      <c r="S680" s="99"/>
    </row>
    <row r="682" spans="1:19" s="99" customFormat="1" ht="32.25" customHeight="1">
      <c r="A682" s="475" t="s">
        <v>2185</v>
      </c>
      <c r="B682" s="310" t="s">
        <v>1507</v>
      </c>
      <c r="C682" s="1302" t="s">
        <v>2240</v>
      </c>
      <c r="D682" s="1302"/>
      <c r="E682" s="1302"/>
      <c r="F682" s="1302"/>
      <c r="G682" s="1302"/>
      <c r="H682" s="1302"/>
      <c r="I682" s="1302"/>
      <c r="J682" s="1302"/>
      <c r="K682" s="1302"/>
      <c r="L682" s="1302"/>
      <c r="M682" s="1302"/>
      <c r="N682" s="1302"/>
      <c r="O682" s="1302"/>
    </row>
    <row r="684" spans="1:19" ht="12.75" customHeight="1">
      <c r="B684" s="1490" t="s">
        <v>1354</v>
      </c>
      <c r="C684" s="1490"/>
      <c r="D684" s="1490"/>
      <c r="E684" s="1490"/>
      <c r="F684" s="306"/>
      <c r="G684" s="1411"/>
      <c r="H684" s="1411"/>
      <c r="I684" s="1411"/>
      <c r="J684" s="1411"/>
      <c r="K684" s="1411"/>
      <c r="L684" s="1411"/>
      <c r="M684" s="1411"/>
      <c r="N684" s="1411"/>
      <c r="O684" s="1411"/>
    </row>
    <row r="685" spans="1:19" ht="12.75" customHeight="1">
      <c r="A685" s="493">
        <v>1</v>
      </c>
      <c r="B685" s="1460" t="s">
        <v>1300</v>
      </c>
      <c r="C685" s="1460"/>
      <c r="D685" s="1460"/>
      <c r="E685" s="1460"/>
      <c r="F685" s="304"/>
      <c r="G685" s="298" t="s">
        <v>2239</v>
      </c>
      <c r="H685" s="1214">
        <v>1450</v>
      </c>
      <c r="I685" s="1214"/>
      <c r="J685" s="1484" t="s">
        <v>1057</v>
      </c>
      <c r="K685" s="1484"/>
      <c r="L685" s="1214">
        <v>1700</v>
      </c>
      <c r="M685" s="1214"/>
      <c r="N685" s="1484" t="s">
        <v>1057</v>
      </c>
      <c r="O685" s="1484"/>
      <c r="P685" s="99"/>
      <c r="Q685" s="99"/>
    </row>
    <row r="686" spans="1:19" ht="12.75" customHeight="1">
      <c r="A686" s="493">
        <v>2</v>
      </c>
      <c r="B686" s="1460" t="s">
        <v>1301</v>
      </c>
      <c r="C686" s="1460"/>
      <c r="D686" s="1460"/>
      <c r="E686" s="1460"/>
      <c r="F686" s="304"/>
      <c r="G686" s="307" t="s">
        <v>1056</v>
      </c>
      <c r="H686" s="1214">
        <v>975</v>
      </c>
      <c r="I686" s="1214"/>
      <c r="J686" s="1214" t="s">
        <v>1057</v>
      </c>
      <c r="K686" s="1214"/>
      <c r="L686" s="1214">
        <v>975</v>
      </c>
      <c r="M686" s="1214"/>
      <c r="N686" s="1214" t="s">
        <v>1057</v>
      </c>
      <c r="O686" s="1214"/>
      <c r="P686" s="99"/>
    </row>
    <row r="687" spans="1:19" ht="12.75" customHeight="1">
      <c r="A687" s="495">
        <v>3</v>
      </c>
      <c r="B687" s="1460" t="s">
        <v>1355</v>
      </c>
      <c r="C687" s="1460"/>
      <c r="D687" s="1460"/>
      <c r="E687" s="1460"/>
      <c r="F687" s="304"/>
      <c r="G687" s="1214"/>
      <c r="H687" s="1214"/>
      <c r="I687" s="1214"/>
      <c r="J687" s="1214"/>
      <c r="K687" s="1214"/>
      <c r="L687" s="1214"/>
      <c r="M687" s="1214"/>
      <c r="N687" s="1214"/>
      <c r="O687" s="1214"/>
    </row>
    <row r="688" spans="1:19">
      <c r="A688" s="1483"/>
      <c r="B688" s="1393"/>
      <c r="C688" s="1478" t="s">
        <v>1356</v>
      </c>
      <c r="D688" s="1478"/>
      <c r="E688" s="1478"/>
      <c r="F688" s="307"/>
      <c r="G688" s="307" t="s">
        <v>1056</v>
      </c>
      <c r="H688" s="1214">
        <v>975</v>
      </c>
      <c r="I688" s="1214"/>
      <c r="J688" s="1484" t="s">
        <v>1057</v>
      </c>
      <c r="K688" s="1484"/>
      <c r="L688" s="1214">
        <v>975</v>
      </c>
      <c r="M688" s="1214"/>
      <c r="N688" s="1484" t="s">
        <v>1057</v>
      </c>
      <c r="O688" s="1484"/>
    </row>
    <row r="689" spans="1:16">
      <c r="A689" s="1393"/>
      <c r="B689" s="1393"/>
      <c r="C689" s="1478" t="s">
        <v>1357</v>
      </c>
      <c r="D689" s="1478"/>
      <c r="E689" s="1478"/>
      <c r="F689" s="307"/>
      <c r="G689" s="307" t="s">
        <v>1056</v>
      </c>
      <c r="H689" s="1214">
        <v>800</v>
      </c>
      <c r="I689" s="1214"/>
      <c r="J689" s="1214" t="s">
        <v>1057</v>
      </c>
      <c r="K689" s="1214"/>
      <c r="L689" s="1214">
        <v>900</v>
      </c>
      <c r="M689" s="1214"/>
      <c r="N689" s="1214" t="s">
        <v>1057</v>
      </c>
      <c r="O689" s="1214"/>
    </row>
    <row r="690" spans="1:16" ht="12.75" customHeight="1">
      <c r="A690" s="495">
        <v>4</v>
      </c>
      <c r="B690" s="1460" t="s">
        <v>1358</v>
      </c>
      <c r="C690" s="1460"/>
      <c r="D690" s="1460"/>
      <c r="E690" s="1460"/>
      <c r="F690" s="304"/>
      <c r="G690" s="1214"/>
      <c r="H690" s="1214"/>
      <c r="I690" s="1214"/>
      <c r="J690" s="1214"/>
      <c r="K690" s="1214"/>
      <c r="L690" s="1214"/>
      <c r="M690" s="1214"/>
      <c r="N690" s="1214"/>
      <c r="O690" s="1214"/>
    </row>
    <row r="691" spans="1:16">
      <c r="A691" s="1483"/>
      <c r="B691" s="1393"/>
      <c r="C691" s="1423" t="s">
        <v>1359</v>
      </c>
      <c r="D691" s="1423"/>
      <c r="E691" s="1423"/>
      <c r="F691" s="304"/>
      <c r="G691" s="307" t="s">
        <v>1056</v>
      </c>
      <c r="H691" s="1214">
        <v>725</v>
      </c>
      <c r="I691" s="1214"/>
      <c r="J691" s="1484" t="s">
        <v>1057</v>
      </c>
      <c r="K691" s="1484"/>
      <c r="L691" s="1214">
        <v>650</v>
      </c>
      <c r="M691" s="1214"/>
      <c r="N691" s="1484" t="s">
        <v>1057</v>
      </c>
      <c r="O691" s="1484"/>
    </row>
    <row r="692" spans="1:16">
      <c r="A692" s="1393"/>
      <c r="B692" s="1393"/>
      <c r="C692" s="1423" t="s">
        <v>1250</v>
      </c>
      <c r="D692" s="1423"/>
      <c r="E692" s="1423"/>
      <c r="F692" s="304"/>
      <c r="G692" s="307" t="s">
        <v>1056</v>
      </c>
      <c r="H692" s="1214">
        <v>700</v>
      </c>
      <c r="I692" s="1214"/>
      <c r="J692" s="1214" t="s">
        <v>1057</v>
      </c>
      <c r="K692" s="1214"/>
      <c r="L692" s="1214">
        <v>500</v>
      </c>
      <c r="M692" s="1214"/>
      <c r="N692" s="1214" t="s">
        <v>1057</v>
      </c>
      <c r="O692" s="1214"/>
    </row>
    <row r="693" spans="1:16" ht="12.75" customHeight="1">
      <c r="A693" s="493">
        <v>5</v>
      </c>
      <c r="B693" s="1363" t="s">
        <v>1360</v>
      </c>
      <c r="C693" s="1363"/>
      <c r="D693" s="1363"/>
      <c r="E693" s="1363"/>
      <c r="F693" s="308"/>
      <c r="G693" s="307" t="s">
        <v>1056</v>
      </c>
      <c r="H693" s="1214">
        <v>550</v>
      </c>
      <c r="I693" s="1214"/>
      <c r="J693" s="1214" t="s">
        <v>1057</v>
      </c>
      <c r="K693" s="1214"/>
      <c r="L693" s="1214">
        <v>400</v>
      </c>
      <c r="M693" s="1214"/>
      <c r="N693" s="1214" t="s">
        <v>1057</v>
      </c>
      <c r="O693" s="1214"/>
      <c r="P693" s="99"/>
    </row>
    <row r="694" spans="1:16" ht="12.75" customHeight="1">
      <c r="A694" s="495">
        <v>6</v>
      </c>
      <c r="B694" s="1363" t="s">
        <v>1361</v>
      </c>
      <c r="C694" s="1363"/>
      <c r="D694" s="1363"/>
      <c r="E694" s="1363"/>
      <c r="F694" s="308"/>
      <c r="G694" s="1214"/>
      <c r="H694" s="1214"/>
      <c r="I694" s="1214"/>
      <c r="J694" s="1214"/>
      <c r="K694" s="1214"/>
      <c r="L694" s="1214"/>
      <c r="M694" s="1214"/>
      <c r="N694" s="1214"/>
      <c r="O694" s="1214"/>
    </row>
    <row r="695" spans="1:16">
      <c r="A695" s="1483"/>
      <c r="B695" s="1393"/>
      <c r="C695" s="1421" t="s">
        <v>1356</v>
      </c>
      <c r="D695" s="1421"/>
      <c r="E695" s="1421"/>
      <c r="F695" s="308"/>
      <c r="G695" s="307" t="s">
        <v>1056</v>
      </c>
      <c r="H695" s="1214">
        <v>650</v>
      </c>
      <c r="I695" s="1214"/>
      <c r="J695" s="1484" t="s">
        <v>1057</v>
      </c>
      <c r="K695" s="1484"/>
      <c r="L695" s="1214">
        <v>500</v>
      </c>
      <c r="M695" s="1214"/>
      <c r="N695" s="1484" t="s">
        <v>1057</v>
      </c>
      <c r="O695" s="1484"/>
    </row>
    <row r="696" spans="1:16">
      <c r="A696" s="1393"/>
      <c r="B696" s="1393"/>
      <c r="C696" s="1421" t="s">
        <v>1357</v>
      </c>
      <c r="D696" s="1421"/>
      <c r="E696" s="1421"/>
      <c r="F696" s="308"/>
      <c r="G696" s="307" t="s">
        <v>1056</v>
      </c>
      <c r="H696" s="1214">
        <v>575</v>
      </c>
      <c r="I696" s="1214"/>
      <c r="J696" s="1214" t="s">
        <v>1057</v>
      </c>
      <c r="K696" s="1214"/>
      <c r="L696" s="1214">
        <v>400</v>
      </c>
      <c r="M696" s="1214"/>
      <c r="N696" s="1214" t="s">
        <v>1057</v>
      </c>
      <c r="O696" s="1214"/>
    </row>
    <row r="697" spans="1:16" ht="12.75" customHeight="1">
      <c r="A697" s="493">
        <v>7</v>
      </c>
      <c r="B697" s="1460" t="s">
        <v>1362</v>
      </c>
      <c r="C697" s="1460"/>
      <c r="D697" s="1460"/>
      <c r="E697" s="1460"/>
      <c r="F697" s="304"/>
      <c r="G697" s="307" t="s">
        <v>1056</v>
      </c>
      <c r="H697" s="1214">
        <v>500</v>
      </c>
      <c r="I697" s="1214"/>
      <c r="J697" s="1214" t="s">
        <v>1057</v>
      </c>
      <c r="K697" s="1214"/>
      <c r="L697" s="1214">
        <v>200</v>
      </c>
      <c r="M697" s="1214"/>
      <c r="N697" s="1214" t="s">
        <v>1057</v>
      </c>
      <c r="O697" s="1214"/>
      <c r="P697" s="99"/>
    </row>
    <row r="698" spans="1:16" ht="12.75" customHeight="1">
      <c r="A698" s="495">
        <v>8</v>
      </c>
      <c r="B698" s="1460" t="s">
        <v>1363</v>
      </c>
      <c r="C698" s="1460"/>
      <c r="D698" s="1460"/>
      <c r="E698" s="1460"/>
      <c r="F698" s="304"/>
      <c r="G698" s="1214"/>
      <c r="H698" s="1214"/>
      <c r="I698" s="1214"/>
      <c r="J698" s="1214"/>
      <c r="K698" s="1214"/>
      <c r="L698" s="1214"/>
      <c r="M698" s="1214"/>
      <c r="N698" s="1214"/>
      <c r="O698" s="1214"/>
    </row>
    <row r="699" spans="1:16">
      <c r="A699" s="1483"/>
      <c r="B699" s="1393"/>
      <c r="C699" s="1478" t="s">
        <v>1086</v>
      </c>
      <c r="D699" s="1478"/>
      <c r="E699" s="1478"/>
      <c r="F699" s="307"/>
      <c r="G699" s="307" t="s">
        <v>1056</v>
      </c>
      <c r="H699" s="1214">
        <v>650</v>
      </c>
      <c r="I699" s="1214"/>
      <c r="J699" s="1484" t="s">
        <v>1057</v>
      </c>
      <c r="K699" s="1484"/>
      <c r="L699" s="1214">
        <v>400</v>
      </c>
      <c r="M699" s="1214"/>
      <c r="N699" s="1214">
        <v>400</v>
      </c>
      <c r="O699" s="1214"/>
    </row>
    <row r="700" spans="1:16">
      <c r="A700" s="1393"/>
      <c r="B700" s="1393"/>
      <c r="C700" s="1478" t="s">
        <v>1087</v>
      </c>
      <c r="D700" s="1478"/>
      <c r="E700" s="1478"/>
      <c r="F700" s="307"/>
      <c r="G700" s="307" t="s">
        <v>1056</v>
      </c>
      <c r="H700" s="1214">
        <v>500</v>
      </c>
      <c r="I700" s="1214"/>
      <c r="J700" s="1214" t="s">
        <v>1057</v>
      </c>
      <c r="K700" s="1214"/>
      <c r="L700" s="1214">
        <v>300</v>
      </c>
      <c r="M700" s="1214"/>
      <c r="N700" s="1214" t="s">
        <v>1057</v>
      </c>
      <c r="O700" s="1214"/>
    </row>
    <row r="701" spans="1:16" ht="12.75" customHeight="1">
      <c r="A701" s="493">
        <v>9</v>
      </c>
      <c r="B701" s="1460" t="s">
        <v>1364</v>
      </c>
      <c r="C701" s="1460"/>
      <c r="D701" s="1460"/>
      <c r="E701" s="1460"/>
      <c r="F701" s="304"/>
      <c r="G701" s="307" t="s">
        <v>1056</v>
      </c>
      <c r="H701" s="1214">
        <v>500</v>
      </c>
      <c r="I701" s="1214"/>
      <c r="J701" s="1214" t="s">
        <v>1057</v>
      </c>
      <c r="K701" s="1214"/>
      <c r="L701" s="307" t="s">
        <v>1057</v>
      </c>
      <c r="M701" s="308"/>
      <c r="N701" s="1214">
        <v>275</v>
      </c>
      <c r="O701" s="1214"/>
      <c r="P701" s="99"/>
    </row>
    <row r="702" spans="1:16" ht="12.75" customHeight="1">
      <c r="A702" s="495">
        <v>10</v>
      </c>
      <c r="B702" s="1460" t="s">
        <v>1365</v>
      </c>
      <c r="C702" s="1460"/>
      <c r="D702" s="1460"/>
      <c r="E702" s="1460"/>
      <c r="F702" s="304"/>
      <c r="G702" s="1214"/>
      <c r="H702" s="1214"/>
      <c r="I702" s="1214"/>
      <c r="J702" s="1214"/>
      <c r="K702" s="1214"/>
      <c r="L702" s="1214"/>
      <c r="M702" s="1214"/>
      <c r="N702" s="1214"/>
      <c r="O702" s="1214"/>
    </row>
    <row r="703" spans="1:16">
      <c r="A703" s="1483"/>
      <c r="B703" s="1393"/>
      <c r="C703" s="1423" t="s">
        <v>1366</v>
      </c>
      <c r="D703" s="1423"/>
      <c r="E703" s="1423"/>
      <c r="F703" s="304"/>
      <c r="G703" s="307" t="s">
        <v>1056</v>
      </c>
      <c r="H703" s="1214">
        <v>600</v>
      </c>
      <c r="I703" s="1214"/>
      <c r="J703" s="1484" t="s">
        <v>1057</v>
      </c>
      <c r="K703" s="1484"/>
      <c r="L703" s="1214">
        <v>250</v>
      </c>
      <c r="M703" s="1214"/>
      <c r="N703" s="1484" t="s">
        <v>1057</v>
      </c>
      <c r="O703" s="1484"/>
    </row>
    <row r="704" spans="1:16">
      <c r="A704" s="1393"/>
      <c r="B704" s="1393"/>
      <c r="C704" s="1423" t="s">
        <v>1367</v>
      </c>
      <c r="D704" s="1423"/>
      <c r="E704" s="1423"/>
      <c r="F704" s="304"/>
      <c r="G704" s="307" t="s">
        <v>1056</v>
      </c>
      <c r="H704" s="1214">
        <v>500</v>
      </c>
      <c r="I704" s="1214"/>
      <c r="J704" s="1214" t="s">
        <v>1057</v>
      </c>
      <c r="K704" s="1214"/>
      <c r="L704" s="1214">
        <v>150</v>
      </c>
      <c r="M704" s="1214"/>
      <c r="N704" s="1214" t="s">
        <v>1057</v>
      </c>
      <c r="O704" s="1214"/>
    </row>
    <row r="705" spans="1:16">
      <c r="N705" s="292"/>
    </row>
    <row r="706" spans="1:16" ht="12.75" customHeight="1">
      <c r="B706" s="1490" t="s">
        <v>1368</v>
      </c>
      <c r="C706" s="1490"/>
      <c r="D706" s="1490"/>
      <c r="E706" s="1490"/>
      <c r="F706" s="306"/>
      <c r="N706" s="292"/>
    </row>
    <row r="707" spans="1:16" ht="12.75" customHeight="1">
      <c r="A707" s="1426"/>
      <c r="B707" s="1460" t="s">
        <v>1369</v>
      </c>
      <c r="C707" s="1460"/>
      <c r="D707" s="1460"/>
      <c r="E707" s="1460"/>
      <c r="F707" s="420"/>
      <c r="G707" s="1284"/>
      <c r="H707" s="1285"/>
      <c r="I707" s="1285"/>
      <c r="J707" s="1285"/>
      <c r="K707" s="1285"/>
      <c r="L707" s="1285"/>
      <c r="M707" s="1285"/>
      <c r="N707" s="1285"/>
      <c r="O707" s="1286"/>
    </row>
    <row r="708" spans="1:16">
      <c r="A708" s="1504"/>
      <c r="B708" s="1505"/>
      <c r="C708" s="1423" t="s">
        <v>1370</v>
      </c>
      <c r="D708" s="1423"/>
      <c r="E708" s="1423"/>
      <c r="F708" s="304"/>
      <c r="G708" s="307" t="s">
        <v>1056</v>
      </c>
      <c r="H708" s="1214">
        <v>500</v>
      </c>
      <c r="I708" s="1214"/>
      <c r="J708" s="1214">
        <v>250</v>
      </c>
      <c r="K708" s="1214"/>
      <c r="L708" s="1214">
        <v>575</v>
      </c>
      <c r="M708" s="1214"/>
      <c r="N708" s="1484" t="s">
        <v>1057</v>
      </c>
      <c r="O708" s="1484"/>
    </row>
    <row r="709" spans="1:16">
      <c r="A709" s="1504"/>
      <c r="B709" s="1505"/>
      <c r="C709" s="1423" t="s">
        <v>1371</v>
      </c>
      <c r="D709" s="1423"/>
      <c r="E709" s="1423"/>
      <c r="F709" s="304"/>
      <c r="G709" s="307" t="s">
        <v>1056</v>
      </c>
      <c r="H709" s="1190">
        <v>500</v>
      </c>
      <c r="I709" s="1190"/>
      <c r="J709" s="1214">
        <v>250</v>
      </c>
      <c r="K709" s="1214"/>
      <c r="L709" s="1214">
        <v>250</v>
      </c>
      <c r="M709" s="1214"/>
      <c r="N709" s="1214" t="s">
        <v>1057</v>
      </c>
      <c r="O709" s="1214"/>
    </row>
    <row r="710" spans="1:16">
      <c r="A710" s="1504"/>
      <c r="B710" s="1505"/>
      <c r="C710" s="1423" t="s">
        <v>1372</v>
      </c>
      <c r="D710" s="1423"/>
      <c r="E710" s="1423"/>
      <c r="F710" s="304"/>
      <c r="G710" s="307" t="s">
        <v>1056</v>
      </c>
      <c r="H710" s="1214">
        <v>575</v>
      </c>
      <c r="I710" s="1214"/>
      <c r="J710" s="1214">
        <v>250</v>
      </c>
      <c r="K710" s="1214"/>
      <c r="L710" s="1214">
        <v>250</v>
      </c>
      <c r="M710" s="1214"/>
      <c r="N710" s="1484" t="s">
        <v>1057</v>
      </c>
      <c r="O710" s="1484"/>
    </row>
    <row r="711" spans="1:16">
      <c r="A711" s="1504"/>
      <c r="B711" s="1505"/>
      <c r="C711" s="1423" t="s">
        <v>1373</v>
      </c>
      <c r="D711" s="1423"/>
      <c r="E711" s="1423"/>
      <c r="F711" s="304"/>
      <c r="G711" s="307" t="s">
        <v>1056</v>
      </c>
      <c r="H711" s="1214">
        <v>500</v>
      </c>
      <c r="I711" s="1214"/>
      <c r="J711" s="1214">
        <v>250</v>
      </c>
      <c r="K711" s="1214"/>
      <c r="L711" s="1214" t="s">
        <v>1057</v>
      </c>
      <c r="M711" s="1214"/>
      <c r="N711" s="1214" t="s">
        <v>1057</v>
      </c>
      <c r="O711" s="1214"/>
    </row>
    <row r="712" spans="1:16" s="99" customFormat="1">
      <c r="A712" s="475" t="s">
        <v>2185</v>
      </c>
      <c r="B712" s="508" t="s">
        <v>1056</v>
      </c>
      <c r="C712" s="1415" t="s">
        <v>2241</v>
      </c>
      <c r="D712" s="1415"/>
      <c r="E712" s="1415"/>
      <c r="F712" s="1415"/>
      <c r="G712" s="1415"/>
      <c r="H712" s="1415"/>
      <c r="I712" s="1415"/>
      <c r="J712" s="1415"/>
      <c r="K712" s="1415"/>
      <c r="L712" s="1415"/>
      <c r="M712" s="1415"/>
      <c r="N712" s="1415"/>
      <c r="O712" s="1415"/>
    </row>
    <row r="714" spans="1:16" ht="12.75" customHeight="1">
      <c r="B714" s="1490" t="s">
        <v>1374</v>
      </c>
      <c r="C714" s="1490"/>
      <c r="D714" s="1490"/>
      <c r="E714" s="1490"/>
      <c r="F714" s="306"/>
      <c r="H714" s="1411"/>
      <c r="I714" s="1411"/>
      <c r="J714" s="1411"/>
      <c r="K714" s="1411"/>
      <c r="L714" s="1411"/>
      <c r="M714" s="1411"/>
      <c r="N714" s="1411"/>
      <c r="O714" s="1411"/>
    </row>
    <row r="715" spans="1:16" ht="12.75" customHeight="1">
      <c r="A715" s="493">
        <v>1</v>
      </c>
      <c r="B715" s="1460" t="s">
        <v>1375</v>
      </c>
      <c r="C715" s="1460"/>
      <c r="D715" s="1460"/>
      <c r="E715" s="1460"/>
      <c r="F715" s="304"/>
      <c r="G715" s="307" t="s">
        <v>1056</v>
      </c>
      <c r="H715" s="1214">
        <v>800</v>
      </c>
      <c r="I715" s="1214"/>
      <c r="J715" s="1214" t="s">
        <v>1057</v>
      </c>
      <c r="K715" s="1214"/>
      <c r="L715" s="1214">
        <v>900</v>
      </c>
      <c r="M715" s="1214"/>
      <c r="N715" s="1214" t="s">
        <v>1057</v>
      </c>
      <c r="O715" s="1214"/>
      <c r="P715" s="99"/>
    </row>
    <row r="716" spans="1:16" ht="12.75" customHeight="1">
      <c r="A716" s="495">
        <v>2</v>
      </c>
      <c r="B716" s="1460" t="s">
        <v>1376</v>
      </c>
      <c r="C716" s="1460"/>
      <c r="D716" s="1460"/>
      <c r="E716" s="1460"/>
      <c r="F716" s="304"/>
      <c r="G716" s="1214"/>
      <c r="H716" s="1214"/>
      <c r="I716" s="1214"/>
      <c r="J716" s="1214"/>
      <c r="K716" s="1214"/>
      <c r="L716" s="1214"/>
      <c r="M716" s="1214"/>
      <c r="N716" s="1214"/>
      <c r="O716" s="1214"/>
    </row>
    <row r="717" spans="1:16">
      <c r="A717" s="1483"/>
      <c r="B717" s="1393"/>
      <c r="C717" s="1502" t="s">
        <v>1377</v>
      </c>
      <c r="D717" s="1502"/>
      <c r="E717" s="1502"/>
      <c r="F717" s="431"/>
      <c r="G717" s="1214"/>
      <c r="H717" s="1214"/>
      <c r="I717" s="1214"/>
      <c r="J717" s="1214"/>
      <c r="K717" s="1214"/>
      <c r="L717" s="1214"/>
      <c r="M717" s="1214"/>
      <c r="N717" s="1214"/>
      <c r="O717" s="1214"/>
    </row>
    <row r="718" spans="1:16">
      <c r="A718" s="1393"/>
      <c r="B718" s="1393"/>
      <c r="C718" s="1499" t="s">
        <v>1378</v>
      </c>
      <c r="D718" s="1499"/>
      <c r="E718" s="1499"/>
      <c r="F718" s="311"/>
      <c r="G718" s="1214"/>
      <c r="H718" s="1214"/>
      <c r="I718" s="1214"/>
      <c r="J718" s="1214"/>
      <c r="K718" s="1214"/>
      <c r="L718" s="1214"/>
      <c r="M718" s="1214"/>
      <c r="N718" s="1214"/>
      <c r="O718" s="1214"/>
    </row>
    <row r="719" spans="1:16" ht="12.75" customHeight="1">
      <c r="A719" s="1393"/>
      <c r="B719" s="1393"/>
      <c r="C719" s="1421" t="s">
        <v>1379</v>
      </c>
      <c r="D719" s="1421"/>
      <c r="E719" s="1421"/>
      <c r="F719" s="308"/>
      <c r="G719" s="307" t="s">
        <v>1056</v>
      </c>
      <c r="H719" s="1214">
        <v>800</v>
      </c>
      <c r="I719" s="1214"/>
      <c r="J719" s="1214" t="s">
        <v>1057</v>
      </c>
      <c r="K719" s="1214"/>
      <c r="L719" s="1214">
        <v>750</v>
      </c>
      <c r="M719" s="1214"/>
      <c r="N719" s="1214" t="s">
        <v>1057</v>
      </c>
      <c r="O719" s="1214"/>
      <c r="P719" s="99"/>
    </row>
    <row r="720" spans="1:16" ht="12.75" customHeight="1">
      <c r="A720" s="1393"/>
      <c r="B720" s="1393"/>
      <c r="C720" s="1421" t="s">
        <v>1380</v>
      </c>
      <c r="D720" s="1421"/>
      <c r="E720" s="1421"/>
      <c r="F720" s="308"/>
      <c r="G720" s="307" t="s">
        <v>1056</v>
      </c>
      <c r="H720" s="1214">
        <v>750</v>
      </c>
      <c r="I720" s="1214"/>
      <c r="J720" s="1214" t="s">
        <v>1057</v>
      </c>
      <c r="K720" s="1214"/>
      <c r="L720" s="1214">
        <v>700</v>
      </c>
      <c r="M720" s="1214"/>
      <c r="N720" s="1214" t="s">
        <v>1057</v>
      </c>
      <c r="O720" s="1214"/>
      <c r="P720" s="99"/>
    </row>
    <row r="721" spans="1:17" ht="15.75" customHeight="1">
      <c r="A721" s="1393"/>
      <c r="B721" s="1393"/>
      <c r="C721" s="1503" t="s">
        <v>1381</v>
      </c>
      <c r="D721" s="1503"/>
      <c r="E721" s="1503"/>
      <c r="F721" s="296"/>
      <c r="G721" s="307" t="s">
        <v>1056</v>
      </c>
      <c r="H721" s="1214">
        <v>700</v>
      </c>
      <c r="I721" s="1214"/>
      <c r="J721" s="1214" t="s">
        <v>1057</v>
      </c>
      <c r="K721" s="1214"/>
      <c r="L721" s="1214">
        <v>400</v>
      </c>
      <c r="M721" s="1214"/>
      <c r="N721" s="1214" t="s">
        <v>1057</v>
      </c>
      <c r="O721" s="1214"/>
      <c r="P721" s="99"/>
      <c r="Q721" s="99"/>
    </row>
    <row r="722" spans="1:17" ht="12.75" customHeight="1">
      <c r="A722" s="1393"/>
      <c r="B722" s="1393"/>
      <c r="C722" s="1503" t="s">
        <v>1382</v>
      </c>
      <c r="D722" s="1503"/>
      <c r="E722" s="1503"/>
      <c r="F722" s="296"/>
      <c r="G722" s="307" t="s">
        <v>1056</v>
      </c>
      <c r="H722" s="1214">
        <v>650</v>
      </c>
      <c r="I722" s="1214"/>
      <c r="J722" s="1214" t="s">
        <v>1057</v>
      </c>
      <c r="K722" s="1214"/>
      <c r="L722" s="1214">
        <v>350</v>
      </c>
      <c r="M722" s="1214"/>
      <c r="N722" s="1214" t="s">
        <v>1057</v>
      </c>
      <c r="O722" s="1214"/>
      <c r="P722" s="99"/>
      <c r="Q722" s="99"/>
    </row>
    <row r="723" spans="1:17" ht="12.75" customHeight="1">
      <c r="A723" s="493">
        <v>3</v>
      </c>
      <c r="B723" s="1460" t="s">
        <v>1383</v>
      </c>
      <c r="C723" s="1460"/>
      <c r="D723" s="1460"/>
      <c r="E723" s="1460"/>
      <c r="F723" s="304"/>
      <c r="G723" s="307" t="s">
        <v>1056</v>
      </c>
      <c r="H723" s="1214">
        <v>500</v>
      </c>
      <c r="I723" s="1214"/>
      <c r="J723" s="1214" t="s">
        <v>1057</v>
      </c>
      <c r="K723" s="1214"/>
      <c r="L723" s="1214">
        <v>500</v>
      </c>
      <c r="M723" s="1214"/>
      <c r="N723" s="1214" t="s">
        <v>1057</v>
      </c>
      <c r="O723" s="1214"/>
      <c r="P723" s="99"/>
    </row>
    <row r="724" spans="1:17" ht="12.75" customHeight="1">
      <c r="A724" s="493">
        <v>4</v>
      </c>
      <c r="B724" s="1460" t="s">
        <v>1384</v>
      </c>
      <c r="C724" s="1460"/>
      <c r="D724" s="1460"/>
      <c r="E724" s="1460"/>
      <c r="F724" s="304"/>
      <c r="G724" s="307" t="s">
        <v>1056</v>
      </c>
      <c r="H724" s="1214">
        <v>500</v>
      </c>
      <c r="I724" s="1214"/>
      <c r="J724" s="1214" t="s">
        <v>1057</v>
      </c>
      <c r="K724" s="1214"/>
      <c r="L724" s="1214">
        <v>575</v>
      </c>
      <c r="M724" s="1214"/>
      <c r="N724" s="1214" t="s">
        <v>1057</v>
      </c>
      <c r="O724" s="1214"/>
      <c r="P724" s="99"/>
    </row>
    <row r="725" spans="1:17" ht="12.75" customHeight="1">
      <c r="A725" s="493">
        <v>5</v>
      </c>
      <c r="B725" s="1460" t="s">
        <v>1385</v>
      </c>
      <c r="C725" s="1460"/>
      <c r="D725" s="1460"/>
      <c r="E725" s="1460"/>
      <c r="F725" s="304"/>
      <c r="G725" s="307" t="s">
        <v>1056</v>
      </c>
      <c r="H725" s="1214">
        <v>500</v>
      </c>
      <c r="I725" s="1214"/>
      <c r="J725" s="1214" t="s">
        <v>1057</v>
      </c>
      <c r="K725" s="1214"/>
      <c r="L725" s="1214">
        <v>400</v>
      </c>
      <c r="M725" s="1214"/>
      <c r="N725" s="1214" t="s">
        <v>1057</v>
      </c>
      <c r="O725" s="1214"/>
      <c r="P725" s="99"/>
    </row>
    <row r="727" spans="1:17" s="99" customFormat="1" ht="46.5" customHeight="1">
      <c r="A727" s="475" t="s">
        <v>2185</v>
      </c>
      <c r="B727" s="509" t="s">
        <v>1507</v>
      </c>
      <c r="C727" s="1415" t="s">
        <v>2242</v>
      </c>
      <c r="D727" s="1302"/>
      <c r="E727" s="1302"/>
      <c r="F727" s="1302"/>
      <c r="G727" s="1302"/>
      <c r="H727" s="1302"/>
      <c r="I727" s="1302"/>
      <c r="J727" s="1302"/>
      <c r="K727" s="1302"/>
      <c r="L727" s="1302"/>
      <c r="M727" s="1302"/>
      <c r="N727" s="1302"/>
      <c r="O727" s="1302"/>
    </row>
    <row r="729" spans="1:17" ht="18" customHeight="1">
      <c r="B729" s="1500" t="s">
        <v>1386</v>
      </c>
      <c r="C729" s="1500"/>
      <c r="D729" s="1500"/>
      <c r="E729" s="1500"/>
      <c r="F729" s="432"/>
    </row>
    <row r="730" spans="1:17" ht="12.75" customHeight="1">
      <c r="A730" s="495">
        <v>1</v>
      </c>
      <c r="B730" s="1363" t="s">
        <v>1387</v>
      </c>
      <c r="C730" s="1363"/>
      <c r="D730" s="1363"/>
      <c r="E730" s="1363"/>
      <c r="F730" s="434"/>
      <c r="G730" s="1284"/>
      <c r="H730" s="1285"/>
      <c r="I730" s="1285"/>
      <c r="J730" s="1285"/>
      <c r="K730" s="1285"/>
      <c r="L730" s="1285"/>
      <c r="M730" s="1285"/>
      <c r="N730" s="1285"/>
      <c r="O730" s="1286"/>
    </row>
    <row r="731" spans="1:17" ht="12.75" customHeight="1">
      <c r="A731" s="1485"/>
      <c r="B731" s="1486"/>
      <c r="C731" s="1421" t="s">
        <v>1359</v>
      </c>
      <c r="D731" s="1421"/>
      <c r="E731" s="1421"/>
      <c r="F731" s="308"/>
      <c r="G731" s="307" t="s">
        <v>1056</v>
      </c>
      <c r="H731" s="1214">
        <v>800</v>
      </c>
      <c r="I731" s="1214"/>
      <c r="J731" s="1214" t="s">
        <v>1057</v>
      </c>
      <c r="K731" s="1214"/>
      <c r="L731" s="1214">
        <v>900</v>
      </c>
      <c r="M731" s="1214"/>
      <c r="N731" s="1214" t="s">
        <v>1057</v>
      </c>
      <c r="O731" s="1214"/>
      <c r="P731" s="99"/>
    </row>
    <row r="732" spans="1:17" ht="12.75" customHeight="1">
      <c r="A732" s="1488"/>
      <c r="B732" s="1489"/>
      <c r="C732" s="1421" t="s">
        <v>1250</v>
      </c>
      <c r="D732" s="1421"/>
      <c r="E732" s="1421"/>
      <c r="F732" s="308"/>
      <c r="G732" s="307" t="s">
        <v>1056</v>
      </c>
      <c r="H732" s="1214">
        <v>800</v>
      </c>
      <c r="I732" s="1214"/>
      <c r="J732" s="1214" t="s">
        <v>1057</v>
      </c>
      <c r="K732" s="1214"/>
      <c r="L732" s="1214">
        <v>800</v>
      </c>
      <c r="M732" s="1214"/>
      <c r="N732" s="1214" t="s">
        <v>1057</v>
      </c>
      <c r="O732" s="1214"/>
      <c r="P732" s="99"/>
    </row>
    <row r="733" spans="1:17" ht="12.75" customHeight="1">
      <c r="A733" s="493">
        <v>2</v>
      </c>
      <c r="B733" s="1363" t="s">
        <v>1388</v>
      </c>
      <c r="C733" s="1363"/>
      <c r="D733" s="1363"/>
      <c r="E733" s="1363"/>
      <c r="F733" s="308"/>
      <c r="G733" s="307" t="s">
        <v>1056</v>
      </c>
      <c r="H733" s="1214">
        <v>800</v>
      </c>
      <c r="I733" s="1214"/>
      <c r="J733" s="1214" t="s">
        <v>1057</v>
      </c>
      <c r="K733" s="1214"/>
      <c r="L733" s="1214">
        <v>750</v>
      </c>
      <c r="M733" s="1214"/>
      <c r="N733" s="1214" t="s">
        <v>1057</v>
      </c>
      <c r="O733" s="1214"/>
      <c r="P733" s="99"/>
    </row>
    <row r="734" spans="1:17" ht="12.75" customHeight="1">
      <c r="A734" s="495">
        <v>3</v>
      </c>
      <c r="B734" s="1363" t="s">
        <v>1389</v>
      </c>
      <c r="C734" s="1363"/>
      <c r="D734" s="1363"/>
      <c r="E734" s="1363"/>
      <c r="F734" s="434"/>
      <c r="G734" s="1284"/>
      <c r="H734" s="1285"/>
      <c r="I734" s="1285"/>
      <c r="J734" s="1285"/>
      <c r="K734" s="1285"/>
      <c r="L734" s="1285"/>
      <c r="M734" s="1285"/>
      <c r="N734" s="1285"/>
      <c r="O734" s="1286"/>
    </row>
    <row r="735" spans="1:17">
      <c r="A735" s="1485"/>
      <c r="B735" s="1486"/>
      <c r="C735" s="1421" t="s">
        <v>1305</v>
      </c>
      <c r="D735" s="1421"/>
      <c r="E735" s="1421"/>
      <c r="F735" s="308"/>
      <c r="G735" s="307" t="s">
        <v>1056</v>
      </c>
      <c r="H735" s="1214">
        <v>800</v>
      </c>
      <c r="I735" s="1214"/>
      <c r="J735" s="1214" t="s">
        <v>1057</v>
      </c>
      <c r="K735" s="1214"/>
      <c r="L735" s="1214">
        <v>750</v>
      </c>
      <c r="M735" s="1214"/>
      <c r="N735" s="1214" t="s">
        <v>1057</v>
      </c>
      <c r="O735" s="1214"/>
    </row>
    <row r="736" spans="1:17">
      <c r="A736" s="1488"/>
      <c r="B736" s="1489"/>
      <c r="C736" s="1421" t="s">
        <v>1058</v>
      </c>
      <c r="D736" s="1421"/>
      <c r="E736" s="1421"/>
      <c r="F736" s="308"/>
      <c r="G736" s="307" t="s">
        <v>1056</v>
      </c>
      <c r="H736" s="1214">
        <v>750</v>
      </c>
      <c r="I736" s="1214"/>
      <c r="J736" s="1214" t="s">
        <v>1057</v>
      </c>
      <c r="K736" s="1214"/>
      <c r="L736" s="1214">
        <v>700</v>
      </c>
      <c r="M736" s="1214"/>
      <c r="N736" s="1214" t="s">
        <v>1057</v>
      </c>
      <c r="O736" s="1214"/>
    </row>
    <row r="737" spans="1:16" ht="12.75" customHeight="1">
      <c r="A737" s="493">
        <v>4</v>
      </c>
      <c r="B737" s="1460" t="s">
        <v>1390</v>
      </c>
      <c r="C737" s="1460"/>
      <c r="D737" s="1460"/>
      <c r="E737" s="1460"/>
      <c r="F737" s="304"/>
      <c r="G737" s="307" t="s">
        <v>1056</v>
      </c>
      <c r="H737" s="1214">
        <v>650</v>
      </c>
      <c r="I737" s="1214"/>
      <c r="J737" s="1214" t="s">
        <v>1057</v>
      </c>
      <c r="K737" s="1214"/>
      <c r="L737" s="1214">
        <v>600</v>
      </c>
      <c r="M737" s="1214"/>
      <c r="N737" s="1214" t="s">
        <v>1057</v>
      </c>
      <c r="O737" s="1214"/>
      <c r="P737" s="99"/>
    </row>
    <row r="738" spans="1:16" ht="12.75" customHeight="1">
      <c r="A738" s="493">
        <v>5</v>
      </c>
      <c r="B738" s="1460" t="s">
        <v>1391</v>
      </c>
      <c r="C738" s="1460"/>
      <c r="D738" s="1460"/>
      <c r="E738" s="1460"/>
      <c r="F738" s="445"/>
      <c r="G738" s="1349"/>
      <c r="H738" s="1360"/>
      <c r="I738" s="1360"/>
      <c r="J738" s="1360"/>
      <c r="K738" s="1360"/>
      <c r="L738" s="1360"/>
      <c r="M738" s="1360"/>
      <c r="N738" s="1360"/>
      <c r="O738" s="1291"/>
    </row>
    <row r="739" spans="1:16" ht="12.75" customHeight="1">
      <c r="A739" s="495"/>
      <c r="B739" s="1460" t="s">
        <v>1392</v>
      </c>
      <c r="C739" s="1460"/>
      <c r="D739" s="1460"/>
      <c r="E739" s="1460"/>
      <c r="F739" s="446"/>
      <c r="G739" s="1351"/>
      <c r="H739" s="1362"/>
      <c r="I739" s="1362"/>
      <c r="J739" s="1362"/>
      <c r="K739" s="1362"/>
      <c r="L739" s="1362"/>
      <c r="M739" s="1362"/>
      <c r="N739" s="1362"/>
      <c r="O739" s="1293"/>
    </row>
    <row r="740" spans="1:16">
      <c r="A740" s="1485"/>
      <c r="B740" s="1486"/>
      <c r="C740" s="1423" t="s">
        <v>1305</v>
      </c>
      <c r="D740" s="1423"/>
      <c r="E740" s="1423"/>
      <c r="F740" s="304"/>
      <c r="G740" s="307" t="s">
        <v>1056</v>
      </c>
      <c r="H740" s="1214">
        <v>800</v>
      </c>
      <c r="I740" s="1214"/>
      <c r="J740" s="1214" t="s">
        <v>1057</v>
      </c>
      <c r="K740" s="1214"/>
      <c r="L740" s="1214">
        <v>750</v>
      </c>
      <c r="M740" s="1214"/>
      <c r="N740" s="1214" t="s">
        <v>1057</v>
      </c>
      <c r="O740" s="1214"/>
    </row>
    <row r="741" spans="1:16">
      <c r="A741" s="1485"/>
      <c r="B741" s="1487"/>
      <c r="C741" s="1423" t="s">
        <v>1393</v>
      </c>
      <c r="D741" s="1423"/>
      <c r="E741" s="1423"/>
      <c r="F741" s="304"/>
      <c r="G741" s="307" t="s">
        <v>1056</v>
      </c>
      <c r="H741" s="1214">
        <v>750</v>
      </c>
      <c r="I741" s="1214"/>
      <c r="J741" s="1214" t="s">
        <v>1057</v>
      </c>
      <c r="K741" s="1214"/>
      <c r="L741" s="1214">
        <v>700</v>
      </c>
      <c r="M741" s="1214"/>
      <c r="N741" s="1214" t="s">
        <v>1057</v>
      </c>
      <c r="O741" s="1214"/>
    </row>
    <row r="742" spans="1:16">
      <c r="A742" s="1488"/>
      <c r="B742" s="1489"/>
      <c r="C742" s="1423" t="s">
        <v>1394</v>
      </c>
      <c r="D742" s="1423"/>
      <c r="E742" s="1423"/>
      <c r="F742" s="304"/>
      <c r="G742" s="307" t="s">
        <v>1056</v>
      </c>
      <c r="H742" s="1214">
        <v>650</v>
      </c>
      <c r="I742" s="1214"/>
      <c r="J742" s="1214" t="s">
        <v>1057</v>
      </c>
      <c r="K742" s="1214"/>
      <c r="L742" s="1214">
        <v>350</v>
      </c>
      <c r="M742" s="1214"/>
      <c r="N742" s="1214" t="s">
        <v>1057</v>
      </c>
      <c r="O742" s="1214"/>
    </row>
    <row r="743" spans="1:16" ht="12.75" customHeight="1">
      <c r="A743" s="493">
        <v>6</v>
      </c>
      <c r="B743" s="1460" t="s">
        <v>1395</v>
      </c>
      <c r="C743" s="1460"/>
      <c r="D743" s="1460"/>
      <c r="E743" s="1460"/>
      <c r="F743" s="304"/>
      <c r="G743" s="307" t="s">
        <v>1056</v>
      </c>
      <c r="H743" s="1214">
        <v>700</v>
      </c>
      <c r="I743" s="1214"/>
      <c r="J743" s="1214" t="s">
        <v>1057</v>
      </c>
      <c r="K743" s="1214"/>
      <c r="L743" s="1214">
        <v>350</v>
      </c>
      <c r="M743" s="1214"/>
      <c r="N743" s="1214" t="s">
        <v>1057</v>
      </c>
      <c r="O743" s="1214"/>
      <c r="P743" s="99"/>
    </row>
    <row r="744" spans="1:16" ht="12.75" customHeight="1">
      <c r="A744" s="493">
        <v>7</v>
      </c>
      <c r="B744" s="1460" t="s">
        <v>1396</v>
      </c>
      <c r="C744" s="1460"/>
      <c r="D744" s="1460"/>
      <c r="E744" s="1460"/>
      <c r="F744" s="304"/>
      <c r="G744" s="307" t="s">
        <v>1056</v>
      </c>
      <c r="H744" s="1214">
        <v>650</v>
      </c>
      <c r="I744" s="1214"/>
      <c r="J744" s="1214" t="s">
        <v>1057</v>
      </c>
      <c r="K744" s="1214"/>
      <c r="L744" s="1214">
        <v>350</v>
      </c>
      <c r="M744" s="1214"/>
      <c r="N744" s="1214" t="s">
        <v>1057</v>
      </c>
      <c r="O744" s="1214"/>
      <c r="P744" s="99"/>
    </row>
    <row r="750" spans="1:16" ht="12.75" customHeight="1">
      <c r="B750" s="1501" t="s">
        <v>1397</v>
      </c>
      <c r="C750" s="1501"/>
      <c r="D750" s="1501"/>
      <c r="E750" s="1501"/>
      <c r="F750" s="314"/>
    </row>
    <row r="751" spans="1:16" ht="12.75" customHeight="1">
      <c r="B751" s="1501" t="s">
        <v>1398</v>
      </c>
      <c r="C751" s="1501"/>
      <c r="D751" s="1501"/>
      <c r="E751" s="1501"/>
      <c r="F751" s="314"/>
    </row>
    <row r="752" spans="1:16" ht="12.75" customHeight="1">
      <c r="B752" s="1501" t="s">
        <v>1399</v>
      </c>
      <c r="C752" s="1501"/>
      <c r="D752" s="1501"/>
      <c r="E752" s="1501"/>
      <c r="F752" s="314"/>
    </row>
    <row r="753" spans="1:17">
      <c r="A753" s="493">
        <v>1</v>
      </c>
      <c r="B753" s="1460" t="s">
        <v>1304</v>
      </c>
      <c r="C753" s="1460"/>
      <c r="D753" s="1460"/>
      <c r="E753" s="1460"/>
      <c r="F753" s="420"/>
      <c r="G753" s="1284"/>
      <c r="H753" s="1285"/>
      <c r="I753" s="1285"/>
      <c r="J753" s="1285"/>
      <c r="K753" s="1285"/>
      <c r="L753" s="1285"/>
      <c r="M753" s="1285"/>
      <c r="N753" s="1285"/>
      <c r="O753" s="1286"/>
    </row>
    <row r="754" spans="1:17">
      <c r="A754" s="1516"/>
      <c r="B754" s="1486"/>
      <c r="C754" s="1423" t="s">
        <v>1305</v>
      </c>
      <c r="D754" s="1423"/>
      <c r="E754" s="1423"/>
      <c r="F754" s="304"/>
      <c r="G754" s="307" t="s">
        <v>1056</v>
      </c>
      <c r="H754" s="1214">
        <v>800</v>
      </c>
      <c r="I754" s="1214"/>
      <c r="J754" s="1214" t="s">
        <v>1057</v>
      </c>
      <c r="K754" s="1214"/>
      <c r="L754" s="307">
        <v>750</v>
      </c>
      <c r="M754" s="307"/>
      <c r="N754" s="1214" t="s">
        <v>1057</v>
      </c>
      <c r="O754" s="1214"/>
    </row>
    <row r="755" spans="1:17">
      <c r="A755" s="1488"/>
      <c r="B755" s="1489"/>
      <c r="C755" s="1507" t="s">
        <v>2252</v>
      </c>
      <c r="D755" s="1508"/>
      <c r="E755" s="1508"/>
      <c r="F755" s="423"/>
      <c r="G755" s="307" t="s">
        <v>1056</v>
      </c>
      <c r="H755" s="1214">
        <v>750</v>
      </c>
      <c r="I755" s="1214"/>
      <c r="J755" s="1214" t="s">
        <v>1057</v>
      </c>
      <c r="K755" s="1214"/>
      <c r="L755" s="307">
        <v>700</v>
      </c>
      <c r="M755" s="298"/>
      <c r="N755" s="1214" t="s">
        <v>1057</v>
      </c>
      <c r="O755" s="1214"/>
    </row>
    <row r="756" spans="1:17" ht="12.75" customHeight="1">
      <c r="A756" s="493">
        <v>2</v>
      </c>
      <c r="B756" s="1460" t="s">
        <v>1400</v>
      </c>
      <c r="C756" s="1460"/>
      <c r="D756" s="1460"/>
      <c r="E756" s="1460"/>
      <c r="F756" s="420"/>
      <c r="G756" s="1284"/>
      <c r="H756" s="1285"/>
      <c r="I756" s="1285"/>
      <c r="J756" s="1285"/>
      <c r="K756" s="1285"/>
      <c r="L756" s="1285"/>
      <c r="M756" s="1285"/>
      <c r="N756" s="1285"/>
      <c r="O756" s="1286"/>
    </row>
    <row r="757" spans="1:17" ht="12.75" customHeight="1">
      <c r="A757" s="493"/>
      <c r="B757" s="1460" t="s">
        <v>1401</v>
      </c>
      <c r="C757" s="1460"/>
      <c r="D757" s="1460"/>
      <c r="E757" s="1460"/>
      <c r="F757" s="304"/>
      <c r="G757" s="307" t="s">
        <v>1056</v>
      </c>
      <c r="H757" s="1214">
        <v>800</v>
      </c>
      <c r="I757" s="1214"/>
      <c r="J757" s="1214" t="s">
        <v>1057</v>
      </c>
      <c r="K757" s="1214"/>
      <c r="L757" s="307">
        <v>750</v>
      </c>
      <c r="M757" s="307"/>
      <c r="N757" s="1214" t="s">
        <v>1057</v>
      </c>
      <c r="O757" s="1214"/>
      <c r="P757" s="99"/>
    </row>
    <row r="758" spans="1:17">
      <c r="A758" s="493">
        <v>3</v>
      </c>
      <c r="B758" s="1309" t="s">
        <v>2253</v>
      </c>
      <c r="C758" s="1309"/>
      <c r="D758" s="1309"/>
      <c r="E758" s="1309"/>
      <c r="F758" s="447"/>
      <c r="G758" s="1284"/>
      <c r="H758" s="1285"/>
      <c r="I758" s="1285"/>
      <c r="J758" s="1285"/>
      <c r="K758" s="1285"/>
      <c r="L758" s="1285"/>
      <c r="M758" s="1285"/>
      <c r="N758" s="1285"/>
      <c r="O758" s="1286"/>
    </row>
    <row r="759" spans="1:17">
      <c r="A759" s="493"/>
      <c r="B759" s="1310" t="s">
        <v>1402</v>
      </c>
      <c r="C759" s="1310"/>
      <c r="D759" s="1310"/>
      <c r="E759" s="1310"/>
      <c r="F759" s="423"/>
      <c r="G759" s="307" t="s">
        <v>1056</v>
      </c>
      <c r="H759" s="1214">
        <v>650</v>
      </c>
      <c r="I759" s="1214"/>
      <c r="J759" s="1214" t="s">
        <v>1057</v>
      </c>
      <c r="K759" s="1214"/>
      <c r="L759" s="307">
        <v>350</v>
      </c>
      <c r="M759" s="307"/>
      <c r="N759" s="1214" t="s">
        <v>1057</v>
      </c>
      <c r="O759" s="1214"/>
      <c r="P759" s="99"/>
      <c r="Q759" s="99"/>
    </row>
    <row r="761" spans="1:17" ht="12.75" customHeight="1">
      <c r="B761" s="1490" t="s">
        <v>1403</v>
      </c>
      <c r="C761" s="1490"/>
      <c r="D761" s="1490"/>
      <c r="E761" s="1490"/>
      <c r="F761" s="306"/>
    </row>
    <row r="762" spans="1:17" ht="16.5" customHeight="1">
      <c r="A762" s="493">
        <v>1</v>
      </c>
      <c r="B762" s="1460" t="s">
        <v>1316</v>
      </c>
      <c r="C762" s="1460"/>
      <c r="D762" s="1460"/>
      <c r="E762" s="1460"/>
      <c r="F762" s="304"/>
      <c r="G762" s="307" t="s">
        <v>1056</v>
      </c>
      <c r="H762" s="1214">
        <v>1800</v>
      </c>
      <c r="I762" s="1214"/>
      <c r="J762" s="1214" t="s">
        <v>1057</v>
      </c>
      <c r="K762" s="1214"/>
      <c r="L762" s="1214">
        <v>2200</v>
      </c>
      <c r="M762" s="1214"/>
      <c r="N762" s="1214" t="s">
        <v>1057</v>
      </c>
      <c r="O762" s="1214"/>
      <c r="P762" s="99"/>
      <c r="Q762" s="99"/>
    </row>
    <row r="763" spans="1:17" ht="12.75" customHeight="1">
      <c r="A763" s="493">
        <v>2</v>
      </c>
      <c r="B763" s="1460" t="s">
        <v>1404</v>
      </c>
      <c r="C763" s="1460"/>
      <c r="D763" s="1460"/>
      <c r="E763" s="1460"/>
      <c r="F763" s="304"/>
      <c r="G763" s="307" t="s">
        <v>1056</v>
      </c>
      <c r="H763" s="1214">
        <v>975</v>
      </c>
      <c r="I763" s="1214"/>
      <c r="J763" s="1214" t="s">
        <v>1057</v>
      </c>
      <c r="K763" s="1214"/>
      <c r="L763" s="1214">
        <v>975</v>
      </c>
      <c r="M763" s="1214"/>
      <c r="N763" s="1214" t="s">
        <v>1057</v>
      </c>
      <c r="O763" s="1214"/>
      <c r="P763" s="99"/>
    </row>
    <row r="764" spans="1:17" ht="12.75" customHeight="1">
      <c r="A764" s="493">
        <v>3</v>
      </c>
      <c r="B764" s="1460" t="s">
        <v>1405</v>
      </c>
      <c r="C764" s="1460"/>
      <c r="D764" s="1460"/>
      <c r="E764" s="1460"/>
      <c r="F764" s="304"/>
      <c r="G764" s="307" t="s">
        <v>1056</v>
      </c>
      <c r="H764" s="1214">
        <v>800</v>
      </c>
      <c r="I764" s="1214"/>
      <c r="J764" s="1214" t="s">
        <v>1057</v>
      </c>
      <c r="K764" s="1214"/>
      <c r="L764" s="1214">
        <v>800</v>
      </c>
      <c r="M764" s="1214"/>
      <c r="N764" s="1214" t="s">
        <v>1057</v>
      </c>
      <c r="O764" s="1214"/>
      <c r="P764" s="99"/>
    </row>
    <row r="765" spans="1:17" ht="15" customHeight="1">
      <c r="A765" s="493">
        <v>4</v>
      </c>
      <c r="B765" s="1309" t="s">
        <v>2254</v>
      </c>
      <c r="C765" s="1309"/>
      <c r="D765" s="1309"/>
      <c r="E765" s="1309"/>
      <c r="F765" s="422"/>
      <c r="G765" s="307" t="s">
        <v>1056</v>
      </c>
      <c r="H765" s="1214">
        <v>650</v>
      </c>
      <c r="I765" s="1214"/>
      <c r="J765" s="1214" t="s">
        <v>1057</v>
      </c>
      <c r="K765" s="1214"/>
      <c r="L765" s="1214">
        <v>350</v>
      </c>
      <c r="M765" s="1214"/>
      <c r="N765" s="1214" t="s">
        <v>1057</v>
      </c>
      <c r="O765" s="1214"/>
    </row>
    <row r="766" spans="1:17" ht="18" customHeight="1">
      <c r="C766" s="459"/>
      <c r="D766" s="458"/>
      <c r="E766" s="458"/>
      <c r="F766" s="294"/>
      <c r="M766" s="309"/>
    </row>
    <row r="767" spans="1:17" ht="12.75" customHeight="1">
      <c r="B767" s="1490" t="s">
        <v>1406</v>
      </c>
      <c r="C767" s="1490"/>
      <c r="D767" s="1490"/>
      <c r="E767" s="1490"/>
      <c r="F767" s="306"/>
    </row>
    <row r="768" spans="1:17" ht="12.75" customHeight="1">
      <c r="A768" s="493">
        <v>1</v>
      </c>
      <c r="B768" s="1460" t="s">
        <v>1300</v>
      </c>
      <c r="C768" s="1460"/>
      <c r="D768" s="1460"/>
      <c r="E768" s="1460"/>
      <c r="F768" s="304"/>
      <c r="G768" s="307" t="s">
        <v>1056</v>
      </c>
      <c r="H768" s="1214">
        <v>975</v>
      </c>
      <c r="I768" s="1214"/>
      <c r="J768" s="1214" t="s">
        <v>1057</v>
      </c>
      <c r="K768" s="1214"/>
      <c r="L768" s="1214">
        <v>975</v>
      </c>
      <c r="M768" s="1214"/>
      <c r="N768" s="1214" t="s">
        <v>1057</v>
      </c>
      <c r="O768" s="1214"/>
      <c r="P768" s="99"/>
    </row>
    <row r="769" spans="1:16" ht="12.75" customHeight="1">
      <c r="A769" s="493">
        <v>2</v>
      </c>
      <c r="B769" s="1460" t="s">
        <v>1301</v>
      </c>
      <c r="C769" s="1460"/>
      <c r="D769" s="1460"/>
      <c r="E769" s="1460"/>
      <c r="F769" s="304"/>
      <c r="G769" s="307" t="s">
        <v>1056</v>
      </c>
      <c r="H769" s="1214">
        <v>800</v>
      </c>
      <c r="I769" s="1214"/>
      <c r="J769" s="1214" t="s">
        <v>1057</v>
      </c>
      <c r="K769" s="1214"/>
      <c r="L769" s="1214">
        <v>900</v>
      </c>
      <c r="M769" s="1214"/>
      <c r="N769" s="1214" t="s">
        <v>1057</v>
      </c>
      <c r="O769" s="1214"/>
      <c r="P769" s="99"/>
    </row>
    <row r="770" spans="1:16" ht="12.75" customHeight="1">
      <c r="A770" s="493">
        <v>3</v>
      </c>
      <c r="B770" s="1460" t="s">
        <v>1407</v>
      </c>
      <c r="C770" s="1460"/>
      <c r="D770" s="1460"/>
      <c r="E770" s="1460"/>
      <c r="F770" s="304"/>
      <c r="G770" s="307" t="s">
        <v>1056</v>
      </c>
      <c r="H770" s="1214">
        <v>800</v>
      </c>
      <c r="I770" s="1214"/>
      <c r="J770" s="1214" t="s">
        <v>1057</v>
      </c>
      <c r="K770" s="1214"/>
      <c r="L770" s="1214">
        <v>750</v>
      </c>
      <c r="M770" s="1214"/>
      <c r="N770" s="1214" t="s">
        <v>1057</v>
      </c>
      <c r="O770" s="1214"/>
      <c r="P770" s="99"/>
    </row>
    <row r="771" spans="1:16">
      <c r="A771" s="493">
        <v>4</v>
      </c>
      <c r="B771" s="1460" t="s">
        <v>1304</v>
      </c>
      <c r="C771" s="1460"/>
      <c r="D771" s="1460"/>
      <c r="E771" s="1460"/>
      <c r="F771" s="420"/>
      <c r="G771" s="1284"/>
      <c r="H771" s="1285"/>
      <c r="I771" s="1285"/>
      <c r="J771" s="1285"/>
      <c r="K771" s="1285"/>
      <c r="L771" s="1285"/>
      <c r="M771" s="1285"/>
      <c r="N771" s="1285"/>
      <c r="O771" s="1286"/>
    </row>
    <row r="772" spans="1:16">
      <c r="A772" s="1393"/>
      <c r="B772" s="1393"/>
      <c r="C772" s="1423" t="s">
        <v>1305</v>
      </c>
      <c r="D772" s="1423"/>
      <c r="E772" s="1423"/>
      <c r="F772" s="304"/>
      <c r="G772" s="307" t="s">
        <v>1056</v>
      </c>
      <c r="H772" s="1214">
        <v>800</v>
      </c>
      <c r="I772" s="1214"/>
      <c r="J772" s="1214" t="s">
        <v>1057</v>
      </c>
      <c r="K772" s="1214"/>
      <c r="L772" s="1214">
        <v>750</v>
      </c>
      <c r="M772" s="1214"/>
      <c r="N772" s="1214" t="s">
        <v>1057</v>
      </c>
      <c r="O772" s="1214"/>
    </row>
    <row r="773" spans="1:16">
      <c r="A773" s="1393"/>
      <c r="B773" s="1393"/>
      <c r="C773" s="1423" t="s">
        <v>1058</v>
      </c>
      <c r="D773" s="1423"/>
      <c r="E773" s="1423"/>
      <c r="F773" s="304"/>
      <c r="G773" s="307" t="s">
        <v>1056</v>
      </c>
      <c r="H773" s="1214">
        <v>750</v>
      </c>
      <c r="I773" s="1214"/>
      <c r="J773" s="1214" t="s">
        <v>1057</v>
      </c>
      <c r="K773" s="1214"/>
      <c r="L773" s="1214">
        <v>700</v>
      </c>
      <c r="M773" s="1214"/>
      <c r="N773" s="1214" t="s">
        <v>1057</v>
      </c>
      <c r="O773" s="1214"/>
    </row>
    <row r="774" spans="1:16" ht="12.75" customHeight="1">
      <c r="A774" s="493">
        <v>5</v>
      </c>
      <c r="B774" s="1460" t="s">
        <v>1408</v>
      </c>
      <c r="C774" s="1460"/>
      <c r="D774" s="1460"/>
      <c r="E774" s="1460"/>
      <c r="F774" s="304"/>
      <c r="G774" s="307" t="s">
        <v>1056</v>
      </c>
      <c r="H774" s="1214">
        <v>650</v>
      </c>
      <c r="I774" s="1214"/>
      <c r="J774" s="1214" t="s">
        <v>1057</v>
      </c>
      <c r="K774" s="1214"/>
      <c r="L774" s="1214">
        <v>350</v>
      </c>
      <c r="M774" s="1214"/>
      <c r="N774" s="1214" t="s">
        <v>1057</v>
      </c>
      <c r="O774" s="1214"/>
      <c r="P774" s="99"/>
    </row>
    <row r="775" spans="1:16" ht="12.75" customHeight="1">
      <c r="D775" s="453"/>
      <c r="E775" s="453"/>
      <c r="F775" s="295"/>
      <c r="I775" s="316"/>
      <c r="J775" s="316"/>
      <c r="K775" s="316"/>
      <c r="L775" s="316"/>
      <c r="M775" s="316"/>
      <c r="N775" s="316"/>
      <c r="O775" s="316"/>
      <c r="P775" s="99"/>
    </row>
    <row r="776" spans="1:16" ht="12.75" customHeight="1">
      <c r="B776" s="1490" t="s">
        <v>1409</v>
      </c>
      <c r="C776" s="1490"/>
      <c r="D776" s="1490"/>
      <c r="E776" s="1490"/>
      <c r="F776" s="306"/>
    </row>
    <row r="777" spans="1:16" ht="12.75" customHeight="1">
      <c r="A777" s="493">
        <v>1</v>
      </c>
      <c r="B777" s="1460" t="s">
        <v>1410</v>
      </c>
      <c r="C777" s="1460"/>
      <c r="D777" s="1460"/>
      <c r="E777" s="1460"/>
      <c r="F777" s="304"/>
      <c r="G777" s="307" t="s">
        <v>1056</v>
      </c>
      <c r="H777" s="1214">
        <v>1450</v>
      </c>
      <c r="I777" s="1214"/>
      <c r="J777" s="1214" t="s">
        <v>1057</v>
      </c>
      <c r="K777" s="1214"/>
      <c r="L777" s="1214">
        <v>1700</v>
      </c>
      <c r="M777" s="1214"/>
      <c r="N777" s="1214" t="s">
        <v>1057</v>
      </c>
      <c r="O777" s="1214"/>
      <c r="P777" s="99"/>
    </row>
    <row r="778" spans="1:16" ht="12.75" customHeight="1">
      <c r="A778" s="493">
        <v>2</v>
      </c>
      <c r="B778" s="1460" t="s">
        <v>1317</v>
      </c>
      <c r="C778" s="1460"/>
      <c r="D778" s="1460"/>
      <c r="E778" s="1460"/>
      <c r="F778" s="304"/>
      <c r="G778" s="298" t="s">
        <v>2102</v>
      </c>
      <c r="H778" s="1214">
        <v>975</v>
      </c>
      <c r="I778" s="1214"/>
      <c r="J778" s="1214" t="s">
        <v>1057</v>
      </c>
      <c r="K778" s="1214"/>
      <c r="L778" s="1214">
        <v>975</v>
      </c>
      <c r="M778" s="1214"/>
      <c r="N778" s="1214" t="s">
        <v>1057</v>
      </c>
      <c r="O778" s="1214"/>
      <c r="P778" s="99"/>
    </row>
    <row r="780" spans="1:16" ht="12.75" customHeight="1">
      <c r="B780" s="1490" t="s">
        <v>1411</v>
      </c>
      <c r="C780" s="1490"/>
      <c r="D780" s="1490"/>
      <c r="E780" s="1490"/>
      <c r="F780" s="306"/>
    </row>
    <row r="781" spans="1:16" ht="12.75" customHeight="1">
      <c r="A781" s="493">
        <v>1</v>
      </c>
      <c r="B781" s="1355" t="s">
        <v>1412</v>
      </c>
      <c r="C781" s="1356"/>
      <c r="D781" s="1356"/>
      <c r="E781" s="1357"/>
      <c r="F781" s="421"/>
      <c r="G781" s="298" t="s">
        <v>2236</v>
      </c>
      <c r="H781" s="1214">
        <v>1450</v>
      </c>
      <c r="I781" s="1214"/>
      <c r="J781" s="1214" t="s">
        <v>1057</v>
      </c>
      <c r="K781" s="1214"/>
      <c r="L781" s="1214">
        <v>1700</v>
      </c>
      <c r="M781" s="1214"/>
      <c r="N781" s="1214" t="s">
        <v>1057</v>
      </c>
      <c r="O781" s="1214"/>
      <c r="P781" s="99"/>
    </row>
    <row r="783" spans="1:16" ht="12.75" customHeight="1">
      <c r="B783" s="1490" t="s">
        <v>1413</v>
      </c>
      <c r="C783" s="1490"/>
      <c r="D783" s="1490"/>
      <c r="E783" s="1490"/>
      <c r="F783" s="306"/>
    </row>
    <row r="784" spans="1:16" ht="12.75" customHeight="1">
      <c r="B784" s="1490" t="s">
        <v>1414</v>
      </c>
      <c r="C784" s="1490"/>
      <c r="D784" s="1490"/>
      <c r="E784" s="1490"/>
      <c r="F784" s="306"/>
    </row>
    <row r="785" spans="1:19">
      <c r="A785" s="493">
        <v>1</v>
      </c>
      <c r="B785" s="1460" t="s">
        <v>1412</v>
      </c>
      <c r="C785" s="1460"/>
      <c r="D785" s="1460"/>
      <c r="E785" s="1460"/>
      <c r="F785" s="304"/>
      <c r="G785" s="298" t="s">
        <v>1507</v>
      </c>
      <c r="H785" s="1214">
        <v>800</v>
      </c>
      <c r="I785" s="1214"/>
      <c r="J785" s="1214" t="s">
        <v>1057</v>
      </c>
      <c r="K785" s="1214"/>
      <c r="L785" s="1214">
        <v>900</v>
      </c>
      <c r="M785" s="1214"/>
      <c r="N785" s="1214" t="s">
        <v>1057</v>
      </c>
      <c r="O785" s="1214"/>
      <c r="P785" s="99"/>
      <c r="Q785" s="99"/>
      <c r="R785" s="99"/>
      <c r="S785" s="99"/>
    </row>
    <row r="786" spans="1:19" ht="12.75" customHeight="1">
      <c r="A786" s="493">
        <v>2</v>
      </c>
      <c r="B786" s="1460" t="s">
        <v>1415</v>
      </c>
      <c r="C786" s="1460"/>
      <c r="D786" s="1460"/>
      <c r="E786" s="1460"/>
      <c r="F786" s="304"/>
      <c r="G786" s="307" t="s">
        <v>1056</v>
      </c>
      <c r="H786" s="1214">
        <v>700</v>
      </c>
      <c r="I786" s="1214"/>
      <c r="J786" s="1214" t="s">
        <v>1057</v>
      </c>
      <c r="K786" s="1214"/>
      <c r="L786" s="1214">
        <v>700</v>
      </c>
      <c r="M786" s="1214"/>
      <c r="N786" s="1214" t="s">
        <v>1057</v>
      </c>
      <c r="O786" s="1214"/>
      <c r="P786" s="99"/>
    </row>
    <row r="787" spans="1:19" ht="12.75" customHeight="1">
      <c r="A787" s="499"/>
      <c r="B787" s="510"/>
      <c r="C787" s="466"/>
      <c r="D787" s="466"/>
      <c r="E787" s="466"/>
      <c r="F787" s="317"/>
      <c r="G787" s="316"/>
      <c r="H787" s="316"/>
      <c r="I787" s="316"/>
      <c r="J787" s="316"/>
      <c r="K787" s="316"/>
      <c r="L787" s="316"/>
      <c r="M787" s="316"/>
      <c r="N787" s="316"/>
      <c r="O787" s="316"/>
      <c r="P787" s="99"/>
    </row>
    <row r="788" spans="1:19" ht="12.75" customHeight="1">
      <c r="B788" s="1490" t="s">
        <v>1416</v>
      </c>
      <c r="C788" s="1490"/>
      <c r="D788" s="1490"/>
      <c r="E788" s="1490"/>
      <c r="F788" s="306"/>
    </row>
    <row r="789" spans="1:19" ht="16.5" customHeight="1">
      <c r="A789" s="493">
        <v>1</v>
      </c>
      <c r="B789" s="1460" t="s">
        <v>1417</v>
      </c>
      <c r="C789" s="1460"/>
      <c r="D789" s="1460"/>
      <c r="E789" s="1460"/>
      <c r="F789" s="304"/>
      <c r="G789" s="307" t="s">
        <v>1056</v>
      </c>
      <c r="H789" s="1214">
        <v>900</v>
      </c>
      <c r="I789" s="1214"/>
      <c r="J789" s="1214">
        <v>500</v>
      </c>
      <c r="K789" s="1214"/>
      <c r="L789" s="1214">
        <v>1100</v>
      </c>
      <c r="M789" s="1214"/>
      <c r="N789" s="1484" t="s">
        <v>1057</v>
      </c>
      <c r="O789" s="1484"/>
      <c r="P789" s="99"/>
    </row>
    <row r="790" spans="1:19" ht="12.75" customHeight="1">
      <c r="A790" s="493">
        <v>2</v>
      </c>
      <c r="B790" s="1460" t="s">
        <v>1418</v>
      </c>
      <c r="C790" s="1460"/>
      <c r="D790" s="1460"/>
      <c r="E790" s="1460"/>
      <c r="F790" s="304"/>
      <c r="G790" s="1214"/>
      <c r="H790" s="1214"/>
      <c r="I790" s="1214"/>
      <c r="J790" s="1214"/>
      <c r="K790" s="1214"/>
      <c r="L790" s="1214"/>
      <c r="M790" s="1214"/>
      <c r="N790" s="1214"/>
      <c r="O790" s="1214"/>
    </row>
    <row r="791" spans="1:19">
      <c r="A791" s="493"/>
      <c r="B791" s="504"/>
      <c r="C791" s="1423" t="s">
        <v>1305</v>
      </c>
      <c r="D791" s="1423"/>
      <c r="E791" s="1423"/>
      <c r="F791" s="304"/>
      <c r="G791" s="307" t="s">
        <v>1056</v>
      </c>
      <c r="H791" s="1214">
        <v>900</v>
      </c>
      <c r="I791" s="1214"/>
      <c r="J791" s="1214" t="s">
        <v>1057</v>
      </c>
      <c r="K791" s="1214"/>
      <c r="L791" s="1214">
        <v>850</v>
      </c>
      <c r="M791" s="1214"/>
      <c r="N791" s="1214" t="s">
        <v>1057</v>
      </c>
      <c r="O791" s="1214"/>
    </row>
    <row r="792" spans="1:19">
      <c r="A792" s="493"/>
      <c r="B792" s="504"/>
      <c r="C792" s="1423" t="s">
        <v>1393</v>
      </c>
      <c r="D792" s="1423"/>
      <c r="E792" s="1423"/>
      <c r="F792" s="304"/>
      <c r="G792" s="307" t="s">
        <v>1056</v>
      </c>
      <c r="H792" s="1214">
        <v>800</v>
      </c>
      <c r="I792" s="1214"/>
      <c r="J792" s="1214" t="s">
        <v>1057</v>
      </c>
      <c r="K792" s="1214"/>
      <c r="L792" s="1214">
        <v>800</v>
      </c>
      <c r="M792" s="1214"/>
      <c r="N792" s="1214" t="s">
        <v>1057</v>
      </c>
      <c r="O792" s="1214"/>
    </row>
    <row r="793" spans="1:19">
      <c r="A793" s="493"/>
      <c r="B793" s="504"/>
      <c r="C793" s="1423" t="s">
        <v>1394</v>
      </c>
      <c r="D793" s="1423"/>
      <c r="E793" s="1423"/>
      <c r="F793" s="304"/>
      <c r="G793" s="307" t="s">
        <v>1056</v>
      </c>
      <c r="H793" s="1214">
        <v>800</v>
      </c>
      <c r="I793" s="1214"/>
      <c r="J793" s="1214" t="s">
        <v>1057</v>
      </c>
      <c r="K793" s="1214"/>
      <c r="L793" s="1214">
        <v>750</v>
      </c>
      <c r="M793" s="1214"/>
      <c r="N793" s="1214" t="s">
        <v>1057</v>
      </c>
      <c r="O793" s="1214"/>
    </row>
    <row r="794" spans="1:19" ht="12.75" customHeight="1">
      <c r="A794" s="493">
        <v>3</v>
      </c>
      <c r="B794" s="1460" t="s">
        <v>1419</v>
      </c>
      <c r="C794" s="1460"/>
      <c r="D794" s="1460"/>
      <c r="E794" s="1460"/>
      <c r="F794" s="304"/>
      <c r="G794" s="307" t="s">
        <v>1056</v>
      </c>
      <c r="H794" s="1214">
        <v>700</v>
      </c>
      <c r="I794" s="1214"/>
      <c r="J794" s="1214" t="s">
        <v>1057</v>
      </c>
      <c r="K794" s="1214"/>
      <c r="L794" s="1214">
        <v>450</v>
      </c>
      <c r="M794" s="1214"/>
      <c r="N794" s="1214" t="s">
        <v>1057</v>
      </c>
      <c r="O794" s="1214"/>
      <c r="P794" s="99"/>
    </row>
    <row r="795" spans="1:19" ht="12.75" customHeight="1">
      <c r="A795" s="493">
        <v>4</v>
      </c>
      <c r="B795" s="1460" t="s">
        <v>1420</v>
      </c>
      <c r="C795" s="1460"/>
      <c r="D795" s="1460"/>
      <c r="E795" s="1460"/>
      <c r="F795" s="304"/>
      <c r="G795" s="307" t="s">
        <v>1056</v>
      </c>
      <c r="H795" s="1214">
        <v>600</v>
      </c>
      <c r="I795" s="1214"/>
      <c r="J795" s="1214">
        <v>325</v>
      </c>
      <c r="K795" s="1214"/>
      <c r="L795" s="1214">
        <v>400</v>
      </c>
      <c r="M795" s="1214"/>
      <c r="N795" s="1214" t="s">
        <v>1057</v>
      </c>
      <c r="O795" s="1214"/>
      <c r="P795" s="99"/>
    </row>
    <row r="796" spans="1:19" ht="12.75" customHeight="1">
      <c r="A796" s="493">
        <v>5</v>
      </c>
      <c r="B796" s="1460" t="s">
        <v>1421</v>
      </c>
      <c r="C796" s="1460"/>
      <c r="D796" s="1460"/>
      <c r="E796" s="1460"/>
      <c r="F796" s="304"/>
      <c r="G796" s="307" t="s">
        <v>1056</v>
      </c>
      <c r="H796" s="1214">
        <v>550</v>
      </c>
      <c r="I796" s="1214"/>
      <c r="J796" s="1214">
        <v>300</v>
      </c>
      <c r="K796" s="1214"/>
      <c r="L796" s="1214" t="s">
        <v>1057</v>
      </c>
      <c r="M796" s="1214"/>
      <c r="N796" s="1214" t="s">
        <v>1057</v>
      </c>
      <c r="O796" s="1214"/>
      <c r="P796" s="99"/>
    </row>
    <row r="797" spans="1:19" ht="12.75" customHeight="1">
      <c r="A797" s="493">
        <v>6</v>
      </c>
      <c r="B797" s="1460" t="s">
        <v>1422</v>
      </c>
      <c r="C797" s="1460"/>
      <c r="D797" s="1460"/>
      <c r="E797" s="1460"/>
      <c r="F797" s="304"/>
      <c r="G797" s="307" t="s">
        <v>1056</v>
      </c>
      <c r="H797" s="1214">
        <v>600</v>
      </c>
      <c r="I797" s="1214"/>
      <c r="J797" s="1214">
        <v>300</v>
      </c>
      <c r="K797" s="1214"/>
      <c r="L797" s="1214">
        <v>400</v>
      </c>
      <c r="M797" s="1214"/>
      <c r="N797" s="1214" t="s">
        <v>1057</v>
      </c>
      <c r="O797" s="1214"/>
      <c r="P797" s="99"/>
    </row>
    <row r="798" spans="1:19" ht="12.75" customHeight="1">
      <c r="A798" s="493">
        <v>7</v>
      </c>
      <c r="B798" s="1460" t="s">
        <v>1423</v>
      </c>
      <c r="C798" s="1460"/>
      <c r="D798" s="1460"/>
      <c r="E798" s="1460"/>
      <c r="F798" s="304"/>
      <c r="G798" s="307" t="s">
        <v>1056</v>
      </c>
      <c r="H798" s="1214">
        <v>600</v>
      </c>
      <c r="I798" s="1214"/>
      <c r="J798" s="1214">
        <v>500</v>
      </c>
      <c r="K798" s="1214"/>
      <c r="L798" s="1214">
        <v>500</v>
      </c>
      <c r="M798" s="1214"/>
      <c r="N798" s="1214" t="s">
        <v>1057</v>
      </c>
      <c r="O798" s="1214"/>
      <c r="P798" s="99"/>
    </row>
    <row r="799" spans="1:19" ht="12.75" customHeight="1">
      <c r="A799" s="493">
        <v>8</v>
      </c>
      <c r="B799" s="1460" t="s">
        <v>1424</v>
      </c>
      <c r="C799" s="1460"/>
      <c r="D799" s="1460"/>
      <c r="E799" s="1460"/>
      <c r="F799" s="304"/>
      <c r="G799" s="307" t="s">
        <v>1056</v>
      </c>
      <c r="H799" s="1214">
        <v>600</v>
      </c>
      <c r="I799" s="1214"/>
      <c r="J799" s="1214" t="s">
        <v>1057</v>
      </c>
      <c r="K799" s="1214"/>
      <c r="L799" s="1214">
        <v>500</v>
      </c>
      <c r="M799" s="1214"/>
      <c r="N799" s="1214" t="s">
        <v>1057</v>
      </c>
      <c r="O799" s="1214"/>
      <c r="P799" s="99"/>
    </row>
    <row r="800" spans="1:19" ht="12.75" customHeight="1">
      <c r="A800" s="493">
        <v>9</v>
      </c>
      <c r="B800" s="1460" t="s">
        <v>1425</v>
      </c>
      <c r="C800" s="1460"/>
      <c r="D800" s="1460"/>
      <c r="E800" s="1460"/>
      <c r="F800" s="304"/>
      <c r="G800" s="307" t="s">
        <v>1056</v>
      </c>
      <c r="H800" s="1214">
        <v>600</v>
      </c>
      <c r="I800" s="1214"/>
      <c r="J800" s="1214" t="s">
        <v>1057</v>
      </c>
      <c r="K800" s="1214"/>
      <c r="L800" s="1214">
        <v>200</v>
      </c>
      <c r="M800" s="1214"/>
      <c r="N800" s="1214" t="s">
        <v>1057</v>
      </c>
      <c r="O800" s="1214"/>
      <c r="P800" s="99"/>
    </row>
    <row r="802" spans="1:17" s="99" customFormat="1" ht="35.25" customHeight="1">
      <c r="A802" s="475" t="s">
        <v>2185</v>
      </c>
      <c r="B802" s="509" t="s">
        <v>1056</v>
      </c>
      <c r="C802" s="1415" t="s">
        <v>2243</v>
      </c>
      <c r="D802" s="1415"/>
      <c r="E802" s="1415"/>
      <c r="F802" s="1415"/>
      <c r="G802" s="1415"/>
      <c r="H802" s="1415"/>
      <c r="I802" s="1415"/>
      <c r="J802" s="1415"/>
      <c r="K802" s="1415"/>
      <c r="L802" s="1415"/>
      <c r="M802" s="1415"/>
      <c r="N802" s="1415"/>
      <c r="O802" s="1415"/>
    </row>
    <row r="804" spans="1:17" ht="15.75" customHeight="1">
      <c r="B804" s="1490" t="s">
        <v>1426</v>
      </c>
      <c r="C804" s="1490"/>
      <c r="D804" s="1490"/>
      <c r="E804" s="1490"/>
      <c r="F804" s="306"/>
    </row>
    <row r="805" spans="1:17" ht="14.25" customHeight="1">
      <c r="A805" s="495">
        <v>1</v>
      </c>
      <c r="B805" s="1363" t="s">
        <v>1427</v>
      </c>
      <c r="C805" s="1363"/>
      <c r="D805" s="1363"/>
      <c r="E805" s="1363"/>
      <c r="F805" s="434"/>
      <c r="G805" s="1284"/>
      <c r="H805" s="1285"/>
      <c r="I805" s="1285"/>
      <c r="J805" s="1285"/>
      <c r="K805" s="1285"/>
      <c r="L805" s="1285"/>
      <c r="M805" s="1285"/>
      <c r="N805" s="1285"/>
      <c r="O805" s="1286"/>
    </row>
    <row r="806" spans="1:17" ht="14.25" customHeight="1">
      <c r="A806" s="492"/>
      <c r="B806" s="1336" t="s">
        <v>1428</v>
      </c>
      <c r="C806" s="1336"/>
      <c r="D806" s="1336"/>
      <c r="E806" s="1336"/>
      <c r="F806" s="296"/>
      <c r="G806" s="307" t="s">
        <v>1056</v>
      </c>
      <c r="H806" s="1214">
        <v>975</v>
      </c>
      <c r="I806" s="1214"/>
      <c r="J806" s="1484" t="s">
        <v>1057</v>
      </c>
      <c r="K806" s="1214"/>
      <c r="L806" s="1214">
        <v>1400</v>
      </c>
      <c r="M806" s="1214"/>
      <c r="N806" s="1214" t="s">
        <v>1057</v>
      </c>
      <c r="O806" s="1214"/>
      <c r="P806" s="99"/>
      <c r="Q806" s="99"/>
    </row>
    <row r="807" spans="1:17" ht="14.25" customHeight="1">
      <c r="A807" s="495">
        <v>2</v>
      </c>
      <c r="B807" s="1363" t="s">
        <v>1429</v>
      </c>
      <c r="C807" s="1363"/>
      <c r="D807" s="1363"/>
      <c r="E807" s="1363"/>
      <c r="F807" s="434"/>
      <c r="G807" s="1284"/>
      <c r="H807" s="1285"/>
      <c r="I807" s="1285"/>
      <c r="J807" s="1285"/>
      <c r="K807" s="1285"/>
      <c r="L807" s="1285"/>
      <c r="M807" s="1285"/>
      <c r="N807" s="1285"/>
      <c r="O807" s="1286"/>
    </row>
    <row r="808" spans="1:17" ht="14.25" customHeight="1">
      <c r="A808" s="492"/>
      <c r="B808" s="1336" t="s">
        <v>1430</v>
      </c>
      <c r="C808" s="1336"/>
      <c r="D808" s="1336"/>
      <c r="E808" s="1336"/>
      <c r="F808" s="296"/>
      <c r="G808" s="307" t="s">
        <v>1056</v>
      </c>
      <c r="H808" s="1214">
        <v>650</v>
      </c>
      <c r="I808" s="1214"/>
      <c r="J808" s="1214">
        <v>600</v>
      </c>
      <c r="K808" s="1214"/>
      <c r="L808" s="1214">
        <v>1400</v>
      </c>
      <c r="M808" s="1214"/>
      <c r="N808" s="1214" t="s">
        <v>1057</v>
      </c>
      <c r="O808" s="1214"/>
      <c r="P808" s="99"/>
      <c r="Q808" s="99"/>
    </row>
    <row r="809" spans="1:17" ht="14.25" customHeight="1">
      <c r="A809" s="493">
        <v>3</v>
      </c>
      <c r="B809" s="1363" t="s">
        <v>1431</v>
      </c>
      <c r="C809" s="1363"/>
      <c r="D809" s="1363"/>
      <c r="E809" s="1363"/>
      <c r="F809" s="308"/>
      <c r="G809" s="307" t="s">
        <v>1056</v>
      </c>
      <c r="H809" s="1214">
        <v>650</v>
      </c>
      <c r="I809" s="1214"/>
      <c r="J809" s="1214">
        <v>600</v>
      </c>
      <c r="K809" s="1214"/>
      <c r="L809" s="1214">
        <v>500</v>
      </c>
      <c r="M809" s="1214"/>
      <c r="N809" s="1214" t="s">
        <v>1057</v>
      </c>
      <c r="O809" s="1214"/>
      <c r="P809" s="99"/>
    </row>
    <row r="810" spans="1:17" ht="14.25" customHeight="1">
      <c r="A810" s="493">
        <v>4</v>
      </c>
      <c r="B810" s="1363" t="s">
        <v>1432</v>
      </c>
      <c r="C810" s="1363"/>
      <c r="D810" s="1363"/>
      <c r="E810" s="1363"/>
      <c r="F810" s="308"/>
      <c r="G810" s="307" t="s">
        <v>1056</v>
      </c>
      <c r="H810" s="1214">
        <v>500</v>
      </c>
      <c r="I810" s="1214"/>
      <c r="J810" s="1214">
        <v>600</v>
      </c>
      <c r="K810" s="1214"/>
      <c r="L810" s="1214">
        <v>500</v>
      </c>
      <c r="M810" s="1214"/>
      <c r="N810" s="1214" t="s">
        <v>1057</v>
      </c>
      <c r="O810" s="1214"/>
      <c r="P810" s="99"/>
    </row>
    <row r="811" spans="1:17" ht="14.25" customHeight="1">
      <c r="A811" s="495">
        <v>5</v>
      </c>
      <c r="B811" s="1363" t="s">
        <v>1433</v>
      </c>
      <c r="C811" s="1363"/>
      <c r="D811" s="1363"/>
      <c r="E811" s="1363"/>
      <c r="F811" s="434"/>
      <c r="G811" s="1284"/>
      <c r="H811" s="1285"/>
      <c r="I811" s="1285"/>
      <c r="J811" s="1285"/>
      <c r="K811" s="1285"/>
      <c r="L811" s="1285"/>
      <c r="M811" s="1285"/>
      <c r="N811" s="1285"/>
      <c r="O811" s="1286"/>
    </row>
    <row r="812" spans="1:17" ht="14.25" customHeight="1">
      <c r="A812" s="492"/>
      <c r="B812" s="1336" t="s">
        <v>1434</v>
      </c>
      <c r="C812" s="1336"/>
      <c r="D812" s="1336"/>
      <c r="E812" s="1336"/>
      <c r="F812" s="296"/>
      <c r="G812" s="307" t="s">
        <v>1056</v>
      </c>
      <c r="H812" s="1214">
        <v>550</v>
      </c>
      <c r="I812" s="1214"/>
      <c r="J812" s="1214">
        <v>600</v>
      </c>
      <c r="K812" s="1214"/>
      <c r="L812" s="1214">
        <v>275</v>
      </c>
      <c r="M812" s="1214"/>
      <c r="N812" s="1214" t="s">
        <v>1057</v>
      </c>
      <c r="O812" s="1214"/>
      <c r="P812" s="99"/>
      <c r="Q812" s="99"/>
    </row>
    <row r="813" spans="1:17" ht="14.25" customHeight="1">
      <c r="A813" s="495">
        <v>6</v>
      </c>
      <c r="B813" s="1363" t="s">
        <v>1435</v>
      </c>
      <c r="C813" s="1363"/>
      <c r="D813" s="1363"/>
      <c r="E813" s="1363"/>
      <c r="F813" s="434"/>
      <c r="G813" s="1284"/>
      <c r="H813" s="1285"/>
      <c r="I813" s="1285"/>
      <c r="J813" s="1285"/>
      <c r="K813" s="1285"/>
      <c r="L813" s="1285"/>
      <c r="M813" s="1285"/>
      <c r="N813" s="1285"/>
      <c r="O813" s="1286"/>
    </row>
    <row r="814" spans="1:17" ht="14.25" customHeight="1">
      <c r="A814" s="492"/>
      <c r="B814" s="1336" t="s">
        <v>1436</v>
      </c>
      <c r="C814" s="1336"/>
      <c r="D814" s="1336"/>
      <c r="E814" s="1336"/>
      <c r="F814" s="296"/>
      <c r="G814" s="307" t="s">
        <v>1056</v>
      </c>
      <c r="H814" s="1214">
        <v>500</v>
      </c>
      <c r="I814" s="1214"/>
      <c r="J814" s="1214">
        <v>325</v>
      </c>
      <c r="K814" s="1214"/>
      <c r="L814" s="1214" t="s">
        <v>1057</v>
      </c>
      <c r="M814" s="1214"/>
      <c r="N814" s="1214" t="s">
        <v>1057</v>
      </c>
      <c r="O814" s="1214"/>
      <c r="P814" s="99"/>
      <c r="Q814" s="99"/>
    </row>
    <row r="815" spans="1:17" ht="14.25" customHeight="1">
      <c r="A815" s="495">
        <v>7</v>
      </c>
      <c r="B815" s="1363" t="s">
        <v>1437</v>
      </c>
      <c r="C815" s="1363"/>
      <c r="D815" s="1363"/>
      <c r="E815" s="1363"/>
      <c r="F815" s="434"/>
      <c r="G815" s="1284"/>
      <c r="H815" s="1285"/>
      <c r="I815" s="1285"/>
      <c r="J815" s="1285"/>
      <c r="K815" s="1285"/>
      <c r="L815" s="1285"/>
      <c r="M815" s="1285"/>
      <c r="N815" s="1285"/>
      <c r="O815" s="1286"/>
    </row>
    <row r="816" spans="1:17" ht="14.25" customHeight="1">
      <c r="A816" s="492"/>
      <c r="B816" s="1363" t="s">
        <v>1438</v>
      </c>
      <c r="C816" s="1363"/>
      <c r="D816" s="1363"/>
      <c r="E816" s="1363"/>
      <c r="F816" s="308"/>
      <c r="G816" s="307" t="s">
        <v>1056</v>
      </c>
      <c r="H816" s="1214">
        <v>500</v>
      </c>
      <c r="I816" s="1214"/>
      <c r="J816" s="1214">
        <v>200</v>
      </c>
      <c r="K816" s="1214"/>
      <c r="L816" s="1214" t="s">
        <v>1057</v>
      </c>
      <c r="M816" s="1214"/>
      <c r="N816" s="1214" t="s">
        <v>1057</v>
      </c>
      <c r="O816" s="1214"/>
      <c r="P816" s="99"/>
    </row>
    <row r="818" spans="1:17" ht="12.75" customHeight="1">
      <c r="B818" s="1490" t="s">
        <v>1439</v>
      </c>
      <c r="C818" s="1490"/>
      <c r="D818" s="1490"/>
      <c r="E818" s="1490"/>
      <c r="F818" s="306"/>
    </row>
    <row r="819" spans="1:17" ht="12.75" customHeight="1">
      <c r="B819" s="1490" t="s">
        <v>1440</v>
      </c>
      <c r="C819" s="1490"/>
      <c r="D819" s="1490"/>
      <c r="E819" s="1490"/>
      <c r="F819" s="306"/>
      <c r="G819" s="1411"/>
      <c r="H819" s="1411"/>
      <c r="I819" s="1411"/>
      <c r="J819" s="1411"/>
      <c r="K819" s="1411"/>
      <c r="L819" s="1411"/>
      <c r="M819" s="1411"/>
      <c r="N819" s="1411"/>
      <c r="O819" s="1411"/>
    </row>
    <row r="820" spans="1:17" ht="12.75" customHeight="1">
      <c r="A820" s="493">
        <v>1</v>
      </c>
      <c r="B820" s="1460" t="s">
        <v>1441</v>
      </c>
      <c r="C820" s="1460"/>
      <c r="D820" s="1460"/>
      <c r="E820" s="1460"/>
      <c r="F820" s="317"/>
      <c r="G820" s="1411"/>
      <c r="H820" s="1411"/>
      <c r="I820" s="1411"/>
      <c r="J820" s="1411"/>
      <c r="K820" s="1411"/>
      <c r="L820" s="1411"/>
      <c r="M820" s="1411"/>
      <c r="N820" s="1411"/>
      <c r="O820" s="1411"/>
    </row>
    <row r="821" spans="1:17">
      <c r="A821" s="493"/>
      <c r="B821" s="1310" t="s">
        <v>1442</v>
      </c>
      <c r="C821" s="1310"/>
      <c r="D821" s="1310"/>
      <c r="E821" s="1310"/>
      <c r="F821" s="423"/>
      <c r="G821" s="307" t="s">
        <v>1056</v>
      </c>
      <c r="H821" s="1214">
        <v>600</v>
      </c>
      <c r="I821" s="1214"/>
      <c r="J821" s="1214">
        <v>200</v>
      </c>
      <c r="K821" s="1214"/>
      <c r="L821" s="1214" t="s">
        <v>1057</v>
      </c>
      <c r="M821" s="1214"/>
      <c r="N821" s="1214" t="s">
        <v>1057</v>
      </c>
      <c r="O821" s="1214"/>
      <c r="P821" s="99"/>
      <c r="Q821" s="99"/>
    </row>
    <row r="822" spans="1:17" ht="12.75" customHeight="1">
      <c r="A822" s="493">
        <v>2</v>
      </c>
      <c r="B822" s="1460" t="s">
        <v>1443</v>
      </c>
      <c r="C822" s="1460"/>
      <c r="D822" s="1460"/>
      <c r="E822" s="1460"/>
      <c r="F822" s="304"/>
      <c r="G822" s="307" t="s">
        <v>1056</v>
      </c>
      <c r="H822" s="1214">
        <v>500</v>
      </c>
      <c r="I822" s="1214"/>
      <c r="J822" s="1214">
        <v>250</v>
      </c>
      <c r="K822" s="1214"/>
      <c r="L822" s="1214" t="s">
        <v>1057</v>
      </c>
      <c r="M822" s="1214"/>
      <c r="N822" s="1214" t="s">
        <v>1057</v>
      </c>
      <c r="O822" s="1214"/>
      <c r="P822" s="99"/>
    </row>
    <row r="823" spans="1:17" ht="12.75" customHeight="1">
      <c r="A823" s="493">
        <v>3</v>
      </c>
      <c r="B823" s="1460" t="s">
        <v>1444</v>
      </c>
      <c r="C823" s="1460"/>
      <c r="D823" s="1460"/>
      <c r="E823" s="1460"/>
      <c r="F823" s="304"/>
      <c r="G823" s="307" t="s">
        <v>1056</v>
      </c>
      <c r="H823" s="1214">
        <v>600</v>
      </c>
      <c r="I823" s="1214"/>
      <c r="J823" s="1214">
        <v>200</v>
      </c>
      <c r="K823" s="1214"/>
      <c r="L823" s="1214" t="s">
        <v>1057</v>
      </c>
      <c r="M823" s="1214"/>
      <c r="N823" s="1214" t="s">
        <v>1057</v>
      </c>
      <c r="O823" s="1214"/>
      <c r="P823" s="99"/>
    </row>
    <row r="824" spans="1:17">
      <c r="A824" s="493">
        <v>4</v>
      </c>
      <c r="B824" s="1460" t="s">
        <v>1445</v>
      </c>
      <c r="C824" s="1460"/>
      <c r="D824" s="1460"/>
      <c r="E824" s="1460"/>
      <c r="F824" s="304"/>
      <c r="G824" s="1214"/>
      <c r="H824" s="1214"/>
      <c r="I824" s="1214"/>
      <c r="J824" s="1214"/>
      <c r="K824" s="1214"/>
      <c r="L824" s="1214"/>
      <c r="M824" s="1214"/>
      <c r="N824" s="1214"/>
      <c r="O824" s="1214"/>
    </row>
    <row r="825" spans="1:17">
      <c r="A825" s="493"/>
      <c r="B825" s="504"/>
      <c r="C825" s="1423" t="s">
        <v>1446</v>
      </c>
      <c r="D825" s="1423"/>
      <c r="E825" s="1423"/>
      <c r="F825" s="304"/>
      <c r="G825" s="1214"/>
      <c r="H825" s="1214"/>
      <c r="I825" s="1214"/>
      <c r="J825" s="1214"/>
      <c r="K825" s="1214"/>
      <c r="L825" s="1214"/>
      <c r="M825" s="1214"/>
      <c r="N825" s="1214"/>
      <c r="O825" s="1214"/>
    </row>
    <row r="826" spans="1:17">
      <c r="A826" s="493"/>
      <c r="B826" s="504"/>
      <c r="C826" s="1423" t="s">
        <v>1447</v>
      </c>
      <c r="D826" s="1423"/>
      <c r="E826" s="1423"/>
      <c r="F826" s="304"/>
      <c r="G826" s="307" t="s">
        <v>1056</v>
      </c>
      <c r="H826" s="1214">
        <v>600</v>
      </c>
      <c r="I826" s="1214"/>
      <c r="J826" s="1214" t="s">
        <v>1057</v>
      </c>
      <c r="K826" s="1214"/>
      <c r="L826" s="1214">
        <v>600</v>
      </c>
      <c r="M826" s="1214"/>
      <c r="N826" s="1214" t="s">
        <v>1057</v>
      </c>
      <c r="O826" s="1214"/>
    </row>
    <row r="827" spans="1:17">
      <c r="A827" s="493"/>
      <c r="B827" s="504"/>
      <c r="C827" s="1423" t="s">
        <v>1448</v>
      </c>
      <c r="D827" s="1423"/>
      <c r="E827" s="1423"/>
      <c r="F827" s="304"/>
      <c r="G827" s="307" t="s">
        <v>1056</v>
      </c>
      <c r="H827" s="1214">
        <v>600</v>
      </c>
      <c r="I827" s="1214"/>
      <c r="J827" s="1214" t="s">
        <v>1057</v>
      </c>
      <c r="K827" s="1214"/>
      <c r="L827" s="1214">
        <v>500</v>
      </c>
      <c r="M827" s="1214"/>
      <c r="N827" s="1214" t="s">
        <v>1057</v>
      </c>
      <c r="O827" s="1214"/>
    </row>
    <row r="828" spans="1:17">
      <c r="A828" s="493"/>
      <c r="B828" s="504"/>
      <c r="C828" s="1423" t="s">
        <v>1449</v>
      </c>
      <c r="D828" s="1423"/>
      <c r="E828" s="1423"/>
      <c r="F828" s="304"/>
      <c r="G828" s="307" t="s">
        <v>1056</v>
      </c>
      <c r="H828" s="1214">
        <v>500</v>
      </c>
      <c r="I828" s="1214"/>
      <c r="J828" s="1214" t="s">
        <v>1057</v>
      </c>
      <c r="K828" s="1214"/>
      <c r="L828" s="1214">
        <v>300</v>
      </c>
      <c r="M828" s="1214"/>
      <c r="N828" s="1214" t="s">
        <v>1057</v>
      </c>
      <c r="O828" s="1214"/>
    </row>
    <row r="829" spans="1:17" ht="12.75" customHeight="1">
      <c r="A829" s="493">
        <v>5</v>
      </c>
      <c r="B829" s="1460" t="s">
        <v>1450</v>
      </c>
      <c r="C829" s="1460"/>
      <c r="D829" s="1460"/>
      <c r="E829" s="1460"/>
      <c r="F829" s="304"/>
      <c r="G829" s="307" t="s">
        <v>1056</v>
      </c>
      <c r="H829" s="1214">
        <v>500</v>
      </c>
      <c r="I829" s="1214"/>
      <c r="J829" s="1214" t="s">
        <v>1057</v>
      </c>
      <c r="K829" s="1214"/>
      <c r="L829" s="1214">
        <v>300</v>
      </c>
      <c r="M829" s="1214"/>
      <c r="N829" s="1214" t="s">
        <v>1057</v>
      </c>
      <c r="O829" s="1214"/>
      <c r="P829" s="99"/>
    </row>
    <row r="830" spans="1:17" ht="12.75" customHeight="1">
      <c r="A830" s="493">
        <v>6</v>
      </c>
      <c r="B830" s="1460" t="s">
        <v>1265</v>
      </c>
      <c r="C830" s="1460"/>
      <c r="D830" s="1460"/>
      <c r="E830" s="1460"/>
      <c r="F830" s="304"/>
      <c r="G830" s="307" t="s">
        <v>1056</v>
      </c>
      <c r="H830" s="1214">
        <v>600</v>
      </c>
      <c r="I830" s="1214"/>
      <c r="J830" s="1214" t="s">
        <v>1057</v>
      </c>
      <c r="K830" s="1214"/>
      <c r="L830" s="1214">
        <v>400</v>
      </c>
      <c r="M830" s="1214"/>
      <c r="N830" s="1214" t="s">
        <v>1057</v>
      </c>
      <c r="O830" s="1214"/>
      <c r="P830" s="99"/>
    </row>
    <row r="831" spans="1:17" ht="12.75" customHeight="1">
      <c r="A831" s="493">
        <v>7</v>
      </c>
      <c r="B831" s="1460" t="s">
        <v>1451</v>
      </c>
      <c r="C831" s="1460"/>
      <c r="D831" s="1460"/>
      <c r="E831" s="1460"/>
      <c r="F831" s="304"/>
      <c r="G831" s="1214"/>
      <c r="H831" s="1214"/>
      <c r="I831" s="1214"/>
      <c r="J831" s="1214"/>
      <c r="K831" s="1214"/>
      <c r="L831" s="1214"/>
      <c r="M831" s="1214"/>
      <c r="N831" s="1214"/>
      <c r="O831" s="1214"/>
    </row>
    <row r="832" spans="1:17">
      <c r="A832" s="493"/>
      <c r="B832" s="1310" t="s">
        <v>1452</v>
      </c>
      <c r="C832" s="1310"/>
      <c r="D832" s="1310"/>
      <c r="E832" s="1310"/>
      <c r="F832" s="423"/>
      <c r="G832" s="307" t="s">
        <v>1056</v>
      </c>
      <c r="H832" s="1214">
        <v>500</v>
      </c>
      <c r="I832" s="1214"/>
      <c r="J832" s="1214" t="s">
        <v>1057</v>
      </c>
      <c r="K832" s="1214"/>
      <c r="L832" s="1214" t="s">
        <v>1057</v>
      </c>
      <c r="M832" s="1214"/>
      <c r="N832" s="1214">
        <v>250</v>
      </c>
      <c r="O832" s="1214"/>
      <c r="P832" s="99"/>
      <c r="Q832" s="99"/>
    </row>
    <row r="833" spans="1:18" ht="12.75" customHeight="1">
      <c r="A833" s="493">
        <v>8</v>
      </c>
      <c r="B833" s="1460" t="s">
        <v>1453</v>
      </c>
      <c r="C833" s="1460"/>
      <c r="D833" s="1460"/>
      <c r="E833" s="1460"/>
      <c r="F833" s="304"/>
      <c r="G833" s="307" t="s">
        <v>1056</v>
      </c>
      <c r="H833" s="1214">
        <v>500</v>
      </c>
      <c r="I833" s="1214"/>
      <c r="J833" s="1214" t="s">
        <v>1057</v>
      </c>
      <c r="K833" s="1214"/>
      <c r="L833" s="1214">
        <v>200</v>
      </c>
      <c r="M833" s="1214"/>
      <c r="N833" s="1214" t="s">
        <v>1057</v>
      </c>
      <c r="O833" s="1214"/>
      <c r="P833" s="99"/>
    </row>
    <row r="835" spans="1:18" s="99" customFormat="1" ht="30.75" customHeight="1">
      <c r="A835" s="475" t="s">
        <v>2185</v>
      </c>
      <c r="B835" s="508" t="s">
        <v>1056</v>
      </c>
      <c r="C835" s="1287" t="s">
        <v>2244</v>
      </c>
      <c r="D835" s="1216"/>
      <c r="E835" s="1216"/>
      <c r="F835" s="1216"/>
      <c r="G835" s="1216"/>
      <c r="H835" s="1216"/>
      <c r="I835" s="1216"/>
      <c r="J835" s="1216"/>
      <c r="K835" s="1216"/>
      <c r="L835" s="1216"/>
      <c r="M835" s="1216"/>
      <c r="N835" s="1216"/>
      <c r="O835" s="1216"/>
    </row>
    <row r="836" spans="1:18" ht="12.75" customHeight="1">
      <c r="C836" s="1287" t="s">
        <v>2255</v>
      </c>
      <c r="D836" s="1216"/>
      <c r="E836" s="1216"/>
      <c r="F836" s="1216"/>
      <c r="G836" s="1216"/>
      <c r="H836" s="1216"/>
      <c r="I836" s="1216"/>
      <c r="J836" s="1216"/>
      <c r="K836" s="1216"/>
      <c r="L836" s="1216"/>
      <c r="M836" s="1216"/>
      <c r="N836" s="1216"/>
      <c r="O836" s="1216"/>
    </row>
    <row r="837" spans="1:18" ht="12.75" customHeight="1">
      <c r="C837" s="1287" t="s">
        <v>2256</v>
      </c>
      <c r="D837" s="1216"/>
      <c r="E837" s="1216"/>
      <c r="F837" s="1216"/>
      <c r="G837" s="1216"/>
      <c r="H837" s="1216"/>
      <c r="I837" s="1216"/>
      <c r="J837" s="1216"/>
      <c r="K837" s="1216"/>
      <c r="L837" s="1216"/>
      <c r="M837" s="1216"/>
      <c r="N837" s="1216"/>
      <c r="O837" s="1216"/>
    </row>
    <row r="838" spans="1:18" ht="12.75" customHeight="1">
      <c r="C838" s="1216" t="s">
        <v>1454</v>
      </c>
      <c r="D838" s="1216"/>
      <c r="E838" s="1216"/>
      <c r="F838" s="1216"/>
      <c r="G838" s="1216"/>
      <c r="H838" s="1216"/>
      <c r="I838" s="1216"/>
      <c r="J838" s="1216"/>
      <c r="K838" s="1216"/>
      <c r="L838" s="1216"/>
      <c r="M838" s="1216"/>
      <c r="N838" s="1216"/>
      <c r="O838" s="1216"/>
    </row>
    <row r="839" spans="1:18" ht="12.75" customHeight="1">
      <c r="C839" s="1216" t="s">
        <v>1455</v>
      </c>
      <c r="D839" s="1216"/>
      <c r="E839" s="1216"/>
      <c r="F839" s="1216"/>
      <c r="G839" s="1216"/>
      <c r="H839" s="1216"/>
      <c r="I839" s="1216"/>
      <c r="J839" s="1216"/>
      <c r="K839" s="1216"/>
      <c r="L839" s="1216"/>
      <c r="M839" s="1216"/>
      <c r="N839" s="1216"/>
      <c r="O839" s="1216"/>
    </row>
    <row r="841" spans="1:18" ht="15" customHeight="1">
      <c r="B841" s="1490" t="s">
        <v>1456</v>
      </c>
      <c r="C841" s="1490"/>
      <c r="D841" s="1490"/>
      <c r="E841" s="1490"/>
      <c r="F841" s="306"/>
      <c r="G841" s="1411"/>
      <c r="H841" s="1411"/>
      <c r="I841" s="1411"/>
      <c r="J841" s="1411"/>
      <c r="K841" s="1411"/>
      <c r="L841" s="1411"/>
      <c r="M841" s="1411"/>
      <c r="N841" s="1411"/>
      <c r="O841" s="1411"/>
    </row>
    <row r="842" spans="1:18" ht="12.75" customHeight="1">
      <c r="A842" s="493">
        <v>1</v>
      </c>
      <c r="B842" s="1460" t="s">
        <v>1457</v>
      </c>
      <c r="C842" s="1460"/>
      <c r="D842" s="1460"/>
      <c r="E842" s="1460"/>
      <c r="F842" s="304"/>
      <c r="G842" s="298" t="s">
        <v>2257</v>
      </c>
      <c r="H842" s="1214">
        <v>1450</v>
      </c>
      <c r="I842" s="1214"/>
      <c r="J842" s="1214" t="s">
        <v>1057</v>
      </c>
      <c r="K842" s="1214"/>
      <c r="L842" s="1214">
        <v>1700</v>
      </c>
      <c r="M842" s="1214"/>
      <c r="N842" s="1214" t="s">
        <v>1057</v>
      </c>
      <c r="O842" s="1214"/>
      <c r="P842" s="99"/>
      <c r="Q842" s="99"/>
      <c r="R842" s="99"/>
    </row>
    <row r="843" spans="1:18" ht="12.75" customHeight="1">
      <c r="A843" s="493">
        <v>2</v>
      </c>
      <c r="B843" s="1460" t="s">
        <v>1458</v>
      </c>
      <c r="C843" s="1460"/>
      <c r="D843" s="1460"/>
      <c r="E843" s="1460"/>
      <c r="F843" s="304"/>
      <c r="G843" s="307" t="s">
        <v>1056</v>
      </c>
      <c r="H843" s="1214">
        <v>800</v>
      </c>
      <c r="I843" s="1214"/>
      <c r="J843" s="1214" t="s">
        <v>1057</v>
      </c>
      <c r="K843" s="1214"/>
      <c r="L843" s="1214">
        <v>750</v>
      </c>
      <c r="M843" s="1214"/>
      <c r="N843" s="1214" t="s">
        <v>1057</v>
      </c>
      <c r="O843" s="1214"/>
      <c r="P843" s="99"/>
    </row>
    <row r="844" spans="1:18" ht="12.75" customHeight="1">
      <c r="A844" s="493">
        <v>3</v>
      </c>
      <c r="B844" s="504"/>
      <c r="C844" s="1423" t="s">
        <v>1459</v>
      </c>
      <c r="D844" s="1423"/>
      <c r="E844" s="1423"/>
      <c r="F844" s="304"/>
      <c r="G844" s="307" t="s">
        <v>1056</v>
      </c>
      <c r="H844" s="1214">
        <v>800</v>
      </c>
      <c r="I844" s="1214"/>
      <c r="J844" s="1214" t="s">
        <v>1057</v>
      </c>
      <c r="K844" s="1214"/>
      <c r="L844" s="1214">
        <v>750</v>
      </c>
      <c r="M844" s="1214"/>
      <c r="N844" s="1214" t="s">
        <v>1057</v>
      </c>
      <c r="O844" s="1214"/>
      <c r="P844" s="99"/>
    </row>
    <row r="845" spans="1:18" ht="12.75" customHeight="1">
      <c r="A845" s="493"/>
      <c r="B845" s="504"/>
      <c r="C845" s="1423" t="s">
        <v>1460</v>
      </c>
      <c r="D845" s="1423"/>
      <c r="E845" s="1423"/>
      <c r="F845" s="304"/>
      <c r="G845" s="307" t="s">
        <v>1056</v>
      </c>
      <c r="H845" s="1214">
        <v>650</v>
      </c>
      <c r="I845" s="1214"/>
      <c r="J845" s="1214" t="s">
        <v>1057</v>
      </c>
      <c r="K845" s="1214"/>
      <c r="L845" s="1214">
        <v>350</v>
      </c>
      <c r="M845" s="1214"/>
      <c r="N845" s="1214" t="s">
        <v>1057</v>
      </c>
      <c r="O845" s="1214"/>
      <c r="P845" s="99"/>
    </row>
    <row r="846" spans="1:18" ht="12.75" customHeight="1">
      <c r="A846" s="493">
        <v>4</v>
      </c>
      <c r="B846" s="1460" t="s">
        <v>1461</v>
      </c>
      <c r="C846" s="1460"/>
      <c r="D846" s="1460"/>
      <c r="E846" s="1460"/>
      <c r="F846" s="304"/>
      <c r="G846" s="307" t="s">
        <v>1056</v>
      </c>
      <c r="H846" s="1214">
        <v>725</v>
      </c>
      <c r="I846" s="1214"/>
      <c r="J846" s="1214" t="s">
        <v>1057</v>
      </c>
      <c r="K846" s="1214"/>
      <c r="L846" s="1214">
        <v>650</v>
      </c>
      <c r="M846" s="1214"/>
      <c r="N846" s="1214" t="s">
        <v>1057</v>
      </c>
      <c r="O846" s="1214"/>
      <c r="P846" s="99"/>
    </row>
    <row r="847" spans="1:18" ht="12.75" customHeight="1">
      <c r="A847" s="493">
        <v>5</v>
      </c>
      <c r="B847" s="1460" t="s">
        <v>1462</v>
      </c>
      <c r="C847" s="1460"/>
      <c r="D847" s="1460"/>
      <c r="E847" s="1460"/>
      <c r="F847" s="304"/>
      <c r="G847" s="307"/>
      <c r="H847" s="1214">
        <v>600</v>
      </c>
      <c r="I847" s="1214"/>
      <c r="J847" s="1214" t="s">
        <v>1057</v>
      </c>
      <c r="K847" s="1214"/>
      <c r="L847" s="1214" t="s">
        <v>1057</v>
      </c>
      <c r="M847" s="1214"/>
      <c r="N847" s="1214" t="s">
        <v>1057</v>
      </c>
      <c r="O847" s="1214"/>
      <c r="P847" s="99"/>
    </row>
    <row r="848" spans="1:18" ht="12.75" customHeight="1">
      <c r="A848" s="493">
        <v>6</v>
      </c>
      <c r="B848" s="504"/>
      <c r="C848" s="1423" t="s">
        <v>1463</v>
      </c>
      <c r="D848" s="1423"/>
      <c r="E848" s="1423"/>
      <c r="F848" s="304"/>
      <c r="G848" s="307" t="s">
        <v>1056</v>
      </c>
      <c r="H848" s="1214">
        <v>500</v>
      </c>
      <c r="I848" s="1214"/>
      <c r="J848" s="1214" t="s">
        <v>1057</v>
      </c>
      <c r="K848" s="1214"/>
      <c r="L848" s="1214">
        <v>600</v>
      </c>
      <c r="M848" s="1214"/>
      <c r="N848" s="1214" t="s">
        <v>1057</v>
      </c>
      <c r="O848" s="1214"/>
      <c r="P848" s="99"/>
    </row>
    <row r="849" spans="1:17" ht="12.75" customHeight="1">
      <c r="A849" s="493"/>
      <c r="B849" s="504"/>
      <c r="C849" s="1423" t="s">
        <v>1464</v>
      </c>
      <c r="D849" s="1423"/>
      <c r="E849" s="1423"/>
      <c r="F849" s="304"/>
      <c r="G849" s="307" t="s">
        <v>1056</v>
      </c>
      <c r="H849" s="1214">
        <v>500</v>
      </c>
      <c r="I849" s="1214"/>
      <c r="J849" s="1214" t="s">
        <v>1057</v>
      </c>
      <c r="K849" s="1214"/>
      <c r="L849" s="1214">
        <v>250</v>
      </c>
      <c r="M849" s="1214"/>
      <c r="N849" s="1214" t="s">
        <v>1057</v>
      </c>
      <c r="O849" s="1214"/>
      <c r="P849" s="99"/>
    </row>
    <row r="850" spans="1:17" ht="12.75" customHeight="1">
      <c r="A850" s="493">
        <v>7</v>
      </c>
      <c r="B850" s="1460" t="s">
        <v>1465</v>
      </c>
      <c r="C850" s="1460"/>
      <c r="D850" s="1460"/>
      <c r="E850" s="1460"/>
      <c r="F850" s="304"/>
      <c r="G850" s="1214"/>
      <c r="H850" s="1214"/>
      <c r="I850" s="1214"/>
      <c r="J850" s="1214"/>
      <c r="K850" s="1214"/>
      <c r="L850" s="1214"/>
      <c r="M850" s="1214"/>
      <c r="N850" s="1214"/>
      <c r="O850" s="1214"/>
      <c r="P850" s="99"/>
    </row>
    <row r="851" spans="1:17" ht="12.75" customHeight="1">
      <c r="A851" s="493"/>
      <c r="B851" s="1460" t="s">
        <v>1466</v>
      </c>
      <c r="C851" s="1460"/>
      <c r="D851" s="1460"/>
      <c r="E851" s="1460"/>
      <c r="F851" s="304"/>
      <c r="G851" s="307" t="s">
        <v>1056</v>
      </c>
      <c r="H851" s="1214">
        <v>725</v>
      </c>
      <c r="I851" s="1214"/>
      <c r="J851" s="1214" t="s">
        <v>1057</v>
      </c>
      <c r="K851" s="1214"/>
      <c r="L851" s="1214">
        <v>650</v>
      </c>
      <c r="M851" s="1214"/>
      <c r="N851" s="1214" t="s">
        <v>1057</v>
      </c>
      <c r="O851" s="1214"/>
      <c r="P851" s="99"/>
    </row>
    <row r="852" spans="1:17" ht="12.75" customHeight="1">
      <c r="A852" s="493">
        <v>8</v>
      </c>
      <c r="B852" s="1460" t="s">
        <v>1467</v>
      </c>
      <c r="C852" s="1460"/>
      <c r="D852" s="1460"/>
      <c r="E852" s="1460"/>
      <c r="F852" s="304"/>
      <c r="G852" s="1214"/>
      <c r="H852" s="1214"/>
      <c r="I852" s="1214"/>
      <c r="J852" s="1214"/>
      <c r="K852" s="1214"/>
      <c r="L852" s="1214"/>
      <c r="M852" s="1214"/>
      <c r="N852" s="1214"/>
      <c r="O852" s="1214"/>
      <c r="P852" s="99"/>
    </row>
    <row r="853" spans="1:17" ht="12.75" customHeight="1">
      <c r="A853" s="493"/>
      <c r="B853" s="1310" t="s">
        <v>1468</v>
      </c>
      <c r="C853" s="1310"/>
      <c r="D853" s="1310"/>
      <c r="E853" s="1310"/>
      <c r="F853" s="423"/>
      <c r="G853" s="307" t="s">
        <v>1056</v>
      </c>
      <c r="H853" s="1214">
        <v>600</v>
      </c>
      <c r="I853" s="1214"/>
      <c r="J853" s="1214" t="s">
        <v>1057</v>
      </c>
      <c r="K853" s="1214"/>
      <c r="L853" s="1214">
        <v>500</v>
      </c>
      <c r="M853" s="1214"/>
      <c r="N853" s="1214" t="s">
        <v>1057</v>
      </c>
      <c r="O853" s="1214"/>
      <c r="P853" s="99"/>
      <c r="Q853" s="99"/>
    </row>
    <row r="854" spans="1:17">
      <c r="A854" s="493">
        <v>9</v>
      </c>
      <c r="B854" s="1460" t="s">
        <v>1469</v>
      </c>
      <c r="C854" s="1460"/>
      <c r="D854" s="1460"/>
      <c r="E854" s="1460"/>
      <c r="F854" s="304"/>
      <c r="G854" s="1214"/>
      <c r="H854" s="1214"/>
      <c r="I854" s="1214"/>
      <c r="J854" s="1214"/>
      <c r="K854" s="1214"/>
      <c r="L854" s="1214"/>
      <c r="M854" s="1214"/>
      <c r="N854" s="1214"/>
      <c r="O854" s="1214"/>
    </row>
    <row r="855" spans="1:17" ht="12.75" customHeight="1">
      <c r="A855" s="493"/>
      <c r="B855" s="504"/>
      <c r="C855" s="1423" t="s">
        <v>1470</v>
      </c>
      <c r="D855" s="1423"/>
      <c r="E855" s="1423"/>
      <c r="F855" s="304"/>
      <c r="G855" s="307" t="s">
        <v>1056</v>
      </c>
      <c r="H855" s="1214">
        <v>600</v>
      </c>
      <c r="I855" s="1214"/>
      <c r="J855" s="1214" t="s">
        <v>1057</v>
      </c>
      <c r="K855" s="1214"/>
      <c r="L855" s="1214">
        <v>500</v>
      </c>
      <c r="M855" s="1214"/>
      <c r="N855" s="1214" t="s">
        <v>1057</v>
      </c>
      <c r="O855" s="1214"/>
      <c r="P855" s="99"/>
    </row>
    <row r="856" spans="1:17" ht="12.75" customHeight="1">
      <c r="A856" s="493"/>
      <c r="B856" s="504"/>
      <c r="C856" s="1423" t="s">
        <v>1058</v>
      </c>
      <c r="D856" s="1423"/>
      <c r="E856" s="1423"/>
      <c r="F856" s="304"/>
      <c r="G856" s="307" t="s">
        <v>1056</v>
      </c>
      <c r="H856" s="1214">
        <v>550</v>
      </c>
      <c r="I856" s="1214"/>
      <c r="J856" s="1214" t="s">
        <v>1057</v>
      </c>
      <c r="K856" s="1214"/>
      <c r="L856" s="1214">
        <v>450</v>
      </c>
      <c r="M856" s="1214"/>
      <c r="N856" s="1214" t="s">
        <v>1057</v>
      </c>
      <c r="O856" s="1214"/>
      <c r="P856" s="99"/>
    </row>
    <row r="858" spans="1:17" ht="27.75" customHeight="1">
      <c r="A858" s="475" t="s">
        <v>2185</v>
      </c>
      <c r="B858" s="508" t="s">
        <v>1056</v>
      </c>
      <c r="C858" s="1415" t="s">
        <v>2258</v>
      </c>
      <c r="D858" s="1302"/>
      <c r="E858" s="1302"/>
      <c r="F858" s="1302"/>
      <c r="G858" s="1302"/>
      <c r="H858" s="1302"/>
      <c r="I858" s="1302"/>
      <c r="J858" s="1302"/>
      <c r="K858" s="1302"/>
      <c r="L858" s="1302"/>
      <c r="M858" s="1302"/>
      <c r="N858" s="1302"/>
      <c r="O858" s="1302"/>
    </row>
    <row r="859" spans="1:17" ht="12.75" customHeight="1">
      <c r="C859" s="1302" t="s">
        <v>1471</v>
      </c>
      <c r="D859" s="1302"/>
      <c r="E859" s="1302"/>
      <c r="F859" s="1302"/>
      <c r="G859" s="1302"/>
      <c r="H859" s="1302"/>
      <c r="I859" s="1302"/>
      <c r="J859" s="1302"/>
      <c r="K859" s="1302"/>
      <c r="L859" s="1302"/>
      <c r="M859" s="1302"/>
      <c r="N859" s="1302"/>
      <c r="O859" s="1302"/>
    </row>
    <row r="864" spans="1:17" ht="12.75" customHeight="1">
      <c r="B864" s="1490" t="s">
        <v>1472</v>
      </c>
      <c r="C864" s="1490"/>
      <c r="D864" s="1490"/>
      <c r="E864" s="1490"/>
      <c r="F864" s="306"/>
    </row>
    <row r="865" spans="1:17" ht="12.75" customHeight="1">
      <c r="A865" s="493">
        <v>1</v>
      </c>
      <c r="B865" s="1363" t="s">
        <v>1473</v>
      </c>
      <c r="C865" s="1363"/>
      <c r="D865" s="1363"/>
      <c r="E865" s="1363"/>
      <c r="F865" s="308"/>
      <c r="G865" s="307" t="s">
        <v>1056</v>
      </c>
      <c r="H865" s="1214">
        <v>975</v>
      </c>
      <c r="I865" s="1214"/>
      <c r="J865" s="1214">
        <v>1000</v>
      </c>
      <c r="K865" s="1214"/>
      <c r="L865" s="1214">
        <v>975</v>
      </c>
      <c r="M865" s="1214"/>
      <c r="N865" s="1214" t="s">
        <v>1057</v>
      </c>
      <c r="O865" s="1214"/>
    </row>
    <row r="866" spans="1:17" ht="12.75" customHeight="1">
      <c r="A866" s="495">
        <v>2</v>
      </c>
      <c r="B866" s="1363" t="s">
        <v>1474</v>
      </c>
      <c r="C866" s="1363"/>
      <c r="D866" s="1363"/>
      <c r="E866" s="1363"/>
      <c r="F866" s="308"/>
      <c r="G866" s="1214"/>
      <c r="H866" s="1214"/>
      <c r="I866" s="1214"/>
      <c r="J866" s="1214"/>
      <c r="K866" s="1214"/>
      <c r="L866" s="1214"/>
      <c r="M866" s="1214"/>
      <c r="N866" s="1214"/>
      <c r="O866" s="1214"/>
    </row>
    <row r="867" spans="1:17">
      <c r="A867" s="1485"/>
      <c r="B867" s="1486"/>
      <c r="C867" s="1503" t="s">
        <v>1475</v>
      </c>
      <c r="D867" s="1503"/>
      <c r="E867" s="1503"/>
      <c r="F867" s="296"/>
      <c r="G867" s="1214"/>
      <c r="H867" s="1214"/>
      <c r="I867" s="1214"/>
      <c r="J867" s="1214"/>
      <c r="K867" s="1214"/>
      <c r="L867" s="1214"/>
      <c r="M867" s="1214"/>
      <c r="N867" s="1214"/>
      <c r="O867" s="1214"/>
      <c r="P867" s="99"/>
      <c r="Q867" s="99"/>
    </row>
    <row r="868" spans="1:17">
      <c r="A868" s="1485"/>
      <c r="B868" s="1487"/>
      <c r="C868" s="1503" t="s">
        <v>1476</v>
      </c>
      <c r="D868" s="1503"/>
      <c r="E868" s="1503"/>
      <c r="F868" s="296"/>
      <c r="G868" s="307" t="s">
        <v>1056</v>
      </c>
      <c r="H868" s="1214">
        <v>800</v>
      </c>
      <c r="I868" s="1214"/>
      <c r="J868" s="1214">
        <v>450</v>
      </c>
      <c r="K868" s="1214"/>
      <c r="L868" s="1214">
        <v>900</v>
      </c>
      <c r="M868" s="1214"/>
      <c r="N868" s="1214" t="s">
        <v>1057</v>
      </c>
      <c r="O868" s="1214"/>
      <c r="P868" s="99"/>
      <c r="Q868" s="99"/>
    </row>
    <row r="869" spans="1:17">
      <c r="A869" s="1485"/>
      <c r="B869" s="1487"/>
      <c r="C869" s="1421" t="s">
        <v>1477</v>
      </c>
      <c r="D869" s="1421"/>
      <c r="E869" s="1421"/>
      <c r="F869" s="308"/>
      <c r="G869" s="1214"/>
      <c r="H869" s="1214"/>
      <c r="I869" s="1214"/>
      <c r="J869" s="1214"/>
      <c r="K869" s="1214"/>
      <c r="L869" s="1214"/>
      <c r="M869" s="1214"/>
      <c r="N869" s="1214"/>
      <c r="O869" s="1214"/>
    </row>
    <row r="870" spans="1:17">
      <c r="A870" s="1485"/>
      <c r="B870" s="1487"/>
      <c r="C870" s="1421" t="s">
        <v>1478</v>
      </c>
      <c r="D870" s="1421"/>
      <c r="E870" s="1421"/>
      <c r="F870" s="308"/>
      <c r="G870" s="307" t="s">
        <v>1056</v>
      </c>
      <c r="H870" s="1214">
        <v>800</v>
      </c>
      <c r="I870" s="1214"/>
      <c r="J870" s="1214">
        <v>400</v>
      </c>
      <c r="K870" s="1214"/>
      <c r="L870" s="1214">
        <v>800</v>
      </c>
      <c r="M870" s="1214"/>
      <c r="N870" s="1214" t="s">
        <v>1057</v>
      </c>
      <c r="O870" s="1214"/>
    </row>
    <row r="871" spans="1:17">
      <c r="A871" s="1488"/>
      <c r="B871" s="1489"/>
      <c r="C871" s="1421" t="s">
        <v>1479</v>
      </c>
      <c r="D871" s="1421"/>
      <c r="E871" s="1421"/>
      <c r="F871" s="308"/>
      <c r="G871" s="307" t="s">
        <v>1056</v>
      </c>
      <c r="H871" s="1214">
        <v>750</v>
      </c>
      <c r="I871" s="1214"/>
      <c r="J871" s="1214">
        <v>400</v>
      </c>
      <c r="K871" s="1214"/>
      <c r="L871" s="1214">
        <v>500</v>
      </c>
      <c r="M871" s="1214"/>
      <c r="N871" s="1214" t="s">
        <v>1057</v>
      </c>
      <c r="O871" s="1214"/>
    </row>
    <row r="872" spans="1:17">
      <c r="A872" s="493">
        <v>3</v>
      </c>
      <c r="B872" s="1363" t="s">
        <v>1480</v>
      </c>
      <c r="C872" s="1363"/>
      <c r="D872" s="1363"/>
      <c r="E872" s="1363"/>
      <c r="F872" s="308"/>
      <c r="G872" s="307" t="s">
        <v>1056</v>
      </c>
      <c r="H872" s="1214">
        <v>750</v>
      </c>
      <c r="I872" s="1214"/>
      <c r="J872" s="1214">
        <v>400</v>
      </c>
      <c r="K872" s="1214"/>
      <c r="L872" s="1214">
        <v>450</v>
      </c>
      <c r="M872" s="1214"/>
      <c r="N872" s="1214" t="s">
        <v>1057</v>
      </c>
      <c r="O872" s="1214"/>
    </row>
    <row r="873" spans="1:17">
      <c r="A873" s="493">
        <v>4</v>
      </c>
      <c r="B873" s="1363" t="s">
        <v>1481</v>
      </c>
      <c r="C873" s="1363"/>
      <c r="D873" s="1363"/>
      <c r="E873" s="1363"/>
      <c r="F873" s="308"/>
      <c r="G873" s="307" t="s">
        <v>1056</v>
      </c>
      <c r="H873" s="1214">
        <v>700</v>
      </c>
      <c r="I873" s="1214"/>
      <c r="J873" s="1214">
        <v>400</v>
      </c>
      <c r="K873" s="1214"/>
      <c r="L873" s="1214">
        <v>400</v>
      </c>
      <c r="M873" s="1214"/>
      <c r="N873" s="1214" t="s">
        <v>1057</v>
      </c>
      <c r="O873" s="1214"/>
    </row>
    <row r="874" spans="1:17">
      <c r="A874" s="493">
        <v>5</v>
      </c>
      <c r="B874" s="1363" t="s">
        <v>1482</v>
      </c>
      <c r="C874" s="1363"/>
      <c r="D874" s="1363"/>
      <c r="E874" s="1363"/>
      <c r="F874" s="308"/>
      <c r="G874" s="307" t="s">
        <v>1056</v>
      </c>
      <c r="H874" s="1214">
        <v>650</v>
      </c>
      <c r="I874" s="1214"/>
      <c r="J874" s="1214">
        <v>400</v>
      </c>
      <c r="K874" s="1214"/>
      <c r="L874" s="1214">
        <v>350</v>
      </c>
      <c r="M874" s="1214"/>
      <c r="N874" s="1214" t="s">
        <v>1057</v>
      </c>
      <c r="O874" s="1214"/>
    </row>
    <row r="875" spans="1:17">
      <c r="A875" s="493">
        <v>6</v>
      </c>
      <c r="B875" s="1363" t="s">
        <v>1483</v>
      </c>
      <c r="C875" s="1363"/>
      <c r="D875" s="1363"/>
      <c r="E875" s="1363"/>
      <c r="F875" s="308"/>
      <c r="G875" s="307" t="s">
        <v>1056</v>
      </c>
      <c r="H875" s="1214">
        <v>650</v>
      </c>
      <c r="I875" s="1214"/>
      <c r="J875" s="1214">
        <v>400</v>
      </c>
      <c r="K875" s="1214"/>
      <c r="L875" s="1214">
        <v>300</v>
      </c>
      <c r="M875" s="1214"/>
      <c r="N875" s="1214" t="s">
        <v>1057</v>
      </c>
      <c r="O875" s="1214"/>
    </row>
    <row r="876" spans="1:17">
      <c r="A876" s="493">
        <v>7</v>
      </c>
      <c r="B876" s="1363" t="s">
        <v>1484</v>
      </c>
      <c r="C876" s="1363"/>
      <c r="D876" s="1363"/>
      <c r="E876" s="1363"/>
      <c r="F876" s="308"/>
      <c r="G876" s="307" t="s">
        <v>1056</v>
      </c>
      <c r="H876" s="1214">
        <v>650</v>
      </c>
      <c r="I876" s="1214"/>
      <c r="J876" s="1214">
        <v>400</v>
      </c>
      <c r="K876" s="1214"/>
      <c r="L876" s="1214">
        <v>250</v>
      </c>
      <c r="M876" s="1214"/>
      <c r="N876" s="1214" t="s">
        <v>1057</v>
      </c>
      <c r="O876" s="1214"/>
    </row>
    <row r="877" spans="1:17">
      <c r="A877" s="493">
        <v>8</v>
      </c>
      <c r="B877" s="1363" t="s">
        <v>1485</v>
      </c>
      <c r="C877" s="1363"/>
      <c r="D877" s="1363"/>
      <c r="E877" s="1363"/>
      <c r="F877" s="308"/>
      <c r="G877" s="307" t="s">
        <v>1056</v>
      </c>
      <c r="H877" s="1214">
        <v>650</v>
      </c>
      <c r="I877" s="1214"/>
      <c r="J877" s="1214">
        <v>400</v>
      </c>
      <c r="K877" s="1214"/>
      <c r="L877" s="1214">
        <v>225</v>
      </c>
      <c r="M877" s="1214"/>
      <c r="N877" s="1214" t="s">
        <v>1057</v>
      </c>
      <c r="O877" s="1214"/>
    </row>
    <row r="878" spans="1:17">
      <c r="A878" s="493">
        <v>9</v>
      </c>
      <c r="B878" s="1363" t="s">
        <v>1486</v>
      </c>
      <c r="C878" s="1363"/>
      <c r="D878" s="1363"/>
      <c r="E878" s="1363"/>
      <c r="F878" s="308"/>
      <c r="G878" s="307" t="s">
        <v>1056</v>
      </c>
      <c r="H878" s="1214">
        <v>650</v>
      </c>
      <c r="I878" s="1214"/>
      <c r="J878" s="1214">
        <v>400</v>
      </c>
      <c r="K878" s="1214"/>
      <c r="L878" s="1214">
        <v>200</v>
      </c>
      <c r="M878" s="1214"/>
      <c r="N878" s="1214" t="s">
        <v>1057</v>
      </c>
      <c r="O878" s="1214"/>
    </row>
    <row r="879" spans="1:17">
      <c r="A879" s="493">
        <v>10</v>
      </c>
      <c r="B879" s="1363" t="s">
        <v>1487</v>
      </c>
      <c r="C879" s="1363"/>
      <c r="D879" s="1363"/>
      <c r="E879" s="1363"/>
      <c r="F879" s="308"/>
      <c r="G879" s="307" t="s">
        <v>1056</v>
      </c>
      <c r="H879" s="1214">
        <v>650</v>
      </c>
      <c r="I879" s="1214"/>
      <c r="J879" s="1214">
        <v>400</v>
      </c>
      <c r="K879" s="1214"/>
      <c r="L879" s="1214">
        <v>150</v>
      </c>
      <c r="M879" s="1214"/>
      <c r="N879" s="1214" t="s">
        <v>1057</v>
      </c>
      <c r="O879" s="1214"/>
    </row>
    <row r="880" spans="1:17">
      <c r="A880" s="493">
        <v>11</v>
      </c>
      <c r="B880" s="1363" t="s">
        <v>1488</v>
      </c>
      <c r="C880" s="1363"/>
      <c r="D880" s="1363"/>
      <c r="E880" s="1363"/>
      <c r="F880" s="308"/>
      <c r="G880" s="307" t="s">
        <v>1056</v>
      </c>
      <c r="H880" s="1214">
        <v>600</v>
      </c>
      <c r="I880" s="1214"/>
      <c r="J880" s="1214">
        <v>275</v>
      </c>
      <c r="K880" s="1214"/>
      <c r="L880" s="1214">
        <v>150</v>
      </c>
      <c r="M880" s="1214"/>
      <c r="N880" s="1214" t="s">
        <v>1057</v>
      </c>
      <c r="O880" s="1214"/>
    </row>
    <row r="882" spans="1:15" s="99" customFormat="1" ht="107.25" customHeight="1">
      <c r="A882" s="475" t="s">
        <v>2185</v>
      </c>
      <c r="B882" s="509" t="s">
        <v>1056</v>
      </c>
      <c r="C882" s="1302" t="s">
        <v>2245</v>
      </c>
      <c r="D882" s="1302"/>
      <c r="E882" s="1302"/>
      <c r="F882" s="1302"/>
      <c r="G882" s="1302"/>
      <c r="H882" s="1302"/>
      <c r="I882" s="1302"/>
      <c r="J882" s="1302"/>
      <c r="K882" s="1302"/>
      <c r="L882" s="1302"/>
      <c r="M882" s="1302"/>
      <c r="N882" s="1302"/>
      <c r="O882" s="1302"/>
    </row>
    <row r="884" spans="1:15" ht="86.25" customHeight="1">
      <c r="C884" s="1302" t="s">
        <v>1489</v>
      </c>
      <c r="D884" s="1302"/>
      <c r="E884" s="1302"/>
      <c r="F884" s="1302"/>
      <c r="G884" s="1302"/>
      <c r="H884" s="1302"/>
      <c r="I884" s="1302"/>
      <c r="J884" s="1302"/>
      <c r="K884" s="1302"/>
      <c r="L884" s="1302"/>
      <c r="M884" s="1302"/>
      <c r="N884" s="1302"/>
      <c r="O884" s="1302"/>
    </row>
    <row r="885" spans="1:15" ht="27.75" customHeight="1">
      <c r="C885" s="1415" t="s">
        <v>2260</v>
      </c>
      <c r="D885" s="1302"/>
      <c r="E885" s="1302"/>
      <c r="F885" s="1302"/>
      <c r="G885" s="1302"/>
      <c r="H885" s="1302"/>
      <c r="I885" s="1302"/>
      <c r="J885" s="1302"/>
      <c r="K885" s="1302"/>
      <c r="L885" s="1302"/>
      <c r="M885" s="1302"/>
      <c r="N885" s="1302"/>
      <c r="O885" s="1302"/>
    </row>
    <row r="886" spans="1:15" ht="12.75" customHeight="1">
      <c r="C886" s="1415" t="s">
        <v>2261</v>
      </c>
      <c r="D886" s="1302"/>
      <c r="E886" s="1302"/>
      <c r="F886" s="1302"/>
      <c r="G886" s="1302"/>
      <c r="H886" s="1302"/>
      <c r="I886" s="1302"/>
      <c r="J886" s="1302"/>
      <c r="K886" s="1302"/>
      <c r="L886" s="1302"/>
      <c r="M886" s="1302"/>
      <c r="N886" s="1302"/>
      <c r="O886" s="1302"/>
    </row>
    <row r="887" spans="1:15" ht="27" customHeight="1">
      <c r="C887" s="1415" t="s">
        <v>2262</v>
      </c>
      <c r="D887" s="1302"/>
      <c r="E887" s="1302"/>
      <c r="F887" s="1302"/>
      <c r="G887" s="1302"/>
      <c r="H887" s="1302"/>
      <c r="I887" s="1302"/>
      <c r="J887" s="1302"/>
      <c r="K887" s="1302"/>
      <c r="L887" s="1302"/>
      <c r="M887" s="1302"/>
      <c r="N887" s="1302"/>
      <c r="O887" s="1302"/>
    </row>
    <row r="888" spans="1:15" ht="12.75" customHeight="1">
      <c r="C888" s="1415" t="s">
        <v>2259</v>
      </c>
      <c r="D888" s="1302"/>
      <c r="E888" s="1302"/>
      <c r="F888" s="1302"/>
      <c r="G888" s="1302"/>
      <c r="H888" s="1302"/>
      <c r="I888" s="1302"/>
      <c r="J888" s="1302"/>
      <c r="K888" s="1302"/>
      <c r="L888" s="1302"/>
      <c r="M888" s="1302"/>
      <c r="N888" s="1302"/>
      <c r="O888" s="1302"/>
    </row>
    <row r="890" spans="1:15" ht="18.75" customHeight="1">
      <c r="B890" s="1500" t="s">
        <v>1490</v>
      </c>
      <c r="C890" s="1500"/>
      <c r="D890" s="1500"/>
      <c r="E890" s="1500"/>
      <c r="F890" s="432"/>
    </row>
    <row r="891" spans="1:15">
      <c r="A891" s="495">
        <v>1</v>
      </c>
      <c r="B891" s="1363" t="s">
        <v>1491</v>
      </c>
      <c r="C891" s="1363"/>
      <c r="D891" s="1363"/>
      <c r="E891" s="1363"/>
      <c r="F891" s="448"/>
      <c r="G891" s="1349"/>
      <c r="H891" s="1360"/>
      <c r="I891" s="1360"/>
      <c r="J891" s="1360"/>
      <c r="K891" s="1360"/>
      <c r="L891" s="1360"/>
      <c r="M891" s="1360"/>
      <c r="N891" s="1360"/>
      <c r="O891" s="1291"/>
    </row>
    <row r="892" spans="1:15" ht="12.75" customHeight="1">
      <c r="A892" s="1448"/>
      <c r="B892" s="1512" t="s">
        <v>1492</v>
      </c>
      <c r="C892" s="1512"/>
      <c r="D892" s="1512"/>
      <c r="E892" s="1513"/>
      <c r="F892" s="317"/>
      <c r="G892" s="1351"/>
      <c r="H892" s="1362"/>
      <c r="I892" s="1362"/>
      <c r="J892" s="1362"/>
      <c r="K892" s="1362"/>
      <c r="L892" s="1362"/>
      <c r="M892" s="1362"/>
      <c r="N892" s="1362"/>
      <c r="O892" s="1293"/>
    </row>
    <row r="893" spans="1:15" ht="12.75" customHeight="1">
      <c r="A893" s="1449"/>
      <c r="B893" s="1514" t="s">
        <v>1493</v>
      </c>
      <c r="C893" s="1514"/>
      <c r="D893" s="1514"/>
      <c r="E893" s="1515"/>
      <c r="F893" s="419"/>
      <c r="G893" s="307" t="s">
        <v>1056</v>
      </c>
      <c r="H893" s="1214">
        <v>975</v>
      </c>
      <c r="I893" s="1214"/>
      <c r="J893" s="1214" t="s">
        <v>1057</v>
      </c>
      <c r="K893" s="1214"/>
      <c r="L893" s="1214">
        <v>975</v>
      </c>
      <c r="M893" s="1214"/>
      <c r="N893" s="1214" t="s">
        <v>1057</v>
      </c>
      <c r="O893" s="1214"/>
    </row>
    <row r="894" spans="1:15">
      <c r="A894" s="493">
        <v>2</v>
      </c>
      <c r="B894" s="1363" t="s">
        <v>1494</v>
      </c>
      <c r="C894" s="1363"/>
      <c r="D894" s="1363"/>
      <c r="E894" s="1363"/>
      <c r="F894" s="308"/>
      <c r="G894" s="307" t="s">
        <v>1056</v>
      </c>
      <c r="H894" s="1214">
        <v>800</v>
      </c>
      <c r="I894" s="1214"/>
      <c r="J894" s="1214" t="s">
        <v>1057</v>
      </c>
      <c r="K894" s="1214"/>
      <c r="L894" s="1214">
        <v>900</v>
      </c>
      <c r="M894" s="1214"/>
      <c r="N894" s="1214" t="s">
        <v>1057</v>
      </c>
      <c r="O894" s="1214"/>
    </row>
    <row r="895" spans="1:15">
      <c r="A895" s="495">
        <v>3</v>
      </c>
      <c r="B895" s="1363" t="s">
        <v>1495</v>
      </c>
      <c r="C895" s="1363"/>
      <c r="D895" s="1363"/>
      <c r="E895" s="1363"/>
      <c r="F895" s="448"/>
      <c r="G895" s="1349"/>
      <c r="H895" s="1360"/>
      <c r="I895" s="1360"/>
      <c r="J895" s="1360"/>
      <c r="K895" s="1360"/>
      <c r="L895" s="1360"/>
      <c r="M895" s="1360"/>
      <c r="N895" s="1360"/>
      <c r="O895" s="1291"/>
    </row>
    <row r="896" spans="1:15" ht="12.75" customHeight="1">
      <c r="A896" s="492"/>
      <c r="B896" s="1355" t="s">
        <v>1496</v>
      </c>
      <c r="C896" s="1356"/>
      <c r="D896" s="1356"/>
      <c r="E896" s="1357"/>
      <c r="F896" s="433"/>
      <c r="G896" s="1351"/>
      <c r="H896" s="1362"/>
      <c r="I896" s="1362"/>
      <c r="J896" s="1362"/>
      <c r="K896" s="1362"/>
      <c r="L896" s="1362"/>
      <c r="M896" s="1362"/>
      <c r="N896" s="1362"/>
      <c r="O896" s="1293"/>
    </row>
    <row r="897" spans="1:17">
      <c r="A897" s="493"/>
      <c r="B897" s="1363" t="s">
        <v>1497</v>
      </c>
      <c r="C897" s="1363"/>
      <c r="D897" s="1363"/>
      <c r="E897" s="1363"/>
      <c r="F897" s="308"/>
      <c r="G897" s="307" t="s">
        <v>1056</v>
      </c>
      <c r="H897" s="1214">
        <v>800</v>
      </c>
      <c r="I897" s="1214"/>
      <c r="J897" s="1214" t="s">
        <v>1057</v>
      </c>
      <c r="K897" s="1214"/>
      <c r="L897" s="1214">
        <v>800</v>
      </c>
      <c r="M897" s="1214"/>
      <c r="N897" s="1214" t="s">
        <v>1057</v>
      </c>
      <c r="O897" s="1214"/>
    </row>
    <row r="898" spans="1:17">
      <c r="A898" s="493">
        <v>4</v>
      </c>
      <c r="B898" s="1363" t="s">
        <v>1498</v>
      </c>
      <c r="C898" s="1363"/>
      <c r="D898" s="1363"/>
      <c r="E898" s="1363"/>
      <c r="F898" s="308"/>
      <c r="G898" s="307" t="s">
        <v>1056</v>
      </c>
      <c r="H898" s="1214">
        <v>650</v>
      </c>
      <c r="I898" s="1214"/>
      <c r="J898" s="1214" t="s">
        <v>1057</v>
      </c>
      <c r="K898" s="1214"/>
      <c r="L898" s="1214">
        <v>650</v>
      </c>
      <c r="M898" s="1214"/>
      <c r="N898" s="1214" t="s">
        <v>1057</v>
      </c>
      <c r="O898" s="1214"/>
    </row>
    <row r="899" spans="1:17">
      <c r="A899" s="495">
        <v>5</v>
      </c>
      <c r="B899" s="1363" t="s">
        <v>1499</v>
      </c>
      <c r="C899" s="1363"/>
      <c r="D899" s="1363"/>
      <c r="E899" s="1363"/>
      <c r="F899" s="434"/>
      <c r="G899" s="1284"/>
      <c r="H899" s="1285"/>
      <c r="I899" s="1285"/>
      <c r="J899" s="1285"/>
      <c r="K899" s="1285"/>
      <c r="L899" s="1285"/>
      <c r="M899" s="1285"/>
      <c r="N899" s="1285"/>
      <c r="O899" s="1286"/>
    </row>
    <row r="900" spans="1:17">
      <c r="A900" s="492"/>
      <c r="B900" s="1363" t="s">
        <v>1500</v>
      </c>
      <c r="C900" s="1363"/>
      <c r="D900" s="1363"/>
      <c r="E900" s="1363"/>
      <c r="F900" s="308"/>
      <c r="G900" s="307" t="s">
        <v>1056</v>
      </c>
      <c r="H900" s="1214">
        <v>650</v>
      </c>
      <c r="I900" s="1214"/>
      <c r="J900" s="1214" t="s">
        <v>1057</v>
      </c>
      <c r="K900" s="1214"/>
      <c r="L900" s="1214" t="s">
        <v>1057</v>
      </c>
      <c r="M900" s="1214"/>
      <c r="N900" s="1214" t="s">
        <v>1057</v>
      </c>
      <c r="O900" s="1214"/>
    </row>
    <row r="901" spans="1:17">
      <c r="M901" s="292"/>
    </row>
    <row r="902" spans="1:17">
      <c r="B902" s="1490" t="s">
        <v>1501</v>
      </c>
      <c r="C902" s="1490"/>
      <c r="D902" s="1490"/>
      <c r="E902" s="1490"/>
      <c r="F902" s="306"/>
    </row>
    <row r="903" spans="1:17">
      <c r="A903" s="495">
        <v>1</v>
      </c>
      <c r="B903" s="1460" t="s">
        <v>1502</v>
      </c>
      <c r="C903" s="1460"/>
      <c r="D903" s="1460"/>
      <c r="E903" s="1460"/>
      <c r="F903" s="304"/>
      <c r="G903" s="1214"/>
      <c r="H903" s="1214"/>
      <c r="I903" s="1214"/>
      <c r="J903" s="1214"/>
      <c r="K903" s="1214"/>
      <c r="L903" s="1214"/>
      <c r="M903" s="1214"/>
      <c r="N903" s="1214"/>
      <c r="O903" s="1214"/>
    </row>
    <row r="904" spans="1:17">
      <c r="A904" s="496"/>
      <c r="B904" s="1460" t="s">
        <v>1503</v>
      </c>
      <c r="C904" s="1460"/>
      <c r="D904" s="1460"/>
      <c r="E904" s="1460"/>
      <c r="F904" s="304"/>
      <c r="G904" s="1214"/>
      <c r="H904" s="1214"/>
      <c r="I904" s="1214"/>
      <c r="J904" s="1214"/>
      <c r="K904" s="1214"/>
      <c r="L904" s="1214"/>
      <c r="M904" s="1214"/>
      <c r="N904" s="1214"/>
      <c r="O904" s="1214"/>
    </row>
    <row r="905" spans="1:17" ht="12.75" customHeight="1">
      <c r="A905" s="1483"/>
      <c r="B905" s="1393"/>
      <c r="C905" s="1423" t="s">
        <v>1504</v>
      </c>
      <c r="D905" s="1423"/>
      <c r="E905" s="1423"/>
      <c r="F905" s="304"/>
      <c r="G905" s="307" t="s">
        <v>1056</v>
      </c>
      <c r="H905" s="1214">
        <v>800</v>
      </c>
      <c r="I905" s="1214"/>
      <c r="J905" s="1214" t="s">
        <v>1057</v>
      </c>
      <c r="K905" s="1214"/>
      <c r="L905" s="1214">
        <v>900</v>
      </c>
      <c r="M905" s="1214"/>
      <c r="N905" s="1214" t="s">
        <v>1057</v>
      </c>
      <c r="O905" s="1214"/>
    </row>
    <row r="906" spans="1:17">
      <c r="A906" s="1393"/>
      <c r="B906" s="1393"/>
      <c r="C906" s="1423" t="s">
        <v>1505</v>
      </c>
      <c r="D906" s="1423"/>
      <c r="E906" s="1423"/>
      <c r="F906" s="304"/>
      <c r="G906" s="307" t="s">
        <v>1056</v>
      </c>
      <c r="H906" s="1214">
        <v>800</v>
      </c>
      <c r="I906" s="1214"/>
      <c r="J906" s="1214" t="s">
        <v>1057</v>
      </c>
      <c r="K906" s="1214"/>
      <c r="L906" s="1214">
        <v>800</v>
      </c>
      <c r="M906" s="1214"/>
      <c r="N906" s="1214" t="s">
        <v>1057</v>
      </c>
      <c r="O906" s="1214"/>
    </row>
    <row r="907" spans="1:17">
      <c r="A907" s="1393"/>
      <c r="B907" s="1393"/>
      <c r="C907" s="1423" t="s">
        <v>1506</v>
      </c>
      <c r="D907" s="1423"/>
      <c r="E907" s="1423"/>
      <c r="F907" s="304"/>
      <c r="G907" s="307" t="s">
        <v>1507</v>
      </c>
      <c r="H907" s="1214">
        <v>800</v>
      </c>
      <c r="I907" s="1214"/>
      <c r="J907" s="1214" t="s">
        <v>1057</v>
      </c>
      <c r="K907" s="1214"/>
      <c r="L907" s="1214">
        <v>750</v>
      </c>
      <c r="M907" s="1214"/>
      <c r="N907" s="1214" t="s">
        <v>1057</v>
      </c>
      <c r="O907" s="1214"/>
    </row>
    <row r="908" spans="1:17">
      <c r="A908" s="1393"/>
      <c r="B908" s="1393"/>
      <c r="C908" s="1423" t="s">
        <v>1508</v>
      </c>
      <c r="D908" s="1423"/>
      <c r="E908" s="1423"/>
      <c r="F908" s="304"/>
      <c r="G908" s="307" t="s">
        <v>1056</v>
      </c>
      <c r="H908" s="1214">
        <v>800</v>
      </c>
      <c r="I908" s="1214"/>
      <c r="J908" s="1214" t="s">
        <v>1057</v>
      </c>
      <c r="K908" s="1214"/>
      <c r="L908" s="1214">
        <v>750</v>
      </c>
      <c r="M908" s="1214"/>
      <c r="N908" s="1214" t="s">
        <v>1057</v>
      </c>
      <c r="O908" s="1214"/>
    </row>
    <row r="909" spans="1:17">
      <c r="A909" s="1393"/>
      <c r="B909" s="1393"/>
      <c r="C909" s="1423" t="s">
        <v>1509</v>
      </c>
      <c r="D909" s="1423"/>
      <c r="E909" s="1423"/>
      <c r="F909" s="304"/>
      <c r="G909" s="307" t="s">
        <v>1056</v>
      </c>
      <c r="H909" s="1214">
        <v>650</v>
      </c>
      <c r="I909" s="1214"/>
      <c r="J909" s="1214" t="s">
        <v>1057</v>
      </c>
      <c r="K909" s="1214"/>
      <c r="L909" s="1214">
        <v>400</v>
      </c>
      <c r="M909" s="1214"/>
      <c r="N909" s="1214" t="s">
        <v>1057</v>
      </c>
      <c r="O909" s="1214"/>
    </row>
    <row r="910" spans="1:17" ht="12.75" customHeight="1">
      <c r="A910" s="495">
        <v>2</v>
      </c>
      <c r="B910" s="1459" t="s">
        <v>2263</v>
      </c>
      <c r="C910" s="1460"/>
      <c r="D910" s="1460"/>
      <c r="E910" s="1460"/>
      <c r="F910" s="304"/>
      <c r="G910" s="1214"/>
      <c r="H910" s="1214"/>
      <c r="I910" s="1214"/>
      <c r="J910" s="1214"/>
      <c r="K910" s="1214"/>
      <c r="L910" s="1214"/>
      <c r="M910" s="1214"/>
      <c r="N910" s="1214"/>
      <c r="O910" s="1214"/>
    </row>
    <row r="911" spans="1:17">
      <c r="A911" s="1483"/>
      <c r="B911" s="1393"/>
      <c r="C911" s="1421" t="s">
        <v>1356</v>
      </c>
      <c r="D911" s="1421"/>
      <c r="E911" s="1421"/>
      <c r="F911" s="308"/>
      <c r="G911" s="307" t="s">
        <v>1056</v>
      </c>
      <c r="H911" s="1214">
        <v>975</v>
      </c>
      <c r="I911" s="1214"/>
      <c r="J911" s="1214" t="s">
        <v>1057</v>
      </c>
      <c r="K911" s="1214"/>
      <c r="L911" s="1214">
        <v>975</v>
      </c>
      <c r="M911" s="1214"/>
      <c r="N911" s="1484" t="s">
        <v>1057</v>
      </c>
      <c r="O911" s="1484"/>
    </row>
    <row r="912" spans="1:17">
      <c r="A912" s="1393"/>
      <c r="B912" s="1393"/>
      <c r="C912" s="1508" t="s">
        <v>2264</v>
      </c>
      <c r="D912" s="1508"/>
      <c r="E912" s="1508"/>
      <c r="F912" s="423"/>
      <c r="G912" s="307" t="s">
        <v>1056</v>
      </c>
      <c r="H912" s="1214">
        <v>800</v>
      </c>
      <c r="I912" s="1214"/>
      <c r="J912" s="1214" t="s">
        <v>1057</v>
      </c>
      <c r="K912" s="1214"/>
      <c r="L912" s="1214">
        <v>900</v>
      </c>
      <c r="M912" s="1214"/>
      <c r="N912" s="1484" t="s">
        <v>1057</v>
      </c>
      <c r="O912" s="1484"/>
      <c r="P912" s="99"/>
      <c r="Q912" s="99"/>
    </row>
    <row r="913" spans="1:15">
      <c r="A913" s="495">
        <v>3</v>
      </c>
      <c r="B913" s="1460" t="s">
        <v>1510</v>
      </c>
      <c r="C913" s="1460"/>
      <c r="D913" s="1460"/>
      <c r="E913" s="1460"/>
      <c r="F913" s="304"/>
      <c r="G913" s="1214"/>
      <c r="H913" s="1214"/>
      <c r="I913" s="1214"/>
      <c r="J913" s="1214"/>
      <c r="K913" s="1214"/>
      <c r="L913" s="1214"/>
      <c r="M913" s="1214"/>
      <c r="N913" s="1214"/>
      <c r="O913" s="1214"/>
    </row>
    <row r="914" spans="1:15">
      <c r="A914" s="492"/>
      <c r="B914" s="1460" t="s">
        <v>1511</v>
      </c>
      <c r="C914" s="1460"/>
      <c r="D914" s="1460"/>
      <c r="E914" s="1460"/>
      <c r="F914" s="304"/>
      <c r="G914" s="307" t="s">
        <v>1056</v>
      </c>
      <c r="H914" s="1214">
        <v>800</v>
      </c>
      <c r="I914" s="1214"/>
      <c r="J914" s="1214" t="s">
        <v>1057</v>
      </c>
      <c r="K914" s="1214"/>
      <c r="L914" s="1214">
        <v>900</v>
      </c>
      <c r="M914" s="1214"/>
      <c r="N914" s="1214" t="s">
        <v>1057</v>
      </c>
      <c r="O914" s="1214"/>
    </row>
    <row r="915" spans="1:15">
      <c r="A915" s="495">
        <v>4</v>
      </c>
      <c r="B915" s="1460" t="s">
        <v>1512</v>
      </c>
      <c r="C915" s="1460"/>
      <c r="D915" s="1460"/>
      <c r="E915" s="1460"/>
      <c r="F915" s="304"/>
      <c r="G915" s="1214"/>
      <c r="H915" s="1214"/>
      <c r="I915" s="1214"/>
      <c r="J915" s="1214"/>
      <c r="K915" s="1214"/>
      <c r="L915" s="1214"/>
      <c r="M915" s="1214"/>
      <c r="N915" s="1214"/>
      <c r="O915" s="1214"/>
    </row>
    <row r="916" spans="1:15">
      <c r="A916" s="1483"/>
      <c r="B916" s="1393"/>
      <c r="C916" s="1423" t="s">
        <v>1513</v>
      </c>
      <c r="D916" s="1423"/>
      <c r="E916" s="1423"/>
      <c r="F916" s="304"/>
      <c r="G916" s="307" t="s">
        <v>1056</v>
      </c>
      <c r="H916" s="1214">
        <v>800</v>
      </c>
      <c r="I916" s="1214"/>
      <c r="J916" s="1214" t="s">
        <v>1057</v>
      </c>
      <c r="K916" s="1214"/>
      <c r="L916" s="1214">
        <v>900</v>
      </c>
      <c r="M916" s="1214"/>
      <c r="N916" s="1214" t="s">
        <v>1057</v>
      </c>
      <c r="O916" s="1214"/>
    </row>
    <row r="917" spans="1:15">
      <c r="A917" s="1393"/>
      <c r="B917" s="1393"/>
      <c r="C917" s="1423" t="s">
        <v>1514</v>
      </c>
      <c r="D917" s="1423"/>
      <c r="E917" s="1423"/>
      <c r="F917" s="304"/>
      <c r="G917" s="307" t="s">
        <v>1507</v>
      </c>
      <c r="H917" s="1214">
        <v>800</v>
      </c>
      <c r="I917" s="1214"/>
      <c r="J917" s="1214" t="s">
        <v>1057</v>
      </c>
      <c r="K917" s="1214"/>
      <c r="L917" s="1214">
        <v>800</v>
      </c>
      <c r="M917" s="1214"/>
      <c r="N917" s="1214" t="s">
        <v>1057</v>
      </c>
      <c r="O917" s="1214"/>
    </row>
    <row r="918" spans="1:15">
      <c r="A918" s="1393"/>
      <c r="B918" s="1393"/>
      <c r="C918" s="1423" t="s">
        <v>1515</v>
      </c>
      <c r="D918" s="1423"/>
      <c r="E918" s="1423"/>
      <c r="F918" s="304"/>
      <c r="G918" s="307" t="s">
        <v>1056</v>
      </c>
      <c r="H918" s="1214">
        <v>800</v>
      </c>
      <c r="I918" s="1214"/>
      <c r="J918" s="1214" t="s">
        <v>1057</v>
      </c>
      <c r="K918" s="1214"/>
      <c r="L918" s="1214">
        <v>750</v>
      </c>
      <c r="M918" s="1214"/>
      <c r="N918" s="1214" t="s">
        <v>1057</v>
      </c>
      <c r="O918" s="1214"/>
    </row>
    <row r="919" spans="1:15">
      <c r="A919" s="498">
        <v>5</v>
      </c>
      <c r="B919" s="506"/>
      <c r="C919" s="1423" t="s">
        <v>1516</v>
      </c>
      <c r="D919" s="1423"/>
      <c r="E919" s="1423"/>
      <c r="F919" s="304"/>
      <c r="G919" s="307" t="s">
        <v>1056</v>
      </c>
      <c r="H919" s="1214">
        <v>800</v>
      </c>
      <c r="I919" s="1214"/>
      <c r="J919" s="1214" t="s">
        <v>1057</v>
      </c>
      <c r="K919" s="1214"/>
      <c r="L919" s="1214">
        <v>800</v>
      </c>
      <c r="M919" s="1214"/>
      <c r="N919" s="1214" t="s">
        <v>1057</v>
      </c>
      <c r="O919" s="1214"/>
    </row>
    <row r="920" spans="1:15">
      <c r="A920" s="1488"/>
      <c r="B920" s="1489"/>
      <c r="C920" s="1423" t="s">
        <v>1517</v>
      </c>
      <c r="D920" s="1423"/>
      <c r="E920" s="1423"/>
      <c r="F920" s="304"/>
      <c r="G920" s="307" t="s">
        <v>1056</v>
      </c>
      <c r="H920" s="1214">
        <v>650</v>
      </c>
      <c r="I920" s="1214"/>
      <c r="J920" s="1214" t="s">
        <v>1057</v>
      </c>
      <c r="K920" s="1214"/>
      <c r="L920" s="1214">
        <v>600</v>
      </c>
      <c r="M920" s="1214"/>
      <c r="N920" s="1214" t="s">
        <v>1057</v>
      </c>
      <c r="O920" s="1214"/>
    </row>
    <row r="921" spans="1:15" ht="12.75" customHeight="1">
      <c r="A921" s="492">
        <v>6</v>
      </c>
      <c r="B921" s="1474" t="s">
        <v>1518</v>
      </c>
      <c r="C921" s="1460"/>
      <c r="D921" s="1460"/>
      <c r="E921" s="1460"/>
      <c r="F921" s="304"/>
      <c r="G921" s="1214"/>
      <c r="H921" s="1214"/>
      <c r="I921" s="1214"/>
      <c r="J921" s="1214"/>
      <c r="K921" s="1214"/>
      <c r="L921" s="1214"/>
      <c r="M921" s="1214"/>
      <c r="N921" s="1214"/>
      <c r="O921" s="1214"/>
    </row>
    <row r="922" spans="1:15" ht="12.75" customHeight="1">
      <c r="A922" s="1426"/>
      <c r="B922" s="1460" t="s">
        <v>1519</v>
      </c>
      <c r="C922" s="1460"/>
      <c r="D922" s="1460"/>
      <c r="E922" s="1460"/>
      <c r="F922" s="304"/>
      <c r="G922" s="1214"/>
      <c r="H922" s="1214"/>
      <c r="I922" s="1214"/>
      <c r="J922" s="1214"/>
      <c r="K922" s="1214"/>
      <c r="L922" s="1214"/>
      <c r="M922" s="1214"/>
      <c r="N922" s="1214"/>
      <c r="O922" s="1214"/>
    </row>
    <row r="923" spans="1:15" ht="12.75" customHeight="1">
      <c r="A923" s="1426"/>
      <c r="B923" s="1460" t="s">
        <v>2265</v>
      </c>
      <c r="C923" s="1460"/>
      <c r="D923" s="1460"/>
      <c r="E923" s="1460"/>
      <c r="F923" s="304"/>
      <c r="G923" s="1214"/>
      <c r="H923" s="1214"/>
      <c r="I923" s="1214"/>
      <c r="J923" s="1214"/>
      <c r="K923" s="1214"/>
      <c r="L923" s="1214"/>
      <c r="M923" s="1214"/>
      <c r="N923" s="1214"/>
      <c r="O923" s="1214"/>
    </row>
    <row r="924" spans="1:15" ht="12.75" customHeight="1">
      <c r="A924" s="1433"/>
      <c r="B924" s="1460" t="s">
        <v>2266</v>
      </c>
      <c r="C924" s="1460"/>
      <c r="D924" s="1460"/>
      <c r="E924" s="1460"/>
      <c r="F924" s="304"/>
      <c r="G924" s="1214"/>
      <c r="H924" s="1214"/>
      <c r="I924" s="1214"/>
      <c r="J924" s="1214"/>
      <c r="K924" s="1214"/>
      <c r="L924" s="1214"/>
      <c r="M924" s="1214"/>
      <c r="N924" s="1214"/>
      <c r="O924" s="1214"/>
    </row>
    <row r="925" spans="1:15">
      <c r="A925" s="1483"/>
      <c r="B925" s="1393"/>
      <c r="C925" s="1423" t="s">
        <v>1520</v>
      </c>
      <c r="D925" s="1423"/>
      <c r="E925" s="1423"/>
      <c r="F925" s="304"/>
      <c r="G925" s="307" t="s">
        <v>1056</v>
      </c>
      <c r="H925" s="1214">
        <v>800</v>
      </c>
      <c r="I925" s="1214"/>
      <c r="J925" s="1214" t="s">
        <v>1057</v>
      </c>
      <c r="K925" s="1214"/>
      <c r="L925" s="1214">
        <v>750</v>
      </c>
      <c r="M925" s="1214"/>
      <c r="N925" s="1214" t="s">
        <v>1057</v>
      </c>
      <c r="O925" s="1214"/>
    </row>
    <row r="926" spans="1:15">
      <c r="A926" s="1393"/>
      <c r="B926" s="1393"/>
      <c r="C926" s="1423" t="s">
        <v>1521</v>
      </c>
      <c r="D926" s="1423"/>
      <c r="E926" s="1423"/>
      <c r="F926" s="304"/>
      <c r="G926" s="307" t="s">
        <v>1056</v>
      </c>
      <c r="H926" s="1214">
        <v>750</v>
      </c>
      <c r="I926" s="1214"/>
      <c r="J926" s="1214" t="s">
        <v>1057</v>
      </c>
      <c r="K926" s="1214"/>
      <c r="L926" s="1214">
        <v>700</v>
      </c>
      <c r="M926" s="1214"/>
      <c r="N926" s="1214" t="s">
        <v>1057</v>
      </c>
      <c r="O926" s="1214"/>
    </row>
    <row r="927" spans="1:15">
      <c r="A927" s="1393"/>
      <c r="B927" s="1393"/>
      <c r="C927" s="1423" t="s">
        <v>1515</v>
      </c>
      <c r="D927" s="1423"/>
      <c r="E927" s="1423"/>
      <c r="F927" s="304"/>
      <c r="G927" s="307" t="s">
        <v>1056</v>
      </c>
      <c r="H927" s="1214">
        <v>650</v>
      </c>
      <c r="I927" s="1214"/>
      <c r="J927" s="1214" t="s">
        <v>1057</v>
      </c>
      <c r="K927" s="1214"/>
      <c r="L927" s="1214">
        <v>600</v>
      </c>
      <c r="M927" s="1214"/>
      <c r="N927" s="1214" t="s">
        <v>1057</v>
      </c>
      <c r="O927" s="1214"/>
    </row>
    <row r="928" spans="1:15">
      <c r="A928" s="495">
        <v>7</v>
      </c>
      <c r="B928" s="1460" t="s">
        <v>1522</v>
      </c>
      <c r="C928" s="1460"/>
      <c r="D928" s="1460"/>
      <c r="E928" s="1460"/>
      <c r="F928" s="304"/>
      <c r="G928" s="1214"/>
      <c r="H928" s="1214"/>
      <c r="I928" s="1214"/>
      <c r="J928" s="1214"/>
      <c r="K928" s="1214"/>
      <c r="L928" s="1214"/>
      <c r="M928" s="1214"/>
      <c r="N928" s="1214"/>
      <c r="O928" s="1214"/>
    </row>
    <row r="929" spans="1:17">
      <c r="A929" s="1483"/>
      <c r="B929" s="1393"/>
      <c r="C929" s="1423" t="s">
        <v>1523</v>
      </c>
      <c r="D929" s="1423"/>
      <c r="E929" s="461"/>
      <c r="F929" s="304"/>
      <c r="G929" s="307" t="s">
        <v>1056</v>
      </c>
      <c r="H929" s="1214">
        <v>800</v>
      </c>
      <c r="I929" s="1214"/>
      <c r="J929" s="1214" t="s">
        <v>1057</v>
      </c>
      <c r="K929" s="1214"/>
      <c r="L929" s="1214">
        <v>800</v>
      </c>
      <c r="M929" s="1214"/>
      <c r="N929" s="1214" t="s">
        <v>1057</v>
      </c>
      <c r="O929" s="1214"/>
      <c r="P929" s="99"/>
    </row>
    <row r="930" spans="1:17">
      <c r="A930" s="1393"/>
      <c r="B930" s="1393"/>
      <c r="C930" s="1423" t="s">
        <v>1524</v>
      </c>
      <c r="D930" s="1423"/>
      <c r="E930" s="461"/>
      <c r="F930" s="304"/>
      <c r="G930" s="307" t="s">
        <v>1056</v>
      </c>
      <c r="H930" s="1214">
        <v>800</v>
      </c>
      <c r="I930" s="1214"/>
      <c r="J930" s="1214" t="s">
        <v>1057</v>
      </c>
      <c r="K930" s="1214"/>
      <c r="L930" s="1214">
        <v>750</v>
      </c>
      <c r="M930" s="1214"/>
      <c r="N930" s="1214" t="s">
        <v>1057</v>
      </c>
      <c r="O930" s="1214"/>
      <c r="P930" s="99"/>
    </row>
    <row r="931" spans="1:17">
      <c r="A931" s="1393"/>
      <c r="B931" s="1393"/>
      <c r="C931" s="1423" t="s">
        <v>1525</v>
      </c>
      <c r="D931" s="1423"/>
      <c r="E931" s="461"/>
      <c r="F931" s="304"/>
      <c r="G931" s="307" t="s">
        <v>1056</v>
      </c>
      <c r="H931" s="1214">
        <v>500</v>
      </c>
      <c r="I931" s="1214"/>
      <c r="J931" s="1214" t="s">
        <v>1057</v>
      </c>
      <c r="K931" s="1214"/>
      <c r="L931" s="1214">
        <v>575</v>
      </c>
      <c r="M931" s="1214"/>
      <c r="N931" s="1214" t="s">
        <v>1057</v>
      </c>
      <c r="O931" s="1214"/>
      <c r="P931" s="99"/>
    </row>
    <row r="932" spans="1:17">
      <c r="A932" s="495">
        <v>8</v>
      </c>
      <c r="B932" s="1460" t="s">
        <v>1526</v>
      </c>
      <c r="C932" s="1460"/>
      <c r="D932" s="1460"/>
      <c r="E932" s="1460"/>
      <c r="F932" s="304"/>
      <c r="G932" s="1214"/>
      <c r="H932" s="1214"/>
      <c r="I932" s="1214"/>
      <c r="J932" s="1214"/>
      <c r="K932" s="1214"/>
      <c r="L932" s="1214"/>
      <c r="M932" s="1214"/>
      <c r="N932" s="1214"/>
      <c r="O932" s="1214"/>
    </row>
    <row r="933" spans="1:17">
      <c r="A933" s="496"/>
      <c r="B933" s="1310" t="s">
        <v>1392</v>
      </c>
      <c r="C933" s="1310"/>
      <c r="D933" s="1310"/>
      <c r="E933" s="1310"/>
      <c r="F933" s="423"/>
      <c r="G933" s="1214"/>
      <c r="H933" s="1214"/>
      <c r="I933" s="1214"/>
      <c r="J933" s="1214"/>
      <c r="K933" s="1214"/>
      <c r="L933" s="1214"/>
      <c r="M933" s="1214"/>
      <c r="N933" s="1214"/>
      <c r="O933" s="1214"/>
    </row>
    <row r="934" spans="1:17">
      <c r="A934" s="1483"/>
      <c r="B934" s="1393"/>
      <c r="C934" s="1423" t="s">
        <v>1520</v>
      </c>
      <c r="D934" s="1423"/>
      <c r="E934" s="1423"/>
      <c r="F934" s="304"/>
      <c r="G934" s="307" t="s">
        <v>1056</v>
      </c>
      <c r="H934" s="1214">
        <v>800</v>
      </c>
      <c r="I934" s="1214"/>
      <c r="J934" s="1214" t="s">
        <v>1057</v>
      </c>
      <c r="K934" s="1214"/>
      <c r="L934" s="1214">
        <v>750</v>
      </c>
      <c r="M934" s="1214"/>
      <c r="N934" s="1214" t="s">
        <v>1057</v>
      </c>
      <c r="O934" s="1214"/>
    </row>
    <row r="935" spans="1:17">
      <c r="A935" s="1393"/>
      <c r="B935" s="1393"/>
      <c r="C935" s="1423" t="s">
        <v>1527</v>
      </c>
      <c r="D935" s="1423"/>
      <c r="E935" s="1423"/>
      <c r="F935" s="304"/>
      <c r="G935" s="307" t="s">
        <v>1056</v>
      </c>
      <c r="H935" s="1214">
        <v>750</v>
      </c>
      <c r="I935" s="1214"/>
      <c r="J935" s="1214" t="s">
        <v>1057</v>
      </c>
      <c r="K935" s="1214"/>
      <c r="L935" s="1214">
        <v>700</v>
      </c>
      <c r="M935" s="1214"/>
      <c r="N935" s="1214" t="s">
        <v>1057</v>
      </c>
      <c r="O935" s="1214"/>
    </row>
    <row r="936" spans="1:17">
      <c r="A936" s="1393"/>
      <c r="B936" s="1393"/>
      <c r="C936" s="1423" t="s">
        <v>1528</v>
      </c>
      <c r="D936" s="1423"/>
      <c r="E936" s="1423"/>
      <c r="F936" s="304"/>
      <c r="G936" s="307" t="s">
        <v>1056</v>
      </c>
      <c r="H936" s="1214">
        <v>650</v>
      </c>
      <c r="I936" s="1214"/>
      <c r="J936" s="1214" t="s">
        <v>1057</v>
      </c>
      <c r="K936" s="1214"/>
      <c r="L936" s="1214">
        <v>350</v>
      </c>
      <c r="M936" s="1214"/>
      <c r="N936" s="1214" t="s">
        <v>1057</v>
      </c>
      <c r="O936" s="1214"/>
    </row>
    <row r="937" spans="1:17" ht="12.75" customHeight="1">
      <c r="A937" s="498">
        <v>9</v>
      </c>
      <c r="B937" s="506"/>
      <c r="C937" s="1423" t="s">
        <v>1529</v>
      </c>
      <c r="D937" s="1423"/>
      <c r="E937" s="1423"/>
      <c r="F937" s="304"/>
      <c r="G937" s="1214"/>
      <c r="H937" s="1214"/>
      <c r="I937" s="1214"/>
      <c r="J937" s="1214"/>
      <c r="K937" s="1214"/>
      <c r="L937" s="1214"/>
      <c r="M937" s="1214"/>
      <c r="N937" s="1214"/>
      <c r="O937" s="1214"/>
    </row>
    <row r="938" spans="1:17" ht="12.75" customHeight="1">
      <c r="A938" s="1483"/>
      <c r="B938" s="1483"/>
      <c r="C938" s="1422" t="s">
        <v>4052</v>
      </c>
      <c r="D938" s="1423"/>
      <c r="E938" s="1423"/>
      <c r="F938" s="304"/>
      <c r="G938" s="1214"/>
      <c r="H938" s="1214"/>
      <c r="I938" s="1214"/>
      <c r="J938" s="1214"/>
      <c r="K938" s="1214"/>
      <c r="L938" s="1214"/>
      <c r="M938" s="1214"/>
      <c r="N938" s="1214"/>
      <c r="O938" s="1214"/>
    </row>
    <row r="939" spans="1:17" ht="17.25" customHeight="1">
      <c r="A939" s="1393"/>
      <c r="B939" s="1393"/>
      <c r="C939" s="1508" t="s">
        <v>1530</v>
      </c>
      <c r="D939" s="1508"/>
      <c r="E939" s="1508"/>
      <c r="F939" s="423"/>
      <c r="G939" s="1214"/>
      <c r="H939" s="1214"/>
      <c r="I939" s="1214"/>
      <c r="J939" s="1214"/>
      <c r="K939" s="1214"/>
      <c r="L939" s="1214"/>
      <c r="M939" s="1214"/>
      <c r="N939" s="1214"/>
      <c r="O939" s="1214"/>
    </row>
    <row r="940" spans="1:17" ht="17.25" customHeight="1">
      <c r="A940" s="1393"/>
      <c r="B940" s="1393"/>
      <c r="C940" s="1508" t="s">
        <v>1531</v>
      </c>
      <c r="D940" s="1508"/>
      <c r="E940" s="1508"/>
      <c r="F940" s="423"/>
      <c r="G940" s="307" t="s">
        <v>1056</v>
      </c>
      <c r="H940" s="1214">
        <v>800</v>
      </c>
      <c r="I940" s="1214"/>
      <c r="J940" s="1214" t="s">
        <v>1057</v>
      </c>
      <c r="K940" s="1214"/>
      <c r="L940" s="1214">
        <v>750</v>
      </c>
      <c r="M940" s="1214"/>
      <c r="N940" s="1214" t="s">
        <v>1057</v>
      </c>
      <c r="O940" s="1214"/>
      <c r="P940" s="99"/>
      <c r="Q940" s="99"/>
    </row>
    <row r="941" spans="1:17" ht="12.75" customHeight="1">
      <c r="A941" s="1393"/>
      <c r="B941" s="1393"/>
      <c r="C941" s="1523" t="s">
        <v>1532</v>
      </c>
      <c r="D941" s="1524"/>
      <c r="E941" s="1525"/>
      <c r="F941" s="304"/>
      <c r="G941" s="307" t="s">
        <v>1056</v>
      </c>
      <c r="H941" s="1214">
        <v>650</v>
      </c>
      <c r="I941" s="1214"/>
      <c r="J941" s="1214" t="s">
        <v>1057</v>
      </c>
      <c r="K941" s="1214"/>
      <c r="L941" s="1214">
        <v>350</v>
      </c>
      <c r="M941" s="1214"/>
      <c r="N941" s="1214" t="s">
        <v>1057</v>
      </c>
      <c r="O941" s="1214"/>
      <c r="P941" s="99"/>
    </row>
    <row r="942" spans="1:17">
      <c r="A942" s="493">
        <v>10</v>
      </c>
      <c r="B942" s="1460" t="s">
        <v>1533</v>
      </c>
      <c r="C942" s="1460"/>
      <c r="D942" s="1460"/>
      <c r="E942" s="1460"/>
      <c r="F942" s="304"/>
      <c r="G942" s="307" t="s">
        <v>1056</v>
      </c>
      <c r="H942" s="1214">
        <v>700</v>
      </c>
      <c r="I942" s="1214"/>
      <c r="J942" s="1214" t="s">
        <v>1057</v>
      </c>
      <c r="K942" s="1214"/>
      <c r="L942" s="1214">
        <v>400</v>
      </c>
      <c r="M942" s="1214"/>
      <c r="N942" s="1214" t="s">
        <v>1057</v>
      </c>
      <c r="O942" s="1214"/>
    </row>
    <row r="943" spans="1:17">
      <c r="A943" s="493">
        <v>11</v>
      </c>
      <c r="B943" s="1460" t="s">
        <v>1534</v>
      </c>
      <c r="C943" s="1460"/>
      <c r="D943" s="1460"/>
      <c r="E943" s="1460"/>
      <c r="F943" s="304"/>
      <c r="G943" s="307" t="s">
        <v>1056</v>
      </c>
      <c r="H943" s="1214">
        <v>650</v>
      </c>
      <c r="I943" s="1214"/>
      <c r="J943" s="1214" t="s">
        <v>1057</v>
      </c>
      <c r="K943" s="1214"/>
      <c r="L943" s="1214">
        <v>350</v>
      </c>
      <c r="M943" s="1214"/>
      <c r="N943" s="1214" t="s">
        <v>1057</v>
      </c>
      <c r="O943" s="1214"/>
    </row>
    <row r="945" spans="1:17" ht="51" customHeight="1">
      <c r="A945" s="475" t="s">
        <v>2185</v>
      </c>
      <c r="B945" s="509" t="s">
        <v>1056</v>
      </c>
      <c r="C945" s="1302" t="s">
        <v>2267</v>
      </c>
      <c r="D945" s="1302"/>
      <c r="E945" s="1302"/>
      <c r="F945" s="1302"/>
      <c r="G945" s="1302"/>
      <c r="H945" s="1302"/>
      <c r="I945" s="1302"/>
      <c r="J945" s="1302"/>
      <c r="K945" s="1302"/>
      <c r="L945" s="1302"/>
      <c r="M945" s="1302"/>
      <c r="N945" s="1302"/>
      <c r="O945" s="1302"/>
    </row>
    <row r="946" spans="1:17" ht="12.75" customHeight="1">
      <c r="C946" s="1302" t="s">
        <v>1535</v>
      </c>
      <c r="D946" s="1302"/>
      <c r="E946" s="1302"/>
      <c r="F946" s="1302"/>
      <c r="G946" s="1302"/>
      <c r="H946" s="1302"/>
      <c r="I946" s="1302"/>
      <c r="J946" s="1302"/>
      <c r="K946" s="1302"/>
      <c r="L946" s="1302"/>
      <c r="M946" s="1302"/>
      <c r="N946" s="1302"/>
      <c r="O946" s="1302"/>
    </row>
    <row r="947" spans="1:17">
      <c r="C947" s="1510" t="s">
        <v>1536</v>
      </c>
      <c r="D947" s="1510"/>
      <c r="E947" s="1510"/>
      <c r="F947" s="1510"/>
      <c r="G947" s="1510"/>
      <c r="H947" s="1510"/>
      <c r="I947" s="1510"/>
      <c r="J947" s="1510"/>
      <c r="K947" s="1510"/>
      <c r="L947" s="1510"/>
      <c r="M947" s="1510"/>
      <c r="N947" s="1510"/>
      <c r="O947" s="1510"/>
    </row>
    <row r="948" spans="1:17" ht="12.75" customHeight="1">
      <c r="C948" s="1302" t="s">
        <v>1537</v>
      </c>
      <c r="D948" s="1302"/>
      <c r="E948" s="1302"/>
      <c r="F948" s="1302"/>
      <c r="G948" s="1302"/>
      <c r="H948" s="1302"/>
      <c r="I948" s="1302"/>
      <c r="J948" s="1302"/>
      <c r="K948" s="1302"/>
      <c r="L948" s="1302"/>
      <c r="M948" s="1302"/>
      <c r="N948" s="1302"/>
      <c r="O948" s="1302"/>
    </row>
    <row r="949" spans="1:17" ht="28.5" customHeight="1">
      <c r="C949" s="1302" t="s">
        <v>1538</v>
      </c>
      <c r="D949" s="1302"/>
      <c r="E949" s="1302"/>
      <c r="F949" s="1302"/>
      <c r="G949" s="1302"/>
      <c r="H949" s="1302"/>
      <c r="I949" s="1302"/>
      <c r="J949" s="1302"/>
      <c r="K949" s="1302"/>
      <c r="L949" s="1302"/>
      <c r="M949" s="1302"/>
      <c r="N949" s="1302"/>
      <c r="O949" s="1302"/>
    </row>
    <row r="950" spans="1:17" ht="32.25" customHeight="1">
      <c r="C950" s="1302" t="s">
        <v>1539</v>
      </c>
      <c r="D950" s="1302"/>
      <c r="E950" s="1302"/>
      <c r="F950" s="1302"/>
      <c r="G950" s="1302"/>
      <c r="H950" s="1302"/>
      <c r="I950" s="1302"/>
      <c r="J950" s="1302"/>
      <c r="K950" s="1302"/>
      <c r="L950" s="1302"/>
      <c r="M950" s="1302"/>
      <c r="N950" s="1302"/>
      <c r="O950" s="1302"/>
    </row>
    <row r="951" spans="1:17">
      <c r="C951" s="1302" t="s">
        <v>1540</v>
      </c>
      <c r="D951" s="1302"/>
      <c r="E951" s="1302"/>
      <c r="F951" s="1302"/>
      <c r="G951" s="1302"/>
      <c r="H951" s="1302"/>
      <c r="I951" s="1302"/>
      <c r="J951" s="1302"/>
      <c r="K951" s="1302"/>
      <c r="L951" s="1302"/>
      <c r="M951" s="1302"/>
      <c r="N951" s="1302"/>
      <c r="O951" s="1302"/>
    </row>
    <row r="956" spans="1:17" ht="14.25" customHeight="1">
      <c r="B956" s="1511" t="s">
        <v>1541</v>
      </c>
      <c r="C956" s="1511"/>
      <c r="D956" s="1511"/>
      <c r="E956" s="1511"/>
      <c r="F956" s="430"/>
      <c r="I956" s="99"/>
    </row>
    <row r="957" spans="1:17">
      <c r="A957" s="493">
        <v>1</v>
      </c>
      <c r="B957" s="1460" t="s">
        <v>1542</v>
      </c>
      <c r="C957" s="1460"/>
      <c r="D957" s="1460"/>
      <c r="E957" s="1460"/>
      <c r="F957" s="304"/>
      <c r="G957" s="298" t="s">
        <v>1056</v>
      </c>
      <c r="H957" s="1214">
        <v>1450</v>
      </c>
      <c r="I957" s="1214"/>
      <c r="J957" s="1484" t="s">
        <v>1057</v>
      </c>
      <c r="K957" s="1484"/>
      <c r="L957" s="1214">
        <v>1700</v>
      </c>
      <c r="M957" s="1214"/>
      <c r="N957" s="1484" t="s">
        <v>1057</v>
      </c>
      <c r="O957" s="1484"/>
    </row>
    <row r="958" spans="1:17">
      <c r="A958" s="493">
        <v>2</v>
      </c>
      <c r="B958" s="1309" t="s">
        <v>2268</v>
      </c>
      <c r="C958" s="1310"/>
      <c r="D958" s="1310"/>
      <c r="E958" s="1310"/>
      <c r="F958" s="423"/>
      <c r="G958" s="298" t="s">
        <v>1056</v>
      </c>
      <c r="H958" s="1214">
        <v>975</v>
      </c>
      <c r="I958" s="1214"/>
      <c r="J958" s="1484" t="s">
        <v>1057</v>
      </c>
      <c r="K958" s="1484"/>
      <c r="L958" s="1214">
        <v>975</v>
      </c>
      <c r="M958" s="1214"/>
      <c r="N958" s="1484" t="s">
        <v>1057</v>
      </c>
      <c r="O958" s="1484"/>
      <c r="P958" s="99"/>
      <c r="Q958" s="99"/>
    </row>
    <row r="959" spans="1:17">
      <c r="A959" s="493">
        <v>3</v>
      </c>
      <c r="B959" s="1309" t="s">
        <v>2269</v>
      </c>
      <c r="C959" s="1310"/>
      <c r="D959" s="1310"/>
      <c r="E959" s="1310"/>
      <c r="F959" s="423"/>
      <c r="G959" s="298" t="s">
        <v>1056</v>
      </c>
      <c r="H959" s="1214">
        <v>800</v>
      </c>
      <c r="I959" s="1214"/>
      <c r="J959" s="1484" t="s">
        <v>1057</v>
      </c>
      <c r="K959" s="1484"/>
      <c r="L959" s="1214">
        <v>900</v>
      </c>
      <c r="M959" s="1214"/>
      <c r="N959" s="1484" t="s">
        <v>1057</v>
      </c>
      <c r="O959" s="1484"/>
      <c r="P959" s="99"/>
      <c r="Q959" s="99"/>
    </row>
    <row r="960" spans="1:17">
      <c r="A960" s="493">
        <v>4</v>
      </c>
      <c r="B960" s="1309" t="s">
        <v>2270</v>
      </c>
      <c r="C960" s="1310"/>
      <c r="D960" s="1310"/>
      <c r="E960" s="1310"/>
      <c r="F960" s="423"/>
      <c r="G960" s="298" t="s">
        <v>1056</v>
      </c>
      <c r="H960" s="1214">
        <v>800</v>
      </c>
      <c r="I960" s="1214"/>
      <c r="J960" s="1484" t="s">
        <v>1057</v>
      </c>
      <c r="K960" s="1484"/>
      <c r="L960" s="1214">
        <v>900</v>
      </c>
      <c r="M960" s="1214"/>
      <c r="N960" s="1484" t="s">
        <v>1057</v>
      </c>
      <c r="O960" s="1484"/>
      <c r="P960" s="99"/>
      <c r="Q960" s="99"/>
    </row>
    <row r="961" spans="1:17">
      <c r="A961" s="493">
        <v>5</v>
      </c>
      <c r="B961" s="1460" t="s">
        <v>1543</v>
      </c>
      <c r="C961" s="1460"/>
      <c r="D961" s="1460"/>
      <c r="E961" s="1460"/>
      <c r="F961" s="304"/>
      <c r="G961" s="298" t="s">
        <v>1056</v>
      </c>
      <c r="H961" s="1214">
        <v>950</v>
      </c>
      <c r="I961" s="1214"/>
      <c r="J961" s="1484" t="s">
        <v>1057</v>
      </c>
      <c r="K961" s="1484"/>
      <c r="L961" s="1214">
        <v>750</v>
      </c>
      <c r="M961" s="1214"/>
      <c r="N961" s="1484" t="s">
        <v>1057</v>
      </c>
      <c r="O961" s="1484"/>
    </row>
    <row r="962" spans="1:17">
      <c r="A962" s="493">
        <v>6</v>
      </c>
      <c r="B962" s="1460" t="s">
        <v>1544</v>
      </c>
      <c r="C962" s="1460"/>
      <c r="D962" s="1460"/>
      <c r="E962" s="1460"/>
      <c r="F962" s="304"/>
      <c r="G962" s="298" t="s">
        <v>1056</v>
      </c>
      <c r="H962" s="1214">
        <v>800</v>
      </c>
      <c r="I962" s="1214"/>
      <c r="J962" s="1484" t="s">
        <v>1057</v>
      </c>
      <c r="K962" s="1484"/>
      <c r="L962" s="1214">
        <v>750</v>
      </c>
      <c r="M962" s="1214"/>
      <c r="N962" s="1484" t="s">
        <v>1057</v>
      </c>
      <c r="O962" s="1484"/>
      <c r="P962" s="99"/>
    </row>
    <row r="963" spans="1:17" ht="12.75" customHeight="1">
      <c r="A963" s="493">
        <v>7</v>
      </c>
      <c r="B963" s="1460" t="s">
        <v>1545</v>
      </c>
      <c r="C963" s="1460"/>
      <c r="D963" s="1460"/>
      <c r="E963" s="1460"/>
      <c r="F963" s="304"/>
      <c r="G963" s="298" t="s">
        <v>1056</v>
      </c>
      <c r="H963" s="1214">
        <v>800</v>
      </c>
      <c r="I963" s="1214"/>
      <c r="J963" s="1484" t="s">
        <v>1057</v>
      </c>
      <c r="K963" s="1484"/>
      <c r="L963" s="1214">
        <v>750</v>
      </c>
      <c r="M963" s="1214"/>
      <c r="N963" s="1484" t="s">
        <v>1057</v>
      </c>
      <c r="O963" s="1484"/>
    </row>
    <row r="964" spans="1:17">
      <c r="A964" s="495">
        <v>8</v>
      </c>
      <c r="B964" s="1460" t="s">
        <v>1546</v>
      </c>
      <c r="C964" s="1460"/>
      <c r="D964" s="1460"/>
      <c r="E964" s="1460"/>
      <c r="F964" s="304"/>
      <c r="G964" s="1214"/>
      <c r="H964" s="1214"/>
      <c r="I964" s="1214"/>
      <c r="J964" s="1214"/>
      <c r="K964" s="1214"/>
      <c r="L964" s="1214"/>
      <c r="M964" s="1214"/>
      <c r="N964" s="1214"/>
      <c r="O964" s="1214"/>
    </row>
    <row r="965" spans="1:17">
      <c r="A965" s="1485"/>
      <c r="B965" s="1486"/>
      <c r="C965" s="1423" t="s">
        <v>1547</v>
      </c>
      <c r="D965" s="1423"/>
      <c r="E965" s="1423"/>
      <c r="F965" s="304"/>
      <c r="G965" s="307" t="s">
        <v>1056</v>
      </c>
      <c r="H965" s="1214">
        <v>800</v>
      </c>
      <c r="I965" s="1214"/>
      <c r="J965" s="1214" t="s">
        <v>1057</v>
      </c>
      <c r="K965" s="1214"/>
      <c r="L965" s="1214">
        <v>750</v>
      </c>
      <c r="M965" s="1214"/>
      <c r="N965" s="1214" t="s">
        <v>1057</v>
      </c>
      <c r="O965" s="1214"/>
    </row>
    <row r="966" spans="1:17">
      <c r="A966" s="1488"/>
      <c r="B966" s="1489"/>
      <c r="C966" s="1423" t="s">
        <v>1548</v>
      </c>
      <c r="D966" s="1423"/>
      <c r="E966" s="1423"/>
      <c r="F966" s="304"/>
      <c r="G966" s="307" t="s">
        <v>1056</v>
      </c>
      <c r="H966" s="1214">
        <v>750</v>
      </c>
      <c r="I966" s="1214"/>
      <c r="J966" s="1214" t="s">
        <v>1057</v>
      </c>
      <c r="K966" s="1214"/>
      <c r="L966" s="1214">
        <v>700</v>
      </c>
      <c r="M966" s="1214"/>
      <c r="N966" s="1214" t="s">
        <v>1057</v>
      </c>
      <c r="O966" s="1214"/>
    </row>
    <row r="967" spans="1:17">
      <c r="A967" s="493">
        <v>9</v>
      </c>
      <c r="B967" s="1460" t="s">
        <v>1549</v>
      </c>
      <c r="C967" s="1460"/>
      <c r="D967" s="1460"/>
      <c r="E967" s="1460"/>
      <c r="F967" s="304"/>
      <c r="G967" s="307"/>
      <c r="H967" s="1214">
        <v>650</v>
      </c>
      <c r="I967" s="1214"/>
      <c r="J967" s="1484" t="s">
        <v>1057</v>
      </c>
      <c r="K967" s="1484"/>
      <c r="L967" s="1214">
        <v>600</v>
      </c>
      <c r="M967" s="1214"/>
      <c r="N967" s="1484" t="s">
        <v>1057</v>
      </c>
      <c r="O967" s="1484"/>
    </row>
    <row r="968" spans="1:17">
      <c r="A968" s="498">
        <v>10</v>
      </c>
      <c r="B968" s="506"/>
      <c r="C968" s="1423" t="s">
        <v>1550</v>
      </c>
      <c r="D968" s="1423"/>
      <c r="E968" s="1423"/>
      <c r="F968" s="304"/>
      <c r="G968" s="1214"/>
      <c r="H968" s="1214"/>
      <c r="I968" s="1214"/>
      <c r="J968" s="1214"/>
      <c r="K968" s="1214"/>
      <c r="L968" s="1214"/>
      <c r="M968" s="1214"/>
      <c r="N968" s="1214"/>
      <c r="O968" s="1214"/>
    </row>
    <row r="969" spans="1:17" ht="12.75" customHeight="1">
      <c r="A969" s="1485"/>
      <c r="B969" s="1487"/>
      <c r="C969" s="1523" t="s">
        <v>1551</v>
      </c>
      <c r="D969" s="1524"/>
      <c r="E969" s="1525"/>
      <c r="F969" s="421"/>
      <c r="G969" s="307" t="s">
        <v>1056</v>
      </c>
      <c r="H969" s="1214">
        <v>800</v>
      </c>
      <c r="I969" s="1214"/>
      <c r="J969" s="1214" t="s">
        <v>1057</v>
      </c>
      <c r="K969" s="1214"/>
      <c r="L969" s="1214">
        <v>750</v>
      </c>
      <c r="M969" s="1214"/>
      <c r="N969" s="1214" t="s">
        <v>1057</v>
      </c>
      <c r="O969" s="1214"/>
      <c r="P969" s="99"/>
    </row>
    <row r="970" spans="1:17" ht="12.75" customHeight="1">
      <c r="A970" s="1488"/>
      <c r="B970" s="1489"/>
      <c r="C970" s="1523" t="s">
        <v>1532</v>
      </c>
      <c r="D970" s="1524"/>
      <c r="E970" s="1525"/>
      <c r="F970" s="421"/>
      <c r="G970" s="307" t="s">
        <v>1056</v>
      </c>
      <c r="H970" s="1214">
        <v>650</v>
      </c>
      <c r="I970" s="1214"/>
      <c r="J970" s="1214" t="s">
        <v>1057</v>
      </c>
      <c r="K970" s="1214"/>
      <c r="L970" s="1214">
        <v>350</v>
      </c>
      <c r="M970" s="1214"/>
      <c r="N970" s="1214" t="s">
        <v>1057</v>
      </c>
      <c r="O970" s="1214"/>
      <c r="P970" s="99"/>
    </row>
    <row r="971" spans="1:17" ht="12.75" customHeight="1">
      <c r="A971" s="493">
        <v>11</v>
      </c>
      <c r="B971" s="1355" t="s">
        <v>1534</v>
      </c>
      <c r="C971" s="1356"/>
      <c r="D971" s="1356"/>
      <c r="E971" s="1357"/>
      <c r="F971" s="421"/>
      <c r="G971" s="307" t="s">
        <v>1056</v>
      </c>
      <c r="H971" s="1214">
        <v>650</v>
      </c>
      <c r="I971" s="1214"/>
      <c r="J971" s="1214" t="s">
        <v>1057</v>
      </c>
      <c r="K971" s="1214"/>
      <c r="L971" s="1214">
        <v>350</v>
      </c>
      <c r="M971" s="1214"/>
      <c r="N971" s="1214" t="s">
        <v>1057</v>
      </c>
      <c r="O971" s="1214"/>
    </row>
    <row r="973" spans="1:17" ht="30" customHeight="1">
      <c r="A973" s="475" t="s">
        <v>2185</v>
      </c>
      <c r="B973" s="508" t="s">
        <v>1056</v>
      </c>
      <c r="C973" s="1302" t="s">
        <v>2246</v>
      </c>
      <c r="D973" s="1302"/>
      <c r="E973" s="1302"/>
      <c r="F973" s="1302"/>
      <c r="G973" s="1302"/>
      <c r="H973" s="1302"/>
      <c r="I973" s="1302"/>
      <c r="J973" s="1302"/>
      <c r="K973" s="1302"/>
      <c r="L973" s="1302"/>
      <c r="M973" s="1302"/>
      <c r="N973" s="1302"/>
      <c r="O973" s="1302"/>
    </row>
    <row r="974" spans="1:17" ht="33" customHeight="1">
      <c r="B974" s="507"/>
      <c r="C974" s="1510" t="s">
        <v>1552</v>
      </c>
      <c r="D974" s="1510"/>
      <c r="E974" s="1510"/>
      <c r="F974" s="1510"/>
      <c r="G974" s="1510"/>
      <c r="H974" s="1510"/>
      <c r="I974" s="1510"/>
      <c r="J974" s="1510"/>
      <c r="K974" s="1510"/>
      <c r="L974" s="1510"/>
      <c r="M974" s="1510"/>
      <c r="N974" s="1510"/>
      <c r="O974" s="1510"/>
      <c r="P974" s="99"/>
      <c r="Q974" s="99"/>
    </row>
    <row r="977" spans="1:16">
      <c r="B977" s="1490" t="s">
        <v>1553</v>
      </c>
      <c r="C977" s="1490"/>
      <c r="D977" s="1490"/>
      <c r="E977" s="1490"/>
      <c r="F977" s="306"/>
    </row>
    <row r="978" spans="1:16" ht="12.75" customHeight="1">
      <c r="A978" s="493">
        <v>1</v>
      </c>
      <c r="B978" s="1460" t="s">
        <v>1554</v>
      </c>
      <c r="C978" s="1460"/>
      <c r="D978" s="1460"/>
      <c r="E978" s="1460"/>
      <c r="F978" s="304"/>
      <c r="G978" s="307"/>
      <c r="H978" s="307"/>
      <c r="I978" s="307"/>
      <c r="J978" s="307"/>
      <c r="K978" s="307"/>
      <c r="L978" s="307"/>
      <c r="M978" s="308"/>
      <c r="N978" s="308"/>
      <c r="O978" s="308"/>
    </row>
    <row r="979" spans="1:16">
      <c r="A979" s="493"/>
      <c r="B979" s="504"/>
      <c r="C979" s="1423" t="s">
        <v>1547</v>
      </c>
      <c r="D979" s="1423"/>
      <c r="E979" s="1423"/>
      <c r="F979" s="304"/>
      <c r="G979" s="307" t="s">
        <v>1056</v>
      </c>
      <c r="H979" s="1214">
        <v>1450</v>
      </c>
      <c r="I979" s="1214"/>
      <c r="J979" s="1214" t="s">
        <v>1057</v>
      </c>
      <c r="K979" s="1214"/>
      <c r="L979" s="1214">
        <v>1700</v>
      </c>
      <c r="M979" s="1214"/>
      <c r="N979" s="1214" t="s">
        <v>1057</v>
      </c>
      <c r="O979" s="1214"/>
    </row>
    <row r="980" spans="1:16">
      <c r="A980" s="493"/>
      <c r="B980" s="504"/>
      <c r="C980" s="1423" t="s">
        <v>1555</v>
      </c>
      <c r="D980" s="1423"/>
      <c r="E980" s="1423"/>
      <c r="F980" s="304"/>
      <c r="G980" s="307" t="s">
        <v>1056</v>
      </c>
      <c r="H980" s="1214">
        <v>975</v>
      </c>
      <c r="I980" s="1214"/>
      <c r="J980" s="1214" t="s">
        <v>1057</v>
      </c>
      <c r="K980" s="1214"/>
      <c r="L980" s="1214">
        <v>975</v>
      </c>
      <c r="M980" s="1214"/>
      <c r="N980" s="1214" t="s">
        <v>1057</v>
      </c>
      <c r="O980" s="1214"/>
    </row>
    <row r="981" spans="1:16">
      <c r="A981" s="493"/>
      <c r="B981" s="504"/>
      <c r="C981" s="1423" t="s">
        <v>1556</v>
      </c>
      <c r="D981" s="1423"/>
      <c r="E981" s="1423"/>
      <c r="F981" s="304"/>
      <c r="G981" s="307" t="s">
        <v>1056</v>
      </c>
      <c r="H981" s="1214">
        <v>650</v>
      </c>
      <c r="I981" s="1214"/>
      <c r="J981" s="1214" t="s">
        <v>1057</v>
      </c>
      <c r="K981" s="1214"/>
      <c r="L981" s="1214">
        <v>650</v>
      </c>
      <c r="M981" s="1214"/>
      <c r="N981" s="1214" t="s">
        <v>1057</v>
      </c>
      <c r="O981" s="1214"/>
    </row>
    <row r="982" spans="1:16" ht="12.75" customHeight="1">
      <c r="A982" s="493">
        <v>2</v>
      </c>
      <c r="B982" s="1460" t="s">
        <v>1557</v>
      </c>
      <c r="C982" s="1460"/>
      <c r="D982" s="1460"/>
      <c r="E982" s="1460"/>
      <c r="F982" s="304"/>
      <c r="G982" s="1214"/>
      <c r="H982" s="1214"/>
      <c r="I982" s="1214"/>
      <c r="J982" s="1214"/>
      <c r="K982" s="1214"/>
      <c r="L982" s="1214"/>
      <c r="M982" s="1214"/>
      <c r="N982" s="1214"/>
      <c r="O982" s="1214"/>
    </row>
    <row r="983" spans="1:16" ht="12.75" customHeight="1">
      <c r="A983" s="493"/>
      <c r="B983" s="1460" t="s">
        <v>1558</v>
      </c>
      <c r="C983" s="1460"/>
      <c r="D983" s="1460"/>
      <c r="E983" s="1460"/>
      <c r="F983" s="304"/>
      <c r="G983" s="307" t="s">
        <v>1056</v>
      </c>
      <c r="H983" s="1214">
        <v>650</v>
      </c>
      <c r="I983" s="1214"/>
      <c r="J983" s="1214" t="s">
        <v>1057</v>
      </c>
      <c r="K983" s="1214"/>
      <c r="L983" s="1214">
        <v>650</v>
      </c>
      <c r="M983" s="1214"/>
      <c r="N983" s="1214" t="s">
        <v>1057</v>
      </c>
      <c r="O983" s="1214"/>
      <c r="P983" s="99"/>
    </row>
    <row r="984" spans="1:16">
      <c r="A984" s="500"/>
      <c r="B984" s="511"/>
      <c r="C984" s="1497"/>
      <c r="D984" s="1497"/>
      <c r="E984" s="1497"/>
      <c r="F984" s="418"/>
      <c r="G984" s="1360"/>
      <c r="H984" s="1360"/>
      <c r="I984" s="1360"/>
      <c r="J984" s="1360"/>
      <c r="K984" s="1360"/>
      <c r="L984" s="1360"/>
      <c r="M984" s="1360"/>
      <c r="N984" s="1360"/>
      <c r="O984" s="1360"/>
      <c r="P984" s="99"/>
    </row>
    <row r="985" spans="1:16" ht="12.75" customHeight="1">
      <c r="A985" s="501"/>
      <c r="B985" s="1495" t="s">
        <v>1559</v>
      </c>
      <c r="C985" s="1495"/>
      <c r="D985" s="1495"/>
      <c r="E985" s="1495"/>
      <c r="F985" s="436"/>
      <c r="G985" s="1362"/>
      <c r="H985" s="1362"/>
      <c r="I985" s="1362"/>
      <c r="J985" s="1362"/>
      <c r="K985" s="1362"/>
      <c r="L985" s="1362"/>
      <c r="M985" s="1362"/>
      <c r="N985" s="1362"/>
      <c r="O985" s="1362"/>
    </row>
    <row r="986" spans="1:16">
      <c r="A986" s="493">
        <v>1</v>
      </c>
      <c r="B986" s="504"/>
      <c r="C986" s="1423" t="s">
        <v>1560</v>
      </c>
      <c r="D986" s="1423"/>
      <c r="E986" s="1423"/>
      <c r="F986" s="304"/>
      <c r="G986" s="307" t="s">
        <v>1056</v>
      </c>
      <c r="H986" s="1214">
        <v>800</v>
      </c>
      <c r="I986" s="1214"/>
      <c r="J986" s="1214" t="s">
        <v>1057</v>
      </c>
      <c r="K986" s="1214"/>
      <c r="L986" s="1214">
        <v>1400</v>
      </c>
      <c r="M986" s="1214"/>
      <c r="N986" s="1214" t="s">
        <v>1057</v>
      </c>
      <c r="O986" s="1214"/>
    </row>
    <row r="987" spans="1:16">
      <c r="A987" s="493">
        <v>2</v>
      </c>
      <c r="B987" s="504"/>
      <c r="C987" s="1423" t="s">
        <v>1561</v>
      </c>
      <c r="D987" s="1423"/>
      <c r="E987" s="1423"/>
      <c r="F987" s="304"/>
      <c r="G987" s="307" t="s">
        <v>1056</v>
      </c>
      <c r="H987" s="1214">
        <v>800</v>
      </c>
      <c r="I987" s="1214"/>
      <c r="J987" s="1214" t="s">
        <v>1057</v>
      </c>
      <c r="K987" s="1214"/>
      <c r="L987" s="1214">
        <v>1300</v>
      </c>
      <c r="M987" s="1214"/>
      <c r="N987" s="1214" t="s">
        <v>1057</v>
      </c>
      <c r="O987" s="1214"/>
    </row>
    <row r="988" spans="1:16">
      <c r="A988" s="500"/>
      <c r="B988" s="511"/>
      <c r="C988" s="467"/>
      <c r="D988" s="468"/>
      <c r="E988" s="468"/>
      <c r="F988" s="437"/>
      <c r="G988" s="1360"/>
      <c r="H988" s="1360"/>
      <c r="I988" s="1360"/>
      <c r="J988" s="1360"/>
      <c r="K988" s="1360"/>
      <c r="L988" s="1360"/>
      <c r="M988" s="1360"/>
      <c r="N988" s="1360"/>
      <c r="O988" s="1360"/>
    </row>
    <row r="989" spans="1:16" ht="12.75" customHeight="1">
      <c r="A989" s="499"/>
      <c r="B989" s="1498" t="s">
        <v>1562</v>
      </c>
      <c r="C989" s="1498"/>
      <c r="D989" s="1498"/>
      <c r="E989" s="1498"/>
      <c r="F989" s="438"/>
      <c r="G989" s="1361"/>
      <c r="H989" s="1361"/>
      <c r="I989" s="1361"/>
      <c r="J989" s="1361"/>
      <c r="K989" s="1361"/>
      <c r="L989" s="1361"/>
      <c r="M989" s="1361"/>
      <c r="N989" s="1361"/>
      <c r="O989" s="1361"/>
    </row>
    <row r="990" spans="1:16">
      <c r="A990" s="501"/>
      <c r="B990" s="1495" t="s">
        <v>1399</v>
      </c>
      <c r="C990" s="1495"/>
      <c r="D990" s="1495"/>
      <c r="E990" s="1495"/>
      <c r="F990" s="436"/>
      <c r="G990" s="1362"/>
      <c r="H990" s="1362"/>
      <c r="I990" s="1362"/>
      <c r="J990" s="1362"/>
      <c r="K990" s="1362"/>
      <c r="L990" s="1362"/>
      <c r="M990" s="1362"/>
      <c r="N990" s="1362"/>
      <c r="O990" s="1362"/>
    </row>
    <row r="991" spans="1:16">
      <c r="A991" s="493">
        <v>1</v>
      </c>
      <c r="B991" s="1460" t="s">
        <v>1563</v>
      </c>
      <c r="C991" s="1460"/>
      <c r="D991" s="1460"/>
      <c r="E991" s="1460"/>
      <c r="F991" s="304"/>
      <c r="G991" s="307" t="s">
        <v>1056</v>
      </c>
      <c r="H991" s="1214">
        <v>500</v>
      </c>
      <c r="I991" s="1214"/>
      <c r="J991" s="1214" t="s">
        <v>1057</v>
      </c>
      <c r="K991" s="1214"/>
      <c r="L991" s="1214">
        <v>600</v>
      </c>
      <c r="M991" s="1214"/>
      <c r="N991" s="1214" t="s">
        <v>1057</v>
      </c>
      <c r="O991" s="1214"/>
    </row>
    <row r="992" spans="1:16">
      <c r="A992" s="493">
        <v>2</v>
      </c>
      <c r="B992" s="1460" t="s">
        <v>1564</v>
      </c>
      <c r="C992" s="1460"/>
      <c r="D992" s="1460"/>
      <c r="E992" s="1460"/>
      <c r="F992" s="304"/>
      <c r="G992" s="307" t="s">
        <v>1056</v>
      </c>
      <c r="H992" s="1214">
        <v>500</v>
      </c>
      <c r="I992" s="1214"/>
      <c r="J992" s="1214" t="s">
        <v>1057</v>
      </c>
      <c r="K992" s="1214"/>
      <c r="L992" s="1214">
        <v>250</v>
      </c>
      <c r="M992" s="1214"/>
      <c r="N992" s="1214" t="s">
        <v>1057</v>
      </c>
      <c r="O992" s="1214"/>
    </row>
    <row r="994" spans="1:15" ht="55.5" customHeight="1">
      <c r="A994" s="475" t="s">
        <v>2185</v>
      </c>
      <c r="B994" s="509"/>
      <c r="C994" s="1302" t="s">
        <v>2247</v>
      </c>
      <c r="D994" s="1302"/>
      <c r="E994" s="1302"/>
      <c r="F994" s="1302"/>
      <c r="G994" s="1302"/>
      <c r="H994" s="1302"/>
      <c r="I994" s="1302"/>
      <c r="J994" s="1302"/>
      <c r="K994" s="1302"/>
      <c r="L994" s="1302"/>
      <c r="M994" s="1302"/>
      <c r="N994" s="1302"/>
      <c r="O994" s="1302"/>
    </row>
    <row r="995" spans="1:15" ht="58.5" customHeight="1">
      <c r="C995" s="1302" t="s">
        <v>1565</v>
      </c>
      <c r="D995" s="1302"/>
      <c r="E995" s="1302"/>
      <c r="F995" s="1302"/>
      <c r="G995" s="1302"/>
      <c r="H995" s="1302"/>
      <c r="I995" s="1302"/>
      <c r="J995" s="1302"/>
      <c r="K995" s="1302"/>
      <c r="L995" s="1302"/>
      <c r="M995" s="1302"/>
      <c r="N995" s="1302"/>
      <c r="O995" s="1302"/>
    </row>
    <row r="997" spans="1:15" ht="12.75" customHeight="1">
      <c r="B997" s="1490" t="s">
        <v>1566</v>
      </c>
      <c r="C997" s="1490"/>
      <c r="D997" s="1490"/>
      <c r="E997" s="1490"/>
      <c r="F997" s="306"/>
    </row>
    <row r="998" spans="1:15" ht="12.75" customHeight="1">
      <c r="B998" s="1490" t="s">
        <v>1567</v>
      </c>
      <c r="C998" s="1490"/>
      <c r="D998" s="1490"/>
      <c r="E998" s="1490"/>
      <c r="F998" s="306"/>
    </row>
    <row r="999" spans="1:15" ht="12.75" customHeight="1">
      <c r="B999" s="1490" t="s">
        <v>1568</v>
      </c>
      <c r="C999" s="1490"/>
      <c r="D999" s="1490"/>
      <c r="E999" s="1490"/>
      <c r="F999" s="306"/>
    </row>
    <row r="1000" spans="1:15">
      <c r="A1000" s="493">
        <v>1</v>
      </c>
      <c r="B1000" s="1363" t="s">
        <v>1569</v>
      </c>
      <c r="C1000" s="1363"/>
      <c r="D1000" s="1363"/>
      <c r="E1000" s="1363"/>
      <c r="F1000" s="308"/>
      <c r="G1000" s="307" t="s">
        <v>1056</v>
      </c>
      <c r="H1000" s="1214">
        <v>500</v>
      </c>
      <c r="I1000" s="1214"/>
      <c r="J1000" s="1214" t="s">
        <v>1057</v>
      </c>
      <c r="K1000" s="1214"/>
      <c r="L1000" s="1214">
        <v>650</v>
      </c>
      <c r="M1000" s="1214"/>
      <c r="N1000" s="1214" t="s">
        <v>1057</v>
      </c>
      <c r="O1000" s="1214"/>
    </row>
    <row r="1001" spans="1:15">
      <c r="A1001" s="495">
        <v>2</v>
      </c>
      <c r="B1001" s="1363" t="s">
        <v>1570</v>
      </c>
      <c r="C1001" s="1363"/>
      <c r="D1001" s="1363"/>
      <c r="E1001" s="1363"/>
      <c r="F1001" s="308"/>
      <c r="G1001" s="1214"/>
      <c r="H1001" s="1214"/>
      <c r="I1001" s="1214"/>
      <c r="J1001" s="1214"/>
      <c r="K1001" s="1214"/>
      <c r="L1001" s="1214"/>
      <c r="M1001" s="1214"/>
      <c r="N1001" s="1214"/>
      <c r="O1001" s="1214"/>
    </row>
    <row r="1002" spans="1:15">
      <c r="A1002" s="1485"/>
      <c r="B1002" s="1487"/>
      <c r="C1002" s="1496" t="s">
        <v>1547</v>
      </c>
      <c r="D1002" s="1496"/>
      <c r="E1002" s="1496"/>
      <c r="F1002" s="439"/>
      <c r="G1002" s="307" t="s">
        <v>1056</v>
      </c>
      <c r="H1002" s="1214">
        <v>500</v>
      </c>
      <c r="I1002" s="1214"/>
      <c r="J1002" s="1214" t="s">
        <v>1057</v>
      </c>
      <c r="K1002" s="1214"/>
      <c r="L1002" s="1214">
        <v>650</v>
      </c>
      <c r="M1002" s="1214"/>
      <c r="N1002" s="1214" t="s">
        <v>1057</v>
      </c>
      <c r="O1002" s="1214"/>
    </row>
    <row r="1003" spans="1:15">
      <c r="A1003" s="1488"/>
      <c r="B1003" s="1489"/>
      <c r="C1003" s="1421" t="s">
        <v>1571</v>
      </c>
      <c r="D1003" s="1421"/>
      <c r="E1003" s="1421"/>
      <c r="F1003" s="308"/>
      <c r="G1003" s="307" t="s">
        <v>1056</v>
      </c>
      <c r="H1003" s="1214">
        <v>500</v>
      </c>
      <c r="I1003" s="1214"/>
      <c r="J1003" s="1214" t="s">
        <v>1057</v>
      </c>
      <c r="K1003" s="1214"/>
      <c r="L1003" s="1214">
        <v>525</v>
      </c>
      <c r="M1003" s="1214"/>
      <c r="N1003" s="1214" t="s">
        <v>1057</v>
      </c>
      <c r="O1003" s="1214"/>
    </row>
    <row r="1004" spans="1:15" ht="12.75" customHeight="1">
      <c r="A1004" s="495">
        <v>3</v>
      </c>
      <c r="B1004" s="1460" t="s">
        <v>1572</v>
      </c>
      <c r="C1004" s="1460"/>
      <c r="D1004" s="1460"/>
      <c r="E1004" s="1460"/>
      <c r="F1004" s="304"/>
      <c r="G1004" s="1214"/>
      <c r="H1004" s="1214"/>
      <c r="I1004" s="1214"/>
      <c r="J1004" s="1214"/>
      <c r="K1004" s="1214"/>
      <c r="L1004" s="1214"/>
      <c r="M1004" s="1214"/>
      <c r="N1004" s="1214"/>
      <c r="O1004" s="1214"/>
    </row>
    <row r="1005" spans="1:15" ht="12.75" customHeight="1">
      <c r="A1005" s="492"/>
      <c r="B1005" s="1460" t="s">
        <v>1573</v>
      </c>
      <c r="C1005" s="1460"/>
      <c r="D1005" s="1460"/>
      <c r="E1005" s="1460"/>
      <c r="F1005" s="304"/>
      <c r="G1005" s="307" t="s">
        <v>1056</v>
      </c>
      <c r="H1005" s="1214">
        <v>725</v>
      </c>
      <c r="I1005" s="1214"/>
      <c r="J1005" s="1214" t="s">
        <v>1057</v>
      </c>
      <c r="K1005" s="1214"/>
      <c r="L1005" s="1214">
        <v>725</v>
      </c>
      <c r="M1005" s="1214"/>
      <c r="N1005" s="1214" t="s">
        <v>1057</v>
      </c>
      <c r="O1005" s="1214"/>
    </row>
    <row r="1006" spans="1:15" ht="12.75" customHeight="1">
      <c r="A1006" s="493">
        <v>4</v>
      </c>
      <c r="B1006" s="1460" t="s">
        <v>1574</v>
      </c>
      <c r="C1006" s="1460"/>
      <c r="D1006" s="1460"/>
      <c r="E1006" s="1460"/>
      <c r="F1006" s="304"/>
      <c r="G1006" s="307" t="s">
        <v>1056</v>
      </c>
      <c r="H1006" s="1214">
        <v>800</v>
      </c>
      <c r="I1006" s="1214"/>
      <c r="J1006" s="1214" t="s">
        <v>1057</v>
      </c>
      <c r="K1006" s="1214"/>
      <c r="L1006" s="1214">
        <v>750</v>
      </c>
      <c r="M1006" s="1214"/>
      <c r="N1006" s="1214" t="s">
        <v>1057</v>
      </c>
      <c r="O1006" s="1214"/>
    </row>
    <row r="1007" spans="1:15" ht="12.75" customHeight="1">
      <c r="A1007" s="493">
        <v>5</v>
      </c>
      <c r="B1007" s="1460" t="s">
        <v>1575</v>
      </c>
      <c r="C1007" s="1460"/>
      <c r="D1007" s="1460"/>
      <c r="E1007" s="1460"/>
      <c r="F1007" s="304"/>
      <c r="G1007" s="307" t="s">
        <v>1056</v>
      </c>
      <c r="H1007" s="1214">
        <v>650</v>
      </c>
      <c r="I1007" s="1214"/>
      <c r="J1007" s="1214" t="s">
        <v>1057</v>
      </c>
      <c r="K1007" s="1214"/>
      <c r="L1007" s="1214">
        <v>350</v>
      </c>
      <c r="M1007" s="1214"/>
      <c r="N1007" s="1214" t="s">
        <v>1057</v>
      </c>
      <c r="O1007" s="1214"/>
    </row>
    <row r="1009" spans="1:15">
      <c r="A1009" s="475" t="s">
        <v>2185</v>
      </c>
      <c r="C1009" s="1302" t="s">
        <v>2248</v>
      </c>
      <c r="D1009" s="1302"/>
      <c r="E1009" s="1302"/>
      <c r="F1009" s="1302"/>
      <c r="G1009" s="1302"/>
      <c r="H1009" s="1302"/>
      <c r="I1009" s="1302"/>
      <c r="J1009" s="1302"/>
      <c r="K1009" s="1302"/>
      <c r="L1009" s="1302"/>
      <c r="M1009" s="1302"/>
      <c r="N1009" s="1302"/>
      <c r="O1009" s="1302"/>
    </row>
    <row r="1011" spans="1:15">
      <c r="B1011" s="1490" t="s">
        <v>1576</v>
      </c>
      <c r="C1011" s="1490"/>
      <c r="D1011" s="1490"/>
      <c r="E1011" s="1490"/>
      <c r="F1011" s="306"/>
    </row>
    <row r="1012" spans="1:15">
      <c r="B1012" s="1490" t="s">
        <v>1577</v>
      </c>
      <c r="C1012" s="1490"/>
      <c r="D1012" s="1490"/>
      <c r="E1012" s="1490"/>
      <c r="F1012" s="306"/>
    </row>
    <row r="1013" spans="1:15" ht="12.75" customHeight="1">
      <c r="B1013" s="1490" t="s">
        <v>1578</v>
      </c>
      <c r="C1013" s="1490"/>
      <c r="D1013" s="1490"/>
      <c r="E1013" s="1490"/>
      <c r="F1013" s="306"/>
    </row>
    <row r="1014" spans="1:15">
      <c r="A1014" s="493">
        <v>1</v>
      </c>
      <c r="B1014" s="1460" t="s">
        <v>1579</v>
      </c>
      <c r="C1014" s="1460"/>
      <c r="D1014" s="1460"/>
      <c r="E1014" s="1460"/>
      <c r="F1014" s="304"/>
      <c r="G1014" s="307" t="s">
        <v>1056</v>
      </c>
      <c r="H1014" s="1214">
        <v>800</v>
      </c>
      <c r="I1014" s="1214"/>
      <c r="J1014" s="1214" t="s">
        <v>1057</v>
      </c>
      <c r="K1014" s="1214"/>
      <c r="L1014" s="1214">
        <v>750</v>
      </c>
      <c r="M1014" s="1214"/>
      <c r="N1014" s="1214" t="s">
        <v>1057</v>
      </c>
      <c r="O1014" s="1214"/>
    </row>
    <row r="1015" spans="1:15">
      <c r="A1015" s="493">
        <v>2</v>
      </c>
      <c r="B1015" s="1460" t="s">
        <v>1580</v>
      </c>
      <c r="C1015" s="1460"/>
      <c r="D1015" s="1460"/>
      <c r="E1015" s="1460"/>
      <c r="F1015" s="304"/>
      <c r="G1015" s="307" t="s">
        <v>1056</v>
      </c>
      <c r="H1015" s="1214">
        <v>650</v>
      </c>
      <c r="I1015" s="1214"/>
      <c r="J1015" s="1214" t="s">
        <v>1057</v>
      </c>
      <c r="K1015" s="1214"/>
      <c r="L1015" s="1214">
        <v>350</v>
      </c>
      <c r="M1015" s="1214"/>
      <c r="N1015" s="1214" t="s">
        <v>1057</v>
      </c>
      <c r="O1015" s="1214"/>
    </row>
    <row r="1016" spans="1:15">
      <c r="A1016" s="493">
        <v>3</v>
      </c>
      <c r="B1016" s="1460" t="s">
        <v>1581</v>
      </c>
      <c r="C1016" s="1460"/>
      <c r="D1016" s="1460"/>
      <c r="E1016" s="1460"/>
      <c r="F1016" s="304"/>
      <c r="G1016" s="307" t="s">
        <v>1056</v>
      </c>
      <c r="H1016" s="1214">
        <v>500</v>
      </c>
      <c r="I1016" s="1214"/>
      <c r="J1016" s="1214"/>
      <c r="K1016" s="1214"/>
      <c r="L1016" s="1214">
        <v>375</v>
      </c>
      <c r="M1016" s="1214"/>
      <c r="N1016" s="1214" t="s">
        <v>1057</v>
      </c>
      <c r="O1016" s="1214"/>
    </row>
    <row r="1017" spans="1:15">
      <c r="A1017" s="493">
        <v>4</v>
      </c>
      <c r="B1017" s="1460" t="s">
        <v>1582</v>
      </c>
      <c r="C1017" s="1460"/>
      <c r="D1017" s="1460"/>
      <c r="E1017" s="1460"/>
      <c r="F1017" s="304"/>
      <c r="G1017" s="307" t="s">
        <v>1056</v>
      </c>
      <c r="H1017" s="1214">
        <v>500</v>
      </c>
      <c r="I1017" s="1214"/>
      <c r="J1017" s="1214" t="s">
        <v>1057</v>
      </c>
      <c r="K1017" s="1214"/>
      <c r="L1017" s="1214" t="s">
        <v>1057</v>
      </c>
      <c r="M1017" s="1214"/>
      <c r="N1017" s="1214">
        <v>450</v>
      </c>
      <c r="O1017" s="1214"/>
    </row>
    <row r="1018" spans="1:15">
      <c r="A1018" s="493">
        <v>5</v>
      </c>
      <c r="B1018" s="1460" t="s">
        <v>1583</v>
      </c>
      <c r="C1018" s="1460"/>
      <c r="D1018" s="1460"/>
      <c r="E1018" s="1460"/>
      <c r="F1018" s="304"/>
      <c r="G1018" s="307" t="s">
        <v>1056</v>
      </c>
      <c r="H1018" s="1214">
        <v>600</v>
      </c>
      <c r="I1018" s="1214"/>
      <c r="J1018" s="1214" t="s">
        <v>1057</v>
      </c>
      <c r="K1018" s="1214"/>
      <c r="L1018" s="1214">
        <v>400</v>
      </c>
      <c r="M1018" s="1214"/>
      <c r="N1018" s="1214">
        <v>500</v>
      </c>
      <c r="O1018" s="1214"/>
    </row>
    <row r="1019" spans="1:15">
      <c r="D1019" s="453"/>
      <c r="E1019" s="453"/>
      <c r="F1019" s="295"/>
      <c r="H1019" s="1411"/>
      <c r="I1019" s="1411"/>
      <c r="J1019" s="1411"/>
      <c r="K1019" s="1411"/>
      <c r="L1019" s="1411"/>
      <c r="M1019" s="1411"/>
      <c r="N1019" s="1411"/>
      <c r="O1019" s="1411"/>
    </row>
    <row r="1020" spans="1:15">
      <c r="B1020" s="1490" t="s">
        <v>1584</v>
      </c>
      <c r="C1020" s="1490"/>
      <c r="D1020" s="1490"/>
      <c r="E1020" s="1490"/>
      <c r="F1020" s="306"/>
      <c r="H1020" s="1411"/>
      <c r="I1020" s="1411"/>
      <c r="J1020" s="1411"/>
      <c r="K1020" s="1411"/>
      <c r="L1020" s="1411"/>
      <c r="M1020" s="1411"/>
      <c r="N1020" s="1411"/>
      <c r="O1020" s="1411"/>
    </row>
    <row r="1021" spans="1:15">
      <c r="A1021" s="498">
        <v>1</v>
      </c>
      <c r="B1021" s="506"/>
      <c r="C1021" s="1423" t="s">
        <v>1585</v>
      </c>
      <c r="D1021" s="1423"/>
      <c r="E1021" s="1423"/>
      <c r="F1021" s="304"/>
      <c r="G1021" s="307" t="s">
        <v>1056</v>
      </c>
      <c r="H1021" s="1214">
        <v>800</v>
      </c>
      <c r="I1021" s="1214"/>
      <c r="J1021" s="1214" t="s">
        <v>1057</v>
      </c>
      <c r="K1021" s="1214"/>
      <c r="L1021" s="1214">
        <v>750</v>
      </c>
      <c r="M1021" s="1214"/>
      <c r="N1021" s="1214" t="s">
        <v>1057</v>
      </c>
      <c r="O1021" s="1214"/>
    </row>
    <row r="1022" spans="1:15">
      <c r="A1022" s="497"/>
      <c r="B1022" s="512"/>
      <c r="C1022" s="1423" t="s">
        <v>1586</v>
      </c>
      <c r="D1022" s="1423"/>
      <c r="E1022" s="1423"/>
      <c r="F1022" s="304"/>
      <c r="G1022" s="307" t="s">
        <v>1056</v>
      </c>
      <c r="H1022" s="1214">
        <v>650</v>
      </c>
      <c r="I1022" s="1214"/>
      <c r="J1022" s="1214" t="s">
        <v>1057</v>
      </c>
      <c r="K1022" s="1214"/>
      <c r="L1022" s="1214">
        <v>350</v>
      </c>
      <c r="M1022" s="1214"/>
      <c r="N1022" s="1214" t="s">
        <v>1057</v>
      </c>
      <c r="O1022" s="1214"/>
    </row>
    <row r="1023" spans="1:15">
      <c r="D1023" s="453"/>
      <c r="E1023" s="453"/>
      <c r="F1023" s="295"/>
      <c r="H1023" s="1411"/>
      <c r="I1023" s="1411"/>
      <c r="J1023" s="1411"/>
      <c r="K1023" s="1411"/>
      <c r="L1023" s="1411"/>
      <c r="M1023" s="1411"/>
      <c r="N1023" s="1411"/>
      <c r="O1023" s="1411"/>
    </row>
    <row r="1024" spans="1:15">
      <c r="B1024" s="1490" t="s">
        <v>1587</v>
      </c>
      <c r="C1024" s="1490"/>
      <c r="D1024" s="1490"/>
      <c r="E1024" s="1490"/>
      <c r="F1024" s="306"/>
      <c r="H1024" s="1411"/>
      <c r="I1024" s="1411"/>
      <c r="J1024" s="1411"/>
      <c r="K1024" s="1411"/>
      <c r="L1024" s="1411"/>
      <c r="M1024" s="1411"/>
      <c r="N1024" s="1411"/>
      <c r="O1024" s="1411"/>
    </row>
    <row r="1025" spans="1:17">
      <c r="A1025" s="495">
        <v>1</v>
      </c>
      <c r="B1025" s="1460" t="s">
        <v>1588</v>
      </c>
      <c r="C1025" s="1460"/>
      <c r="D1025" s="1460"/>
      <c r="E1025" s="1460"/>
      <c r="F1025" s="304"/>
      <c r="G1025" s="307"/>
      <c r="H1025" s="434"/>
      <c r="I1025" s="435"/>
      <c r="J1025" s="313"/>
      <c r="K1025" s="455"/>
      <c r="L1025" s="313"/>
      <c r="M1025" s="435"/>
      <c r="N1025" s="434"/>
      <c r="O1025" s="435"/>
    </row>
    <row r="1026" spans="1:17">
      <c r="A1026" s="492"/>
      <c r="B1026" s="1460" t="s">
        <v>1589</v>
      </c>
      <c r="C1026" s="1460"/>
      <c r="D1026" s="1460"/>
      <c r="E1026" s="1460"/>
      <c r="F1026" s="304"/>
      <c r="G1026" s="307" t="s">
        <v>1056</v>
      </c>
      <c r="H1026" s="1214">
        <v>800</v>
      </c>
      <c r="I1026" s="1214"/>
      <c r="J1026" s="1214" t="s">
        <v>1057</v>
      </c>
      <c r="K1026" s="1214"/>
      <c r="L1026" s="1214">
        <v>900</v>
      </c>
      <c r="M1026" s="1214"/>
      <c r="N1026" s="1214" t="s">
        <v>1057</v>
      </c>
      <c r="O1026" s="1214"/>
    </row>
    <row r="1027" spans="1:17">
      <c r="A1027" s="495">
        <v>2</v>
      </c>
      <c r="B1027" s="1460" t="s">
        <v>1590</v>
      </c>
      <c r="C1027" s="1460"/>
      <c r="D1027" s="1460"/>
      <c r="E1027" s="1460"/>
      <c r="F1027" s="304"/>
      <c r="G1027" s="307"/>
      <c r="H1027" s="1214"/>
      <c r="I1027" s="1214"/>
      <c r="J1027" s="1214"/>
      <c r="K1027" s="1214"/>
      <c r="L1027" s="1214"/>
      <c r="M1027" s="1214"/>
      <c r="N1027" s="1214"/>
      <c r="O1027" s="1214"/>
    </row>
    <row r="1028" spans="1:17">
      <c r="A1028" s="492"/>
      <c r="B1028" s="1460" t="s">
        <v>1591</v>
      </c>
      <c r="C1028" s="1460"/>
      <c r="D1028" s="1460"/>
      <c r="E1028" s="1460"/>
      <c r="F1028" s="304"/>
      <c r="G1028" s="307" t="s">
        <v>1056</v>
      </c>
      <c r="H1028" s="1214">
        <v>800</v>
      </c>
      <c r="I1028" s="1214"/>
      <c r="J1028" s="1214" t="s">
        <v>1057</v>
      </c>
      <c r="K1028" s="1214"/>
      <c r="L1028" s="1214">
        <v>700</v>
      </c>
      <c r="M1028" s="1214"/>
      <c r="N1028" s="1214" t="s">
        <v>1057</v>
      </c>
      <c r="O1028" s="1214"/>
    </row>
    <row r="1029" spans="1:17">
      <c r="A1029" s="493">
        <v>3</v>
      </c>
      <c r="B1029" s="1460" t="s">
        <v>1592</v>
      </c>
      <c r="C1029" s="1460"/>
      <c r="D1029" s="1460"/>
      <c r="E1029" s="1460"/>
      <c r="F1029" s="304"/>
      <c r="G1029" s="307" t="s">
        <v>1056</v>
      </c>
      <c r="H1029" s="1214">
        <v>650</v>
      </c>
      <c r="I1029" s="1214"/>
      <c r="J1029" s="1214" t="s">
        <v>1057</v>
      </c>
      <c r="K1029" s="1214"/>
      <c r="L1029" s="1214">
        <v>600</v>
      </c>
      <c r="M1029" s="1214"/>
      <c r="N1029" s="1214" t="s">
        <v>1057</v>
      </c>
      <c r="O1029" s="1214"/>
    </row>
    <row r="1030" spans="1:17">
      <c r="A1030" s="493">
        <v>4</v>
      </c>
      <c r="B1030" s="1460" t="s">
        <v>1593</v>
      </c>
      <c r="C1030" s="1460"/>
      <c r="D1030" s="1460"/>
      <c r="E1030" s="1460"/>
      <c r="F1030" s="304"/>
      <c r="G1030" s="307" t="s">
        <v>1056</v>
      </c>
      <c r="H1030" s="1214">
        <v>650</v>
      </c>
      <c r="I1030" s="1214"/>
      <c r="J1030" s="1214" t="s">
        <v>1057</v>
      </c>
      <c r="K1030" s="1214"/>
      <c r="L1030" s="1214">
        <v>600</v>
      </c>
      <c r="M1030" s="1214"/>
      <c r="N1030" s="1214" t="s">
        <v>1057</v>
      </c>
      <c r="O1030" s="1214"/>
    </row>
    <row r="1031" spans="1:17">
      <c r="A1031" s="493">
        <v>5</v>
      </c>
      <c r="B1031" s="1460" t="s">
        <v>1594</v>
      </c>
      <c r="C1031" s="1460"/>
      <c r="D1031" s="1460"/>
      <c r="E1031" s="1460"/>
      <c r="F1031" s="304"/>
      <c r="G1031" s="307" t="s">
        <v>1056</v>
      </c>
      <c r="H1031" s="1214">
        <v>575</v>
      </c>
      <c r="I1031" s="1214"/>
      <c r="J1031" s="1214" t="s">
        <v>1057</v>
      </c>
      <c r="K1031" s="1214"/>
      <c r="L1031" s="1214">
        <v>400</v>
      </c>
      <c r="M1031" s="1214"/>
      <c r="N1031" s="1214" t="s">
        <v>1057</v>
      </c>
      <c r="O1031" s="1214"/>
      <c r="P1031" s="99"/>
    </row>
    <row r="1032" spans="1:17">
      <c r="A1032" s="493">
        <v>6</v>
      </c>
      <c r="B1032" s="1460" t="s">
        <v>1595</v>
      </c>
      <c r="C1032" s="1460"/>
      <c r="D1032" s="1460"/>
      <c r="E1032" s="1460"/>
      <c r="F1032" s="304"/>
      <c r="G1032" s="307" t="s">
        <v>1056</v>
      </c>
      <c r="H1032" s="1214">
        <v>800</v>
      </c>
      <c r="I1032" s="1214"/>
      <c r="J1032" s="1214" t="s">
        <v>1057</v>
      </c>
      <c r="K1032" s="1214"/>
      <c r="L1032" s="1214">
        <v>750</v>
      </c>
      <c r="M1032" s="1214"/>
      <c r="N1032" s="1214" t="s">
        <v>1057</v>
      </c>
      <c r="O1032" s="1214"/>
      <c r="P1032" s="99"/>
    </row>
    <row r="1033" spans="1:17">
      <c r="A1033" s="493">
        <v>7</v>
      </c>
      <c r="B1033" s="1460" t="s">
        <v>1596</v>
      </c>
      <c r="C1033" s="1460"/>
      <c r="D1033" s="1460"/>
      <c r="E1033" s="1460"/>
      <c r="F1033" s="304"/>
      <c r="G1033" s="307" t="s">
        <v>1056</v>
      </c>
      <c r="H1033" s="1214">
        <v>650</v>
      </c>
      <c r="I1033" s="1214"/>
      <c r="J1033" s="1214" t="s">
        <v>1057</v>
      </c>
      <c r="K1033" s="1214"/>
      <c r="L1033" s="1214">
        <v>350</v>
      </c>
      <c r="M1033" s="1214"/>
      <c r="N1033" s="1214" t="s">
        <v>1057</v>
      </c>
      <c r="O1033" s="1214"/>
      <c r="P1033" s="99"/>
    </row>
    <row r="1034" spans="1:17">
      <c r="A1034" s="495">
        <v>8</v>
      </c>
      <c r="B1034" s="1460" t="s">
        <v>1597</v>
      </c>
      <c r="C1034" s="1460"/>
      <c r="D1034" s="1460"/>
      <c r="E1034" s="1460"/>
      <c r="F1034" s="445"/>
      <c r="G1034" s="1349"/>
      <c r="H1034" s="1360"/>
      <c r="I1034" s="1360"/>
      <c r="J1034" s="1360"/>
      <c r="K1034" s="1360"/>
      <c r="L1034" s="1360"/>
      <c r="M1034" s="1360"/>
      <c r="N1034" s="1360"/>
      <c r="O1034" s="1291"/>
    </row>
    <row r="1035" spans="1:17" ht="12.75" customHeight="1">
      <c r="A1035" s="496"/>
      <c r="B1035" s="1310" t="s">
        <v>1598</v>
      </c>
      <c r="C1035" s="1310"/>
      <c r="D1035" s="1310"/>
      <c r="E1035" s="1310"/>
      <c r="F1035" s="449"/>
      <c r="G1035" s="1351"/>
      <c r="H1035" s="1362"/>
      <c r="I1035" s="1362"/>
      <c r="J1035" s="1362"/>
      <c r="K1035" s="1362"/>
      <c r="L1035" s="1362"/>
      <c r="M1035" s="1362"/>
      <c r="N1035" s="1362"/>
      <c r="O1035" s="1293"/>
    </row>
    <row r="1036" spans="1:17" ht="12.75" customHeight="1">
      <c r="A1036" s="492"/>
      <c r="B1036" s="1310" t="s">
        <v>1599</v>
      </c>
      <c r="C1036" s="1310"/>
      <c r="D1036" s="1310"/>
      <c r="E1036" s="1310"/>
      <c r="F1036" s="423"/>
      <c r="G1036" s="307" t="s">
        <v>1056</v>
      </c>
      <c r="H1036" s="1214">
        <v>500</v>
      </c>
      <c r="I1036" s="1214"/>
      <c r="J1036" s="1214" t="s">
        <v>1057</v>
      </c>
      <c r="K1036" s="1214"/>
      <c r="L1036" s="1214">
        <v>650</v>
      </c>
      <c r="M1036" s="1214"/>
      <c r="N1036" s="1214" t="s">
        <v>1057</v>
      </c>
      <c r="O1036" s="1214"/>
      <c r="P1036" s="99"/>
      <c r="Q1036" s="99"/>
    </row>
    <row r="1037" spans="1:17">
      <c r="A1037" s="495">
        <v>9</v>
      </c>
      <c r="B1037" s="1460" t="s">
        <v>1600</v>
      </c>
      <c r="C1037" s="1460"/>
      <c r="D1037" s="1460"/>
      <c r="E1037" s="1460"/>
      <c r="F1037" s="445"/>
      <c r="G1037" s="1349"/>
      <c r="H1037" s="1360"/>
      <c r="I1037" s="1360"/>
      <c r="J1037" s="1360"/>
      <c r="K1037" s="1360"/>
      <c r="L1037" s="1360"/>
      <c r="M1037" s="1360"/>
      <c r="N1037" s="1360"/>
      <c r="O1037" s="1291"/>
    </row>
    <row r="1038" spans="1:17">
      <c r="A1038" s="496" t="s">
        <v>575</v>
      </c>
      <c r="B1038" s="1460" t="s">
        <v>1601</v>
      </c>
      <c r="C1038" s="1460"/>
      <c r="D1038" s="1460"/>
      <c r="E1038" s="1460"/>
      <c r="F1038" s="446"/>
      <c r="G1038" s="1351"/>
      <c r="H1038" s="1362"/>
      <c r="I1038" s="1362"/>
      <c r="J1038" s="1362"/>
      <c r="K1038" s="1362"/>
      <c r="L1038" s="1362"/>
      <c r="M1038" s="1362"/>
      <c r="N1038" s="1362"/>
      <c r="O1038" s="1293"/>
    </row>
    <row r="1039" spans="1:17">
      <c r="A1039" s="492"/>
      <c r="B1039" s="1460" t="s">
        <v>1602</v>
      </c>
      <c r="C1039" s="1460"/>
      <c r="D1039" s="1460"/>
      <c r="E1039" s="1460"/>
      <c r="F1039" s="304"/>
      <c r="G1039" s="307" t="s">
        <v>1056</v>
      </c>
      <c r="H1039" s="1214">
        <v>650</v>
      </c>
      <c r="I1039" s="1214"/>
      <c r="J1039" s="1214">
        <v>575</v>
      </c>
      <c r="K1039" s="1214"/>
      <c r="L1039" s="1214">
        <v>800</v>
      </c>
      <c r="M1039" s="1214"/>
      <c r="N1039" s="1214" t="s">
        <v>1057</v>
      </c>
      <c r="O1039" s="1214"/>
    </row>
    <row r="1040" spans="1:17">
      <c r="A1040" s="493">
        <v>10</v>
      </c>
      <c r="B1040" s="1460" t="s">
        <v>1603</v>
      </c>
      <c r="C1040" s="1460"/>
      <c r="D1040" s="1460"/>
      <c r="E1040" s="1460"/>
      <c r="F1040" s="304"/>
      <c r="G1040" s="307" t="s">
        <v>1056</v>
      </c>
      <c r="H1040" s="1214">
        <v>500</v>
      </c>
      <c r="I1040" s="1214"/>
      <c r="J1040" s="1214" t="s">
        <v>1057</v>
      </c>
      <c r="K1040" s="1214"/>
      <c r="L1040" s="1214">
        <v>500</v>
      </c>
      <c r="M1040" s="1214"/>
      <c r="N1040" s="1214" t="s">
        <v>1057</v>
      </c>
      <c r="O1040" s="1214"/>
    </row>
    <row r="1042" spans="1:15" s="99" customFormat="1" ht="49.5" customHeight="1">
      <c r="A1042" s="475" t="s">
        <v>2185</v>
      </c>
      <c r="B1042" s="508" t="s">
        <v>1056</v>
      </c>
      <c r="C1042" s="1287" t="s">
        <v>2249</v>
      </c>
      <c r="D1042" s="1216"/>
      <c r="E1042" s="1216"/>
      <c r="F1042" s="1216"/>
      <c r="G1042" s="1216"/>
      <c r="H1042" s="1216"/>
      <c r="I1042" s="1216"/>
      <c r="J1042" s="1216"/>
      <c r="K1042" s="1216"/>
      <c r="L1042" s="1216"/>
      <c r="M1042" s="1216"/>
      <c r="N1042" s="1216"/>
      <c r="O1042" s="1216"/>
    </row>
    <row r="1044" spans="1:15">
      <c r="B1044" s="1490" t="s">
        <v>1604</v>
      </c>
      <c r="C1044" s="1490"/>
      <c r="D1044" s="1490"/>
      <c r="E1044" s="1490"/>
      <c r="F1044" s="306"/>
    </row>
    <row r="1045" spans="1:15" ht="12.75" customHeight="1">
      <c r="B1045" s="1490" t="s">
        <v>2250</v>
      </c>
      <c r="C1045" s="1490"/>
      <c r="D1045" s="1490"/>
      <c r="E1045" s="1490"/>
      <c r="F1045" s="306"/>
    </row>
    <row r="1046" spans="1:15">
      <c r="A1046" s="493">
        <v>1</v>
      </c>
      <c r="B1046" s="1460" t="s">
        <v>1605</v>
      </c>
      <c r="C1046" s="1460"/>
      <c r="D1046" s="1460"/>
      <c r="E1046" s="1460"/>
      <c r="F1046" s="304"/>
      <c r="G1046" s="307" t="s">
        <v>1056</v>
      </c>
      <c r="H1046" s="1214">
        <v>700</v>
      </c>
      <c r="I1046" s="1214"/>
      <c r="J1046" s="1214" t="s">
        <v>1057</v>
      </c>
      <c r="K1046" s="1214"/>
      <c r="L1046" s="1214">
        <v>400</v>
      </c>
      <c r="M1046" s="1214"/>
      <c r="N1046" s="1214" t="s">
        <v>1057</v>
      </c>
      <c r="O1046" s="1214"/>
    </row>
    <row r="1047" spans="1:15">
      <c r="A1047" s="495">
        <v>2</v>
      </c>
      <c r="B1047" s="1460" t="s">
        <v>1606</v>
      </c>
      <c r="C1047" s="1460"/>
      <c r="D1047" s="1460"/>
      <c r="E1047" s="1460"/>
      <c r="F1047" s="420"/>
      <c r="G1047" s="1284"/>
      <c r="H1047" s="1285"/>
      <c r="I1047" s="1285"/>
      <c r="J1047" s="1285"/>
      <c r="K1047" s="1285"/>
      <c r="L1047" s="1285"/>
      <c r="M1047" s="1285"/>
      <c r="N1047" s="1285"/>
      <c r="O1047" s="1286"/>
    </row>
    <row r="1048" spans="1:15">
      <c r="A1048" s="492"/>
      <c r="B1048" s="1460" t="s">
        <v>1607</v>
      </c>
      <c r="C1048" s="1460"/>
      <c r="D1048" s="1460"/>
      <c r="E1048" s="1460"/>
      <c r="F1048" s="304"/>
      <c r="G1048" s="307" t="s">
        <v>1056</v>
      </c>
      <c r="H1048" s="1214">
        <v>700</v>
      </c>
      <c r="I1048" s="1214"/>
      <c r="J1048" s="1214" t="s">
        <v>1057</v>
      </c>
      <c r="K1048" s="1214"/>
      <c r="L1048" s="1214">
        <v>400</v>
      </c>
      <c r="M1048" s="1214"/>
      <c r="N1048" s="1214" t="s">
        <v>1057</v>
      </c>
      <c r="O1048" s="1214"/>
    </row>
    <row r="1049" spans="1:15">
      <c r="D1049" s="453"/>
      <c r="E1049" s="453"/>
      <c r="F1049" s="295"/>
      <c r="H1049" s="1411"/>
      <c r="I1049" s="1411"/>
      <c r="J1049" s="1411"/>
      <c r="K1049" s="1411"/>
      <c r="L1049" s="1411"/>
      <c r="M1049" s="1411"/>
      <c r="N1049" s="1411"/>
      <c r="O1049" s="1411"/>
    </row>
    <row r="1050" spans="1:15">
      <c r="B1050" s="1490" t="s">
        <v>1608</v>
      </c>
      <c r="C1050" s="1490"/>
      <c r="D1050" s="1490"/>
      <c r="E1050" s="1490"/>
      <c r="F1050" s="306"/>
      <c r="H1050" s="1411"/>
      <c r="I1050" s="1411"/>
      <c r="J1050" s="1411"/>
      <c r="K1050" s="1411"/>
      <c r="L1050" s="1411"/>
      <c r="M1050" s="1411"/>
      <c r="N1050" s="1411"/>
      <c r="O1050" s="1411"/>
    </row>
    <row r="1051" spans="1:15">
      <c r="B1051" s="1490" t="s">
        <v>1609</v>
      </c>
      <c r="C1051" s="1490"/>
      <c r="D1051" s="1490"/>
      <c r="E1051" s="1490"/>
      <c r="F1051" s="306"/>
      <c r="H1051" s="1411"/>
      <c r="I1051" s="1411"/>
      <c r="J1051" s="1411"/>
      <c r="K1051" s="1411"/>
      <c r="L1051" s="1411"/>
      <c r="M1051" s="1411"/>
      <c r="N1051" s="1411"/>
      <c r="O1051" s="1411"/>
    </row>
    <row r="1052" spans="1:15">
      <c r="A1052" s="493">
        <v>1</v>
      </c>
      <c r="B1052" s="1460" t="s">
        <v>1610</v>
      </c>
      <c r="C1052" s="1460"/>
      <c r="D1052" s="1460"/>
      <c r="E1052" s="1460"/>
      <c r="F1052" s="304"/>
      <c r="G1052" s="307" t="s">
        <v>1056</v>
      </c>
      <c r="H1052" s="1214">
        <v>1450</v>
      </c>
      <c r="I1052" s="1214"/>
      <c r="J1052" s="1214" t="s">
        <v>1057</v>
      </c>
      <c r="K1052" s="1214"/>
      <c r="L1052" s="1214">
        <v>1700</v>
      </c>
      <c r="M1052" s="1214"/>
      <c r="N1052" s="1214" t="s">
        <v>1057</v>
      </c>
      <c r="O1052" s="1214"/>
    </row>
    <row r="1053" spans="1:15">
      <c r="A1053" s="493">
        <v>2</v>
      </c>
      <c r="B1053" s="1460" t="s">
        <v>1611</v>
      </c>
      <c r="C1053" s="1460"/>
      <c r="D1053" s="1460"/>
      <c r="E1053" s="1460"/>
      <c r="F1053" s="304"/>
      <c r="G1053" s="307" t="s">
        <v>1056</v>
      </c>
      <c r="H1053" s="1214">
        <v>975</v>
      </c>
      <c r="I1053" s="1214"/>
      <c r="J1053" s="1214" t="s">
        <v>1057</v>
      </c>
      <c r="K1053" s="1214"/>
      <c r="L1053" s="1214">
        <v>975</v>
      </c>
      <c r="M1053" s="1214"/>
      <c r="N1053" s="1214" t="s">
        <v>1057</v>
      </c>
      <c r="O1053" s="1214"/>
    </row>
    <row r="1054" spans="1:15">
      <c r="A1054" s="495">
        <v>3</v>
      </c>
      <c r="B1054" s="1460" t="s">
        <v>1612</v>
      </c>
      <c r="C1054" s="1460"/>
      <c r="D1054" s="1460"/>
      <c r="E1054" s="1460"/>
      <c r="F1054" s="445"/>
      <c r="G1054" s="1349"/>
      <c r="H1054" s="1360"/>
      <c r="I1054" s="1360"/>
      <c r="J1054" s="1360"/>
      <c r="K1054" s="1360"/>
      <c r="L1054" s="1360"/>
      <c r="M1054" s="1360"/>
      <c r="N1054" s="1360"/>
      <c r="O1054" s="1291"/>
    </row>
    <row r="1055" spans="1:15">
      <c r="A1055" s="496"/>
      <c r="B1055" s="1460" t="s">
        <v>1613</v>
      </c>
      <c r="C1055" s="1460"/>
      <c r="D1055" s="1460"/>
      <c r="E1055" s="1460"/>
      <c r="F1055" s="446"/>
      <c r="G1055" s="1351"/>
      <c r="H1055" s="1362"/>
      <c r="I1055" s="1362"/>
      <c r="J1055" s="1362"/>
      <c r="K1055" s="1362"/>
      <c r="L1055" s="1362"/>
      <c r="M1055" s="1362"/>
      <c r="N1055" s="1362"/>
      <c r="O1055" s="1293"/>
    </row>
    <row r="1056" spans="1:15">
      <c r="A1056" s="496"/>
      <c r="B1056" s="1460" t="s">
        <v>1614</v>
      </c>
      <c r="C1056" s="1460"/>
      <c r="D1056" s="1460"/>
      <c r="E1056" s="1460"/>
      <c r="F1056" s="304"/>
      <c r="G1056" s="307" t="s">
        <v>1056</v>
      </c>
      <c r="H1056" s="1214">
        <v>975</v>
      </c>
      <c r="I1056" s="1214"/>
      <c r="J1056" s="1214" t="s">
        <v>1057</v>
      </c>
      <c r="K1056" s="1214"/>
      <c r="L1056" s="1214">
        <v>975</v>
      </c>
      <c r="M1056" s="1214"/>
      <c r="N1056" s="1214" t="s">
        <v>1057</v>
      </c>
      <c r="O1056" s="1214"/>
    </row>
    <row r="1057" spans="1:15">
      <c r="A1057" s="492">
        <v>4</v>
      </c>
      <c r="B1057" s="1460" t="s">
        <v>1615</v>
      </c>
      <c r="C1057" s="1460"/>
      <c r="D1057" s="1460"/>
      <c r="E1057" s="1460"/>
      <c r="F1057" s="304"/>
      <c r="G1057" s="307" t="s">
        <v>1056</v>
      </c>
      <c r="H1057" s="1214">
        <v>800</v>
      </c>
      <c r="I1057" s="1214"/>
      <c r="J1057" s="1214" t="s">
        <v>1057</v>
      </c>
      <c r="K1057" s="1214"/>
      <c r="L1057" s="1214">
        <v>900</v>
      </c>
      <c r="M1057" s="1214"/>
      <c r="N1057" s="1214" t="s">
        <v>1057</v>
      </c>
      <c r="O1057" s="1214"/>
    </row>
    <row r="1058" spans="1:15">
      <c r="A1058" s="493">
        <v>5</v>
      </c>
      <c r="B1058" s="1460" t="s">
        <v>1616</v>
      </c>
      <c r="C1058" s="1460"/>
      <c r="D1058" s="1460"/>
      <c r="E1058" s="1460"/>
      <c r="F1058" s="304"/>
      <c r="G1058" s="307" t="s">
        <v>1056</v>
      </c>
      <c r="H1058" s="1214">
        <v>800</v>
      </c>
      <c r="I1058" s="1214"/>
      <c r="J1058" s="1214" t="s">
        <v>1057</v>
      </c>
      <c r="K1058" s="1214"/>
      <c r="L1058" s="1214">
        <v>900</v>
      </c>
      <c r="M1058" s="1214"/>
      <c r="N1058" s="1214" t="s">
        <v>1057</v>
      </c>
      <c r="O1058" s="1214"/>
    </row>
    <row r="1059" spans="1:15">
      <c r="A1059" s="493">
        <v>6</v>
      </c>
      <c r="B1059" s="1460" t="s">
        <v>1617</v>
      </c>
      <c r="C1059" s="1460"/>
      <c r="D1059" s="1460"/>
      <c r="E1059" s="1460"/>
      <c r="F1059" s="304"/>
      <c r="G1059" s="307" t="s">
        <v>1056</v>
      </c>
      <c r="H1059" s="1214">
        <v>800</v>
      </c>
      <c r="I1059" s="1214"/>
      <c r="J1059" s="1214" t="s">
        <v>1057</v>
      </c>
      <c r="K1059" s="1214"/>
      <c r="L1059" s="1214">
        <v>800</v>
      </c>
      <c r="M1059" s="1214"/>
      <c r="N1059" s="1214" t="s">
        <v>1057</v>
      </c>
      <c r="O1059" s="1214"/>
    </row>
    <row r="1060" spans="1:15">
      <c r="A1060" s="493">
        <v>7</v>
      </c>
      <c r="B1060" s="1460" t="s">
        <v>1618</v>
      </c>
      <c r="C1060" s="1460"/>
      <c r="D1060" s="1460"/>
      <c r="E1060" s="1460"/>
      <c r="F1060" s="304"/>
      <c r="G1060" s="307" t="s">
        <v>1056</v>
      </c>
      <c r="H1060" s="1214">
        <v>650</v>
      </c>
      <c r="I1060" s="1214"/>
      <c r="J1060" s="1214" t="s">
        <v>1057</v>
      </c>
      <c r="K1060" s="1214"/>
      <c r="L1060" s="1214">
        <v>500</v>
      </c>
      <c r="M1060" s="1214"/>
      <c r="N1060" s="1214" t="s">
        <v>1057</v>
      </c>
      <c r="O1060" s="1214"/>
    </row>
    <row r="1061" spans="1:15">
      <c r="A1061" s="493">
        <v>8</v>
      </c>
      <c r="B1061" s="1460" t="s">
        <v>1619</v>
      </c>
      <c r="C1061" s="1460"/>
      <c r="D1061" s="1460"/>
      <c r="E1061" s="1460"/>
      <c r="F1061" s="304"/>
      <c r="G1061" s="307" t="s">
        <v>1056</v>
      </c>
      <c r="H1061" s="1214">
        <v>750</v>
      </c>
      <c r="I1061" s="1214"/>
      <c r="J1061" s="1214" t="s">
        <v>1057</v>
      </c>
      <c r="K1061" s="1214"/>
      <c r="L1061" s="1214">
        <v>750</v>
      </c>
      <c r="M1061" s="1214"/>
      <c r="N1061" s="1214" t="s">
        <v>1057</v>
      </c>
      <c r="O1061" s="1214"/>
    </row>
    <row r="1062" spans="1:15">
      <c r="A1062" s="495">
        <v>9</v>
      </c>
      <c r="B1062" s="1460" t="s">
        <v>1445</v>
      </c>
      <c r="C1062" s="1460"/>
      <c r="D1062" s="1460"/>
      <c r="E1062" s="1460"/>
      <c r="F1062" s="420"/>
      <c r="G1062" s="1284"/>
      <c r="H1062" s="1285"/>
      <c r="I1062" s="1285"/>
      <c r="J1062" s="1285"/>
      <c r="K1062" s="1285"/>
      <c r="L1062" s="1285"/>
      <c r="M1062" s="1285"/>
      <c r="N1062" s="1285"/>
      <c r="O1062" s="1286"/>
    </row>
    <row r="1063" spans="1:15">
      <c r="A1063" s="1485"/>
      <c r="B1063" s="1486"/>
      <c r="C1063" s="1423" t="s">
        <v>1620</v>
      </c>
      <c r="D1063" s="1423"/>
      <c r="E1063" s="1423"/>
      <c r="F1063" s="304"/>
      <c r="G1063" s="307" t="s">
        <v>1056</v>
      </c>
      <c r="H1063" s="1214">
        <v>750</v>
      </c>
      <c r="I1063" s="1214"/>
      <c r="J1063" s="1214" t="s">
        <v>1057</v>
      </c>
      <c r="K1063" s="1214"/>
      <c r="L1063" s="1214">
        <v>700</v>
      </c>
      <c r="M1063" s="1214"/>
      <c r="N1063" s="1214" t="s">
        <v>1057</v>
      </c>
      <c r="O1063" s="1214"/>
    </row>
    <row r="1064" spans="1:15">
      <c r="A1064" s="1485"/>
      <c r="B1064" s="1487"/>
      <c r="C1064" s="1423" t="s">
        <v>1621</v>
      </c>
      <c r="D1064" s="1423"/>
      <c r="E1064" s="1423"/>
      <c r="F1064" s="304"/>
      <c r="G1064" s="307" t="s">
        <v>1056</v>
      </c>
      <c r="H1064" s="1214">
        <v>700</v>
      </c>
      <c r="I1064" s="1214"/>
      <c r="J1064" s="1214" t="s">
        <v>1057</v>
      </c>
      <c r="K1064" s="1214"/>
      <c r="L1064" s="1214">
        <v>650</v>
      </c>
      <c r="M1064" s="1214"/>
      <c r="N1064" s="1214" t="s">
        <v>1057</v>
      </c>
      <c r="O1064" s="1214"/>
    </row>
    <row r="1065" spans="1:15">
      <c r="A1065" s="1488"/>
      <c r="B1065" s="1489"/>
      <c r="C1065" s="1423" t="s">
        <v>1622</v>
      </c>
      <c r="D1065" s="1423"/>
      <c r="E1065" s="1423"/>
      <c r="F1065" s="304"/>
      <c r="G1065" s="307" t="s">
        <v>1056</v>
      </c>
      <c r="H1065" s="1214">
        <v>650</v>
      </c>
      <c r="I1065" s="1214"/>
      <c r="J1065" s="1214" t="s">
        <v>1057</v>
      </c>
      <c r="K1065" s="1214"/>
      <c r="L1065" s="1214" t="s">
        <v>1057</v>
      </c>
      <c r="M1065" s="1214"/>
      <c r="N1065" s="1214" t="s">
        <v>1057</v>
      </c>
      <c r="O1065" s="1214"/>
    </row>
    <row r="1066" spans="1:15">
      <c r="A1066" s="493">
        <v>10</v>
      </c>
      <c r="B1066" s="1460" t="s">
        <v>1385</v>
      </c>
      <c r="C1066" s="1460"/>
      <c r="D1066" s="1460"/>
      <c r="E1066" s="1460"/>
      <c r="F1066" s="304"/>
      <c r="G1066" s="307" t="s">
        <v>1056</v>
      </c>
      <c r="H1066" s="1214">
        <v>500</v>
      </c>
      <c r="I1066" s="1214"/>
      <c r="J1066" s="1214"/>
      <c r="K1066" s="1214"/>
      <c r="L1066" s="1214">
        <v>650</v>
      </c>
      <c r="M1066" s="1214"/>
      <c r="N1066" s="1214" t="s">
        <v>1057</v>
      </c>
      <c r="O1066" s="1214"/>
    </row>
    <row r="1067" spans="1:15">
      <c r="D1067" s="453"/>
      <c r="E1067" s="453"/>
      <c r="F1067" s="295"/>
      <c r="H1067" s="1411"/>
      <c r="I1067" s="1411"/>
      <c r="J1067" s="1411"/>
      <c r="K1067" s="1411"/>
      <c r="L1067" s="1411"/>
      <c r="M1067" s="1411"/>
      <c r="N1067" s="1411"/>
      <c r="O1067" s="1411"/>
    </row>
    <row r="1068" spans="1:15">
      <c r="B1068" s="1490" t="s">
        <v>1623</v>
      </c>
      <c r="C1068" s="1490"/>
      <c r="D1068" s="1490"/>
      <c r="E1068" s="1490"/>
      <c r="F1068" s="306"/>
      <c r="H1068" s="1411"/>
      <c r="I1068" s="1411"/>
      <c r="J1068" s="1411"/>
      <c r="K1068" s="1411"/>
      <c r="L1068" s="1411"/>
      <c r="M1068" s="1411"/>
      <c r="N1068" s="1411"/>
      <c r="O1068" s="1411"/>
    </row>
    <row r="1069" spans="1:15" ht="12.75" customHeight="1">
      <c r="A1069" s="493">
        <v>1</v>
      </c>
      <c r="B1069" s="1460" t="s">
        <v>1300</v>
      </c>
      <c r="C1069" s="1460"/>
      <c r="D1069" s="1460"/>
      <c r="E1069" s="1460"/>
      <c r="F1069" s="304"/>
      <c r="G1069" s="307" t="s">
        <v>1056</v>
      </c>
      <c r="H1069" s="1214">
        <v>1450</v>
      </c>
      <c r="I1069" s="1214"/>
      <c r="J1069" s="1214" t="s">
        <v>1057</v>
      </c>
      <c r="K1069" s="1214"/>
      <c r="L1069" s="1214">
        <v>1700</v>
      </c>
      <c r="M1069" s="1214"/>
      <c r="N1069" s="1214" t="s">
        <v>1057</v>
      </c>
      <c r="O1069" s="1214"/>
    </row>
    <row r="1070" spans="1:15" ht="12.75" customHeight="1">
      <c r="A1070" s="493">
        <v>2</v>
      </c>
      <c r="B1070" s="1460" t="s">
        <v>1624</v>
      </c>
      <c r="C1070" s="1460"/>
      <c r="D1070" s="1460"/>
      <c r="E1070" s="1460"/>
      <c r="F1070" s="304"/>
      <c r="G1070" s="307" t="s">
        <v>1056</v>
      </c>
      <c r="H1070" s="1214">
        <v>800</v>
      </c>
      <c r="I1070" s="1214"/>
      <c r="J1070" s="1214" t="s">
        <v>1057</v>
      </c>
      <c r="K1070" s="1214"/>
      <c r="L1070" s="1214">
        <v>900</v>
      </c>
      <c r="M1070" s="1214"/>
      <c r="N1070" s="1214" t="s">
        <v>1057</v>
      </c>
      <c r="O1070" s="1214"/>
    </row>
    <row r="1071" spans="1:15">
      <c r="A1071" s="493">
        <v>3</v>
      </c>
      <c r="B1071" s="1460" t="s">
        <v>1625</v>
      </c>
      <c r="C1071" s="1460"/>
      <c r="D1071" s="1460"/>
      <c r="E1071" s="1460"/>
      <c r="F1071" s="304"/>
      <c r="G1071" s="307" t="s">
        <v>1056</v>
      </c>
      <c r="H1071" s="1214">
        <v>800</v>
      </c>
      <c r="I1071" s="1214"/>
      <c r="J1071" s="1214" t="s">
        <v>1057</v>
      </c>
      <c r="K1071" s="1214"/>
      <c r="L1071" s="1214">
        <v>800</v>
      </c>
      <c r="M1071" s="1214"/>
      <c r="N1071" s="1214" t="s">
        <v>1057</v>
      </c>
      <c r="O1071" s="1214"/>
    </row>
    <row r="1072" spans="1:15">
      <c r="A1072" s="493">
        <v>4</v>
      </c>
      <c r="B1072" s="1460" t="s">
        <v>1626</v>
      </c>
      <c r="C1072" s="1460"/>
      <c r="D1072" s="1460"/>
      <c r="E1072" s="1460"/>
      <c r="F1072" s="304"/>
      <c r="G1072" s="307" t="s">
        <v>1056</v>
      </c>
      <c r="H1072" s="1214">
        <v>650</v>
      </c>
      <c r="I1072" s="1214"/>
      <c r="J1072" s="1214" t="s">
        <v>1057</v>
      </c>
      <c r="K1072" s="1214"/>
      <c r="L1072" s="1214">
        <v>350</v>
      </c>
      <c r="M1072" s="1214"/>
      <c r="N1072" s="1214" t="s">
        <v>1057</v>
      </c>
      <c r="O1072" s="1214"/>
    </row>
    <row r="1073" spans="1:15">
      <c r="D1073" s="453"/>
      <c r="E1073" s="453"/>
      <c r="F1073" s="295"/>
      <c r="H1073" s="1411"/>
      <c r="I1073" s="1411"/>
      <c r="J1073" s="1411"/>
      <c r="K1073" s="1411"/>
      <c r="L1073" s="1411"/>
      <c r="M1073" s="1411"/>
      <c r="N1073" s="1411"/>
      <c r="O1073" s="1411"/>
    </row>
    <row r="1074" spans="1:15">
      <c r="B1074" s="1490" t="s">
        <v>1627</v>
      </c>
      <c r="C1074" s="1490"/>
      <c r="D1074" s="1490"/>
      <c r="E1074" s="1490"/>
      <c r="F1074" s="306"/>
      <c r="H1074" s="1411"/>
      <c r="I1074" s="1411"/>
      <c r="J1074" s="1411"/>
      <c r="K1074" s="1411"/>
      <c r="L1074" s="1411"/>
      <c r="M1074" s="1411"/>
      <c r="N1074" s="1411"/>
      <c r="O1074" s="1411"/>
    </row>
    <row r="1075" spans="1:15">
      <c r="B1075" s="1490" t="s">
        <v>1628</v>
      </c>
      <c r="C1075" s="1490"/>
      <c r="D1075" s="1490"/>
      <c r="E1075" s="1490"/>
      <c r="F1075" s="306"/>
      <c r="H1075" s="1411"/>
      <c r="I1075" s="1411"/>
      <c r="J1075" s="1411"/>
      <c r="K1075" s="1411"/>
      <c r="L1075" s="1411"/>
      <c r="M1075" s="1411"/>
      <c r="N1075" s="1411"/>
      <c r="O1075" s="1411"/>
    </row>
    <row r="1076" spans="1:15">
      <c r="A1076" s="495">
        <v>1</v>
      </c>
      <c r="B1076" s="1460" t="s">
        <v>1629</v>
      </c>
      <c r="C1076" s="1460"/>
      <c r="D1076" s="1460"/>
      <c r="E1076" s="1460"/>
      <c r="F1076" s="445"/>
      <c r="G1076" s="1349"/>
      <c r="H1076" s="1360"/>
      <c r="I1076" s="1360"/>
      <c r="J1076" s="1360"/>
      <c r="K1076" s="1360"/>
      <c r="L1076" s="1360"/>
      <c r="M1076" s="1360"/>
      <c r="N1076" s="1360"/>
      <c r="O1076" s="1291"/>
    </row>
    <row r="1077" spans="1:15">
      <c r="A1077" s="1485"/>
      <c r="B1077" s="1486"/>
      <c r="C1077" s="1423" t="s">
        <v>1630</v>
      </c>
      <c r="D1077" s="1423"/>
      <c r="E1077" s="1423"/>
      <c r="F1077" s="446"/>
      <c r="G1077" s="1351"/>
      <c r="H1077" s="1362"/>
      <c r="I1077" s="1362"/>
      <c r="J1077" s="1362"/>
      <c r="K1077" s="1362"/>
      <c r="L1077" s="1362"/>
      <c r="M1077" s="1362"/>
      <c r="N1077" s="1362"/>
      <c r="O1077" s="1293"/>
    </row>
    <row r="1078" spans="1:15">
      <c r="A1078" s="1485"/>
      <c r="B1078" s="1487"/>
      <c r="C1078" s="1422" t="s">
        <v>2251</v>
      </c>
      <c r="D1078" s="1423"/>
      <c r="E1078" s="1423"/>
      <c r="F1078" s="304"/>
      <c r="G1078" s="307" t="s">
        <v>1056</v>
      </c>
      <c r="H1078" s="1214">
        <v>675</v>
      </c>
      <c r="I1078" s="1214"/>
      <c r="J1078" s="1214" t="s">
        <v>1057</v>
      </c>
      <c r="K1078" s="1214"/>
      <c r="L1078" s="1214">
        <v>500</v>
      </c>
      <c r="M1078" s="1214"/>
      <c r="N1078" s="1214" t="s">
        <v>1057</v>
      </c>
      <c r="O1078" s="1214"/>
    </row>
    <row r="1079" spans="1:15">
      <c r="A1079" s="1488"/>
      <c r="B1079" s="1489"/>
      <c r="C1079" s="1423" t="s">
        <v>1631</v>
      </c>
      <c r="D1079" s="1423"/>
      <c r="E1079" s="1423"/>
      <c r="F1079" s="304"/>
      <c r="G1079" s="307" t="s">
        <v>1056</v>
      </c>
      <c r="H1079" s="1214">
        <v>550</v>
      </c>
      <c r="I1079" s="1214"/>
      <c r="J1079" s="1214" t="s">
        <v>1057</v>
      </c>
      <c r="K1079" s="1214"/>
      <c r="L1079" s="1214">
        <v>450</v>
      </c>
      <c r="M1079" s="1214"/>
      <c r="N1079" s="1214" t="s">
        <v>1057</v>
      </c>
      <c r="O1079" s="1214"/>
    </row>
    <row r="1080" spans="1:15">
      <c r="A1080" s="495">
        <v>2</v>
      </c>
      <c r="B1080" s="1460" t="s">
        <v>1632</v>
      </c>
      <c r="C1080" s="1460"/>
      <c r="D1080" s="1460"/>
      <c r="E1080" s="1460"/>
      <c r="F1080" s="445"/>
      <c r="G1080" s="1349"/>
      <c r="H1080" s="1360"/>
      <c r="I1080" s="1360"/>
      <c r="J1080" s="1360"/>
      <c r="K1080" s="1360"/>
      <c r="L1080" s="1360"/>
      <c r="M1080" s="1360"/>
      <c r="N1080" s="1360"/>
      <c r="O1080" s="1291"/>
    </row>
    <row r="1081" spans="1:15">
      <c r="A1081" s="1485"/>
      <c r="B1081" s="1486"/>
      <c r="C1081" s="1423" t="s">
        <v>1630</v>
      </c>
      <c r="D1081" s="1423"/>
      <c r="E1081" s="1423"/>
      <c r="F1081" s="446"/>
      <c r="G1081" s="1351"/>
      <c r="H1081" s="1362"/>
      <c r="I1081" s="1362"/>
      <c r="J1081" s="1362"/>
      <c r="K1081" s="1362"/>
      <c r="L1081" s="1362"/>
      <c r="M1081" s="1362"/>
      <c r="N1081" s="1362"/>
      <c r="O1081" s="1293"/>
    </row>
    <row r="1082" spans="1:15">
      <c r="A1082" s="1485"/>
      <c r="B1082" s="1487"/>
      <c r="C1082" s="1422" t="s">
        <v>2251</v>
      </c>
      <c r="D1082" s="1423"/>
      <c r="E1082" s="1423"/>
      <c r="F1082" s="304"/>
      <c r="G1082" s="307" t="s">
        <v>1056</v>
      </c>
      <c r="H1082" s="1214">
        <v>650</v>
      </c>
      <c r="I1082" s="1214"/>
      <c r="J1082" s="1214" t="s">
        <v>1057</v>
      </c>
      <c r="K1082" s="1214"/>
      <c r="L1082" s="1214">
        <v>500</v>
      </c>
      <c r="M1082" s="1214"/>
      <c r="N1082" s="1214" t="s">
        <v>1057</v>
      </c>
      <c r="O1082" s="1214"/>
    </row>
    <row r="1083" spans="1:15">
      <c r="A1083" s="1488"/>
      <c r="B1083" s="1489"/>
      <c r="C1083" s="1423" t="s">
        <v>1631</v>
      </c>
      <c r="D1083" s="1423"/>
      <c r="E1083" s="1423"/>
      <c r="F1083" s="304"/>
      <c r="G1083" s="307" t="s">
        <v>1056</v>
      </c>
      <c r="H1083" s="1214">
        <v>500</v>
      </c>
      <c r="I1083" s="1214"/>
      <c r="J1083" s="1214" t="s">
        <v>1057</v>
      </c>
      <c r="K1083" s="1214"/>
      <c r="L1083" s="1214">
        <v>450</v>
      </c>
      <c r="M1083" s="1214"/>
      <c r="N1083" s="1214" t="s">
        <v>1057</v>
      </c>
      <c r="O1083" s="1214"/>
    </row>
    <row r="1084" spans="1:15">
      <c r="D1084" s="453"/>
      <c r="E1084" s="453"/>
      <c r="F1084" s="295"/>
      <c r="H1084" s="1411"/>
      <c r="I1084" s="1411"/>
      <c r="J1084" s="1411"/>
      <c r="K1084" s="1411"/>
      <c r="L1084" s="1411"/>
      <c r="M1084" s="1411"/>
      <c r="N1084" s="1411"/>
      <c r="O1084" s="1411"/>
    </row>
    <row r="1085" spans="1:15">
      <c r="D1085" s="453"/>
      <c r="E1085" s="453"/>
      <c r="F1085" s="295"/>
      <c r="H1085" s="1411"/>
      <c r="I1085" s="1411"/>
      <c r="J1085" s="1411"/>
      <c r="K1085" s="1411"/>
      <c r="L1085" s="1411"/>
      <c r="M1085" s="1411"/>
      <c r="N1085" s="1411"/>
      <c r="O1085" s="1411"/>
    </row>
    <row r="1086" spans="1:15">
      <c r="B1086" s="1490" t="s">
        <v>1633</v>
      </c>
      <c r="C1086" s="1490"/>
      <c r="D1086" s="1490"/>
      <c r="E1086" s="1490"/>
      <c r="F1086" s="306"/>
      <c r="H1086" s="1411"/>
      <c r="I1086" s="1411"/>
      <c r="J1086" s="1411"/>
      <c r="K1086" s="1411"/>
      <c r="L1086" s="1411"/>
      <c r="M1086" s="1411"/>
      <c r="N1086" s="1411"/>
      <c r="O1086" s="1411"/>
    </row>
    <row r="1087" spans="1:15">
      <c r="A1087" s="495">
        <v>1</v>
      </c>
      <c r="B1087" s="1460" t="s">
        <v>1634</v>
      </c>
      <c r="C1087" s="1460"/>
      <c r="D1087" s="1460"/>
      <c r="E1087" s="1460"/>
      <c r="F1087" s="420"/>
      <c r="G1087" s="1284"/>
      <c r="H1087" s="1285"/>
      <c r="I1087" s="1285"/>
      <c r="J1087" s="1285"/>
      <c r="K1087" s="1285"/>
      <c r="L1087" s="1285"/>
      <c r="M1087" s="1285"/>
      <c r="N1087" s="1285"/>
      <c r="O1087" s="1286"/>
    </row>
    <row r="1088" spans="1:15">
      <c r="A1088" s="1485"/>
      <c r="B1088" s="1486"/>
      <c r="C1088" s="1423" t="s">
        <v>1635</v>
      </c>
      <c r="D1088" s="1423"/>
      <c r="E1088" s="1423"/>
      <c r="F1088" s="304"/>
      <c r="G1088" s="307" t="s">
        <v>1056</v>
      </c>
      <c r="H1088" s="1214">
        <v>800</v>
      </c>
      <c r="I1088" s="1214"/>
      <c r="J1088" s="1214" t="s">
        <v>1057</v>
      </c>
      <c r="K1088" s="1214"/>
      <c r="L1088" s="1214">
        <v>750</v>
      </c>
      <c r="M1088" s="1214"/>
      <c r="N1088" s="1214" t="s">
        <v>1057</v>
      </c>
      <c r="O1088" s="1214"/>
    </row>
    <row r="1089" spans="1:15">
      <c r="A1089" s="1488"/>
      <c r="B1089" s="1489"/>
      <c r="C1089" s="1423" t="s">
        <v>1636</v>
      </c>
      <c r="D1089" s="1423"/>
      <c r="E1089" s="1423"/>
      <c r="F1089" s="304"/>
      <c r="G1089" s="307" t="s">
        <v>1056</v>
      </c>
      <c r="H1089" s="1214">
        <v>750</v>
      </c>
      <c r="I1089" s="1214"/>
      <c r="J1089" s="1214" t="s">
        <v>1057</v>
      </c>
      <c r="K1089" s="1214"/>
      <c r="L1089" s="1214">
        <v>700</v>
      </c>
      <c r="M1089" s="1214"/>
      <c r="N1089" s="1214" t="s">
        <v>1057</v>
      </c>
      <c r="O1089" s="1214"/>
    </row>
    <row r="1090" spans="1:15" ht="12.75" customHeight="1">
      <c r="A1090" s="493">
        <v>2</v>
      </c>
      <c r="B1090" s="1460" t="s">
        <v>1637</v>
      </c>
      <c r="C1090" s="1460"/>
      <c r="D1090" s="1460"/>
      <c r="E1090" s="1460"/>
      <c r="F1090" s="304"/>
      <c r="G1090" s="307" t="s">
        <v>1056</v>
      </c>
      <c r="H1090" s="1214">
        <v>650</v>
      </c>
      <c r="I1090" s="1214"/>
      <c r="J1090" s="1214" t="s">
        <v>1057</v>
      </c>
      <c r="K1090" s="1214"/>
      <c r="L1090" s="1214">
        <v>350</v>
      </c>
      <c r="M1090" s="1214"/>
      <c r="N1090" s="1214" t="s">
        <v>1057</v>
      </c>
      <c r="O1090" s="1214"/>
    </row>
    <row r="1091" spans="1:15">
      <c r="D1091" s="453"/>
      <c r="E1091" s="453"/>
      <c r="F1091" s="295"/>
      <c r="H1091" s="1411"/>
      <c r="I1091" s="1411"/>
      <c r="J1091" s="1411"/>
      <c r="K1091" s="1411"/>
      <c r="L1091" s="1411"/>
      <c r="M1091" s="1411"/>
      <c r="N1091" s="1411"/>
      <c r="O1091" s="1411"/>
    </row>
    <row r="1092" spans="1:15">
      <c r="B1092" s="1490" t="s">
        <v>1638</v>
      </c>
      <c r="C1092" s="1490"/>
      <c r="D1092" s="1490"/>
      <c r="E1092" s="1490"/>
      <c r="F1092" s="306"/>
      <c r="H1092" s="1411"/>
      <c r="I1092" s="1411"/>
      <c r="J1092" s="1411"/>
      <c r="K1092" s="1411"/>
      <c r="L1092" s="1411"/>
      <c r="M1092" s="1411"/>
      <c r="N1092" s="1411"/>
      <c r="O1092" s="1411"/>
    </row>
    <row r="1093" spans="1:15">
      <c r="A1093" s="493">
        <v>1</v>
      </c>
      <c r="B1093" s="1460" t="s">
        <v>1639</v>
      </c>
      <c r="C1093" s="1460"/>
      <c r="D1093" s="1460"/>
      <c r="E1093" s="1460"/>
      <c r="F1093" s="304"/>
      <c r="G1093" s="307" t="s">
        <v>1056</v>
      </c>
      <c r="H1093" s="1214">
        <v>950</v>
      </c>
      <c r="I1093" s="1214"/>
      <c r="J1093" s="1214" t="s">
        <v>1057</v>
      </c>
      <c r="K1093" s="1214"/>
      <c r="L1093" s="1214">
        <v>750</v>
      </c>
      <c r="M1093" s="1214"/>
      <c r="N1093" s="1214" t="s">
        <v>1057</v>
      </c>
      <c r="O1093" s="1214"/>
    </row>
    <row r="1094" spans="1:15" ht="12.75" customHeight="1">
      <c r="A1094" s="493">
        <v>2</v>
      </c>
      <c r="B1094" s="1460" t="s">
        <v>1640</v>
      </c>
      <c r="C1094" s="1460"/>
      <c r="D1094" s="1460"/>
      <c r="E1094" s="1460"/>
      <c r="F1094" s="304"/>
      <c r="G1094" s="307" t="s">
        <v>1056</v>
      </c>
      <c r="H1094" s="1214">
        <v>500</v>
      </c>
      <c r="I1094" s="1214"/>
      <c r="J1094" s="1214" t="s">
        <v>1057</v>
      </c>
      <c r="K1094" s="1214"/>
      <c r="L1094" s="1214">
        <v>300</v>
      </c>
      <c r="M1094" s="1214"/>
      <c r="N1094" s="1214" t="s">
        <v>1057</v>
      </c>
      <c r="O1094" s="1214"/>
    </row>
    <row r="1095" spans="1:15" ht="12.75" customHeight="1">
      <c r="A1095" s="493">
        <v>3</v>
      </c>
      <c r="B1095" s="1460" t="s">
        <v>1641</v>
      </c>
      <c r="C1095" s="1460"/>
      <c r="D1095" s="1460"/>
      <c r="E1095" s="1460"/>
      <c r="F1095" s="304"/>
      <c r="G1095" s="307" t="s">
        <v>1056</v>
      </c>
      <c r="H1095" s="1214">
        <v>500</v>
      </c>
      <c r="I1095" s="1214"/>
      <c r="J1095" s="1214" t="s">
        <v>1057</v>
      </c>
      <c r="K1095" s="1214"/>
      <c r="L1095" s="1214" t="s">
        <v>1057</v>
      </c>
      <c r="M1095" s="1214"/>
      <c r="N1095" s="1214">
        <v>375</v>
      </c>
      <c r="O1095" s="1214"/>
    </row>
    <row r="1096" spans="1:15">
      <c r="A1096" s="493">
        <v>4</v>
      </c>
      <c r="B1096" s="1460" t="s">
        <v>1642</v>
      </c>
      <c r="C1096" s="1460"/>
      <c r="D1096" s="1460"/>
      <c r="E1096" s="1460"/>
      <c r="F1096" s="304"/>
      <c r="G1096" s="307" t="s">
        <v>1056</v>
      </c>
      <c r="H1096" s="1214">
        <v>525</v>
      </c>
      <c r="I1096" s="1214"/>
      <c r="J1096" s="1214" t="s">
        <v>1057</v>
      </c>
      <c r="K1096" s="1214"/>
      <c r="L1096" s="1214" t="s">
        <v>1057</v>
      </c>
      <c r="M1096" s="1214"/>
      <c r="N1096" s="1214" t="s">
        <v>1057</v>
      </c>
      <c r="O1096" s="1214"/>
    </row>
    <row r="1097" spans="1:15">
      <c r="D1097" s="453"/>
      <c r="E1097" s="453"/>
      <c r="F1097" s="295"/>
      <c r="H1097" s="1411"/>
      <c r="I1097" s="1411"/>
      <c r="J1097" s="1411"/>
      <c r="K1097" s="1411"/>
      <c r="L1097" s="1411"/>
      <c r="M1097" s="1411"/>
      <c r="N1097" s="1411"/>
      <c r="O1097" s="1411"/>
    </row>
    <row r="1098" spans="1:15">
      <c r="B1098" s="1490" t="s">
        <v>1643</v>
      </c>
      <c r="C1098" s="1490"/>
      <c r="D1098" s="1490"/>
      <c r="E1098" s="1490"/>
      <c r="F1098" s="306"/>
      <c r="H1098" s="1411"/>
      <c r="I1098" s="1411"/>
      <c r="J1098" s="1411"/>
      <c r="K1098" s="1411"/>
      <c r="L1098" s="1411"/>
      <c r="M1098" s="1411"/>
      <c r="N1098" s="1411"/>
      <c r="O1098" s="1411"/>
    </row>
    <row r="1099" spans="1:15">
      <c r="A1099" s="495">
        <v>1</v>
      </c>
      <c r="B1099" s="1509" t="s">
        <v>1644</v>
      </c>
      <c r="C1099" s="1509"/>
      <c r="D1099" s="1509"/>
      <c r="E1099" s="1509"/>
      <c r="F1099" s="440"/>
      <c r="G1099" s="1214"/>
      <c r="H1099" s="1214"/>
      <c r="I1099" s="1214"/>
      <c r="J1099" s="1214"/>
      <c r="K1099" s="1214"/>
      <c r="L1099" s="1214"/>
      <c r="M1099" s="1214"/>
      <c r="N1099" s="1214"/>
      <c r="O1099" s="1214"/>
    </row>
    <row r="1100" spans="1:15">
      <c r="A1100" s="1434"/>
      <c r="B1100" s="1492" t="s">
        <v>1645</v>
      </c>
      <c r="C1100" s="1492"/>
      <c r="D1100" s="1492"/>
      <c r="E1100" s="1492"/>
      <c r="F1100" s="441"/>
      <c r="G1100" s="1214"/>
      <c r="H1100" s="1214"/>
      <c r="I1100" s="1214"/>
      <c r="J1100" s="1214"/>
      <c r="K1100" s="1214"/>
      <c r="L1100" s="1214"/>
      <c r="M1100" s="1214"/>
      <c r="N1100" s="1214"/>
      <c r="O1100" s="1214"/>
    </row>
    <row r="1101" spans="1:15">
      <c r="A1101" s="1434"/>
      <c r="B1101" s="1492" t="s">
        <v>1646</v>
      </c>
      <c r="C1101" s="1492"/>
      <c r="D1101" s="1492"/>
      <c r="E1101" s="1492"/>
      <c r="F1101" s="441"/>
      <c r="G1101" s="1214"/>
      <c r="H1101" s="1214"/>
      <c r="I1101" s="1214"/>
      <c r="J1101" s="1214"/>
      <c r="K1101" s="1214"/>
      <c r="L1101" s="1214"/>
      <c r="M1101" s="1214"/>
      <c r="N1101" s="1214"/>
      <c r="O1101" s="1214"/>
    </row>
    <row r="1102" spans="1:15">
      <c r="A1102" s="1434"/>
      <c r="B1102" s="1492" t="s">
        <v>1647</v>
      </c>
      <c r="C1102" s="1492"/>
      <c r="D1102" s="1492"/>
      <c r="E1102" s="1492"/>
      <c r="F1102" s="441"/>
      <c r="G1102" s="1214"/>
      <c r="H1102" s="1214"/>
      <c r="I1102" s="1214"/>
      <c r="J1102" s="1214"/>
      <c r="K1102" s="1214"/>
      <c r="L1102" s="1214"/>
      <c r="M1102" s="1214"/>
      <c r="N1102" s="1214"/>
      <c r="O1102" s="1214"/>
    </row>
    <row r="1103" spans="1:15">
      <c r="A1103" s="1435"/>
      <c r="B1103" s="1474" t="s">
        <v>1648</v>
      </c>
      <c r="C1103" s="1474"/>
      <c r="D1103" s="1474"/>
      <c r="E1103" s="1474"/>
      <c r="F1103" s="429"/>
      <c r="G1103" s="307" t="s">
        <v>1056</v>
      </c>
      <c r="H1103" s="1214">
        <v>500</v>
      </c>
      <c r="I1103" s="1214"/>
      <c r="J1103" s="1214" t="s">
        <v>1057</v>
      </c>
      <c r="K1103" s="1214"/>
      <c r="L1103" s="1214">
        <v>400</v>
      </c>
      <c r="M1103" s="1214"/>
      <c r="N1103" s="1214" t="s">
        <v>1057</v>
      </c>
      <c r="O1103" s="1214"/>
    </row>
    <row r="1104" spans="1:15">
      <c r="D1104" s="453"/>
      <c r="E1104" s="453"/>
      <c r="F1104" s="295"/>
      <c r="H1104" s="1411"/>
      <c r="I1104" s="1411"/>
      <c r="J1104" s="1411"/>
      <c r="K1104" s="1411"/>
      <c r="L1104" s="1411"/>
      <c r="M1104" s="1411"/>
      <c r="N1104" s="1411"/>
      <c r="O1104" s="1411"/>
    </row>
    <row r="1105" spans="1:15">
      <c r="B1105" s="1490" t="s">
        <v>1649</v>
      </c>
      <c r="C1105" s="1490"/>
      <c r="D1105" s="1490"/>
      <c r="E1105" s="1490"/>
      <c r="F1105" s="306"/>
      <c r="H1105" s="1411"/>
      <c r="I1105" s="1411"/>
      <c r="J1105" s="1411"/>
      <c r="K1105" s="1411"/>
      <c r="L1105" s="1411"/>
      <c r="M1105" s="1411"/>
      <c r="N1105" s="1411"/>
      <c r="O1105" s="1411"/>
    </row>
    <row r="1106" spans="1:15" ht="15.75" customHeight="1">
      <c r="A1106" s="493">
        <v>1</v>
      </c>
      <c r="B1106" s="1460" t="s">
        <v>1650</v>
      </c>
      <c r="C1106" s="1460"/>
      <c r="D1106" s="1460"/>
      <c r="E1106" s="1460"/>
      <c r="F1106" s="304"/>
      <c r="G1106" s="307" t="s">
        <v>1651</v>
      </c>
      <c r="H1106" s="1214">
        <v>575</v>
      </c>
      <c r="I1106" s="1214"/>
      <c r="J1106" s="1214" t="s">
        <v>1057</v>
      </c>
      <c r="K1106" s="1214"/>
      <c r="L1106" s="1214" t="s">
        <v>1057</v>
      </c>
      <c r="M1106" s="1214"/>
      <c r="N1106" s="1214" t="s">
        <v>1057</v>
      </c>
      <c r="O1106" s="1214"/>
    </row>
    <row r="1107" spans="1:15">
      <c r="A1107" s="493">
        <v>2</v>
      </c>
      <c r="B1107" s="1460" t="s">
        <v>1652</v>
      </c>
      <c r="C1107" s="1460"/>
      <c r="D1107" s="1460"/>
      <c r="E1107" s="1460"/>
      <c r="F1107" s="304"/>
      <c r="G1107" s="307" t="s">
        <v>1056</v>
      </c>
      <c r="H1107" s="1214">
        <v>500</v>
      </c>
      <c r="I1107" s="1214"/>
      <c r="J1107" s="1214" t="s">
        <v>1057</v>
      </c>
      <c r="K1107" s="1214"/>
      <c r="L1107" s="1214">
        <v>525</v>
      </c>
      <c r="M1107" s="1214"/>
      <c r="N1107" s="1214" t="s">
        <v>1057</v>
      </c>
      <c r="O1107" s="1214"/>
    </row>
    <row r="1108" spans="1:15">
      <c r="A1108" s="493">
        <v>3</v>
      </c>
      <c r="B1108" s="1460" t="s">
        <v>1653</v>
      </c>
      <c r="C1108" s="1460"/>
      <c r="D1108" s="1460"/>
      <c r="E1108" s="1460"/>
      <c r="F1108" s="304"/>
      <c r="G1108" s="307" t="s">
        <v>1056</v>
      </c>
      <c r="H1108" s="1214">
        <v>500</v>
      </c>
      <c r="I1108" s="1214"/>
      <c r="J1108" s="1214" t="s">
        <v>1057</v>
      </c>
      <c r="K1108" s="1214"/>
      <c r="L1108" s="1214">
        <v>400</v>
      </c>
      <c r="M1108" s="1214"/>
      <c r="N1108" s="1214" t="s">
        <v>1057</v>
      </c>
      <c r="O1108" s="1214"/>
    </row>
    <row r="1110" spans="1:15" ht="37.5" customHeight="1">
      <c r="A1110" s="475" t="s">
        <v>2185</v>
      </c>
      <c r="B1110" s="508" t="s">
        <v>1056</v>
      </c>
      <c r="C1110" s="1415" t="s">
        <v>2957</v>
      </c>
      <c r="D1110" s="1302"/>
      <c r="E1110" s="1302"/>
      <c r="F1110" s="1302"/>
      <c r="G1110" s="1302"/>
      <c r="H1110" s="1302"/>
      <c r="I1110" s="1302"/>
      <c r="J1110" s="1302"/>
      <c r="K1110" s="1302"/>
      <c r="L1110" s="1302"/>
      <c r="M1110" s="1302"/>
      <c r="N1110" s="1302"/>
      <c r="O1110" s="1302"/>
    </row>
    <row r="1111" spans="1:15">
      <c r="C1111" s="1491" t="s">
        <v>1654</v>
      </c>
      <c r="D1111" s="1491"/>
    </row>
    <row r="1113" spans="1:15">
      <c r="B1113" s="1490" t="s">
        <v>1655</v>
      </c>
      <c r="C1113" s="1490"/>
      <c r="D1113" s="1490"/>
      <c r="E1113" s="1490"/>
      <c r="F1113" s="306"/>
    </row>
    <row r="1114" spans="1:15">
      <c r="B1114" s="1490" t="s">
        <v>1656</v>
      </c>
      <c r="C1114" s="1490"/>
      <c r="D1114" s="1490"/>
      <c r="E1114" s="1490"/>
      <c r="F1114" s="306"/>
    </row>
    <row r="1115" spans="1:15">
      <c r="A1115" s="493">
        <v>1</v>
      </c>
      <c r="B1115" s="1460" t="s">
        <v>1657</v>
      </c>
      <c r="C1115" s="1460"/>
      <c r="D1115" s="1460"/>
      <c r="E1115" s="1460"/>
      <c r="F1115" s="304"/>
      <c r="G1115" s="307" t="s">
        <v>1056</v>
      </c>
      <c r="H1115" s="1214">
        <v>700</v>
      </c>
      <c r="I1115" s="1214"/>
      <c r="J1115" s="1214" t="s">
        <v>1057</v>
      </c>
      <c r="K1115" s="1214"/>
      <c r="L1115" s="1214">
        <v>500</v>
      </c>
      <c r="M1115" s="1214"/>
      <c r="N1115" s="1214" t="s">
        <v>1057</v>
      </c>
      <c r="O1115" s="1214"/>
    </row>
    <row r="1116" spans="1:15">
      <c r="A1116" s="493">
        <v>2</v>
      </c>
      <c r="B1116" s="1460" t="s">
        <v>1658</v>
      </c>
      <c r="C1116" s="1460"/>
      <c r="D1116" s="1460"/>
      <c r="E1116" s="1460"/>
      <c r="F1116" s="304"/>
      <c r="G1116" s="307" t="s">
        <v>1056</v>
      </c>
      <c r="H1116" s="1214">
        <v>650</v>
      </c>
      <c r="I1116" s="1214"/>
      <c r="J1116" s="1214" t="s">
        <v>1057</v>
      </c>
      <c r="K1116" s="1214"/>
      <c r="L1116" s="1214">
        <v>500</v>
      </c>
      <c r="M1116" s="1214"/>
      <c r="N1116" s="1214" t="s">
        <v>1057</v>
      </c>
      <c r="O1116" s="1214"/>
    </row>
    <row r="1117" spans="1:15">
      <c r="A1117" s="493">
        <v>3</v>
      </c>
      <c r="B1117" s="1460" t="s">
        <v>1659</v>
      </c>
      <c r="C1117" s="1460"/>
      <c r="D1117" s="1460"/>
      <c r="E1117" s="1460"/>
      <c r="F1117" s="304"/>
      <c r="G1117" s="307" t="s">
        <v>1056</v>
      </c>
      <c r="H1117" s="1214">
        <v>500</v>
      </c>
      <c r="I1117" s="1214"/>
      <c r="J1117" s="1214" t="s">
        <v>1057</v>
      </c>
      <c r="K1117" s="1214"/>
      <c r="L1117" s="1214">
        <v>300</v>
      </c>
      <c r="M1117" s="1214"/>
      <c r="N1117" s="1214" t="s">
        <v>1057</v>
      </c>
      <c r="O1117" s="1214"/>
    </row>
    <row r="1118" spans="1:15">
      <c r="A1118" s="493">
        <v>4</v>
      </c>
      <c r="B1118" s="1460" t="s">
        <v>1641</v>
      </c>
      <c r="C1118" s="1460"/>
      <c r="D1118" s="1460"/>
      <c r="E1118" s="1460"/>
      <c r="F1118" s="304"/>
      <c r="G1118" s="307" t="s">
        <v>1056</v>
      </c>
      <c r="H1118" s="1214">
        <v>700</v>
      </c>
      <c r="I1118" s="1214"/>
      <c r="J1118" s="1214" t="s">
        <v>1057</v>
      </c>
      <c r="K1118" s="1214"/>
      <c r="L1118" s="1214">
        <v>700</v>
      </c>
      <c r="M1118" s="1214"/>
      <c r="N1118" s="1214">
        <v>375</v>
      </c>
      <c r="O1118" s="1214"/>
    </row>
    <row r="1119" spans="1:15">
      <c r="H1119" s="1411"/>
      <c r="I1119" s="1411"/>
      <c r="J1119" s="1411"/>
      <c r="K1119" s="1411"/>
      <c r="L1119" s="1411"/>
      <c r="M1119" s="1411"/>
      <c r="N1119" s="1411"/>
      <c r="O1119" s="1411"/>
    </row>
    <row r="1120" spans="1:15">
      <c r="B1120" s="1490" t="s">
        <v>1660</v>
      </c>
      <c r="C1120" s="1490"/>
      <c r="D1120" s="1490"/>
      <c r="E1120" s="1490"/>
      <c r="F1120" s="306"/>
      <c r="H1120" s="1411"/>
      <c r="I1120" s="1411"/>
      <c r="J1120" s="1411"/>
      <c r="K1120" s="1411"/>
      <c r="L1120" s="1411"/>
      <c r="M1120" s="1411"/>
      <c r="N1120" s="1411"/>
      <c r="O1120" s="1411"/>
    </row>
    <row r="1121" spans="1:15">
      <c r="A1121" s="493">
        <v>1</v>
      </c>
      <c r="B1121" s="1460" t="s">
        <v>1661</v>
      </c>
      <c r="C1121" s="1460"/>
      <c r="D1121" s="1460"/>
      <c r="E1121" s="1460"/>
      <c r="F1121" s="304"/>
      <c r="G1121" s="307" t="s">
        <v>1056</v>
      </c>
      <c r="H1121" s="1214">
        <v>800</v>
      </c>
      <c r="I1121" s="1214"/>
      <c r="J1121" s="1214" t="s">
        <v>1057</v>
      </c>
      <c r="K1121" s="1214"/>
      <c r="L1121" s="1214">
        <v>800</v>
      </c>
      <c r="M1121" s="1214"/>
      <c r="N1121" s="1214" t="s">
        <v>1057</v>
      </c>
      <c r="O1121" s="1214"/>
    </row>
    <row r="1122" spans="1:15">
      <c r="A1122" s="493">
        <v>2</v>
      </c>
      <c r="B1122" s="1460" t="s">
        <v>1662</v>
      </c>
      <c r="C1122" s="1460"/>
      <c r="D1122" s="1460"/>
      <c r="E1122" s="1460"/>
      <c r="F1122" s="304"/>
      <c r="G1122" s="307" t="s">
        <v>1056</v>
      </c>
      <c r="H1122" s="1214">
        <v>650</v>
      </c>
      <c r="I1122" s="1214"/>
      <c r="J1122" s="1214" t="s">
        <v>1057</v>
      </c>
      <c r="K1122" s="1214"/>
      <c r="L1122" s="1214">
        <v>500</v>
      </c>
      <c r="M1122" s="1214"/>
      <c r="N1122" s="1214" t="s">
        <v>1057</v>
      </c>
      <c r="O1122" s="1214"/>
    </row>
    <row r="1123" spans="1:15">
      <c r="A1123" s="493">
        <v>3</v>
      </c>
      <c r="B1123" s="1460" t="s">
        <v>1663</v>
      </c>
      <c r="C1123" s="1460"/>
      <c r="D1123" s="1460"/>
      <c r="E1123" s="1460"/>
      <c r="F1123" s="304"/>
      <c r="G1123" s="307" t="s">
        <v>1056</v>
      </c>
      <c r="H1123" s="1214">
        <v>575</v>
      </c>
      <c r="I1123" s="1214"/>
      <c r="J1123" s="1214" t="s">
        <v>1057</v>
      </c>
      <c r="K1123" s="1214"/>
      <c r="L1123" s="1214">
        <v>400</v>
      </c>
      <c r="M1123" s="1214"/>
      <c r="N1123" s="1214">
        <v>300</v>
      </c>
      <c r="O1123" s="1214"/>
    </row>
    <row r="1125" spans="1:15" ht="40.5" customHeight="1">
      <c r="A1125" s="475" t="s">
        <v>2185</v>
      </c>
      <c r="B1125" s="508" t="s">
        <v>1056</v>
      </c>
      <c r="C1125" s="1493" t="s">
        <v>2956</v>
      </c>
      <c r="D1125" s="1411"/>
      <c r="E1125" s="1411"/>
      <c r="F1125" s="1411"/>
      <c r="G1125" s="1411"/>
      <c r="H1125" s="1411"/>
      <c r="I1125" s="1411"/>
      <c r="J1125" s="1411"/>
      <c r="K1125" s="1411"/>
      <c r="L1125" s="1411"/>
      <c r="M1125" s="1411"/>
      <c r="N1125" s="1411"/>
      <c r="O1125" s="1411"/>
    </row>
    <row r="1127" spans="1:15">
      <c r="B1127" s="1490" t="s">
        <v>1664</v>
      </c>
      <c r="C1127" s="1490"/>
      <c r="D1127" s="1490"/>
      <c r="E1127" s="1490"/>
      <c r="F1127" s="306"/>
    </row>
    <row r="1128" spans="1:15">
      <c r="B1128" s="1490" t="s">
        <v>1665</v>
      </c>
      <c r="C1128" s="1490"/>
      <c r="D1128" s="1490"/>
      <c r="E1128" s="1490"/>
      <c r="F1128" s="306"/>
    </row>
    <row r="1129" spans="1:15" ht="12.75" customHeight="1">
      <c r="A1129" s="493">
        <v>1</v>
      </c>
      <c r="B1129" s="1460" t="s">
        <v>1666</v>
      </c>
      <c r="C1129" s="1460"/>
      <c r="D1129" s="1460"/>
      <c r="E1129" s="1460"/>
      <c r="F1129" s="304"/>
      <c r="G1129" s="307" t="s">
        <v>1056</v>
      </c>
      <c r="H1129" s="1214">
        <v>500</v>
      </c>
      <c r="I1129" s="1214"/>
      <c r="J1129" s="1214" t="s">
        <v>1057</v>
      </c>
      <c r="K1129" s="1214"/>
      <c r="L1129" s="1214">
        <v>300</v>
      </c>
      <c r="M1129" s="1214"/>
      <c r="N1129" s="1214" t="s">
        <v>1057</v>
      </c>
      <c r="O1129" s="1214"/>
    </row>
    <row r="1130" spans="1:15">
      <c r="A1130" s="495">
        <v>2</v>
      </c>
      <c r="B1130" s="1460" t="s">
        <v>1667</v>
      </c>
      <c r="C1130" s="1460"/>
      <c r="D1130" s="1460"/>
      <c r="E1130" s="1460"/>
      <c r="F1130" s="420"/>
      <c r="G1130" s="1284"/>
      <c r="H1130" s="1285"/>
      <c r="I1130" s="1285"/>
      <c r="J1130" s="1285"/>
      <c r="K1130" s="1285"/>
      <c r="L1130" s="1285"/>
      <c r="M1130" s="1285"/>
      <c r="N1130" s="1285"/>
      <c r="O1130" s="1286"/>
    </row>
    <row r="1131" spans="1:15">
      <c r="A1131" s="492"/>
      <c r="B1131" s="1460" t="s">
        <v>1668</v>
      </c>
      <c r="C1131" s="1460"/>
      <c r="D1131" s="1460"/>
      <c r="E1131" s="1460"/>
      <c r="F1131" s="304"/>
      <c r="G1131" s="307" t="s">
        <v>1056</v>
      </c>
      <c r="H1131" s="1214">
        <v>500</v>
      </c>
      <c r="I1131" s="1214"/>
      <c r="J1131" s="1214" t="s">
        <v>1057</v>
      </c>
      <c r="K1131" s="1214"/>
      <c r="L1131" s="1214" t="s">
        <v>1057</v>
      </c>
      <c r="M1131" s="1214"/>
      <c r="N1131" s="1214" t="s">
        <v>1057</v>
      </c>
      <c r="O1131" s="1214"/>
    </row>
    <row r="1133" spans="1:15" ht="34.5" customHeight="1">
      <c r="A1133" s="475" t="s">
        <v>2185</v>
      </c>
      <c r="B1133" s="508" t="s">
        <v>1056</v>
      </c>
      <c r="C1133" s="1415" t="s">
        <v>2958</v>
      </c>
      <c r="D1133" s="1302"/>
      <c r="E1133" s="1302"/>
      <c r="F1133" s="1302"/>
      <c r="G1133" s="1302"/>
      <c r="H1133" s="1302"/>
      <c r="I1133" s="1302"/>
      <c r="J1133" s="1302"/>
      <c r="K1133" s="1302"/>
      <c r="L1133" s="1302"/>
      <c r="M1133" s="1302"/>
      <c r="N1133" s="1302"/>
      <c r="O1133" s="1302"/>
    </row>
    <row r="1134" spans="1:15" ht="34.5" customHeight="1">
      <c r="B1134" s="509"/>
      <c r="D1134" s="453"/>
      <c r="E1134" s="453"/>
      <c r="F1134" s="295"/>
      <c r="H1134" s="295"/>
      <c r="I1134" s="295"/>
      <c r="M1134" s="295"/>
      <c r="N1134" s="295"/>
      <c r="O1134" s="295"/>
    </row>
    <row r="1135" spans="1:15">
      <c r="B1135" s="1490" t="s">
        <v>1669</v>
      </c>
      <c r="C1135" s="1490"/>
      <c r="D1135" s="1490"/>
      <c r="E1135" s="1490"/>
      <c r="F1135" s="306"/>
    </row>
    <row r="1136" spans="1:15" ht="12.75" customHeight="1">
      <c r="B1136" s="1490" t="s">
        <v>1670</v>
      </c>
      <c r="C1136" s="1490"/>
      <c r="D1136" s="1490"/>
      <c r="E1136" s="1490"/>
      <c r="F1136" s="306"/>
    </row>
    <row r="1137" spans="1:15">
      <c r="A1137" s="493">
        <v>1</v>
      </c>
      <c r="B1137" s="1363" t="s">
        <v>1671</v>
      </c>
      <c r="C1137" s="1363"/>
      <c r="D1137" s="1363"/>
      <c r="E1137" s="1363"/>
      <c r="F1137" s="308"/>
      <c r="G1137" s="307" t="s">
        <v>1056</v>
      </c>
      <c r="H1137" s="1214">
        <v>600</v>
      </c>
      <c r="I1137" s="1214"/>
      <c r="J1137" s="1214">
        <v>350</v>
      </c>
      <c r="K1137" s="1214"/>
      <c r="L1137" s="1214">
        <v>100</v>
      </c>
      <c r="M1137" s="1214"/>
      <c r="N1137" s="1214" t="s">
        <v>1057</v>
      </c>
      <c r="O1137" s="1214"/>
    </row>
    <row r="1138" spans="1:15">
      <c r="A1138" s="493">
        <v>2</v>
      </c>
      <c r="B1138" s="1363" t="s">
        <v>1672</v>
      </c>
      <c r="C1138" s="1363"/>
      <c r="D1138" s="1363"/>
      <c r="E1138" s="1363"/>
      <c r="F1138" s="308"/>
      <c r="G1138" s="307" t="s">
        <v>1056</v>
      </c>
      <c r="H1138" s="1214">
        <v>500</v>
      </c>
      <c r="I1138" s="1214"/>
      <c r="J1138" s="1214">
        <v>350</v>
      </c>
      <c r="K1138" s="1214"/>
      <c r="L1138" s="1214">
        <v>100</v>
      </c>
      <c r="M1138" s="1214"/>
      <c r="N1138" s="1214" t="s">
        <v>1057</v>
      </c>
      <c r="O1138" s="1214"/>
    </row>
    <row r="1139" spans="1:15">
      <c r="A1139" s="495">
        <v>3</v>
      </c>
      <c r="B1139" s="1363" t="s">
        <v>1673</v>
      </c>
      <c r="C1139" s="1363"/>
      <c r="D1139" s="1363"/>
      <c r="E1139" s="1363"/>
      <c r="F1139" s="308"/>
      <c r="G1139" s="1214"/>
      <c r="H1139" s="1214"/>
      <c r="I1139" s="1214"/>
      <c r="J1139" s="1214"/>
      <c r="K1139" s="1214"/>
      <c r="L1139" s="1214"/>
      <c r="M1139" s="1214"/>
      <c r="N1139" s="1214"/>
      <c r="O1139" s="1214"/>
    </row>
    <row r="1140" spans="1:15">
      <c r="A1140" s="1434"/>
      <c r="B1140" s="1363" t="s">
        <v>1674</v>
      </c>
      <c r="C1140" s="1363"/>
      <c r="D1140" s="1363"/>
      <c r="E1140" s="1363"/>
      <c r="F1140" s="308"/>
      <c r="G1140" s="1214"/>
      <c r="H1140" s="1214"/>
      <c r="I1140" s="1214"/>
      <c r="J1140" s="1214"/>
      <c r="K1140" s="1214"/>
      <c r="L1140" s="1214"/>
      <c r="M1140" s="1214"/>
      <c r="N1140" s="1214"/>
      <c r="O1140" s="1214"/>
    </row>
    <row r="1141" spans="1:15">
      <c r="A1141" s="1435"/>
      <c r="B1141" s="1363" t="s">
        <v>1675</v>
      </c>
      <c r="C1141" s="1363"/>
      <c r="D1141" s="1363"/>
      <c r="E1141" s="1363"/>
      <c r="F1141" s="308"/>
      <c r="G1141" s="307" t="s">
        <v>1056</v>
      </c>
      <c r="H1141" s="1214">
        <v>575</v>
      </c>
      <c r="I1141" s="1214"/>
      <c r="J1141" s="1214">
        <v>300</v>
      </c>
      <c r="K1141" s="1214"/>
      <c r="L1141" s="1214" t="s">
        <v>1057</v>
      </c>
      <c r="M1141" s="1214"/>
      <c r="N1141" s="1214" t="s">
        <v>1057</v>
      </c>
      <c r="O1141" s="1214"/>
    </row>
    <row r="1142" spans="1:15">
      <c r="A1142" s="493">
        <v>4</v>
      </c>
      <c r="B1142" s="1363" t="s">
        <v>1676</v>
      </c>
      <c r="C1142" s="1363"/>
      <c r="D1142" s="1363"/>
      <c r="E1142" s="1363"/>
      <c r="F1142" s="308"/>
      <c r="G1142" s="307" t="s">
        <v>1056</v>
      </c>
      <c r="H1142" s="1214">
        <v>500</v>
      </c>
      <c r="I1142" s="1214"/>
      <c r="J1142" s="1214" t="s">
        <v>1057</v>
      </c>
      <c r="K1142" s="1214"/>
      <c r="L1142" s="1214" t="s">
        <v>1057</v>
      </c>
      <c r="M1142" s="1214"/>
      <c r="N1142" s="1214">
        <v>575</v>
      </c>
      <c r="O1142" s="1214"/>
    </row>
    <row r="1143" spans="1:15">
      <c r="A1143" s="495">
        <v>5</v>
      </c>
      <c r="B1143" s="1363" t="s">
        <v>1677</v>
      </c>
      <c r="C1143" s="1363"/>
      <c r="D1143" s="1363"/>
      <c r="E1143" s="1363"/>
      <c r="F1143" s="308"/>
      <c r="G1143" s="1214"/>
      <c r="H1143" s="1214"/>
      <c r="I1143" s="1214"/>
      <c r="J1143" s="1214"/>
      <c r="K1143" s="1214"/>
      <c r="L1143" s="1214"/>
      <c r="M1143" s="1214"/>
      <c r="N1143" s="1214"/>
      <c r="O1143" s="1214"/>
    </row>
    <row r="1144" spans="1:15">
      <c r="A1144" s="1434"/>
      <c r="B1144" s="1363" t="s">
        <v>1678</v>
      </c>
      <c r="C1144" s="1363"/>
      <c r="D1144" s="1363"/>
      <c r="E1144" s="1363"/>
      <c r="F1144" s="308"/>
      <c r="G1144" s="1214"/>
      <c r="H1144" s="1214"/>
      <c r="I1144" s="1214"/>
      <c r="J1144" s="1214"/>
      <c r="K1144" s="1214"/>
      <c r="L1144" s="1214"/>
      <c r="M1144" s="1214"/>
      <c r="N1144" s="1214"/>
      <c r="O1144" s="1214"/>
    </row>
    <row r="1145" spans="1:15">
      <c r="A1145" s="1434"/>
      <c r="B1145" s="1363" t="s">
        <v>1679</v>
      </c>
      <c r="C1145" s="1363"/>
      <c r="D1145" s="1363"/>
      <c r="E1145" s="1363"/>
      <c r="F1145" s="308"/>
      <c r="G1145" s="1214"/>
      <c r="H1145" s="1214"/>
      <c r="I1145" s="1214"/>
      <c r="J1145" s="1214"/>
      <c r="K1145" s="1214"/>
      <c r="L1145" s="1214"/>
      <c r="M1145" s="1214"/>
      <c r="N1145" s="1214"/>
      <c r="O1145" s="1214"/>
    </row>
    <row r="1146" spans="1:15">
      <c r="A1146" s="1434"/>
      <c r="B1146" s="1363" t="s">
        <v>1680</v>
      </c>
      <c r="C1146" s="1363"/>
      <c r="D1146" s="1363"/>
      <c r="E1146" s="1363"/>
      <c r="F1146" s="308"/>
      <c r="G1146" s="1214"/>
      <c r="H1146" s="1214"/>
      <c r="I1146" s="1214"/>
      <c r="J1146" s="1214"/>
      <c r="K1146" s="1214"/>
      <c r="L1146" s="1214"/>
      <c r="M1146" s="1214"/>
      <c r="N1146" s="1214"/>
      <c r="O1146" s="1214"/>
    </row>
    <row r="1147" spans="1:15">
      <c r="A1147" s="1435"/>
      <c r="B1147" s="1363" t="s">
        <v>1681</v>
      </c>
      <c r="C1147" s="1363"/>
      <c r="D1147" s="1363"/>
      <c r="E1147" s="1363"/>
      <c r="F1147" s="308"/>
      <c r="G1147" s="307" t="s">
        <v>1056</v>
      </c>
      <c r="H1147" s="1214">
        <v>575</v>
      </c>
      <c r="I1147" s="1214"/>
      <c r="J1147" s="1214">
        <v>275</v>
      </c>
      <c r="K1147" s="1214"/>
      <c r="L1147" s="1214" t="s">
        <v>1057</v>
      </c>
      <c r="M1147" s="1214"/>
      <c r="N1147" s="1214" t="s">
        <v>1057</v>
      </c>
      <c r="O1147" s="1214"/>
    </row>
    <row r="1148" spans="1:15">
      <c r="A1148" s="495">
        <v>6</v>
      </c>
      <c r="B1148" s="1363" t="s">
        <v>1682</v>
      </c>
      <c r="C1148" s="1363"/>
      <c r="D1148" s="1363"/>
      <c r="E1148" s="1363"/>
      <c r="F1148" s="308"/>
      <c r="G1148" s="1214"/>
      <c r="H1148" s="1214"/>
      <c r="I1148" s="1214"/>
      <c r="J1148" s="1214"/>
      <c r="K1148" s="1214"/>
      <c r="L1148" s="1214"/>
      <c r="M1148" s="1214"/>
      <c r="N1148" s="1214"/>
      <c r="O1148" s="1214"/>
    </row>
    <row r="1149" spans="1:15">
      <c r="A1149" s="492"/>
      <c r="B1149" s="1363" t="s">
        <v>1683</v>
      </c>
      <c r="C1149" s="1363"/>
      <c r="D1149" s="1363"/>
      <c r="E1149" s="1363"/>
      <c r="F1149" s="308"/>
      <c r="G1149" s="307" t="s">
        <v>1056</v>
      </c>
      <c r="H1149" s="1214">
        <v>500</v>
      </c>
      <c r="I1149" s="1214"/>
      <c r="J1149" s="1214" t="s">
        <v>1057</v>
      </c>
      <c r="K1149" s="1214"/>
      <c r="L1149" s="1214">
        <v>300</v>
      </c>
      <c r="M1149" s="1214"/>
      <c r="N1149" s="1214" t="s">
        <v>1057</v>
      </c>
      <c r="O1149" s="1214"/>
    </row>
    <row r="1150" spans="1:15">
      <c r="A1150" s="495">
        <v>7</v>
      </c>
      <c r="B1150" s="1363" t="s">
        <v>1684</v>
      </c>
      <c r="C1150" s="1363"/>
      <c r="D1150" s="1363"/>
      <c r="E1150" s="1363"/>
      <c r="F1150" s="308"/>
      <c r="G1150" s="1214"/>
      <c r="H1150" s="1214"/>
      <c r="I1150" s="1214"/>
      <c r="J1150" s="1214"/>
      <c r="K1150" s="1214"/>
      <c r="L1150" s="1214"/>
      <c r="M1150" s="1214"/>
      <c r="N1150" s="1214"/>
      <c r="O1150" s="1214"/>
    </row>
    <row r="1151" spans="1:15">
      <c r="A1151" s="492"/>
      <c r="B1151" s="1363" t="s">
        <v>1685</v>
      </c>
      <c r="C1151" s="1363"/>
      <c r="D1151" s="1363"/>
      <c r="E1151" s="1363"/>
      <c r="F1151" s="308"/>
      <c r="G1151" s="307" t="s">
        <v>1056</v>
      </c>
      <c r="H1151" s="1214">
        <v>525</v>
      </c>
      <c r="I1151" s="1214"/>
      <c r="J1151" s="1214" t="s">
        <v>1057</v>
      </c>
      <c r="K1151" s="1214"/>
      <c r="L1151" s="1214">
        <v>250</v>
      </c>
      <c r="M1151" s="1214"/>
      <c r="N1151" s="1214" t="s">
        <v>1057</v>
      </c>
      <c r="O1151" s="1214"/>
    </row>
    <row r="1152" spans="1:15">
      <c r="A1152" s="495">
        <v>8</v>
      </c>
      <c r="B1152" s="1363" t="s">
        <v>1686</v>
      </c>
      <c r="C1152" s="1363"/>
      <c r="D1152" s="1363"/>
      <c r="E1152" s="1363"/>
      <c r="F1152" s="308"/>
      <c r="G1152" s="1214"/>
      <c r="H1152" s="1214"/>
      <c r="I1152" s="1214"/>
      <c r="J1152" s="1214"/>
      <c r="K1152" s="1214"/>
      <c r="L1152" s="1214"/>
      <c r="M1152" s="1214"/>
      <c r="N1152" s="1214"/>
      <c r="O1152" s="1214"/>
    </row>
    <row r="1153" spans="1:15">
      <c r="A1153" s="1434"/>
      <c r="B1153" s="1363" t="s">
        <v>1687</v>
      </c>
      <c r="C1153" s="1363"/>
      <c r="D1153" s="1363"/>
      <c r="E1153" s="1363"/>
      <c r="F1153" s="308"/>
      <c r="G1153" s="1214"/>
      <c r="H1153" s="1214"/>
      <c r="I1153" s="1214"/>
      <c r="J1153" s="1214"/>
      <c r="K1153" s="1214"/>
      <c r="L1153" s="1214"/>
      <c r="M1153" s="1214"/>
      <c r="N1153" s="1214"/>
      <c r="O1153" s="1214"/>
    </row>
    <row r="1154" spans="1:15">
      <c r="A1154" s="1435"/>
      <c r="B1154" s="1363" t="s">
        <v>1688</v>
      </c>
      <c r="C1154" s="1363"/>
      <c r="D1154" s="1363"/>
      <c r="E1154" s="1363"/>
      <c r="F1154" s="308"/>
      <c r="G1154" s="307" t="s">
        <v>1056</v>
      </c>
      <c r="H1154" s="1214">
        <v>525</v>
      </c>
      <c r="I1154" s="1214"/>
      <c r="J1154" s="1214" t="s">
        <v>1057</v>
      </c>
      <c r="K1154" s="1214"/>
      <c r="L1154" s="1214">
        <v>225</v>
      </c>
      <c r="M1154" s="1214"/>
      <c r="N1154" s="1214" t="s">
        <v>1057</v>
      </c>
      <c r="O1154" s="1214"/>
    </row>
    <row r="1155" spans="1:15">
      <c r="A1155" s="495">
        <v>9</v>
      </c>
      <c r="B1155" s="1363" t="s">
        <v>1689</v>
      </c>
      <c r="C1155" s="1363"/>
      <c r="D1155" s="1363"/>
      <c r="E1155" s="1363"/>
      <c r="F1155" s="448"/>
      <c r="G1155" s="1349"/>
      <c r="H1155" s="1360"/>
      <c r="I1155" s="1360"/>
      <c r="J1155" s="1360"/>
      <c r="K1155" s="1360"/>
      <c r="L1155" s="1360"/>
      <c r="M1155" s="1360"/>
      <c r="N1155" s="1360"/>
      <c r="O1155" s="1291"/>
    </row>
    <row r="1156" spans="1:15">
      <c r="A1156" s="1434"/>
      <c r="B1156" s="1363" t="s">
        <v>1690</v>
      </c>
      <c r="C1156" s="1363"/>
      <c r="D1156" s="1363"/>
      <c r="E1156" s="1363"/>
      <c r="F1156" s="450"/>
      <c r="G1156" s="1351"/>
      <c r="H1156" s="1362"/>
      <c r="I1156" s="1362"/>
      <c r="J1156" s="1362"/>
      <c r="K1156" s="1362"/>
      <c r="L1156" s="1362"/>
      <c r="M1156" s="1362"/>
      <c r="N1156" s="1362"/>
      <c r="O1156" s="1293"/>
    </row>
    <row r="1157" spans="1:15">
      <c r="A1157" s="1435"/>
      <c r="B1157" s="1363" t="s">
        <v>1691</v>
      </c>
      <c r="C1157" s="1363"/>
      <c r="D1157" s="1363"/>
      <c r="E1157" s="1363"/>
      <c r="F1157" s="308"/>
      <c r="G1157" s="307" t="s">
        <v>1056</v>
      </c>
      <c r="H1157" s="1214">
        <v>500</v>
      </c>
      <c r="I1157" s="1214"/>
      <c r="J1157" s="1214" t="s">
        <v>1057</v>
      </c>
      <c r="K1157" s="1214"/>
      <c r="L1157" s="1214">
        <v>225</v>
      </c>
      <c r="M1157" s="1214"/>
      <c r="N1157" s="1214" t="s">
        <v>1196</v>
      </c>
      <c r="O1157" s="1214"/>
    </row>
    <row r="1158" spans="1:15">
      <c r="A1158" s="495">
        <v>10</v>
      </c>
      <c r="B1158" s="1363" t="s">
        <v>1692</v>
      </c>
      <c r="C1158" s="1363"/>
      <c r="D1158" s="1363"/>
      <c r="E1158" s="1363"/>
      <c r="F1158" s="308"/>
      <c r="G1158" s="1214"/>
      <c r="H1158" s="1214"/>
      <c r="I1158" s="1214"/>
      <c r="J1158" s="1214"/>
      <c r="K1158" s="1214"/>
      <c r="L1158" s="1214"/>
      <c r="M1158" s="1214"/>
      <c r="N1158" s="1214"/>
      <c r="O1158" s="1214"/>
    </row>
    <row r="1159" spans="1:15">
      <c r="A1159" s="492"/>
      <c r="B1159" s="1363" t="s">
        <v>1693</v>
      </c>
      <c r="C1159" s="1363"/>
      <c r="D1159" s="1363"/>
      <c r="E1159" s="1363"/>
      <c r="F1159" s="308"/>
      <c r="G1159" s="307" t="s">
        <v>1056</v>
      </c>
      <c r="H1159" s="1214">
        <v>500</v>
      </c>
      <c r="I1159" s="1214"/>
      <c r="J1159" s="1214">
        <v>325</v>
      </c>
      <c r="K1159" s="1214"/>
      <c r="L1159" s="1214" t="s">
        <v>1057</v>
      </c>
      <c r="M1159" s="1214"/>
      <c r="N1159" s="1214" t="s">
        <v>1057</v>
      </c>
      <c r="O1159" s="1214"/>
    </row>
    <row r="1160" spans="1:15">
      <c r="A1160" s="493">
        <v>11</v>
      </c>
      <c r="B1160" s="1363" t="s">
        <v>1694</v>
      </c>
      <c r="C1160" s="1363"/>
      <c r="D1160" s="1363"/>
      <c r="E1160" s="1363"/>
      <c r="F1160" s="308"/>
      <c r="G1160" s="307" t="s">
        <v>1056</v>
      </c>
      <c r="H1160" s="1214">
        <v>500</v>
      </c>
      <c r="I1160" s="1214"/>
      <c r="J1160" s="1214" t="s">
        <v>1057</v>
      </c>
      <c r="K1160" s="1214"/>
      <c r="L1160" s="1214">
        <v>225</v>
      </c>
      <c r="M1160" s="1214"/>
      <c r="N1160" s="1214" t="s">
        <v>1057</v>
      </c>
      <c r="O1160" s="1214"/>
    </row>
    <row r="1161" spans="1:15">
      <c r="A1161" s="493">
        <v>12</v>
      </c>
      <c r="B1161" s="1494" t="s">
        <v>2959</v>
      </c>
      <c r="C1161" s="1494"/>
      <c r="D1161" s="1494"/>
      <c r="E1161" s="1494"/>
      <c r="F1161" s="442"/>
      <c r="G1161" s="307" t="s">
        <v>1056</v>
      </c>
      <c r="H1161" s="1214">
        <v>500</v>
      </c>
      <c r="I1161" s="1214"/>
      <c r="J1161" s="1484" t="s">
        <v>1057</v>
      </c>
      <c r="K1161" s="1484"/>
      <c r="L1161" s="1214">
        <v>225</v>
      </c>
      <c r="M1161" s="1214"/>
      <c r="N1161" s="1214" t="s">
        <v>1057</v>
      </c>
      <c r="O1161" s="1214"/>
    </row>
    <row r="1162" spans="1:15" ht="12.75" customHeight="1">
      <c r="A1162" s="493">
        <v>13</v>
      </c>
      <c r="B1162" s="1363" t="s">
        <v>1695</v>
      </c>
      <c r="C1162" s="1363"/>
      <c r="D1162" s="1363"/>
      <c r="E1162" s="1363"/>
      <c r="F1162" s="308"/>
      <c r="G1162" s="307" t="s">
        <v>1056</v>
      </c>
      <c r="H1162" s="1214">
        <v>500</v>
      </c>
      <c r="I1162" s="1214"/>
      <c r="J1162" s="1214" t="s">
        <v>1057</v>
      </c>
      <c r="K1162" s="1214"/>
      <c r="L1162" s="1214">
        <v>100</v>
      </c>
      <c r="M1162" s="1214"/>
      <c r="N1162" s="1214" t="s">
        <v>1057</v>
      </c>
      <c r="O1162" s="1214"/>
    </row>
    <row r="1163" spans="1:15">
      <c r="A1163" s="493">
        <v>14</v>
      </c>
      <c r="B1163" s="1363" t="s">
        <v>1696</v>
      </c>
      <c r="C1163" s="1363"/>
      <c r="D1163" s="1363"/>
      <c r="E1163" s="1363"/>
      <c r="F1163" s="308"/>
      <c r="G1163" s="307" t="s">
        <v>1056</v>
      </c>
      <c r="H1163" s="1214">
        <v>500</v>
      </c>
      <c r="I1163" s="1214"/>
      <c r="J1163" s="1214" t="s">
        <v>1057</v>
      </c>
      <c r="K1163" s="1214"/>
      <c r="L1163" s="1214">
        <v>50</v>
      </c>
      <c r="M1163" s="1214"/>
      <c r="N1163" s="1214" t="s">
        <v>1057</v>
      </c>
      <c r="O1163" s="1214"/>
    </row>
    <row r="1164" spans="1:15">
      <c r="A1164" s="495">
        <v>15</v>
      </c>
      <c r="B1164" s="1363" t="s">
        <v>1697</v>
      </c>
      <c r="C1164" s="1363"/>
      <c r="D1164" s="1363"/>
      <c r="E1164" s="1363"/>
      <c r="F1164" s="308"/>
      <c r="G1164" s="1214"/>
      <c r="H1164" s="1214"/>
      <c r="I1164" s="1214"/>
      <c r="J1164" s="1214"/>
      <c r="K1164" s="1214"/>
      <c r="L1164" s="1214"/>
      <c r="M1164" s="1214"/>
      <c r="N1164" s="1214"/>
      <c r="O1164" s="1214"/>
    </row>
    <row r="1165" spans="1:15">
      <c r="A1165" s="492"/>
      <c r="B1165" s="1363" t="s">
        <v>1698</v>
      </c>
      <c r="C1165" s="1363"/>
      <c r="D1165" s="1363"/>
      <c r="E1165" s="1363"/>
      <c r="F1165" s="308"/>
      <c r="G1165" s="307" t="s">
        <v>1056</v>
      </c>
      <c r="H1165" s="1214">
        <v>500</v>
      </c>
      <c r="I1165" s="1214"/>
      <c r="J1165" s="1214" t="s">
        <v>1057</v>
      </c>
      <c r="K1165" s="1214"/>
      <c r="L1165" s="1214">
        <v>225</v>
      </c>
      <c r="M1165" s="1214"/>
      <c r="N1165" s="1214" t="s">
        <v>1057</v>
      </c>
      <c r="O1165" s="1214"/>
    </row>
    <row r="1166" spans="1:15">
      <c r="H1166" s="1411"/>
      <c r="I1166" s="1411"/>
      <c r="J1166" s="1411"/>
      <c r="K1166" s="1411"/>
      <c r="L1166" s="1411"/>
      <c r="M1166" s="1411"/>
      <c r="N1166" s="1411"/>
      <c r="O1166" s="1411"/>
    </row>
    <row r="1167" spans="1:15">
      <c r="B1167" s="1495" t="s">
        <v>1699</v>
      </c>
      <c r="C1167" s="1495"/>
      <c r="D1167" s="1495"/>
      <c r="E1167" s="1495"/>
      <c r="F1167" s="438"/>
      <c r="H1167" s="1411"/>
      <c r="I1167" s="1411"/>
      <c r="J1167" s="1411"/>
      <c r="K1167" s="1411"/>
      <c r="L1167" s="1411"/>
      <c r="M1167" s="1411"/>
      <c r="N1167" s="1411"/>
      <c r="O1167" s="1411"/>
    </row>
    <row r="1168" spans="1:15">
      <c r="A1168" s="495">
        <v>1</v>
      </c>
      <c r="B1168" s="1460" t="s">
        <v>1700</v>
      </c>
      <c r="C1168" s="1460"/>
      <c r="D1168" s="1460"/>
      <c r="E1168" s="1460"/>
      <c r="F1168" s="304"/>
      <c r="G1168" s="1214"/>
      <c r="H1168" s="1214"/>
      <c r="I1168" s="1214"/>
      <c r="J1168" s="1214"/>
      <c r="K1168" s="1214"/>
      <c r="L1168" s="1214"/>
      <c r="M1168" s="1214"/>
      <c r="N1168" s="1214"/>
      <c r="O1168" s="1214"/>
    </row>
    <row r="1169" spans="1:15">
      <c r="A1169" s="1483"/>
      <c r="B1169" s="1393"/>
      <c r="C1169" s="1423" t="s">
        <v>1701</v>
      </c>
      <c r="D1169" s="1423"/>
      <c r="E1169" s="1423"/>
      <c r="F1169" s="304"/>
      <c r="G1169" s="307" t="s">
        <v>1056</v>
      </c>
      <c r="H1169" s="1214">
        <v>575</v>
      </c>
      <c r="I1169" s="1214"/>
      <c r="J1169" s="1214">
        <v>225</v>
      </c>
      <c r="K1169" s="1214"/>
      <c r="L1169" s="1214">
        <v>1125</v>
      </c>
      <c r="M1169" s="1214"/>
      <c r="N1169" s="1214" t="s">
        <v>1057</v>
      </c>
      <c r="O1169" s="1214"/>
    </row>
    <row r="1170" spans="1:15">
      <c r="A1170" s="1393"/>
      <c r="B1170" s="1393"/>
      <c r="C1170" s="1423" t="s">
        <v>1702</v>
      </c>
      <c r="D1170" s="1423"/>
      <c r="E1170" s="1423"/>
      <c r="F1170" s="304"/>
      <c r="G1170" s="307" t="s">
        <v>1056</v>
      </c>
      <c r="H1170" s="1214">
        <v>500</v>
      </c>
      <c r="I1170" s="1214"/>
      <c r="J1170" s="1214">
        <v>225</v>
      </c>
      <c r="K1170" s="1214"/>
      <c r="L1170" s="1214">
        <v>525</v>
      </c>
      <c r="M1170" s="1214"/>
      <c r="N1170" s="1214" t="s">
        <v>1057</v>
      </c>
      <c r="O1170" s="1214"/>
    </row>
    <row r="1171" spans="1:15">
      <c r="A1171" s="1393"/>
      <c r="B1171" s="1393"/>
      <c r="C1171" s="1423" t="s">
        <v>1703</v>
      </c>
      <c r="D1171" s="1423"/>
      <c r="E1171" s="1423"/>
      <c r="F1171" s="304"/>
      <c r="G1171" s="307" t="s">
        <v>1056</v>
      </c>
      <c r="H1171" s="1214">
        <v>500</v>
      </c>
      <c r="I1171" s="1214"/>
      <c r="J1171" s="1214">
        <v>225</v>
      </c>
      <c r="K1171" s="1214"/>
      <c r="L1171" s="1214">
        <v>575</v>
      </c>
      <c r="M1171" s="1214"/>
      <c r="N1171" s="1214" t="s">
        <v>1057</v>
      </c>
      <c r="O1171" s="1214"/>
    </row>
    <row r="1172" spans="1:15">
      <c r="A1172" s="1393"/>
      <c r="B1172" s="1393"/>
      <c r="C1172" s="1423" t="s">
        <v>1704</v>
      </c>
      <c r="D1172" s="1423"/>
      <c r="E1172" s="1423"/>
      <c r="F1172" s="304"/>
      <c r="G1172" s="307" t="s">
        <v>1056</v>
      </c>
      <c r="H1172" s="1214">
        <v>500</v>
      </c>
      <c r="I1172" s="1214"/>
      <c r="J1172" s="1214">
        <v>225</v>
      </c>
      <c r="K1172" s="1214"/>
      <c r="L1172" s="1214" t="s">
        <v>1057</v>
      </c>
      <c r="M1172" s="1214"/>
      <c r="N1172" s="1214" t="s">
        <v>1057</v>
      </c>
      <c r="O1172" s="1214"/>
    </row>
    <row r="1173" spans="1:15">
      <c r="A1173" s="493">
        <v>2</v>
      </c>
      <c r="B1173" s="1460" t="s">
        <v>1705</v>
      </c>
      <c r="C1173" s="1460"/>
      <c r="D1173" s="1460"/>
      <c r="E1173" s="1460"/>
      <c r="F1173" s="304"/>
      <c r="G1173" s="307" t="s">
        <v>1056</v>
      </c>
      <c r="H1173" s="1214">
        <v>575</v>
      </c>
      <c r="I1173" s="1214"/>
      <c r="J1173" s="1214" t="s">
        <v>1057</v>
      </c>
      <c r="K1173" s="1214"/>
      <c r="L1173" s="1214" t="s">
        <v>1057</v>
      </c>
      <c r="M1173" s="1214"/>
      <c r="N1173" s="1214" t="s">
        <v>1057</v>
      </c>
      <c r="O1173" s="1214"/>
    </row>
    <row r="1174" spans="1:15">
      <c r="H1174" s="1411"/>
      <c r="I1174" s="1411"/>
      <c r="J1174" s="1411"/>
      <c r="K1174" s="1411"/>
      <c r="L1174" s="1411"/>
      <c r="M1174" s="1411"/>
      <c r="N1174" s="1411"/>
      <c r="O1174" s="1411"/>
    </row>
    <row r="1175" spans="1:15">
      <c r="B1175" s="1490" t="s">
        <v>1706</v>
      </c>
      <c r="C1175" s="1490"/>
      <c r="D1175" s="1490"/>
      <c r="E1175" s="1490"/>
      <c r="F1175" s="306"/>
      <c r="H1175" s="1411"/>
      <c r="I1175" s="1411"/>
      <c r="J1175" s="1411"/>
      <c r="K1175" s="1411"/>
      <c r="L1175" s="1411"/>
      <c r="M1175" s="1411"/>
      <c r="N1175" s="1411"/>
      <c r="O1175" s="1411"/>
    </row>
    <row r="1176" spans="1:15">
      <c r="B1176" s="1490" t="s">
        <v>1399</v>
      </c>
      <c r="C1176" s="1490"/>
      <c r="D1176" s="1490"/>
      <c r="E1176" s="1490"/>
      <c r="F1176" s="306"/>
      <c r="H1176" s="1411"/>
      <c r="I1176" s="1411"/>
      <c r="J1176" s="1411"/>
      <c r="K1176" s="1411"/>
      <c r="L1176" s="1411"/>
      <c r="M1176" s="1411"/>
      <c r="N1176" s="1411"/>
      <c r="O1176" s="1411"/>
    </row>
    <row r="1177" spans="1:15">
      <c r="A1177" s="493">
        <v>1</v>
      </c>
      <c r="B1177" s="1460" t="s">
        <v>1707</v>
      </c>
      <c r="C1177" s="1460"/>
      <c r="D1177" s="1460"/>
      <c r="E1177" s="1460"/>
      <c r="F1177" s="304"/>
      <c r="G1177" s="307" t="s">
        <v>1056</v>
      </c>
      <c r="H1177" s="1214">
        <v>500</v>
      </c>
      <c r="I1177" s="1214"/>
      <c r="J1177" s="1214">
        <v>400</v>
      </c>
      <c r="K1177" s="1214"/>
      <c r="L1177" s="1214">
        <v>925</v>
      </c>
      <c r="M1177" s="1214"/>
      <c r="N1177" s="1214" t="s">
        <v>1057</v>
      </c>
      <c r="O1177" s="1214"/>
    </row>
    <row r="1178" spans="1:15">
      <c r="A1178" s="493">
        <v>2</v>
      </c>
      <c r="B1178" s="1460" t="s">
        <v>1708</v>
      </c>
      <c r="C1178" s="1460"/>
      <c r="D1178" s="1460"/>
      <c r="E1178" s="1460"/>
      <c r="F1178" s="304"/>
      <c r="G1178" s="307" t="s">
        <v>1056</v>
      </c>
      <c r="H1178" s="1214">
        <v>725</v>
      </c>
      <c r="I1178" s="1214"/>
      <c r="J1178" s="1214" t="s">
        <v>1057</v>
      </c>
      <c r="K1178" s="1214"/>
      <c r="L1178" s="1214">
        <v>725</v>
      </c>
      <c r="M1178" s="1214"/>
      <c r="N1178" s="1214" t="s">
        <v>1057</v>
      </c>
      <c r="O1178" s="1214"/>
    </row>
    <row r="1179" spans="1:15">
      <c r="A1179" s="495">
        <v>3</v>
      </c>
      <c r="B1179" s="1460" t="s">
        <v>1709</v>
      </c>
      <c r="C1179" s="1460"/>
      <c r="D1179" s="1460"/>
      <c r="E1179" s="1460"/>
      <c r="F1179" s="304"/>
      <c r="G1179" s="1214"/>
      <c r="H1179" s="1214"/>
      <c r="I1179" s="1214"/>
      <c r="J1179" s="1214"/>
      <c r="K1179" s="1214"/>
      <c r="L1179" s="1214"/>
      <c r="M1179" s="1214"/>
      <c r="N1179" s="1214"/>
      <c r="O1179" s="1214"/>
    </row>
    <row r="1180" spans="1:15">
      <c r="A1180" s="1483"/>
      <c r="B1180" s="1393"/>
      <c r="C1180" s="1507" t="s">
        <v>2960</v>
      </c>
      <c r="D1180" s="1508"/>
      <c r="E1180" s="1508"/>
      <c r="F1180" s="423"/>
      <c r="G1180" s="307" t="s">
        <v>1056</v>
      </c>
      <c r="H1180" s="1214">
        <v>650</v>
      </c>
      <c r="I1180" s="1214"/>
      <c r="J1180" s="1214"/>
      <c r="K1180" s="1214"/>
      <c r="L1180" s="1214">
        <v>650</v>
      </c>
      <c r="M1180" s="1214"/>
      <c r="N1180" s="1214"/>
      <c r="O1180" s="1214"/>
    </row>
    <row r="1181" spans="1:15">
      <c r="A1181" s="495">
        <v>4</v>
      </c>
      <c r="B1181" s="1460" t="s">
        <v>1710</v>
      </c>
      <c r="C1181" s="1460"/>
      <c r="D1181" s="1460"/>
      <c r="E1181" s="1460"/>
      <c r="F1181" s="304"/>
      <c r="G1181" s="1214"/>
      <c r="H1181" s="1214"/>
      <c r="I1181" s="1214"/>
      <c r="J1181" s="1214"/>
      <c r="K1181" s="1214"/>
      <c r="L1181" s="1214"/>
      <c r="M1181" s="1214"/>
      <c r="N1181" s="1214"/>
      <c r="O1181" s="1214"/>
    </row>
    <row r="1182" spans="1:15">
      <c r="A1182" s="1483"/>
      <c r="B1182" s="1393"/>
      <c r="C1182" s="1423" t="s">
        <v>1711</v>
      </c>
      <c r="D1182" s="1423"/>
      <c r="E1182" s="1423"/>
      <c r="F1182" s="304"/>
      <c r="G1182" s="307" t="s">
        <v>1056</v>
      </c>
      <c r="H1182" s="1214">
        <v>725</v>
      </c>
      <c r="I1182" s="1214"/>
      <c r="J1182" s="1214" t="s">
        <v>1057</v>
      </c>
      <c r="K1182" s="1214"/>
      <c r="L1182" s="1214">
        <v>650</v>
      </c>
      <c r="M1182" s="1214"/>
      <c r="N1182" s="1214" t="s">
        <v>1057</v>
      </c>
      <c r="O1182" s="1214"/>
    </row>
    <row r="1183" spans="1:15">
      <c r="A1183" s="1393"/>
      <c r="B1183" s="1393"/>
      <c r="C1183" s="1423" t="s">
        <v>1712</v>
      </c>
      <c r="D1183" s="1423"/>
      <c r="E1183" s="1423"/>
      <c r="F1183" s="304"/>
      <c r="G1183" s="307" t="s">
        <v>1056</v>
      </c>
      <c r="H1183" s="1214">
        <v>725</v>
      </c>
      <c r="I1183" s="1214"/>
      <c r="J1183" s="1214" t="s">
        <v>1057</v>
      </c>
      <c r="K1183" s="1214"/>
      <c r="L1183" s="1214">
        <v>575</v>
      </c>
      <c r="M1183" s="1214"/>
      <c r="N1183" s="1214" t="s">
        <v>1057</v>
      </c>
      <c r="O1183" s="1214"/>
    </row>
    <row r="1184" spans="1:15">
      <c r="H1184" s="1411"/>
      <c r="I1184" s="1411"/>
      <c r="J1184" s="1411"/>
      <c r="K1184" s="1411"/>
      <c r="L1184" s="1411"/>
      <c r="M1184" s="1411"/>
      <c r="N1184" s="1411"/>
      <c r="O1184" s="1411"/>
    </row>
    <row r="1185" spans="1:15" ht="12.75" customHeight="1">
      <c r="B1185" s="1490" t="s">
        <v>1713</v>
      </c>
      <c r="C1185" s="1490"/>
      <c r="D1185" s="1490"/>
      <c r="E1185" s="1490"/>
      <c r="F1185" s="306"/>
      <c r="G1185" s="1411"/>
      <c r="H1185" s="1411"/>
      <c r="I1185" s="1411"/>
      <c r="J1185" s="1411"/>
      <c r="K1185" s="1411"/>
      <c r="L1185" s="1411"/>
      <c r="M1185" s="1411"/>
      <c r="N1185" s="1411"/>
      <c r="O1185" s="1411"/>
    </row>
    <row r="1186" spans="1:15">
      <c r="A1186" s="493">
        <v>1</v>
      </c>
      <c r="B1186" s="1460" t="s">
        <v>1714</v>
      </c>
      <c r="C1186" s="1460"/>
      <c r="D1186" s="1460"/>
      <c r="E1186" s="1460"/>
      <c r="F1186" s="304"/>
      <c r="G1186" s="307" t="s">
        <v>1056</v>
      </c>
      <c r="H1186" s="1214">
        <v>1450</v>
      </c>
      <c r="I1186" s="1214"/>
      <c r="J1186" s="1214" t="s">
        <v>1057</v>
      </c>
      <c r="K1186" s="1214"/>
      <c r="L1186" s="1214">
        <v>1700</v>
      </c>
      <c r="M1186" s="1214"/>
      <c r="N1186" s="1214" t="s">
        <v>1057</v>
      </c>
      <c r="O1186" s="1214"/>
    </row>
    <row r="1187" spans="1:15">
      <c r="A1187" s="493">
        <v>2</v>
      </c>
      <c r="B1187" s="1460" t="s">
        <v>1301</v>
      </c>
      <c r="C1187" s="1460"/>
      <c r="D1187" s="1460"/>
      <c r="E1187" s="1460"/>
      <c r="F1187" s="304"/>
      <c r="G1187" s="307" t="s">
        <v>1056</v>
      </c>
      <c r="H1187" s="1214">
        <v>800</v>
      </c>
      <c r="I1187" s="1214"/>
      <c r="J1187" s="1214" t="s">
        <v>1057</v>
      </c>
      <c r="K1187" s="1214"/>
      <c r="L1187" s="1214">
        <v>900</v>
      </c>
      <c r="M1187" s="1214"/>
      <c r="N1187" s="1214" t="s">
        <v>1057</v>
      </c>
      <c r="O1187" s="1214"/>
    </row>
    <row r="1188" spans="1:15">
      <c r="H1188" s="1411"/>
      <c r="I1188" s="1411"/>
      <c r="J1188" s="1411"/>
      <c r="K1188" s="1411"/>
      <c r="L1188" s="1411"/>
      <c r="M1188" s="1411"/>
      <c r="N1188" s="1411"/>
      <c r="O1188" s="1411"/>
    </row>
    <row r="1189" spans="1:15" ht="12.75" customHeight="1">
      <c r="B1189" s="1490" t="s">
        <v>1715</v>
      </c>
      <c r="C1189" s="1490"/>
      <c r="D1189" s="1490"/>
      <c r="E1189" s="1490"/>
      <c r="F1189" s="306"/>
      <c r="G1189" s="1411"/>
      <c r="H1189" s="1411"/>
      <c r="I1189" s="1411"/>
      <c r="J1189" s="1411"/>
      <c r="K1189" s="1411"/>
      <c r="L1189" s="1411"/>
      <c r="M1189" s="1411"/>
      <c r="N1189" s="1411"/>
      <c r="O1189" s="1411"/>
    </row>
    <row r="1190" spans="1:15" ht="12.75" customHeight="1">
      <c r="A1190" s="493">
        <v>1</v>
      </c>
      <c r="B1190" s="1460" t="s">
        <v>1410</v>
      </c>
      <c r="C1190" s="1460"/>
      <c r="D1190" s="1460"/>
      <c r="E1190" s="1460"/>
      <c r="F1190" s="304"/>
      <c r="G1190" s="307" t="s">
        <v>1056</v>
      </c>
      <c r="H1190" s="1214">
        <v>975</v>
      </c>
      <c r="I1190" s="1214"/>
      <c r="J1190" s="1214" t="s">
        <v>1057</v>
      </c>
      <c r="K1190" s="1214"/>
      <c r="L1190" s="1214">
        <v>975</v>
      </c>
      <c r="M1190" s="1214"/>
      <c r="N1190" s="1214" t="s">
        <v>1057</v>
      </c>
      <c r="O1190" s="1214"/>
    </row>
    <row r="1191" spans="1:15" ht="12.75" customHeight="1">
      <c r="A1191" s="493">
        <v>2</v>
      </c>
      <c r="B1191" s="1460" t="s">
        <v>1317</v>
      </c>
      <c r="C1191" s="1460"/>
      <c r="D1191" s="1460"/>
      <c r="E1191" s="1460"/>
      <c r="F1191" s="304"/>
      <c r="G1191" s="307" t="s">
        <v>1056</v>
      </c>
      <c r="H1191" s="1214">
        <v>800</v>
      </c>
      <c r="I1191" s="1214"/>
      <c r="J1191" s="1214" t="s">
        <v>1057</v>
      </c>
      <c r="K1191" s="1214"/>
      <c r="L1191" s="1214">
        <v>900</v>
      </c>
      <c r="M1191" s="1214"/>
      <c r="N1191" s="1214" t="s">
        <v>1057</v>
      </c>
      <c r="O1191" s="1214"/>
    </row>
    <row r="1193" spans="1:15" ht="73.5" customHeight="1">
      <c r="A1193" s="475" t="s">
        <v>2185</v>
      </c>
      <c r="B1193" s="508" t="s">
        <v>1056</v>
      </c>
      <c r="C1193" s="1415" t="s">
        <v>2961</v>
      </c>
      <c r="D1193" s="1302"/>
      <c r="E1193" s="1302"/>
      <c r="F1193" s="1302"/>
      <c r="G1193" s="1302"/>
      <c r="H1193" s="1302"/>
      <c r="I1193" s="1302"/>
      <c r="J1193" s="1302"/>
      <c r="K1193" s="1302"/>
      <c r="L1193" s="1302"/>
      <c r="M1193" s="1302"/>
      <c r="N1193" s="1302"/>
      <c r="O1193" s="1302"/>
    </row>
    <row r="1194" spans="1:15">
      <c r="A1194" s="1425"/>
      <c r="B1194" s="1425"/>
      <c r="C1194" s="1425"/>
      <c r="D1194" s="1425"/>
      <c r="E1194" s="1425"/>
      <c r="F1194" s="1425"/>
      <c r="G1194" s="1425"/>
      <c r="H1194" s="1425"/>
      <c r="I1194" s="1425"/>
      <c r="J1194" s="1425"/>
      <c r="K1194" s="1425"/>
      <c r="L1194" s="1425"/>
      <c r="M1194" s="1425"/>
      <c r="N1194" s="1425"/>
      <c r="O1194" s="1425"/>
    </row>
    <row r="1195" spans="1:15">
      <c r="A1195" s="1425"/>
      <c r="B1195" s="1425"/>
      <c r="C1195" s="1425"/>
      <c r="D1195" s="1425"/>
      <c r="E1195" s="1425"/>
      <c r="F1195" s="1425"/>
      <c r="G1195" s="1425"/>
      <c r="H1195" s="1425"/>
      <c r="I1195" s="1425"/>
      <c r="J1195" s="1425"/>
      <c r="K1195" s="1425"/>
      <c r="L1195" s="1425"/>
      <c r="M1195" s="1425"/>
      <c r="N1195" s="1425"/>
      <c r="O1195" s="1425"/>
    </row>
    <row r="1196" spans="1:15" s="315" customFormat="1" ht="17.25" customHeight="1">
      <c r="A1196" s="1506" t="s">
        <v>1716</v>
      </c>
      <c r="B1196" s="1506"/>
      <c r="C1196" s="1506"/>
      <c r="D1196" s="1506"/>
      <c r="E1196" s="1506"/>
      <c r="F1196" s="1506"/>
      <c r="G1196" s="1506"/>
      <c r="H1196" s="1506"/>
      <c r="I1196" s="1506"/>
      <c r="J1196" s="1506"/>
      <c r="K1196" s="1506"/>
      <c r="L1196" s="1506"/>
      <c r="M1196" s="1506"/>
      <c r="N1196" s="1506"/>
      <c r="O1196" s="1506"/>
    </row>
    <row r="1197" spans="1:15" s="315" customFormat="1" ht="17.25" customHeight="1">
      <c r="A1197" s="1506" t="s">
        <v>1717</v>
      </c>
      <c r="B1197" s="1506"/>
      <c r="C1197" s="1506"/>
      <c r="D1197" s="1506"/>
      <c r="E1197" s="1506"/>
      <c r="F1197" s="1506"/>
      <c r="G1197" s="1506"/>
      <c r="H1197" s="1506"/>
      <c r="I1197" s="1506"/>
      <c r="J1197" s="1506"/>
      <c r="K1197" s="1506"/>
      <c r="L1197" s="1506"/>
      <c r="M1197" s="1506"/>
      <c r="N1197" s="1506"/>
      <c r="O1197" s="1506"/>
    </row>
    <row r="1198" spans="1:15" s="315" customFormat="1" ht="17.25" customHeight="1">
      <c r="A1198" s="1425"/>
      <c r="B1198" s="1425"/>
      <c r="C1198" s="1425"/>
      <c r="D1198" s="1425"/>
      <c r="E1198" s="1425"/>
      <c r="F1198" s="1425"/>
      <c r="G1198" s="1425"/>
      <c r="H1198" s="1425"/>
      <c r="I1198" s="1425"/>
      <c r="J1198" s="1425"/>
      <c r="K1198" s="1425"/>
      <c r="L1198" s="1425"/>
      <c r="M1198" s="1425"/>
      <c r="N1198" s="1425"/>
      <c r="O1198" s="1425"/>
    </row>
    <row r="1199" spans="1:15" s="315" customFormat="1" ht="17.25" customHeight="1">
      <c r="A1199" s="1557" t="s">
        <v>1042</v>
      </c>
      <c r="B1199" s="1557"/>
      <c r="C1199" s="1557"/>
      <c r="D1199" s="1557"/>
      <c r="E1199" s="1557"/>
      <c r="F1199" s="1557"/>
      <c r="G1199" s="1557"/>
      <c r="H1199" s="1557"/>
      <c r="I1199" s="1557"/>
      <c r="J1199" s="1557"/>
      <c r="K1199" s="1557"/>
      <c r="L1199" s="1557"/>
      <c r="M1199" s="1557"/>
      <c r="N1199" s="1557"/>
      <c r="O1199" s="1557"/>
    </row>
    <row r="1200" spans="1:15" ht="26.25" customHeight="1">
      <c r="A1200" s="1557" t="s">
        <v>1718</v>
      </c>
      <c r="B1200" s="1557"/>
      <c r="C1200" s="1557"/>
      <c r="D1200" s="1557"/>
      <c r="E1200" s="1557"/>
      <c r="F1200" s="1557"/>
      <c r="G1200" s="1557"/>
      <c r="H1200" s="1557"/>
      <c r="I1200" s="1557"/>
      <c r="J1200" s="1557"/>
      <c r="K1200" s="1557"/>
      <c r="L1200" s="1557"/>
      <c r="M1200" s="1557"/>
      <c r="N1200" s="1557"/>
      <c r="O1200" s="1557"/>
    </row>
    <row r="1201" spans="1:17">
      <c r="A1201" s="1642"/>
      <c r="B1201" s="1642"/>
      <c r="C1201" s="1642"/>
      <c r="D1201" s="1642"/>
      <c r="E1201" s="1642"/>
      <c r="F1201" s="1642"/>
      <c r="G1201" s="1642"/>
      <c r="H1201" s="1642"/>
      <c r="I1201" s="1642"/>
      <c r="J1201" s="1642"/>
      <c r="K1201" s="1642"/>
      <c r="L1201" s="1642"/>
      <c r="M1201" s="1642"/>
      <c r="N1201" s="1642"/>
      <c r="O1201" s="1642"/>
    </row>
    <row r="1202" spans="1:17" ht="38.25" customHeight="1">
      <c r="A1202" s="502" t="s">
        <v>1051</v>
      </c>
      <c r="B1202" s="1429" t="s">
        <v>2635</v>
      </c>
      <c r="C1202" s="1430"/>
      <c r="D1202" s="1430"/>
      <c r="E1202" s="1430"/>
      <c r="F1202" s="1430"/>
      <c r="G1202" s="1430"/>
      <c r="H1202" s="1430"/>
      <c r="I1202" s="1430"/>
      <c r="J1202" s="1431"/>
      <c r="K1202" s="1432" t="s">
        <v>2962</v>
      </c>
      <c r="L1202" s="1432"/>
      <c r="M1202" s="1432" t="s">
        <v>2963</v>
      </c>
      <c r="N1202" s="1432"/>
      <c r="O1202" s="1432"/>
    </row>
    <row r="1203" spans="1:17" ht="16.5" customHeight="1">
      <c r="A1203" s="1475"/>
      <c r="B1203" s="1475"/>
      <c r="C1203" s="1475"/>
      <c r="D1203" s="1475"/>
      <c r="E1203" s="1475"/>
      <c r="F1203" s="1475"/>
      <c r="G1203" s="1475"/>
      <c r="H1203" s="1475"/>
      <c r="I1203" s="1475"/>
      <c r="J1203" s="1475"/>
      <c r="K1203" s="1475"/>
      <c r="L1203" s="1475"/>
      <c r="M1203" s="1475"/>
      <c r="N1203" s="1475"/>
      <c r="O1203" s="1475"/>
    </row>
    <row r="1204" spans="1:17" ht="12.75" customHeight="1">
      <c r="A1204" s="1572" t="s">
        <v>1719</v>
      </c>
      <c r="B1204" s="1572"/>
      <c r="C1204" s="1572"/>
      <c r="D1204" s="1572"/>
      <c r="E1204" s="1572"/>
      <c r="F1204" s="1572"/>
      <c r="G1204" s="1572"/>
      <c r="H1204" s="1572"/>
      <c r="I1204" s="1572"/>
      <c r="J1204" s="1572"/>
      <c r="K1204" s="1572"/>
      <c r="L1204" s="477" t="s">
        <v>1056</v>
      </c>
      <c r="M1204" s="1471">
        <v>345</v>
      </c>
      <c r="N1204" s="1471"/>
    </row>
    <row r="1205" spans="1:17" ht="17.25" customHeight="1">
      <c r="A1205" s="492">
        <v>1</v>
      </c>
      <c r="B1205" s="1573" t="s">
        <v>3007</v>
      </c>
      <c r="C1205" s="1573"/>
      <c r="D1205" s="1573"/>
      <c r="E1205" s="1573"/>
      <c r="F1205" s="1573"/>
      <c r="G1205" s="1573"/>
      <c r="H1205" s="1573"/>
      <c r="I1205" s="1573"/>
      <c r="J1205" s="456" t="s">
        <v>1056</v>
      </c>
      <c r="K1205" s="1369">
        <v>1</v>
      </c>
      <c r="L1205" s="1369"/>
      <c r="M1205" s="1216"/>
      <c r="N1205" s="1216"/>
    </row>
    <row r="1206" spans="1:17">
      <c r="A1206" s="1467"/>
      <c r="B1206" s="1467"/>
      <c r="C1206" s="1467"/>
      <c r="D1206" s="1467"/>
      <c r="E1206" s="1467"/>
      <c r="F1206" s="1467"/>
      <c r="G1206" s="1467"/>
      <c r="H1206" s="1467"/>
      <c r="I1206" s="1467"/>
      <c r="J1206" s="1467"/>
      <c r="K1206" s="1467"/>
      <c r="L1206" s="1467"/>
      <c r="M1206" s="1467"/>
      <c r="N1206" s="1467"/>
      <c r="O1206" s="1467"/>
    </row>
    <row r="1207" spans="1:17" ht="18.75" customHeight="1">
      <c r="A1207" s="1577" t="s">
        <v>1720</v>
      </c>
      <c r="B1207" s="1577"/>
      <c r="C1207" s="1577"/>
      <c r="D1207" s="1577"/>
      <c r="E1207" s="1577"/>
      <c r="F1207" s="1577"/>
      <c r="G1207" s="1577"/>
      <c r="H1207" s="1577"/>
      <c r="I1207" s="1577"/>
      <c r="J1207" s="1577"/>
      <c r="K1207" s="1577"/>
      <c r="L1207" s="477" t="s">
        <v>1056</v>
      </c>
      <c r="M1207" s="1471">
        <v>340</v>
      </c>
      <c r="N1207" s="1471"/>
    </row>
    <row r="1208" spans="1:17">
      <c r="A1208" s="475">
        <v>1</v>
      </c>
      <c r="B1208" s="1573" t="s">
        <v>3018</v>
      </c>
      <c r="C1208" s="1574"/>
      <c r="D1208" s="1574"/>
      <c r="E1208" s="1574"/>
      <c r="F1208" s="1574"/>
      <c r="G1208" s="1574"/>
      <c r="H1208" s="1574"/>
      <c r="I1208" s="1574"/>
      <c r="J1208" s="456" t="s">
        <v>1056</v>
      </c>
      <c r="K1208" s="1369">
        <v>1</v>
      </c>
      <c r="L1208" s="1369"/>
      <c r="M1208" s="1216"/>
      <c r="N1208" s="1216"/>
    </row>
    <row r="1209" spans="1:17">
      <c r="A1209" s="1467"/>
      <c r="B1209" s="1467"/>
      <c r="C1209" s="1467"/>
      <c r="D1209" s="1467"/>
      <c r="E1209" s="1467"/>
      <c r="F1209" s="1467"/>
      <c r="G1209" s="1467"/>
      <c r="H1209" s="1467"/>
      <c r="I1209" s="1467"/>
      <c r="J1209" s="1467"/>
      <c r="K1209" s="1467"/>
      <c r="L1209" s="1467"/>
      <c r="M1209" s="1467"/>
      <c r="N1209" s="1467"/>
      <c r="O1209" s="1467"/>
    </row>
    <row r="1210" spans="1:17" ht="12.75" customHeight="1">
      <c r="A1210" s="1577" t="s">
        <v>1721</v>
      </c>
      <c r="B1210" s="1577"/>
      <c r="C1210" s="1577"/>
      <c r="D1210" s="1577"/>
      <c r="E1210" s="1577"/>
      <c r="F1210" s="1577"/>
      <c r="G1210" s="1577"/>
      <c r="H1210" s="1577"/>
      <c r="I1210" s="1577"/>
      <c r="J1210" s="1577"/>
      <c r="K1210" s="1577"/>
      <c r="L1210" s="477" t="s">
        <v>1056</v>
      </c>
      <c r="M1210" s="1471">
        <v>335</v>
      </c>
      <c r="N1210" s="1471"/>
    </row>
    <row r="1211" spans="1:17" ht="12.75" customHeight="1">
      <c r="A1211" s="503">
        <v>1</v>
      </c>
      <c r="B1211" s="1575" t="s">
        <v>3008</v>
      </c>
      <c r="C1211" s="1575"/>
      <c r="D1211" s="1575"/>
      <c r="E1211" s="1575"/>
      <c r="F1211" s="1575"/>
      <c r="G1211" s="1575"/>
      <c r="H1211" s="1575"/>
      <c r="I1211" s="1575"/>
      <c r="J1211" s="478" t="s">
        <v>1056</v>
      </c>
      <c r="K1211" s="1576">
        <v>1</v>
      </c>
      <c r="L1211" s="1576"/>
      <c r="M1211" s="1377"/>
      <c r="N1211" s="1377"/>
      <c r="O1211" s="185"/>
    </row>
    <row r="1212" spans="1:17" ht="12.75" customHeight="1">
      <c r="A1212" s="493">
        <v>2</v>
      </c>
      <c r="B1212" s="1459" t="s">
        <v>3009</v>
      </c>
      <c r="C1212" s="1459"/>
      <c r="D1212" s="1459"/>
      <c r="E1212" s="1459"/>
      <c r="F1212" s="1459"/>
      <c r="G1212" s="1459"/>
      <c r="H1212" s="1459"/>
      <c r="I1212" s="1459"/>
      <c r="J1212" s="463" t="s">
        <v>1056</v>
      </c>
      <c r="K1212" s="1214">
        <v>1</v>
      </c>
      <c r="L1212" s="1214"/>
      <c r="M1212" s="1216"/>
      <c r="N1212" s="1216"/>
      <c r="P1212" s="99"/>
      <c r="Q1212" s="99"/>
    </row>
    <row r="1213" spans="1:17" ht="12.75" customHeight="1">
      <c r="A1213" s="493">
        <v>3</v>
      </c>
      <c r="B1213" s="1459" t="s">
        <v>3010</v>
      </c>
      <c r="C1213" s="1459"/>
      <c r="D1213" s="1459"/>
      <c r="E1213" s="1459"/>
      <c r="F1213" s="1459"/>
      <c r="G1213" s="1459"/>
      <c r="H1213" s="1459"/>
      <c r="I1213" s="1459"/>
      <c r="J1213" s="463" t="s">
        <v>1056</v>
      </c>
      <c r="K1213" s="1214">
        <v>1</v>
      </c>
      <c r="L1213" s="1214"/>
      <c r="M1213" s="1216"/>
      <c r="N1213" s="1216"/>
      <c r="P1213" s="99"/>
      <c r="Q1213" s="99"/>
    </row>
    <row r="1214" spans="1:17" ht="12.75" customHeight="1">
      <c r="A1214" s="493">
        <v>4</v>
      </c>
      <c r="B1214" s="1459" t="s">
        <v>3011</v>
      </c>
      <c r="C1214" s="1459"/>
      <c r="D1214" s="1459"/>
      <c r="E1214" s="1459"/>
      <c r="F1214" s="1459"/>
      <c r="G1214" s="1459"/>
      <c r="H1214" s="1459"/>
      <c r="I1214" s="1459"/>
      <c r="J1214" s="463" t="s">
        <v>1056</v>
      </c>
      <c r="K1214" s="1214">
        <v>1</v>
      </c>
      <c r="L1214" s="1214"/>
      <c r="M1214" s="1216"/>
      <c r="N1214" s="1216"/>
      <c r="P1214" s="99"/>
      <c r="Q1214" s="99"/>
    </row>
    <row r="1215" spans="1:17" ht="12.75" customHeight="1">
      <c r="A1215" s="493">
        <v>5</v>
      </c>
      <c r="B1215" s="1459" t="s">
        <v>3012</v>
      </c>
      <c r="C1215" s="1459"/>
      <c r="D1215" s="1459"/>
      <c r="E1215" s="1459"/>
      <c r="F1215" s="1459"/>
      <c r="G1215" s="1459"/>
      <c r="H1215" s="1459"/>
      <c r="I1215" s="1459"/>
      <c r="J1215" s="463" t="s">
        <v>1056</v>
      </c>
      <c r="K1215" s="1214">
        <v>1</v>
      </c>
      <c r="L1215" s="1214"/>
      <c r="M1215" s="1216"/>
      <c r="N1215" s="1216"/>
      <c r="P1215" s="99"/>
      <c r="Q1215" s="99"/>
    </row>
    <row r="1216" spans="1:17" ht="12.75" customHeight="1">
      <c r="A1216" s="493">
        <v>6</v>
      </c>
      <c r="B1216" s="1460" t="s">
        <v>1722</v>
      </c>
      <c r="C1216" s="1460"/>
      <c r="D1216" s="1460"/>
      <c r="E1216" s="1460"/>
      <c r="F1216" s="1460"/>
      <c r="G1216" s="1460"/>
      <c r="H1216" s="1460"/>
      <c r="I1216" s="1460"/>
      <c r="J1216" s="463" t="s">
        <v>1056</v>
      </c>
      <c r="K1216" s="1214">
        <v>1</v>
      </c>
      <c r="L1216" s="1214"/>
      <c r="M1216" s="1216"/>
      <c r="N1216" s="1216"/>
      <c r="P1216" s="99"/>
      <c r="Q1216" s="99"/>
    </row>
    <row r="1217" spans="1:19" ht="12.75" customHeight="1">
      <c r="A1217" s="493">
        <v>7</v>
      </c>
      <c r="B1217" s="1459" t="s">
        <v>3013</v>
      </c>
      <c r="C1217" s="1459"/>
      <c r="D1217" s="1459"/>
      <c r="E1217" s="1459"/>
      <c r="F1217" s="1459"/>
      <c r="G1217" s="1459"/>
      <c r="H1217" s="1459"/>
      <c r="I1217" s="1459"/>
      <c r="J1217" s="463" t="s">
        <v>1056</v>
      </c>
      <c r="K1217" s="1214">
        <v>1</v>
      </c>
      <c r="L1217" s="1214"/>
      <c r="M1217" s="1216"/>
      <c r="N1217" s="1216"/>
      <c r="P1217" s="99"/>
      <c r="Q1217" s="99"/>
    </row>
    <row r="1218" spans="1:19" ht="12.75" customHeight="1">
      <c r="A1218" s="493">
        <v>8</v>
      </c>
      <c r="B1218" s="1459" t="s">
        <v>3014</v>
      </c>
      <c r="C1218" s="1459"/>
      <c r="D1218" s="1459"/>
      <c r="E1218" s="1459"/>
      <c r="F1218" s="1459"/>
      <c r="G1218" s="1459"/>
      <c r="H1218" s="1459"/>
      <c r="I1218" s="1459"/>
      <c r="J1218" s="463" t="s">
        <v>1056</v>
      </c>
      <c r="K1218" s="1478">
        <v>1</v>
      </c>
      <c r="L1218" s="1478"/>
      <c r="M1218" s="1216"/>
      <c r="N1218" s="1216"/>
      <c r="P1218" s="99"/>
      <c r="Q1218" s="99"/>
      <c r="R1218" s="99"/>
      <c r="S1218" s="99"/>
    </row>
    <row r="1219" spans="1:19" ht="12.75" customHeight="1">
      <c r="A1219" s="493">
        <v>9</v>
      </c>
      <c r="B1219" s="1459" t="s">
        <v>3015</v>
      </c>
      <c r="C1219" s="1459"/>
      <c r="D1219" s="1459"/>
      <c r="E1219" s="1459"/>
      <c r="F1219" s="1459"/>
      <c r="G1219" s="1459"/>
      <c r="H1219" s="1459"/>
      <c r="I1219" s="1459"/>
      <c r="J1219" s="463" t="s">
        <v>1056</v>
      </c>
      <c r="K1219" s="1478">
        <v>1</v>
      </c>
      <c r="L1219" s="1478"/>
      <c r="M1219" s="1216"/>
      <c r="N1219" s="1216"/>
      <c r="P1219" s="99"/>
      <c r="Q1219" s="99"/>
      <c r="R1219" s="99"/>
      <c r="S1219" s="99"/>
    </row>
    <row r="1220" spans="1:19" ht="12.75" customHeight="1">
      <c r="A1220" s="493">
        <v>10</v>
      </c>
      <c r="B1220" s="1459" t="s">
        <v>3016</v>
      </c>
      <c r="C1220" s="1459"/>
      <c r="D1220" s="1459"/>
      <c r="E1220" s="1459"/>
      <c r="F1220" s="1459"/>
      <c r="G1220" s="1459"/>
      <c r="H1220" s="1459"/>
      <c r="I1220" s="1459"/>
      <c r="J1220" s="463" t="s">
        <v>1056</v>
      </c>
      <c r="K1220" s="1214">
        <v>1</v>
      </c>
      <c r="L1220" s="1214"/>
      <c r="M1220" s="1216"/>
      <c r="N1220" s="1216"/>
      <c r="P1220" s="99"/>
      <c r="Q1220" s="99"/>
    </row>
    <row r="1221" spans="1:19" ht="12.75" customHeight="1">
      <c r="A1221" s="493">
        <v>11</v>
      </c>
      <c r="B1221" s="1459" t="s">
        <v>3017</v>
      </c>
      <c r="C1221" s="1459"/>
      <c r="D1221" s="1459"/>
      <c r="E1221" s="1459"/>
      <c r="F1221" s="1459"/>
      <c r="G1221" s="1459"/>
      <c r="H1221" s="1459"/>
      <c r="I1221" s="1459"/>
      <c r="J1221" s="463" t="s">
        <v>1056</v>
      </c>
      <c r="K1221" s="1214">
        <v>1</v>
      </c>
      <c r="L1221" s="1214"/>
      <c r="M1221" s="1216"/>
      <c r="N1221" s="1216"/>
      <c r="P1221" s="99"/>
      <c r="Q1221" s="99"/>
    </row>
    <row r="1222" spans="1:19">
      <c r="A1222" s="1467"/>
      <c r="B1222" s="1467"/>
      <c r="C1222" s="1467"/>
      <c r="D1222" s="1467"/>
      <c r="E1222" s="1467"/>
      <c r="F1222" s="1467"/>
      <c r="G1222" s="1467"/>
      <c r="H1222" s="1467"/>
      <c r="I1222" s="1467"/>
      <c r="J1222" s="1467"/>
      <c r="K1222" s="1467"/>
      <c r="L1222" s="1467"/>
      <c r="M1222" s="1467"/>
      <c r="N1222" s="1467"/>
      <c r="O1222" s="1467"/>
      <c r="P1222" s="99"/>
      <c r="Q1222" s="99"/>
    </row>
    <row r="1223" spans="1:19" ht="12.75" customHeight="1">
      <c r="A1223" s="1473" t="s">
        <v>1723</v>
      </c>
      <c r="B1223" s="1473"/>
      <c r="C1223" s="1473"/>
      <c r="D1223" s="1473"/>
      <c r="E1223" s="1473"/>
      <c r="F1223" s="1473"/>
      <c r="G1223" s="1473"/>
      <c r="H1223" s="1473"/>
      <c r="I1223" s="1473"/>
      <c r="J1223" s="1473"/>
      <c r="K1223" s="1473"/>
      <c r="L1223" s="477" t="s">
        <v>1056</v>
      </c>
      <c r="M1223" s="1471">
        <v>330</v>
      </c>
      <c r="N1223" s="1471"/>
    </row>
    <row r="1224" spans="1:19" ht="12.75" customHeight="1">
      <c r="A1224" s="492">
        <v>1</v>
      </c>
      <c r="B1224" s="1474" t="s">
        <v>1724</v>
      </c>
      <c r="C1224" s="1474"/>
      <c r="D1224" s="1474"/>
      <c r="E1224" s="1474"/>
      <c r="F1224" s="1474"/>
      <c r="G1224" s="1474"/>
      <c r="H1224" s="1474"/>
      <c r="I1224" s="1474"/>
      <c r="J1224" s="476" t="s">
        <v>1056</v>
      </c>
      <c r="K1224" s="1369">
        <v>1</v>
      </c>
      <c r="L1224" s="1369"/>
      <c r="M1224" s="1216"/>
      <c r="N1224" s="1216"/>
      <c r="P1224" s="99"/>
      <c r="Q1224" s="99"/>
    </row>
    <row r="1225" spans="1:19" ht="12.75" customHeight="1">
      <c r="A1225" s="493">
        <v>2</v>
      </c>
      <c r="B1225" s="1460" t="s">
        <v>1725</v>
      </c>
      <c r="C1225" s="1460"/>
      <c r="D1225" s="1460"/>
      <c r="E1225" s="1460"/>
      <c r="F1225" s="1460"/>
      <c r="G1225" s="1460"/>
      <c r="H1225" s="1460"/>
      <c r="I1225" s="1460"/>
      <c r="J1225" s="463" t="s">
        <v>1056</v>
      </c>
      <c r="K1225" s="1214">
        <v>1</v>
      </c>
      <c r="L1225" s="1214"/>
      <c r="M1225" s="1216"/>
      <c r="N1225" s="1216"/>
      <c r="P1225" s="99"/>
      <c r="Q1225" s="99"/>
    </row>
    <row r="1226" spans="1:19" ht="12.75" customHeight="1">
      <c r="A1226" s="493">
        <v>3</v>
      </c>
      <c r="B1226" s="1459" t="s">
        <v>3022</v>
      </c>
      <c r="C1226" s="1460"/>
      <c r="D1226" s="1460"/>
      <c r="E1226" s="1460"/>
      <c r="F1226" s="1460"/>
      <c r="G1226" s="1460"/>
      <c r="H1226" s="1460"/>
      <c r="I1226" s="1460"/>
      <c r="J1226" s="463" t="s">
        <v>1056</v>
      </c>
      <c r="K1226" s="1478">
        <v>1</v>
      </c>
      <c r="L1226" s="1478"/>
      <c r="M1226" s="1216"/>
      <c r="N1226" s="1216"/>
      <c r="P1226" s="99"/>
      <c r="Q1226" s="99"/>
    </row>
    <row r="1227" spans="1:19" ht="12.75" customHeight="1">
      <c r="A1227" s="493">
        <v>4</v>
      </c>
      <c r="B1227" s="1460" t="s">
        <v>1726</v>
      </c>
      <c r="C1227" s="1460"/>
      <c r="D1227" s="1460"/>
      <c r="E1227" s="1460"/>
      <c r="F1227" s="1460"/>
      <c r="G1227" s="1460"/>
      <c r="H1227" s="1460"/>
      <c r="I1227" s="1460"/>
      <c r="J1227" s="463" t="s">
        <v>1056</v>
      </c>
      <c r="K1227" s="1214">
        <v>1</v>
      </c>
      <c r="L1227" s="1214"/>
      <c r="M1227" s="1216"/>
      <c r="N1227" s="1216"/>
      <c r="P1227" s="99"/>
      <c r="Q1227" s="99"/>
    </row>
    <row r="1228" spans="1:19" ht="12.75" customHeight="1">
      <c r="A1228" s="493">
        <v>5</v>
      </c>
      <c r="B1228" s="1460" t="s">
        <v>1727</v>
      </c>
      <c r="C1228" s="1460"/>
      <c r="D1228" s="1460"/>
      <c r="E1228" s="1460"/>
      <c r="F1228" s="1460"/>
      <c r="G1228" s="1460"/>
      <c r="H1228" s="1460"/>
      <c r="I1228" s="1460"/>
      <c r="J1228" s="463" t="s">
        <v>1056</v>
      </c>
      <c r="K1228" s="1214">
        <v>1</v>
      </c>
      <c r="L1228" s="1214"/>
      <c r="M1228" s="1216"/>
      <c r="N1228" s="1216"/>
      <c r="P1228" s="99"/>
      <c r="Q1228" s="99"/>
    </row>
    <row r="1229" spans="1:19" ht="25.5" customHeight="1">
      <c r="A1229" s="493">
        <v>6</v>
      </c>
      <c r="B1229" s="1311" t="s">
        <v>3021</v>
      </c>
      <c r="C1229" s="1311"/>
      <c r="D1229" s="1311"/>
      <c r="E1229" s="1311"/>
      <c r="F1229" s="1311"/>
      <c r="G1229" s="1311"/>
      <c r="H1229" s="1311"/>
      <c r="I1229" s="1311"/>
      <c r="J1229" s="464" t="s">
        <v>1056</v>
      </c>
      <c r="K1229" s="1570">
        <v>1</v>
      </c>
      <c r="L1229" s="1570"/>
      <c r="M1229" s="1216"/>
      <c r="N1229" s="1216"/>
      <c r="P1229" s="99"/>
      <c r="Q1229" s="99"/>
    </row>
    <row r="1230" spans="1:19" ht="36" customHeight="1">
      <c r="A1230" s="493">
        <v>7</v>
      </c>
      <c r="B1230" s="1459" t="s">
        <v>3019</v>
      </c>
      <c r="C1230" s="1459"/>
      <c r="D1230" s="1459"/>
      <c r="E1230" s="1459"/>
      <c r="F1230" s="1459"/>
      <c r="G1230" s="1459"/>
      <c r="H1230" s="1459"/>
      <c r="I1230" s="1459"/>
      <c r="J1230" s="464" t="s">
        <v>1056</v>
      </c>
      <c r="K1230" s="1214">
        <v>1</v>
      </c>
      <c r="L1230" s="1214"/>
      <c r="M1230" s="1216"/>
      <c r="N1230" s="1216"/>
      <c r="P1230" s="99"/>
      <c r="Q1230" s="99"/>
    </row>
    <row r="1231" spans="1:19" ht="12.75" customHeight="1">
      <c r="A1231" s="493">
        <v>8</v>
      </c>
      <c r="B1231" s="1460" t="s">
        <v>1728</v>
      </c>
      <c r="C1231" s="1460"/>
      <c r="D1231" s="1460"/>
      <c r="E1231" s="1460"/>
      <c r="F1231" s="1460"/>
      <c r="G1231" s="1460"/>
      <c r="H1231" s="1460"/>
      <c r="I1231" s="1460"/>
      <c r="J1231" s="463" t="s">
        <v>1056</v>
      </c>
      <c r="K1231" s="1214">
        <v>1</v>
      </c>
      <c r="L1231" s="1214"/>
      <c r="M1231" s="1216"/>
      <c r="N1231" s="1216"/>
      <c r="P1231" s="99"/>
      <c r="Q1231" s="99"/>
    </row>
    <row r="1232" spans="1:19" ht="12.75" customHeight="1">
      <c r="A1232" s="493">
        <v>9</v>
      </c>
      <c r="B1232" s="1460" t="s">
        <v>1729</v>
      </c>
      <c r="C1232" s="1460"/>
      <c r="D1232" s="1460"/>
      <c r="E1232" s="1460"/>
      <c r="F1232" s="1460"/>
      <c r="G1232" s="1460"/>
      <c r="H1232" s="1460"/>
      <c r="I1232" s="1460"/>
      <c r="J1232" s="463" t="s">
        <v>1056</v>
      </c>
      <c r="K1232" s="1214">
        <v>1</v>
      </c>
      <c r="L1232" s="1214"/>
      <c r="M1232" s="1216"/>
      <c r="N1232" s="1216"/>
      <c r="P1232" s="99"/>
      <c r="Q1232" s="99"/>
    </row>
    <row r="1233" spans="1:17" ht="43.5" customHeight="1">
      <c r="A1233" s="493">
        <v>10</v>
      </c>
      <c r="B1233" s="1459" t="s">
        <v>3020</v>
      </c>
      <c r="C1233" s="1459"/>
      <c r="D1233" s="1459"/>
      <c r="E1233" s="1459"/>
      <c r="F1233" s="1459"/>
      <c r="G1233" s="1459"/>
      <c r="H1233" s="1459"/>
      <c r="I1233" s="1459"/>
      <c r="J1233" s="464" t="s">
        <v>1056</v>
      </c>
      <c r="K1233" s="1393">
        <v>1</v>
      </c>
      <c r="L1233" s="1393"/>
      <c r="M1233" s="1216"/>
      <c r="N1233" s="1216"/>
      <c r="P1233" s="99"/>
      <c r="Q1233" s="99"/>
    </row>
    <row r="1234" spans="1:17" ht="12.75" customHeight="1">
      <c r="A1234" s="493">
        <v>11</v>
      </c>
      <c r="B1234" s="1459" t="s">
        <v>3023</v>
      </c>
      <c r="C1234" s="1460"/>
      <c r="D1234" s="1460"/>
      <c r="E1234" s="1460"/>
      <c r="F1234" s="1460"/>
      <c r="G1234" s="1460"/>
      <c r="H1234" s="1460"/>
      <c r="I1234" s="1460"/>
      <c r="J1234" s="464" t="s">
        <v>1056</v>
      </c>
      <c r="K1234" s="1478">
        <v>1</v>
      </c>
      <c r="L1234" s="1478"/>
      <c r="M1234" s="1216"/>
      <c r="N1234" s="1216"/>
      <c r="P1234" s="99"/>
      <c r="Q1234" s="99"/>
    </row>
    <row r="1235" spans="1:17" ht="12.75" customHeight="1">
      <c r="A1235" s="493">
        <v>12</v>
      </c>
      <c r="B1235" s="1460" t="s">
        <v>1730</v>
      </c>
      <c r="C1235" s="1460"/>
      <c r="D1235" s="1460"/>
      <c r="E1235" s="1460"/>
      <c r="F1235" s="1460"/>
      <c r="G1235" s="1460"/>
      <c r="H1235" s="1460"/>
      <c r="I1235" s="1460"/>
      <c r="J1235" s="464" t="s">
        <v>1056</v>
      </c>
      <c r="K1235" s="1214">
        <v>1</v>
      </c>
      <c r="L1235" s="1214"/>
      <c r="M1235" s="1216"/>
      <c r="N1235" s="1216"/>
      <c r="P1235" s="99"/>
      <c r="Q1235" s="99"/>
    </row>
    <row r="1236" spans="1:17" ht="12.75" customHeight="1">
      <c r="A1236" s="493">
        <v>13</v>
      </c>
      <c r="B1236" s="1460" t="s">
        <v>1731</v>
      </c>
      <c r="C1236" s="1460"/>
      <c r="D1236" s="1460"/>
      <c r="E1236" s="1460"/>
      <c r="F1236" s="1460"/>
      <c r="G1236" s="1460"/>
      <c r="H1236" s="1460"/>
      <c r="I1236" s="1460"/>
      <c r="J1236" s="464" t="s">
        <v>1056</v>
      </c>
      <c r="K1236" s="1214">
        <v>1</v>
      </c>
      <c r="L1236" s="1214"/>
      <c r="M1236" s="1216"/>
      <c r="N1236" s="1216"/>
      <c r="P1236" s="99"/>
      <c r="Q1236" s="99"/>
    </row>
    <row r="1237" spans="1:17" ht="12.75" customHeight="1">
      <c r="A1237" s="493">
        <v>14</v>
      </c>
      <c r="B1237" s="1460" t="s">
        <v>1732</v>
      </c>
      <c r="C1237" s="1460"/>
      <c r="D1237" s="1460"/>
      <c r="E1237" s="1460"/>
      <c r="F1237" s="1460"/>
      <c r="G1237" s="1460"/>
      <c r="H1237" s="1460"/>
      <c r="I1237" s="1460"/>
      <c r="J1237" s="464" t="s">
        <v>1056</v>
      </c>
      <c r="K1237" s="1214">
        <v>1</v>
      </c>
      <c r="L1237" s="1214"/>
      <c r="M1237" s="1216"/>
      <c r="N1237" s="1216"/>
      <c r="P1237" s="99"/>
      <c r="Q1237" s="99"/>
    </row>
    <row r="1238" spans="1:17" ht="12.75" customHeight="1">
      <c r="A1238" s="493">
        <v>15</v>
      </c>
      <c r="B1238" s="1459" t="s">
        <v>3024</v>
      </c>
      <c r="C1238" s="1460"/>
      <c r="D1238" s="1460"/>
      <c r="E1238" s="1460"/>
      <c r="F1238" s="1460"/>
      <c r="G1238" s="1460"/>
      <c r="H1238" s="1460"/>
      <c r="I1238" s="1460"/>
      <c r="J1238" s="464" t="s">
        <v>1056</v>
      </c>
      <c r="K1238" s="1478">
        <v>1</v>
      </c>
      <c r="L1238" s="1478"/>
      <c r="M1238" s="1216"/>
      <c r="N1238" s="1216"/>
      <c r="P1238" s="99"/>
      <c r="Q1238" s="99"/>
    </row>
    <row r="1239" spans="1:17" ht="12.75" customHeight="1">
      <c r="A1239" s="493">
        <v>16</v>
      </c>
      <c r="B1239" s="1459" t="s">
        <v>3025</v>
      </c>
      <c r="C1239" s="1460"/>
      <c r="D1239" s="1460"/>
      <c r="E1239" s="1460"/>
      <c r="F1239" s="1460"/>
      <c r="G1239" s="1460"/>
      <c r="H1239" s="1460"/>
      <c r="I1239" s="1460"/>
      <c r="J1239" s="464" t="s">
        <v>1056</v>
      </c>
      <c r="K1239" s="1478">
        <v>1</v>
      </c>
      <c r="L1239" s="1478"/>
      <c r="M1239" s="1216"/>
      <c r="N1239" s="1216"/>
      <c r="P1239" s="99"/>
      <c r="Q1239" s="99"/>
    </row>
    <row r="1240" spans="1:17" ht="12.75" customHeight="1">
      <c r="A1240" s="493">
        <v>17</v>
      </c>
      <c r="B1240" s="1459" t="s">
        <v>3026</v>
      </c>
      <c r="C1240" s="1460"/>
      <c r="D1240" s="1460"/>
      <c r="E1240" s="1460"/>
      <c r="F1240" s="1460"/>
      <c r="G1240" s="1460"/>
      <c r="H1240" s="1460"/>
      <c r="I1240" s="1460"/>
      <c r="J1240" s="464" t="s">
        <v>1056</v>
      </c>
      <c r="K1240" s="1478">
        <v>1</v>
      </c>
      <c r="L1240" s="1478"/>
      <c r="M1240" s="1216"/>
      <c r="N1240" s="1216"/>
      <c r="P1240" s="99"/>
      <c r="Q1240" s="99"/>
    </row>
    <row r="1241" spans="1:17" ht="12.75" customHeight="1">
      <c r="A1241" s="493">
        <v>18</v>
      </c>
      <c r="B1241" s="1459" t="s">
        <v>3027</v>
      </c>
      <c r="C1241" s="1460"/>
      <c r="D1241" s="1460"/>
      <c r="E1241" s="1460"/>
      <c r="F1241" s="1460"/>
      <c r="G1241" s="1460"/>
      <c r="H1241" s="1460"/>
      <c r="I1241" s="1460"/>
      <c r="J1241" s="464" t="s">
        <v>1056</v>
      </c>
      <c r="K1241" s="1478">
        <v>1</v>
      </c>
      <c r="L1241" s="1478"/>
      <c r="M1241" s="1216"/>
      <c r="N1241" s="1216"/>
      <c r="P1241" s="99"/>
      <c r="Q1241" s="99"/>
    </row>
    <row r="1242" spans="1:17" ht="12.75" customHeight="1">
      <c r="A1242" s="493">
        <v>19</v>
      </c>
      <c r="B1242" s="1459" t="s">
        <v>3028</v>
      </c>
      <c r="C1242" s="1460"/>
      <c r="D1242" s="1460"/>
      <c r="E1242" s="1460"/>
      <c r="F1242" s="1460"/>
      <c r="G1242" s="1460"/>
      <c r="H1242" s="1460"/>
      <c r="I1242" s="1460"/>
      <c r="J1242" s="464" t="s">
        <v>1056</v>
      </c>
      <c r="K1242" s="1478">
        <v>1</v>
      </c>
      <c r="L1242" s="1478"/>
      <c r="M1242" s="1216"/>
      <c r="N1242" s="1216"/>
      <c r="P1242" s="99"/>
      <c r="Q1242" s="99"/>
    </row>
    <row r="1243" spans="1:17" ht="12.75" customHeight="1">
      <c r="A1243" s="493">
        <v>20</v>
      </c>
      <c r="B1243" s="1459" t="s">
        <v>3029</v>
      </c>
      <c r="C1243" s="1460"/>
      <c r="D1243" s="1460"/>
      <c r="E1243" s="1460"/>
      <c r="F1243" s="1460"/>
      <c r="G1243" s="1460"/>
      <c r="H1243" s="1460"/>
      <c r="I1243" s="1460"/>
      <c r="J1243" s="464" t="s">
        <v>1056</v>
      </c>
      <c r="K1243" s="1478">
        <v>1</v>
      </c>
      <c r="L1243" s="1478"/>
      <c r="M1243" s="1216"/>
      <c r="N1243" s="1216"/>
      <c r="P1243" s="99"/>
      <c r="Q1243" s="99"/>
    </row>
    <row r="1244" spans="1:17" ht="12.75" customHeight="1">
      <c r="A1244" s="493">
        <v>21</v>
      </c>
      <c r="B1244" s="1459" t="s">
        <v>3030</v>
      </c>
      <c r="C1244" s="1460"/>
      <c r="D1244" s="1460"/>
      <c r="E1244" s="1460"/>
      <c r="F1244" s="1460"/>
      <c r="G1244" s="1460"/>
      <c r="H1244" s="1460"/>
      <c r="I1244" s="1460"/>
      <c r="J1244" s="464" t="s">
        <v>1056</v>
      </c>
      <c r="K1244" s="1478">
        <v>1</v>
      </c>
      <c r="L1244" s="1478"/>
      <c r="M1244" s="1216"/>
      <c r="N1244" s="1216"/>
      <c r="P1244" s="99"/>
      <c r="Q1244" s="99"/>
    </row>
    <row r="1245" spans="1:17">
      <c r="A1245" s="1467"/>
      <c r="B1245" s="1467"/>
      <c r="C1245" s="1467"/>
      <c r="D1245" s="1467"/>
      <c r="E1245" s="1467"/>
      <c r="F1245" s="1467"/>
      <c r="G1245" s="1467"/>
      <c r="H1245" s="1467"/>
      <c r="I1245" s="1467"/>
      <c r="J1245" s="1467"/>
      <c r="K1245" s="1467"/>
      <c r="L1245" s="1467"/>
      <c r="M1245" s="1467"/>
      <c r="N1245" s="1467"/>
      <c r="O1245" s="1467"/>
    </row>
    <row r="1246" spans="1:17" ht="12.75" customHeight="1">
      <c r="A1246" s="1643" t="s">
        <v>3031</v>
      </c>
      <c r="B1246" s="1643"/>
      <c r="C1246" s="1643"/>
      <c r="D1246" s="1643"/>
      <c r="E1246" s="1643"/>
      <c r="F1246" s="1643"/>
      <c r="G1246" s="1643"/>
      <c r="H1246" s="1643"/>
      <c r="I1246" s="1643"/>
      <c r="J1246" s="1643"/>
      <c r="K1246" s="1643"/>
      <c r="L1246" s="477" t="s">
        <v>1056</v>
      </c>
      <c r="M1246" s="1471">
        <v>210</v>
      </c>
      <c r="N1246" s="1471"/>
    </row>
    <row r="1247" spans="1:17" ht="32.25" customHeight="1">
      <c r="A1247" s="492">
        <v>1</v>
      </c>
      <c r="B1247" s="1468" t="s">
        <v>3032</v>
      </c>
      <c r="C1247" s="1468"/>
      <c r="D1247" s="1468"/>
      <c r="E1247" s="1468"/>
      <c r="F1247" s="1468"/>
      <c r="G1247" s="1468"/>
      <c r="H1247" s="1468"/>
      <c r="I1247" s="1468"/>
      <c r="J1247" s="456" t="s">
        <v>1056</v>
      </c>
      <c r="K1247" s="1369">
        <v>1</v>
      </c>
      <c r="L1247" s="1369"/>
    </row>
    <row r="1248" spans="1:17" ht="28.5" customHeight="1">
      <c r="A1248" s="493">
        <v>2</v>
      </c>
      <c r="B1248" s="1373" t="s">
        <v>3034</v>
      </c>
      <c r="C1248" s="1373"/>
      <c r="D1248" s="1373"/>
      <c r="E1248" s="1373"/>
      <c r="F1248" s="1373"/>
      <c r="G1248" s="1373"/>
      <c r="H1248" s="1373"/>
      <c r="I1248" s="1373"/>
      <c r="J1248" s="463" t="s">
        <v>1056</v>
      </c>
      <c r="K1248" s="1214">
        <v>1</v>
      </c>
      <c r="L1248" s="1214"/>
      <c r="N1248" s="292"/>
      <c r="P1248" s="99"/>
      <c r="Q1248" s="99"/>
    </row>
    <row r="1249" spans="1:18" ht="20.25" customHeight="1">
      <c r="A1249" s="493">
        <v>3</v>
      </c>
      <c r="B1249" s="1373" t="s">
        <v>3057</v>
      </c>
      <c r="C1249" s="1363"/>
      <c r="D1249" s="1363"/>
      <c r="E1249" s="1363"/>
      <c r="F1249" s="1363"/>
      <c r="G1249" s="1363"/>
      <c r="H1249" s="1363"/>
      <c r="I1249" s="1363"/>
      <c r="J1249" s="463" t="s">
        <v>1056</v>
      </c>
      <c r="K1249" s="1478">
        <v>1</v>
      </c>
      <c r="L1249" s="1478"/>
      <c r="M1249" s="292"/>
      <c r="P1249" s="99"/>
    </row>
    <row r="1250" spans="1:18" ht="26.25" customHeight="1">
      <c r="A1250" s="493">
        <v>4</v>
      </c>
      <c r="B1250" s="1373" t="s">
        <v>3058</v>
      </c>
      <c r="C1250" s="1363"/>
      <c r="D1250" s="1363"/>
      <c r="E1250" s="1363"/>
      <c r="F1250" s="1363"/>
      <c r="G1250" s="1363"/>
      <c r="H1250" s="1363"/>
      <c r="I1250" s="1363"/>
      <c r="J1250" s="307" t="s">
        <v>1056</v>
      </c>
      <c r="K1250" s="1478">
        <v>1</v>
      </c>
      <c r="L1250" s="1478"/>
      <c r="M1250" s="292"/>
      <c r="P1250" s="99"/>
    </row>
    <row r="1251" spans="1:18" ht="26.25" customHeight="1">
      <c r="A1251" s="493">
        <v>5</v>
      </c>
      <c r="B1251" s="1494" t="s">
        <v>3033</v>
      </c>
      <c r="C1251" s="1494"/>
      <c r="D1251" s="1494"/>
      <c r="E1251" s="1494"/>
      <c r="F1251" s="1494"/>
      <c r="G1251" s="1494"/>
      <c r="H1251" s="1494"/>
      <c r="I1251" s="1494"/>
      <c r="J1251" s="307" t="s">
        <v>1056</v>
      </c>
      <c r="K1251" s="1214">
        <v>1</v>
      </c>
      <c r="L1251" s="1214"/>
    </row>
    <row r="1252" spans="1:18" ht="58.5" customHeight="1">
      <c r="A1252" s="493">
        <v>6</v>
      </c>
      <c r="B1252" s="1373" t="s">
        <v>3059</v>
      </c>
      <c r="C1252" s="1363"/>
      <c r="D1252" s="1363"/>
      <c r="E1252" s="1363"/>
      <c r="F1252" s="1363"/>
      <c r="G1252" s="1363"/>
      <c r="H1252" s="1363"/>
      <c r="I1252" s="1363"/>
      <c r="J1252" s="479" t="s">
        <v>1056</v>
      </c>
      <c r="K1252" s="1214">
        <v>1</v>
      </c>
      <c r="L1252" s="1214"/>
      <c r="M1252" s="292"/>
      <c r="P1252" s="99"/>
    </row>
    <row r="1253" spans="1:18" ht="26.25" customHeight="1">
      <c r="A1253" s="493">
        <v>7</v>
      </c>
      <c r="B1253" s="1373" t="s">
        <v>3060</v>
      </c>
      <c r="C1253" s="1363"/>
      <c r="D1253" s="1363"/>
      <c r="E1253" s="1363"/>
      <c r="F1253" s="1363"/>
      <c r="G1253" s="1363"/>
      <c r="H1253" s="1363"/>
      <c r="I1253" s="1363"/>
      <c r="J1253" s="463" t="s">
        <v>1056</v>
      </c>
      <c r="K1253" s="1214">
        <v>1</v>
      </c>
      <c r="L1253" s="1214"/>
      <c r="M1253" s="292"/>
      <c r="P1253" s="99"/>
    </row>
    <row r="1254" spans="1:18" ht="26.25" customHeight="1">
      <c r="A1254" s="493" t="s">
        <v>3035</v>
      </c>
      <c r="B1254" s="1494" t="s">
        <v>3036</v>
      </c>
      <c r="C1254" s="1494"/>
      <c r="D1254" s="1494"/>
      <c r="E1254" s="1494"/>
      <c r="F1254" s="1494"/>
      <c r="G1254" s="1494"/>
      <c r="H1254" s="1494"/>
      <c r="I1254" s="1494"/>
      <c r="J1254" s="463" t="s">
        <v>1056</v>
      </c>
      <c r="K1254" s="1214">
        <v>1</v>
      </c>
      <c r="L1254" s="1214"/>
      <c r="M1254" s="292"/>
      <c r="P1254" s="99"/>
    </row>
    <row r="1255" spans="1:18" ht="26.25" customHeight="1">
      <c r="A1255" s="493">
        <v>9</v>
      </c>
      <c r="B1255" s="1373" t="s">
        <v>3061</v>
      </c>
      <c r="C1255" s="1363"/>
      <c r="D1255" s="1363"/>
      <c r="E1255" s="1363"/>
      <c r="F1255" s="1363"/>
      <c r="G1255" s="1363"/>
      <c r="H1255" s="1363"/>
      <c r="I1255" s="1363"/>
      <c r="J1255" s="479" t="s">
        <v>1056</v>
      </c>
      <c r="K1255" s="1214">
        <v>1</v>
      </c>
      <c r="L1255" s="1214"/>
      <c r="M1255" s="292"/>
      <c r="P1255" s="99"/>
    </row>
    <row r="1256" spans="1:18" ht="42.75" customHeight="1">
      <c r="A1256" s="493">
        <v>10</v>
      </c>
      <c r="B1256" s="1373" t="s">
        <v>3037</v>
      </c>
      <c r="C1256" s="1373"/>
      <c r="D1256" s="1373"/>
      <c r="E1256" s="1373"/>
      <c r="F1256" s="1373"/>
      <c r="G1256" s="1373"/>
      <c r="H1256" s="1373"/>
      <c r="I1256" s="1373"/>
      <c r="J1256" s="463" t="s">
        <v>1056</v>
      </c>
      <c r="K1256" s="1214">
        <v>1</v>
      </c>
      <c r="L1256" s="1214"/>
      <c r="P1256" s="99"/>
    </row>
    <row r="1257" spans="1:18" ht="19.5" customHeight="1">
      <c r="A1257" s="493">
        <v>11</v>
      </c>
      <c r="B1257" s="1363" t="s">
        <v>1733</v>
      </c>
      <c r="C1257" s="1363"/>
      <c r="D1257" s="1363"/>
      <c r="E1257" s="1363"/>
      <c r="F1257" s="1363"/>
      <c r="G1257" s="1363"/>
      <c r="H1257" s="1363"/>
      <c r="I1257" s="1363"/>
      <c r="J1257" s="463" t="s">
        <v>1056</v>
      </c>
      <c r="K1257" s="1214">
        <v>1</v>
      </c>
      <c r="L1257" s="1214"/>
      <c r="N1257" s="292"/>
      <c r="P1257" s="99"/>
      <c r="Q1257" s="99"/>
    </row>
    <row r="1258" spans="1:18" ht="16.5" customHeight="1">
      <c r="A1258" s="493">
        <v>12</v>
      </c>
      <c r="B1258" s="1363" t="s">
        <v>1734</v>
      </c>
      <c r="C1258" s="1363"/>
      <c r="D1258" s="1363"/>
      <c r="E1258" s="1363"/>
      <c r="F1258" s="1363"/>
      <c r="G1258" s="1363"/>
      <c r="H1258" s="1363"/>
      <c r="I1258" s="1363"/>
      <c r="J1258" s="463" t="s">
        <v>1056</v>
      </c>
      <c r="K1258" s="1214">
        <v>1</v>
      </c>
      <c r="L1258" s="1214"/>
      <c r="N1258" s="292"/>
      <c r="P1258" s="99"/>
      <c r="Q1258" s="99"/>
    </row>
    <row r="1259" spans="1:18" ht="31.5" customHeight="1">
      <c r="A1259" s="493">
        <v>13</v>
      </c>
      <c r="B1259" s="1494" t="s">
        <v>3038</v>
      </c>
      <c r="C1259" s="1494"/>
      <c r="D1259" s="1494"/>
      <c r="E1259" s="1494"/>
      <c r="F1259" s="1494"/>
      <c r="G1259" s="1494"/>
      <c r="H1259" s="1494"/>
      <c r="I1259" s="1494"/>
      <c r="J1259" s="307"/>
      <c r="K1259" s="1214">
        <v>1</v>
      </c>
      <c r="L1259" s="1214"/>
    </row>
    <row r="1260" spans="1:18" ht="15.75" customHeight="1">
      <c r="A1260" s="493">
        <v>14</v>
      </c>
      <c r="B1260" s="1373" t="s">
        <v>3039</v>
      </c>
      <c r="C1260" s="1373"/>
      <c r="D1260" s="1373"/>
      <c r="E1260" s="1373"/>
      <c r="F1260" s="1373"/>
      <c r="G1260" s="1373"/>
      <c r="H1260" s="1373"/>
      <c r="I1260" s="1373"/>
      <c r="J1260" s="463" t="s">
        <v>1056</v>
      </c>
      <c r="K1260" s="1214">
        <v>1</v>
      </c>
      <c r="L1260" s="1214"/>
      <c r="N1260" s="292"/>
      <c r="P1260" s="99"/>
      <c r="Q1260" s="99"/>
    </row>
    <row r="1261" spans="1:18" ht="15.75" customHeight="1">
      <c r="A1261" s="493">
        <v>15</v>
      </c>
      <c r="B1261" s="1373" t="s">
        <v>3040</v>
      </c>
      <c r="C1261" s="1373"/>
      <c r="D1261" s="1373"/>
      <c r="E1261" s="1373"/>
      <c r="F1261" s="1373"/>
      <c r="G1261" s="1373"/>
      <c r="H1261" s="1373"/>
      <c r="I1261" s="1373"/>
      <c r="J1261" s="463" t="s">
        <v>1056</v>
      </c>
      <c r="K1261" s="1214">
        <v>1</v>
      </c>
      <c r="L1261" s="1214"/>
      <c r="N1261" s="292"/>
      <c r="P1261" s="99"/>
      <c r="Q1261" s="99"/>
    </row>
    <row r="1262" spans="1:18" ht="63.75" customHeight="1">
      <c r="A1262" s="493">
        <v>16</v>
      </c>
      <c r="B1262" s="1332" t="s">
        <v>3043</v>
      </c>
      <c r="C1262" s="1332"/>
      <c r="D1262" s="1332"/>
      <c r="E1262" s="1332"/>
      <c r="F1262" s="1332"/>
      <c r="G1262" s="1332"/>
      <c r="H1262" s="1332"/>
      <c r="I1262" s="1332"/>
      <c r="J1262" s="307" t="s">
        <v>1056</v>
      </c>
      <c r="K1262" s="1214">
        <v>1</v>
      </c>
      <c r="L1262" s="1214"/>
    </row>
    <row r="1263" spans="1:18" ht="19.5" customHeight="1">
      <c r="A1263" s="493">
        <v>17</v>
      </c>
      <c r="B1263" s="1373" t="s">
        <v>3041</v>
      </c>
      <c r="C1263" s="1373"/>
      <c r="D1263" s="1373"/>
      <c r="E1263" s="1373"/>
      <c r="F1263" s="1373"/>
      <c r="G1263" s="1373"/>
      <c r="H1263" s="1373"/>
      <c r="I1263" s="1373"/>
      <c r="J1263" s="307" t="s">
        <v>1056</v>
      </c>
      <c r="K1263" s="1478">
        <v>1</v>
      </c>
      <c r="L1263" s="1478"/>
      <c r="M1263" s="185"/>
      <c r="O1263" s="292"/>
      <c r="P1263" s="99"/>
      <c r="Q1263" s="99"/>
      <c r="R1263" s="99"/>
    </row>
    <row r="1264" spans="1:18" ht="19.5" customHeight="1">
      <c r="A1264" s="493">
        <v>18</v>
      </c>
      <c r="B1264" s="1373" t="s">
        <v>3042</v>
      </c>
      <c r="C1264" s="1373"/>
      <c r="D1264" s="1373"/>
      <c r="E1264" s="1373"/>
      <c r="F1264" s="1373"/>
      <c r="G1264" s="1373"/>
      <c r="H1264" s="1373"/>
      <c r="I1264" s="1373"/>
      <c r="J1264" s="307" t="s">
        <v>1056</v>
      </c>
      <c r="K1264" s="1478">
        <v>1</v>
      </c>
      <c r="L1264" s="1478"/>
      <c r="M1264" s="185"/>
      <c r="O1264" s="292"/>
      <c r="P1264" s="99"/>
      <c r="Q1264" s="99"/>
      <c r="R1264" s="99"/>
    </row>
    <row r="1265" spans="1:19" ht="12.75" customHeight="1">
      <c r="A1265" s="1467"/>
      <c r="B1265" s="1467"/>
      <c r="C1265" s="1467"/>
      <c r="D1265" s="1467"/>
      <c r="E1265" s="1467"/>
      <c r="F1265" s="1467"/>
      <c r="G1265" s="1467"/>
      <c r="H1265" s="1467"/>
      <c r="I1265" s="1467"/>
      <c r="J1265" s="1467"/>
      <c r="K1265" s="1467"/>
      <c r="L1265" s="1467"/>
      <c r="M1265" s="1467"/>
      <c r="N1265" s="1467"/>
      <c r="O1265" s="1467"/>
    </row>
    <row r="1266" spans="1:19" ht="12.75" customHeight="1">
      <c r="A1266" s="1473" t="s">
        <v>1735</v>
      </c>
      <c r="B1266" s="1473"/>
      <c r="C1266" s="1473"/>
      <c r="D1266" s="1473"/>
      <c r="E1266" s="1473"/>
      <c r="F1266" s="1473"/>
      <c r="G1266" s="1473"/>
      <c r="H1266" s="1473"/>
      <c r="I1266" s="1473"/>
      <c r="J1266" s="1473"/>
      <c r="K1266" s="1473"/>
      <c r="L1266" s="477" t="s">
        <v>1056</v>
      </c>
      <c r="M1266" s="1471">
        <v>200</v>
      </c>
      <c r="N1266" s="1471"/>
    </row>
    <row r="1267" spans="1:19" ht="54.75" customHeight="1">
      <c r="A1267" s="492">
        <v>1</v>
      </c>
      <c r="B1267" s="1644" t="s">
        <v>3044</v>
      </c>
      <c r="C1267" s="1644"/>
      <c r="D1267" s="1644"/>
      <c r="E1267" s="1644"/>
      <c r="F1267" s="1644"/>
      <c r="G1267" s="1644"/>
      <c r="H1267" s="1644"/>
      <c r="I1267" s="1644"/>
      <c r="J1267" s="476" t="s">
        <v>1056</v>
      </c>
      <c r="K1267" s="1369">
        <v>1</v>
      </c>
      <c r="L1267" s="1369"/>
    </row>
    <row r="1268" spans="1:19" ht="32.25" customHeight="1">
      <c r="A1268" s="493">
        <v>2</v>
      </c>
      <c r="B1268" s="1460" t="s">
        <v>1736</v>
      </c>
      <c r="C1268" s="1460"/>
      <c r="D1268" s="1460"/>
      <c r="E1268" s="1460"/>
      <c r="F1268" s="1460"/>
      <c r="G1268" s="1460"/>
      <c r="H1268" s="1460"/>
      <c r="I1268" s="1460"/>
      <c r="J1268" s="463" t="s">
        <v>1056</v>
      </c>
      <c r="K1268" s="1214">
        <v>1</v>
      </c>
      <c r="L1268" s="1214"/>
      <c r="M1268" s="292"/>
      <c r="N1268" s="292"/>
      <c r="P1268" s="99"/>
      <c r="Q1268" s="99"/>
    </row>
    <row r="1269" spans="1:19" ht="12.75" customHeight="1">
      <c r="A1269" s="493">
        <v>3</v>
      </c>
      <c r="B1269" s="1460" t="s">
        <v>3045</v>
      </c>
      <c r="C1269" s="1460"/>
      <c r="D1269" s="1460"/>
      <c r="E1269" s="1460"/>
      <c r="F1269" s="1460"/>
      <c r="G1269" s="1460"/>
      <c r="H1269" s="1460"/>
      <c r="I1269" s="1460"/>
      <c r="J1269" s="463" t="s">
        <v>1056</v>
      </c>
      <c r="K1269" s="1214">
        <v>1</v>
      </c>
      <c r="L1269" s="1214"/>
      <c r="M1269" s="292"/>
      <c r="N1269" s="292"/>
      <c r="P1269" s="99"/>
      <c r="Q1269" s="99"/>
    </row>
    <row r="1270" spans="1:19" ht="65.25" customHeight="1">
      <c r="A1270" s="493">
        <v>4</v>
      </c>
      <c r="B1270" s="1310" t="s">
        <v>3046</v>
      </c>
      <c r="C1270" s="1310"/>
      <c r="D1270" s="1310"/>
      <c r="E1270" s="1310"/>
      <c r="F1270" s="1310"/>
      <c r="G1270" s="1310"/>
      <c r="H1270" s="1310"/>
      <c r="I1270" s="1310"/>
      <c r="J1270" s="463" t="s">
        <v>1056</v>
      </c>
      <c r="K1270" s="1214">
        <v>1</v>
      </c>
      <c r="L1270" s="1214"/>
    </row>
    <row r="1271" spans="1:19" ht="12.75" customHeight="1">
      <c r="A1271" s="493">
        <v>5</v>
      </c>
      <c r="B1271" s="1460" t="s">
        <v>3047</v>
      </c>
      <c r="C1271" s="1460"/>
      <c r="D1271" s="1460"/>
      <c r="E1271" s="1460"/>
      <c r="F1271" s="1460"/>
      <c r="G1271" s="1460"/>
      <c r="H1271" s="1460"/>
      <c r="I1271" s="1460"/>
      <c r="J1271" s="463" t="s">
        <v>1056</v>
      </c>
      <c r="K1271" s="1214">
        <v>1</v>
      </c>
      <c r="L1271" s="1214"/>
      <c r="M1271" s="292"/>
      <c r="N1271" s="292"/>
      <c r="P1271" s="99"/>
      <c r="Q1271" s="99"/>
    </row>
    <row r="1272" spans="1:19" ht="12.75" customHeight="1">
      <c r="A1272" s="493">
        <v>6</v>
      </c>
      <c r="B1272" s="1460" t="s">
        <v>1737</v>
      </c>
      <c r="C1272" s="1460"/>
      <c r="D1272" s="1460"/>
      <c r="E1272" s="1460"/>
      <c r="F1272" s="1460"/>
      <c r="G1272" s="1460"/>
      <c r="H1272" s="1460"/>
      <c r="I1272" s="1460"/>
      <c r="J1272" s="307"/>
      <c r="K1272" s="1214"/>
      <c r="L1272" s="1214"/>
    </row>
    <row r="1273" spans="1:19" ht="33.75" customHeight="1">
      <c r="A1273" s="493"/>
      <c r="B1273" s="1310" t="s">
        <v>3048</v>
      </c>
      <c r="C1273" s="1310"/>
      <c r="D1273" s="1310"/>
      <c r="E1273" s="1310"/>
      <c r="F1273" s="1310"/>
      <c r="G1273" s="1310"/>
      <c r="H1273" s="1310"/>
      <c r="I1273" s="1310"/>
      <c r="J1273" s="307" t="s">
        <v>1056</v>
      </c>
      <c r="K1273" s="1214">
        <v>1</v>
      </c>
      <c r="L1273" s="1214"/>
    </row>
    <row r="1274" spans="1:19" ht="12.75" customHeight="1">
      <c r="A1274" s="493">
        <v>7</v>
      </c>
      <c r="B1274" s="1460" t="s">
        <v>3049</v>
      </c>
      <c r="C1274" s="1460"/>
      <c r="D1274" s="1460"/>
      <c r="E1274" s="1460"/>
      <c r="F1274" s="1460"/>
      <c r="G1274" s="1460"/>
      <c r="H1274" s="1460"/>
      <c r="I1274" s="1460"/>
      <c r="J1274" s="463" t="s">
        <v>1056</v>
      </c>
      <c r="K1274" s="1214">
        <v>1</v>
      </c>
      <c r="L1274" s="1214"/>
      <c r="M1274" s="292"/>
      <c r="N1274" s="292"/>
      <c r="P1274" s="99"/>
      <c r="Q1274" s="99"/>
    </row>
    <row r="1275" spans="1:19" ht="12.75" customHeight="1">
      <c r="A1275" s="493">
        <v>8</v>
      </c>
      <c r="B1275" s="1460" t="s">
        <v>3050</v>
      </c>
      <c r="C1275" s="1460"/>
      <c r="D1275" s="1460"/>
      <c r="E1275" s="1460"/>
      <c r="F1275" s="1460"/>
      <c r="G1275" s="1460"/>
      <c r="H1275" s="1460"/>
      <c r="I1275" s="1460"/>
      <c r="J1275" s="463" t="s">
        <v>1056</v>
      </c>
      <c r="K1275" s="1214">
        <v>1</v>
      </c>
      <c r="L1275" s="1214"/>
      <c r="M1275" s="292"/>
      <c r="N1275" s="292"/>
      <c r="P1275" s="99"/>
      <c r="Q1275" s="99"/>
    </row>
    <row r="1276" spans="1:19" ht="35.25" customHeight="1">
      <c r="A1276" s="493">
        <v>9</v>
      </c>
      <c r="B1276" s="1460" t="s">
        <v>1738</v>
      </c>
      <c r="C1276" s="1460"/>
      <c r="D1276" s="1460"/>
      <c r="E1276" s="1460"/>
      <c r="F1276" s="1460"/>
      <c r="G1276" s="1460"/>
      <c r="H1276" s="1460"/>
      <c r="I1276" s="1460"/>
      <c r="J1276" s="307"/>
      <c r="K1276" s="1478">
        <v>1</v>
      </c>
      <c r="L1276" s="1478"/>
      <c r="O1276" s="292"/>
      <c r="P1276" s="292"/>
      <c r="Q1276" s="99"/>
      <c r="R1276" s="99"/>
      <c r="S1276" s="99"/>
    </row>
    <row r="1277" spans="1:19" ht="27.75" customHeight="1">
      <c r="A1277" s="493">
        <v>10</v>
      </c>
      <c r="B1277" s="1460" t="s">
        <v>1739</v>
      </c>
      <c r="C1277" s="1460"/>
      <c r="D1277" s="1460"/>
      <c r="E1277" s="1460"/>
      <c r="F1277" s="1460"/>
      <c r="G1277" s="1460"/>
      <c r="H1277" s="1460"/>
      <c r="I1277" s="1460"/>
      <c r="J1277" s="463" t="s">
        <v>1056</v>
      </c>
      <c r="K1277" s="1214">
        <v>1</v>
      </c>
      <c r="L1277" s="1214"/>
      <c r="M1277" s="292"/>
      <c r="N1277" s="292"/>
      <c r="P1277" s="99"/>
      <c r="Q1277" s="99"/>
    </row>
    <row r="1278" spans="1:19">
      <c r="A1278" s="1467"/>
      <c r="B1278" s="1467"/>
      <c r="C1278" s="1467"/>
      <c r="D1278" s="1467"/>
      <c r="E1278" s="1467"/>
      <c r="F1278" s="1467"/>
      <c r="G1278" s="1467"/>
      <c r="H1278" s="1467"/>
      <c r="I1278" s="1467"/>
      <c r="J1278" s="1467"/>
      <c r="K1278" s="1467"/>
      <c r="L1278" s="1467"/>
      <c r="M1278" s="1467"/>
      <c r="N1278" s="1467"/>
      <c r="O1278" s="1467"/>
    </row>
    <row r="1280" spans="1:19" ht="12.75" customHeight="1">
      <c r="A1280" s="1473" t="s">
        <v>3051</v>
      </c>
      <c r="B1280" s="1473"/>
      <c r="C1280" s="1473"/>
      <c r="D1280" s="1473"/>
      <c r="E1280" s="1473"/>
      <c r="F1280" s="1473"/>
      <c r="G1280" s="1473"/>
      <c r="H1280" s="1473"/>
      <c r="I1280" s="1473"/>
      <c r="J1280" s="1473"/>
      <c r="K1280" s="1473"/>
      <c r="L1280" s="480" t="s">
        <v>1056</v>
      </c>
      <c r="M1280" s="1471">
        <v>175</v>
      </c>
      <c r="N1280" s="1471"/>
    </row>
    <row r="1281" spans="1:18" ht="15" customHeight="1">
      <c r="A1281" s="492">
        <v>1</v>
      </c>
      <c r="B1281" s="1468" t="s">
        <v>3052</v>
      </c>
      <c r="C1281" s="1468"/>
      <c r="D1281" s="1468"/>
      <c r="E1281" s="1468"/>
      <c r="F1281" s="1468"/>
      <c r="G1281" s="1468"/>
      <c r="H1281" s="1468"/>
      <c r="I1281" s="1468"/>
      <c r="J1281" s="476" t="s">
        <v>1056</v>
      </c>
      <c r="K1281" s="1369">
        <v>1</v>
      </c>
      <c r="L1281" s="1369"/>
      <c r="M1281" s="292"/>
      <c r="N1281" s="292"/>
      <c r="P1281" s="99"/>
      <c r="Q1281" s="99"/>
    </row>
    <row r="1282" spans="1:18" ht="15" customHeight="1">
      <c r="A1282" s="493">
        <v>2</v>
      </c>
      <c r="B1282" s="1373" t="s">
        <v>3062</v>
      </c>
      <c r="C1282" s="1373"/>
      <c r="D1282" s="1373"/>
      <c r="E1282" s="1373"/>
      <c r="F1282" s="1373"/>
      <c r="G1282" s="1373"/>
      <c r="H1282" s="1373"/>
      <c r="I1282" s="1373"/>
      <c r="J1282" s="463" t="s">
        <v>1056</v>
      </c>
      <c r="K1282" s="1478">
        <v>1</v>
      </c>
      <c r="L1282" s="1478"/>
      <c r="N1282" s="292"/>
      <c r="O1282" s="292"/>
      <c r="P1282" s="99"/>
      <c r="Q1282" s="99"/>
      <c r="R1282" s="99"/>
    </row>
    <row r="1283" spans="1:18" ht="15" customHeight="1">
      <c r="A1283" s="493">
        <v>3</v>
      </c>
      <c r="B1283" s="1373" t="s">
        <v>3053</v>
      </c>
      <c r="C1283" s="1373"/>
      <c r="D1283" s="1373"/>
      <c r="E1283" s="1373"/>
      <c r="F1283" s="1373"/>
      <c r="G1283" s="1373"/>
      <c r="H1283" s="1373"/>
      <c r="I1283" s="1373"/>
      <c r="J1283" s="463" t="s">
        <v>1056</v>
      </c>
      <c r="K1283" s="1214">
        <v>1</v>
      </c>
      <c r="L1283" s="1214"/>
      <c r="M1283" s="292"/>
      <c r="N1283" s="292"/>
      <c r="P1283" s="99"/>
      <c r="Q1283" s="99"/>
    </row>
    <row r="1284" spans="1:18" ht="15" customHeight="1">
      <c r="A1284" s="493">
        <v>4</v>
      </c>
      <c r="B1284" s="1363" t="s">
        <v>1740</v>
      </c>
      <c r="C1284" s="1363"/>
      <c r="D1284" s="1363"/>
      <c r="E1284" s="1363"/>
      <c r="F1284" s="1363"/>
      <c r="G1284" s="1363"/>
      <c r="H1284" s="1363"/>
      <c r="I1284" s="1363"/>
      <c r="J1284" s="463" t="s">
        <v>1056</v>
      </c>
      <c r="K1284" s="1478">
        <v>1</v>
      </c>
      <c r="L1284" s="1478"/>
      <c r="N1284" s="292"/>
      <c r="O1284" s="292"/>
      <c r="P1284" s="99"/>
      <c r="Q1284" s="99"/>
      <c r="R1284" s="99"/>
    </row>
    <row r="1285" spans="1:18" ht="15" customHeight="1">
      <c r="A1285" s="493">
        <v>5</v>
      </c>
      <c r="B1285" s="1494" t="s">
        <v>3063</v>
      </c>
      <c r="C1285" s="1494"/>
      <c r="D1285" s="1494"/>
      <c r="E1285" s="1494"/>
      <c r="F1285" s="1494"/>
      <c r="G1285" s="1494"/>
      <c r="H1285" s="1494"/>
      <c r="I1285" s="1494"/>
      <c r="J1285" s="463" t="s">
        <v>1056</v>
      </c>
      <c r="K1285" s="1214">
        <v>1</v>
      </c>
      <c r="L1285" s="1214"/>
    </row>
    <row r="1286" spans="1:18" ht="15" customHeight="1">
      <c r="A1286" s="493">
        <v>6</v>
      </c>
      <c r="B1286" s="1363" t="s">
        <v>1741</v>
      </c>
      <c r="C1286" s="1363"/>
      <c r="D1286" s="1363"/>
      <c r="E1286" s="1363"/>
      <c r="F1286" s="1363"/>
      <c r="G1286" s="1363"/>
      <c r="H1286" s="1363"/>
      <c r="I1286" s="1363"/>
      <c r="J1286" s="463" t="s">
        <v>1056</v>
      </c>
      <c r="K1286" s="1214">
        <v>1</v>
      </c>
      <c r="L1286" s="1214"/>
      <c r="M1286" s="292"/>
      <c r="N1286" s="292"/>
      <c r="P1286" s="99"/>
      <c r="Q1286" s="99"/>
    </row>
    <row r="1287" spans="1:18" ht="15" customHeight="1">
      <c r="A1287" s="493">
        <v>7</v>
      </c>
      <c r="B1287" s="1494" t="s">
        <v>3054</v>
      </c>
      <c r="C1287" s="1494"/>
      <c r="D1287" s="1494"/>
      <c r="E1287" s="1494"/>
      <c r="F1287" s="1494"/>
      <c r="G1287" s="1494"/>
      <c r="H1287" s="1494"/>
      <c r="I1287" s="1494"/>
      <c r="J1287" s="463" t="s">
        <v>1056</v>
      </c>
      <c r="K1287" s="1214">
        <v>1</v>
      </c>
      <c r="L1287" s="1214"/>
    </row>
    <row r="1288" spans="1:18" ht="15" customHeight="1">
      <c r="A1288" s="493">
        <v>8</v>
      </c>
      <c r="B1288" s="1373" t="s">
        <v>3055</v>
      </c>
      <c r="C1288" s="1373"/>
      <c r="D1288" s="1373"/>
      <c r="E1288" s="1373"/>
      <c r="F1288" s="1373"/>
      <c r="G1288" s="1373"/>
      <c r="H1288" s="1373"/>
      <c r="I1288" s="1373"/>
      <c r="J1288" s="463" t="s">
        <v>1056</v>
      </c>
      <c r="K1288" s="1214">
        <v>1</v>
      </c>
      <c r="L1288" s="1214"/>
      <c r="M1288" s="292"/>
      <c r="N1288" s="292"/>
      <c r="P1288" s="99"/>
      <c r="Q1288" s="99"/>
    </row>
    <row r="1289" spans="1:18" ht="15" customHeight="1">
      <c r="A1289" s="493">
        <v>9</v>
      </c>
      <c r="B1289" s="1373" t="s">
        <v>3056</v>
      </c>
      <c r="C1289" s="1373"/>
      <c r="D1289" s="1373"/>
      <c r="E1289" s="1373"/>
      <c r="F1289" s="1373"/>
      <c r="G1289" s="1373"/>
      <c r="H1289" s="1373"/>
      <c r="I1289" s="1373"/>
      <c r="J1289" s="463" t="s">
        <v>1056</v>
      </c>
      <c r="K1289" s="1214">
        <v>1</v>
      </c>
      <c r="L1289" s="1214"/>
      <c r="M1289" s="292"/>
      <c r="N1289" s="292"/>
      <c r="P1289" s="99"/>
      <c r="Q1289" s="99"/>
    </row>
    <row r="1290" spans="1:18">
      <c r="A1290" s="1467"/>
      <c r="B1290" s="1467"/>
      <c r="C1290" s="1467"/>
      <c r="D1290" s="1467"/>
      <c r="E1290" s="1467"/>
      <c r="F1290" s="1467"/>
      <c r="G1290" s="1467"/>
      <c r="H1290" s="1467"/>
      <c r="I1290" s="1467"/>
      <c r="J1290" s="1467"/>
      <c r="K1290" s="1467"/>
      <c r="L1290" s="1467"/>
      <c r="M1290" s="1467"/>
      <c r="N1290" s="1467"/>
      <c r="O1290" s="1467"/>
    </row>
    <row r="1291" spans="1:18" ht="12.75" customHeight="1">
      <c r="A1291" s="1577" t="s">
        <v>1742</v>
      </c>
      <c r="B1291" s="1577"/>
      <c r="C1291" s="1577"/>
      <c r="D1291" s="1577"/>
      <c r="E1291" s="1577"/>
      <c r="F1291" s="1577"/>
      <c r="G1291" s="1577"/>
      <c r="H1291" s="1577"/>
      <c r="I1291" s="1577"/>
      <c r="J1291" s="1577"/>
      <c r="K1291" s="1577"/>
      <c r="L1291" s="482" t="s">
        <v>1056</v>
      </c>
      <c r="M1291" s="1471">
        <v>155</v>
      </c>
      <c r="N1291" s="1471"/>
      <c r="O1291" s="292"/>
      <c r="P1291" s="99"/>
      <c r="Q1291" s="99"/>
      <c r="R1291" s="99"/>
    </row>
    <row r="1292" spans="1:18" ht="22.5" customHeight="1">
      <c r="A1292" s="492">
        <v>1</v>
      </c>
      <c r="B1292" s="1645" t="s">
        <v>3068</v>
      </c>
      <c r="C1292" s="1646"/>
      <c r="D1292" s="1646"/>
      <c r="E1292" s="1646"/>
      <c r="F1292" s="1646"/>
      <c r="G1292" s="1646"/>
      <c r="H1292" s="1646"/>
      <c r="I1292" s="1647"/>
      <c r="J1292" s="481" t="s">
        <v>1056</v>
      </c>
      <c r="K1292" s="1369">
        <v>1</v>
      </c>
      <c r="L1292" s="1369"/>
      <c r="M1292" s="292"/>
      <c r="N1292" s="292"/>
      <c r="O1292" s="292"/>
      <c r="P1292" s="99"/>
      <c r="Q1292" s="99"/>
      <c r="R1292" s="99"/>
    </row>
    <row r="1293" spans="1:18" ht="49.5" customHeight="1">
      <c r="A1293" s="493">
        <v>2</v>
      </c>
      <c r="B1293" s="1401" t="s">
        <v>3064</v>
      </c>
      <c r="C1293" s="1402"/>
      <c r="D1293" s="1402"/>
      <c r="E1293" s="1402"/>
      <c r="F1293" s="1402"/>
      <c r="G1293" s="1402"/>
      <c r="H1293" s="1402"/>
      <c r="I1293" s="1403"/>
      <c r="J1293" s="298" t="s">
        <v>1056</v>
      </c>
      <c r="K1293" s="1214">
        <v>1</v>
      </c>
      <c r="L1293" s="1214"/>
    </row>
    <row r="1294" spans="1:18" ht="48" customHeight="1">
      <c r="A1294" s="493">
        <v>3</v>
      </c>
      <c r="B1294" s="1366" t="s">
        <v>3065</v>
      </c>
      <c r="C1294" s="1367"/>
      <c r="D1294" s="1367"/>
      <c r="E1294" s="1367"/>
      <c r="F1294" s="1367"/>
      <c r="G1294" s="1367"/>
      <c r="H1294" s="1367"/>
      <c r="I1294" s="1368"/>
      <c r="J1294" s="298" t="s">
        <v>1056</v>
      </c>
      <c r="K1294" s="1214">
        <v>1</v>
      </c>
      <c r="L1294" s="1214"/>
      <c r="M1294" s="292"/>
      <c r="P1294" s="99"/>
    </row>
    <row r="1295" spans="1:18" ht="17.25" customHeight="1">
      <c r="A1295" s="493">
        <v>4</v>
      </c>
      <c r="B1295" s="1343" t="s">
        <v>1743</v>
      </c>
      <c r="C1295" s="1344"/>
      <c r="D1295" s="1344"/>
      <c r="E1295" s="1344"/>
      <c r="F1295" s="1344"/>
      <c r="G1295" s="1344"/>
      <c r="H1295" s="1344"/>
      <c r="I1295" s="1345"/>
      <c r="J1295" s="298" t="s">
        <v>1056</v>
      </c>
      <c r="K1295" s="1214">
        <v>1</v>
      </c>
      <c r="L1295" s="1214"/>
      <c r="M1295" s="292"/>
      <c r="N1295" s="292"/>
      <c r="O1295" s="292"/>
      <c r="P1295" s="99"/>
      <c r="Q1295" s="99"/>
      <c r="R1295" s="99"/>
    </row>
    <row r="1296" spans="1:18" ht="21" customHeight="1">
      <c r="A1296" s="493">
        <v>5</v>
      </c>
      <c r="B1296" s="1288" t="s">
        <v>4812</v>
      </c>
      <c r="C1296" s="1289"/>
      <c r="D1296" s="1289"/>
      <c r="E1296" s="1289"/>
      <c r="F1296" s="1289"/>
      <c r="G1296" s="1289"/>
      <c r="H1296" s="1289"/>
      <c r="I1296" s="1290"/>
      <c r="J1296" s="298" t="s">
        <v>1056</v>
      </c>
      <c r="K1296" s="1214">
        <v>1</v>
      </c>
      <c r="L1296" s="1214"/>
      <c r="M1296" s="292"/>
      <c r="N1296" s="292"/>
      <c r="O1296" s="292"/>
      <c r="P1296" s="99"/>
      <c r="Q1296" s="99"/>
      <c r="R1296" s="99"/>
    </row>
    <row r="1297" spans="1:21" ht="29.25" customHeight="1">
      <c r="A1297" s="493">
        <v>6</v>
      </c>
      <c r="B1297" s="1288" t="s">
        <v>3066</v>
      </c>
      <c r="C1297" s="1289"/>
      <c r="D1297" s="1289"/>
      <c r="E1297" s="1289"/>
      <c r="F1297" s="1289"/>
      <c r="G1297" s="1289"/>
      <c r="H1297" s="1289"/>
      <c r="I1297" s="1290"/>
      <c r="J1297" s="298" t="s">
        <v>1056</v>
      </c>
      <c r="K1297" s="1214">
        <v>1</v>
      </c>
      <c r="L1297" s="1214"/>
    </row>
    <row r="1298" spans="1:21" ht="56.25" customHeight="1">
      <c r="A1298" s="493">
        <v>7</v>
      </c>
      <c r="B1298" s="1288" t="s">
        <v>3067</v>
      </c>
      <c r="C1298" s="1289"/>
      <c r="D1298" s="1289"/>
      <c r="E1298" s="1289"/>
      <c r="F1298" s="1289"/>
      <c r="G1298" s="1289"/>
      <c r="H1298" s="1289"/>
      <c r="I1298" s="1290"/>
      <c r="J1298" s="298" t="s">
        <v>1056</v>
      </c>
      <c r="K1298" s="1214">
        <v>1</v>
      </c>
      <c r="L1298" s="1214"/>
    </row>
    <row r="1299" spans="1:21">
      <c r="A1299" s="1467"/>
      <c r="B1299" s="1467"/>
      <c r="C1299" s="1467"/>
      <c r="D1299" s="1467"/>
      <c r="E1299" s="1467"/>
      <c r="F1299" s="1467"/>
      <c r="G1299" s="1467"/>
      <c r="H1299" s="1467"/>
      <c r="I1299" s="1467"/>
      <c r="J1299" s="1467"/>
      <c r="K1299" s="1467"/>
      <c r="L1299" s="1467"/>
      <c r="M1299" s="1467"/>
      <c r="N1299" s="1467"/>
      <c r="O1299" s="1467"/>
    </row>
    <row r="1300" spans="1:21" ht="12.75" customHeight="1">
      <c r="A1300" s="1473" t="s">
        <v>1744</v>
      </c>
      <c r="B1300" s="1473"/>
      <c r="C1300" s="1473"/>
      <c r="D1300" s="1473"/>
      <c r="E1300" s="1473"/>
      <c r="F1300" s="1473"/>
      <c r="G1300" s="1473"/>
      <c r="H1300" s="1473"/>
      <c r="I1300" s="1473"/>
      <c r="J1300" s="1473"/>
      <c r="K1300" s="1473"/>
      <c r="L1300" s="477" t="s">
        <v>1056</v>
      </c>
      <c r="M1300" s="1471">
        <v>145</v>
      </c>
      <c r="N1300" s="1471"/>
    </row>
    <row r="1301" spans="1:21" ht="12.75" customHeight="1">
      <c r="A1301" s="492">
        <v>1</v>
      </c>
      <c r="B1301" s="1469" t="s">
        <v>1745</v>
      </c>
      <c r="C1301" s="1469"/>
      <c r="D1301" s="1469"/>
      <c r="E1301" s="1469"/>
      <c r="F1301" s="1469"/>
      <c r="G1301" s="1469"/>
      <c r="H1301" s="1469"/>
      <c r="I1301" s="1469"/>
      <c r="J1301" s="476" t="s">
        <v>1056</v>
      </c>
      <c r="K1301" s="1369">
        <v>1</v>
      </c>
      <c r="L1301" s="1369"/>
      <c r="M1301" s="292"/>
      <c r="N1301" s="292"/>
      <c r="P1301" s="99"/>
      <c r="Q1301" s="99"/>
    </row>
    <row r="1302" spans="1:21" ht="12.75" customHeight="1">
      <c r="A1302" s="493">
        <v>2</v>
      </c>
      <c r="B1302" s="1363" t="s">
        <v>1746</v>
      </c>
      <c r="C1302" s="1363"/>
      <c r="D1302" s="1363"/>
      <c r="E1302" s="1363"/>
      <c r="F1302" s="1363"/>
      <c r="G1302" s="1363"/>
      <c r="H1302" s="1363"/>
      <c r="I1302" s="1363"/>
      <c r="J1302" s="307"/>
      <c r="K1302" s="1478">
        <v>1</v>
      </c>
      <c r="L1302" s="1478"/>
      <c r="N1302" s="292"/>
      <c r="O1302" s="292"/>
      <c r="P1302" s="292"/>
      <c r="Q1302" s="99"/>
      <c r="R1302" s="99"/>
      <c r="S1302" s="99"/>
    </row>
    <row r="1303" spans="1:21" ht="12.75" customHeight="1">
      <c r="A1303" s="493">
        <v>3</v>
      </c>
      <c r="B1303" s="1336" t="s">
        <v>3071</v>
      </c>
      <c r="C1303" s="1336"/>
      <c r="D1303" s="1336"/>
      <c r="E1303" s="1336"/>
      <c r="F1303" s="1336"/>
      <c r="G1303" s="1336"/>
      <c r="H1303" s="1336"/>
      <c r="I1303" s="1336"/>
      <c r="J1303" s="463" t="s">
        <v>1056</v>
      </c>
      <c r="K1303" s="1214">
        <v>1</v>
      </c>
      <c r="L1303" s="1214"/>
    </row>
    <row r="1304" spans="1:21" ht="29.25" customHeight="1">
      <c r="A1304" s="493" t="s">
        <v>3069</v>
      </c>
      <c r="B1304" s="1336" t="s">
        <v>3070</v>
      </c>
      <c r="C1304" s="1336"/>
      <c r="D1304" s="1336"/>
      <c r="E1304" s="1336"/>
      <c r="F1304" s="1336"/>
      <c r="G1304" s="1336"/>
      <c r="H1304" s="1336"/>
      <c r="I1304" s="1336"/>
      <c r="J1304" s="463" t="s">
        <v>1056</v>
      </c>
      <c r="K1304" s="1214">
        <v>1</v>
      </c>
      <c r="L1304" s="1214"/>
    </row>
    <row r="1305" spans="1:21" ht="54" customHeight="1">
      <c r="A1305" s="493">
        <v>5</v>
      </c>
      <c r="B1305" s="1363" t="s">
        <v>3072</v>
      </c>
      <c r="C1305" s="1363"/>
      <c r="D1305" s="1363"/>
      <c r="E1305" s="1363"/>
      <c r="F1305" s="1363"/>
      <c r="G1305" s="1363"/>
      <c r="H1305" s="1363"/>
      <c r="I1305" s="1363"/>
      <c r="J1305" s="463" t="s">
        <v>1056</v>
      </c>
      <c r="K1305" s="1478">
        <v>1</v>
      </c>
      <c r="L1305" s="1478"/>
    </row>
    <row r="1306" spans="1:21" ht="110.25" customHeight="1">
      <c r="A1306" s="493">
        <v>6</v>
      </c>
      <c r="B1306" s="1363" t="s">
        <v>3073</v>
      </c>
      <c r="C1306" s="1363"/>
      <c r="D1306" s="1363"/>
      <c r="E1306" s="1363"/>
      <c r="F1306" s="1363"/>
      <c r="G1306" s="1363"/>
      <c r="H1306" s="1363"/>
      <c r="I1306" s="1363"/>
      <c r="J1306" s="463" t="s">
        <v>1056</v>
      </c>
      <c r="K1306" s="1214">
        <v>1</v>
      </c>
      <c r="L1306" s="1214"/>
    </row>
    <row r="1307" spans="1:21" ht="30.75" customHeight="1">
      <c r="A1307" s="493">
        <v>7</v>
      </c>
      <c r="B1307" s="1363" t="s">
        <v>1747</v>
      </c>
      <c r="C1307" s="1363"/>
      <c r="D1307" s="1363"/>
      <c r="E1307" s="1363"/>
      <c r="F1307" s="1363"/>
      <c r="G1307" s="1363"/>
      <c r="H1307" s="1363"/>
      <c r="I1307" s="1363"/>
      <c r="J1307" s="463" t="s">
        <v>1056</v>
      </c>
      <c r="K1307" s="1214">
        <v>1</v>
      </c>
      <c r="L1307" s="1214"/>
      <c r="M1307" s="292"/>
      <c r="N1307" s="292"/>
      <c r="P1307" s="99"/>
      <c r="Q1307" s="99"/>
    </row>
    <row r="1308" spans="1:21" ht="42" customHeight="1">
      <c r="A1308" s="493">
        <v>8</v>
      </c>
      <c r="B1308" s="1363" t="s">
        <v>3074</v>
      </c>
      <c r="C1308" s="1363"/>
      <c r="D1308" s="1363"/>
      <c r="E1308" s="1363"/>
      <c r="F1308" s="1363"/>
      <c r="G1308" s="1363"/>
      <c r="H1308" s="1363"/>
      <c r="I1308" s="1363"/>
      <c r="J1308" s="307" t="s">
        <v>1056</v>
      </c>
      <c r="K1308" s="1214">
        <v>1</v>
      </c>
      <c r="L1308" s="1214"/>
    </row>
    <row r="1309" spans="1:21" ht="12.75" customHeight="1">
      <c r="A1309" s="493">
        <v>9</v>
      </c>
      <c r="B1309" s="1363" t="s">
        <v>1748</v>
      </c>
      <c r="C1309" s="1363"/>
      <c r="D1309" s="1363"/>
      <c r="E1309" s="1363"/>
      <c r="F1309" s="1363"/>
      <c r="G1309" s="1363"/>
      <c r="H1309" s="1363"/>
      <c r="I1309" s="1363"/>
      <c r="J1309" s="307" t="s">
        <v>1056</v>
      </c>
      <c r="K1309" s="1478">
        <v>1</v>
      </c>
      <c r="L1309" s="1478"/>
      <c r="N1309" s="292"/>
      <c r="O1309" s="292"/>
      <c r="P1309" s="292"/>
      <c r="Q1309" s="99"/>
      <c r="R1309" s="99"/>
      <c r="S1309" s="99"/>
    </row>
    <row r="1310" spans="1:21">
      <c r="A1310" s="1467"/>
      <c r="B1310" s="1467"/>
      <c r="C1310" s="1467"/>
      <c r="D1310" s="1467"/>
      <c r="E1310" s="1467"/>
      <c r="F1310" s="1467"/>
      <c r="G1310" s="1467"/>
      <c r="H1310" s="1467"/>
      <c r="I1310" s="1467"/>
      <c r="J1310" s="1467"/>
      <c r="K1310" s="1467"/>
      <c r="L1310" s="1467"/>
      <c r="M1310" s="1467"/>
      <c r="N1310" s="1467"/>
      <c r="O1310" s="1467"/>
    </row>
    <row r="1311" spans="1:21" ht="12.75" customHeight="1">
      <c r="A1311" s="1473" t="s">
        <v>1749</v>
      </c>
      <c r="B1311" s="1473"/>
      <c r="C1311" s="1473"/>
      <c r="D1311" s="1473"/>
      <c r="E1311" s="1473"/>
      <c r="F1311" s="1473"/>
      <c r="G1311" s="1473"/>
      <c r="H1311" s="1473"/>
      <c r="I1311" s="1473"/>
      <c r="J1311" s="1473"/>
      <c r="K1311" s="1473"/>
      <c r="L1311" s="477" t="s">
        <v>1056</v>
      </c>
      <c r="M1311" s="1471">
        <v>135</v>
      </c>
      <c r="N1311" s="1471"/>
    </row>
    <row r="1312" spans="1:21" ht="12.75" customHeight="1">
      <c r="A1312" s="492">
        <v>1</v>
      </c>
      <c r="B1312" s="1469" t="s">
        <v>1750</v>
      </c>
      <c r="C1312" s="1469"/>
      <c r="D1312" s="1469"/>
      <c r="E1312" s="1469"/>
      <c r="F1312" s="1469"/>
      <c r="G1312" s="1469"/>
      <c r="H1312" s="1469"/>
      <c r="I1312" s="1469"/>
      <c r="J1312" s="476" t="s">
        <v>1056</v>
      </c>
      <c r="K1312" s="1477">
        <v>1</v>
      </c>
      <c r="L1312" s="1477"/>
      <c r="N1312" s="292"/>
      <c r="P1312" s="292"/>
      <c r="Q1312" s="292"/>
      <c r="R1312" s="292"/>
      <c r="S1312" s="99"/>
      <c r="T1312" s="99"/>
      <c r="U1312" s="99"/>
    </row>
    <row r="1313" spans="1:21" ht="12.75" customHeight="1">
      <c r="A1313" s="493">
        <v>2</v>
      </c>
      <c r="B1313" s="1373" t="s">
        <v>3077</v>
      </c>
      <c r="C1313" s="1363"/>
      <c r="D1313" s="1363"/>
      <c r="E1313" s="1363"/>
      <c r="F1313" s="1363"/>
      <c r="G1313" s="1363"/>
      <c r="H1313" s="1363"/>
      <c r="I1313" s="1363"/>
      <c r="J1313" s="463" t="s">
        <v>1056</v>
      </c>
      <c r="K1313" s="1478">
        <v>1</v>
      </c>
      <c r="L1313" s="1478"/>
      <c r="N1313" s="292"/>
      <c r="P1313" s="292"/>
      <c r="Q1313" s="292"/>
      <c r="R1313" s="292"/>
      <c r="S1313" s="99"/>
      <c r="T1313" s="99"/>
      <c r="U1313" s="99"/>
    </row>
    <row r="1314" spans="1:21" ht="12.75" customHeight="1">
      <c r="A1314" s="493">
        <v>3</v>
      </c>
      <c r="B1314" s="1363" t="s">
        <v>1751</v>
      </c>
      <c r="C1314" s="1363"/>
      <c r="D1314" s="1363"/>
      <c r="E1314" s="1363"/>
      <c r="F1314" s="1363"/>
      <c r="G1314" s="1363"/>
      <c r="H1314" s="1363"/>
      <c r="I1314" s="1363"/>
      <c r="J1314" s="463" t="s">
        <v>1056</v>
      </c>
      <c r="K1314" s="1214">
        <v>1</v>
      </c>
      <c r="L1314" s="1214"/>
      <c r="N1314" s="292"/>
      <c r="P1314" s="292"/>
      <c r="Q1314" s="292"/>
      <c r="R1314" s="292"/>
      <c r="S1314" s="99"/>
      <c r="T1314" s="99"/>
      <c r="U1314" s="99"/>
    </row>
    <row r="1315" spans="1:21" ht="31.5" customHeight="1">
      <c r="A1315" s="493">
        <v>4</v>
      </c>
      <c r="B1315" s="1373" t="s">
        <v>3078</v>
      </c>
      <c r="C1315" s="1363"/>
      <c r="D1315" s="1363"/>
      <c r="E1315" s="1363"/>
      <c r="F1315" s="1363"/>
      <c r="G1315" s="1363"/>
      <c r="H1315" s="1363"/>
      <c r="I1315" s="1363"/>
      <c r="J1315" s="463" t="s">
        <v>1056</v>
      </c>
      <c r="K1315" s="1214">
        <v>1</v>
      </c>
      <c r="L1315" s="1214"/>
    </row>
    <row r="1316" spans="1:21" ht="32.25" customHeight="1">
      <c r="A1316" s="493" t="s">
        <v>3075</v>
      </c>
      <c r="B1316" s="1373" t="s">
        <v>4784</v>
      </c>
      <c r="C1316" s="1373"/>
      <c r="D1316" s="1373"/>
      <c r="E1316" s="1373"/>
      <c r="F1316" s="1373"/>
      <c r="G1316" s="1373"/>
      <c r="H1316" s="1373"/>
      <c r="I1316" s="1373"/>
      <c r="J1316" s="463" t="s">
        <v>1056</v>
      </c>
      <c r="K1316" s="1478">
        <v>1</v>
      </c>
      <c r="L1316" s="1478"/>
    </row>
    <row r="1317" spans="1:21" ht="42" customHeight="1">
      <c r="A1317" s="493">
        <v>6</v>
      </c>
      <c r="B1317" s="1373" t="s">
        <v>3076</v>
      </c>
      <c r="C1317" s="1373"/>
      <c r="D1317" s="1373"/>
      <c r="E1317" s="1373"/>
      <c r="F1317" s="1373"/>
      <c r="G1317" s="1373"/>
      <c r="H1317" s="1373"/>
      <c r="I1317" s="1373"/>
      <c r="J1317" s="463" t="s">
        <v>1056</v>
      </c>
      <c r="K1317" s="1214">
        <v>1</v>
      </c>
      <c r="L1317" s="1214"/>
    </row>
    <row r="1318" spans="1:21" ht="15.75" customHeight="1">
      <c r="A1318" s="1467"/>
      <c r="B1318" s="1467"/>
      <c r="C1318" s="1467"/>
      <c r="D1318" s="1467"/>
      <c r="E1318" s="1467"/>
      <c r="F1318" s="1467"/>
      <c r="G1318" s="1467"/>
      <c r="H1318" s="1467"/>
      <c r="I1318" s="1467"/>
      <c r="J1318" s="1467"/>
      <c r="K1318" s="1467"/>
      <c r="L1318" s="1467"/>
      <c r="M1318" s="1467"/>
      <c r="N1318" s="1467"/>
      <c r="O1318" s="1467"/>
    </row>
    <row r="1319" spans="1:21" ht="12.75" customHeight="1">
      <c r="A1319" s="1473" t="s">
        <v>1752</v>
      </c>
      <c r="B1319" s="1473"/>
      <c r="C1319" s="1473"/>
      <c r="D1319" s="1473"/>
      <c r="E1319" s="1473"/>
      <c r="F1319" s="1473"/>
      <c r="G1319" s="1473"/>
      <c r="H1319" s="1473"/>
      <c r="I1319" s="1473"/>
      <c r="J1319" s="1473"/>
      <c r="K1319" s="1473"/>
      <c r="L1319" s="477" t="s">
        <v>1056</v>
      </c>
      <c r="M1319" s="1471">
        <v>125</v>
      </c>
      <c r="N1319" s="1471"/>
    </row>
    <row r="1320" spans="1:21" ht="12.75" customHeight="1">
      <c r="A1320" s="492">
        <v>1</v>
      </c>
      <c r="B1320" s="1469" t="s">
        <v>1753</v>
      </c>
      <c r="C1320" s="1469"/>
      <c r="D1320" s="1469"/>
      <c r="E1320" s="1469"/>
      <c r="F1320" s="1469"/>
      <c r="G1320" s="1469"/>
      <c r="H1320" s="1469"/>
      <c r="I1320" s="1469"/>
      <c r="J1320" s="476" t="s">
        <v>1056</v>
      </c>
      <c r="K1320" s="1369">
        <v>1</v>
      </c>
      <c r="L1320" s="1369"/>
      <c r="N1320" s="292"/>
      <c r="O1320" s="292"/>
      <c r="P1320" s="292"/>
      <c r="Q1320" s="99"/>
      <c r="R1320" s="99"/>
      <c r="S1320" s="99"/>
    </row>
    <row r="1321" spans="1:21" ht="12.75" customHeight="1">
      <c r="A1321" s="493">
        <v>2</v>
      </c>
      <c r="B1321" s="1373" t="s">
        <v>1754</v>
      </c>
      <c r="C1321" s="1363"/>
      <c r="D1321" s="1363"/>
      <c r="E1321" s="1363"/>
      <c r="F1321" s="1363"/>
      <c r="G1321" s="1363"/>
      <c r="H1321" s="1363"/>
      <c r="I1321" s="1363"/>
      <c r="J1321" s="463" t="s">
        <v>1507</v>
      </c>
      <c r="K1321" s="1214">
        <v>1</v>
      </c>
      <c r="L1321" s="1214"/>
      <c r="N1321" s="292"/>
      <c r="O1321" s="292"/>
      <c r="P1321" s="292"/>
      <c r="Q1321" s="99"/>
      <c r="R1321" s="99"/>
      <c r="S1321" s="99"/>
    </row>
    <row r="1322" spans="1:21" ht="12.75" customHeight="1">
      <c r="A1322" s="493">
        <v>3</v>
      </c>
      <c r="B1322" s="1373" t="s">
        <v>3079</v>
      </c>
      <c r="C1322" s="1363"/>
      <c r="D1322" s="1363"/>
      <c r="E1322" s="1363"/>
      <c r="F1322" s="1363"/>
      <c r="G1322" s="1363"/>
      <c r="H1322" s="1363"/>
      <c r="I1322" s="1363"/>
      <c r="J1322" s="463" t="s">
        <v>1056</v>
      </c>
      <c r="K1322" s="1478">
        <v>1</v>
      </c>
      <c r="L1322" s="1478"/>
      <c r="N1322" s="292"/>
      <c r="O1322" s="292"/>
      <c r="P1322" s="292"/>
      <c r="Q1322" s="99"/>
      <c r="R1322" s="99"/>
      <c r="S1322" s="99"/>
    </row>
    <row r="1323" spans="1:21" ht="18" customHeight="1">
      <c r="A1323" s="1467"/>
      <c r="B1323" s="1467"/>
      <c r="C1323" s="1467"/>
      <c r="D1323" s="1467"/>
      <c r="E1323" s="1467"/>
      <c r="F1323" s="1467"/>
      <c r="G1323" s="1467"/>
      <c r="H1323" s="1467"/>
      <c r="I1323" s="1467"/>
      <c r="J1323" s="1467"/>
      <c r="K1323" s="1467"/>
      <c r="L1323" s="1467"/>
      <c r="M1323" s="1467"/>
      <c r="N1323" s="1467"/>
      <c r="O1323" s="1467"/>
    </row>
    <row r="1324" spans="1:21" ht="12.75" customHeight="1">
      <c r="A1324" s="1473" t="s">
        <v>1755</v>
      </c>
      <c r="B1324" s="1473"/>
      <c r="C1324" s="1473"/>
      <c r="D1324" s="1473"/>
      <c r="E1324" s="1473"/>
      <c r="F1324" s="1473"/>
      <c r="G1324" s="1473"/>
      <c r="H1324" s="1473"/>
      <c r="I1324" s="1473"/>
      <c r="J1324" s="1473"/>
      <c r="K1324" s="1473"/>
      <c r="L1324" s="477" t="s">
        <v>1056</v>
      </c>
      <c r="M1324" s="1471">
        <v>100</v>
      </c>
      <c r="N1324" s="1471"/>
    </row>
    <row r="1325" spans="1:21" ht="72" customHeight="1">
      <c r="A1325" s="492">
        <v>1</v>
      </c>
      <c r="B1325" s="1482" t="s">
        <v>3080</v>
      </c>
      <c r="C1325" s="1474"/>
      <c r="D1325" s="1474"/>
      <c r="E1325" s="1474"/>
      <c r="F1325" s="1474"/>
      <c r="G1325" s="1474"/>
      <c r="H1325" s="1474"/>
      <c r="I1325" s="1474"/>
      <c r="J1325" s="476" t="s">
        <v>1056</v>
      </c>
      <c r="K1325" s="1369">
        <v>2</v>
      </c>
      <c r="L1325" s="1369"/>
    </row>
    <row r="1326" spans="1:21" ht="12.75" customHeight="1">
      <c r="A1326" s="493">
        <v>2</v>
      </c>
      <c r="B1326" s="1460" t="s">
        <v>1756</v>
      </c>
      <c r="C1326" s="1460"/>
      <c r="D1326" s="1460"/>
      <c r="E1326" s="1460"/>
      <c r="F1326" s="1460"/>
      <c r="G1326" s="1460"/>
      <c r="H1326" s="1460"/>
      <c r="I1326" s="1460"/>
      <c r="J1326" s="463" t="s">
        <v>1056</v>
      </c>
      <c r="K1326" s="1214">
        <v>2</v>
      </c>
      <c r="L1326" s="1214"/>
      <c r="N1326" s="292"/>
      <c r="O1326" s="292"/>
      <c r="P1326" s="292"/>
      <c r="Q1326" s="99"/>
      <c r="R1326" s="99"/>
      <c r="S1326" s="99"/>
    </row>
    <row r="1327" spans="1:21" ht="12.75" customHeight="1">
      <c r="A1327" s="493">
        <v>3</v>
      </c>
      <c r="B1327" s="1460" t="s">
        <v>1757</v>
      </c>
      <c r="C1327" s="1460"/>
      <c r="D1327" s="1460"/>
      <c r="E1327" s="1460"/>
      <c r="F1327" s="1460"/>
      <c r="G1327" s="1460"/>
      <c r="H1327" s="1460"/>
      <c r="I1327" s="1460"/>
      <c r="J1327" s="463" t="s">
        <v>1056</v>
      </c>
      <c r="K1327" s="1214">
        <v>2</v>
      </c>
      <c r="L1327" s="1214"/>
      <c r="N1327" s="292"/>
      <c r="O1327" s="292"/>
      <c r="P1327" s="292"/>
      <c r="Q1327" s="99"/>
      <c r="R1327" s="99"/>
      <c r="S1327" s="99"/>
    </row>
    <row r="1328" spans="1:21" ht="12.75" customHeight="1">
      <c r="A1328" s="493">
        <v>4</v>
      </c>
      <c r="B1328" s="1460" t="s">
        <v>1758</v>
      </c>
      <c r="C1328" s="1460"/>
      <c r="D1328" s="1460"/>
      <c r="E1328" s="1460"/>
      <c r="F1328" s="1460"/>
      <c r="G1328" s="1460"/>
      <c r="H1328" s="1460"/>
      <c r="I1328" s="1460"/>
      <c r="J1328" s="463" t="s">
        <v>1056</v>
      </c>
      <c r="K1328" s="1214">
        <v>2</v>
      </c>
      <c r="L1328" s="1214"/>
      <c r="N1328" s="292"/>
      <c r="O1328" s="292"/>
      <c r="P1328" s="292"/>
      <c r="Q1328" s="99"/>
      <c r="R1328" s="99"/>
      <c r="S1328" s="99"/>
    </row>
    <row r="1329" spans="1:19" ht="27" customHeight="1">
      <c r="A1329" s="493">
        <v>5</v>
      </c>
      <c r="B1329" s="1459" t="s">
        <v>3083</v>
      </c>
      <c r="C1329" s="1460"/>
      <c r="D1329" s="1460"/>
      <c r="E1329" s="1460"/>
      <c r="F1329" s="1460"/>
      <c r="G1329" s="1460"/>
      <c r="H1329" s="1460"/>
      <c r="I1329" s="1460"/>
      <c r="J1329" s="463"/>
      <c r="K1329" s="1478">
        <v>2</v>
      </c>
      <c r="L1329" s="1478"/>
      <c r="N1329" s="292"/>
      <c r="O1329" s="292"/>
      <c r="P1329" s="292"/>
      <c r="Q1329" s="99"/>
      <c r="R1329" s="99"/>
      <c r="S1329" s="99"/>
    </row>
    <row r="1330" spans="1:19" ht="12.75" customHeight="1">
      <c r="A1330" s="493">
        <v>6</v>
      </c>
      <c r="B1330" s="1460" t="s">
        <v>1759</v>
      </c>
      <c r="C1330" s="1460"/>
      <c r="D1330" s="1460"/>
      <c r="E1330" s="1460"/>
      <c r="F1330" s="1460"/>
      <c r="G1330" s="1460"/>
      <c r="H1330" s="1460"/>
      <c r="I1330" s="1460"/>
      <c r="J1330" s="463" t="s">
        <v>1056</v>
      </c>
      <c r="K1330" s="1214" t="s">
        <v>1760</v>
      </c>
      <c r="L1330" s="1214"/>
      <c r="N1330" s="292"/>
      <c r="O1330" s="292"/>
      <c r="P1330" s="292"/>
      <c r="Q1330" s="99"/>
      <c r="R1330" s="99"/>
      <c r="S1330" s="99"/>
    </row>
    <row r="1331" spans="1:19" ht="12.75" customHeight="1">
      <c r="A1331" s="493">
        <v>7</v>
      </c>
      <c r="B1331" s="1460" t="s">
        <v>1745</v>
      </c>
      <c r="C1331" s="1460"/>
      <c r="D1331" s="1460"/>
      <c r="E1331" s="1460"/>
      <c r="F1331" s="1460"/>
      <c r="G1331" s="1460"/>
      <c r="H1331" s="1460"/>
      <c r="I1331" s="1460"/>
      <c r="J1331" s="463" t="s">
        <v>1056</v>
      </c>
      <c r="K1331" s="1214">
        <v>2</v>
      </c>
      <c r="L1331" s="1214"/>
      <c r="N1331" s="292"/>
      <c r="O1331" s="292"/>
      <c r="P1331" s="292"/>
      <c r="Q1331" s="99"/>
      <c r="R1331" s="99"/>
      <c r="S1331" s="99"/>
    </row>
    <row r="1332" spans="1:19" ht="12.75" customHeight="1">
      <c r="A1332" s="493">
        <v>8</v>
      </c>
      <c r="B1332" s="1460" t="s">
        <v>1761</v>
      </c>
      <c r="C1332" s="1460"/>
      <c r="D1332" s="1460"/>
      <c r="E1332" s="1460"/>
      <c r="F1332" s="1460"/>
      <c r="G1332" s="1460"/>
      <c r="H1332" s="1460"/>
      <c r="I1332" s="1460"/>
      <c r="J1332" s="463" t="s">
        <v>1056</v>
      </c>
      <c r="K1332" s="1214">
        <v>2</v>
      </c>
      <c r="L1332" s="1214"/>
      <c r="N1332" s="292"/>
      <c r="O1332" s="292"/>
      <c r="P1332" s="292"/>
      <c r="Q1332" s="99"/>
      <c r="R1332" s="99"/>
      <c r="S1332" s="99"/>
    </row>
    <row r="1333" spans="1:19" ht="12.75" customHeight="1">
      <c r="A1333" s="493">
        <v>9</v>
      </c>
      <c r="B1333" s="1460" t="s">
        <v>1762</v>
      </c>
      <c r="C1333" s="1460"/>
      <c r="D1333" s="1460"/>
      <c r="E1333" s="1460"/>
      <c r="F1333" s="1460"/>
      <c r="G1333" s="1460"/>
      <c r="H1333" s="1460"/>
      <c r="I1333" s="1460"/>
      <c r="J1333" s="463" t="s">
        <v>1056</v>
      </c>
      <c r="K1333" s="1214">
        <v>2</v>
      </c>
      <c r="L1333" s="1214"/>
      <c r="N1333" s="292"/>
      <c r="O1333" s="292"/>
      <c r="P1333" s="292"/>
      <c r="Q1333" s="99"/>
      <c r="R1333" s="99"/>
      <c r="S1333" s="99"/>
    </row>
    <row r="1334" spans="1:19" ht="32.25" customHeight="1">
      <c r="A1334" s="493">
        <v>10</v>
      </c>
      <c r="B1334" s="1459" t="s">
        <v>3082</v>
      </c>
      <c r="C1334" s="1460"/>
      <c r="D1334" s="1460"/>
      <c r="E1334" s="1460"/>
      <c r="F1334" s="1460"/>
      <c r="G1334" s="1460"/>
      <c r="H1334" s="1460"/>
      <c r="I1334" s="1460"/>
      <c r="J1334" s="463" t="s">
        <v>1056</v>
      </c>
      <c r="K1334" s="1214">
        <v>2</v>
      </c>
      <c r="L1334" s="1214"/>
      <c r="N1334" s="292"/>
      <c r="O1334" s="292"/>
      <c r="P1334" s="292"/>
      <c r="Q1334" s="99"/>
      <c r="R1334" s="99"/>
      <c r="S1334" s="99"/>
    </row>
    <row r="1335" spans="1:19" ht="45" customHeight="1">
      <c r="A1335" s="493">
        <v>11</v>
      </c>
      <c r="B1335" s="1459" t="s">
        <v>3081</v>
      </c>
      <c r="C1335" s="1460"/>
      <c r="D1335" s="1460"/>
      <c r="E1335" s="1460"/>
      <c r="F1335" s="1460"/>
      <c r="G1335" s="1460"/>
      <c r="H1335" s="1460"/>
      <c r="I1335" s="1460"/>
      <c r="J1335" s="463"/>
      <c r="K1335" s="1478">
        <v>1</v>
      </c>
      <c r="L1335" s="1478"/>
      <c r="N1335" s="292"/>
      <c r="O1335" s="292"/>
      <c r="P1335" s="292"/>
      <c r="Q1335" s="99"/>
      <c r="R1335" s="99"/>
      <c r="S1335" s="99"/>
    </row>
    <row r="1336" spans="1:19">
      <c r="A1336" s="1467"/>
      <c r="B1336" s="1467"/>
      <c r="C1336" s="1467"/>
      <c r="D1336" s="1467"/>
      <c r="E1336" s="1467"/>
      <c r="F1336" s="1467"/>
      <c r="G1336" s="1467"/>
      <c r="H1336" s="1467"/>
      <c r="I1336" s="1467"/>
      <c r="J1336" s="1467"/>
      <c r="K1336" s="1467"/>
      <c r="L1336" s="1467"/>
      <c r="M1336" s="1467"/>
      <c r="N1336" s="1467"/>
      <c r="O1336" s="1467"/>
    </row>
    <row r="1337" spans="1:19" ht="12.75" customHeight="1">
      <c r="A1337" s="1473" t="s">
        <v>1763</v>
      </c>
      <c r="B1337" s="1473"/>
      <c r="C1337" s="1473"/>
      <c r="D1337" s="1473"/>
      <c r="E1337" s="1473"/>
      <c r="F1337" s="1473"/>
      <c r="G1337" s="1473"/>
      <c r="H1337" s="1473"/>
      <c r="I1337" s="1473"/>
      <c r="J1337" s="1473"/>
      <c r="K1337" s="1473"/>
      <c r="L1337" s="477" t="s">
        <v>1056</v>
      </c>
      <c r="M1337" s="1471">
        <v>80</v>
      </c>
      <c r="N1337" s="1471"/>
    </row>
    <row r="1338" spans="1:19" ht="66" customHeight="1">
      <c r="A1338" s="492">
        <v>1</v>
      </c>
      <c r="B1338" s="1479" t="s">
        <v>3084</v>
      </c>
      <c r="C1338" s="1480"/>
      <c r="D1338" s="1480"/>
      <c r="E1338" s="1480"/>
      <c r="F1338" s="1480"/>
      <c r="G1338" s="1480"/>
      <c r="H1338" s="1480"/>
      <c r="I1338" s="1481"/>
      <c r="J1338" s="476" t="s">
        <v>1056</v>
      </c>
      <c r="K1338" s="1369">
        <v>3</v>
      </c>
      <c r="L1338" s="1369"/>
      <c r="N1338" s="292"/>
      <c r="O1338" s="292"/>
      <c r="P1338" s="292"/>
      <c r="Q1338" s="99"/>
      <c r="R1338" s="99"/>
      <c r="S1338" s="99"/>
    </row>
    <row r="1339" spans="1:19" ht="30" customHeight="1">
      <c r="A1339" s="493">
        <v>2</v>
      </c>
      <c r="B1339" s="1288" t="s">
        <v>3085</v>
      </c>
      <c r="C1339" s="1289"/>
      <c r="D1339" s="1289"/>
      <c r="E1339" s="1289"/>
      <c r="F1339" s="1289"/>
      <c r="G1339" s="1289"/>
      <c r="H1339" s="1289"/>
      <c r="I1339" s="1290"/>
      <c r="J1339" s="463" t="s">
        <v>1056</v>
      </c>
      <c r="K1339" s="1214">
        <v>3</v>
      </c>
      <c r="L1339" s="1214"/>
      <c r="N1339" s="292"/>
      <c r="O1339" s="292"/>
      <c r="P1339" s="292"/>
      <c r="Q1339" s="99"/>
      <c r="R1339" s="99"/>
      <c r="S1339" s="99"/>
    </row>
    <row r="1340" spans="1:19">
      <c r="A1340" s="493">
        <v>3</v>
      </c>
      <c r="B1340" s="1343" t="s">
        <v>1758</v>
      </c>
      <c r="C1340" s="1344"/>
      <c r="D1340" s="1344"/>
      <c r="E1340" s="1344"/>
      <c r="F1340" s="1344"/>
      <c r="G1340" s="1344"/>
      <c r="H1340" s="1344"/>
      <c r="I1340" s="1345"/>
      <c r="J1340" s="463" t="s">
        <v>1056</v>
      </c>
      <c r="K1340" s="1214">
        <v>3</v>
      </c>
      <c r="L1340" s="1214"/>
      <c r="N1340" s="292"/>
      <c r="O1340" s="292"/>
      <c r="P1340" s="292"/>
      <c r="Q1340" s="99"/>
      <c r="R1340" s="99"/>
      <c r="S1340" s="99"/>
    </row>
    <row r="1341" spans="1:19">
      <c r="A1341" s="493">
        <v>4</v>
      </c>
      <c r="B1341" s="1343" t="s">
        <v>1765</v>
      </c>
      <c r="C1341" s="1344"/>
      <c r="D1341" s="1344"/>
      <c r="E1341" s="1344"/>
      <c r="F1341" s="1344"/>
      <c r="G1341" s="1344"/>
      <c r="H1341" s="1344"/>
      <c r="I1341" s="1345"/>
      <c r="J1341" s="463" t="s">
        <v>1056</v>
      </c>
      <c r="K1341" s="1214">
        <v>3</v>
      </c>
      <c r="L1341" s="1214"/>
      <c r="N1341" s="292"/>
      <c r="O1341" s="292"/>
      <c r="P1341" s="292"/>
      <c r="Q1341" s="99"/>
      <c r="R1341" s="99"/>
      <c r="S1341" s="99"/>
    </row>
    <row r="1342" spans="1:19">
      <c r="A1342" s="493">
        <v>5</v>
      </c>
      <c r="B1342" s="1343" t="s">
        <v>1761</v>
      </c>
      <c r="C1342" s="1344"/>
      <c r="D1342" s="1344"/>
      <c r="E1342" s="1344"/>
      <c r="F1342" s="1344"/>
      <c r="G1342" s="1344"/>
      <c r="H1342" s="1344"/>
      <c r="I1342" s="1345"/>
      <c r="J1342" s="463" t="s">
        <v>1056</v>
      </c>
      <c r="K1342" s="1214">
        <v>3</v>
      </c>
      <c r="L1342" s="1214"/>
      <c r="N1342" s="292"/>
      <c r="O1342" s="292"/>
      <c r="P1342" s="292"/>
      <c r="Q1342" s="99"/>
      <c r="R1342" s="99"/>
      <c r="S1342" s="99"/>
    </row>
    <row r="1343" spans="1:19" ht="30" customHeight="1">
      <c r="A1343" s="493">
        <v>6</v>
      </c>
      <c r="B1343" s="1288" t="s">
        <v>3086</v>
      </c>
      <c r="C1343" s="1289"/>
      <c r="D1343" s="1289"/>
      <c r="E1343" s="1289"/>
      <c r="F1343" s="1289"/>
      <c r="G1343" s="1289"/>
      <c r="H1343" s="1289"/>
      <c r="I1343" s="1290"/>
      <c r="J1343" s="463" t="s">
        <v>1056</v>
      </c>
      <c r="K1343" s="1214">
        <v>3</v>
      </c>
      <c r="L1343" s="1214"/>
      <c r="N1343" s="292"/>
      <c r="O1343" s="292"/>
      <c r="P1343" s="292"/>
      <c r="Q1343" s="99"/>
      <c r="R1343" s="99"/>
      <c r="S1343" s="99"/>
    </row>
    <row r="1344" spans="1:19">
      <c r="A1344" s="493">
        <v>7</v>
      </c>
      <c r="B1344" s="1343" t="s">
        <v>1762</v>
      </c>
      <c r="C1344" s="1344"/>
      <c r="D1344" s="1344"/>
      <c r="E1344" s="1344"/>
      <c r="F1344" s="1344"/>
      <c r="G1344" s="1344"/>
      <c r="H1344" s="1344"/>
      <c r="I1344" s="1345"/>
      <c r="J1344" s="463" t="s">
        <v>1056</v>
      </c>
      <c r="K1344" s="1214">
        <v>3</v>
      </c>
      <c r="L1344" s="1214"/>
      <c r="N1344" s="292"/>
      <c r="O1344" s="292"/>
      <c r="P1344" s="292"/>
      <c r="Q1344" s="99"/>
      <c r="R1344" s="99"/>
      <c r="S1344" s="99"/>
    </row>
    <row r="1345" spans="1:19">
      <c r="A1345" s="493">
        <v>8</v>
      </c>
      <c r="B1345" s="1343" t="s">
        <v>1766</v>
      </c>
      <c r="C1345" s="1344"/>
      <c r="D1345" s="1344"/>
      <c r="E1345" s="1344"/>
      <c r="F1345" s="1344"/>
      <c r="G1345" s="1344"/>
      <c r="H1345" s="1344"/>
      <c r="I1345" s="1345"/>
      <c r="J1345" s="463" t="s">
        <v>1056</v>
      </c>
      <c r="K1345" s="1214">
        <v>3</v>
      </c>
      <c r="L1345" s="1214"/>
      <c r="N1345" s="292"/>
      <c r="O1345" s="292"/>
      <c r="P1345" s="292"/>
      <c r="Q1345" s="99"/>
      <c r="R1345" s="99"/>
      <c r="S1345" s="99"/>
    </row>
    <row r="1346" spans="1:19" ht="48" customHeight="1">
      <c r="A1346" s="493">
        <v>9</v>
      </c>
      <c r="B1346" s="1288" t="s">
        <v>3081</v>
      </c>
      <c r="C1346" s="1289"/>
      <c r="D1346" s="1289"/>
      <c r="E1346" s="1289"/>
      <c r="F1346" s="1289"/>
      <c r="G1346" s="1289"/>
      <c r="H1346" s="1289"/>
      <c r="I1346" s="1290"/>
      <c r="J1346" s="463" t="s">
        <v>1056</v>
      </c>
      <c r="K1346" s="1214" t="s">
        <v>1767</v>
      </c>
      <c r="L1346" s="1214"/>
      <c r="N1346" s="292"/>
      <c r="O1346" s="292"/>
      <c r="P1346" s="292"/>
      <c r="Q1346" s="99"/>
      <c r="R1346" s="99"/>
      <c r="S1346" s="99"/>
    </row>
    <row r="1347" spans="1:19">
      <c r="A1347" s="493">
        <v>10</v>
      </c>
      <c r="B1347" s="1343" t="s">
        <v>1768</v>
      </c>
      <c r="C1347" s="1344"/>
      <c r="D1347" s="1344"/>
      <c r="E1347" s="1344"/>
      <c r="F1347" s="1344"/>
      <c r="G1347" s="1344"/>
      <c r="H1347" s="1344"/>
      <c r="I1347" s="1345"/>
      <c r="J1347" s="463" t="s">
        <v>1056</v>
      </c>
      <c r="K1347" s="1214" t="s">
        <v>1769</v>
      </c>
      <c r="L1347" s="1214"/>
      <c r="N1347" s="292"/>
      <c r="O1347" s="292"/>
      <c r="P1347" s="292"/>
      <c r="Q1347" s="99"/>
      <c r="R1347" s="99"/>
      <c r="S1347" s="99"/>
    </row>
    <row r="1348" spans="1:19">
      <c r="A1348" s="1467"/>
      <c r="B1348" s="1467"/>
      <c r="C1348" s="1467"/>
      <c r="D1348" s="1467"/>
      <c r="E1348" s="1467"/>
      <c r="F1348" s="1467"/>
      <c r="G1348" s="1467"/>
      <c r="H1348" s="1467"/>
      <c r="I1348" s="1467"/>
      <c r="J1348" s="1467"/>
      <c r="K1348" s="1467"/>
      <c r="L1348" s="1467"/>
      <c r="M1348" s="1467"/>
      <c r="N1348" s="1467"/>
      <c r="O1348" s="1467"/>
    </row>
    <row r="1349" spans="1:19" ht="12.75" customHeight="1">
      <c r="A1349" s="1473" t="s">
        <v>1770</v>
      </c>
      <c r="B1349" s="1473"/>
      <c r="C1349" s="1473"/>
      <c r="D1349" s="1473"/>
      <c r="E1349" s="1473"/>
      <c r="F1349" s="1473"/>
      <c r="G1349" s="1473"/>
      <c r="H1349" s="1473"/>
      <c r="I1349" s="1473"/>
      <c r="J1349" s="1473"/>
      <c r="K1349" s="1473"/>
      <c r="L1349" s="477" t="s">
        <v>1056</v>
      </c>
      <c r="M1349" s="1471">
        <v>75</v>
      </c>
      <c r="N1349" s="1471"/>
    </row>
    <row r="1350" spans="1:19" ht="30.75" customHeight="1">
      <c r="A1350" s="492">
        <v>1</v>
      </c>
      <c r="B1350" s="1482" t="s">
        <v>3087</v>
      </c>
      <c r="C1350" s="1482"/>
      <c r="D1350" s="1482"/>
      <c r="E1350" s="1482"/>
      <c r="F1350" s="1482"/>
      <c r="G1350" s="1482"/>
      <c r="H1350" s="1482"/>
      <c r="I1350" s="1482"/>
      <c r="J1350" s="456" t="s">
        <v>1056</v>
      </c>
      <c r="K1350" s="1369" t="s">
        <v>1769</v>
      </c>
      <c r="L1350" s="1369"/>
    </row>
    <row r="1351" spans="1:19">
      <c r="A1351" s="1467"/>
      <c r="B1351" s="1467"/>
      <c r="C1351" s="1467"/>
      <c r="D1351" s="1467"/>
      <c r="E1351" s="1467"/>
      <c r="F1351" s="1467"/>
      <c r="G1351" s="1467"/>
      <c r="H1351" s="1467"/>
      <c r="I1351" s="1467"/>
      <c r="J1351" s="1467"/>
      <c r="K1351" s="1467"/>
      <c r="L1351" s="1467"/>
      <c r="M1351" s="1467"/>
      <c r="N1351" s="1467"/>
      <c r="O1351" s="1467"/>
    </row>
    <row r="1352" spans="1:19" ht="12.75" customHeight="1">
      <c r="A1352" s="1473" t="s">
        <v>1771</v>
      </c>
      <c r="B1352" s="1473"/>
      <c r="C1352" s="1473"/>
      <c r="D1352" s="1473"/>
      <c r="E1352" s="1473"/>
      <c r="F1352" s="1473"/>
      <c r="G1352" s="1473"/>
      <c r="H1352" s="1473"/>
      <c r="I1352" s="1473"/>
      <c r="J1352" s="1473"/>
      <c r="K1352" s="1473"/>
      <c r="L1352" s="477" t="s">
        <v>1056</v>
      </c>
      <c r="M1352" s="1471">
        <v>68</v>
      </c>
      <c r="N1352" s="1471"/>
    </row>
    <row r="1353" spans="1:19" ht="12.75" customHeight="1">
      <c r="A1353" s="492">
        <v>1</v>
      </c>
      <c r="B1353" s="1469" t="s">
        <v>1772</v>
      </c>
      <c r="C1353" s="1469"/>
      <c r="D1353" s="1469"/>
      <c r="E1353" s="1469"/>
      <c r="F1353" s="1469"/>
      <c r="G1353" s="1469"/>
      <c r="H1353" s="1469"/>
      <c r="I1353" s="1469"/>
      <c r="J1353" s="476" t="s">
        <v>1056</v>
      </c>
      <c r="K1353" s="1369">
        <v>4</v>
      </c>
      <c r="L1353" s="1369"/>
    </row>
    <row r="1354" spans="1:19" ht="12.75" customHeight="1">
      <c r="A1354" s="493">
        <v>2</v>
      </c>
      <c r="B1354" s="1363" t="s">
        <v>1764</v>
      </c>
      <c r="C1354" s="1363"/>
      <c r="D1354" s="1363"/>
      <c r="E1354" s="1363"/>
      <c r="F1354" s="1363"/>
      <c r="G1354" s="1363"/>
      <c r="H1354" s="1363"/>
      <c r="I1354" s="1363"/>
      <c r="J1354" s="463" t="s">
        <v>1056</v>
      </c>
      <c r="K1354" s="1214">
        <v>4</v>
      </c>
      <c r="L1354" s="1214"/>
    </row>
    <row r="1355" spans="1:19" ht="53.25" customHeight="1">
      <c r="A1355" s="493">
        <v>3</v>
      </c>
      <c r="B1355" s="1373" t="s">
        <v>3091</v>
      </c>
      <c r="C1355" s="1363"/>
      <c r="D1355" s="1363"/>
      <c r="E1355" s="1363"/>
      <c r="F1355" s="1363"/>
      <c r="G1355" s="1363"/>
      <c r="H1355" s="1363"/>
      <c r="I1355" s="1363"/>
      <c r="J1355" s="463" t="s">
        <v>1056</v>
      </c>
      <c r="K1355" s="1214">
        <v>4</v>
      </c>
      <c r="L1355" s="1214"/>
    </row>
    <row r="1356" spans="1:19">
      <c r="A1356" s="493">
        <v>4</v>
      </c>
      <c r="B1356" s="1363" t="s">
        <v>1773</v>
      </c>
      <c r="C1356" s="1363"/>
      <c r="D1356" s="1363"/>
      <c r="E1356" s="1363"/>
      <c r="F1356" s="1363"/>
      <c r="G1356" s="1363"/>
      <c r="H1356" s="1363"/>
      <c r="I1356" s="1363"/>
      <c r="J1356" s="463" t="s">
        <v>1056</v>
      </c>
      <c r="K1356" s="1476" t="s">
        <v>3092</v>
      </c>
      <c r="L1356" s="1477"/>
    </row>
    <row r="1357" spans="1:19" ht="12.75" customHeight="1">
      <c r="A1357" s="493">
        <v>5</v>
      </c>
      <c r="B1357" s="1363" t="s">
        <v>1774</v>
      </c>
      <c r="C1357" s="1363"/>
      <c r="D1357" s="1363"/>
      <c r="E1357" s="1363"/>
      <c r="F1357" s="1363"/>
      <c r="G1357" s="1363"/>
      <c r="H1357" s="1363"/>
      <c r="I1357" s="1363"/>
      <c r="J1357" s="463" t="s">
        <v>1056</v>
      </c>
      <c r="K1357" s="1214">
        <v>1</v>
      </c>
      <c r="L1357" s="1214"/>
    </row>
    <row r="1358" spans="1:19" ht="12.75" customHeight="1">
      <c r="A1358" s="1470"/>
      <c r="B1358" s="1470"/>
      <c r="C1358" s="1470"/>
      <c r="D1358" s="1470"/>
      <c r="E1358" s="1470"/>
      <c r="F1358" s="1470"/>
      <c r="G1358" s="1470"/>
      <c r="H1358" s="1470"/>
      <c r="I1358" s="1470"/>
      <c r="J1358" s="1470"/>
      <c r="K1358" s="1470"/>
      <c r="L1358" s="1470"/>
      <c r="M1358" s="1470"/>
      <c r="N1358" s="1470"/>
      <c r="O1358" s="1470"/>
    </row>
    <row r="1359" spans="1:19" ht="12.75" customHeight="1">
      <c r="A1359" s="1473" t="s">
        <v>1775</v>
      </c>
      <c r="B1359" s="1473"/>
      <c r="C1359" s="1473"/>
      <c r="D1359" s="1473"/>
      <c r="E1359" s="1473"/>
      <c r="F1359" s="1473"/>
      <c r="G1359" s="1473"/>
      <c r="H1359" s="1473"/>
      <c r="I1359" s="1473"/>
      <c r="J1359" s="1473"/>
      <c r="K1359" s="1473"/>
      <c r="L1359" s="477" t="s">
        <v>1056</v>
      </c>
      <c r="M1359" s="1471">
        <v>60</v>
      </c>
      <c r="N1359" s="1471"/>
    </row>
    <row r="1360" spans="1:19" ht="12.75" customHeight="1">
      <c r="A1360" s="492">
        <v>1</v>
      </c>
      <c r="B1360" s="1474" t="s">
        <v>1776</v>
      </c>
      <c r="C1360" s="1474"/>
      <c r="D1360" s="1474"/>
      <c r="E1360" s="1474"/>
      <c r="F1360" s="1474"/>
      <c r="G1360" s="1474"/>
      <c r="H1360" s="1474"/>
      <c r="I1360" s="1474"/>
      <c r="J1360" s="476" t="s">
        <v>1056</v>
      </c>
      <c r="K1360" s="1476" t="s">
        <v>3092</v>
      </c>
      <c r="L1360" s="1477"/>
      <c r="P1360" s="99"/>
      <c r="Q1360" s="99"/>
    </row>
    <row r="1361" spans="1:21">
      <c r="A1361" s="493">
        <v>2</v>
      </c>
      <c r="B1361" s="1459" t="s">
        <v>3006</v>
      </c>
      <c r="C1361" s="1459"/>
      <c r="D1361" s="1459"/>
      <c r="E1361" s="1459"/>
      <c r="F1361" s="1459"/>
      <c r="G1361" s="1459"/>
      <c r="H1361" s="1459"/>
      <c r="I1361" s="1459"/>
      <c r="J1361" s="298" t="s">
        <v>1056</v>
      </c>
      <c r="K1361" s="1582" t="s">
        <v>3088</v>
      </c>
      <c r="L1361" s="1478"/>
    </row>
    <row r="1362" spans="1:21" ht="12.75" customHeight="1">
      <c r="A1362" s="493">
        <v>3</v>
      </c>
      <c r="B1362" s="1460" t="s">
        <v>1777</v>
      </c>
      <c r="C1362" s="1460"/>
      <c r="D1362" s="1460"/>
      <c r="E1362" s="1460"/>
      <c r="F1362" s="1460"/>
      <c r="G1362" s="1460"/>
      <c r="H1362" s="1460"/>
      <c r="I1362" s="1460"/>
      <c r="J1362" s="463" t="s">
        <v>1056</v>
      </c>
      <c r="K1362" s="1478" t="s">
        <v>1778</v>
      </c>
      <c r="L1362" s="1478"/>
      <c r="P1362" s="99"/>
      <c r="Q1362" s="99"/>
    </row>
    <row r="1363" spans="1:21" ht="25.5" customHeight="1">
      <c r="A1363" s="493">
        <v>4</v>
      </c>
      <c r="B1363" s="1459" t="s">
        <v>3089</v>
      </c>
      <c r="C1363" s="1460"/>
      <c r="D1363" s="1460"/>
      <c r="E1363" s="1460"/>
      <c r="F1363" s="1460"/>
      <c r="G1363" s="1460"/>
      <c r="H1363" s="1460"/>
      <c r="I1363" s="1460"/>
      <c r="J1363" s="463" t="s">
        <v>1056</v>
      </c>
      <c r="K1363" s="1478" t="s">
        <v>1779</v>
      </c>
      <c r="L1363" s="1478"/>
      <c r="P1363" s="99"/>
      <c r="Q1363" s="99"/>
    </row>
    <row r="1364" spans="1:21" ht="12.75" customHeight="1">
      <c r="A1364" s="493">
        <v>5</v>
      </c>
      <c r="B1364" s="1460" t="s">
        <v>1780</v>
      </c>
      <c r="C1364" s="1460"/>
      <c r="D1364" s="1460"/>
      <c r="E1364" s="1460"/>
      <c r="F1364" s="1460"/>
      <c r="G1364" s="1460"/>
      <c r="H1364" s="1460"/>
      <c r="I1364" s="1460"/>
      <c r="J1364" s="463" t="s">
        <v>1056</v>
      </c>
      <c r="K1364" s="1478" t="s">
        <v>1760</v>
      </c>
      <c r="L1364" s="1478"/>
      <c r="P1364" s="99"/>
      <c r="Q1364" s="99"/>
    </row>
    <row r="1365" spans="1:21">
      <c r="A1365" s="1470"/>
      <c r="B1365" s="1470"/>
      <c r="C1365" s="1470"/>
      <c r="D1365" s="1470"/>
      <c r="E1365" s="1470"/>
      <c r="F1365" s="1470"/>
      <c r="G1365" s="1470"/>
      <c r="H1365" s="1470"/>
      <c r="I1365" s="1470"/>
      <c r="J1365" s="1470"/>
      <c r="K1365" s="1470"/>
      <c r="L1365" s="1470"/>
      <c r="M1365" s="1470"/>
      <c r="N1365" s="1470"/>
      <c r="O1365" s="1470"/>
    </row>
    <row r="1366" spans="1:21" ht="12.75" customHeight="1">
      <c r="A1366" s="1473" t="s">
        <v>1781</v>
      </c>
      <c r="B1366" s="1473"/>
      <c r="C1366" s="1473"/>
      <c r="D1366" s="1473"/>
      <c r="E1366" s="1473"/>
      <c r="F1366" s="1473"/>
      <c r="G1366" s="1473"/>
      <c r="H1366" s="1473"/>
      <c r="I1366" s="1473"/>
      <c r="J1366" s="1473"/>
      <c r="K1366" s="1473"/>
      <c r="L1366" s="477" t="s">
        <v>1056</v>
      </c>
      <c r="M1366" s="1471">
        <v>55</v>
      </c>
      <c r="N1366" s="1471"/>
    </row>
    <row r="1367" spans="1:21" ht="42.75" customHeight="1">
      <c r="A1367" s="492"/>
      <c r="B1367" s="1468" t="s">
        <v>3090</v>
      </c>
      <c r="C1367" s="1469"/>
      <c r="D1367" s="1469"/>
      <c r="E1367" s="1469"/>
      <c r="F1367" s="1469"/>
      <c r="G1367" s="1469"/>
      <c r="H1367" s="1469"/>
      <c r="I1367" s="1469"/>
      <c r="J1367" s="476" t="s">
        <v>1056</v>
      </c>
      <c r="K1367" s="1476" t="s">
        <v>3093</v>
      </c>
      <c r="L1367" s="1477"/>
      <c r="N1367" s="292"/>
      <c r="O1367" s="292"/>
      <c r="P1367" s="292"/>
      <c r="Q1367" s="292"/>
      <c r="R1367" s="292"/>
      <c r="S1367" s="99"/>
      <c r="T1367" s="99"/>
      <c r="U1367" s="99"/>
    </row>
    <row r="1368" spans="1:21" ht="12.75" customHeight="1">
      <c r="B1368" s="1216"/>
      <c r="C1368" s="1216"/>
      <c r="D1368" s="1216"/>
      <c r="E1368" s="1216"/>
      <c r="F1368" s="1216"/>
      <c r="G1368" s="1216"/>
      <c r="H1368" s="1216"/>
      <c r="I1368" s="1216"/>
      <c r="K1368" s="457"/>
      <c r="N1368" s="292"/>
      <c r="O1368" s="292"/>
      <c r="P1368" s="292"/>
      <c r="Q1368" s="292"/>
      <c r="R1368" s="292"/>
      <c r="S1368" s="99"/>
      <c r="T1368" s="99"/>
      <c r="U1368" s="99"/>
    </row>
    <row r="1369" spans="1:21">
      <c r="B1369" s="1411"/>
      <c r="C1369" s="1411"/>
      <c r="D1369" s="1411"/>
      <c r="E1369" s="1411"/>
      <c r="F1369" s="1411"/>
      <c r="G1369" s="1411"/>
      <c r="H1369" s="1411"/>
      <c r="I1369" s="1411"/>
      <c r="J1369" s="460"/>
      <c r="K1369" s="457"/>
      <c r="N1369" s="292"/>
      <c r="O1369" s="292"/>
      <c r="P1369" s="292"/>
      <c r="Q1369" s="292"/>
      <c r="R1369" s="292"/>
      <c r="S1369" s="99"/>
      <c r="T1369" s="99"/>
      <c r="U1369" s="99"/>
    </row>
    <row r="1371" spans="1:21">
      <c r="A1371" s="1557" t="s">
        <v>1138</v>
      </c>
      <c r="B1371" s="1557"/>
      <c r="C1371" s="1557"/>
      <c r="D1371" s="1557"/>
      <c r="E1371" s="1557"/>
      <c r="F1371" s="1557"/>
      <c r="G1371" s="1557"/>
      <c r="H1371" s="1557"/>
      <c r="I1371" s="1557"/>
      <c r="J1371" s="1557"/>
      <c r="K1371" s="1557"/>
      <c r="L1371" s="1557"/>
      <c r="M1371" s="1557"/>
      <c r="N1371" s="1557"/>
      <c r="O1371" s="1557"/>
    </row>
    <row r="1372" spans="1:21">
      <c r="A1372" s="1528" t="s">
        <v>1782</v>
      </c>
      <c r="B1372" s="1528"/>
      <c r="C1372" s="1528"/>
      <c r="D1372" s="1528"/>
      <c r="E1372" s="1528"/>
      <c r="F1372" s="1528"/>
      <c r="G1372" s="1528"/>
      <c r="H1372" s="1528"/>
      <c r="I1372" s="1528"/>
      <c r="J1372" s="1528"/>
      <c r="K1372" s="1528"/>
      <c r="L1372" s="1528"/>
      <c r="M1372" s="1528"/>
      <c r="N1372" s="1528"/>
      <c r="O1372" s="1528"/>
    </row>
    <row r="1374" spans="1:21" ht="25.5">
      <c r="A1374" s="502" t="s">
        <v>1051</v>
      </c>
      <c r="B1374" s="1429" t="s">
        <v>2635</v>
      </c>
      <c r="C1374" s="1430"/>
      <c r="D1374" s="1430"/>
      <c r="E1374" s="1430"/>
      <c r="F1374" s="1430"/>
      <c r="G1374" s="1430"/>
      <c r="H1374" s="1430"/>
      <c r="I1374" s="1430"/>
      <c r="J1374" s="1430"/>
      <c r="K1374" s="1472"/>
      <c r="L1374" s="1432"/>
      <c r="M1374" s="1432" t="s">
        <v>2963</v>
      </c>
      <c r="N1374" s="1432"/>
      <c r="O1374" s="1432"/>
    </row>
    <row r="1375" spans="1:21">
      <c r="A1375" s="1475"/>
      <c r="B1375" s="1475"/>
      <c r="C1375" s="1475"/>
      <c r="D1375" s="1475"/>
      <c r="E1375" s="1475"/>
      <c r="F1375" s="1475"/>
      <c r="G1375" s="1475"/>
      <c r="H1375" s="1475"/>
      <c r="I1375" s="1475"/>
      <c r="J1375" s="1475"/>
      <c r="K1375" s="1475"/>
      <c r="L1375" s="1475"/>
      <c r="M1375" s="1475"/>
      <c r="N1375" s="1475"/>
      <c r="O1375" s="1475"/>
    </row>
    <row r="1376" spans="1:21" ht="12.75" customHeight="1">
      <c r="A1376" s="1433">
        <v>1</v>
      </c>
      <c r="B1376" s="1494" t="s">
        <v>3097</v>
      </c>
      <c r="C1376" s="1494"/>
      <c r="D1376" s="1494"/>
      <c r="E1376" s="1494"/>
      <c r="F1376" s="1494"/>
      <c r="G1376" s="1494"/>
      <c r="H1376" s="1494"/>
      <c r="I1376" s="1494"/>
      <c r="J1376" s="1494"/>
      <c r="K1376" s="1494"/>
      <c r="L1376" s="1214"/>
      <c r="M1376" s="1214"/>
      <c r="N1376" s="1214"/>
      <c r="O1376" s="1214"/>
    </row>
    <row r="1377" spans="1:16" ht="12.75" customHeight="1">
      <c r="A1377" s="1434"/>
      <c r="B1377" s="1420" t="s">
        <v>3096</v>
      </c>
      <c r="C1377" s="1421"/>
      <c r="D1377" s="1421"/>
      <c r="E1377" s="1421"/>
      <c r="F1377" s="1421"/>
      <c r="G1377" s="1421"/>
      <c r="H1377" s="1421"/>
      <c r="I1377" s="1421"/>
      <c r="J1377" s="1421"/>
      <c r="K1377" s="1421"/>
      <c r="L1377" s="307" t="s">
        <v>1056</v>
      </c>
      <c r="M1377" s="1214">
        <v>230</v>
      </c>
      <c r="N1377" s="1214"/>
      <c r="O1377" s="1214"/>
    </row>
    <row r="1378" spans="1:16" ht="12.75" customHeight="1">
      <c r="A1378" s="1434"/>
      <c r="B1378" s="1420" t="s">
        <v>3095</v>
      </c>
      <c r="C1378" s="1421"/>
      <c r="D1378" s="1421"/>
      <c r="E1378" s="1421"/>
      <c r="F1378" s="1421"/>
      <c r="G1378" s="1421"/>
      <c r="H1378" s="1421"/>
      <c r="I1378" s="1421"/>
      <c r="J1378" s="1421"/>
      <c r="K1378" s="1421"/>
      <c r="L1378" s="307" t="s">
        <v>1056</v>
      </c>
      <c r="M1378" s="1214">
        <v>220</v>
      </c>
      <c r="N1378" s="1214"/>
      <c r="O1378" s="1214"/>
    </row>
    <row r="1379" spans="1:16" ht="12.75" customHeight="1">
      <c r="A1379" s="1435"/>
      <c r="B1379" s="1373" t="s">
        <v>3098</v>
      </c>
      <c r="C1379" s="1363"/>
      <c r="D1379" s="1363"/>
      <c r="E1379" s="1363"/>
      <c r="F1379" s="1363"/>
      <c r="G1379" s="1363"/>
      <c r="H1379" s="1363"/>
      <c r="I1379" s="1363"/>
      <c r="J1379" s="1363"/>
      <c r="K1379" s="1363"/>
      <c r="L1379" s="463" t="s">
        <v>1056</v>
      </c>
      <c r="M1379" s="1214">
        <v>150</v>
      </c>
      <c r="N1379" s="1214"/>
      <c r="O1379" s="1214"/>
      <c r="P1379" s="99"/>
    </row>
    <row r="1380" spans="1:16">
      <c r="A1380" s="1461"/>
      <c r="B1380" s="1461"/>
      <c r="C1380" s="1461"/>
      <c r="D1380" s="1461"/>
      <c r="E1380" s="1461"/>
      <c r="F1380" s="1461"/>
      <c r="G1380" s="1461"/>
      <c r="H1380" s="1461"/>
      <c r="I1380" s="1461"/>
      <c r="J1380" s="1461"/>
      <c r="K1380" s="1461"/>
      <c r="L1380" s="1461"/>
      <c r="M1380" s="1461"/>
      <c r="N1380" s="1461"/>
      <c r="O1380" s="1461"/>
    </row>
    <row r="1381" spans="1:16" ht="51" customHeight="1">
      <c r="A1381" s="1433">
        <v>2</v>
      </c>
      <c r="B1381" s="1459" t="s">
        <v>3101</v>
      </c>
      <c r="C1381" s="1460"/>
      <c r="D1381" s="1460"/>
      <c r="E1381" s="1460"/>
      <c r="F1381" s="1460"/>
      <c r="G1381" s="1460"/>
      <c r="H1381" s="1460"/>
      <c r="I1381" s="1460"/>
      <c r="J1381" s="1460"/>
      <c r="K1381" s="1460"/>
      <c r="L1381" s="1214"/>
      <c r="M1381" s="1214"/>
      <c r="N1381" s="1214"/>
      <c r="O1381" s="1214"/>
    </row>
    <row r="1382" spans="1:16" ht="12.75" customHeight="1">
      <c r="A1382" s="1434"/>
      <c r="B1382" s="1422" t="s">
        <v>3094</v>
      </c>
      <c r="C1382" s="1423"/>
      <c r="D1382" s="1423"/>
      <c r="E1382" s="1423"/>
      <c r="F1382" s="1423"/>
      <c r="G1382" s="1423"/>
      <c r="H1382" s="1423"/>
      <c r="I1382" s="1423"/>
      <c r="J1382" s="1423"/>
      <c r="K1382" s="1423"/>
      <c r="L1382" s="307" t="s">
        <v>1056</v>
      </c>
      <c r="M1382" s="1214">
        <v>210</v>
      </c>
      <c r="N1382" s="1214"/>
      <c r="O1382" s="1214"/>
    </row>
    <row r="1383" spans="1:16" ht="12.75" customHeight="1">
      <c r="A1383" s="1434"/>
      <c r="B1383" s="1422" t="s">
        <v>3095</v>
      </c>
      <c r="C1383" s="1423"/>
      <c r="D1383" s="1423"/>
      <c r="E1383" s="1423"/>
      <c r="F1383" s="1423"/>
      <c r="G1383" s="1423"/>
      <c r="H1383" s="1423"/>
      <c r="I1383" s="1423"/>
      <c r="J1383" s="1423"/>
      <c r="K1383" s="1423"/>
      <c r="L1383" s="307" t="s">
        <v>1056</v>
      </c>
      <c r="M1383" s="1214">
        <v>200</v>
      </c>
      <c r="N1383" s="1214"/>
      <c r="O1383" s="1214"/>
    </row>
    <row r="1384" spans="1:16" ht="12.75" customHeight="1">
      <c r="A1384" s="1435"/>
      <c r="B1384" s="1309" t="s">
        <v>3099</v>
      </c>
      <c r="C1384" s="1310"/>
      <c r="D1384" s="1310"/>
      <c r="E1384" s="1310"/>
      <c r="F1384" s="1310"/>
      <c r="G1384" s="1310"/>
      <c r="H1384" s="1310"/>
      <c r="I1384" s="1310"/>
      <c r="J1384" s="1310"/>
      <c r="K1384" s="1310"/>
      <c r="L1384" s="307" t="s">
        <v>1056</v>
      </c>
      <c r="M1384" s="1214">
        <v>140</v>
      </c>
      <c r="N1384" s="1214"/>
      <c r="O1384" s="1214"/>
    </row>
    <row r="1385" spans="1:16">
      <c r="A1385" s="1461"/>
      <c r="B1385" s="1461"/>
      <c r="C1385" s="1461"/>
      <c r="D1385" s="1461"/>
      <c r="E1385" s="1461"/>
      <c r="F1385" s="1461"/>
      <c r="G1385" s="1461"/>
      <c r="H1385" s="1461"/>
      <c r="I1385" s="1461"/>
      <c r="J1385" s="1461"/>
      <c r="K1385" s="1461"/>
      <c r="L1385" s="1461"/>
      <c r="M1385" s="1461"/>
      <c r="N1385" s="1461"/>
      <c r="O1385" s="1461"/>
    </row>
    <row r="1386" spans="1:16" ht="120" customHeight="1">
      <c r="A1386" s="1433">
        <v>3</v>
      </c>
      <c r="B1386" s="1373" t="s">
        <v>3100</v>
      </c>
      <c r="C1386" s="1363"/>
      <c r="D1386" s="1363"/>
      <c r="E1386" s="1363"/>
      <c r="F1386" s="1363"/>
      <c r="G1386" s="1363"/>
      <c r="H1386" s="1363"/>
      <c r="I1386" s="1363"/>
      <c r="J1386" s="1363"/>
      <c r="K1386" s="1363"/>
      <c r="L1386" s="1214"/>
      <c r="M1386" s="1214"/>
      <c r="N1386" s="1214"/>
      <c r="O1386" s="1214"/>
    </row>
    <row r="1387" spans="1:16" ht="12.75" customHeight="1">
      <c r="A1387" s="1434"/>
      <c r="B1387" s="1373" t="s">
        <v>3096</v>
      </c>
      <c r="C1387" s="1363"/>
      <c r="D1387" s="1363"/>
      <c r="E1387" s="1363"/>
      <c r="F1387" s="1363"/>
      <c r="G1387" s="1363"/>
      <c r="H1387" s="1363"/>
      <c r="I1387" s="1363"/>
      <c r="J1387" s="1363"/>
      <c r="K1387" s="1363"/>
      <c r="L1387" s="307" t="s">
        <v>1056</v>
      </c>
      <c r="M1387" s="1214">
        <v>195</v>
      </c>
      <c r="N1387" s="1214"/>
      <c r="O1387" s="1214"/>
    </row>
    <row r="1388" spans="1:16" ht="12.75" customHeight="1">
      <c r="A1388" s="1434"/>
      <c r="B1388" s="1373" t="s">
        <v>3095</v>
      </c>
      <c r="C1388" s="1363"/>
      <c r="D1388" s="1363"/>
      <c r="E1388" s="1363"/>
      <c r="F1388" s="1363"/>
      <c r="G1388" s="1363"/>
      <c r="H1388" s="1363"/>
      <c r="I1388" s="1363"/>
      <c r="J1388" s="1363"/>
      <c r="K1388" s="1363"/>
      <c r="L1388" s="307" t="s">
        <v>1056</v>
      </c>
      <c r="M1388" s="1214">
        <v>185</v>
      </c>
      <c r="N1388" s="1214"/>
      <c r="O1388" s="1214"/>
    </row>
    <row r="1389" spans="1:16" ht="12.75" customHeight="1">
      <c r="A1389" s="1435"/>
      <c r="B1389" s="1494" t="s">
        <v>3099</v>
      </c>
      <c r="C1389" s="1336"/>
      <c r="D1389" s="1336"/>
      <c r="E1389" s="1336"/>
      <c r="F1389" s="1336"/>
      <c r="G1389" s="1336"/>
      <c r="H1389" s="1336"/>
      <c r="I1389" s="1336"/>
      <c r="J1389" s="1336"/>
      <c r="K1389" s="1336"/>
      <c r="L1389" s="307" t="s">
        <v>1056</v>
      </c>
      <c r="M1389" s="1214">
        <v>125</v>
      </c>
      <c r="N1389" s="1214"/>
      <c r="O1389" s="1214"/>
    </row>
    <row r="1390" spans="1:16">
      <c r="A1390" s="1461"/>
      <c r="B1390" s="1461"/>
      <c r="C1390" s="1461"/>
      <c r="D1390" s="1461"/>
      <c r="E1390" s="1461"/>
      <c r="F1390" s="1461"/>
      <c r="G1390" s="1461"/>
      <c r="H1390" s="1461"/>
      <c r="I1390" s="1461"/>
      <c r="J1390" s="1461"/>
      <c r="K1390" s="1461"/>
      <c r="L1390" s="1461"/>
      <c r="M1390" s="1461"/>
      <c r="N1390" s="1461"/>
      <c r="O1390" s="1461"/>
    </row>
    <row r="1391" spans="1:16" ht="108" customHeight="1">
      <c r="A1391" s="1463">
        <v>4</v>
      </c>
      <c r="B1391" s="1372" t="s">
        <v>3102</v>
      </c>
      <c r="C1391" s="1372"/>
      <c r="D1391" s="1372"/>
      <c r="E1391" s="1372"/>
      <c r="F1391" s="1372"/>
      <c r="G1391" s="1372"/>
      <c r="H1391" s="1372"/>
      <c r="I1391" s="1372"/>
      <c r="J1391" s="1372"/>
      <c r="K1391" s="1372"/>
      <c r="L1391" s="1458"/>
      <c r="M1391" s="1458"/>
      <c r="N1391" s="1458"/>
      <c r="O1391" s="1458"/>
    </row>
    <row r="1392" spans="1:16" ht="12.75" customHeight="1">
      <c r="A1392" s="1464"/>
      <c r="B1392" s="1372" t="s">
        <v>3106</v>
      </c>
      <c r="C1392" s="1372"/>
      <c r="D1392" s="1372"/>
      <c r="E1392" s="1372"/>
      <c r="F1392" s="1372"/>
      <c r="G1392" s="1372"/>
      <c r="H1392" s="1372"/>
      <c r="I1392" s="1372"/>
      <c r="J1392" s="1372"/>
      <c r="K1392" s="1372"/>
      <c r="L1392" s="653" t="s">
        <v>1056</v>
      </c>
      <c r="M1392" s="1458">
        <v>130</v>
      </c>
      <c r="N1392" s="1458"/>
      <c r="O1392" s="1458"/>
    </row>
    <row r="1393" spans="1:17" ht="12.75" customHeight="1">
      <c r="A1393" s="1464"/>
      <c r="B1393" s="1372" t="s">
        <v>3107</v>
      </c>
      <c r="C1393" s="1372"/>
      <c r="D1393" s="1372"/>
      <c r="E1393" s="1372"/>
      <c r="F1393" s="1372"/>
      <c r="G1393" s="1372"/>
      <c r="H1393" s="1372"/>
      <c r="I1393" s="1372"/>
      <c r="J1393" s="1372"/>
      <c r="K1393" s="1372"/>
      <c r="L1393" s="653" t="s">
        <v>1056</v>
      </c>
      <c r="M1393" s="1458">
        <v>125</v>
      </c>
      <c r="N1393" s="1458"/>
      <c r="O1393" s="1458"/>
    </row>
    <row r="1394" spans="1:17" ht="27" customHeight="1">
      <c r="A1394" s="1465"/>
      <c r="B1394" s="1372" t="s">
        <v>3103</v>
      </c>
      <c r="C1394" s="1372"/>
      <c r="D1394" s="1372"/>
      <c r="E1394" s="1372"/>
      <c r="F1394" s="1372"/>
      <c r="G1394" s="1372"/>
      <c r="H1394" s="1372"/>
      <c r="I1394" s="1372"/>
      <c r="J1394" s="1372"/>
      <c r="K1394" s="1372"/>
      <c r="L1394" s="654" t="s">
        <v>1056</v>
      </c>
      <c r="M1394" s="1458">
        <v>92</v>
      </c>
      <c r="N1394" s="1458"/>
      <c r="O1394" s="1458"/>
    </row>
    <row r="1395" spans="1:17">
      <c r="A1395" s="1457"/>
      <c r="B1395" s="1457"/>
      <c r="C1395" s="1457"/>
      <c r="D1395" s="1457"/>
      <c r="E1395" s="1457"/>
      <c r="F1395" s="1457"/>
      <c r="G1395" s="1457"/>
      <c r="H1395" s="1457"/>
      <c r="I1395" s="1457"/>
      <c r="J1395" s="1457"/>
      <c r="K1395" s="1457"/>
      <c r="L1395" s="1457"/>
      <c r="M1395" s="1457"/>
      <c r="N1395" s="1457"/>
      <c r="O1395" s="1457"/>
    </row>
    <row r="1396" spans="1:17" ht="150" customHeight="1">
      <c r="A1396" s="1463">
        <v>5</v>
      </c>
      <c r="B1396" s="1462" t="s">
        <v>3104</v>
      </c>
      <c r="C1396" s="1462"/>
      <c r="D1396" s="1462"/>
      <c r="E1396" s="1462"/>
      <c r="F1396" s="1462"/>
      <c r="G1396" s="1462"/>
      <c r="H1396" s="1462"/>
      <c r="I1396" s="1462"/>
      <c r="J1396" s="1462"/>
      <c r="K1396" s="1462"/>
      <c r="L1396" s="1458"/>
      <c r="M1396" s="1458"/>
      <c r="N1396" s="1458"/>
      <c r="O1396" s="1458"/>
    </row>
    <row r="1397" spans="1:17" ht="12.75" customHeight="1">
      <c r="A1397" s="1464"/>
      <c r="B1397" s="1450" t="s">
        <v>3108</v>
      </c>
      <c r="C1397" s="1451"/>
      <c r="D1397" s="1451"/>
      <c r="E1397" s="1451"/>
      <c r="F1397" s="1451"/>
      <c r="G1397" s="1451"/>
      <c r="H1397" s="1451"/>
      <c r="I1397" s="1451"/>
      <c r="J1397" s="1451"/>
      <c r="K1397" s="1452"/>
      <c r="L1397" s="653" t="s">
        <v>1056</v>
      </c>
      <c r="M1397" s="1458">
        <v>120</v>
      </c>
      <c r="N1397" s="1458"/>
      <c r="O1397" s="1458"/>
    </row>
    <row r="1398" spans="1:17" ht="12.75" customHeight="1">
      <c r="A1398" s="1464"/>
      <c r="B1398" s="1450" t="s">
        <v>3109</v>
      </c>
      <c r="C1398" s="1451"/>
      <c r="D1398" s="1451"/>
      <c r="E1398" s="1451"/>
      <c r="F1398" s="1451"/>
      <c r="G1398" s="1451"/>
      <c r="H1398" s="1451"/>
      <c r="I1398" s="1451"/>
      <c r="J1398" s="1451"/>
      <c r="K1398" s="1452"/>
      <c r="L1398" s="653" t="s">
        <v>1056</v>
      </c>
      <c r="M1398" s="1458">
        <v>115</v>
      </c>
      <c r="N1398" s="1458"/>
      <c r="O1398" s="1458"/>
    </row>
    <row r="1399" spans="1:17" ht="12.75" customHeight="1">
      <c r="A1399" s="1465"/>
      <c r="B1399" s="1453" t="s">
        <v>3105</v>
      </c>
      <c r="C1399" s="1454"/>
      <c r="D1399" s="1454"/>
      <c r="E1399" s="1454"/>
      <c r="F1399" s="1454"/>
      <c r="G1399" s="1454"/>
      <c r="H1399" s="1454"/>
      <c r="I1399" s="1454"/>
      <c r="J1399" s="1454"/>
      <c r="K1399" s="1455"/>
      <c r="L1399" s="654" t="s">
        <v>1056</v>
      </c>
      <c r="M1399" s="1458">
        <v>85</v>
      </c>
      <c r="N1399" s="1458"/>
      <c r="O1399" s="1458"/>
      <c r="P1399" s="99"/>
      <c r="Q1399" s="99"/>
    </row>
    <row r="1400" spans="1:17">
      <c r="A1400" s="1466"/>
      <c r="B1400" s="1466"/>
      <c r="C1400" s="1466"/>
      <c r="D1400" s="1466"/>
      <c r="E1400" s="1466"/>
      <c r="F1400" s="1466"/>
      <c r="G1400" s="1466"/>
      <c r="H1400" s="1466"/>
      <c r="I1400" s="1466"/>
      <c r="J1400" s="1466"/>
      <c r="K1400" s="1466"/>
      <c r="L1400" s="1466"/>
      <c r="M1400" s="1466"/>
      <c r="N1400" s="1466"/>
      <c r="O1400" s="1466"/>
    </row>
    <row r="1401" spans="1:17" ht="57" customHeight="1">
      <c r="A1401" s="1426">
        <v>6</v>
      </c>
      <c r="B1401" s="1373" t="s">
        <v>3110</v>
      </c>
      <c r="C1401" s="1373"/>
      <c r="D1401" s="1373"/>
      <c r="E1401" s="1373"/>
      <c r="F1401" s="1373"/>
      <c r="G1401" s="1373"/>
      <c r="H1401" s="1373"/>
      <c r="I1401" s="1373"/>
      <c r="J1401" s="1373"/>
      <c r="K1401" s="1373"/>
      <c r="L1401" s="1284"/>
      <c r="M1401" s="1285"/>
      <c r="N1401" s="1285"/>
      <c r="O1401" s="1286"/>
    </row>
    <row r="1402" spans="1:17" ht="12.75" customHeight="1">
      <c r="A1402" s="1426"/>
      <c r="B1402" s="1420" t="s">
        <v>3112</v>
      </c>
      <c r="C1402" s="1421"/>
      <c r="D1402" s="1421"/>
      <c r="E1402" s="1421"/>
      <c r="F1402" s="1421"/>
      <c r="G1402" s="1421"/>
      <c r="H1402" s="1421"/>
      <c r="I1402" s="1421"/>
      <c r="J1402" s="1421"/>
      <c r="K1402" s="1421"/>
      <c r="L1402" s="307" t="s">
        <v>1056</v>
      </c>
      <c r="M1402" s="1284">
        <v>100</v>
      </c>
      <c r="N1402" s="1285"/>
      <c r="O1402" s="1286"/>
    </row>
    <row r="1403" spans="1:17" ht="12.75" customHeight="1">
      <c r="A1403" s="1426"/>
      <c r="B1403" s="1420" t="s">
        <v>3113</v>
      </c>
      <c r="C1403" s="1421"/>
      <c r="D1403" s="1421"/>
      <c r="E1403" s="1421"/>
      <c r="F1403" s="1421"/>
      <c r="G1403" s="1421"/>
      <c r="H1403" s="1421"/>
      <c r="I1403" s="1421"/>
      <c r="J1403" s="1421"/>
      <c r="K1403" s="1421"/>
      <c r="L1403" s="307" t="s">
        <v>1056</v>
      </c>
      <c r="M1403" s="1284">
        <v>95</v>
      </c>
      <c r="N1403" s="1285"/>
      <c r="O1403" s="1286"/>
    </row>
    <row r="1404" spans="1:17" ht="12.75" customHeight="1">
      <c r="A1404" s="1426"/>
      <c r="B1404" s="1373" t="s">
        <v>3111</v>
      </c>
      <c r="C1404" s="1363"/>
      <c r="D1404" s="1363"/>
      <c r="E1404" s="1363"/>
      <c r="F1404" s="1363"/>
      <c r="G1404" s="1363"/>
      <c r="H1404" s="1363"/>
      <c r="I1404" s="1363"/>
      <c r="J1404" s="1363"/>
      <c r="K1404" s="1363"/>
      <c r="L1404" s="463" t="s">
        <v>1056</v>
      </c>
      <c r="M1404" s="1284">
        <v>70</v>
      </c>
      <c r="N1404" s="1285"/>
      <c r="O1404" s="1286"/>
      <c r="P1404" s="99"/>
      <c r="Q1404" s="99"/>
    </row>
    <row r="1405" spans="1:17">
      <c r="A1405" s="1456"/>
      <c r="B1405" s="1456"/>
      <c r="C1405" s="1456"/>
      <c r="D1405" s="1456"/>
      <c r="E1405" s="1456"/>
      <c r="F1405" s="1456"/>
      <c r="G1405" s="1456"/>
      <c r="H1405" s="1456"/>
      <c r="I1405" s="1456"/>
      <c r="J1405" s="1456"/>
      <c r="K1405" s="1456"/>
      <c r="L1405" s="1456"/>
      <c r="M1405" s="1456"/>
      <c r="N1405" s="1456"/>
      <c r="O1405" s="1456"/>
    </row>
    <row r="1406" spans="1:17" ht="12.75" customHeight="1">
      <c r="A1406" s="1426">
        <v>7</v>
      </c>
      <c r="B1406" s="1373" t="s">
        <v>3114</v>
      </c>
      <c r="C1406" s="1363"/>
      <c r="D1406" s="1363"/>
      <c r="E1406" s="1363"/>
      <c r="F1406" s="1363"/>
      <c r="G1406" s="1363"/>
      <c r="H1406" s="1363"/>
      <c r="I1406" s="1363"/>
      <c r="J1406" s="1363"/>
      <c r="K1406" s="1363"/>
      <c r="L1406" s="307"/>
      <c r="M1406" s="1284"/>
      <c r="N1406" s="1285"/>
      <c r="O1406" s="1286"/>
    </row>
    <row r="1407" spans="1:17" ht="12.75" customHeight="1">
      <c r="A1407" s="1426"/>
      <c r="B1407" s="1420" t="s">
        <v>3115</v>
      </c>
      <c r="C1407" s="1421"/>
      <c r="D1407" s="1421"/>
      <c r="E1407" s="1421"/>
      <c r="F1407" s="1421"/>
      <c r="G1407" s="1421"/>
      <c r="H1407" s="1421"/>
      <c r="I1407" s="1421"/>
      <c r="J1407" s="1421"/>
      <c r="K1407" s="1421"/>
      <c r="L1407" s="307" t="s">
        <v>1056</v>
      </c>
      <c r="M1407" s="1284">
        <v>75</v>
      </c>
      <c r="N1407" s="1285"/>
      <c r="O1407" s="1286"/>
    </row>
    <row r="1408" spans="1:17" ht="12.75" customHeight="1">
      <c r="A1408" s="1426"/>
      <c r="B1408" s="1420" t="s">
        <v>3116</v>
      </c>
      <c r="C1408" s="1421"/>
      <c r="D1408" s="1421"/>
      <c r="E1408" s="1421"/>
      <c r="F1408" s="1421"/>
      <c r="G1408" s="1421"/>
      <c r="H1408" s="1421"/>
      <c r="I1408" s="1421"/>
      <c r="J1408" s="1421"/>
      <c r="K1408" s="1421"/>
      <c r="L1408" s="307" t="s">
        <v>1056</v>
      </c>
      <c r="M1408" s="1284">
        <v>70</v>
      </c>
      <c r="N1408" s="1285"/>
      <c r="O1408" s="1286"/>
    </row>
    <row r="1409" spans="1:17" ht="12.75" customHeight="1">
      <c r="A1409" s="1426"/>
      <c r="B1409" s="1373" t="s">
        <v>3117</v>
      </c>
      <c r="C1409" s="1363"/>
      <c r="D1409" s="1363"/>
      <c r="E1409" s="1363"/>
      <c r="F1409" s="1363"/>
      <c r="G1409" s="1363"/>
      <c r="H1409" s="1363"/>
      <c r="I1409" s="1363"/>
      <c r="J1409" s="1363"/>
      <c r="K1409" s="1363"/>
      <c r="L1409" s="463" t="s">
        <v>1056</v>
      </c>
      <c r="M1409" s="1284">
        <v>60</v>
      </c>
      <c r="N1409" s="1285"/>
      <c r="O1409" s="1286"/>
      <c r="P1409" s="99"/>
      <c r="Q1409" s="99"/>
    </row>
    <row r="1410" spans="1:17">
      <c r="A1410" s="1456"/>
      <c r="B1410" s="1456"/>
      <c r="C1410" s="1456"/>
      <c r="D1410" s="1456"/>
      <c r="E1410" s="1456"/>
      <c r="F1410" s="1456"/>
      <c r="G1410" s="1456"/>
      <c r="H1410" s="1456"/>
      <c r="I1410" s="1456"/>
      <c r="J1410" s="1456"/>
      <c r="K1410" s="1456"/>
      <c r="L1410" s="1456"/>
      <c r="M1410" s="1456"/>
      <c r="N1410" s="1456"/>
      <c r="O1410" s="1456"/>
    </row>
    <row r="1411" spans="1:17">
      <c r="B1411" s="1216"/>
      <c r="C1411" s="1216"/>
      <c r="D1411" s="1216"/>
      <c r="E1411" s="1216"/>
      <c r="F1411" s="1216"/>
      <c r="G1411" s="1216"/>
      <c r="H1411" s="1216"/>
      <c r="I1411" s="1216"/>
      <c r="J1411" s="1216"/>
      <c r="K1411" s="1216"/>
    </row>
    <row r="1412" spans="1:17" ht="21.95" customHeight="1">
      <c r="A1412" s="1506" t="s">
        <v>1157</v>
      </c>
      <c r="B1412" s="1506"/>
      <c r="C1412" s="1506"/>
      <c r="D1412" s="1506"/>
      <c r="E1412" s="1506"/>
      <c r="F1412" s="1506"/>
      <c r="G1412" s="1506"/>
      <c r="H1412" s="1506"/>
      <c r="I1412" s="1506"/>
      <c r="J1412" s="1506"/>
      <c r="K1412" s="1506"/>
      <c r="L1412" s="1506"/>
      <c r="M1412" s="1506"/>
      <c r="N1412" s="1506"/>
      <c r="O1412" s="1506"/>
    </row>
    <row r="1413" spans="1:17" ht="21.95" customHeight="1">
      <c r="A1413" s="1506" t="s">
        <v>1783</v>
      </c>
      <c r="B1413" s="1506"/>
      <c r="C1413" s="1506"/>
      <c r="D1413" s="1506"/>
      <c r="E1413" s="1506"/>
      <c r="F1413" s="1506"/>
      <c r="G1413" s="1506"/>
      <c r="H1413" s="1506"/>
      <c r="I1413" s="1506"/>
      <c r="J1413" s="1506"/>
      <c r="K1413" s="1506"/>
      <c r="L1413" s="1506"/>
      <c r="M1413" s="1506"/>
      <c r="N1413" s="1506"/>
      <c r="O1413" s="1506"/>
    </row>
    <row r="1415" spans="1:17" ht="12.75" customHeight="1">
      <c r="A1415" s="494"/>
      <c r="B1415" s="1343" t="s">
        <v>1784</v>
      </c>
      <c r="C1415" s="1344"/>
      <c r="D1415" s="1344"/>
      <c r="E1415" s="1344"/>
      <c r="F1415" s="1344"/>
      <c r="G1415" s="1344"/>
      <c r="H1415" s="1344"/>
      <c r="I1415" s="1344"/>
      <c r="J1415" s="1344"/>
      <c r="K1415" s="1345"/>
      <c r="L1415" s="484"/>
      <c r="M1415" s="483"/>
      <c r="N1415" s="483"/>
      <c r="O1415" s="435"/>
    </row>
    <row r="1416" spans="1:17" ht="12.75" customHeight="1">
      <c r="A1416" s="1426"/>
      <c r="B1416" s="1366" t="s">
        <v>3118</v>
      </c>
      <c r="C1416" s="1356"/>
      <c r="D1416" s="1356"/>
      <c r="E1416" s="1356"/>
      <c r="F1416" s="1356"/>
      <c r="G1416" s="1356"/>
      <c r="H1416" s="1356"/>
      <c r="I1416" s="1356"/>
      <c r="J1416" s="1356"/>
      <c r="K1416" s="1357"/>
      <c r="L1416" s="307" t="s">
        <v>1056</v>
      </c>
      <c r="M1416" s="1285">
        <v>135</v>
      </c>
      <c r="N1416" s="1285"/>
      <c r="O1416" s="1286"/>
    </row>
    <row r="1417" spans="1:17" ht="12.75" customHeight="1">
      <c r="A1417" s="1426"/>
      <c r="B1417" s="1366" t="s">
        <v>3119</v>
      </c>
      <c r="C1417" s="1356"/>
      <c r="D1417" s="1356"/>
      <c r="E1417" s="1356"/>
      <c r="F1417" s="1356"/>
      <c r="G1417" s="1356"/>
      <c r="H1417" s="1356"/>
      <c r="I1417" s="1356"/>
      <c r="J1417" s="1356"/>
      <c r="K1417" s="1357"/>
      <c r="L1417" s="307" t="s">
        <v>1056</v>
      </c>
      <c r="M1417" s="1285">
        <v>130</v>
      </c>
      <c r="N1417" s="1285"/>
      <c r="O1417" s="1286"/>
    </row>
    <row r="1424" spans="1:17" ht="21.95" customHeight="1">
      <c r="A1424" s="1506" t="s">
        <v>1193</v>
      </c>
      <c r="B1424" s="1506"/>
      <c r="C1424" s="1506"/>
      <c r="D1424" s="1506"/>
      <c r="E1424" s="1506"/>
      <c r="F1424" s="1506"/>
      <c r="G1424" s="1506"/>
      <c r="H1424" s="1506"/>
      <c r="I1424" s="1506"/>
      <c r="J1424" s="1506"/>
      <c r="K1424" s="1506"/>
      <c r="L1424" s="1506"/>
      <c r="M1424" s="1506"/>
      <c r="N1424" s="1506"/>
      <c r="O1424" s="1506"/>
    </row>
    <row r="1425" spans="1:16" ht="21.95" customHeight="1">
      <c r="A1425" s="1506" t="s">
        <v>1785</v>
      </c>
      <c r="B1425" s="1506"/>
      <c r="C1425" s="1506"/>
      <c r="D1425" s="1506"/>
      <c r="E1425" s="1506"/>
      <c r="F1425" s="1506"/>
      <c r="G1425" s="1506"/>
      <c r="H1425" s="1506"/>
      <c r="I1425" s="1506"/>
      <c r="J1425" s="1506"/>
      <c r="K1425" s="1506"/>
      <c r="L1425" s="1506"/>
      <c r="M1425" s="1506"/>
      <c r="N1425" s="1506"/>
      <c r="O1425" s="1506"/>
    </row>
    <row r="1427" spans="1:16" ht="47.25" customHeight="1">
      <c r="A1427" s="1426"/>
      <c r="B1427" s="1373" t="s">
        <v>3123</v>
      </c>
      <c r="C1427" s="1363"/>
      <c r="D1427" s="1363"/>
      <c r="E1427" s="1363"/>
      <c r="F1427" s="1363"/>
      <c r="G1427" s="1363"/>
      <c r="H1427" s="1363"/>
      <c r="I1427" s="1363"/>
      <c r="J1427" s="1363"/>
      <c r="K1427" s="1363"/>
      <c r="L1427" s="1214"/>
      <c r="M1427" s="1214"/>
      <c r="N1427" s="1214"/>
      <c r="O1427" s="1214"/>
    </row>
    <row r="1428" spans="1:16" ht="12.75" customHeight="1">
      <c r="A1428" s="1426"/>
      <c r="B1428" s="1459" t="s">
        <v>3120</v>
      </c>
      <c r="C1428" s="1460"/>
      <c r="D1428" s="1460"/>
      <c r="E1428" s="1460"/>
      <c r="F1428" s="1460"/>
      <c r="G1428" s="1460"/>
      <c r="H1428" s="1460"/>
      <c r="I1428" s="1460"/>
      <c r="J1428" s="1460"/>
      <c r="K1428" s="1460"/>
      <c r="L1428" s="307" t="s">
        <v>1056</v>
      </c>
      <c r="M1428" s="1601">
        <v>140</v>
      </c>
      <c r="N1428" s="1601"/>
      <c r="O1428" s="1601"/>
    </row>
    <row r="1429" spans="1:16" ht="12.75" customHeight="1">
      <c r="A1429" s="1426"/>
      <c r="B1429" s="1459" t="s">
        <v>3121</v>
      </c>
      <c r="C1429" s="1460"/>
      <c r="D1429" s="1460"/>
      <c r="E1429" s="1460"/>
      <c r="F1429" s="1460"/>
      <c r="G1429" s="1460"/>
      <c r="H1429" s="1460"/>
      <c r="I1429" s="1460"/>
      <c r="J1429" s="1460"/>
      <c r="K1429" s="1460"/>
      <c r="L1429" s="307" t="s">
        <v>1056</v>
      </c>
      <c r="M1429" s="1601">
        <v>125</v>
      </c>
      <c r="N1429" s="1601"/>
      <c r="O1429" s="1601"/>
    </row>
    <row r="1430" spans="1:16" ht="12.75" customHeight="1">
      <c r="A1430" s="1426"/>
      <c r="B1430" s="1459" t="s">
        <v>3122</v>
      </c>
      <c r="C1430" s="1460"/>
      <c r="D1430" s="1460"/>
      <c r="E1430" s="1460"/>
      <c r="F1430" s="1460"/>
      <c r="G1430" s="1460"/>
      <c r="H1430" s="1460"/>
      <c r="I1430" s="1460"/>
      <c r="J1430" s="1460"/>
      <c r="K1430" s="1460"/>
      <c r="L1430" s="307" t="s">
        <v>1056</v>
      </c>
      <c r="M1430" s="1601">
        <v>105</v>
      </c>
      <c r="N1430" s="1601"/>
      <c r="O1430" s="1601"/>
    </row>
    <row r="1433" spans="1:16" s="99" customFormat="1" ht="21.95" customHeight="1">
      <c r="A1433" s="1609" t="s">
        <v>1216</v>
      </c>
      <c r="B1433" s="1609"/>
      <c r="C1433" s="1609"/>
      <c r="D1433" s="1609"/>
      <c r="E1433" s="1609"/>
      <c r="F1433" s="1609"/>
      <c r="G1433" s="1609"/>
      <c r="H1433" s="1609"/>
      <c r="I1433" s="1609"/>
      <c r="J1433" s="1609"/>
      <c r="K1433" s="1609"/>
      <c r="L1433" s="1609"/>
      <c r="M1433" s="1609"/>
      <c r="N1433" s="1609"/>
      <c r="O1433" s="1609"/>
    </row>
    <row r="1434" spans="1:16" s="99" customFormat="1" ht="21.95" customHeight="1">
      <c r="A1434" s="1609" t="s">
        <v>1786</v>
      </c>
      <c r="B1434" s="1609"/>
      <c r="C1434" s="1609"/>
      <c r="D1434" s="1609"/>
      <c r="E1434" s="1609"/>
      <c r="F1434" s="1609"/>
      <c r="G1434" s="1609"/>
      <c r="H1434" s="1609"/>
      <c r="I1434" s="1609"/>
      <c r="J1434" s="1609"/>
      <c r="K1434" s="1609"/>
      <c r="L1434" s="1609"/>
      <c r="M1434" s="1609"/>
      <c r="N1434" s="1609"/>
      <c r="O1434" s="1609"/>
    </row>
    <row r="1436" spans="1:16" ht="12.75" customHeight="1">
      <c r="A1436" s="1602" t="s">
        <v>2991</v>
      </c>
      <c r="B1436" s="1603"/>
      <c r="C1436" s="1603"/>
      <c r="D1436" s="1603"/>
      <c r="E1436" s="1603"/>
      <c r="F1436" s="1604"/>
      <c r="G1436" s="1610" t="s">
        <v>2993</v>
      </c>
      <c r="H1436" s="1610"/>
      <c r="I1436" s="1214" t="s">
        <v>2992</v>
      </c>
      <c r="J1436" s="1214"/>
      <c r="K1436" s="1214"/>
      <c r="L1436" s="1214"/>
      <c r="M1436" s="1214"/>
      <c r="N1436" s="1214"/>
      <c r="O1436" s="1214"/>
    </row>
    <row r="1437" spans="1:16" ht="45.75" customHeight="1">
      <c r="A1437" s="1605"/>
      <c r="B1437" s="1606"/>
      <c r="C1437" s="1606"/>
      <c r="D1437" s="1606"/>
      <c r="E1437" s="1606"/>
      <c r="F1437" s="1607"/>
      <c r="G1437" s="307" t="s">
        <v>2972</v>
      </c>
      <c r="H1437" s="470" t="s">
        <v>2971</v>
      </c>
      <c r="I1437" s="470" t="s">
        <v>2970</v>
      </c>
      <c r="J1437" s="470" t="s">
        <v>2969</v>
      </c>
      <c r="K1437" s="470" t="s">
        <v>2968</v>
      </c>
      <c r="L1437" s="470" t="s">
        <v>2967</v>
      </c>
      <c r="M1437" s="471" t="s">
        <v>2966</v>
      </c>
      <c r="N1437" s="471" t="s">
        <v>2965</v>
      </c>
      <c r="O1437" s="471" t="s">
        <v>2964</v>
      </c>
      <c r="P1437" s="451"/>
    </row>
    <row r="1438" spans="1:16" s="469" customFormat="1" ht="12.75" customHeight="1">
      <c r="A1438" s="495" t="s">
        <v>1787</v>
      </c>
      <c r="B1438" s="1611" t="s">
        <v>1788</v>
      </c>
      <c r="C1438" s="1312"/>
      <c r="D1438" s="1312"/>
      <c r="E1438" s="1312"/>
      <c r="F1438" s="1583"/>
      <c r="G1438" s="1584"/>
      <c r="H1438" s="1584"/>
      <c r="I1438" s="1584"/>
      <c r="J1438" s="1584"/>
      <c r="K1438" s="1584"/>
      <c r="L1438" s="1584"/>
      <c r="M1438" s="1584"/>
      <c r="N1438" s="1584"/>
      <c r="O1438" s="1585"/>
    </row>
    <row r="1439" spans="1:16" s="469" customFormat="1">
      <c r="A1439" s="1448"/>
      <c r="B1439" s="474" t="s">
        <v>1789</v>
      </c>
      <c r="C1439" s="1581" t="s">
        <v>1790</v>
      </c>
      <c r="D1439" s="1581"/>
      <c r="E1439" s="1581"/>
      <c r="F1439" s="472"/>
      <c r="G1439" s="299" t="s">
        <v>1056</v>
      </c>
      <c r="H1439" s="299">
        <v>168</v>
      </c>
      <c r="I1439" s="299">
        <v>5</v>
      </c>
      <c r="J1439" s="299">
        <v>15</v>
      </c>
      <c r="K1439" s="299">
        <v>17</v>
      </c>
      <c r="L1439" s="299">
        <v>19</v>
      </c>
      <c r="M1439" s="472">
        <v>23</v>
      </c>
      <c r="N1439" s="472">
        <v>28</v>
      </c>
      <c r="O1439" s="472">
        <v>35</v>
      </c>
    </row>
    <row r="1440" spans="1:16" s="469" customFormat="1" ht="26.25" customHeight="1">
      <c r="A1440" s="1448"/>
      <c r="B1440" s="473" t="s">
        <v>1791</v>
      </c>
      <c r="C1440" s="1580" t="s">
        <v>2994</v>
      </c>
      <c r="D1440" s="1581"/>
      <c r="E1440" s="1581"/>
      <c r="F1440" s="1583"/>
      <c r="G1440" s="1584"/>
      <c r="H1440" s="1584"/>
      <c r="I1440" s="1584"/>
      <c r="J1440" s="1584"/>
      <c r="K1440" s="1584"/>
      <c r="L1440" s="1584"/>
      <c r="M1440" s="1584"/>
      <c r="N1440" s="1584"/>
      <c r="O1440" s="1585"/>
    </row>
    <row r="1441" spans="1:15" s="469" customFormat="1">
      <c r="A1441" s="1448"/>
      <c r="B1441" s="1615"/>
      <c r="C1441" s="1580" t="s">
        <v>2989</v>
      </c>
      <c r="D1441" s="1581"/>
      <c r="E1441" s="1581"/>
      <c r="F1441" s="472"/>
      <c r="G1441" s="299" t="s">
        <v>1056</v>
      </c>
      <c r="H1441" s="299">
        <v>160</v>
      </c>
      <c r="I1441" s="299">
        <v>5</v>
      </c>
      <c r="J1441" s="299">
        <v>15</v>
      </c>
      <c r="K1441" s="299">
        <v>17</v>
      </c>
      <c r="L1441" s="299">
        <v>19</v>
      </c>
      <c r="M1441" s="472">
        <v>23</v>
      </c>
      <c r="N1441" s="472">
        <v>28</v>
      </c>
      <c r="O1441" s="472">
        <v>35</v>
      </c>
    </row>
    <row r="1442" spans="1:15" s="469" customFormat="1">
      <c r="A1442" s="1448"/>
      <c r="B1442" s="1615"/>
      <c r="C1442" s="1580" t="s">
        <v>2990</v>
      </c>
      <c r="D1442" s="1581"/>
      <c r="E1442" s="1581"/>
      <c r="F1442" s="472"/>
      <c r="G1442" s="299" t="s">
        <v>1056</v>
      </c>
      <c r="H1442" s="299">
        <v>152</v>
      </c>
      <c r="I1442" s="299">
        <v>5</v>
      </c>
      <c r="J1442" s="299">
        <v>15</v>
      </c>
      <c r="K1442" s="299">
        <v>17</v>
      </c>
      <c r="L1442" s="299">
        <v>19</v>
      </c>
      <c r="M1442" s="472">
        <v>23</v>
      </c>
      <c r="N1442" s="472">
        <v>28</v>
      </c>
      <c r="O1442" s="472">
        <v>35</v>
      </c>
    </row>
    <row r="1443" spans="1:15" s="469" customFormat="1" ht="63.75" customHeight="1">
      <c r="A1443" s="1448"/>
      <c r="B1443" s="473" t="s">
        <v>1794</v>
      </c>
      <c r="C1443" s="1580" t="s">
        <v>2995</v>
      </c>
      <c r="D1443" s="1581"/>
      <c r="E1443" s="1581"/>
      <c r="F1443" s="1583"/>
      <c r="G1443" s="1584"/>
      <c r="H1443" s="1584"/>
      <c r="I1443" s="1584"/>
      <c r="J1443" s="1584"/>
      <c r="K1443" s="1584"/>
      <c r="L1443" s="1584"/>
      <c r="M1443" s="1584"/>
      <c r="N1443" s="1584"/>
      <c r="O1443" s="1585"/>
    </row>
    <row r="1444" spans="1:15" s="469" customFormat="1">
      <c r="A1444" s="1448"/>
      <c r="B1444" s="473"/>
      <c r="C1444" s="1579" t="s">
        <v>2989</v>
      </c>
      <c r="D1444" s="1592"/>
      <c r="E1444" s="1592"/>
      <c r="F1444" s="472"/>
      <c r="G1444" s="299" t="s">
        <v>1056</v>
      </c>
      <c r="H1444" s="299">
        <v>130</v>
      </c>
      <c r="I1444" s="299">
        <v>4</v>
      </c>
      <c r="J1444" s="299">
        <v>12</v>
      </c>
      <c r="K1444" s="299">
        <v>14</v>
      </c>
      <c r="L1444" s="299">
        <v>16</v>
      </c>
      <c r="M1444" s="472">
        <v>18</v>
      </c>
      <c r="N1444" s="472">
        <v>23</v>
      </c>
      <c r="O1444" s="472">
        <v>25</v>
      </c>
    </row>
    <row r="1445" spans="1:15" s="469" customFormat="1">
      <c r="A1445" s="1448"/>
      <c r="B1445" s="473"/>
      <c r="C1445" s="1579" t="s">
        <v>2990</v>
      </c>
      <c r="D1445" s="1592"/>
      <c r="E1445" s="1592"/>
      <c r="F1445" s="472"/>
      <c r="G1445" s="299" t="s">
        <v>1056</v>
      </c>
      <c r="H1445" s="299">
        <v>122</v>
      </c>
      <c r="I1445" s="299">
        <v>4</v>
      </c>
      <c r="J1445" s="299">
        <v>12</v>
      </c>
      <c r="K1445" s="299">
        <v>14</v>
      </c>
      <c r="L1445" s="299">
        <v>16</v>
      </c>
      <c r="M1445" s="472">
        <v>18</v>
      </c>
      <c r="N1445" s="472">
        <v>23</v>
      </c>
      <c r="O1445" s="472">
        <v>25</v>
      </c>
    </row>
    <row r="1446" spans="1:15" s="469" customFormat="1" ht="25.5" customHeight="1">
      <c r="A1446" s="1448"/>
      <c r="B1446" s="473" t="s">
        <v>1795</v>
      </c>
      <c r="C1446" s="1579" t="s">
        <v>2996</v>
      </c>
      <c r="D1446" s="1592"/>
      <c r="E1446" s="1592"/>
      <c r="F1446" s="1583"/>
      <c r="G1446" s="1584"/>
      <c r="H1446" s="1584"/>
      <c r="I1446" s="1584"/>
      <c r="J1446" s="1584"/>
      <c r="K1446" s="1584"/>
      <c r="L1446" s="1584"/>
      <c r="M1446" s="1584"/>
      <c r="N1446" s="1584"/>
      <c r="O1446" s="1585"/>
    </row>
    <row r="1447" spans="1:15" s="469" customFormat="1">
      <c r="A1447" s="1448"/>
      <c r="B1447" s="473"/>
      <c r="C1447" s="1580" t="s">
        <v>2989</v>
      </c>
      <c r="D1447" s="1581"/>
      <c r="E1447" s="1581"/>
      <c r="F1447" s="472"/>
      <c r="G1447" s="299" t="s">
        <v>1056</v>
      </c>
      <c r="H1447" s="299">
        <v>100</v>
      </c>
      <c r="I1447" s="299">
        <v>4</v>
      </c>
      <c r="J1447" s="299">
        <v>11</v>
      </c>
      <c r="K1447" s="299">
        <v>12</v>
      </c>
      <c r="L1447" s="299">
        <v>13</v>
      </c>
      <c r="M1447" s="472">
        <v>15</v>
      </c>
      <c r="N1447" s="472">
        <v>17</v>
      </c>
      <c r="O1447" s="472">
        <v>20</v>
      </c>
    </row>
    <row r="1448" spans="1:15" s="469" customFormat="1">
      <c r="A1448" s="1448"/>
      <c r="B1448" s="473"/>
      <c r="C1448" s="1580" t="s">
        <v>2990</v>
      </c>
      <c r="D1448" s="1581"/>
      <c r="E1448" s="1581"/>
      <c r="F1448" s="472"/>
      <c r="G1448" s="299" t="s">
        <v>1056</v>
      </c>
      <c r="H1448" s="299">
        <v>93</v>
      </c>
      <c r="I1448" s="299">
        <v>4</v>
      </c>
      <c r="J1448" s="299">
        <v>11</v>
      </c>
      <c r="K1448" s="299">
        <v>12</v>
      </c>
      <c r="L1448" s="299">
        <v>13</v>
      </c>
      <c r="M1448" s="472">
        <v>15</v>
      </c>
      <c r="N1448" s="472">
        <v>17</v>
      </c>
      <c r="O1448" s="472">
        <v>20</v>
      </c>
    </row>
    <row r="1449" spans="1:15" s="469" customFormat="1" ht="42" customHeight="1">
      <c r="A1449" s="1434" t="s">
        <v>2973</v>
      </c>
      <c r="B1449" s="1608" t="s">
        <v>2997</v>
      </c>
      <c r="C1449" s="1312"/>
      <c r="D1449" s="1312"/>
      <c r="E1449" s="1312"/>
      <c r="F1449" s="1583"/>
      <c r="G1449" s="1584"/>
      <c r="H1449" s="1584"/>
      <c r="I1449" s="1584"/>
      <c r="J1449" s="1584"/>
      <c r="K1449" s="1584"/>
      <c r="L1449" s="1584"/>
      <c r="M1449" s="1584"/>
      <c r="N1449" s="1584"/>
      <c r="O1449" s="1585"/>
    </row>
    <row r="1450" spans="1:15" s="469" customFormat="1">
      <c r="A1450" s="1448"/>
      <c r="B1450" s="1586"/>
      <c r="C1450" s="1593" t="s">
        <v>1792</v>
      </c>
      <c r="D1450" s="1593"/>
      <c r="E1450" s="1593"/>
      <c r="F1450" s="472"/>
      <c r="G1450" s="299" t="s">
        <v>1056</v>
      </c>
      <c r="H1450" s="299">
        <v>100</v>
      </c>
      <c r="I1450" s="299">
        <v>4</v>
      </c>
      <c r="J1450" s="299">
        <v>11</v>
      </c>
      <c r="K1450" s="299">
        <v>12</v>
      </c>
      <c r="L1450" s="299">
        <v>13</v>
      </c>
      <c r="M1450" s="472">
        <v>15</v>
      </c>
      <c r="N1450" s="472">
        <v>17</v>
      </c>
      <c r="O1450" s="472">
        <v>20</v>
      </c>
    </row>
    <row r="1451" spans="1:15" s="469" customFormat="1">
      <c r="A1451" s="1449"/>
      <c r="B1451" s="1587"/>
      <c r="C1451" s="1593" t="s">
        <v>1793</v>
      </c>
      <c r="D1451" s="1593"/>
      <c r="E1451" s="1593"/>
      <c r="F1451" s="472"/>
      <c r="G1451" s="299" t="s">
        <v>1056</v>
      </c>
      <c r="H1451" s="299">
        <v>93</v>
      </c>
      <c r="I1451" s="299">
        <v>4</v>
      </c>
      <c r="J1451" s="299">
        <v>11</v>
      </c>
      <c r="K1451" s="299">
        <v>12</v>
      </c>
      <c r="L1451" s="299">
        <v>13</v>
      </c>
      <c r="M1451" s="472">
        <v>15</v>
      </c>
      <c r="N1451" s="472">
        <v>17</v>
      </c>
      <c r="O1451" s="472">
        <v>20</v>
      </c>
    </row>
    <row r="1452" spans="1:15" s="469" customFormat="1" ht="12.75" customHeight="1">
      <c r="A1452" s="495" t="s">
        <v>1796</v>
      </c>
      <c r="B1452" s="1311" t="s">
        <v>2998</v>
      </c>
      <c r="C1452" s="1311"/>
      <c r="D1452" s="1311"/>
      <c r="E1452" s="1311"/>
      <c r="F1452" s="1583"/>
      <c r="G1452" s="1584"/>
      <c r="H1452" s="1584"/>
      <c r="I1452" s="1584"/>
      <c r="J1452" s="1584"/>
      <c r="K1452" s="1584"/>
      <c r="L1452" s="1584"/>
      <c r="M1452" s="1584"/>
      <c r="N1452" s="1584"/>
      <c r="O1452" s="1585"/>
    </row>
    <row r="1453" spans="1:15" s="469" customFormat="1">
      <c r="A1453" s="1588"/>
      <c r="B1453" s="1589"/>
      <c r="C1453" s="1593" t="s">
        <v>1797</v>
      </c>
      <c r="D1453" s="1593"/>
      <c r="E1453" s="1593"/>
      <c r="F1453" s="472"/>
      <c r="G1453" s="299" t="s">
        <v>1056</v>
      </c>
      <c r="H1453" s="299">
        <v>72</v>
      </c>
      <c r="I1453" s="299">
        <v>3</v>
      </c>
      <c r="J1453" s="299">
        <v>8</v>
      </c>
      <c r="K1453" s="299">
        <v>9</v>
      </c>
      <c r="L1453" s="299">
        <v>10</v>
      </c>
      <c r="M1453" s="472">
        <v>11</v>
      </c>
      <c r="N1453" s="472">
        <v>13</v>
      </c>
      <c r="O1453" s="472">
        <v>15</v>
      </c>
    </row>
    <row r="1454" spans="1:15" s="469" customFormat="1">
      <c r="A1454" s="1590"/>
      <c r="B1454" s="1591"/>
      <c r="C1454" s="1593" t="s">
        <v>1793</v>
      </c>
      <c r="D1454" s="1593"/>
      <c r="E1454" s="1593"/>
      <c r="F1454" s="472"/>
      <c r="G1454" s="299" t="s">
        <v>1056</v>
      </c>
      <c r="H1454" s="299">
        <v>69</v>
      </c>
      <c r="I1454" s="299">
        <v>3</v>
      </c>
      <c r="J1454" s="299">
        <v>8</v>
      </c>
      <c r="K1454" s="299">
        <v>9</v>
      </c>
      <c r="L1454" s="299">
        <v>10</v>
      </c>
      <c r="M1454" s="472">
        <v>11</v>
      </c>
      <c r="N1454" s="472">
        <v>13</v>
      </c>
      <c r="O1454" s="472">
        <v>15</v>
      </c>
    </row>
    <row r="1455" spans="1:15" s="469" customFormat="1" ht="12.75" customHeight="1">
      <c r="A1455" s="495" t="s">
        <v>1798</v>
      </c>
      <c r="B1455" s="1581" t="s">
        <v>1799</v>
      </c>
      <c r="C1455" s="1581"/>
      <c r="D1455" s="1581"/>
      <c r="E1455" s="1581"/>
      <c r="F1455" s="472"/>
      <c r="G1455" s="299"/>
      <c r="H1455" s="299"/>
      <c r="I1455" s="299"/>
      <c r="J1455" s="299"/>
      <c r="K1455" s="299"/>
      <c r="L1455" s="299"/>
      <c r="M1455" s="472"/>
      <c r="N1455" s="472"/>
      <c r="O1455" s="472"/>
    </row>
    <row r="1456" spans="1:15" s="469" customFormat="1">
      <c r="A1456" s="1588"/>
      <c r="B1456" s="1589"/>
      <c r="C1456" s="1593" t="s">
        <v>1797</v>
      </c>
      <c r="D1456" s="1593"/>
      <c r="E1456" s="1593"/>
      <c r="F1456" s="472"/>
      <c r="G1456" s="299" t="s">
        <v>1056</v>
      </c>
      <c r="H1456" s="299">
        <v>64</v>
      </c>
      <c r="I1456" s="299">
        <v>3</v>
      </c>
      <c r="J1456" s="299">
        <v>8</v>
      </c>
      <c r="K1456" s="299">
        <v>9</v>
      </c>
      <c r="L1456" s="299">
        <v>10</v>
      </c>
      <c r="M1456" s="472">
        <v>11</v>
      </c>
      <c r="N1456" s="472">
        <v>13</v>
      </c>
      <c r="O1456" s="472">
        <v>15</v>
      </c>
    </row>
    <row r="1457" spans="1:15" s="469" customFormat="1">
      <c r="A1457" s="1590"/>
      <c r="B1457" s="1591"/>
      <c r="C1457" s="1593" t="s">
        <v>1793</v>
      </c>
      <c r="D1457" s="1593"/>
      <c r="E1457" s="1593"/>
      <c r="F1457" s="472"/>
      <c r="G1457" s="299" t="s">
        <v>1056</v>
      </c>
      <c r="H1457" s="299">
        <v>61</v>
      </c>
      <c r="I1457" s="299">
        <v>3</v>
      </c>
      <c r="J1457" s="299">
        <v>8</v>
      </c>
      <c r="K1457" s="299">
        <v>9</v>
      </c>
      <c r="L1457" s="299">
        <v>10</v>
      </c>
      <c r="M1457" s="472">
        <v>11</v>
      </c>
      <c r="N1457" s="472">
        <v>13</v>
      </c>
      <c r="O1457" s="472">
        <v>15</v>
      </c>
    </row>
    <row r="1458" spans="1:15" s="454" customFormat="1" ht="81.75" customHeight="1">
      <c r="A1458" s="1426" t="s">
        <v>2974</v>
      </c>
      <c r="B1458" s="1312" t="s">
        <v>2975</v>
      </c>
      <c r="C1458" s="1312"/>
      <c r="D1458" s="1312"/>
      <c r="E1458" s="1312"/>
      <c r="F1458" s="1312"/>
      <c r="G1458" s="1312"/>
      <c r="H1458" s="1312"/>
      <c r="I1458" s="1312"/>
      <c r="J1458" s="1312"/>
      <c r="K1458" s="1312"/>
      <c r="L1458" s="1312"/>
      <c r="M1458" s="1312"/>
      <c r="N1458" s="1312"/>
      <c r="O1458" s="1312"/>
    </row>
    <row r="1459" spans="1:15" s="469" customFormat="1" ht="29.25" customHeight="1">
      <c r="A1459" s="1426"/>
      <c r="B1459" s="1579" t="s">
        <v>3127</v>
      </c>
      <c r="C1459" s="1592"/>
      <c r="D1459" s="1592"/>
      <c r="E1459" s="1592"/>
      <c r="F1459" s="1592"/>
      <c r="G1459" s="1592"/>
      <c r="H1459" s="1592"/>
      <c r="I1459" s="1592"/>
      <c r="J1459" s="1592"/>
      <c r="K1459" s="1592"/>
      <c r="L1459" s="298" t="s">
        <v>1056</v>
      </c>
      <c r="M1459" s="1214">
        <v>30</v>
      </c>
      <c r="N1459" s="1214"/>
      <c r="O1459" s="1214"/>
    </row>
    <row r="1460" spans="1:15" s="469" customFormat="1" ht="12.75" customHeight="1">
      <c r="A1460" s="1426"/>
      <c r="B1460" s="1579" t="s">
        <v>3125</v>
      </c>
      <c r="C1460" s="1579"/>
      <c r="D1460" s="1579"/>
      <c r="E1460" s="1579"/>
      <c r="F1460" s="1579"/>
      <c r="G1460" s="1579"/>
      <c r="H1460" s="1579"/>
      <c r="I1460" s="1579"/>
      <c r="J1460" s="1579"/>
      <c r="K1460" s="1579"/>
      <c r="L1460" s="298" t="s">
        <v>1056</v>
      </c>
      <c r="M1460" s="1214">
        <v>20</v>
      </c>
      <c r="N1460" s="1214"/>
      <c r="O1460" s="1214"/>
    </row>
    <row r="1461" spans="1:15" s="469" customFormat="1" ht="42" customHeight="1">
      <c r="A1461" s="1426"/>
      <c r="B1461" s="1580" t="s">
        <v>3124</v>
      </c>
      <c r="C1461" s="1580"/>
      <c r="D1461" s="1580"/>
      <c r="E1461" s="1580"/>
      <c r="F1461" s="1580"/>
      <c r="G1461" s="1580"/>
      <c r="H1461" s="1580"/>
      <c r="I1461" s="1580"/>
      <c r="J1461" s="1580"/>
      <c r="K1461" s="1580"/>
      <c r="L1461" s="1580"/>
      <c r="M1461" s="1580"/>
      <c r="N1461" s="1580"/>
      <c r="O1461" s="1580"/>
    </row>
    <row r="1462" spans="1:15" s="469" customFormat="1" ht="38.25" customHeight="1">
      <c r="A1462" s="1426"/>
      <c r="B1462" s="1580" t="s">
        <v>3126</v>
      </c>
      <c r="C1462" s="1580"/>
      <c r="D1462" s="1580"/>
      <c r="E1462" s="1580"/>
      <c r="F1462" s="1580"/>
      <c r="G1462" s="1580"/>
      <c r="H1462" s="1580"/>
      <c r="I1462" s="1580"/>
      <c r="J1462" s="1580"/>
      <c r="K1462" s="1580"/>
      <c r="L1462" s="1580"/>
      <c r="M1462" s="1580"/>
      <c r="N1462" s="1580"/>
      <c r="O1462" s="1580"/>
    </row>
    <row r="1463" spans="1:15" s="469" customFormat="1" ht="78" customHeight="1">
      <c r="A1463" s="1426" t="s">
        <v>2976</v>
      </c>
      <c r="B1463" s="1312" t="s">
        <v>2977</v>
      </c>
      <c r="C1463" s="1312"/>
      <c r="D1463" s="1312"/>
      <c r="E1463" s="1312"/>
      <c r="F1463" s="1312"/>
      <c r="G1463" s="1312"/>
      <c r="H1463" s="1312"/>
      <c r="I1463" s="1312"/>
      <c r="J1463" s="1312"/>
      <c r="K1463" s="1312"/>
      <c r="L1463" s="1312"/>
      <c r="M1463" s="1312"/>
      <c r="N1463" s="1312"/>
      <c r="O1463" s="1312"/>
    </row>
    <row r="1464" spans="1:15" s="469" customFormat="1" ht="12.75" customHeight="1">
      <c r="A1464" s="1426"/>
      <c r="B1464" s="1580" t="s">
        <v>3128</v>
      </c>
      <c r="C1464" s="1580"/>
      <c r="D1464" s="1580"/>
      <c r="E1464" s="1580"/>
      <c r="F1464" s="1580"/>
      <c r="G1464" s="1580"/>
      <c r="H1464" s="1580"/>
      <c r="I1464" s="1580"/>
      <c r="J1464" s="1580"/>
      <c r="K1464" s="1580"/>
      <c r="L1464" s="305" t="s">
        <v>1056</v>
      </c>
      <c r="M1464" s="1461">
        <v>3</v>
      </c>
      <c r="N1464" s="1461"/>
      <c r="O1464" s="1461"/>
    </row>
    <row r="1465" spans="1:15" s="469" customFormat="1" ht="12.75" customHeight="1">
      <c r="A1465" s="1426"/>
      <c r="B1465" s="1580" t="s">
        <v>3129</v>
      </c>
      <c r="C1465" s="1580"/>
      <c r="D1465" s="1580"/>
      <c r="E1465" s="1580"/>
      <c r="F1465" s="1580"/>
      <c r="G1465" s="1580"/>
      <c r="H1465" s="1580"/>
      <c r="I1465" s="1580"/>
      <c r="J1465" s="1580"/>
      <c r="K1465" s="1580"/>
      <c r="L1465" s="305" t="s">
        <v>1056</v>
      </c>
      <c r="M1465" s="1461">
        <v>2</v>
      </c>
      <c r="N1465" s="1461"/>
      <c r="O1465" s="1461"/>
    </row>
    <row r="1466" spans="1:15" s="469" customFormat="1" ht="12.75" customHeight="1">
      <c r="A1466" s="1426"/>
      <c r="B1466" s="1580" t="s">
        <v>3130</v>
      </c>
      <c r="C1466" s="1580"/>
      <c r="D1466" s="1580"/>
      <c r="E1466" s="1580"/>
      <c r="F1466" s="1580"/>
      <c r="G1466" s="1580"/>
      <c r="H1466" s="1580"/>
      <c r="I1466" s="1580"/>
      <c r="J1466" s="1580"/>
      <c r="K1466" s="1580"/>
      <c r="L1466" s="305" t="s">
        <v>1056</v>
      </c>
      <c r="M1466" s="1461">
        <v>1.2</v>
      </c>
      <c r="N1466" s="1461"/>
      <c r="O1466" s="1461"/>
    </row>
    <row r="1467" spans="1:15" s="469" customFormat="1" ht="51.75" customHeight="1">
      <c r="A1467" s="1426"/>
      <c r="B1467" s="1580" t="s">
        <v>3131</v>
      </c>
      <c r="C1467" s="1581"/>
      <c r="D1467" s="1581"/>
      <c r="E1467" s="1581"/>
      <c r="F1467" s="1581"/>
      <c r="G1467" s="1581"/>
      <c r="H1467" s="1581"/>
      <c r="I1467" s="1581"/>
      <c r="J1467" s="1581"/>
      <c r="K1467" s="1581"/>
      <c r="L1467" s="1581"/>
      <c r="M1467" s="1581"/>
      <c r="N1467" s="1581"/>
      <c r="O1467" s="1581"/>
    </row>
    <row r="1468" spans="1:15" s="469" customFormat="1" ht="17.25" customHeight="1">
      <c r="A1468" s="1426"/>
      <c r="B1468" s="1580" t="s">
        <v>3132</v>
      </c>
      <c r="C1468" s="1581"/>
      <c r="D1468" s="1581"/>
      <c r="E1468" s="1581"/>
      <c r="F1468" s="1581"/>
      <c r="G1468" s="1581"/>
      <c r="H1468" s="1581"/>
      <c r="I1468" s="1581"/>
      <c r="J1468" s="1581"/>
      <c r="K1468" s="1581"/>
      <c r="L1468" s="1581"/>
      <c r="M1468" s="1581"/>
      <c r="N1468" s="1581"/>
      <c r="O1468" s="1581"/>
    </row>
    <row r="1469" spans="1:15" s="469" customFormat="1" ht="12.75" customHeight="1">
      <c r="A1469" s="1426"/>
      <c r="B1469" s="1580" t="s">
        <v>3133</v>
      </c>
      <c r="C1469" s="1580"/>
      <c r="D1469" s="1580"/>
      <c r="E1469" s="1580"/>
      <c r="F1469" s="1580"/>
      <c r="G1469" s="1580"/>
      <c r="H1469" s="1580"/>
      <c r="I1469" s="1580"/>
      <c r="J1469" s="1580"/>
      <c r="K1469" s="1580"/>
      <c r="L1469" s="305" t="s">
        <v>1056</v>
      </c>
      <c r="M1469" s="1461">
        <v>60</v>
      </c>
      <c r="N1469" s="1461"/>
      <c r="O1469" s="1461"/>
    </row>
    <row r="1470" spans="1:15" s="469" customFormat="1" ht="12.75" customHeight="1">
      <c r="A1470" s="1426"/>
      <c r="B1470" s="1580" t="s">
        <v>3134</v>
      </c>
      <c r="C1470" s="1580"/>
      <c r="D1470" s="1580"/>
      <c r="E1470" s="1580"/>
      <c r="F1470" s="1580"/>
      <c r="G1470" s="1580"/>
      <c r="H1470" s="1580"/>
      <c r="I1470" s="1580"/>
      <c r="J1470" s="1580"/>
      <c r="K1470" s="1580"/>
      <c r="L1470" s="305" t="s">
        <v>1056</v>
      </c>
      <c r="M1470" s="1461">
        <v>40</v>
      </c>
      <c r="N1470" s="1461"/>
      <c r="O1470" s="1461"/>
    </row>
    <row r="1471" spans="1:15" s="469" customFormat="1" ht="12.75" customHeight="1">
      <c r="A1471" s="1426"/>
      <c r="B1471" s="1580" t="s">
        <v>3135</v>
      </c>
      <c r="C1471" s="1580"/>
      <c r="D1471" s="1580"/>
      <c r="E1471" s="1580"/>
      <c r="F1471" s="1580"/>
      <c r="G1471" s="1580"/>
      <c r="H1471" s="1580"/>
      <c r="I1471" s="1580"/>
      <c r="J1471" s="1580"/>
      <c r="K1471" s="1580"/>
      <c r="L1471" s="305" t="s">
        <v>1056</v>
      </c>
      <c r="M1471" s="1461">
        <v>24</v>
      </c>
      <c r="N1471" s="1461"/>
      <c r="O1471" s="1461"/>
    </row>
    <row r="1472" spans="1:15" s="469" customFormat="1" ht="12.75" customHeight="1">
      <c r="A1472" s="1426"/>
      <c r="B1472" s="1580" t="s">
        <v>3136</v>
      </c>
      <c r="C1472" s="1580"/>
      <c r="D1472" s="1580"/>
      <c r="E1472" s="1580"/>
      <c r="F1472" s="1580"/>
      <c r="G1472" s="1580"/>
      <c r="H1472" s="1580"/>
      <c r="I1472" s="1580"/>
      <c r="J1472" s="1580"/>
      <c r="K1472" s="1580"/>
      <c r="L1472" s="1580"/>
      <c r="M1472" s="1580"/>
      <c r="N1472" s="1580"/>
      <c r="O1472" s="1580"/>
    </row>
    <row r="1473" spans="1:15" s="469" customFormat="1">
      <c r="A1473" s="1426" t="s">
        <v>2978</v>
      </c>
      <c r="B1473" s="1331" t="s">
        <v>2979</v>
      </c>
      <c r="C1473" s="1331"/>
      <c r="D1473" s="1331"/>
      <c r="E1473" s="1331"/>
      <c r="F1473" s="1331"/>
      <c r="G1473" s="1331"/>
      <c r="H1473" s="1331"/>
      <c r="I1473" s="1331"/>
      <c r="J1473" s="1331"/>
      <c r="K1473" s="1331"/>
      <c r="L1473" s="1331"/>
      <c r="M1473" s="1331"/>
      <c r="N1473" s="1331"/>
      <c r="O1473" s="1331"/>
    </row>
    <row r="1474" spans="1:15" s="469" customFormat="1" ht="12.75" customHeight="1">
      <c r="A1474" s="1426"/>
      <c r="B1474" s="1579" t="s">
        <v>3137</v>
      </c>
      <c r="C1474" s="1592"/>
      <c r="D1474" s="1592"/>
      <c r="E1474" s="1592"/>
      <c r="F1474" s="1592"/>
      <c r="G1474" s="1592"/>
      <c r="H1474" s="1592"/>
      <c r="I1474" s="1592"/>
      <c r="J1474" s="1592"/>
      <c r="K1474" s="1592"/>
      <c r="L1474" s="299"/>
      <c r="M1474" s="472"/>
      <c r="N1474" s="472"/>
      <c r="O1474" s="472"/>
    </row>
    <row r="1475" spans="1:15" s="469" customFormat="1" ht="12.75" customHeight="1">
      <c r="A1475" s="1426"/>
      <c r="B1475" s="1579" t="s">
        <v>3138</v>
      </c>
      <c r="C1475" s="1579"/>
      <c r="D1475" s="1579"/>
      <c r="E1475" s="1579"/>
      <c r="F1475" s="1579"/>
      <c r="G1475" s="1579"/>
      <c r="H1475" s="1579"/>
      <c r="I1475" s="1579"/>
      <c r="J1475" s="1579"/>
      <c r="K1475" s="1579"/>
      <c r="L1475" s="305" t="s">
        <v>1056</v>
      </c>
      <c r="M1475" s="1578">
        <v>80</v>
      </c>
      <c r="N1475" s="1578"/>
      <c r="O1475" s="1578"/>
    </row>
    <row r="1476" spans="1:15" s="469" customFormat="1" ht="12.75" customHeight="1">
      <c r="A1476" s="1426"/>
      <c r="B1476" s="1579" t="s">
        <v>3139</v>
      </c>
      <c r="C1476" s="1579"/>
      <c r="D1476" s="1579"/>
      <c r="E1476" s="1579"/>
      <c r="F1476" s="1579"/>
      <c r="G1476" s="1579"/>
      <c r="H1476" s="1579"/>
      <c r="I1476" s="1579"/>
      <c r="J1476" s="1579"/>
      <c r="K1476" s="1579"/>
      <c r="L1476" s="305" t="s">
        <v>1056</v>
      </c>
      <c r="M1476" s="1461">
        <v>72</v>
      </c>
      <c r="N1476" s="1461"/>
      <c r="O1476" s="1461"/>
    </row>
    <row r="1477" spans="1:15" s="469" customFormat="1" ht="12.75" customHeight="1">
      <c r="A1477" s="1426"/>
      <c r="B1477" s="1579" t="s">
        <v>3140</v>
      </c>
      <c r="C1477" s="1592"/>
      <c r="D1477" s="1592"/>
      <c r="E1477" s="1592"/>
      <c r="F1477" s="1592"/>
      <c r="G1477" s="1592"/>
      <c r="H1477" s="1592"/>
      <c r="I1477" s="1592"/>
      <c r="J1477" s="1592"/>
      <c r="K1477" s="1592"/>
      <c r="L1477" s="299"/>
      <c r="M1477" s="1331"/>
      <c r="N1477" s="1331"/>
      <c r="O1477" s="1331"/>
    </row>
    <row r="1478" spans="1:15" s="469" customFormat="1" ht="12.75" customHeight="1">
      <c r="A1478" s="1426"/>
      <c r="B1478" s="1579" t="s">
        <v>3141</v>
      </c>
      <c r="C1478" s="1579"/>
      <c r="D1478" s="1579"/>
      <c r="E1478" s="1579"/>
      <c r="F1478" s="1579"/>
      <c r="G1478" s="1579"/>
      <c r="H1478" s="1579"/>
      <c r="I1478" s="1579"/>
      <c r="J1478" s="1579"/>
      <c r="K1478" s="1579"/>
      <c r="L1478" s="305" t="s">
        <v>1056</v>
      </c>
      <c r="M1478" s="1578">
        <v>50</v>
      </c>
      <c r="N1478" s="1578"/>
      <c r="O1478" s="1578"/>
    </row>
    <row r="1479" spans="1:15" s="469" customFormat="1" ht="12.75" customHeight="1">
      <c r="A1479" s="1426"/>
      <c r="B1479" s="1579" t="s">
        <v>3139</v>
      </c>
      <c r="C1479" s="1579"/>
      <c r="D1479" s="1579"/>
      <c r="E1479" s="1579"/>
      <c r="F1479" s="1579"/>
      <c r="G1479" s="1579"/>
      <c r="H1479" s="1579"/>
      <c r="I1479" s="1579"/>
      <c r="J1479" s="1579"/>
      <c r="K1479" s="1579"/>
      <c r="L1479" s="305" t="s">
        <v>1056</v>
      </c>
      <c r="M1479" s="1461">
        <v>43</v>
      </c>
      <c r="N1479" s="1461"/>
      <c r="O1479" s="1461"/>
    </row>
    <row r="1482" spans="1:15" ht="18">
      <c r="A1482" s="1612" t="s">
        <v>2980</v>
      </c>
      <c r="B1482" s="1612"/>
      <c r="C1482" s="1612"/>
      <c r="D1482" s="1612"/>
      <c r="E1482" s="1612"/>
      <c r="F1482" s="1612"/>
      <c r="G1482" s="1612"/>
      <c r="H1482" s="1612"/>
      <c r="I1482" s="1612"/>
      <c r="J1482" s="1612"/>
      <c r="K1482" s="1612"/>
      <c r="L1482" s="1612"/>
      <c r="M1482" s="1612"/>
      <c r="N1482" s="1612"/>
      <c r="O1482" s="1612"/>
    </row>
    <row r="1483" spans="1:15" ht="18" customHeight="1">
      <c r="A1483" s="1612" t="s">
        <v>1800</v>
      </c>
      <c r="B1483" s="1612"/>
      <c r="C1483" s="1612"/>
      <c r="D1483" s="1612"/>
      <c r="E1483" s="1612"/>
      <c r="F1483" s="1612"/>
      <c r="G1483" s="1612"/>
      <c r="H1483" s="1612"/>
      <c r="I1483" s="1612"/>
      <c r="J1483" s="1612"/>
      <c r="K1483" s="1612"/>
      <c r="L1483" s="1612"/>
      <c r="M1483" s="1612"/>
      <c r="N1483" s="1612"/>
      <c r="O1483" s="1612"/>
    </row>
    <row r="1485" spans="1:15" ht="12.75" customHeight="1">
      <c r="A1485" s="1600" t="s">
        <v>2999</v>
      </c>
      <c r="B1485" s="1600"/>
      <c r="C1485" s="1600"/>
      <c r="D1485" s="1600"/>
      <c r="E1485" s="1600"/>
      <c r="F1485" s="1600"/>
      <c r="G1485" s="1613" t="s">
        <v>2993</v>
      </c>
      <c r="H1485" s="1613"/>
      <c r="I1485" s="1600" t="s">
        <v>2992</v>
      </c>
      <c r="J1485" s="1600"/>
      <c r="K1485" s="1600"/>
      <c r="L1485" s="1600"/>
      <c r="M1485" s="1600"/>
      <c r="N1485" s="1600"/>
      <c r="O1485" s="1600"/>
    </row>
    <row r="1486" spans="1:15" ht="48" customHeight="1">
      <c r="A1486" s="1600"/>
      <c r="B1486" s="1600"/>
      <c r="C1486" s="1600"/>
      <c r="D1486" s="1600"/>
      <c r="E1486" s="1600"/>
      <c r="F1486" s="1600"/>
      <c r="G1486" s="489"/>
      <c r="H1486" s="490" t="s">
        <v>2971</v>
      </c>
      <c r="I1486" s="490" t="s">
        <v>2970</v>
      </c>
      <c r="J1486" s="490" t="s">
        <v>2969</v>
      </c>
      <c r="K1486" s="490" t="s">
        <v>2968</v>
      </c>
      <c r="L1486" s="490" t="s">
        <v>2967</v>
      </c>
      <c r="M1486" s="491" t="s">
        <v>2966</v>
      </c>
      <c r="N1486" s="491" t="s">
        <v>2965</v>
      </c>
      <c r="O1486" s="491" t="s">
        <v>2964</v>
      </c>
    </row>
    <row r="1487" spans="1:15" ht="12.75" customHeight="1">
      <c r="A1487" s="1426" t="s">
        <v>3004</v>
      </c>
      <c r="B1487" s="1309" t="s">
        <v>3142</v>
      </c>
      <c r="C1487" s="1310"/>
      <c r="D1487" s="1310"/>
      <c r="E1487" s="1310"/>
      <c r="F1487" s="1310"/>
      <c r="G1487" s="307" t="s">
        <v>1056</v>
      </c>
      <c r="H1487" s="307">
        <v>215</v>
      </c>
      <c r="I1487" s="307">
        <v>10</v>
      </c>
      <c r="J1487" s="307">
        <v>30</v>
      </c>
      <c r="K1487" s="307">
        <v>40</v>
      </c>
      <c r="L1487" s="307">
        <v>50</v>
      </c>
      <c r="M1487" s="307">
        <v>60</v>
      </c>
      <c r="N1487" s="307">
        <v>75</v>
      </c>
      <c r="O1487" s="307">
        <v>90</v>
      </c>
    </row>
    <row r="1488" spans="1:15" ht="12.75" customHeight="1">
      <c r="A1488" s="1426"/>
      <c r="B1488" s="1459" t="s">
        <v>3143</v>
      </c>
      <c r="C1488" s="1460"/>
      <c r="D1488" s="1460"/>
      <c r="E1488" s="1460"/>
      <c r="F1488" s="1460"/>
      <c r="G1488" s="463" t="s">
        <v>1056</v>
      </c>
      <c r="H1488" s="307">
        <v>200</v>
      </c>
      <c r="I1488" s="307">
        <v>10</v>
      </c>
      <c r="J1488" s="307">
        <v>30</v>
      </c>
      <c r="K1488" s="307">
        <v>40</v>
      </c>
      <c r="L1488" s="307">
        <v>50</v>
      </c>
      <c r="M1488" s="307">
        <v>60</v>
      </c>
      <c r="N1488" s="307">
        <v>75</v>
      </c>
      <c r="O1488" s="307">
        <v>90</v>
      </c>
    </row>
    <row r="1489" spans="1:16" ht="12.75" customHeight="1">
      <c r="A1489" s="1426"/>
      <c r="B1489" s="1459" t="s">
        <v>3144</v>
      </c>
      <c r="C1489" s="1460"/>
      <c r="D1489" s="1460"/>
      <c r="E1489" s="1460"/>
      <c r="F1489" s="1460"/>
      <c r="G1489" s="463" t="s">
        <v>1056</v>
      </c>
      <c r="H1489" s="307">
        <v>190</v>
      </c>
      <c r="I1489" s="307">
        <v>10</v>
      </c>
      <c r="J1489" s="307">
        <v>30</v>
      </c>
      <c r="K1489" s="307">
        <v>40</v>
      </c>
      <c r="L1489" s="307">
        <v>50</v>
      </c>
      <c r="M1489" s="307">
        <v>60</v>
      </c>
      <c r="N1489" s="307">
        <v>75</v>
      </c>
      <c r="O1489" s="307">
        <v>90</v>
      </c>
    </row>
    <row r="1490" spans="1:16" ht="12.75" customHeight="1">
      <c r="A1490" s="1426"/>
      <c r="B1490" s="1422" t="s">
        <v>3145</v>
      </c>
      <c r="C1490" s="1423"/>
      <c r="D1490" s="1423"/>
      <c r="E1490" s="1423"/>
      <c r="F1490" s="1423"/>
      <c r="G1490" s="1214"/>
      <c r="H1490" s="1214"/>
      <c r="I1490" s="1214"/>
      <c r="J1490" s="1214"/>
      <c r="K1490" s="1214"/>
      <c r="L1490" s="1214"/>
      <c r="M1490" s="1214"/>
      <c r="N1490" s="1214"/>
      <c r="O1490" s="1214"/>
    </row>
    <row r="1491" spans="1:16" ht="12.75" customHeight="1">
      <c r="A1491" s="1426"/>
      <c r="B1491" s="1459" t="s">
        <v>3141</v>
      </c>
      <c r="C1491" s="1459"/>
      <c r="D1491" s="1459"/>
      <c r="E1491" s="1459"/>
      <c r="F1491" s="1459"/>
      <c r="G1491" s="463" t="s">
        <v>1056</v>
      </c>
      <c r="H1491" s="307">
        <v>180</v>
      </c>
      <c r="I1491" s="307">
        <v>10</v>
      </c>
      <c r="J1491" s="307">
        <v>30</v>
      </c>
      <c r="K1491" s="307">
        <v>40</v>
      </c>
      <c r="L1491" s="307">
        <v>50</v>
      </c>
      <c r="M1491" s="307">
        <v>60</v>
      </c>
      <c r="N1491" s="307">
        <v>75</v>
      </c>
      <c r="O1491" s="307">
        <v>90</v>
      </c>
    </row>
    <row r="1492" spans="1:16" ht="12.75" customHeight="1">
      <c r="A1492" s="1426"/>
      <c r="B1492" s="1459" t="s">
        <v>3146</v>
      </c>
      <c r="C1492" s="1459"/>
      <c r="D1492" s="1459"/>
      <c r="E1492" s="1459"/>
      <c r="F1492" s="1459"/>
      <c r="G1492" s="463" t="s">
        <v>1056</v>
      </c>
      <c r="H1492" s="307">
        <v>160</v>
      </c>
      <c r="I1492" s="307">
        <v>10</v>
      </c>
      <c r="J1492" s="307">
        <v>30</v>
      </c>
      <c r="K1492" s="307">
        <v>40</v>
      </c>
      <c r="L1492" s="307">
        <v>50</v>
      </c>
      <c r="M1492" s="307">
        <v>60</v>
      </c>
      <c r="N1492" s="307">
        <v>75</v>
      </c>
      <c r="O1492" s="307">
        <v>90</v>
      </c>
    </row>
    <row r="1493" spans="1:16" ht="12.75" customHeight="1">
      <c r="A1493" s="1426"/>
      <c r="B1493" s="1459" t="s">
        <v>3147</v>
      </c>
      <c r="C1493" s="1460"/>
      <c r="D1493" s="1460"/>
      <c r="E1493" s="1460"/>
      <c r="F1493" s="1460"/>
      <c r="G1493" s="1214"/>
      <c r="H1493" s="1214"/>
      <c r="I1493" s="1214"/>
      <c r="J1493" s="1214"/>
      <c r="K1493" s="1214"/>
      <c r="L1493" s="1214"/>
      <c r="M1493" s="1214"/>
      <c r="N1493" s="1214"/>
      <c r="O1493" s="1214"/>
    </row>
    <row r="1494" spans="1:16" ht="12.75" customHeight="1">
      <c r="A1494" s="1426"/>
      <c r="B1494" s="1459" t="s">
        <v>3141</v>
      </c>
      <c r="C1494" s="1459"/>
      <c r="D1494" s="1459"/>
      <c r="E1494" s="1459"/>
      <c r="F1494" s="1459"/>
      <c r="G1494" s="307" t="s">
        <v>1056</v>
      </c>
      <c r="H1494" s="307">
        <v>145</v>
      </c>
      <c r="I1494" s="307">
        <v>8</v>
      </c>
      <c r="J1494" s="307">
        <v>15</v>
      </c>
      <c r="K1494" s="307">
        <v>20</v>
      </c>
      <c r="L1494" s="307">
        <v>25</v>
      </c>
      <c r="M1494" s="307">
        <v>30</v>
      </c>
      <c r="N1494" s="307">
        <v>40</v>
      </c>
      <c r="O1494" s="307">
        <v>50</v>
      </c>
    </row>
    <row r="1495" spans="1:16">
      <c r="A1495" s="1426"/>
      <c r="B1495" s="1445" t="s">
        <v>3119</v>
      </c>
      <c r="C1495" s="1445"/>
      <c r="D1495" s="1445"/>
      <c r="E1495" s="1445"/>
      <c r="F1495" s="1445"/>
      <c r="G1495" s="297" t="s">
        <v>1056</v>
      </c>
      <c r="H1495" s="297">
        <v>140</v>
      </c>
      <c r="I1495" s="297">
        <v>8</v>
      </c>
      <c r="J1495" s="297">
        <v>15</v>
      </c>
      <c r="K1495" s="297">
        <v>20</v>
      </c>
      <c r="L1495" s="297">
        <v>25</v>
      </c>
      <c r="M1495" s="297">
        <v>30</v>
      </c>
      <c r="N1495" s="297">
        <v>40</v>
      </c>
      <c r="O1495" s="297">
        <v>50</v>
      </c>
      <c r="P1495" s="452"/>
    </row>
    <row r="1496" spans="1:16" ht="12.75" customHeight="1">
      <c r="A1496" s="1426"/>
      <c r="B1496" s="1459" t="s">
        <v>3148</v>
      </c>
      <c r="C1496" s="1460"/>
      <c r="D1496" s="1460"/>
      <c r="E1496" s="1460"/>
      <c r="F1496" s="1460"/>
      <c r="G1496" s="1214"/>
      <c r="H1496" s="1214"/>
      <c r="I1496" s="1214"/>
      <c r="J1496" s="1214"/>
      <c r="K1496" s="1214"/>
      <c r="L1496" s="1214"/>
      <c r="M1496" s="1214"/>
      <c r="N1496" s="1214"/>
      <c r="O1496" s="1214"/>
    </row>
    <row r="1497" spans="1:16" ht="12.75" customHeight="1">
      <c r="A1497" s="1426"/>
      <c r="B1497" s="1422" t="s">
        <v>3141</v>
      </c>
      <c r="C1497" s="1422"/>
      <c r="D1497" s="1422"/>
      <c r="E1497" s="1422"/>
      <c r="F1497" s="1422"/>
      <c r="G1497" s="307" t="s">
        <v>1056</v>
      </c>
      <c r="H1497" s="307">
        <v>145</v>
      </c>
      <c r="I1497" s="307">
        <v>8</v>
      </c>
      <c r="J1497" s="307">
        <v>15</v>
      </c>
      <c r="K1497" s="307">
        <v>20</v>
      </c>
      <c r="L1497" s="307">
        <v>25</v>
      </c>
      <c r="M1497" s="307">
        <v>30</v>
      </c>
      <c r="N1497" s="307">
        <v>40</v>
      </c>
      <c r="O1497" s="307">
        <v>50</v>
      </c>
    </row>
    <row r="1498" spans="1:16">
      <c r="A1498" s="1426"/>
      <c r="B1498" s="1445" t="s">
        <v>3149</v>
      </c>
      <c r="C1498" s="1445"/>
      <c r="D1498" s="1445"/>
      <c r="E1498" s="1445"/>
      <c r="F1498" s="1445"/>
      <c r="G1498" s="297" t="s">
        <v>1056</v>
      </c>
      <c r="H1498" s="297">
        <v>135</v>
      </c>
      <c r="I1498" s="297">
        <v>8</v>
      </c>
      <c r="J1498" s="297">
        <v>15</v>
      </c>
      <c r="K1498" s="297">
        <v>20</v>
      </c>
      <c r="L1498" s="297">
        <v>25</v>
      </c>
      <c r="M1498" s="297">
        <v>30</v>
      </c>
      <c r="N1498" s="297">
        <v>40</v>
      </c>
      <c r="O1498" s="297">
        <v>50</v>
      </c>
      <c r="P1498" s="452"/>
    </row>
    <row r="1499" spans="1:16" ht="39.75" customHeight="1">
      <c r="A1499" s="1426" t="s">
        <v>3003</v>
      </c>
      <c r="B1499" s="1311" t="s">
        <v>3150</v>
      </c>
      <c r="C1499" s="1311"/>
      <c r="D1499" s="1311"/>
      <c r="E1499" s="1311"/>
      <c r="F1499" s="1311"/>
      <c r="G1499" s="1214"/>
      <c r="H1499" s="1214"/>
      <c r="I1499" s="1214"/>
      <c r="J1499" s="1214"/>
      <c r="K1499" s="1214"/>
      <c r="L1499" s="1214"/>
      <c r="M1499" s="1214"/>
      <c r="N1499" s="1214"/>
      <c r="O1499" s="1214"/>
    </row>
    <row r="1500" spans="1:16" ht="12.75" customHeight="1">
      <c r="A1500" s="1426"/>
      <c r="B1500" s="1422" t="s">
        <v>3141</v>
      </c>
      <c r="C1500" s="1423"/>
      <c r="D1500" s="1423"/>
      <c r="E1500" s="1423"/>
      <c r="F1500" s="1423"/>
      <c r="G1500" s="307" t="s">
        <v>1056</v>
      </c>
      <c r="H1500" s="307">
        <v>145</v>
      </c>
      <c r="I1500" s="307">
        <v>8</v>
      </c>
      <c r="J1500" s="307">
        <v>15</v>
      </c>
      <c r="K1500" s="307">
        <v>20</v>
      </c>
      <c r="L1500" s="307">
        <v>25</v>
      </c>
      <c r="M1500" s="307">
        <v>30</v>
      </c>
      <c r="N1500" s="307">
        <v>40</v>
      </c>
      <c r="O1500" s="307">
        <v>50</v>
      </c>
    </row>
    <row r="1501" spans="1:16">
      <c r="A1501" s="1426"/>
      <c r="B1501" s="1445" t="s">
        <v>3149</v>
      </c>
      <c r="C1501" s="1446"/>
      <c r="D1501" s="1446"/>
      <c r="E1501" s="1446"/>
      <c r="F1501" s="1446"/>
      <c r="G1501" s="297" t="s">
        <v>1056</v>
      </c>
      <c r="H1501" s="297">
        <v>135</v>
      </c>
      <c r="I1501" s="297">
        <v>8</v>
      </c>
      <c r="J1501" s="297">
        <v>15</v>
      </c>
      <c r="K1501" s="297">
        <v>20</v>
      </c>
      <c r="L1501" s="297">
        <v>25</v>
      </c>
      <c r="M1501" s="297">
        <v>30</v>
      </c>
      <c r="N1501" s="297">
        <v>40</v>
      </c>
      <c r="O1501" s="297">
        <v>50</v>
      </c>
    </row>
    <row r="1502" spans="1:16">
      <c r="A1502" s="1426" t="s">
        <v>3001</v>
      </c>
      <c r="B1502" s="1309" t="s">
        <v>3151</v>
      </c>
      <c r="C1502" s="1310"/>
      <c r="D1502" s="1310"/>
      <c r="E1502" s="1310"/>
      <c r="F1502" s="1310"/>
      <c r="G1502" s="1284"/>
      <c r="H1502" s="1285"/>
      <c r="I1502" s="1285"/>
      <c r="J1502" s="1285"/>
      <c r="K1502" s="1285"/>
      <c r="L1502" s="1285"/>
      <c r="M1502" s="1285"/>
      <c r="N1502" s="1285"/>
      <c r="O1502" s="1286"/>
    </row>
    <row r="1503" spans="1:16" ht="12.75" customHeight="1">
      <c r="A1503" s="1426"/>
      <c r="B1503" s="1422" t="s">
        <v>3141</v>
      </c>
      <c r="C1503" s="1423"/>
      <c r="D1503" s="1423"/>
      <c r="E1503" s="1423"/>
      <c r="F1503" s="1423"/>
      <c r="G1503" s="307" t="s">
        <v>1056</v>
      </c>
      <c r="H1503" s="307">
        <v>120</v>
      </c>
      <c r="I1503" s="307">
        <v>8</v>
      </c>
      <c r="J1503" s="307">
        <v>15</v>
      </c>
      <c r="K1503" s="307">
        <v>20</v>
      </c>
      <c r="L1503" s="307">
        <v>25</v>
      </c>
      <c r="M1503" s="307">
        <v>30</v>
      </c>
      <c r="N1503" s="307">
        <v>40</v>
      </c>
      <c r="O1503" s="307">
        <v>45</v>
      </c>
    </row>
    <row r="1504" spans="1:16">
      <c r="A1504" s="1426"/>
      <c r="B1504" s="1614" t="s">
        <v>3149</v>
      </c>
      <c r="C1504" s="1337"/>
      <c r="D1504" s="1337"/>
      <c r="E1504" s="1337"/>
      <c r="F1504" s="1337"/>
      <c r="G1504" s="297" t="s">
        <v>1056</v>
      </c>
      <c r="H1504" s="297">
        <v>115</v>
      </c>
      <c r="I1504" s="297">
        <v>8</v>
      </c>
      <c r="J1504" s="297">
        <v>15</v>
      </c>
      <c r="K1504" s="297">
        <v>20</v>
      </c>
      <c r="L1504" s="297">
        <v>25</v>
      </c>
      <c r="M1504" s="297">
        <v>30</v>
      </c>
      <c r="N1504" s="297">
        <v>40</v>
      </c>
      <c r="O1504" s="297">
        <v>45</v>
      </c>
    </row>
    <row r="1505" spans="1:15" ht="12.75" customHeight="1">
      <c r="A1505" s="1426" t="s">
        <v>3002</v>
      </c>
      <c r="B1505" s="1309" t="s">
        <v>3152</v>
      </c>
      <c r="C1505" s="1310"/>
      <c r="D1505" s="1310"/>
      <c r="E1505" s="1310"/>
      <c r="F1505" s="1310"/>
      <c r="G1505" s="1284"/>
      <c r="H1505" s="1285"/>
      <c r="I1505" s="1285"/>
      <c r="J1505" s="1285"/>
      <c r="K1505" s="1285"/>
      <c r="L1505" s="1285"/>
      <c r="M1505" s="1285"/>
      <c r="N1505" s="1285"/>
      <c r="O1505" s="1286"/>
    </row>
    <row r="1506" spans="1:15" ht="12.75" customHeight="1">
      <c r="A1506" s="1426"/>
      <c r="B1506" s="1422" t="s">
        <v>3141</v>
      </c>
      <c r="C1506" s="1423"/>
      <c r="D1506" s="1423"/>
      <c r="E1506" s="1423"/>
      <c r="F1506" s="1423"/>
      <c r="G1506" s="307" t="s">
        <v>1056</v>
      </c>
      <c r="H1506" s="307">
        <v>110</v>
      </c>
      <c r="I1506" s="307">
        <v>6</v>
      </c>
      <c r="J1506" s="307">
        <v>10</v>
      </c>
      <c r="K1506" s="307">
        <v>15</v>
      </c>
      <c r="L1506" s="307">
        <v>20</v>
      </c>
      <c r="M1506" s="307">
        <v>25</v>
      </c>
      <c r="N1506" s="307">
        <v>30</v>
      </c>
      <c r="O1506" s="307">
        <v>35</v>
      </c>
    </row>
    <row r="1507" spans="1:15">
      <c r="A1507" s="1426"/>
      <c r="B1507" s="1445" t="s">
        <v>3149</v>
      </c>
      <c r="C1507" s="1446"/>
      <c r="D1507" s="1446"/>
      <c r="E1507" s="1446"/>
      <c r="F1507" s="1446"/>
      <c r="G1507" s="297" t="s">
        <v>1056</v>
      </c>
      <c r="H1507" s="297">
        <v>106</v>
      </c>
      <c r="I1507" s="297">
        <v>6</v>
      </c>
      <c r="J1507" s="297">
        <v>10</v>
      </c>
      <c r="K1507" s="297">
        <v>15</v>
      </c>
      <c r="L1507" s="297">
        <v>20</v>
      </c>
      <c r="M1507" s="297">
        <v>25</v>
      </c>
      <c r="N1507" s="297">
        <v>30</v>
      </c>
      <c r="O1507" s="297">
        <v>35</v>
      </c>
    </row>
    <row r="1508" spans="1:15" ht="141" customHeight="1">
      <c r="A1508" s="1433" t="s">
        <v>2981</v>
      </c>
      <c r="B1508" s="1436" t="s">
        <v>3153</v>
      </c>
      <c r="C1508" s="1437"/>
      <c r="D1508" s="1437"/>
      <c r="E1508" s="1437"/>
      <c r="F1508" s="1438"/>
      <c r="G1508" s="1349"/>
      <c r="H1508" s="1360"/>
      <c r="I1508" s="1360"/>
      <c r="J1508" s="1360"/>
      <c r="K1508" s="1360"/>
      <c r="L1508" s="1360"/>
      <c r="M1508" s="1360"/>
      <c r="N1508" s="1360"/>
      <c r="O1508" s="1291"/>
    </row>
    <row r="1509" spans="1:15" ht="12.75" customHeight="1">
      <c r="A1509" s="1434"/>
      <c r="B1509" s="1439" t="s">
        <v>3154</v>
      </c>
      <c r="C1509" s="1524"/>
      <c r="D1509" s="1524"/>
      <c r="E1509" s="1524"/>
      <c r="F1509" s="1525"/>
      <c r="G1509" s="1351"/>
      <c r="H1509" s="1362"/>
      <c r="I1509" s="1362"/>
      <c r="J1509" s="1362"/>
      <c r="K1509" s="1362"/>
      <c r="L1509" s="1362"/>
      <c r="M1509" s="1362"/>
      <c r="N1509" s="1362"/>
      <c r="O1509" s="1293"/>
    </row>
    <row r="1510" spans="1:15" ht="12.75" customHeight="1">
      <c r="A1510" s="1434"/>
      <c r="B1510" s="1439" t="s">
        <v>3155</v>
      </c>
      <c r="C1510" s="1440"/>
      <c r="D1510" s="1440"/>
      <c r="E1510" s="1440"/>
      <c r="F1510" s="1441"/>
      <c r="G1510" s="307" t="s">
        <v>1056</v>
      </c>
      <c r="H1510" s="307">
        <v>110</v>
      </c>
      <c r="I1510" s="307">
        <v>6</v>
      </c>
      <c r="J1510" s="307">
        <v>10</v>
      </c>
      <c r="K1510" s="307">
        <v>15</v>
      </c>
      <c r="L1510" s="307">
        <v>20</v>
      </c>
      <c r="M1510" s="307">
        <v>25</v>
      </c>
      <c r="N1510" s="307">
        <v>30</v>
      </c>
      <c r="O1510" s="307">
        <v>35</v>
      </c>
    </row>
    <row r="1511" spans="1:15" ht="12.75" customHeight="1">
      <c r="A1511" s="1434"/>
      <c r="B1511" s="1439" t="s">
        <v>3156</v>
      </c>
      <c r="C1511" s="1440"/>
      <c r="D1511" s="1440"/>
      <c r="E1511" s="1440"/>
      <c r="F1511" s="1441"/>
      <c r="G1511" s="307" t="s">
        <v>1056</v>
      </c>
      <c r="H1511" s="307">
        <v>106</v>
      </c>
      <c r="I1511" s="307">
        <v>6</v>
      </c>
      <c r="J1511" s="307">
        <v>10</v>
      </c>
      <c r="K1511" s="307">
        <v>15</v>
      </c>
      <c r="L1511" s="307">
        <v>20</v>
      </c>
      <c r="M1511" s="307">
        <v>25</v>
      </c>
      <c r="N1511" s="307">
        <v>30</v>
      </c>
      <c r="O1511" s="307">
        <v>35</v>
      </c>
    </row>
    <row r="1512" spans="1:15" ht="12.75" customHeight="1">
      <c r="A1512" s="1434"/>
      <c r="B1512" s="1439" t="s">
        <v>3157</v>
      </c>
      <c r="C1512" s="1524"/>
      <c r="D1512" s="1524"/>
      <c r="E1512" s="1524"/>
      <c r="F1512" s="1525"/>
      <c r="G1512" s="1284"/>
      <c r="H1512" s="1285"/>
      <c r="I1512" s="1285"/>
      <c r="J1512" s="1285"/>
      <c r="K1512" s="1285"/>
      <c r="L1512" s="1285"/>
      <c r="M1512" s="1285"/>
      <c r="N1512" s="1285"/>
      <c r="O1512" s="1286"/>
    </row>
    <row r="1513" spans="1:15" ht="12.75" customHeight="1">
      <c r="A1513" s="1434"/>
      <c r="B1513" s="1439" t="s">
        <v>3158</v>
      </c>
      <c r="C1513" s="1440"/>
      <c r="D1513" s="1440"/>
      <c r="E1513" s="1440"/>
      <c r="F1513" s="1441"/>
      <c r="G1513" s="307" t="s">
        <v>1056</v>
      </c>
      <c r="H1513" s="307">
        <v>97</v>
      </c>
      <c r="I1513" s="307">
        <v>6</v>
      </c>
      <c r="J1513" s="307">
        <v>10</v>
      </c>
      <c r="K1513" s="307">
        <v>13</v>
      </c>
      <c r="L1513" s="307">
        <v>16</v>
      </c>
      <c r="M1513" s="307">
        <v>19</v>
      </c>
      <c r="N1513" s="307">
        <v>22</v>
      </c>
      <c r="O1513" s="307">
        <v>25</v>
      </c>
    </row>
    <row r="1514" spans="1:15" ht="12.75" customHeight="1">
      <c r="A1514" s="1435"/>
      <c r="B1514" s="1439" t="s">
        <v>3159</v>
      </c>
      <c r="C1514" s="1440"/>
      <c r="D1514" s="1440"/>
      <c r="E1514" s="1440"/>
      <c r="F1514" s="1441"/>
      <c r="G1514" s="307" t="s">
        <v>1056</v>
      </c>
      <c r="H1514" s="307">
        <v>94</v>
      </c>
      <c r="I1514" s="307">
        <v>6</v>
      </c>
      <c r="J1514" s="307">
        <v>10</v>
      </c>
      <c r="K1514" s="307">
        <v>13</v>
      </c>
      <c r="L1514" s="307">
        <v>16</v>
      </c>
      <c r="M1514" s="307">
        <v>19</v>
      </c>
      <c r="N1514" s="307">
        <v>22</v>
      </c>
      <c r="O1514" s="307">
        <v>25</v>
      </c>
    </row>
    <row r="1515" spans="1:15">
      <c r="A1515" s="1447" t="s">
        <v>3005</v>
      </c>
      <c r="B1515" s="1597" t="s">
        <v>3160</v>
      </c>
      <c r="C1515" s="1598"/>
      <c r="D1515" s="1598"/>
      <c r="E1515" s="1598"/>
      <c r="F1515" s="1599"/>
      <c r="G1515" s="1349"/>
      <c r="H1515" s="1360"/>
      <c r="I1515" s="1360"/>
      <c r="J1515" s="1360"/>
      <c r="K1515" s="1360"/>
      <c r="L1515" s="1360"/>
      <c r="M1515" s="1360"/>
      <c r="N1515" s="1360"/>
      <c r="O1515" s="1291"/>
    </row>
    <row r="1516" spans="1:15" ht="12.75" customHeight="1">
      <c r="A1516" s="1448"/>
      <c r="B1516" s="1366" t="s">
        <v>3161</v>
      </c>
      <c r="C1516" s="1356"/>
      <c r="D1516" s="1356"/>
      <c r="E1516" s="1356"/>
      <c r="F1516" s="1357"/>
      <c r="G1516" s="1350"/>
      <c r="H1516" s="1361"/>
      <c r="I1516" s="1361"/>
      <c r="J1516" s="1361"/>
      <c r="K1516" s="1361"/>
      <c r="L1516" s="1361"/>
      <c r="M1516" s="1361"/>
      <c r="N1516" s="1361"/>
      <c r="O1516" s="1292"/>
    </row>
    <row r="1517" spans="1:15" ht="12.75" customHeight="1">
      <c r="A1517" s="1448"/>
      <c r="B1517" s="1439" t="s">
        <v>3163</v>
      </c>
      <c r="C1517" s="1440"/>
      <c r="D1517" s="1440"/>
      <c r="E1517" s="1440"/>
      <c r="F1517" s="1441"/>
      <c r="G1517" s="1351"/>
      <c r="H1517" s="1362"/>
      <c r="I1517" s="1362"/>
      <c r="J1517" s="1362"/>
      <c r="K1517" s="1362"/>
      <c r="L1517" s="1362"/>
      <c r="M1517" s="1362"/>
      <c r="N1517" s="1362"/>
      <c r="O1517" s="1293"/>
    </row>
    <row r="1518" spans="1:15" ht="12.75" customHeight="1">
      <c r="A1518" s="1448"/>
      <c r="B1518" s="1594" t="s">
        <v>3158</v>
      </c>
      <c r="C1518" s="1595"/>
      <c r="D1518" s="1595"/>
      <c r="E1518" s="1595"/>
      <c r="F1518" s="1596"/>
      <c r="G1518" s="307" t="s">
        <v>1056</v>
      </c>
      <c r="H1518" s="307">
        <v>97</v>
      </c>
      <c r="I1518" s="307">
        <v>6</v>
      </c>
      <c r="J1518" s="307">
        <v>10</v>
      </c>
      <c r="K1518" s="307">
        <v>15</v>
      </c>
      <c r="L1518" s="307">
        <v>20</v>
      </c>
      <c r="M1518" s="307">
        <v>25</v>
      </c>
      <c r="N1518" s="307">
        <v>30</v>
      </c>
      <c r="O1518" s="297">
        <v>35</v>
      </c>
    </row>
    <row r="1519" spans="1:15" ht="12.75" customHeight="1">
      <c r="A1519" s="1448"/>
      <c r="B1519" s="1442" t="s">
        <v>3156</v>
      </c>
      <c r="C1519" s="1443"/>
      <c r="D1519" s="1443"/>
      <c r="E1519" s="1443"/>
      <c r="F1519" s="1444"/>
      <c r="G1519" s="297" t="s">
        <v>1056</v>
      </c>
      <c r="H1519" s="297">
        <v>94</v>
      </c>
      <c r="I1519" s="297">
        <v>6</v>
      </c>
      <c r="J1519" s="297">
        <v>10</v>
      </c>
      <c r="K1519" s="297">
        <v>15</v>
      </c>
      <c r="L1519" s="297">
        <v>20</v>
      </c>
      <c r="M1519" s="297">
        <v>25</v>
      </c>
      <c r="N1519" s="297">
        <v>30</v>
      </c>
      <c r="O1519" s="297">
        <v>35</v>
      </c>
    </row>
    <row r="1520" spans="1:15" ht="12.75" customHeight="1">
      <c r="A1520" s="1448"/>
      <c r="B1520" s="1594" t="s">
        <v>3164</v>
      </c>
      <c r="C1520" s="1595"/>
      <c r="D1520" s="1595"/>
      <c r="E1520" s="1595"/>
      <c r="F1520" s="1596"/>
      <c r="G1520" s="1284"/>
      <c r="H1520" s="1285"/>
      <c r="I1520" s="1285"/>
      <c r="J1520" s="1285"/>
      <c r="K1520" s="1285"/>
      <c r="L1520" s="1285"/>
      <c r="M1520" s="1285"/>
      <c r="N1520" s="1285"/>
      <c r="O1520" s="1286"/>
    </row>
    <row r="1521" spans="1:15" ht="12.75" customHeight="1">
      <c r="A1521" s="1448"/>
      <c r="B1521" s="1594" t="s">
        <v>3158</v>
      </c>
      <c r="C1521" s="1595"/>
      <c r="D1521" s="1595"/>
      <c r="E1521" s="1595"/>
      <c r="F1521" s="1596"/>
      <c r="G1521" s="307" t="s">
        <v>1056</v>
      </c>
      <c r="H1521" s="307">
        <v>90</v>
      </c>
      <c r="I1521" s="307">
        <v>6</v>
      </c>
      <c r="J1521" s="307">
        <v>10</v>
      </c>
      <c r="K1521" s="307">
        <v>13</v>
      </c>
      <c r="L1521" s="307">
        <v>16</v>
      </c>
      <c r="M1521" s="307">
        <v>19</v>
      </c>
      <c r="N1521" s="307">
        <v>22</v>
      </c>
      <c r="O1521" s="297">
        <v>25</v>
      </c>
    </row>
    <row r="1522" spans="1:15" ht="12.75" customHeight="1">
      <c r="A1522" s="1448"/>
      <c r="B1522" s="1594" t="s">
        <v>3156</v>
      </c>
      <c r="C1522" s="1595"/>
      <c r="D1522" s="1595"/>
      <c r="E1522" s="1595"/>
      <c r="F1522" s="1596"/>
      <c r="G1522" s="307" t="s">
        <v>1056</v>
      </c>
      <c r="H1522" s="307">
        <v>88</v>
      </c>
      <c r="I1522" s="307">
        <v>6</v>
      </c>
      <c r="J1522" s="307">
        <v>10</v>
      </c>
      <c r="K1522" s="307">
        <v>13</v>
      </c>
      <c r="L1522" s="307">
        <v>16</v>
      </c>
      <c r="M1522" s="307">
        <v>19</v>
      </c>
      <c r="N1522" s="307">
        <v>22</v>
      </c>
      <c r="O1522" s="297">
        <v>25</v>
      </c>
    </row>
    <row r="1523" spans="1:15" ht="12.75" customHeight="1">
      <c r="A1523" s="1448"/>
      <c r="B1523" s="1439" t="s">
        <v>3162</v>
      </c>
      <c r="C1523" s="1440"/>
      <c r="D1523" s="1440"/>
      <c r="E1523" s="1440"/>
      <c r="F1523" s="1441"/>
      <c r="G1523" s="1284"/>
      <c r="H1523" s="1285"/>
      <c r="I1523" s="1285"/>
      <c r="J1523" s="1285"/>
      <c r="K1523" s="1285"/>
      <c r="L1523" s="1285"/>
      <c r="M1523" s="1285"/>
      <c r="N1523" s="1285"/>
      <c r="O1523" s="1286"/>
    </row>
    <row r="1524" spans="1:15" ht="12.75" customHeight="1">
      <c r="A1524" s="1448"/>
      <c r="B1524" s="1594" t="s">
        <v>3158</v>
      </c>
      <c r="C1524" s="1595"/>
      <c r="D1524" s="1595"/>
      <c r="E1524" s="1595"/>
      <c r="F1524" s="1596"/>
      <c r="G1524" s="307" t="s">
        <v>1056</v>
      </c>
      <c r="H1524" s="307">
        <v>72</v>
      </c>
      <c r="I1524" s="307">
        <v>5</v>
      </c>
      <c r="J1524" s="307">
        <v>10</v>
      </c>
      <c r="K1524" s="307">
        <v>12</v>
      </c>
      <c r="L1524" s="307">
        <v>14</v>
      </c>
      <c r="M1524" s="307">
        <v>16</v>
      </c>
      <c r="N1524" s="307">
        <v>18</v>
      </c>
      <c r="O1524" s="297">
        <v>20</v>
      </c>
    </row>
    <row r="1525" spans="1:15" ht="12.75" customHeight="1">
      <c r="A1525" s="1448"/>
      <c r="B1525" s="1594" t="s">
        <v>3156</v>
      </c>
      <c r="C1525" s="1595"/>
      <c r="D1525" s="1595"/>
      <c r="E1525" s="1595"/>
      <c r="F1525" s="1596"/>
      <c r="G1525" s="307" t="s">
        <v>1056</v>
      </c>
      <c r="H1525" s="307">
        <v>70</v>
      </c>
      <c r="I1525" s="307">
        <v>5</v>
      </c>
      <c r="J1525" s="307">
        <v>10</v>
      </c>
      <c r="K1525" s="307">
        <v>12</v>
      </c>
      <c r="L1525" s="307">
        <v>14</v>
      </c>
      <c r="M1525" s="307">
        <v>16</v>
      </c>
      <c r="N1525" s="307">
        <v>18</v>
      </c>
      <c r="O1525" s="297">
        <v>20</v>
      </c>
    </row>
    <row r="1526" spans="1:15" ht="22.5" customHeight="1">
      <c r="A1526" s="1448"/>
      <c r="B1526" s="1439" t="s">
        <v>3165</v>
      </c>
      <c r="C1526" s="1440"/>
      <c r="D1526" s="1440"/>
      <c r="E1526" s="1440"/>
      <c r="F1526" s="1441"/>
      <c r="G1526" s="1284"/>
      <c r="H1526" s="1285"/>
      <c r="I1526" s="1285"/>
      <c r="J1526" s="1285"/>
      <c r="K1526" s="1285"/>
      <c r="L1526" s="1285"/>
      <c r="M1526" s="1285"/>
      <c r="N1526" s="1285"/>
      <c r="O1526" s="1286"/>
    </row>
    <row r="1527" spans="1:15" ht="12.75" customHeight="1">
      <c r="A1527" s="1448"/>
      <c r="B1527" s="1594" t="s">
        <v>3166</v>
      </c>
      <c r="C1527" s="1595"/>
      <c r="D1527" s="1595"/>
      <c r="E1527" s="1595"/>
      <c r="F1527" s="1596"/>
      <c r="G1527" s="307" t="s">
        <v>1056</v>
      </c>
      <c r="H1527" s="307">
        <v>58</v>
      </c>
      <c r="I1527" s="307">
        <v>3</v>
      </c>
      <c r="J1527" s="307">
        <v>5</v>
      </c>
      <c r="K1527" s="307">
        <v>7</v>
      </c>
      <c r="L1527" s="307">
        <v>9</v>
      </c>
      <c r="M1527" s="307">
        <v>11</v>
      </c>
      <c r="N1527" s="307">
        <v>13</v>
      </c>
      <c r="O1527" s="307">
        <v>15</v>
      </c>
    </row>
    <row r="1528" spans="1:15" ht="12.75" customHeight="1">
      <c r="A1528" s="1449"/>
      <c r="B1528" s="1594" t="s">
        <v>3156</v>
      </c>
      <c r="C1528" s="1595"/>
      <c r="D1528" s="1595"/>
      <c r="E1528" s="1595"/>
      <c r="F1528" s="1596"/>
      <c r="G1528" s="307" t="s">
        <v>1056</v>
      </c>
      <c r="H1528" s="307">
        <v>60</v>
      </c>
      <c r="I1528" s="307">
        <v>3</v>
      </c>
      <c r="J1528" s="307">
        <v>5</v>
      </c>
      <c r="K1528" s="307">
        <v>7</v>
      </c>
      <c r="L1528" s="307">
        <v>9</v>
      </c>
      <c r="M1528" s="307">
        <v>11</v>
      </c>
      <c r="N1528" s="307">
        <v>13</v>
      </c>
      <c r="O1528" s="307">
        <v>15</v>
      </c>
    </row>
    <row r="1529" spans="1:15" s="99" customFormat="1" ht="52.5" customHeight="1">
      <c r="A1529" s="1433" t="s">
        <v>2982</v>
      </c>
      <c r="B1529" s="1439" t="s">
        <v>3167</v>
      </c>
      <c r="C1529" s="1440"/>
      <c r="D1529" s="1440"/>
      <c r="E1529" s="1440"/>
      <c r="F1529" s="1441"/>
      <c r="G1529" s="1284"/>
      <c r="H1529" s="1285"/>
      <c r="I1529" s="1285"/>
      <c r="J1529" s="1285"/>
      <c r="K1529" s="1285"/>
      <c r="L1529" s="1285"/>
      <c r="M1529" s="1285"/>
      <c r="N1529" s="1285"/>
      <c r="O1529" s="1286"/>
    </row>
    <row r="1530" spans="1:15" s="99" customFormat="1" ht="12.75" customHeight="1">
      <c r="A1530" s="1434"/>
      <c r="B1530" s="1439" t="s">
        <v>3158</v>
      </c>
      <c r="C1530" s="1440"/>
      <c r="D1530" s="1440"/>
      <c r="E1530" s="1440"/>
      <c r="F1530" s="1441"/>
      <c r="G1530" s="307" t="s">
        <v>1056</v>
      </c>
      <c r="H1530" s="307">
        <v>145</v>
      </c>
      <c r="I1530" s="307">
        <v>10</v>
      </c>
      <c r="J1530" s="307">
        <v>20</v>
      </c>
      <c r="K1530" s="307">
        <v>25</v>
      </c>
      <c r="L1530" s="307">
        <v>40</v>
      </c>
      <c r="M1530" s="307">
        <v>50</v>
      </c>
      <c r="N1530" s="307">
        <v>60</v>
      </c>
      <c r="O1530" s="307">
        <v>70</v>
      </c>
    </row>
    <row r="1531" spans="1:15" ht="12.75" customHeight="1">
      <c r="A1531" s="1434"/>
      <c r="B1531" s="1439" t="s">
        <v>3156</v>
      </c>
      <c r="C1531" s="1440"/>
      <c r="D1531" s="1440"/>
      <c r="E1531" s="1440"/>
      <c r="F1531" s="1441"/>
      <c r="G1531" s="307" t="s">
        <v>1056</v>
      </c>
      <c r="H1531" s="307">
        <v>135</v>
      </c>
      <c r="I1531" s="307">
        <v>10</v>
      </c>
      <c r="J1531" s="307">
        <v>20</v>
      </c>
      <c r="K1531" s="307">
        <v>25</v>
      </c>
      <c r="L1531" s="307">
        <v>40</v>
      </c>
      <c r="M1531" s="307">
        <v>50</v>
      </c>
      <c r="N1531" s="307">
        <v>60</v>
      </c>
      <c r="O1531" s="307">
        <v>70</v>
      </c>
    </row>
    <row r="1532" spans="1:15" ht="12.75" customHeight="1">
      <c r="A1532" s="1434"/>
      <c r="B1532" s="1442" t="s">
        <v>3168</v>
      </c>
      <c r="C1532" s="1443"/>
      <c r="D1532" s="1443"/>
      <c r="E1532" s="1443"/>
      <c r="F1532" s="1444"/>
      <c r="G1532" s="1284"/>
      <c r="H1532" s="1285"/>
      <c r="I1532" s="1285"/>
      <c r="J1532" s="1285"/>
      <c r="K1532" s="1285"/>
      <c r="L1532" s="1285"/>
      <c r="M1532" s="1285"/>
      <c r="N1532" s="1285"/>
      <c r="O1532" s="1286"/>
    </row>
    <row r="1533" spans="1:15" ht="12.75" customHeight="1">
      <c r="A1533" s="1434"/>
      <c r="B1533" s="1439" t="s">
        <v>3169</v>
      </c>
      <c r="C1533" s="1440"/>
      <c r="D1533" s="1440"/>
      <c r="E1533" s="1440"/>
      <c r="F1533" s="1441"/>
      <c r="G1533" s="307" t="s">
        <v>1056</v>
      </c>
      <c r="H1533" s="307">
        <v>135</v>
      </c>
      <c r="I1533" s="307">
        <v>10</v>
      </c>
      <c r="J1533" s="307">
        <v>20</v>
      </c>
      <c r="K1533" s="307">
        <v>25</v>
      </c>
      <c r="L1533" s="307">
        <v>40</v>
      </c>
      <c r="M1533" s="307">
        <v>50</v>
      </c>
      <c r="N1533" s="307">
        <v>60</v>
      </c>
      <c r="O1533" s="307">
        <v>70</v>
      </c>
    </row>
    <row r="1534" spans="1:15" ht="12.75" customHeight="1">
      <c r="A1534" s="1435"/>
      <c r="B1534" s="1439" t="s">
        <v>3156</v>
      </c>
      <c r="C1534" s="1440"/>
      <c r="D1534" s="1440"/>
      <c r="E1534" s="1440"/>
      <c r="F1534" s="1441"/>
      <c r="G1534" s="307" t="s">
        <v>1056</v>
      </c>
      <c r="H1534" s="307">
        <v>130</v>
      </c>
      <c r="I1534" s="307">
        <v>10</v>
      </c>
      <c r="J1534" s="307">
        <v>20</v>
      </c>
      <c r="K1534" s="307">
        <v>25</v>
      </c>
      <c r="L1534" s="307">
        <v>40</v>
      </c>
      <c r="M1534" s="307">
        <v>50</v>
      </c>
      <c r="N1534" s="307">
        <v>60</v>
      </c>
      <c r="O1534" s="307">
        <v>70</v>
      </c>
    </row>
    <row r="1535" spans="1:15" s="295" customFormat="1" ht="86.25" customHeight="1">
      <c r="A1535" s="493" t="s">
        <v>3000</v>
      </c>
      <c r="B1535" s="1436" t="s">
        <v>3170</v>
      </c>
      <c r="C1535" s="1437"/>
      <c r="D1535" s="1437"/>
      <c r="E1535" s="1437"/>
      <c r="F1535" s="1437"/>
      <c r="G1535" s="1437"/>
      <c r="H1535" s="1437"/>
      <c r="I1535" s="1437"/>
      <c r="J1535" s="1437"/>
      <c r="K1535" s="1437"/>
      <c r="L1535" s="1437"/>
      <c r="M1535" s="1437"/>
      <c r="N1535" s="1437"/>
      <c r="O1535" s="1438"/>
    </row>
    <row r="1537" spans="1:15" ht="18">
      <c r="A1537" s="1427" t="s">
        <v>997</v>
      </c>
      <c r="B1537" s="1427"/>
      <c r="C1537" s="1427"/>
      <c r="D1537" s="1427"/>
      <c r="E1537" s="1427"/>
      <c r="F1537" s="1427"/>
      <c r="G1537" s="1427"/>
      <c r="H1537" s="1427"/>
      <c r="I1537" s="1427"/>
      <c r="J1537" s="1427"/>
      <c r="K1537" s="1427"/>
      <c r="L1537" s="1427"/>
      <c r="M1537" s="1427"/>
      <c r="N1537" s="1427"/>
      <c r="O1537" s="1427"/>
    </row>
    <row r="1538" spans="1:15" ht="18">
      <c r="A1538" s="1428" t="s">
        <v>1801</v>
      </c>
      <c r="B1538" s="1428"/>
      <c r="C1538" s="1428"/>
      <c r="D1538" s="1428"/>
      <c r="E1538" s="1428"/>
      <c r="F1538" s="1428"/>
      <c r="G1538" s="1428"/>
      <c r="H1538" s="1428"/>
      <c r="I1538" s="1428"/>
      <c r="J1538" s="1428"/>
      <c r="K1538" s="1428"/>
      <c r="L1538" s="1428"/>
      <c r="M1538" s="1428"/>
      <c r="N1538" s="1428"/>
      <c r="O1538" s="1428"/>
    </row>
    <row r="1540" spans="1:15" ht="25.5">
      <c r="A1540" s="502" t="s">
        <v>1051</v>
      </c>
      <c r="B1540" s="1429" t="s">
        <v>2635</v>
      </c>
      <c r="C1540" s="1430"/>
      <c r="D1540" s="1430"/>
      <c r="E1540" s="1430"/>
      <c r="F1540" s="1430"/>
      <c r="G1540" s="1430"/>
      <c r="H1540" s="1430"/>
      <c r="I1540" s="1430"/>
      <c r="J1540" s="1431"/>
      <c r="K1540" s="1432" t="s">
        <v>2962</v>
      </c>
      <c r="L1540" s="1432"/>
      <c r="M1540" s="1432" t="s">
        <v>2963</v>
      </c>
      <c r="N1540" s="1432"/>
      <c r="O1540" s="1432"/>
    </row>
    <row r="1541" spans="1:15">
      <c r="A1541" s="1425"/>
      <c r="B1541" s="1425"/>
      <c r="C1541" s="1425"/>
      <c r="D1541" s="1425"/>
      <c r="E1541" s="1425"/>
      <c r="F1541" s="1425"/>
      <c r="G1541" s="1425"/>
      <c r="H1541" s="1425"/>
      <c r="I1541" s="1425"/>
      <c r="J1541" s="1425"/>
      <c r="K1541" s="1425"/>
      <c r="L1541" s="1425"/>
      <c r="M1541" s="1425"/>
      <c r="N1541" s="1425"/>
      <c r="O1541" s="1425"/>
    </row>
    <row r="1542" spans="1:15" ht="12.75" customHeight="1">
      <c r="A1542" s="1616" t="s">
        <v>1802</v>
      </c>
      <c r="B1542" s="1616"/>
      <c r="C1542" s="1616"/>
      <c r="D1542" s="1616"/>
      <c r="E1542" s="1616"/>
      <c r="F1542" s="1616"/>
      <c r="G1542" s="1616"/>
      <c r="H1542" s="1616"/>
      <c r="I1542" s="1616"/>
      <c r="J1542" s="1616"/>
      <c r="K1542" s="1616"/>
      <c r="L1542" s="1616"/>
      <c r="M1542" s="1616"/>
      <c r="N1542" s="1616"/>
      <c r="O1542" s="1616"/>
    </row>
    <row r="1543" spans="1:15">
      <c r="A1543" s="1425"/>
      <c r="B1543" s="1425"/>
      <c r="C1543" s="1425"/>
      <c r="D1543" s="1425"/>
      <c r="E1543" s="1425"/>
      <c r="F1543" s="1425"/>
      <c r="G1543" s="1425"/>
      <c r="H1543" s="1425"/>
      <c r="I1543" s="1425"/>
      <c r="J1543" s="1425"/>
      <c r="K1543" s="1425"/>
      <c r="L1543" s="1425"/>
      <c r="M1543" s="1425"/>
      <c r="N1543" s="1425"/>
      <c r="O1543" s="1425"/>
    </row>
    <row r="1544" spans="1:15" ht="35.25" customHeight="1">
      <c r="A1544" s="1426" t="s">
        <v>1803</v>
      </c>
      <c r="B1544" s="1420" t="s">
        <v>3171</v>
      </c>
      <c r="C1544" s="1421"/>
      <c r="D1544" s="1421"/>
      <c r="E1544" s="1421"/>
      <c r="F1544" s="1421"/>
      <c r="G1544" s="1421"/>
      <c r="H1544" s="1421"/>
      <c r="I1544" s="1421"/>
      <c r="J1544" s="1421"/>
      <c r="K1544" s="1421"/>
      <c r="L1544" s="1214"/>
      <c r="M1544" s="1214"/>
      <c r="N1544" s="1214"/>
      <c r="O1544" s="1214"/>
    </row>
    <row r="1545" spans="1:15" ht="12.75" customHeight="1">
      <c r="A1545" s="1426"/>
      <c r="B1545" s="1420" t="s">
        <v>3172</v>
      </c>
      <c r="C1545" s="1421"/>
      <c r="D1545" s="1421"/>
      <c r="E1545" s="1421"/>
      <c r="F1545" s="1421"/>
      <c r="G1545" s="1421"/>
      <c r="H1545" s="1421"/>
      <c r="I1545" s="1421"/>
      <c r="J1545" s="1421"/>
      <c r="K1545" s="1421"/>
      <c r="L1545" s="307"/>
      <c r="M1545" s="1214" t="s">
        <v>1804</v>
      </c>
      <c r="N1545" s="1214"/>
      <c r="O1545" s="1214"/>
    </row>
    <row r="1546" spans="1:15" ht="12.75" customHeight="1">
      <c r="A1546" s="1426"/>
      <c r="B1546" s="1420" t="s">
        <v>3173</v>
      </c>
      <c r="C1546" s="1421"/>
      <c r="D1546" s="1421"/>
      <c r="E1546" s="1421"/>
      <c r="F1546" s="1421"/>
      <c r="G1546" s="1421"/>
      <c r="H1546" s="1421"/>
      <c r="I1546" s="1421"/>
      <c r="J1546" s="1421"/>
      <c r="K1546" s="1421"/>
      <c r="L1546" s="307" t="s">
        <v>1056</v>
      </c>
      <c r="M1546" s="1214">
        <v>95</v>
      </c>
      <c r="N1546" s="1214"/>
      <c r="O1546" s="1214"/>
    </row>
    <row r="1547" spans="1:15" ht="12.75" customHeight="1">
      <c r="A1547" s="1426"/>
      <c r="B1547" s="1420" t="s">
        <v>3175</v>
      </c>
      <c r="C1547" s="1421"/>
      <c r="D1547" s="1421"/>
      <c r="E1547" s="1421"/>
      <c r="F1547" s="1421"/>
      <c r="G1547" s="1421"/>
      <c r="H1547" s="1421"/>
      <c r="I1547" s="1421"/>
      <c r="J1547" s="1421"/>
      <c r="K1547" s="1421"/>
      <c r="L1547" s="307" t="s">
        <v>1056</v>
      </c>
      <c r="M1547" s="1214">
        <v>85</v>
      </c>
      <c r="N1547" s="1214"/>
      <c r="O1547" s="1214"/>
    </row>
    <row r="1548" spans="1:15" ht="12.75" customHeight="1">
      <c r="A1548" s="1426"/>
      <c r="B1548" s="1420" t="s">
        <v>3174</v>
      </c>
      <c r="C1548" s="1421"/>
      <c r="D1548" s="1421"/>
      <c r="E1548" s="1421"/>
      <c r="F1548" s="1421"/>
      <c r="G1548" s="1421"/>
      <c r="H1548" s="1421"/>
      <c r="I1548" s="1421"/>
      <c r="J1548" s="1421"/>
      <c r="K1548" s="1421"/>
      <c r="L1548" s="1284"/>
      <c r="M1548" s="1285"/>
      <c r="N1548" s="1285"/>
      <c r="O1548" s="1286"/>
    </row>
    <row r="1549" spans="1:15" ht="12.75" customHeight="1">
      <c r="A1549" s="1426"/>
      <c r="B1549" s="1641" t="s">
        <v>3177</v>
      </c>
      <c r="C1549" s="1503"/>
      <c r="D1549" s="1503"/>
      <c r="E1549" s="1503"/>
      <c r="F1549" s="1503"/>
      <c r="G1549" s="1503"/>
      <c r="H1549" s="1503"/>
      <c r="I1549" s="1503"/>
      <c r="J1549" s="1503"/>
      <c r="K1549" s="1503"/>
      <c r="L1549" s="307" t="s">
        <v>1056</v>
      </c>
      <c r="M1549" s="1214">
        <v>20</v>
      </c>
      <c r="N1549" s="1214"/>
      <c r="O1549" s="1214"/>
    </row>
    <row r="1550" spans="1:15" ht="12.75" customHeight="1">
      <c r="A1550" s="1426"/>
      <c r="B1550" s="1420" t="s">
        <v>3178</v>
      </c>
      <c r="C1550" s="1421"/>
      <c r="D1550" s="1421"/>
      <c r="E1550" s="1421"/>
      <c r="F1550" s="1421"/>
      <c r="G1550" s="1421"/>
      <c r="H1550" s="1421"/>
      <c r="I1550" s="1421"/>
      <c r="J1550" s="1421"/>
      <c r="K1550" s="1421"/>
      <c r="L1550" s="307" t="s">
        <v>1056</v>
      </c>
      <c r="M1550" s="1214">
        <v>15</v>
      </c>
      <c r="N1550" s="1214"/>
      <c r="O1550" s="1214"/>
    </row>
    <row r="1551" spans="1:15" ht="12.75" customHeight="1">
      <c r="A1551" s="1426"/>
      <c r="B1551" s="1420" t="s">
        <v>3182</v>
      </c>
      <c r="C1551" s="1421"/>
      <c r="D1551" s="1421"/>
      <c r="E1551" s="1421"/>
      <c r="F1551" s="1421"/>
      <c r="G1551" s="1421"/>
      <c r="H1551" s="1421"/>
      <c r="I1551" s="1421"/>
      <c r="J1551" s="1421"/>
      <c r="K1551" s="1421"/>
      <c r="L1551" s="307"/>
      <c r="M1551" s="1214"/>
      <c r="N1551" s="1214"/>
      <c r="O1551" s="1214"/>
    </row>
    <row r="1552" spans="1:15" ht="12.75" customHeight="1">
      <c r="A1552" s="1426"/>
      <c r="B1552" s="1420" t="s">
        <v>3179</v>
      </c>
      <c r="C1552" s="1421"/>
      <c r="D1552" s="1421"/>
      <c r="E1552" s="1421"/>
      <c r="F1552" s="1421"/>
      <c r="G1552" s="1421"/>
      <c r="H1552" s="1421"/>
      <c r="I1552" s="1421"/>
      <c r="J1552" s="1421"/>
      <c r="K1552" s="1421"/>
      <c r="L1552" s="307"/>
      <c r="M1552" s="1214">
        <v>40</v>
      </c>
      <c r="N1552" s="1214"/>
      <c r="O1552" s="1214"/>
    </row>
    <row r="1553" spans="1:15" ht="12.75" customHeight="1">
      <c r="A1553" s="1426"/>
      <c r="B1553" s="1420" t="s">
        <v>3176</v>
      </c>
      <c r="C1553" s="1421"/>
      <c r="D1553" s="1421"/>
      <c r="E1553" s="1421"/>
      <c r="F1553" s="1421"/>
      <c r="G1553" s="1421"/>
      <c r="H1553" s="1421"/>
      <c r="I1553" s="1421"/>
      <c r="J1553" s="1421"/>
      <c r="K1553" s="1421"/>
      <c r="L1553" s="307" t="s">
        <v>1056</v>
      </c>
      <c r="M1553" s="1214">
        <v>30</v>
      </c>
      <c r="N1553" s="1214"/>
      <c r="O1553" s="1214"/>
    </row>
    <row r="1554" spans="1:15">
      <c r="A1554" s="1426"/>
      <c r="B1554" s="1426"/>
      <c r="C1554" s="1426"/>
      <c r="D1554" s="1426"/>
      <c r="E1554" s="1426"/>
      <c r="F1554" s="1426"/>
      <c r="G1554" s="1426"/>
      <c r="H1554" s="1426"/>
      <c r="I1554" s="1426"/>
      <c r="J1554" s="1426"/>
      <c r="K1554" s="1426"/>
      <c r="L1554" s="1426"/>
      <c r="M1554" s="1426"/>
      <c r="N1554" s="1426"/>
      <c r="O1554" s="1426"/>
    </row>
    <row r="1555" spans="1:15" ht="75.75" customHeight="1">
      <c r="A1555" s="1426" t="s">
        <v>1806</v>
      </c>
      <c r="B1555" s="1420" t="s">
        <v>3180</v>
      </c>
      <c r="C1555" s="1421"/>
      <c r="D1555" s="1421"/>
      <c r="E1555" s="1421"/>
      <c r="F1555" s="1421"/>
      <c r="G1555" s="1421"/>
      <c r="H1555" s="1421"/>
      <c r="I1555" s="1421"/>
      <c r="J1555" s="1421"/>
      <c r="K1555" s="1421"/>
      <c r="L1555" s="1421"/>
      <c r="M1555" s="1421"/>
      <c r="N1555" s="1421"/>
      <c r="O1555" s="1421"/>
    </row>
    <row r="1556" spans="1:15">
      <c r="A1556" s="1426"/>
      <c r="B1556" s="1426"/>
      <c r="C1556" s="1426"/>
      <c r="D1556" s="1426"/>
      <c r="E1556" s="1426"/>
      <c r="F1556" s="1426"/>
      <c r="G1556" s="1426"/>
      <c r="H1556" s="1426"/>
      <c r="I1556" s="1426"/>
      <c r="J1556" s="1426"/>
      <c r="K1556" s="1426"/>
      <c r="L1556" s="1426"/>
      <c r="M1556" s="1426"/>
      <c r="N1556" s="1426"/>
      <c r="O1556" s="1426"/>
    </row>
    <row r="1557" spans="1:15" ht="66" customHeight="1">
      <c r="A1557" s="1426"/>
      <c r="B1557" s="1420" t="s">
        <v>3181</v>
      </c>
      <c r="C1557" s="1420"/>
      <c r="D1557" s="1420"/>
      <c r="E1557" s="1420"/>
      <c r="F1557" s="1420"/>
      <c r="G1557" s="1420"/>
      <c r="H1557" s="1420"/>
      <c r="I1557" s="1420"/>
      <c r="J1557" s="1420"/>
      <c r="K1557" s="1420"/>
      <c r="L1557" s="1420"/>
      <c r="M1557" s="1420"/>
      <c r="N1557" s="1420"/>
      <c r="O1557" s="1420"/>
    </row>
    <row r="1558" spans="1:15" ht="12.75" customHeight="1">
      <c r="A1558" s="1426"/>
      <c r="B1558" s="1420" t="s">
        <v>3183</v>
      </c>
      <c r="C1558" s="1421"/>
      <c r="D1558" s="1421"/>
      <c r="E1558" s="1421"/>
      <c r="F1558" s="1421"/>
      <c r="G1558" s="1421"/>
      <c r="H1558" s="1421"/>
      <c r="I1558" s="1421"/>
      <c r="J1558" s="1421"/>
      <c r="K1558" s="1421"/>
      <c r="L1558" s="307" t="s">
        <v>1056</v>
      </c>
      <c r="M1558" s="1214">
        <v>15</v>
      </c>
      <c r="N1558" s="1214"/>
      <c r="O1558" s="1214"/>
    </row>
    <row r="1559" spans="1:15" ht="12.75" customHeight="1">
      <c r="A1559" s="1426"/>
      <c r="B1559" s="1420" t="s">
        <v>3184</v>
      </c>
      <c r="C1559" s="1421"/>
      <c r="D1559" s="1421"/>
      <c r="E1559" s="1421"/>
      <c r="F1559" s="1421"/>
      <c r="G1559" s="1421"/>
      <c r="H1559" s="1421"/>
      <c r="I1559" s="1421"/>
      <c r="J1559" s="1421"/>
      <c r="K1559" s="1421"/>
      <c r="L1559" s="307" t="s">
        <v>1056</v>
      </c>
      <c r="M1559" s="1214">
        <v>10</v>
      </c>
      <c r="N1559" s="1214"/>
      <c r="O1559" s="1214"/>
    </row>
    <row r="1560" spans="1:15">
      <c r="A1560" s="1426"/>
      <c r="B1560" s="1426"/>
      <c r="C1560" s="1426"/>
      <c r="D1560" s="1426"/>
      <c r="E1560" s="1426"/>
      <c r="F1560" s="1426"/>
      <c r="G1560" s="1426"/>
      <c r="H1560" s="1426"/>
      <c r="I1560" s="1426"/>
      <c r="J1560" s="1426"/>
      <c r="K1560" s="1426"/>
      <c r="L1560" s="1426"/>
      <c r="M1560" s="1426"/>
      <c r="N1560" s="1426"/>
      <c r="O1560" s="1426"/>
    </row>
    <row r="1561" spans="1:15" ht="46.5" customHeight="1">
      <c r="A1561" s="1426"/>
      <c r="B1561" s="1422" t="s">
        <v>3185</v>
      </c>
      <c r="C1561" s="1423"/>
      <c r="D1561" s="1423"/>
      <c r="E1561" s="1423"/>
      <c r="F1561" s="1423"/>
      <c r="G1561" s="1423"/>
      <c r="H1561" s="1423"/>
      <c r="I1561" s="1423"/>
      <c r="J1561" s="1423"/>
      <c r="K1561" s="1423"/>
      <c r="L1561" s="1423"/>
      <c r="M1561" s="1423"/>
      <c r="N1561" s="1423"/>
      <c r="O1561" s="1423"/>
    </row>
    <row r="1562" spans="1:15" ht="12.75" customHeight="1">
      <c r="A1562" s="1426"/>
      <c r="B1562" s="1420" t="s">
        <v>3183</v>
      </c>
      <c r="C1562" s="1421"/>
      <c r="D1562" s="1421"/>
      <c r="E1562" s="1421"/>
      <c r="F1562" s="1421"/>
      <c r="G1562" s="1421"/>
      <c r="H1562" s="1421"/>
      <c r="I1562" s="1421"/>
      <c r="J1562" s="1421"/>
      <c r="K1562" s="1421"/>
      <c r="L1562" s="307" t="s">
        <v>1056</v>
      </c>
      <c r="M1562" s="1214">
        <v>12</v>
      </c>
      <c r="N1562" s="1214"/>
      <c r="O1562" s="1214"/>
    </row>
    <row r="1563" spans="1:15" ht="12.75" customHeight="1">
      <c r="A1563" s="1426"/>
      <c r="B1563" s="1420" t="s">
        <v>3186</v>
      </c>
      <c r="C1563" s="1421"/>
      <c r="D1563" s="1421"/>
      <c r="E1563" s="1421"/>
      <c r="F1563" s="1421"/>
      <c r="G1563" s="1421"/>
      <c r="H1563" s="1421"/>
      <c r="I1563" s="1421"/>
      <c r="J1563" s="1421"/>
      <c r="K1563" s="1421"/>
      <c r="L1563" s="307" t="s">
        <v>1056</v>
      </c>
      <c r="M1563" s="1214">
        <v>8</v>
      </c>
      <c r="N1563" s="1214"/>
      <c r="O1563" s="1214"/>
    </row>
    <row r="1564" spans="1:15">
      <c r="A1564" s="1426"/>
      <c r="B1564" s="1214"/>
      <c r="C1564" s="1214"/>
      <c r="D1564" s="1214"/>
      <c r="E1564" s="1214"/>
      <c r="F1564" s="1214"/>
      <c r="G1564" s="1214"/>
      <c r="H1564" s="1214"/>
      <c r="I1564" s="1214"/>
      <c r="J1564" s="1214"/>
      <c r="K1564" s="1214"/>
      <c r="L1564" s="1214"/>
      <c r="M1564" s="1214"/>
      <c r="N1564" s="1214"/>
      <c r="O1564" s="1214"/>
    </row>
    <row r="1565" spans="1:15" ht="29.25" customHeight="1">
      <c r="A1565" s="1426"/>
      <c r="B1565" s="1422" t="s">
        <v>3187</v>
      </c>
      <c r="C1565" s="1423"/>
      <c r="D1565" s="1423"/>
      <c r="E1565" s="1423"/>
      <c r="F1565" s="1423"/>
      <c r="G1565" s="1423"/>
      <c r="H1565" s="1423"/>
      <c r="I1565" s="1423"/>
      <c r="J1565" s="1423"/>
      <c r="K1565" s="1423"/>
      <c r="L1565" s="1423"/>
      <c r="M1565" s="1423"/>
      <c r="N1565" s="1423"/>
      <c r="O1565" s="1423"/>
    </row>
    <row r="1566" spans="1:15" ht="12.75" customHeight="1">
      <c r="A1566" s="1426"/>
      <c r="B1566" s="1420" t="s">
        <v>3188</v>
      </c>
      <c r="C1566" s="1421"/>
      <c r="D1566" s="1421"/>
      <c r="E1566" s="1421"/>
      <c r="F1566" s="1421"/>
      <c r="G1566" s="1421"/>
      <c r="H1566" s="1421"/>
      <c r="I1566" s="1421"/>
      <c r="J1566" s="1421"/>
      <c r="K1566" s="1421"/>
      <c r="L1566" s="307" t="s">
        <v>1056</v>
      </c>
      <c r="M1566" s="1214">
        <v>10</v>
      </c>
      <c r="N1566" s="1214"/>
      <c r="O1566" s="1214"/>
    </row>
    <row r="1567" spans="1:15" ht="12.75" customHeight="1">
      <c r="A1567" s="1426"/>
      <c r="B1567" s="1420" t="s">
        <v>3189</v>
      </c>
      <c r="C1567" s="1421"/>
      <c r="D1567" s="1421"/>
      <c r="E1567" s="1421"/>
      <c r="F1567" s="1421"/>
      <c r="G1567" s="1421"/>
      <c r="H1567" s="1421"/>
      <c r="I1567" s="1421"/>
      <c r="J1567" s="1421"/>
      <c r="K1567" s="1421"/>
      <c r="L1567" s="307" t="s">
        <v>1056</v>
      </c>
      <c r="M1567" s="1214">
        <v>7</v>
      </c>
      <c r="N1567" s="1214"/>
      <c r="O1567" s="1214"/>
    </row>
    <row r="1568" spans="1:15">
      <c r="A1568" s="1426"/>
      <c r="B1568" s="1214"/>
      <c r="C1568" s="1214"/>
      <c r="D1568" s="1214"/>
      <c r="E1568" s="1214"/>
      <c r="F1568" s="1214"/>
      <c r="G1568" s="1214"/>
      <c r="H1568" s="1214"/>
      <c r="I1568" s="1214"/>
      <c r="J1568" s="1214"/>
      <c r="K1568" s="1214"/>
      <c r="L1568" s="1214"/>
      <c r="M1568" s="1214"/>
      <c r="N1568" s="1214"/>
      <c r="O1568" s="1214"/>
    </row>
    <row r="1569" spans="1:16" ht="72" customHeight="1">
      <c r="A1569" s="1426"/>
      <c r="B1569" s="1420" t="s">
        <v>3190</v>
      </c>
      <c r="C1569" s="1420"/>
      <c r="D1569" s="1420"/>
      <c r="E1569" s="1420"/>
      <c r="F1569" s="1420"/>
      <c r="G1569" s="1420"/>
      <c r="H1569" s="1420"/>
      <c r="I1569" s="1420"/>
      <c r="J1569" s="1420"/>
      <c r="K1569" s="1420"/>
      <c r="L1569" s="1420"/>
      <c r="M1569" s="1420"/>
      <c r="N1569" s="1420"/>
      <c r="O1569" s="1420"/>
    </row>
    <row r="1570" spans="1:16" ht="12.75" customHeight="1">
      <c r="A1570" s="1426"/>
      <c r="B1570" s="1420" t="s">
        <v>3191</v>
      </c>
      <c r="C1570" s="1421"/>
      <c r="D1570" s="1421"/>
      <c r="E1570" s="1421"/>
      <c r="F1570" s="1421"/>
      <c r="G1570" s="1421"/>
      <c r="H1570" s="1421"/>
      <c r="I1570" s="1421"/>
      <c r="J1570" s="1421"/>
      <c r="K1570" s="1421"/>
      <c r="L1570" s="307" t="s">
        <v>1056</v>
      </c>
      <c r="M1570" s="1214">
        <v>9</v>
      </c>
      <c r="N1570" s="1214"/>
      <c r="O1570" s="1214"/>
    </row>
    <row r="1571" spans="1:16" ht="12.75" customHeight="1">
      <c r="A1571" s="1426"/>
      <c r="B1571" s="1420" t="s">
        <v>3189</v>
      </c>
      <c r="C1571" s="1421"/>
      <c r="D1571" s="1421"/>
      <c r="E1571" s="1421"/>
      <c r="F1571" s="1421"/>
      <c r="G1571" s="1421"/>
      <c r="H1571" s="1421"/>
      <c r="I1571" s="1421"/>
      <c r="J1571" s="1421"/>
      <c r="K1571" s="1421"/>
      <c r="L1571" s="307" t="s">
        <v>1056</v>
      </c>
      <c r="M1571" s="1214">
        <v>6</v>
      </c>
      <c r="N1571" s="1214"/>
      <c r="O1571" s="1214"/>
    </row>
    <row r="1572" spans="1:16" ht="12.75" customHeight="1">
      <c r="A1572" s="1426"/>
      <c r="B1572" s="1420"/>
      <c r="C1572" s="1420"/>
      <c r="D1572" s="1420"/>
      <c r="E1572" s="1420"/>
      <c r="F1572" s="1420"/>
      <c r="G1572" s="1420"/>
      <c r="H1572" s="1420"/>
      <c r="I1572" s="1420"/>
      <c r="J1572" s="1420"/>
      <c r="K1572" s="1420"/>
      <c r="L1572" s="1420"/>
      <c r="M1572" s="1420"/>
      <c r="N1572" s="1420"/>
      <c r="O1572" s="1420"/>
    </row>
    <row r="1573" spans="1:16" ht="51.75" customHeight="1">
      <c r="A1573" s="1426"/>
      <c r="B1573" s="1420" t="s">
        <v>3192</v>
      </c>
      <c r="C1573" s="1420"/>
      <c r="D1573" s="1420"/>
      <c r="E1573" s="1420"/>
      <c r="F1573" s="1420"/>
      <c r="G1573" s="1420"/>
      <c r="H1573" s="1420"/>
      <c r="I1573" s="1420"/>
      <c r="J1573" s="1420"/>
      <c r="K1573" s="1420"/>
      <c r="L1573" s="1420"/>
      <c r="M1573" s="1420"/>
      <c r="N1573" s="1420"/>
      <c r="O1573" s="1420"/>
    </row>
    <row r="1574" spans="1:16" ht="12.75" customHeight="1">
      <c r="A1574" s="1426"/>
      <c r="B1574" s="1420" t="s">
        <v>3188</v>
      </c>
      <c r="C1574" s="1421"/>
      <c r="D1574" s="1421"/>
      <c r="E1574" s="1421"/>
      <c r="F1574" s="1421"/>
      <c r="G1574" s="1421"/>
      <c r="H1574" s="1421"/>
      <c r="I1574" s="1421"/>
      <c r="J1574" s="1421"/>
      <c r="K1574" s="1421"/>
      <c r="L1574" s="307" t="s">
        <v>1056</v>
      </c>
      <c r="M1574" s="1214">
        <v>6</v>
      </c>
      <c r="N1574" s="1214"/>
      <c r="O1574" s="1214"/>
    </row>
    <row r="1575" spans="1:16" ht="12.75" customHeight="1">
      <c r="A1575" s="1426"/>
      <c r="B1575" s="1420" t="s">
        <v>3189</v>
      </c>
      <c r="C1575" s="1421"/>
      <c r="D1575" s="1421"/>
      <c r="E1575" s="1421"/>
      <c r="F1575" s="1421"/>
      <c r="G1575" s="1421"/>
      <c r="H1575" s="1421"/>
      <c r="I1575" s="1421"/>
      <c r="J1575" s="1421"/>
      <c r="K1575" s="1421"/>
      <c r="L1575" s="307" t="s">
        <v>1056</v>
      </c>
      <c r="M1575" s="1214">
        <v>4</v>
      </c>
      <c r="N1575" s="1214"/>
      <c r="O1575" s="1214"/>
    </row>
    <row r="1576" spans="1:16" ht="12.75" customHeight="1">
      <c r="A1576" s="1425"/>
      <c r="B1576" s="1425"/>
      <c r="C1576" s="1425"/>
      <c r="D1576" s="1425"/>
      <c r="E1576" s="1425"/>
      <c r="F1576" s="1425"/>
      <c r="G1576" s="1425"/>
      <c r="H1576" s="1425"/>
      <c r="I1576" s="1425"/>
      <c r="J1576" s="1425"/>
      <c r="K1576" s="1425"/>
      <c r="L1576" s="1425"/>
      <c r="M1576" s="1425"/>
      <c r="N1576" s="1425"/>
      <c r="O1576" s="1425"/>
    </row>
    <row r="1577" spans="1:16" ht="12.75" customHeight="1">
      <c r="A1577" s="1511" t="s">
        <v>1807</v>
      </c>
      <c r="B1577" s="1511"/>
      <c r="C1577" s="1511"/>
      <c r="D1577" s="1511"/>
      <c r="E1577" s="1511"/>
      <c r="F1577" s="1511"/>
      <c r="G1577" s="1511"/>
      <c r="H1577" s="1511"/>
      <c r="I1577" s="1511"/>
      <c r="J1577" s="1511"/>
      <c r="K1577" s="1511"/>
      <c r="L1577" s="1511"/>
      <c r="M1577" s="1511"/>
      <c r="N1577" s="1511"/>
      <c r="O1577" s="1511"/>
    </row>
    <row r="1578" spans="1:16">
      <c r="A1578" s="1425"/>
      <c r="B1578" s="1425"/>
      <c r="C1578" s="1425"/>
      <c r="D1578" s="1425"/>
      <c r="E1578" s="1425"/>
      <c r="F1578" s="1425"/>
      <c r="G1578" s="1425"/>
      <c r="H1578" s="1425"/>
      <c r="I1578" s="1425"/>
      <c r="J1578" s="1425"/>
      <c r="K1578" s="1425"/>
      <c r="L1578" s="1425"/>
      <c r="M1578" s="1425"/>
      <c r="N1578" s="1425"/>
      <c r="O1578" s="1425"/>
    </row>
    <row r="1579" spans="1:16">
      <c r="A1579" s="493" t="s">
        <v>2985</v>
      </c>
      <c r="B1579" s="1332" t="s">
        <v>2984</v>
      </c>
      <c r="C1579" s="1332"/>
      <c r="D1579" s="1332"/>
      <c r="E1579" s="1332"/>
      <c r="F1579" s="1332"/>
      <c r="G1579" s="1332"/>
      <c r="H1579" s="1332"/>
      <c r="I1579" s="1332"/>
      <c r="J1579" s="1332"/>
      <c r="K1579" s="1332"/>
      <c r="L1579" s="1284"/>
      <c r="M1579" s="1285"/>
      <c r="N1579" s="1285"/>
      <c r="O1579" s="1286"/>
    </row>
    <row r="1580" spans="1:16" ht="12.75" customHeight="1">
      <c r="A1580" s="493"/>
      <c r="B1580" s="1421" t="s">
        <v>1808</v>
      </c>
      <c r="C1580" s="1421"/>
      <c r="D1580" s="1421"/>
      <c r="E1580" s="1421"/>
      <c r="F1580" s="1421"/>
      <c r="G1580" s="1421"/>
      <c r="H1580" s="1421"/>
      <c r="I1580" s="1421"/>
      <c r="J1580" s="1421"/>
      <c r="K1580" s="1421"/>
      <c r="L1580" s="307" t="s">
        <v>1056</v>
      </c>
      <c r="M1580" s="1214">
        <v>160</v>
      </c>
      <c r="N1580" s="1214"/>
      <c r="O1580" s="1214"/>
    </row>
    <row r="1581" spans="1:16" ht="12.75" customHeight="1">
      <c r="A1581" s="493"/>
      <c r="B1581" s="1421" t="s">
        <v>1809</v>
      </c>
      <c r="C1581" s="1421"/>
      <c r="D1581" s="1421"/>
      <c r="E1581" s="1421"/>
      <c r="F1581" s="1421"/>
      <c r="G1581" s="1421"/>
      <c r="H1581" s="1421"/>
      <c r="I1581" s="1421"/>
      <c r="J1581" s="1421"/>
      <c r="K1581" s="1421"/>
      <c r="L1581" s="307" t="s">
        <v>1056</v>
      </c>
      <c r="M1581" s="1214">
        <v>145</v>
      </c>
      <c r="N1581" s="1214"/>
      <c r="O1581" s="1214"/>
    </row>
    <row r="1582" spans="1:16" ht="12.75" customHeight="1">
      <c r="A1582" s="493"/>
      <c r="B1582" s="1421" t="s">
        <v>1810</v>
      </c>
      <c r="C1582" s="1421"/>
      <c r="D1582" s="1421"/>
      <c r="E1582" s="1421"/>
      <c r="F1582" s="1421"/>
      <c r="G1582" s="1421"/>
      <c r="H1582" s="1421"/>
      <c r="I1582" s="1421"/>
      <c r="J1582" s="1421"/>
      <c r="K1582" s="1421"/>
      <c r="L1582" s="307" t="s">
        <v>1056</v>
      </c>
      <c r="M1582" s="1214">
        <v>130</v>
      </c>
      <c r="N1582" s="1214"/>
      <c r="O1582" s="1214"/>
      <c r="P1582" s="99"/>
    </row>
    <row r="1583" spans="1:16" ht="12.75" customHeight="1">
      <c r="A1583" s="493"/>
      <c r="B1583" s="1421" t="s">
        <v>1811</v>
      </c>
      <c r="C1583" s="1421"/>
      <c r="D1583" s="1421"/>
      <c r="E1583" s="1421"/>
      <c r="F1583" s="1421"/>
      <c r="G1583" s="1421"/>
      <c r="H1583" s="1421"/>
      <c r="I1583" s="1421"/>
      <c r="J1583" s="1421"/>
      <c r="K1583" s="1421"/>
      <c r="L1583" s="307" t="s">
        <v>1056</v>
      </c>
      <c r="M1583" s="1214">
        <v>120</v>
      </c>
      <c r="N1583" s="1214"/>
      <c r="O1583" s="1214"/>
    </row>
    <row r="1584" spans="1:16" ht="12.75" customHeight="1">
      <c r="A1584" s="493"/>
      <c r="B1584" s="1421" t="s">
        <v>1805</v>
      </c>
      <c r="C1584" s="1421"/>
      <c r="D1584" s="1421"/>
      <c r="E1584" s="1421"/>
      <c r="F1584" s="1421"/>
      <c r="G1584" s="1421"/>
      <c r="H1584" s="1421"/>
      <c r="I1584" s="1421"/>
      <c r="J1584" s="1421"/>
      <c r="K1584" s="1421"/>
      <c r="L1584" s="307" t="s">
        <v>1056</v>
      </c>
      <c r="M1584" s="1214">
        <v>95</v>
      </c>
      <c r="N1584" s="1214"/>
      <c r="O1584" s="1214"/>
    </row>
    <row r="1585" spans="1:15" ht="12.75" customHeight="1">
      <c r="A1585" s="493" t="s">
        <v>1812</v>
      </c>
      <c r="B1585" s="1363" t="s">
        <v>1813</v>
      </c>
      <c r="C1585" s="1363"/>
      <c r="D1585" s="1363"/>
      <c r="E1585" s="1363"/>
      <c r="F1585" s="1363"/>
      <c r="G1585" s="1363"/>
      <c r="H1585" s="1363"/>
      <c r="I1585" s="1363"/>
      <c r="J1585" s="1363"/>
      <c r="K1585" s="1363"/>
      <c r="L1585" s="1284"/>
      <c r="M1585" s="1285"/>
      <c r="N1585" s="1285"/>
      <c r="O1585" s="1286"/>
    </row>
    <row r="1586" spans="1:15" ht="12.75" customHeight="1">
      <c r="A1586" s="493"/>
      <c r="B1586" s="1421" t="s">
        <v>1814</v>
      </c>
      <c r="C1586" s="1421"/>
      <c r="D1586" s="1421"/>
      <c r="E1586" s="1421"/>
      <c r="F1586" s="1421"/>
      <c r="G1586" s="1421"/>
      <c r="H1586" s="1421"/>
      <c r="I1586" s="1421"/>
      <c r="J1586" s="1421"/>
      <c r="K1586" s="1421"/>
      <c r="L1586" s="307" t="s">
        <v>1056</v>
      </c>
      <c r="M1586" s="1214">
        <v>115</v>
      </c>
      <c r="N1586" s="1214"/>
      <c r="O1586" s="1214"/>
    </row>
    <row r="1587" spans="1:15" ht="12.75" customHeight="1">
      <c r="A1587" s="493"/>
      <c r="B1587" s="1421" t="s">
        <v>1809</v>
      </c>
      <c r="C1587" s="1421"/>
      <c r="D1587" s="1421"/>
      <c r="E1587" s="1421"/>
      <c r="F1587" s="1421"/>
      <c r="G1587" s="1421"/>
      <c r="H1587" s="1421"/>
      <c r="I1587" s="1421"/>
      <c r="J1587" s="1421"/>
      <c r="K1587" s="1421"/>
      <c r="L1587" s="307" t="s">
        <v>1056</v>
      </c>
      <c r="M1587" s="1214">
        <v>111</v>
      </c>
      <c r="N1587" s="1214"/>
      <c r="O1587" s="1214"/>
    </row>
    <row r="1588" spans="1:15" ht="12.75" customHeight="1">
      <c r="A1588" s="493"/>
      <c r="B1588" s="1421" t="s">
        <v>1810</v>
      </c>
      <c r="C1588" s="1421"/>
      <c r="D1588" s="1421"/>
      <c r="E1588" s="1421"/>
      <c r="F1588" s="1421"/>
      <c r="G1588" s="1421"/>
      <c r="H1588" s="1421"/>
      <c r="I1588" s="1421"/>
      <c r="J1588" s="1421"/>
      <c r="K1588" s="1421"/>
      <c r="L1588" s="307" t="s">
        <v>1056</v>
      </c>
      <c r="M1588" s="1214">
        <v>109</v>
      </c>
      <c r="N1588" s="1214"/>
      <c r="O1588" s="1214"/>
    </row>
    <row r="1589" spans="1:15" ht="12.75" customHeight="1">
      <c r="A1589" s="493"/>
      <c r="B1589" s="1421" t="s">
        <v>1811</v>
      </c>
      <c r="C1589" s="1421"/>
      <c r="D1589" s="1421"/>
      <c r="E1589" s="1421"/>
      <c r="F1589" s="1421"/>
      <c r="G1589" s="1421"/>
      <c r="H1589" s="1421"/>
      <c r="I1589" s="1421"/>
      <c r="J1589" s="1421"/>
      <c r="K1589" s="1421"/>
      <c r="L1589" s="307" t="s">
        <v>1056</v>
      </c>
      <c r="M1589" s="1214">
        <v>105</v>
      </c>
      <c r="N1589" s="1214"/>
      <c r="O1589" s="1214"/>
    </row>
    <row r="1590" spans="1:15" ht="12.75" customHeight="1">
      <c r="A1590" s="493"/>
      <c r="B1590" s="1421" t="s">
        <v>1805</v>
      </c>
      <c r="C1590" s="1421"/>
      <c r="D1590" s="1421"/>
      <c r="E1590" s="1421"/>
      <c r="F1590" s="1421"/>
      <c r="G1590" s="1421"/>
      <c r="H1590" s="1421"/>
      <c r="I1590" s="1421"/>
      <c r="J1590" s="1421"/>
      <c r="K1590" s="1421"/>
      <c r="L1590" s="307" t="s">
        <v>1056</v>
      </c>
      <c r="M1590" s="1214">
        <v>90</v>
      </c>
      <c r="N1590" s="1214"/>
      <c r="O1590" s="1214"/>
    </row>
    <row r="1591" spans="1:15" ht="12.75" customHeight="1">
      <c r="A1591" s="493" t="s">
        <v>1794</v>
      </c>
      <c r="B1591" s="1423" t="s">
        <v>1815</v>
      </c>
      <c r="C1591" s="1423"/>
      <c r="D1591" s="1423"/>
      <c r="E1591" s="1423"/>
      <c r="F1591" s="1423"/>
      <c r="G1591" s="1423"/>
      <c r="H1591" s="1423"/>
      <c r="I1591" s="1423"/>
      <c r="J1591" s="1423"/>
      <c r="K1591" s="1423"/>
      <c r="L1591" s="1349"/>
      <c r="M1591" s="1360"/>
      <c r="N1591" s="1360"/>
      <c r="O1591" s="1291"/>
    </row>
    <row r="1592" spans="1:15" ht="12.75" customHeight="1">
      <c r="A1592" s="493"/>
      <c r="B1592" s="1421" t="s">
        <v>1816</v>
      </c>
      <c r="C1592" s="1421"/>
      <c r="D1592" s="1421"/>
      <c r="E1592" s="1421"/>
      <c r="F1592" s="1421"/>
      <c r="G1592" s="1421"/>
      <c r="H1592" s="1421"/>
      <c r="I1592" s="1421"/>
      <c r="J1592" s="1421"/>
      <c r="K1592" s="1421"/>
      <c r="L1592" s="1351"/>
      <c r="M1592" s="1362"/>
      <c r="N1592" s="1362"/>
      <c r="O1592" s="1293"/>
    </row>
    <row r="1593" spans="1:15" ht="12.75" customHeight="1">
      <c r="A1593" s="493"/>
      <c r="B1593" s="1421" t="s">
        <v>1817</v>
      </c>
      <c r="C1593" s="1421"/>
      <c r="D1593" s="1421"/>
      <c r="E1593" s="1421"/>
      <c r="F1593" s="1421"/>
      <c r="G1593" s="1421"/>
      <c r="H1593" s="1421"/>
      <c r="I1593" s="1421"/>
      <c r="J1593" s="1421"/>
      <c r="K1593" s="1421"/>
      <c r="L1593" s="307" t="s">
        <v>1056</v>
      </c>
      <c r="M1593" s="1214">
        <v>80</v>
      </c>
      <c r="N1593" s="1214"/>
      <c r="O1593" s="1214"/>
    </row>
    <row r="1594" spans="1:15" ht="12.75" customHeight="1">
      <c r="A1594" s="493"/>
      <c r="B1594" s="1421" t="s">
        <v>1805</v>
      </c>
      <c r="C1594" s="1421"/>
      <c r="D1594" s="1421"/>
      <c r="E1594" s="1421"/>
      <c r="F1594" s="1421"/>
      <c r="G1594" s="1421"/>
      <c r="H1594" s="1421"/>
      <c r="I1594" s="1421"/>
      <c r="J1594" s="1421"/>
      <c r="K1594" s="1421"/>
      <c r="L1594" s="307" t="s">
        <v>1056</v>
      </c>
      <c r="M1594" s="1214">
        <v>79</v>
      </c>
      <c r="N1594" s="1214"/>
      <c r="O1594" s="1214"/>
    </row>
    <row r="1595" spans="1:15" ht="12.75" customHeight="1">
      <c r="A1595" s="493"/>
      <c r="B1595" s="1421" t="s">
        <v>1818</v>
      </c>
      <c r="C1595" s="1421"/>
      <c r="D1595" s="1421"/>
      <c r="E1595" s="1421"/>
      <c r="F1595" s="1421"/>
      <c r="G1595" s="1421"/>
      <c r="H1595" s="1421"/>
      <c r="I1595" s="1421"/>
      <c r="J1595" s="1421"/>
      <c r="K1595" s="1421"/>
      <c r="L1595" s="1284"/>
      <c r="M1595" s="1285"/>
      <c r="N1595" s="1285"/>
      <c r="O1595" s="1286"/>
    </row>
    <row r="1596" spans="1:15" ht="12.75" customHeight="1">
      <c r="A1596" s="493"/>
      <c r="B1596" s="1421" t="s">
        <v>1817</v>
      </c>
      <c r="C1596" s="1421"/>
      <c r="D1596" s="1421"/>
      <c r="E1596" s="1421"/>
      <c r="F1596" s="1421"/>
      <c r="G1596" s="1421"/>
      <c r="H1596" s="1421"/>
      <c r="I1596" s="1421"/>
      <c r="J1596" s="1421"/>
      <c r="K1596" s="1421"/>
      <c r="L1596" s="307" t="s">
        <v>1056</v>
      </c>
      <c r="M1596" s="1214">
        <v>78</v>
      </c>
      <c r="N1596" s="1214"/>
      <c r="O1596" s="1214"/>
    </row>
    <row r="1597" spans="1:15" ht="12.75" customHeight="1">
      <c r="A1597" s="493"/>
      <c r="B1597" s="1421" t="s">
        <v>1819</v>
      </c>
      <c r="C1597" s="1421"/>
      <c r="D1597" s="1421"/>
      <c r="E1597" s="1421"/>
      <c r="F1597" s="1421"/>
      <c r="G1597" s="1421"/>
      <c r="H1597" s="1421"/>
      <c r="I1597" s="1421"/>
      <c r="J1597" s="1421"/>
      <c r="K1597" s="1421"/>
      <c r="L1597" s="307" t="s">
        <v>1056</v>
      </c>
      <c r="M1597" s="1214">
        <v>77</v>
      </c>
      <c r="N1597" s="1214"/>
      <c r="O1597" s="1214"/>
    </row>
    <row r="1598" spans="1:15" ht="12.75" customHeight="1">
      <c r="A1598" s="493"/>
      <c r="B1598" s="1421" t="s">
        <v>1805</v>
      </c>
      <c r="C1598" s="1421"/>
      <c r="D1598" s="1421"/>
      <c r="E1598" s="1421"/>
      <c r="F1598" s="1421"/>
      <c r="G1598" s="1421"/>
      <c r="H1598" s="1421"/>
      <c r="I1598" s="1421"/>
      <c r="J1598" s="1421"/>
      <c r="K1598" s="1421"/>
      <c r="L1598" s="307" t="s">
        <v>1056</v>
      </c>
      <c r="M1598" s="1214">
        <v>76</v>
      </c>
      <c r="N1598" s="1214"/>
      <c r="O1598" s="1214"/>
    </row>
    <row r="1599" spans="1:15">
      <c r="A1599" s="493"/>
      <c r="B1599" s="1421" t="s">
        <v>1820</v>
      </c>
      <c r="C1599" s="1421"/>
      <c r="D1599" s="1421"/>
      <c r="E1599" s="1421"/>
      <c r="F1599" s="1421"/>
      <c r="G1599" s="1421"/>
      <c r="H1599" s="1421"/>
      <c r="I1599" s="1421"/>
      <c r="J1599" s="1421"/>
      <c r="K1599" s="1421"/>
      <c r="L1599" s="1284"/>
      <c r="M1599" s="1285"/>
      <c r="N1599" s="1285"/>
      <c r="O1599" s="1286"/>
    </row>
    <row r="1600" spans="1:15" ht="12.75" customHeight="1">
      <c r="A1600" s="493"/>
      <c r="B1600" s="1421" t="s">
        <v>1821</v>
      </c>
      <c r="C1600" s="1421"/>
      <c r="D1600" s="1421"/>
      <c r="E1600" s="1421"/>
      <c r="F1600" s="1421"/>
      <c r="G1600" s="1421"/>
      <c r="H1600" s="1421"/>
      <c r="I1600" s="1421"/>
      <c r="J1600" s="1421"/>
      <c r="K1600" s="1421"/>
      <c r="L1600" s="307" t="s">
        <v>1056</v>
      </c>
      <c r="M1600" s="1214">
        <v>73</v>
      </c>
      <c r="N1600" s="1214"/>
      <c r="O1600" s="1214"/>
    </row>
    <row r="1601" spans="1:15" ht="12.75" customHeight="1">
      <c r="A1601" s="493"/>
      <c r="B1601" s="1421" t="s">
        <v>1805</v>
      </c>
      <c r="C1601" s="1421"/>
      <c r="D1601" s="1421"/>
      <c r="E1601" s="1421"/>
      <c r="F1601" s="1421"/>
      <c r="G1601" s="1421"/>
      <c r="H1601" s="1421"/>
      <c r="I1601" s="1421"/>
      <c r="J1601" s="1421"/>
      <c r="K1601" s="1421"/>
      <c r="L1601" s="307" t="s">
        <v>1056</v>
      </c>
      <c r="M1601" s="1214">
        <v>74</v>
      </c>
      <c r="N1601" s="1214"/>
      <c r="O1601" s="1214"/>
    </row>
    <row r="1602" spans="1:15" ht="12.75" customHeight="1">
      <c r="A1602" s="493" t="s">
        <v>1795</v>
      </c>
      <c r="B1602" s="1424" t="s">
        <v>1822</v>
      </c>
      <c r="C1602" s="1424"/>
      <c r="D1602" s="1424"/>
      <c r="E1602" s="1424"/>
      <c r="F1602" s="1424"/>
      <c r="G1602" s="1424"/>
      <c r="H1602" s="1424"/>
      <c r="I1602" s="1424"/>
      <c r="J1602" s="1424"/>
      <c r="K1602" s="1424"/>
      <c r="L1602" s="1349"/>
      <c r="M1602" s="1360"/>
      <c r="N1602" s="1360"/>
      <c r="O1602" s="1291"/>
    </row>
    <row r="1603" spans="1:15" ht="12.75" customHeight="1">
      <c r="A1603" s="493"/>
      <c r="B1603" s="1417" t="s">
        <v>3193</v>
      </c>
      <c r="C1603" s="1417"/>
      <c r="D1603" s="1417"/>
      <c r="E1603" s="1417"/>
      <c r="F1603" s="1417"/>
      <c r="G1603" s="1417"/>
      <c r="H1603" s="1417"/>
      <c r="I1603" s="1417"/>
      <c r="J1603" s="1417"/>
      <c r="K1603" s="1417"/>
      <c r="L1603" s="1350"/>
      <c r="M1603" s="1361"/>
      <c r="N1603" s="1361"/>
      <c r="O1603" s="1292"/>
    </row>
    <row r="1604" spans="1:15" ht="12.75" customHeight="1">
      <c r="A1604" s="493"/>
      <c r="B1604" s="1418" t="s">
        <v>1823</v>
      </c>
      <c r="C1604" s="1418"/>
      <c r="D1604" s="1418"/>
      <c r="E1604" s="1418"/>
      <c r="F1604" s="1418"/>
      <c r="G1604" s="1418"/>
      <c r="H1604" s="1418"/>
      <c r="I1604" s="1418"/>
      <c r="J1604" s="1418"/>
      <c r="K1604" s="1418"/>
      <c r="L1604" s="1351"/>
      <c r="M1604" s="1362"/>
      <c r="N1604" s="1362"/>
      <c r="O1604" s="1293"/>
    </row>
    <row r="1605" spans="1:15" ht="12.75" customHeight="1">
      <c r="A1605" s="493"/>
      <c r="B1605" s="1419" t="s">
        <v>1824</v>
      </c>
      <c r="C1605" s="1419"/>
      <c r="D1605" s="1419"/>
      <c r="E1605" s="1419"/>
      <c r="F1605" s="1419"/>
      <c r="G1605" s="1419"/>
      <c r="H1605" s="1419"/>
      <c r="I1605" s="1419"/>
      <c r="J1605" s="1419"/>
      <c r="K1605" s="1419"/>
      <c r="L1605" s="463" t="s">
        <v>1056</v>
      </c>
      <c r="M1605" s="1284">
        <v>25</v>
      </c>
      <c r="N1605" s="1285"/>
      <c r="O1605" s="1286"/>
    </row>
    <row r="1606" spans="1:15">
      <c r="A1606" s="1619"/>
      <c r="B1606" s="1619"/>
      <c r="C1606" s="1619"/>
      <c r="D1606" s="1619"/>
      <c r="E1606" s="1619"/>
      <c r="F1606" s="1619"/>
      <c r="G1606" s="1619"/>
      <c r="H1606" s="1619"/>
      <c r="I1606" s="1619"/>
      <c r="J1606" s="1619"/>
      <c r="K1606" s="1619"/>
      <c r="L1606" s="1619"/>
      <c r="M1606" s="1619"/>
      <c r="N1606" s="1619"/>
      <c r="O1606" s="1619"/>
    </row>
    <row r="1607" spans="1:15" ht="12.75" customHeight="1">
      <c r="A1607" s="1511" t="s">
        <v>1825</v>
      </c>
      <c r="B1607" s="1511"/>
      <c r="C1607" s="1511"/>
      <c r="D1607" s="1511"/>
      <c r="E1607" s="1511"/>
      <c r="F1607" s="1511"/>
      <c r="G1607" s="1511"/>
      <c r="H1607" s="1511"/>
      <c r="I1607" s="1511"/>
      <c r="J1607" s="1511"/>
      <c r="K1607" s="1511"/>
      <c r="L1607" s="1511"/>
      <c r="M1607" s="1511"/>
      <c r="N1607" s="1511"/>
      <c r="O1607" s="1511"/>
    </row>
    <row r="1608" spans="1:15">
      <c r="A1608" s="1618"/>
      <c r="B1608" s="1618"/>
      <c r="C1608" s="1618"/>
      <c r="D1608" s="1618"/>
      <c r="E1608" s="1618"/>
      <c r="F1608" s="1618"/>
      <c r="G1608" s="1618"/>
      <c r="H1608" s="1618"/>
      <c r="I1608" s="1618"/>
      <c r="J1608" s="1618"/>
      <c r="K1608" s="1618"/>
      <c r="L1608" s="1618"/>
      <c r="M1608" s="1618"/>
      <c r="N1608" s="1618"/>
      <c r="O1608" s="1618"/>
    </row>
    <row r="1609" spans="1:15" ht="12.75" customHeight="1">
      <c r="A1609" s="1620" t="s">
        <v>3237</v>
      </c>
      <c r="B1609" s="1336" t="s">
        <v>3238</v>
      </c>
      <c r="C1609" s="1336"/>
      <c r="D1609" s="1336"/>
      <c r="E1609" s="1336"/>
      <c r="F1609" s="1336"/>
      <c r="G1609" s="1336"/>
      <c r="H1609" s="1336"/>
      <c r="I1609" s="1336"/>
      <c r="J1609" s="1336"/>
      <c r="K1609" s="1336"/>
      <c r="L1609" s="1284"/>
      <c r="M1609" s="1285"/>
      <c r="N1609" s="1285"/>
      <c r="O1609" s="1286"/>
    </row>
    <row r="1610" spans="1:15" ht="12.75" customHeight="1">
      <c r="A1610" s="1620"/>
      <c r="B1610" s="513" t="s">
        <v>1787</v>
      </c>
      <c r="C1610" s="1373" t="s">
        <v>3203</v>
      </c>
      <c r="D1610" s="1363"/>
      <c r="E1610" s="1363"/>
      <c r="F1610" s="1363"/>
      <c r="G1610" s="1363"/>
      <c r="H1610" s="1363"/>
      <c r="I1610" s="1363"/>
      <c r="J1610" s="1363"/>
      <c r="K1610" s="1363"/>
      <c r="L1610" s="307" t="s">
        <v>1056</v>
      </c>
      <c r="M1610" s="1214">
        <v>335</v>
      </c>
      <c r="N1610" s="1214"/>
      <c r="O1610" s="1214"/>
    </row>
    <row r="1611" spans="1:15" ht="12.75" customHeight="1">
      <c r="A1611" s="1620"/>
      <c r="B1611" s="1617" t="s">
        <v>3194</v>
      </c>
      <c r="C1611" s="1363" t="s">
        <v>3195</v>
      </c>
      <c r="D1611" s="1363"/>
      <c r="E1611" s="1363"/>
      <c r="F1611" s="1363"/>
      <c r="G1611" s="1363"/>
      <c r="H1611" s="1363"/>
      <c r="I1611" s="1363"/>
      <c r="J1611" s="1363"/>
      <c r="K1611" s="1363"/>
      <c r="L1611" s="307"/>
      <c r="M1611" s="1214"/>
      <c r="N1611" s="1214"/>
      <c r="O1611" s="1214"/>
    </row>
    <row r="1612" spans="1:15">
      <c r="A1612" s="1620"/>
      <c r="B1612" s="1617"/>
      <c r="C1612" s="1420" t="s">
        <v>3209</v>
      </c>
      <c r="D1612" s="1421"/>
      <c r="E1612" s="1421"/>
      <c r="F1612" s="1421"/>
      <c r="G1612" s="1421"/>
      <c r="H1612" s="1421"/>
      <c r="I1612" s="1421"/>
      <c r="J1612" s="1421"/>
      <c r="K1612" s="1421"/>
      <c r="L1612" s="307"/>
      <c r="M1612" s="1363"/>
      <c r="N1612" s="1363"/>
      <c r="O1612" s="1363"/>
    </row>
    <row r="1613" spans="1:15" ht="12.75" customHeight="1">
      <c r="A1613" s="1620"/>
      <c r="B1613" s="1617"/>
      <c r="C1613" s="1420" t="s">
        <v>3217</v>
      </c>
      <c r="D1613" s="1421"/>
      <c r="E1613" s="1421"/>
      <c r="F1613" s="1421"/>
      <c r="G1613" s="1421"/>
      <c r="H1613" s="1421"/>
      <c r="I1613" s="1421"/>
      <c r="J1613" s="1421"/>
      <c r="K1613" s="1421"/>
      <c r="L1613" s="307" t="s">
        <v>1056</v>
      </c>
      <c r="M1613" s="1214">
        <v>285</v>
      </c>
      <c r="N1613" s="1214"/>
      <c r="O1613" s="1214"/>
    </row>
    <row r="1614" spans="1:15">
      <c r="A1614" s="1620"/>
      <c r="B1614" s="1617"/>
      <c r="C1614" s="1420" t="s">
        <v>3210</v>
      </c>
      <c r="D1614" s="1421"/>
      <c r="E1614" s="1421"/>
      <c r="F1614" s="1421"/>
      <c r="G1614" s="1421"/>
      <c r="H1614" s="1421"/>
      <c r="I1614" s="1421"/>
      <c r="J1614" s="1421"/>
      <c r="K1614" s="1421"/>
      <c r="L1614" s="307"/>
      <c r="M1614" s="1214"/>
      <c r="N1614" s="1214"/>
      <c r="O1614" s="1214"/>
    </row>
    <row r="1615" spans="1:15" ht="12.75" customHeight="1">
      <c r="A1615" s="1620"/>
      <c r="B1615" s="1617"/>
      <c r="C1615" s="1420" t="s">
        <v>3218</v>
      </c>
      <c r="D1615" s="1421"/>
      <c r="E1615" s="1421"/>
      <c r="F1615" s="1421"/>
      <c r="G1615" s="1421"/>
      <c r="H1615" s="1421"/>
      <c r="I1615" s="1421"/>
      <c r="J1615" s="1421"/>
      <c r="K1615" s="1421"/>
      <c r="L1615" s="307" t="s">
        <v>1056</v>
      </c>
      <c r="M1615" s="1214">
        <v>265</v>
      </c>
      <c r="N1615" s="1214"/>
      <c r="O1615" s="1214"/>
    </row>
    <row r="1616" spans="1:15" ht="12.75" customHeight="1">
      <c r="A1616" s="1620"/>
      <c r="B1616" s="1617"/>
      <c r="C1616" s="1420" t="s">
        <v>3219</v>
      </c>
      <c r="D1616" s="1420"/>
      <c r="E1616" s="1420"/>
      <c r="F1616" s="1420"/>
      <c r="G1616" s="1420"/>
      <c r="H1616" s="1420"/>
      <c r="I1616" s="1420"/>
      <c r="J1616" s="1420"/>
      <c r="K1616" s="1420"/>
      <c r="L1616" s="307" t="s">
        <v>1056</v>
      </c>
      <c r="M1616" s="1214">
        <v>215</v>
      </c>
      <c r="N1616" s="1214"/>
      <c r="O1616" s="1214"/>
    </row>
    <row r="1617" spans="1:15" ht="12.75" customHeight="1">
      <c r="A1617" s="1620"/>
      <c r="B1617" s="1617" t="s">
        <v>3198</v>
      </c>
      <c r="C1617" s="1363" t="s">
        <v>3199</v>
      </c>
      <c r="D1617" s="1363"/>
      <c r="E1617" s="1363"/>
      <c r="F1617" s="1363"/>
      <c r="G1617" s="1363"/>
      <c r="H1617" s="1363"/>
      <c r="I1617" s="1363"/>
      <c r="J1617" s="1363"/>
      <c r="K1617" s="1363"/>
      <c r="L1617" s="307"/>
      <c r="M1617" s="1214"/>
      <c r="N1617" s="1214"/>
      <c r="O1617" s="1214"/>
    </row>
    <row r="1618" spans="1:15" ht="12.75" customHeight="1">
      <c r="A1618" s="1620"/>
      <c r="B1618" s="1617"/>
      <c r="C1618" s="1420" t="s">
        <v>3220</v>
      </c>
      <c r="D1618" s="1421"/>
      <c r="E1618" s="1421"/>
      <c r="F1618" s="1421"/>
      <c r="G1618" s="1421"/>
      <c r="H1618" s="1421"/>
      <c r="I1618" s="1421"/>
      <c r="J1618" s="1421"/>
      <c r="K1618" s="1421"/>
      <c r="L1618" s="307" t="s">
        <v>1056</v>
      </c>
      <c r="M1618" s="1214">
        <v>195</v>
      </c>
      <c r="N1618" s="1214"/>
      <c r="O1618" s="1214"/>
    </row>
    <row r="1619" spans="1:15" ht="12.75" customHeight="1">
      <c r="A1619" s="1620"/>
      <c r="B1619" s="1617"/>
      <c r="C1619" s="1420" t="s">
        <v>3221</v>
      </c>
      <c r="D1619" s="1421"/>
      <c r="E1619" s="1421"/>
      <c r="F1619" s="1421"/>
      <c r="G1619" s="1421"/>
      <c r="H1619" s="1421"/>
      <c r="I1619" s="1421"/>
      <c r="J1619" s="1421"/>
      <c r="K1619" s="1421"/>
      <c r="L1619" s="307" t="s">
        <v>1056</v>
      </c>
      <c r="M1619" s="1214">
        <v>188</v>
      </c>
      <c r="N1619" s="1214"/>
      <c r="O1619" s="1214"/>
    </row>
    <row r="1620" spans="1:15" ht="12.75" customHeight="1">
      <c r="A1620" s="1620"/>
      <c r="B1620" s="1617" t="s">
        <v>3200</v>
      </c>
      <c r="C1620" s="1363" t="s">
        <v>3201</v>
      </c>
      <c r="D1620" s="1363"/>
      <c r="E1620" s="1363"/>
      <c r="F1620" s="1363"/>
      <c r="G1620" s="1363"/>
      <c r="H1620" s="1363"/>
      <c r="I1620" s="1363"/>
      <c r="J1620" s="1363"/>
      <c r="K1620" s="1363"/>
      <c r="L1620" s="307"/>
      <c r="M1620" s="1214"/>
      <c r="N1620" s="1214"/>
      <c r="O1620" s="1214"/>
    </row>
    <row r="1621" spans="1:15" ht="12.75" customHeight="1">
      <c r="A1621" s="1620"/>
      <c r="B1621" s="1617"/>
      <c r="C1621" s="1420" t="s">
        <v>3220</v>
      </c>
      <c r="D1621" s="1421"/>
      <c r="E1621" s="1421"/>
      <c r="F1621" s="1421"/>
      <c r="G1621" s="1421"/>
      <c r="H1621" s="1421"/>
      <c r="I1621" s="1421"/>
      <c r="J1621" s="1421"/>
      <c r="K1621" s="1421"/>
      <c r="L1621" s="307" t="s">
        <v>1056</v>
      </c>
      <c r="M1621" s="1214">
        <v>185</v>
      </c>
      <c r="N1621" s="1214"/>
      <c r="O1621" s="1214"/>
    </row>
    <row r="1622" spans="1:15" ht="12.75" customHeight="1">
      <c r="A1622" s="1620"/>
      <c r="B1622" s="1617"/>
      <c r="C1622" s="1420" t="s">
        <v>3222</v>
      </c>
      <c r="D1622" s="1421"/>
      <c r="E1622" s="1421"/>
      <c r="F1622" s="1421"/>
      <c r="G1622" s="1421"/>
      <c r="H1622" s="1421"/>
      <c r="I1622" s="1421"/>
      <c r="J1622" s="1421"/>
      <c r="K1622" s="1421"/>
      <c r="L1622" s="307" t="s">
        <v>1056</v>
      </c>
      <c r="M1622" s="1214">
        <v>183</v>
      </c>
      <c r="N1622" s="1214"/>
      <c r="O1622" s="1214"/>
    </row>
    <row r="1623" spans="1:15" ht="12.75" customHeight="1">
      <c r="A1623" s="1620"/>
      <c r="B1623" s="1617"/>
      <c r="C1623" s="1420" t="s">
        <v>3223</v>
      </c>
      <c r="D1623" s="1421"/>
      <c r="E1623" s="1421"/>
      <c r="F1623" s="1421"/>
      <c r="G1623" s="1421"/>
      <c r="H1623" s="1421"/>
      <c r="I1623" s="1421"/>
      <c r="J1623" s="1421"/>
      <c r="K1623" s="1421"/>
      <c r="L1623" s="307" t="s">
        <v>1056</v>
      </c>
      <c r="M1623" s="1214">
        <v>181</v>
      </c>
      <c r="N1623" s="1214"/>
      <c r="O1623" s="1214"/>
    </row>
    <row r="1624" spans="1:15" ht="12.75" customHeight="1">
      <c r="A1624" s="1620"/>
      <c r="B1624" s="1617" t="s">
        <v>2974</v>
      </c>
      <c r="C1624" s="1363" t="s">
        <v>3202</v>
      </c>
      <c r="D1624" s="1363"/>
      <c r="E1624" s="1363"/>
      <c r="F1624" s="1363"/>
      <c r="G1624" s="1363"/>
      <c r="H1624" s="1363"/>
      <c r="I1624" s="1363"/>
      <c r="J1624" s="1363"/>
      <c r="K1624" s="1363"/>
      <c r="L1624" s="307"/>
      <c r="M1624" s="1214"/>
      <c r="N1624" s="1214"/>
      <c r="O1624" s="1214"/>
    </row>
    <row r="1625" spans="1:15" ht="12.75" customHeight="1">
      <c r="A1625" s="1620"/>
      <c r="B1625" s="1617"/>
      <c r="C1625" s="1420" t="s">
        <v>3224</v>
      </c>
      <c r="D1625" s="1421"/>
      <c r="E1625" s="1421"/>
      <c r="F1625" s="1421"/>
      <c r="G1625" s="1421"/>
      <c r="H1625" s="1421"/>
      <c r="I1625" s="1421"/>
      <c r="J1625" s="1421"/>
      <c r="K1625" s="1421"/>
      <c r="L1625" s="307" t="s">
        <v>1056</v>
      </c>
      <c r="M1625" s="1214">
        <v>175</v>
      </c>
      <c r="N1625" s="1214"/>
      <c r="O1625" s="1214"/>
    </row>
    <row r="1626" spans="1:15" ht="12.75" customHeight="1">
      <c r="A1626" s="1620"/>
      <c r="B1626" s="1617"/>
      <c r="C1626" s="1420" t="s">
        <v>3221</v>
      </c>
      <c r="D1626" s="1421"/>
      <c r="E1626" s="1421"/>
      <c r="F1626" s="1421"/>
      <c r="G1626" s="1421"/>
      <c r="H1626" s="1421"/>
      <c r="I1626" s="1421"/>
      <c r="J1626" s="1421"/>
      <c r="K1626" s="1421"/>
      <c r="L1626" s="307" t="s">
        <v>1056</v>
      </c>
      <c r="M1626" s="1214">
        <v>165</v>
      </c>
      <c r="N1626" s="1214"/>
      <c r="O1626" s="1214"/>
    </row>
    <row r="1627" spans="1:15" ht="12.75" customHeight="1">
      <c r="A1627" s="1620"/>
      <c r="B1627" s="1617"/>
      <c r="C1627" s="1420" t="s">
        <v>3223</v>
      </c>
      <c r="D1627" s="1421"/>
      <c r="E1627" s="1421"/>
      <c r="F1627" s="1421"/>
      <c r="G1627" s="1421"/>
      <c r="H1627" s="1421"/>
      <c r="I1627" s="1421"/>
      <c r="J1627" s="1421"/>
      <c r="K1627" s="1421"/>
      <c r="L1627" s="307" t="s">
        <v>1056</v>
      </c>
      <c r="M1627" s="1214">
        <v>155</v>
      </c>
      <c r="N1627" s="1214"/>
      <c r="O1627" s="1214"/>
    </row>
    <row r="1628" spans="1:15" ht="12.75" customHeight="1">
      <c r="A1628" s="1620"/>
      <c r="B1628" s="1621" t="s">
        <v>3213</v>
      </c>
      <c r="C1628" s="1460" t="s">
        <v>3214</v>
      </c>
      <c r="D1628" s="1460"/>
      <c r="E1628" s="1460"/>
      <c r="F1628" s="1460"/>
      <c r="G1628" s="1460"/>
      <c r="H1628" s="1460"/>
      <c r="I1628" s="1460"/>
      <c r="J1628" s="1460"/>
      <c r="K1628" s="1460"/>
      <c r="L1628" s="307"/>
      <c r="M1628" s="1214"/>
      <c r="N1628" s="1214"/>
      <c r="O1628" s="1214"/>
    </row>
    <row r="1629" spans="1:15" ht="12.75" customHeight="1">
      <c r="A1629" s="1620"/>
      <c r="B1629" s="1621"/>
      <c r="C1629" s="1420" t="s">
        <v>3221</v>
      </c>
      <c r="D1629" s="1421"/>
      <c r="E1629" s="1421"/>
      <c r="F1629" s="1421"/>
      <c r="G1629" s="1421"/>
      <c r="H1629" s="1421"/>
      <c r="I1629" s="1421"/>
      <c r="J1629" s="1421"/>
      <c r="K1629" s="1421"/>
      <c r="L1629" s="307" t="s">
        <v>1056</v>
      </c>
      <c r="M1629" s="1214">
        <v>151</v>
      </c>
      <c r="N1629" s="1214"/>
      <c r="O1629" s="1214"/>
    </row>
    <row r="1630" spans="1:15" ht="12.75" customHeight="1">
      <c r="A1630" s="1620"/>
      <c r="B1630" s="1621"/>
      <c r="C1630" s="1420" t="s">
        <v>3223</v>
      </c>
      <c r="D1630" s="1421"/>
      <c r="E1630" s="1421"/>
      <c r="F1630" s="1421"/>
      <c r="G1630" s="1421"/>
      <c r="H1630" s="1421"/>
      <c r="I1630" s="1421"/>
      <c r="J1630" s="1421"/>
      <c r="K1630" s="1421"/>
      <c r="L1630" s="307" t="s">
        <v>1056</v>
      </c>
      <c r="M1630" s="1214">
        <v>145</v>
      </c>
      <c r="N1630" s="1214"/>
      <c r="O1630" s="1214"/>
    </row>
    <row r="1631" spans="1:15" ht="12.75" customHeight="1">
      <c r="A1631" s="1620"/>
      <c r="B1631" s="1621"/>
      <c r="C1631" s="1420" t="s">
        <v>3225</v>
      </c>
      <c r="D1631" s="1421"/>
      <c r="E1631" s="1421"/>
      <c r="F1631" s="1421"/>
      <c r="G1631" s="1421"/>
      <c r="H1631" s="1421"/>
      <c r="I1631" s="1421"/>
      <c r="J1631" s="1421"/>
      <c r="K1631" s="1421"/>
      <c r="L1631" s="307" t="s">
        <v>1056</v>
      </c>
      <c r="M1631" s="1214">
        <v>140</v>
      </c>
      <c r="N1631" s="1214"/>
      <c r="O1631" s="1214"/>
    </row>
    <row r="1632" spans="1:15" ht="12.75" customHeight="1">
      <c r="A1632" s="1620"/>
      <c r="B1632" s="1621" t="s">
        <v>3215</v>
      </c>
      <c r="C1632" s="1363" t="s">
        <v>3216</v>
      </c>
      <c r="D1632" s="1363"/>
      <c r="E1632" s="1363"/>
      <c r="F1632" s="1363"/>
      <c r="G1632" s="1363"/>
      <c r="H1632" s="1363"/>
      <c r="I1632" s="1363"/>
      <c r="J1632" s="1363"/>
      <c r="K1632" s="1363"/>
      <c r="L1632" s="307"/>
      <c r="M1632" s="1214"/>
      <c r="N1632" s="1214"/>
      <c r="O1632" s="1214"/>
    </row>
    <row r="1633" spans="1:15" ht="12.75" customHeight="1">
      <c r="A1633" s="1620"/>
      <c r="B1633" s="1621"/>
      <c r="C1633" s="1420" t="s">
        <v>3226</v>
      </c>
      <c r="D1633" s="1421"/>
      <c r="E1633" s="1421"/>
      <c r="F1633" s="1421"/>
      <c r="G1633" s="1421"/>
      <c r="H1633" s="1421"/>
      <c r="I1633" s="1421"/>
      <c r="J1633" s="1421"/>
      <c r="K1633" s="1421"/>
      <c r="L1633" s="307" t="s">
        <v>1056</v>
      </c>
      <c r="M1633" s="1214">
        <v>138</v>
      </c>
      <c r="N1633" s="1214"/>
      <c r="O1633" s="1214"/>
    </row>
    <row r="1634" spans="1:15" ht="12.75" customHeight="1">
      <c r="A1634" s="1620"/>
      <c r="B1634" s="1621"/>
      <c r="C1634" s="1420" t="s">
        <v>3227</v>
      </c>
      <c r="D1634" s="1421"/>
      <c r="E1634" s="1421"/>
      <c r="F1634" s="1421"/>
      <c r="G1634" s="1421"/>
      <c r="H1634" s="1421"/>
      <c r="I1634" s="1421"/>
      <c r="J1634" s="1421"/>
      <c r="K1634" s="1421"/>
      <c r="L1634" s="307" t="s">
        <v>1056</v>
      </c>
      <c r="M1634" s="1214">
        <v>133</v>
      </c>
      <c r="N1634" s="1214"/>
      <c r="O1634" s="1214"/>
    </row>
    <row r="1635" spans="1:15" ht="12.75" customHeight="1">
      <c r="A1635" s="1620"/>
      <c r="B1635" s="1621" t="s">
        <v>3211</v>
      </c>
      <c r="C1635" s="1363" t="s">
        <v>3212</v>
      </c>
      <c r="D1635" s="1363"/>
      <c r="E1635" s="1363"/>
      <c r="F1635" s="1363"/>
      <c r="G1635" s="1363"/>
      <c r="H1635" s="1363"/>
      <c r="I1635" s="1363"/>
      <c r="J1635" s="1363"/>
      <c r="K1635" s="1363"/>
      <c r="L1635" s="307"/>
      <c r="M1635" s="1214"/>
      <c r="N1635" s="1214"/>
      <c r="O1635" s="1214"/>
    </row>
    <row r="1636" spans="1:15" ht="12.75" customHeight="1">
      <c r="A1636" s="1620"/>
      <c r="B1636" s="1621"/>
      <c r="C1636" s="1420" t="s">
        <v>3228</v>
      </c>
      <c r="D1636" s="1421"/>
      <c r="E1636" s="1421"/>
      <c r="F1636" s="1421"/>
      <c r="G1636" s="1421"/>
      <c r="H1636" s="1421"/>
      <c r="I1636" s="1421"/>
      <c r="J1636" s="1421"/>
      <c r="K1636" s="1421"/>
      <c r="L1636" s="307" t="s">
        <v>1056</v>
      </c>
      <c r="M1636" s="1214">
        <v>131</v>
      </c>
      <c r="N1636" s="1214"/>
      <c r="O1636" s="1214"/>
    </row>
    <row r="1637" spans="1:15" ht="12.75" customHeight="1">
      <c r="A1637" s="1620"/>
      <c r="B1637" s="1621"/>
      <c r="C1637" s="1420" t="s">
        <v>3229</v>
      </c>
      <c r="D1637" s="1421"/>
      <c r="E1637" s="1421"/>
      <c r="F1637" s="1421"/>
      <c r="G1637" s="1421"/>
      <c r="H1637" s="1421"/>
      <c r="I1637" s="1421"/>
      <c r="J1637" s="1421"/>
      <c r="K1637" s="1421"/>
      <c r="L1637" s="307" t="s">
        <v>1056</v>
      </c>
      <c r="M1637" s="1214">
        <v>126</v>
      </c>
      <c r="N1637" s="1214"/>
      <c r="O1637" s="1214"/>
    </row>
    <row r="1638" spans="1:15" ht="12.75" customHeight="1">
      <c r="A1638" s="1620"/>
      <c r="B1638" s="1621" t="s">
        <v>3207</v>
      </c>
      <c r="C1638" s="1460" t="s">
        <v>3208</v>
      </c>
      <c r="D1638" s="1460"/>
      <c r="E1638" s="1460"/>
      <c r="F1638" s="1460"/>
      <c r="G1638" s="1460"/>
      <c r="H1638" s="1460"/>
      <c r="I1638" s="1460"/>
      <c r="J1638" s="1460"/>
      <c r="K1638" s="1460"/>
      <c r="L1638" s="307"/>
      <c r="M1638" s="1214"/>
      <c r="N1638" s="1214"/>
      <c r="O1638" s="1214"/>
    </row>
    <row r="1639" spans="1:15" ht="12.75" customHeight="1">
      <c r="A1639" s="1620"/>
      <c r="B1639" s="1621"/>
      <c r="C1639" s="1420" t="s">
        <v>3228</v>
      </c>
      <c r="D1639" s="1421"/>
      <c r="E1639" s="1421"/>
      <c r="F1639" s="1421"/>
      <c r="G1639" s="1421"/>
      <c r="H1639" s="1421"/>
      <c r="I1639" s="1421"/>
      <c r="J1639" s="1421"/>
      <c r="K1639" s="1421"/>
      <c r="L1639" s="307" t="s">
        <v>1056</v>
      </c>
      <c r="M1639" s="1214">
        <v>126</v>
      </c>
      <c r="N1639" s="1214"/>
      <c r="O1639" s="1214"/>
    </row>
    <row r="1640" spans="1:15" ht="12.75" customHeight="1">
      <c r="A1640" s="1620"/>
      <c r="B1640" s="1621"/>
      <c r="C1640" s="1420" t="s">
        <v>3230</v>
      </c>
      <c r="D1640" s="1421"/>
      <c r="E1640" s="1421"/>
      <c r="F1640" s="1421"/>
      <c r="G1640" s="1421"/>
      <c r="H1640" s="1421"/>
      <c r="I1640" s="1421"/>
      <c r="J1640" s="1421"/>
      <c r="K1640" s="1421"/>
      <c r="L1640" s="307" t="s">
        <v>1056</v>
      </c>
      <c r="M1640" s="1214">
        <v>121</v>
      </c>
      <c r="N1640" s="1214"/>
      <c r="O1640" s="1214"/>
    </row>
    <row r="1641" spans="1:15" ht="12.75" customHeight="1">
      <c r="A1641" s="1620"/>
      <c r="B1641" s="1621"/>
      <c r="C1641" s="1420" t="s">
        <v>3231</v>
      </c>
      <c r="D1641" s="1421"/>
      <c r="E1641" s="1421"/>
      <c r="F1641" s="1421"/>
      <c r="G1641" s="1421"/>
      <c r="H1641" s="1421"/>
      <c r="I1641" s="1421"/>
      <c r="J1641" s="1421"/>
      <c r="K1641" s="1421"/>
      <c r="L1641" s="307" t="s">
        <v>1056</v>
      </c>
      <c r="M1641" s="1214">
        <v>118</v>
      </c>
      <c r="N1641" s="1214"/>
      <c r="O1641" s="1214"/>
    </row>
    <row r="1642" spans="1:15" ht="12.75" customHeight="1">
      <c r="A1642" s="1620"/>
      <c r="B1642" s="1621" t="s">
        <v>3205</v>
      </c>
      <c r="C1642" s="1460" t="s">
        <v>3206</v>
      </c>
      <c r="D1642" s="1460"/>
      <c r="E1642" s="1460"/>
      <c r="F1642" s="1460"/>
      <c r="G1642" s="1460"/>
      <c r="H1642" s="1460"/>
      <c r="I1642" s="1460"/>
      <c r="J1642" s="1460"/>
      <c r="K1642" s="1460"/>
      <c r="L1642" s="307"/>
      <c r="M1642" s="1214"/>
      <c r="N1642" s="1214"/>
      <c r="O1642" s="1214"/>
    </row>
    <row r="1643" spans="1:15" ht="12.75" customHeight="1">
      <c r="A1643" s="1620"/>
      <c r="B1643" s="1621"/>
      <c r="C1643" s="1420" t="s">
        <v>3232</v>
      </c>
      <c r="D1643" s="1421"/>
      <c r="E1643" s="1421"/>
      <c r="F1643" s="1421"/>
      <c r="G1643" s="1421"/>
      <c r="H1643" s="1421"/>
      <c r="I1643" s="1421"/>
      <c r="J1643" s="1421"/>
      <c r="K1643" s="1421"/>
      <c r="L1643" s="307" t="s">
        <v>1056</v>
      </c>
      <c r="M1643" s="1214">
        <v>118</v>
      </c>
      <c r="N1643" s="1214"/>
      <c r="O1643" s="1214"/>
    </row>
    <row r="1644" spans="1:15" ht="12.75" customHeight="1">
      <c r="A1644" s="1620"/>
      <c r="B1644" s="1621"/>
      <c r="C1644" s="1420" t="s">
        <v>3233</v>
      </c>
      <c r="D1644" s="1421"/>
      <c r="E1644" s="1421"/>
      <c r="F1644" s="1421"/>
      <c r="G1644" s="1421"/>
      <c r="H1644" s="1421"/>
      <c r="I1644" s="1421"/>
      <c r="J1644" s="1421"/>
      <c r="K1644" s="1421"/>
      <c r="L1644" s="307" t="s">
        <v>1056</v>
      </c>
      <c r="M1644" s="1214">
        <v>111</v>
      </c>
      <c r="N1644" s="1214"/>
      <c r="O1644" s="1214"/>
    </row>
    <row r="1645" spans="1:15" ht="12.75" customHeight="1">
      <c r="A1645" s="1620"/>
      <c r="B1645" s="1621"/>
      <c r="C1645" s="1420" t="s">
        <v>3234</v>
      </c>
      <c r="D1645" s="1421"/>
      <c r="E1645" s="1421"/>
      <c r="F1645" s="1421"/>
      <c r="G1645" s="1421"/>
      <c r="H1645" s="1421"/>
      <c r="I1645" s="1421"/>
      <c r="J1645" s="1421"/>
      <c r="K1645" s="1421"/>
      <c r="L1645" s="307" t="s">
        <v>1056</v>
      </c>
      <c r="M1645" s="1214">
        <v>102</v>
      </c>
      <c r="N1645" s="1214"/>
      <c r="O1645" s="1214"/>
    </row>
    <row r="1646" spans="1:15">
      <c r="A1646" s="1620"/>
      <c r="B1646" s="1617" t="s">
        <v>3196</v>
      </c>
      <c r="C1646" s="1214" t="s">
        <v>3197</v>
      </c>
      <c r="D1646" s="1214"/>
      <c r="E1646" s="1214"/>
      <c r="F1646" s="1214"/>
      <c r="G1646" s="1214"/>
      <c r="H1646" s="1214"/>
      <c r="I1646" s="1214"/>
      <c r="J1646" s="1214"/>
      <c r="K1646" s="1214"/>
      <c r="L1646" s="307"/>
      <c r="M1646" s="1363"/>
      <c r="N1646" s="1363"/>
      <c r="O1646" s="1363"/>
    </row>
    <row r="1647" spans="1:15">
      <c r="A1647" s="1620"/>
      <c r="B1647" s="1617"/>
      <c r="C1647" s="1420" t="s">
        <v>3235</v>
      </c>
      <c r="D1647" s="1421"/>
      <c r="E1647" s="1421"/>
      <c r="F1647" s="1421"/>
      <c r="G1647" s="1421"/>
      <c r="H1647" s="1421"/>
      <c r="I1647" s="1421"/>
      <c r="J1647" s="1421"/>
      <c r="K1647" s="1421"/>
      <c r="L1647" s="307" t="s">
        <v>1056</v>
      </c>
      <c r="M1647" s="1214">
        <v>5</v>
      </c>
      <c r="N1647" s="1214"/>
      <c r="O1647" s="1214"/>
    </row>
    <row r="1648" spans="1:15">
      <c r="A1648" s="1620" t="s">
        <v>1812</v>
      </c>
      <c r="B1648" s="1214" t="s">
        <v>3204</v>
      </c>
      <c r="C1648" s="1214"/>
      <c r="D1648" s="1214"/>
      <c r="E1648" s="1214"/>
      <c r="F1648" s="1214"/>
      <c r="G1648" s="1214"/>
      <c r="H1648" s="1214"/>
      <c r="I1648" s="1214"/>
      <c r="J1648" s="1214"/>
      <c r="K1648" s="1214"/>
      <c r="L1648" s="307"/>
      <c r="M1648" s="1214"/>
      <c r="N1648" s="1214"/>
      <c r="O1648" s="1214"/>
    </row>
    <row r="1649" spans="1:15">
      <c r="A1649" s="1620"/>
      <c r="B1649" s="1214"/>
      <c r="C1649" s="1420" t="s">
        <v>3229</v>
      </c>
      <c r="D1649" s="1421"/>
      <c r="E1649" s="1421"/>
      <c r="F1649" s="1421"/>
      <c r="G1649" s="1421"/>
      <c r="H1649" s="1421"/>
      <c r="I1649" s="1421"/>
      <c r="J1649" s="1421"/>
      <c r="K1649" s="1421"/>
      <c r="L1649" s="307" t="s">
        <v>1056</v>
      </c>
      <c r="M1649" s="1214">
        <v>72</v>
      </c>
      <c r="N1649" s="1214"/>
      <c r="O1649" s="1214"/>
    </row>
    <row r="1650" spans="1:15">
      <c r="A1650" s="1620"/>
      <c r="B1650" s="1214"/>
      <c r="C1650" s="1420" t="s">
        <v>3236</v>
      </c>
      <c r="D1650" s="1420"/>
      <c r="E1650" s="1420"/>
      <c r="F1650" s="1420"/>
      <c r="G1650" s="1420"/>
      <c r="H1650" s="1420"/>
      <c r="I1650" s="1420"/>
      <c r="J1650" s="1420"/>
      <c r="K1650" s="1420"/>
      <c r="L1650" s="307" t="s">
        <v>1056</v>
      </c>
      <c r="M1650" s="1214">
        <v>71</v>
      </c>
      <c r="N1650" s="1214"/>
      <c r="O1650" s="1214"/>
    </row>
    <row r="1651" spans="1:15">
      <c r="A1651" s="1648"/>
      <c r="B1651" s="1648"/>
      <c r="C1651" s="1648"/>
      <c r="D1651" s="1648"/>
      <c r="E1651" s="1648"/>
      <c r="F1651" s="1648"/>
      <c r="G1651" s="1648"/>
      <c r="H1651" s="1648"/>
      <c r="I1651" s="1648"/>
      <c r="J1651" s="1648"/>
      <c r="K1651" s="1648"/>
      <c r="L1651" s="1648"/>
      <c r="M1651" s="1648"/>
      <c r="N1651" s="1648"/>
      <c r="O1651" s="1648"/>
    </row>
    <row r="1652" spans="1:15" ht="18" customHeight="1">
      <c r="A1652" s="1511" t="s">
        <v>1826</v>
      </c>
      <c r="B1652" s="1511"/>
      <c r="C1652" s="1511"/>
      <c r="D1652" s="1511"/>
      <c r="E1652" s="1511"/>
      <c r="F1652" s="1511"/>
      <c r="G1652" s="1511"/>
      <c r="H1652" s="1511"/>
      <c r="I1652" s="1511"/>
      <c r="J1652" s="1511"/>
      <c r="K1652" s="1511"/>
      <c r="L1652" s="1511"/>
      <c r="M1652" s="1511"/>
      <c r="N1652" s="1511"/>
      <c r="O1652" s="1511"/>
    </row>
    <row r="1653" spans="1:15">
      <c r="A1653" s="1618"/>
      <c r="B1653" s="1618"/>
      <c r="C1653" s="1618"/>
      <c r="D1653" s="1618"/>
      <c r="E1653" s="1618"/>
      <c r="F1653" s="1618"/>
      <c r="G1653" s="1618"/>
      <c r="H1653" s="1618"/>
      <c r="I1653" s="1618"/>
      <c r="J1653" s="1618"/>
      <c r="K1653" s="1618"/>
      <c r="L1653" s="1618"/>
      <c r="M1653" s="1618"/>
      <c r="N1653" s="1618"/>
      <c r="O1653" s="1618"/>
    </row>
    <row r="1654" spans="1:15">
      <c r="A1654" s="1310" t="s">
        <v>1827</v>
      </c>
      <c r="B1654" s="1310"/>
      <c r="C1654" s="1310"/>
      <c r="D1654" s="1310"/>
      <c r="E1654" s="1310"/>
      <c r="F1654" s="1310"/>
      <c r="G1654" s="1310"/>
      <c r="H1654" s="1310"/>
      <c r="I1654" s="1310"/>
      <c r="J1654" s="1310"/>
      <c r="K1654" s="1310"/>
      <c r="L1654" s="1284"/>
      <c r="M1654" s="1285"/>
      <c r="N1654" s="1285"/>
      <c r="O1654" s="1286"/>
    </row>
    <row r="1655" spans="1:15" ht="12.75" customHeight="1">
      <c r="A1655" s="1433"/>
      <c r="B1655" s="1420" t="s">
        <v>2983</v>
      </c>
      <c r="C1655" s="1420"/>
      <c r="D1655" s="1420"/>
      <c r="E1655" s="1420"/>
      <c r="F1655" s="1420"/>
      <c r="G1655" s="1420"/>
      <c r="H1655" s="1420"/>
      <c r="I1655" s="1420"/>
      <c r="J1655" s="1420"/>
      <c r="K1655" s="1420"/>
      <c r="L1655" s="307" t="s">
        <v>1056</v>
      </c>
      <c r="M1655" s="1214">
        <v>345</v>
      </c>
      <c r="N1655" s="1214"/>
      <c r="O1655" s="1214"/>
    </row>
    <row r="1656" spans="1:15">
      <c r="A1656" s="1434"/>
      <c r="B1656" s="1420" t="s">
        <v>3240</v>
      </c>
      <c r="C1656" s="1421"/>
      <c r="D1656" s="1421"/>
      <c r="E1656" s="1421"/>
      <c r="F1656" s="1421"/>
      <c r="G1656" s="1421"/>
      <c r="H1656" s="1421"/>
      <c r="I1656" s="1421"/>
      <c r="J1656" s="1421"/>
      <c r="K1656" s="1421"/>
      <c r="L1656" s="307" t="s">
        <v>1056</v>
      </c>
      <c r="M1656" s="1214">
        <v>335</v>
      </c>
      <c r="N1656" s="1214"/>
      <c r="O1656" s="1214"/>
    </row>
    <row r="1657" spans="1:15" ht="27.75" customHeight="1">
      <c r="A1657" s="1434"/>
      <c r="B1657" s="1420" t="s">
        <v>3239</v>
      </c>
      <c r="C1657" s="1421"/>
      <c r="D1657" s="1421"/>
      <c r="E1657" s="1421"/>
      <c r="F1657" s="1421"/>
      <c r="G1657" s="1421"/>
      <c r="H1657" s="1421"/>
      <c r="I1657" s="1421"/>
      <c r="J1657" s="1421"/>
      <c r="K1657" s="1421"/>
      <c r="L1657" s="307" t="s">
        <v>1056</v>
      </c>
      <c r="M1657" s="1214">
        <v>325</v>
      </c>
      <c r="N1657" s="1214"/>
      <c r="O1657" s="1214"/>
    </row>
    <row r="1658" spans="1:15" ht="12.75" customHeight="1">
      <c r="A1658" s="1434"/>
      <c r="B1658" s="1421" t="s">
        <v>2986</v>
      </c>
      <c r="C1658" s="1421"/>
      <c r="D1658" s="1421"/>
      <c r="E1658" s="1421"/>
      <c r="F1658" s="1421"/>
      <c r="G1658" s="1421"/>
      <c r="H1658" s="1421"/>
      <c r="I1658" s="1421"/>
      <c r="J1658" s="1421"/>
      <c r="K1658" s="1421"/>
      <c r="L1658" s="307" t="s">
        <v>1056</v>
      </c>
      <c r="M1658" s="1214">
        <v>290</v>
      </c>
      <c r="N1658" s="1214"/>
      <c r="O1658" s="1214"/>
    </row>
    <row r="1659" spans="1:15" ht="12.75" customHeight="1">
      <c r="A1659" s="1434"/>
      <c r="B1659" s="1421" t="s">
        <v>1828</v>
      </c>
      <c r="C1659" s="1421"/>
      <c r="D1659" s="1421"/>
      <c r="E1659" s="1421"/>
      <c r="F1659" s="1421"/>
      <c r="G1659" s="1421"/>
      <c r="H1659" s="1421"/>
      <c r="I1659" s="1421"/>
      <c r="J1659" s="1421"/>
      <c r="K1659" s="1421"/>
      <c r="L1659" s="307"/>
      <c r="M1659" s="1214"/>
      <c r="N1659" s="1214"/>
      <c r="O1659" s="1214"/>
    </row>
    <row r="1660" spans="1:15" ht="12.75" customHeight="1">
      <c r="A1660" s="1434"/>
      <c r="B1660" s="1420" t="s">
        <v>3243</v>
      </c>
      <c r="C1660" s="1421"/>
      <c r="D1660" s="1421"/>
      <c r="E1660" s="1421"/>
      <c r="F1660" s="1421"/>
      <c r="G1660" s="1421"/>
      <c r="H1660" s="1421"/>
      <c r="I1660" s="1421"/>
      <c r="J1660" s="1421"/>
      <c r="K1660" s="1421"/>
      <c r="L1660" s="307" t="s">
        <v>1056</v>
      </c>
      <c r="M1660" s="1214">
        <v>270</v>
      </c>
      <c r="N1660" s="1214"/>
      <c r="O1660" s="1214"/>
    </row>
    <row r="1661" spans="1:15" ht="12.75" customHeight="1">
      <c r="A1661" s="1434"/>
      <c r="B1661" s="1420" t="s">
        <v>3241</v>
      </c>
      <c r="C1661" s="1421"/>
      <c r="D1661" s="1421"/>
      <c r="E1661" s="1421"/>
      <c r="F1661" s="1421"/>
      <c r="G1661" s="1421"/>
      <c r="H1661" s="1421"/>
      <c r="I1661" s="1421"/>
      <c r="J1661" s="1421"/>
      <c r="K1661" s="1421"/>
      <c r="L1661" s="307" t="s">
        <v>1056</v>
      </c>
      <c r="M1661" s="1214">
        <v>230</v>
      </c>
      <c r="N1661" s="1214"/>
      <c r="O1661" s="1214"/>
    </row>
    <row r="1662" spans="1:15" ht="12.75" customHeight="1">
      <c r="A1662" s="1434"/>
      <c r="B1662" s="1420" t="s">
        <v>3242</v>
      </c>
      <c r="C1662" s="1421"/>
      <c r="D1662" s="1421"/>
      <c r="E1662" s="1421"/>
      <c r="F1662" s="1421"/>
      <c r="G1662" s="1421"/>
      <c r="H1662" s="1421"/>
      <c r="I1662" s="1421"/>
      <c r="J1662" s="1421"/>
      <c r="K1662" s="1421"/>
      <c r="L1662" s="307" t="s">
        <v>1056</v>
      </c>
      <c r="M1662" s="1214">
        <v>180</v>
      </c>
      <c r="N1662" s="1214"/>
      <c r="O1662" s="1214"/>
    </row>
    <row r="1663" spans="1:15" ht="12.75" customHeight="1">
      <c r="A1663" s="1435"/>
      <c r="B1663" s="1420" t="s">
        <v>3244</v>
      </c>
      <c r="C1663" s="1421"/>
      <c r="D1663" s="1421"/>
      <c r="E1663" s="1421"/>
      <c r="F1663" s="1421"/>
      <c r="G1663" s="1421"/>
      <c r="H1663" s="1421"/>
      <c r="I1663" s="1421"/>
      <c r="J1663" s="1421"/>
      <c r="K1663" s="1421"/>
      <c r="L1663" s="307" t="s">
        <v>1056</v>
      </c>
      <c r="M1663" s="1214">
        <v>145</v>
      </c>
      <c r="N1663" s="1214"/>
      <c r="O1663" s="1214"/>
    </row>
    <row r="1664" spans="1:15">
      <c r="A1664" s="1619"/>
      <c r="B1664" s="1619"/>
      <c r="C1664" s="1619"/>
      <c r="D1664" s="1619"/>
      <c r="E1664" s="1619"/>
      <c r="F1664" s="1619"/>
      <c r="G1664" s="1619"/>
      <c r="H1664" s="1619"/>
      <c r="I1664" s="1619"/>
      <c r="J1664" s="1619"/>
      <c r="K1664" s="1619"/>
      <c r="L1664" s="1619"/>
      <c r="M1664" s="1619"/>
      <c r="N1664" s="1619"/>
      <c r="O1664" s="1619"/>
    </row>
    <row r="1665" spans="1:15" ht="12.75" customHeight="1">
      <c r="A1665" s="1541" t="s">
        <v>1829</v>
      </c>
      <c r="B1665" s="1541"/>
      <c r="C1665" s="1541"/>
      <c r="D1665" s="1541"/>
      <c r="E1665" s="1541"/>
      <c r="F1665" s="1541"/>
      <c r="G1665" s="1541"/>
      <c r="H1665" s="1541"/>
      <c r="I1665" s="1541"/>
      <c r="J1665" s="1541"/>
      <c r="K1665" s="1541"/>
      <c r="L1665" s="1541"/>
      <c r="M1665" s="1541"/>
      <c r="N1665" s="1541"/>
      <c r="O1665" s="1541"/>
    </row>
    <row r="1666" spans="1:15">
      <c r="A1666" s="1649"/>
      <c r="B1666" s="1649"/>
      <c r="C1666" s="1649"/>
      <c r="D1666" s="1649"/>
      <c r="E1666" s="1649"/>
      <c r="F1666" s="1649"/>
      <c r="G1666" s="1649"/>
      <c r="H1666" s="1649"/>
      <c r="I1666" s="1649"/>
      <c r="J1666" s="1649"/>
      <c r="K1666" s="1649"/>
      <c r="L1666" s="1649"/>
      <c r="M1666" s="1649"/>
      <c r="N1666" s="1649"/>
      <c r="O1666" s="1649"/>
    </row>
    <row r="1667" spans="1:15" ht="12.75" customHeight="1">
      <c r="A1667" s="1653" t="s">
        <v>1830</v>
      </c>
      <c r="B1667" s="1653"/>
      <c r="C1667" s="1653"/>
      <c r="D1667" s="1653"/>
      <c r="E1667" s="1653"/>
      <c r="F1667" s="1653"/>
      <c r="G1667" s="1653"/>
      <c r="H1667" s="1653"/>
      <c r="I1667" s="1653"/>
      <c r="J1667" s="1653"/>
      <c r="K1667" s="1653"/>
      <c r="L1667" s="1653"/>
      <c r="M1667" s="1653"/>
      <c r="N1667" s="1653"/>
      <c r="O1667" s="1653"/>
    </row>
    <row r="1668" spans="1:15" ht="12.75" customHeight="1">
      <c r="A1668" s="648"/>
      <c r="B1668" s="1654" t="s">
        <v>3245</v>
      </c>
      <c r="C1668" s="1654"/>
      <c r="D1668" s="1654"/>
      <c r="E1668" s="1654"/>
      <c r="F1668" s="1654"/>
      <c r="G1668" s="1654"/>
      <c r="H1668" s="1654"/>
      <c r="I1668" s="1654"/>
      <c r="J1668" s="1654"/>
      <c r="K1668" s="1654"/>
      <c r="L1668" s="1650"/>
      <c r="M1668" s="1651"/>
      <c r="N1668" s="1651"/>
      <c r="O1668" s="1652"/>
    </row>
    <row r="1669" spans="1:15" ht="12.75" customHeight="1">
      <c r="A1669" s="648"/>
      <c r="B1669" s="1655" t="s">
        <v>3246</v>
      </c>
      <c r="C1669" s="1655"/>
      <c r="D1669" s="1655"/>
      <c r="E1669" s="1655"/>
      <c r="F1669" s="1655"/>
      <c r="G1669" s="1655"/>
      <c r="H1669" s="1655"/>
      <c r="I1669" s="1655"/>
      <c r="J1669" s="1655"/>
      <c r="K1669" s="1655"/>
      <c r="L1669" s="653" t="s">
        <v>1056</v>
      </c>
      <c r="M1669" s="1458">
        <v>10</v>
      </c>
      <c r="N1669" s="1458"/>
      <c r="O1669" s="1458"/>
    </row>
    <row r="1670" spans="1:15" ht="12.75" customHeight="1">
      <c r="A1670" s="648"/>
      <c r="B1670" s="1655" t="s">
        <v>3247</v>
      </c>
      <c r="C1670" s="1655"/>
      <c r="D1670" s="1655"/>
      <c r="E1670" s="1655"/>
      <c r="F1670" s="1655"/>
      <c r="G1670" s="1655"/>
      <c r="H1670" s="1655"/>
      <c r="I1670" s="1655"/>
      <c r="J1670" s="1655"/>
      <c r="K1670" s="1655"/>
      <c r="L1670" s="653" t="s">
        <v>1056</v>
      </c>
      <c r="M1670" s="1458">
        <v>30</v>
      </c>
      <c r="N1670" s="1458"/>
      <c r="O1670" s="1458"/>
    </row>
    <row r="1671" spans="1:15" ht="12.75" customHeight="1">
      <c r="A1671" s="648"/>
      <c r="B1671" s="1654" t="s">
        <v>3248</v>
      </c>
      <c r="C1671" s="1654"/>
      <c r="D1671" s="1654"/>
      <c r="E1671" s="1654"/>
      <c r="F1671" s="1654"/>
      <c r="G1671" s="1654"/>
      <c r="H1671" s="1654"/>
      <c r="I1671" s="1654"/>
      <c r="J1671" s="1654"/>
      <c r="K1671" s="1654"/>
      <c r="L1671" s="653" t="s">
        <v>1056</v>
      </c>
      <c r="M1671" s="1458">
        <v>20</v>
      </c>
      <c r="N1671" s="1458"/>
      <c r="O1671" s="1458"/>
    </row>
    <row r="1672" spans="1:15">
      <c r="A1672" s="1425"/>
      <c r="B1672" s="1425"/>
      <c r="C1672" s="1425"/>
      <c r="D1672" s="1425"/>
      <c r="E1672" s="1425"/>
      <c r="F1672" s="1425"/>
      <c r="G1672" s="1425"/>
      <c r="H1672" s="1425"/>
      <c r="I1672" s="1425"/>
      <c r="J1672" s="1425"/>
      <c r="K1672" s="1425"/>
      <c r="L1672" s="1425"/>
      <c r="M1672" s="1425"/>
      <c r="N1672" s="1425"/>
      <c r="O1672" s="1425"/>
    </row>
    <row r="1673" spans="1:15" ht="12.75" customHeight="1">
      <c r="A1673" s="1511" t="s">
        <v>1831</v>
      </c>
      <c r="B1673" s="1511"/>
      <c r="C1673" s="1511"/>
      <c r="D1673" s="1511"/>
      <c r="E1673" s="1511"/>
      <c r="F1673" s="1511"/>
      <c r="G1673" s="1511"/>
      <c r="H1673" s="1511"/>
      <c r="I1673" s="1511"/>
      <c r="J1673" s="1511"/>
      <c r="K1673" s="1511"/>
      <c r="L1673" s="1511"/>
      <c r="M1673" s="1511"/>
      <c r="N1673" s="1511"/>
      <c r="O1673" s="1511"/>
    </row>
    <row r="1674" spans="1:15">
      <c r="A1674" s="1425"/>
      <c r="B1674" s="1425"/>
      <c r="C1674" s="1425"/>
      <c r="D1674" s="1425"/>
      <c r="E1674" s="1425"/>
      <c r="F1674" s="1425"/>
      <c r="G1674" s="1425"/>
      <c r="H1674" s="1425"/>
      <c r="I1674" s="1425"/>
      <c r="J1674" s="1425"/>
      <c r="K1674" s="1425"/>
      <c r="L1674" s="1425"/>
      <c r="M1674" s="1425"/>
      <c r="N1674" s="1425"/>
      <c r="O1674" s="1425"/>
    </row>
    <row r="1675" spans="1:15" ht="27" customHeight="1">
      <c r="A1675" s="1309" t="s">
        <v>2987</v>
      </c>
      <c r="B1675" s="1309"/>
      <c r="C1675" s="1309"/>
      <c r="D1675" s="1309"/>
      <c r="E1675" s="1309"/>
      <c r="F1675" s="1309"/>
      <c r="G1675" s="1309"/>
      <c r="H1675" s="1309"/>
      <c r="I1675" s="1309"/>
      <c r="J1675" s="1309"/>
      <c r="K1675" s="1309"/>
      <c r="L1675" s="1214"/>
      <c r="M1675" s="1214"/>
      <c r="N1675" s="1214"/>
      <c r="O1675" s="1214"/>
    </row>
    <row r="1676" spans="1:15" ht="12.75" customHeight="1">
      <c r="A1676" s="1620" t="s">
        <v>3269</v>
      </c>
      <c r="B1676" s="1310" t="s">
        <v>3249</v>
      </c>
      <c r="C1676" s="1310"/>
      <c r="D1676" s="1310"/>
      <c r="E1676" s="1310"/>
      <c r="F1676" s="1310"/>
      <c r="G1676" s="1310"/>
      <c r="H1676" s="1310"/>
      <c r="I1676" s="1310"/>
      <c r="J1676" s="1310"/>
      <c r="K1676" s="1310"/>
      <c r="L1676" s="1214"/>
      <c r="M1676" s="1214"/>
      <c r="N1676" s="1214"/>
      <c r="O1676" s="1214"/>
    </row>
    <row r="1677" spans="1:15" ht="12.75" customHeight="1">
      <c r="A1677" s="1620"/>
      <c r="B1677" s="305" t="s">
        <v>3250</v>
      </c>
      <c r="C1677" s="1373" t="s">
        <v>3266</v>
      </c>
      <c r="D1677" s="1363"/>
      <c r="E1677" s="1363"/>
      <c r="F1677" s="1363"/>
      <c r="G1677" s="1363"/>
      <c r="H1677" s="1363"/>
      <c r="I1677" s="1363"/>
      <c r="J1677" s="1363"/>
      <c r="K1677" s="1363"/>
      <c r="L1677" s="307" t="s">
        <v>1056</v>
      </c>
      <c r="M1677" s="1214"/>
      <c r="N1677" s="1214"/>
      <c r="O1677" s="1214"/>
    </row>
    <row r="1678" spans="1:15" ht="12.75" customHeight="1">
      <c r="A1678" s="1620"/>
      <c r="B1678" s="1620" t="s">
        <v>3251</v>
      </c>
      <c r="C1678" s="1363" t="s">
        <v>3252</v>
      </c>
      <c r="D1678" s="1363"/>
      <c r="E1678" s="1363"/>
      <c r="F1678" s="1363"/>
      <c r="G1678" s="1363"/>
      <c r="H1678" s="1363"/>
      <c r="I1678" s="1363"/>
      <c r="J1678" s="1363"/>
      <c r="K1678" s="1363"/>
      <c r="L1678" s="307"/>
      <c r="M1678" s="1214"/>
      <c r="N1678" s="1214"/>
      <c r="O1678" s="1214"/>
    </row>
    <row r="1679" spans="1:15" ht="12.75" customHeight="1">
      <c r="A1679" s="1620"/>
      <c r="B1679" s="1620"/>
      <c r="C1679" s="1420" t="s">
        <v>3270</v>
      </c>
      <c r="D1679" s="1421"/>
      <c r="E1679" s="1421"/>
      <c r="F1679" s="1421"/>
      <c r="G1679" s="1421"/>
      <c r="H1679" s="1421"/>
      <c r="I1679" s="1421"/>
      <c r="J1679" s="1421"/>
      <c r="K1679" s="1421"/>
      <c r="L1679" s="307" t="s">
        <v>1056</v>
      </c>
      <c r="M1679" s="1214">
        <v>175</v>
      </c>
      <c r="N1679" s="1214"/>
      <c r="O1679" s="1214"/>
    </row>
    <row r="1680" spans="1:15" ht="12.75" customHeight="1">
      <c r="A1680" s="1620"/>
      <c r="B1680" s="1620"/>
      <c r="C1680" s="1420" t="s">
        <v>3271</v>
      </c>
      <c r="D1680" s="1421"/>
      <c r="E1680" s="1421"/>
      <c r="F1680" s="1421"/>
      <c r="G1680" s="1421"/>
      <c r="H1680" s="1421"/>
      <c r="I1680" s="1421"/>
      <c r="J1680" s="1421"/>
      <c r="K1680" s="1421"/>
      <c r="L1680" s="307" t="s">
        <v>1056</v>
      </c>
      <c r="M1680" s="1214">
        <v>155</v>
      </c>
      <c r="N1680" s="1214"/>
      <c r="O1680" s="1214"/>
    </row>
    <row r="1681" spans="1:15" ht="12.75" customHeight="1">
      <c r="A1681" s="1620"/>
      <c r="B1681" s="1620"/>
      <c r="C1681" s="1420" t="s">
        <v>3273</v>
      </c>
      <c r="D1681" s="1421"/>
      <c r="E1681" s="1421"/>
      <c r="F1681" s="1421"/>
      <c r="G1681" s="1421"/>
      <c r="H1681" s="1421"/>
      <c r="I1681" s="1421"/>
      <c r="J1681" s="1421"/>
      <c r="K1681" s="1421"/>
      <c r="L1681" s="307" t="s">
        <v>1056</v>
      </c>
      <c r="M1681" s="1214">
        <v>130</v>
      </c>
      <c r="N1681" s="1214"/>
      <c r="O1681" s="1214"/>
    </row>
    <row r="1682" spans="1:15" ht="12.75" customHeight="1">
      <c r="A1682" s="1620"/>
      <c r="B1682" s="1620"/>
      <c r="C1682" s="1420" t="s">
        <v>3272</v>
      </c>
      <c r="D1682" s="1421"/>
      <c r="E1682" s="1421"/>
      <c r="F1682" s="1421"/>
      <c r="G1682" s="1421"/>
      <c r="H1682" s="1421"/>
      <c r="I1682" s="1421"/>
      <c r="J1682" s="1421"/>
      <c r="K1682" s="1421"/>
      <c r="L1682" s="307" t="s">
        <v>1056</v>
      </c>
      <c r="M1682" s="1214">
        <v>120</v>
      </c>
      <c r="N1682" s="1214"/>
      <c r="O1682" s="1214"/>
    </row>
    <row r="1683" spans="1:15" ht="12.75" customHeight="1">
      <c r="A1683" s="1620"/>
      <c r="B1683" s="1620"/>
      <c r="C1683" s="1420" t="s">
        <v>3274</v>
      </c>
      <c r="D1683" s="1421"/>
      <c r="E1683" s="1421"/>
      <c r="F1683" s="1421"/>
      <c r="G1683" s="1421"/>
      <c r="H1683" s="1421"/>
      <c r="I1683" s="1421"/>
      <c r="J1683" s="1421"/>
      <c r="K1683" s="1421"/>
      <c r="L1683" s="307" t="s">
        <v>1056</v>
      </c>
      <c r="M1683" s="1214">
        <v>110</v>
      </c>
      <c r="N1683" s="1214"/>
      <c r="O1683" s="1214"/>
    </row>
    <row r="1684" spans="1:15" ht="12.75" customHeight="1">
      <c r="A1684" s="1620"/>
      <c r="B1684" s="1620"/>
      <c r="C1684" s="1420" t="s">
        <v>3275</v>
      </c>
      <c r="D1684" s="1421"/>
      <c r="E1684" s="1421"/>
      <c r="F1684" s="1421"/>
      <c r="G1684" s="1421"/>
      <c r="H1684" s="1421"/>
      <c r="I1684" s="1421"/>
      <c r="J1684" s="1421"/>
      <c r="K1684" s="1421"/>
      <c r="L1684" s="307" t="s">
        <v>1056</v>
      </c>
      <c r="M1684" s="1214">
        <v>70</v>
      </c>
      <c r="N1684" s="1214"/>
      <c r="O1684" s="1214"/>
    </row>
    <row r="1685" spans="1:15" ht="12.75" customHeight="1">
      <c r="A1685" s="1620"/>
      <c r="B1685" s="1620" t="s">
        <v>3253</v>
      </c>
      <c r="C1685" s="1363" t="s">
        <v>3254</v>
      </c>
      <c r="D1685" s="1363"/>
      <c r="E1685" s="1363"/>
      <c r="F1685" s="1363"/>
      <c r="G1685" s="1363"/>
      <c r="H1685" s="1363"/>
      <c r="I1685" s="1363"/>
      <c r="J1685" s="1363"/>
      <c r="K1685" s="1363"/>
      <c r="L1685" s="307"/>
      <c r="M1685" s="1214"/>
      <c r="N1685" s="1214"/>
      <c r="O1685" s="1214"/>
    </row>
    <row r="1686" spans="1:15" ht="12.75" customHeight="1">
      <c r="A1686" s="1620"/>
      <c r="B1686" s="1620"/>
      <c r="C1686" s="1420" t="s">
        <v>3270</v>
      </c>
      <c r="D1686" s="1421"/>
      <c r="E1686" s="1421"/>
      <c r="F1686" s="1421"/>
      <c r="G1686" s="1421"/>
      <c r="H1686" s="1421"/>
      <c r="I1686" s="1421"/>
      <c r="J1686" s="1421"/>
      <c r="K1686" s="1421"/>
      <c r="L1686" s="307" t="s">
        <v>1056</v>
      </c>
      <c r="M1686" s="1214">
        <v>165</v>
      </c>
      <c r="N1686" s="1214"/>
      <c r="O1686" s="1214"/>
    </row>
    <row r="1687" spans="1:15" ht="12.75" customHeight="1">
      <c r="A1687" s="1620"/>
      <c r="B1687" s="1620"/>
      <c r="C1687" s="1420" t="s">
        <v>3271</v>
      </c>
      <c r="D1687" s="1421"/>
      <c r="E1687" s="1421"/>
      <c r="F1687" s="1421"/>
      <c r="G1687" s="1421"/>
      <c r="H1687" s="1421"/>
      <c r="I1687" s="1421"/>
      <c r="J1687" s="1421"/>
      <c r="K1687" s="1421"/>
      <c r="L1687" s="307" t="s">
        <v>1056</v>
      </c>
      <c r="M1687" s="1214">
        <v>145</v>
      </c>
      <c r="N1687" s="1214"/>
      <c r="O1687" s="1214"/>
    </row>
    <row r="1688" spans="1:15" ht="12.75" customHeight="1">
      <c r="A1688" s="1620"/>
      <c r="B1688" s="1620"/>
      <c r="C1688" s="1420" t="s">
        <v>3273</v>
      </c>
      <c r="D1688" s="1421"/>
      <c r="E1688" s="1421"/>
      <c r="F1688" s="1421"/>
      <c r="G1688" s="1421"/>
      <c r="H1688" s="1421"/>
      <c r="I1688" s="1421"/>
      <c r="J1688" s="1421"/>
      <c r="K1688" s="1421"/>
      <c r="L1688" s="307" t="s">
        <v>1056</v>
      </c>
      <c r="M1688" s="1214">
        <v>125</v>
      </c>
      <c r="N1688" s="1214"/>
      <c r="O1688" s="1214"/>
    </row>
    <row r="1689" spans="1:15" ht="12.75" customHeight="1">
      <c r="A1689" s="1620"/>
      <c r="B1689" s="1620"/>
      <c r="C1689" s="1420" t="s">
        <v>3272</v>
      </c>
      <c r="D1689" s="1421"/>
      <c r="E1689" s="1421"/>
      <c r="F1689" s="1421"/>
      <c r="G1689" s="1421"/>
      <c r="H1689" s="1421"/>
      <c r="I1689" s="1421"/>
      <c r="J1689" s="1421"/>
      <c r="K1689" s="1421"/>
      <c r="L1689" s="307" t="s">
        <v>1056</v>
      </c>
      <c r="M1689" s="1214">
        <v>115</v>
      </c>
      <c r="N1689" s="1214"/>
      <c r="O1689" s="1214"/>
    </row>
    <row r="1690" spans="1:15" ht="12.75" customHeight="1">
      <c r="A1690" s="1620"/>
      <c r="B1690" s="1620"/>
      <c r="C1690" s="1420" t="s">
        <v>3274</v>
      </c>
      <c r="D1690" s="1421"/>
      <c r="E1690" s="1421"/>
      <c r="F1690" s="1421"/>
      <c r="G1690" s="1421"/>
      <c r="H1690" s="1421"/>
      <c r="I1690" s="1421"/>
      <c r="J1690" s="1421"/>
      <c r="K1690" s="1421"/>
      <c r="L1690" s="307" t="s">
        <v>1056</v>
      </c>
      <c r="M1690" s="1214">
        <v>105</v>
      </c>
      <c r="N1690" s="1214"/>
      <c r="O1690" s="1214"/>
    </row>
    <row r="1691" spans="1:15" ht="12.75" customHeight="1">
      <c r="A1691" s="1620"/>
      <c r="B1691" s="1620"/>
      <c r="C1691" s="1420" t="s">
        <v>3276</v>
      </c>
      <c r="D1691" s="1421"/>
      <c r="E1691" s="1421"/>
      <c r="F1691" s="1421"/>
      <c r="G1691" s="1421"/>
      <c r="H1691" s="1421"/>
      <c r="I1691" s="1421"/>
      <c r="J1691" s="1421"/>
      <c r="K1691" s="1421"/>
      <c r="L1691" s="307" t="s">
        <v>1056</v>
      </c>
      <c r="M1691" s="1214">
        <v>65</v>
      </c>
      <c r="N1691" s="1214"/>
      <c r="O1691" s="1214"/>
    </row>
    <row r="1692" spans="1:15">
      <c r="A1692" s="1620"/>
      <c r="B1692" s="305" t="s">
        <v>3255</v>
      </c>
      <c r="C1692" s="1363" t="s">
        <v>3256</v>
      </c>
      <c r="D1692" s="1363"/>
      <c r="E1692" s="1363"/>
      <c r="F1692" s="1363"/>
      <c r="G1692" s="1363"/>
      <c r="H1692" s="1363"/>
      <c r="I1692" s="1363"/>
      <c r="J1692" s="1363"/>
      <c r="K1692" s="1363"/>
      <c r="L1692" s="307" t="s">
        <v>1056</v>
      </c>
      <c r="M1692" s="1214"/>
      <c r="N1692" s="1214"/>
      <c r="O1692" s="1214"/>
    </row>
    <row r="1693" spans="1:15">
      <c r="A1693" s="1620"/>
      <c r="B1693" s="1620" t="s">
        <v>3257</v>
      </c>
      <c r="C1693" s="1363" t="s">
        <v>3258</v>
      </c>
      <c r="D1693" s="1363"/>
      <c r="E1693" s="1363"/>
      <c r="F1693" s="1363"/>
      <c r="G1693" s="1363"/>
      <c r="H1693" s="1363"/>
      <c r="I1693" s="1363"/>
      <c r="J1693" s="1363"/>
      <c r="K1693" s="1363"/>
      <c r="L1693" s="307"/>
      <c r="M1693" s="1214"/>
      <c r="N1693" s="1214"/>
      <c r="O1693" s="1214"/>
    </row>
    <row r="1694" spans="1:15" ht="12.75" customHeight="1">
      <c r="A1694" s="1620"/>
      <c r="B1694" s="1620"/>
      <c r="C1694" s="1373" t="s">
        <v>3277</v>
      </c>
      <c r="D1694" s="1373"/>
      <c r="E1694" s="1373"/>
      <c r="F1694" s="1373"/>
      <c r="G1694" s="1373"/>
      <c r="H1694" s="1373"/>
      <c r="I1694" s="1373"/>
      <c r="J1694" s="1373"/>
      <c r="K1694" s="1373"/>
      <c r="L1694" s="307"/>
      <c r="M1694" s="1214"/>
      <c r="N1694" s="1214"/>
      <c r="O1694" s="1214"/>
    </row>
    <row r="1695" spans="1:15" ht="12.75" customHeight="1">
      <c r="A1695" s="1620"/>
      <c r="B1695" s="1620"/>
      <c r="C1695" s="1420" t="s">
        <v>3278</v>
      </c>
      <c r="D1695" s="1421"/>
      <c r="E1695" s="1421"/>
      <c r="F1695" s="1421"/>
      <c r="G1695" s="1421"/>
      <c r="H1695" s="1421"/>
      <c r="I1695" s="1421"/>
      <c r="J1695" s="1421"/>
      <c r="K1695" s="1421"/>
      <c r="L1695" s="307" t="s">
        <v>1056</v>
      </c>
      <c r="M1695" s="1214">
        <v>100</v>
      </c>
      <c r="N1695" s="1214"/>
      <c r="O1695" s="1214"/>
    </row>
    <row r="1696" spans="1:15" ht="12.75" customHeight="1">
      <c r="A1696" s="1620"/>
      <c r="B1696" s="1620"/>
      <c r="C1696" s="1420" t="s">
        <v>3272</v>
      </c>
      <c r="D1696" s="1421"/>
      <c r="E1696" s="1421"/>
      <c r="F1696" s="1421"/>
      <c r="G1696" s="1421"/>
      <c r="H1696" s="1421"/>
      <c r="I1696" s="1421"/>
      <c r="J1696" s="1421"/>
      <c r="K1696" s="1421"/>
      <c r="L1696" s="307" t="s">
        <v>1056</v>
      </c>
      <c r="M1696" s="1214">
        <v>75</v>
      </c>
      <c r="N1696" s="1214"/>
      <c r="O1696" s="1214"/>
    </row>
    <row r="1697" spans="1:15" ht="12.75" customHeight="1">
      <c r="A1697" s="1620"/>
      <c r="B1697" s="1620"/>
      <c r="C1697" s="1420" t="s">
        <v>3279</v>
      </c>
      <c r="D1697" s="1421"/>
      <c r="E1697" s="1421"/>
      <c r="F1697" s="1421"/>
      <c r="G1697" s="1421"/>
      <c r="H1697" s="1421"/>
      <c r="I1697" s="1421"/>
      <c r="J1697" s="1421"/>
      <c r="K1697" s="1421"/>
      <c r="L1697" s="307" t="s">
        <v>1056</v>
      </c>
      <c r="M1697" s="1214">
        <v>56</v>
      </c>
      <c r="N1697" s="1214"/>
      <c r="O1697" s="1214"/>
    </row>
    <row r="1698" spans="1:15" ht="12.75" customHeight="1">
      <c r="A1698" s="1620"/>
      <c r="B1698" s="1620"/>
      <c r="C1698" s="1420" t="s">
        <v>3275</v>
      </c>
      <c r="D1698" s="1421"/>
      <c r="E1698" s="1421"/>
      <c r="F1698" s="1421"/>
      <c r="G1698" s="1421"/>
      <c r="H1698" s="1421"/>
      <c r="I1698" s="1421"/>
      <c r="J1698" s="1421"/>
      <c r="K1698" s="1421"/>
      <c r="L1698" s="307" t="s">
        <v>1056</v>
      </c>
      <c r="M1698" s="1214">
        <v>54</v>
      </c>
      <c r="N1698" s="1214"/>
      <c r="O1698" s="1214"/>
    </row>
    <row r="1699" spans="1:15" ht="12.75" customHeight="1">
      <c r="A1699" s="1620"/>
      <c r="B1699" s="1620" t="s">
        <v>3259</v>
      </c>
      <c r="C1699" s="1363" t="s">
        <v>3260</v>
      </c>
      <c r="D1699" s="1363"/>
      <c r="E1699" s="1363"/>
      <c r="F1699" s="1363"/>
      <c r="G1699" s="1363"/>
      <c r="H1699" s="1363"/>
      <c r="I1699" s="1363"/>
      <c r="J1699" s="1363"/>
      <c r="K1699" s="1363"/>
      <c r="L1699" s="307"/>
      <c r="M1699" s="1214"/>
      <c r="N1699" s="1214"/>
      <c r="O1699" s="1214"/>
    </row>
    <row r="1700" spans="1:15" ht="12.75" customHeight="1">
      <c r="A1700" s="1620"/>
      <c r="B1700" s="1620"/>
      <c r="C1700" s="1420" t="s">
        <v>3280</v>
      </c>
      <c r="D1700" s="1421"/>
      <c r="E1700" s="1421"/>
      <c r="F1700" s="1421"/>
      <c r="G1700" s="1421"/>
      <c r="H1700" s="1421"/>
      <c r="I1700" s="1421"/>
      <c r="J1700" s="1421"/>
      <c r="K1700" s="1421"/>
      <c r="L1700" s="307" t="s">
        <v>1056</v>
      </c>
      <c r="M1700" s="1214">
        <v>100</v>
      </c>
      <c r="N1700" s="1214"/>
      <c r="O1700" s="1214"/>
    </row>
    <row r="1701" spans="1:15" ht="12.75" customHeight="1">
      <c r="A1701" s="1620"/>
      <c r="B1701" s="1620"/>
      <c r="C1701" s="1420" t="s">
        <v>3281</v>
      </c>
      <c r="D1701" s="1421"/>
      <c r="E1701" s="1421"/>
      <c r="F1701" s="1421"/>
      <c r="G1701" s="1421"/>
      <c r="H1701" s="1421"/>
      <c r="I1701" s="1421"/>
      <c r="J1701" s="1421"/>
      <c r="K1701" s="1421"/>
      <c r="L1701" s="307" t="s">
        <v>1056</v>
      </c>
      <c r="M1701" s="1214">
        <v>75</v>
      </c>
      <c r="N1701" s="1214"/>
      <c r="O1701" s="1214"/>
    </row>
    <row r="1702" spans="1:15" ht="12.75" customHeight="1">
      <c r="A1702" s="1620"/>
      <c r="B1702" s="1620"/>
      <c r="C1702" s="1420" t="s">
        <v>3279</v>
      </c>
      <c r="D1702" s="1421"/>
      <c r="E1702" s="1421"/>
      <c r="F1702" s="1421"/>
      <c r="G1702" s="1421"/>
      <c r="H1702" s="1421"/>
      <c r="I1702" s="1421"/>
      <c r="J1702" s="1421"/>
      <c r="K1702" s="1421"/>
      <c r="L1702" s="307" t="s">
        <v>1056</v>
      </c>
      <c r="M1702" s="1214">
        <v>66</v>
      </c>
      <c r="N1702" s="1214"/>
      <c r="O1702" s="1214"/>
    </row>
    <row r="1703" spans="1:15" ht="12.75" customHeight="1">
      <c r="A1703" s="1620"/>
      <c r="B1703" s="1620"/>
      <c r="C1703" s="1420" t="s">
        <v>3275</v>
      </c>
      <c r="D1703" s="1421"/>
      <c r="E1703" s="1421"/>
      <c r="F1703" s="1421"/>
      <c r="G1703" s="1421"/>
      <c r="H1703" s="1421"/>
      <c r="I1703" s="1421"/>
      <c r="J1703" s="1421"/>
      <c r="K1703" s="1421"/>
      <c r="L1703" s="307" t="s">
        <v>1056</v>
      </c>
      <c r="M1703" s="1214">
        <v>64</v>
      </c>
      <c r="N1703" s="1214"/>
      <c r="O1703" s="1214"/>
    </row>
    <row r="1704" spans="1:15" ht="12.75" customHeight="1">
      <c r="A1704" s="1620"/>
      <c r="B1704" s="1620" t="s">
        <v>3261</v>
      </c>
      <c r="C1704" s="1363" t="s">
        <v>3262</v>
      </c>
      <c r="D1704" s="1363"/>
      <c r="E1704" s="1363"/>
      <c r="F1704" s="1363"/>
      <c r="G1704" s="1363"/>
      <c r="H1704" s="1363"/>
      <c r="I1704" s="1363"/>
      <c r="J1704" s="1363"/>
      <c r="K1704" s="1363"/>
      <c r="L1704" s="307"/>
      <c r="M1704" s="1214"/>
      <c r="N1704" s="1214"/>
      <c r="O1704" s="1214"/>
    </row>
    <row r="1705" spans="1:15" ht="12.75" customHeight="1">
      <c r="A1705" s="1620"/>
      <c r="B1705" s="1620"/>
      <c r="C1705" s="1420" t="s">
        <v>3280</v>
      </c>
      <c r="D1705" s="1421"/>
      <c r="E1705" s="1421"/>
      <c r="F1705" s="1421"/>
      <c r="G1705" s="1421"/>
      <c r="H1705" s="1421"/>
      <c r="I1705" s="1421"/>
      <c r="J1705" s="1421"/>
      <c r="K1705" s="1421"/>
      <c r="L1705" s="307" t="s">
        <v>1056</v>
      </c>
      <c r="M1705" s="1214">
        <v>100</v>
      </c>
      <c r="N1705" s="1214"/>
      <c r="O1705" s="1214"/>
    </row>
    <row r="1706" spans="1:15" ht="12.75" customHeight="1">
      <c r="A1706" s="1620"/>
      <c r="B1706" s="1620"/>
      <c r="C1706" s="1420" t="s">
        <v>3281</v>
      </c>
      <c r="D1706" s="1421"/>
      <c r="E1706" s="1421"/>
      <c r="F1706" s="1421"/>
      <c r="G1706" s="1421"/>
      <c r="H1706" s="1421"/>
      <c r="I1706" s="1421"/>
      <c r="J1706" s="1421"/>
      <c r="K1706" s="1421"/>
      <c r="L1706" s="307" t="s">
        <v>1056</v>
      </c>
      <c r="M1706" s="1214">
        <v>58</v>
      </c>
      <c r="N1706" s="1214"/>
      <c r="O1706" s="1214"/>
    </row>
    <row r="1707" spans="1:15" ht="12.75" customHeight="1">
      <c r="A1707" s="1620"/>
      <c r="B1707" s="1620"/>
      <c r="C1707" s="1420" t="s">
        <v>3279</v>
      </c>
      <c r="D1707" s="1421"/>
      <c r="E1707" s="1421"/>
      <c r="F1707" s="1421"/>
      <c r="G1707" s="1421"/>
      <c r="H1707" s="1421"/>
      <c r="I1707" s="1421"/>
      <c r="J1707" s="1421"/>
      <c r="K1707" s="1421"/>
      <c r="L1707" s="307" t="s">
        <v>1056</v>
      </c>
      <c r="M1707" s="1214">
        <v>56</v>
      </c>
      <c r="N1707" s="1214"/>
      <c r="O1707" s="1214"/>
    </row>
    <row r="1708" spans="1:15" ht="12.75" customHeight="1">
      <c r="A1708" s="1620"/>
      <c r="B1708" s="1620"/>
      <c r="C1708" s="1420" t="s">
        <v>3275</v>
      </c>
      <c r="D1708" s="1421"/>
      <c r="E1708" s="1421"/>
      <c r="F1708" s="1421"/>
      <c r="G1708" s="1421"/>
      <c r="H1708" s="1421"/>
      <c r="I1708" s="1421"/>
      <c r="J1708" s="1421"/>
      <c r="K1708" s="1421"/>
      <c r="L1708" s="307" t="s">
        <v>1056</v>
      </c>
      <c r="M1708" s="1214">
        <v>54</v>
      </c>
      <c r="N1708" s="1214"/>
      <c r="O1708" s="1214"/>
    </row>
    <row r="1709" spans="1:15" ht="25.5" customHeight="1">
      <c r="A1709" s="1620" t="s">
        <v>3267</v>
      </c>
      <c r="B1709" s="1310" t="s">
        <v>3263</v>
      </c>
      <c r="C1709" s="1310"/>
      <c r="D1709" s="1310"/>
      <c r="E1709" s="1310"/>
      <c r="F1709" s="1310"/>
      <c r="G1709" s="1310"/>
      <c r="H1709" s="1310"/>
      <c r="I1709" s="1310"/>
      <c r="J1709" s="1310"/>
      <c r="K1709" s="1310"/>
      <c r="L1709" s="307"/>
      <c r="M1709" s="1214"/>
      <c r="N1709" s="1214"/>
      <c r="O1709" s="1214"/>
    </row>
    <row r="1710" spans="1:15" ht="12.75" customHeight="1">
      <c r="A1710" s="1620"/>
      <c r="B1710" s="1214"/>
      <c r="C1710" s="1420" t="s">
        <v>3282</v>
      </c>
      <c r="D1710" s="1421"/>
      <c r="E1710" s="1421"/>
      <c r="F1710" s="1421"/>
      <c r="G1710" s="1421"/>
      <c r="H1710" s="1421"/>
      <c r="I1710" s="1421"/>
      <c r="J1710" s="1421"/>
      <c r="K1710" s="1421"/>
      <c r="L1710" s="307" t="s">
        <v>1056</v>
      </c>
      <c r="M1710" s="1214">
        <v>22</v>
      </c>
      <c r="N1710" s="1214"/>
      <c r="O1710" s="1214"/>
    </row>
    <row r="1711" spans="1:15" ht="12.75" customHeight="1">
      <c r="A1711" s="1620"/>
      <c r="B1711" s="1214"/>
      <c r="C1711" s="1420" t="s">
        <v>3279</v>
      </c>
      <c r="D1711" s="1421"/>
      <c r="E1711" s="1421"/>
      <c r="F1711" s="1421"/>
      <c r="G1711" s="1421"/>
      <c r="H1711" s="1421"/>
      <c r="I1711" s="1421"/>
      <c r="J1711" s="1421"/>
      <c r="K1711" s="1421"/>
      <c r="L1711" s="307" t="s">
        <v>1056</v>
      </c>
      <c r="M1711" s="1214">
        <v>20</v>
      </c>
      <c r="N1711" s="1214"/>
      <c r="O1711" s="1214"/>
    </row>
    <row r="1712" spans="1:15" ht="12.75" customHeight="1">
      <c r="A1712" s="1620"/>
      <c r="B1712" s="1214"/>
      <c r="C1712" s="1420" t="s">
        <v>3275</v>
      </c>
      <c r="D1712" s="1421"/>
      <c r="E1712" s="1421"/>
      <c r="F1712" s="1421"/>
      <c r="G1712" s="1421"/>
      <c r="H1712" s="1421"/>
      <c r="I1712" s="1421"/>
      <c r="J1712" s="1421"/>
      <c r="K1712" s="1421"/>
      <c r="L1712" s="307" t="s">
        <v>1056</v>
      </c>
      <c r="M1712" s="1214">
        <v>15</v>
      </c>
      <c r="N1712" s="1214"/>
      <c r="O1712" s="1214"/>
    </row>
    <row r="1713" spans="1:15" ht="40.5" customHeight="1">
      <c r="A1713" s="1620" t="s">
        <v>3268</v>
      </c>
      <c r="B1713" s="1310" t="s">
        <v>3264</v>
      </c>
      <c r="C1713" s="1310"/>
      <c r="D1713" s="1310"/>
      <c r="E1713" s="1310"/>
      <c r="F1713" s="1310"/>
      <c r="G1713" s="1310"/>
      <c r="H1713" s="1310"/>
      <c r="I1713" s="1310"/>
      <c r="J1713" s="1310"/>
      <c r="K1713" s="1310"/>
      <c r="L1713" s="307"/>
      <c r="M1713" s="1214"/>
      <c r="N1713" s="1214"/>
      <c r="O1713" s="1214"/>
    </row>
    <row r="1714" spans="1:15" ht="12.75" customHeight="1">
      <c r="A1714" s="1620"/>
      <c r="B1714" s="1214"/>
      <c r="C1714" s="1420" t="s">
        <v>3283</v>
      </c>
      <c r="D1714" s="1421"/>
      <c r="E1714" s="1421"/>
      <c r="F1714" s="1421"/>
      <c r="G1714" s="1421"/>
      <c r="H1714" s="1421"/>
      <c r="I1714" s="1421"/>
      <c r="J1714" s="1421"/>
      <c r="K1714" s="1421"/>
      <c r="L1714" s="307" t="s">
        <v>1056</v>
      </c>
      <c r="M1714" s="1214">
        <v>56</v>
      </c>
      <c r="N1714" s="1214"/>
      <c r="O1714" s="1214"/>
    </row>
    <row r="1715" spans="1:15" ht="12.75" customHeight="1">
      <c r="A1715" s="1620"/>
      <c r="B1715" s="1214"/>
      <c r="C1715" s="1420" t="s">
        <v>3279</v>
      </c>
      <c r="D1715" s="1421"/>
      <c r="E1715" s="1421"/>
      <c r="F1715" s="1421"/>
      <c r="G1715" s="1421"/>
      <c r="H1715" s="1421"/>
      <c r="I1715" s="1421"/>
      <c r="J1715" s="1421"/>
      <c r="K1715" s="1421"/>
      <c r="L1715" s="307" t="s">
        <v>1056</v>
      </c>
      <c r="M1715" s="1214">
        <v>55</v>
      </c>
      <c r="N1715" s="1214"/>
      <c r="O1715" s="1214"/>
    </row>
    <row r="1716" spans="1:15" ht="12.75" customHeight="1">
      <c r="A1716" s="1620"/>
      <c r="B1716" s="1214"/>
      <c r="C1716" s="1420" t="s">
        <v>3275</v>
      </c>
      <c r="D1716" s="1421"/>
      <c r="E1716" s="1421"/>
      <c r="F1716" s="1421"/>
      <c r="G1716" s="1421"/>
      <c r="H1716" s="1421"/>
      <c r="I1716" s="1421"/>
      <c r="J1716" s="1421"/>
      <c r="K1716" s="1421"/>
      <c r="L1716" s="307" t="s">
        <v>1056</v>
      </c>
      <c r="M1716" s="1214">
        <v>53</v>
      </c>
      <c r="N1716" s="1214"/>
      <c r="O1716" s="1214"/>
    </row>
    <row r="1717" spans="1:15">
      <c r="A1717" s="1620" t="s">
        <v>3200</v>
      </c>
      <c r="B1717" s="1336" t="s">
        <v>3265</v>
      </c>
      <c r="C1717" s="1336"/>
      <c r="D1717" s="1336"/>
      <c r="E1717" s="1336"/>
      <c r="F1717" s="1336"/>
      <c r="G1717" s="1336"/>
      <c r="H1717" s="1336"/>
      <c r="I1717" s="1336"/>
      <c r="J1717" s="1336"/>
      <c r="K1717" s="1336"/>
      <c r="L1717" s="1284"/>
      <c r="M1717" s="1285"/>
      <c r="N1717" s="1285"/>
      <c r="O1717" s="1286"/>
    </row>
    <row r="1718" spans="1:15" ht="42" customHeight="1">
      <c r="A1718" s="1620"/>
      <c r="B1718" s="504"/>
      <c r="C1718" s="1422" t="s">
        <v>3284</v>
      </c>
      <c r="D1718" s="1422"/>
      <c r="E1718" s="1422"/>
      <c r="F1718" s="1422"/>
      <c r="G1718" s="1422"/>
      <c r="H1718" s="1422"/>
      <c r="I1718" s="1422"/>
      <c r="J1718" s="1422"/>
      <c r="K1718" s="1422"/>
      <c r="L1718" s="1422"/>
      <c r="M1718" s="1422"/>
      <c r="N1718" s="1422"/>
      <c r="O1718" s="1422"/>
    </row>
    <row r="1719" spans="1:15" ht="50.25" customHeight="1">
      <c r="A1719" s="1620"/>
      <c r="B1719" s="504"/>
      <c r="C1719" s="1420" t="s">
        <v>3285</v>
      </c>
      <c r="D1719" s="1420"/>
      <c r="E1719" s="1420"/>
      <c r="F1719" s="1420"/>
      <c r="G1719" s="1420"/>
      <c r="H1719" s="1420"/>
      <c r="I1719" s="1420"/>
      <c r="J1719" s="1420"/>
      <c r="K1719" s="1420"/>
      <c r="L1719" s="1420"/>
      <c r="M1719" s="1420"/>
      <c r="N1719" s="1420"/>
      <c r="O1719" s="1420"/>
    </row>
    <row r="1720" spans="1:15" ht="12.75" customHeight="1">
      <c r="A1720" s="1620"/>
      <c r="B1720" s="1629" t="s">
        <v>1832</v>
      </c>
      <c r="C1720" s="1630"/>
      <c r="D1720" s="1630"/>
      <c r="E1720" s="1630"/>
      <c r="F1720" s="1630"/>
      <c r="G1720" s="1630"/>
      <c r="H1720" s="1630"/>
      <c r="I1720" s="1630"/>
      <c r="J1720" s="1630"/>
      <c r="K1720" s="1630"/>
      <c r="L1720" s="1630"/>
      <c r="M1720" s="1630"/>
      <c r="N1720" s="1630"/>
      <c r="O1720" s="1631"/>
    </row>
    <row r="1721" spans="1:15">
      <c r="A1721" s="1619"/>
      <c r="B1721" s="1619"/>
      <c r="C1721" s="1619"/>
      <c r="D1721" s="1619"/>
      <c r="E1721" s="1619"/>
      <c r="F1721" s="1619"/>
      <c r="G1721" s="1619"/>
      <c r="H1721" s="1619"/>
      <c r="I1721" s="1619"/>
      <c r="J1721" s="1619"/>
      <c r="K1721" s="1619"/>
      <c r="L1721" s="1619"/>
      <c r="M1721" s="1619"/>
      <c r="N1721" s="1619"/>
      <c r="O1721" s="1619"/>
    </row>
    <row r="1722" spans="1:15" ht="34.5" customHeight="1">
      <c r="A1722" s="1490" t="s">
        <v>2988</v>
      </c>
      <c r="B1722" s="1490"/>
      <c r="C1722" s="1490"/>
      <c r="D1722" s="1490"/>
      <c r="E1722" s="1490"/>
      <c r="F1722" s="1490"/>
      <c r="G1722" s="1490"/>
      <c r="H1722" s="1490"/>
      <c r="I1722" s="1490"/>
      <c r="J1722" s="1490"/>
      <c r="K1722" s="1490"/>
      <c r="L1722" s="1490"/>
      <c r="M1722" s="1490"/>
      <c r="N1722" s="1490"/>
      <c r="O1722" s="1490"/>
    </row>
    <row r="1723" spans="1:15">
      <c r="A1723" s="1425"/>
      <c r="B1723" s="1425"/>
      <c r="C1723" s="1425"/>
      <c r="D1723" s="1425"/>
      <c r="E1723" s="1425"/>
      <c r="F1723" s="1425"/>
      <c r="G1723" s="1425"/>
      <c r="H1723" s="1425"/>
      <c r="I1723" s="1425"/>
      <c r="J1723" s="1425"/>
      <c r="K1723" s="1425"/>
      <c r="L1723" s="1425"/>
      <c r="M1723" s="1425"/>
      <c r="N1723" s="1425"/>
      <c r="O1723" s="1425"/>
    </row>
    <row r="1724" spans="1:15" ht="12.75" customHeight="1">
      <c r="A1724" s="1426"/>
      <c r="B1724" s="1656" t="s">
        <v>3237</v>
      </c>
      <c r="C1724" s="1503" t="s">
        <v>3286</v>
      </c>
      <c r="D1724" s="1503"/>
      <c r="E1724" s="1503"/>
      <c r="F1724" s="1503"/>
      <c r="G1724" s="1503"/>
      <c r="H1724" s="1503"/>
      <c r="I1724" s="1503"/>
      <c r="J1724" s="1503"/>
      <c r="K1724" s="1503"/>
      <c r="L1724" s="1214"/>
      <c r="M1724" s="1214"/>
      <c r="N1724" s="1214"/>
      <c r="O1724" s="1214"/>
    </row>
    <row r="1725" spans="1:15" s="99" customFormat="1" ht="12.75" customHeight="1">
      <c r="A1725" s="1426"/>
      <c r="B1725" s="1656"/>
      <c r="C1725" s="1420" t="s">
        <v>3288</v>
      </c>
      <c r="D1725" s="1420"/>
      <c r="E1725" s="1420"/>
      <c r="F1725" s="1420"/>
      <c r="G1725" s="1420"/>
      <c r="H1725" s="1420"/>
      <c r="I1725" s="1420"/>
      <c r="J1725" s="1420"/>
      <c r="K1725" s="1420"/>
      <c r="L1725" s="307" t="s">
        <v>1056</v>
      </c>
      <c r="M1725" s="1214">
        <v>44</v>
      </c>
      <c r="N1725" s="1214"/>
      <c r="O1725" s="1214"/>
    </row>
    <row r="1726" spans="1:15" s="99" customFormat="1" ht="12.75" customHeight="1">
      <c r="A1726" s="1426"/>
      <c r="B1726" s="1656"/>
      <c r="C1726" s="1420" t="s">
        <v>3289</v>
      </c>
      <c r="D1726" s="1420"/>
      <c r="E1726" s="1420"/>
      <c r="F1726" s="1420"/>
      <c r="G1726" s="1420"/>
      <c r="H1726" s="1420"/>
      <c r="I1726" s="1420"/>
      <c r="J1726" s="1420"/>
      <c r="K1726" s="1420"/>
      <c r="L1726" s="298" t="s">
        <v>1056</v>
      </c>
      <c r="M1726" s="1214">
        <v>45</v>
      </c>
      <c r="N1726" s="1214"/>
      <c r="O1726" s="1214"/>
    </row>
    <row r="1727" spans="1:15" ht="12.75" customHeight="1">
      <c r="A1727" s="1426"/>
      <c r="B1727" s="1657" t="s">
        <v>1812</v>
      </c>
      <c r="C1727" s="1421" t="s">
        <v>3287</v>
      </c>
      <c r="D1727" s="1421"/>
      <c r="E1727" s="1421"/>
      <c r="F1727" s="1421"/>
      <c r="G1727" s="1421"/>
      <c r="H1727" s="1421"/>
      <c r="I1727" s="1421"/>
      <c r="J1727" s="1421"/>
      <c r="K1727" s="1421"/>
      <c r="L1727" s="307"/>
      <c r="M1727" s="1214"/>
      <c r="N1727" s="1214"/>
      <c r="O1727" s="1214"/>
    </row>
    <row r="1728" spans="1:15" ht="98.25" customHeight="1">
      <c r="A1728" s="1426"/>
      <c r="B1728" s="1657"/>
      <c r="C1728" s="1420" t="s">
        <v>3290</v>
      </c>
      <c r="D1728" s="1420"/>
      <c r="E1728" s="1420"/>
      <c r="F1728" s="1420"/>
      <c r="G1728" s="1420"/>
      <c r="H1728" s="1420"/>
      <c r="I1728" s="1420"/>
      <c r="J1728" s="1420"/>
      <c r="K1728" s="1420"/>
      <c r="L1728" s="307" t="s">
        <v>1056</v>
      </c>
      <c r="M1728" s="1214">
        <v>50</v>
      </c>
      <c r="N1728" s="1214"/>
      <c r="O1728" s="1214"/>
    </row>
    <row r="1729" spans="1:15">
      <c r="A1729" s="1426"/>
      <c r="B1729" s="1657"/>
      <c r="C1729" s="1420" t="s">
        <v>3291</v>
      </c>
      <c r="D1729" s="1421"/>
      <c r="E1729" s="1421"/>
      <c r="F1729" s="1421"/>
      <c r="G1729" s="1421"/>
      <c r="H1729" s="1421"/>
      <c r="I1729" s="1421"/>
      <c r="J1729" s="1421"/>
      <c r="K1729" s="1421"/>
      <c r="L1729" s="1284"/>
      <c r="M1729" s="1285"/>
      <c r="N1729" s="1285"/>
      <c r="O1729" s="1286"/>
    </row>
    <row r="1730" spans="1:15" ht="12.75" customHeight="1">
      <c r="A1730" s="1426"/>
      <c r="B1730" s="1657"/>
      <c r="C1730" s="1420" t="s">
        <v>3292</v>
      </c>
      <c r="D1730" s="1420"/>
      <c r="E1730" s="1420"/>
      <c r="F1730" s="1420"/>
      <c r="G1730" s="1420"/>
      <c r="H1730" s="1420"/>
      <c r="I1730" s="1420"/>
      <c r="J1730" s="1420"/>
      <c r="K1730" s="1420"/>
      <c r="L1730" s="307" t="s">
        <v>1056</v>
      </c>
      <c r="M1730" s="1214">
        <v>48</v>
      </c>
      <c r="N1730" s="1214"/>
      <c r="O1730" s="1214"/>
    </row>
    <row r="1731" spans="1:15" ht="12.75" customHeight="1">
      <c r="A1731" s="1426"/>
      <c r="B1731" s="1657"/>
      <c r="C1731" s="1641" t="s">
        <v>3293</v>
      </c>
      <c r="D1731" s="1641"/>
      <c r="E1731" s="1641"/>
      <c r="F1731" s="1641"/>
      <c r="G1731" s="1641"/>
      <c r="H1731" s="1641"/>
      <c r="I1731" s="1641"/>
      <c r="J1731" s="1641"/>
      <c r="K1731" s="1641"/>
      <c r="L1731" s="307" t="s">
        <v>1056</v>
      </c>
      <c r="M1731" s="1214">
        <v>49</v>
      </c>
      <c r="N1731" s="1214"/>
      <c r="O1731" s="1214"/>
    </row>
    <row r="1733" spans="1:15">
      <c r="A1733" s="1425"/>
      <c r="B1733" s="1425"/>
      <c r="C1733" s="1425"/>
      <c r="D1733" s="1425"/>
      <c r="E1733" s="1425"/>
      <c r="F1733" s="1425"/>
      <c r="G1733" s="1425"/>
      <c r="H1733" s="1425"/>
      <c r="I1733" s="1425"/>
      <c r="J1733" s="1425"/>
      <c r="K1733" s="1425"/>
      <c r="L1733" s="1425"/>
      <c r="M1733" s="1425"/>
      <c r="N1733" s="1425"/>
      <c r="O1733" s="1425"/>
    </row>
    <row r="1734" spans="1:15" ht="18">
      <c r="A1734" s="1506" t="s">
        <v>1833</v>
      </c>
      <c r="B1734" s="1506"/>
      <c r="C1734" s="1506"/>
      <c r="D1734" s="1506"/>
      <c r="E1734" s="1506"/>
      <c r="F1734" s="1506"/>
      <c r="G1734" s="1506"/>
      <c r="H1734" s="1506"/>
      <c r="I1734" s="1506"/>
      <c r="J1734" s="1506"/>
      <c r="K1734" s="1506"/>
      <c r="L1734" s="1506"/>
      <c r="M1734" s="1506"/>
      <c r="N1734" s="1506"/>
      <c r="O1734" s="1506"/>
    </row>
    <row r="1735" spans="1:15" ht="15.75" customHeight="1">
      <c r="A1735" s="1506" t="s">
        <v>1834</v>
      </c>
      <c r="B1735" s="1506"/>
      <c r="C1735" s="1506"/>
      <c r="D1735" s="1506"/>
      <c r="E1735" s="1506"/>
      <c r="F1735" s="1506"/>
      <c r="G1735" s="1506"/>
      <c r="H1735" s="1506"/>
      <c r="I1735" s="1506"/>
      <c r="J1735" s="1506"/>
      <c r="K1735" s="1506"/>
      <c r="L1735" s="1506"/>
      <c r="M1735" s="1506"/>
      <c r="N1735" s="1506"/>
      <c r="O1735" s="1506"/>
    </row>
    <row r="1736" spans="1:15">
      <c r="A1736" s="1618"/>
      <c r="B1736" s="1618"/>
      <c r="C1736" s="1618"/>
      <c r="D1736" s="1618"/>
      <c r="E1736" s="1618"/>
      <c r="F1736" s="1618"/>
      <c r="G1736" s="1618"/>
      <c r="H1736" s="1618"/>
      <c r="I1736" s="1618"/>
      <c r="J1736" s="1618"/>
      <c r="K1736" s="1618"/>
      <c r="L1736" s="1618"/>
      <c r="M1736" s="1618"/>
      <c r="N1736" s="1618"/>
      <c r="O1736" s="1618"/>
    </row>
    <row r="1737" spans="1:15">
      <c r="A1737" s="1340" t="s">
        <v>1835</v>
      </c>
      <c r="B1737" s="1341"/>
      <c r="C1737" s="1341"/>
      <c r="D1737" s="1341"/>
      <c r="E1737" s="1341"/>
      <c r="F1737" s="1341"/>
      <c r="G1737" s="1341"/>
      <c r="H1737" s="1341"/>
      <c r="I1737" s="1341"/>
      <c r="J1737" s="1341"/>
      <c r="K1737" s="1341"/>
      <c r="L1737" s="1341"/>
      <c r="M1737" s="1341"/>
      <c r="N1737" s="1341"/>
      <c r="O1737" s="1342"/>
    </row>
    <row r="1738" spans="1:15" ht="105" customHeight="1">
      <c r="A1738" s="1355" t="s">
        <v>1836</v>
      </c>
      <c r="B1738" s="1356"/>
      <c r="C1738" s="1356"/>
      <c r="D1738" s="1356"/>
      <c r="E1738" s="1356"/>
      <c r="F1738" s="1356"/>
      <c r="G1738" s="1356"/>
      <c r="H1738" s="1356"/>
      <c r="I1738" s="1356"/>
      <c r="J1738" s="1356"/>
      <c r="K1738" s="1356"/>
      <c r="L1738" s="1356"/>
      <c r="M1738" s="1356"/>
      <c r="N1738" s="1356"/>
      <c r="O1738" s="1357"/>
    </row>
    <row r="1739" spans="1:15">
      <c r="A1739" s="1340"/>
      <c r="B1739" s="1341"/>
      <c r="C1739" s="1341"/>
      <c r="D1739" s="1341"/>
      <c r="E1739" s="1341"/>
      <c r="F1739" s="1341"/>
      <c r="G1739" s="1341"/>
      <c r="H1739" s="1341"/>
      <c r="I1739" s="1341"/>
      <c r="J1739" s="1341"/>
      <c r="K1739" s="1341"/>
      <c r="L1739" s="1341"/>
      <c r="M1739" s="1341"/>
      <c r="N1739" s="1341"/>
      <c r="O1739" s="1342"/>
    </row>
    <row r="1740" spans="1:15">
      <c r="A1740" s="1340" t="s">
        <v>1837</v>
      </c>
      <c r="B1740" s="1341"/>
      <c r="C1740" s="1341"/>
      <c r="D1740" s="1341"/>
      <c r="E1740" s="1341"/>
      <c r="F1740" s="1341"/>
      <c r="G1740" s="1341"/>
      <c r="H1740" s="1341"/>
      <c r="I1740" s="1341"/>
      <c r="J1740" s="1341"/>
      <c r="K1740" s="1341"/>
      <c r="L1740" s="1341"/>
      <c r="M1740" s="1341"/>
      <c r="N1740" s="1341"/>
      <c r="O1740" s="1342"/>
    </row>
    <row r="1741" spans="1:15" ht="135.75" customHeight="1">
      <c r="A1741" s="1355" t="s">
        <v>1838</v>
      </c>
      <c r="B1741" s="1356"/>
      <c r="C1741" s="1356"/>
      <c r="D1741" s="1356"/>
      <c r="E1741" s="1356"/>
      <c r="F1741" s="1356"/>
      <c r="G1741" s="1356"/>
      <c r="H1741" s="1356"/>
      <c r="I1741" s="1356"/>
      <c r="J1741" s="1356"/>
      <c r="K1741" s="1356"/>
      <c r="L1741" s="1356"/>
      <c r="M1741" s="1356"/>
      <c r="N1741" s="1356"/>
      <c r="O1741" s="1357"/>
    </row>
    <row r="1742" spans="1:15">
      <c r="A1742" s="1340"/>
      <c r="B1742" s="1341"/>
      <c r="C1742" s="1341"/>
      <c r="D1742" s="1341"/>
      <c r="E1742" s="1341"/>
      <c r="F1742" s="1341"/>
      <c r="G1742" s="1341"/>
      <c r="H1742" s="1341"/>
      <c r="I1742" s="1341"/>
      <c r="J1742" s="1341"/>
      <c r="K1742" s="1341"/>
      <c r="L1742" s="1341"/>
      <c r="M1742" s="1341"/>
      <c r="N1742" s="1341"/>
      <c r="O1742" s="1342"/>
    </row>
    <row r="1743" spans="1:15">
      <c r="A1743" s="1340" t="s">
        <v>1839</v>
      </c>
      <c r="B1743" s="1341"/>
      <c r="C1743" s="1341"/>
      <c r="D1743" s="1341"/>
      <c r="E1743" s="1341"/>
      <c r="F1743" s="1341"/>
      <c r="G1743" s="1341"/>
      <c r="H1743" s="1341"/>
      <c r="I1743" s="1341"/>
      <c r="J1743" s="1341"/>
      <c r="K1743" s="1341"/>
      <c r="L1743" s="1341"/>
      <c r="M1743" s="1341"/>
      <c r="N1743" s="1341"/>
      <c r="O1743" s="1342"/>
    </row>
    <row r="1744" spans="1:15" ht="142.5" customHeight="1">
      <c r="A1744" s="1355" t="s">
        <v>1840</v>
      </c>
      <c r="B1744" s="1356"/>
      <c r="C1744" s="1356"/>
      <c r="D1744" s="1356"/>
      <c r="E1744" s="1356"/>
      <c r="F1744" s="1356"/>
      <c r="G1744" s="1356"/>
      <c r="H1744" s="1356"/>
      <c r="I1744" s="1356"/>
      <c r="J1744" s="1356"/>
      <c r="K1744" s="1356"/>
      <c r="L1744" s="1356"/>
      <c r="M1744" s="1356"/>
      <c r="N1744" s="1356"/>
      <c r="O1744" s="1357"/>
    </row>
    <row r="1745" spans="1:15">
      <c r="A1745" s="1284"/>
      <c r="B1745" s="1285"/>
      <c r="C1745" s="1285"/>
      <c r="D1745" s="1285"/>
      <c r="E1745" s="1285"/>
      <c r="F1745" s="1285"/>
      <c r="G1745" s="1285"/>
      <c r="H1745" s="1285"/>
      <c r="I1745" s="1285"/>
      <c r="J1745" s="1285"/>
      <c r="K1745" s="1285"/>
      <c r="L1745" s="1285"/>
      <c r="M1745" s="1285"/>
      <c r="N1745" s="1285"/>
      <c r="O1745" s="1286"/>
    </row>
    <row r="1746" spans="1:15">
      <c r="A1746" s="1340" t="s">
        <v>1841</v>
      </c>
      <c r="B1746" s="1341"/>
      <c r="C1746" s="1341"/>
      <c r="D1746" s="1341"/>
      <c r="E1746" s="1341"/>
      <c r="F1746" s="1341"/>
      <c r="G1746" s="1341"/>
      <c r="H1746" s="1341"/>
      <c r="I1746" s="1341"/>
      <c r="J1746" s="1341"/>
      <c r="K1746" s="1341"/>
      <c r="L1746" s="1341"/>
      <c r="M1746" s="1341"/>
      <c r="N1746" s="1341"/>
      <c r="O1746" s="1342"/>
    </row>
    <row r="1747" spans="1:15" ht="87.75" customHeight="1">
      <c r="A1747" s="1355" t="s">
        <v>1842</v>
      </c>
      <c r="B1747" s="1356"/>
      <c r="C1747" s="1356"/>
      <c r="D1747" s="1356"/>
      <c r="E1747" s="1356"/>
      <c r="F1747" s="1356"/>
      <c r="G1747" s="1356"/>
      <c r="H1747" s="1356"/>
      <c r="I1747" s="1356"/>
      <c r="J1747" s="1356"/>
      <c r="K1747" s="1356"/>
      <c r="L1747" s="1356"/>
      <c r="M1747" s="1356"/>
      <c r="N1747" s="1356"/>
      <c r="O1747" s="1357"/>
    </row>
    <row r="1748" spans="1:15">
      <c r="A1748" s="1284"/>
      <c r="B1748" s="1285"/>
      <c r="C1748" s="1285"/>
      <c r="D1748" s="1285"/>
      <c r="E1748" s="1285"/>
      <c r="F1748" s="1285"/>
      <c r="G1748" s="1285"/>
      <c r="H1748" s="1285"/>
      <c r="I1748" s="1285"/>
      <c r="J1748" s="1285"/>
      <c r="K1748" s="1285"/>
      <c r="L1748" s="1285"/>
      <c r="M1748" s="1285"/>
      <c r="N1748" s="1285"/>
      <c r="O1748" s="1286"/>
    </row>
    <row r="1749" spans="1:15">
      <c r="A1749" s="1340" t="s">
        <v>1843</v>
      </c>
      <c r="B1749" s="1341"/>
      <c r="C1749" s="1341"/>
      <c r="D1749" s="1341"/>
      <c r="E1749" s="1341"/>
      <c r="F1749" s="1341"/>
      <c r="G1749" s="1341"/>
      <c r="H1749" s="1341"/>
      <c r="I1749" s="1341"/>
      <c r="J1749" s="1341"/>
      <c r="K1749" s="1341"/>
      <c r="L1749" s="1341"/>
      <c r="M1749" s="1341"/>
      <c r="N1749" s="1341"/>
      <c r="O1749" s="1342"/>
    </row>
    <row r="1750" spans="1:15" ht="108.75" customHeight="1">
      <c r="A1750" s="1355" t="s">
        <v>1844</v>
      </c>
      <c r="B1750" s="1356"/>
      <c r="C1750" s="1356"/>
      <c r="D1750" s="1356"/>
      <c r="E1750" s="1356"/>
      <c r="F1750" s="1356"/>
      <c r="G1750" s="1356"/>
      <c r="H1750" s="1356"/>
      <c r="I1750" s="1356"/>
      <c r="J1750" s="1356"/>
      <c r="K1750" s="1356"/>
      <c r="L1750" s="1356"/>
      <c r="M1750" s="1356"/>
      <c r="N1750" s="1356"/>
      <c r="O1750" s="1357"/>
    </row>
    <row r="1751" spans="1:15">
      <c r="A1751" s="1284"/>
      <c r="B1751" s="1285"/>
      <c r="C1751" s="1285"/>
      <c r="D1751" s="1285"/>
      <c r="E1751" s="1285"/>
      <c r="F1751" s="1285"/>
      <c r="G1751" s="1285"/>
      <c r="H1751" s="1285"/>
      <c r="I1751" s="1285"/>
      <c r="J1751" s="1285"/>
      <c r="K1751" s="1285"/>
      <c r="L1751" s="1285"/>
      <c r="M1751" s="1285"/>
      <c r="N1751" s="1285"/>
      <c r="O1751" s="1286"/>
    </row>
    <row r="1752" spans="1:15">
      <c r="A1752" s="1340" t="s">
        <v>1845</v>
      </c>
      <c r="B1752" s="1341"/>
      <c r="C1752" s="1341"/>
      <c r="D1752" s="1341"/>
      <c r="E1752" s="1341"/>
      <c r="F1752" s="1341"/>
      <c r="G1752" s="1341"/>
      <c r="H1752" s="1341"/>
      <c r="I1752" s="1341"/>
      <c r="J1752" s="1341"/>
      <c r="K1752" s="1341"/>
      <c r="L1752" s="1341"/>
      <c r="M1752" s="1341"/>
      <c r="N1752" s="1341"/>
      <c r="O1752" s="1342"/>
    </row>
    <row r="1753" spans="1:15" ht="68.25" customHeight="1">
      <c r="A1753" s="1355" t="s">
        <v>1846</v>
      </c>
      <c r="B1753" s="1356"/>
      <c r="C1753" s="1356"/>
      <c r="D1753" s="1356"/>
      <c r="E1753" s="1356"/>
      <c r="F1753" s="1356"/>
      <c r="G1753" s="1356"/>
      <c r="H1753" s="1356"/>
      <c r="I1753" s="1356"/>
      <c r="J1753" s="1356"/>
      <c r="K1753" s="1356"/>
      <c r="L1753" s="1356"/>
      <c r="M1753" s="1356"/>
      <c r="N1753" s="1356"/>
      <c r="O1753" s="1357"/>
    </row>
    <row r="1754" spans="1:15">
      <c r="A1754" s="1284"/>
      <c r="B1754" s="1285"/>
      <c r="C1754" s="1285"/>
      <c r="D1754" s="1285"/>
      <c r="E1754" s="1285"/>
      <c r="F1754" s="1285"/>
      <c r="G1754" s="1285"/>
      <c r="H1754" s="1285"/>
      <c r="I1754" s="1285"/>
      <c r="J1754" s="1285"/>
      <c r="K1754" s="1285"/>
      <c r="L1754" s="1285"/>
      <c r="M1754" s="1285"/>
      <c r="N1754" s="1285"/>
      <c r="O1754" s="1286"/>
    </row>
    <row r="1755" spans="1:15">
      <c r="A1755" s="1340" t="s">
        <v>1847</v>
      </c>
      <c r="B1755" s="1341"/>
      <c r="C1755" s="1341"/>
      <c r="D1755" s="1341"/>
      <c r="E1755" s="1341"/>
      <c r="F1755" s="1341"/>
      <c r="G1755" s="1341"/>
      <c r="H1755" s="1341"/>
      <c r="I1755" s="1341"/>
      <c r="J1755" s="1341"/>
      <c r="K1755" s="1341"/>
      <c r="L1755" s="1341"/>
      <c r="M1755" s="1341"/>
      <c r="N1755" s="1341"/>
      <c r="O1755" s="1342"/>
    </row>
    <row r="1756" spans="1:15" ht="130.5" customHeight="1">
      <c r="A1756" s="1355" t="s">
        <v>1848</v>
      </c>
      <c r="B1756" s="1356"/>
      <c r="C1756" s="1356"/>
      <c r="D1756" s="1356"/>
      <c r="E1756" s="1356"/>
      <c r="F1756" s="1356"/>
      <c r="G1756" s="1356"/>
      <c r="H1756" s="1356"/>
      <c r="I1756" s="1356"/>
      <c r="J1756" s="1356"/>
      <c r="K1756" s="1356"/>
      <c r="L1756" s="1356"/>
      <c r="M1756" s="1356"/>
      <c r="N1756" s="1356"/>
      <c r="O1756" s="1357"/>
    </row>
    <row r="1759" spans="1:15" ht="18">
      <c r="A1759" s="1506" t="s">
        <v>1849</v>
      </c>
      <c r="B1759" s="1506"/>
      <c r="C1759" s="1506"/>
      <c r="D1759" s="1506"/>
      <c r="E1759" s="1506"/>
      <c r="F1759" s="1506"/>
      <c r="G1759" s="1506"/>
      <c r="H1759" s="1506"/>
      <c r="I1759" s="1506"/>
      <c r="J1759" s="1506"/>
      <c r="K1759" s="1506"/>
      <c r="L1759" s="1506"/>
      <c r="M1759" s="1506"/>
      <c r="N1759" s="1506"/>
      <c r="O1759" s="1506"/>
    </row>
    <row r="1760" spans="1:15" ht="17.25" customHeight="1">
      <c r="A1760" s="1506" t="s">
        <v>1850</v>
      </c>
      <c r="B1760" s="1506"/>
      <c r="C1760" s="1506"/>
      <c r="D1760" s="1506"/>
      <c r="E1760" s="1506"/>
      <c r="F1760" s="1506"/>
      <c r="G1760" s="1506"/>
      <c r="H1760" s="1506"/>
      <c r="I1760" s="1506"/>
      <c r="J1760" s="1506"/>
      <c r="K1760" s="1506"/>
      <c r="L1760" s="1506"/>
      <c r="M1760" s="1506"/>
      <c r="N1760" s="1506"/>
      <c r="O1760" s="1506"/>
    </row>
    <row r="1761" spans="1:15" ht="21.75" customHeight="1">
      <c r="A1761" s="1506" t="s">
        <v>1851</v>
      </c>
      <c r="B1761" s="1506"/>
      <c r="C1761" s="1506"/>
      <c r="D1761" s="1506"/>
      <c r="E1761" s="1506"/>
      <c r="F1761" s="1506"/>
      <c r="G1761" s="1506"/>
      <c r="H1761" s="1506"/>
      <c r="I1761" s="1506"/>
      <c r="J1761" s="1506"/>
      <c r="K1761" s="1506"/>
      <c r="L1761" s="1506"/>
      <c r="M1761" s="1506"/>
      <c r="N1761" s="1506"/>
      <c r="O1761" s="1506"/>
    </row>
    <row r="1764" spans="1:15" ht="12.75" customHeight="1">
      <c r="A1764" s="475">
        <v>1</v>
      </c>
      <c r="B1764" s="1523" t="s">
        <v>1852</v>
      </c>
      <c r="C1764" s="1524"/>
      <c r="D1764" s="1524"/>
      <c r="E1764" s="1524"/>
      <c r="F1764" s="1524"/>
      <c r="G1764" s="1524"/>
      <c r="H1764" s="1524"/>
      <c r="I1764" s="1524"/>
      <c r="J1764" s="1524"/>
      <c r="K1764" s="1524"/>
      <c r="L1764" s="1524"/>
      <c r="M1764" s="1524"/>
      <c r="N1764" s="1524"/>
      <c r="O1764" s="1525"/>
    </row>
    <row r="1765" spans="1:15" ht="12.75" customHeight="1">
      <c r="A1765" s="475">
        <v>2</v>
      </c>
      <c r="B1765" s="1523" t="s">
        <v>1853</v>
      </c>
      <c r="C1765" s="1524"/>
      <c r="D1765" s="1524"/>
      <c r="E1765" s="1524"/>
      <c r="F1765" s="1524"/>
      <c r="G1765" s="1524"/>
      <c r="H1765" s="1524"/>
      <c r="I1765" s="1524"/>
      <c r="J1765" s="1524"/>
      <c r="K1765" s="1524"/>
      <c r="L1765" s="1524"/>
      <c r="M1765" s="1524"/>
      <c r="N1765" s="1524"/>
      <c r="O1765" s="1525"/>
    </row>
    <row r="1766" spans="1:15" ht="12.75" customHeight="1">
      <c r="A1766" s="475">
        <v>3</v>
      </c>
      <c r="B1766" s="1523" t="s">
        <v>1854</v>
      </c>
      <c r="C1766" s="1524"/>
      <c r="D1766" s="1524"/>
      <c r="E1766" s="1524"/>
      <c r="F1766" s="1524"/>
      <c r="G1766" s="1524"/>
      <c r="H1766" s="1524"/>
      <c r="I1766" s="1524"/>
      <c r="J1766" s="1524"/>
      <c r="K1766" s="1524"/>
      <c r="L1766" s="1524"/>
      <c r="M1766" s="1524"/>
      <c r="N1766" s="1524"/>
      <c r="O1766" s="1525"/>
    </row>
    <row r="1767" spans="1:15" ht="12.75" customHeight="1">
      <c r="A1767" s="475">
        <v>4</v>
      </c>
      <c r="B1767" s="1523" t="s">
        <v>1855</v>
      </c>
      <c r="C1767" s="1524"/>
      <c r="D1767" s="1524"/>
      <c r="E1767" s="1524"/>
      <c r="F1767" s="1524"/>
      <c r="G1767" s="1524"/>
      <c r="H1767" s="1524"/>
      <c r="I1767" s="1524"/>
      <c r="J1767" s="1524"/>
      <c r="K1767" s="1524"/>
      <c r="L1767" s="1524"/>
      <c r="M1767" s="1524"/>
      <c r="N1767" s="1524"/>
      <c r="O1767" s="1525"/>
    </row>
    <row r="1768" spans="1:15" ht="12.75" customHeight="1">
      <c r="A1768" s="475">
        <v>5</v>
      </c>
      <c r="B1768" s="1523" t="s">
        <v>1856</v>
      </c>
      <c r="C1768" s="1524"/>
      <c r="D1768" s="1524"/>
      <c r="E1768" s="1524"/>
      <c r="F1768" s="1524"/>
      <c r="G1768" s="1524"/>
      <c r="H1768" s="1524"/>
      <c r="I1768" s="1524"/>
      <c r="J1768" s="1524"/>
      <c r="K1768" s="1524"/>
      <c r="L1768" s="1524"/>
      <c r="M1768" s="1524"/>
      <c r="N1768" s="1524"/>
      <c r="O1768" s="1525"/>
    </row>
    <row r="1769" spans="1:15" ht="12.75" customHeight="1">
      <c r="A1769" s="475">
        <v>6</v>
      </c>
      <c r="B1769" s="1523" t="s">
        <v>1857</v>
      </c>
      <c r="C1769" s="1524"/>
      <c r="D1769" s="1524"/>
      <c r="E1769" s="1524"/>
      <c r="F1769" s="1524"/>
      <c r="G1769" s="1524"/>
      <c r="H1769" s="1524"/>
      <c r="I1769" s="1524"/>
      <c r="J1769" s="1524"/>
      <c r="K1769" s="1524"/>
      <c r="L1769" s="1524"/>
      <c r="M1769" s="1524"/>
      <c r="N1769" s="1524"/>
      <c r="O1769" s="1525"/>
    </row>
    <row r="1770" spans="1:15" ht="12.75" customHeight="1">
      <c r="A1770" s="475">
        <v>7</v>
      </c>
      <c r="B1770" s="1523" t="s">
        <v>1858</v>
      </c>
      <c r="C1770" s="1524"/>
      <c r="D1770" s="1524"/>
      <c r="E1770" s="1524"/>
      <c r="F1770" s="1524"/>
      <c r="G1770" s="1524"/>
      <c r="H1770" s="1524"/>
      <c r="I1770" s="1524"/>
      <c r="J1770" s="1524"/>
      <c r="K1770" s="1524"/>
      <c r="L1770" s="1524"/>
      <c r="M1770" s="1524"/>
      <c r="N1770" s="1524"/>
      <c r="O1770" s="1525"/>
    </row>
    <row r="1771" spans="1:15" ht="12.75" customHeight="1">
      <c r="A1771" s="475">
        <v>8</v>
      </c>
      <c r="B1771" s="1523" t="s">
        <v>1859</v>
      </c>
      <c r="C1771" s="1524"/>
      <c r="D1771" s="1524"/>
      <c r="E1771" s="1524"/>
      <c r="F1771" s="1524"/>
      <c r="G1771" s="1524"/>
      <c r="H1771" s="1524"/>
      <c r="I1771" s="1524"/>
      <c r="J1771" s="1524"/>
      <c r="K1771" s="1524"/>
      <c r="L1771" s="1524"/>
      <c r="M1771" s="1524"/>
      <c r="N1771" s="1524"/>
      <c r="O1771" s="1525"/>
    </row>
    <row r="1772" spans="1:15" ht="12.75" customHeight="1">
      <c r="A1772" s="475">
        <v>9</v>
      </c>
      <c r="B1772" s="1523" t="s">
        <v>1860</v>
      </c>
      <c r="C1772" s="1524"/>
      <c r="D1772" s="1524"/>
      <c r="E1772" s="1524"/>
      <c r="F1772" s="1524"/>
      <c r="G1772" s="1524"/>
      <c r="H1772" s="1524"/>
      <c r="I1772" s="1524"/>
      <c r="J1772" s="1524"/>
      <c r="K1772" s="1524"/>
      <c r="L1772" s="1524"/>
      <c r="M1772" s="1524"/>
      <c r="N1772" s="1524"/>
      <c r="O1772" s="1525"/>
    </row>
    <row r="1773" spans="1:15" ht="12.75" customHeight="1">
      <c r="A1773" s="475">
        <v>10</v>
      </c>
      <c r="B1773" s="1523" t="s">
        <v>1861</v>
      </c>
      <c r="C1773" s="1524"/>
      <c r="D1773" s="1524"/>
      <c r="E1773" s="1524"/>
      <c r="F1773" s="1524"/>
      <c r="G1773" s="1524"/>
      <c r="H1773" s="1524"/>
      <c r="I1773" s="1524"/>
      <c r="J1773" s="1524"/>
      <c r="K1773" s="1524"/>
      <c r="L1773" s="1524"/>
      <c r="M1773" s="1524"/>
      <c r="N1773" s="1524"/>
      <c r="O1773" s="1525"/>
    </row>
    <row r="1774" spans="1:15" ht="12.75" customHeight="1">
      <c r="A1774" s="475">
        <v>11</v>
      </c>
      <c r="B1774" s="1523" t="s">
        <v>1862</v>
      </c>
      <c r="C1774" s="1524"/>
      <c r="D1774" s="1524"/>
      <c r="E1774" s="1524"/>
      <c r="F1774" s="1524"/>
      <c r="G1774" s="1524"/>
      <c r="H1774" s="1524"/>
      <c r="I1774" s="1524"/>
      <c r="J1774" s="1524"/>
      <c r="K1774" s="1524"/>
      <c r="L1774" s="1524"/>
      <c r="M1774" s="1524"/>
      <c r="N1774" s="1524"/>
      <c r="O1774" s="1525"/>
    </row>
    <row r="1775" spans="1:15" ht="12.75" customHeight="1">
      <c r="A1775" s="475">
        <v>12</v>
      </c>
      <c r="B1775" s="1523" t="s">
        <v>1863</v>
      </c>
      <c r="C1775" s="1524"/>
      <c r="D1775" s="1524"/>
      <c r="E1775" s="1524"/>
      <c r="F1775" s="1524"/>
      <c r="G1775" s="1524"/>
      <c r="H1775" s="1524"/>
      <c r="I1775" s="1524"/>
      <c r="J1775" s="1524"/>
      <c r="K1775" s="1524"/>
      <c r="L1775" s="1524"/>
      <c r="M1775" s="1524"/>
      <c r="N1775" s="1524"/>
      <c r="O1775" s="1525"/>
    </row>
    <row r="1776" spans="1:15" ht="12.75" customHeight="1">
      <c r="A1776" s="475">
        <v>13</v>
      </c>
      <c r="B1776" s="1523" t="s">
        <v>1864</v>
      </c>
      <c r="C1776" s="1524"/>
      <c r="D1776" s="1524"/>
      <c r="E1776" s="1524"/>
      <c r="F1776" s="1524"/>
      <c r="G1776" s="1524"/>
      <c r="H1776" s="1524"/>
      <c r="I1776" s="1524"/>
      <c r="J1776" s="1524"/>
      <c r="K1776" s="1524"/>
      <c r="L1776" s="1524"/>
      <c r="M1776" s="1524"/>
      <c r="N1776" s="1524"/>
      <c r="O1776" s="1525"/>
    </row>
    <row r="1777" spans="1:15" ht="12.75" customHeight="1">
      <c r="A1777" s="475">
        <v>14</v>
      </c>
      <c r="B1777" s="1523" t="s">
        <v>1865</v>
      </c>
      <c r="C1777" s="1524"/>
      <c r="D1777" s="1524"/>
      <c r="E1777" s="1524"/>
      <c r="F1777" s="1524"/>
      <c r="G1777" s="1524"/>
      <c r="H1777" s="1524"/>
      <c r="I1777" s="1524"/>
      <c r="J1777" s="1524"/>
      <c r="K1777" s="1524"/>
      <c r="L1777" s="1524"/>
      <c r="M1777" s="1524"/>
      <c r="N1777" s="1524"/>
      <c r="O1777" s="1525"/>
    </row>
    <row r="1778" spans="1:15" ht="12.75" customHeight="1">
      <c r="A1778" s="475">
        <v>15</v>
      </c>
      <c r="B1778" s="1523" t="s">
        <v>1866</v>
      </c>
      <c r="C1778" s="1524"/>
      <c r="D1778" s="1524"/>
      <c r="E1778" s="1524"/>
      <c r="F1778" s="1524"/>
      <c r="G1778" s="1524"/>
      <c r="H1778" s="1524"/>
      <c r="I1778" s="1524"/>
      <c r="J1778" s="1524"/>
      <c r="K1778" s="1524"/>
      <c r="L1778" s="1524"/>
      <c r="M1778" s="1524"/>
      <c r="N1778" s="1524"/>
      <c r="O1778" s="1525"/>
    </row>
    <row r="1779" spans="1:15" ht="12.75" customHeight="1">
      <c r="A1779" s="475">
        <v>16</v>
      </c>
      <c r="B1779" s="1523" t="s">
        <v>1867</v>
      </c>
      <c r="C1779" s="1524"/>
      <c r="D1779" s="1524"/>
      <c r="E1779" s="1524"/>
      <c r="F1779" s="1524"/>
      <c r="G1779" s="1524"/>
      <c r="H1779" s="1524"/>
      <c r="I1779" s="1524"/>
      <c r="J1779" s="1524"/>
      <c r="K1779" s="1524"/>
      <c r="L1779" s="1524"/>
      <c r="M1779" s="1524"/>
      <c r="N1779" s="1524"/>
      <c r="O1779" s="1525"/>
    </row>
    <row r="1780" spans="1:15" ht="12.75" customHeight="1">
      <c r="A1780" s="475">
        <v>17</v>
      </c>
      <c r="B1780" s="1523" t="s">
        <v>1868</v>
      </c>
      <c r="C1780" s="1524"/>
      <c r="D1780" s="1524"/>
      <c r="E1780" s="1524"/>
      <c r="F1780" s="1524"/>
      <c r="G1780" s="1524"/>
      <c r="H1780" s="1524"/>
      <c r="I1780" s="1524"/>
      <c r="J1780" s="1524"/>
      <c r="K1780" s="1524"/>
      <c r="L1780" s="1524"/>
      <c r="M1780" s="1524"/>
      <c r="N1780" s="1524"/>
      <c r="O1780" s="1525"/>
    </row>
    <row r="1781" spans="1:15" ht="12.75" customHeight="1">
      <c r="A1781" s="475">
        <v>18</v>
      </c>
      <c r="B1781" s="1523" t="s">
        <v>1869</v>
      </c>
      <c r="C1781" s="1524"/>
      <c r="D1781" s="1524"/>
      <c r="E1781" s="1524"/>
      <c r="F1781" s="1524"/>
      <c r="G1781" s="1524"/>
      <c r="H1781" s="1524"/>
      <c r="I1781" s="1524"/>
      <c r="J1781" s="1524"/>
      <c r="K1781" s="1524"/>
      <c r="L1781" s="1524"/>
      <c r="M1781" s="1524"/>
      <c r="N1781" s="1524"/>
      <c r="O1781" s="1525"/>
    </row>
    <row r="1782" spans="1:15" ht="12.75" customHeight="1">
      <c r="A1782" s="475">
        <v>19</v>
      </c>
      <c r="B1782" s="1523" t="s">
        <v>1870</v>
      </c>
      <c r="C1782" s="1524"/>
      <c r="D1782" s="1524"/>
      <c r="E1782" s="1524"/>
      <c r="F1782" s="1524"/>
      <c r="G1782" s="1524"/>
      <c r="H1782" s="1524"/>
      <c r="I1782" s="1524"/>
      <c r="J1782" s="1524"/>
      <c r="K1782" s="1524"/>
      <c r="L1782" s="1524"/>
      <c r="M1782" s="1524"/>
      <c r="N1782" s="1524"/>
      <c r="O1782" s="1525"/>
    </row>
    <row r="1783" spans="1:15" ht="12.75" customHeight="1">
      <c r="A1783" s="475">
        <v>20</v>
      </c>
      <c r="B1783" s="1523" t="s">
        <v>1871</v>
      </c>
      <c r="C1783" s="1524"/>
      <c r="D1783" s="1524"/>
      <c r="E1783" s="1524"/>
      <c r="F1783" s="1524"/>
      <c r="G1783" s="1524"/>
      <c r="H1783" s="1524"/>
      <c r="I1783" s="1524"/>
      <c r="J1783" s="1524"/>
      <c r="K1783" s="1524"/>
      <c r="L1783" s="1524"/>
      <c r="M1783" s="1524"/>
      <c r="N1783" s="1524"/>
      <c r="O1783" s="1525"/>
    </row>
    <row r="1784" spans="1:15" ht="12.75" customHeight="1">
      <c r="A1784" s="475">
        <v>21</v>
      </c>
      <c r="B1784" s="1523" t="s">
        <v>1872</v>
      </c>
      <c r="C1784" s="1524"/>
      <c r="D1784" s="1524"/>
      <c r="E1784" s="1524"/>
      <c r="F1784" s="1524"/>
      <c r="G1784" s="1524"/>
      <c r="H1784" s="1524"/>
      <c r="I1784" s="1524"/>
      <c r="J1784" s="1524"/>
      <c r="K1784" s="1524"/>
      <c r="L1784" s="1524"/>
      <c r="M1784" s="1524"/>
      <c r="N1784" s="1524"/>
      <c r="O1784" s="1525"/>
    </row>
    <row r="1785" spans="1:15" ht="12.75" customHeight="1">
      <c r="A1785" s="475">
        <v>22</v>
      </c>
      <c r="B1785" s="1523" t="s">
        <v>1873</v>
      </c>
      <c r="C1785" s="1524"/>
      <c r="D1785" s="1524"/>
      <c r="E1785" s="1524"/>
      <c r="F1785" s="1524"/>
      <c r="G1785" s="1524"/>
      <c r="H1785" s="1524"/>
      <c r="I1785" s="1524"/>
      <c r="J1785" s="1524"/>
      <c r="K1785" s="1524"/>
      <c r="L1785" s="1524"/>
      <c r="M1785" s="1524"/>
      <c r="N1785" s="1524"/>
      <c r="O1785" s="1525"/>
    </row>
    <row r="1786" spans="1:15" ht="12.75" customHeight="1">
      <c r="A1786" s="475">
        <v>23</v>
      </c>
      <c r="B1786" s="1523" t="s">
        <v>1874</v>
      </c>
      <c r="C1786" s="1524"/>
      <c r="D1786" s="1524"/>
      <c r="E1786" s="1524"/>
      <c r="F1786" s="1524"/>
      <c r="G1786" s="1524"/>
      <c r="H1786" s="1524"/>
      <c r="I1786" s="1524"/>
      <c r="J1786" s="1524"/>
      <c r="K1786" s="1524"/>
      <c r="L1786" s="1524"/>
      <c r="M1786" s="1524"/>
      <c r="N1786" s="1524"/>
      <c r="O1786" s="1525"/>
    </row>
    <row r="1787" spans="1:15" ht="12.75" customHeight="1">
      <c r="A1787" s="475">
        <v>24</v>
      </c>
      <c r="B1787" s="1523" t="s">
        <v>1875</v>
      </c>
      <c r="C1787" s="1524"/>
      <c r="D1787" s="1524"/>
      <c r="E1787" s="1524"/>
      <c r="F1787" s="1524"/>
      <c r="G1787" s="1524"/>
      <c r="H1787" s="1524"/>
      <c r="I1787" s="1524"/>
      <c r="J1787" s="1524"/>
      <c r="K1787" s="1524"/>
      <c r="L1787" s="1524"/>
      <c r="M1787" s="1524"/>
      <c r="N1787" s="1524"/>
      <c r="O1787" s="1525"/>
    </row>
    <row r="1788" spans="1:15" ht="12.75" customHeight="1">
      <c r="A1788" s="475">
        <v>25</v>
      </c>
      <c r="B1788" s="1523" t="s">
        <v>1876</v>
      </c>
      <c r="C1788" s="1524"/>
      <c r="D1788" s="1524"/>
      <c r="E1788" s="1524"/>
      <c r="F1788" s="1524"/>
      <c r="G1788" s="1524"/>
      <c r="H1788" s="1524"/>
      <c r="I1788" s="1524"/>
      <c r="J1788" s="1524"/>
      <c r="K1788" s="1524"/>
      <c r="L1788" s="1524"/>
      <c r="M1788" s="1524"/>
      <c r="N1788" s="1524"/>
      <c r="O1788" s="1525"/>
    </row>
    <row r="1789" spans="1:15" ht="12.75" customHeight="1">
      <c r="A1789" s="475">
        <v>26</v>
      </c>
      <c r="B1789" s="1523" t="s">
        <v>1877</v>
      </c>
      <c r="C1789" s="1524"/>
      <c r="D1789" s="1524"/>
      <c r="E1789" s="1524"/>
      <c r="F1789" s="1524"/>
      <c r="G1789" s="1524"/>
      <c r="H1789" s="1524"/>
      <c r="I1789" s="1524"/>
      <c r="J1789" s="1524"/>
      <c r="K1789" s="1524"/>
      <c r="L1789" s="1524"/>
      <c r="M1789" s="1524"/>
      <c r="N1789" s="1524"/>
      <c r="O1789" s="1525"/>
    </row>
    <row r="1790" spans="1:15" ht="12.75" customHeight="1">
      <c r="A1790" s="475">
        <v>27</v>
      </c>
      <c r="B1790" s="1523" t="s">
        <v>1878</v>
      </c>
      <c r="C1790" s="1524"/>
      <c r="D1790" s="1524"/>
      <c r="E1790" s="1524"/>
      <c r="F1790" s="1524"/>
      <c r="G1790" s="1524"/>
      <c r="H1790" s="1524"/>
      <c r="I1790" s="1524"/>
      <c r="J1790" s="1524"/>
      <c r="K1790" s="1524"/>
      <c r="L1790" s="1524"/>
      <c r="M1790" s="1524"/>
      <c r="N1790" s="1524"/>
      <c r="O1790" s="1525"/>
    </row>
    <row r="1791" spans="1:15" ht="12.75" customHeight="1">
      <c r="A1791" s="475">
        <v>28</v>
      </c>
      <c r="B1791" s="1523" t="s">
        <v>1879</v>
      </c>
      <c r="C1791" s="1524"/>
      <c r="D1791" s="1524"/>
      <c r="E1791" s="1524"/>
      <c r="F1791" s="1524"/>
      <c r="G1791" s="1524"/>
      <c r="H1791" s="1524"/>
      <c r="I1791" s="1524"/>
      <c r="J1791" s="1524"/>
      <c r="K1791" s="1524"/>
      <c r="L1791" s="1524"/>
      <c r="M1791" s="1524"/>
      <c r="N1791" s="1524"/>
      <c r="O1791" s="1525"/>
    </row>
    <row r="1792" spans="1:15" ht="12.75" customHeight="1">
      <c r="A1792" s="475">
        <v>29</v>
      </c>
      <c r="B1792" s="1523" t="s">
        <v>1880</v>
      </c>
      <c r="C1792" s="1524"/>
      <c r="D1792" s="1524"/>
      <c r="E1792" s="1524"/>
      <c r="F1792" s="1524"/>
      <c r="G1792" s="1524"/>
      <c r="H1792" s="1524"/>
      <c r="I1792" s="1524"/>
      <c r="J1792" s="1524"/>
      <c r="K1792" s="1524"/>
      <c r="L1792" s="1524"/>
      <c r="M1792" s="1524"/>
      <c r="N1792" s="1524"/>
      <c r="O1792" s="1525"/>
    </row>
    <row r="1793" spans="1:15" ht="12.75" customHeight="1">
      <c r="A1793" s="475">
        <v>30</v>
      </c>
      <c r="B1793" s="1523" t="s">
        <v>1881</v>
      </c>
      <c r="C1793" s="1524"/>
      <c r="D1793" s="1524"/>
      <c r="E1793" s="1524"/>
      <c r="F1793" s="1524"/>
      <c r="G1793" s="1524"/>
      <c r="H1793" s="1524"/>
      <c r="I1793" s="1524"/>
      <c r="J1793" s="1524"/>
      <c r="K1793" s="1524"/>
      <c r="L1793" s="1524"/>
      <c r="M1793" s="1524"/>
      <c r="N1793" s="1524"/>
      <c r="O1793" s="1525"/>
    </row>
    <row r="1794" spans="1:15">
      <c r="A1794" s="475">
        <v>31</v>
      </c>
      <c r="B1794" s="1523" t="s">
        <v>1882</v>
      </c>
      <c r="C1794" s="1524"/>
      <c r="D1794" s="1524"/>
      <c r="E1794" s="1524"/>
      <c r="F1794" s="1524"/>
      <c r="G1794" s="1524"/>
      <c r="H1794" s="1524"/>
      <c r="I1794" s="1524"/>
      <c r="J1794" s="1524"/>
      <c r="K1794" s="1524"/>
      <c r="L1794" s="1524"/>
      <c r="M1794" s="1524"/>
      <c r="N1794" s="1524"/>
      <c r="O1794" s="1525"/>
    </row>
    <row r="1795" spans="1:15" ht="12.75" customHeight="1">
      <c r="A1795" s="475">
        <v>32</v>
      </c>
      <c r="B1795" s="1523" t="s">
        <v>1883</v>
      </c>
      <c r="C1795" s="1524"/>
      <c r="D1795" s="1524"/>
      <c r="E1795" s="1524"/>
      <c r="F1795" s="1524"/>
      <c r="G1795" s="1524"/>
      <c r="H1795" s="1524"/>
      <c r="I1795" s="1524"/>
      <c r="J1795" s="1524"/>
      <c r="K1795" s="1524"/>
      <c r="L1795" s="1524"/>
      <c r="M1795" s="1524"/>
      <c r="N1795" s="1524"/>
      <c r="O1795" s="1525"/>
    </row>
    <row r="1796" spans="1:15" ht="12.75" customHeight="1">
      <c r="A1796" s="475">
        <v>33</v>
      </c>
      <c r="B1796" s="1523" t="s">
        <v>1884</v>
      </c>
      <c r="C1796" s="1524"/>
      <c r="D1796" s="1524"/>
      <c r="E1796" s="1524"/>
      <c r="F1796" s="1524"/>
      <c r="G1796" s="1524"/>
      <c r="H1796" s="1524"/>
      <c r="I1796" s="1524"/>
      <c r="J1796" s="1524"/>
      <c r="K1796" s="1524"/>
      <c r="L1796" s="1524"/>
      <c r="M1796" s="1524"/>
      <c r="N1796" s="1524"/>
      <c r="O1796" s="1525"/>
    </row>
    <row r="1797" spans="1:15">
      <c r="A1797" s="475">
        <v>34</v>
      </c>
      <c r="B1797" s="1523" t="s">
        <v>1885</v>
      </c>
      <c r="C1797" s="1524"/>
      <c r="D1797" s="1524"/>
      <c r="E1797" s="1524"/>
      <c r="F1797" s="1524"/>
      <c r="G1797" s="1524"/>
      <c r="H1797" s="1524"/>
      <c r="I1797" s="1524"/>
      <c r="J1797" s="1524"/>
      <c r="K1797" s="1524"/>
      <c r="L1797" s="1524"/>
      <c r="M1797" s="1524"/>
      <c r="N1797" s="1524"/>
      <c r="O1797" s="1525"/>
    </row>
    <row r="1798" spans="1:15" ht="12.75" customHeight="1">
      <c r="A1798" s="475">
        <v>35</v>
      </c>
      <c r="B1798" s="1523" t="s">
        <v>1886</v>
      </c>
      <c r="C1798" s="1524"/>
      <c r="D1798" s="1524"/>
      <c r="E1798" s="1524"/>
      <c r="F1798" s="1524"/>
      <c r="G1798" s="1524"/>
      <c r="H1798" s="1524"/>
      <c r="I1798" s="1524"/>
      <c r="J1798" s="1524"/>
      <c r="K1798" s="1524"/>
      <c r="L1798" s="1524"/>
      <c r="M1798" s="1524"/>
      <c r="N1798" s="1524"/>
      <c r="O1798" s="1525"/>
    </row>
    <row r="1799" spans="1:15">
      <c r="A1799" s="475">
        <v>36</v>
      </c>
      <c r="B1799" s="1523" t="s">
        <v>1887</v>
      </c>
      <c r="C1799" s="1524"/>
      <c r="D1799" s="1524"/>
      <c r="E1799" s="1524"/>
      <c r="F1799" s="1524"/>
      <c r="G1799" s="1524"/>
      <c r="H1799" s="1524"/>
      <c r="I1799" s="1524"/>
      <c r="J1799" s="1524"/>
      <c r="K1799" s="1524"/>
      <c r="L1799" s="1524"/>
      <c r="M1799" s="1524"/>
      <c r="N1799" s="1524"/>
      <c r="O1799" s="1525"/>
    </row>
    <row r="1800" spans="1:15" ht="12.75" customHeight="1">
      <c r="A1800" s="475">
        <v>37</v>
      </c>
      <c r="B1800" s="1523" t="s">
        <v>1888</v>
      </c>
      <c r="C1800" s="1524"/>
      <c r="D1800" s="1524"/>
      <c r="E1800" s="1524"/>
      <c r="F1800" s="1524"/>
      <c r="G1800" s="1524"/>
      <c r="H1800" s="1524"/>
      <c r="I1800" s="1524"/>
      <c r="J1800" s="1524"/>
      <c r="K1800" s="1524"/>
      <c r="L1800" s="1524"/>
      <c r="M1800" s="1524"/>
      <c r="N1800" s="1524"/>
      <c r="O1800" s="1525"/>
    </row>
    <row r="1801" spans="1:15" ht="12.75" customHeight="1">
      <c r="A1801" s="475">
        <v>38</v>
      </c>
      <c r="B1801" s="1523" t="s">
        <v>1889</v>
      </c>
      <c r="C1801" s="1524"/>
      <c r="D1801" s="1524"/>
      <c r="E1801" s="1524"/>
      <c r="F1801" s="1524"/>
      <c r="G1801" s="1524"/>
      <c r="H1801" s="1524"/>
      <c r="I1801" s="1524"/>
      <c r="J1801" s="1524"/>
      <c r="K1801" s="1524"/>
      <c r="L1801" s="1524"/>
      <c r="M1801" s="1524"/>
      <c r="N1801" s="1524"/>
      <c r="O1801" s="1525"/>
    </row>
    <row r="1802" spans="1:15" ht="12.75" customHeight="1">
      <c r="A1802" s="475">
        <v>39</v>
      </c>
      <c r="B1802" s="1523" t="s">
        <v>1890</v>
      </c>
      <c r="C1802" s="1524"/>
      <c r="D1802" s="1524"/>
      <c r="E1802" s="1524"/>
      <c r="F1802" s="1524"/>
      <c r="G1802" s="1524"/>
      <c r="H1802" s="1524"/>
      <c r="I1802" s="1524"/>
      <c r="J1802" s="1524"/>
      <c r="K1802" s="1524"/>
      <c r="L1802" s="1524"/>
      <c r="M1802" s="1524"/>
      <c r="N1802" s="1524"/>
      <c r="O1802" s="1525"/>
    </row>
    <row r="1803" spans="1:15" ht="12.75" customHeight="1">
      <c r="A1803" s="475">
        <v>40</v>
      </c>
      <c r="B1803" s="1523" t="s">
        <v>1891</v>
      </c>
      <c r="C1803" s="1524"/>
      <c r="D1803" s="1524"/>
      <c r="E1803" s="1524"/>
      <c r="F1803" s="1524"/>
      <c r="G1803" s="1524"/>
      <c r="H1803" s="1524"/>
      <c r="I1803" s="1524"/>
      <c r="J1803" s="1524"/>
      <c r="K1803" s="1524"/>
      <c r="L1803" s="1524"/>
      <c r="M1803" s="1524"/>
      <c r="N1803" s="1524"/>
      <c r="O1803" s="1525"/>
    </row>
    <row r="1804" spans="1:15" ht="12.75" customHeight="1">
      <c r="A1804" s="475">
        <v>41</v>
      </c>
      <c r="B1804" s="1523" t="s">
        <v>1892</v>
      </c>
      <c r="C1804" s="1524"/>
      <c r="D1804" s="1524"/>
      <c r="E1804" s="1524"/>
      <c r="F1804" s="1524"/>
      <c r="G1804" s="1524"/>
      <c r="H1804" s="1524"/>
      <c r="I1804" s="1524"/>
      <c r="J1804" s="1524"/>
      <c r="K1804" s="1524"/>
      <c r="L1804" s="1524"/>
      <c r="M1804" s="1524"/>
      <c r="N1804" s="1524"/>
      <c r="O1804" s="1525"/>
    </row>
    <row r="1805" spans="1:15" ht="12.75" customHeight="1">
      <c r="A1805" s="475">
        <v>42</v>
      </c>
      <c r="B1805" s="1523" t="s">
        <v>1893</v>
      </c>
      <c r="C1805" s="1524"/>
      <c r="D1805" s="1524"/>
      <c r="E1805" s="1524"/>
      <c r="F1805" s="1524"/>
      <c r="G1805" s="1524"/>
      <c r="H1805" s="1524"/>
      <c r="I1805" s="1524"/>
      <c r="J1805" s="1524"/>
      <c r="K1805" s="1524"/>
      <c r="L1805" s="1524"/>
      <c r="M1805" s="1524"/>
      <c r="N1805" s="1524"/>
      <c r="O1805" s="1525"/>
    </row>
    <row r="1806" spans="1:15">
      <c r="A1806" s="475">
        <v>43</v>
      </c>
      <c r="B1806" s="1523" t="s">
        <v>1894</v>
      </c>
      <c r="C1806" s="1524"/>
      <c r="D1806" s="1524"/>
      <c r="E1806" s="1524"/>
      <c r="F1806" s="1524"/>
      <c r="G1806" s="1524"/>
      <c r="H1806" s="1524"/>
      <c r="I1806" s="1524"/>
      <c r="J1806" s="1524"/>
      <c r="K1806" s="1524"/>
      <c r="L1806" s="1524"/>
      <c r="M1806" s="1524"/>
      <c r="N1806" s="1524"/>
      <c r="O1806" s="1525"/>
    </row>
    <row r="1807" spans="1:15" ht="12.75" customHeight="1">
      <c r="A1807" s="475">
        <v>44</v>
      </c>
      <c r="B1807" s="1523" t="s">
        <v>1895</v>
      </c>
      <c r="C1807" s="1524"/>
      <c r="D1807" s="1524"/>
      <c r="E1807" s="1524"/>
      <c r="F1807" s="1524"/>
      <c r="G1807" s="1524"/>
      <c r="H1807" s="1524"/>
      <c r="I1807" s="1524"/>
      <c r="J1807" s="1524"/>
      <c r="K1807" s="1524"/>
      <c r="L1807" s="1524"/>
      <c r="M1807" s="1524"/>
      <c r="N1807" s="1524"/>
      <c r="O1807" s="1525"/>
    </row>
    <row r="1808" spans="1:15" ht="12.75" customHeight="1">
      <c r="A1808" s="475">
        <v>45</v>
      </c>
      <c r="B1808" s="1523" t="s">
        <v>1896</v>
      </c>
      <c r="C1808" s="1524"/>
      <c r="D1808" s="1524"/>
      <c r="E1808" s="1524"/>
      <c r="F1808" s="1524"/>
      <c r="G1808" s="1524"/>
      <c r="H1808" s="1524"/>
      <c r="I1808" s="1524"/>
      <c r="J1808" s="1524"/>
      <c r="K1808" s="1524"/>
      <c r="L1808" s="1524"/>
      <c r="M1808" s="1524"/>
      <c r="N1808" s="1524"/>
      <c r="O1808" s="1525"/>
    </row>
    <row r="1809" spans="1:15" ht="12.75" customHeight="1">
      <c r="A1809" s="475">
        <v>46</v>
      </c>
      <c r="B1809" s="1523" t="s">
        <v>1897</v>
      </c>
      <c r="C1809" s="1524"/>
      <c r="D1809" s="1524"/>
      <c r="E1809" s="1524"/>
      <c r="F1809" s="1524"/>
      <c r="G1809" s="1524"/>
      <c r="H1809" s="1524"/>
      <c r="I1809" s="1524"/>
      <c r="J1809" s="1524"/>
      <c r="K1809" s="1524"/>
      <c r="L1809" s="1524"/>
      <c r="M1809" s="1524"/>
      <c r="N1809" s="1524"/>
      <c r="O1809" s="1525"/>
    </row>
    <row r="1810" spans="1:15" ht="12.75" customHeight="1">
      <c r="A1810" s="475">
        <v>47</v>
      </c>
      <c r="B1810" s="1523" t="s">
        <v>1898</v>
      </c>
      <c r="C1810" s="1524"/>
      <c r="D1810" s="1524"/>
      <c r="E1810" s="1524"/>
      <c r="F1810" s="1524"/>
      <c r="G1810" s="1524"/>
      <c r="H1810" s="1524"/>
      <c r="I1810" s="1524"/>
      <c r="J1810" s="1524"/>
      <c r="K1810" s="1524"/>
      <c r="L1810" s="1524"/>
      <c r="M1810" s="1524"/>
      <c r="N1810" s="1524"/>
      <c r="O1810" s="1525"/>
    </row>
    <row r="1811" spans="1:15" ht="12.75" customHeight="1">
      <c r="A1811" s="475">
        <v>48</v>
      </c>
      <c r="B1811" s="1523" t="s">
        <v>1899</v>
      </c>
      <c r="C1811" s="1524"/>
      <c r="D1811" s="1524"/>
      <c r="E1811" s="1524"/>
      <c r="F1811" s="1524"/>
      <c r="G1811" s="1524"/>
      <c r="H1811" s="1524"/>
      <c r="I1811" s="1524"/>
      <c r="J1811" s="1524"/>
      <c r="K1811" s="1524"/>
      <c r="L1811" s="1524"/>
      <c r="M1811" s="1524"/>
      <c r="N1811" s="1524"/>
      <c r="O1811" s="1525"/>
    </row>
    <row r="1812" spans="1:15">
      <c r="A1812" s="475">
        <v>49</v>
      </c>
      <c r="B1812" s="1523" t="s">
        <v>1900</v>
      </c>
      <c r="C1812" s="1524"/>
      <c r="D1812" s="1524"/>
      <c r="E1812" s="1524"/>
      <c r="F1812" s="1524"/>
      <c r="G1812" s="1524"/>
      <c r="H1812" s="1524"/>
      <c r="I1812" s="1524"/>
      <c r="J1812" s="1524"/>
      <c r="K1812" s="1524"/>
      <c r="L1812" s="1524"/>
      <c r="M1812" s="1524"/>
      <c r="N1812" s="1524"/>
      <c r="O1812" s="1525"/>
    </row>
    <row r="1813" spans="1:15" ht="12.75" customHeight="1">
      <c r="A1813" s="475">
        <v>50</v>
      </c>
      <c r="B1813" s="1523" t="s">
        <v>1901</v>
      </c>
      <c r="C1813" s="1524"/>
      <c r="D1813" s="1524"/>
      <c r="E1813" s="1524"/>
      <c r="F1813" s="1524"/>
      <c r="G1813" s="1524"/>
      <c r="H1813" s="1524"/>
      <c r="I1813" s="1524"/>
      <c r="J1813" s="1524"/>
      <c r="K1813" s="1524"/>
      <c r="L1813" s="1524"/>
      <c r="M1813" s="1524"/>
      <c r="N1813" s="1524"/>
      <c r="O1813" s="1525"/>
    </row>
    <row r="1814" spans="1:15" ht="12.75" customHeight="1">
      <c r="A1814" s="475">
        <v>51</v>
      </c>
      <c r="B1814" s="1523" t="s">
        <v>1902</v>
      </c>
      <c r="C1814" s="1524"/>
      <c r="D1814" s="1524"/>
      <c r="E1814" s="1524"/>
      <c r="F1814" s="1524"/>
      <c r="G1814" s="1524"/>
      <c r="H1814" s="1524"/>
      <c r="I1814" s="1524"/>
      <c r="J1814" s="1524"/>
      <c r="K1814" s="1524"/>
      <c r="L1814" s="1524"/>
      <c r="M1814" s="1524"/>
      <c r="N1814" s="1524"/>
      <c r="O1814" s="1525"/>
    </row>
    <row r="1815" spans="1:15" ht="12.75" customHeight="1">
      <c r="A1815" s="475">
        <v>52</v>
      </c>
      <c r="B1815" s="1523" t="s">
        <v>1903</v>
      </c>
      <c r="C1815" s="1524"/>
      <c r="D1815" s="1524"/>
      <c r="E1815" s="1524"/>
      <c r="F1815" s="1524"/>
      <c r="G1815" s="1524"/>
      <c r="H1815" s="1524"/>
      <c r="I1815" s="1524"/>
      <c r="J1815" s="1524"/>
      <c r="K1815" s="1524"/>
      <c r="L1815" s="1524"/>
      <c r="M1815" s="1524"/>
      <c r="N1815" s="1524"/>
      <c r="O1815" s="1525"/>
    </row>
    <row r="1816" spans="1:15" ht="12.75" customHeight="1">
      <c r="A1816" s="475">
        <v>53</v>
      </c>
      <c r="B1816" s="1523" t="s">
        <v>1904</v>
      </c>
      <c r="C1816" s="1524"/>
      <c r="D1816" s="1524"/>
      <c r="E1816" s="1524"/>
      <c r="F1816" s="1524"/>
      <c r="G1816" s="1524"/>
      <c r="H1816" s="1524"/>
      <c r="I1816" s="1524"/>
      <c r="J1816" s="1524"/>
      <c r="K1816" s="1524"/>
      <c r="L1816" s="1524"/>
      <c r="M1816" s="1524"/>
      <c r="N1816" s="1524"/>
      <c r="O1816" s="1525"/>
    </row>
    <row r="1817" spans="1:15" ht="12.75" customHeight="1">
      <c r="A1817" s="475">
        <v>54</v>
      </c>
      <c r="B1817" s="1523" t="s">
        <v>1905</v>
      </c>
      <c r="C1817" s="1524"/>
      <c r="D1817" s="1524"/>
      <c r="E1817" s="1524"/>
      <c r="F1817" s="1524"/>
      <c r="G1817" s="1524"/>
      <c r="H1817" s="1524"/>
      <c r="I1817" s="1524"/>
      <c r="J1817" s="1524"/>
      <c r="K1817" s="1524"/>
      <c r="L1817" s="1524"/>
      <c r="M1817" s="1524"/>
      <c r="N1817" s="1524"/>
      <c r="O1817" s="1525"/>
    </row>
    <row r="1818" spans="1:15" ht="12.75" customHeight="1">
      <c r="A1818" s="475">
        <v>55</v>
      </c>
      <c r="B1818" s="1523" t="s">
        <v>1906</v>
      </c>
      <c r="C1818" s="1524"/>
      <c r="D1818" s="1524"/>
      <c r="E1818" s="1524"/>
      <c r="F1818" s="1524"/>
      <c r="G1818" s="1524"/>
      <c r="H1818" s="1524"/>
      <c r="I1818" s="1524"/>
      <c r="J1818" s="1524"/>
      <c r="K1818" s="1524"/>
      <c r="L1818" s="1524"/>
      <c r="M1818" s="1524"/>
      <c r="N1818" s="1524"/>
      <c r="O1818" s="1525"/>
    </row>
    <row r="1819" spans="1:15" ht="12.75" customHeight="1">
      <c r="A1819" s="475">
        <v>56</v>
      </c>
      <c r="B1819" s="1523" t="s">
        <v>1907</v>
      </c>
      <c r="C1819" s="1524"/>
      <c r="D1819" s="1524"/>
      <c r="E1819" s="1524"/>
      <c r="F1819" s="1524"/>
      <c r="G1819" s="1524"/>
      <c r="H1819" s="1524"/>
      <c r="I1819" s="1524"/>
      <c r="J1819" s="1524"/>
      <c r="K1819" s="1524"/>
      <c r="L1819" s="1524"/>
      <c r="M1819" s="1524"/>
      <c r="N1819" s="1524"/>
      <c r="O1819" s="1525"/>
    </row>
    <row r="1820" spans="1:15" ht="12.75" customHeight="1">
      <c r="A1820" s="475">
        <v>57</v>
      </c>
      <c r="B1820" s="1523" t="s">
        <v>1908</v>
      </c>
      <c r="C1820" s="1524"/>
      <c r="D1820" s="1524"/>
      <c r="E1820" s="1524"/>
      <c r="F1820" s="1524"/>
      <c r="G1820" s="1524"/>
      <c r="H1820" s="1524"/>
      <c r="I1820" s="1524"/>
      <c r="J1820" s="1524"/>
      <c r="K1820" s="1524"/>
      <c r="L1820" s="1524"/>
      <c r="M1820" s="1524"/>
      <c r="N1820" s="1524"/>
      <c r="O1820" s="1525"/>
    </row>
    <row r="1821" spans="1:15">
      <c r="A1821" s="475">
        <v>58</v>
      </c>
      <c r="B1821" s="1523" t="s">
        <v>1909</v>
      </c>
      <c r="C1821" s="1524"/>
      <c r="D1821" s="1524"/>
      <c r="E1821" s="1524"/>
      <c r="F1821" s="1524"/>
      <c r="G1821" s="1524"/>
      <c r="H1821" s="1524"/>
      <c r="I1821" s="1524"/>
      <c r="J1821" s="1524"/>
      <c r="K1821" s="1524"/>
      <c r="L1821" s="1524"/>
      <c r="M1821" s="1524"/>
      <c r="N1821" s="1524"/>
      <c r="O1821" s="1525"/>
    </row>
    <row r="1822" spans="1:15" ht="12.75" customHeight="1">
      <c r="A1822" s="475">
        <v>59</v>
      </c>
      <c r="B1822" s="1523" t="s">
        <v>1910</v>
      </c>
      <c r="C1822" s="1524"/>
      <c r="D1822" s="1524"/>
      <c r="E1822" s="1524"/>
      <c r="F1822" s="1524"/>
      <c r="G1822" s="1524"/>
      <c r="H1822" s="1524"/>
      <c r="I1822" s="1524"/>
      <c r="J1822" s="1524"/>
      <c r="K1822" s="1524"/>
      <c r="L1822" s="1524"/>
      <c r="M1822" s="1524"/>
      <c r="N1822" s="1524"/>
      <c r="O1822" s="1525"/>
    </row>
    <row r="1823" spans="1:15" ht="12.75" customHeight="1">
      <c r="A1823" s="475">
        <v>60</v>
      </c>
      <c r="B1823" s="1523" t="s">
        <v>1911</v>
      </c>
      <c r="C1823" s="1524"/>
      <c r="D1823" s="1524"/>
      <c r="E1823" s="1524"/>
      <c r="F1823" s="1524"/>
      <c r="G1823" s="1524"/>
      <c r="H1823" s="1524"/>
      <c r="I1823" s="1524"/>
      <c r="J1823" s="1524"/>
      <c r="K1823" s="1524"/>
      <c r="L1823" s="1524"/>
      <c r="M1823" s="1524"/>
      <c r="N1823" s="1524"/>
      <c r="O1823" s="1525"/>
    </row>
    <row r="1824" spans="1:15" ht="12.75" customHeight="1">
      <c r="A1824" s="475">
        <v>61</v>
      </c>
      <c r="B1824" s="1523" t="s">
        <v>1912</v>
      </c>
      <c r="C1824" s="1524"/>
      <c r="D1824" s="1524"/>
      <c r="E1824" s="1524"/>
      <c r="F1824" s="1524"/>
      <c r="G1824" s="1524"/>
      <c r="H1824" s="1524"/>
      <c r="I1824" s="1524"/>
      <c r="J1824" s="1524"/>
      <c r="K1824" s="1524"/>
      <c r="L1824" s="1524"/>
      <c r="M1824" s="1524"/>
      <c r="N1824" s="1524"/>
      <c r="O1824" s="1525"/>
    </row>
    <row r="1825" spans="1:15" ht="12.75" customHeight="1">
      <c r="A1825" s="475">
        <v>62</v>
      </c>
      <c r="B1825" s="1523" t="s">
        <v>1913</v>
      </c>
      <c r="C1825" s="1524"/>
      <c r="D1825" s="1524"/>
      <c r="E1825" s="1524"/>
      <c r="F1825" s="1524"/>
      <c r="G1825" s="1524"/>
      <c r="H1825" s="1524"/>
      <c r="I1825" s="1524"/>
      <c r="J1825" s="1524"/>
      <c r="K1825" s="1524"/>
      <c r="L1825" s="1524"/>
      <c r="M1825" s="1524"/>
      <c r="N1825" s="1524"/>
      <c r="O1825" s="1525"/>
    </row>
    <row r="1826" spans="1:15" ht="12.75" customHeight="1">
      <c r="A1826" s="475">
        <v>63</v>
      </c>
      <c r="B1826" s="1523" t="s">
        <v>1914</v>
      </c>
      <c r="C1826" s="1524"/>
      <c r="D1826" s="1524"/>
      <c r="E1826" s="1524"/>
      <c r="F1826" s="1524"/>
      <c r="G1826" s="1524"/>
      <c r="H1826" s="1524"/>
      <c r="I1826" s="1524"/>
      <c r="J1826" s="1524"/>
      <c r="K1826" s="1524"/>
      <c r="L1826" s="1524"/>
      <c r="M1826" s="1524"/>
      <c r="N1826" s="1524"/>
      <c r="O1826" s="1525"/>
    </row>
    <row r="1827" spans="1:15" ht="12.75" customHeight="1">
      <c r="A1827" s="475">
        <v>64</v>
      </c>
      <c r="B1827" s="1523" t="s">
        <v>1915</v>
      </c>
      <c r="C1827" s="1524"/>
      <c r="D1827" s="1524"/>
      <c r="E1827" s="1524"/>
      <c r="F1827" s="1524"/>
      <c r="G1827" s="1524"/>
      <c r="H1827" s="1524"/>
      <c r="I1827" s="1524"/>
      <c r="J1827" s="1524"/>
      <c r="K1827" s="1524"/>
      <c r="L1827" s="1524"/>
      <c r="M1827" s="1524"/>
      <c r="N1827" s="1524"/>
      <c r="O1827" s="1525"/>
    </row>
    <row r="1828" spans="1:15" ht="12.75" customHeight="1">
      <c r="A1828" s="475">
        <v>65</v>
      </c>
      <c r="B1828" s="1523" t="s">
        <v>1916</v>
      </c>
      <c r="C1828" s="1524"/>
      <c r="D1828" s="1524"/>
      <c r="E1828" s="1524"/>
      <c r="F1828" s="1524"/>
      <c r="G1828" s="1524"/>
      <c r="H1828" s="1524"/>
      <c r="I1828" s="1524"/>
      <c r="J1828" s="1524"/>
      <c r="K1828" s="1524"/>
      <c r="L1828" s="1524"/>
      <c r="M1828" s="1524"/>
      <c r="N1828" s="1524"/>
      <c r="O1828" s="1525"/>
    </row>
    <row r="1829" spans="1:15">
      <c r="A1829" s="475">
        <v>66</v>
      </c>
      <c r="B1829" s="1523" t="s">
        <v>1917</v>
      </c>
      <c r="C1829" s="1524"/>
      <c r="D1829" s="1524"/>
      <c r="E1829" s="1524"/>
      <c r="F1829" s="1524"/>
      <c r="G1829" s="1524"/>
      <c r="H1829" s="1524"/>
      <c r="I1829" s="1524"/>
      <c r="J1829" s="1524"/>
      <c r="K1829" s="1524"/>
      <c r="L1829" s="1524"/>
      <c r="M1829" s="1524"/>
      <c r="N1829" s="1524"/>
      <c r="O1829" s="1525"/>
    </row>
    <row r="1830" spans="1:15" ht="12.75" customHeight="1">
      <c r="A1830" s="475">
        <v>67</v>
      </c>
      <c r="B1830" s="1523" t="s">
        <v>1918</v>
      </c>
      <c r="C1830" s="1524"/>
      <c r="D1830" s="1524"/>
      <c r="E1830" s="1524"/>
      <c r="F1830" s="1524"/>
      <c r="G1830" s="1524"/>
      <c r="H1830" s="1524"/>
      <c r="I1830" s="1524"/>
      <c r="J1830" s="1524"/>
      <c r="K1830" s="1524"/>
      <c r="L1830" s="1524"/>
      <c r="M1830" s="1524"/>
      <c r="N1830" s="1524"/>
      <c r="O1830" s="1525"/>
    </row>
    <row r="1831" spans="1:15" ht="12.75" customHeight="1">
      <c r="A1831" s="475">
        <v>68</v>
      </c>
      <c r="B1831" s="1523" t="s">
        <v>1919</v>
      </c>
      <c r="C1831" s="1524"/>
      <c r="D1831" s="1524"/>
      <c r="E1831" s="1524"/>
      <c r="F1831" s="1524"/>
      <c r="G1831" s="1524"/>
      <c r="H1831" s="1524"/>
      <c r="I1831" s="1524"/>
      <c r="J1831" s="1524"/>
      <c r="K1831" s="1524"/>
      <c r="L1831" s="1524"/>
      <c r="M1831" s="1524"/>
      <c r="N1831" s="1524"/>
      <c r="O1831" s="1525"/>
    </row>
    <row r="1832" spans="1:15" ht="12.75" customHeight="1">
      <c r="A1832" s="475">
        <v>69</v>
      </c>
      <c r="B1832" s="1523" t="s">
        <v>1920</v>
      </c>
      <c r="C1832" s="1524"/>
      <c r="D1832" s="1524"/>
      <c r="E1832" s="1524"/>
      <c r="F1832" s="1524"/>
      <c r="G1832" s="1524"/>
      <c r="H1832" s="1524"/>
      <c r="I1832" s="1524"/>
      <c r="J1832" s="1524"/>
      <c r="K1832" s="1524"/>
      <c r="L1832" s="1524"/>
      <c r="M1832" s="1524"/>
      <c r="N1832" s="1524"/>
      <c r="O1832" s="1525"/>
    </row>
    <row r="1833" spans="1:15" ht="12.75" customHeight="1">
      <c r="A1833" s="475">
        <v>70</v>
      </c>
      <c r="B1833" s="1523" t="s">
        <v>1921</v>
      </c>
      <c r="C1833" s="1524"/>
      <c r="D1833" s="1524"/>
      <c r="E1833" s="1524"/>
      <c r="F1833" s="1524"/>
      <c r="G1833" s="1524"/>
      <c r="H1833" s="1524"/>
      <c r="I1833" s="1524"/>
      <c r="J1833" s="1524"/>
      <c r="K1833" s="1524"/>
      <c r="L1833" s="1524"/>
      <c r="M1833" s="1524"/>
      <c r="N1833" s="1524"/>
      <c r="O1833" s="1525"/>
    </row>
  </sheetData>
  <mergeCells count="4438">
    <mergeCell ref="B1831:O1831"/>
    <mergeCell ref="B1832:O1832"/>
    <mergeCell ref="B1833:O1833"/>
    <mergeCell ref="A1736:O1736"/>
    <mergeCell ref="A1733:O1733"/>
    <mergeCell ref="B1814:O1814"/>
    <mergeCell ref="B1815:O1815"/>
    <mergeCell ref="B1816:O1816"/>
    <mergeCell ref="B1829:O1829"/>
    <mergeCell ref="C941:E941"/>
    <mergeCell ref="L1609:O1609"/>
    <mergeCell ref="B1825:O1825"/>
    <mergeCell ref="B1826:O1826"/>
    <mergeCell ref="B1827:O1827"/>
    <mergeCell ref="B1828:O1828"/>
    <mergeCell ref="B1824:O1824"/>
    <mergeCell ref="B1819:O1819"/>
    <mergeCell ref="B1820:O1820"/>
    <mergeCell ref="B1821:O1821"/>
    <mergeCell ref="B1790:O1790"/>
    <mergeCell ref="B1791:O1791"/>
    <mergeCell ref="B1792:O1792"/>
    <mergeCell ref="B1793:O1793"/>
    <mergeCell ref="B1794:O1794"/>
    <mergeCell ref="B1795:O1795"/>
    <mergeCell ref="B1796:O1796"/>
    <mergeCell ref="B1797:O1797"/>
    <mergeCell ref="B1798:O1798"/>
    <mergeCell ref="B1799:O1799"/>
    <mergeCell ref="B1800:O1800"/>
    <mergeCell ref="B1805:O1805"/>
    <mergeCell ref="B1806:O1806"/>
    <mergeCell ref="B1807:O1807"/>
    <mergeCell ref="B1801:O1801"/>
    <mergeCell ref="B1802:O1802"/>
    <mergeCell ref="B1830:O1830"/>
    <mergeCell ref="B1823:O1823"/>
    <mergeCell ref="B1808:O1808"/>
    <mergeCell ref="B1809:O1809"/>
    <mergeCell ref="B1810:O1810"/>
    <mergeCell ref="B1811:O1811"/>
    <mergeCell ref="B1812:O1812"/>
    <mergeCell ref="B1813:O1813"/>
    <mergeCell ref="B1817:O1817"/>
    <mergeCell ref="B1818:O1818"/>
    <mergeCell ref="B1822:O1822"/>
    <mergeCell ref="B1770:O1770"/>
    <mergeCell ref="B1771:O1771"/>
    <mergeCell ref="B1772:O1772"/>
    <mergeCell ref="B1773:O1773"/>
    <mergeCell ref="B1777:O1777"/>
    <mergeCell ref="B1778:O1778"/>
    <mergeCell ref="B1779:O1779"/>
    <mergeCell ref="B1780:O1780"/>
    <mergeCell ref="B1781:O1781"/>
    <mergeCell ref="B1782:O1782"/>
    <mergeCell ref="B1783:O1783"/>
    <mergeCell ref="B1784:O1784"/>
    <mergeCell ref="B1785:O1785"/>
    <mergeCell ref="B1786:O1786"/>
    <mergeCell ref="B1787:O1787"/>
    <mergeCell ref="B1788:O1788"/>
    <mergeCell ref="B1789:O1789"/>
    <mergeCell ref="B1774:O1774"/>
    <mergeCell ref="A1738:O1738"/>
    <mergeCell ref="A1739:O1739"/>
    <mergeCell ref="A1740:O1740"/>
    <mergeCell ref="A1745:O1745"/>
    <mergeCell ref="A1746:O1746"/>
    <mergeCell ref="A1747:O1747"/>
    <mergeCell ref="A1748:O1748"/>
    <mergeCell ref="A1749:O1749"/>
    <mergeCell ref="A1750:O1750"/>
    <mergeCell ref="A1756:O1756"/>
    <mergeCell ref="A1759:O1759"/>
    <mergeCell ref="A1760:O1760"/>
    <mergeCell ref="A1761:O1761"/>
    <mergeCell ref="B1764:O1764"/>
    <mergeCell ref="B1765:O1765"/>
    <mergeCell ref="B1768:O1768"/>
    <mergeCell ref="B1769:O1769"/>
    <mergeCell ref="A1753:O1753"/>
    <mergeCell ref="A1754:O1754"/>
    <mergeCell ref="A1751:O1751"/>
    <mergeCell ref="A1744:O1744"/>
    <mergeCell ref="A1741:O1741"/>
    <mergeCell ref="A1742:O1742"/>
    <mergeCell ref="A1743:O1743"/>
    <mergeCell ref="A1755:O1755"/>
    <mergeCell ref="M1731:O1731"/>
    <mergeCell ref="L1724:O1724"/>
    <mergeCell ref="L1729:O1729"/>
    <mergeCell ref="A1734:O1734"/>
    <mergeCell ref="A1735:O1735"/>
    <mergeCell ref="A1737:O1737"/>
    <mergeCell ref="C1731:K1731"/>
    <mergeCell ref="B1724:B1726"/>
    <mergeCell ref="B1727:B1731"/>
    <mergeCell ref="A1724:A1731"/>
    <mergeCell ref="M1725:O1725"/>
    <mergeCell ref="M1726:O1726"/>
    <mergeCell ref="M1727:O1727"/>
    <mergeCell ref="C1719:O1719"/>
    <mergeCell ref="B1720:O1720"/>
    <mergeCell ref="L1717:O1717"/>
    <mergeCell ref="C1711:K1711"/>
    <mergeCell ref="C1712:K1712"/>
    <mergeCell ref="C1714:K1714"/>
    <mergeCell ref="C1715:K1715"/>
    <mergeCell ref="C1716:K1716"/>
    <mergeCell ref="C1724:K1724"/>
    <mergeCell ref="C1725:K1725"/>
    <mergeCell ref="B1717:K1717"/>
    <mergeCell ref="C1730:K1730"/>
    <mergeCell ref="M1730:O1730"/>
    <mergeCell ref="M1715:O1715"/>
    <mergeCell ref="M1716:O1716"/>
    <mergeCell ref="B1713:K1713"/>
    <mergeCell ref="B1709:K1709"/>
    <mergeCell ref="A1723:O1723"/>
    <mergeCell ref="A1721:O1721"/>
    <mergeCell ref="M1728:O1728"/>
    <mergeCell ref="A1722:O1722"/>
    <mergeCell ref="C1729:K1729"/>
    <mergeCell ref="B1693:B1698"/>
    <mergeCell ref="B1699:B1703"/>
    <mergeCell ref="C1701:K1701"/>
    <mergeCell ref="C1702:K1702"/>
    <mergeCell ref="C1703:K1703"/>
    <mergeCell ref="C1699:K1699"/>
    <mergeCell ref="C1700:K1700"/>
    <mergeCell ref="A1676:A1708"/>
    <mergeCell ref="A1713:A1716"/>
    <mergeCell ref="C1710:K1710"/>
    <mergeCell ref="M1705:O1705"/>
    <mergeCell ref="M1706:O1706"/>
    <mergeCell ref="M1707:O1707"/>
    <mergeCell ref="M1708:O1708"/>
    <mergeCell ref="M1709:O1709"/>
    <mergeCell ref="M1699:O1699"/>
    <mergeCell ref="M1700:O1700"/>
    <mergeCell ref="M1701:O1701"/>
    <mergeCell ref="C1677:K1677"/>
    <mergeCell ref="B1658:K1658"/>
    <mergeCell ref="B1659:K1659"/>
    <mergeCell ref="A1717:A1720"/>
    <mergeCell ref="C1704:K1704"/>
    <mergeCell ref="M1710:O1710"/>
    <mergeCell ref="M1711:O1711"/>
    <mergeCell ref="M1712:O1712"/>
    <mergeCell ref="M1713:O1713"/>
    <mergeCell ref="M1714:O1714"/>
    <mergeCell ref="L1675:O1676"/>
    <mergeCell ref="C1718:O1718"/>
    <mergeCell ref="C1691:K1691"/>
    <mergeCell ref="C1692:K1692"/>
    <mergeCell ref="C1693:K1693"/>
    <mergeCell ref="C1694:K1694"/>
    <mergeCell ref="C1705:K1705"/>
    <mergeCell ref="C1706:K1706"/>
    <mergeCell ref="C1695:K1695"/>
    <mergeCell ref="C1696:K1696"/>
    <mergeCell ref="C1697:K1697"/>
    <mergeCell ref="C1698:K1698"/>
    <mergeCell ref="M1702:O1702"/>
    <mergeCell ref="M1703:O1703"/>
    <mergeCell ref="C1678:K1678"/>
    <mergeCell ref="B1714:B1716"/>
    <mergeCell ref="B1710:B1712"/>
    <mergeCell ref="B1671:K1671"/>
    <mergeCell ref="M1669:O1669"/>
    <mergeCell ref="M1670:O1670"/>
    <mergeCell ref="M1671:O1671"/>
    <mergeCell ref="A1655:A1663"/>
    <mergeCell ref="A1709:A1712"/>
    <mergeCell ref="A1665:O1665"/>
    <mergeCell ref="A1666:O1666"/>
    <mergeCell ref="A1672:O1672"/>
    <mergeCell ref="A1674:O1674"/>
    <mergeCell ref="A1673:O1673"/>
    <mergeCell ref="A1675:K1675"/>
    <mergeCell ref="L1668:O1668"/>
    <mergeCell ref="A1667:O1667"/>
    <mergeCell ref="B1668:K1668"/>
    <mergeCell ref="B1669:K1669"/>
    <mergeCell ref="B1670:K1670"/>
    <mergeCell ref="C1707:K1707"/>
    <mergeCell ref="C1708:K1708"/>
    <mergeCell ref="C1686:K1686"/>
    <mergeCell ref="M1690:O1690"/>
    <mergeCell ref="M1693:O1693"/>
    <mergeCell ref="M1694:O1694"/>
    <mergeCell ref="M1695:O1695"/>
    <mergeCell ref="M1696:O1696"/>
    <mergeCell ref="M1697:O1697"/>
    <mergeCell ref="M1698:O1698"/>
    <mergeCell ref="M1687:O1687"/>
    <mergeCell ref="M1688:O1688"/>
    <mergeCell ref="C1612:K1612"/>
    <mergeCell ref="C1614:K1614"/>
    <mergeCell ref="C1615:K1615"/>
    <mergeCell ref="C1616:K1616"/>
    <mergeCell ref="B1660:K1660"/>
    <mergeCell ref="B1661:K1661"/>
    <mergeCell ref="B1662:K1662"/>
    <mergeCell ref="A1664:O1664"/>
    <mergeCell ref="B1663:K1663"/>
    <mergeCell ref="M1655:O1655"/>
    <mergeCell ref="M1656:O1656"/>
    <mergeCell ref="M1657:O1657"/>
    <mergeCell ref="M1658:O1658"/>
    <mergeCell ref="M1659:O1659"/>
    <mergeCell ref="M1660:O1660"/>
    <mergeCell ref="M1661:O1661"/>
    <mergeCell ref="M1662:O1662"/>
    <mergeCell ref="A1651:O1651"/>
    <mergeCell ref="A1653:O1653"/>
    <mergeCell ref="A1652:O1652"/>
    <mergeCell ref="L1654:O1654"/>
    <mergeCell ref="B1632:B1634"/>
    <mergeCell ref="B1628:B1631"/>
    <mergeCell ref="B1624:B1627"/>
    <mergeCell ref="M1615:O1615"/>
    <mergeCell ref="M1616:O1616"/>
    <mergeCell ref="M1617:O1617"/>
    <mergeCell ref="M1618:O1618"/>
    <mergeCell ref="M1619:O1619"/>
    <mergeCell ref="M1620:O1620"/>
    <mergeCell ref="M1621:O1621"/>
    <mergeCell ref="M1622:O1622"/>
    <mergeCell ref="M1623:O1623"/>
    <mergeCell ref="M1624:O1624"/>
    <mergeCell ref="M1625:O1625"/>
    <mergeCell ref="M1646:O1646"/>
    <mergeCell ref="M1647:O1647"/>
    <mergeCell ref="M1648:O1648"/>
    <mergeCell ref="B1281:I1281"/>
    <mergeCell ref="K1301:L1301"/>
    <mergeCell ref="K1302:L1302"/>
    <mergeCell ref="K1303:L1303"/>
    <mergeCell ref="K1281:L1281"/>
    <mergeCell ref="K1283:L1283"/>
    <mergeCell ref="K1285:L1285"/>
    <mergeCell ref="K1284:L1284"/>
    <mergeCell ref="B1317:I1317"/>
    <mergeCell ref="B1307:I1307"/>
    <mergeCell ref="B1306:I1306"/>
    <mergeCell ref="K1315:L1315"/>
    <mergeCell ref="K1316:L1316"/>
    <mergeCell ref="K1317:L1317"/>
    <mergeCell ref="B1313:I1313"/>
    <mergeCell ref="B1314:I1314"/>
    <mergeCell ref="B1315:I1315"/>
    <mergeCell ref="B1316:I1316"/>
    <mergeCell ref="K1312:L1312"/>
    <mergeCell ref="K1313:L1313"/>
    <mergeCell ref="K1314:L1314"/>
    <mergeCell ref="B1312:I1312"/>
    <mergeCell ref="K1304:L1304"/>
    <mergeCell ref="K1305:L1305"/>
    <mergeCell ref="B1308:I1308"/>
    <mergeCell ref="B1309:I1309"/>
    <mergeCell ref="K1306:L1306"/>
    <mergeCell ref="K1307:L1307"/>
    <mergeCell ref="K1308:L1308"/>
    <mergeCell ref="K1309:L1309"/>
    <mergeCell ref="A1311:K1311"/>
    <mergeCell ref="K1296:L1296"/>
    <mergeCell ref="B1272:I1272"/>
    <mergeCell ref="B1273:I1273"/>
    <mergeCell ref="B1274:I1274"/>
    <mergeCell ref="B1249:I1249"/>
    <mergeCell ref="B1250:I1250"/>
    <mergeCell ref="B1251:I1251"/>
    <mergeCell ref="B1267:I1267"/>
    <mergeCell ref="B1268:I1268"/>
    <mergeCell ref="A1265:O1265"/>
    <mergeCell ref="A1266:K1266"/>
    <mergeCell ref="K1263:L1263"/>
    <mergeCell ref="K1264:L1264"/>
    <mergeCell ref="K1267:L1267"/>
    <mergeCell ref="K1261:L1261"/>
    <mergeCell ref="K1262:L1262"/>
    <mergeCell ref="B1256:I1256"/>
    <mergeCell ref="B1257:I1257"/>
    <mergeCell ref="B1258:I1258"/>
    <mergeCell ref="B1259:I1259"/>
    <mergeCell ref="B1260:I1260"/>
    <mergeCell ref="B1261:I1261"/>
    <mergeCell ref="B1262:I1262"/>
    <mergeCell ref="K1297:L1297"/>
    <mergeCell ref="K1298:L1298"/>
    <mergeCell ref="B1292:I1292"/>
    <mergeCell ref="B1293:I1293"/>
    <mergeCell ref="K1235:L1235"/>
    <mergeCell ref="K1236:L1236"/>
    <mergeCell ref="B1234:I1234"/>
    <mergeCell ref="B1235:I1235"/>
    <mergeCell ref="B1236:I1236"/>
    <mergeCell ref="B1237:I1237"/>
    <mergeCell ref="M1239:N1239"/>
    <mergeCell ref="M1240:N1240"/>
    <mergeCell ref="M1241:N1241"/>
    <mergeCell ref="B1238:I1238"/>
    <mergeCell ref="K1238:L1238"/>
    <mergeCell ref="K1237:L1237"/>
    <mergeCell ref="B1276:I1276"/>
    <mergeCell ref="B1277:I1277"/>
    <mergeCell ref="A1246:K1246"/>
    <mergeCell ref="K1268:L1268"/>
    <mergeCell ref="K1269:L1269"/>
    <mergeCell ref="K1270:L1270"/>
    <mergeCell ref="K1253:L1253"/>
    <mergeCell ref="K1254:L1254"/>
    <mergeCell ref="B1254:I1254"/>
    <mergeCell ref="B1255:I1255"/>
    <mergeCell ref="B1263:I1263"/>
    <mergeCell ref="B1264:I1264"/>
    <mergeCell ref="M1266:N1266"/>
    <mergeCell ref="M1246:N1246"/>
    <mergeCell ref="B1252:I1252"/>
    <mergeCell ref="K1259:L1259"/>
    <mergeCell ref="B1275:I1275"/>
    <mergeCell ref="K1255:L1255"/>
    <mergeCell ref="K1256:L1256"/>
    <mergeCell ref="B1271:I1271"/>
    <mergeCell ref="B1803:O1803"/>
    <mergeCell ref="B1804:O1804"/>
    <mergeCell ref="L1591:O1592"/>
    <mergeCell ref="L1599:O1599"/>
    <mergeCell ref="L1595:O1595"/>
    <mergeCell ref="B1775:O1775"/>
    <mergeCell ref="B1776:O1776"/>
    <mergeCell ref="M1683:O1683"/>
    <mergeCell ref="M1684:O1684"/>
    <mergeCell ref="M1677:O1677"/>
    <mergeCell ref="M1678:O1678"/>
    <mergeCell ref="M1679:O1679"/>
    <mergeCell ref="C1683:K1683"/>
    <mergeCell ref="C1684:K1684"/>
    <mergeCell ref="C1685:K1685"/>
    <mergeCell ref="M1685:O1685"/>
    <mergeCell ref="C1682:K1682"/>
    <mergeCell ref="M1626:O1626"/>
    <mergeCell ref="M1627:O1627"/>
    <mergeCell ref="M1628:O1628"/>
    <mergeCell ref="M1629:O1629"/>
    <mergeCell ref="M1630:O1630"/>
    <mergeCell ref="M1631:O1631"/>
    <mergeCell ref="M1632:O1632"/>
    <mergeCell ref="M1633:O1633"/>
    <mergeCell ref="M1634:O1634"/>
    <mergeCell ref="B1767:O1767"/>
    <mergeCell ref="C1726:K1726"/>
    <mergeCell ref="C1727:K1727"/>
    <mergeCell ref="B1766:O1766"/>
    <mergeCell ref="B1704:B1708"/>
    <mergeCell ref="A1752:O1752"/>
    <mergeCell ref="C455:F455"/>
    <mergeCell ref="C456:F456"/>
    <mergeCell ref="C457:F457"/>
    <mergeCell ref="A1278:O1278"/>
    <mergeCell ref="L1548:O1548"/>
    <mergeCell ref="L1585:O1585"/>
    <mergeCell ref="L1579:O1579"/>
    <mergeCell ref="B1548:K1548"/>
    <mergeCell ref="B1549:K1549"/>
    <mergeCell ref="M1550:O1550"/>
    <mergeCell ref="A1194:O1194"/>
    <mergeCell ref="A1198:O1198"/>
    <mergeCell ref="A1195:O1195"/>
    <mergeCell ref="A1201:O1201"/>
    <mergeCell ref="C1728:K1728"/>
    <mergeCell ref="M1207:N1207"/>
    <mergeCell ref="M1208:N1208"/>
    <mergeCell ref="M1210:N1210"/>
    <mergeCell ref="B1224:I1224"/>
    <mergeCell ref="M1224:N1224"/>
    <mergeCell ref="A1207:K1207"/>
    <mergeCell ref="A1209:O1209"/>
    <mergeCell ref="B1212:I1212"/>
    <mergeCell ref="M1220:N1220"/>
    <mergeCell ref="M1221:N1221"/>
    <mergeCell ref="B1217:I1217"/>
    <mergeCell ref="B1218:I1218"/>
    <mergeCell ref="M1230:N1230"/>
    <mergeCell ref="H991:I991"/>
    <mergeCell ref="M1202:O1202"/>
    <mergeCell ref="K1202:L1202"/>
    <mergeCell ref="M1204:N1204"/>
    <mergeCell ref="C392:F392"/>
    <mergeCell ref="C393:F393"/>
    <mergeCell ref="C394:F394"/>
    <mergeCell ref="C405:F405"/>
    <mergeCell ref="C406:F406"/>
    <mergeCell ref="B409:F409"/>
    <mergeCell ref="B410:F410"/>
    <mergeCell ref="A407:A410"/>
    <mergeCell ref="C411:F411"/>
    <mergeCell ref="C412:F412"/>
    <mergeCell ref="C413:F413"/>
    <mergeCell ref="C414:F414"/>
    <mergeCell ref="C415:F415"/>
    <mergeCell ref="C416:F416"/>
    <mergeCell ref="B445:F445"/>
    <mergeCell ref="B446:F446"/>
    <mergeCell ref="B447:F447"/>
    <mergeCell ref="C442:F442"/>
    <mergeCell ref="C443:F443"/>
    <mergeCell ref="B441:F441"/>
    <mergeCell ref="A402:A406"/>
    <mergeCell ref="B419:O419"/>
    <mergeCell ref="J442:K442"/>
    <mergeCell ref="J443:K443"/>
    <mergeCell ref="A442:B443"/>
    <mergeCell ref="G441:O441"/>
    <mergeCell ref="L427:M427"/>
    <mergeCell ref="N405:O405"/>
    <mergeCell ref="B452:F452"/>
    <mergeCell ref="B453:F453"/>
    <mergeCell ref="B454:F454"/>
    <mergeCell ref="M1216:N1216"/>
    <mergeCell ref="M1217:N1217"/>
    <mergeCell ref="M1613:O1613"/>
    <mergeCell ref="M1614:O1614"/>
    <mergeCell ref="K1234:L1234"/>
    <mergeCell ref="B373:F373"/>
    <mergeCell ref="B374:F374"/>
    <mergeCell ref="B375:F375"/>
    <mergeCell ref="B376:F376"/>
    <mergeCell ref="B377:F377"/>
    <mergeCell ref="B378:F378"/>
    <mergeCell ref="C397:F397"/>
    <mergeCell ref="B398:F398"/>
    <mergeCell ref="B399:F399"/>
    <mergeCell ref="C400:F400"/>
    <mergeCell ref="B407:F407"/>
    <mergeCell ref="B408:F408"/>
    <mergeCell ref="C401:F401"/>
    <mergeCell ref="B404:F404"/>
    <mergeCell ref="B402:F402"/>
    <mergeCell ref="B403:F403"/>
    <mergeCell ref="B379:F379"/>
    <mergeCell ref="B1219:I1219"/>
    <mergeCell ref="B1220:I1220"/>
    <mergeCell ref="G988:O990"/>
    <mergeCell ref="J987:K987"/>
    <mergeCell ref="J991:K991"/>
    <mergeCell ref="J983:K983"/>
    <mergeCell ref="L983:M983"/>
    <mergeCell ref="K1218:L1218"/>
    <mergeCell ref="B388:F388"/>
    <mergeCell ref="M1570:O1570"/>
    <mergeCell ref="M1571:O1571"/>
    <mergeCell ref="M1574:O1574"/>
    <mergeCell ref="B380:F380"/>
    <mergeCell ref="B381:F381"/>
    <mergeCell ref="C389:F389"/>
    <mergeCell ref="C390:F390"/>
    <mergeCell ref="C391:F391"/>
    <mergeCell ref="M1549:O1549"/>
    <mergeCell ref="C395:F395"/>
    <mergeCell ref="C396:F396"/>
    <mergeCell ref="K1226:L1226"/>
    <mergeCell ref="K1230:L1230"/>
    <mergeCell ref="B1227:I1227"/>
    <mergeCell ref="B1228:I1228"/>
    <mergeCell ref="B1229:I1229"/>
    <mergeCell ref="B1221:I1221"/>
    <mergeCell ref="B1226:I1226"/>
    <mergeCell ref="K1229:L1229"/>
    <mergeCell ref="M1229:N1229"/>
    <mergeCell ref="K1224:L1224"/>
    <mergeCell ref="K1225:L1225"/>
    <mergeCell ref="B382:F382"/>
    <mergeCell ref="B383:F383"/>
    <mergeCell ref="K1231:L1231"/>
    <mergeCell ref="B1230:I1230"/>
    <mergeCell ref="K1227:L1227"/>
    <mergeCell ref="K1219:L1219"/>
    <mergeCell ref="K1220:L1220"/>
    <mergeCell ref="C417:F417"/>
    <mergeCell ref="B450:F450"/>
    <mergeCell ref="M1691:O1691"/>
    <mergeCell ref="M1692:O1692"/>
    <mergeCell ref="M1680:O1680"/>
    <mergeCell ref="M1681:O1681"/>
    <mergeCell ref="M1682:O1682"/>
    <mergeCell ref="B1655:K1655"/>
    <mergeCell ref="B1656:K1656"/>
    <mergeCell ref="C1642:K1642"/>
    <mergeCell ref="C1647:K1647"/>
    <mergeCell ref="C1618:K1618"/>
    <mergeCell ref="C1619:K1619"/>
    <mergeCell ref="C1621:K1621"/>
    <mergeCell ref="C1622:K1622"/>
    <mergeCell ref="C1625:K1625"/>
    <mergeCell ref="C1620:K1620"/>
    <mergeCell ref="C1624:K1624"/>
    <mergeCell ref="B1620:B1623"/>
    <mergeCell ref="B1617:B1619"/>
    <mergeCell ref="C1631:K1631"/>
    <mergeCell ref="C1632:K1632"/>
    <mergeCell ref="C1623:K1623"/>
    <mergeCell ref="C1626:K1626"/>
    <mergeCell ref="C1627:K1627"/>
    <mergeCell ref="C1628:K1628"/>
    <mergeCell ref="C1629:K1629"/>
    <mergeCell ref="C1630:K1630"/>
    <mergeCell ref="C1633:K1633"/>
    <mergeCell ref="C1634:K1634"/>
    <mergeCell ref="A1654:K1654"/>
    <mergeCell ref="C1617:K1617"/>
    <mergeCell ref="A1648:A1650"/>
    <mergeCell ref="A1609:A1647"/>
    <mergeCell ref="C1650:K1650"/>
    <mergeCell ref="B1648:K1648"/>
    <mergeCell ref="M1663:O1663"/>
    <mergeCell ref="B1657:K1657"/>
    <mergeCell ref="C1637:K1637"/>
    <mergeCell ref="C1638:K1638"/>
    <mergeCell ref="C1645:K1645"/>
    <mergeCell ref="C1646:K1646"/>
    <mergeCell ref="C1639:K1639"/>
    <mergeCell ref="C1640:K1640"/>
    <mergeCell ref="C1641:K1641"/>
    <mergeCell ref="C1643:K1643"/>
    <mergeCell ref="C1644:K1644"/>
    <mergeCell ref="C1635:K1635"/>
    <mergeCell ref="C1636:K1636"/>
    <mergeCell ref="M1689:O1689"/>
    <mergeCell ref="B1649:B1650"/>
    <mergeCell ref="B1646:B1647"/>
    <mergeCell ref="B1642:B1645"/>
    <mergeCell ref="B1638:B1641"/>
    <mergeCell ref="B1635:B1637"/>
    <mergeCell ref="M1649:O1649"/>
    <mergeCell ref="M1650:O1650"/>
    <mergeCell ref="C1687:K1687"/>
    <mergeCell ref="C1681:K1681"/>
    <mergeCell ref="B1676:K1676"/>
    <mergeCell ref="B1678:B1684"/>
    <mergeCell ref="B1685:B1691"/>
    <mergeCell ref="C1679:K1679"/>
    <mergeCell ref="C1680:K1680"/>
    <mergeCell ref="C1611:K1611"/>
    <mergeCell ref="C1613:K1613"/>
    <mergeCell ref="C1610:K1610"/>
    <mergeCell ref="L1602:O1604"/>
    <mergeCell ref="B1609:K1609"/>
    <mergeCell ref="M1610:O1610"/>
    <mergeCell ref="A1607:O1607"/>
    <mergeCell ref="A1606:O1606"/>
    <mergeCell ref="M1601:O1601"/>
    <mergeCell ref="B1579:K1579"/>
    <mergeCell ref="B1580:K1580"/>
    <mergeCell ref="B1581:K1581"/>
    <mergeCell ref="B1582:K1582"/>
    <mergeCell ref="B1583:K1583"/>
    <mergeCell ref="M1587:O1587"/>
    <mergeCell ref="M1704:O1704"/>
    <mergeCell ref="C1688:K1688"/>
    <mergeCell ref="C1689:K1689"/>
    <mergeCell ref="C1690:K1690"/>
    <mergeCell ref="M1686:O1686"/>
    <mergeCell ref="M1635:O1635"/>
    <mergeCell ref="M1636:O1636"/>
    <mergeCell ref="M1637:O1637"/>
    <mergeCell ref="M1638:O1638"/>
    <mergeCell ref="M1639:O1639"/>
    <mergeCell ref="M1640:O1640"/>
    <mergeCell ref="M1641:O1641"/>
    <mergeCell ref="M1642:O1642"/>
    <mergeCell ref="M1643:O1643"/>
    <mergeCell ref="M1644:O1644"/>
    <mergeCell ref="M1645:O1645"/>
    <mergeCell ref="C1649:K1649"/>
    <mergeCell ref="M1611:O1611"/>
    <mergeCell ref="M1612:O1612"/>
    <mergeCell ref="F1438:O1438"/>
    <mergeCell ref="B1441:B1442"/>
    <mergeCell ref="C1446:E1446"/>
    <mergeCell ref="C1443:E1443"/>
    <mergeCell ref="F1443:O1443"/>
    <mergeCell ref="F1452:O1452"/>
    <mergeCell ref="F1449:O1449"/>
    <mergeCell ref="B1452:E1452"/>
    <mergeCell ref="B1455:E1455"/>
    <mergeCell ref="M1545:O1545"/>
    <mergeCell ref="A1542:O1542"/>
    <mergeCell ref="A1544:A1553"/>
    <mergeCell ref="B1475:K1475"/>
    <mergeCell ref="C1451:E1451"/>
    <mergeCell ref="M1476:O1476"/>
    <mergeCell ref="M1553:O1553"/>
    <mergeCell ref="M1558:O1558"/>
    <mergeCell ref="M1559:O1559"/>
    <mergeCell ref="M1562:O1562"/>
    <mergeCell ref="M1563:O1563"/>
    <mergeCell ref="M1566:O1566"/>
    <mergeCell ref="B1611:B1616"/>
    <mergeCell ref="A1608:O1608"/>
    <mergeCell ref="M1567:O1567"/>
    <mergeCell ref="B1585:K1585"/>
    <mergeCell ref="B1598:K1598"/>
    <mergeCell ref="B1599:K1599"/>
    <mergeCell ref="B1600:K1600"/>
    <mergeCell ref="A1577:O1577"/>
    <mergeCell ref="M1580:O1580"/>
    <mergeCell ref="G1499:O1499"/>
    <mergeCell ref="G1526:O1526"/>
    <mergeCell ref="B1523:F1523"/>
    <mergeCell ref="B1524:F1524"/>
    <mergeCell ref="B1525:F1525"/>
    <mergeCell ref="B1526:F1526"/>
    <mergeCell ref="G1520:O1520"/>
    <mergeCell ref="G1523:O1523"/>
    <mergeCell ref="G1515:O1517"/>
    <mergeCell ref="G1505:O1505"/>
    <mergeCell ref="G1502:O1502"/>
    <mergeCell ref="B1530:F1530"/>
    <mergeCell ref="G1436:H1436"/>
    <mergeCell ref="B1438:E1438"/>
    <mergeCell ref="A1482:O1482"/>
    <mergeCell ref="A1483:O1483"/>
    <mergeCell ref="G1485:H1485"/>
    <mergeCell ref="B1479:K1479"/>
    <mergeCell ref="A1473:A1479"/>
    <mergeCell ref="M1470:O1470"/>
    <mergeCell ref="B1471:K1471"/>
    <mergeCell ref="M1469:O1469"/>
    <mergeCell ref="B1498:F1498"/>
    <mergeCell ref="B1504:F1504"/>
    <mergeCell ref="B1519:F1519"/>
    <mergeCell ref="B1520:F1520"/>
    <mergeCell ref="B1521:F1521"/>
    <mergeCell ref="A1453:B1454"/>
    <mergeCell ref="C1454:E1454"/>
    <mergeCell ref="B1477:K1477"/>
    <mergeCell ref="M1477:O1477"/>
    <mergeCell ref="C1457:E1457"/>
    <mergeCell ref="B1527:F1527"/>
    <mergeCell ref="B1239:I1239"/>
    <mergeCell ref="B1240:I1240"/>
    <mergeCell ref="B1241:I1241"/>
    <mergeCell ref="B1242:I1242"/>
    <mergeCell ref="B1288:I1288"/>
    <mergeCell ref="B1248:I1248"/>
    <mergeCell ref="B1243:I1243"/>
    <mergeCell ref="A1427:A1430"/>
    <mergeCell ref="A1436:F1437"/>
    <mergeCell ref="A1323:O1323"/>
    <mergeCell ref="A1299:O1299"/>
    <mergeCell ref="A1310:O1310"/>
    <mergeCell ref="B1449:E1449"/>
    <mergeCell ref="C1444:E1444"/>
    <mergeCell ref="C1439:E1439"/>
    <mergeCell ref="C1440:E1440"/>
    <mergeCell ref="A1412:O1412"/>
    <mergeCell ref="A1439:A1448"/>
    <mergeCell ref="C1448:E1448"/>
    <mergeCell ref="A1433:O1433"/>
    <mergeCell ref="C1447:E1447"/>
    <mergeCell ref="A1416:A1417"/>
    <mergeCell ref="F1440:O1440"/>
    <mergeCell ref="A1424:O1424"/>
    <mergeCell ref="A1425:O1425"/>
    <mergeCell ref="A1434:O1434"/>
    <mergeCell ref="I1436:O1436"/>
    <mergeCell ref="B1415:K1415"/>
    <mergeCell ref="A1413:O1413"/>
    <mergeCell ref="M1430:O1430"/>
    <mergeCell ref="B1427:K1427"/>
    <mergeCell ref="B1428:K1428"/>
    <mergeCell ref="B1528:F1528"/>
    <mergeCell ref="B1517:F1517"/>
    <mergeCell ref="B1518:F1518"/>
    <mergeCell ref="B1244:I1244"/>
    <mergeCell ref="A1245:O1245"/>
    <mergeCell ref="G1496:O1496"/>
    <mergeCell ref="G1493:O1493"/>
    <mergeCell ref="G1508:O1509"/>
    <mergeCell ref="G1512:O1512"/>
    <mergeCell ref="B1505:F1505"/>
    <mergeCell ref="B1506:F1506"/>
    <mergeCell ref="B1507:F1507"/>
    <mergeCell ref="B1508:F1508"/>
    <mergeCell ref="C1441:E1441"/>
    <mergeCell ref="A1318:O1318"/>
    <mergeCell ref="C1450:E1450"/>
    <mergeCell ref="C1453:E1453"/>
    <mergeCell ref="B1467:O1467"/>
    <mergeCell ref="B1458:O1458"/>
    <mergeCell ref="B1509:F1509"/>
    <mergeCell ref="B1510:F1510"/>
    <mergeCell ref="B1493:F1493"/>
    <mergeCell ref="B1494:F1494"/>
    <mergeCell ref="B1495:F1495"/>
    <mergeCell ref="B1496:F1496"/>
    <mergeCell ref="B1497:F1497"/>
    <mergeCell ref="M1428:O1428"/>
    <mergeCell ref="M1429:O1429"/>
    <mergeCell ref="B1409:K1409"/>
    <mergeCell ref="A1410:O1410"/>
    <mergeCell ref="M1416:O1416"/>
    <mergeCell ref="B1416:K1416"/>
    <mergeCell ref="B1429:K1429"/>
    <mergeCell ref="B1430:K1430"/>
    <mergeCell ref="L1427:O1427"/>
    <mergeCell ref="B1522:F1522"/>
    <mergeCell ref="B1511:F1511"/>
    <mergeCell ref="B1512:F1512"/>
    <mergeCell ref="B1513:F1513"/>
    <mergeCell ref="B1514:F1514"/>
    <mergeCell ref="B1515:F1515"/>
    <mergeCell ref="B1516:F1516"/>
    <mergeCell ref="B1489:F1489"/>
    <mergeCell ref="B1462:O1462"/>
    <mergeCell ref="M1459:O1459"/>
    <mergeCell ref="M1460:O1460"/>
    <mergeCell ref="M1465:O1465"/>
    <mergeCell ref="C1442:E1442"/>
    <mergeCell ref="C1445:E1445"/>
    <mergeCell ref="B1490:F1490"/>
    <mergeCell ref="B1491:F1491"/>
    <mergeCell ref="B1492:F1492"/>
    <mergeCell ref="G1490:O1490"/>
    <mergeCell ref="B1487:F1487"/>
    <mergeCell ref="B1488:F1488"/>
    <mergeCell ref="B1459:K1459"/>
    <mergeCell ref="B1460:K1460"/>
    <mergeCell ref="B1461:O1461"/>
    <mergeCell ref="B1463:O1463"/>
    <mergeCell ref="M1464:O1464"/>
    <mergeCell ref="I1485:O1485"/>
    <mergeCell ref="A1485:F1486"/>
    <mergeCell ref="B1478:K1478"/>
    <mergeCell ref="A1458:A1462"/>
    <mergeCell ref="A1463:A1472"/>
    <mergeCell ref="F1446:O1446"/>
    <mergeCell ref="A1449:A1451"/>
    <mergeCell ref="B1450:B1451"/>
    <mergeCell ref="B1470:K1470"/>
    <mergeCell ref="M1471:O1471"/>
    <mergeCell ref="B1469:K1469"/>
    <mergeCell ref="B1466:K1466"/>
    <mergeCell ref="A1456:B1457"/>
    <mergeCell ref="M1475:O1475"/>
    <mergeCell ref="B1474:K1474"/>
    <mergeCell ref="B1464:K1464"/>
    <mergeCell ref="B1465:K1465"/>
    <mergeCell ref="C1456:E1456"/>
    <mergeCell ref="M1466:O1466"/>
    <mergeCell ref="B1472:O1472"/>
    <mergeCell ref="B1473:O1473"/>
    <mergeCell ref="M1478:O1478"/>
    <mergeCell ref="M1479:O1479"/>
    <mergeCell ref="B1476:K1476"/>
    <mergeCell ref="B1468:O1468"/>
    <mergeCell ref="K1361:L1361"/>
    <mergeCell ref="K1362:L1362"/>
    <mergeCell ref="K1363:L1363"/>
    <mergeCell ref="K1364:L1364"/>
    <mergeCell ref="B1378:K1378"/>
    <mergeCell ref="A1376:A1379"/>
    <mergeCell ref="B1391:K1391"/>
    <mergeCell ref="B1382:K1382"/>
    <mergeCell ref="B1383:K1383"/>
    <mergeCell ref="B1384:K1384"/>
    <mergeCell ref="B1392:K1392"/>
    <mergeCell ref="B1376:K1376"/>
    <mergeCell ref="B1379:K1379"/>
    <mergeCell ref="B1388:K1388"/>
    <mergeCell ref="B1389:K1389"/>
    <mergeCell ref="B1394:K1394"/>
    <mergeCell ref="B1374:J1374"/>
    <mergeCell ref="B1364:I1364"/>
    <mergeCell ref="K1367:L1367"/>
    <mergeCell ref="A1371:O1371"/>
    <mergeCell ref="A1372:O1372"/>
    <mergeCell ref="A1390:O1390"/>
    <mergeCell ref="M1394:O1394"/>
    <mergeCell ref="B1393:K1393"/>
    <mergeCell ref="B1406:K1406"/>
    <mergeCell ref="B1407:K1407"/>
    <mergeCell ref="M1398:O1398"/>
    <mergeCell ref="B1387:K1387"/>
    <mergeCell ref="K1243:L1243"/>
    <mergeCell ref="K1276:L1276"/>
    <mergeCell ref="K1277:L1277"/>
    <mergeCell ref="B1285:I1285"/>
    <mergeCell ref="K1273:L1273"/>
    <mergeCell ref="K1274:L1274"/>
    <mergeCell ref="B1305:I1305"/>
    <mergeCell ref="K1282:L1282"/>
    <mergeCell ref="B1298:I1298"/>
    <mergeCell ref="K1292:L1292"/>
    <mergeCell ref="K1293:L1293"/>
    <mergeCell ref="K1294:L1294"/>
    <mergeCell ref="B1282:I1282"/>
    <mergeCell ref="B1283:I1283"/>
    <mergeCell ref="B1284:I1284"/>
    <mergeCell ref="B1301:I1301"/>
    <mergeCell ref="M1324:N1324"/>
    <mergeCell ref="A1324:K1324"/>
    <mergeCell ref="K1257:L1257"/>
    <mergeCell ref="K1258:L1258"/>
    <mergeCell ref="M1291:N1291"/>
    <mergeCell ref="A1291:K1291"/>
    <mergeCell ref="K1286:L1286"/>
    <mergeCell ref="K1287:L1287"/>
    <mergeCell ref="K1288:L1288"/>
    <mergeCell ref="A1290:O1290"/>
    <mergeCell ref="K1289:L1289"/>
    <mergeCell ref="B1286:I1286"/>
    <mergeCell ref="B1287:I1287"/>
    <mergeCell ref="B1289:I1289"/>
    <mergeCell ref="B1269:I1269"/>
    <mergeCell ref="B1270:I1270"/>
    <mergeCell ref="K1244:L1244"/>
    <mergeCell ref="M1231:N1231"/>
    <mergeCell ref="M1234:N1234"/>
    <mergeCell ref="M1235:N1235"/>
    <mergeCell ref="M1236:N1236"/>
    <mergeCell ref="K1228:L1228"/>
    <mergeCell ref="M1280:N1280"/>
    <mergeCell ref="B1253:I1253"/>
    <mergeCell ref="K1247:L1247"/>
    <mergeCell ref="K1248:L1248"/>
    <mergeCell ref="K1249:L1249"/>
    <mergeCell ref="K1250:L1250"/>
    <mergeCell ref="K1251:L1251"/>
    <mergeCell ref="K1260:L1260"/>
    <mergeCell ref="K1271:L1271"/>
    <mergeCell ref="K1272:L1272"/>
    <mergeCell ref="K1275:L1275"/>
    <mergeCell ref="M1232:N1232"/>
    <mergeCell ref="M1233:N1233"/>
    <mergeCell ref="M1238:N1238"/>
    <mergeCell ref="K1239:L1239"/>
    <mergeCell ref="K1232:L1232"/>
    <mergeCell ref="K1233:L1233"/>
    <mergeCell ref="M1242:N1242"/>
    <mergeCell ref="M1243:N1243"/>
    <mergeCell ref="M1244:N1244"/>
    <mergeCell ref="A1280:K1280"/>
    <mergeCell ref="B1247:I1247"/>
    <mergeCell ref="K1252:L1252"/>
    <mergeCell ref="K1240:L1240"/>
    <mergeCell ref="K1241:L1241"/>
    <mergeCell ref="K1242:L1242"/>
    <mergeCell ref="M1237:N1237"/>
    <mergeCell ref="M1228:N1228"/>
    <mergeCell ref="M1223:N1223"/>
    <mergeCell ref="A1222:O1222"/>
    <mergeCell ref="A1223:K1223"/>
    <mergeCell ref="B1205:I1205"/>
    <mergeCell ref="B1208:I1208"/>
    <mergeCell ref="B1211:I1211"/>
    <mergeCell ref="B1213:I1213"/>
    <mergeCell ref="B1214:I1214"/>
    <mergeCell ref="B1215:I1215"/>
    <mergeCell ref="M1205:N1205"/>
    <mergeCell ref="K1205:L1205"/>
    <mergeCell ref="K1208:L1208"/>
    <mergeCell ref="M1226:N1226"/>
    <mergeCell ref="M1227:N1227"/>
    <mergeCell ref="K1221:L1221"/>
    <mergeCell ref="K1211:L1211"/>
    <mergeCell ref="K1212:L1212"/>
    <mergeCell ref="K1213:L1213"/>
    <mergeCell ref="M1211:N1211"/>
    <mergeCell ref="M1212:N1212"/>
    <mergeCell ref="M1213:N1213"/>
    <mergeCell ref="M1214:N1214"/>
    <mergeCell ref="M1215:N1215"/>
    <mergeCell ref="A1206:O1206"/>
    <mergeCell ref="A1210:K1210"/>
    <mergeCell ref="M1225:N1225"/>
    <mergeCell ref="B1225:I1225"/>
    <mergeCell ref="B1231:I1231"/>
    <mergeCell ref="B1232:I1232"/>
    <mergeCell ref="B1233:I1233"/>
    <mergeCell ref="M1218:N1218"/>
    <mergeCell ref="M1219:N1219"/>
    <mergeCell ref="B1216:I1216"/>
    <mergeCell ref="K1214:L1214"/>
    <mergeCell ref="K1215:L1215"/>
    <mergeCell ref="K1216:L1216"/>
    <mergeCell ref="K1217:L1217"/>
    <mergeCell ref="B1202:J1202"/>
    <mergeCell ref="A1203:O1203"/>
    <mergeCell ref="A1204:K1204"/>
    <mergeCell ref="C1021:E1021"/>
    <mergeCell ref="B1012:E1012"/>
    <mergeCell ref="B1013:E1013"/>
    <mergeCell ref="B1014:E1014"/>
    <mergeCell ref="C1022:E1022"/>
    <mergeCell ref="B1024:E1024"/>
    <mergeCell ref="B1018:E1018"/>
    <mergeCell ref="B1020:E1020"/>
    <mergeCell ref="A1200:O1200"/>
    <mergeCell ref="A1197:O1197"/>
    <mergeCell ref="B1177:E1177"/>
    <mergeCell ref="B1178:E1178"/>
    <mergeCell ref="B1179:E1179"/>
    <mergeCell ref="C1169:E1169"/>
    <mergeCell ref="C1170:E1170"/>
    <mergeCell ref="C1171:E1171"/>
    <mergeCell ref="C1172:E1172"/>
    <mergeCell ref="B1176:E1176"/>
    <mergeCell ref="A1199:O1199"/>
    <mergeCell ref="N1059:O1059"/>
    <mergeCell ref="L1058:M1058"/>
    <mergeCell ref="L1059:M1059"/>
    <mergeCell ref="B982:E982"/>
    <mergeCell ref="B983:E983"/>
    <mergeCell ref="C994:O994"/>
    <mergeCell ref="C995:O995"/>
    <mergeCell ref="H979:I979"/>
    <mergeCell ref="H980:I980"/>
    <mergeCell ref="H981:I981"/>
    <mergeCell ref="H983:I983"/>
    <mergeCell ref="H986:I986"/>
    <mergeCell ref="H987:I987"/>
    <mergeCell ref="N979:O979"/>
    <mergeCell ref="N980:O980"/>
    <mergeCell ref="N981:O981"/>
    <mergeCell ref="J979:K979"/>
    <mergeCell ref="J980:K980"/>
    <mergeCell ref="J981:K981"/>
    <mergeCell ref="L979:M979"/>
    <mergeCell ref="L980:M980"/>
    <mergeCell ref="L981:M981"/>
    <mergeCell ref="J992:K992"/>
    <mergeCell ref="N991:O991"/>
    <mergeCell ref="N992:O992"/>
    <mergeCell ref="N986:O986"/>
    <mergeCell ref="N987:O987"/>
    <mergeCell ref="L991:M991"/>
    <mergeCell ref="L992:M992"/>
    <mergeCell ref="J986:K986"/>
    <mergeCell ref="L986:M986"/>
    <mergeCell ref="L987:M987"/>
    <mergeCell ref="N983:O983"/>
    <mergeCell ref="G984:O985"/>
    <mergeCell ref="G982:O982"/>
    <mergeCell ref="C969:E969"/>
    <mergeCell ref="C970:E970"/>
    <mergeCell ref="J958:K958"/>
    <mergeCell ref="J959:K959"/>
    <mergeCell ref="N958:O958"/>
    <mergeCell ref="N959:O959"/>
    <mergeCell ref="G964:O964"/>
    <mergeCell ref="J966:K966"/>
    <mergeCell ref="N960:O960"/>
    <mergeCell ref="L967:M967"/>
    <mergeCell ref="A969:B970"/>
    <mergeCell ref="A965:B966"/>
    <mergeCell ref="B971:E971"/>
    <mergeCell ref="N966:O966"/>
    <mergeCell ref="N967:O967"/>
    <mergeCell ref="N969:O969"/>
    <mergeCell ref="N970:O970"/>
    <mergeCell ref="J967:K967"/>
    <mergeCell ref="J969:K969"/>
    <mergeCell ref="J970:K970"/>
    <mergeCell ref="L971:M971"/>
    <mergeCell ref="J960:K960"/>
    <mergeCell ref="J961:K961"/>
    <mergeCell ref="B958:E958"/>
    <mergeCell ref="B959:E959"/>
    <mergeCell ref="B960:E960"/>
    <mergeCell ref="B961:E961"/>
    <mergeCell ref="B962:E962"/>
    <mergeCell ref="H958:I958"/>
    <mergeCell ref="L958:M958"/>
    <mergeCell ref="L961:M961"/>
    <mergeCell ref="L962:M962"/>
    <mergeCell ref="L942:M942"/>
    <mergeCell ref="H940:I940"/>
    <mergeCell ref="L959:M959"/>
    <mergeCell ref="L960:M960"/>
    <mergeCell ref="H943:I943"/>
    <mergeCell ref="N957:O957"/>
    <mergeCell ref="L963:M963"/>
    <mergeCell ref="J962:K962"/>
    <mergeCell ref="J963:K963"/>
    <mergeCell ref="J965:K965"/>
    <mergeCell ref="J971:K971"/>
    <mergeCell ref="L969:M969"/>
    <mergeCell ref="G968:O968"/>
    <mergeCell ref="H969:I969"/>
    <mergeCell ref="H962:I962"/>
    <mergeCell ref="H970:I970"/>
    <mergeCell ref="H971:I971"/>
    <mergeCell ref="N961:O961"/>
    <mergeCell ref="N962:O962"/>
    <mergeCell ref="N963:O963"/>
    <mergeCell ref="N965:O965"/>
    <mergeCell ref="L966:M966"/>
    <mergeCell ref="L965:M965"/>
    <mergeCell ref="H966:I966"/>
    <mergeCell ref="H967:I967"/>
    <mergeCell ref="H919:I919"/>
    <mergeCell ref="H920:I920"/>
    <mergeCell ref="L934:M934"/>
    <mergeCell ref="J941:K941"/>
    <mergeCell ref="H925:I925"/>
    <mergeCell ref="H926:I926"/>
    <mergeCell ref="H927:I927"/>
    <mergeCell ref="H929:I929"/>
    <mergeCell ref="N931:O931"/>
    <mergeCell ref="N934:O934"/>
    <mergeCell ref="L927:M927"/>
    <mergeCell ref="L929:M929"/>
    <mergeCell ref="H930:I930"/>
    <mergeCell ref="J919:K919"/>
    <mergeCell ref="J920:K920"/>
    <mergeCell ref="H936:I936"/>
    <mergeCell ref="L940:M940"/>
    <mergeCell ref="L930:M930"/>
    <mergeCell ref="L919:M919"/>
    <mergeCell ref="G937:O939"/>
    <mergeCell ref="H941:I941"/>
    <mergeCell ref="N935:O935"/>
    <mergeCell ref="N936:O936"/>
    <mergeCell ref="G932:O933"/>
    <mergeCell ref="J936:K936"/>
    <mergeCell ref="H931:I931"/>
    <mergeCell ref="H934:I934"/>
    <mergeCell ref="H935:I935"/>
    <mergeCell ref="L931:M931"/>
    <mergeCell ref="L936:M936"/>
    <mergeCell ref="J934:K934"/>
    <mergeCell ref="L941:M941"/>
    <mergeCell ref="B666:E666"/>
    <mergeCell ref="L667:M667"/>
    <mergeCell ref="L670:M670"/>
    <mergeCell ref="L671:M671"/>
    <mergeCell ref="L672:M672"/>
    <mergeCell ref="H675:I675"/>
    <mergeCell ref="B669:E669"/>
    <mergeCell ref="B667:E667"/>
    <mergeCell ref="B673:E673"/>
    <mergeCell ref="C682:O682"/>
    <mergeCell ref="B684:E684"/>
    <mergeCell ref="H676:I676"/>
    <mergeCell ref="H667:I667"/>
    <mergeCell ref="H670:I670"/>
    <mergeCell ref="H671:I671"/>
    <mergeCell ref="N916:O916"/>
    <mergeCell ref="N917:O917"/>
    <mergeCell ref="L914:M914"/>
    <mergeCell ref="L916:M916"/>
    <mergeCell ref="C674:E674"/>
    <mergeCell ref="C675:E675"/>
    <mergeCell ref="B678:E678"/>
    <mergeCell ref="B676:E676"/>
    <mergeCell ref="C691:E691"/>
    <mergeCell ref="B702:E702"/>
    <mergeCell ref="H912:I912"/>
    <mergeCell ref="J912:K912"/>
    <mergeCell ref="L912:M912"/>
    <mergeCell ref="N912:O912"/>
    <mergeCell ref="C916:E916"/>
    <mergeCell ref="C917:E917"/>
    <mergeCell ref="G903:O904"/>
    <mergeCell ref="J916:K916"/>
    <mergeCell ref="C660:E660"/>
    <mergeCell ref="C661:E661"/>
    <mergeCell ref="C662:E662"/>
    <mergeCell ref="H647:I647"/>
    <mergeCell ref="H648:I648"/>
    <mergeCell ref="H649:I649"/>
    <mergeCell ref="B649:E649"/>
    <mergeCell ref="C648:E648"/>
    <mergeCell ref="A647:B648"/>
    <mergeCell ref="B657:E657"/>
    <mergeCell ref="N659:O659"/>
    <mergeCell ref="N660:O660"/>
    <mergeCell ref="N662:O662"/>
    <mergeCell ref="N663:O663"/>
    <mergeCell ref="N664:O664"/>
    <mergeCell ref="B654:E654"/>
    <mergeCell ref="B655:E655"/>
    <mergeCell ref="B656:E656"/>
    <mergeCell ref="A659:B662"/>
    <mergeCell ref="A657:A658"/>
    <mergeCell ref="N649:O649"/>
    <mergeCell ref="J647:K647"/>
    <mergeCell ref="J648:K648"/>
    <mergeCell ref="J649:K649"/>
    <mergeCell ref="B664:E664"/>
    <mergeCell ref="B665:E665"/>
    <mergeCell ref="H659:I659"/>
    <mergeCell ref="H660:I660"/>
    <mergeCell ref="H662:I662"/>
    <mergeCell ref="H663:I663"/>
    <mergeCell ref="H664:I664"/>
    <mergeCell ref="G636:O636"/>
    <mergeCell ref="G639:O639"/>
    <mergeCell ref="G645:O646"/>
    <mergeCell ref="G631:O631"/>
    <mergeCell ref="H644:I644"/>
    <mergeCell ref="N640:O640"/>
    <mergeCell ref="N641:O641"/>
    <mergeCell ref="N642:O642"/>
    <mergeCell ref="B658:E658"/>
    <mergeCell ref="B645:E645"/>
    <mergeCell ref="H643:I643"/>
    <mergeCell ref="C637:E637"/>
    <mergeCell ref="C638:E638"/>
    <mergeCell ref="C639:E639"/>
    <mergeCell ref="C640:E640"/>
    <mergeCell ref="C641:E641"/>
    <mergeCell ref="C644:E644"/>
    <mergeCell ref="B646:E646"/>
    <mergeCell ref="B636:E636"/>
    <mergeCell ref="C633:E633"/>
    <mergeCell ref="C634:E634"/>
    <mergeCell ref="C635:E635"/>
    <mergeCell ref="A632:B635"/>
    <mergeCell ref="N643:O643"/>
    <mergeCell ref="N644:O644"/>
    <mergeCell ref="J644:K644"/>
    <mergeCell ref="A637:B642"/>
    <mergeCell ref="A644:B644"/>
    <mergeCell ref="H637:I637"/>
    <mergeCell ref="H638:I638"/>
    <mergeCell ref="H640:I640"/>
    <mergeCell ref="H641:I641"/>
    <mergeCell ref="H642:I642"/>
    <mergeCell ref="N647:O647"/>
    <mergeCell ref="N648:O648"/>
    <mergeCell ref="C632:E632"/>
    <mergeCell ref="B627:E627"/>
    <mergeCell ref="B626:E626"/>
    <mergeCell ref="H621:I621"/>
    <mergeCell ref="H622:I622"/>
    <mergeCell ref="N632:O632"/>
    <mergeCell ref="N633:O633"/>
    <mergeCell ref="J632:K632"/>
    <mergeCell ref="J633:K633"/>
    <mergeCell ref="J635:K635"/>
    <mergeCell ref="N635:O635"/>
    <mergeCell ref="L632:M632"/>
    <mergeCell ref="L633:M633"/>
    <mergeCell ref="L635:M635"/>
    <mergeCell ref="H632:I632"/>
    <mergeCell ref="H633:I633"/>
    <mergeCell ref="H635:I635"/>
    <mergeCell ref="L627:M627"/>
    <mergeCell ref="H627:I627"/>
    <mergeCell ref="J627:K627"/>
    <mergeCell ref="L622:M622"/>
    <mergeCell ref="L623:M623"/>
    <mergeCell ref="J622:K622"/>
    <mergeCell ref="J623:K623"/>
    <mergeCell ref="B631:E631"/>
    <mergeCell ref="N638:O638"/>
    <mergeCell ref="G634:O634"/>
    <mergeCell ref="L624:M624"/>
    <mergeCell ref="N627:O627"/>
    <mergeCell ref="B620:E620"/>
    <mergeCell ref="B621:E621"/>
    <mergeCell ref="B622:E622"/>
    <mergeCell ref="N624:O624"/>
    <mergeCell ref="J624:K624"/>
    <mergeCell ref="N612:O612"/>
    <mergeCell ref="N619:O619"/>
    <mergeCell ref="N620:O620"/>
    <mergeCell ref="N621:O621"/>
    <mergeCell ref="N622:O622"/>
    <mergeCell ref="J615:K615"/>
    <mergeCell ref="N614:O614"/>
    <mergeCell ref="H623:I623"/>
    <mergeCell ref="H624:I624"/>
    <mergeCell ref="N623:O623"/>
    <mergeCell ref="L619:M619"/>
    <mergeCell ref="L620:M620"/>
    <mergeCell ref="L621:M621"/>
    <mergeCell ref="J620:K620"/>
    <mergeCell ref="J621:K621"/>
    <mergeCell ref="C614:E614"/>
    <mergeCell ref="C615:E615"/>
    <mergeCell ref="J614:K614"/>
    <mergeCell ref="A614:B615"/>
    <mergeCell ref="N615:O615"/>
    <mergeCell ref="N616:O616"/>
    <mergeCell ref="J616:K616"/>
    <mergeCell ref="J619:K619"/>
    <mergeCell ref="L612:M612"/>
    <mergeCell ref="H612:I612"/>
    <mergeCell ref="H614:I614"/>
    <mergeCell ref="B618:E618"/>
    <mergeCell ref="H619:I619"/>
    <mergeCell ref="B619:E619"/>
    <mergeCell ref="B616:E616"/>
    <mergeCell ref="B582:E582"/>
    <mergeCell ref="A584:E584"/>
    <mergeCell ref="L614:M614"/>
    <mergeCell ref="L615:M615"/>
    <mergeCell ref="L616:M616"/>
    <mergeCell ref="G600:O600"/>
    <mergeCell ref="G608:O608"/>
    <mergeCell ref="G611:O611"/>
    <mergeCell ref="G582:O582"/>
    <mergeCell ref="G584:O585"/>
    <mergeCell ref="H597:I597"/>
    <mergeCell ref="C597:E597"/>
    <mergeCell ref="H620:I620"/>
    <mergeCell ref="H616:I616"/>
    <mergeCell ref="G613:O613"/>
    <mergeCell ref="G617:O618"/>
    <mergeCell ref="J603:K603"/>
    <mergeCell ref="N601:O601"/>
    <mergeCell ref="N603:O603"/>
    <mergeCell ref="B606:O606"/>
    <mergeCell ref="B608:E608"/>
    <mergeCell ref="G602:O602"/>
    <mergeCell ref="A596:B601"/>
    <mergeCell ref="H603:I603"/>
    <mergeCell ref="L603:M603"/>
    <mergeCell ref="N599:O599"/>
    <mergeCell ref="L609:M609"/>
    <mergeCell ref="N609:O609"/>
    <mergeCell ref="J609:K609"/>
    <mergeCell ref="B609:E609"/>
    <mergeCell ref="H609:I609"/>
    <mergeCell ref="J598:K598"/>
    <mergeCell ref="C601:E601"/>
    <mergeCell ref="B613:E613"/>
    <mergeCell ref="B612:E612"/>
    <mergeCell ref="H615:I615"/>
    <mergeCell ref="J612:K612"/>
    <mergeCell ref="L586:M586"/>
    <mergeCell ref="L583:M583"/>
    <mergeCell ref="L587:M587"/>
    <mergeCell ref="H586:I586"/>
    <mergeCell ref="H587:I587"/>
    <mergeCell ref="N583:O583"/>
    <mergeCell ref="N592:O592"/>
    <mergeCell ref="J592:K592"/>
    <mergeCell ref="J594:K594"/>
    <mergeCell ref="N594:O594"/>
    <mergeCell ref="B592:E592"/>
    <mergeCell ref="N590:O590"/>
    <mergeCell ref="N591:O591"/>
    <mergeCell ref="J590:K590"/>
    <mergeCell ref="J591:K591"/>
    <mergeCell ref="J586:K586"/>
    <mergeCell ref="J587:K587"/>
    <mergeCell ref="N586:O586"/>
    <mergeCell ref="N587:O587"/>
    <mergeCell ref="L591:M591"/>
    <mergeCell ref="G588:O589"/>
    <mergeCell ref="G593:O593"/>
    <mergeCell ref="N597:O597"/>
    <mergeCell ref="L596:M596"/>
    <mergeCell ref="J637:K637"/>
    <mergeCell ref="J638:K638"/>
    <mergeCell ref="J640:K640"/>
    <mergeCell ref="J641:K641"/>
    <mergeCell ref="J642:K642"/>
    <mergeCell ref="J643:K643"/>
    <mergeCell ref="B591:E591"/>
    <mergeCell ref="C599:E599"/>
    <mergeCell ref="C600:E600"/>
    <mergeCell ref="B628:E628"/>
    <mergeCell ref="C642:E642"/>
    <mergeCell ref="C643:E643"/>
    <mergeCell ref="B623:E623"/>
    <mergeCell ref="B624:E624"/>
    <mergeCell ref="B611:E611"/>
    <mergeCell ref="B610:E610"/>
    <mergeCell ref="B594:E594"/>
    <mergeCell ref="C598:E598"/>
    <mergeCell ref="B602:E602"/>
    <mergeCell ref="J601:K601"/>
    <mergeCell ref="B595:E595"/>
    <mergeCell ref="G595:O595"/>
    <mergeCell ref="H601:I601"/>
    <mergeCell ref="J599:K599"/>
    <mergeCell ref="N596:O596"/>
    <mergeCell ref="H610:I610"/>
    <mergeCell ref="L610:M610"/>
    <mergeCell ref="J610:K610"/>
    <mergeCell ref="N628:O628"/>
    <mergeCell ref="B630:E630"/>
    <mergeCell ref="N610:O610"/>
    <mergeCell ref="B603:E603"/>
    <mergeCell ref="L597:M597"/>
    <mergeCell ref="L598:M598"/>
    <mergeCell ref="H598:I598"/>
    <mergeCell ref="J596:K596"/>
    <mergeCell ref="J597:K597"/>
    <mergeCell ref="L538:M538"/>
    <mergeCell ref="L536:M536"/>
    <mergeCell ref="L535:M535"/>
    <mergeCell ref="L551:M551"/>
    <mergeCell ref="L550:M550"/>
    <mergeCell ref="L548:M548"/>
    <mergeCell ref="L547:M547"/>
    <mergeCell ref="L546:M546"/>
    <mergeCell ref="L543:M543"/>
    <mergeCell ref="L540:M540"/>
    <mergeCell ref="N535:O535"/>
    <mergeCell ref="N536:O536"/>
    <mergeCell ref="N538:O538"/>
    <mergeCell ref="N539:O539"/>
    <mergeCell ref="N540:O540"/>
    <mergeCell ref="L567:M567"/>
    <mergeCell ref="L562:M562"/>
    <mergeCell ref="L563:M563"/>
    <mergeCell ref="L565:M565"/>
    <mergeCell ref="L566:M566"/>
    <mergeCell ref="L592:M592"/>
    <mergeCell ref="L553:M553"/>
    <mergeCell ref="N553:O553"/>
    <mergeCell ref="N554:O554"/>
    <mergeCell ref="N555:O555"/>
    <mergeCell ref="J550:K550"/>
    <mergeCell ref="J551:K551"/>
    <mergeCell ref="J553:K553"/>
    <mergeCell ref="C547:E547"/>
    <mergeCell ref="B548:E548"/>
    <mergeCell ref="B549:E549"/>
    <mergeCell ref="C553:E553"/>
    <mergeCell ref="C554:E554"/>
    <mergeCell ref="H546:I546"/>
    <mergeCell ref="J547:K547"/>
    <mergeCell ref="J548:K548"/>
    <mergeCell ref="C550:E550"/>
    <mergeCell ref="C555:E555"/>
    <mergeCell ref="B585:E585"/>
    <mergeCell ref="B586:E586"/>
    <mergeCell ref="H596:I596"/>
    <mergeCell ref="B567:E567"/>
    <mergeCell ref="B568:E568"/>
    <mergeCell ref="H591:I591"/>
    <mergeCell ref="H592:I592"/>
    <mergeCell ref="H556:I556"/>
    <mergeCell ref="H558:I558"/>
    <mergeCell ref="B583:E583"/>
    <mergeCell ref="H594:I594"/>
    <mergeCell ref="B590:E590"/>
    <mergeCell ref="C596:E596"/>
    <mergeCell ref="J562:K562"/>
    <mergeCell ref="J556:K556"/>
    <mergeCell ref="J558:K558"/>
    <mergeCell ref="J559:K559"/>
    <mergeCell ref="J567:K567"/>
    <mergeCell ref="J565:K565"/>
    <mergeCell ref="H583:I583"/>
    <mergeCell ref="J583:K583"/>
    <mergeCell ref="J581:K581"/>
    <mergeCell ref="G560:O561"/>
    <mergeCell ref="G564:O564"/>
    <mergeCell ref="J563:K563"/>
    <mergeCell ref="N563:O563"/>
    <mergeCell ref="L556:M556"/>
    <mergeCell ref="B593:E593"/>
    <mergeCell ref="H590:I590"/>
    <mergeCell ref="L590:M590"/>
    <mergeCell ref="H521:I521"/>
    <mergeCell ref="H522:I522"/>
    <mergeCell ref="A527:O527"/>
    <mergeCell ref="A528:O528"/>
    <mergeCell ref="C539:E539"/>
    <mergeCell ref="B537:E537"/>
    <mergeCell ref="B540:E540"/>
    <mergeCell ref="H543:I543"/>
    <mergeCell ref="H559:I559"/>
    <mergeCell ref="B557:E557"/>
    <mergeCell ref="B559:E559"/>
    <mergeCell ref="B560:E560"/>
    <mergeCell ref="A561:B562"/>
    <mergeCell ref="C562:E562"/>
    <mergeCell ref="C561:E561"/>
    <mergeCell ref="H554:I554"/>
    <mergeCell ref="G544:O545"/>
    <mergeCell ref="G549:O549"/>
    <mergeCell ref="B543:E543"/>
    <mergeCell ref="J554:K554"/>
    <mergeCell ref="J555:K555"/>
    <mergeCell ref="G533:O534"/>
    <mergeCell ref="G537:O537"/>
    <mergeCell ref="G541:O541"/>
    <mergeCell ref="L532:M532"/>
    <mergeCell ref="N532:O532"/>
    <mergeCell ref="C535:E535"/>
    <mergeCell ref="B534:E534"/>
    <mergeCell ref="C536:E536"/>
    <mergeCell ref="H535:I535"/>
    <mergeCell ref="H536:I536"/>
    <mergeCell ref="C538:E538"/>
    <mergeCell ref="B544:E544"/>
    <mergeCell ref="C551:E551"/>
    <mergeCell ref="J539:K539"/>
    <mergeCell ref="J540:K540"/>
    <mergeCell ref="J542:K542"/>
    <mergeCell ref="A538:B539"/>
    <mergeCell ref="H538:I538"/>
    <mergeCell ref="H539:I539"/>
    <mergeCell ref="H540:I540"/>
    <mergeCell ref="B541:E541"/>
    <mergeCell ref="L530:M530"/>
    <mergeCell ref="B579:E581"/>
    <mergeCell ref="L601:M601"/>
    <mergeCell ref="H551:I551"/>
    <mergeCell ref="H553:I553"/>
    <mergeCell ref="B563:E563"/>
    <mergeCell ref="B556:E556"/>
    <mergeCell ref="G498:O498"/>
    <mergeCell ref="G507:O508"/>
    <mergeCell ref="L628:M628"/>
    <mergeCell ref="H628:I628"/>
    <mergeCell ref="J628:K628"/>
    <mergeCell ref="A576:O576"/>
    <mergeCell ref="J536:K536"/>
    <mergeCell ref="J538:K538"/>
    <mergeCell ref="L515:M515"/>
    <mergeCell ref="A508:A510"/>
    <mergeCell ref="B509:B510"/>
    <mergeCell ref="G511:O512"/>
    <mergeCell ref="G514:O514"/>
    <mergeCell ref="G516:O516"/>
    <mergeCell ref="B533:E533"/>
    <mergeCell ref="L517:M517"/>
    <mergeCell ref="H562:I562"/>
    <mergeCell ref="L520:M520"/>
    <mergeCell ref="C545:E545"/>
    <mergeCell ref="C546:E546"/>
    <mergeCell ref="A530:A532"/>
    <mergeCell ref="B530:E532"/>
    <mergeCell ref="G530:G532"/>
    <mergeCell ref="H530:I530"/>
    <mergeCell ref="J530:K530"/>
    <mergeCell ref="C647:E647"/>
    <mergeCell ref="L642:M642"/>
    <mergeCell ref="L643:M643"/>
    <mergeCell ref="L644:M644"/>
    <mergeCell ref="N637:O637"/>
    <mergeCell ref="L640:M640"/>
    <mergeCell ref="L638:M638"/>
    <mergeCell ref="L637:M637"/>
    <mergeCell ref="L641:M641"/>
    <mergeCell ref="H542:I542"/>
    <mergeCell ref="H547:I547"/>
    <mergeCell ref="H548:I548"/>
    <mergeCell ref="H550:I550"/>
    <mergeCell ref="B589:E589"/>
    <mergeCell ref="B558:E558"/>
    <mergeCell ref="H555:I555"/>
    <mergeCell ref="H567:I567"/>
    <mergeCell ref="H568:I568"/>
    <mergeCell ref="L568:M568"/>
    <mergeCell ref="B564:E564"/>
    <mergeCell ref="B587:E587"/>
    <mergeCell ref="B588:E588"/>
    <mergeCell ref="H599:I599"/>
    <mergeCell ref="L599:M599"/>
    <mergeCell ref="N598:O598"/>
    <mergeCell ref="G579:G581"/>
    <mergeCell ref="H579:I579"/>
    <mergeCell ref="J579:K579"/>
    <mergeCell ref="L579:M579"/>
    <mergeCell ref="H580:I580"/>
    <mergeCell ref="N581:O581"/>
    <mergeCell ref="C552:E552"/>
    <mergeCell ref="L594:M594"/>
    <mergeCell ref="N565:O565"/>
    <mergeCell ref="N566:O566"/>
    <mergeCell ref="N567:O567"/>
    <mergeCell ref="N568:O568"/>
    <mergeCell ref="N513:O513"/>
    <mergeCell ref="N522:O522"/>
    <mergeCell ref="N515:O515"/>
    <mergeCell ref="N517:O517"/>
    <mergeCell ref="N518:O518"/>
    <mergeCell ref="N519:O519"/>
    <mergeCell ref="N520:O520"/>
    <mergeCell ref="N521:O521"/>
    <mergeCell ref="J546:K546"/>
    <mergeCell ref="L522:M522"/>
    <mergeCell ref="H513:I513"/>
    <mergeCell ref="H515:I515"/>
    <mergeCell ref="H517:I517"/>
    <mergeCell ref="H518:I518"/>
    <mergeCell ref="H519:I519"/>
    <mergeCell ref="H520:I520"/>
    <mergeCell ref="N579:O579"/>
    <mergeCell ref="N530:O530"/>
    <mergeCell ref="H531:I531"/>
    <mergeCell ref="J531:K531"/>
    <mergeCell ref="L531:M531"/>
    <mergeCell ref="A577:O577"/>
    <mergeCell ref="B566:E566"/>
    <mergeCell ref="B565:E565"/>
    <mergeCell ref="H563:I563"/>
    <mergeCell ref="H565:I565"/>
    <mergeCell ref="H566:I566"/>
    <mergeCell ref="B521:E521"/>
    <mergeCell ref="L521:M521"/>
    <mergeCell ref="N501:O501"/>
    <mergeCell ref="N502:O502"/>
    <mergeCell ref="N503:O503"/>
    <mergeCell ref="N504:O504"/>
    <mergeCell ref="N505:O505"/>
    <mergeCell ref="B520:E520"/>
    <mergeCell ref="J520:K520"/>
    <mergeCell ref="B525:O525"/>
    <mergeCell ref="L504:M504"/>
    <mergeCell ref="L505:M505"/>
    <mergeCell ref="L506:M506"/>
    <mergeCell ref="H502:I502"/>
    <mergeCell ref="H503:I503"/>
    <mergeCell ref="H504:I504"/>
    <mergeCell ref="L518:M518"/>
    <mergeCell ref="B515:E515"/>
    <mergeCell ref="J513:K513"/>
    <mergeCell ref="J515:K515"/>
    <mergeCell ref="J503:K503"/>
    <mergeCell ref="H510:I510"/>
    <mergeCell ref="L509:M509"/>
    <mergeCell ref="L510:M510"/>
    <mergeCell ref="J509:K509"/>
    <mergeCell ref="J510:K510"/>
    <mergeCell ref="N509:O509"/>
    <mergeCell ref="N510:O510"/>
    <mergeCell ref="B502:E502"/>
    <mergeCell ref="B513:E513"/>
    <mergeCell ref="B522:E522"/>
    <mergeCell ref="B517:E517"/>
    <mergeCell ref="B518:E518"/>
    <mergeCell ref="J517:K517"/>
    <mergeCell ref="J518:K518"/>
    <mergeCell ref="J519:K519"/>
    <mergeCell ref="L501:M501"/>
    <mergeCell ref="L502:M502"/>
    <mergeCell ref="L503:M503"/>
    <mergeCell ref="J504:K504"/>
    <mergeCell ref="J505:K505"/>
    <mergeCell ref="B508:E508"/>
    <mergeCell ref="C510:E510"/>
    <mergeCell ref="B511:E511"/>
    <mergeCell ref="B512:E512"/>
    <mergeCell ref="L513:M513"/>
    <mergeCell ref="C509:E509"/>
    <mergeCell ref="J500:K500"/>
    <mergeCell ref="J501:K501"/>
    <mergeCell ref="J502:K502"/>
    <mergeCell ref="B514:E514"/>
    <mergeCell ref="H489:I489"/>
    <mergeCell ref="J489:K489"/>
    <mergeCell ref="J521:K521"/>
    <mergeCell ref="N531:O531"/>
    <mergeCell ref="J522:K522"/>
    <mergeCell ref="A535:B536"/>
    <mergeCell ref="H496:I496"/>
    <mergeCell ref="J496:K496"/>
    <mergeCell ref="L496:M496"/>
    <mergeCell ref="N496:O496"/>
    <mergeCell ref="H497:I497"/>
    <mergeCell ref="J497:K497"/>
    <mergeCell ref="L497:M497"/>
    <mergeCell ref="N497:O497"/>
    <mergeCell ref="J495:K495"/>
    <mergeCell ref="H532:I532"/>
    <mergeCell ref="J532:K532"/>
    <mergeCell ref="L500:M500"/>
    <mergeCell ref="N506:O506"/>
    <mergeCell ref="H509:I509"/>
    <mergeCell ref="B500:E500"/>
    <mergeCell ref="B507:E507"/>
    <mergeCell ref="J535:K535"/>
    <mergeCell ref="B499:E499"/>
    <mergeCell ref="L519:M519"/>
    <mergeCell ref="B503:E503"/>
    <mergeCell ref="B504:E504"/>
    <mergeCell ref="B519:E519"/>
    <mergeCell ref="H500:I500"/>
    <mergeCell ref="H501:I501"/>
    <mergeCell ref="H506:I506"/>
    <mergeCell ref="B516:E516"/>
    <mergeCell ref="B488:E488"/>
    <mergeCell ref="B485:E485"/>
    <mergeCell ref="B484:E484"/>
    <mergeCell ref="B486:E486"/>
    <mergeCell ref="H486:I486"/>
    <mergeCell ref="L486:M486"/>
    <mergeCell ref="J484:K484"/>
    <mergeCell ref="J485:K485"/>
    <mergeCell ref="J486:K486"/>
    <mergeCell ref="J487:K487"/>
    <mergeCell ref="J488:K488"/>
    <mergeCell ref="L485:M485"/>
    <mergeCell ref="H487:I487"/>
    <mergeCell ref="L484:M484"/>
    <mergeCell ref="L488:M488"/>
    <mergeCell ref="J499:K499"/>
    <mergeCell ref="J506:K506"/>
    <mergeCell ref="H505:I505"/>
    <mergeCell ref="A493:O493"/>
    <mergeCell ref="H499:I499"/>
    <mergeCell ref="L499:M499"/>
    <mergeCell ref="A495:A497"/>
    <mergeCell ref="B495:E497"/>
    <mergeCell ref="G495:G497"/>
    <mergeCell ref="H495:I495"/>
    <mergeCell ref="N499:O499"/>
    <mergeCell ref="B505:E505"/>
    <mergeCell ref="A492:O492"/>
    <mergeCell ref="N500:O500"/>
    <mergeCell ref="B501:E501"/>
    <mergeCell ref="B506:E506"/>
    <mergeCell ref="B498:E498"/>
    <mergeCell ref="A579:A581"/>
    <mergeCell ref="J580:K580"/>
    <mergeCell ref="L580:M580"/>
    <mergeCell ref="N580:O580"/>
    <mergeCell ref="H581:I581"/>
    <mergeCell ref="L581:M581"/>
    <mergeCell ref="L539:M539"/>
    <mergeCell ref="N542:O542"/>
    <mergeCell ref="N543:O543"/>
    <mergeCell ref="N546:O546"/>
    <mergeCell ref="L555:M555"/>
    <mergeCell ref="L554:M554"/>
    <mergeCell ref="N547:O547"/>
    <mergeCell ref="N548:O548"/>
    <mergeCell ref="N550:O550"/>
    <mergeCell ref="N551:O551"/>
    <mergeCell ref="G552:O552"/>
    <mergeCell ref="J543:K543"/>
    <mergeCell ref="B542:E542"/>
    <mergeCell ref="N556:O556"/>
    <mergeCell ref="N558:O558"/>
    <mergeCell ref="N559:O559"/>
    <mergeCell ref="G557:O557"/>
    <mergeCell ref="L558:M558"/>
    <mergeCell ref="L559:M559"/>
    <mergeCell ref="N562:O562"/>
    <mergeCell ref="A553:B555"/>
    <mergeCell ref="A550:B551"/>
    <mergeCell ref="A545:B547"/>
    <mergeCell ref="L542:M542"/>
    <mergeCell ref="J566:K566"/>
    <mergeCell ref="J568:K568"/>
    <mergeCell ref="A475:O475"/>
    <mergeCell ref="L456:M456"/>
    <mergeCell ref="L457:M457"/>
    <mergeCell ref="L458:M458"/>
    <mergeCell ref="C469:O469"/>
    <mergeCell ref="A477:A479"/>
    <mergeCell ref="B477:E479"/>
    <mergeCell ref="G477:G479"/>
    <mergeCell ref="H477:I477"/>
    <mergeCell ref="J477:K477"/>
    <mergeCell ref="L477:M477"/>
    <mergeCell ref="N477:O477"/>
    <mergeCell ref="H478:I478"/>
    <mergeCell ref="J478:K478"/>
    <mergeCell ref="L495:M495"/>
    <mergeCell ref="L478:M478"/>
    <mergeCell ref="N478:O478"/>
    <mergeCell ref="N484:O484"/>
    <mergeCell ref="A480:E480"/>
    <mergeCell ref="B481:E481"/>
    <mergeCell ref="B482:E482"/>
    <mergeCell ref="B483:E483"/>
    <mergeCell ref="H488:I488"/>
    <mergeCell ref="N495:O495"/>
    <mergeCell ref="B487:E487"/>
    <mergeCell ref="B489:E489"/>
    <mergeCell ref="A474:O474"/>
    <mergeCell ref="N485:O485"/>
    <mergeCell ref="N486:O486"/>
    <mergeCell ref="N487:O487"/>
    <mergeCell ref="N488:O488"/>
    <mergeCell ref="N489:O489"/>
    <mergeCell ref="L448:M448"/>
    <mergeCell ref="L449:M449"/>
    <mergeCell ref="H448:I448"/>
    <mergeCell ref="H449:I449"/>
    <mergeCell ref="H451:I451"/>
    <mergeCell ref="H455:I455"/>
    <mergeCell ref="H456:I456"/>
    <mergeCell ref="L455:M455"/>
    <mergeCell ref="B470:O470"/>
    <mergeCell ref="B471:O471"/>
    <mergeCell ref="A455:B457"/>
    <mergeCell ref="H457:I457"/>
    <mergeCell ref="J451:K451"/>
    <mergeCell ref="J455:K455"/>
    <mergeCell ref="J456:K456"/>
    <mergeCell ref="J457:K457"/>
    <mergeCell ref="J458:K458"/>
    <mergeCell ref="G452:O454"/>
    <mergeCell ref="A453:A454"/>
    <mergeCell ref="N457:O457"/>
    <mergeCell ref="N458:O458"/>
    <mergeCell ref="H458:I458"/>
    <mergeCell ref="C467:O467"/>
    <mergeCell ref="C468:O468"/>
    <mergeCell ref="N448:O448"/>
    <mergeCell ref="N449:O449"/>
    <mergeCell ref="B465:O465"/>
    <mergeCell ref="B458:E458"/>
    <mergeCell ref="G450:O450"/>
    <mergeCell ref="B462:O462"/>
    <mergeCell ref="B463:O463"/>
    <mergeCell ref="J449:K449"/>
    <mergeCell ref="H479:I479"/>
    <mergeCell ref="J479:K479"/>
    <mergeCell ref="L479:M479"/>
    <mergeCell ref="N479:O479"/>
    <mergeCell ref="H484:I484"/>
    <mergeCell ref="H485:I485"/>
    <mergeCell ref="B451:F451"/>
    <mergeCell ref="B444:F444"/>
    <mergeCell ref="L428:M428"/>
    <mergeCell ref="L430:M430"/>
    <mergeCell ref="L438:M438"/>
    <mergeCell ref="B432:O432"/>
    <mergeCell ref="A435:O435"/>
    <mergeCell ref="C429:J429"/>
    <mergeCell ref="H439:I439"/>
    <mergeCell ref="J439:K439"/>
    <mergeCell ref="H440:I440"/>
    <mergeCell ref="J440:K440"/>
    <mergeCell ref="C430:J430"/>
    <mergeCell ref="B464:O464"/>
    <mergeCell ref="C466:O466"/>
    <mergeCell ref="C448:F448"/>
    <mergeCell ref="C449:F449"/>
    <mergeCell ref="H442:I442"/>
    <mergeCell ref="H443:I443"/>
    <mergeCell ref="A438:A440"/>
    <mergeCell ref="B438:E440"/>
    <mergeCell ref="G438:G440"/>
    <mergeCell ref="G444:O447"/>
    <mergeCell ref="A448:B449"/>
    <mergeCell ref="A445:A447"/>
    <mergeCell ref="B461:O461"/>
    <mergeCell ref="J448:K448"/>
    <mergeCell ref="L451:M451"/>
    <mergeCell ref="N451:O451"/>
    <mergeCell ref="N455:O455"/>
    <mergeCell ref="N456:O456"/>
    <mergeCell ref="N440:O440"/>
    <mergeCell ref="N438:O438"/>
    <mergeCell ref="L439:M439"/>
    <mergeCell ref="N439:O439"/>
    <mergeCell ref="C431:J431"/>
    <mergeCell ref="H438:I438"/>
    <mergeCell ref="J438:K438"/>
    <mergeCell ref="A436:O436"/>
    <mergeCell ref="L440:M440"/>
    <mergeCell ref="A312:O312"/>
    <mergeCell ref="G201:O201"/>
    <mergeCell ref="C258:O258"/>
    <mergeCell ref="C261:O261"/>
    <mergeCell ref="B260:O260"/>
    <mergeCell ref="B262:O262"/>
    <mergeCell ref="B263:O263"/>
    <mergeCell ref="A311:O311"/>
    <mergeCell ref="C249:O249"/>
    <mergeCell ref="I250:J250"/>
    <mergeCell ref="C428:J428"/>
    <mergeCell ref="B423:O423"/>
    <mergeCell ref="C424:O424"/>
    <mergeCell ref="L425:M425"/>
    <mergeCell ref="C427:J427"/>
    <mergeCell ref="C426:J426"/>
    <mergeCell ref="C425:J425"/>
    <mergeCell ref="L426:M426"/>
    <mergeCell ref="G243:O243"/>
    <mergeCell ref="J232:K232"/>
    <mergeCell ref="J235:K235"/>
    <mergeCell ref="J241:K241"/>
    <mergeCell ref="J242:K242"/>
    <mergeCell ref="L238:M238"/>
    <mergeCell ref="B247:O247"/>
    <mergeCell ref="L235:M235"/>
    <mergeCell ref="N241:O241"/>
    <mergeCell ref="B242:E242"/>
    <mergeCell ref="A186:B190"/>
    <mergeCell ref="H150:I150"/>
    <mergeCell ref="J151:K151"/>
    <mergeCell ref="L151:M151"/>
    <mergeCell ref="N152:O152"/>
    <mergeCell ref="G157:O157"/>
    <mergeCell ref="G153:O153"/>
    <mergeCell ref="C155:E155"/>
    <mergeCell ref="H155:I155"/>
    <mergeCell ref="H152:I152"/>
    <mergeCell ref="L227:M227"/>
    <mergeCell ref="N227:O227"/>
    <mergeCell ref="H175:I175"/>
    <mergeCell ref="H225:I225"/>
    <mergeCell ref="J225:K225"/>
    <mergeCell ref="L225:M225"/>
    <mergeCell ref="A150:A152"/>
    <mergeCell ref="B150:E152"/>
    <mergeCell ref="G150:G152"/>
    <mergeCell ref="A154:B155"/>
    <mergeCell ref="B153:E153"/>
    <mergeCell ref="L220:M220"/>
    <mergeCell ref="J152:K152"/>
    <mergeCell ref="L152:M152"/>
    <mergeCell ref="J175:K175"/>
    <mergeCell ref="L175:M175"/>
    <mergeCell ref="A161:B162"/>
    <mergeCell ref="J155:K155"/>
    <mergeCell ref="A177:A180"/>
    <mergeCell ref="B177:B179"/>
    <mergeCell ref="N175:O175"/>
    <mergeCell ref="H244:I244"/>
    <mergeCell ref="J244:K244"/>
    <mergeCell ref="B244:E244"/>
    <mergeCell ref="C238:E238"/>
    <mergeCell ref="B243:E243"/>
    <mergeCell ref="C240:E240"/>
    <mergeCell ref="L242:M242"/>
    <mergeCell ref="H242:I242"/>
    <mergeCell ref="H235:I235"/>
    <mergeCell ref="H241:I241"/>
    <mergeCell ref="H232:I232"/>
    <mergeCell ref="H234:I234"/>
    <mergeCell ref="L244:M244"/>
    <mergeCell ref="N244:O244"/>
    <mergeCell ref="N242:O242"/>
    <mergeCell ref="C239:E239"/>
    <mergeCell ref="N230:O230"/>
    <mergeCell ref="L232:M232"/>
    <mergeCell ref="N232:O232"/>
    <mergeCell ref="A237:B241"/>
    <mergeCell ref="N238:O238"/>
    <mergeCell ref="G239:O240"/>
    <mergeCell ref="G236:O237"/>
    <mergeCell ref="B229:E229"/>
    <mergeCell ref="B231:E231"/>
    <mergeCell ref="C232:E232"/>
    <mergeCell ref="C233:E233"/>
    <mergeCell ref="N235:O235"/>
    <mergeCell ref="C234:E234"/>
    <mergeCell ref="G233:O233"/>
    <mergeCell ref="G231:O231"/>
    <mergeCell ref="J230:K230"/>
    <mergeCell ref="J234:K234"/>
    <mergeCell ref="N234:O234"/>
    <mergeCell ref="C241:E241"/>
    <mergeCell ref="L241:M241"/>
    <mergeCell ref="A164:B165"/>
    <mergeCell ref="B235:E235"/>
    <mergeCell ref="B236:E236"/>
    <mergeCell ref="C237:E237"/>
    <mergeCell ref="L230:M230"/>
    <mergeCell ref="L234:M234"/>
    <mergeCell ref="G229:O229"/>
    <mergeCell ref="A232:B234"/>
    <mergeCell ref="H238:I238"/>
    <mergeCell ref="J238:K238"/>
    <mergeCell ref="H230:I230"/>
    <mergeCell ref="C228:E228"/>
    <mergeCell ref="C224:E224"/>
    <mergeCell ref="G222:O224"/>
    <mergeCell ref="H227:I227"/>
    <mergeCell ref="J227:K227"/>
    <mergeCell ref="B230:E230"/>
    <mergeCell ref="J221:K221"/>
    <mergeCell ref="H221:I221"/>
    <mergeCell ref="N221:O221"/>
    <mergeCell ref="L218:M218"/>
    <mergeCell ref="H218:I218"/>
    <mergeCell ref="H219:I219"/>
    <mergeCell ref="N225:O225"/>
    <mergeCell ref="H226:I226"/>
    <mergeCell ref="J226:K226"/>
    <mergeCell ref="L226:M226"/>
    <mergeCell ref="N226:O226"/>
    <mergeCell ref="L221:M221"/>
    <mergeCell ref="H228:I228"/>
    <mergeCell ref="J228:K228"/>
    <mergeCell ref="L228:M228"/>
    <mergeCell ref="N228:O228"/>
    <mergeCell ref="H220:I220"/>
    <mergeCell ref="J218:K218"/>
    <mergeCell ref="J219:K219"/>
    <mergeCell ref="H214:I214"/>
    <mergeCell ref="H215:I215"/>
    <mergeCell ref="H216:I216"/>
    <mergeCell ref="L215:M215"/>
    <mergeCell ref="L219:M219"/>
    <mergeCell ref="N213:O213"/>
    <mergeCell ref="N214:O214"/>
    <mergeCell ref="N215:O215"/>
    <mergeCell ref="N216:O216"/>
    <mergeCell ref="G217:O217"/>
    <mergeCell ref="L216:M216"/>
    <mergeCell ref="J220:K220"/>
    <mergeCell ref="G199:O199"/>
    <mergeCell ref="G207:O207"/>
    <mergeCell ref="N208:O208"/>
    <mergeCell ref="H200:I200"/>
    <mergeCell ref="H202:I202"/>
    <mergeCell ref="H203:I203"/>
    <mergeCell ref="L202:M202"/>
    <mergeCell ref="N200:O200"/>
    <mergeCell ref="N202:O202"/>
    <mergeCell ref="N203:O203"/>
    <mergeCell ref="L210:M210"/>
    <mergeCell ref="L212:M212"/>
    <mergeCell ref="H212:I212"/>
    <mergeCell ref="G211:O211"/>
    <mergeCell ref="N209:O209"/>
    <mergeCell ref="N210:O210"/>
    <mergeCell ref="N212:O212"/>
    <mergeCell ref="N219:O219"/>
    <mergeCell ref="N220:O220"/>
    <mergeCell ref="N218:O218"/>
    <mergeCell ref="B200:E200"/>
    <mergeCell ref="B203:E203"/>
    <mergeCell ref="B218:E218"/>
    <mergeCell ref="B219:E219"/>
    <mergeCell ref="C214:E214"/>
    <mergeCell ref="B217:E217"/>
    <mergeCell ref="J208:K208"/>
    <mergeCell ref="C210:E210"/>
    <mergeCell ref="B211:D211"/>
    <mergeCell ref="B215:E215"/>
    <mergeCell ref="B216:E216"/>
    <mergeCell ref="H209:I209"/>
    <mergeCell ref="H210:I210"/>
    <mergeCell ref="N206:O206"/>
    <mergeCell ref="B206:E206"/>
    <mergeCell ref="C212:E212"/>
    <mergeCell ref="C213:E213"/>
    <mergeCell ref="H204:I204"/>
    <mergeCell ref="H205:I205"/>
    <mergeCell ref="H206:I206"/>
    <mergeCell ref="L206:M206"/>
    <mergeCell ref="L208:M208"/>
    <mergeCell ref="L209:M209"/>
    <mergeCell ref="N204:O204"/>
    <mergeCell ref="N205:O205"/>
    <mergeCell ref="L203:M203"/>
    <mergeCell ref="L204:M204"/>
    <mergeCell ref="L205:M205"/>
    <mergeCell ref="L200:M200"/>
    <mergeCell ref="H213:I213"/>
    <mergeCell ref="L213:M213"/>
    <mergeCell ref="L214:M214"/>
    <mergeCell ref="C227:E227"/>
    <mergeCell ref="B198:E198"/>
    <mergeCell ref="J209:K209"/>
    <mergeCell ref="J210:K210"/>
    <mergeCell ref="J212:K212"/>
    <mergeCell ref="J213:K213"/>
    <mergeCell ref="J214:K214"/>
    <mergeCell ref="J215:K215"/>
    <mergeCell ref="J216:K216"/>
    <mergeCell ref="H208:I208"/>
    <mergeCell ref="C223:E223"/>
    <mergeCell ref="C225:E225"/>
    <mergeCell ref="B207:E207"/>
    <mergeCell ref="C209:E209"/>
    <mergeCell ref="B204:E204"/>
    <mergeCell ref="B205:E205"/>
    <mergeCell ref="A223:B228"/>
    <mergeCell ref="B221:E221"/>
    <mergeCell ref="B222:E222"/>
    <mergeCell ref="C226:E226"/>
    <mergeCell ref="J200:K200"/>
    <mergeCell ref="J202:K202"/>
    <mergeCell ref="J203:K203"/>
    <mergeCell ref="J204:K204"/>
    <mergeCell ref="J205:K205"/>
    <mergeCell ref="J206:K206"/>
    <mergeCell ref="B220:E220"/>
    <mergeCell ref="C208:E208"/>
    <mergeCell ref="A212:B214"/>
    <mergeCell ref="C202:E202"/>
    <mergeCell ref="B201:E201"/>
    <mergeCell ref="B199:E199"/>
    <mergeCell ref="B195:E195"/>
    <mergeCell ref="C196:E196"/>
    <mergeCell ref="C197:E197"/>
    <mergeCell ref="H196:I196"/>
    <mergeCell ref="H197:I197"/>
    <mergeCell ref="J196:K196"/>
    <mergeCell ref="J197:K197"/>
    <mergeCell ref="A196:B197"/>
    <mergeCell ref="G195:O195"/>
    <mergeCell ref="L197:M197"/>
    <mergeCell ref="N196:O196"/>
    <mergeCell ref="N197:O197"/>
    <mergeCell ref="H198:I198"/>
    <mergeCell ref="J198:K198"/>
    <mergeCell ref="L198:M198"/>
    <mergeCell ref="N198:O198"/>
    <mergeCell ref="L196:M196"/>
    <mergeCell ref="C193:E193"/>
    <mergeCell ref="C194:E194"/>
    <mergeCell ref="B192:E192"/>
    <mergeCell ref="H191:I191"/>
    <mergeCell ref="J191:K191"/>
    <mergeCell ref="J193:K193"/>
    <mergeCell ref="J194:K194"/>
    <mergeCell ref="A193:B194"/>
    <mergeCell ref="B191:E191"/>
    <mergeCell ref="L194:M194"/>
    <mergeCell ref="N191:O191"/>
    <mergeCell ref="N193:O193"/>
    <mergeCell ref="N194:O194"/>
    <mergeCell ref="H193:I193"/>
    <mergeCell ref="H194:I194"/>
    <mergeCell ref="L191:M191"/>
    <mergeCell ref="L193:M193"/>
    <mergeCell ref="G192:O192"/>
    <mergeCell ref="L182:M182"/>
    <mergeCell ref="L183:M183"/>
    <mergeCell ref="L184:M184"/>
    <mergeCell ref="J179:K179"/>
    <mergeCell ref="L177:M177"/>
    <mergeCell ref="L178:M178"/>
    <mergeCell ref="L179:M179"/>
    <mergeCell ref="N179:O179"/>
    <mergeCell ref="N180:O180"/>
    <mergeCell ref="C189:E189"/>
    <mergeCell ref="C190:E190"/>
    <mergeCell ref="H189:I189"/>
    <mergeCell ref="H190:I190"/>
    <mergeCell ref="J186:K186"/>
    <mergeCell ref="J187:K187"/>
    <mergeCell ref="J188:K188"/>
    <mergeCell ref="J189:K189"/>
    <mergeCell ref="J190:K190"/>
    <mergeCell ref="H188:I188"/>
    <mergeCell ref="L186:M186"/>
    <mergeCell ref="L187:M187"/>
    <mergeCell ref="L188:M188"/>
    <mergeCell ref="L189:M189"/>
    <mergeCell ref="L190:M190"/>
    <mergeCell ref="N186:O186"/>
    <mergeCell ref="N187:O187"/>
    <mergeCell ref="N188:O188"/>
    <mergeCell ref="N189:O189"/>
    <mergeCell ref="N190:O190"/>
    <mergeCell ref="H179:I179"/>
    <mergeCell ref="G185:O185"/>
    <mergeCell ref="H177:I177"/>
    <mergeCell ref="C188:E188"/>
    <mergeCell ref="J172:K172"/>
    <mergeCell ref="J173:K173"/>
    <mergeCell ref="B176:E176"/>
    <mergeCell ref="C177:E177"/>
    <mergeCell ref="C178:E178"/>
    <mergeCell ref="C179:E179"/>
    <mergeCell ref="C172:E172"/>
    <mergeCell ref="H172:I172"/>
    <mergeCell ref="H174:I174"/>
    <mergeCell ref="B183:E183"/>
    <mergeCell ref="B184:E184"/>
    <mergeCell ref="H186:I186"/>
    <mergeCell ref="B180:E180"/>
    <mergeCell ref="B181:E181"/>
    <mergeCell ref="G176:O176"/>
    <mergeCell ref="A172:B174"/>
    <mergeCell ref="H187:I187"/>
    <mergeCell ref="B185:E185"/>
    <mergeCell ref="C186:E186"/>
    <mergeCell ref="C187:E187"/>
    <mergeCell ref="H182:I182"/>
    <mergeCell ref="H183:I183"/>
    <mergeCell ref="H184:I184"/>
    <mergeCell ref="B182:E182"/>
    <mergeCell ref="N181:O181"/>
    <mergeCell ref="N182:O182"/>
    <mergeCell ref="N183:O183"/>
    <mergeCell ref="N184:O184"/>
    <mergeCell ref="J182:K182"/>
    <mergeCell ref="J183:K183"/>
    <mergeCell ref="J184:K184"/>
    <mergeCell ref="J174:K174"/>
    <mergeCell ref="L172:M172"/>
    <mergeCell ref="L173:M173"/>
    <mergeCell ref="L174:M174"/>
    <mergeCell ref="N172:O172"/>
    <mergeCell ref="N173:O173"/>
    <mergeCell ref="N174:O174"/>
    <mergeCell ref="B175:E175"/>
    <mergeCell ref="H180:I180"/>
    <mergeCell ref="H181:I181"/>
    <mergeCell ref="L180:M180"/>
    <mergeCell ref="L181:M181"/>
    <mergeCell ref="J180:K180"/>
    <mergeCell ref="J181:K181"/>
    <mergeCell ref="N177:O177"/>
    <mergeCell ref="N178:O178"/>
    <mergeCell ref="C173:E173"/>
    <mergeCell ref="C174:E174"/>
    <mergeCell ref="H173:I173"/>
    <mergeCell ref="H178:I178"/>
    <mergeCell ref="J177:K177"/>
    <mergeCell ref="J178:K178"/>
    <mergeCell ref="B170:E170"/>
    <mergeCell ref="B171:E171"/>
    <mergeCell ref="A167:B167"/>
    <mergeCell ref="G168:O168"/>
    <mergeCell ref="G171:O171"/>
    <mergeCell ref="J167:K167"/>
    <mergeCell ref="L167:M167"/>
    <mergeCell ref="J169:K169"/>
    <mergeCell ref="N169:O169"/>
    <mergeCell ref="L164:M164"/>
    <mergeCell ref="L162:M162"/>
    <mergeCell ref="N162:O162"/>
    <mergeCell ref="N164:O164"/>
    <mergeCell ref="N165:O165"/>
    <mergeCell ref="G163:O163"/>
    <mergeCell ref="J165:K165"/>
    <mergeCell ref="J164:K164"/>
    <mergeCell ref="J162:K162"/>
    <mergeCell ref="H162:I162"/>
    <mergeCell ref="H170:I170"/>
    <mergeCell ref="J170:K170"/>
    <mergeCell ref="L170:M170"/>
    <mergeCell ref="N170:O170"/>
    <mergeCell ref="B168:E168"/>
    <mergeCell ref="G166:O166"/>
    <mergeCell ref="C161:E161"/>
    <mergeCell ref="H161:I161"/>
    <mergeCell ref="J161:K161"/>
    <mergeCell ref="L161:M161"/>
    <mergeCell ref="N161:O161"/>
    <mergeCell ref="C162:E162"/>
    <mergeCell ref="N167:O167"/>
    <mergeCell ref="H164:I164"/>
    <mergeCell ref="L169:M169"/>
    <mergeCell ref="B163:E163"/>
    <mergeCell ref="C164:E164"/>
    <mergeCell ref="C165:E165"/>
    <mergeCell ref="B169:E169"/>
    <mergeCell ref="H169:I169"/>
    <mergeCell ref="C167:E167"/>
    <mergeCell ref="B166:E166"/>
    <mergeCell ref="L165:M165"/>
    <mergeCell ref="H167:I167"/>
    <mergeCell ref="H165:I165"/>
    <mergeCell ref="H156:I156"/>
    <mergeCell ref="J156:K156"/>
    <mergeCell ref="L156:M156"/>
    <mergeCell ref="N156:O156"/>
    <mergeCell ref="B156:E156"/>
    <mergeCell ref="B157:E157"/>
    <mergeCell ref="C158:E158"/>
    <mergeCell ref="H158:I158"/>
    <mergeCell ref="J158:K158"/>
    <mergeCell ref="L158:M158"/>
    <mergeCell ref="N158:O158"/>
    <mergeCell ref="H159:I159"/>
    <mergeCell ref="J159:K159"/>
    <mergeCell ref="L159:M159"/>
    <mergeCell ref="N159:O159"/>
    <mergeCell ref="B160:E160"/>
    <mergeCell ref="C159:E159"/>
    <mergeCell ref="A158:B159"/>
    <mergeCell ref="G160:O160"/>
    <mergeCell ref="A31:P31"/>
    <mergeCell ref="A68:P68"/>
    <mergeCell ref="A101:P101"/>
    <mergeCell ref="A91:P91"/>
    <mergeCell ref="A92:P92"/>
    <mergeCell ref="A93:P93"/>
    <mergeCell ref="A113:P113"/>
    <mergeCell ref="A102:P102"/>
    <mergeCell ref="A103:P103"/>
    <mergeCell ref="A104:P104"/>
    <mergeCell ref="A105:P105"/>
    <mergeCell ref="L155:M155"/>
    <mergeCell ref="N155:O155"/>
    <mergeCell ref="A115:P115"/>
    <mergeCell ref="A116:P116"/>
    <mergeCell ref="H151:I151"/>
    <mergeCell ref="H154:I154"/>
    <mergeCell ref="J154:K154"/>
    <mergeCell ref="L154:M154"/>
    <mergeCell ref="N154:O154"/>
    <mergeCell ref="C154:E154"/>
    <mergeCell ref="N151:O151"/>
    <mergeCell ref="J150:K150"/>
    <mergeCell ref="L150:M150"/>
    <mergeCell ref="N150:O150"/>
    <mergeCell ref="A148:P148"/>
    <mergeCell ref="A90:P90"/>
    <mergeCell ref="A106:P106"/>
    <mergeCell ref="A107:P107"/>
    <mergeCell ref="A96:P96"/>
    <mergeCell ref="A97:P97"/>
    <mergeCell ref="A98:P98"/>
    <mergeCell ref="A99:P99"/>
    <mergeCell ref="A100:P100"/>
    <mergeCell ref="A114:P114"/>
    <mergeCell ref="A117:P117"/>
    <mergeCell ref="A145:P145"/>
    <mergeCell ref="A146:P146"/>
    <mergeCell ref="A147:P147"/>
    <mergeCell ref="A108:P108"/>
    <mergeCell ref="A109:P109"/>
    <mergeCell ref="A110:P110"/>
    <mergeCell ref="A111:P111"/>
    <mergeCell ref="A112:P112"/>
    <mergeCell ref="A63:P63"/>
    <mergeCell ref="A64:D64"/>
    <mergeCell ref="A72:P72"/>
    <mergeCell ref="A65:P65"/>
    <mergeCell ref="A66:P66"/>
    <mergeCell ref="A67:P67"/>
    <mergeCell ref="A69:P69"/>
    <mergeCell ref="A70:P70"/>
    <mergeCell ref="A71:P71"/>
    <mergeCell ref="A73:P73"/>
    <mergeCell ref="A74:P74"/>
    <mergeCell ref="A75:P75"/>
    <mergeCell ref="A76:P76"/>
    <mergeCell ref="A77:P77"/>
    <mergeCell ref="A78:P78"/>
    <mergeCell ref="A79:P79"/>
    <mergeCell ref="A80:P80"/>
    <mergeCell ref="A81:P81"/>
    <mergeCell ref="A82:P82"/>
    <mergeCell ref="A95:P95"/>
    <mergeCell ref="A83:P83"/>
    <mergeCell ref="A84:P84"/>
    <mergeCell ref="A85:P85"/>
    <mergeCell ref="A86:P86"/>
    <mergeCell ref="A87:P87"/>
    <mergeCell ref="A94:P94"/>
    <mergeCell ref="A88:P88"/>
    <mergeCell ref="A89:P89"/>
    <mergeCell ref="A45:P45"/>
    <mergeCell ref="A46:P46"/>
    <mergeCell ref="A47:P47"/>
    <mergeCell ref="A48:P48"/>
    <mergeCell ref="A49:P49"/>
    <mergeCell ref="A50:P50"/>
    <mergeCell ref="A51:P51"/>
    <mergeCell ref="A52:P52"/>
    <mergeCell ref="A53:P53"/>
    <mergeCell ref="A54:P54"/>
    <mergeCell ref="A55:P55"/>
    <mergeCell ref="A56:P56"/>
    <mergeCell ref="A57:P57"/>
    <mergeCell ref="A58:P58"/>
    <mergeCell ref="A60:P60"/>
    <mergeCell ref="A61:P61"/>
    <mergeCell ref="A62:P62"/>
    <mergeCell ref="A27:P27"/>
    <mergeCell ref="A1:P1"/>
    <mergeCell ref="A2:P2"/>
    <mergeCell ref="A3:P3"/>
    <mergeCell ref="A28:P28"/>
    <mergeCell ref="A25:P25"/>
    <mergeCell ref="A5:P5"/>
    <mergeCell ref="A8:P8"/>
    <mergeCell ref="A9:P9"/>
    <mergeCell ref="A10:P10"/>
    <mergeCell ref="A22:P22"/>
    <mergeCell ref="A12:P12"/>
    <mergeCell ref="A15:P15"/>
    <mergeCell ref="A13:P13"/>
    <mergeCell ref="A16:P16"/>
    <mergeCell ref="A17:P17"/>
    <mergeCell ref="A18:P18"/>
    <mergeCell ref="A19:P19"/>
    <mergeCell ref="A20:P20"/>
    <mergeCell ref="A21:P21"/>
    <mergeCell ref="A26:P26"/>
    <mergeCell ref="A23:P23"/>
    <mergeCell ref="A24:P24"/>
    <mergeCell ref="A7:P7"/>
    <mergeCell ref="A11:P11"/>
    <mergeCell ref="A14:P14"/>
    <mergeCell ref="A4:P4"/>
    <mergeCell ref="N314:O314"/>
    <mergeCell ref="H315:I315"/>
    <mergeCell ref="J315:K315"/>
    <mergeCell ref="L315:M315"/>
    <mergeCell ref="N315:O315"/>
    <mergeCell ref="H316:I316"/>
    <mergeCell ref="J316:K316"/>
    <mergeCell ref="L316:M316"/>
    <mergeCell ref="N316:O316"/>
    <mergeCell ref="A29:P29"/>
    <mergeCell ref="A314:A316"/>
    <mergeCell ref="B314:E316"/>
    <mergeCell ref="G314:G316"/>
    <mergeCell ref="H314:I314"/>
    <mergeCell ref="J314:K314"/>
    <mergeCell ref="L314:M314"/>
    <mergeCell ref="A30:P30"/>
    <mergeCell ref="A32:P32"/>
    <mergeCell ref="A33:P33"/>
    <mergeCell ref="A34:P34"/>
    <mergeCell ref="A35:P35"/>
    <mergeCell ref="B248:O248"/>
    <mergeCell ref="A36:P36"/>
    <mergeCell ref="A37:P37"/>
    <mergeCell ref="A38:P38"/>
    <mergeCell ref="A39:P39"/>
    <mergeCell ref="A40:P40"/>
    <mergeCell ref="A59:P59"/>
    <mergeCell ref="A41:P41"/>
    <mergeCell ref="A42:P42"/>
    <mergeCell ref="A43:P43"/>
    <mergeCell ref="A44:P44"/>
    <mergeCell ref="B322:E322"/>
    <mergeCell ref="G322:O322"/>
    <mergeCell ref="C323:E323"/>
    <mergeCell ref="C324:E324"/>
    <mergeCell ref="H323:I323"/>
    <mergeCell ref="J320:K320"/>
    <mergeCell ref="J321:K321"/>
    <mergeCell ref="L320:M320"/>
    <mergeCell ref="L321:M321"/>
    <mergeCell ref="B325:E325"/>
    <mergeCell ref="C326:E326"/>
    <mergeCell ref="A320:B321"/>
    <mergeCell ref="C320:E320"/>
    <mergeCell ref="C321:E321"/>
    <mergeCell ref="B317:E317"/>
    <mergeCell ref="B318:E318"/>
    <mergeCell ref="B319:E319"/>
    <mergeCell ref="N320:O320"/>
    <mergeCell ref="N321:O321"/>
    <mergeCell ref="G319:O319"/>
    <mergeCell ref="G317:O317"/>
    <mergeCell ref="H318:I318"/>
    <mergeCell ref="J318:K318"/>
    <mergeCell ref="L318:M318"/>
    <mergeCell ref="N318:O318"/>
    <mergeCell ref="H320:I320"/>
    <mergeCell ref="H321:I321"/>
    <mergeCell ref="J323:K323"/>
    <mergeCell ref="J324:K324"/>
    <mergeCell ref="N327:O327"/>
    <mergeCell ref="B328:E328"/>
    <mergeCell ref="C329:E329"/>
    <mergeCell ref="C330:E330"/>
    <mergeCell ref="N329:O329"/>
    <mergeCell ref="C338:E338"/>
    <mergeCell ref="A326:B327"/>
    <mergeCell ref="G328:O328"/>
    <mergeCell ref="C327:E327"/>
    <mergeCell ref="H326:I326"/>
    <mergeCell ref="H327:I327"/>
    <mergeCell ref="J326:K326"/>
    <mergeCell ref="J327:K327"/>
    <mergeCell ref="L326:M326"/>
    <mergeCell ref="L327:M327"/>
    <mergeCell ref="N323:O323"/>
    <mergeCell ref="N324:O324"/>
    <mergeCell ref="L323:M323"/>
    <mergeCell ref="L324:M324"/>
    <mergeCell ref="H324:I324"/>
    <mergeCell ref="N326:O326"/>
    <mergeCell ref="A323:B324"/>
    <mergeCell ref="G325:O325"/>
    <mergeCell ref="N330:O330"/>
    <mergeCell ref="L329:M329"/>
    <mergeCell ref="L330:M330"/>
    <mergeCell ref="B334:E334"/>
    <mergeCell ref="C335:E335"/>
    <mergeCell ref="C336:E336"/>
    <mergeCell ref="G331:O331"/>
    <mergeCell ref="G334:O334"/>
    <mergeCell ref="A332:B333"/>
    <mergeCell ref="A329:B330"/>
    <mergeCell ref="B331:E331"/>
    <mergeCell ref="H329:I329"/>
    <mergeCell ref="H330:I330"/>
    <mergeCell ref="J329:K329"/>
    <mergeCell ref="J330:K330"/>
    <mergeCell ref="B337:E337"/>
    <mergeCell ref="A335:B336"/>
    <mergeCell ref="H338:I338"/>
    <mergeCell ref="C339:E339"/>
    <mergeCell ref="A340:O340"/>
    <mergeCell ref="B341:O341"/>
    <mergeCell ref="C357:O357"/>
    <mergeCell ref="H335:I335"/>
    <mergeCell ref="G337:O337"/>
    <mergeCell ref="A342:B352"/>
    <mergeCell ref="A354:B357"/>
    <mergeCell ref="A338:B339"/>
    <mergeCell ref="C344:O344"/>
    <mergeCell ref="L333:M333"/>
    <mergeCell ref="C332:E332"/>
    <mergeCell ref="C333:E333"/>
    <mergeCell ref="N333:O333"/>
    <mergeCell ref="N332:O332"/>
    <mergeCell ref="J333:K333"/>
    <mergeCell ref="J332:K332"/>
    <mergeCell ref="H332:I332"/>
    <mergeCell ref="H333:I333"/>
    <mergeCell ref="L332:M332"/>
    <mergeCell ref="H373:I373"/>
    <mergeCell ref="J373:K373"/>
    <mergeCell ref="N373:O373"/>
    <mergeCell ref="J374:K374"/>
    <mergeCell ref="J375:K375"/>
    <mergeCell ref="N375:O375"/>
    <mergeCell ref="L373:M373"/>
    <mergeCell ref="L374:M374"/>
    <mergeCell ref="L375:M375"/>
    <mergeCell ref="J371:K371"/>
    <mergeCell ref="L371:M371"/>
    <mergeCell ref="H372:I372"/>
    <mergeCell ref="J372:K372"/>
    <mergeCell ref="L372:M372"/>
    <mergeCell ref="N372:O372"/>
    <mergeCell ref="N371:O371"/>
    <mergeCell ref="N338:O338"/>
    <mergeCell ref="N339:O339"/>
    <mergeCell ref="A367:O367"/>
    <mergeCell ref="A368:O368"/>
    <mergeCell ref="A370:A372"/>
    <mergeCell ref="B370:E372"/>
    <mergeCell ref="G370:G372"/>
    <mergeCell ref="H370:I370"/>
    <mergeCell ref="J370:K370"/>
    <mergeCell ref="L370:M370"/>
    <mergeCell ref="H339:I339"/>
    <mergeCell ref="N370:O370"/>
    <mergeCell ref="H371:I371"/>
    <mergeCell ref="J338:K338"/>
    <mergeCell ref="J339:K339"/>
    <mergeCell ref="C354:O354"/>
    <mergeCell ref="H376:I376"/>
    <mergeCell ref="H377:I377"/>
    <mergeCell ref="H378:I378"/>
    <mergeCell ref="L384:M384"/>
    <mergeCell ref="N386:O386"/>
    <mergeCell ref="N378:O378"/>
    <mergeCell ref="A374:A384"/>
    <mergeCell ref="H383:I383"/>
    <mergeCell ref="H384:I384"/>
    <mergeCell ref="L383:M383"/>
    <mergeCell ref="H374:I374"/>
    <mergeCell ref="H375:I375"/>
    <mergeCell ref="G379:O382"/>
    <mergeCell ref="N383:O383"/>
    <mergeCell ref="N384:O384"/>
    <mergeCell ref="L376:M376"/>
    <mergeCell ref="L377:M377"/>
    <mergeCell ref="L378:M378"/>
    <mergeCell ref="N374:O374"/>
    <mergeCell ref="J378:K378"/>
    <mergeCell ref="J384:K384"/>
    <mergeCell ref="J376:K376"/>
    <mergeCell ref="J377:K377"/>
    <mergeCell ref="N376:O376"/>
    <mergeCell ref="N377:O377"/>
    <mergeCell ref="B384:F384"/>
    <mergeCell ref="B385:F385"/>
    <mergeCell ref="A385:A387"/>
    <mergeCell ref="B386:B387"/>
    <mergeCell ref="N387:O387"/>
    <mergeCell ref="C386:F386"/>
    <mergeCell ref="C387:F387"/>
    <mergeCell ref="H390:I390"/>
    <mergeCell ref="H391:I391"/>
    <mergeCell ref="H393:I393"/>
    <mergeCell ref="J387:K387"/>
    <mergeCell ref="L386:M386"/>
    <mergeCell ref="L387:M387"/>
    <mergeCell ref="H386:I386"/>
    <mergeCell ref="H387:I387"/>
    <mergeCell ref="J386:K386"/>
    <mergeCell ref="J383:K383"/>
    <mergeCell ref="J396:K396"/>
    <mergeCell ref="N401:O401"/>
    <mergeCell ref="H401:I401"/>
    <mergeCell ref="J401:K401"/>
    <mergeCell ref="L401:M401"/>
    <mergeCell ref="J398:K398"/>
    <mergeCell ref="J400:K400"/>
    <mergeCell ref="G388:O389"/>
    <mergeCell ref="J394:K394"/>
    <mergeCell ref="H394:I394"/>
    <mergeCell ref="H396:I396"/>
    <mergeCell ref="H397:I397"/>
    <mergeCell ref="L400:M400"/>
    <mergeCell ref="N390:O390"/>
    <mergeCell ref="N391:O391"/>
    <mergeCell ref="N393:O393"/>
    <mergeCell ref="N394:O394"/>
    <mergeCell ref="N396:O396"/>
    <mergeCell ref="N397:O397"/>
    <mergeCell ref="N398:O398"/>
    <mergeCell ref="N400:O400"/>
    <mergeCell ref="L390:M390"/>
    <mergeCell ref="L391:M391"/>
    <mergeCell ref="L393:M393"/>
    <mergeCell ref="L394:M394"/>
    <mergeCell ref="L396:M396"/>
    <mergeCell ref="L397:M397"/>
    <mergeCell ref="G392:O392"/>
    <mergeCell ref="J397:K397"/>
    <mergeCell ref="H398:I398"/>
    <mergeCell ref="H400:I400"/>
    <mergeCell ref="J390:K390"/>
    <mergeCell ref="J391:K391"/>
    <mergeCell ref="J393:K393"/>
    <mergeCell ref="G395:O395"/>
    <mergeCell ref="H416:I416"/>
    <mergeCell ref="L417:M417"/>
    <mergeCell ref="C420:O420"/>
    <mergeCell ref="N416:O416"/>
    <mergeCell ref="N417:O417"/>
    <mergeCell ref="L416:M416"/>
    <mergeCell ref="L414:M414"/>
    <mergeCell ref="J411:K411"/>
    <mergeCell ref="J412:K412"/>
    <mergeCell ref="J413:K413"/>
    <mergeCell ref="J414:K414"/>
    <mergeCell ref="H411:I411"/>
    <mergeCell ref="H413:I413"/>
    <mergeCell ref="H414:I414"/>
    <mergeCell ref="L412:M412"/>
    <mergeCell ref="L413:M413"/>
    <mergeCell ref="L405:M405"/>
    <mergeCell ref="L406:M406"/>
    <mergeCell ref="G407:O410"/>
    <mergeCell ref="H665:I665"/>
    <mergeCell ref="C659:D659"/>
    <mergeCell ref="G385:O385"/>
    <mergeCell ref="G399:O399"/>
    <mergeCell ref="A389:B397"/>
    <mergeCell ref="A400:B401"/>
    <mergeCell ref="B405:B406"/>
    <mergeCell ref="G402:O404"/>
    <mergeCell ref="L398:M398"/>
    <mergeCell ref="N406:O406"/>
    <mergeCell ref="H405:I405"/>
    <mergeCell ref="H406:I406"/>
    <mergeCell ref="A418:B418"/>
    <mergeCell ref="G415:O415"/>
    <mergeCell ref="A411:B417"/>
    <mergeCell ref="N414:O414"/>
    <mergeCell ref="N412:O412"/>
    <mergeCell ref="N413:O413"/>
    <mergeCell ref="H412:I412"/>
    <mergeCell ref="J416:K416"/>
    <mergeCell ref="H417:I417"/>
    <mergeCell ref="N411:O411"/>
    <mergeCell ref="J405:K405"/>
    <mergeCell ref="J406:K406"/>
    <mergeCell ref="L411:M411"/>
    <mergeCell ref="C651:O651"/>
    <mergeCell ref="G656:O658"/>
    <mergeCell ref="G661:O661"/>
    <mergeCell ref="B663:E663"/>
    <mergeCell ref="C421:O421"/>
    <mergeCell ref="C422:O422"/>
    <mergeCell ref="J417:K417"/>
    <mergeCell ref="G666:O666"/>
    <mergeCell ref="G669:O669"/>
    <mergeCell ref="L679:M679"/>
    <mergeCell ref="J679:K679"/>
    <mergeCell ref="J680:K680"/>
    <mergeCell ref="H679:I679"/>
    <mergeCell ref="H674:I674"/>
    <mergeCell ref="N665:O665"/>
    <mergeCell ref="N667:O667"/>
    <mergeCell ref="N670:O670"/>
    <mergeCell ref="N671:O671"/>
    <mergeCell ref="N672:O672"/>
    <mergeCell ref="L659:M659"/>
    <mergeCell ref="L660:M660"/>
    <mergeCell ref="L662:M662"/>
    <mergeCell ref="L663:M663"/>
    <mergeCell ref="L664:M664"/>
    <mergeCell ref="L665:M665"/>
    <mergeCell ref="H672:I672"/>
    <mergeCell ref="J659:K659"/>
    <mergeCell ref="J660:K660"/>
    <mergeCell ref="J662:K662"/>
    <mergeCell ref="J663:K663"/>
    <mergeCell ref="J664:K664"/>
    <mergeCell ref="J665:K665"/>
    <mergeCell ref="J667:K667"/>
    <mergeCell ref="J670:K670"/>
    <mergeCell ref="J671:K671"/>
    <mergeCell ref="L674:M674"/>
    <mergeCell ref="L675:M675"/>
    <mergeCell ref="L676:M676"/>
    <mergeCell ref="G678:O678"/>
    <mergeCell ref="J676:K676"/>
    <mergeCell ref="H680:I680"/>
    <mergeCell ref="L680:M680"/>
    <mergeCell ref="B670:E670"/>
    <mergeCell ref="B671:E671"/>
    <mergeCell ref="B672:E672"/>
    <mergeCell ref="G673:O673"/>
    <mergeCell ref="A674:B675"/>
    <mergeCell ref="N675:O675"/>
    <mergeCell ref="J674:K674"/>
    <mergeCell ref="J675:K675"/>
    <mergeCell ref="N674:O674"/>
    <mergeCell ref="J672:K672"/>
    <mergeCell ref="N676:O676"/>
    <mergeCell ref="N679:O679"/>
    <mergeCell ref="N680:O680"/>
    <mergeCell ref="B679:E679"/>
    <mergeCell ref="B680:E680"/>
    <mergeCell ref="N685:O685"/>
    <mergeCell ref="N686:O686"/>
    <mergeCell ref="N688:O688"/>
    <mergeCell ref="N689:O689"/>
    <mergeCell ref="J692:K692"/>
    <mergeCell ref="B685:E685"/>
    <mergeCell ref="B686:E686"/>
    <mergeCell ref="B687:E687"/>
    <mergeCell ref="J685:K685"/>
    <mergeCell ref="J686:K686"/>
    <mergeCell ref="A691:B692"/>
    <mergeCell ref="A688:B689"/>
    <mergeCell ref="C688:E688"/>
    <mergeCell ref="C689:E689"/>
    <mergeCell ref="B690:E690"/>
    <mergeCell ref="B697:E697"/>
    <mergeCell ref="B698:E698"/>
    <mergeCell ref="A695:B696"/>
    <mergeCell ref="N691:O691"/>
    <mergeCell ref="L685:M685"/>
    <mergeCell ref="L686:M686"/>
    <mergeCell ref="L688:M688"/>
    <mergeCell ref="L689:M689"/>
    <mergeCell ref="H720:I720"/>
    <mergeCell ref="B715:E715"/>
    <mergeCell ref="C742:E742"/>
    <mergeCell ref="J741:K741"/>
    <mergeCell ref="H740:I740"/>
    <mergeCell ref="L715:M715"/>
    <mergeCell ref="H715:I715"/>
    <mergeCell ref="H719:I719"/>
    <mergeCell ref="H721:I721"/>
    <mergeCell ref="H722:I722"/>
    <mergeCell ref="H723:I723"/>
    <mergeCell ref="H724:I724"/>
    <mergeCell ref="C692:E692"/>
    <mergeCell ref="B693:E693"/>
    <mergeCell ref="B694:E694"/>
    <mergeCell ref="C699:E699"/>
    <mergeCell ref="C700:E700"/>
    <mergeCell ref="C695:E695"/>
    <mergeCell ref="C696:E696"/>
    <mergeCell ref="C703:E703"/>
    <mergeCell ref="B701:E701"/>
    <mergeCell ref="C721:E721"/>
    <mergeCell ref="B730:E730"/>
    <mergeCell ref="C727:O727"/>
    <mergeCell ref="J725:K725"/>
    <mergeCell ref="L703:M703"/>
    <mergeCell ref="L704:M704"/>
    <mergeCell ref="J701:K701"/>
    <mergeCell ref="L699:M699"/>
    <mergeCell ref="N709:O709"/>
    <mergeCell ref="H711:I711"/>
    <mergeCell ref="C708:E708"/>
    <mergeCell ref="B752:E752"/>
    <mergeCell ref="B753:E753"/>
    <mergeCell ref="C736:E736"/>
    <mergeCell ref="B733:E733"/>
    <mergeCell ref="B734:E734"/>
    <mergeCell ref="B737:E737"/>
    <mergeCell ref="B738:E738"/>
    <mergeCell ref="A735:B736"/>
    <mergeCell ref="H757:I757"/>
    <mergeCell ref="H759:I759"/>
    <mergeCell ref="C754:E754"/>
    <mergeCell ref="C755:E755"/>
    <mergeCell ref="G758:O758"/>
    <mergeCell ref="A754:B755"/>
    <mergeCell ref="J757:K757"/>
    <mergeCell ref="N757:O757"/>
    <mergeCell ref="H741:I741"/>
    <mergeCell ref="H742:I742"/>
    <mergeCell ref="L741:M741"/>
    <mergeCell ref="C735:E735"/>
    <mergeCell ref="C740:E740"/>
    <mergeCell ref="C741:E741"/>
    <mergeCell ref="N742:O742"/>
    <mergeCell ref="J733:K733"/>
    <mergeCell ref="J735:K735"/>
    <mergeCell ref="J736:K736"/>
    <mergeCell ref="L737:M737"/>
    <mergeCell ref="L740:M740"/>
    <mergeCell ref="G738:O739"/>
    <mergeCell ref="N778:O778"/>
    <mergeCell ref="B724:E724"/>
    <mergeCell ref="B744:E744"/>
    <mergeCell ref="H763:I763"/>
    <mergeCell ref="H743:I743"/>
    <mergeCell ref="B762:E762"/>
    <mergeCell ref="B716:E716"/>
    <mergeCell ref="L719:M719"/>
    <mergeCell ref="L720:M720"/>
    <mergeCell ref="N725:O725"/>
    <mergeCell ref="L725:M725"/>
    <mergeCell ref="N721:O721"/>
    <mergeCell ref="N722:O722"/>
    <mergeCell ref="J723:K723"/>
    <mergeCell ref="J724:K724"/>
    <mergeCell ref="L765:M765"/>
    <mergeCell ref="L762:M762"/>
    <mergeCell ref="H762:I762"/>
    <mergeCell ref="H754:I754"/>
    <mergeCell ref="H755:I755"/>
    <mergeCell ref="N759:O759"/>
    <mergeCell ref="J732:K732"/>
    <mergeCell ref="L742:M742"/>
    <mergeCell ref="L743:M743"/>
    <mergeCell ref="L744:M744"/>
    <mergeCell ref="J742:K742"/>
    <mergeCell ref="B739:E739"/>
    <mergeCell ref="B757:E757"/>
    <mergeCell ref="B758:E758"/>
    <mergeCell ref="B759:E759"/>
    <mergeCell ref="A740:B742"/>
    <mergeCell ref="B751:E751"/>
    <mergeCell ref="L769:M769"/>
    <mergeCell ref="L770:M770"/>
    <mergeCell ref="H764:I764"/>
    <mergeCell ref="H765:I765"/>
    <mergeCell ref="J791:K791"/>
    <mergeCell ref="J792:K792"/>
    <mergeCell ref="G790:O790"/>
    <mergeCell ref="H791:I791"/>
    <mergeCell ref="H792:I792"/>
    <mergeCell ref="N769:O769"/>
    <mergeCell ref="N770:O770"/>
    <mergeCell ref="H768:I768"/>
    <mergeCell ref="B767:E767"/>
    <mergeCell ref="B764:E764"/>
    <mergeCell ref="B765:E765"/>
    <mergeCell ref="J768:K768"/>
    <mergeCell ref="B776:E776"/>
    <mergeCell ref="H777:I777"/>
    <mergeCell ref="H778:I778"/>
    <mergeCell ref="B777:E777"/>
    <mergeCell ref="B778:E778"/>
    <mergeCell ref="H781:I781"/>
    <mergeCell ref="B780:E780"/>
    <mergeCell ref="J764:K764"/>
    <mergeCell ref="J765:K765"/>
    <mergeCell ref="N768:O768"/>
    <mergeCell ref="N781:O781"/>
    <mergeCell ref="C772:E772"/>
    <mergeCell ref="C773:E773"/>
    <mergeCell ref="J777:K777"/>
    <mergeCell ref="J778:K778"/>
    <mergeCell ref="N777:O777"/>
    <mergeCell ref="L781:M781"/>
    <mergeCell ref="J781:K781"/>
    <mergeCell ref="N762:O762"/>
    <mergeCell ref="N763:O763"/>
    <mergeCell ref="N764:O764"/>
    <mergeCell ref="N765:O765"/>
    <mergeCell ref="L763:M763"/>
    <mergeCell ref="L764:M764"/>
    <mergeCell ref="B743:E743"/>
    <mergeCell ref="B761:E761"/>
    <mergeCell ref="B799:E799"/>
    <mergeCell ref="B800:E800"/>
    <mergeCell ref="H797:I797"/>
    <mergeCell ref="H798:I798"/>
    <mergeCell ref="H799:I799"/>
    <mergeCell ref="H800:I800"/>
    <mergeCell ref="B786:E786"/>
    <mergeCell ref="B789:E789"/>
    <mergeCell ref="B790:E790"/>
    <mergeCell ref="B796:E796"/>
    <mergeCell ref="C791:E791"/>
    <mergeCell ref="C792:E792"/>
    <mergeCell ref="C793:E793"/>
    <mergeCell ref="B795:E795"/>
    <mergeCell ref="B788:E788"/>
    <mergeCell ref="G753:O753"/>
    <mergeCell ref="G756:O756"/>
    <mergeCell ref="N754:O754"/>
    <mergeCell ref="N755:O755"/>
    <mergeCell ref="H744:I744"/>
    <mergeCell ref="H770:I770"/>
    <mergeCell ref="L768:M768"/>
    <mergeCell ref="J793:K793"/>
    <mergeCell ref="J794:K794"/>
    <mergeCell ref="H796:I796"/>
    <mergeCell ref="H793:I793"/>
    <mergeCell ref="H794:I794"/>
    <mergeCell ref="L799:M799"/>
    <mergeCell ref="L800:M800"/>
    <mergeCell ref="N799:O799"/>
    <mergeCell ref="N800:O800"/>
    <mergeCell ref="B783:E783"/>
    <mergeCell ref="B784:E784"/>
    <mergeCell ref="B797:E797"/>
    <mergeCell ref="B798:E798"/>
    <mergeCell ref="L791:M791"/>
    <mergeCell ref="L792:M792"/>
    <mergeCell ref="L793:M793"/>
    <mergeCell ref="L785:M785"/>
    <mergeCell ref="N785:O785"/>
    <mergeCell ref="H786:I786"/>
    <mergeCell ref="J786:K786"/>
    <mergeCell ref="N786:O786"/>
    <mergeCell ref="L786:M786"/>
    <mergeCell ref="H785:I785"/>
    <mergeCell ref="J785:K785"/>
    <mergeCell ref="J795:K795"/>
    <mergeCell ref="J796:K796"/>
    <mergeCell ref="L795:M795"/>
    <mergeCell ref="L796:M796"/>
    <mergeCell ref="N795:O795"/>
    <mergeCell ref="N796:O796"/>
    <mergeCell ref="H795:I795"/>
    <mergeCell ref="J797:K797"/>
    <mergeCell ref="B820:E820"/>
    <mergeCell ref="B821:E821"/>
    <mergeCell ref="J823:K823"/>
    <mergeCell ref="H826:I826"/>
    <mergeCell ref="H821:I821"/>
    <mergeCell ref="H822:I822"/>
    <mergeCell ref="H823:I823"/>
    <mergeCell ref="J821:K821"/>
    <mergeCell ref="G811:O811"/>
    <mergeCell ref="G813:O813"/>
    <mergeCell ref="G815:O815"/>
    <mergeCell ref="L821:M821"/>
    <mergeCell ref="B815:E815"/>
    <mergeCell ref="B816:E816"/>
    <mergeCell ref="J822:K822"/>
    <mergeCell ref="B814:E814"/>
    <mergeCell ref="B811:E811"/>
    <mergeCell ref="B812:E812"/>
    <mergeCell ref="B813:E813"/>
    <mergeCell ref="B823:E823"/>
    <mergeCell ref="N822:O822"/>
    <mergeCell ref="L823:M823"/>
    <mergeCell ref="N823:O823"/>
    <mergeCell ref="N821:O821"/>
    <mergeCell ref="N826:O826"/>
    <mergeCell ref="J798:K798"/>
    <mergeCell ref="L797:M797"/>
    <mergeCell ref="L798:M798"/>
    <mergeCell ref="N797:O797"/>
    <mergeCell ref="N798:O798"/>
    <mergeCell ref="H808:I808"/>
    <mergeCell ref="B818:E818"/>
    <mergeCell ref="H827:I827"/>
    <mergeCell ref="B822:E822"/>
    <mergeCell ref="G824:O825"/>
    <mergeCell ref="L826:M826"/>
    <mergeCell ref="L822:M822"/>
    <mergeCell ref="C802:O802"/>
    <mergeCell ref="L810:M810"/>
    <mergeCell ref="L809:M809"/>
    <mergeCell ref="J810:K810"/>
    <mergeCell ref="J812:K812"/>
    <mergeCell ref="J814:K814"/>
    <mergeCell ref="J816:K816"/>
    <mergeCell ref="J826:K826"/>
    <mergeCell ref="G819:O820"/>
    <mergeCell ref="B805:E805"/>
    <mergeCell ref="B806:E806"/>
    <mergeCell ref="B807:E807"/>
    <mergeCell ref="B809:E809"/>
    <mergeCell ref="B808:E808"/>
    <mergeCell ref="B810:E810"/>
    <mergeCell ref="B819:E819"/>
    <mergeCell ref="C825:E825"/>
    <mergeCell ref="C826:E826"/>
    <mergeCell ref="B804:E804"/>
    <mergeCell ref="B824:E824"/>
    <mergeCell ref="N856:O856"/>
    <mergeCell ref="J855:K855"/>
    <mergeCell ref="J856:K856"/>
    <mergeCell ref="J853:K853"/>
    <mergeCell ref="G841:O841"/>
    <mergeCell ref="C837:O837"/>
    <mergeCell ref="C838:O838"/>
    <mergeCell ref="C839:O839"/>
    <mergeCell ref="B854:E854"/>
    <mergeCell ref="C855:E855"/>
    <mergeCell ref="J843:K843"/>
    <mergeCell ref="J844:K844"/>
    <mergeCell ref="J845:K845"/>
    <mergeCell ref="J846:K846"/>
    <mergeCell ref="N829:O829"/>
    <mergeCell ref="N830:O830"/>
    <mergeCell ref="B866:E866"/>
    <mergeCell ref="L855:M855"/>
    <mergeCell ref="L856:M856"/>
    <mergeCell ref="H856:I856"/>
    <mergeCell ref="L845:M845"/>
    <mergeCell ref="L843:M843"/>
    <mergeCell ref="N853:O853"/>
    <mergeCell ref="B830:E830"/>
    <mergeCell ref="B831:E831"/>
    <mergeCell ref="H830:I830"/>
    <mergeCell ref="J847:K847"/>
    <mergeCell ref="B847:E847"/>
    <mergeCell ref="C848:E848"/>
    <mergeCell ref="C849:E849"/>
    <mergeCell ref="G852:O852"/>
    <mergeCell ref="G854:O854"/>
    <mergeCell ref="C869:E869"/>
    <mergeCell ref="B852:E852"/>
    <mergeCell ref="B853:E853"/>
    <mergeCell ref="B832:E832"/>
    <mergeCell ref="C856:E856"/>
    <mergeCell ref="B841:E841"/>
    <mergeCell ref="A867:B871"/>
    <mergeCell ref="C845:E845"/>
    <mergeCell ref="C858:O858"/>
    <mergeCell ref="C859:O859"/>
    <mergeCell ref="N843:O843"/>
    <mergeCell ref="N844:O844"/>
    <mergeCell ref="N845:O845"/>
    <mergeCell ref="N846:O846"/>
    <mergeCell ref="N847:O847"/>
    <mergeCell ref="N848:O848"/>
    <mergeCell ref="B850:E850"/>
    <mergeCell ref="L846:M846"/>
    <mergeCell ref="L847:M847"/>
    <mergeCell ref="L848:M848"/>
    <mergeCell ref="B846:E846"/>
    <mergeCell ref="B851:E851"/>
    <mergeCell ref="C835:O835"/>
    <mergeCell ref="B833:E833"/>
    <mergeCell ref="B843:E843"/>
    <mergeCell ref="H833:I833"/>
    <mergeCell ref="B864:E864"/>
    <mergeCell ref="C867:E867"/>
    <mergeCell ref="N855:O855"/>
    <mergeCell ref="C868:E868"/>
    <mergeCell ref="B865:E865"/>
    <mergeCell ref="H855:I855"/>
    <mergeCell ref="B875:E875"/>
    <mergeCell ref="B876:E876"/>
    <mergeCell ref="B877:E877"/>
    <mergeCell ref="N877:O877"/>
    <mergeCell ref="J877:K877"/>
    <mergeCell ref="N876:O876"/>
    <mergeCell ref="B878:E878"/>
    <mergeCell ref="B879:E879"/>
    <mergeCell ref="B892:E892"/>
    <mergeCell ref="B893:E893"/>
    <mergeCell ref="C918:E918"/>
    <mergeCell ref="C870:E870"/>
    <mergeCell ref="C871:E871"/>
    <mergeCell ref="B872:E872"/>
    <mergeCell ref="B873:E873"/>
    <mergeCell ref="C911:E911"/>
    <mergeCell ref="B874:E874"/>
    <mergeCell ref="J917:K917"/>
    <mergeCell ref="G913:O913"/>
    <mergeCell ref="J914:K914"/>
    <mergeCell ref="N914:O914"/>
    <mergeCell ref="L917:M917"/>
    <mergeCell ref="L918:M918"/>
    <mergeCell ref="H914:I914"/>
    <mergeCell ref="J918:K918"/>
    <mergeCell ref="G915:O915"/>
    <mergeCell ref="H916:I916"/>
    <mergeCell ref="H917:I917"/>
    <mergeCell ref="H918:I918"/>
    <mergeCell ref="N878:O878"/>
    <mergeCell ref="C886:O886"/>
    <mergeCell ref="C887:O887"/>
    <mergeCell ref="B891:E891"/>
    <mergeCell ref="B894:E894"/>
    <mergeCell ref="C888:O888"/>
    <mergeCell ref="B890:E890"/>
    <mergeCell ref="N893:O893"/>
    <mergeCell ref="N894:O894"/>
    <mergeCell ref="H893:I893"/>
    <mergeCell ref="B880:E880"/>
    <mergeCell ref="C882:O882"/>
    <mergeCell ref="C885:O885"/>
    <mergeCell ref="C884:O884"/>
    <mergeCell ref="J893:K893"/>
    <mergeCell ref="J894:K894"/>
    <mergeCell ref="L893:M893"/>
    <mergeCell ref="L894:M894"/>
    <mergeCell ref="N879:O879"/>
    <mergeCell ref="N880:O880"/>
    <mergeCell ref="L880:M880"/>
    <mergeCell ref="H880:I880"/>
    <mergeCell ref="C912:E912"/>
    <mergeCell ref="B913:E913"/>
    <mergeCell ref="B914:E914"/>
    <mergeCell ref="B915:E915"/>
    <mergeCell ref="B922:E922"/>
    <mergeCell ref="C920:E920"/>
    <mergeCell ref="C919:E919"/>
    <mergeCell ref="C934:E934"/>
    <mergeCell ref="A922:A924"/>
    <mergeCell ref="B902:E902"/>
    <mergeCell ref="B903:E903"/>
    <mergeCell ref="B904:E904"/>
    <mergeCell ref="C905:E905"/>
    <mergeCell ref="C929:D929"/>
    <mergeCell ref="C908:E908"/>
    <mergeCell ref="C909:E909"/>
    <mergeCell ref="B910:E910"/>
    <mergeCell ref="A929:B931"/>
    <mergeCell ref="B921:E921"/>
    <mergeCell ref="C926:E926"/>
    <mergeCell ref="C927:E927"/>
    <mergeCell ref="B928:E928"/>
    <mergeCell ref="C930:D930"/>
    <mergeCell ref="A905:B909"/>
    <mergeCell ref="A911:B912"/>
    <mergeCell ref="A916:B918"/>
    <mergeCell ref="A920:B920"/>
    <mergeCell ref="A925:B927"/>
    <mergeCell ref="N918:O918"/>
    <mergeCell ref="N919:O919"/>
    <mergeCell ref="N920:O920"/>
    <mergeCell ref="J925:K925"/>
    <mergeCell ref="J926:K926"/>
    <mergeCell ref="J927:K927"/>
    <mergeCell ref="L920:M920"/>
    <mergeCell ref="L925:M925"/>
    <mergeCell ref="L926:M926"/>
    <mergeCell ref="G921:O924"/>
    <mergeCell ref="B923:E923"/>
    <mergeCell ref="B942:E942"/>
    <mergeCell ref="B943:E943"/>
    <mergeCell ref="C931:D931"/>
    <mergeCell ref="B932:E932"/>
    <mergeCell ref="B924:E924"/>
    <mergeCell ref="C925:E925"/>
    <mergeCell ref="B933:E933"/>
    <mergeCell ref="A934:B936"/>
    <mergeCell ref="A938:B941"/>
    <mergeCell ref="C937:E937"/>
    <mergeCell ref="N940:O940"/>
    <mergeCell ref="G928:O928"/>
    <mergeCell ref="C935:E935"/>
    <mergeCell ref="C936:E936"/>
    <mergeCell ref="C939:E939"/>
    <mergeCell ref="J935:K935"/>
    <mergeCell ref="C940:E940"/>
    <mergeCell ref="C938:E938"/>
    <mergeCell ref="N941:O941"/>
    <mergeCell ref="N942:O942"/>
    <mergeCell ref="N943:O943"/>
    <mergeCell ref="B967:E967"/>
    <mergeCell ref="H963:I963"/>
    <mergeCell ref="H965:I965"/>
    <mergeCell ref="B956:E956"/>
    <mergeCell ref="N925:O925"/>
    <mergeCell ref="N926:O926"/>
    <mergeCell ref="N927:O927"/>
    <mergeCell ref="J929:K929"/>
    <mergeCell ref="J930:K930"/>
    <mergeCell ref="J931:K931"/>
    <mergeCell ref="N929:O929"/>
    <mergeCell ref="N930:O930"/>
    <mergeCell ref="C946:O946"/>
    <mergeCell ref="C945:O945"/>
    <mergeCell ref="C947:O947"/>
    <mergeCell ref="C951:O951"/>
    <mergeCell ref="C948:O948"/>
    <mergeCell ref="C949:O949"/>
    <mergeCell ref="C950:O950"/>
    <mergeCell ref="J943:K943"/>
    <mergeCell ref="H942:I942"/>
    <mergeCell ref="J940:K940"/>
    <mergeCell ref="L935:M935"/>
    <mergeCell ref="H959:I959"/>
    <mergeCell ref="H960:I960"/>
    <mergeCell ref="H961:I961"/>
    <mergeCell ref="B957:E957"/>
    <mergeCell ref="H957:I957"/>
    <mergeCell ref="J957:K957"/>
    <mergeCell ref="L957:M957"/>
    <mergeCell ref="L943:M943"/>
    <mergeCell ref="J942:K942"/>
    <mergeCell ref="B1017:E1017"/>
    <mergeCell ref="H1016:I1016"/>
    <mergeCell ref="J1006:K1006"/>
    <mergeCell ref="B1051:E1051"/>
    <mergeCell ref="B1047:E1047"/>
    <mergeCell ref="B1034:E1034"/>
    <mergeCell ref="B1037:E1037"/>
    <mergeCell ref="B1038:E1038"/>
    <mergeCell ref="B1039:E1039"/>
    <mergeCell ref="B1040:E1040"/>
    <mergeCell ref="B1044:E1044"/>
    <mergeCell ref="B1025:E1025"/>
    <mergeCell ref="B1026:E1026"/>
    <mergeCell ref="H1046:I1046"/>
    <mergeCell ref="B1027:E1027"/>
    <mergeCell ref="B1028:E1028"/>
    <mergeCell ref="B1029:E1029"/>
    <mergeCell ref="B1030:E1030"/>
    <mergeCell ref="B1031:E1031"/>
    <mergeCell ref="B1032:E1032"/>
    <mergeCell ref="B1033:E1033"/>
    <mergeCell ref="H1015:I1015"/>
    <mergeCell ref="H1007:I1007"/>
    <mergeCell ref="H1014:I1014"/>
    <mergeCell ref="H1033:I1033"/>
    <mergeCell ref="B1035:E1035"/>
    <mergeCell ref="H1019:I1019"/>
    <mergeCell ref="H1020:I1020"/>
    <mergeCell ref="H1021:I1021"/>
    <mergeCell ref="J1016:K1016"/>
    <mergeCell ref="J1017:K1017"/>
    <mergeCell ref="J1018:K1018"/>
    <mergeCell ref="B1103:E1103"/>
    <mergeCell ref="B1105:E1105"/>
    <mergeCell ref="B1106:E1106"/>
    <mergeCell ref="B763:E763"/>
    <mergeCell ref="C844:E844"/>
    <mergeCell ref="B1096:E1096"/>
    <mergeCell ref="B1095:E1095"/>
    <mergeCell ref="B1113:E1113"/>
    <mergeCell ref="B1072:E1072"/>
    <mergeCell ref="B1074:E1074"/>
    <mergeCell ref="B1075:E1075"/>
    <mergeCell ref="B1076:E1076"/>
    <mergeCell ref="C1077:E1077"/>
    <mergeCell ref="C1078:E1078"/>
    <mergeCell ref="C1079:E1079"/>
    <mergeCell ref="B1108:E1108"/>
    <mergeCell ref="B1093:E1093"/>
    <mergeCell ref="C1065:E1065"/>
    <mergeCell ref="C981:E981"/>
    <mergeCell ref="B978:E978"/>
    <mergeCell ref="C973:O973"/>
    <mergeCell ref="C974:O974"/>
    <mergeCell ref="L970:M970"/>
    <mergeCell ref="N971:O971"/>
    <mergeCell ref="B963:E963"/>
    <mergeCell ref="B964:E964"/>
    <mergeCell ref="C965:E965"/>
    <mergeCell ref="C966:E966"/>
    <mergeCell ref="H769:I769"/>
    <mergeCell ref="H1006:I1006"/>
    <mergeCell ref="H1017:I1017"/>
    <mergeCell ref="B1016:E1016"/>
    <mergeCell ref="A1196:O1196"/>
    <mergeCell ref="H695:I695"/>
    <mergeCell ref="H696:I696"/>
    <mergeCell ref="H697:I697"/>
    <mergeCell ref="H699:I699"/>
    <mergeCell ref="H700:I700"/>
    <mergeCell ref="N710:O710"/>
    <mergeCell ref="L696:M696"/>
    <mergeCell ref="L697:M697"/>
    <mergeCell ref="B725:E725"/>
    <mergeCell ref="B1189:E1189"/>
    <mergeCell ref="H701:I701"/>
    <mergeCell ref="H703:I703"/>
    <mergeCell ref="H704:I704"/>
    <mergeCell ref="H708:I708"/>
    <mergeCell ref="H725:I725"/>
    <mergeCell ref="C1180:E1180"/>
    <mergeCell ref="B1181:E1181"/>
    <mergeCell ref="B706:E706"/>
    <mergeCell ref="B707:E707"/>
    <mergeCell ref="B1162:E1162"/>
    <mergeCell ref="B1163:E1163"/>
    <mergeCell ref="B1164:E1164"/>
    <mergeCell ref="H709:I709"/>
    <mergeCell ref="B1168:E1168"/>
    <mergeCell ref="B1099:E1099"/>
    <mergeCell ref="B1100:E1100"/>
    <mergeCell ref="B1101:E1101"/>
    <mergeCell ref="H710:I710"/>
    <mergeCell ref="B1094:E1094"/>
    <mergeCell ref="B1080:E1080"/>
    <mergeCell ref="B1114:E1114"/>
    <mergeCell ref="B1141:E1141"/>
    <mergeCell ref="B1142:E1142"/>
    <mergeCell ref="B1143:E1143"/>
    <mergeCell ref="B1144:E1144"/>
    <mergeCell ref="B1145:E1145"/>
    <mergeCell ref="B1146:E1146"/>
    <mergeCell ref="N700:O700"/>
    <mergeCell ref="L708:M708"/>
    <mergeCell ref="L709:M709"/>
    <mergeCell ref="J700:K700"/>
    <mergeCell ref="J703:K703"/>
    <mergeCell ref="J704:K704"/>
    <mergeCell ref="N708:O708"/>
    <mergeCell ref="N703:O703"/>
    <mergeCell ref="N704:O704"/>
    <mergeCell ref="J721:K721"/>
    <mergeCell ref="N715:O715"/>
    <mergeCell ref="A717:B722"/>
    <mergeCell ref="G716:O718"/>
    <mergeCell ref="H714:O714"/>
    <mergeCell ref="J722:K722"/>
    <mergeCell ref="C720:E720"/>
    <mergeCell ref="C722:E722"/>
    <mergeCell ref="A707:A711"/>
    <mergeCell ref="B708:B711"/>
    <mergeCell ref="G707:O707"/>
    <mergeCell ref="A703:B704"/>
    <mergeCell ref="A699:B700"/>
    <mergeCell ref="C1009:O1009"/>
    <mergeCell ref="B1011:E1011"/>
    <mergeCell ref="B1015:E1015"/>
    <mergeCell ref="H1005:I1005"/>
    <mergeCell ref="G684:O684"/>
    <mergeCell ref="G687:O687"/>
    <mergeCell ref="G690:O690"/>
    <mergeCell ref="G694:O694"/>
    <mergeCell ref="G698:O698"/>
    <mergeCell ref="N723:O723"/>
    <mergeCell ref="L691:M691"/>
    <mergeCell ref="L692:M692"/>
    <mergeCell ref="L693:M693"/>
    <mergeCell ref="L695:M695"/>
    <mergeCell ref="C704:E704"/>
    <mergeCell ref="N719:O719"/>
    <mergeCell ref="N720:O720"/>
    <mergeCell ref="L721:M721"/>
    <mergeCell ref="L722:M722"/>
    <mergeCell ref="L723:M723"/>
    <mergeCell ref="L724:M724"/>
    <mergeCell ref="N724:O724"/>
    <mergeCell ref="H685:I685"/>
    <mergeCell ref="H686:I686"/>
    <mergeCell ref="H688:I688"/>
    <mergeCell ref="H689:I689"/>
    <mergeCell ref="H691:I691"/>
    <mergeCell ref="H692:I692"/>
    <mergeCell ref="H693:I693"/>
    <mergeCell ref="J688:K688"/>
    <mergeCell ref="J689:K689"/>
    <mergeCell ref="J691:K691"/>
    <mergeCell ref="G702:O702"/>
    <mergeCell ref="N699:O699"/>
    <mergeCell ref="L700:M700"/>
    <mergeCell ref="N701:O701"/>
    <mergeCell ref="C709:E709"/>
    <mergeCell ref="C710:E710"/>
    <mergeCell ref="C711:E711"/>
    <mergeCell ref="N692:O692"/>
    <mergeCell ref="J695:K695"/>
    <mergeCell ref="J696:K696"/>
    <mergeCell ref="N695:O695"/>
    <mergeCell ref="N696:O696"/>
    <mergeCell ref="J699:K699"/>
    <mergeCell ref="N697:O697"/>
    <mergeCell ref="J697:K697"/>
    <mergeCell ref="N693:O693"/>
    <mergeCell ref="J693:K693"/>
    <mergeCell ref="N711:O711"/>
    <mergeCell ref="L711:M711"/>
    <mergeCell ref="J711:K711"/>
    <mergeCell ref="H737:I737"/>
    <mergeCell ref="G730:O730"/>
    <mergeCell ref="G734:O734"/>
    <mergeCell ref="N731:O731"/>
    <mergeCell ref="N732:O732"/>
    <mergeCell ref="N733:O733"/>
    <mergeCell ref="N735:O735"/>
    <mergeCell ref="N736:O736"/>
    <mergeCell ref="L710:M710"/>
    <mergeCell ref="J708:K708"/>
    <mergeCell ref="J709:K709"/>
    <mergeCell ref="J710:K710"/>
    <mergeCell ref="J715:K715"/>
    <mergeCell ref="C712:O712"/>
    <mergeCell ref="B714:E714"/>
    <mergeCell ref="C717:E717"/>
    <mergeCell ref="C718:E718"/>
    <mergeCell ref="B723:E723"/>
    <mergeCell ref="B729:E729"/>
    <mergeCell ref="C732:E732"/>
    <mergeCell ref="A731:B732"/>
    <mergeCell ref="C731:E731"/>
    <mergeCell ref="H731:I731"/>
    <mergeCell ref="C719:E719"/>
    <mergeCell ref="J719:K719"/>
    <mergeCell ref="J720:K720"/>
    <mergeCell ref="J763:K763"/>
    <mergeCell ref="J731:K731"/>
    <mergeCell ref="J740:K740"/>
    <mergeCell ref="N743:O743"/>
    <mergeCell ref="N744:O744"/>
    <mergeCell ref="L731:M731"/>
    <mergeCell ref="L732:M732"/>
    <mergeCell ref="L733:M733"/>
    <mergeCell ref="L735:M735"/>
    <mergeCell ref="L736:M736"/>
    <mergeCell ref="N737:O737"/>
    <mergeCell ref="N740:O740"/>
    <mergeCell ref="N741:O741"/>
    <mergeCell ref="J737:K737"/>
    <mergeCell ref="J759:K759"/>
    <mergeCell ref="B750:E750"/>
    <mergeCell ref="J754:K754"/>
    <mergeCell ref="J755:K755"/>
    <mergeCell ref="J762:K762"/>
    <mergeCell ref="B756:E756"/>
    <mergeCell ref="J743:K743"/>
    <mergeCell ref="J744:K744"/>
    <mergeCell ref="H732:I732"/>
    <mergeCell ref="H733:I733"/>
    <mergeCell ref="H735:I735"/>
    <mergeCell ref="H736:I736"/>
    <mergeCell ref="B781:E781"/>
    <mergeCell ref="B785:E785"/>
    <mergeCell ref="B794:E794"/>
    <mergeCell ref="L789:M789"/>
    <mergeCell ref="J789:K789"/>
    <mergeCell ref="H789:I789"/>
    <mergeCell ref="N789:O789"/>
    <mergeCell ref="H772:I772"/>
    <mergeCell ref="H773:I773"/>
    <mergeCell ref="H774:I774"/>
    <mergeCell ref="B768:E768"/>
    <mergeCell ref="B769:E769"/>
    <mergeCell ref="B770:E770"/>
    <mergeCell ref="B771:E771"/>
    <mergeCell ref="B774:E774"/>
    <mergeCell ref="A772:B773"/>
    <mergeCell ref="G771:O771"/>
    <mergeCell ref="J772:K772"/>
    <mergeCell ref="J773:K773"/>
    <mergeCell ref="J774:K774"/>
    <mergeCell ref="N772:O772"/>
    <mergeCell ref="N773:O773"/>
    <mergeCell ref="N774:O774"/>
    <mergeCell ref="L772:M772"/>
    <mergeCell ref="L773:M773"/>
    <mergeCell ref="L774:M774"/>
    <mergeCell ref="N793:O793"/>
    <mergeCell ref="N794:O794"/>
    <mergeCell ref="J769:K769"/>
    <mergeCell ref="J770:K770"/>
    <mergeCell ref="L794:M794"/>
    <mergeCell ref="N791:O791"/>
    <mergeCell ref="N792:O792"/>
    <mergeCell ref="H814:I814"/>
    <mergeCell ref="H816:I816"/>
    <mergeCell ref="J806:K806"/>
    <mergeCell ref="N806:O806"/>
    <mergeCell ref="J808:K808"/>
    <mergeCell ref="J809:K809"/>
    <mergeCell ref="L808:M808"/>
    <mergeCell ref="N808:O808"/>
    <mergeCell ref="J799:K799"/>
    <mergeCell ref="J800:K800"/>
    <mergeCell ref="H809:I809"/>
    <mergeCell ref="H810:I810"/>
    <mergeCell ref="H812:I812"/>
    <mergeCell ref="H806:I806"/>
    <mergeCell ref="L777:M777"/>
    <mergeCell ref="L778:M778"/>
    <mergeCell ref="L806:M806"/>
    <mergeCell ref="G805:O805"/>
    <mergeCell ref="G807:O807"/>
    <mergeCell ref="N809:O809"/>
    <mergeCell ref="N810:O810"/>
    <mergeCell ref="N812:O812"/>
    <mergeCell ref="N814:O814"/>
    <mergeCell ref="N816:O816"/>
    <mergeCell ref="L814:M814"/>
    <mergeCell ref="L816:M816"/>
    <mergeCell ref="L812:M812"/>
    <mergeCell ref="B842:E842"/>
    <mergeCell ref="H842:I842"/>
    <mergeCell ref="L842:M842"/>
    <mergeCell ref="N842:O842"/>
    <mergeCell ref="J842:K842"/>
    <mergeCell ref="J830:K830"/>
    <mergeCell ref="J832:K832"/>
    <mergeCell ref="J833:K833"/>
    <mergeCell ref="G831:O831"/>
    <mergeCell ref="L830:M830"/>
    <mergeCell ref="L832:M832"/>
    <mergeCell ref="L833:M833"/>
    <mergeCell ref="H832:I832"/>
    <mergeCell ref="N832:O832"/>
    <mergeCell ref="N833:O833"/>
    <mergeCell ref="C836:O836"/>
    <mergeCell ref="L827:M827"/>
    <mergeCell ref="L828:M828"/>
    <mergeCell ref="L829:M829"/>
    <mergeCell ref="J827:K827"/>
    <mergeCell ref="J828:K828"/>
    <mergeCell ref="J829:K829"/>
    <mergeCell ref="H828:I828"/>
    <mergeCell ref="H829:I829"/>
    <mergeCell ref="B829:E829"/>
    <mergeCell ref="C827:E827"/>
    <mergeCell ref="C828:E828"/>
    <mergeCell ref="N827:O827"/>
    <mergeCell ref="N828:O828"/>
    <mergeCell ref="H843:I843"/>
    <mergeCell ref="H844:I844"/>
    <mergeCell ref="H845:I845"/>
    <mergeCell ref="H846:I846"/>
    <mergeCell ref="H847:I847"/>
    <mergeCell ref="L851:M851"/>
    <mergeCell ref="H853:I853"/>
    <mergeCell ref="L853:M853"/>
    <mergeCell ref="J848:K848"/>
    <mergeCell ref="L844:M844"/>
    <mergeCell ref="H849:I849"/>
    <mergeCell ref="J851:K851"/>
    <mergeCell ref="H851:I851"/>
    <mergeCell ref="J849:K849"/>
    <mergeCell ref="L849:M849"/>
    <mergeCell ref="G850:O850"/>
    <mergeCell ref="N851:O851"/>
    <mergeCell ref="N849:O849"/>
    <mergeCell ref="H848:I848"/>
    <mergeCell ref="J873:K873"/>
    <mergeCell ref="J874:K874"/>
    <mergeCell ref="L873:M873"/>
    <mergeCell ref="N871:O871"/>
    <mergeCell ref="N872:O872"/>
    <mergeCell ref="N873:O873"/>
    <mergeCell ref="N874:O874"/>
    <mergeCell ref="N875:O875"/>
    <mergeCell ref="L875:M875"/>
    <mergeCell ref="N868:O868"/>
    <mergeCell ref="N865:O865"/>
    <mergeCell ref="J868:K868"/>
    <mergeCell ref="H868:I868"/>
    <mergeCell ref="G866:O867"/>
    <mergeCell ref="L868:M868"/>
    <mergeCell ref="H865:I865"/>
    <mergeCell ref="J865:K865"/>
    <mergeCell ref="L865:M865"/>
    <mergeCell ref="G869:O869"/>
    <mergeCell ref="H900:I900"/>
    <mergeCell ref="J878:K878"/>
    <mergeCell ref="J879:K879"/>
    <mergeCell ref="J880:K880"/>
    <mergeCell ref="N897:O897"/>
    <mergeCell ref="N898:O898"/>
    <mergeCell ref="J897:K897"/>
    <mergeCell ref="J898:K898"/>
    <mergeCell ref="H870:I870"/>
    <mergeCell ref="H871:I871"/>
    <mergeCell ref="H872:I872"/>
    <mergeCell ref="H873:I873"/>
    <mergeCell ref="H874:I874"/>
    <mergeCell ref="H876:I876"/>
    <mergeCell ref="L876:M876"/>
    <mergeCell ref="L877:M877"/>
    <mergeCell ref="H875:I875"/>
    <mergeCell ref="L879:M879"/>
    <mergeCell ref="H877:I877"/>
    <mergeCell ref="H878:I878"/>
    <mergeCell ref="H879:I879"/>
    <mergeCell ref="L878:M878"/>
    <mergeCell ref="J875:K875"/>
    <mergeCell ref="J876:K876"/>
    <mergeCell ref="L870:M870"/>
    <mergeCell ref="J870:K870"/>
    <mergeCell ref="N870:O870"/>
    <mergeCell ref="L871:M871"/>
    <mergeCell ref="L872:M872"/>
    <mergeCell ref="L874:M874"/>
    <mergeCell ref="J871:K871"/>
    <mergeCell ref="J872:K872"/>
    <mergeCell ref="C980:E980"/>
    <mergeCell ref="A892:A893"/>
    <mergeCell ref="L905:M905"/>
    <mergeCell ref="L906:M906"/>
    <mergeCell ref="L907:M907"/>
    <mergeCell ref="G891:O892"/>
    <mergeCell ref="G895:O896"/>
    <mergeCell ref="G899:O899"/>
    <mergeCell ref="J900:K900"/>
    <mergeCell ref="L900:M900"/>
    <mergeCell ref="N900:O900"/>
    <mergeCell ref="L908:M908"/>
    <mergeCell ref="L909:M909"/>
    <mergeCell ref="J908:K908"/>
    <mergeCell ref="J909:K909"/>
    <mergeCell ref="C906:E906"/>
    <mergeCell ref="C907:E907"/>
    <mergeCell ref="H906:I906"/>
    <mergeCell ref="H907:I907"/>
    <mergeCell ref="H908:I908"/>
    <mergeCell ref="H909:I909"/>
    <mergeCell ref="L897:M897"/>
    <mergeCell ref="L898:M898"/>
    <mergeCell ref="H894:I894"/>
    <mergeCell ref="B895:E895"/>
    <mergeCell ref="B897:E897"/>
    <mergeCell ref="B898:E898"/>
    <mergeCell ref="B899:E899"/>
    <mergeCell ref="B900:E900"/>
    <mergeCell ref="B896:E896"/>
    <mergeCell ref="H897:I897"/>
    <mergeCell ref="H898:I898"/>
    <mergeCell ref="L1005:M1005"/>
    <mergeCell ref="N911:O911"/>
    <mergeCell ref="G910:O910"/>
    <mergeCell ref="L911:M911"/>
    <mergeCell ref="H905:I905"/>
    <mergeCell ref="J1007:K1007"/>
    <mergeCell ref="C984:E984"/>
    <mergeCell ref="B985:E985"/>
    <mergeCell ref="H1000:I1000"/>
    <mergeCell ref="H1002:I1002"/>
    <mergeCell ref="H1003:I1003"/>
    <mergeCell ref="H911:I911"/>
    <mergeCell ref="J905:K905"/>
    <mergeCell ref="J906:K906"/>
    <mergeCell ref="J907:K907"/>
    <mergeCell ref="N905:O905"/>
    <mergeCell ref="N906:O906"/>
    <mergeCell ref="N907:O907"/>
    <mergeCell ref="N908:O908"/>
    <mergeCell ref="N909:O909"/>
    <mergeCell ref="J911:K911"/>
    <mergeCell ref="B992:E992"/>
    <mergeCell ref="B997:E997"/>
    <mergeCell ref="B998:E998"/>
    <mergeCell ref="C986:E986"/>
    <mergeCell ref="C987:E987"/>
    <mergeCell ref="B990:E990"/>
    <mergeCell ref="B989:E989"/>
    <mergeCell ref="B991:E991"/>
    <mergeCell ref="C968:E968"/>
    <mergeCell ref="B977:E977"/>
    <mergeCell ref="C979:E979"/>
    <mergeCell ref="J1000:K1000"/>
    <mergeCell ref="J1002:K1002"/>
    <mergeCell ref="J1003:K1003"/>
    <mergeCell ref="J1014:K1014"/>
    <mergeCell ref="J1015:K1015"/>
    <mergeCell ref="L1014:M1014"/>
    <mergeCell ref="H992:I992"/>
    <mergeCell ref="B999:E999"/>
    <mergeCell ref="B1000:E1000"/>
    <mergeCell ref="A1002:B1003"/>
    <mergeCell ref="L1000:M1000"/>
    <mergeCell ref="L1002:M1002"/>
    <mergeCell ref="L1003:M1003"/>
    <mergeCell ref="B1001:E1001"/>
    <mergeCell ref="C1002:E1002"/>
    <mergeCell ref="C1003:E1003"/>
    <mergeCell ref="B1006:E1006"/>
    <mergeCell ref="B1007:E1007"/>
    <mergeCell ref="G1004:O1004"/>
    <mergeCell ref="G1001:O1001"/>
    <mergeCell ref="B1004:E1004"/>
    <mergeCell ref="B1005:E1005"/>
    <mergeCell ref="L1006:M1006"/>
    <mergeCell ref="L1007:M1007"/>
    <mergeCell ref="J1005:K1005"/>
    <mergeCell ref="N1000:O1000"/>
    <mergeCell ref="N1002:O1002"/>
    <mergeCell ref="N1003:O1003"/>
    <mergeCell ref="N1005:O1005"/>
    <mergeCell ref="N1006:O1006"/>
    <mergeCell ref="N1007:O1007"/>
    <mergeCell ref="N1014:O1014"/>
    <mergeCell ref="B1058:E1058"/>
    <mergeCell ref="B1059:E1059"/>
    <mergeCell ref="B1060:E1060"/>
    <mergeCell ref="B1052:E1052"/>
    <mergeCell ref="B1053:E1053"/>
    <mergeCell ref="B1057:E1057"/>
    <mergeCell ref="B1054:E1054"/>
    <mergeCell ref="B1055:E1055"/>
    <mergeCell ref="B1056:E1056"/>
    <mergeCell ref="B1045:E1045"/>
    <mergeCell ref="B1046:E1046"/>
    <mergeCell ref="B1048:E1048"/>
    <mergeCell ref="B1050:E1050"/>
    <mergeCell ref="B1036:E1036"/>
    <mergeCell ref="G1034:O1035"/>
    <mergeCell ref="G1037:O1038"/>
    <mergeCell ref="H1036:I1036"/>
    <mergeCell ref="H1039:I1039"/>
    <mergeCell ref="N1058:O1058"/>
    <mergeCell ref="L1050:M1050"/>
    <mergeCell ref="J1057:K1057"/>
    <mergeCell ref="J1058:K1058"/>
    <mergeCell ref="H1051:I1051"/>
    <mergeCell ref="H1052:I1052"/>
    <mergeCell ref="H1053:I1053"/>
    <mergeCell ref="J1050:K1050"/>
    <mergeCell ref="J1051:K1051"/>
    <mergeCell ref="C1042:O1042"/>
    <mergeCell ref="J1052:K1052"/>
    <mergeCell ref="J1053:K1053"/>
    <mergeCell ref="L1053:M1053"/>
    <mergeCell ref="J1039:K1039"/>
    <mergeCell ref="H1026:I1026"/>
    <mergeCell ref="H1027:I1027"/>
    <mergeCell ref="H1028:I1028"/>
    <mergeCell ref="J1019:K1019"/>
    <mergeCell ref="J1020:K1020"/>
    <mergeCell ref="H1031:I1031"/>
    <mergeCell ref="H1032:I1032"/>
    <mergeCell ref="L1024:M1024"/>
    <mergeCell ref="L1026:M1026"/>
    <mergeCell ref="L1027:M1027"/>
    <mergeCell ref="L1028:M1028"/>
    <mergeCell ref="L1029:M1029"/>
    <mergeCell ref="L1030:M1030"/>
    <mergeCell ref="H1029:I1029"/>
    <mergeCell ref="H1018:I1018"/>
    <mergeCell ref="H1022:I1022"/>
    <mergeCell ref="H1023:I1023"/>
    <mergeCell ref="J1040:K1040"/>
    <mergeCell ref="N1052:O1052"/>
    <mergeCell ref="N1053:O1053"/>
    <mergeCell ref="J1028:K1028"/>
    <mergeCell ref="J1029:K1029"/>
    <mergeCell ref="J1030:K1030"/>
    <mergeCell ref="J1048:K1048"/>
    <mergeCell ref="J1049:K1049"/>
    <mergeCell ref="J1031:K1031"/>
    <mergeCell ref="J1032:K1032"/>
    <mergeCell ref="J1033:K1033"/>
    <mergeCell ref="J1021:K1021"/>
    <mergeCell ref="J1023:K1023"/>
    <mergeCell ref="J1056:K1056"/>
    <mergeCell ref="G1047:O1047"/>
    <mergeCell ref="G1054:O1055"/>
    <mergeCell ref="H1048:I1048"/>
    <mergeCell ref="H1049:I1049"/>
    <mergeCell ref="H1050:I1050"/>
    <mergeCell ref="N1029:O1029"/>
    <mergeCell ref="J1022:K1022"/>
    <mergeCell ref="J1024:K1024"/>
    <mergeCell ref="J1026:K1026"/>
    <mergeCell ref="J1027:K1027"/>
    <mergeCell ref="H1040:I1040"/>
    <mergeCell ref="N1032:O1032"/>
    <mergeCell ref="N1021:O1021"/>
    <mergeCell ref="N1022:O1022"/>
    <mergeCell ref="N1023:O1023"/>
    <mergeCell ref="N1024:O1024"/>
    <mergeCell ref="H1030:I1030"/>
    <mergeCell ref="H1024:I1024"/>
    <mergeCell ref="N1015:O1015"/>
    <mergeCell ref="N1016:O1016"/>
    <mergeCell ref="N1017:O1017"/>
    <mergeCell ref="N1018:O1018"/>
    <mergeCell ref="N1019:O1019"/>
    <mergeCell ref="L1031:M1031"/>
    <mergeCell ref="L1032:M1032"/>
    <mergeCell ref="L1033:M1033"/>
    <mergeCell ref="L1036:M1036"/>
    <mergeCell ref="L1039:M1039"/>
    <mergeCell ref="N1033:O1033"/>
    <mergeCell ref="N1036:O1036"/>
    <mergeCell ref="L1021:M1021"/>
    <mergeCell ref="L1022:M1022"/>
    <mergeCell ref="L1023:M1023"/>
    <mergeCell ref="L1015:M1015"/>
    <mergeCell ref="L1016:M1016"/>
    <mergeCell ref="L1017:M1017"/>
    <mergeCell ref="L1018:M1018"/>
    <mergeCell ref="L1019:M1019"/>
    <mergeCell ref="L1020:M1020"/>
    <mergeCell ref="N1020:O1020"/>
    <mergeCell ref="N1026:O1026"/>
    <mergeCell ref="N1027:O1027"/>
    <mergeCell ref="N1028:O1028"/>
    <mergeCell ref="N1061:O1061"/>
    <mergeCell ref="N1063:O1063"/>
    <mergeCell ref="N1064:O1064"/>
    <mergeCell ref="N1065:O1065"/>
    <mergeCell ref="N1066:O1066"/>
    <mergeCell ref="J1061:K1061"/>
    <mergeCell ref="J1063:K1063"/>
    <mergeCell ref="J1064:K1064"/>
    <mergeCell ref="J1065:K1065"/>
    <mergeCell ref="N1030:O1030"/>
    <mergeCell ref="N1031:O1031"/>
    <mergeCell ref="N1039:O1039"/>
    <mergeCell ref="N1040:O1040"/>
    <mergeCell ref="L1048:M1048"/>
    <mergeCell ref="L1049:M1049"/>
    <mergeCell ref="L1051:M1051"/>
    <mergeCell ref="N1050:O1050"/>
    <mergeCell ref="N1046:O1046"/>
    <mergeCell ref="N1048:O1048"/>
    <mergeCell ref="N1049:O1049"/>
    <mergeCell ref="N1051:O1051"/>
    <mergeCell ref="L1040:M1040"/>
    <mergeCell ref="L1046:M1046"/>
    <mergeCell ref="N1057:O1057"/>
    <mergeCell ref="L1057:M1057"/>
    <mergeCell ref="N1060:O1060"/>
    <mergeCell ref="L1060:M1060"/>
    <mergeCell ref="J1036:K1036"/>
    <mergeCell ref="N1056:O1056"/>
    <mergeCell ref="L1056:M1056"/>
    <mergeCell ref="J1046:K1046"/>
    <mergeCell ref="L1052:M1052"/>
    <mergeCell ref="B1167:E1167"/>
    <mergeCell ref="B1190:E1190"/>
    <mergeCell ref="N1147:O1147"/>
    <mergeCell ref="B1154:E1154"/>
    <mergeCell ref="B1155:E1155"/>
    <mergeCell ref="B1187:E1187"/>
    <mergeCell ref="N1084:O1084"/>
    <mergeCell ref="N1073:O1073"/>
    <mergeCell ref="N1074:O1074"/>
    <mergeCell ref="N1075:O1075"/>
    <mergeCell ref="N1078:O1078"/>
    <mergeCell ref="N1085:O1085"/>
    <mergeCell ref="N1079:O1079"/>
    <mergeCell ref="N1082:O1082"/>
    <mergeCell ref="N1083:O1083"/>
    <mergeCell ref="B1173:E1173"/>
    <mergeCell ref="B1175:E1175"/>
    <mergeCell ref="B1147:E1147"/>
    <mergeCell ref="B1148:E1148"/>
    <mergeCell ref="B1149:E1149"/>
    <mergeCell ref="B1156:E1156"/>
    <mergeCell ref="B1157:E1157"/>
    <mergeCell ref="B1122:E1122"/>
    <mergeCell ref="B1120:E1120"/>
    <mergeCell ref="B1121:E1121"/>
    <mergeCell ref="H1122:I1122"/>
    <mergeCell ref="L1089:M1089"/>
    <mergeCell ref="N1090:O1090"/>
    <mergeCell ref="B1151:E1151"/>
    <mergeCell ref="B1138:E1138"/>
    <mergeCell ref="B1139:E1139"/>
    <mergeCell ref="B1140:E1140"/>
    <mergeCell ref="L1151:M1151"/>
    <mergeCell ref="B1160:E1160"/>
    <mergeCell ref="B1150:E1150"/>
    <mergeCell ref="B1158:E1158"/>
    <mergeCell ref="B1159:E1159"/>
    <mergeCell ref="L1159:M1159"/>
    <mergeCell ref="L1167:M1167"/>
    <mergeCell ref="N1138:O1138"/>
    <mergeCell ref="N1091:O1091"/>
    <mergeCell ref="N1092:O1092"/>
    <mergeCell ref="N1093:O1093"/>
    <mergeCell ref="N1094:O1094"/>
    <mergeCell ref="N1095:O1095"/>
    <mergeCell ref="N1096:O1096"/>
    <mergeCell ref="N1131:O1131"/>
    <mergeCell ref="G1130:O1130"/>
    <mergeCell ref="N1103:O1103"/>
    <mergeCell ref="N1108:O1108"/>
    <mergeCell ref="N1097:O1097"/>
    <mergeCell ref="N1098:O1098"/>
    <mergeCell ref="N1104:O1104"/>
    <mergeCell ref="B1130:E1130"/>
    <mergeCell ref="B1107:E1107"/>
    <mergeCell ref="B1161:E1161"/>
    <mergeCell ref="L1147:M1147"/>
    <mergeCell ref="L1149:M1149"/>
    <mergeCell ref="B1152:E1152"/>
    <mergeCell ref="B1153:E1153"/>
    <mergeCell ref="B1127:E1127"/>
    <mergeCell ref="N1141:O1141"/>
    <mergeCell ref="N1142:O1142"/>
    <mergeCell ref="B1165:E1165"/>
    <mergeCell ref="B1070:E1070"/>
    <mergeCell ref="B1066:E1066"/>
    <mergeCell ref="B1071:E1071"/>
    <mergeCell ref="C1081:E1081"/>
    <mergeCell ref="A1088:B1089"/>
    <mergeCell ref="B1061:E1061"/>
    <mergeCell ref="B1062:E1062"/>
    <mergeCell ref="C1063:E1063"/>
    <mergeCell ref="C1064:E1064"/>
    <mergeCell ref="J1073:K1073"/>
    <mergeCell ref="J1074:K1074"/>
    <mergeCell ref="J1075:K1075"/>
    <mergeCell ref="J1078:K1078"/>
    <mergeCell ref="J1079:K1079"/>
    <mergeCell ref="J1082:K1082"/>
    <mergeCell ref="J1083:K1083"/>
    <mergeCell ref="B1185:E1185"/>
    <mergeCell ref="C1133:O1133"/>
    <mergeCell ref="B1135:E1135"/>
    <mergeCell ref="B1136:E1136"/>
    <mergeCell ref="B1128:E1128"/>
    <mergeCell ref="B1137:E1137"/>
    <mergeCell ref="B1131:E1131"/>
    <mergeCell ref="N1137:O1137"/>
    <mergeCell ref="L1131:M1131"/>
    <mergeCell ref="H1137:I1137"/>
    <mergeCell ref="B1115:E1115"/>
    <mergeCell ref="B1116:E1116"/>
    <mergeCell ref="B1117:E1117"/>
    <mergeCell ref="B1118:E1118"/>
    <mergeCell ref="B1123:E1123"/>
    <mergeCell ref="C1125:O1125"/>
    <mergeCell ref="J1131:K1131"/>
    <mergeCell ref="H1129:I1129"/>
    <mergeCell ref="H1131:I1131"/>
    <mergeCell ref="L1085:M1085"/>
    <mergeCell ref="L1086:M1086"/>
    <mergeCell ref="L1088:M1088"/>
    <mergeCell ref="L1091:M1091"/>
    <mergeCell ref="N1123:O1123"/>
    <mergeCell ref="L1122:M1122"/>
    <mergeCell ref="L1123:M1123"/>
    <mergeCell ref="J1120:K1120"/>
    <mergeCell ref="J1121:K1121"/>
    <mergeCell ref="N1120:O1120"/>
    <mergeCell ref="J1122:K1122"/>
    <mergeCell ref="J1123:K1123"/>
    <mergeCell ref="J1095:K1095"/>
    <mergeCell ref="J1090:K1090"/>
    <mergeCell ref="L1090:M1090"/>
    <mergeCell ref="H1120:I1120"/>
    <mergeCell ref="H1118:I1118"/>
    <mergeCell ref="H1119:I1119"/>
    <mergeCell ref="L1098:M1098"/>
    <mergeCell ref="N1121:O1121"/>
    <mergeCell ref="L1120:M1120"/>
    <mergeCell ref="L1121:M1121"/>
    <mergeCell ref="J1093:K1093"/>
    <mergeCell ref="J1094:K1094"/>
    <mergeCell ref="G1099:O1102"/>
    <mergeCell ref="J1103:K1103"/>
    <mergeCell ref="H1123:I1123"/>
    <mergeCell ref="N1129:O1129"/>
    <mergeCell ref="L1129:M1129"/>
    <mergeCell ref="J1067:K1067"/>
    <mergeCell ref="J1068:K1068"/>
    <mergeCell ref="J1069:K1069"/>
    <mergeCell ref="J1070:K1070"/>
    <mergeCell ref="J1071:K1071"/>
    <mergeCell ref="J1072:K1072"/>
    <mergeCell ref="H1107:I1107"/>
    <mergeCell ref="N1118:O1118"/>
    <mergeCell ref="H1085:I1085"/>
    <mergeCell ref="H1086:I1086"/>
    <mergeCell ref="H1088:I1088"/>
    <mergeCell ref="H1089:I1089"/>
    <mergeCell ref="J1118:K1118"/>
    <mergeCell ref="J1096:K1096"/>
    <mergeCell ref="J1107:K1107"/>
    <mergeCell ref="J1108:K1108"/>
    <mergeCell ref="L1108:M1108"/>
    <mergeCell ref="L1092:M1092"/>
    <mergeCell ref="L1082:M1082"/>
    <mergeCell ref="N1067:O1067"/>
    <mergeCell ref="N1068:O1068"/>
    <mergeCell ref="N1069:O1069"/>
    <mergeCell ref="N1070:O1070"/>
    <mergeCell ref="N1071:O1071"/>
    <mergeCell ref="N1072:O1072"/>
    <mergeCell ref="H1072:I1072"/>
    <mergeCell ref="H1073:I1073"/>
    <mergeCell ref="H1074:I1074"/>
    <mergeCell ref="H1075:I1075"/>
    <mergeCell ref="H1078:I1078"/>
    <mergeCell ref="H1079:I1079"/>
    <mergeCell ref="H1082:I1082"/>
    <mergeCell ref="J1129:K1129"/>
    <mergeCell ref="N1105:O1105"/>
    <mergeCell ref="N1106:O1106"/>
    <mergeCell ref="L1093:M1093"/>
    <mergeCell ref="L1094:M1094"/>
    <mergeCell ref="L1095:M1095"/>
    <mergeCell ref="L1096:M1096"/>
    <mergeCell ref="L1097:M1097"/>
    <mergeCell ref="N1122:O1122"/>
    <mergeCell ref="J1097:K1097"/>
    <mergeCell ref="J1098:K1098"/>
    <mergeCell ref="G1087:O1087"/>
    <mergeCell ref="J1091:K1091"/>
    <mergeCell ref="J1119:K1119"/>
    <mergeCell ref="C1110:O1110"/>
    <mergeCell ref="C1111:D1111"/>
    <mergeCell ref="N1107:O1107"/>
    <mergeCell ref="H1121:I1121"/>
    <mergeCell ref="H1116:I1116"/>
    <mergeCell ref="H1117:I1117"/>
    <mergeCell ref="L1106:M1106"/>
    <mergeCell ref="L1107:M1107"/>
    <mergeCell ref="N1119:O1119"/>
    <mergeCell ref="L1118:M1118"/>
    <mergeCell ref="L1119:M1119"/>
    <mergeCell ref="J1116:K1116"/>
    <mergeCell ref="J1117:K1117"/>
    <mergeCell ref="H1115:I1115"/>
    <mergeCell ref="L1104:M1104"/>
    <mergeCell ref="B1098:E1098"/>
    <mergeCell ref="B1129:E1129"/>
    <mergeCell ref="B1102:E1102"/>
    <mergeCell ref="H1083:I1083"/>
    <mergeCell ref="H1084:I1084"/>
    <mergeCell ref="L1105:M1105"/>
    <mergeCell ref="H1091:I1091"/>
    <mergeCell ref="H1092:I1092"/>
    <mergeCell ref="H1093:I1093"/>
    <mergeCell ref="H1056:I1056"/>
    <mergeCell ref="H1057:I1057"/>
    <mergeCell ref="H1058:I1058"/>
    <mergeCell ref="H1059:I1059"/>
    <mergeCell ref="H1066:I1066"/>
    <mergeCell ref="H1067:I1067"/>
    <mergeCell ref="H1060:I1060"/>
    <mergeCell ref="H1061:I1061"/>
    <mergeCell ref="H1063:I1063"/>
    <mergeCell ref="H1064:I1064"/>
    <mergeCell ref="H1065:I1065"/>
    <mergeCell ref="H1068:I1068"/>
    <mergeCell ref="L1068:M1068"/>
    <mergeCell ref="L1069:M1069"/>
    <mergeCell ref="L1070:M1070"/>
    <mergeCell ref="L1073:M1073"/>
    <mergeCell ref="L1061:M1061"/>
    <mergeCell ref="L1063:M1063"/>
    <mergeCell ref="L1064:M1064"/>
    <mergeCell ref="L1065:M1065"/>
    <mergeCell ref="L1066:M1066"/>
    <mergeCell ref="L1067:M1067"/>
    <mergeCell ref="J1059:K1059"/>
    <mergeCell ref="J1060:K1060"/>
    <mergeCell ref="J1066:K1066"/>
    <mergeCell ref="L1103:M1103"/>
    <mergeCell ref="H1069:I1069"/>
    <mergeCell ref="H1070:I1070"/>
    <mergeCell ref="G1062:O1062"/>
    <mergeCell ref="H1094:I1094"/>
    <mergeCell ref="H1095:I1095"/>
    <mergeCell ref="H1096:I1096"/>
    <mergeCell ref="A1100:A1103"/>
    <mergeCell ref="C1082:E1082"/>
    <mergeCell ref="C1083:E1083"/>
    <mergeCell ref="B1086:E1086"/>
    <mergeCell ref="B1087:E1087"/>
    <mergeCell ref="C1088:E1088"/>
    <mergeCell ref="C1089:E1089"/>
    <mergeCell ref="B1092:E1092"/>
    <mergeCell ref="J1085:K1085"/>
    <mergeCell ref="J1086:K1086"/>
    <mergeCell ref="J1088:K1088"/>
    <mergeCell ref="J1089:K1089"/>
    <mergeCell ref="L1074:M1074"/>
    <mergeCell ref="L1075:M1075"/>
    <mergeCell ref="L1078:M1078"/>
    <mergeCell ref="H1097:I1097"/>
    <mergeCell ref="H1098:I1098"/>
    <mergeCell ref="H1103:I1103"/>
    <mergeCell ref="B1068:E1068"/>
    <mergeCell ref="B1069:E1069"/>
    <mergeCell ref="L1083:M1083"/>
    <mergeCell ref="L1084:M1084"/>
    <mergeCell ref="L1079:M1079"/>
    <mergeCell ref="L1071:M1071"/>
    <mergeCell ref="L1072:M1072"/>
    <mergeCell ref="J1092:K1092"/>
    <mergeCell ref="J1084:K1084"/>
    <mergeCell ref="H1071:I1071"/>
    <mergeCell ref="N1157:O1157"/>
    <mergeCell ref="N1159:O1159"/>
    <mergeCell ref="N1160:O1160"/>
    <mergeCell ref="N1149:O1149"/>
    <mergeCell ref="N1151:O1151"/>
    <mergeCell ref="N1154:O1154"/>
    <mergeCell ref="A1077:B1079"/>
    <mergeCell ref="A1063:B1065"/>
    <mergeCell ref="A1081:B1083"/>
    <mergeCell ref="G1080:O1081"/>
    <mergeCell ref="G1076:O1077"/>
    <mergeCell ref="B1090:E1090"/>
    <mergeCell ref="N1086:O1086"/>
    <mergeCell ref="N1088:O1088"/>
    <mergeCell ref="N1089:O1089"/>
    <mergeCell ref="H1090:I1090"/>
    <mergeCell ref="J1104:K1104"/>
    <mergeCell ref="J1105:K1105"/>
    <mergeCell ref="J1106:K1106"/>
    <mergeCell ref="H1108:I1108"/>
    <mergeCell ref="N1116:O1116"/>
    <mergeCell ref="N1117:O1117"/>
    <mergeCell ref="L1115:M1115"/>
    <mergeCell ref="L1116:M1116"/>
    <mergeCell ref="L1117:M1117"/>
    <mergeCell ref="J1115:K1115"/>
    <mergeCell ref="N1115:O1115"/>
    <mergeCell ref="H1104:I1104"/>
    <mergeCell ref="H1105:I1105"/>
    <mergeCell ref="H1106:I1106"/>
    <mergeCell ref="J1137:K1137"/>
    <mergeCell ref="J1138:K1138"/>
    <mergeCell ref="J1141:K1141"/>
    <mergeCell ref="J1142:K1142"/>
    <mergeCell ref="L1184:M1184"/>
    <mergeCell ref="L1186:M1186"/>
    <mergeCell ref="L1187:M1187"/>
    <mergeCell ref="L1188:M1188"/>
    <mergeCell ref="L1180:M1180"/>
    <mergeCell ref="L1182:M1182"/>
    <mergeCell ref="L1183:M1183"/>
    <mergeCell ref="L1172:M1172"/>
    <mergeCell ref="L1173:M1173"/>
    <mergeCell ref="L1174:M1174"/>
    <mergeCell ref="L1175:M1175"/>
    <mergeCell ref="L1176:M1176"/>
    <mergeCell ref="L1177:M1177"/>
    <mergeCell ref="L1169:M1169"/>
    <mergeCell ref="L1170:M1170"/>
    <mergeCell ref="L1171:M1171"/>
    <mergeCell ref="L1160:M1160"/>
    <mergeCell ref="L1161:M1161"/>
    <mergeCell ref="L1162:M1162"/>
    <mergeCell ref="L1163:M1163"/>
    <mergeCell ref="L1165:M1165"/>
    <mergeCell ref="L1137:M1137"/>
    <mergeCell ref="L1138:M1138"/>
    <mergeCell ref="L1141:M1141"/>
    <mergeCell ref="L1142:M1142"/>
    <mergeCell ref="L1166:M1166"/>
    <mergeCell ref="L1154:M1154"/>
    <mergeCell ref="L1157:M1157"/>
    <mergeCell ref="H1138:I1138"/>
    <mergeCell ref="H1141:I1141"/>
    <mergeCell ref="J1182:K1182"/>
    <mergeCell ref="J1183:K1183"/>
    <mergeCell ref="J1184:K1184"/>
    <mergeCell ref="J1175:K1175"/>
    <mergeCell ref="J1176:K1176"/>
    <mergeCell ref="J1177:K1177"/>
    <mergeCell ref="J1178:K1178"/>
    <mergeCell ref="H1142:I1142"/>
    <mergeCell ref="J1171:K1171"/>
    <mergeCell ref="J1172:K1172"/>
    <mergeCell ref="J1173:K1173"/>
    <mergeCell ref="J1174:K1174"/>
    <mergeCell ref="J1163:K1163"/>
    <mergeCell ref="J1165:K1165"/>
    <mergeCell ref="J1166:K1166"/>
    <mergeCell ref="J1167:K1167"/>
    <mergeCell ref="J1160:K1160"/>
    <mergeCell ref="J1161:K1161"/>
    <mergeCell ref="J1162:K1162"/>
    <mergeCell ref="J1151:K1151"/>
    <mergeCell ref="J1154:K1154"/>
    <mergeCell ref="J1147:K1147"/>
    <mergeCell ref="J1149:K1149"/>
    <mergeCell ref="H1149:I1149"/>
    <mergeCell ref="H1151:I1151"/>
    <mergeCell ref="J1157:K1157"/>
    <mergeCell ref="J1159:K1159"/>
    <mergeCell ref="G1152:O1153"/>
    <mergeCell ref="H1147:I1147"/>
    <mergeCell ref="H1171:I1171"/>
    <mergeCell ref="H1154:I1154"/>
    <mergeCell ref="L1190:M1190"/>
    <mergeCell ref="L1191:M1191"/>
    <mergeCell ref="N1191:O1191"/>
    <mergeCell ref="N1186:O1186"/>
    <mergeCell ref="N1187:O1187"/>
    <mergeCell ref="N1188:O1188"/>
    <mergeCell ref="N1190:O1190"/>
    <mergeCell ref="N1180:O1180"/>
    <mergeCell ref="N1182:O1182"/>
    <mergeCell ref="N1183:O1183"/>
    <mergeCell ref="N1184:O1184"/>
    <mergeCell ref="N1173:O1173"/>
    <mergeCell ref="N1174:O1174"/>
    <mergeCell ref="N1175:O1175"/>
    <mergeCell ref="N1176:O1176"/>
    <mergeCell ref="H1174:I1174"/>
    <mergeCell ref="H1175:I1175"/>
    <mergeCell ref="H1176:I1176"/>
    <mergeCell ref="H1177:I1177"/>
    <mergeCell ref="H1166:I1166"/>
    <mergeCell ref="H1167:I1167"/>
    <mergeCell ref="H1169:I1169"/>
    <mergeCell ref="H1170:I1170"/>
    <mergeCell ref="N1178:O1178"/>
    <mergeCell ref="N1167:O1167"/>
    <mergeCell ref="N1169:O1169"/>
    <mergeCell ref="N1170:O1170"/>
    <mergeCell ref="N1171:O1171"/>
    <mergeCell ref="N1172:O1172"/>
    <mergeCell ref="N1161:O1161"/>
    <mergeCell ref="N1162:O1162"/>
    <mergeCell ref="H1165:I1165"/>
    <mergeCell ref="H1157:I1157"/>
    <mergeCell ref="H1159:I1159"/>
    <mergeCell ref="G1158:O1158"/>
    <mergeCell ref="N1177:O1177"/>
    <mergeCell ref="G1185:O1185"/>
    <mergeCell ref="G1189:O1189"/>
    <mergeCell ref="C1193:O1193"/>
    <mergeCell ref="G1155:O1156"/>
    <mergeCell ref="A1156:A1157"/>
    <mergeCell ref="G1164:O1164"/>
    <mergeCell ref="G1168:O1168"/>
    <mergeCell ref="A1169:B1172"/>
    <mergeCell ref="G1179:O1179"/>
    <mergeCell ref="A1180:B1180"/>
    <mergeCell ref="H1190:I1190"/>
    <mergeCell ref="H1191:I1191"/>
    <mergeCell ref="J1187:K1187"/>
    <mergeCell ref="J1188:K1188"/>
    <mergeCell ref="J1190:K1190"/>
    <mergeCell ref="J1191:K1191"/>
    <mergeCell ref="J1186:K1186"/>
    <mergeCell ref="J1180:K1180"/>
    <mergeCell ref="J1169:K1169"/>
    <mergeCell ref="J1170:K1170"/>
    <mergeCell ref="N1163:O1163"/>
    <mergeCell ref="N1165:O1165"/>
    <mergeCell ref="N1166:O1166"/>
    <mergeCell ref="B1186:E1186"/>
    <mergeCell ref="C1183:E1183"/>
    <mergeCell ref="C1182:E1182"/>
    <mergeCell ref="B1191:E1191"/>
    <mergeCell ref="B1294:I1294"/>
    <mergeCell ref="B1295:I1295"/>
    <mergeCell ref="B1296:I1296"/>
    <mergeCell ref="B1297:I1297"/>
    <mergeCell ref="K1295:L1295"/>
    <mergeCell ref="M1300:N1300"/>
    <mergeCell ref="A1300:K1300"/>
    <mergeCell ref="B1304:I1304"/>
    <mergeCell ref="A1140:A1141"/>
    <mergeCell ref="G1139:O1140"/>
    <mergeCell ref="G1143:O1146"/>
    <mergeCell ref="A1144:A1147"/>
    <mergeCell ref="G1148:O1148"/>
    <mergeCell ref="G1150:O1150"/>
    <mergeCell ref="A1182:B1183"/>
    <mergeCell ref="A1153:A1154"/>
    <mergeCell ref="H1184:I1184"/>
    <mergeCell ref="H1186:I1186"/>
    <mergeCell ref="H1187:I1187"/>
    <mergeCell ref="H1188:I1188"/>
    <mergeCell ref="H1178:I1178"/>
    <mergeCell ref="H1180:I1180"/>
    <mergeCell ref="H1182:I1182"/>
    <mergeCell ref="H1183:I1183"/>
    <mergeCell ref="G1181:O1181"/>
    <mergeCell ref="L1178:M1178"/>
    <mergeCell ref="H1172:I1172"/>
    <mergeCell ref="H1173:I1173"/>
    <mergeCell ref="H1160:I1160"/>
    <mergeCell ref="H1161:I1161"/>
    <mergeCell ref="H1162:I1162"/>
    <mergeCell ref="H1163:I1163"/>
    <mergeCell ref="B1327:I1327"/>
    <mergeCell ref="K1355:L1355"/>
    <mergeCell ref="K1356:L1356"/>
    <mergeCell ref="B1302:I1302"/>
    <mergeCell ref="K1325:L1325"/>
    <mergeCell ref="K1326:L1326"/>
    <mergeCell ref="K1327:L1327"/>
    <mergeCell ref="K1328:L1328"/>
    <mergeCell ref="K1329:L1329"/>
    <mergeCell ref="M1359:N1359"/>
    <mergeCell ref="A1359:K1359"/>
    <mergeCell ref="B1356:I1356"/>
    <mergeCell ref="B1357:I1357"/>
    <mergeCell ref="B1328:I1328"/>
    <mergeCell ref="B1329:I1329"/>
    <mergeCell ref="B1330:I1330"/>
    <mergeCell ref="B1331:I1331"/>
    <mergeCell ref="B1332:I1332"/>
    <mergeCell ref="B1325:I1325"/>
    <mergeCell ref="B1326:I1326"/>
    <mergeCell ref="M1319:N1319"/>
    <mergeCell ref="A1319:K1319"/>
    <mergeCell ref="K1320:L1320"/>
    <mergeCell ref="K1321:L1321"/>
    <mergeCell ref="K1322:L1322"/>
    <mergeCell ref="B1320:I1320"/>
    <mergeCell ref="B1321:I1321"/>
    <mergeCell ref="B1322:I1322"/>
    <mergeCell ref="A1336:O1336"/>
    <mergeCell ref="B1303:I1303"/>
    <mergeCell ref="M1311:N1311"/>
    <mergeCell ref="B1333:I1333"/>
    <mergeCell ref="B1334:I1334"/>
    <mergeCell ref="B1335:I1335"/>
    <mergeCell ref="K1357:L1357"/>
    <mergeCell ref="K1339:L1339"/>
    <mergeCell ref="K1340:L1340"/>
    <mergeCell ref="K1341:L1341"/>
    <mergeCell ref="K1342:L1342"/>
    <mergeCell ref="B1339:I1339"/>
    <mergeCell ref="K1347:L1347"/>
    <mergeCell ref="B1340:I1340"/>
    <mergeCell ref="B1341:I1341"/>
    <mergeCell ref="K1330:L1330"/>
    <mergeCell ref="K1331:L1331"/>
    <mergeCell ref="K1332:L1332"/>
    <mergeCell ref="K1333:L1333"/>
    <mergeCell ref="K1334:L1334"/>
    <mergeCell ref="A1352:K1352"/>
    <mergeCell ref="K1335:L1335"/>
    <mergeCell ref="K1338:L1338"/>
    <mergeCell ref="B1338:I1338"/>
    <mergeCell ref="A1349:K1349"/>
    <mergeCell ref="B1350:I1350"/>
    <mergeCell ref="K1350:L1350"/>
    <mergeCell ref="B1353:I1353"/>
    <mergeCell ref="A1351:O1351"/>
    <mergeCell ref="B1354:I1354"/>
    <mergeCell ref="B1355:I1355"/>
    <mergeCell ref="B1343:I1343"/>
    <mergeCell ref="M1337:N1337"/>
    <mergeCell ref="A1337:K1337"/>
    <mergeCell ref="K1354:L1354"/>
    <mergeCell ref="B1344:I1344"/>
    <mergeCell ref="B1345:I1345"/>
    <mergeCell ref="B1346:I1346"/>
    <mergeCell ref="A1348:O1348"/>
    <mergeCell ref="B1342:I1342"/>
    <mergeCell ref="K1343:L1343"/>
    <mergeCell ref="K1344:L1344"/>
    <mergeCell ref="K1345:L1345"/>
    <mergeCell ref="B1347:I1347"/>
    <mergeCell ref="K1353:L1353"/>
    <mergeCell ref="K1346:L1346"/>
    <mergeCell ref="B1368:I1368"/>
    <mergeCell ref="B1369:I1369"/>
    <mergeCell ref="B1367:I1367"/>
    <mergeCell ref="B1377:K1377"/>
    <mergeCell ref="B1386:K1386"/>
    <mergeCell ref="A1380:O1380"/>
    <mergeCell ref="L1381:O1381"/>
    <mergeCell ref="A1358:O1358"/>
    <mergeCell ref="M1352:N1352"/>
    <mergeCell ref="M1349:N1349"/>
    <mergeCell ref="K1374:L1374"/>
    <mergeCell ref="M1374:O1374"/>
    <mergeCell ref="M1366:N1366"/>
    <mergeCell ref="A1366:K1366"/>
    <mergeCell ref="B1360:I1360"/>
    <mergeCell ref="B1361:I1361"/>
    <mergeCell ref="B1362:I1362"/>
    <mergeCell ref="A1365:O1365"/>
    <mergeCell ref="B1363:I1363"/>
    <mergeCell ref="A1375:O1375"/>
    <mergeCell ref="L1376:O1376"/>
    <mergeCell ref="K1360:L1360"/>
    <mergeCell ref="M1377:O1377"/>
    <mergeCell ref="M1378:O1378"/>
    <mergeCell ref="M1379:O1379"/>
    <mergeCell ref="M1409:O1409"/>
    <mergeCell ref="M1406:O1406"/>
    <mergeCell ref="A1405:O1405"/>
    <mergeCell ref="A1395:O1395"/>
    <mergeCell ref="L1396:O1396"/>
    <mergeCell ref="B1397:K1397"/>
    <mergeCell ref="B1381:K1381"/>
    <mergeCell ref="M1389:O1389"/>
    <mergeCell ref="A1385:O1385"/>
    <mergeCell ref="L1386:O1386"/>
    <mergeCell ref="M1407:O1407"/>
    <mergeCell ref="M1392:O1392"/>
    <mergeCell ref="M1399:O1399"/>
    <mergeCell ref="B1396:K1396"/>
    <mergeCell ref="A1396:A1399"/>
    <mergeCell ref="A1391:A1394"/>
    <mergeCell ref="A1400:O1400"/>
    <mergeCell ref="A1381:A1384"/>
    <mergeCell ref="B1402:K1402"/>
    <mergeCell ref="B1403:K1403"/>
    <mergeCell ref="L1391:O1391"/>
    <mergeCell ref="M1397:O1397"/>
    <mergeCell ref="M1393:O1393"/>
    <mergeCell ref="A1499:A1501"/>
    <mergeCell ref="B1499:F1499"/>
    <mergeCell ref="B1500:F1500"/>
    <mergeCell ref="B1501:F1501"/>
    <mergeCell ref="B1502:F1502"/>
    <mergeCell ref="B1503:F1503"/>
    <mergeCell ref="A1515:A1528"/>
    <mergeCell ref="M1382:O1382"/>
    <mergeCell ref="M1383:O1383"/>
    <mergeCell ref="M1384:O1384"/>
    <mergeCell ref="M1387:O1387"/>
    <mergeCell ref="M1388:O1388"/>
    <mergeCell ref="A1386:A1389"/>
    <mergeCell ref="A1508:A1514"/>
    <mergeCell ref="A1505:A1507"/>
    <mergeCell ref="A1502:A1504"/>
    <mergeCell ref="A1487:A1498"/>
    <mergeCell ref="B1404:K1404"/>
    <mergeCell ref="B1398:K1398"/>
    <mergeCell ref="B1411:K1411"/>
    <mergeCell ref="B1399:K1399"/>
    <mergeCell ref="A1401:A1404"/>
    <mergeCell ref="A1406:A1409"/>
    <mergeCell ref="L1401:O1401"/>
    <mergeCell ref="M1402:O1402"/>
    <mergeCell ref="M1403:O1403"/>
    <mergeCell ref="M1404:O1404"/>
    <mergeCell ref="B1401:K1401"/>
    <mergeCell ref="B1408:K1408"/>
    <mergeCell ref="M1408:O1408"/>
    <mergeCell ref="M1417:O1417"/>
    <mergeCell ref="B1417:K1417"/>
    <mergeCell ref="G1529:O1529"/>
    <mergeCell ref="G1532:O1532"/>
    <mergeCell ref="A1537:O1537"/>
    <mergeCell ref="A1538:O1538"/>
    <mergeCell ref="B1540:J1540"/>
    <mergeCell ref="K1540:L1540"/>
    <mergeCell ref="M1540:O1540"/>
    <mergeCell ref="A1529:A1534"/>
    <mergeCell ref="B1535:O1535"/>
    <mergeCell ref="B1529:F1529"/>
    <mergeCell ref="B1531:F1531"/>
    <mergeCell ref="B1532:F1532"/>
    <mergeCell ref="B1533:F1533"/>
    <mergeCell ref="B1534:F1534"/>
    <mergeCell ref="A1554:O1554"/>
    <mergeCell ref="B1566:K1566"/>
    <mergeCell ref="A1555:A1575"/>
    <mergeCell ref="B1563:K1563"/>
    <mergeCell ref="B1573:O1573"/>
    <mergeCell ref="B1544:K1544"/>
    <mergeCell ref="B1545:K1545"/>
    <mergeCell ref="B1550:K1550"/>
    <mergeCell ref="L1544:O1544"/>
    <mergeCell ref="M1551:O1551"/>
    <mergeCell ref="M1552:O1552"/>
    <mergeCell ref="M1546:O1546"/>
    <mergeCell ref="M1547:O1547"/>
    <mergeCell ref="B1546:K1546"/>
    <mergeCell ref="B1547:K1547"/>
    <mergeCell ref="B1575:K1575"/>
    <mergeCell ref="M1575:O1575"/>
    <mergeCell ref="M1588:O1588"/>
    <mergeCell ref="B1593:K1593"/>
    <mergeCell ref="M1593:O1593"/>
    <mergeCell ref="M1594:O1594"/>
    <mergeCell ref="M1598:O1598"/>
    <mergeCell ref="A1541:O1541"/>
    <mergeCell ref="A1543:O1543"/>
    <mergeCell ref="B1570:K1570"/>
    <mergeCell ref="B1571:K1571"/>
    <mergeCell ref="B1556:O1556"/>
    <mergeCell ref="B1560:O1560"/>
    <mergeCell ref="B1557:O1557"/>
    <mergeCell ref="B1574:K1574"/>
    <mergeCell ref="B1568:O1568"/>
    <mergeCell ref="B1572:O1572"/>
    <mergeCell ref="B1562:K1562"/>
    <mergeCell ref="B1558:K1558"/>
    <mergeCell ref="B1559:K1559"/>
    <mergeCell ref="B1564:O1564"/>
    <mergeCell ref="M1581:O1581"/>
    <mergeCell ref="M1582:O1582"/>
    <mergeCell ref="M1583:O1583"/>
    <mergeCell ref="M1584:O1584"/>
    <mergeCell ref="M1586:O1586"/>
    <mergeCell ref="B1584:K1584"/>
    <mergeCell ref="B1603:K1603"/>
    <mergeCell ref="B1604:K1604"/>
    <mergeCell ref="B1605:K1605"/>
    <mergeCell ref="M1605:O1605"/>
    <mergeCell ref="B1551:K1551"/>
    <mergeCell ref="B1552:K1552"/>
    <mergeCell ref="B1553:K1553"/>
    <mergeCell ref="B1555:O1555"/>
    <mergeCell ref="B1561:O1561"/>
    <mergeCell ref="B1569:O1569"/>
    <mergeCell ref="B1567:K1567"/>
    <mergeCell ref="B1595:K1595"/>
    <mergeCell ref="B1596:K1596"/>
    <mergeCell ref="B1565:O1565"/>
    <mergeCell ref="B1601:K1601"/>
    <mergeCell ref="B1589:K1589"/>
    <mergeCell ref="B1590:K1590"/>
    <mergeCell ref="B1591:K1591"/>
    <mergeCell ref="B1592:K1592"/>
    <mergeCell ref="M1600:O1600"/>
    <mergeCell ref="B1602:K1602"/>
    <mergeCell ref="A1576:O1576"/>
    <mergeCell ref="A1578:O1578"/>
    <mergeCell ref="B1597:K1597"/>
    <mergeCell ref="B1586:K1586"/>
    <mergeCell ref="B1587:K1587"/>
    <mergeCell ref="B1588:K1588"/>
    <mergeCell ref="M1589:O1589"/>
    <mergeCell ref="M1590:O1590"/>
    <mergeCell ref="B1594:K1594"/>
    <mergeCell ref="M1596:O1596"/>
    <mergeCell ref="M1597:O1597"/>
    <mergeCell ref="C257:H257"/>
    <mergeCell ref="I254:J254"/>
    <mergeCell ref="I255:J255"/>
    <mergeCell ref="I256:J256"/>
    <mergeCell ref="B358:O360"/>
    <mergeCell ref="C351:O352"/>
    <mergeCell ref="C342:O343"/>
    <mergeCell ref="C345:O346"/>
    <mergeCell ref="C347:O349"/>
    <mergeCell ref="M257:N257"/>
    <mergeCell ref="C250:H250"/>
    <mergeCell ref="C251:H251"/>
    <mergeCell ref="C252:H252"/>
    <mergeCell ref="C254:H254"/>
    <mergeCell ref="C255:H255"/>
    <mergeCell ref="C256:H256"/>
    <mergeCell ref="C253:L253"/>
    <mergeCell ref="I251:J251"/>
    <mergeCell ref="I252:J252"/>
    <mergeCell ref="H336:I336"/>
    <mergeCell ref="J335:K335"/>
    <mergeCell ref="J336:K336"/>
    <mergeCell ref="N335:O335"/>
    <mergeCell ref="N336:O336"/>
    <mergeCell ref="C355:O355"/>
    <mergeCell ref="C356:O356"/>
    <mergeCell ref="C350:O350"/>
    <mergeCell ref="B353:O353"/>
    <mergeCell ref="L335:M335"/>
    <mergeCell ref="L336:M336"/>
    <mergeCell ref="L338:M338"/>
    <mergeCell ref="L339:M339"/>
  </mergeCells>
  <printOptions horizontalCentered="1"/>
  <pageMargins left="0.39370078740157483" right="0.39370078740157483" top="0.39370078740157483" bottom="0.39370078740157483" header="0.19685039370078741" footer="0.19685039370078741"/>
  <pageSetup paperSize="9" orientation="portrait" r:id="rId1"/>
  <headerFooter>
    <oddFooter>Sayfa &amp;P / &amp;N</oddFooter>
  </headerFooter>
  <ignoredErrors>
    <ignoredError sqref="K1347 K1350 K1363" twoDigitTextYear="1"/>
  </ignoredErrors>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786"/>
  <sheetViews>
    <sheetView topLeftCell="A233" zoomScaleNormal="100" workbookViewId="0">
      <selection activeCell="A223" sqref="A223:M223"/>
    </sheetView>
  </sheetViews>
  <sheetFormatPr defaultRowHeight="12.75"/>
  <cols>
    <col min="6" max="13" width="4.7109375" customWidth="1"/>
    <col min="14" max="14" width="1.42578125" customWidth="1"/>
  </cols>
  <sheetData>
    <row r="1" spans="1:13" ht="35.25" customHeight="1">
      <c r="A1" s="1678" t="s">
        <v>3518</v>
      </c>
      <c r="B1" s="1678"/>
      <c r="C1" s="1678"/>
      <c r="D1" s="1727" t="s">
        <v>3519</v>
      </c>
      <c r="E1" s="1727"/>
      <c r="F1" s="1727"/>
      <c r="G1" s="1728" t="s">
        <v>3520</v>
      </c>
      <c r="H1" s="1728"/>
      <c r="I1" s="1728"/>
      <c r="J1" s="1728"/>
      <c r="K1" s="1728"/>
      <c r="L1" s="1728"/>
      <c r="M1" s="1728"/>
    </row>
    <row r="2" spans="1:13" ht="12.75" customHeight="1">
      <c r="A2" s="1729" t="s">
        <v>3521</v>
      </c>
      <c r="B2" s="1729"/>
      <c r="C2" s="1729"/>
      <c r="D2" s="1729"/>
      <c r="E2" s="1729"/>
      <c r="F2" s="1729"/>
      <c r="G2" s="1729"/>
      <c r="H2" s="1729"/>
      <c r="I2" s="1729"/>
      <c r="J2" s="1729"/>
      <c r="K2" s="1729"/>
      <c r="L2" s="1729"/>
      <c r="M2" s="1729"/>
    </row>
    <row r="3" spans="1:13" ht="24" customHeight="1">
      <c r="A3" s="1659" t="s">
        <v>3522</v>
      </c>
      <c r="B3" s="1659"/>
      <c r="C3" s="1659"/>
      <c r="D3" s="1659"/>
      <c r="E3" s="1659"/>
      <c r="F3" s="1659"/>
      <c r="G3" s="1659"/>
      <c r="H3" s="1659"/>
      <c r="I3" s="1659"/>
      <c r="J3" s="1659"/>
      <c r="K3" s="1659"/>
      <c r="L3" s="1659"/>
      <c r="M3" s="1659"/>
    </row>
    <row r="4" spans="1:13" ht="12.75" customHeight="1">
      <c r="A4" s="1659" t="s">
        <v>3523</v>
      </c>
      <c r="B4" s="1659"/>
      <c r="C4" s="1659"/>
      <c r="D4" s="1659"/>
      <c r="E4" s="1659"/>
      <c r="F4" s="1659"/>
      <c r="G4" s="1659"/>
      <c r="H4" s="1659"/>
      <c r="I4" s="1659"/>
      <c r="J4" s="1659"/>
      <c r="K4" s="1659"/>
      <c r="L4" s="1659"/>
      <c r="M4" s="1659"/>
    </row>
    <row r="5" spans="1:13" ht="12.75" customHeight="1">
      <c r="A5" s="1659" t="s">
        <v>3524</v>
      </c>
      <c r="B5" s="1659"/>
      <c r="C5" s="1659"/>
      <c r="D5" s="1659"/>
      <c r="E5" s="1659"/>
      <c r="F5" s="1659"/>
      <c r="G5" s="1659"/>
      <c r="H5" s="1659"/>
      <c r="I5" s="1659"/>
      <c r="J5" s="1659"/>
      <c r="K5" s="1659"/>
      <c r="L5" s="1659"/>
      <c r="M5" s="1659"/>
    </row>
    <row r="6" spans="1:13" ht="12.75" customHeight="1">
      <c r="A6" s="1659" t="s">
        <v>3525</v>
      </c>
      <c r="B6" s="1659"/>
      <c r="C6" s="1659"/>
      <c r="D6" s="1659"/>
      <c r="E6" s="1659"/>
      <c r="F6" s="1659"/>
      <c r="G6" s="1659"/>
      <c r="H6" s="1659"/>
      <c r="I6" s="1659"/>
      <c r="J6" s="1659"/>
      <c r="K6" s="1659"/>
      <c r="L6" s="1659"/>
      <c r="M6" s="1659"/>
    </row>
    <row r="7" spans="1:13" ht="12.75" customHeight="1">
      <c r="A7" s="1720" t="s">
        <v>3526</v>
      </c>
      <c r="B7" s="1720"/>
      <c r="C7" s="1720"/>
      <c r="D7" s="1720"/>
      <c r="E7" s="1720"/>
      <c r="F7" s="1720"/>
      <c r="G7" s="1720"/>
      <c r="H7" s="1720"/>
      <c r="I7" s="1720"/>
      <c r="J7" s="1720"/>
      <c r="K7" s="1720"/>
      <c r="L7" s="1720"/>
      <c r="M7" s="1720"/>
    </row>
    <row r="8" spans="1:13" ht="38.25" customHeight="1">
      <c r="A8" s="1685" t="s">
        <v>3527</v>
      </c>
      <c r="B8" s="1685"/>
      <c r="C8" s="1685"/>
      <c r="D8" s="1685"/>
      <c r="E8" s="1685"/>
      <c r="F8" s="1685"/>
      <c r="G8" s="1685"/>
      <c r="H8" s="1685"/>
      <c r="I8" s="1685"/>
      <c r="J8" s="1685"/>
      <c r="K8" s="1685"/>
      <c r="L8" s="1685"/>
      <c r="M8" s="1685"/>
    </row>
    <row r="9" spans="1:13" ht="21" customHeight="1">
      <c r="A9" s="1690" t="s">
        <v>3528</v>
      </c>
      <c r="B9" s="1690"/>
      <c r="C9" s="1690"/>
      <c r="D9" s="1690"/>
      <c r="E9" s="1690"/>
      <c r="F9" s="1690"/>
      <c r="G9" s="1690"/>
      <c r="H9" s="1690"/>
      <c r="I9" s="1690"/>
      <c r="J9" s="1690"/>
      <c r="K9" s="1690"/>
      <c r="L9" s="1690"/>
      <c r="M9" s="1690"/>
    </row>
    <row r="10" spans="1:13" ht="110.25" customHeight="1">
      <c r="A10" s="1685" t="s">
        <v>3814</v>
      </c>
      <c r="B10" s="1685"/>
      <c r="C10" s="1685"/>
      <c r="D10" s="1685"/>
      <c r="E10" s="1685"/>
      <c r="F10" s="1685"/>
      <c r="G10" s="1685"/>
      <c r="H10" s="1685"/>
      <c r="I10" s="1685"/>
      <c r="J10" s="1685"/>
      <c r="K10" s="1685"/>
      <c r="L10" s="1685"/>
      <c r="M10" s="1685"/>
    </row>
    <row r="11" spans="1:13" ht="62.25" customHeight="1">
      <c r="A11" s="1685" t="s">
        <v>4756</v>
      </c>
      <c r="B11" s="1685"/>
      <c r="C11" s="1685"/>
      <c r="D11" s="1685"/>
      <c r="E11" s="1685"/>
      <c r="F11" s="1685"/>
      <c r="G11" s="1685"/>
      <c r="H11" s="1685"/>
      <c r="I11" s="1685"/>
      <c r="J11" s="1685"/>
      <c r="K11" s="1685"/>
      <c r="L11" s="1685"/>
      <c r="M11" s="1685"/>
    </row>
    <row r="12" spans="1:13" ht="125.25" customHeight="1">
      <c r="A12" s="1685" t="s">
        <v>4755</v>
      </c>
      <c r="B12" s="1685"/>
      <c r="C12" s="1685"/>
      <c r="D12" s="1685"/>
      <c r="E12" s="1685"/>
      <c r="F12" s="1685"/>
      <c r="G12" s="1685"/>
      <c r="H12" s="1685"/>
      <c r="I12" s="1685"/>
      <c r="J12" s="1685"/>
      <c r="K12" s="1685"/>
      <c r="L12" s="1685"/>
      <c r="M12" s="1685"/>
    </row>
    <row r="13" spans="1:13" ht="84" customHeight="1">
      <c r="A13" s="1721" t="s">
        <v>2392</v>
      </c>
      <c r="B13" s="1721"/>
      <c r="C13" s="1721"/>
      <c r="D13" s="1721"/>
      <c r="E13" s="1721"/>
      <c r="F13" s="1721"/>
      <c r="G13" s="1721"/>
      <c r="H13" s="1721"/>
      <c r="I13" s="1721"/>
      <c r="J13" s="1721"/>
      <c r="K13" s="1721"/>
      <c r="L13" s="1721"/>
      <c r="M13" s="1721"/>
    </row>
    <row r="14" spans="1:13" ht="133.5" customHeight="1">
      <c r="A14" s="1685" t="s">
        <v>2393</v>
      </c>
      <c r="B14" s="1685"/>
      <c r="C14" s="1685"/>
      <c r="D14" s="1685"/>
      <c r="E14" s="1685"/>
      <c r="F14" s="1685"/>
      <c r="G14" s="1685"/>
      <c r="H14" s="1685"/>
      <c r="I14" s="1685"/>
      <c r="J14" s="1685"/>
      <c r="K14" s="1685"/>
      <c r="L14" s="1685"/>
      <c r="M14" s="1685"/>
    </row>
    <row r="15" spans="1:13" ht="50.25" customHeight="1">
      <c r="A15" s="1685" t="s">
        <v>2394</v>
      </c>
      <c r="B15" s="1685"/>
      <c r="C15" s="1685"/>
      <c r="D15" s="1685"/>
      <c r="E15" s="1685"/>
      <c r="F15" s="1685"/>
      <c r="G15" s="1685"/>
      <c r="H15" s="1685"/>
      <c r="I15" s="1685"/>
      <c r="J15" s="1685"/>
      <c r="K15" s="1685"/>
      <c r="L15" s="1685"/>
      <c r="M15" s="1685"/>
    </row>
    <row r="16" spans="1:13" ht="69.75" customHeight="1">
      <c r="A16" s="1685" t="s">
        <v>2395</v>
      </c>
      <c r="B16" s="1685"/>
      <c r="C16" s="1685"/>
      <c r="D16" s="1685"/>
      <c r="E16" s="1685"/>
      <c r="F16" s="1685"/>
      <c r="G16" s="1685"/>
      <c r="H16" s="1685"/>
      <c r="I16" s="1685"/>
      <c r="J16" s="1685"/>
      <c r="K16" s="1685"/>
      <c r="L16" s="1685"/>
      <c r="M16" s="1685"/>
    </row>
    <row r="17" spans="1:13" ht="112.5" customHeight="1">
      <c r="A17" s="1685" t="s">
        <v>2396</v>
      </c>
      <c r="B17" s="1685"/>
      <c r="C17" s="1685"/>
      <c r="D17" s="1685"/>
      <c r="E17" s="1685"/>
      <c r="F17" s="1685"/>
      <c r="G17" s="1685"/>
      <c r="H17" s="1685"/>
      <c r="I17" s="1685"/>
      <c r="J17" s="1685"/>
      <c r="K17" s="1685"/>
      <c r="L17" s="1685"/>
      <c r="M17" s="1685"/>
    </row>
    <row r="18" spans="1:13" ht="114.75" customHeight="1">
      <c r="A18" s="1685" t="s">
        <v>2397</v>
      </c>
      <c r="B18" s="1685"/>
      <c r="C18" s="1685"/>
      <c r="D18" s="1685"/>
      <c r="E18" s="1685"/>
      <c r="F18" s="1685"/>
      <c r="G18" s="1685"/>
      <c r="H18" s="1685"/>
      <c r="I18" s="1685"/>
      <c r="J18" s="1685"/>
      <c r="K18" s="1685"/>
      <c r="L18" s="1685"/>
      <c r="M18" s="1685"/>
    </row>
    <row r="19" spans="1:13" ht="27.75" customHeight="1">
      <c r="A19" s="1685" t="s">
        <v>2398</v>
      </c>
      <c r="B19" s="1685"/>
      <c r="C19" s="1685"/>
      <c r="D19" s="1685"/>
      <c r="E19" s="1685"/>
      <c r="F19" s="1685"/>
      <c r="G19" s="1685"/>
      <c r="H19" s="1685"/>
      <c r="I19" s="1685"/>
      <c r="J19" s="1685"/>
      <c r="K19" s="1685"/>
      <c r="L19" s="1685"/>
      <c r="M19" s="1685"/>
    </row>
    <row r="20" spans="1:13" ht="69" customHeight="1">
      <c r="A20" s="1685" t="s">
        <v>3529</v>
      </c>
      <c r="B20" s="1685"/>
      <c r="C20" s="1685"/>
      <c r="D20" s="1685"/>
      <c r="E20" s="1685"/>
      <c r="F20" s="1685"/>
      <c r="G20" s="1685"/>
      <c r="H20" s="1685"/>
      <c r="I20" s="1685"/>
      <c r="J20" s="1685"/>
      <c r="K20" s="1685"/>
      <c r="L20" s="1685"/>
      <c r="M20" s="1685"/>
    </row>
    <row r="21" spans="1:13" ht="48" customHeight="1">
      <c r="A21" s="1685" t="s">
        <v>2401</v>
      </c>
      <c r="B21" s="1685"/>
      <c r="C21" s="1685"/>
      <c r="D21" s="1685"/>
      <c r="E21" s="1685"/>
      <c r="F21" s="1685"/>
      <c r="G21" s="1685"/>
      <c r="H21" s="1685"/>
      <c r="I21" s="1685"/>
      <c r="J21" s="1685"/>
      <c r="K21" s="1685"/>
      <c r="L21" s="1685"/>
      <c r="M21" s="1685"/>
    </row>
    <row r="22" spans="1:13" ht="24" customHeight="1">
      <c r="A22" s="1685" t="s">
        <v>2402</v>
      </c>
      <c r="B22" s="1685"/>
      <c r="C22" s="1685"/>
      <c r="D22" s="1685"/>
      <c r="E22" s="1685"/>
      <c r="F22" s="1685"/>
      <c r="G22" s="1685"/>
      <c r="H22" s="1685"/>
      <c r="I22" s="1685"/>
      <c r="J22" s="1685"/>
      <c r="K22" s="1685"/>
      <c r="L22" s="1685"/>
      <c r="M22" s="1685"/>
    </row>
    <row r="23" spans="1:13" ht="74.25" customHeight="1">
      <c r="A23" s="1719" t="s">
        <v>3813</v>
      </c>
      <c r="B23" s="1719"/>
      <c r="C23" s="1719"/>
      <c r="D23" s="1719"/>
      <c r="E23" s="1719"/>
      <c r="F23" s="1719"/>
      <c r="G23" s="1719"/>
      <c r="H23" s="1719"/>
      <c r="I23" s="1719"/>
      <c r="J23" s="1719"/>
      <c r="K23" s="1719"/>
      <c r="L23" s="1719"/>
      <c r="M23" s="1719"/>
    </row>
    <row r="24" spans="1:13" ht="87" customHeight="1">
      <c r="A24" s="1719"/>
      <c r="B24" s="1719"/>
      <c r="C24" s="1719"/>
      <c r="D24" s="1719"/>
      <c r="E24" s="1719"/>
      <c r="F24" s="1719"/>
      <c r="G24" s="1719"/>
      <c r="H24" s="1719"/>
      <c r="I24" s="1719"/>
      <c r="J24" s="1719"/>
      <c r="K24" s="1719"/>
      <c r="L24" s="1719"/>
      <c r="M24" s="1719"/>
    </row>
    <row r="25" spans="1:13" ht="75" customHeight="1">
      <c r="A25" s="1685" t="s">
        <v>2405</v>
      </c>
      <c r="B25" s="1685"/>
      <c r="C25" s="1685"/>
      <c r="D25" s="1685"/>
      <c r="E25" s="1685"/>
      <c r="F25" s="1685"/>
      <c r="G25" s="1685"/>
      <c r="H25" s="1685"/>
      <c r="I25" s="1685"/>
      <c r="J25" s="1685"/>
      <c r="K25" s="1685"/>
      <c r="L25" s="1685"/>
      <c r="M25" s="1685"/>
    </row>
    <row r="26" spans="1:13" ht="122.25" customHeight="1">
      <c r="A26" s="1685" t="s">
        <v>2406</v>
      </c>
      <c r="B26" s="1685"/>
      <c r="C26" s="1685"/>
      <c r="D26" s="1685"/>
      <c r="E26" s="1685"/>
      <c r="F26" s="1685"/>
      <c r="G26" s="1685"/>
      <c r="H26" s="1685"/>
      <c r="I26" s="1685"/>
      <c r="J26" s="1685"/>
      <c r="K26" s="1685"/>
      <c r="L26" s="1685"/>
      <c r="M26" s="1685"/>
    </row>
    <row r="27" spans="1:13" ht="18.75" customHeight="1">
      <c r="A27" s="1685" t="s">
        <v>2407</v>
      </c>
      <c r="B27" s="1685"/>
      <c r="C27" s="1685"/>
      <c r="D27" s="1685"/>
      <c r="E27" s="1685"/>
      <c r="F27" s="1685"/>
      <c r="G27" s="1685"/>
      <c r="H27" s="1685"/>
      <c r="I27" s="1685"/>
      <c r="J27" s="1685"/>
      <c r="K27" s="1685"/>
      <c r="L27" s="1685"/>
      <c r="M27" s="1685"/>
    </row>
    <row r="28" spans="1:13" ht="36" customHeight="1">
      <c r="A28" s="1685" t="s">
        <v>2398</v>
      </c>
      <c r="B28" s="1685"/>
      <c r="C28" s="1685"/>
      <c r="D28" s="1685"/>
      <c r="E28" s="1685"/>
      <c r="F28" s="1685"/>
      <c r="G28" s="1685"/>
      <c r="H28" s="1685"/>
      <c r="I28" s="1685"/>
      <c r="J28" s="1685"/>
      <c r="K28" s="1685"/>
      <c r="L28" s="1685"/>
      <c r="M28" s="1685"/>
    </row>
    <row r="29" spans="1:13" ht="24" customHeight="1">
      <c r="A29" s="1685" t="s">
        <v>3530</v>
      </c>
      <c r="B29" s="1685"/>
      <c r="C29" s="1685"/>
      <c r="D29" s="1685"/>
      <c r="E29" s="1685"/>
      <c r="F29" s="1685"/>
      <c r="G29" s="1685"/>
      <c r="H29" s="1685"/>
      <c r="I29" s="1685"/>
      <c r="J29" s="1685"/>
      <c r="K29" s="1685"/>
      <c r="L29" s="1685"/>
      <c r="M29" s="1685"/>
    </row>
    <row r="30" spans="1:13" ht="90.75" customHeight="1">
      <c r="A30" s="1685" t="s">
        <v>2409</v>
      </c>
      <c r="B30" s="1685"/>
      <c r="C30" s="1685"/>
      <c r="D30" s="1685"/>
      <c r="E30" s="1685"/>
      <c r="F30" s="1685"/>
      <c r="G30" s="1685"/>
      <c r="H30" s="1685"/>
      <c r="I30" s="1685"/>
      <c r="J30" s="1685"/>
      <c r="K30" s="1685"/>
      <c r="L30" s="1685"/>
      <c r="M30" s="1685"/>
    </row>
    <row r="31" spans="1:13" ht="137.25" customHeight="1">
      <c r="A31" s="1685" t="s">
        <v>2410</v>
      </c>
      <c r="B31" s="1685"/>
      <c r="C31" s="1685"/>
      <c r="D31" s="1685"/>
      <c r="E31" s="1685"/>
      <c r="F31" s="1685"/>
      <c r="G31" s="1685"/>
      <c r="H31" s="1685"/>
      <c r="I31" s="1685"/>
      <c r="J31" s="1685"/>
      <c r="K31" s="1685"/>
      <c r="L31" s="1685"/>
      <c r="M31" s="1685"/>
    </row>
    <row r="32" spans="1:13" ht="141" customHeight="1">
      <c r="A32" s="1685" t="s">
        <v>2411</v>
      </c>
      <c r="B32" s="1685"/>
      <c r="C32" s="1685"/>
      <c r="D32" s="1685"/>
      <c r="E32" s="1685"/>
      <c r="F32" s="1685"/>
      <c r="G32" s="1685"/>
      <c r="H32" s="1685"/>
      <c r="I32" s="1685"/>
      <c r="J32" s="1685"/>
      <c r="K32" s="1685"/>
      <c r="L32" s="1685"/>
      <c r="M32" s="1685"/>
    </row>
    <row r="33" spans="1:13" ht="119.25" customHeight="1">
      <c r="A33" s="1685" t="s">
        <v>2412</v>
      </c>
      <c r="B33" s="1685"/>
      <c r="C33" s="1685"/>
      <c r="D33" s="1685"/>
      <c r="E33" s="1685"/>
      <c r="F33" s="1685"/>
      <c r="G33" s="1685"/>
      <c r="H33" s="1685"/>
      <c r="I33" s="1685"/>
      <c r="J33" s="1685"/>
      <c r="K33" s="1685"/>
      <c r="L33" s="1685"/>
      <c r="M33" s="1685"/>
    </row>
    <row r="34" spans="1:13" ht="47.25" customHeight="1">
      <c r="A34" s="1685" t="s">
        <v>2413</v>
      </c>
      <c r="B34" s="1685"/>
      <c r="C34" s="1685"/>
      <c r="D34" s="1685"/>
      <c r="E34" s="1685"/>
      <c r="F34" s="1685"/>
      <c r="G34" s="1685"/>
      <c r="H34" s="1685"/>
      <c r="I34" s="1685"/>
      <c r="J34" s="1685"/>
      <c r="K34" s="1685"/>
      <c r="L34" s="1685"/>
      <c r="M34" s="1685"/>
    </row>
    <row r="35" spans="1:13" ht="24" customHeight="1">
      <c r="A35" s="1685" t="s">
        <v>2414</v>
      </c>
      <c r="B35" s="1685"/>
      <c r="C35" s="1685"/>
      <c r="D35" s="1685"/>
      <c r="E35" s="1685"/>
      <c r="F35" s="1685"/>
      <c r="G35" s="1685"/>
      <c r="H35" s="1685"/>
      <c r="I35" s="1685"/>
      <c r="J35" s="1685"/>
      <c r="K35" s="1685"/>
      <c r="L35" s="1685"/>
      <c r="M35" s="1685"/>
    </row>
    <row r="36" spans="1:13" ht="12.75" customHeight="1">
      <c r="A36" s="1686" t="s">
        <v>3531</v>
      </c>
      <c r="B36" s="1686"/>
      <c r="C36" s="1686"/>
      <c r="D36" s="1686"/>
      <c r="E36" s="1686"/>
      <c r="F36" s="1686"/>
      <c r="G36" s="1686"/>
      <c r="H36" s="1686"/>
      <c r="I36" s="1686"/>
      <c r="J36" s="1686"/>
      <c r="K36" s="1686"/>
      <c r="L36" s="1686"/>
      <c r="M36" s="1686"/>
    </row>
    <row r="37" spans="1:13" ht="24" customHeight="1">
      <c r="A37" s="1687" t="s">
        <v>2416</v>
      </c>
      <c r="B37" s="1687"/>
      <c r="C37" s="1687"/>
      <c r="D37" s="1687"/>
      <c r="E37" s="1687"/>
      <c r="F37" s="1687"/>
      <c r="G37" s="1687"/>
      <c r="H37" s="1687"/>
      <c r="I37" s="1687"/>
      <c r="J37" s="1687"/>
      <c r="K37" s="1687"/>
      <c r="L37" s="1687"/>
      <c r="M37" s="1687"/>
    </row>
    <row r="38" spans="1:13" ht="36.75" customHeight="1">
      <c r="A38" s="1687" t="s">
        <v>2417</v>
      </c>
      <c r="B38" s="1687"/>
      <c r="C38" s="1687"/>
      <c r="D38" s="1687"/>
      <c r="E38" s="1687"/>
      <c r="F38" s="1687"/>
      <c r="G38" s="1687"/>
      <c r="H38" s="1687"/>
      <c r="I38" s="1687"/>
      <c r="J38" s="1687"/>
      <c r="K38" s="1687"/>
      <c r="L38" s="1687"/>
      <c r="M38" s="1687"/>
    </row>
    <row r="39" spans="1:13" ht="24" customHeight="1">
      <c r="A39" s="1687" t="s">
        <v>2418</v>
      </c>
      <c r="B39" s="1687"/>
      <c r="C39" s="1687"/>
      <c r="D39" s="1687"/>
      <c r="E39" s="1687"/>
      <c r="F39" s="1687"/>
      <c r="G39" s="1687"/>
      <c r="H39" s="1687"/>
      <c r="I39" s="1687"/>
      <c r="J39" s="1687"/>
      <c r="K39" s="1687"/>
      <c r="L39" s="1687"/>
      <c r="M39" s="1687"/>
    </row>
    <row r="40" spans="1:13" ht="24" customHeight="1">
      <c r="A40" s="1687" t="s">
        <v>2419</v>
      </c>
      <c r="B40" s="1687"/>
      <c r="C40" s="1687"/>
      <c r="D40" s="1687"/>
      <c r="E40" s="1687"/>
      <c r="F40" s="1687"/>
      <c r="G40" s="1687"/>
      <c r="H40" s="1687"/>
      <c r="I40" s="1687"/>
      <c r="J40" s="1687"/>
      <c r="K40" s="1687"/>
      <c r="L40" s="1687"/>
      <c r="M40" s="1687"/>
    </row>
    <row r="41" spans="1:13" ht="24" customHeight="1">
      <c r="A41" s="1687" t="s">
        <v>2420</v>
      </c>
      <c r="B41" s="1687"/>
      <c r="C41" s="1687"/>
      <c r="D41" s="1687"/>
      <c r="E41" s="1687"/>
      <c r="F41" s="1687"/>
      <c r="G41" s="1687"/>
      <c r="H41" s="1687"/>
      <c r="I41" s="1687"/>
      <c r="J41" s="1687"/>
      <c r="K41" s="1687"/>
      <c r="L41" s="1687"/>
      <c r="M41" s="1687"/>
    </row>
    <row r="42" spans="1:13" ht="36" customHeight="1">
      <c r="A42" s="1687" t="s">
        <v>2421</v>
      </c>
      <c r="B42" s="1687"/>
      <c r="C42" s="1687"/>
      <c r="D42" s="1687"/>
      <c r="E42" s="1687"/>
      <c r="F42" s="1687"/>
      <c r="G42" s="1687"/>
      <c r="H42" s="1687"/>
      <c r="I42" s="1687"/>
      <c r="J42" s="1687"/>
      <c r="K42" s="1687"/>
      <c r="L42" s="1687"/>
      <c r="M42" s="1687"/>
    </row>
    <row r="43" spans="1:13" ht="24" customHeight="1">
      <c r="A43" s="1687" t="s">
        <v>2422</v>
      </c>
      <c r="B43" s="1687"/>
      <c r="C43" s="1687"/>
      <c r="D43" s="1687"/>
      <c r="E43" s="1687"/>
      <c r="F43" s="1687"/>
      <c r="G43" s="1687"/>
      <c r="H43" s="1687"/>
      <c r="I43" s="1687"/>
      <c r="J43" s="1687"/>
      <c r="K43" s="1687"/>
      <c r="L43" s="1687"/>
      <c r="M43" s="1687"/>
    </row>
    <row r="44" spans="1:13" ht="24" customHeight="1">
      <c r="A44" s="1687" t="s">
        <v>2423</v>
      </c>
      <c r="B44" s="1687"/>
      <c r="C44" s="1687"/>
      <c r="D44" s="1687"/>
      <c r="E44" s="1687"/>
      <c r="F44" s="1687"/>
      <c r="G44" s="1687"/>
      <c r="H44" s="1687"/>
      <c r="I44" s="1687"/>
      <c r="J44" s="1687"/>
      <c r="K44" s="1687"/>
      <c r="L44" s="1687"/>
      <c r="M44" s="1687"/>
    </row>
    <row r="45" spans="1:13" ht="24" customHeight="1">
      <c r="A45" s="1687" t="s">
        <v>2424</v>
      </c>
      <c r="B45" s="1687"/>
      <c r="C45" s="1687"/>
      <c r="D45" s="1687"/>
      <c r="E45" s="1687"/>
      <c r="F45" s="1687"/>
      <c r="G45" s="1687"/>
      <c r="H45" s="1687"/>
      <c r="I45" s="1687"/>
      <c r="J45" s="1687"/>
      <c r="K45" s="1687"/>
      <c r="L45" s="1687"/>
      <c r="M45" s="1687"/>
    </row>
    <row r="46" spans="1:13" ht="12.75" customHeight="1">
      <c r="A46" s="1687" t="s">
        <v>2425</v>
      </c>
      <c r="B46" s="1687"/>
      <c r="C46" s="1687"/>
      <c r="D46" s="1687"/>
      <c r="E46" s="1687"/>
      <c r="F46" s="1687"/>
      <c r="G46" s="1687"/>
      <c r="H46" s="1687"/>
      <c r="I46" s="1687"/>
      <c r="J46" s="1687"/>
      <c r="K46" s="1687"/>
      <c r="L46" s="1687"/>
      <c r="M46" s="1687"/>
    </row>
    <row r="47" spans="1:13" ht="48" customHeight="1">
      <c r="A47" s="1687" t="s">
        <v>2426</v>
      </c>
      <c r="B47" s="1687"/>
      <c r="C47" s="1687"/>
      <c r="D47" s="1687"/>
      <c r="E47" s="1687"/>
      <c r="F47" s="1687"/>
      <c r="G47" s="1687"/>
      <c r="H47" s="1687"/>
      <c r="I47" s="1687"/>
      <c r="J47" s="1687"/>
      <c r="K47" s="1687"/>
      <c r="L47" s="1687"/>
      <c r="M47" s="1687"/>
    </row>
    <row r="48" spans="1:13" ht="24" customHeight="1">
      <c r="A48" s="1687" t="s">
        <v>2427</v>
      </c>
      <c r="B48" s="1687"/>
      <c r="C48" s="1687"/>
      <c r="D48" s="1687"/>
      <c r="E48" s="1687"/>
      <c r="F48" s="1687"/>
      <c r="G48" s="1687"/>
      <c r="H48" s="1687"/>
      <c r="I48" s="1687"/>
      <c r="J48" s="1687"/>
      <c r="K48" s="1687"/>
      <c r="L48" s="1687"/>
      <c r="M48" s="1687"/>
    </row>
    <row r="49" spans="1:13" ht="24" customHeight="1">
      <c r="A49" s="1687" t="s">
        <v>2428</v>
      </c>
      <c r="B49" s="1687"/>
      <c r="C49" s="1687"/>
      <c r="D49" s="1687"/>
      <c r="E49" s="1687"/>
      <c r="F49" s="1687"/>
      <c r="G49" s="1687"/>
      <c r="H49" s="1687"/>
      <c r="I49" s="1687"/>
      <c r="J49" s="1687"/>
      <c r="K49" s="1687"/>
      <c r="L49" s="1687"/>
      <c r="M49" s="1687"/>
    </row>
    <row r="50" spans="1:13" ht="36" customHeight="1">
      <c r="A50" s="1687" t="s">
        <v>2429</v>
      </c>
      <c r="B50" s="1687"/>
      <c r="C50" s="1687"/>
      <c r="D50" s="1687"/>
      <c r="E50" s="1687"/>
      <c r="F50" s="1687"/>
      <c r="G50" s="1687"/>
      <c r="H50" s="1687"/>
      <c r="I50" s="1687"/>
      <c r="J50" s="1687"/>
      <c r="K50" s="1687"/>
      <c r="L50" s="1687"/>
      <c r="M50" s="1687"/>
    </row>
    <row r="51" spans="1:13" ht="36" customHeight="1">
      <c r="A51" s="1687" t="s">
        <v>2430</v>
      </c>
      <c r="B51" s="1687"/>
      <c r="C51" s="1687"/>
      <c r="D51" s="1687"/>
      <c r="E51" s="1687"/>
      <c r="F51" s="1687"/>
      <c r="G51" s="1687"/>
      <c r="H51" s="1687"/>
      <c r="I51" s="1687"/>
      <c r="J51" s="1687"/>
      <c r="K51" s="1687"/>
      <c r="L51" s="1687"/>
      <c r="M51" s="1687"/>
    </row>
    <row r="52" spans="1:13" ht="24" customHeight="1">
      <c r="A52" s="1687" t="s">
        <v>2431</v>
      </c>
      <c r="B52" s="1687"/>
      <c r="C52" s="1687"/>
      <c r="D52" s="1687"/>
      <c r="E52" s="1687"/>
      <c r="F52" s="1687"/>
      <c r="G52" s="1687"/>
      <c r="H52" s="1687"/>
      <c r="I52" s="1687"/>
      <c r="J52" s="1687"/>
      <c r="K52" s="1687"/>
      <c r="L52" s="1687"/>
      <c r="M52" s="1687"/>
    </row>
    <row r="53" spans="1:13" ht="36" customHeight="1">
      <c r="A53" s="1687" t="s">
        <v>2432</v>
      </c>
      <c r="B53" s="1687"/>
      <c r="C53" s="1687"/>
      <c r="D53" s="1687"/>
      <c r="E53" s="1687"/>
      <c r="F53" s="1687"/>
      <c r="G53" s="1687"/>
      <c r="H53" s="1687"/>
      <c r="I53" s="1687"/>
      <c r="J53" s="1687"/>
      <c r="K53" s="1687"/>
      <c r="L53" s="1687"/>
      <c r="M53" s="1687"/>
    </row>
    <row r="54" spans="1:13" ht="24" customHeight="1">
      <c r="A54" s="1687" t="s">
        <v>2433</v>
      </c>
      <c r="B54" s="1687"/>
      <c r="C54" s="1687"/>
      <c r="D54" s="1687"/>
      <c r="E54" s="1687"/>
      <c r="F54" s="1687"/>
      <c r="G54" s="1687"/>
      <c r="H54" s="1687"/>
      <c r="I54" s="1687"/>
      <c r="J54" s="1687"/>
      <c r="K54" s="1687"/>
      <c r="L54" s="1687"/>
      <c r="M54" s="1687"/>
    </row>
    <row r="55" spans="1:13" ht="24" customHeight="1">
      <c r="A55" s="1687" t="s">
        <v>2434</v>
      </c>
      <c r="B55" s="1687"/>
      <c r="C55" s="1687"/>
      <c r="D55" s="1687"/>
      <c r="E55" s="1687"/>
      <c r="F55" s="1687"/>
      <c r="G55" s="1687"/>
      <c r="H55" s="1687"/>
      <c r="I55" s="1687"/>
      <c r="J55" s="1687"/>
      <c r="K55" s="1687"/>
      <c r="L55" s="1687"/>
      <c r="M55" s="1687"/>
    </row>
    <row r="56" spans="1:13" ht="24" customHeight="1">
      <c r="A56" s="1687" t="s">
        <v>2435</v>
      </c>
      <c r="B56" s="1687"/>
      <c r="C56" s="1687"/>
      <c r="D56" s="1687"/>
      <c r="E56" s="1687"/>
      <c r="F56" s="1687"/>
      <c r="G56" s="1687"/>
      <c r="H56" s="1687"/>
      <c r="I56" s="1687"/>
      <c r="J56" s="1687"/>
      <c r="K56" s="1687"/>
      <c r="L56" s="1687"/>
      <c r="M56" s="1687"/>
    </row>
    <row r="57" spans="1:13" ht="24" customHeight="1">
      <c r="A57" s="1687" t="s">
        <v>2436</v>
      </c>
      <c r="B57" s="1687"/>
      <c r="C57" s="1687"/>
      <c r="D57" s="1687"/>
      <c r="E57" s="1687"/>
      <c r="F57" s="1687"/>
      <c r="G57" s="1687"/>
      <c r="H57" s="1687"/>
      <c r="I57" s="1687"/>
      <c r="J57" s="1687"/>
      <c r="K57" s="1687"/>
      <c r="L57" s="1687"/>
      <c r="M57" s="1687"/>
    </row>
    <row r="58" spans="1:13" ht="24" customHeight="1">
      <c r="A58" s="1687" t="s">
        <v>2437</v>
      </c>
      <c r="B58" s="1687"/>
      <c r="C58" s="1687"/>
      <c r="D58" s="1687"/>
      <c r="E58" s="1687"/>
      <c r="F58" s="1687"/>
      <c r="G58" s="1687"/>
      <c r="H58" s="1687"/>
      <c r="I58" s="1687"/>
      <c r="J58" s="1687"/>
      <c r="K58" s="1687"/>
      <c r="L58" s="1687"/>
      <c r="M58" s="1687"/>
    </row>
    <row r="59" spans="1:13" ht="24" customHeight="1">
      <c r="A59" s="1687" t="s">
        <v>2438</v>
      </c>
      <c r="B59" s="1687"/>
      <c r="C59" s="1687"/>
      <c r="D59" s="1687"/>
      <c r="E59" s="1687"/>
      <c r="F59" s="1687"/>
      <c r="G59" s="1687"/>
      <c r="H59" s="1687"/>
      <c r="I59" s="1687"/>
      <c r="J59" s="1687"/>
      <c r="K59" s="1687"/>
      <c r="L59" s="1687"/>
      <c r="M59" s="1687"/>
    </row>
    <row r="60" spans="1:13" ht="48" customHeight="1">
      <c r="A60" s="1687" t="s">
        <v>2439</v>
      </c>
      <c r="B60" s="1687"/>
      <c r="C60" s="1687"/>
      <c r="D60" s="1687"/>
      <c r="E60" s="1687"/>
      <c r="F60" s="1687"/>
      <c r="G60" s="1687"/>
      <c r="H60" s="1687"/>
      <c r="I60" s="1687"/>
      <c r="J60" s="1687"/>
      <c r="K60" s="1687"/>
      <c r="L60" s="1687"/>
      <c r="M60" s="1687"/>
    </row>
    <row r="61" spans="1:13" ht="54.75" customHeight="1">
      <c r="A61" s="1687" t="s">
        <v>2440</v>
      </c>
      <c r="B61" s="1687"/>
      <c r="C61" s="1687"/>
      <c r="D61" s="1687"/>
      <c r="E61" s="1687"/>
      <c r="F61" s="1687"/>
      <c r="G61" s="1687"/>
      <c r="H61" s="1687"/>
      <c r="I61" s="1687"/>
      <c r="J61" s="1687"/>
      <c r="K61" s="1687"/>
      <c r="L61" s="1687"/>
      <c r="M61" s="1687"/>
    </row>
    <row r="62" spans="1:13" ht="48" customHeight="1">
      <c r="A62" s="1687" t="s">
        <v>2441</v>
      </c>
      <c r="B62" s="1687"/>
      <c r="C62" s="1687"/>
      <c r="D62" s="1687"/>
      <c r="E62" s="1687"/>
      <c r="F62" s="1687"/>
      <c r="G62" s="1687"/>
      <c r="H62" s="1687"/>
      <c r="I62" s="1687"/>
      <c r="J62" s="1687"/>
      <c r="K62" s="1687"/>
      <c r="L62" s="1687"/>
      <c r="M62" s="1687"/>
    </row>
    <row r="63" spans="1:13" ht="12.75" customHeight="1">
      <c r="A63" s="1687" t="s">
        <v>2442</v>
      </c>
      <c r="B63" s="1687"/>
      <c r="C63" s="1687"/>
      <c r="D63" s="1687"/>
      <c r="E63" s="1687"/>
      <c r="F63" s="1687"/>
      <c r="G63" s="1687"/>
      <c r="H63" s="1687"/>
      <c r="I63" s="1687"/>
      <c r="J63" s="1687"/>
      <c r="K63" s="1687"/>
      <c r="L63" s="1687"/>
      <c r="M63" s="1687"/>
    </row>
    <row r="64" spans="1:13" ht="12.75" customHeight="1">
      <c r="A64" s="1687" t="s">
        <v>2443</v>
      </c>
      <c r="B64" s="1687"/>
      <c r="C64" s="1687"/>
      <c r="D64" s="1687"/>
      <c r="E64" s="1687"/>
      <c r="F64" s="1687"/>
      <c r="G64" s="1687"/>
      <c r="H64" s="1687"/>
      <c r="I64" s="1687"/>
      <c r="J64" s="1687"/>
      <c r="K64" s="1687"/>
      <c r="L64" s="1687"/>
      <c r="M64" s="1687"/>
    </row>
    <row r="65" spans="1:13" ht="36" customHeight="1">
      <c r="A65" s="1687" t="s">
        <v>2444</v>
      </c>
      <c r="B65" s="1687"/>
      <c r="C65" s="1687"/>
      <c r="D65" s="1687"/>
      <c r="E65" s="1687"/>
      <c r="F65" s="1687"/>
      <c r="G65" s="1687"/>
      <c r="H65" s="1687"/>
      <c r="I65" s="1687"/>
      <c r="J65" s="1687"/>
      <c r="K65" s="1687"/>
      <c r="L65" s="1687"/>
      <c r="M65" s="1687"/>
    </row>
    <row r="66" spans="1:13" ht="48" customHeight="1">
      <c r="A66" s="1687" t="s">
        <v>2445</v>
      </c>
      <c r="B66" s="1687"/>
      <c r="C66" s="1687"/>
      <c r="D66" s="1687"/>
      <c r="E66" s="1687"/>
      <c r="F66" s="1687"/>
      <c r="G66" s="1687"/>
      <c r="H66" s="1687"/>
      <c r="I66" s="1687"/>
      <c r="J66" s="1687"/>
      <c r="K66" s="1687"/>
      <c r="L66" s="1687"/>
      <c r="M66" s="1687"/>
    </row>
    <row r="67" spans="1:13" ht="36" customHeight="1">
      <c r="A67" s="1687" t="s">
        <v>2446</v>
      </c>
      <c r="B67" s="1687"/>
      <c r="C67" s="1687"/>
      <c r="D67" s="1687"/>
      <c r="E67" s="1687"/>
      <c r="F67" s="1687"/>
      <c r="G67" s="1687"/>
      <c r="H67" s="1687"/>
      <c r="I67" s="1687"/>
      <c r="J67" s="1687"/>
      <c r="K67" s="1687"/>
      <c r="L67" s="1687"/>
      <c r="M67" s="1687"/>
    </row>
    <row r="68" spans="1:13" ht="60" customHeight="1">
      <c r="A68" s="1687" t="s">
        <v>2447</v>
      </c>
      <c r="B68" s="1687"/>
      <c r="C68" s="1687"/>
      <c r="D68" s="1687"/>
      <c r="E68" s="1687"/>
      <c r="F68" s="1687"/>
      <c r="G68" s="1687"/>
      <c r="H68" s="1687"/>
      <c r="I68" s="1687"/>
      <c r="J68" s="1687"/>
      <c r="K68" s="1687"/>
      <c r="L68" s="1687"/>
      <c r="M68" s="1687"/>
    </row>
    <row r="69" spans="1:13" ht="24" customHeight="1">
      <c r="A69" s="1687" t="s">
        <v>2448</v>
      </c>
      <c r="B69" s="1687"/>
      <c r="C69" s="1687"/>
      <c r="D69" s="1687"/>
      <c r="E69" s="1687"/>
      <c r="F69" s="1687"/>
      <c r="G69" s="1687"/>
      <c r="H69" s="1687"/>
      <c r="I69" s="1687"/>
      <c r="J69" s="1687"/>
      <c r="K69" s="1687"/>
      <c r="L69" s="1687"/>
      <c r="M69" s="1687"/>
    </row>
    <row r="70" spans="1:13" ht="24" customHeight="1">
      <c r="A70" s="1687" t="s">
        <v>2449</v>
      </c>
      <c r="B70" s="1687"/>
      <c r="C70" s="1687"/>
      <c r="D70" s="1687"/>
      <c r="E70" s="1687"/>
      <c r="F70" s="1687"/>
      <c r="G70" s="1687"/>
      <c r="H70" s="1687"/>
      <c r="I70" s="1687"/>
      <c r="J70" s="1687"/>
      <c r="K70" s="1687"/>
      <c r="L70" s="1687"/>
      <c r="M70" s="1687"/>
    </row>
    <row r="71" spans="1:13" ht="48" customHeight="1">
      <c r="A71" s="1687" t="s">
        <v>2450</v>
      </c>
      <c r="B71" s="1687"/>
      <c r="C71" s="1687"/>
      <c r="D71" s="1687"/>
      <c r="E71" s="1687"/>
      <c r="F71" s="1687"/>
      <c r="G71" s="1687"/>
      <c r="H71" s="1687"/>
      <c r="I71" s="1687"/>
      <c r="J71" s="1687"/>
      <c r="K71" s="1687"/>
      <c r="L71" s="1687"/>
      <c r="M71" s="1687"/>
    </row>
    <row r="72" spans="1:13" ht="34.5" customHeight="1">
      <c r="A72" s="1687" t="s">
        <v>2451</v>
      </c>
      <c r="B72" s="1687"/>
      <c r="C72" s="1687"/>
      <c r="D72" s="1687"/>
      <c r="E72" s="1687"/>
      <c r="F72" s="1687"/>
      <c r="G72" s="1687"/>
      <c r="H72" s="1687"/>
      <c r="I72" s="1687"/>
      <c r="J72" s="1687"/>
      <c r="K72" s="1687"/>
      <c r="L72" s="1687"/>
      <c r="M72" s="1687"/>
    </row>
    <row r="73" spans="1:13" ht="12.75" customHeight="1">
      <c r="A73" s="1687" t="s">
        <v>2452</v>
      </c>
      <c r="B73" s="1687"/>
      <c r="C73" s="1687"/>
      <c r="D73" s="1687"/>
      <c r="E73" s="1687"/>
      <c r="F73" s="1687"/>
      <c r="G73" s="1687"/>
      <c r="H73" s="1687"/>
      <c r="I73" s="1687"/>
      <c r="J73" s="1687"/>
      <c r="K73" s="1687"/>
      <c r="L73" s="1687"/>
      <c r="M73" s="1687"/>
    </row>
    <row r="74" spans="1:13" ht="24" customHeight="1">
      <c r="A74" s="1687" t="s">
        <v>2453</v>
      </c>
      <c r="B74" s="1687"/>
      <c r="C74" s="1687"/>
      <c r="D74" s="1687"/>
      <c r="E74" s="1687"/>
      <c r="F74" s="1687"/>
      <c r="G74" s="1687"/>
      <c r="H74" s="1687"/>
      <c r="I74" s="1687"/>
      <c r="J74" s="1687"/>
      <c r="K74" s="1687"/>
      <c r="L74" s="1687"/>
      <c r="M74" s="1687"/>
    </row>
    <row r="75" spans="1:13" ht="60" customHeight="1">
      <c r="A75" s="1687" t="s">
        <v>2454</v>
      </c>
      <c r="B75" s="1687"/>
      <c r="C75" s="1687"/>
      <c r="D75" s="1687"/>
      <c r="E75" s="1687"/>
      <c r="F75" s="1687"/>
      <c r="G75" s="1687"/>
      <c r="H75" s="1687"/>
      <c r="I75" s="1687"/>
      <c r="J75" s="1687"/>
      <c r="K75" s="1687"/>
      <c r="L75" s="1687"/>
      <c r="M75" s="1687"/>
    </row>
    <row r="76" spans="1:13" ht="24" customHeight="1">
      <c r="A76" s="1687" t="s">
        <v>2455</v>
      </c>
      <c r="B76" s="1687"/>
      <c r="C76" s="1687"/>
      <c r="D76" s="1687"/>
      <c r="E76" s="1687"/>
      <c r="F76" s="1687"/>
      <c r="G76" s="1687"/>
      <c r="H76" s="1687"/>
      <c r="I76" s="1687"/>
      <c r="J76" s="1687"/>
      <c r="K76" s="1687"/>
      <c r="L76" s="1687"/>
      <c r="M76" s="1687"/>
    </row>
    <row r="77" spans="1:13" ht="12.75" customHeight="1">
      <c r="A77" s="1687" t="s">
        <v>2456</v>
      </c>
      <c r="B77" s="1687"/>
      <c r="C77" s="1687"/>
      <c r="D77" s="1687"/>
      <c r="E77" s="1687"/>
      <c r="F77" s="1687"/>
      <c r="G77" s="1687"/>
      <c r="H77" s="1687"/>
      <c r="I77" s="1687"/>
      <c r="J77" s="1687"/>
      <c r="K77" s="1687"/>
      <c r="L77" s="1687"/>
      <c r="M77" s="1687"/>
    </row>
    <row r="78" spans="1:13" ht="24" customHeight="1">
      <c r="A78" s="1687" t="s">
        <v>2457</v>
      </c>
      <c r="B78" s="1687"/>
      <c r="C78" s="1687"/>
      <c r="D78" s="1687"/>
      <c r="E78" s="1687"/>
      <c r="F78" s="1687"/>
      <c r="G78" s="1687"/>
      <c r="H78" s="1687"/>
      <c r="I78" s="1687"/>
      <c r="J78" s="1687"/>
      <c r="K78" s="1687"/>
      <c r="L78" s="1687"/>
      <c r="M78" s="1687"/>
    </row>
    <row r="79" spans="1:13" ht="12.75" customHeight="1">
      <c r="A79" s="1687" t="s">
        <v>2458</v>
      </c>
      <c r="B79" s="1687"/>
      <c r="C79" s="1687"/>
      <c r="D79" s="1687"/>
      <c r="E79" s="1687"/>
      <c r="F79" s="1687"/>
      <c r="G79" s="1687"/>
      <c r="H79" s="1687"/>
      <c r="I79" s="1687"/>
      <c r="J79" s="1687"/>
      <c r="K79" s="1687"/>
      <c r="L79" s="1687"/>
      <c r="M79" s="1687"/>
    </row>
    <row r="80" spans="1:13" ht="48" customHeight="1">
      <c r="A80" s="1687" t="s">
        <v>2459</v>
      </c>
      <c r="B80" s="1687"/>
      <c r="C80" s="1687"/>
      <c r="D80" s="1687"/>
      <c r="E80" s="1687"/>
      <c r="F80" s="1687"/>
      <c r="G80" s="1687"/>
      <c r="H80" s="1687"/>
      <c r="I80" s="1687"/>
      <c r="J80" s="1687"/>
      <c r="K80" s="1687"/>
      <c r="L80" s="1687"/>
      <c r="M80" s="1687"/>
    </row>
    <row r="81" spans="1:13" ht="24" customHeight="1">
      <c r="A81" s="1687" t="s">
        <v>2460</v>
      </c>
      <c r="B81" s="1687"/>
      <c r="C81" s="1687"/>
      <c r="D81" s="1687"/>
      <c r="E81" s="1687"/>
      <c r="F81" s="1687"/>
      <c r="G81" s="1687"/>
      <c r="H81" s="1687"/>
      <c r="I81" s="1687"/>
      <c r="J81" s="1687"/>
      <c r="K81" s="1687"/>
      <c r="L81" s="1687"/>
      <c r="M81" s="1687"/>
    </row>
    <row r="82" spans="1:13" ht="24" customHeight="1">
      <c r="A82" s="1687" t="s">
        <v>2461</v>
      </c>
      <c r="B82" s="1687"/>
      <c r="C82" s="1687"/>
      <c r="D82" s="1687"/>
      <c r="E82" s="1687"/>
      <c r="F82" s="1687"/>
      <c r="G82" s="1687"/>
      <c r="H82" s="1687"/>
      <c r="I82" s="1687"/>
      <c r="J82" s="1687"/>
      <c r="K82" s="1687"/>
      <c r="L82" s="1687"/>
      <c r="M82" s="1687"/>
    </row>
    <row r="83" spans="1:13" ht="24" customHeight="1">
      <c r="A83" s="1687" t="s">
        <v>2462</v>
      </c>
      <c r="B83" s="1687"/>
      <c r="C83" s="1687"/>
      <c r="D83" s="1687"/>
      <c r="E83" s="1687"/>
      <c r="F83" s="1687"/>
      <c r="G83" s="1687"/>
      <c r="H83" s="1687"/>
      <c r="I83" s="1687"/>
      <c r="J83" s="1687"/>
      <c r="K83" s="1687"/>
      <c r="L83" s="1687"/>
      <c r="M83" s="1687"/>
    </row>
    <row r="84" spans="1:13" ht="24" customHeight="1">
      <c r="A84" s="1687" t="s">
        <v>2463</v>
      </c>
      <c r="B84" s="1687"/>
      <c r="C84" s="1687"/>
      <c r="D84" s="1687"/>
      <c r="E84" s="1687"/>
      <c r="F84" s="1687"/>
      <c r="G84" s="1687"/>
      <c r="H84" s="1687"/>
      <c r="I84" s="1687"/>
      <c r="J84" s="1687"/>
      <c r="K84" s="1687"/>
      <c r="L84" s="1687"/>
      <c r="M84" s="1687"/>
    </row>
    <row r="85" spans="1:13" ht="24" customHeight="1">
      <c r="A85" s="1687" t="s">
        <v>2464</v>
      </c>
      <c r="B85" s="1687"/>
      <c r="C85" s="1687"/>
      <c r="D85" s="1687"/>
      <c r="E85" s="1687"/>
      <c r="F85" s="1687"/>
      <c r="G85" s="1687"/>
      <c r="H85" s="1687"/>
      <c r="I85" s="1687"/>
      <c r="J85" s="1687"/>
      <c r="K85" s="1687"/>
      <c r="L85" s="1687"/>
      <c r="M85" s="1687"/>
    </row>
    <row r="86" spans="1:13" ht="24" customHeight="1">
      <c r="A86" s="1687" t="s">
        <v>2465</v>
      </c>
      <c r="B86" s="1687"/>
      <c r="C86" s="1687"/>
      <c r="D86" s="1687"/>
      <c r="E86" s="1687"/>
      <c r="F86" s="1687"/>
      <c r="G86" s="1687"/>
      <c r="H86" s="1687"/>
      <c r="I86" s="1687"/>
      <c r="J86" s="1687"/>
      <c r="K86" s="1687"/>
      <c r="L86" s="1687"/>
      <c r="M86" s="1687"/>
    </row>
    <row r="87" spans="1:13" ht="24" customHeight="1">
      <c r="A87" s="1687" t="s">
        <v>2466</v>
      </c>
      <c r="B87" s="1687"/>
      <c r="C87" s="1687"/>
      <c r="D87" s="1687"/>
      <c r="E87" s="1687"/>
      <c r="F87" s="1687"/>
      <c r="G87" s="1687"/>
      <c r="H87" s="1687"/>
      <c r="I87" s="1687"/>
      <c r="J87" s="1687"/>
      <c r="K87" s="1687"/>
      <c r="L87" s="1687"/>
      <c r="M87" s="1687"/>
    </row>
    <row r="88" spans="1:13" ht="12.75" customHeight="1">
      <c r="A88" s="1687" t="s">
        <v>2467</v>
      </c>
      <c r="B88" s="1687"/>
      <c r="C88" s="1687"/>
      <c r="D88" s="1687"/>
      <c r="E88" s="1687"/>
      <c r="F88" s="1687"/>
      <c r="G88" s="1687"/>
      <c r="H88" s="1687"/>
      <c r="I88" s="1687"/>
      <c r="J88" s="1687"/>
      <c r="K88" s="1687"/>
      <c r="L88" s="1687"/>
      <c r="M88" s="1687"/>
    </row>
    <row r="89" spans="1:13" ht="24" customHeight="1">
      <c r="A89" s="1687" t="s">
        <v>2468</v>
      </c>
      <c r="B89" s="1687"/>
      <c r="C89" s="1687"/>
      <c r="D89" s="1687"/>
      <c r="E89" s="1687"/>
      <c r="F89" s="1687"/>
      <c r="G89" s="1687"/>
      <c r="H89" s="1687"/>
      <c r="I89" s="1687"/>
      <c r="J89" s="1687"/>
      <c r="K89" s="1687"/>
      <c r="L89" s="1687"/>
      <c r="M89" s="1687"/>
    </row>
    <row r="90" spans="1:13" ht="24" customHeight="1">
      <c r="A90" s="1687" t="s">
        <v>2469</v>
      </c>
      <c r="B90" s="1687"/>
      <c r="C90" s="1687"/>
      <c r="D90" s="1687"/>
      <c r="E90" s="1687"/>
      <c r="F90" s="1687"/>
      <c r="G90" s="1687"/>
      <c r="H90" s="1687"/>
      <c r="I90" s="1687"/>
      <c r="J90" s="1687"/>
      <c r="K90" s="1687"/>
      <c r="L90" s="1687"/>
      <c r="M90" s="1687"/>
    </row>
    <row r="91" spans="1:13" ht="24" customHeight="1">
      <c r="A91" s="1687" t="s">
        <v>2470</v>
      </c>
      <c r="B91" s="1687"/>
      <c r="C91" s="1687"/>
      <c r="D91" s="1687"/>
      <c r="E91" s="1687"/>
      <c r="F91" s="1687"/>
      <c r="G91" s="1687"/>
      <c r="H91" s="1687"/>
      <c r="I91" s="1687"/>
      <c r="J91" s="1687"/>
      <c r="K91" s="1687"/>
      <c r="L91" s="1687"/>
      <c r="M91" s="1687"/>
    </row>
    <row r="92" spans="1:13" ht="24" customHeight="1">
      <c r="A92" s="1687" t="s">
        <v>2471</v>
      </c>
      <c r="B92" s="1687"/>
      <c r="C92" s="1687"/>
      <c r="D92" s="1687"/>
      <c r="E92" s="1687"/>
      <c r="F92" s="1687"/>
      <c r="G92" s="1687"/>
      <c r="H92" s="1687"/>
      <c r="I92" s="1687"/>
      <c r="J92" s="1687"/>
      <c r="K92" s="1687"/>
      <c r="L92" s="1687"/>
      <c r="M92" s="1687"/>
    </row>
    <row r="93" spans="1:13" ht="36" customHeight="1">
      <c r="A93" s="1687" t="s">
        <v>2472</v>
      </c>
      <c r="B93" s="1687"/>
      <c r="C93" s="1687"/>
      <c r="D93" s="1687"/>
      <c r="E93" s="1687"/>
      <c r="F93" s="1687"/>
      <c r="G93" s="1687"/>
      <c r="H93" s="1687"/>
      <c r="I93" s="1687"/>
      <c r="J93" s="1687"/>
      <c r="K93" s="1687"/>
      <c r="L93" s="1687"/>
      <c r="M93" s="1687"/>
    </row>
    <row r="94" spans="1:13" ht="36" customHeight="1">
      <c r="A94" s="1687" t="s">
        <v>2473</v>
      </c>
      <c r="B94" s="1687"/>
      <c r="C94" s="1687"/>
      <c r="D94" s="1687"/>
      <c r="E94" s="1687"/>
      <c r="F94" s="1687"/>
      <c r="G94" s="1687"/>
      <c r="H94" s="1687"/>
      <c r="I94" s="1687"/>
      <c r="J94" s="1687"/>
      <c r="K94" s="1687"/>
      <c r="L94" s="1687"/>
      <c r="M94" s="1687"/>
    </row>
    <row r="95" spans="1:13" ht="24" customHeight="1">
      <c r="A95" s="1687" t="s">
        <v>2474</v>
      </c>
      <c r="B95" s="1687"/>
      <c r="C95" s="1687"/>
      <c r="D95" s="1687"/>
      <c r="E95" s="1687"/>
      <c r="F95" s="1687"/>
      <c r="G95" s="1687"/>
      <c r="H95" s="1687"/>
      <c r="I95" s="1687"/>
      <c r="J95" s="1687"/>
      <c r="K95" s="1687"/>
      <c r="L95" s="1687"/>
      <c r="M95" s="1687"/>
    </row>
    <row r="96" spans="1:13" ht="24" customHeight="1">
      <c r="A96" s="1687" t="s">
        <v>2475</v>
      </c>
      <c r="B96" s="1687"/>
      <c r="C96" s="1687"/>
      <c r="D96" s="1687"/>
      <c r="E96" s="1687"/>
      <c r="F96" s="1687"/>
      <c r="G96" s="1687"/>
      <c r="H96" s="1687"/>
      <c r="I96" s="1687"/>
      <c r="J96" s="1687"/>
      <c r="K96" s="1687"/>
      <c r="L96" s="1687"/>
      <c r="M96" s="1687"/>
    </row>
    <row r="97" spans="1:13" ht="60" customHeight="1">
      <c r="A97" s="1687" t="s">
        <v>2476</v>
      </c>
      <c r="B97" s="1687"/>
      <c r="C97" s="1687"/>
      <c r="D97" s="1687"/>
      <c r="E97" s="1687"/>
      <c r="F97" s="1687"/>
      <c r="G97" s="1687"/>
      <c r="H97" s="1687"/>
      <c r="I97" s="1687"/>
      <c r="J97" s="1687"/>
      <c r="K97" s="1687"/>
      <c r="L97" s="1687"/>
      <c r="M97" s="1687"/>
    </row>
    <row r="98" spans="1:13" ht="12.75" customHeight="1">
      <c r="A98" s="1687" t="s">
        <v>2477</v>
      </c>
      <c r="B98" s="1687"/>
      <c r="C98" s="1687"/>
      <c r="D98" s="1687"/>
      <c r="E98" s="1687"/>
      <c r="F98" s="1687"/>
      <c r="G98" s="1687"/>
      <c r="H98" s="1687"/>
      <c r="I98" s="1687"/>
      <c r="J98" s="1687"/>
      <c r="K98" s="1687"/>
      <c r="L98" s="1687"/>
      <c r="M98" s="1687"/>
    </row>
    <row r="99" spans="1:13" ht="24" customHeight="1">
      <c r="A99" s="1730" t="s">
        <v>2478</v>
      </c>
      <c r="B99" s="1730"/>
      <c r="C99" s="1730"/>
      <c r="D99" s="1730"/>
      <c r="E99" s="1730"/>
      <c r="F99" s="1730"/>
      <c r="G99" s="1730"/>
      <c r="H99" s="1730"/>
      <c r="I99" s="1730"/>
      <c r="J99" s="1730"/>
      <c r="K99" s="1730"/>
      <c r="L99" s="1730"/>
      <c r="M99" s="1730"/>
    </row>
    <row r="100" spans="1:13" ht="24" customHeight="1">
      <c r="A100" s="1687" t="s">
        <v>2479</v>
      </c>
      <c r="B100" s="1687"/>
      <c r="C100" s="1687"/>
      <c r="D100" s="1687"/>
      <c r="E100" s="1687"/>
      <c r="F100" s="1687"/>
      <c r="G100" s="1687"/>
      <c r="H100" s="1687"/>
      <c r="I100" s="1687"/>
      <c r="J100" s="1687"/>
      <c r="K100" s="1687"/>
      <c r="L100" s="1687"/>
      <c r="M100" s="1687"/>
    </row>
    <row r="101" spans="1:13" ht="24" customHeight="1">
      <c r="A101" s="1687" t="s">
        <v>2480</v>
      </c>
      <c r="B101" s="1687"/>
      <c r="C101" s="1687"/>
      <c r="D101" s="1687"/>
      <c r="E101" s="1687"/>
      <c r="F101" s="1687"/>
      <c r="G101" s="1687"/>
      <c r="H101" s="1687"/>
      <c r="I101" s="1687"/>
      <c r="J101" s="1687"/>
      <c r="K101" s="1687"/>
      <c r="L101" s="1687"/>
      <c r="M101" s="1687"/>
    </row>
    <row r="102" spans="1:13" ht="36" customHeight="1">
      <c r="A102" s="1687" t="s">
        <v>2481</v>
      </c>
      <c r="B102" s="1687"/>
      <c r="C102" s="1687"/>
      <c r="D102" s="1687"/>
      <c r="E102" s="1687"/>
      <c r="F102" s="1687"/>
      <c r="G102" s="1687"/>
      <c r="H102" s="1687"/>
      <c r="I102" s="1687"/>
      <c r="J102" s="1687"/>
      <c r="K102" s="1687"/>
      <c r="L102" s="1687"/>
      <c r="M102" s="1687"/>
    </row>
    <row r="103" spans="1:13" ht="24" customHeight="1">
      <c r="A103" s="1687" t="s">
        <v>2482</v>
      </c>
      <c r="B103" s="1687"/>
      <c r="C103" s="1687"/>
      <c r="D103" s="1687"/>
      <c r="E103" s="1687"/>
      <c r="F103" s="1687"/>
      <c r="G103" s="1687"/>
      <c r="H103" s="1687"/>
      <c r="I103" s="1687"/>
      <c r="J103" s="1687"/>
      <c r="K103" s="1687"/>
      <c r="L103" s="1687"/>
      <c r="M103" s="1687"/>
    </row>
    <row r="104" spans="1:13" ht="36" customHeight="1">
      <c r="A104" s="1687" t="s">
        <v>2483</v>
      </c>
      <c r="B104" s="1687"/>
      <c r="C104" s="1687"/>
      <c r="D104" s="1687"/>
      <c r="E104" s="1687"/>
      <c r="F104" s="1687"/>
      <c r="G104" s="1687"/>
      <c r="H104" s="1687"/>
      <c r="I104" s="1687"/>
      <c r="J104" s="1687"/>
      <c r="K104" s="1687"/>
      <c r="L104" s="1687"/>
      <c r="M104" s="1687"/>
    </row>
    <row r="105" spans="1:13" ht="86.25" customHeight="1">
      <c r="A105" s="1687" t="s">
        <v>2484</v>
      </c>
      <c r="B105" s="1687"/>
      <c r="C105" s="1687"/>
      <c r="D105" s="1687"/>
      <c r="E105" s="1687"/>
      <c r="F105" s="1687"/>
      <c r="G105" s="1687"/>
      <c r="H105" s="1687"/>
      <c r="I105" s="1687"/>
      <c r="J105" s="1687"/>
      <c r="K105" s="1687"/>
      <c r="L105" s="1687"/>
      <c r="M105" s="1687"/>
    </row>
    <row r="106" spans="1:13" ht="36" customHeight="1">
      <c r="A106" s="1687" t="s">
        <v>2485</v>
      </c>
      <c r="B106" s="1687"/>
      <c r="C106" s="1687"/>
      <c r="D106" s="1687"/>
      <c r="E106" s="1687"/>
      <c r="F106" s="1687"/>
      <c r="G106" s="1687"/>
      <c r="H106" s="1687"/>
      <c r="I106" s="1687"/>
      <c r="J106" s="1687"/>
      <c r="K106" s="1687"/>
      <c r="L106" s="1687"/>
      <c r="M106" s="1687"/>
    </row>
    <row r="107" spans="1:13" ht="12.75" customHeight="1">
      <c r="A107" s="1687" t="s">
        <v>2486</v>
      </c>
      <c r="B107" s="1687"/>
      <c r="C107" s="1687"/>
      <c r="D107" s="1687"/>
      <c r="E107" s="1687"/>
      <c r="F107" s="1687"/>
      <c r="G107" s="1687"/>
      <c r="H107" s="1687"/>
      <c r="I107" s="1687"/>
      <c r="J107" s="1687"/>
      <c r="K107" s="1687"/>
      <c r="L107" s="1687"/>
      <c r="M107" s="1687"/>
    </row>
    <row r="108" spans="1:13" ht="24" customHeight="1">
      <c r="A108" s="1687" t="s">
        <v>2487</v>
      </c>
      <c r="B108" s="1687"/>
      <c r="C108" s="1687"/>
      <c r="D108" s="1687"/>
      <c r="E108" s="1687"/>
      <c r="F108" s="1687"/>
      <c r="G108" s="1687"/>
      <c r="H108" s="1687"/>
      <c r="I108" s="1687"/>
      <c r="J108" s="1687"/>
      <c r="K108" s="1687"/>
      <c r="L108" s="1687"/>
      <c r="M108" s="1687"/>
    </row>
    <row r="109" spans="1:13" ht="24" customHeight="1">
      <c r="A109" s="1687" t="s">
        <v>2488</v>
      </c>
      <c r="B109" s="1687"/>
      <c r="C109" s="1687"/>
      <c r="D109" s="1687"/>
      <c r="E109" s="1687"/>
      <c r="F109" s="1687"/>
      <c r="G109" s="1687"/>
      <c r="H109" s="1687"/>
      <c r="I109" s="1687"/>
      <c r="J109" s="1687"/>
      <c r="K109" s="1687"/>
      <c r="L109" s="1687"/>
      <c r="M109" s="1687"/>
    </row>
    <row r="110" spans="1:13" ht="36" customHeight="1">
      <c r="A110" s="1687" t="s">
        <v>2489</v>
      </c>
      <c r="B110" s="1687"/>
      <c r="C110" s="1687"/>
      <c r="D110" s="1687"/>
      <c r="E110" s="1687"/>
      <c r="F110" s="1687"/>
      <c r="G110" s="1687"/>
      <c r="H110" s="1687"/>
      <c r="I110" s="1687"/>
      <c r="J110" s="1687"/>
      <c r="K110" s="1687"/>
      <c r="L110" s="1687"/>
      <c r="M110" s="1687"/>
    </row>
    <row r="111" spans="1:13" ht="24" customHeight="1">
      <c r="A111" s="1687" t="s">
        <v>2490</v>
      </c>
      <c r="B111" s="1687"/>
      <c r="C111" s="1687"/>
      <c r="D111" s="1687"/>
      <c r="E111" s="1687"/>
      <c r="F111" s="1687"/>
      <c r="G111" s="1687"/>
      <c r="H111" s="1687"/>
      <c r="I111" s="1687"/>
      <c r="J111" s="1687"/>
      <c r="K111" s="1687"/>
      <c r="L111" s="1687"/>
      <c r="M111" s="1687"/>
    </row>
    <row r="112" spans="1:13" ht="24" customHeight="1">
      <c r="A112" s="1687" t="s">
        <v>2491</v>
      </c>
      <c r="B112" s="1687"/>
      <c r="C112" s="1687"/>
      <c r="D112" s="1687"/>
      <c r="E112" s="1687"/>
      <c r="F112" s="1687"/>
      <c r="G112" s="1687"/>
      <c r="H112" s="1687"/>
      <c r="I112" s="1687"/>
      <c r="J112" s="1687"/>
      <c r="K112" s="1687"/>
      <c r="L112" s="1687"/>
      <c r="M112" s="1687"/>
    </row>
    <row r="113" spans="1:13" ht="36" customHeight="1">
      <c r="A113" s="1687" t="s">
        <v>2492</v>
      </c>
      <c r="B113" s="1687"/>
      <c r="C113" s="1687"/>
      <c r="D113" s="1687"/>
      <c r="E113" s="1687"/>
      <c r="F113" s="1687"/>
      <c r="G113" s="1687"/>
      <c r="H113" s="1687"/>
      <c r="I113" s="1687"/>
      <c r="J113" s="1687"/>
      <c r="K113" s="1687"/>
      <c r="L113" s="1687"/>
      <c r="M113" s="1687"/>
    </row>
    <row r="114" spans="1:13" ht="36" customHeight="1">
      <c r="A114" s="1687" t="s">
        <v>2493</v>
      </c>
      <c r="B114" s="1687"/>
      <c r="C114" s="1687"/>
      <c r="D114" s="1687"/>
      <c r="E114" s="1687"/>
      <c r="F114" s="1687"/>
      <c r="G114" s="1687"/>
      <c r="H114" s="1687"/>
      <c r="I114" s="1687"/>
      <c r="J114" s="1687"/>
      <c r="K114" s="1687"/>
      <c r="L114" s="1687"/>
      <c r="M114" s="1687"/>
    </row>
    <row r="115" spans="1:13" ht="48" customHeight="1">
      <c r="A115" s="1687" t="s">
        <v>2494</v>
      </c>
      <c r="B115" s="1687"/>
      <c r="C115" s="1687"/>
      <c r="D115" s="1687"/>
      <c r="E115" s="1687"/>
      <c r="F115" s="1687"/>
      <c r="G115" s="1687"/>
      <c r="H115" s="1687"/>
      <c r="I115" s="1687"/>
      <c r="J115" s="1687"/>
      <c r="K115" s="1687"/>
      <c r="L115" s="1687"/>
      <c r="M115" s="1687"/>
    </row>
    <row r="116" spans="1:13" ht="36" customHeight="1">
      <c r="A116" s="1687" t="s">
        <v>2495</v>
      </c>
      <c r="B116" s="1687"/>
      <c r="C116" s="1687"/>
      <c r="D116" s="1687"/>
      <c r="E116" s="1687"/>
      <c r="F116" s="1687"/>
      <c r="G116" s="1687"/>
      <c r="H116" s="1687"/>
      <c r="I116" s="1687"/>
      <c r="J116" s="1687"/>
      <c r="K116" s="1687"/>
      <c r="L116" s="1687"/>
      <c r="M116" s="1687"/>
    </row>
    <row r="117" spans="1:13" ht="36" customHeight="1">
      <c r="A117" s="1687" t="s">
        <v>2496</v>
      </c>
      <c r="B117" s="1687"/>
      <c r="C117" s="1687"/>
      <c r="D117" s="1687"/>
      <c r="E117" s="1687"/>
      <c r="F117" s="1687"/>
      <c r="G117" s="1687"/>
      <c r="H117" s="1687"/>
      <c r="I117" s="1687"/>
      <c r="J117" s="1687"/>
      <c r="K117" s="1687"/>
      <c r="L117" s="1687"/>
      <c r="M117" s="1687"/>
    </row>
    <row r="118" spans="1:13" ht="36" customHeight="1">
      <c r="A118" s="1687" t="s">
        <v>2497</v>
      </c>
      <c r="B118" s="1687"/>
      <c r="C118" s="1687"/>
      <c r="D118" s="1687"/>
      <c r="E118" s="1687"/>
      <c r="F118" s="1687"/>
      <c r="G118" s="1687"/>
      <c r="H118" s="1687"/>
      <c r="I118" s="1687"/>
      <c r="J118" s="1687"/>
      <c r="K118" s="1687"/>
      <c r="L118" s="1687"/>
      <c r="M118" s="1687"/>
    </row>
    <row r="119" spans="1:13" ht="36" customHeight="1">
      <c r="A119" s="1687" t="s">
        <v>2498</v>
      </c>
      <c r="B119" s="1687"/>
      <c r="C119" s="1687"/>
      <c r="D119" s="1687"/>
      <c r="E119" s="1687"/>
      <c r="F119" s="1687"/>
      <c r="G119" s="1687"/>
      <c r="H119" s="1687"/>
      <c r="I119" s="1687"/>
      <c r="J119" s="1687"/>
      <c r="K119" s="1687"/>
      <c r="L119" s="1687"/>
      <c r="M119" s="1687"/>
    </row>
    <row r="120" spans="1:13" ht="24" customHeight="1">
      <c r="A120" s="1687" t="s">
        <v>2499</v>
      </c>
      <c r="B120" s="1687"/>
      <c r="C120" s="1687"/>
      <c r="D120" s="1687"/>
      <c r="E120" s="1687"/>
      <c r="F120" s="1687"/>
      <c r="G120" s="1687"/>
      <c r="H120" s="1687"/>
      <c r="I120" s="1687"/>
      <c r="J120" s="1687"/>
      <c r="K120" s="1687"/>
      <c r="L120" s="1687"/>
      <c r="M120" s="1687"/>
    </row>
    <row r="121" spans="1:13" ht="24" customHeight="1">
      <c r="A121" s="1687" t="s">
        <v>2500</v>
      </c>
      <c r="B121" s="1687"/>
      <c r="C121" s="1687"/>
      <c r="D121" s="1687"/>
      <c r="E121" s="1687"/>
      <c r="F121" s="1687"/>
      <c r="G121" s="1687"/>
      <c r="H121" s="1687"/>
      <c r="I121" s="1687"/>
      <c r="J121" s="1687"/>
      <c r="K121" s="1687"/>
      <c r="L121" s="1687"/>
      <c r="M121" s="1687"/>
    </row>
    <row r="122" spans="1:13" ht="24" customHeight="1">
      <c r="A122" s="1687" t="s">
        <v>2501</v>
      </c>
      <c r="B122" s="1687"/>
      <c r="C122" s="1687"/>
      <c r="D122" s="1687"/>
      <c r="E122" s="1687"/>
      <c r="F122" s="1687"/>
      <c r="G122" s="1687"/>
      <c r="H122" s="1687"/>
      <c r="I122" s="1687"/>
      <c r="J122" s="1687"/>
      <c r="K122" s="1687"/>
      <c r="L122" s="1687"/>
      <c r="M122" s="1687"/>
    </row>
    <row r="123" spans="1:13" ht="24" customHeight="1">
      <c r="A123" s="1687" t="s">
        <v>2502</v>
      </c>
      <c r="B123" s="1687"/>
      <c r="C123" s="1687"/>
      <c r="D123" s="1687"/>
      <c r="E123" s="1687"/>
      <c r="F123" s="1687"/>
      <c r="G123" s="1687"/>
      <c r="H123" s="1687"/>
      <c r="I123" s="1687"/>
      <c r="J123" s="1687"/>
      <c r="K123" s="1687"/>
      <c r="L123" s="1687"/>
      <c r="M123" s="1687"/>
    </row>
    <row r="124" spans="1:13" ht="36" customHeight="1">
      <c r="A124" s="1687" t="s">
        <v>2503</v>
      </c>
      <c r="B124" s="1687"/>
      <c r="C124" s="1687"/>
      <c r="D124" s="1687"/>
      <c r="E124" s="1687"/>
      <c r="F124" s="1687"/>
      <c r="G124" s="1687"/>
      <c r="H124" s="1687"/>
      <c r="I124" s="1687"/>
      <c r="J124" s="1687"/>
      <c r="K124" s="1687"/>
      <c r="L124" s="1687"/>
      <c r="M124" s="1687"/>
    </row>
    <row r="125" spans="1:13" ht="36" customHeight="1">
      <c r="A125" s="1687" t="s">
        <v>2504</v>
      </c>
      <c r="B125" s="1687"/>
      <c r="C125" s="1687"/>
      <c r="D125" s="1687"/>
      <c r="E125" s="1687"/>
      <c r="F125" s="1687"/>
      <c r="G125" s="1687"/>
      <c r="H125" s="1687"/>
      <c r="I125" s="1687"/>
      <c r="J125" s="1687"/>
      <c r="K125" s="1687"/>
      <c r="L125" s="1687"/>
      <c r="M125" s="1687"/>
    </row>
    <row r="126" spans="1:13" ht="48" customHeight="1">
      <c r="A126" s="1687" t="s">
        <v>2505</v>
      </c>
      <c r="B126" s="1687"/>
      <c r="C126" s="1687"/>
      <c r="D126" s="1687"/>
      <c r="E126" s="1687"/>
      <c r="F126" s="1687"/>
      <c r="G126" s="1687"/>
      <c r="H126" s="1687"/>
      <c r="I126" s="1687"/>
      <c r="J126" s="1687"/>
      <c r="K126" s="1687"/>
      <c r="L126" s="1687"/>
      <c r="M126" s="1687"/>
    </row>
    <row r="127" spans="1:13" ht="48" customHeight="1">
      <c r="A127" s="1687" t="s">
        <v>2506</v>
      </c>
      <c r="B127" s="1687"/>
      <c r="C127" s="1687"/>
      <c r="D127" s="1687"/>
      <c r="E127" s="1687"/>
      <c r="F127" s="1687"/>
      <c r="G127" s="1687"/>
      <c r="H127" s="1687"/>
      <c r="I127" s="1687"/>
      <c r="J127" s="1687"/>
      <c r="K127" s="1687"/>
      <c r="L127" s="1687"/>
      <c r="M127" s="1687"/>
    </row>
    <row r="128" spans="1:13" ht="36" customHeight="1">
      <c r="A128" s="1687" t="s">
        <v>2507</v>
      </c>
      <c r="B128" s="1687"/>
      <c r="C128" s="1687"/>
      <c r="D128" s="1687"/>
      <c r="E128" s="1687"/>
      <c r="F128" s="1687"/>
      <c r="G128" s="1687"/>
      <c r="H128" s="1687"/>
      <c r="I128" s="1687"/>
      <c r="J128" s="1687"/>
      <c r="K128" s="1687"/>
      <c r="L128" s="1687"/>
      <c r="M128" s="1687"/>
    </row>
    <row r="129" spans="1:13" ht="36" customHeight="1">
      <c r="A129" s="1687" t="s">
        <v>2508</v>
      </c>
      <c r="B129" s="1687"/>
      <c r="C129" s="1687"/>
      <c r="D129" s="1687"/>
      <c r="E129" s="1687"/>
      <c r="F129" s="1687"/>
      <c r="G129" s="1687"/>
      <c r="H129" s="1687"/>
      <c r="I129" s="1687"/>
      <c r="J129" s="1687"/>
      <c r="K129" s="1687"/>
      <c r="L129" s="1687"/>
      <c r="M129" s="1687"/>
    </row>
    <row r="130" spans="1:13" ht="36" customHeight="1">
      <c r="A130" s="1687" t="s">
        <v>2509</v>
      </c>
      <c r="B130" s="1687"/>
      <c r="C130" s="1687"/>
      <c r="D130" s="1687"/>
      <c r="E130" s="1687"/>
      <c r="F130" s="1687"/>
      <c r="G130" s="1687"/>
      <c r="H130" s="1687"/>
      <c r="I130" s="1687"/>
      <c r="J130" s="1687"/>
      <c r="K130" s="1687"/>
      <c r="L130" s="1687"/>
      <c r="M130" s="1687"/>
    </row>
    <row r="131" spans="1:13" ht="12.75" customHeight="1">
      <c r="A131" s="1686" t="s">
        <v>2510</v>
      </c>
      <c r="B131" s="1686"/>
      <c r="C131" s="1686"/>
      <c r="D131" s="1686"/>
      <c r="E131" s="1686"/>
      <c r="F131" s="1686"/>
      <c r="G131" s="1686"/>
      <c r="H131" s="1686"/>
      <c r="I131" s="1686"/>
      <c r="J131" s="1686"/>
      <c r="K131" s="1686"/>
      <c r="L131" s="1686"/>
      <c r="M131" s="1686"/>
    </row>
    <row r="132" spans="1:13" ht="192" customHeight="1">
      <c r="A132" s="1688" t="s">
        <v>3532</v>
      </c>
      <c r="B132" s="1688"/>
      <c r="C132" s="1688"/>
      <c r="D132" s="1688"/>
      <c r="E132" s="1688"/>
      <c r="F132" s="1688"/>
      <c r="G132" s="1688"/>
      <c r="H132" s="1688"/>
      <c r="I132" s="1688"/>
      <c r="J132" s="1688"/>
      <c r="K132" s="1688"/>
      <c r="L132" s="1688"/>
      <c r="M132" s="1688"/>
    </row>
    <row r="133" spans="1:13" ht="144" customHeight="1">
      <c r="A133" s="1688" t="s">
        <v>3533</v>
      </c>
      <c r="B133" s="1688"/>
      <c r="C133" s="1688"/>
      <c r="D133" s="1688"/>
      <c r="E133" s="1688"/>
      <c r="F133" s="1688"/>
      <c r="G133" s="1688"/>
      <c r="H133" s="1688"/>
      <c r="I133" s="1688"/>
      <c r="J133" s="1688"/>
      <c r="K133" s="1688"/>
      <c r="L133" s="1688"/>
      <c r="M133" s="1688"/>
    </row>
    <row r="134" spans="1:13" ht="24" customHeight="1">
      <c r="A134" s="1690" t="s">
        <v>3534</v>
      </c>
      <c r="B134" s="1690"/>
      <c r="C134" s="1690"/>
      <c r="D134" s="1690"/>
      <c r="E134" s="1690"/>
      <c r="F134" s="1690"/>
      <c r="G134" s="1690"/>
      <c r="H134" s="1690"/>
      <c r="I134" s="1690"/>
      <c r="J134" s="1690"/>
      <c r="K134" s="1690"/>
      <c r="L134" s="1690"/>
      <c r="M134" s="1690"/>
    </row>
    <row r="135" spans="1:13" ht="12.75" customHeight="1">
      <c r="A135" s="1689" t="s">
        <v>3535</v>
      </c>
      <c r="B135" s="1689"/>
      <c r="C135" s="1689"/>
      <c r="D135" s="1689"/>
      <c r="E135" s="1689"/>
      <c r="F135" s="1689"/>
      <c r="G135" s="1689"/>
      <c r="H135" s="1689"/>
      <c r="I135" s="1689"/>
      <c r="J135" s="1689"/>
      <c r="K135" s="1689"/>
      <c r="L135" s="1689"/>
      <c r="M135" s="1689"/>
    </row>
    <row r="136" spans="1:13" ht="24" customHeight="1">
      <c r="A136" s="1689" t="s">
        <v>2521</v>
      </c>
      <c r="B136" s="1689"/>
      <c r="C136" s="1689"/>
      <c r="D136" s="1689"/>
      <c r="E136" s="1689"/>
      <c r="F136" s="1689"/>
      <c r="G136" s="1689"/>
      <c r="H136" s="1689"/>
      <c r="I136" s="1689"/>
      <c r="J136" s="1689"/>
      <c r="K136" s="1689"/>
      <c r="L136" s="1689"/>
      <c r="M136" s="1689"/>
    </row>
    <row r="137" spans="1:13" ht="24" customHeight="1">
      <c r="A137" s="1689" t="s">
        <v>3536</v>
      </c>
      <c r="B137" s="1689"/>
      <c r="C137" s="1689"/>
      <c r="D137" s="1689"/>
      <c r="E137" s="1689"/>
      <c r="F137" s="1689"/>
      <c r="G137" s="1689"/>
      <c r="H137" s="1689"/>
      <c r="I137" s="1689"/>
      <c r="J137" s="1689"/>
      <c r="K137" s="1689"/>
      <c r="L137" s="1689"/>
      <c r="M137" s="1689"/>
    </row>
    <row r="138" spans="1:13" ht="24" customHeight="1">
      <c r="A138" s="1689" t="s">
        <v>3537</v>
      </c>
      <c r="B138" s="1689"/>
      <c r="C138" s="1689"/>
      <c r="D138" s="1689"/>
      <c r="E138" s="1689"/>
      <c r="F138" s="1689"/>
      <c r="G138" s="1689"/>
      <c r="H138" s="1689"/>
      <c r="I138" s="1689"/>
      <c r="J138" s="1689"/>
      <c r="K138" s="1689"/>
      <c r="L138" s="1689"/>
      <c r="M138" s="1689"/>
    </row>
    <row r="139" spans="1:13" ht="36" customHeight="1">
      <c r="A139" s="1689" t="s">
        <v>3538</v>
      </c>
      <c r="B139" s="1689"/>
      <c r="C139" s="1689"/>
      <c r="D139" s="1689"/>
      <c r="E139" s="1689"/>
      <c r="F139" s="1689"/>
      <c r="G139" s="1689"/>
      <c r="H139" s="1689"/>
      <c r="I139" s="1689"/>
      <c r="J139" s="1689"/>
      <c r="K139" s="1689"/>
      <c r="L139" s="1689"/>
      <c r="M139" s="1689"/>
    </row>
    <row r="140" spans="1:13" ht="144.75" customHeight="1">
      <c r="A140" s="1689" t="s">
        <v>3539</v>
      </c>
      <c r="B140" s="1689"/>
      <c r="C140" s="1689"/>
      <c r="D140" s="1689"/>
      <c r="E140" s="1689"/>
      <c r="F140" s="1689"/>
      <c r="G140" s="1689"/>
      <c r="H140" s="1689"/>
      <c r="I140" s="1689"/>
      <c r="J140" s="1689"/>
      <c r="K140" s="1689"/>
      <c r="L140" s="1689"/>
      <c r="M140" s="1689"/>
    </row>
    <row r="141" spans="1:13" ht="169.5" customHeight="1">
      <c r="A141" s="1689" t="s">
        <v>3540</v>
      </c>
      <c r="B141" s="1689"/>
      <c r="C141" s="1689"/>
      <c r="D141" s="1689"/>
      <c r="E141" s="1689"/>
      <c r="F141" s="1689"/>
      <c r="G141" s="1689"/>
      <c r="H141" s="1689"/>
      <c r="I141" s="1689"/>
      <c r="J141" s="1689"/>
      <c r="K141" s="1689"/>
      <c r="L141" s="1689"/>
      <c r="M141" s="1689"/>
    </row>
    <row r="142" spans="1:13" ht="54" customHeight="1">
      <c r="A142" s="1685" t="s">
        <v>3541</v>
      </c>
      <c r="B142" s="1685"/>
      <c r="C142" s="1685"/>
      <c r="D142" s="1685"/>
      <c r="E142" s="1685"/>
      <c r="F142" s="1685"/>
      <c r="G142" s="1685"/>
      <c r="H142" s="1685"/>
      <c r="I142" s="1685"/>
      <c r="J142" s="1685"/>
      <c r="K142" s="1685"/>
      <c r="L142" s="1685"/>
      <c r="M142" s="1685"/>
    </row>
    <row r="143" spans="1:13" ht="72" customHeight="1">
      <c r="A143" s="1685" t="s">
        <v>3542</v>
      </c>
      <c r="B143" s="1685"/>
      <c r="C143" s="1685"/>
      <c r="D143" s="1685"/>
      <c r="E143" s="1685"/>
      <c r="F143" s="1685"/>
      <c r="G143" s="1685"/>
      <c r="H143" s="1685"/>
      <c r="I143" s="1685"/>
      <c r="J143" s="1685"/>
      <c r="K143" s="1685"/>
      <c r="L143" s="1685"/>
      <c r="M143" s="1685"/>
    </row>
    <row r="144" spans="1:13" ht="136.5" customHeight="1">
      <c r="A144" s="1716" t="s">
        <v>3543</v>
      </c>
      <c r="B144" s="1716"/>
      <c r="C144" s="1716"/>
      <c r="D144" s="1716"/>
      <c r="E144" s="1716"/>
      <c r="F144" s="1716"/>
      <c r="G144" s="1716"/>
      <c r="H144" s="1716"/>
      <c r="I144" s="1716"/>
      <c r="J144" s="1716"/>
      <c r="K144" s="1716"/>
      <c r="L144" s="1716"/>
      <c r="M144" s="1716"/>
    </row>
    <row r="145" spans="1:13" ht="78" customHeight="1">
      <c r="A145" s="1721" t="s">
        <v>2527</v>
      </c>
      <c r="B145" s="1721"/>
      <c r="C145" s="1721"/>
      <c r="D145" s="1721"/>
      <c r="E145" s="1721"/>
      <c r="F145" s="1721"/>
      <c r="G145" s="1721"/>
      <c r="H145" s="1721"/>
      <c r="I145" s="1721"/>
      <c r="J145" s="1721"/>
      <c r="K145" s="1721"/>
      <c r="L145" s="1721"/>
      <c r="M145" s="1721"/>
    </row>
    <row r="146" spans="1:13" ht="61.5" customHeight="1">
      <c r="A146" s="1689" t="s">
        <v>3544</v>
      </c>
      <c r="B146" s="1689"/>
      <c r="C146" s="1689"/>
      <c r="D146" s="1689"/>
      <c r="E146" s="1689"/>
      <c r="F146" s="1689"/>
      <c r="G146" s="1689"/>
      <c r="H146" s="1689"/>
      <c r="I146" s="1689"/>
      <c r="J146" s="1689"/>
      <c r="K146" s="1689"/>
      <c r="L146" s="1689"/>
      <c r="M146" s="1689"/>
    </row>
    <row r="147" spans="1:13" ht="48.75" customHeight="1">
      <c r="A147" s="1685" t="s">
        <v>3545</v>
      </c>
      <c r="B147" s="1685"/>
      <c r="C147" s="1685"/>
      <c r="D147" s="1685"/>
      <c r="E147" s="1685"/>
      <c r="F147" s="1685"/>
      <c r="G147" s="1685"/>
      <c r="H147" s="1685"/>
      <c r="I147" s="1685"/>
      <c r="J147" s="1685"/>
      <c r="K147" s="1685"/>
      <c r="L147" s="1685"/>
      <c r="M147" s="1685"/>
    </row>
    <row r="148" spans="1:13" ht="76.5" customHeight="1">
      <c r="A148" s="1685" t="s">
        <v>3546</v>
      </c>
      <c r="B148" s="1685"/>
      <c r="C148" s="1685"/>
      <c r="D148" s="1685"/>
      <c r="E148" s="1685"/>
      <c r="F148" s="1685"/>
      <c r="G148" s="1685"/>
      <c r="H148" s="1685"/>
      <c r="I148" s="1685"/>
      <c r="J148" s="1685"/>
      <c r="K148" s="1685"/>
      <c r="L148" s="1685"/>
      <c r="M148" s="1685"/>
    </row>
    <row r="149" spans="1:13" ht="102.75" customHeight="1">
      <c r="A149" s="1718" t="s">
        <v>3547</v>
      </c>
      <c r="B149" s="1718"/>
      <c r="C149" s="1718"/>
      <c r="D149" s="1718"/>
      <c r="E149" s="1718"/>
      <c r="F149" s="1718"/>
      <c r="G149" s="1718"/>
      <c r="H149" s="1718"/>
      <c r="I149" s="1718"/>
      <c r="J149" s="1718"/>
      <c r="K149" s="1718"/>
      <c r="L149" s="1718"/>
      <c r="M149" s="1718"/>
    </row>
    <row r="150" spans="1:13" ht="60" customHeight="1">
      <c r="A150" s="1685" t="s">
        <v>3548</v>
      </c>
      <c r="B150" s="1685"/>
      <c r="C150" s="1685"/>
      <c r="D150" s="1685"/>
      <c r="E150" s="1685"/>
      <c r="F150" s="1685"/>
      <c r="G150" s="1685"/>
      <c r="H150" s="1685"/>
      <c r="I150" s="1685"/>
      <c r="J150" s="1685"/>
      <c r="K150" s="1685"/>
      <c r="L150" s="1685"/>
      <c r="M150" s="1685"/>
    </row>
    <row r="151" spans="1:13" ht="48" customHeight="1">
      <c r="A151" s="1685" t="s">
        <v>3549</v>
      </c>
      <c r="B151" s="1685"/>
      <c r="C151" s="1685"/>
      <c r="D151" s="1685"/>
      <c r="E151" s="1685"/>
      <c r="F151" s="1685"/>
      <c r="G151" s="1685"/>
      <c r="H151" s="1685"/>
      <c r="I151" s="1685"/>
      <c r="J151" s="1685"/>
      <c r="K151" s="1685"/>
      <c r="L151" s="1685"/>
      <c r="M151" s="1685"/>
    </row>
    <row r="152" spans="1:13" ht="24" customHeight="1">
      <c r="A152" s="1690" t="s">
        <v>3550</v>
      </c>
      <c r="B152" s="1690"/>
      <c r="C152" s="1690"/>
      <c r="D152" s="1690"/>
      <c r="E152" s="1690"/>
      <c r="F152" s="1690"/>
      <c r="G152" s="1690"/>
      <c r="H152" s="1690"/>
      <c r="I152" s="1690"/>
      <c r="J152" s="1690"/>
      <c r="K152" s="1690"/>
      <c r="L152" s="1690"/>
      <c r="M152" s="1690"/>
    </row>
    <row r="153" spans="1:13" ht="12.75" customHeight="1">
      <c r="A153" s="1685" t="s">
        <v>3551</v>
      </c>
      <c r="B153" s="1685"/>
      <c r="C153" s="1685"/>
      <c r="D153" s="1685"/>
      <c r="E153" s="1685"/>
      <c r="F153" s="1685"/>
      <c r="G153" s="1685"/>
      <c r="H153" s="1685"/>
      <c r="I153" s="1685"/>
      <c r="J153" s="1685"/>
      <c r="K153" s="1685"/>
      <c r="L153" s="1685"/>
      <c r="M153" s="1685"/>
    </row>
    <row r="154" spans="1:13" ht="63.75" customHeight="1">
      <c r="A154" s="1685" t="s">
        <v>3552</v>
      </c>
      <c r="B154" s="1685"/>
      <c r="C154" s="1685"/>
      <c r="D154" s="1685"/>
      <c r="E154" s="1685"/>
      <c r="F154" s="1685"/>
      <c r="G154" s="1685"/>
      <c r="H154" s="1685"/>
      <c r="I154" s="1685"/>
      <c r="J154" s="1685"/>
      <c r="K154" s="1685"/>
      <c r="L154" s="1685"/>
      <c r="M154" s="1685"/>
    </row>
    <row r="155" spans="1:13" ht="109.5" customHeight="1">
      <c r="A155" s="1685" t="s">
        <v>3553</v>
      </c>
      <c r="B155" s="1685"/>
      <c r="C155" s="1685"/>
      <c r="D155" s="1685"/>
      <c r="E155" s="1685"/>
      <c r="F155" s="1685"/>
      <c r="G155" s="1685"/>
      <c r="H155" s="1685"/>
      <c r="I155" s="1685"/>
      <c r="J155" s="1685"/>
      <c r="K155" s="1685"/>
      <c r="L155" s="1685"/>
      <c r="M155" s="1685"/>
    </row>
    <row r="156" spans="1:13" ht="135.75" customHeight="1">
      <c r="A156" s="1685" t="s">
        <v>3554</v>
      </c>
      <c r="B156" s="1685"/>
      <c r="C156" s="1685"/>
      <c r="D156" s="1685"/>
      <c r="E156" s="1685"/>
      <c r="F156" s="1685"/>
      <c r="G156" s="1685"/>
      <c r="H156" s="1685"/>
      <c r="I156" s="1685"/>
      <c r="J156" s="1685"/>
      <c r="K156" s="1685"/>
      <c r="L156" s="1685"/>
      <c r="M156" s="1685"/>
    </row>
    <row r="157" spans="1:13" ht="12.75" customHeight="1">
      <c r="A157" s="1685" t="s">
        <v>3555</v>
      </c>
      <c r="B157" s="1685"/>
      <c r="C157" s="1685"/>
      <c r="D157" s="1685"/>
      <c r="E157" s="1685"/>
      <c r="F157" s="1685"/>
      <c r="G157" s="1685"/>
      <c r="H157" s="1685"/>
      <c r="I157" s="1685"/>
      <c r="J157" s="1685"/>
      <c r="K157" s="1685"/>
      <c r="L157" s="1685"/>
      <c r="M157" s="1685"/>
    </row>
    <row r="158" spans="1:13" ht="24" customHeight="1">
      <c r="A158" s="1685" t="s">
        <v>3556</v>
      </c>
      <c r="B158" s="1685"/>
      <c r="C158" s="1685"/>
      <c r="D158" s="1685"/>
      <c r="E158" s="1685"/>
      <c r="F158" s="1685"/>
      <c r="G158" s="1685"/>
      <c r="H158" s="1685"/>
      <c r="I158" s="1685"/>
      <c r="J158" s="1685"/>
      <c r="K158" s="1685"/>
      <c r="L158" s="1685"/>
      <c r="M158" s="1685"/>
    </row>
    <row r="159" spans="1:13" ht="24" customHeight="1">
      <c r="A159" s="1685" t="s">
        <v>3557</v>
      </c>
      <c r="B159" s="1685"/>
      <c r="C159" s="1685"/>
      <c r="D159" s="1685"/>
      <c r="E159" s="1685"/>
      <c r="F159" s="1685"/>
      <c r="G159" s="1685"/>
      <c r="H159" s="1685"/>
      <c r="I159" s="1685"/>
      <c r="J159" s="1685"/>
      <c r="K159" s="1685"/>
      <c r="L159" s="1685"/>
      <c r="M159" s="1685"/>
    </row>
    <row r="160" spans="1:13" ht="12.75" customHeight="1">
      <c r="A160" s="1685" t="s">
        <v>3558</v>
      </c>
      <c r="B160" s="1685"/>
      <c r="C160" s="1685"/>
      <c r="D160" s="1685"/>
      <c r="E160" s="1685"/>
      <c r="F160" s="1685"/>
      <c r="G160" s="1685"/>
      <c r="H160" s="1685"/>
      <c r="I160" s="1685"/>
      <c r="J160" s="1685"/>
      <c r="K160" s="1685"/>
      <c r="L160" s="1685"/>
      <c r="M160" s="1685"/>
    </row>
    <row r="161" spans="1:13" ht="12.75" customHeight="1">
      <c r="A161" s="1685" t="s">
        <v>3559</v>
      </c>
      <c r="B161" s="1685"/>
      <c r="C161" s="1685"/>
      <c r="D161" s="1685"/>
      <c r="E161" s="1685"/>
      <c r="F161" s="1685"/>
      <c r="G161" s="1685"/>
      <c r="H161" s="1685"/>
      <c r="I161" s="1685"/>
      <c r="J161" s="1685"/>
      <c r="K161" s="1685"/>
      <c r="L161" s="1685"/>
      <c r="M161" s="1685"/>
    </row>
    <row r="162" spans="1:13" ht="12.75" customHeight="1">
      <c r="A162" s="1685" t="s">
        <v>3560</v>
      </c>
      <c r="B162" s="1685"/>
      <c r="C162" s="1685"/>
      <c r="D162" s="1685"/>
      <c r="E162" s="1685"/>
      <c r="F162" s="1685"/>
      <c r="G162" s="1685"/>
      <c r="H162" s="1685"/>
      <c r="I162" s="1685"/>
      <c r="J162" s="1685"/>
      <c r="K162" s="1685"/>
      <c r="L162" s="1685"/>
      <c r="M162" s="1685"/>
    </row>
    <row r="163" spans="1:13" ht="24" customHeight="1">
      <c r="A163" s="1685" t="s">
        <v>3561</v>
      </c>
      <c r="B163" s="1685"/>
      <c r="C163" s="1685"/>
      <c r="D163" s="1685"/>
      <c r="E163" s="1685"/>
      <c r="F163" s="1685"/>
      <c r="G163" s="1685"/>
      <c r="H163" s="1685"/>
      <c r="I163" s="1685"/>
      <c r="J163" s="1685"/>
      <c r="K163" s="1685"/>
      <c r="L163" s="1685"/>
      <c r="M163" s="1685"/>
    </row>
    <row r="164" spans="1:13" ht="128.25" customHeight="1">
      <c r="A164" s="1685" t="s">
        <v>3562</v>
      </c>
      <c r="B164" s="1685"/>
      <c r="C164" s="1685"/>
      <c r="D164" s="1685"/>
      <c r="E164" s="1685"/>
      <c r="F164" s="1685"/>
      <c r="G164" s="1685"/>
      <c r="H164" s="1685"/>
      <c r="I164" s="1685"/>
      <c r="J164" s="1685"/>
      <c r="K164" s="1685"/>
      <c r="L164" s="1685"/>
      <c r="M164" s="1685"/>
    </row>
    <row r="165" spans="1:13" ht="162.75" customHeight="1">
      <c r="A165" s="1685" t="s">
        <v>3563</v>
      </c>
      <c r="B165" s="1685"/>
      <c r="C165" s="1685"/>
      <c r="D165" s="1685"/>
      <c r="E165" s="1685"/>
      <c r="F165" s="1685"/>
      <c r="G165" s="1685"/>
      <c r="H165" s="1685"/>
      <c r="I165" s="1685"/>
      <c r="J165" s="1685"/>
      <c r="K165" s="1685"/>
      <c r="L165" s="1685"/>
      <c r="M165" s="1685"/>
    </row>
    <row r="166" spans="1:13" ht="54" customHeight="1">
      <c r="A166" s="1685" t="s">
        <v>3564</v>
      </c>
      <c r="B166" s="1685"/>
      <c r="C166" s="1685"/>
      <c r="D166" s="1685"/>
      <c r="E166" s="1685"/>
      <c r="F166" s="1685"/>
      <c r="G166" s="1685"/>
      <c r="H166" s="1685"/>
      <c r="I166" s="1685"/>
      <c r="J166" s="1685"/>
      <c r="K166" s="1685"/>
      <c r="L166" s="1685"/>
      <c r="M166" s="1685"/>
    </row>
    <row r="167" spans="1:13" ht="77.25" customHeight="1">
      <c r="A167" s="1685" t="s">
        <v>3565</v>
      </c>
      <c r="B167" s="1685"/>
      <c r="C167" s="1685"/>
      <c r="D167" s="1685"/>
      <c r="E167" s="1685"/>
      <c r="F167" s="1685"/>
      <c r="G167" s="1685"/>
      <c r="H167" s="1685"/>
      <c r="I167" s="1685"/>
      <c r="J167" s="1685"/>
      <c r="K167" s="1685"/>
      <c r="L167" s="1685"/>
      <c r="M167" s="1685"/>
    </row>
    <row r="168" spans="1:13" ht="60" customHeight="1">
      <c r="A168" s="1685" t="s">
        <v>3566</v>
      </c>
      <c r="B168" s="1685"/>
      <c r="C168" s="1685"/>
      <c r="D168" s="1685"/>
      <c r="E168" s="1685"/>
      <c r="F168" s="1685"/>
      <c r="G168" s="1685"/>
      <c r="H168" s="1685"/>
      <c r="I168" s="1685"/>
      <c r="J168" s="1685"/>
      <c r="K168" s="1685"/>
      <c r="L168" s="1685"/>
      <c r="M168" s="1685"/>
    </row>
    <row r="169" spans="1:13" ht="97.5" customHeight="1">
      <c r="A169" s="1685" t="s">
        <v>3567</v>
      </c>
      <c r="B169" s="1685"/>
      <c r="C169" s="1685"/>
      <c r="D169" s="1685"/>
      <c r="E169" s="1685"/>
      <c r="F169" s="1685"/>
      <c r="G169" s="1685"/>
      <c r="H169" s="1685"/>
      <c r="I169" s="1685"/>
      <c r="J169" s="1685"/>
      <c r="K169" s="1685"/>
      <c r="L169" s="1685"/>
      <c r="M169" s="1685"/>
    </row>
    <row r="170" spans="1:13" ht="24" customHeight="1">
      <c r="A170" s="1690" t="s">
        <v>3568</v>
      </c>
      <c r="B170" s="1690"/>
      <c r="C170" s="1690"/>
      <c r="D170" s="1690"/>
      <c r="E170" s="1690"/>
      <c r="F170" s="1690"/>
      <c r="G170" s="1690"/>
      <c r="H170" s="1690"/>
      <c r="I170" s="1690"/>
      <c r="J170" s="1690"/>
      <c r="K170" s="1690"/>
      <c r="L170" s="1690"/>
      <c r="M170" s="1690"/>
    </row>
    <row r="171" spans="1:13" ht="109.5" customHeight="1">
      <c r="A171" s="1685" t="s">
        <v>3569</v>
      </c>
      <c r="B171" s="1685"/>
      <c r="C171" s="1685"/>
      <c r="D171" s="1685"/>
      <c r="E171" s="1685"/>
      <c r="F171" s="1685"/>
      <c r="G171" s="1685"/>
      <c r="H171" s="1685"/>
      <c r="I171" s="1685"/>
      <c r="J171" s="1685"/>
      <c r="K171" s="1685"/>
      <c r="L171" s="1685"/>
      <c r="M171" s="1685"/>
    </row>
    <row r="172" spans="1:13" ht="102" customHeight="1">
      <c r="A172" s="1685" t="s">
        <v>3570</v>
      </c>
      <c r="B172" s="1685"/>
      <c r="C172" s="1685"/>
      <c r="D172" s="1685"/>
      <c r="E172" s="1685"/>
      <c r="F172" s="1685"/>
      <c r="G172" s="1685"/>
      <c r="H172" s="1685"/>
      <c r="I172" s="1685"/>
      <c r="J172" s="1685"/>
      <c r="K172" s="1685"/>
      <c r="L172" s="1685"/>
      <c r="M172" s="1685"/>
    </row>
    <row r="173" spans="1:13" ht="84.75" customHeight="1">
      <c r="A173" s="1685" t="s">
        <v>3571</v>
      </c>
      <c r="B173" s="1685"/>
      <c r="C173" s="1685"/>
      <c r="D173" s="1685"/>
      <c r="E173" s="1685"/>
      <c r="F173" s="1685"/>
      <c r="G173" s="1685"/>
      <c r="H173" s="1685"/>
      <c r="I173" s="1685"/>
      <c r="J173" s="1685"/>
      <c r="K173" s="1685"/>
      <c r="L173" s="1685"/>
      <c r="M173" s="1685"/>
    </row>
    <row r="174" spans="1:13" ht="12.75" customHeight="1">
      <c r="A174" s="1715" t="s">
        <v>3572</v>
      </c>
      <c r="B174" s="1715"/>
      <c r="C174" s="1715"/>
      <c r="D174" s="1715"/>
      <c r="E174" s="1715"/>
      <c r="F174" s="1715"/>
      <c r="G174" s="1715"/>
      <c r="H174" s="1715"/>
      <c r="I174" s="1715"/>
      <c r="J174" s="1715"/>
      <c r="K174" s="1715"/>
      <c r="L174" s="1715"/>
      <c r="M174" s="1715"/>
    </row>
    <row r="175" spans="1:13" ht="35.25" customHeight="1">
      <c r="A175" s="1690" t="s">
        <v>3573</v>
      </c>
      <c r="B175" s="1690"/>
      <c r="C175" s="1690"/>
      <c r="D175" s="1690"/>
      <c r="E175" s="1690"/>
      <c r="F175" s="1690"/>
      <c r="G175" s="1690"/>
      <c r="H175" s="1690"/>
      <c r="I175" s="1690"/>
      <c r="J175" s="1690"/>
      <c r="K175" s="1690"/>
      <c r="L175" s="1690"/>
      <c r="M175" s="1690"/>
    </row>
    <row r="176" spans="1:13" ht="63.75" customHeight="1">
      <c r="A176" s="1685" t="s">
        <v>3574</v>
      </c>
      <c r="B176" s="1685"/>
      <c r="C176" s="1685"/>
      <c r="D176" s="1685"/>
      <c r="E176" s="1685"/>
      <c r="F176" s="1685"/>
      <c r="G176" s="1685"/>
      <c r="H176" s="1685"/>
      <c r="I176" s="1685"/>
      <c r="J176" s="1685"/>
      <c r="K176" s="1685"/>
      <c r="L176" s="1685"/>
      <c r="M176" s="1685"/>
    </row>
    <row r="177" spans="1:13" ht="36" customHeight="1">
      <c r="A177" s="1685" t="s">
        <v>3575</v>
      </c>
      <c r="B177" s="1685"/>
      <c r="C177" s="1685"/>
      <c r="D177" s="1685"/>
      <c r="E177" s="1685"/>
      <c r="F177" s="1685"/>
      <c r="G177" s="1685"/>
      <c r="H177" s="1685"/>
      <c r="I177" s="1685"/>
      <c r="J177" s="1685"/>
      <c r="K177" s="1685"/>
      <c r="L177" s="1685"/>
      <c r="M177" s="1685"/>
    </row>
    <row r="178" spans="1:13" ht="24" customHeight="1">
      <c r="A178" s="1685" t="s">
        <v>3576</v>
      </c>
      <c r="B178" s="1685"/>
      <c r="C178" s="1685"/>
      <c r="D178" s="1685"/>
      <c r="E178" s="1685"/>
      <c r="F178" s="1685"/>
      <c r="G178" s="1685"/>
      <c r="H178" s="1685"/>
      <c r="I178" s="1685"/>
      <c r="J178" s="1685"/>
      <c r="K178" s="1685"/>
      <c r="L178" s="1685"/>
      <c r="M178" s="1685"/>
    </row>
    <row r="179" spans="1:13" ht="12.75" customHeight="1">
      <c r="A179" s="1685" t="s">
        <v>3577</v>
      </c>
      <c r="B179" s="1685"/>
      <c r="C179" s="1685"/>
      <c r="D179" s="1685"/>
      <c r="E179" s="1685"/>
      <c r="F179" s="1685"/>
      <c r="G179" s="1685"/>
      <c r="H179" s="1685"/>
      <c r="I179" s="1685"/>
      <c r="J179" s="1685"/>
      <c r="K179" s="1685"/>
      <c r="L179" s="1685"/>
      <c r="M179" s="1685"/>
    </row>
    <row r="180" spans="1:13" ht="113.25" customHeight="1">
      <c r="A180" s="1685" t="s">
        <v>3578</v>
      </c>
      <c r="B180" s="1685"/>
      <c r="C180" s="1685"/>
      <c r="D180" s="1685"/>
      <c r="E180" s="1685"/>
      <c r="F180" s="1685"/>
      <c r="G180" s="1685"/>
      <c r="H180" s="1685"/>
      <c r="I180" s="1685"/>
      <c r="J180" s="1685"/>
      <c r="K180" s="1685"/>
      <c r="L180" s="1685"/>
      <c r="M180" s="1685"/>
    </row>
    <row r="181" spans="1:13" ht="45.75" customHeight="1">
      <c r="A181" s="1685" t="s">
        <v>3579</v>
      </c>
      <c r="B181" s="1685"/>
      <c r="C181" s="1685"/>
      <c r="D181" s="1685"/>
      <c r="E181" s="1685"/>
      <c r="F181" s="1685"/>
      <c r="G181" s="1685"/>
      <c r="H181" s="1685"/>
      <c r="I181" s="1685"/>
      <c r="J181" s="1685"/>
      <c r="K181" s="1685"/>
      <c r="L181" s="1685"/>
      <c r="M181" s="1685"/>
    </row>
    <row r="182" spans="1:13" ht="24" customHeight="1">
      <c r="A182" s="1685" t="s">
        <v>3580</v>
      </c>
      <c r="B182" s="1685"/>
      <c r="C182" s="1685"/>
      <c r="D182" s="1685"/>
      <c r="E182" s="1685"/>
      <c r="F182" s="1685"/>
      <c r="G182" s="1685"/>
      <c r="H182" s="1685"/>
      <c r="I182" s="1685"/>
      <c r="J182" s="1685"/>
      <c r="K182" s="1685"/>
      <c r="L182" s="1685"/>
      <c r="M182" s="1685"/>
    </row>
    <row r="183" spans="1:13" ht="12.75" customHeight="1">
      <c r="A183" s="1685" t="s">
        <v>3581</v>
      </c>
      <c r="B183" s="1685"/>
      <c r="C183" s="1685"/>
      <c r="D183" s="1685"/>
      <c r="E183" s="1685"/>
      <c r="F183" s="1685"/>
      <c r="G183" s="1685"/>
      <c r="H183" s="1685"/>
      <c r="I183" s="1685"/>
      <c r="J183" s="1685"/>
      <c r="K183" s="1685"/>
      <c r="L183" s="1685"/>
      <c r="M183" s="1685"/>
    </row>
    <row r="184" spans="1:13" ht="81.75" customHeight="1">
      <c r="A184" s="1689" t="s">
        <v>3582</v>
      </c>
      <c r="B184" s="1689"/>
      <c r="C184" s="1689"/>
      <c r="D184" s="1689"/>
      <c r="E184" s="1689"/>
      <c r="F184" s="1689"/>
      <c r="G184" s="1689"/>
      <c r="H184" s="1689"/>
      <c r="I184" s="1689"/>
      <c r="J184" s="1689"/>
      <c r="K184" s="1689"/>
      <c r="L184" s="1689"/>
      <c r="M184" s="1689"/>
    </row>
    <row r="185" spans="1:13" ht="37.5" customHeight="1">
      <c r="A185" s="1689" t="s">
        <v>3583</v>
      </c>
      <c r="B185" s="1689"/>
      <c r="C185" s="1689"/>
      <c r="D185" s="1689"/>
      <c r="E185" s="1689"/>
      <c r="F185" s="1689"/>
      <c r="G185" s="1689"/>
      <c r="H185" s="1689"/>
      <c r="I185" s="1689"/>
      <c r="J185" s="1689"/>
      <c r="K185" s="1689"/>
      <c r="L185" s="1689"/>
      <c r="M185" s="1689"/>
    </row>
    <row r="186" spans="1:13" ht="36" customHeight="1">
      <c r="A186" s="1689" t="s">
        <v>3584</v>
      </c>
      <c r="B186" s="1689"/>
      <c r="C186" s="1689"/>
      <c r="D186" s="1689"/>
      <c r="E186" s="1689"/>
      <c r="F186" s="1689"/>
      <c r="G186" s="1689"/>
      <c r="H186" s="1689"/>
      <c r="I186" s="1689"/>
      <c r="J186" s="1689"/>
      <c r="K186" s="1689"/>
      <c r="L186" s="1689"/>
      <c r="M186" s="1689"/>
    </row>
    <row r="187" spans="1:13" ht="12.75" customHeight="1">
      <c r="A187" s="1685" t="s">
        <v>3585</v>
      </c>
      <c r="B187" s="1685"/>
      <c r="C187" s="1685"/>
      <c r="D187" s="1685"/>
      <c r="E187" s="1685"/>
      <c r="F187" s="1685"/>
      <c r="G187" s="1685"/>
      <c r="H187" s="1685"/>
      <c r="I187" s="1685"/>
      <c r="J187" s="1685"/>
      <c r="K187" s="1685"/>
      <c r="L187" s="1685"/>
      <c r="M187" s="1685"/>
    </row>
    <row r="188" spans="1:13" ht="249.75" customHeight="1">
      <c r="A188" s="1691" t="s">
        <v>4243</v>
      </c>
      <c r="B188" s="1691"/>
      <c r="C188" s="1691"/>
      <c r="D188" s="1691"/>
      <c r="E188" s="1691"/>
      <c r="F188" s="1691"/>
      <c r="G188" s="1691"/>
      <c r="H188" s="1691"/>
      <c r="I188" s="1691"/>
      <c r="J188" s="1691"/>
      <c r="K188" s="1691"/>
      <c r="L188" s="1691"/>
      <c r="M188" s="1691"/>
    </row>
    <row r="189" spans="1:13" ht="198" customHeight="1">
      <c r="A189" s="1692" t="s">
        <v>4242</v>
      </c>
      <c r="B189" s="1692"/>
      <c r="C189" s="1692"/>
      <c r="D189" s="1692"/>
      <c r="E189" s="1692"/>
      <c r="F189" s="1692"/>
      <c r="G189" s="1692"/>
      <c r="H189" s="1692"/>
      <c r="I189" s="1692"/>
      <c r="J189" s="1692"/>
      <c r="K189" s="1692"/>
      <c r="L189" s="1692"/>
      <c r="M189" s="1692"/>
    </row>
    <row r="190" spans="1:13" ht="36" customHeight="1">
      <c r="A190" s="1693" t="s">
        <v>3586</v>
      </c>
      <c r="B190" s="1693"/>
      <c r="C190" s="1693"/>
      <c r="D190" s="1693"/>
      <c r="E190" s="1693"/>
      <c r="F190" s="1693"/>
      <c r="G190" s="1693"/>
      <c r="H190" s="1693"/>
      <c r="I190" s="1693"/>
      <c r="J190" s="1693"/>
      <c r="K190" s="1693"/>
      <c r="L190" s="1693"/>
      <c r="M190" s="1693"/>
    </row>
    <row r="191" spans="1:13" ht="12.75" customHeight="1">
      <c r="A191" s="1685" t="s">
        <v>3587</v>
      </c>
      <c r="B191" s="1685"/>
      <c r="C191" s="1685"/>
      <c r="D191" s="1685"/>
      <c r="E191" s="1685"/>
      <c r="F191" s="1685"/>
      <c r="G191" s="1685"/>
      <c r="H191" s="1685"/>
      <c r="I191" s="1685"/>
      <c r="J191" s="1685"/>
      <c r="K191" s="1685"/>
      <c r="L191" s="1685"/>
      <c r="M191" s="1685"/>
    </row>
    <row r="192" spans="1:13" ht="47.25" customHeight="1">
      <c r="A192" s="1685" t="s">
        <v>3588</v>
      </c>
      <c r="B192" s="1685"/>
      <c r="C192" s="1685"/>
      <c r="D192" s="1685"/>
      <c r="E192" s="1685"/>
      <c r="F192" s="1685"/>
      <c r="G192" s="1685"/>
      <c r="H192" s="1685"/>
      <c r="I192" s="1685"/>
      <c r="J192" s="1685"/>
      <c r="K192" s="1685"/>
      <c r="L192" s="1685"/>
      <c r="M192" s="1685"/>
    </row>
    <row r="193" spans="1:13" ht="343.5" customHeight="1">
      <c r="A193" s="1685" t="s">
        <v>3589</v>
      </c>
      <c r="B193" s="1685"/>
      <c r="C193" s="1685"/>
      <c r="D193" s="1685"/>
      <c r="E193" s="1685"/>
      <c r="F193" s="1685"/>
      <c r="G193" s="1685"/>
      <c r="H193" s="1685"/>
      <c r="I193" s="1685"/>
      <c r="J193" s="1685"/>
      <c r="K193" s="1685"/>
      <c r="L193" s="1685"/>
      <c r="M193" s="1685"/>
    </row>
    <row r="194" spans="1:13" ht="48" customHeight="1">
      <c r="A194" s="1685" t="s">
        <v>3590</v>
      </c>
      <c r="B194" s="1685"/>
      <c r="C194" s="1685"/>
      <c r="D194" s="1685"/>
      <c r="E194" s="1685"/>
      <c r="F194" s="1685"/>
      <c r="G194" s="1685"/>
      <c r="H194" s="1685"/>
      <c r="I194" s="1685"/>
      <c r="J194" s="1685"/>
      <c r="K194" s="1685"/>
      <c r="L194" s="1685"/>
      <c r="M194" s="1685"/>
    </row>
    <row r="195" spans="1:13" ht="86.25" customHeight="1">
      <c r="A195" s="1685" t="s">
        <v>3591</v>
      </c>
      <c r="B195" s="1685"/>
      <c r="C195" s="1685"/>
      <c r="D195" s="1685"/>
      <c r="E195" s="1685"/>
      <c r="F195" s="1685"/>
      <c r="G195" s="1685"/>
      <c r="H195" s="1685"/>
      <c r="I195" s="1685"/>
      <c r="J195" s="1685"/>
      <c r="K195" s="1685"/>
      <c r="L195" s="1685"/>
      <c r="M195" s="1685"/>
    </row>
    <row r="196" spans="1:13" ht="12.75" customHeight="1">
      <c r="A196" s="1689" t="s">
        <v>3592</v>
      </c>
      <c r="B196" s="1689"/>
      <c r="C196" s="1689"/>
      <c r="D196" s="1689"/>
      <c r="E196" s="1689"/>
      <c r="F196" s="1689"/>
      <c r="G196" s="1689"/>
      <c r="H196" s="1689"/>
      <c r="I196" s="1689"/>
      <c r="J196" s="1689"/>
      <c r="K196" s="1689"/>
      <c r="L196" s="1689"/>
      <c r="M196" s="1689"/>
    </row>
    <row r="197" spans="1:13" ht="51.75" customHeight="1">
      <c r="A197" s="1685" t="s">
        <v>3593</v>
      </c>
      <c r="B197" s="1685"/>
      <c r="C197" s="1685"/>
      <c r="D197" s="1685"/>
      <c r="E197" s="1685"/>
      <c r="F197" s="1685"/>
      <c r="G197" s="1685"/>
      <c r="H197" s="1685"/>
      <c r="I197" s="1685"/>
      <c r="J197" s="1685"/>
      <c r="K197" s="1685"/>
      <c r="L197" s="1685"/>
      <c r="M197" s="1685"/>
    </row>
    <row r="198" spans="1:13" ht="12.75" customHeight="1">
      <c r="A198" s="1689" t="s">
        <v>3594</v>
      </c>
      <c r="B198" s="1689"/>
      <c r="C198" s="1689"/>
      <c r="D198" s="1689"/>
      <c r="E198" s="1689"/>
      <c r="F198" s="1689"/>
      <c r="G198" s="1689"/>
      <c r="H198" s="1689"/>
      <c r="I198" s="1689"/>
      <c r="J198" s="1689"/>
      <c r="K198" s="1689"/>
      <c r="L198" s="1689"/>
      <c r="M198" s="1689"/>
    </row>
    <row r="199" spans="1:13" ht="44.25" customHeight="1">
      <c r="A199" s="1689" t="s">
        <v>3595</v>
      </c>
      <c r="B199" s="1689"/>
      <c r="C199" s="1689"/>
      <c r="D199" s="1689"/>
      <c r="E199" s="1689"/>
      <c r="F199" s="1689"/>
      <c r="G199" s="1689"/>
      <c r="H199" s="1689"/>
      <c r="I199" s="1689"/>
      <c r="J199" s="1689"/>
      <c r="K199" s="1689"/>
      <c r="L199" s="1689"/>
      <c r="M199" s="1689"/>
    </row>
    <row r="200" spans="1:13" ht="64.5" customHeight="1">
      <c r="A200" s="1685" t="s">
        <v>3596</v>
      </c>
      <c r="B200" s="1685"/>
      <c r="C200" s="1685"/>
      <c r="D200" s="1685"/>
      <c r="E200" s="1685"/>
      <c r="F200" s="1685"/>
      <c r="G200" s="1685"/>
      <c r="H200" s="1685"/>
      <c r="I200" s="1685"/>
      <c r="J200" s="1685"/>
      <c r="K200" s="1685"/>
      <c r="L200" s="1685"/>
      <c r="M200" s="1685"/>
    </row>
    <row r="201" spans="1:13" ht="51" customHeight="1">
      <c r="A201" s="1685" t="s">
        <v>3597</v>
      </c>
      <c r="B201" s="1685"/>
      <c r="C201" s="1685"/>
      <c r="D201" s="1685"/>
      <c r="E201" s="1685"/>
      <c r="F201" s="1685"/>
      <c r="G201" s="1685"/>
      <c r="H201" s="1685"/>
      <c r="I201" s="1685"/>
      <c r="J201" s="1685"/>
      <c r="K201" s="1685"/>
      <c r="L201" s="1685"/>
      <c r="M201" s="1685"/>
    </row>
    <row r="202" spans="1:13" ht="164.25" customHeight="1">
      <c r="A202" s="1685" t="s">
        <v>3598</v>
      </c>
      <c r="B202" s="1685"/>
      <c r="C202" s="1685"/>
      <c r="D202" s="1685"/>
      <c r="E202" s="1685"/>
      <c r="F202" s="1685"/>
      <c r="G202" s="1685"/>
      <c r="H202" s="1685"/>
      <c r="I202" s="1685"/>
      <c r="J202" s="1685"/>
      <c r="K202" s="1685"/>
      <c r="L202" s="1685"/>
      <c r="M202" s="1685"/>
    </row>
    <row r="203" spans="1:13" ht="51" customHeight="1">
      <c r="A203" s="1685" t="s">
        <v>3599</v>
      </c>
      <c r="B203" s="1685"/>
      <c r="C203" s="1685"/>
      <c r="D203" s="1685"/>
      <c r="E203" s="1685"/>
      <c r="F203" s="1685"/>
      <c r="G203" s="1685"/>
      <c r="H203" s="1685"/>
      <c r="I203" s="1685"/>
      <c r="J203" s="1685"/>
      <c r="K203" s="1685"/>
      <c r="L203" s="1685"/>
      <c r="M203" s="1685"/>
    </row>
    <row r="204" spans="1:13" ht="24" customHeight="1">
      <c r="A204" s="1685" t="s">
        <v>3600</v>
      </c>
      <c r="B204" s="1685"/>
      <c r="C204" s="1685"/>
      <c r="D204" s="1685"/>
      <c r="E204" s="1685"/>
      <c r="F204" s="1685"/>
      <c r="G204" s="1685"/>
      <c r="H204" s="1685"/>
      <c r="I204" s="1685"/>
      <c r="J204" s="1685"/>
      <c r="K204" s="1685"/>
      <c r="L204" s="1685"/>
      <c r="M204" s="1685"/>
    </row>
    <row r="205" spans="1:13" ht="60" customHeight="1">
      <c r="A205" s="1685" t="s">
        <v>3601</v>
      </c>
      <c r="B205" s="1685"/>
      <c r="C205" s="1685"/>
      <c r="D205" s="1685"/>
      <c r="E205" s="1685"/>
      <c r="F205" s="1685"/>
      <c r="G205" s="1685"/>
      <c r="H205" s="1685"/>
      <c r="I205" s="1685"/>
      <c r="J205" s="1685"/>
      <c r="K205" s="1685"/>
      <c r="L205" s="1685"/>
      <c r="M205" s="1685"/>
    </row>
    <row r="206" spans="1:13" ht="12.75" customHeight="1">
      <c r="A206" s="1685" t="s">
        <v>3602</v>
      </c>
      <c r="B206" s="1685"/>
      <c r="C206" s="1685"/>
      <c r="D206" s="1685"/>
      <c r="E206" s="1685"/>
      <c r="F206" s="1685"/>
      <c r="G206" s="1685"/>
      <c r="H206" s="1685"/>
      <c r="I206" s="1685"/>
      <c r="J206" s="1685"/>
      <c r="K206" s="1685"/>
      <c r="L206" s="1685"/>
      <c r="M206" s="1685"/>
    </row>
    <row r="207" spans="1:13" ht="24" customHeight="1">
      <c r="A207" s="1685" t="s">
        <v>3603</v>
      </c>
      <c r="B207" s="1685"/>
      <c r="C207" s="1685"/>
      <c r="D207" s="1685"/>
      <c r="E207" s="1685"/>
      <c r="F207" s="1685"/>
      <c r="G207" s="1685"/>
      <c r="H207" s="1685"/>
      <c r="I207" s="1685"/>
      <c r="J207" s="1685"/>
      <c r="K207" s="1685"/>
      <c r="L207" s="1685"/>
      <c r="M207" s="1685"/>
    </row>
    <row r="208" spans="1:13" ht="72" customHeight="1">
      <c r="A208" s="1685" t="s">
        <v>3604</v>
      </c>
      <c r="B208" s="1685"/>
      <c r="C208" s="1685"/>
      <c r="D208" s="1685"/>
      <c r="E208" s="1685"/>
      <c r="F208" s="1685"/>
      <c r="G208" s="1685"/>
      <c r="H208" s="1685"/>
      <c r="I208" s="1685"/>
      <c r="J208" s="1685"/>
      <c r="K208" s="1685"/>
      <c r="L208" s="1685"/>
      <c r="M208" s="1685"/>
    </row>
    <row r="209" spans="1:13" ht="24" customHeight="1">
      <c r="A209" s="1685" t="s">
        <v>3605</v>
      </c>
      <c r="B209" s="1685"/>
      <c r="C209" s="1685"/>
      <c r="D209" s="1685"/>
      <c r="E209" s="1685"/>
      <c r="F209" s="1685"/>
      <c r="G209" s="1685"/>
      <c r="H209" s="1685"/>
      <c r="I209" s="1685"/>
      <c r="J209" s="1685"/>
      <c r="K209" s="1685"/>
      <c r="L209" s="1685"/>
      <c r="M209" s="1685"/>
    </row>
    <row r="210" spans="1:13" ht="36" customHeight="1">
      <c r="A210" s="1685" t="s">
        <v>3606</v>
      </c>
      <c r="B210" s="1685"/>
      <c r="C210" s="1685"/>
      <c r="D210" s="1685"/>
      <c r="E210" s="1685"/>
      <c r="F210" s="1685"/>
      <c r="G210" s="1685"/>
      <c r="H210" s="1685"/>
      <c r="I210" s="1685"/>
      <c r="J210" s="1685"/>
      <c r="K210" s="1685"/>
      <c r="L210" s="1685"/>
      <c r="M210" s="1685"/>
    </row>
    <row r="211" spans="1:13" ht="51.75" customHeight="1">
      <c r="A211" s="1685" t="s">
        <v>3607</v>
      </c>
      <c r="B211" s="1685"/>
      <c r="C211" s="1685"/>
      <c r="D211" s="1685"/>
      <c r="E211" s="1685"/>
      <c r="F211" s="1685"/>
      <c r="G211" s="1685"/>
      <c r="H211" s="1685"/>
      <c r="I211" s="1685"/>
      <c r="J211" s="1685"/>
      <c r="K211" s="1685"/>
      <c r="L211" s="1685"/>
      <c r="M211" s="1685"/>
    </row>
    <row r="212" spans="1:13" ht="36" customHeight="1">
      <c r="A212" s="1685" t="s">
        <v>3608</v>
      </c>
      <c r="B212" s="1685"/>
      <c r="C212" s="1685"/>
      <c r="D212" s="1685"/>
      <c r="E212" s="1685"/>
      <c r="F212" s="1685"/>
      <c r="G212" s="1685"/>
      <c r="H212" s="1685"/>
      <c r="I212" s="1685"/>
      <c r="J212" s="1685"/>
      <c r="K212" s="1685"/>
      <c r="L212" s="1685"/>
      <c r="M212" s="1685"/>
    </row>
    <row r="213" spans="1:13" ht="24" customHeight="1">
      <c r="A213" s="1685" t="s">
        <v>3609</v>
      </c>
      <c r="B213" s="1685"/>
      <c r="C213" s="1685"/>
      <c r="D213" s="1685"/>
      <c r="E213" s="1685"/>
      <c r="F213" s="1685"/>
      <c r="G213" s="1685"/>
      <c r="H213" s="1685"/>
      <c r="I213" s="1685"/>
      <c r="J213" s="1685"/>
      <c r="K213" s="1685"/>
      <c r="L213" s="1685"/>
      <c r="M213" s="1685"/>
    </row>
    <row r="214" spans="1:13" ht="48" customHeight="1">
      <c r="A214" s="1685" t="s">
        <v>3610</v>
      </c>
      <c r="B214" s="1685"/>
      <c r="C214" s="1685"/>
      <c r="D214" s="1685"/>
      <c r="E214" s="1685"/>
      <c r="F214" s="1685"/>
      <c r="G214" s="1685"/>
      <c r="H214" s="1685"/>
      <c r="I214" s="1685"/>
      <c r="J214" s="1685"/>
      <c r="K214" s="1685"/>
      <c r="L214" s="1685"/>
      <c r="M214" s="1685"/>
    </row>
    <row r="215" spans="1:13" ht="48" customHeight="1">
      <c r="A215" s="1685" t="s">
        <v>3611</v>
      </c>
      <c r="B215" s="1685"/>
      <c r="C215" s="1685"/>
      <c r="D215" s="1685"/>
      <c r="E215" s="1685"/>
      <c r="F215" s="1685"/>
      <c r="G215" s="1685"/>
      <c r="H215" s="1685"/>
      <c r="I215" s="1685"/>
      <c r="J215" s="1685"/>
      <c r="K215" s="1685"/>
      <c r="L215" s="1685"/>
      <c r="M215" s="1685"/>
    </row>
    <row r="216" spans="1:13" ht="242.25" customHeight="1">
      <c r="A216" s="1685" t="s">
        <v>3612</v>
      </c>
      <c r="B216" s="1685"/>
      <c r="C216" s="1685"/>
      <c r="D216" s="1685"/>
      <c r="E216" s="1685"/>
      <c r="F216" s="1685"/>
      <c r="G216" s="1685"/>
      <c r="H216" s="1685"/>
      <c r="I216" s="1685"/>
      <c r="J216" s="1685"/>
      <c r="K216" s="1685"/>
      <c r="L216" s="1685"/>
      <c r="M216" s="1685"/>
    </row>
    <row r="217" spans="1:13" ht="36" customHeight="1">
      <c r="A217" s="1685" t="s">
        <v>3613</v>
      </c>
      <c r="B217" s="1685"/>
      <c r="C217" s="1685"/>
      <c r="D217" s="1685"/>
      <c r="E217" s="1685"/>
      <c r="F217" s="1685"/>
      <c r="G217" s="1685"/>
      <c r="H217" s="1685"/>
      <c r="I217" s="1685"/>
      <c r="J217" s="1685"/>
      <c r="K217" s="1685"/>
      <c r="L217" s="1685"/>
      <c r="M217" s="1685"/>
    </row>
    <row r="218" spans="1:13" ht="48.75" customHeight="1">
      <c r="A218" s="1685" t="s">
        <v>3614</v>
      </c>
      <c r="B218" s="1685"/>
      <c r="C218" s="1685"/>
      <c r="D218" s="1685"/>
      <c r="E218" s="1685"/>
      <c r="F218" s="1685"/>
      <c r="G218" s="1685"/>
      <c r="H218" s="1685"/>
      <c r="I218" s="1685"/>
      <c r="J218" s="1685"/>
      <c r="K218" s="1685"/>
      <c r="L218" s="1685"/>
      <c r="M218" s="1685"/>
    </row>
    <row r="219" spans="1:13" ht="24" customHeight="1">
      <c r="A219" s="1685" t="s">
        <v>3615</v>
      </c>
      <c r="B219" s="1685"/>
      <c r="C219" s="1685"/>
      <c r="D219" s="1685"/>
      <c r="E219" s="1685"/>
      <c r="F219" s="1685"/>
      <c r="G219" s="1685"/>
      <c r="H219" s="1685"/>
      <c r="I219" s="1685"/>
      <c r="J219" s="1685"/>
      <c r="K219" s="1685"/>
      <c r="L219" s="1685"/>
      <c r="M219" s="1685"/>
    </row>
    <row r="220" spans="1:13" ht="129" customHeight="1">
      <c r="A220" s="1685" t="s">
        <v>3616</v>
      </c>
      <c r="B220" s="1685"/>
      <c r="C220" s="1685"/>
      <c r="D220" s="1685"/>
      <c r="E220" s="1685"/>
      <c r="F220" s="1685"/>
      <c r="G220" s="1685"/>
      <c r="H220" s="1685"/>
      <c r="I220" s="1685"/>
      <c r="J220" s="1685"/>
      <c r="K220" s="1685"/>
      <c r="L220" s="1685"/>
      <c r="M220" s="1685"/>
    </row>
    <row r="221" spans="1:13" ht="71.25" customHeight="1">
      <c r="A221" s="1685" t="s">
        <v>3617</v>
      </c>
      <c r="B221" s="1685"/>
      <c r="C221" s="1685"/>
      <c r="D221" s="1685"/>
      <c r="E221" s="1685"/>
      <c r="F221" s="1685"/>
      <c r="G221" s="1685"/>
      <c r="H221" s="1685"/>
      <c r="I221" s="1685"/>
      <c r="J221" s="1685"/>
      <c r="K221" s="1685"/>
      <c r="L221" s="1685"/>
      <c r="M221" s="1685"/>
    </row>
    <row r="222" spans="1:13" ht="12.75" customHeight="1">
      <c r="A222" s="1685" t="s">
        <v>3618</v>
      </c>
      <c r="B222" s="1685"/>
      <c r="C222" s="1685"/>
      <c r="D222" s="1685"/>
      <c r="E222" s="1685"/>
      <c r="F222" s="1685"/>
      <c r="G222" s="1685"/>
      <c r="H222" s="1685"/>
      <c r="I222" s="1685"/>
      <c r="J222" s="1685"/>
      <c r="K222" s="1685"/>
      <c r="L222" s="1685"/>
      <c r="M222" s="1685"/>
    </row>
    <row r="223" spans="1:13" ht="129" customHeight="1">
      <c r="A223" s="1694" t="s">
        <v>3619</v>
      </c>
      <c r="B223" s="1694"/>
      <c r="C223" s="1694"/>
      <c r="D223" s="1694"/>
      <c r="E223" s="1694"/>
      <c r="F223" s="1694"/>
      <c r="G223" s="1694"/>
      <c r="H223" s="1694"/>
      <c r="I223" s="1694"/>
      <c r="J223" s="1694"/>
      <c r="K223" s="1694"/>
      <c r="L223" s="1694"/>
      <c r="M223" s="1694"/>
    </row>
    <row r="224" spans="1:13" ht="48" customHeight="1">
      <c r="A224" s="1685" t="s">
        <v>3620</v>
      </c>
      <c r="B224" s="1685"/>
      <c r="C224" s="1685"/>
      <c r="D224" s="1685"/>
      <c r="E224" s="1685"/>
      <c r="F224" s="1685"/>
      <c r="G224" s="1685"/>
      <c r="H224" s="1685"/>
      <c r="I224" s="1685"/>
      <c r="J224" s="1685"/>
      <c r="K224" s="1685"/>
      <c r="L224" s="1685"/>
      <c r="M224" s="1685"/>
    </row>
    <row r="225" spans="1:13" ht="24" customHeight="1">
      <c r="A225" s="1685" t="s">
        <v>3621</v>
      </c>
      <c r="B225" s="1685"/>
      <c r="C225" s="1685"/>
      <c r="D225" s="1685"/>
      <c r="E225" s="1685"/>
      <c r="F225" s="1685"/>
      <c r="G225" s="1685"/>
      <c r="H225" s="1685"/>
      <c r="I225" s="1685"/>
      <c r="J225" s="1685"/>
      <c r="K225" s="1685"/>
      <c r="L225" s="1685"/>
      <c r="M225" s="1685"/>
    </row>
    <row r="226" spans="1:13" ht="48.75" customHeight="1">
      <c r="A226" s="1685" t="s">
        <v>3622</v>
      </c>
      <c r="B226" s="1685"/>
      <c r="C226" s="1685"/>
      <c r="D226" s="1685"/>
      <c r="E226" s="1685"/>
      <c r="F226" s="1685"/>
      <c r="G226" s="1685"/>
      <c r="H226" s="1685"/>
      <c r="I226" s="1685"/>
      <c r="J226" s="1685"/>
      <c r="K226" s="1685"/>
      <c r="L226" s="1685"/>
      <c r="M226" s="1685"/>
    </row>
    <row r="227" spans="1:13" ht="75.75" customHeight="1">
      <c r="A227" s="1685" t="s">
        <v>3623</v>
      </c>
      <c r="B227" s="1685"/>
      <c r="C227" s="1685"/>
      <c r="D227" s="1685"/>
      <c r="E227" s="1685"/>
      <c r="F227" s="1685"/>
      <c r="G227" s="1685"/>
      <c r="H227" s="1685"/>
      <c r="I227" s="1685"/>
      <c r="J227" s="1685"/>
      <c r="K227" s="1685"/>
      <c r="L227" s="1685"/>
      <c r="M227" s="1685"/>
    </row>
    <row r="228" spans="1:13" ht="27" customHeight="1">
      <c r="A228" s="1695" t="s">
        <v>3624</v>
      </c>
      <c r="B228" s="1695"/>
      <c r="C228" s="1695"/>
      <c r="D228" s="1695"/>
      <c r="E228" s="1695"/>
      <c r="F228" s="1695"/>
      <c r="G228" s="1695"/>
      <c r="H228" s="1695"/>
      <c r="I228" s="1695"/>
      <c r="J228" s="1695"/>
      <c r="K228" s="1695"/>
      <c r="L228" s="1695"/>
      <c r="M228" s="1695"/>
    </row>
    <row r="229" spans="1:13" ht="102" customHeight="1">
      <c r="A229" s="1731" t="s">
        <v>3625</v>
      </c>
      <c r="B229" s="1731"/>
      <c r="C229" s="1731"/>
      <c r="D229" s="1731"/>
      <c r="E229" s="1731"/>
      <c r="F229" s="1731"/>
      <c r="G229" s="1731"/>
      <c r="H229" s="1731"/>
      <c r="I229" s="1731"/>
      <c r="J229" s="1731"/>
      <c r="K229" s="1731"/>
      <c r="L229" s="1731"/>
      <c r="M229" s="1731"/>
    </row>
    <row r="230" spans="1:13" ht="32.25" customHeight="1">
      <c r="A230" s="1689" t="s">
        <v>3626</v>
      </c>
      <c r="B230" s="1689"/>
      <c r="C230" s="1689"/>
      <c r="D230" s="1689"/>
      <c r="E230" s="1689"/>
      <c r="F230" s="1689"/>
      <c r="G230" s="1689"/>
      <c r="H230" s="1689"/>
      <c r="I230" s="1689"/>
      <c r="J230" s="1689"/>
      <c r="K230" s="1689"/>
      <c r="L230" s="1689"/>
      <c r="M230" s="1689"/>
    </row>
    <row r="231" spans="1:13" ht="120" customHeight="1">
      <c r="A231" s="1689" t="s">
        <v>3627</v>
      </c>
      <c r="B231" s="1689"/>
      <c r="C231" s="1689"/>
      <c r="D231" s="1689"/>
      <c r="E231" s="1689"/>
      <c r="F231" s="1689"/>
      <c r="G231" s="1689"/>
      <c r="H231" s="1689"/>
      <c r="I231" s="1689"/>
      <c r="J231" s="1689"/>
      <c r="K231" s="1689"/>
      <c r="L231" s="1689"/>
      <c r="M231" s="1689"/>
    </row>
    <row r="232" spans="1:13" ht="58.5" customHeight="1">
      <c r="A232" s="1685" t="s">
        <v>3628</v>
      </c>
      <c r="B232" s="1685"/>
      <c r="C232" s="1685"/>
      <c r="D232" s="1685"/>
      <c r="E232" s="1685"/>
      <c r="F232" s="1685"/>
      <c r="G232" s="1685"/>
      <c r="H232" s="1685"/>
      <c r="I232" s="1685"/>
      <c r="J232" s="1685"/>
      <c r="K232" s="1685"/>
      <c r="L232" s="1685"/>
      <c r="M232" s="1685"/>
    </row>
    <row r="233" spans="1:13" ht="12.75" customHeight="1">
      <c r="A233" s="1690" t="s">
        <v>3629</v>
      </c>
      <c r="B233" s="1690"/>
      <c r="C233" s="1690"/>
      <c r="D233" s="1690"/>
      <c r="E233" s="1690"/>
      <c r="F233" s="1690"/>
      <c r="G233" s="1690"/>
      <c r="H233" s="1690"/>
      <c r="I233" s="1690"/>
      <c r="J233" s="1690"/>
      <c r="K233" s="1690"/>
      <c r="L233" s="1690"/>
      <c r="M233" s="1690"/>
    </row>
    <row r="234" spans="1:13" ht="12.75" customHeight="1">
      <c r="A234" s="1685" t="s">
        <v>3630</v>
      </c>
      <c r="B234" s="1685"/>
      <c r="C234" s="1685"/>
      <c r="D234" s="1685"/>
      <c r="E234" s="1685"/>
      <c r="F234" s="1685"/>
      <c r="G234" s="1685"/>
      <c r="H234" s="1685"/>
      <c r="I234" s="1685"/>
      <c r="J234" s="1685"/>
      <c r="K234" s="1685"/>
      <c r="L234" s="1685"/>
      <c r="M234" s="1685"/>
    </row>
    <row r="235" spans="1:13" ht="57" customHeight="1">
      <c r="A235" s="1689" t="s">
        <v>3631</v>
      </c>
      <c r="B235" s="1689"/>
      <c r="C235" s="1689"/>
      <c r="D235" s="1689"/>
      <c r="E235" s="1689"/>
      <c r="F235" s="1689"/>
      <c r="G235" s="1689"/>
      <c r="H235" s="1689"/>
      <c r="I235" s="1689"/>
      <c r="J235" s="1689"/>
      <c r="K235" s="1689"/>
      <c r="L235" s="1689"/>
      <c r="M235" s="1689"/>
    </row>
    <row r="236" spans="1:13" ht="24" customHeight="1">
      <c r="A236" s="1689" t="s">
        <v>3632</v>
      </c>
      <c r="B236" s="1689"/>
      <c r="C236" s="1689"/>
      <c r="D236" s="1689"/>
      <c r="E236" s="1689"/>
      <c r="F236" s="1689"/>
      <c r="G236" s="1689"/>
      <c r="H236" s="1689"/>
      <c r="I236" s="1689"/>
      <c r="J236" s="1689"/>
      <c r="K236" s="1689"/>
      <c r="L236" s="1689"/>
      <c r="M236" s="1689"/>
    </row>
    <row r="237" spans="1:13">
      <c r="A237" s="1689" t="s">
        <v>3633</v>
      </c>
      <c r="B237" s="1689"/>
      <c r="C237" s="1689"/>
      <c r="D237" s="1689"/>
      <c r="E237" s="1689"/>
      <c r="F237" s="1689"/>
      <c r="G237" s="1689"/>
      <c r="H237" s="1689"/>
      <c r="I237" s="1689"/>
      <c r="J237" s="1689"/>
      <c r="K237" s="1689"/>
      <c r="L237" s="1689"/>
      <c r="M237" s="1689"/>
    </row>
    <row r="238" spans="1:13" ht="12.75" customHeight="1">
      <c r="A238" s="1689" t="s">
        <v>3634</v>
      </c>
      <c r="B238" s="1689"/>
      <c r="C238" s="1689"/>
      <c r="D238" s="1689"/>
      <c r="E238" s="1689"/>
      <c r="F238" s="1689"/>
      <c r="G238" s="1689"/>
      <c r="H238" s="1689"/>
      <c r="I238" s="1689"/>
      <c r="J238" s="1689"/>
      <c r="K238" s="1689"/>
      <c r="L238" s="1689"/>
      <c r="M238" s="1689"/>
    </row>
    <row r="239" spans="1:13" ht="55.5" customHeight="1">
      <c r="A239" s="1704" t="s">
        <v>3635</v>
      </c>
      <c r="B239" s="1704"/>
      <c r="C239" s="1704"/>
      <c r="D239" s="1704"/>
      <c r="E239" s="1704"/>
      <c r="F239" s="1704"/>
      <c r="G239" s="1704"/>
      <c r="H239" s="1704"/>
      <c r="I239" s="1704"/>
      <c r="J239" s="1704"/>
      <c r="K239" s="1704"/>
      <c r="L239" s="1704"/>
      <c r="M239" s="1704"/>
    </row>
    <row r="240" spans="1:13" ht="52.5" customHeight="1">
      <c r="A240" s="1704" t="s">
        <v>3636</v>
      </c>
      <c r="B240" s="1704"/>
      <c r="C240" s="1704"/>
      <c r="D240" s="1704"/>
      <c r="E240" s="1704"/>
      <c r="F240" s="1704"/>
      <c r="G240" s="1704"/>
      <c r="H240" s="1704"/>
      <c r="I240" s="1704"/>
      <c r="J240" s="1704"/>
      <c r="K240" s="1704"/>
      <c r="L240" s="1704"/>
      <c r="M240" s="1704"/>
    </row>
    <row r="241" spans="1:13" ht="116.25" customHeight="1">
      <c r="A241" s="1685" t="s">
        <v>3637</v>
      </c>
      <c r="B241" s="1685"/>
      <c r="C241" s="1685"/>
      <c r="D241" s="1685"/>
      <c r="E241" s="1685"/>
      <c r="F241" s="1685"/>
      <c r="G241" s="1685"/>
      <c r="H241" s="1685"/>
      <c r="I241" s="1685"/>
      <c r="J241" s="1685"/>
      <c r="K241" s="1685"/>
      <c r="L241" s="1685"/>
      <c r="M241" s="1685"/>
    </row>
    <row r="242" spans="1:13" ht="36.75" customHeight="1">
      <c r="A242" s="1689" t="s">
        <v>3638</v>
      </c>
      <c r="B242" s="1689"/>
      <c r="C242" s="1689"/>
      <c r="D242" s="1689"/>
      <c r="E242" s="1689"/>
      <c r="F242" s="1689"/>
      <c r="G242" s="1689"/>
      <c r="H242" s="1689"/>
      <c r="I242" s="1689"/>
      <c r="J242" s="1689"/>
      <c r="K242" s="1689"/>
      <c r="L242" s="1689"/>
      <c r="M242" s="1689"/>
    </row>
    <row r="243" spans="1:13" ht="48" customHeight="1">
      <c r="A243" s="1689" t="s">
        <v>3639</v>
      </c>
      <c r="B243" s="1689"/>
      <c r="C243" s="1689"/>
      <c r="D243" s="1689"/>
      <c r="E243" s="1689"/>
      <c r="F243" s="1689"/>
      <c r="G243" s="1689"/>
      <c r="H243" s="1689"/>
      <c r="I243" s="1689"/>
      <c r="J243" s="1689"/>
      <c r="K243" s="1689"/>
      <c r="L243" s="1689"/>
      <c r="M243" s="1689"/>
    </row>
    <row r="244" spans="1:13" ht="36" customHeight="1">
      <c r="A244" s="1689" t="s">
        <v>3640</v>
      </c>
      <c r="B244" s="1689"/>
      <c r="C244" s="1689"/>
      <c r="D244" s="1689"/>
      <c r="E244" s="1689"/>
      <c r="F244" s="1689"/>
      <c r="G244" s="1689"/>
      <c r="H244" s="1689"/>
      <c r="I244" s="1689"/>
      <c r="J244" s="1689"/>
      <c r="K244" s="1689"/>
      <c r="L244" s="1689"/>
      <c r="M244" s="1689"/>
    </row>
    <row r="245" spans="1:13" ht="41.25" customHeight="1">
      <c r="A245" s="1689" t="s">
        <v>3641</v>
      </c>
      <c r="B245" s="1689"/>
      <c r="C245" s="1689"/>
      <c r="D245" s="1689"/>
      <c r="E245" s="1689"/>
      <c r="F245" s="1689"/>
      <c r="G245" s="1689"/>
      <c r="H245" s="1689"/>
      <c r="I245" s="1689"/>
      <c r="J245" s="1689"/>
      <c r="K245" s="1689"/>
      <c r="L245" s="1689"/>
      <c r="M245" s="1689"/>
    </row>
    <row r="246" spans="1:13" ht="80.25" customHeight="1">
      <c r="A246" s="1689" t="s">
        <v>3642</v>
      </c>
      <c r="B246" s="1689"/>
      <c r="C246" s="1689"/>
      <c r="D246" s="1689"/>
      <c r="E246" s="1689"/>
      <c r="F246" s="1689"/>
      <c r="G246" s="1689"/>
      <c r="H246" s="1689"/>
      <c r="I246" s="1689"/>
      <c r="J246" s="1689"/>
      <c r="K246" s="1689"/>
      <c r="L246" s="1689"/>
      <c r="M246" s="1689"/>
    </row>
    <row r="247" spans="1:13" ht="24" customHeight="1">
      <c r="A247" s="1689" t="s">
        <v>3643</v>
      </c>
      <c r="B247" s="1689"/>
      <c r="C247" s="1689"/>
      <c r="D247" s="1689"/>
      <c r="E247" s="1689"/>
      <c r="F247" s="1689"/>
      <c r="G247" s="1689"/>
      <c r="H247" s="1689"/>
      <c r="I247" s="1689"/>
      <c r="J247" s="1689"/>
      <c r="K247" s="1689"/>
      <c r="L247" s="1689"/>
      <c r="M247" s="1689"/>
    </row>
    <row r="248" spans="1:13" ht="24" customHeight="1">
      <c r="A248" s="1689" t="s">
        <v>3644</v>
      </c>
      <c r="B248" s="1689"/>
      <c r="C248" s="1689"/>
      <c r="D248" s="1689"/>
      <c r="E248" s="1689"/>
      <c r="F248" s="1689"/>
      <c r="G248" s="1689"/>
      <c r="H248" s="1689"/>
      <c r="I248" s="1689"/>
      <c r="J248" s="1689"/>
      <c r="K248" s="1689"/>
      <c r="L248" s="1689"/>
      <c r="M248" s="1689"/>
    </row>
    <row r="249" spans="1:13" ht="45.75" customHeight="1">
      <c r="A249" s="1689" t="s">
        <v>3645</v>
      </c>
      <c r="B249" s="1689"/>
      <c r="C249" s="1689"/>
      <c r="D249" s="1689"/>
      <c r="E249" s="1689"/>
      <c r="F249" s="1689"/>
      <c r="G249" s="1689"/>
      <c r="H249" s="1689"/>
      <c r="I249" s="1689"/>
      <c r="J249" s="1689"/>
      <c r="K249" s="1689"/>
      <c r="L249" s="1689"/>
      <c r="M249" s="1689"/>
    </row>
    <row r="250" spans="1:13" ht="27" customHeight="1">
      <c r="A250" s="1689" t="s">
        <v>3646</v>
      </c>
      <c r="B250" s="1689"/>
      <c r="C250" s="1689"/>
      <c r="D250" s="1689"/>
      <c r="E250" s="1689"/>
      <c r="F250" s="1689"/>
      <c r="G250" s="1689"/>
      <c r="H250" s="1689"/>
      <c r="I250" s="1689"/>
      <c r="J250" s="1689"/>
      <c r="K250" s="1689"/>
      <c r="L250" s="1689"/>
      <c r="M250" s="1689"/>
    </row>
    <row r="251" spans="1:13" ht="51.75" customHeight="1">
      <c r="A251" s="1689" t="s">
        <v>3647</v>
      </c>
      <c r="B251" s="1689"/>
      <c r="C251" s="1689"/>
      <c r="D251" s="1689"/>
      <c r="E251" s="1689"/>
      <c r="F251" s="1689"/>
      <c r="G251" s="1689"/>
      <c r="H251" s="1689"/>
      <c r="I251" s="1689"/>
      <c r="J251" s="1689"/>
      <c r="K251" s="1689"/>
      <c r="L251" s="1689"/>
      <c r="M251" s="1689"/>
    </row>
    <row r="252" spans="1:13" ht="57.75" customHeight="1">
      <c r="A252" s="1689" t="s">
        <v>3648</v>
      </c>
      <c r="B252" s="1689"/>
      <c r="C252" s="1689"/>
      <c r="D252" s="1689"/>
      <c r="E252" s="1689"/>
      <c r="F252" s="1689"/>
      <c r="G252" s="1689"/>
      <c r="H252" s="1689"/>
      <c r="I252" s="1689"/>
      <c r="J252" s="1689"/>
      <c r="K252" s="1689"/>
      <c r="L252" s="1689"/>
      <c r="M252" s="1689"/>
    </row>
    <row r="253" spans="1:13" ht="35.25" customHeight="1">
      <c r="A253" s="1689" t="s">
        <v>3649</v>
      </c>
      <c r="B253" s="1689"/>
      <c r="C253" s="1689"/>
      <c r="D253" s="1689"/>
      <c r="E253" s="1689"/>
      <c r="F253" s="1689"/>
      <c r="G253" s="1689"/>
      <c r="H253" s="1689"/>
      <c r="I253" s="1689"/>
      <c r="J253" s="1689"/>
      <c r="K253" s="1689"/>
      <c r="L253" s="1689"/>
      <c r="M253" s="1689"/>
    </row>
    <row r="254" spans="1:13" ht="17.25" customHeight="1">
      <c r="A254" s="1689" t="s">
        <v>3650</v>
      </c>
      <c r="B254" s="1689"/>
      <c r="C254" s="1689"/>
      <c r="D254" s="1689"/>
      <c r="E254" s="1689"/>
      <c r="F254" s="1689"/>
      <c r="G254" s="1689"/>
      <c r="H254" s="1689"/>
      <c r="I254" s="1689"/>
      <c r="J254" s="1689"/>
      <c r="K254" s="1689"/>
      <c r="L254" s="1689"/>
      <c r="M254" s="1689"/>
    </row>
    <row r="255" spans="1:13" ht="32.25" customHeight="1">
      <c r="A255" s="1689" t="s">
        <v>3651</v>
      </c>
      <c r="B255" s="1689"/>
      <c r="C255" s="1689"/>
      <c r="D255" s="1689"/>
      <c r="E255" s="1689"/>
      <c r="F255" s="1689"/>
      <c r="G255" s="1689"/>
      <c r="H255" s="1689"/>
      <c r="I255" s="1689"/>
      <c r="J255" s="1689"/>
      <c r="K255" s="1689"/>
      <c r="L255" s="1689"/>
      <c r="M255" s="1689"/>
    </row>
    <row r="256" spans="1:13" ht="83.25" customHeight="1">
      <c r="A256" s="1704" t="s">
        <v>3652</v>
      </c>
      <c r="B256" s="1704"/>
      <c r="C256" s="1704"/>
      <c r="D256" s="1704"/>
      <c r="E256" s="1704"/>
      <c r="F256" s="1704"/>
      <c r="G256" s="1704"/>
      <c r="H256" s="1704"/>
      <c r="I256" s="1704"/>
      <c r="J256" s="1704"/>
      <c r="K256" s="1704"/>
      <c r="L256" s="1704"/>
      <c r="M256" s="1704"/>
    </row>
    <row r="257" spans="1:13" ht="73.5" customHeight="1">
      <c r="A257" s="1685" t="s">
        <v>3653</v>
      </c>
      <c r="B257" s="1685"/>
      <c r="C257" s="1685"/>
      <c r="D257" s="1685"/>
      <c r="E257" s="1685"/>
      <c r="F257" s="1685"/>
      <c r="G257" s="1685"/>
      <c r="H257" s="1685"/>
      <c r="I257" s="1685"/>
      <c r="J257" s="1685"/>
      <c r="K257" s="1685"/>
      <c r="L257" s="1685"/>
      <c r="M257" s="1685"/>
    </row>
    <row r="258" spans="1:13" ht="75" customHeight="1">
      <c r="A258" s="1704" t="s">
        <v>3654</v>
      </c>
      <c r="B258" s="1704"/>
      <c r="C258" s="1704"/>
      <c r="D258" s="1704"/>
      <c r="E258" s="1704"/>
      <c r="F258" s="1704"/>
      <c r="G258" s="1704"/>
      <c r="H258" s="1704"/>
      <c r="I258" s="1704"/>
      <c r="J258" s="1704"/>
      <c r="K258" s="1704"/>
      <c r="L258" s="1704"/>
      <c r="M258" s="1704"/>
    </row>
    <row r="259" spans="1:13" ht="24" customHeight="1">
      <c r="A259" s="1689" t="s">
        <v>3655</v>
      </c>
      <c r="B259" s="1689"/>
      <c r="C259" s="1689"/>
      <c r="D259" s="1689"/>
      <c r="E259" s="1689"/>
      <c r="F259" s="1689"/>
      <c r="G259" s="1689"/>
      <c r="H259" s="1689"/>
      <c r="I259" s="1689"/>
      <c r="J259" s="1689"/>
      <c r="K259" s="1689"/>
      <c r="L259" s="1689"/>
      <c r="M259" s="1689"/>
    </row>
    <row r="260" spans="1:13" ht="40.5" customHeight="1">
      <c r="A260" s="1689" t="s">
        <v>3656</v>
      </c>
      <c r="B260" s="1689"/>
      <c r="C260" s="1689"/>
      <c r="D260" s="1689"/>
      <c r="E260" s="1689"/>
      <c r="F260" s="1689"/>
      <c r="G260" s="1689"/>
      <c r="H260" s="1689"/>
      <c r="I260" s="1689"/>
      <c r="J260" s="1689"/>
      <c r="K260" s="1689"/>
      <c r="L260" s="1689"/>
      <c r="M260" s="1689"/>
    </row>
    <row r="261" spans="1:13" ht="72.75" customHeight="1">
      <c r="A261" s="1689" t="s">
        <v>3657</v>
      </c>
      <c r="B261" s="1689"/>
      <c r="C261" s="1689"/>
      <c r="D261" s="1689"/>
      <c r="E261" s="1689"/>
      <c r="F261" s="1689"/>
      <c r="G261" s="1689"/>
      <c r="H261" s="1689"/>
      <c r="I261" s="1689"/>
      <c r="J261" s="1689"/>
      <c r="K261" s="1689"/>
      <c r="L261" s="1689"/>
      <c r="M261" s="1689"/>
    </row>
    <row r="262" spans="1:13" ht="29.25" customHeight="1">
      <c r="A262" s="1689" t="s">
        <v>3658</v>
      </c>
      <c r="B262" s="1689"/>
      <c r="C262" s="1689"/>
      <c r="D262" s="1689"/>
      <c r="E262" s="1689"/>
      <c r="F262" s="1689"/>
      <c r="G262" s="1689"/>
      <c r="H262" s="1689"/>
      <c r="I262" s="1689"/>
      <c r="J262" s="1689"/>
      <c r="K262" s="1689"/>
      <c r="L262" s="1689"/>
      <c r="M262" s="1689"/>
    </row>
    <row r="263" spans="1:13" ht="24" customHeight="1">
      <c r="A263" s="1689" t="s">
        <v>3659</v>
      </c>
      <c r="B263" s="1689"/>
      <c r="C263" s="1689"/>
      <c r="D263" s="1689"/>
      <c r="E263" s="1689"/>
      <c r="F263" s="1689"/>
      <c r="G263" s="1689"/>
      <c r="H263" s="1689"/>
      <c r="I263" s="1689"/>
      <c r="J263" s="1689"/>
      <c r="K263" s="1689"/>
      <c r="L263" s="1689"/>
      <c r="M263" s="1689"/>
    </row>
    <row r="264" spans="1:13" ht="12.75" customHeight="1">
      <c r="A264" s="1689" t="s">
        <v>3660</v>
      </c>
      <c r="B264" s="1689"/>
      <c r="C264" s="1689"/>
      <c r="D264" s="1689"/>
      <c r="E264" s="1689"/>
      <c r="F264" s="1689"/>
      <c r="G264" s="1689"/>
      <c r="H264" s="1689"/>
      <c r="I264" s="1689"/>
      <c r="J264" s="1689"/>
      <c r="K264" s="1689"/>
      <c r="L264" s="1689"/>
      <c r="M264" s="1689"/>
    </row>
    <row r="265" spans="1:13" ht="31.5" customHeight="1">
      <c r="A265" s="1689" t="s">
        <v>3661</v>
      </c>
      <c r="B265" s="1689"/>
      <c r="C265" s="1689"/>
      <c r="D265" s="1689"/>
      <c r="E265" s="1689"/>
      <c r="F265" s="1689"/>
      <c r="G265" s="1689"/>
      <c r="H265" s="1689"/>
      <c r="I265" s="1689"/>
      <c r="J265" s="1689"/>
      <c r="K265" s="1689"/>
      <c r="L265" s="1689"/>
      <c r="M265" s="1689"/>
    </row>
    <row r="266" spans="1:13" ht="29.25" customHeight="1">
      <c r="A266" s="1689" t="s">
        <v>3662</v>
      </c>
      <c r="B266" s="1689"/>
      <c r="C266" s="1689"/>
      <c r="D266" s="1689"/>
      <c r="E266" s="1689"/>
      <c r="F266" s="1689"/>
      <c r="G266" s="1689"/>
      <c r="H266" s="1689"/>
      <c r="I266" s="1689"/>
      <c r="J266" s="1689"/>
      <c r="K266" s="1689"/>
      <c r="L266" s="1689"/>
      <c r="M266" s="1689"/>
    </row>
    <row r="267" spans="1:13" ht="18.75" customHeight="1">
      <c r="A267" s="1689" t="s">
        <v>3663</v>
      </c>
      <c r="B267" s="1689"/>
      <c r="C267" s="1689"/>
      <c r="D267" s="1689"/>
      <c r="E267" s="1689"/>
      <c r="F267" s="1689"/>
      <c r="G267" s="1689"/>
      <c r="H267" s="1689"/>
      <c r="I267" s="1689"/>
      <c r="J267" s="1689"/>
      <c r="K267" s="1689"/>
      <c r="L267" s="1689"/>
      <c r="M267" s="1689"/>
    </row>
    <row r="268" spans="1:13" ht="15.75" customHeight="1">
      <c r="A268" s="1689" t="s">
        <v>3664</v>
      </c>
      <c r="B268" s="1689"/>
      <c r="C268" s="1689"/>
      <c r="D268" s="1689"/>
      <c r="E268" s="1689"/>
      <c r="F268" s="1689"/>
      <c r="G268" s="1689"/>
      <c r="H268" s="1689"/>
      <c r="I268" s="1689"/>
      <c r="J268" s="1689"/>
      <c r="K268" s="1689"/>
      <c r="L268" s="1689"/>
      <c r="M268" s="1689"/>
    </row>
    <row r="269" spans="1:13" ht="18.75" customHeight="1">
      <c r="A269" s="1689" t="s">
        <v>3665</v>
      </c>
      <c r="B269" s="1689"/>
      <c r="C269" s="1689"/>
      <c r="D269" s="1689"/>
      <c r="E269" s="1689"/>
      <c r="F269" s="1689"/>
      <c r="G269" s="1689"/>
      <c r="H269" s="1689"/>
      <c r="I269" s="1689"/>
      <c r="J269" s="1689"/>
      <c r="K269" s="1689"/>
      <c r="L269" s="1689"/>
      <c r="M269" s="1689"/>
    </row>
    <row r="270" spans="1:13" ht="12.75" customHeight="1">
      <c r="A270" s="1689" t="s">
        <v>3666</v>
      </c>
      <c r="B270" s="1689"/>
      <c r="C270" s="1689"/>
      <c r="D270" s="1689"/>
      <c r="E270" s="1689"/>
      <c r="F270" s="1689"/>
      <c r="G270" s="1689"/>
      <c r="H270" s="1689"/>
      <c r="I270" s="1689"/>
      <c r="J270" s="1689"/>
      <c r="K270" s="1689"/>
      <c r="L270" s="1689"/>
      <c r="M270" s="1689"/>
    </row>
    <row r="271" spans="1:13" ht="12.75" customHeight="1">
      <c r="A271" s="1689" t="s">
        <v>3667</v>
      </c>
      <c r="B271" s="1689"/>
      <c r="C271" s="1689"/>
      <c r="D271" s="1689"/>
      <c r="E271" s="1689"/>
      <c r="F271" s="1689"/>
      <c r="G271" s="1689"/>
      <c r="H271" s="1689"/>
      <c r="I271" s="1689"/>
      <c r="J271" s="1689"/>
      <c r="K271" s="1689"/>
      <c r="L271" s="1689"/>
      <c r="M271" s="1689"/>
    </row>
    <row r="272" spans="1:13" ht="12.75" customHeight="1">
      <c r="A272" s="1689" t="s">
        <v>3668</v>
      </c>
      <c r="B272" s="1689"/>
      <c r="C272" s="1689"/>
      <c r="D272" s="1689"/>
      <c r="E272" s="1689"/>
      <c r="F272" s="1689"/>
      <c r="G272" s="1689"/>
      <c r="H272" s="1689"/>
      <c r="I272" s="1689"/>
      <c r="J272" s="1689"/>
      <c r="K272" s="1689"/>
      <c r="L272" s="1689"/>
      <c r="M272" s="1689"/>
    </row>
    <row r="273" spans="1:13" ht="12.75" customHeight="1">
      <c r="A273" s="1689" t="s">
        <v>3669</v>
      </c>
      <c r="B273" s="1689"/>
      <c r="C273" s="1689"/>
      <c r="D273" s="1689"/>
      <c r="E273" s="1689"/>
      <c r="F273" s="1689"/>
      <c r="G273" s="1689"/>
      <c r="H273" s="1689"/>
      <c r="I273" s="1689"/>
      <c r="J273" s="1689"/>
      <c r="K273" s="1689"/>
      <c r="L273" s="1689"/>
      <c r="M273" s="1689"/>
    </row>
    <row r="274" spans="1:13" ht="18.75" customHeight="1">
      <c r="A274" s="1689" t="s">
        <v>3670</v>
      </c>
      <c r="B274" s="1689"/>
      <c r="C274" s="1689"/>
      <c r="D274" s="1689"/>
      <c r="E274" s="1689"/>
      <c r="F274" s="1689"/>
      <c r="G274" s="1689"/>
      <c r="H274" s="1689"/>
      <c r="I274" s="1689"/>
      <c r="J274" s="1689"/>
      <c r="K274" s="1689"/>
      <c r="L274" s="1689"/>
      <c r="M274" s="1689"/>
    </row>
    <row r="275" spans="1:13" ht="27.75" customHeight="1">
      <c r="A275" s="1689" t="s">
        <v>3671</v>
      </c>
      <c r="B275" s="1689"/>
      <c r="C275" s="1689"/>
      <c r="D275" s="1689"/>
      <c r="E275" s="1689"/>
      <c r="F275" s="1689"/>
      <c r="G275" s="1689"/>
      <c r="H275" s="1689"/>
      <c r="I275" s="1689"/>
      <c r="J275" s="1689"/>
      <c r="K275" s="1689"/>
      <c r="L275" s="1689"/>
      <c r="M275" s="1689"/>
    </row>
    <row r="276" spans="1:13" ht="33.75" customHeight="1">
      <c r="A276" s="1689" t="s">
        <v>3672</v>
      </c>
      <c r="B276" s="1689"/>
      <c r="C276" s="1689"/>
      <c r="D276" s="1689"/>
      <c r="E276" s="1689"/>
      <c r="F276" s="1689"/>
      <c r="G276" s="1689"/>
      <c r="H276" s="1689"/>
      <c r="I276" s="1689"/>
      <c r="J276" s="1689"/>
      <c r="K276" s="1689"/>
      <c r="L276" s="1689"/>
      <c r="M276" s="1689"/>
    </row>
    <row r="277" spans="1:13" ht="12.75" customHeight="1">
      <c r="A277" s="1689" t="s">
        <v>3673</v>
      </c>
      <c r="B277" s="1689"/>
      <c r="C277" s="1689"/>
      <c r="D277" s="1689"/>
      <c r="E277" s="1689"/>
      <c r="F277" s="1689"/>
      <c r="G277" s="1689"/>
      <c r="H277" s="1689"/>
      <c r="I277" s="1689"/>
      <c r="J277" s="1689"/>
      <c r="K277" s="1689"/>
      <c r="L277" s="1689"/>
      <c r="M277" s="1689"/>
    </row>
    <row r="278" spans="1:13" ht="93.75" customHeight="1">
      <c r="A278" s="1689" t="s">
        <v>3674</v>
      </c>
      <c r="B278" s="1689"/>
      <c r="C278" s="1689"/>
      <c r="D278" s="1689"/>
      <c r="E278" s="1689"/>
      <c r="F278" s="1689"/>
      <c r="G278" s="1689"/>
      <c r="H278" s="1689"/>
      <c r="I278" s="1689"/>
      <c r="J278" s="1689"/>
      <c r="K278" s="1689"/>
      <c r="L278" s="1689"/>
      <c r="M278" s="1689"/>
    </row>
    <row r="279" spans="1:13" ht="79.5" customHeight="1">
      <c r="A279" s="1689" t="s">
        <v>3675</v>
      </c>
      <c r="B279" s="1689"/>
      <c r="C279" s="1689"/>
      <c r="D279" s="1689"/>
      <c r="E279" s="1689"/>
      <c r="F279" s="1689"/>
      <c r="G279" s="1689"/>
      <c r="H279" s="1689"/>
      <c r="I279" s="1689"/>
      <c r="J279" s="1689"/>
      <c r="K279" s="1689"/>
      <c r="L279" s="1689"/>
      <c r="M279" s="1689"/>
    </row>
    <row r="280" spans="1:13" ht="55.5" customHeight="1">
      <c r="A280" s="1689" t="s">
        <v>3676</v>
      </c>
      <c r="B280" s="1689"/>
      <c r="C280" s="1689"/>
      <c r="D280" s="1689"/>
      <c r="E280" s="1689"/>
      <c r="F280" s="1689"/>
      <c r="G280" s="1689"/>
      <c r="H280" s="1689"/>
      <c r="I280" s="1689"/>
      <c r="J280" s="1689"/>
      <c r="K280" s="1689"/>
      <c r="L280" s="1689"/>
      <c r="M280" s="1689"/>
    </row>
    <row r="281" spans="1:13" ht="71.25" customHeight="1">
      <c r="A281" s="1689" t="s">
        <v>3677</v>
      </c>
      <c r="B281" s="1689"/>
      <c r="C281" s="1689"/>
      <c r="D281" s="1689"/>
      <c r="E281" s="1689"/>
      <c r="F281" s="1689"/>
      <c r="G281" s="1689"/>
      <c r="H281" s="1689"/>
      <c r="I281" s="1689"/>
      <c r="J281" s="1689"/>
      <c r="K281" s="1689"/>
      <c r="L281" s="1689"/>
      <c r="M281" s="1689"/>
    </row>
    <row r="282" spans="1:13" ht="17.25" customHeight="1">
      <c r="A282" s="1689" t="s">
        <v>3678</v>
      </c>
      <c r="B282" s="1689"/>
      <c r="C282" s="1689"/>
      <c r="D282" s="1689"/>
      <c r="E282" s="1689"/>
      <c r="F282" s="1689"/>
      <c r="G282" s="1689"/>
      <c r="H282" s="1689"/>
      <c r="I282" s="1689"/>
      <c r="J282" s="1689"/>
      <c r="K282" s="1689"/>
      <c r="L282" s="1689"/>
      <c r="M282" s="1689"/>
    </row>
    <row r="283" spans="1:13" ht="16.5" customHeight="1">
      <c r="A283" s="1689" t="s">
        <v>3679</v>
      </c>
      <c r="B283" s="1689"/>
      <c r="C283" s="1689"/>
      <c r="D283" s="1689"/>
      <c r="E283" s="1689"/>
      <c r="F283" s="1689"/>
      <c r="G283" s="1689"/>
      <c r="H283" s="1689"/>
      <c r="I283" s="1689"/>
      <c r="J283" s="1689"/>
      <c r="K283" s="1689"/>
      <c r="L283" s="1689"/>
      <c r="M283" s="1689"/>
    </row>
    <row r="284" spans="1:13" ht="28.5" customHeight="1">
      <c r="A284" s="1689" t="s">
        <v>3680</v>
      </c>
      <c r="B284" s="1689"/>
      <c r="C284" s="1689"/>
      <c r="D284" s="1689"/>
      <c r="E284" s="1689"/>
      <c r="F284" s="1689"/>
      <c r="G284" s="1689"/>
      <c r="H284" s="1689"/>
      <c r="I284" s="1689"/>
      <c r="J284" s="1689"/>
      <c r="K284" s="1689"/>
      <c r="L284" s="1689"/>
      <c r="M284" s="1689"/>
    </row>
    <row r="285" spans="1:13" ht="16.5" customHeight="1">
      <c r="A285" s="1689" t="s">
        <v>3681</v>
      </c>
      <c r="B285" s="1689"/>
      <c r="C285" s="1689"/>
      <c r="D285" s="1689"/>
      <c r="E285" s="1689"/>
      <c r="F285" s="1689"/>
      <c r="G285" s="1689"/>
      <c r="H285" s="1689"/>
      <c r="I285" s="1689"/>
      <c r="J285" s="1689"/>
      <c r="K285" s="1689"/>
      <c r="L285" s="1689"/>
      <c r="M285" s="1689"/>
    </row>
    <row r="286" spans="1:13" ht="36" customHeight="1">
      <c r="A286" s="1689" t="s">
        <v>3682</v>
      </c>
      <c r="B286" s="1689"/>
      <c r="C286" s="1689"/>
      <c r="D286" s="1689"/>
      <c r="E286" s="1689"/>
      <c r="F286" s="1689"/>
      <c r="G286" s="1689"/>
      <c r="H286" s="1689"/>
      <c r="I286" s="1689"/>
      <c r="J286" s="1689"/>
      <c r="K286" s="1689"/>
      <c r="L286" s="1689"/>
      <c r="M286" s="1689"/>
    </row>
    <row r="287" spans="1:13" ht="36" customHeight="1">
      <c r="A287" s="1689" t="s">
        <v>3683</v>
      </c>
      <c r="B287" s="1689"/>
      <c r="C287" s="1689"/>
      <c r="D287" s="1689"/>
      <c r="E287" s="1689"/>
      <c r="F287" s="1689"/>
      <c r="G287" s="1689"/>
      <c r="H287" s="1689"/>
      <c r="I287" s="1689"/>
      <c r="J287" s="1689"/>
      <c r="K287" s="1689"/>
      <c r="L287" s="1689"/>
      <c r="M287" s="1689"/>
    </row>
    <row r="288" spans="1:13" ht="24" customHeight="1">
      <c r="A288" s="1689" t="s">
        <v>3684</v>
      </c>
      <c r="B288" s="1689"/>
      <c r="C288" s="1689"/>
      <c r="D288" s="1689"/>
      <c r="E288" s="1689"/>
      <c r="F288" s="1689"/>
      <c r="G288" s="1689"/>
      <c r="H288" s="1689"/>
      <c r="I288" s="1689"/>
      <c r="J288" s="1689"/>
      <c r="K288" s="1689"/>
      <c r="L288" s="1689"/>
      <c r="M288" s="1689"/>
    </row>
    <row r="289" spans="1:13" ht="12.75" customHeight="1">
      <c r="A289" s="1689" t="s">
        <v>3685</v>
      </c>
      <c r="B289" s="1689"/>
      <c r="C289" s="1689"/>
      <c r="D289" s="1689"/>
      <c r="E289" s="1689"/>
      <c r="F289" s="1689"/>
      <c r="G289" s="1689"/>
      <c r="H289" s="1689"/>
      <c r="I289" s="1689"/>
      <c r="J289" s="1689"/>
      <c r="K289" s="1689"/>
      <c r="L289" s="1689"/>
      <c r="M289" s="1689"/>
    </row>
    <row r="290" spans="1:13" ht="36" customHeight="1">
      <c r="A290" s="1689" t="s">
        <v>3686</v>
      </c>
      <c r="B290" s="1689"/>
      <c r="C290" s="1689"/>
      <c r="D290" s="1689"/>
      <c r="E290" s="1689"/>
      <c r="F290" s="1689"/>
      <c r="G290" s="1689"/>
      <c r="H290" s="1689"/>
      <c r="I290" s="1689"/>
      <c r="J290" s="1689"/>
      <c r="K290" s="1689"/>
      <c r="L290" s="1689"/>
      <c r="M290" s="1689"/>
    </row>
    <row r="291" spans="1:13" ht="81" customHeight="1">
      <c r="A291" s="1685" t="s">
        <v>3687</v>
      </c>
      <c r="B291" s="1685"/>
      <c r="C291" s="1685"/>
      <c r="D291" s="1685"/>
      <c r="E291" s="1685"/>
      <c r="F291" s="1685"/>
      <c r="G291" s="1685"/>
      <c r="H291" s="1685"/>
      <c r="I291" s="1685"/>
      <c r="J291" s="1685"/>
      <c r="K291" s="1685"/>
      <c r="L291" s="1685"/>
      <c r="M291" s="1685"/>
    </row>
    <row r="292" spans="1:13" ht="81" customHeight="1">
      <c r="A292" s="1689" t="s">
        <v>3688</v>
      </c>
      <c r="B292" s="1689"/>
      <c r="C292" s="1689"/>
      <c r="D292" s="1689"/>
      <c r="E292" s="1689"/>
      <c r="F292" s="1689"/>
      <c r="G292" s="1689"/>
      <c r="H292" s="1689"/>
      <c r="I292" s="1689"/>
      <c r="J292" s="1689"/>
      <c r="K292" s="1689"/>
      <c r="L292" s="1689"/>
      <c r="M292" s="1689"/>
    </row>
    <row r="293" spans="1:13" ht="12.75" customHeight="1">
      <c r="A293" s="1689" t="s">
        <v>3689</v>
      </c>
      <c r="B293" s="1689"/>
      <c r="C293" s="1689"/>
      <c r="D293" s="1689"/>
      <c r="E293" s="1689"/>
      <c r="F293" s="1689"/>
      <c r="G293" s="1689"/>
      <c r="H293" s="1689"/>
      <c r="I293" s="1689"/>
      <c r="J293" s="1689"/>
      <c r="K293" s="1689"/>
      <c r="L293" s="1689"/>
      <c r="M293" s="1689"/>
    </row>
    <row r="294" spans="1:13" ht="30" customHeight="1">
      <c r="A294" s="1689" t="s">
        <v>3690</v>
      </c>
      <c r="B294" s="1689"/>
      <c r="C294" s="1689"/>
      <c r="D294" s="1689"/>
      <c r="E294" s="1689"/>
      <c r="F294" s="1689"/>
      <c r="G294" s="1689"/>
      <c r="H294" s="1689"/>
      <c r="I294" s="1689"/>
      <c r="J294" s="1689"/>
      <c r="K294" s="1689"/>
      <c r="L294" s="1689"/>
      <c r="M294" s="1689"/>
    </row>
    <row r="295" spans="1:13" ht="18.75" customHeight="1">
      <c r="A295" s="1689" t="s">
        <v>3691</v>
      </c>
      <c r="B295" s="1689"/>
      <c r="C295" s="1689"/>
      <c r="D295" s="1689"/>
      <c r="E295" s="1689"/>
      <c r="F295" s="1689"/>
      <c r="G295" s="1689"/>
      <c r="H295" s="1689"/>
      <c r="I295" s="1689"/>
      <c r="J295" s="1689"/>
      <c r="K295" s="1689"/>
      <c r="L295" s="1689"/>
      <c r="M295" s="1689"/>
    </row>
    <row r="296" spans="1:13" ht="16.5" customHeight="1">
      <c r="A296" s="1689" t="s">
        <v>3692</v>
      </c>
      <c r="B296" s="1689"/>
      <c r="C296" s="1689"/>
      <c r="D296" s="1689"/>
      <c r="E296" s="1689"/>
      <c r="F296" s="1689"/>
      <c r="G296" s="1689"/>
      <c r="H296" s="1689"/>
      <c r="I296" s="1689"/>
      <c r="J296" s="1689"/>
      <c r="K296" s="1689"/>
      <c r="L296" s="1689"/>
      <c r="M296" s="1689"/>
    </row>
    <row r="297" spans="1:13" ht="24" customHeight="1">
      <c r="A297" s="1689" t="s">
        <v>3693</v>
      </c>
      <c r="B297" s="1689"/>
      <c r="C297" s="1689"/>
      <c r="D297" s="1689"/>
      <c r="E297" s="1689"/>
      <c r="F297" s="1689"/>
      <c r="G297" s="1689"/>
      <c r="H297" s="1689"/>
      <c r="I297" s="1689"/>
      <c r="J297" s="1689"/>
      <c r="K297" s="1689"/>
      <c r="L297" s="1689"/>
      <c r="M297" s="1689"/>
    </row>
    <row r="298" spans="1:13" ht="12.75" customHeight="1">
      <c r="A298" s="1689" t="s">
        <v>3694</v>
      </c>
      <c r="B298" s="1689"/>
      <c r="C298" s="1689"/>
      <c r="D298" s="1689"/>
      <c r="E298" s="1689"/>
      <c r="F298" s="1689"/>
      <c r="G298" s="1689"/>
      <c r="H298" s="1689"/>
      <c r="I298" s="1689"/>
      <c r="J298" s="1689"/>
      <c r="K298" s="1689"/>
      <c r="L298" s="1689"/>
      <c r="M298" s="1689"/>
    </row>
    <row r="299" spans="1:13" ht="24" customHeight="1">
      <c r="A299" s="1689" t="s">
        <v>3695</v>
      </c>
      <c r="B299" s="1689"/>
      <c r="C299" s="1689"/>
      <c r="D299" s="1689"/>
      <c r="E299" s="1689"/>
      <c r="F299" s="1689"/>
      <c r="G299" s="1689"/>
      <c r="H299" s="1689"/>
      <c r="I299" s="1689"/>
      <c r="J299" s="1689"/>
      <c r="K299" s="1689"/>
      <c r="L299" s="1689"/>
      <c r="M299" s="1689"/>
    </row>
    <row r="300" spans="1:13" ht="24" customHeight="1">
      <c r="A300" s="1689" t="s">
        <v>3696</v>
      </c>
      <c r="B300" s="1689"/>
      <c r="C300" s="1689"/>
      <c r="D300" s="1689"/>
      <c r="E300" s="1689"/>
      <c r="F300" s="1689"/>
      <c r="G300" s="1689"/>
      <c r="H300" s="1689"/>
      <c r="I300" s="1689"/>
      <c r="J300" s="1689"/>
      <c r="K300" s="1689"/>
      <c r="L300" s="1689"/>
      <c r="M300" s="1689"/>
    </row>
    <row r="301" spans="1:13" ht="36" customHeight="1">
      <c r="A301" s="1685" t="s">
        <v>3697</v>
      </c>
      <c r="B301" s="1685"/>
      <c r="C301" s="1685"/>
      <c r="D301" s="1685"/>
      <c r="E301" s="1685"/>
      <c r="F301" s="1685"/>
      <c r="G301" s="1685"/>
      <c r="H301" s="1685"/>
      <c r="I301" s="1685"/>
      <c r="J301" s="1685"/>
      <c r="K301" s="1685"/>
      <c r="L301" s="1685"/>
      <c r="M301" s="1685"/>
    </row>
    <row r="302" spans="1:13" ht="36" customHeight="1">
      <c r="A302" s="1685" t="s">
        <v>3698</v>
      </c>
      <c r="B302" s="1685"/>
      <c r="C302" s="1685"/>
      <c r="D302" s="1685"/>
      <c r="E302" s="1685"/>
      <c r="F302" s="1685"/>
      <c r="G302" s="1685"/>
      <c r="H302" s="1685"/>
      <c r="I302" s="1685"/>
      <c r="J302" s="1685"/>
      <c r="K302" s="1685"/>
      <c r="L302" s="1685"/>
      <c r="M302" s="1685"/>
    </row>
    <row r="303" spans="1:13" ht="12.75" customHeight="1">
      <c r="A303" s="1689" t="s">
        <v>3699</v>
      </c>
      <c r="B303" s="1689"/>
      <c r="C303" s="1689"/>
      <c r="D303" s="1689"/>
      <c r="E303" s="1689"/>
      <c r="F303" s="1689"/>
      <c r="G303" s="1689"/>
      <c r="H303" s="1689"/>
      <c r="I303" s="1689"/>
      <c r="J303" s="1689"/>
      <c r="K303" s="1689"/>
      <c r="L303" s="1689"/>
      <c r="M303" s="1689"/>
    </row>
    <row r="304" spans="1:13" ht="24" customHeight="1">
      <c r="A304" s="1689" t="s">
        <v>3700</v>
      </c>
      <c r="B304" s="1689"/>
      <c r="C304" s="1689"/>
      <c r="D304" s="1689"/>
      <c r="E304" s="1689"/>
      <c r="F304" s="1689"/>
      <c r="G304" s="1689"/>
      <c r="H304" s="1689"/>
      <c r="I304" s="1689"/>
      <c r="J304" s="1689"/>
      <c r="K304" s="1689"/>
      <c r="L304" s="1689"/>
      <c r="M304" s="1689"/>
    </row>
    <row r="305" spans="1:13" ht="24" customHeight="1">
      <c r="A305" s="1689" t="s">
        <v>3701</v>
      </c>
      <c r="B305" s="1689"/>
      <c r="C305" s="1689"/>
      <c r="D305" s="1689"/>
      <c r="E305" s="1689"/>
      <c r="F305" s="1689"/>
      <c r="G305" s="1689"/>
      <c r="H305" s="1689"/>
      <c r="I305" s="1689"/>
      <c r="J305" s="1689"/>
      <c r="K305" s="1689"/>
      <c r="L305" s="1689"/>
      <c r="M305" s="1689"/>
    </row>
    <row r="306" spans="1:13" ht="24" customHeight="1">
      <c r="A306" s="1689" t="s">
        <v>3702</v>
      </c>
      <c r="B306" s="1689"/>
      <c r="C306" s="1689"/>
      <c r="D306" s="1689"/>
      <c r="E306" s="1689"/>
      <c r="F306" s="1689"/>
      <c r="G306" s="1689"/>
      <c r="H306" s="1689"/>
      <c r="I306" s="1689"/>
      <c r="J306" s="1689"/>
      <c r="K306" s="1689"/>
      <c r="L306" s="1689"/>
      <c r="M306" s="1689"/>
    </row>
    <row r="307" spans="1:13" ht="24" customHeight="1">
      <c r="A307" s="1689" t="s">
        <v>3703</v>
      </c>
      <c r="B307" s="1689"/>
      <c r="C307" s="1689"/>
      <c r="D307" s="1689"/>
      <c r="E307" s="1689"/>
      <c r="F307" s="1689"/>
      <c r="G307" s="1689"/>
      <c r="H307" s="1689"/>
      <c r="I307" s="1689"/>
      <c r="J307" s="1689"/>
      <c r="K307" s="1689"/>
      <c r="L307" s="1689"/>
      <c r="M307" s="1689"/>
    </row>
    <row r="308" spans="1:13" ht="12.75" customHeight="1">
      <c r="A308" s="1689" t="s">
        <v>3704</v>
      </c>
      <c r="B308" s="1689"/>
      <c r="C308" s="1689"/>
      <c r="D308" s="1689"/>
      <c r="E308" s="1689"/>
      <c r="F308" s="1689"/>
      <c r="G308" s="1689"/>
      <c r="H308" s="1689"/>
      <c r="I308" s="1689"/>
      <c r="J308" s="1689"/>
      <c r="K308" s="1689"/>
      <c r="L308" s="1689"/>
      <c r="M308" s="1689"/>
    </row>
    <row r="309" spans="1:13" ht="24" customHeight="1">
      <c r="A309" s="1689" t="s">
        <v>3705</v>
      </c>
      <c r="B309" s="1689"/>
      <c r="C309" s="1689"/>
      <c r="D309" s="1689"/>
      <c r="E309" s="1689"/>
      <c r="F309" s="1689"/>
      <c r="G309" s="1689"/>
      <c r="H309" s="1689"/>
      <c r="I309" s="1689"/>
      <c r="J309" s="1689"/>
      <c r="K309" s="1689"/>
      <c r="L309" s="1689"/>
      <c r="M309" s="1689"/>
    </row>
    <row r="310" spans="1:13" ht="24" customHeight="1">
      <c r="A310" s="1689" t="s">
        <v>3706</v>
      </c>
      <c r="B310" s="1689"/>
      <c r="C310" s="1689"/>
      <c r="D310" s="1689"/>
      <c r="E310" s="1689"/>
      <c r="F310" s="1689"/>
      <c r="G310" s="1689"/>
      <c r="H310" s="1689"/>
      <c r="I310" s="1689"/>
      <c r="J310" s="1689"/>
      <c r="K310" s="1689"/>
      <c r="L310" s="1689"/>
      <c r="M310" s="1689"/>
    </row>
    <row r="311" spans="1:13" ht="24" customHeight="1">
      <c r="A311" s="1689" t="s">
        <v>3707</v>
      </c>
      <c r="B311" s="1689"/>
      <c r="C311" s="1689"/>
      <c r="D311" s="1689"/>
      <c r="E311" s="1689"/>
      <c r="F311" s="1689"/>
      <c r="G311" s="1689"/>
      <c r="H311" s="1689"/>
      <c r="I311" s="1689"/>
      <c r="J311" s="1689"/>
      <c r="K311" s="1689"/>
      <c r="L311" s="1689"/>
      <c r="M311" s="1689"/>
    </row>
    <row r="312" spans="1:13" ht="24" customHeight="1">
      <c r="A312" s="1689" t="s">
        <v>3708</v>
      </c>
      <c r="B312" s="1689"/>
      <c r="C312" s="1689"/>
      <c r="D312" s="1689"/>
      <c r="E312" s="1689"/>
      <c r="F312" s="1689"/>
      <c r="G312" s="1689"/>
      <c r="H312" s="1689"/>
      <c r="I312" s="1689"/>
      <c r="J312" s="1689"/>
      <c r="K312" s="1689"/>
      <c r="L312" s="1689"/>
      <c r="M312" s="1689"/>
    </row>
    <row r="313" spans="1:13" ht="12.75" customHeight="1">
      <c r="A313" s="1689" t="s">
        <v>3704</v>
      </c>
      <c r="B313" s="1689"/>
      <c r="C313" s="1689"/>
      <c r="D313" s="1689"/>
      <c r="E313" s="1689"/>
      <c r="F313" s="1689"/>
      <c r="G313" s="1689"/>
      <c r="H313" s="1689"/>
      <c r="I313" s="1689"/>
      <c r="J313" s="1689"/>
      <c r="K313" s="1689"/>
      <c r="L313" s="1689"/>
      <c r="M313" s="1689"/>
    </row>
    <row r="314" spans="1:13" ht="61.5" customHeight="1">
      <c r="A314" s="1685" t="s">
        <v>3709</v>
      </c>
      <c r="B314" s="1685"/>
      <c r="C314" s="1685"/>
      <c r="D314" s="1685"/>
      <c r="E314" s="1685"/>
      <c r="F314" s="1685"/>
      <c r="G314" s="1685"/>
      <c r="H314" s="1685"/>
      <c r="I314" s="1685"/>
      <c r="J314" s="1685"/>
      <c r="K314" s="1685"/>
      <c r="L314" s="1685"/>
      <c r="M314" s="1685"/>
    </row>
    <row r="315" spans="1:13" ht="28.5" customHeight="1">
      <c r="A315" s="1689" t="s">
        <v>3710</v>
      </c>
      <c r="B315" s="1689"/>
      <c r="C315" s="1689"/>
      <c r="D315" s="1689"/>
      <c r="E315" s="1689"/>
      <c r="F315" s="1689"/>
      <c r="G315" s="1689"/>
      <c r="H315" s="1689"/>
      <c r="I315" s="1689"/>
      <c r="J315" s="1689"/>
      <c r="K315" s="1689"/>
      <c r="L315" s="1689"/>
      <c r="M315" s="1689"/>
    </row>
    <row r="316" spans="1:13" ht="49.5" customHeight="1">
      <c r="A316" s="1689" t="s">
        <v>3711</v>
      </c>
      <c r="B316" s="1689"/>
      <c r="C316" s="1689"/>
      <c r="D316" s="1689"/>
      <c r="E316" s="1689"/>
      <c r="F316" s="1689"/>
      <c r="G316" s="1689"/>
      <c r="H316" s="1689"/>
      <c r="I316" s="1689"/>
      <c r="J316" s="1689"/>
      <c r="K316" s="1689"/>
      <c r="L316" s="1689"/>
      <c r="M316" s="1689"/>
    </row>
    <row r="317" spans="1:13" ht="36" customHeight="1">
      <c r="A317" s="1689" t="s">
        <v>3712</v>
      </c>
      <c r="B317" s="1689"/>
      <c r="C317" s="1689"/>
      <c r="D317" s="1689"/>
      <c r="E317" s="1689"/>
      <c r="F317" s="1689"/>
      <c r="G317" s="1689"/>
      <c r="H317" s="1689"/>
      <c r="I317" s="1689"/>
      <c r="J317" s="1689"/>
      <c r="K317" s="1689"/>
      <c r="L317" s="1689"/>
      <c r="M317" s="1689"/>
    </row>
    <row r="318" spans="1:13" ht="24" customHeight="1">
      <c r="A318" s="1689" t="s">
        <v>3713</v>
      </c>
      <c r="B318" s="1689"/>
      <c r="C318" s="1689"/>
      <c r="D318" s="1689"/>
      <c r="E318" s="1689"/>
      <c r="F318" s="1689"/>
      <c r="G318" s="1689"/>
      <c r="H318" s="1689"/>
      <c r="I318" s="1689"/>
      <c r="J318" s="1689"/>
      <c r="K318" s="1689"/>
      <c r="L318" s="1689"/>
      <c r="M318" s="1689"/>
    </row>
    <row r="319" spans="1:13" ht="36" customHeight="1">
      <c r="A319" s="1689" t="s">
        <v>3714</v>
      </c>
      <c r="B319" s="1689"/>
      <c r="C319" s="1689"/>
      <c r="D319" s="1689"/>
      <c r="E319" s="1689"/>
      <c r="F319" s="1689"/>
      <c r="G319" s="1689"/>
      <c r="H319" s="1689"/>
      <c r="I319" s="1689"/>
      <c r="J319" s="1689"/>
      <c r="K319" s="1689"/>
      <c r="L319" s="1689"/>
      <c r="M319" s="1689"/>
    </row>
    <row r="320" spans="1:13" ht="20.25" customHeight="1">
      <c r="A320" s="1689" t="s">
        <v>3715</v>
      </c>
      <c r="B320" s="1689"/>
      <c r="C320" s="1689"/>
      <c r="D320" s="1689"/>
      <c r="E320" s="1689"/>
      <c r="F320" s="1689"/>
      <c r="G320" s="1689"/>
      <c r="H320" s="1689"/>
      <c r="I320" s="1689"/>
      <c r="J320" s="1689"/>
      <c r="K320" s="1689"/>
      <c r="L320" s="1689"/>
      <c r="M320" s="1689"/>
    </row>
    <row r="321" spans="1:13" ht="43.5" customHeight="1">
      <c r="A321" s="1689" t="s">
        <v>3716</v>
      </c>
      <c r="B321" s="1689"/>
      <c r="C321" s="1689"/>
      <c r="D321" s="1689"/>
      <c r="E321" s="1689"/>
      <c r="F321" s="1689"/>
      <c r="G321" s="1689"/>
      <c r="H321" s="1689"/>
      <c r="I321" s="1689"/>
      <c r="J321" s="1689"/>
      <c r="K321" s="1689"/>
      <c r="L321" s="1689"/>
      <c r="M321" s="1689"/>
    </row>
    <row r="322" spans="1:13" ht="102" customHeight="1">
      <c r="A322" s="1685" t="s">
        <v>3717</v>
      </c>
      <c r="B322" s="1685"/>
      <c r="C322" s="1685"/>
      <c r="D322" s="1685"/>
      <c r="E322" s="1685"/>
      <c r="F322" s="1685"/>
      <c r="G322" s="1685"/>
      <c r="H322" s="1685"/>
      <c r="I322" s="1685"/>
      <c r="J322" s="1685"/>
      <c r="K322" s="1685"/>
      <c r="L322" s="1685"/>
      <c r="M322" s="1685"/>
    </row>
    <row r="323" spans="1:13" ht="120" customHeight="1">
      <c r="A323" s="1685" t="s">
        <v>3718</v>
      </c>
      <c r="B323" s="1685"/>
      <c r="C323" s="1685"/>
      <c r="D323" s="1685"/>
      <c r="E323" s="1685"/>
      <c r="F323" s="1685"/>
      <c r="G323" s="1685"/>
      <c r="H323" s="1685"/>
      <c r="I323" s="1685"/>
      <c r="J323" s="1685"/>
      <c r="K323" s="1685"/>
      <c r="L323" s="1685"/>
      <c r="M323" s="1685"/>
    </row>
    <row r="324" spans="1:13" ht="44.25" customHeight="1">
      <c r="A324" s="1689" t="s">
        <v>3719</v>
      </c>
      <c r="B324" s="1689"/>
      <c r="C324" s="1689"/>
      <c r="D324" s="1689"/>
      <c r="E324" s="1689"/>
      <c r="F324" s="1689"/>
      <c r="G324" s="1689"/>
      <c r="H324" s="1689"/>
      <c r="I324" s="1689"/>
      <c r="J324" s="1689"/>
      <c r="K324" s="1689"/>
      <c r="L324" s="1689"/>
      <c r="M324" s="1689"/>
    </row>
    <row r="325" spans="1:13" ht="167.25" customHeight="1">
      <c r="A325" s="1685" t="s">
        <v>3720</v>
      </c>
      <c r="B325" s="1685"/>
      <c r="C325" s="1685"/>
      <c r="D325" s="1685"/>
      <c r="E325" s="1685"/>
      <c r="F325" s="1685"/>
      <c r="G325" s="1685"/>
      <c r="H325" s="1685"/>
      <c r="I325" s="1685"/>
      <c r="J325" s="1685"/>
      <c r="K325" s="1685"/>
      <c r="L325" s="1685"/>
      <c r="M325" s="1685"/>
    </row>
    <row r="326" spans="1:13" ht="12.75" customHeight="1">
      <c r="A326" s="1689" t="s">
        <v>3721</v>
      </c>
      <c r="B326" s="1689"/>
      <c r="C326" s="1689"/>
      <c r="D326" s="1689"/>
      <c r="E326" s="1689"/>
      <c r="F326" s="1689"/>
      <c r="G326" s="1689"/>
      <c r="H326" s="1689"/>
      <c r="I326" s="1689"/>
      <c r="J326" s="1689"/>
      <c r="K326" s="1689"/>
      <c r="L326" s="1689"/>
      <c r="M326" s="1689"/>
    </row>
    <row r="327" spans="1:13" ht="24" customHeight="1">
      <c r="A327" s="1689" t="s">
        <v>3722</v>
      </c>
      <c r="B327" s="1689"/>
      <c r="C327" s="1689"/>
      <c r="D327" s="1689"/>
      <c r="E327" s="1689"/>
      <c r="F327" s="1689"/>
      <c r="G327" s="1689"/>
      <c r="H327" s="1689"/>
      <c r="I327" s="1689"/>
      <c r="J327" s="1689"/>
      <c r="K327" s="1689"/>
      <c r="L327" s="1689"/>
      <c r="M327" s="1689"/>
    </row>
    <row r="328" spans="1:13" ht="12.75" customHeight="1">
      <c r="A328" s="1689" t="s">
        <v>3723</v>
      </c>
      <c r="B328" s="1689"/>
      <c r="C328" s="1689"/>
      <c r="D328" s="1689"/>
      <c r="E328" s="1689"/>
      <c r="F328" s="1689"/>
      <c r="G328" s="1689"/>
      <c r="H328" s="1689"/>
      <c r="I328" s="1689"/>
      <c r="J328" s="1689"/>
      <c r="K328" s="1689"/>
      <c r="L328" s="1689"/>
      <c r="M328" s="1689"/>
    </row>
    <row r="329" spans="1:13" ht="36" customHeight="1">
      <c r="A329" s="1689" t="s">
        <v>3724</v>
      </c>
      <c r="B329" s="1689"/>
      <c r="C329" s="1689"/>
      <c r="D329" s="1689"/>
      <c r="E329" s="1689"/>
      <c r="F329" s="1689"/>
      <c r="G329" s="1689"/>
      <c r="H329" s="1689"/>
      <c r="I329" s="1689"/>
      <c r="J329" s="1689"/>
      <c r="K329" s="1689"/>
      <c r="L329" s="1689"/>
      <c r="M329" s="1689"/>
    </row>
    <row r="330" spans="1:13" ht="24" customHeight="1">
      <c r="A330" s="1689" t="s">
        <v>3725</v>
      </c>
      <c r="B330" s="1689"/>
      <c r="C330" s="1689"/>
      <c r="D330" s="1689"/>
      <c r="E330" s="1689"/>
      <c r="F330" s="1689"/>
      <c r="G330" s="1689"/>
      <c r="H330" s="1689"/>
      <c r="I330" s="1689"/>
      <c r="J330" s="1689"/>
      <c r="K330" s="1689"/>
      <c r="L330" s="1689"/>
      <c r="M330" s="1689"/>
    </row>
    <row r="331" spans="1:13" ht="36" customHeight="1">
      <c r="A331" s="1689" t="s">
        <v>3726</v>
      </c>
      <c r="B331" s="1689"/>
      <c r="C331" s="1689"/>
      <c r="D331" s="1689"/>
      <c r="E331" s="1689"/>
      <c r="F331" s="1689"/>
      <c r="G331" s="1689"/>
      <c r="H331" s="1689"/>
      <c r="I331" s="1689"/>
      <c r="J331" s="1689"/>
      <c r="K331" s="1689"/>
      <c r="L331" s="1689"/>
      <c r="M331" s="1689"/>
    </row>
    <row r="332" spans="1:13" ht="72" customHeight="1">
      <c r="A332" s="1689" t="s">
        <v>3727</v>
      </c>
      <c r="B332" s="1689"/>
      <c r="C332" s="1689"/>
      <c r="D332" s="1689"/>
      <c r="E332" s="1689"/>
      <c r="F332" s="1689"/>
      <c r="G332" s="1689"/>
      <c r="H332" s="1689"/>
      <c r="I332" s="1689"/>
      <c r="J332" s="1689"/>
      <c r="K332" s="1689"/>
      <c r="L332" s="1689"/>
      <c r="M332" s="1689"/>
    </row>
    <row r="333" spans="1:13" ht="60" customHeight="1">
      <c r="A333" s="1689" t="s">
        <v>3728</v>
      </c>
      <c r="B333" s="1689"/>
      <c r="C333" s="1689"/>
      <c r="D333" s="1689"/>
      <c r="E333" s="1689"/>
      <c r="F333" s="1689"/>
      <c r="G333" s="1689"/>
      <c r="H333" s="1689"/>
      <c r="I333" s="1689"/>
      <c r="J333" s="1689"/>
      <c r="K333" s="1689"/>
      <c r="L333" s="1689"/>
      <c r="M333" s="1689"/>
    </row>
    <row r="334" spans="1:13" ht="72" customHeight="1">
      <c r="A334" s="1689" t="s">
        <v>3729</v>
      </c>
      <c r="B334" s="1689"/>
      <c r="C334" s="1689"/>
      <c r="D334" s="1689"/>
      <c r="E334" s="1689"/>
      <c r="F334" s="1689"/>
      <c r="G334" s="1689"/>
      <c r="H334" s="1689"/>
      <c r="I334" s="1689"/>
      <c r="J334" s="1689"/>
      <c r="K334" s="1689"/>
      <c r="L334" s="1689"/>
      <c r="M334" s="1689"/>
    </row>
    <row r="335" spans="1:13" ht="24" customHeight="1">
      <c r="A335" s="1689" t="s">
        <v>3730</v>
      </c>
      <c r="B335" s="1689"/>
      <c r="C335" s="1689"/>
      <c r="D335" s="1689"/>
      <c r="E335" s="1689"/>
      <c r="F335" s="1689"/>
      <c r="G335" s="1689"/>
      <c r="H335" s="1689"/>
      <c r="I335" s="1689"/>
      <c r="J335" s="1689"/>
      <c r="K335" s="1689"/>
      <c r="L335" s="1689"/>
      <c r="M335" s="1689"/>
    </row>
    <row r="336" spans="1:13" ht="12.75" customHeight="1">
      <c r="A336" s="1689" t="s">
        <v>3731</v>
      </c>
      <c r="B336" s="1689"/>
      <c r="C336" s="1689"/>
      <c r="D336" s="1689"/>
      <c r="E336" s="1689"/>
      <c r="F336" s="1689"/>
      <c r="G336" s="1689"/>
      <c r="H336" s="1689"/>
      <c r="I336" s="1689"/>
      <c r="J336" s="1689"/>
      <c r="K336" s="1689"/>
      <c r="L336" s="1689"/>
      <c r="M336" s="1689"/>
    </row>
    <row r="337" spans="1:13" ht="108" customHeight="1">
      <c r="A337" s="1689" t="s">
        <v>3732</v>
      </c>
      <c r="B337" s="1689"/>
      <c r="C337" s="1689"/>
      <c r="D337" s="1689"/>
      <c r="E337" s="1689"/>
      <c r="F337" s="1689"/>
      <c r="G337" s="1689"/>
      <c r="H337" s="1689"/>
      <c r="I337" s="1689"/>
      <c r="J337" s="1689"/>
      <c r="K337" s="1689"/>
      <c r="L337" s="1689"/>
      <c r="M337" s="1689"/>
    </row>
    <row r="338" spans="1:13" ht="12.75" customHeight="1">
      <c r="A338" s="1689" t="s">
        <v>3733</v>
      </c>
      <c r="B338" s="1689"/>
      <c r="C338" s="1689"/>
      <c r="D338" s="1689"/>
      <c r="E338" s="1689"/>
      <c r="F338" s="1689"/>
      <c r="G338" s="1689"/>
      <c r="H338" s="1689"/>
      <c r="I338" s="1689"/>
      <c r="J338" s="1689"/>
      <c r="K338" s="1689"/>
      <c r="L338" s="1689"/>
      <c r="M338" s="1689"/>
    </row>
    <row r="339" spans="1:13" ht="36" customHeight="1">
      <c r="A339" s="1689" t="s">
        <v>3734</v>
      </c>
      <c r="B339" s="1689"/>
      <c r="C339" s="1689"/>
      <c r="D339" s="1689"/>
      <c r="E339" s="1689"/>
      <c r="F339" s="1689"/>
      <c r="G339" s="1689"/>
      <c r="H339" s="1689"/>
      <c r="I339" s="1689"/>
      <c r="J339" s="1689"/>
      <c r="K339" s="1689"/>
      <c r="L339" s="1689"/>
      <c r="M339" s="1689"/>
    </row>
    <row r="340" spans="1:13" ht="60" customHeight="1">
      <c r="A340" s="1689" t="s">
        <v>3735</v>
      </c>
      <c r="B340" s="1689"/>
      <c r="C340" s="1689"/>
      <c r="D340" s="1689"/>
      <c r="E340" s="1689"/>
      <c r="F340" s="1689"/>
      <c r="G340" s="1689"/>
      <c r="H340" s="1689"/>
      <c r="I340" s="1689"/>
      <c r="J340" s="1689"/>
      <c r="K340" s="1689"/>
      <c r="L340" s="1689"/>
      <c r="M340" s="1689"/>
    </row>
    <row r="341" spans="1:13" ht="24" customHeight="1">
      <c r="A341" s="1689" t="s">
        <v>3736</v>
      </c>
      <c r="B341" s="1689"/>
      <c r="C341" s="1689"/>
      <c r="D341" s="1689"/>
      <c r="E341" s="1689"/>
      <c r="F341" s="1689"/>
      <c r="G341" s="1689"/>
      <c r="H341" s="1689"/>
      <c r="I341" s="1689"/>
      <c r="J341" s="1689"/>
      <c r="K341" s="1689"/>
      <c r="L341" s="1689"/>
      <c r="M341" s="1689"/>
    </row>
    <row r="342" spans="1:13" ht="36" customHeight="1">
      <c r="A342" s="1689" t="s">
        <v>3737</v>
      </c>
      <c r="B342" s="1689"/>
      <c r="C342" s="1689"/>
      <c r="D342" s="1689"/>
      <c r="E342" s="1689"/>
      <c r="F342" s="1689"/>
      <c r="G342" s="1689"/>
      <c r="H342" s="1689"/>
      <c r="I342" s="1689"/>
      <c r="J342" s="1689"/>
      <c r="K342" s="1689"/>
      <c r="L342" s="1689"/>
      <c r="M342" s="1689"/>
    </row>
    <row r="343" spans="1:13" ht="24" customHeight="1">
      <c r="A343" s="1689" t="s">
        <v>3738</v>
      </c>
      <c r="B343" s="1689"/>
      <c r="C343" s="1689"/>
      <c r="D343" s="1689"/>
      <c r="E343" s="1689"/>
      <c r="F343" s="1689"/>
      <c r="G343" s="1689"/>
      <c r="H343" s="1689"/>
      <c r="I343" s="1689"/>
      <c r="J343" s="1689"/>
      <c r="K343" s="1689"/>
      <c r="L343" s="1689"/>
      <c r="M343" s="1689"/>
    </row>
    <row r="344" spans="1:13" ht="24" customHeight="1">
      <c r="A344" s="1689" t="s">
        <v>3739</v>
      </c>
      <c r="B344" s="1689"/>
      <c r="C344" s="1689"/>
      <c r="D344" s="1689"/>
      <c r="E344" s="1689"/>
      <c r="F344" s="1689"/>
      <c r="G344" s="1689"/>
      <c r="H344" s="1689"/>
      <c r="I344" s="1689"/>
      <c r="J344" s="1689"/>
      <c r="K344" s="1689"/>
      <c r="L344" s="1689"/>
      <c r="M344" s="1689"/>
    </row>
    <row r="345" spans="1:13" ht="24" customHeight="1">
      <c r="A345" s="1689" t="s">
        <v>3740</v>
      </c>
      <c r="B345" s="1689"/>
      <c r="C345" s="1689"/>
      <c r="D345" s="1689"/>
      <c r="E345" s="1689"/>
      <c r="F345" s="1689"/>
      <c r="G345" s="1689"/>
      <c r="H345" s="1689"/>
      <c r="I345" s="1689"/>
      <c r="J345" s="1689"/>
      <c r="K345" s="1689"/>
      <c r="L345" s="1689"/>
      <c r="M345" s="1689"/>
    </row>
    <row r="346" spans="1:13" ht="12.75" customHeight="1">
      <c r="A346" s="1689" t="s">
        <v>3741</v>
      </c>
      <c r="B346" s="1689"/>
      <c r="C346" s="1689"/>
      <c r="D346" s="1689"/>
      <c r="E346" s="1689"/>
      <c r="F346" s="1689"/>
      <c r="G346" s="1689"/>
      <c r="H346" s="1689"/>
      <c r="I346" s="1689"/>
      <c r="J346" s="1689"/>
      <c r="K346" s="1689"/>
      <c r="L346" s="1689"/>
      <c r="M346" s="1689"/>
    </row>
    <row r="347" spans="1:13" ht="60" customHeight="1">
      <c r="A347" s="1689" t="s">
        <v>3742</v>
      </c>
      <c r="B347" s="1689"/>
      <c r="C347" s="1689"/>
      <c r="D347" s="1689"/>
      <c r="E347" s="1689"/>
      <c r="F347" s="1689"/>
      <c r="G347" s="1689"/>
      <c r="H347" s="1689"/>
      <c r="I347" s="1689"/>
      <c r="J347" s="1689"/>
      <c r="K347" s="1689"/>
      <c r="L347" s="1689"/>
      <c r="M347" s="1689"/>
    </row>
    <row r="348" spans="1:13" ht="12.75" customHeight="1">
      <c r="A348" s="1689" t="s">
        <v>3743</v>
      </c>
      <c r="B348" s="1689"/>
      <c r="C348" s="1689"/>
      <c r="D348" s="1689"/>
      <c r="E348" s="1689"/>
      <c r="F348" s="1689"/>
      <c r="G348" s="1689"/>
      <c r="H348" s="1689"/>
      <c r="I348" s="1689"/>
      <c r="J348" s="1689"/>
      <c r="K348" s="1689"/>
      <c r="L348" s="1689"/>
      <c r="M348" s="1689"/>
    </row>
    <row r="349" spans="1:13" ht="36" customHeight="1">
      <c r="A349" s="1689" t="s">
        <v>3744</v>
      </c>
      <c r="B349" s="1689"/>
      <c r="C349" s="1689"/>
      <c r="D349" s="1689"/>
      <c r="E349" s="1689"/>
      <c r="F349" s="1689"/>
      <c r="G349" s="1689"/>
      <c r="H349" s="1689"/>
      <c r="I349" s="1689"/>
      <c r="J349" s="1689"/>
      <c r="K349" s="1689"/>
      <c r="L349" s="1689"/>
      <c r="M349" s="1689"/>
    </row>
    <row r="350" spans="1:13" ht="12.75" customHeight="1">
      <c r="A350" s="1689" t="s">
        <v>3745</v>
      </c>
      <c r="B350" s="1689"/>
      <c r="C350" s="1689"/>
      <c r="D350" s="1689"/>
      <c r="E350" s="1689"/>
      <c r="F350" s="1689"/>
      <c r="G350" s="1689"/>
      <c r="H350" s="1689"/>
      <c r="I350" s="1689"/>
      <c r="J350" s="1689"/>
      <c r="K350" s="1689"/>
      <c r="L350" s="1689"/>
      <c r="M350" s="1689"/>
    </row>
    <row r="351" spans="1:13" ht="24" customHeight="1">
      <c r="A351" s="1689" t="s">
        <v>3746</v>
      </c>
      <c r="B351" s="1689"/>
      <c r="C351" s="1689"/>
      <c r="D351" s="1689"/>
      <c r="E351" s="1689"/>
      <c r="F351" s="1689"/>
      <c r="G351" s="1689"/>
      <c r="H351" s="1689"/>
      <c r="I351" s="1689"/>
      <c r="J351" s="1689"/>
      <c r="K351" s="1689"/>
      <c r="L351" s="1689"/>
      <c r="M351" s="1689"/>
    </row>
    <row r="352" spans="1:13" ht="12.75" customHeight="1">
      <c r="A352" s="1689" t="s">
        <v>3747</v>
      </c>
      <c r="B352" s="1689"/>
      <c r="C352" s="1689"/>
      <c r="D352" s="1689"/>
      <c r="E352" s="1689"/>
      <c r="F352" s="1689"/>
      <c r="G352" s="1689"/>
      <c r="H352" s="1689"/>
      <c r="I352" s="1689"/>
      <c r="J352" s="1689"/>
      <c r="K352" s="1689"/>
      <c r="L352" s="1689"/>
      <c r="M352" s="1689"/>
    </row>
    <row r="353" spans="1:13" ht="24" customHeight="1">
      <c r="A353" s="1689" t="s">
        <v>3748</v>
      </c>
      <c r="B353" s="1689"/>
      <c r="C353" s="1689"/>
      <c r="D353" s="1689"/>
      <c r="E353" s="1689"/>
      <c r="F353" s="1689"/>
      <c r="G353" s="1689"/>
      <c r="H353" s="1689"/>
      <c r="I353" s="1689"/>
      <c r="J353" s="1689"/>
      <c r="K353" s="1689"/>
      <c r="L353" s="1689"/>
      <c r="M353" s="1689"/>
    </row>
    <row r="354" spans="1:13" ht="24" customHeight="1">
      <c r="A354" s="1689" t="s">
        <v>3749</v>
      </c>
      <c r="B354" s="1689"/>
      <c r="C354" s="1689"/>
      <c r="D354" s="1689"/>
      <c r="E354" s="1689"/>
      <c r="F354" s="1689"/>
      <c r="G354" s="1689"/>
      <c r="H354" s="1689"/>
      <c r="I354" s="1689"/>
      <c r="J354" s="1689"/>
      <c r="K354" s="1689"/>
      <c r="L354" s="1689"/>
      <c r="M354" s="1689"/>
    </row>
    <row r="355" spans="1:13" ht="24" customHeight="1">
      <c r="A355" s="1689" t="s">
        <v>3750</v>
      </c>
      <c r="B355" s="1689"/>
      <c r="C355" s="1689"/>
      <c r="D355" s="1689"/>
      <c r="E355" s="1689"/>
      <c r="F355" s="1689"/>
      <c r="G355" s="1689"/>
      <c r="H355" s="1689"/>
      <c r="I355" s="1689"/>
      <c r="J355" s="1689"/>
      <c r="K355" s="1689"/>
      <c r="L355" s="1689"/>
      <c r="M355" s="1689"/>
    </row>
    <row r="356" spans="1:13" ht="120" customHeight="1">
      <c r="A356" s="1689" t="s">
        <v>3751</v>
      </c>
      <c r="B356" s="1689"/>
      <c r="C356" s="1689"/>
      <c r="D356" s="1689"/>
      <c r="E356" s="1689"/>
      <c r="F356" s="1689"/>
      <c r="G356" s="1689"/>
      <c r="H356" s="1689"/>
      <c r="I356" s="1689"/>
      <c r="J356" s="1689"/>
      <c r="K356" s="1689"/>
      <c r="L356" s="1689"/>
      <c r="M356" s="1689"/>
    </row>
    <row r="357" spans="1:13" ht="72" customHeight="1">
      <c r="A357" s="1689" t="s">
        <v>3752</v>
      </c>
      <c r="B357" s="1689"/>
      <c r="C357" s="1689"/>
      <c r="D357" s="1689"/>
      <c r="E357" s="1689"/>
      <c r="F357" s="1689"/>
      <c r="G357" s="1689"/>
      <c r="H357" s="1689"/>
      <c r="I357" s="1689"/>
      <c r="J357" s="1689"/>
      <c r="K357" s="1689"/>
      <c r="L357" s="1689"/>
      <c r="M357" s="1689"/>
    </row>
    <row r="358" spans="1:13" ht="12.75" customHeight="1">
      <c r="A358" s="1689" t="s">
        <v>3753</v>
      </c>
      <c r="B358" s="1689"/>
      <c r="C358" s="1689"/>
      <c r="D358" s="1689"/>
      <c r="E358" s="1689"/>
      <c r="F358" s="1689"/>
      <c r="G358" s="1689"/>
      <c r="H358" s="1689"/>
      <c r="I358" s="1689"/>
      <c r="J358" s="1689"/>
      <c r="K358" s="1689"/>
      <c r="L358" s="1689"/>
      <c r="M358" s="1689"/>
    </row>
    <row r="359" spans="1:13" ht="36" customHeight="1">
      <c r="A359" s="1689" t="s">
        <v>3754</v>
      </c>
      <c r="B359" s="1689"/>
      <c r="C359" s="1689"/>
      <c r="D359" s="1689"/>
      <c r="E359" s="1689"/>
      <c r="F359" s="1689"/>
      <c r="G359" s="1689"/>
      <c r="H359" s="1689"/>
      <c r="I359" s="1689"/>
      <c r="J359" s="1689"/>
      <c r="K359" s="1689"/>
      <c r="L359" s="1689"/>
      <c r="M359" s="1689"/>
    </row>
    <row r="360" spans="1:13" ht="24" customHeight="1">
      <c r="A360" s="1689" t="s">
        <v>3755</v>
      </c>
      <c r="B360" s="1689"/>
      <c r="C360" s="1689"/>
      <c r="D360" s="1689"/>
      <c r="E360" s="1689"/>
      <c r="F360" s="1689"/>
      <c r="G360" s="1689"/>
      <c r="H360" s="1689"/>
      <c r="I360" s="1689"/>
      <c r="J360" s="1689"/>
      <c r="K360" s="1689"/>
      <c r="L360" s="1689"/>
      <c r="M360" s="1689"/>
    </row>
    <row r="361" spans="1:13" ht="30.75" customHeight="1">
      <c r="A361" s="1689" t="s">
        <v>3756</v>
      </c>
      <c r="B361" s="1689"/>
      <c r="C361" s="1689"/>
      <c r="D361" s="1689"/>
      <c r="E361" s="1689"/>
      <c r="F361" s="1689"/>
      <c r="G361" s="1689"/>
      <c r="H361" s="1689"/>
      <c r="I361" s="1689"/>
      <c r="J361" s="1689"/>
      <c r="K361" s="1689"/>
      <c r="L361" s="1689"/>
      <c r="M361" s="1689"/>
    </row>
    <row r="362" spans="1:13" ht="57.75" customHeight="1">
      <c r="A362" s="1689" t="s">
        <v>3757</v>
      </c>
      <c r="B362" s="1689"/>
      <c r="C362" s="1689"/>
      <c r="D362" s="1689"/>
      <c r="E362" s="1689"/>
      <c r="F362" s="1689"/>
      <c r="G362" s="1689"/>
      <c r="H362" s="1689"/>
      <c r="I362" s="1689"/>
      <c r="J362" s="1689"/>
      <c r="K362" s="1689"/>
      <c r="L362" s="1689"/>
      <c r="M362" s="1689"/>
    </row>
    <row r="363" spans="1:13" ht="24" customHeight="1">
      <c r="A363" s="1689" t="s">
        <v>3758</v>
      </c>
      <c r="B363" s="1689"/>
      <c r="C363" s="1689"/>
      <c r="D363" s="1689"/>
      <c r="E363" s="1689"/>
      <c r="F363" s="1689"/>
      <c r="G363" s="1689"/>
      <c r="H363" s="1689"/>
      <c r="I363" s="1689"/>
      <c r="J363" s="1689"/>
      <c r="K363" s="1689"/>
      <c r="L363" s="1689"/>
      <c r="M363" s="1689"/>
    </row>
    <row r="364" spans="1:13" ht="24" customHeight="1">
      <c r="A364" s="1665" t="s">
        <v>3759</v>
      </c>
      <c r="B364" s="1665"/>
      <c r="C364" s="1665"/>
      <c r="D364" s="1665"/>
      <c r="E364" s="1665"/>
      <c r="F364" s="1665"/>
      <c r="G364" s="1665"/>
      <c r="H364" s="1665"/>
      <c r="I364" s="1665"/>
      <c r="J364" s="1665"/>
      <c r="K364" s="1665"/>
      <c r="L364" s="1665"/>
      <c r="M364" s="1665"/>
    </row>
    <row r="365" spans="1:13" ht="12.75" customHeight="1">
      <c r="A365" s="1689" t="s">
        <v>3760</v>
      </c>
      <c r="B365" s="1689"/>
      <c r="C365" s="1689"/>
      <c r="D365" s="1689"/>
      <c r="E365" s="1689"/>
      <c r="F365" s="1689"/>
      <c r="G365" s="1689"/>
      <c r="H365" s="1689"/>
      <c r="I365" s="1689"/>
      <c r="J365" s="1689"/>
      <c r="K365" s="1689"/>
      <c r="L365" s="1689"/>
      <c r="M365" s="1689"/>
    </row>
    <row r="366" spans="1:13" ht="63" customHeight="1">
      <c r="A366" s="1685" t="s">
        <v>3761</v>
      </c>
      <c r="B366" s="1685"/>
      <c r="C366" s="1685"/>
      <c r="D366" s="1685"/>
      <c r="E366" s="1685"/>
      <c r="F366" s="1685"/>
      <c r="G366" s="1685"/>
      <c r="H366" s="1685"/>
      <c r="I366" s="1685"/>
      <c r="J366" s="1685"/>
      <c r="K366" s="1685"/>
      <c r="L366" s="1685"/>
      <c r="M366" s="1685"/>
    </row>
    <row r="367" spans="1:13" ht="12.75" customHeight="1">
      <c r="A367" s="1689" t="s">
        <v>3762</v>
      </c>
      <c r="B367" s="1689"/>
      <c r="C367" s="1689"/>
      <c r="D367" s="1689"/>
      <c r="E367" s="1689"/>
      <c r="F367" s="1689"/>
      <c r="G367" s="1689"/>
      <c r="H367" s="1689"/>
      <c r="I367" s="1689"/>
      <c r="J367" s="1689"/>
      <c r="K367" s="1689"/>
      <c r="L367" s="1689"/>
      <c r="M367" s="1689"/>
    </row>
    <row r="368" spans="1:13" ht="12.75" customHeight="1">
      <c r="A368" s="1689" t="s">
        <v>3763</v>
      </c>
      <c r="B368" s="1689"/>
      <c r="C368" s="1689"/>
      <c r="D368" s="1689"/>
      <c r="E368" s="1689"/>
      <c r="F368" s="1689"/>
      <c r="G368" s="1689"/>
      <c r="H368" s="1689"/>
      <c r="I368" s="1689"/>
      <c r="J368" s="1689"/>
      <c r="K368" s="1689"/>
      <c r="L368" s="1689"/>
      <c r="M368" s="1689"/>
    </row>
    <row r="369" spans="1:13" ht="12.75" customHeight="1">
      <c r="A369" s="1689" t="s">
        <v>3764</v>
      </c>
      <c r="B369" s="1689"/>
      <c r="C369" s="1689"/>
      <c r="D369" s="1689"/>
      <c r="E369" s="1689"/>
      <c r="F369" s="1689"/>
      <c r="G369" s="1689"/>
      <c r="H369" s="1689"/>
      <c r="I369" s="1689"/>
      <c r="J369" s="1689"/>
      <c r="K369" s="1689"/>
      <c r="L369" s="1689"/>
      <c r="M369" s="1689"/>
    </row>
    <row r="370" spans="1:13" ht="12.75" customHeight="1">
      <c r="A370" s="1689" t="s">
        <v>3765</v>
      </c>
      <c r="B370" s="1689"/>
      <c r="C370" s="1689"/>
      <c r="D370" s="1689"/>
      <c r="E370" s="1689"/>
      <c r="F370" s="1689"/>
      <c r="G370" s="1689"/>
      <c r="H370" s="1689"/>
      <c r="I370" s="1689"/>
      <c r="J370" s="1689"/>
      <c r="K370" s="1689"/>
      <c r="L370" s="1689"/>
      <c r="M370" s="1689"/>
    </row>
    <row r="371" spans="1:13" ht="12.75" customHeight="1">
      <c r="A371" s="1689" t="s">
        <v>3766</v>
      </c>
      <c r="B371" s="1689"/>
      <c r="C371" s="1689"/>
      <c r="D371" s="1689"/>
      <c r="E371" s="1689"/>
      <c r="F371" s="1689"/>
      <c r="G371" s="1689"/>
      <c r="H371" s="1689"/>
      <c r="I371" s="1689"/>
      <c r="J371" s="1689"/>
      <c r="K371" s="1689"/>
      <c r="L371" s="1689"/>
      <c r="M371" s="1689"/>
    </row>
    <row r="372" spans="1:13" ht="12.75" customHeight="1">
      <c r="A372" s="1689" t="s">
        <v>3767</v>
      </c>
      <c r="B372" s="1689"/>
      <c r="C372" s="1689"/>
      <c r="D372" s="1689"/>
      <c r="E372" s="1689"/>
      <c r="F372" s="1689"/>
      <c r="G372" s="1689"/>
      <c r="H372" s="1689"/>
      <c r="I372" s="1689"/>
      <c r="J372" s="1689"/>
      <c r="K372" s="1689"/>
      <c r="L372" s="1689"/>
      <c r="M372" s="1689"/>
    </row>
    <row r="373" spans="1:13" ht="24" customHeight="1">
      <c r="A373" s="1689" t="s">
        <v>3768</v>
      </c>
      <c r="B373" s="1689"/>
      <c r="C373" s="1689"/>
      <c r="D373" s="1689"/>
      <c r="E373" s="1689"/>
      <c r="F373" s="1689"/>
      <c r="G373" s="1689"/>
      <c r="H373" s="1689"/>
      <c r="I373" s="1689"/>
      <c r="J373" s="1689"/>
      <c r="K373" s="1689"/>
      <c r="L373" s="1689"/>
      <c r="M373" s="1689"/>
    </row>
    <row r="374" spans="1:13" ht="48" customHeight="1">
      <c r="A374" s="1689" t="s">
        <v>3769</v>
      </c>
      <c r="B374" s="1689"/>
      <c r="C374" s="1689"/>
      <c r="D374" s="1689"/>
      <c r="E374" s="1689"/>
      <c r="F374" s="1689"/>
      <c r="G374" s="1689"/>
      <c r="H374" s="1689"/>
      <c r="I374" s="1689"/>
      <c r="J374" s="1689"/>
      <c r="K374" s="1689"/>
      <c r="L374" s="1689"/>
      <c r="M374" s="1689"/>
    </row>
    <row r="375" spans="1:13" ht="72" customHeight="1">
      <c r="A375" s="1689" t="s">
        <v>3770</v>
      </c>
      <c r="B375" s="1689"/>
      <c r="C375" s="1689"/>
      <c r="D375" s="1689"/>
      <c r="E375" s="1689"/>
      <c r="F375" s="1689"/>
      <c r="G375" s="1689"/>
      <c r="H375" s="1689"/>
      <c r="I375" s="1689"/>
      <c r="J375" s="1689"/>
      <c r="K375" s="1689"/>
      <c r="L375" s="1689"/>
      <c r="M375" s="1689"/>
    </row>
    <row r="376" spans="1:13" ht="84" customHeight="1">
      <c r="A376" s="1689" t="s">
        <v>3771</v>
      </c>
      <c r="B376" s="1689"/>
      <c r="C376" s="1689"/>
      <c r="D376" s="1689"/>
      <c r="E376" s="1689"/>
      <c r="F376" s="1689"/>
      <c r="G376" s="1689"/>
      <c r="H376" s="1689"/>
      <c r="I376" s="1689"/>
      <c r="J376" s="1689"/>
      <c r="K376" s="1689"/>
      <c r="L376" s="1689"/>
      <c r="M376" s="1689"/>
    </row>
    <row r="377" spans="1:13" ht="24" customHeight="1">
      <c r="A377" s="1689" t="s">
        <v>3772</v>
      </c>
      <c r="B377" s="1689"/>
      <c r="C377" s="1689"/>
      <c r="D377" s="1689"/>
      <c r="E377" s="1689"/>
      <c r="F377" s="1689"/>
      <c r="G377" s="1689"/>
      <c r="H377" s="1689"/>
      <c r="I377" s="1689"/>
      <c r="J377" s="1689"/>
      <c r="K377" s="1689"/>
      <c r="L377" s="1689"/>
      <c r="M377" s="1689"/>
    </row>
    <row r="378" spans="1:13" ht="24" customHeight="1">
      <c r="A378" s="1689" t="s">
        <v>3773</v>
      </c>
      <c r="B378" s="1689"/>
      <c r="C378" s="1689"/>
      <c r="D378" s="1689"/>
      <c r="E378" s="1689"/>
      <c r="F378" s="1689"/>
      <c r="G378" s="1689"/>
      <c r="H378" s="1689"/>
      <c r="I378" s="1689"/>
      <c r="J378" s="1689"/>
      <c r="K378" s="1689"/>
      <c r="L378" s="1689"/>
      <c r="M378" s="1689"/>
    </row>
    <row r="379" spans="1:13" ht="24" customHeight="1">
      <c r="A379" s="1689" t="s">
        <v>3774</v>
      </c>
      <c r="B379" s="1689"/>
      <c r="C379" s="1689"/>
      <c r="D379" s="1689"/>
      <c r="E379" s="1689"/>
      <c r="F379" s="1689"/>
      <c r="G379" s="1689"/>
      <c r="H379" s="1689"/>
      <c r="I379" s="1689"/>
      <c r="J379" s="1689"/>
      <c r="K379" s="1689"/>
      <c r="L379" s="1689"/>
      <c r="M379" s="1689"/>
    </row>
    <row r="380" spans="1:13" ht="24" customHeight="1">
      <c r="A380" s="1689" t="s">
        <v>3775</v>
      </c>
      <c r="B380" s="1689"/>
      <c r="C380" s="1689"/>
      <c r="D380" s="1689"/>
      <c r="E380" s="1689"/>
      <c r="F380" s="1689"/>
      <c r="G380" s="1689"/>
      <c r="H380" s="1689"/>
      <c r="I380" s="1689"/>
      <c r="J380" s="1689"/>
      <c r="K380" s="1689"/>
      <c r="L380" s="1689"/>
      <c r="M380" s="1689"/>
    </row>
    <row r="381" spans="1:13" ht="24" customHeight="1">
      <c r="A381" s="1689" t="s">
        <v>3776</v>
      </c>
      <c r="B381" s="1689"/>
      <c r="C381" s="1689"/>
      <c r="D381" s="1689"/>
      <c r="E381" s="1689"/>
      <c r="F381" s="1689"/>
      <c r="G381" s="1689"/>
      <c r="H381" s="1689"/>
      <c r="I381" s="1689"/>
      <c r="J381" s="1689"/>
      <c r="K381" s="1689"/>
      <c r="L381" s="1689"/>
      <c r="M381" s="1689"/>
    </row>
    <row r="382" spans="1:13" ht="24" customHeight="1">
      <c r="A382" s="1689" t="s">
        <v>3777</v>
      </c>
      <c r="B382" s="1689"/>
      <c r="C382" s="1689"/>
      <c r="D382" s="1689"/>
      <c r="E382" s="1689"/>
      <c r="F382" s="1689"/>
      <c r="G382" s="1689"/>
      <c r="H382" s="1689"/>
      <c r="I382" s="1689"/>
      <c r="J382" s="1689"/>
      <c r="K382" s="1689"/>
      <c r="L382" s="1689"/>
      <c r="M382" s="1689"/>
    </row>
    <row r="383" spans="1:13" ht="24" customHeight="1">
      <c r="A383" s="1689" t="s">
        <v>3778</v>
      </c>
      <c r="B383" s="1689"/>
      <c r="C383" s="1689"/>
      <c r="D383" s="1689"/>
      <c r="E383" s="1689"/>
      <c r="F383" s="1689"/>
      <c r="G383" s="1689"/>
      <c r="H383" s="1689"/>
      <c r="I383" s="1689"/>
      <c r="J383" s="1689"/>
      <c r="K383" s="1689"/>
      <c r="L383" s="1689"/>
      <c r="M383" s="1689"/>
    </row>
    <row r="384" spans="1:13" ht="36" customHeight="1">
      <c r="A384" s="1704" t="s">
        <v>3779</v>
      </c>
      <c r="B384" s="1704"/>
      <c r="C384" s="1704"/>
      <c r="D384" s="1704"/>
      <c r="E384" s="1704"/>
      <c r="F384" s="1704"/>
      <c r="G384" s="1704"/>
      <c r="H384" s="1704"/>
      <c r="I384" s="1704"/>
      <c r="J384" s="1704"/>
      <c r="K384" s="1704"/>
      <c r="L384" s="1704"/>
      <c r="M384" s="1704"/>
    </row>
    <row r="385" spans="1:13" ht="24" customHeight="1">
      <c r="A385" s="1689" t="s">
        <v>3780</v>
      </c>
      <c r="B385" s="1689"/>
      <c r="C385" s="1689"/>
      <c r="D385" s="1689"/>
      <c r="E385" s="1689"/>
      <c r="F385" s="1689"/>
      <c r="G385" s="1689"/>
      <c r="H385" s="1689"/>
      <c r="I385" s="1689"/>
      <c r="J385" s="1689"/>
      <c r="K385" s="1689"/>
      <c r="L385" s="1689"/>
      <c r="M385" s="1689"/>
    </row>
    <row r="386" spans="1:13" ht="12.75" customHeight="1">
      <c r="A386" s="1690" t="s">
        <v>3781</v>
      </c>
      <c r="B386" s="1690"/>
      <c r="C386" s="1690"/>
      <c r="D386" s="1690"/>
      <c r="E386" s="1690"/>
      <c r="F386" s="1690"/>
      <c r="G386" s="1690"/>
      <c r="H386" s="1690"/>
      <c r="I386" s="1690"/>
      <c r="J386" s="1690"/>
      <c r="K386" s="1690"/>
      <c r="L386" s="1690"/>
      <c r="M386" s="1690"/>
    </row>
    <row r="387" spans="1:13" ht="73.5" customHeight="1">
      <c r="A387" s="1685" t="s">
        <v>4054</v>
      </c>
      <c r="B387" s="1685"/>
      <c r="C387" s="1685"/>
      <c r="D387" s="1685"/>
      <c r="E387" s="1685"/>
      <c r="F387" s="1685"/>
      <c r="G387" s="1685"/>
      <c r="H387" s="1685"/>
      <c r="I387" s="1685"/>
      <c r="J387" s="1685"/>
      <c r="K387" s="1685"/>
      <c r="L387" s="1685"/>
      <c r="M387" s="1685"/>
    </row>
    <row r="388" spans="1:13" ht="36.75" customHeight="1">
      <c r="A388" s="1685" t="s">
        <v>3782</v>
      </c>
      <c r="B388" s="1685"/>
      <c r="C388" s="1685"/>
      <c r="D388" s="1685"/>
      <c r="E388" s="1685"/>
      <c r="F388" s="1685"/>
      <c r="G388" s="1685"/>
      <c r="H388" s="1685"/>
      <c r="I388" s="1685"/>
      <c r="J388" s="1685"/>
      <c r="K388" s="1685"/>
      <c r="L388" s="1685"/>
      <c r="M388" s="1685"/>
    </row>
    <row r="389" spans="1:13" ht="12.75" customHeight="1">
      <c r="A389" s="1694" t="s">
        <v>3783</v>
      </c>
      <c r="B389" s="1694"/>
      <c r="C389" s="1694"/>
      <c r="D389" s="1694"/>
      <c r="E389" s="1694"/>
      <c r="F389" s="1694"/>
      <c r="G389" s="1694"/>
      <c r="H389" s="1694"/>
      <c r="I389" s="1694"/>
      <c r="J389" s="1694"/>
      <c r="K389" s="1694"/>
      <c r="L389" s="1694"/>
      <c r="M389" s="1694"/>
    </row>
    <row r="390" spans="1:13" ht="36" customHeight="1">
      <c r="A390" s="1685" t="s">
        <v>3784</v>
      </c>
      <c r="B390" s="1685"/>
      <c r="C390" s="1685"/>
      <c r="D390" s="1685"/>
      <c r="E390" s="1685"/>
      <c r="F390" s="1685"/>
      <c r="G390" s="1685"/>
      <c r="H390" s="1685"/>
      <c r="I390" s="1685"/>
      <c r="J390" s="1685"/>
      <c r="K390" s="1685"/>
      <c r="L390" s="1685"/>
      <c r="M390" s="1685"/>
    </row>
    <row r="391" spans="1:13" ht="36" customHeight="1">
      <c r="A391" s="1685" t="s">
        <v>3785</v>
      </c>
      <c r="B391" s="1685"/>
      <c r="C391" s="1685"/>
      <c r="D391" s="1685"/>
      <c r="E391" s="1685"/>
      <c r="F391" s="1685"/>
      <c r="G391" s="1685"/>
      <c r="H391" s="1685"/>
      <c r="I391" s="1685"/>
      <c r="J391" s="1685"/>
      <c r="K391" s="1685"/>
      <c r="L391" s="1685"/>
      <c r="M391" s="1685"/>
    </row>
    <row r="392" spans="1:13" ht="12.75" customHeight="1">
      <c r="A392" s="1685" t="s">
        <v>4053</v>
      </c>
      <c r="B392" s="1685"/>
      <c r="C392" s="1685"/>
      <c r="D392" s="1685"/>
      <c r="E392" s="1685"/>
      <c r="F392" s="1685"/>
      <c r="G392" s="1685"/>
      <c r="H392" s="1685"/>
      <c r="I392" s="1685"/>
      <c r="J392" s="1685"/>
      <c r="K392" s="1685"/>
      <c r="L392" s="1685"/>
      <c r="M392" s="1685"/>
    </row>
    <row r="393" spans="1:13" ht="12.75" customHeight="1">
      <c r="A393" s="1685" t="s">
        <v>3786</v>
      </c>
      <c r="B393" s="1685"/>
      <c r="C393" s="1685"/>
      <c r="D393" s="1685"/>
      <c r="E393" s="1685"/>
      <c r="F393" s="1685"/>
      <c r="G393" s="1685"/>
      <c r="H393" s="1685"/>
      <c r="I393" s="1685"/>
      <c r="J393" s="1685"/>
      <c r="K393" s="1685"/>
      <c r="L393" s="1685"/>
      <c r="M393" s="1685"/>
    </row>
    <row r="394" spans="1:13" ht="24" customHeight="1">
      <c r="A394" s="1690" t="s">
        <v>3787</v>
      </c>
      <c r="B394" s="1690"/>
      <c r="C394" s="1690"/>
      <c r="D394" s="1690"/>
      <c r="E394" s="1690"/>
      <c r="F394" s="1690"/>
      <c r="G394" s="1690"/>
      <c r="H394" s="1690"/>
      <c r="I394" s="1690"/>
      <c r="J394" s="1690"/>
      <c r="K394" s="1690"/>
      <c r="L394" s="1690"/>
      <c r="M394" s="1690"/>
    </row>
    <row r="395" spans="1:13">
      <c r="A395" s="1659"/>
      <c r="B395" s="1659"/>
      <c r="C395" s="1659"/>
      <c r="D395" s="1659"/>
      <c r="E395" s="1659"/>
    </row>
    <row r="396" spans="1:13">
      <c r="A396" s="1717"/>
      <c r="B396" s="1717"/>
      <c r="C396" s="1717"/>
      <c r="D396" s="1717"/>
      <c r="E396" s="1717"/>
    </row>
    <row r="397" spans="1:13">
      <c r="A397" s="1216"/>
      <c r="B397" s="1216"/>
      <c r="C397" s="1216"/>
      <c r="D397" s="1216"/>
      <c r="E397" s="1216"/>
    </row>
    <row r="398" spans="1:13">
      <c r="A398" s="99"/>
      <c r="B398" s="99"/>
      <c r="C398" s="99"/>
      <c r="D398" s="99"/>
      <c r="E398" s="99"/>
    </row>
    <row r="399" spans="1:13">
      <c r="A399" s="99"/>
      <c r="B399" s="99"/>
      <c r="C399" s="99"/>
      <c r="D399" s="99"/>
      <c r="E399" s="99"/>
    </row>
    <row r="400" spans="1:13">
      <c r="A400" s="99"/>
      <c r="B400" s="99"/>
      <c r="C400" s="99"/>
      <c r="D400" s="99"/>
      <c r="E400" s="99"/>
    </row>
    <row r="401" spans="1:13">
      <c r="A401" s="99"/>
      <c r="B401" s="99"/>
      <c r="C401" s="99"/>
      <c r="D401" s="99"/>
      <c r="E401" s="99"/>
    </row>
    <row r="402" spans="1:13">
      <c r="A402" s="99"/>
      <c r="B402" s="99"/>
      <c r="C402" s="99"/>
      <c r="D402" s="99"/>
      <c r="E402" s="99"/>
    </row>
    <row r="403" spans="1:13">
      <c r="A403" s="99"/>
      <c r="B403" s="99"/>
      <c r="C403" s="99"/>
      <c r="D403" s="99"/>
      <c r="E403" s="99"/>
    </row>
    <row r="404" spans="1:13">
      <c r="A404" s="99"/>
      <c r="B404" s="99"/>
      <c r="C404" s="99"/>
      <c r="D404" s="99"/>
      <c r="E404" s="99"/>
    </row>
    <row r="405" spans="1:13">
      <c r="A405" s="1722"/>
      <c r="B405" s="1722"/>
      <c r="C405" s="1722"/>
      <c r="D405" s="1722"/>
      <c r="E405" s="1722"/>
    </row>
    <row r="406" spans="1:13">
      <c r="A406" s="1216"/>
      <c r="B406" s="1216"/>
      <c r="C406" s="1216"/>
      <c r="D406" s="1216"/>
      <c r="E406" s="1216"/>
    </row>
    <row r="407" spans="1:13">
      <c r="A407" s="1722"/>
      <c r="B407" s="1722"/>
      <c r="C407" s="1722"/>
      <c r="D407" s="1722"/>
      <c r="E407" s="1722"/>
    </row>
    <row r="408" spans="1:13">
      <c r="A408" s="1216"/>
      <c r="B408" s="1216"/>
      <c r="C408" s="1216"/>
      <c r="D408" s="1216"/>
      <c r="E408" s="1216"/>
    </row>
    <row r="409" spans="1:13">
      <c r="A409" s="1659" t="s">
        <v>2539</v>
      </c>
      <c r="B409" s="1659"/>
      <c r="C409" s="1659"/>
      <c r="D409" s="1659"/>
      <c r="E409" s="1659"/>
    </row>
    <row r="410" spans="1:13">
      <c r="A410" s="1659" t="s">
        <v>2540</v>
      </c>
      <c r="B410" s="1659"/>
      <c r="C410" s="1659"/>
      <c r="D410" s="1659"/>
      <c r="E410" s="1659"/>
    </row>
    <row r="411" spans="1:13" ht="13.5" thickBot="1">
      <c r="A411" s="1659"/>
      <c r="B411" s="1659"/>
      <c r="C411" s="1659"/>
      <c r="D411" s="1659"/>
      <c r="E411" s="1659"/>
    </row>
    <row r="412" spans="1:13" ht="20.25" customHeight="1">
      <c r="A412" s="1732" t="s">
        <v>2541</v>
      </c>
      <c r="B412" s="1733"/>
      <c r="C412" s="1733"/>
      <c r="D412" s="1733"/>
      <c r="E412" s="1733"/>
      <c r="F412" s="1733"/>
      <c r="G412" s="1733"/>
      <c r="H412" s="1733"/>
      <c r="I412" s="1734"/>
      <c r="J412" s="1705" t="s">
        <v>3788</v>
      </c>
      <c r="K412" s="1706"/>
      <c r="L412" s="555"/>
      <c r="M412" s="555"/>
    </row>
    <row r="413" spans="1:13" ht="15.75" thickBot="1">
      <c r="A413" s="1709"/>
      <c r="B413" s="1710"/>
      <c r="C413" s="1710"/>
      <c r="D413" s="1710"/>
      <c r="E413" s="1710"/>
      <c r="F413" s="1710"/>
      <c r="G413" s="1710"/>
      <c r="H413" s="1710"/>
      <c r="I413" s="1711"/>
      <c r="J413" s="1707" t="s">
        <v>677</v>
      </c>
      <c r="K413" s="1708"/>
      <c r="L413" s="555"/>
      <c r="M413" s="555"/>
    </row>
    <row r="414" spans="1:13" ht="19.5" customHeight="1" thickBot="1">
      <c r="A414" s="1712" t="s">
        <v>678</v>
      </c>
      <c r="B414" s="1713"/>
      <c r="C414" s="1713"/>
      <c r="D414" s="1713"/>
      <c r="E414" s="1713"/>
      <c r="F414" s="1713"/>
      <c r="G414" s="1713"/>
      <c r="H414" s="1713"/>
      <c r="I414" s="1714"/>
      <c r="J414" s="1662"/>
      <c r="K414" s="1663"/>
      <c r="L414" s="555"/>
      <c r="M414" s="555"/>
    </row>
    <row r="415" spans="1:13" ht="46.5" customHeight="1" thickBot="1">
      <c r="A415" s="1679" t="s">
        <v>3789</v>
      </c>
      <c r="B415" s="1680"/>
      <c r="C415" s="1680"/>
      <c r="D415" s="1680"/>
      <c r="E415" s="1680"/>
      <c r="F415" s="1680"/>
      <c r="G415" s="1680"/>
      <c r="H415" s="1680"/>
      <c r="I415" s="1681"/>
      <c r="J415" s="1662"/>
      <c r="K415" s="1663"/>
      <c r="L415" s="555"/>
      <c r="M415" s="555"/>
    </row>
    <row r="416" spans="1:13" ht="25.5" customHeight="1" thickBot="1">
      <c r="A416" s="1667" t="s">
        <v>3343</v>
      </c>
      <c r="B416" s="1668"/>
      <c r="C416" s="1668"/>
      <c r="D416" s="1668"/>
      <c r="E416" s="1668"/>
      <c r="F416" s="1668"/>
      <c r="G416" s="1668"/>
      <c r="H416" s="1668"/>
      <c r="I416" s="1669"/>
      <c r="J416" s="1660">
        <v>200</v>
      </c>
      <c r="K416" s="1661"/>
      <c r="L416" s="555"/>
      <c r="M416" s="555"/>
    </row>
    <row r="417" spans="1:13" ht="15.75" thickBot="1">
      <c r="A417" s="1675" t="s">
        <v>3344</v>
      </c>
      <c r="B417" s="1676"/>
      <c r="C417" s="1676"/>
      <c r="D417" s="1676"/>
      <c r="E417" s="1676"/>
      <c r="F417" s="1676"/>
      <c r="G417" s="1676"/>
      <c r="H417" s="1676"/>
      <c r="I417" s="1677"/>
      <c r="J417" s="1660">
        <v>198</v>
      </c>
      <c r="K417" s="1661"/>
      <c r="L417" s="555"/>
      <c r="M417" s="555"/>
    </row>
    <row r="418" spans="1:13" ht="36.75" customHeight="1" thickBot="1">
      <c r="A418" s="1675" t="s">
        <v>3345</v>
      </c>
      <c r="B418" s="1676"/>
      <c r="C418" s="1676"/>
      <c r="D418" s="1676"/>
      <c r="E418" s="1676"/>
      <c r="F418" s="1676"/>
      <c r="G418" s="1676"/>
      <c r="H418" s="1676"/>
      <c r="I418" s="1677"/>
      <c r="J418" s="1660">
        <v>195</v>
      </c>
      <c r="K418" s="1661"/>
      <c r="L418" s="555"/>
      <c r="M418" s="555"/>
    </row>
    <row r="419" spans="1:13" ht="48" customHeight="1" thickBot="1">
      <c r="A419" s="1667" t="s">
        <v>3346</v>
      </c>
      <c r="B419" s="1668"/>
      <c r="C419" s="1668"/>
      <c r="D419" s="1668"/>
      <c r="E419" s="1668"/>
      <c r="F419" s="1668"/>
      <c r="G419" s="1668"/>
      <c r="H419" s="1668"/>
      <c r="I419" s="1669"/>
      <c r="J419" s="1660">
        <v>193</v>
      </c>
      <c r="K419" s="1661"/>
      <c r="L419" s="555"/>
      <c r="M419" s="555"/>
    </row>
    <row r="420" spans="1:13" ht="67.5" customHeight="1" thickBot="1">
      <c r="A420" s="1667" t="s">
        <v>3347</v>
      </c>
      <c r="B420" s="1668"/>
      <c r="C420" s="1668"/>
      <c r="D420" s="1668"/>
      <c r="E420" s="1668"/>
      <c r="F420" s="1668"/>
      <c r="G420" s="1668"/>
      <c r="H420" s="1668"/>
      <c r="I420" s="1669"/>
      <c r="J420" s="1660">
        <v>190</v>
      </c>
      <c r="K420" s="1661"/>
      <c r="L420" s="555"/>
      <c r="M420" s="555"/>
    </row>
    <row r="421" spans="1:13" ht="67.5" customHeight="1" thickBot="1">
      <c r="A421" s="1667" t="s">
        <v>3348</v>
      </c>
      <c r="B421" s="1668"/>
      <c r="C421" s="1668"/>
      <c r="D421" s="1668"/>
      <c r="E421" s="1668"/>
      <c r="F421" s="1668"/>
      <c r="G421" s="1668"/>
      <c r="H421" s="1668"/>
      <c r="I421" s="1669"/>
      <c r="J421" s="1660">
        <v>185</v>
      </c>
      <c r="K421" s="1661"/>
      <c r="L421" s="555"/>
      <c r="M421" s="555"/>
    </row>
    <row r="422" spans="1:13" ht="96" customHeight="1" thickBot="1">
      <c r="A422" s="1667" t="s">
        <v>3349</v>
      </c>
      <c r="B422" s="1668"/>
      <c r="C422" s="1668"/>
      <c r="D422" s="1668"/>
      <c r="E422" s="1668"/>
      <c r="F422" s="1668"/>
      <c r="G422" s="1668"/>
      <c r="H422" s="1668"/>
      <c r="I422" s="1669"/>
      <c r="J422" s="1660">
        <v>180</v>
      </c>
      <c r="K422" s="1661"/>
      <c r="L422" s="555"/>
      <c r="M422" s="555"/>
    </row>
    <row r="423" spans="1:13" ht="106.5" customHeight="1" thickBot="1">
      <c r="A423" s="1667" t="s">
        <v>3350</v>
      </c>
      <c r="B423" s="1668"/>
      <c r="C423" s="1668"/>
      <c r="D423" s="1668"/>
      <c r="E423" s="1668"/>
      <c r="F423" s="1668"/>
      <c r="G423" s="1668"/>
      <c r="H423" s="1668"/>
      <c r="I423" s="1669"/>
      <c r="J423" s="1660">
        <v>170</v>
      </c>
      <c r="K423" s="1661"/>
      <c r="L423" s="555"/>
      <c r="M423" s="555"/>
    </row>
    <row r="424" spans="1:13" ht="31.5" customHeight="1" thickBot="1">
      <c r="A424" s="1667" t="s">
        <v>3351</v>
      </c>
      <c r="B424" s="1668"/>
      <c r="C424" s="1668"/>
      <c r="D424" s="1668"/>
      <c r="E424" s="1668"/>
      <c r="F424" s="1668"/>
      <c r="G424" s="1668"/>
      <c r="H424" s="1668"/>
      <c r="I424" s="1669"/>
      <c r="J424" s="1660">
        <v>165</v>
      </c>
      <c r="K424" s="1661"/>
      <c r="L424" s="555"/>
      <c r="M424" s="555"/>
    </row>
    <row r="425" spans="1:13" ht="101.25" customHeight="1" thickBot="1">
      <c r="A425" s="1667" t="s">
        <v>3352</v>
      </c>
      <c r="B425" s="1668"/>
      <c r="C425" s="1668"/>
      <c r="D425" s="1668"/>
      <c r="E425" s="1668"/>
      <c r="F425" s="1668"/>
      <c r="G425" s="1668"/>
      <c r="H425" s="1668"/>
      <c r="I425" s="1669"/>
      <c r="J425" s="1660">
        <v>145</v>
      </c>
      <c r="K425" s="1661"/>
      <c r="L425" s="555"/>
      <c r="M425" s="555"/>
    </row>
    <row r="426" spans="1:13" ht="59.25" customHeight="1" thickBot="1">
      <c r="A426" s="1667" t="s">
        <v>3353</v>
      </c>
      <c r="B426" s="1668"/>
      <c r="C426" s="1668"/>
      <c r="D426" s="1668"/>
      <c r="E426" s="1668"/>
      <c r="F426" s="1668"/>
      <c r="G426" s="1668"/>
      <c r="H426" s="1668"/>
      <c r="I426" s="1669"/>
      <c r="J426" s="1662"/>
      <c r="K426" s="1663"/>
      <c r="L426" s="555"/>
      <c r="M426" s="555"/>
    </row>
    <row r="427" spans="1:13" ht="15.75" thickBot="1">
      <c r="A427" s="1675" t="s">
        <v>2542</v>
      </c>
      <c r="B427" s="1676"/>
      <c r="C427" s="1676"/>
      <c r="D427" s="1676"/>
      <c r="E427" s="1676"/>
      <c r="F427" s="1676"/>
      <c r="G427" s="1676"/>
      <c r="H427" s="1676"/>
      <c r="I427" s="1677"/>
      <c r="J427" s="1660">
        <v>165</v>
      </c>
      <c r="K427" s="1661"/>
      <c r="L427" s="555"/>
      <c r="M427" s="555"/>
    </row>
    <row r="428" spans="1:13" ht="15.75" thickBot="1">
      <c r="A428" s="1675" t="s">
        <v>2543</v>
      </c>
      <c r="B428" s="1676"/>
      <c r="C428" s="1676"/>
      <c r="D428" s="1676"/>
      <c r="E428" s="1676"/>
      <c r="F428" s="1676"/>
      <c r="G428" s="1676"/>
      <c r="H428" s="1676"/>
      <c r="I428" s="1677"/>
      <c r="J428" s="1660">
        <v>163</v>
      </c>
      <c r="K428" s="1661"/>
      <c r="L428" s="555"/>
      <c r="M428" s="555"/>
    </row>
    <row r="429" spans="1:13" ht="15.75" thickBot="1">
      <c r="A429" s="1675" t="s">
        <v>2544</v>
      </c>
      <c r="B429" s="1676"/>
      <c r="C429" s="1676"/>
      <c r="D429" s="1676"/>
      <c r="E429" s="1676"/>
      <c r="F429" s="1676"/>
      <c r="G429" s="1676"/>
      <c r="H429" s="1676"/>
      <c r="I429" s="1677"/>
      <c r="J429" s="1660">
        <v>160</v>
      </c>
      <c r="K429" s="1661"/>
      <c r="L429" s="555"/>
      <c r="M429" s="555"/>
    </row>
    <row r="430" spans="1:13" ht="15.75" thickBot="1">
      <c r="A430" s="1667" t="s">
        <v>3354</v>
      </c>
      <c r="B430" s="1668"/>
      <c r="C430" s="1668"/>
      <c r="D430" s="1668"/>
      <c r="E430" s="1668"/>
      <c r="F430" s="1668"/>
      <c r="G430" s="1668"/>
      <c r="H430" s="1668"/>
      <c r="I430" s="1669"/>
      <c r="J430" s="1660">
        <v>155</v>
      </c>
      <c r="K430" s="1661"/>
      <c r="L430" s="555"/>
      <c r="M430" s="555"/>
    </row>
    <row r="431" spans="1:13" ht="36" customHeight="1" thickBot="1">
      <c r="A431" s="1667" t="s">
        <v>3790</v>
      </c>
      <c r="B431" s="1668"/>
      <c r="C431" s="1668"/>
      <c r="D431" s="1668"/>
      <c r="E431" s="1668"/>
      <c r="F431" s="1668"/>
      <c r="G431" s="1668"/>
      <c r="H431" s="1668"/>
      <c r="I431" s="1669"/>
      <c r="J431" s="1662"/>
      <c r="K431" s="1663"/>
      <c r="L431" s="555"/>
      <c r="M431" s="555"/>
    </row>
    <row r="432" spans="1:13" ht="15.75" thickBot="1">
      <c r="A432" s="1675" t="s">
        <v>2542</v>
      </c>
      <c r="B432" s="1676"/>
      <c r="C432" s="1676"/>
      <c r="D432" s="1676"/>
      <c r="E432" s="1676"/>
      <c r="F432" s="1676"/>
      <c r="G432" s="1676"/>
      <c r="H432" s="1676"/>
      <c r="I432" s="1677"/>
      <c r="J432" s="1660">
        <v>155</v>
      </c>
      <c r="K432" s="1661"/>
      <c r="L432" s="555"/>
      <c r="M432" s="555"/>
    </row>
    <row r="433" spans="1:13" ht="15.75" thickBot="1">
      <c r="A433" s="1675" t="s">
        <v>2543</v>
      </c>
      <c r="B433" s="1676"/>
      <c r="C433" s="1676"/>
      <c r="D433" s="1676"/>
      <c r="E433" s="1676"/>
      <c r="F433" s="1676"/>
      <c r="G433" s="1676"/>
      <c r="H433" s="1676"/>
      <c r="I433" s="1677"/>
      <c r="J433" s="1660">
        <v>150</v>
      </c>
      <c r="K433" s="1661"/>
      <c r="L433" s="555"/>
      <c r="M433" s="555"/>
    </row>
    <row r="434" spans="1:13" ht="15.75" thickBot="1">
      <c r="A434" s="1675" t="s">
        <v>2544</v>
      </c>
      <c r="B434" s="1676"/>
      <c r="C434" s="1676"/>
      <c r="D434" s="1676"/>
      <c r="E434" s="1676"/>
      <c r="F434" s="1676"/>
      <c r="G434" s="1676"/>
      <c r="H434" s="1676"/>
      <c r="I434" s="1677"/>
      <c r="J434" s="1660">
        <v>145</v>
      </c>
      <c r="K434" s="1661"/>
      <c r="L434" s="555"/>
      <c r="M434" s="555"/>
    </row>
    <row r="435" spans="1:13" ht="15.75" thickBot="1">
      <c r="A435" s="1675" t="s">
        <v>3356</v>
      </c>
      <c r="B435" s="1676"/>
      <c r="C435" s="1676"/>
      <c r="D435" s="1676"/>
      <c r="E435" s="1676"/>
      <c r="F435" s="1676"/>
      <c r="G435" s="1676"/>
      <c r="H435" s="1676"/>
      <c r="I435" s="1677"/>
      <c r="J435" s="1660">
        <v>140</v>
      </c>
      <c r="K435" s="1661"/>
      <c r="L435" s="555"/>
      <c r="M435" s="555"/>
    </row>
    <row r="436" spans="1:13" ht="81.75" customHeight="1" thickBot="1">
      <c r="A436" s="1701" t="s">
        <v>3357</v>
      </c>
      <c r="B436" s="1702"/>
      <c r="C436" s="1702"/>
      <c r="D436" s="1702"/>
      <c r="E436" s="1702"/>
      <c r="F436" s="1702"/>
      <c r="G436" s="1702"/>
      <c r="H436" s="1702"/>
      <c r="I436" s="1703"/>
      <c r="J436" s="1662"/>
      <c r="K436" s="1663"/>
      <c r="L436" s="555"/>
      <c r="M436" s="555"/>
    </row>
    <row r="437" spans="1:13" ht="15.75" thickBot="1">
      <c r="A437" s="1698" t="s">
        <v>2542</v>
      </c>
      <c r="B437" s="1699"/>
      <c r="C437" s="1699"/>
      <c r="D437" s="1699"/>
      <c r="E437" s="1699"/>
      <c r="F437" s="1699"/>
      <c r="G437" s="1699"/>
      <c r="H437" s="1699"/>
      <c r="I437" s="1700"/>
      <c r="J437" s="1660">
        <v>140</v>
      </c>
      <c r="K437" s="1661"/>
      <c r="L437" s="555"/>
      <c r="M437" s="555"/>
    </row>
    <row r="438" spans="1:13" ht="15.75" thickBot="1">
      <c r="A438" s="1698" t="s">
        <v>2543</v>
      </c>
      <c r="B438" s="1699"/>
      <c r="C438" s="1699"/>
      <c r="D438" s="1699"/>
      <c r="E438" s="1699"/>
      <c r="F438" s="1699"/>
      <c r="G438" s="1699"/>
      <c r="H438" s="1699"/>
      <c r="I438" s="1700"/>
      <c r="J438" s="1660">
        <v>135</v>
      </c>
      <c r="K438" s="1661"/>
      <c r="L438" s="555"/>
      <c r="M438" s="555"/>
    </row>
    <row r="439" spans="1:13" ht="15.75" thickBot="1">
      <c r="A439" s="1698" t="s">
        <v>2544</v>
      </c>
      <c r="B439" s="1699"/>
      <c r="C439" s="1699"/>
      <c r="D439" s="1699"/>
      <c r="E439" s="1699"/>
      <c r="F439" s="1699"/>
      <c r="G439" s="1699"/>
      <c r="H439" s="1699"/>
      <c r="I439" s="1700"/>
      <c r="J439" s="1660">
        <v>130</v>
      </c>
      <c r="K439" s="1661"/>
      <c r="L439" s="555"/>
      <c r="M439" s="555"/>
    </row>
    <row r="440" spans="1:13" ht="15.75" thickBot="1">
      <c r="A440" s="1698" t="s">
        <v>3356</v>
      </c>
      <c r="B440" s="1699"/>
      <c r="C440" s="1699"/>
      <c r="D440" s="1699"/>
      <c r="E440" s="1699"/>
      <c r="F440" s="1699"/>
      <c r="G440" s="1699"/>
      <c r="H440" s="1699"/>
      <c r="I440" s="1700"/>
      <c r="J440" s="1660">
        <v>125</v>
      </c>
      <c r="K440" s="1661"/>
      <c r="L440" s="555"/>
      <c r="M440" s="555"/>
    </row>
    <row r="441" spans="1:13" ht="64.5" customHeight="1" thickBot="1">
      <c r="A441" s="1701" t="s">
        <v>3358</v>
      </c>
      <c r="B441" s="1702"/>
      <c r="C441" s="1702"/>
      <c r="D441" s="1702"/>
      <c r="E441" s="1702"/>
      <c r="F441" s="1702"/>
      <c r="G441" s="1702"/>
      <c r="H441" s="1702"/>
      <c r="I441" s="1703"/>
      <c r="J441" s="1662"/>
      <c r="K441" s="1663"/>
      <c r="L441" s="555"/>
      <c r="M441" s="555"/>
    </row>
    <row r="442" spans="1:13" ht="15.75" thickBot="1">
      <c r="A442" s="1698" t="s">
        <v>2542</v>
      </c>
      <c r="B442" s="1699"/>
      <c r="C442" s="1699"/>
      <c r="D442" s="1699"/>
      <c r="E442" s="1699"/>
      <c r="F442" s="1699"/>
      <c r="G442" s="1699"/>
      <c r="H442" s="1699"/>
      <c r="I442" s="1700"/>
      <c r="J442" s="1660">
        <v>115</v>
      </c>
      <c r="K442" s="1661"/>
      <c r="L442" s="555"/>
      <c r="M442" s="555"/>
    </row>
    <row r="443" spans="1:13" ht="15.75" thickBot="1">
      <c r="A443" s="1698" t="s">
        <v>2543</v>
      </c>
      <c r="B443" s="1699"/>
      <c r="C443" s="1699"/>
      <c r="D443" s="1699"/>
      <c r="E443" s="1699"/>
      <c r="F443" s="1699"/>
      <c r="G443" s="1699"/>
      <c r="H443" s="1699"/>
      <c r="I443" s="1700"/>
      <c r="J443" s="1660">
        <v>110</v>
      </c>
      <c r="K443" s="1661"/>
      <c r="L443" s="555"/>
      <c r="M443" s="555"/>
    </row>
    <row r="444" spans="1:13" ht="15.75" thickBot="1">
      <c r="A444" s="1698" t="s">
        <v>2544</v>
      </c>
      <c r="B444" s="1699"/>
      <c r="C444" s="1699"/>
      <c r="D444" s="1699"/>
      <c r="E444" s="1699"/>
      <c r="F444" s="1699"/>
      <c r="G444" s="1699"/>
      <c r="H444" s="1699"/>
      <c r="I444" s="1700"/>
      <c r="J444" s="1660">
        <v>100</v>
      </c>
      <c r="K444" s="1661"/>
      <c r="L444" s="555"/>
      <c r="M444" s="555"/>
    </row>
    <row r="445" spans="1:13" ht="40.5" customHeight="1" thickBot="1">
      <c r="A445" s="1698" t="s">
        <v>3359</v>
      </c>
      <c r="B445" s="1699"/>
      <c r="C445" s="1699"/>
      <c r="D445" s="1699"/>
      <c r="E445" s="1699"/>
      <c r="F445" s="1699"/>
      <c r="G445" s="1699"/>
      <c r="H445" s="1699"/>
      <c r="I445" s="1700"/>
      <c r="J445" s="1662"/>
      <c r="K445" s="1663"/>
      <c r="L445" s="555"/>
      <c r="M445" s="555"/>
    </row>
    <row r="446" spans="1:13" ht="15.75" thickBot="1">
      <c r="A446" s="1675" t="s">
        <v>2542</v>
      </c>
      <c r="B446" s="1676"/>
      <c r="C446" s="1676"/>
      <c r="D446" s="1676"/>
      <c r="E446" s="1676"/>
      <c r="F446" s="1676"/>
      <c r="G446" s="1676"/>
      <c r="H446" s="1676"/>
      <c r="I446" s="1677"/>
      <c r="J446" s="1660">
        <v>115</v>
      </c>
      <c r="K446" s="1661"/>
      <c r="L446" s="555"/>
      <c r="M446" s="555"/>
    </row>
    <row r="447" spans="1:13" ht="15.75" thickBot="1">
      <c r="A447" s="1675" t="s">
        <v>2543</v>
      </c>
      <c r="B447" s="1676"/>
      <c r="C447" s="1676"/>
      <c r="D447" s="1676"/>
      <c r="E447" s="1676"/>
      <c r="F447" s="1676"/>
      <c r="G447" s="1676"/>
      <c r="H447" s="1676"/>
      <c r="I447" s="1677"/>
      <c r="J447" s="1660">
        <v>105</v>
      </c>
      <c r="K447" s="1661"/>
      <c r="L447" s="555"/>
      <c r="M447" s="555"/>
    </row>
    <row r="448" spans="1:13" ht="15.75" thickBot="1">
      <c r="A448" s="1675" t="s">
        <v>2544</v>
      </c>
      <c r="B448" s="1676"/>
      <c r="C448" s="1676"/>
      <c r="D448" s="1676"/>
      <c r="E448" s="1676"/>
      <c r="F448" s="1676"/>
      <c r="G448" s="1676"/>
      <c r="H448" s="1676"/>
      <c r="I448" s="1677"/>
      <c r="J448" s="1660">
        <v>95</v>
      </c>
      <c r="K448" s="1661"/>
      <c r="L448" s="555"/>
      <c r="M448" s="555"/>
    </row>
    <row r="449" spans="1:13" ht="15.75" thickBot="1">
      <c r="A449" s="1675" t="s">
        <v>3360</v>
      </c>
      <c r="B449" s="1676"/>
      <c r="C449" s="1676"/>
      <c r="D449" s="1676"/>
      <c r="E449" s="1676"/>
      <c r="F449" s="1676"/>
      <c r="G449" s="1676"/>
      <c r="H449" s="1676"/>
      <c r="I449" s="1677"/>
      <c r="J449" s="1662"/>
      <c r="K449" s="1663"/>
      <c r="L449" s="555"/>
      <c r="M449" s="555"/>
    </row>
    <row r="450" spans="1:13" ht="15.75" thickBot="1">
      <c r="A450" s="1675" t="s">
        <v>2542</v>
      </c>
      <c r="B450" s="1676"/>
      <c r="C450" s="1676"/>
      <c r="D450" s="1676"/>
      <c r="E450" s="1676"/>
      <c r="F450" s="1676"/>
      <c r="G450" s="1676"/>
      <c r="H450" s="1676"/>
      <c r="I450" s="1677"/>
      <c r="J450" s="1660">
        <v>110</v>
      </c>
      <c r="K450" s="1661"/>
      <c r="L450" s="555"/>
      <c r="M450" s="555"/>
    </row>
    <row r="451" spans="1:13" ht="15.75" thickBot="1">
      <c r="A451" s="1675" t="s">
        <v>2543</v>
      </c>
      <c r="B451" s="1676"/>
      <c r="C451" s="1676"/>
      <c r="D451" s="1676"/>
      <c r="E451" s="1676"/>
      <c r="F451" s="1676"/>
      <c r="G451" s="1676"/>
      <c r="H451" s="1676"/>
      <c r="I451" s="1677"/>
      <c r="J451" s="1660">
        <v>100</v>
      </c>
      <c r="K451" s="1661"/>
      <c r="L451" s="555"/>
      <c r="M451" s="555"/>
    </row>
    <row r="452" spans="1:13" ht="15.75" thickBot="1">
      <c r="A452" s="1675" t="s">
        <v>2545</v>
      </c>
      <c r="B452" s="1676"/>
      <c r="C452" s="1676"/>
      <c r="D452" s="1676"/>
      <c r="E452" s="1676"/>
      <c r="F452" s="1676"/>
      <c r="G452" s="1676"/>
      <c r="H452" s="1676"/>
      <c r="I452" s="1677"/>
      <c r="J452" s="1660">
        <v>90</v>
      </c>
      <c r="K452" s="1661"/>
      <c r="L452" s="555"/>
      <c r="M452" s="555"/>
    </row>
    <row r="453" spans="1:13" ht="15.75" thickBot="1">
      <c r="A453" s="1675" t="s">
        <v>2546</v>
      </c>
      <c r="B453" s="1676"/>
      <c r="C453" s="1676"/>
      <c r="D453" s="1676"/>
      <c r="E453" s="1676"/>
      <c r="F453" s="1676"/>
      <c r="G453" s="1676"/>
      <c r="H453" s="1676"/>
      <c r="I453" s="1677"/>
      <c r="J453" s="1660">
        <v>85</v>
      </c>
      <c r="K453" s="1661"/>
      <c r="L453" s="555"/>
      <c r="M453" s="555"/>
    </row>
    <row r="454" spans="1:13" ht="20.25" customHeight="1" thickBot="1">
      <c r="A454" s="1682" t="s">
        <v>3791</v>
      </c>
      <c r="B454" s="1683"/>
      <c r="C454" s="1683"/>
      <c r="D454" s="1683"/>
      <c r="E454" s="1683"/>
      <c r="F454" s="1683"/>
      <c r="G454" s="1683"/>
      <c r="H454" s="1683"/>
      <c r="I454" s="1684"/>
      <c r="J454" s="1696"/>
      <c r="K454" s="1697"/>
      <c r="L454" s="555"/>
      <c r="M454" s="555"/>
    </row>
    <row r="455" spans="1:13" ht="26.25" customHeight="1" thickBot="1">
      <c r="A455" s="1675" t="s">
        <v>3792</v>
      </c>
      <c r="B455" s="1676"/>
      <c r="C455" s="1676"/>
      <c r="D455" s="1676"/>
      <c r="E455" s="1676"/>
      <c r="F455" s="1676"/>
      <c r="G455" s="1676"/>
      <c r="H455" s="1676"/>
      <c r="I455" s="1677"/>
      <c r="J455" s="1662"/>
      <c r="K455" s="1663"/>
      <c r="L455" s="555"/>
      <c r="M455" s="555"/>
    </row>
    <row r="456" spans="1:13" ht="15.75" thickBot="1">
      <c r="A456" s="1675" t="s">
        <v>2542</v>
      </c>
      <c r="B456" s="1676"/>
      <c r="C456" s="1676"/>
      <c r="D456" s="1676"/>
      <c r="E456" s="1676"/>
      <c r="F456" s="1676"/>
      <c r="G456" s="1676"/>
      <c r="H456" s="1676"/>
      <c r="I456" s="1677"/>
      <c r="J456" s="1660">
        <v>150</v>
      </c>
      <c r="K456" s="1661"/>
      <c r="L456" s="555"/>
      <c r="M456" s="555"/>
    </row>
    <row r="457" spans="1:13" ht="15.75" thickBot="1">
      <c r="A457" s="1675" t="s">
        <v>2543</v>
      </c>
      <c r="B457" s="1676"/>
      <c r="C457" s="1676"/>
      <c r="D457" s="1676"/>
      <c r="E457" s="1676"/>
      <c r="F457" s="1676"/>
      <c r="G457" s="1676"/>
      <c r="H457" s="1676"/>
      <c r="I457" s="1677"/>
      <c r="J457" s="1660">
        <v>140</v>
      </c>
      <c r="K457" s="1661"/>
      <c r="L457" s="555"/>
      <c r="M457" s="555"/>
    </row>
    <row r="458" spans="1:13" ht="15.75" thickBot="1">
      <c r="A458" s="1675" t="s">
        <v>2544</v>
      </c>
      <c r="B458" s="1676"/>
      <c r="C458" s="1676"/>
      <c r="D458" s="1676"/>
      <c r="E458" s="1676"/>
      <c r="F458" s="1676"/>
      <c r="G458" s="1676"/>
      <c r="H458" s="1676"/>
      <c r="I458" s="1677"/>
      <c r="J458" s="1660">
        <v>130</v>
      </c>
      <c r="K458" s="1661"/>
      <c r="L458" s="555"/>
      <c r="M458" s="555"/>
    </row>
    <row r="459" spans="1:13" ht="40.5" customHeight="1" thickBot="1">
      <c r="A459" s="1675" t="s">
        <v>3362</v>
      </c>
      <c r="B459" s="1676"/>
      <c r="C459" s="1676"/>
      <c r="D459" s="1676"/>
      <c r="E459" s="1676"/>
      <c r="F459" s="1676"/>
      <c r="G459" s="1676"/>
      <c r="H459" s="1676"/>
      <c r="I459" s="1677"/>
      <c r="J459" s="1662"/>
      <c r="K459" s="1663"/>
      <c r="L459" s="555"/>
      <c r="M459" s="555"/>
    </row>
    <row r="460" spans="1:13" ht="15.75" thickBot="1">
      <c r="A460" s="1675" t="s">
        <v>2542</v>
      </c>
      <c r="B460" s="1676"/>
      <c r="C460" s="1676"/>
      <c r="D460" s="1676"/>
      <c r="E460" s="1676"/>
      <c r="F460" s="1676"/>
      <c r="G460" s="1676"/>
      <c r="H460" s="1676"/>
      <c r="I460" s="1677"/>
      <c r="J460" s="1660">
        <v>120</v>
      </c>
      <c r="K460" s="1661"/>
      <c r="L460" s="555"/>
      <c r="M460" s="555"/>
    </row>
    <row r="461" spans="1:13" ht="15.75" thickBot="1">
      <c r="A461" s="1675" t="s">
        <v>2543</v>
      </c>
      <c r="B461" s="1676"/>
      <c r="C461" s="1676"/>
      <c r="D461" s="1676"/>
      <c r="E461" s="1676"/>
      <c r="F461" s="1676"/>
      <c r="G461" s="1676"/>
      <c r="H461" s="1676"/>
      <c r="I461" s="1677"/>
      <c r="J461" s="1660">
        <v>110</v>
      </c>
      <c r="K461" s="1661"/>
      <c r="L461" s="555"/>
      <c r="M461" s="555"/>
    </row>
    <row r="462" spans="1:13" ht="15.75" thickBot="1">
      <c r="A462" s="1675" t="s">
        <v>2544</v>
      </c>
      <c r="B462" s="1676"/>
      <c r="C462" s="1676"/>
      <c r="D462" s="1676"/>
      <c r="E462" s="1676"/>
      <c r="F462" s="1676"/>
      <c r="G462" s="1676"/>
      <c r="H462" s="1676"/>
      <c r="I462" s="1677"/>
      <c r="J462" s="1660">
        <v>100</v>
      </c>
      <c r="K462" s="1661"/>
      <c r="L462" s="555"/>
      <c r="M462" s="555"/>
    </row>
    <row r="463" spans="1:13" ht="30" customHeight="1" thickBot="1">
      <c r="A463" s="1675" t="s">
        <v>3363</v>
      </c>
      <c r="B463" s="1676"/>
      <c r="C463" s="1676"/>
      <c r="D463" s="1676"/>
      <c r="E463" s="1676"/>
      <c r="F463" s="1676"/>
      <c r="G463" s="1676"/>
      <c r="H463" s="1676"/>
      <c r="I463" s="1677"/>
      <c r="J463" s="1662"/>
      <c r="K463" s="1663"/>
      <c r="L463" s="555"/>
      <c r="M463" s="555"/>
    </row>
    <row r="464" spans="1:13" ht="15.75" thickBot="1">
      <c r="A464" s="1675" t="s">
        <v>2542</v>
      </c>
      <c r="B464" s="1676"/>
      <c r="C464" s="1676"/>
      <c r="D464" s="1676"/>
      <c r="E464" s="1676"/>
      <c r="F464" s="1676"/>
      <c r="G464" s="1676"/>
      <c r="H464" s="1676"/>
      <c r="I464" s="1677"/>
      <c r="J464" s="1660">
        <v>110</v>
      </c>
      <c r="K464" s="1661"/>
      <c r="L464" s="555"/>
      <c r="M464" s="555"/>
    </row>
    <row r="465" spans="1:13" ht="15.75" thickBot="1">
      <c r="A465" s="1675" t="s">
        <v>2543</v>
      </c>
      <c r="B465" s="1676"/>
      <c r="C465" s="1676"/>
      <c r="D465" s="1676"/>
      <c r="E465" s="1676"/>
      <c r="F465" s="1676"/>
      <c r="G465" s="1676"/>
      <c r="H465" s="1676"/>
      <c r="I465" s="1677"/>
      <c r="J465" s="1660">
        <v>100</v>
      </c>
      <c r="K465" s="1661"/>
      <c r="L465" s="555"/>
      <c r="M465" s="555"/>
    </row>
    <row r="466" spans="1:13" ht="15.75" thickBot="1">
      <c r="A466" s="1675" t="s">
        <v>2545</v>
      </c>
      <c r="B466" s="1676"/>
      <c r="C466" s="1676"/>
      <c r="D466" s="1676"/>
      <c r="E466" s="1676"/>
      <c r="F466" s="1676"/>
      <c r="G466" s="1676"/>
      <c r="H466" s="1676"/>
      <c r="I466" s="1677"/>
      <c r="J466" s="1660">
        <v>90</v>
      </c>
      <c r="K466" s="1661"/>
      <c r="L466" s="555"/>
      <c r="M466" s="555"/>
    </row>
    <row r="467" spans="1:13" ht="15.75" thickBot="1">
      <c r="A467" s="1675" t="s">
        <v>2546</v>
      </c>
      <c r="B467" s="1676"/>
      <c r="C467" s="1676"/>
      <c r="D467" s="1676"/>
      <c r="E467" s="1676"/>
      <c r="F467" s="1676"/>
      <c r="G467" s="1676"/>
      <c r="H467" s="1676"/>
      <c r="I467" s="1677"/>
      <c r="J467" s="1660">
        <v>85</v>
      </c>
      <c r="K467" s="1661"/>
      <c r="L467" s="555"/>
      <c r="M467" s="555"/>
    </row>
    <row r="468" spans="1:13" ht="15.75" thickBot="1">
      <c r="A468" s="1682" t="s">
        <v>3793</v>
      </c>
      <c r="B468" s="1683"/>
      <c r="C468" s="1683"/>
      <c r="D468" s="1683"/>
      <c r="E468" s="1683"/>
      <c r="F468" s="1683"/>
      <c r="G468" s="1683"/>
      <c r="H468" s="1683"/>
      <c r="I468" s="1684"/>
      <c r="J468" s="1662"/>
      <c r="K468" s="1663"/>
      <c r="L468" s="555"/>
      <c r="M468" s="555"/>
    </row>
    <row r="469" spans="1:13" ht="15.75" thickBot="1">
      <c r="A469" s="1675" t="s">
        <v>3364</v>
      </c>
      <c r="B469" s="1676"/>
      <c r="C469" s="1676"/>
      <c r="D469" s="1676"/>
      <c r="E469" s="1676"/>
      <c r="F469" s="1676"/>
      <c r="G469" s="1676"/>
      <c r="H469" s="1676"/>
      <c r="I469" s="1677"/>
      <c r="J469" s="1662"/>
      <c r="K469" s="1663"/>
      <c r="L469" s="555"/>
      <c r="M469" s="555"/>
    </row>
    <row r="470" spans="1:13" ht="15.75" thickBot="1">
      <c r="A470" s="1675" t="s">
        <v>2542</v>
      </c>
      <c r="B470" s="1676"/>
      <c r="C470" s="1676"/>
      <c r="D470" s="1676"/>
      <c r="E470" s="1676"/>
      <c r="F470" s="1676"/>
      <c r="G470" s="1676"/>
      <c r="H470" s="1676"/>
      <c r="I470" s="1677"/>
      <c r="J470" s="1660">
        <v>200</v>
      </c>
      <c r="K470" s="1661"/>
      <c r="L470" s="555"/>
      <c r="M470" s="555"/>
    </row>
    <row r="471" spans="1:13" ht="15.75" thickBot="1">
      <c r="A471" s="1675" t="s">
        <v>2543</v>
      </c>
      <c r="B471" s="1676"/>
      <c r="C471" s="1676"/>
      <c r="D471" s="1676"/>
      <c r="E471" s="1676"/>
      <c r="F471" s="1676"/>
      <c r="G471" s="1676"/>
      <c r="H471" s="1676"/>
      <c r="I471" s="1677"/>
      <c r="J471" s="1660">
        <v>190</v>
      </c>
      <c r="K471" s="1661"/>
      <c r="L471" s="555"/>
      <c r="M471" s="555"/>
    </row>
    <row r="472" spans="1:13" ht="15.75" thickBot="1">
      <c r="A472" s="1675" t="s">
        <v>2544</v>
      </c>
      <c r="B472" s="1676"/>
      <c r="C472" s="1676"/>
      <c r="D472" s="1676"/>
      <c r="E472" s="1676"/>
      <c r="F472" s="1676"/>
      <c r="G472" s="1676"/>
      <c r="H472" s="1676"/>
      <c r="I472" s="1677"/>
      <c r="J472" s="1660">
        <v>180</v>
      </c>
      <c r="K472" s="1661"/>
      <c r="L472" s="555"/>
      <c r="M472" s="555"/>
    </row>
    <row r="473" spans="1:13" ht="32.25" customHeight="1" thickBot="1">
      <c r="A473" s="1675" t="s">
        <v>3365</v>
      </c>
      <c r="B473" s="1676"/>
      <c r="C473" s="1676"/>
      <c r="D473" s="1676"/>
      <c r="E473" s="1676"/>
      <c r="F473" s="1676"/>
      <c r="G473" s="1676"/>
      <c r="H473" s="1676"/>
      <c r="I473" s="1677"/>
      <c r="J473" s="1662"/>
      <c r="K473" s="1663"/>
      <c r="L473" s="555"/>
      <c r="M473" s="555"/>
    </row>
    <row r="474" spans="1:13" ht="15.75" thickBot="1">
      <c r="A474" s="1675" t="s">
        <v>2542</v>
      </c>
      <c r="B474" s="1676"/>
      <c r="C474" s="1676"/>
      <c r="D474" s="1676"/>
      <c r="E474" s="1676"/>
      <c r="F474" s="1676"/>
      <c r="G474" s="1676"/>
      <c r="H474" s="1676"/>
      <c r="I474" s="1677"/>
      <c r="J474" s="1660">
        <v>190</v>
      </c>
      <c r="K474" s="1661"/>
      <c r="L474" s="555"/>
      <c r="M474" s="555"/>
    </row>
    <row r="475" spans="1:13" ht="15.75" thickBot="1">
      <c r="A475" s="1675" t="s">
        <v>2543</v>
      </c>
      <c r="B475" s="1676"/>
      <c r="C475" s="1676"/>
      <c r="D475" s="1676"/>
      <c r="E475" s="1676"/>
      <c r="F475" s="1676"/>
      <c r="G475" s="1676"/>
      <c r="H475" s="1676"/>
      <c r="I475" s="1677"/>
      <c r="J475" s="1660">
        <v>180</v>
      </c>
      <c r="K475" s="1661"/>
      <c r="L475" s="555"/>
      <c r="M475" s="555"/>
    </row>
    <row r="476" spans="1:13" ht="15.75" thickBot="1">
      <c r="A476" s="1675" t="s">
        <v>2544</v>
      </c>
      <c r="B476" s="1676"/>
      <c r="C476" s="1676"/>
      <c r="D476" s="1676"/>
      <c r="E476" s="1676"/>
      <c r="F476" s="1676"/>
      <c r="G476" s="1676"/>
      <c r="H476" s="1676"/>
      <c r="I476" s="1677"/>
      <c r="J476" s="1660">
        <v>170</v>
      </c>
      <c r="K476" s="1661"/>
      <c r="L476" s="555"/>
      <c r="M476" s="555"/>
    </row>
    <row r="477" spans="1:13" ht="15.75" thickBot="1">
      <c r="A477" s="1675" t="s">
        <v>3366</v>
      </c>
      <c r="B477" s="1676"/>
      <c r="C477" s="1676"/>
      <c r="D477" s="1676"/>
      <c r="E477" s="1676"/>
      <c r="F477" s="1676"/>
      <c r="G477" s="1676"/>
      <c r="H477" s="1676"/>
      <c r="I477" s="1677"/>
      <c r="J477" s="1662"/>
      <c r="K477" s="1663"/>
      <c r="L477" s="555"/>
      <c r="M477" s="555"/>
    </row>
    <row r="478" spans="1:13" ht="15.75" thickBot="1">
      <c r="A478" s="1675" t="s">
        <v>2542</v>
      </c>
      <c r="B478" s="1676"/>
      <c r="C478" s="1676"/>
      <c r="D478" s="1676"/>
      <c r="E478" s="1676"/>
      <c r="F478" s="1676"/>
      <c r="G478" s="1676"/>
      <c r="H478" s="1676"/>
      <c r="I478" s="1677"/>
      <c r="J478" s="1660">
        <v>185</v>
      </c>
      <c r="K478" s="1661"/>
      <c r="L478" s="555"/>
      <c r="M478" s="555"/>
    </row>
    <row r="479" spans="1:13" ht="15.75" thickBot="1">
      <c r="A479" s="1675" t="s">
        <v>2543</v>
      </c>
      <c r="B479" s="1676"/>
      <c r="C479" s="1676"/>
      <c r="D479" s="1676"/>
      <c r="E479" s="1676"/>
      <c r="F479" s="1676"/>
      <c r="G479" s="1676"/>
      <c r="H479" s="1676"/>
      <c r="I479" s="1677"/>
      <c r="J479" s="1660">
        <v>175</v>
      </c>
      <c r="K479" s="1661"/>
      <c r="L479" s="555"/>
      <c r="M479" s="555"/>
    </row>
    <row r="480" spans="1:13" ht="15.75" thickBot="1">
      <c r="A480" s="1675" t="s">
        <v>2544</v>
      </c>
      <c r="B480" s="1676"/>
      <c r="C480" s="1676"/>
      <c r="D480" s="1676"/>
      <c r="E480" s="1676"/>
      <c r="F480" s="1676"/>
      <c r="G480" s="1676"/>
      <c r="H480" s="1676"/>
      <c r="I480" s="1677"/>
      <c r="J480" s="1660">
        <v>165</v>
      </c>
      <c r="K480" s="1661"/>
      <c r="L480" s="555"/>
      <c r="M480" s="555"/>
    </row>
    <row r="481" spans="1:13" ht="15.75" thickBot="1">
      <c r="A481" s="1675" t="s">
        <v>3367</v>
      </c>
      <c r="B481" s="1676"/>
      <c r="C481" s="1676"/>
      <c r="D481" s="1676"/>
      <c r="E481" s="1676"/>
      <c r="F481" s="1676"/>
      <c r="G481" s="1676"/>
      <c r="H481" s="1676"/>
      <c r="I481" s="1677"/>
      <c r="J481" s="1662"/>
      <c r="K481" s="1663"/>
      <c r="L481" s="555"/>
      <c r="M481" s="555"/>
    </row>
    <row r="482" spans="1:13" ht="15.75" thickBot="1">
      <c r="A482" s="1675" t="s">
        <v>2542</v>
      </c>
      <c r="B482" s="1676"/>
      <c r="C482" s="1676"/>
      <c r="D482" s="1676"/>
      <c r="E482" s="1676"/>
      <c r="F482" s="1676"/>
      <c r="G482" s="1676"/>
      <c r="H482" s="1676"/>
      <c r="I482" s="1677"/>
      <c r="J482" s="1660">
        <v>165</v>
      </c>
      <c r="K482" s="1661"/>
      <c r="L482" s="555"/>
      <c r="M482" s="555"/>
    </row>
    <row r="483" spans="1:13" ht="15.75" thickBot="1">
      <c r="A483" s="1675" t="s">
        <v>2543</v>
      </c>
      <c r="B483" s="1676"/>
      <c r="C483" s="1676"/>
      <c r="D483" s="1676"/>
      <c r="E483" s="1676"/>
      <c r="F483" s="1676"/>
      <c r="G483" s="1676"/>
      <c r="H483" s="1676"/>
      <c r="I483" s="1677"/>
      <c r="J483" s="1660">
        <v>155</v>
      </c>
      <c r="K483" s="1661"/>
      <c r="L483" s="555"/>
      <c r="M483" s="555"/>
    </row>
    <row r="484" spans="1:13" ht="15.75" thickBot="1">
      <c r="A484" s="1675" t="s">
        <v>2544</v>
      </c>
      <c r="B484" s="1676"/>
      <c r="C484" s="1676"/>
      <c r="D484" s="1676"/>
      <c r="E484" s="1676"/>
      <c r="F484" s="1676"/>
      <c r="G484" s="1676"/>
      <c r="H484" s="1676"/>
      <c r="I484" s="1677"/>
      <c r="J484" s="1660">
        <v>145</v>
      </c>
      <c r="K484" s="1661"/>
      <c r="L484" s="555"/>
      <c r="M484" s="555"/>
    </row>
    <row r="485" spans="1:13" ht="15.75" thickBot="1">
      <c r="A485" s="1675" t="s">
        <v>3794</v>
      </c>
      <c r="B485" s="1676"/>
      <c r="C485" s="1676"/>
      <c r="D485" s="1676"/>
      <c r="E485" s="1676"/>
      <c r="F485" s="1676"/>
      <c r="G485" s="1676"/>
      <c r="H485" s="1676"/>
      <c r="I485" s="1677"/>
      <c r="J485" s="1662"/>
      <c r="K485" s="1663"/>
      <c r="L485" s="555"/>
      <c r="M485" s="555"/>
    </row>
    <row r="486" spans="1:13" ht="15.75" thickBot="1">
      <c r="A486" s="1675" t="s">
        <v>2542</v>
      </c>
      <c r="B486" s="1676"/>
      <c r="C486" s="1676"/>
      <c r="D486" s="1676"/>
      <c r="E486" s="1676"/>
      <c r="F486" s="1676"/>
      <c r="G486" s="1676"/>
      <c r="H486" s="1676"/>
      <c r="I486" s="1677"/>
      <c r="J486" s="1660">
        <v>140</v>
      </c>
      <c r="K486" s="1661"/>
      <c r="L486" s="555"/>
      <c r="M486" s="555"/>
    </row>
    <row r="487" spans="1:13" ht="15.75" thickBot="1">
      <c r="A487" s="1675" t="s">
        <v>2543</v>
      </c>
      <c r="B487" s="1676"/>
      <c r="C487" s="1676"/>
      <c r="D487" s="1676"/>
      <c r="E487" s="1676"/>
      <c r="F487" s="1676"/>
      <c r="G487" s="1676"/>
      <c r="H487" s="1676"/>
      <c r="I487" s="1677"/>
      <c r="J487" s="1660">
        <v>130</v>
      </c>
      <c r="K487" s="1661"/>
      <c r="L487" s="555"/>
      <c r="M487" s="555"/>
    </row>
    <row r="488" spans="1:13" ht="15.75" thickBot="1">
      <c r="A488" s="1675" t="s">
        <v>2544</v>
      </c>
      <c r="B488" s="1676"/>
      <c r="C488" s="1676"/>
      <c r="D488" s="1676"/>
      <c r="E488" s="1676"/>
      <c r="F488" s="1676"/>
      <c r="G488" s="1676"/>
      <c r="H488" s="1676"/>
      <c r="I488" s="1677"/>
      <c r="J488" s="1660">
        <v>120</v>
      </c>
      <c r="K488" s="1661"/>
      <c r="L488" s="555"/>
      <c r="M488" s="555"/>
    </row>
    <row r="489" spans="1:13" ht="30" customHeight="1" thickBot="1">
      <c r="A489" s="1675" t="s">
        <v>3369</v>
      </c>
      <c r="B489" s="1676"/>
      <c r="C489" s="1676"/>
      <c r="D489" s="1676"/>
      <c r="E489" s="1676"/>
      <c r="F489" s="1676"/>
      <c r="G489" s="1676"/>
      <c r="H489" s="1676"/>
      <c r="I489" s="1677"/>
      <c r="J489" s="1662"/>
      <c r="K489" s="1663"/>
      <c r="L489" s="555"/>
      <c r="M489" s="555"/>
    </row>
    <row r="490" spans="1:13" ht="15.75" thickBot="1">
      <c r="A490" s="1675" t="s">
        <v>2542</v>
      </c>
      <c r="B490" s="1676"/>
      <c r="C490" s="1676"/>
      <c r="D490" s="1676"/>
      <c r="E490" s="1676"/>
      <c r="F490" s="1676"/>
      <c r="G490" s="1676"/>
      <c r="H490" s="1676"/>
      <c r="I490" s="1677"/>
      <c r="J490" s="1660">
        <v>115</v>
      </c>
      <c r="K490" s="1661"/>
      <c r="L490" s="555"/>
      <c r="M490" s="555"/>
    </row>
    <row r="491" spans="1:13" ht="15.75" thickBot="1">
      <c r="A491" s="1675" t="s">
        <v>2543</v>
      </c>
      <c r="B491" s="1676"/>
      <c r="C491" s="1676"/>
      <c r="D491" s="1676"/>
      <c r="E491" s="1676"/>
      <c r="F491" s="1676"/>
      <c r="G491" s="1676"/>
      <c r="H491" s="1676"/>
      <c r="I491" s="1677"/>
      <c r="J491" s="1660">
        <v>105</v>
      </c>
      <c r="K491" s="1661"/>
      <c r="L491" s="555"/>
      <c r="M491" s="555"/>
    </row>
    <row r="492" spans="1:13" ht="15.75" thickBot="1">
      <c r="A492" s="1675" t="s">
        <v>2545</v>
      </c>
      <c r="B492" s="1676"/>
      <c r="C492" s="1676"/>
      <c r="D492" s="1676"/>
      <c r="E492" s="1676"/>
      <c r="F492" s="1676"/>
      <c r="G492" s="1676"/>
      <c r="H492" s="1676"/>
      <c r="I492" s="1677"/>
      <c r="J492" s="1660">
        <v>95</v>
      </c>
      <c r="K492" s="1661"/>
      <c r="L492" s="555"/>
      <c r="M492" s="555"/>
    </row>
    <row r="493" spans="1:13" ht="15.75" thickBot="1">
      <c r="A493" s="1675" t="s">
        <v>2546</v>
      </c>
      <c r="B493" s="1676"/>
      <c r="C493" s="1676"/>
      <c r="D493" s="1676"/>
      <c r="E493" s="1676"/>
      <c r="F493" s="1676"/>
      <c r="G493" s="1676"/>
      <c r="H493" s="1676"/>
      <c r="I493" s="1677"/>
      <c r="J493" s="1660">
        <v>90</v>
      </c>
      <c r="K493" s="1661"/>
      <c r="L493" s="555"/>
      <c r="M493" s="555"/>
    </row>
    <row r="494" spans="1:13" ht="15.75" thickBot="1">
      <c r="A494" s="1682" t="s">
        <v>3795</v>
      </c>
      <c r="B494" s="1683"/>
      <c r="C494" s="1683"/>
      <c r="D494" s="1683"/>
      <c r="E494" s="1683"/>
      <c r="F494" s="1683"/>
      <c r="G494" s="1683"/>
      <c r="H494" s="1683"/>
      <c r="I494" s="1684"/>
      <c r="J494" s="1662"/>
      <c r="K494" s="1663"/>
      <c r="L494" s="555"/>
      <c r="M494" s="555"/>
    </row>
    <row r="495" spans="1:13" ht="32.25" customHeight="1" thickBot="1">
      <c r="A495" s="1675" t="s">
        <v>2547</v>
      </c>
      <c r="B495" s="1676"/>
      <c r="C495" s="1676"/>
      <c r="D495" s="1676"/>
      <c r="E495" s="1676"/>
      <c r="F495" s="1676"/>
      <c r="G495" s="1676"/>
      <c r="H495" s="1676"/>
      <c r="I495" s="1677"/>
      <c r="J495" s="1662"/>
      <c r="K495" s="1663"/>
      <c r="L495" s="555"/>
      <c r="M495" s="555"/>
    </row>
    <row r="496" spans="1:13" ht="15.75" thickBot="1">
      <c r="A496" s="1675" t="s">
        <v>2542</v>
      </c>
      <c r="B496" s="1676"/>
      <c r="C496" s="1676"/>
      <c r="D496" s="1676"/>
      <c r="E496" s="1676"/>
      <c r="F496" s="1676"/>
      <c r="G496" s="1676"/>
      <c r="H496" s="1676"/>
      <c r="I496" s="1677"/>
      <c r="J496" s="1660">
        <v>65</v>
      </c>
      <c r="K496" s="1661"/>
      <c r="L496" s="555"/>
      <c r="M496" s="555"/>
    </row>
    <row r="497" spans="1:13" ht="15.75" thickBot="1">
      <c r="A497" s="1675" t="s">
        <v>2543</v>
      </c>
      <c r="B497" s="1676"/>
      <c r="C497" s="1676"/>
      <c r="D497" s="1676"/>
      <c r="E497" s="1676"/>
      <c r="F497" s="1676"/>
      <c r="G497" s="1676"/>
      <c r="H497" s="1676"/>
      <c r="I497" s="1677"/>
      <c r="J497" s="1660">
        <v>65</v>
      </c>
      <c r="K497" s="1661"/>
      <c r="L497" s="555"/>
      <c r="M497" s="555"/>
    </row>
    <row r="498" spans="1:13" ht="15.75" thickBot="1">
      <c r="A498" s="1675" t="s">
        <v>2544</v>
      </c>
      <c r="B498" s="1676"/>
      <c r="C498" s="1676"/>
      <c r="D498" s="1676"/>
      <c r="E498" s="1676"/>
      <c r="F498" s="1676"/>
      <c r="G498" s="1676"/>
      <c r="H498" s="1676"/>
      <c r="I498" s="1677"/>
      <c r="J498" s="1660">
        <v>65</v>
      </c>
      <c r="K498" s="1661"/>
      <c r="L498" s="555"/>
      <c r="M498" s="555"/>
    </row>
    <row r="499" spans="1:13" ht="15.75" thickBot="1">
      <c r="A499" s="1682" t="s">
        <v>3796</v>
      </c>
      <c r="B499" s="1683"/>
      <c r="C499" s="1683"/>
      <c r="D499" s="1683"/>
      <c r="E499" s="1683"/>
      <c r="F499" s="1683"/>
      <c r="G499" s="1683"/>
      <c r="H499" s="1683"/>
      <c r="I499" s="1684"/>
      <c r="J499" s="1662"/>
      <c r="K499" s="1663"/>
      <c r="L499" s="555"/>
      <c r="M499" s="555"/>
    </row>
    <row r="500" spans="1:13" ht="27" customHeight="1" thickBot="1">
      <c r="A500" s="1675" t="s">
        <v>2548</v>
      </c>
      <c r="B500" s="1676"/>
      <c r="C500" s="1676"/>
      <c r="D500" s="1676"/>
      <c r="E500" s="1676"/>
      <c r="F500" s="1676"/>
      <c r="G500" s="1676"/>
      <c r="H500" s="1676"/>
      <c r="I500" s="1677"/>
      <c r="J500" s="1662"/>
      <c r="K500" s="1663"/>
      <c r="L500" s="555"/>
      <c r="M500" s="555"/>
    </row>
    <row r="501" spans="1:13" ht="15.75" thickBot="1">
      <c r="A501" s="1675" t="s">
        <v>2542</v>
      </c>
      <c r="B501" s="1676"/>
      <c r="C501" s="1676"/>
      <c r="D501" s="1676"/>
      <c r="E501" s="1676"/>
      <c r="F501" s="1676"/>
      <c r="G501" s="1676"/>
      <c r="H501" s="1676"/>
      <c r="I501" s="1677"/>
      <c r="J501" s="1660">
        <v>150</v>
      </c>
      <c r="K501" s="1661"/>
      <c r="L501" s="555"/>
      <c r="M501" s="555"/>
    </row>
    <row r="502" spans="1:13" ht="15.75" thickBot="1">
      <c r="A502" s="1675" t="s">
        <v>2543</v>
      </c>
      <c r="B502" s="1676"/>
      <c r="C502" s="1676"/>
      <c r="D502" s="1676"/>
      <c r="E502" s="1676"/>
      <c r="F502" s="1676"/>
      <c r="G502" s="1676"/>
      <c r="H502" s="1676"/>
      <c r="I502" s="1677"/>
      <c r="J502" s="1660">
        <v>140</v>
      </c>
      <c r="K502" s="1661"/>
      <c r="L502" s="555"/>
      <c r="M502" s="555"/>
    </row>
    <row r="503" spans="1:13" ht="15.75" thickBot="1">
      <c r="A503" s="1675" t="s">
        <v>2544</v>
      </c>
      <c r="B503" s="1676"/>
      <c r="C503" s="1676"/>
      <c r="D503" s="1676"/>
      <c r="E503" s="1676"/>
      <c r="F503" s="1676"/>
      <c r="G503" s="1676"/>
      <c r="H503" s="1676"/>
      <c r="I503" s="1677"/>
      <c r="J503" s="1660">
        <v>130</v>
      </c>
      <c r="K503" s="1661"/>
      <c r="L503" s="555"/>
      <c r="M503" s="555"/>
    </row>
    <row r="504" spans="1:13" ht="15.75" thickBot="1">
      <c r="A504" s="1682" t="s">
        <v>3797</v>
      </c>
      <c r="B504" s="1683"/>
      <c r="C504" s="1683"/>
      <c r="D504" s="1683"/>
      <c r="E504" s="1683"/>
      <c r="F504" s="1683"/>
      <c r="G504" s="1683"/>
      <c r="H504" s="1683"/>
      <c r="I504" s="1684"/>
      <c r="J504" s="1662"/>
      <c r="K504" s="1663"/>
      <c r="L504" s="555"/>
      <c r="M504" s="555"/>
    </row>
    <row r="505" spans="1:13" ht="15.75" thickBot="1">
      <c r="A505" s="1675" t="s">
        <v>2549</v>
      </c>
      <c r="B505" s="1676"/>
      <c r="C505" s="1676"/>
      <c r="D505" s="1676"/>
      <c r="E505" s="1676"/>
      <c r="F505" s="1676"/>
      <c r="G505" s="1676"/>
      <c r="H505" s="1676"/>
      <c r="I505" s="1677"/>
      <c r="J505" s="1662"/>
      <c r="K505" s="1663"/>
      <c r="L505" s="555"/>
      <c r="M505" s="555"/>
    </row>
    <row r="506" spans="1:13" ht="15.75" thickBot="1">
      <c r="A506" s="1675" t="s">
        <v>2542</v>
      </c>
      <c r="B506" s="1676"/>
      <c r="C506" s="1676"/>
      <c r="D506" s="1676"/>
      <c r="E506" s="1676"/>
      <c r="F506" s="1676"/>
      <c r="G506" s="1676"/>
      <c r="H506" s="1676"/>
      <c r="I506" s="1677"/>
      <c r="J506" s="1660">
        <v>66</v>
      </c>
      <c r="K506" s="1661"/>
      <c r="L506" s="555"/>
      <c r="M506" s="555"/>
    </row>
    <row r="507" spans="1:13" ht="15.75" thickBot="1">
      <c r="A507" s="1675" t="s">
        <v>2543</v>
      </c>
      <c r="B507" s="1676"/>
      <c r="C507" s="1676"/>
      <c r="D507" s="1676"/>
      <c r="E507" s="1676"/>
      <c r="F507" s="1676"/>
      <c r="G507" s="1676"/>
      <c r="H507" s="1676"/>
      <c r="I507" s="1677"/>
      <c r="J507" s="1660">
        <v>66</v>
      </c>
      <c r="K507" s="1661"/>
      <c r="L507" s="555"/>
      <c r="M507" s="555"/>
    </row>
    <row r="508" spans="1:13" ht="15.75" thickBot="1">
      <c r="A508" s="1675" t="s">
        <v>2544</v>
      </c>
      <c r="B508" s="1676"/>
      <c r="C508" s="1676"/>
      <c r="D508" s="1676"/>
      <c r="E508" s="1676"/>
      <c r="F508" s="1676"/>
      <c r="G508" s="1676"/>
      <c r="H508" s="1676"/>
      <c r="I508" s="1677"/>
      <c r="J508" s="1660">
        <v>66</v>
      </c>
      <c r="K508" s="1661"/>
      <c r="L508" s="555"/>
      <c r="M508" s="555"/>
    </row>
    <row r="509" spans="1:13" ht="15.75" thickBot="1">
      <c r="A509" s="1675" t="s">
        <v>2550</v>
      </c>
      <c r="B509" s="1676"/>
      <c r="C509" s="1676"/>
      <c r="D509" s="1676"/>
      <c r="E509" s="1676"/>
      <c r="F509" s="1676"/>
      <c r="G509" s="1676"/>
      <c r="H509" s="1676"/>
      <c r="I509" s="1677"/>
      <c r="J509" s="1662"/>
      <c r="K509" s="1663"/>
      <c r="L509" s="555"/>
      <c r="M509" s="555"/>
    </row>
    <row r="510" spans="1:13" ht="15.75" thickBot="1">
      <c r="A510" s="1675" t="s">
        <v>2542</v>
      </c>
      <c r="B510" s="1676"/>
      <c r="C510" s="1676"/>
      <c r="D510" s="1676"/>
      <c r="E510" s="1676"/>
      <c r="F510" s="1676"/>
      <c r="G510" s="1676"/>
      <c r="H510" s="1676"/>
      <c r="I510" s="1677"/>
      <c r="J510" s="1660">
        <v>65</v>
      </c>
      <c r="K510" s="1661"/>
      <c r="L510" s="555"/>
      <c r="M510" s="555"/>
    </row>
    <row r="511" spans="1:13" ht="15.75" thickBot="1">
      <c r="A511" s="1675" t="s">
        <v>2543</v>
      </c>
      <c r="B511" s="1676"/>
      <c r="C511" s="1676"/>
      <c r="D511" s="1676"/>
      <c r="E511" s="1676"/>
      <c r="F511" s="1676"/>
      <c r="G511" s="1676"/>
      <c r="H511" s="1676"/>
      <c r="I511" s="1677"/>
      <c r="J511" s="1660">
        <v>65</v>
      </c>
      <c r="K511" s="1661"/>
      <c r="L511" s="555"/>
      <c r="M511" s="555"/>
    </row>
    <row r="512" spans="1:13" ht="15.75" thickBot="1">
      <c r="A512" s="1675" t="s">
        <v>2545</v>
      </c>
      <c r="B512" s="1676"/>
      <c r="C512" s="1676"/>
      <c r="D512" s="1676"/>
      <c r="E512" s="1676"/>
      <c r="F512" s="1676"/>
      <c r="G512" s="1676"/>
      <c r="H512" s="1676"/>
      <c r="I512" s="1677"/>
      <c r="J512" s="1660">
        <v>65</v>
      </c>
      <c r="K512" s="1661"/>
      <c r="L512" s="555"/>
      <c r="M512" s="555"/>
    </row>
    <row r="513" spans="1:13" ht="15.75" thickBot="1">
      <c r="A513" s="1675" t="s">
        <v>2546</v>
      </c>
      <c r="B513" s="1676"/>
      <c r="C513" s="1676"/>
      <c r="D513" s="1676"/>
      <c r="E513" s="1676"/>
      <c r="F513" s="1676"/>
      <c r="G513" s="1676"/>
      <c r="H513" s="1676"/>
      <c r="I513" s="1677"/>
      <c r="J513" s="1660">
        <v>65</v>
      </c>
      <c r="K513" s="1661"/>
      <c r="L513" s="555"/>
      <c r="M513" s="555"/>
    </row>
    <row r="514" spans="1:13" ht="15.75" thickBot="1">
      <c r="A514" s="1682" t="s">
        <v>3798</v>
      </c>
      <c r="B514" s="1683"/>
      <c r="C514" s="1683"/>
      <c r="D514" s="1683"/>
      <c r="E514" s="1683"/>
      <c r="F514" s="1683"/>
      <c r="G514" s="1683"/>
      <c r="H514" s="1683"/>
      <c r="I514" s="1684"/>
      <c r="J514" s="1662"/>
      <c r="K514" s="1663"/>
      <c r="L514" s="555"/>
      <c r="M514" s="555"/>
    </row>
    <row r="515" spans="1:13" ht="15.75" thickBot="1">
      <c r="A515" s="1675" t="s">
        <v>2551</v>
      </c>
      <c r="B515" s="1676"/>
      <c r="C515" s="1676"/>
      <c r="D515" s="1676"/>
      <c r="E515" s="1676"/>
      <c r="F515" s="1676"/>
      <c r="G515" s="1676"/>
      <c r="H515" s="1676"/>
      <c r="I515" s="1677"/>
      <c r="J515" s="1660">
        <v>195</v>
      </c>
      <c r="K515" s="1661"/>
      <c r="L515" s="555"/>
      <c r="M515" s="555"/>
    </row>
    <row r="516" spans="1:13" ht="31.5" customHeight="1" thickBot="1">
      <c r="A516" s="1675" t="s">
        <v>2552</v>
      </c>
      <c r="B516" s="1676"/>
      <c r="C516" s="1676"/>
      <c r="D516" s="1676"/>
      <c r="E516" s="1676"/>
      <c r="F516" s="1676"/>
      <c r="G516" s="1676"/>
      <c r="H516" s="1676"/>
      <c r="I516" s="1677"/>
      <c r="J516" s="1660">
        <v>180</v>
      </c>
      <c r="K516" s="1661"/>
      <c r="L516" s="555"/>
      <c r="M516" s="555"/>
    </row>
    <row r="517" spans="1:13" ht="15.75" thickBot="1">
      <c r="A517" s="1675" t="s">
        <v>2553</v>
      </c>
      <c r="B517" s="1676"/>
      <c r="C517" s="1676"/>
      <c r="D517" s="1676"/>
      <c r="E517" s="1676"/>
      <c r="F517" s="1676"/>
      <c r="G517" s="1676"/>
      <c r="H517" s="1676"/>
      <c r="I517" s="1677"/>
      <c r="J517" s="1660">
        <v>178</v>
      </c>
      <c r="K517" s="1661"/>
      <c r="L517" s="555"/>
      <c r="M517" s="555"/>
    </row>
    <row r="518" spans="1:13" ht="27.75" customHeight="1" thickBot="1">
      <c r="A518" s="1675" t="s">
        <v>2554</v>
      </c>
      <c r="B518" s="1676"/>
      <c r="C518" s="1676"/>
      <c r="D518" s="1676"/>
      <c r="E518" s="1676"/>
      <c r="F518" s="1676"/>
      <c r="G518" s="1676"/>
      <c r="H518" s="1676"/>
      <c r="I518" s="1677"/>
      <c r="J518" s="1662"/>
      <c r="K518" s="1663"/>
      <c r="L518" s="555"/>
      <c r="M518" s="555"/>
    </row>
    <row r="519" spans="1:13" ht="15.75" thickBot="1">
      <c r="A519" s="1667" t="s">
        <v>2555</v>
      </c>
      <c r="B519" s="1668"/>
      <c r="C519" s="1668"/>
      <c r="D519" s="1668"/>
      <c r="E519" s="1668"/>
      <c r="F519" s="1668"/>
      <c r="G519" s="1668"/>
      <c r="H519" s="1668"/>
      <c r="I519" s="1669"/>
      <c r="J519" s="1660">
        <v>195</v>
      </c>
      <c r="K519" s="1661"/>
      <c r="L519" s="555"/>
      <c r="M519" s="555"/>
    </row>
    <row r="520" spans="1:13" ht="15.75" thickBot="1">
      <c r="A520" s="1667" t="s">
        <v>2556</v>
      </c>
      <c r="B520" s="1668"/>
      <c r="C520" s="1668"/>
      <c r="D520" s="1668"/>
      <c r="E520" s="1668"/>
      <c r="F520" s="1668"/>
      <c r="G520" s="1668"/>
      <c r="H520" s="1668"/>
      <c r="I520" s="1669"/>
      <c r="J520" s="1660">
        <v>190</v>
      </c>
      <c r="K520" s="1661"/>
      <c r="L520" s="555"/>
      <c r="M520" s="555"/>
    </row>
    <row r="521" spans="1:13" ht="15.75" thickBot="1">
      <c r="A521" s="1667" t="s">
        <v>2557</v>
      </c>
      <c r="B521" s="1668"/>
      <c r="C521" s="1668"/>
      <c r="D521" s="1668"/>
      <c r="E521" s="1668"/>
      <c r="F521" s="1668"/>
      <c r="G521" s="1668"/>
      <c r="H521" s="1668"/>
      <c r="I521" s="1669"/>
      <c r="J521" s="1660">
        <v>195</v>
      </c>
      <c r="K521" s="1661"/>
      <c r="L521" s="555"/>
      <c r="M521" s="555"/>
    </row>
    <row r="522" spans="1:13" ht="15.75" thickBot="1">
      <c r="A522" s="1667" t="s">
        <v>2558</v>
      </c>
      <c r="B522" s="1668"/>
      <c r="C522" s="1668"/>
      <c r="D522" s="1668"/>
      <c r="E522" s="1668"/>
      <c r="F522" s="1668"/>
      <c r="G522" s="1668"/>
      <c r="H522" s="1668"/>
      <c r="I522" s="1669"/>
      <c r="J522" s="1660">
        <v>115</v>
      </c>
      <c r="K522" s="1661"/>
      <c r="L522" s="555"/>
      <c r="M522" s="555"/>
    </row>
    <row r="523" spans="1:13" ht="15.75" thickBot="1">
      <c r="A523" s="1667" t="s">
        <v>2559</v>
      </c>
      <c r="B523" s="1668"/>
      <c r="C523" s="1668"/>
      <c r="D523" s="1668"/>
      <c r="E523" s="1668"/>
      <c r="F523" s="1668"/>
      <c r="G523" s="1668"/>
      <c r="H523" s="1668"/>
      <c r="I523" s="1669"/>
      <c r="J523" s="1660">
        <v>155</v>
      </c>
      <c r="K523" s="1661"/>
      <c r="L523" s="555"/>
      <c r="M523" s="555"/>
    </row>
    <row r="524" spans="1:13" ht="15.75" thickBot="1">
      <c r="A524" s="1667" t="s">
        <v>2560</v>
      </c>
      <c r="B524" s="1668"/>
      <c r="C524" s="1668"/>
      <c r="D524" s="1668"/>
      <c r="E524" s="1668"/>
      <c r="F524" s="1668"/>
      <c r="G524" s="1668"/>
      <c r="H524" s="1668"/>
      <c r="I524" s="1669"/>
      <c r="J524" s="1660">
        <v>130</v>
      </c>
      <c r="K524" s="1661"/>
      <c r="L524" s="555"/>
      <c r="M524" s="555"/>
    </row>
    <row r="525" spans="1:13" ht="15.75" thickBot="1">
      <c r="A525" s="1667" t="s">
        <v>2561</v>
      </c>
      <c r="B525" s="1668"/>
      <c r="C525" s="1668"/>
      <c r="D525" s="1668"/>
      <c r="E525" s="1668"/>
      <c r="F525" s="1668"/>
      <c r="G525" s="1668"/>
      <c r="H525" s="1668"/>
      <c r="I525" s="1669"/>
      <c r="J525" s="1660">
        <v>130</v>
      </c>
      <c r="K525" s="1661"/>
      <c r="L525" s="555"/>
      <c r="M525" s="555"/>
    </row>
    <row r="526" spans="1:13" ht="15.75" thickBot="1">
      <c r="A526" s="1667" t="s">
        <v>2562</v>
      </c>
      <c r="B526" s="1668"/>
      <c r="C526" s="1668"/>
      <c r="D526" s="1668"/>
      <c r="E526" s="1668"/>
      <c r="F526" s="1668"/>
      <c r="G526" s="1668"/>
      <c r="H526" s="1668"/>
      <c r="I526" s="1669"/>
      <c r="J526" s="1660">
        <v>105</v>
      </c>
      <c r="K526" s="1661"/>
      <c r="L526" s="555"/>
      <c r="M526" s="555"/>
    </row>
    <row r="527" spans="1:13" ht="15.75" thickBot="1">
      <c r="A527" s="1675" t="s">
        <v>2563</v>
      </c>
      <c r="B527" s="1676"/>
      <c r="C527" s="1676"/>
      <c r="D527" s="1676"/>
      <c r="E527" s="1676"/>
      <c r="F527" s="1676"/>
      <c r="G527" s="1676"/>
      <c r="H527" s="1676"/>
      <c r="I527" s="1677"/>
      <c r="J527" s="1662"/>
      <c r="K527" s="1663"/>
      <c r="L527" s="555"/>
      <c r="M527" s="555"/>
    </row>
    <row r="528" spans="1:13" ht="15.75" thickBot="1">
      <c r="A528" s="1675" t="s">
        <v>2555</v>
      </c>
      <c r="B528" s="1676"/>
      <c r="C528" s="1676"/>
      <c r="D528" s="1676"/>
      <c r="E528" s="1676"/>
      <c r="F528" s="1676"/>
      <c r="G528" s="1676"/>
      <c r="H528" s="1676"/>
      <c r="I528" s="1677"/>
      <c r="J528" s="1660">
        <v>200</v>
      </c>
      <c r="K528" s="1661"/>
      <c r="L528" s="555"/>
      <c r="M528" s="555"/>
    </row>
    <row r="529" spans="1:13" ht="15.75" thickBot="1">
      <c r="A529" s="1675" t="s">
        <v>2556</v>
      </c>
      <c r="B529" s="1676"/>
      <c r="C529" s="1676"/>
      <c r="D529" s="1676"/>
      <c r="E529" s="1676"/>
      <c r="F529" s="1676"/>
      <c r="G529" s="1676"/>
      <c r="H529" s="1676"/>
      <c r="I529" s="1677"/>
      <c r="J529" s="1660">
        <v>200</v>
      </c>
      <c r="K529" s="1661"/>
      <c r="L529" s="555"/>
      <c r="M529" s="555"/>
    </row>
    <row r="530" spans="1:13" ht="15.75" thickBot="1">
      <c r="A530" s="1675" t="s">
        <v>2557</v>
      </c>
      <c r="B530" s="1676"/>
      <c r="C530" s="1676"/>
      <c r="D530" s="1676"/>
      <c r="E530" s="1676"/>
      <c r="F530" s="1676"/>
      <c r="G530" s="1676"/>
      <c r="H530" s="1676"/>
      <c r="I530" s="1677"/>
      <c r="J530" s="1660">
        <v>200</v>
      </c>
      <c r="K530" s="1661"/>
      <c r="L530" s="555"/>
      <c r="M530" s="555"/>
    </row>
    <row r="531" spans="1:13" ht="15.75" thickBot="1">
      <c r="A531" s="1675" t="s">
        <v>2558</v>
      </c>
      <c r="B531" s="1676"/>
      <c r="C531" s="1676"/>
      <c r="D531" s="1676"/>
      <c r="E531" s="1676"/>
      <c r="F531" s="1676"/>
      <c r="G531" s="1676"/>
      <c r="H531" s="1676"/>
      <c r="I531" s="1677"/>
      <c r="J531" s="1660">
        <v>132</v>
      </c>
      <c r="K531" s="1661"/>
      <c r="L531" s="555"/>
      <c r="M531" s="555"/>
    </row>
    <row r="532" spans="1:13" ht="15.75" thickBot="1">
      <c r="A532" s="1675" t="s">
        <v>2559</v>
      </c>
      <c r="B532" s="1676"/>
      <c r="C532" s="1676"/>
      <c r="D532" s="1676"/>
      <c r="E532" s="1676"/>
      <c r="F532" s="1676"/>
      <c r="G532" s="1676"/>
      <c r="H532" s="1676"/>
      <c r="I532" s="1677"/>
      <c r="J532" s="1660">
        <v>172</v>
      </c>
      <c r="K532" s="1661"/>
      <c r="L532" s="555"/>
      <c r="M532" s="555"/>
    </row>
    <row r="533" spans="1:13" ht="15.75" thickBot="1">
      <c r="A533" s="1675" t="s">
        <v>2560</v>
      </c>
      <c r="B533" s="1676"/>
      <c r="C533" s="1676"/>
      <c r="D533" s="1676"/>
      <c r="E533" s="1676"/>
      <c r="F533" s="1676"/>
      <c r="G533" s="1676"/>
      <c r="H533" s="1676"/>
      <c r="I533" s="1677"/>
      <c r="J533" s="1660">
        <v>147</v>
      </c>
      <c r="K533" s="1661"/>
      <c r="L533" s="555"/>
      <c r="M533" s="555"/>
    </row>
    <row r="534" spans="1:13" ht="15.75" thickBot="1">
      <c r="A534" s="1675" t="s">
        <v>2561</v>
      </c>
      <c r="B534" s="1676"/>
      <c r="C534" s="1676"/>
      <c r="D534" s="1676"/>
      <c r="E534" s="1676"/>
      <c r="F534" s="1676"/>
      <c r="G534" s="1676"/>
      <c r="H534" s="1676"/>
      <c r="I534" s="1677"/>
      <c r="J534" s="1660">
        <v>147</v>
      </c>
      <c r="K534" s="1661"/>
      <c r="L534" s="555"/>
      <c r="M534" s="555"/>
    </row>
    <row r="535" spans="1:13" ht="15.75" thickBot="1">
      <c r="A535" s="1675" t="s">
        <v>2562</v>
      </c>
      <c r="B535" s="1676"/>
      <c r="C535" s="1676"/>
      <c r="D535" s="1676"/>
      <c r="E535" s="1676"/>
      <c r="F535" s="1676"/>
      <c r="G535" s="1676"/>
      <c r="H535" s="1676"/>
      <c r="I535" s="1677"/>
      <c r="J535" s="1660">
        <v>122</v>
      </c>
      <c r="K535" s="1661"/>
      <c r="L535" s="555"/>
      <c r="M535" s="555"/>
    </row>
    <row r="536" spans="1:13" ht="15.75" thickBot="1">
      <c r="A536" s="1675" t="s">
        <v>2564</v>
      </c>
      <c r="B536" s="1676"/>
      <c r="C536" s="1676"/>
      <c r="D536" s="1676"/>
      <c r="E536" s="1676"/>
      <c r="F536" s="1676"/>
      <c r="G536" s="1676"/>
      <c r="H536" s="1676"/>
      <c r="I536" s="1677"/>
      <c r="J536" s="1660">
        <v>137</v>
      </c>
      <c r="K536" s="1661"/>
      <c r="L536" s="555"/>
      <c r="M536" s="555"/>
    </row>
    <row r="537" spans="1:13" ht="15.75" thickBot="1">
      <c r="A537" s="1675" t="s">
        <v>2565</v>
      </c>
      <c r="B537" s="1676"/>
      <c r="C537" s="1676"/>
      <c r="D537" s="1676"/>
      <c r="E537" s="1676"/>
      <c r="F537" s="1676"/>
      <c r="G537" s="1676"/>
      <c r="H537" s="1676"/>
      <c r="I537" s="1677"/>
      <c r="J537" s="1660">
        <v>117</v>
      </c>
      <c r="K537" s="1661"/>
      <c r="L537" s="555"/>
      <c r="M537" s="555"/>
    </row>
    <row r="538" spans="1:13" ht="15.75" thickBot="1">
      <c r="A538" s="1675" t="s">
        <v>2566</v>
      </c>
      <c r="B538" s="1676"/>
      <c r="C538" s="1676"/>
      <c r="D538" s="1676"/>
      <c r="E538" s="1676"/>
      <c r="F538" s="1676"/>
      <c r="G538" s="1676"/>
      <c r="H538" s="1676"/>
      <c r="I538" s="1677"/>
      <c r="J538" s="1662"/>
      <c r="K538" s="1663"/>
      <c r="L538" s="555"/>
      <c r="M538" s="555"/>
    </row>
    <row r="539" spans="1:13" ht="15.75" thickBot="1">
      <c r="A539" s="1675" t="s">
        <v>2555</v>
      </c>
      <c r="B539" s="1676"/>
      <c r="C539" s="1676"/>
      <c r="D539" s="1676"/>
      <c r="E539" s="1676"/>
      <c r="F539" s="1676"/>
      <c r="G539" s="1676"/>
      <c r="H539" s="1676"/>
      <c r="I539" s="1677"/>
      <c r="J539" s="1660">
        <v>195</v>
      </c>
      <c r="K539" s="1661"/>
      <c r="L539" s="555"/>
      <c r="M539" s="555"/>
    </row>
    <row r="540" spans="1:13" ht="15.75" thickBot="1">
      <c r="A540" s="1675" t="s">
        <v>2556</v>
      </c>
      <c r="B540" s="1676"/>
      <c r="C540" s="1676"/>
      <c r="D540" s="1676"/>
      <c r="E540" s="1676"/>
      <c r="F540" s="1676"/>
      <c r="G540" s="1676"/>
      <c r="H540" s="1676"/>
      <c r="I540" s="1677"/>
      <c r="J540" s="1660">
        <v>190</v>
      </c>
      <c r="K540" s="1661"/>
      <c r="L540" s="555"/>
      <c r="M540" s="555"/>
    </row>
    <row r="541" spans="1:13" ht="15.75" thickBot="1">
      <c r="A541" s="1675" t="s">
        <v>2557</v>
      </c>
      <c r="B541" s="1676"/>
      <c r="C541" s="1676"/>
      <c r="D541" s="1676"/>
      <c r="E541" s="1676"/>
      <c r="F541" s="1676"/>
      <c r="G541" s="1676"/>
      <c r="H541" s="1676"/>
      <c r="I541" s="1677"/>
      <c r="J541" s="1660">
        <v>195</v>
      </c>
      <c r="K541" s="1661"/>
      <c r="L541" s="555"/>
      <c r="M541" s="555"/>
    </row>
    <row r="542" spans="1:13" ht="15.75" thickBot="1">
      <c r="A542" s="1675" t="s">
        <v>2558</v>
      </c>
      <c r="B542" s="1676"/>
      <c r="C542" s="1676"/>
      <c r="D542" s="1676"/>
      <c r="E542" s="1676"/>
      <c r="F542" s="1676"/>
      <c r="G542" s="1676"/>
      <c r="H542" s="1676"/>
      <c r="I542" s="1677"/>
      <c r="J542" s="1660">
        <v>160</v>
      </c>
      <c r="K542" s="1661"/>
      <c r="L542" s="555"/>
      <c r="M542" s="555"/>
    </row>
    <row r="543" spans="1:13" ht="15.75" thickBot="1">
      <c r="A543" s="1675" t="s">
        <v>2559</v>
      </c>
      <c r="B543" s="1676"/>
      <c r="C543" s="1676"/>
      <c r="D543" s="1676"/>
      <c r="E543" s="1676"/>
      <c r="F543" s="1676"/>
      <c r="G543" s="1676"/>
      <c r="H543" s="1676"/>
      <c r="I543" s="1677"/>
      <c r="J543" s="1660">
        <v>195</v>
      </c>
      <c r="K543" s="1661"/>
      <c r="L543" s="555"/>
      <c r="M543" s="555"/>
    </row>
    <row r="544" spans="1:13" ht="15.75" thickBot="1">
      <c r="A544" s="1675" t="s">
        <v>2560</v>
      </c>
      <c r="B544" s="1676"/>
      <c r="C544" s="1676"/>
      <c r="D544" s="1676"/>
      <c r="E544" s="1676"/>
      <c r="F544" s="1676"/>
      <c r="G544" s="1676"/>
      <c r="H544" s="1676"/>
      <c r="I544" s="1677"/>
      <c r="J544" s="1660">
        <v>175</v>
      </c>
      <c r="K544" s="1661"/>
      <c r="L544" s="555"/>
      <c r="M544" s="555"/>
    </row>
    <row r="545" spans="1:13" ht="15.75" thickBot="1">
      <c r="A545" s="1675" t="s">
        <v>2561</v>
      </c>
      <c r="B545" s="1676"/>
      <c r="C545" s="1676"/>
      <c r="D545" s="1676"/>
      <c r="E545" s="1676"/>
      <c r="F545" s="1676"/>
      <c r="G545" s="1676"/>
      <c r="H545" s="1676"/>
      <c r="I545" s="1677"/>
      <c r="J545" s="1660">
        <v>175</v>
      </c>
      <c r="K545" s="1661"/>
      <c r="L545" s="555"/>
      <c r="M545" s="555"/>
    </row>
    <row r="546" spans="1:13" ht="15.75" thickBot="1">
      <c r="A546" s="1675" t="s">
        <v>2562</v>
      </c>
      <c r="B546" s="1676"/>
      <c r="C546" s="1676"/>
      <c r="D546" s="1676"/>
      <c r="E546" s="1676"/>
      <c r="F546" s="1676"/>
      <c r="G546" s="1676"/>
      <c r="H546" s="1676"/>
      <c r="I546" s="1677"/>
      <c r="J546" s="1660">
        <v>150</v>
      </c>
      <c r="K546" s="1661"/>
      <c r="L546" s="555"/>
      <c r="M546" s="555"/>
    </row>
    <row r="547" spans="1:13" ht="15.75" thickBot="1">
      <c r="A547" s="1675" t="s">
        <v>2564</v>
      </c>
      <c r="B547" s="1676"/>
      <c r="C547" s="1676"/>
      <c r="D547" s="1676"/>
      <c r="E547" s="1676"/>
      <c r="F547" s="1676"/>
      <c r="G547" s="1676"/>
      <c r="H547" s="1676"/>
      <c r="I547" s="1677"/>
      <c r="J547" s="1660">
        <v>165</v>
      </c>
      <c r="K547" s="1661"/>
      <c r="L547" s="555"/>
      <c r="M547" s="555"/>
    </row>
    <row r="548" spans="1:13" ht="15.75" thickBot="1">
      <c r="A548" s="1675" t="s">
        <v>2565</v>
      </c>
      <c r="B548" s="1676"/>
      <c r="C548" s="1676"/>
      <c r="D548" s="1676"/>
      <c r="E548" s="1676"/>
      <c r="F548" s="1676"/>
      <c r="G548" s="1676"/>
      <c r="H548" s="1676"/>
      <c r="I548" s="1677"/>
      <c r="J548" s="1660">
        <v>145</v>
      </c>
      <c r="K548" s="1661"/>
      <c r="L548" s="555"/>
      <c r="M548" s="555"/>
    </row>
    <row r="549" spans="1:13" ht="15.75" thickBot="1">
      <c r="A549" s="1675" t="s">
        <v>2567</v>
      </c>
      <c r="B549" s="1676"/>
      <c r="C549" s="1676"/>
      <c r="D549" s="1676"/>
      <c r="E549" s="1676"/>
      <c r="F549" s="1676"/>
      <c r="G549" s="1676"/>
      <c r="H549" s="1676"/>
      <c r="I549" s="1677"/>
      <c r="J549" s="1660">
        <v>145</v>
      </c>
      <c r="K549" s="1661"/>
      <c r="L549" s="556"/>
      <c r="M549" s="555"/>
    </row>
    <row r="550" spans="1:13" ht="15.75" thickBot="1">
      <c r="A550" s="1682" t="s">
        <v>3799</v>
      </c>
      <c r="B550" s="1683"/>
      <c r="C550" s="1683"/>
      <c r="D550" s="1683"/>
      <c r="E550" s="1683"/>
      <c r="F550" s="1683"/>
      <c r="G550" s="1683"/>
      <c r="H550" s="1683"/>
      <c r="I550" s="1683"/>
      <c r="J550" s="557"/>
      <c r="K550" s="1662"/>
      <c r="L550" s="1663"/>
      <c r="M550" s="555"/>
    </row>
    <row r="551" spans="1:13" ht="15.75" thickBot="1">
      <c r="A551" s="1675" t="s">
        <v>2568</v>
      </c>
      <c r="B551" s="1676"/>
      <c r="C551" s="1676"/>
      <c r="D551" s="1676"/>
      <c r="E551" s="1676"/>
      <c r="F551" s="1676"/>
      <c r="G551" s="1676"/>
      <c r="H551" s="1676"/>
      <c r="I551" s="1677"/>
      <c r="J551" s="1660">
        <v>74</v>
      </c>
      <c r="K551" s="1661"/>
      <c r="L551" s="555"/>
      <c r="M551" s="555"/>
    </row>
    <row r="552" spans="1:13" ht="15.75" thickBot="1">
      <c r="A552" s="1675" t="s">
        <v>2569</v>
      </c>
      <c r="B552" s="1676"/>
      <c r="C552" s="1676"/>
      <c r="D552" s="1676"/>
      <c r="E552" s="1676"/>
      <c r="F552" s="1676"/>
      <c r="G552" s="1676"/>
      <c r="H552" s="1676"/>
      <c r="I552" s="1677"/>
      <c r="J552" s="1660">
        <v>74</v>
      </c>
      <c r="K552" s="1661"/>
      <c r="L552" s="555"/>
      <c r="M552" s="555"/>
    </row>
    <row r="553" spans="1:13" ht="15.75" thickBot="1">
      <c r="A553" s="1675" t="s">
        <v>2570</v>
      </c>
      <c r="B553" s="1676"/>
      <c r="C553" s="1676"/>
      <c r="D553" s="1676"/>
      <c r="E553" s="1676"/>
      <c r="F553" s="1676"/>
      <c r="G553" s="1676"/>
      <c r="H553" s="1676"/>
      <c r="I553" s="1677"/>
      <c r="J553" s="1660">
        <v>74</v>
      </c>
      <c r="K553" s="1661"/>
      <c r="L553" s="555"/>
      <c r="M553" s="555"/>
    </row>
    <row r="554" spans="1:13" ht="15.75" thickBot="1">
      <c r="A554" s="1675" t="s">
        <v>2571</v>
      </c>
      <c r="B554" s="1676"/>
      <c r="C554" s="1676"/>
      <c r="D554" s="1676"/>
      <c r="E554" s="1676"/>
      <c r="F554" s="1676"/>
      <c r="G554" s="1676"/>
      <c r="H554" s="1676"/>
      <c r="I554" s="1677"/>
      <c r="J554" s="1660">
        <v>74</v>
      </c>
      <c r="K554" s="1661"/>
      <c r="L554" s="555"/>
      <c r="M554" s="555"/>
    </row>
    <row r="555" spans="1:13" ht="15.75" thickBot="1">
      <c r="A555" s="1675" t="s">
        <v>2572</v>
      </c>
      <c r="B555" s="1676"/>
      <c r="C555" s="1676"/>
      <c r="D555" s="1676"/>
      <c r="E555" s="1676"/>
      <c r="F555" s="1676"/>
      <c r="G555" s="1676"/>
      <c r="H555" s="1676"/>
      <c r="I555" s="1677"/>
      <c r="J555" s="1660">
        <v>74</v>
      </c>
      <c r="K555" s="1661"/>
      <c r="L555" s="555"/>
      <c r="M555" s="555"/>
    </row>
    <row r="556" spans="1:13" ht="15.75" thickBot="1">
      <c r="A556" s="1675" t="s">
        <v>2573</v>
      </c>
      <c r="B556" s="1676"/>
      <c r="C556" s="1676"/>
      <c r="D556" s="1676"/>
      <c r="E556" s="1676"/>
      <c r="F556" s="1676"/>
      <c r="G556" s="1676"/>
      <c r="H556" s="1676"/>
      <c r="I556" s="1677"/>
      <c r="J556" s="1660">
        <v>74</v>
      </c>
      <c r="K556" s="1661"/>
      <c r="L556" s="555"/>
      <c r="M556" s="555"/>
    </row>
    <row r="557" spans="1:13" ht="15.75" thickBot="1">
      <c r="A557" s="1675" t="s">
        <v>2574</v>
      </c>
      <c r="B557" s="1676"/>
      <c r="C557" s="1676"/>
      <c r="D557" s="1676"/>
      <c r="E557" s="1676"/>
      <c r="F557" s="1676"/>
      <c r="G557" s="1676"/>
      <c r="H557" s="1676"/>
      <c r="I557" s="1677"/>
      <c r="J557" s="1660">
        <v>74</v>
      </c>
      <c r="K557" s="1661"/>
      <c r="L557" s="555"/>
      <c r="M557" s="555"/>
    </row>
    <row r="558" spans="1:13" ht="15.75" thickBot="1">
      <c r="A558" s="1675" t="s">
        <v>2575</v>
      </c>
      <c r="B558" s="1676"/>
      <c r="C558" s="1676"/>
      <c r="D558" s="1676"/>
      <c r="E558" s="1676"/>
      <c r="F558" s="1676"/>
      <c r="G558" s="1676"/>
      <c r="H558" s="1676"/>
      <c r="I558" s="1677"/>
      <c r="J558" s="1660">
        <v>74</v>
      </c>
      <c r="K558" s="1661"/>
      <c r="L558" s="555"/>
      <c r="M558" s="555"/>
    </row>
    <row r="559" spans="1:13" ht="15.75" thickBot="1">
      <c r="A559" s="1675" t="s">
        <v>2576</v>
      </c>
      <c r="B559" s="1676"/>
      <c r="C559" s="1676"/>
      <c r="D559" s="1676"/>
      <c r="E559" s="1676"/>
      <c r="F559" s="1676"/>
      <c r="G559" s="1676"/>
      <c r="H559" s="1676"/>
      <c r="I559" s="1677"/>
      <c r="J559" s="1662"/>
      <c r="K559" s="1663"/>
      <c r="L559" s="555"/>
      <c r="M559" s="555"/>
    </row>
    <row r="560" spans="1:13" ht="15.75" thickBot="1">
      <c r="A560" s="1675" t="s">
        <v>2542</v>
      </c>
      <c r="B560" s="1676"/>
      <c r="C560" s="1676"/>
      <c r="D560" s="1676"/>
      <c r="E560" s="1676"/>
      <c r="F560" s="1676"/>
      <c r="G560" s="1676"/>
      <c r="H560" s="1676"/>
      <c r="I560" s="1677"/>
      <c r="J560" s="1660">
        <v>75</v>
      </c>
      <c r="K560" s="1661"/>
      <c r="L560" s="555"/>
      <c r="M560" s="555"/>
    </row>
    <row r="561" spans="1:13" ht="15.75" thickBot="1">
      <c r="A561" s="1675" t="s">
        <v>2543</v>
      </c>
      <c r="B561" s="1676"/>
      <c r="C561" s="1676"/>
      <c r="D561" s="1676"/>
      <c r="E561" s="1676"/>
      <c r="F561" s="1676"/>
      <c r="G561" s="1676"/>
      <c r="H561" s="1676"/>
      <c r="I561" s="1677"/>
      <c r="J561" s="1660">
        <v>75</v>
      </c>
      <c r="K561" s="1661"/>
      <c r="L561" s="555"/>
      <c r="M561" s="555"/>
    </row>
    <row r="562" spans="1:13" ht="15.75" thickBot="1">
      <c r="A562" s="1675" t="s">
        <v>2544</v>
      </c>
      <c r="B562" s="1676"/>
      <c r="C562" s="1676"/>
      <c r="D562" s="1676"/>
      <c r="E562" s="1676"/>
      <c r="F562" s="1676"/>
      <c r="G562" s="1676"/>
      <c r="H562" s="1676"/>
      <c r="I562" s="1677"/>
      <c r="J562" s="1660">
        <v>75</v>
      </c>
      <c r="K562" s="1661"/>
      <c r="L562" s="555"/>
      <c r="M562" s="555"/>
    </row>
    <row r="563" spans="1:13" ht="15.75" thickBot="1">
      <c r="A563" s="1675" t="s">
        <v>2577</v>
      </c>
      <c r="B563" s="1676"/>
      <c r="C563" s="1676"/>
      <c r="D563" s="1676"/>
      <c r="E563" s="1676"/>
      <c r="F563" s="1676"/>
      <c r="G563" s="1676"/>
      <c r="H563" s="1676"/>
      <c r="I563" s="1677"/>
      <c r="J563" s="1660">
        <v>66</v>
      </c>
      <c r="K563" s="1661"/>
      <c r="L563" s="555"/>
      <c r="M563" s="555"/>
    </row>
    <row r="564" spans="1:13" ht="15.75" thickBot="1">
      <c r="A564" s="1675" t="s">
        <v>2578</v>
      </c>
      <c r="B564" s="1676"/>
      <c r="C564" s="1676"/>
      <c r="D564" s="1676"/>
      <c r="E564" s="1676"/>
      <c r="F564" s="1676"/>
      <c r="G564" s="1676"/>
      <c r="H564" s="1676"/>
      <c r="I564" s="1677"/>
      <c r="J564" s="1660">
        <v>66</v>
      </c>
      <c r="K564" s="1661"/>
      <c r="L564" s="555"/>
      <c r="M564" s="555"/>
    </row>
    <row r="565" spans="1:13" ht="15.75" thickBot="1">
      <c r="A565" s="1675" t="s">
        <v>2579</v>
      </c>
      <c r="B565" s="1676"/>
      <c r="C565" s="1676"/>
      <c r="D565" s="1676"/>
      <c r="E565" s="1676"/>
      <c r="F565" s="1676"/>
      <c r="G565" s="1676"/>
      <c r="H565" s="1676"/>
      <c r="I565" s="1677"/>
      <c r="J565" s="1660">
        <v>66</v>
      </c>
      <c r="K565" s="1661"/>
      <c r="L565" s="555"/>
      <c r="M565" s="555"/>
    </row>
    <row r="566" spans="1:13" ht="15.75" thickBot="1">
      <c r="A566" s="1675" t="s">
        <v>2544</v>
      </c>
      <c r="B566" s="1676"/>
      <c r="C566" s="1676"/>
      <c r="D566" s="1676"/>
      <c r="E566" s="1676"/>
      <c r="F566" s="1676"/>
      <c r="G566" s="1676"/>
      <c r="H566" s="1676"/>
      <c r="I566" s="1677"/>
      <c r="J566" s="1660">
        <v>66</v>
      </c>
      <c r="K566" s="1661"/>
      <c r="L566" s="555"/>
      <c r="M566" s="555"/>
    </row>
    <row r="567" spans="1:13" ht="15.75" thickBot="1">
      <c r="A567" s="1682" t="s">
        <v>3800</v>
      </c>
      <c r="B567" s="1683"/>
      <c r="C567" s="1683"/>
      <c r="D567" s="1683"/>
      <c r="E567" s="1683"/>
      <c r="F567" s="1683"/>
      <c r="G567" s="1683"/>
      <c r="H567" s="1683"/>
      <c r="I567" s="1684"/>
      <c r="J567" s="1662"/>
      <c r="K567" s="1663"/>
      <c r="L567" s="555"/>
      <c r="M567" s="555"/>
    </row>
    <row r="568" spans="1:13" ht="15.75" thickBot="1">
      <c r="A568" s="1675" t="s">
        <v>2580</v>
      </c>
      <c r="B568" s="1676"/>
      <c r="C568" s="1676"/>
      <c r="D568" s="1676"/>
      <c r="E568" s="1676"/>
      <c r="F568" s="1676"/>
      <c r="G568" s="1676"/>
      <c r="H568" s="1676"/>
      <c r="I568" s="1677"/>
      <c r="J568" s="1662"/>
      <c r="K568" s="1663"/>
      <c r="L568" s="555"/>
      <c r="M568" s="555"/>
    </row>
    <row r="569" spans="1:13" ht="15.75" thickBot="1">
      <c r="A569" s="1675" t="s">
        <v>2578</v>
      </c>
      <c r="B569" s="1676"/>
      <c r="C569" s="1676"/>
      <c r="D569" s="1676"/>
      <c r="E569" s="1676"/>
      <c r="F569" s="1676"/>
      <c r="G569" s="1676"/>
      <c r="H569" s="1676"/>
      <c r="I569" s="1677"/>
      <c r="J569" s="1660">
        <v>90</v>
      </c>
      <c r="K569" s="1661"/>
      <c r="L569" s="555"/>
      <c r="M569" s="555"/>
    </row>
    <row r="570" spans="1:13" ht="15.75" thickBot="1">
      <c r="A570" s="1675" t="s">
        <v>2579</v>
      </c>
      <c r="B570" s="1676"/>
      <c r="C570" s="1676"/>
      <c r="D570" s="1676"/>
      <c r="E570" s="1676"/>
      <c r="F570" s="1676"/>
      <c r="G570" s="1676"/>
      <c r="H570" s="1676"/>
      <c r="I570" s="1677"/>
      <c r="J570" s="1660">
        <v>80</v>
      </c>
      <c r="K570" s="1661"/>
      <c r="L570" s="555"/>
      <c r="M570" s="555"/>
    </row>
    <row r="571" spans="1:13" ht="15.75" thickBot="1">
      <c r="A571" s="1675" t="s">
        <v>2544</v>
      </c>
      <c r="B571" s="1676"/>
      <c r="C571" s="1676"/>
      <c r="D571" s="1676"/>
      <c r="E571" s="1676"/>
      <c r="F571" s="1676"/>
      <c r="G571" s="1676"/>
      <c r="H571" s="1676"/>
      <c r="I571" s="1677"/>
      <c r="J571" s="1660">
        <v>70</v>
      </c>
      <c r="K571" s="1661"/>
      <c r="L571" s="555"/>
      <c r="M571" s="555"/>
    </row>
    <row r="572" spans="1:13" ht="35.25" customHeight="1" thickBot="1">
      <c r="A572" s="1682" t="s">
        <v>764</v>
      </c>
      <c r="B572" s="1683"/>
      <c r="C572" s="1683"/>
      <c r="D572" s="1683"/>
      <c r="E572" s="1683"/>
      <c r="F572" s="1683"/>
      <c r="G572" s="1683"/>
      <c r="H572" s="1683"/>
      <c r="I572" s="1684"/>
      <c r="J572" s="1662"/>
      <c r="K572" s="1663"/>
      <c r="L572" s="555"/>
      <c r="M572" s="555"/>
    </row>
    <row r="573" spans="1:13" ht="15.75" thickBot="1">
      <c r="A573" s="1682" t="s">
        <v>765</v>
      </c>
      <c r="B573" s="1683"/>
      <c r="C573" s="1683"/>
      <c r="D573" s="1683"/>
      <c r="E573" s="1683"/>
      <c r="F573" s="1683"/>
      <c r="G573" s="1683"/>
      <c r="H573" s="1683"/>
      <c r="I573" s="1684"/>
      <c r="J573" s="1662"/>
      <c r="K573" s="1663"/>
      <c r="L573" s="555"/>
      <c r="M573" s="555"/>
    </row>
    <row r="574" spans="1:13" ht="15.75" thickBot="1">
      <c r="A574" s="1675" t="s">
        <v>2581</v>
      </c>
      <c r="B574" s="1676"/>
      <c r="C574" s="1676"/>
      <c r="D574" s="1676"/>
      <c r="E574" s="1676"/>
      <c r="F574" s="1676"/>
      <c r="G574" s="1676"/>
      <c r="H574" s="1676"/>
      <c r="I574" s="1677"/>
      <c r="J574" s="1660">
        <v>103</v>
      </c>
      <c r="K574" s="1661"/>
      <c r="L574" s="555"/>
      <c r="M574" s="555"/>
    </row>
    <row r="575" spans="1:13" ht="15.75" thickBot="1">
      <c r="A575" s="1675" t="s">
        <v>2582</v>
      </c>
      <c r="B575" s="1676"/>
      <c r="C575" s="1676"/>
      <c r="D575" s="1676"/>
      <c r="E575" s="1676"/>
      <c r="F575" s="1676"/>
      <c r="G575" s="1676"/>
      <c r="H575" s="1676"/>
      <c r="I575" s="1677"/>
      <c r="J575" s="1660">
        <v>82</v>
      </c>
      <c r="K575" s="1661"/>
      <c r="L575" s="555"/>
      <c r="M575" s="555"/>
    </row>
    <row r="576" spans="1:13" ht="15.75" thickBot="1">
      <c r="A576" s="1675" t="s">
        <v>2583</v>
      </c>
      <c r="B576" s="1676"/>
      <c r="C576" s="1676"/>
      <c r="D576" s="1676"/>
      <c r="E576" s="1676"/>
      <c r="F576" s="1676"/>
      <c r="G576" s="1676"/>
      <c r="H576" s="1676"/>
      <c r="I576" s="1677"/>
      <c r="J576" s="1660">
        <v>81</v>
      </c>
      <c r="K576" s="1661"/>
      <c r="L576" s="555"/>
      <c r="M576" s="555"/>
    </row>
    <row r="577" spans="1:13" ht="15.75" thickBot="1">
      <c r="A577" s="1675" t="s">
        <v>2584</v>
      </c>
      <c r="B577" s="1676"/>
      <c r="C577" s="1676"/>
      <c r="D577" s="1676"/>
      <c r="E577" s="1676"/>
      <c r="F577" s="1676"/>
      <c r="G577" s="1676"/>
      <c r="H577" s="1676"/>
      <c r="I577" s="1677"/>
      <c r="J577" s="1660">
        <v>79</v>
      </c>
      <c r="K577" s="1661"/>
      <c r="L577" s="555"/>
      <c r="M577" s="555"/>
    </row>
    <row r="578" spans="1:13" ht="15.75" thickBot="1">
      <c r="A578" s="1675" t="s">
        <v>2585</v>
      </c>
      <c r="B578" s="1676"/>
      <c r="C578" s="1676"/>
      <c r="D578" s="1676"/>
      <c r="E578" s="1676"/>
      <c r="F578" s="1676"/>
      <c r="G578" s="1676"/>
      <c r="H578" s="1676"/>
      <c r="I578" s="1677"/>
      <c r="J578" s="1660">
        <v>77</v>
      </c>
      <c r="K578" s="1661"/>
      <c r="L578" s="555"/>
      <c r="M578" s="555"/>
    </row>
    <row r="579" spans="1:13" ht="15.75" thickBot="1">
      <c r="A579" s="1675" t="s">
        <v>2586</v>
      </c>
      <c r="B579" s="1676"/>
      <c r="C579" s="1676"/>
      <c r="D579" s="1676"/>
      <c r="E579" s="1676"/>
      <c r="F579" s="1676"/>
      <c r="G579" s="1676"/>
      <c r="H579" s="1676"/>
      <c r="I579" s="1677"/>
      <c r="J579" s="1660">
        <v>75</v>
      </c>
      <c r="K579" s="1661"/>
      <c r="L579" s="555"/>
      <c r="M579" s="555"/>
    </row>
    <row r="580" spans="1:13" ht="15.75" thickBot="1">
      <c r="A580" s="1675" t="s">
        <v>2587</v>
      </c>
      <c r="B580" s="1676"/>
      <c r="C580" s="1676"/>
      <c r="D580" s="1676"/>
      <c r="E580" s="1676"/>
      <c r="F580" s="1676"/>
      <c r="G580" s="1676"/>
      <c r="H580" s="1676"/>
      <c r="I580" s="1677"/>
      <c r="J580" s="1660">
        <v>63</v>
      </c>
      <c r="K580" s="1661"/>
      <c r="L580" s="555"/>
      <c r="M580" s="555"/>
    </row>
    <row r="581" spans="1:13" ht="15.75" thickBot="1">
      <c r="A581" s="1675" t="s">
        <v>2588</v>
      </c>
      <c r="B581" s="1676"/>
      <c r="C581" s="1676"/>
      <c r="D581" s="1676"/>
      <c r="E581" s="1676"/>
      <c r="F581" s="1676"/>
      <c r="G581" s="1676"/>
      <c r="H581" s="1676"/>
      <c r="I581" s="1677"/>
      <c r="J581" s="1660">
        <v>59</v>
      </c>
      <c r="K581" s="1661"/>
      <c r="L581" s="555"/>
      <c r="M581" s="555"/>
    </row>
    <row r="582" spans="1:13" ht="15.75" thickBot="1">
      <c r="A582" s="1675" t="s">
        <v>2589</v>
      </c>
      <c r="B582" s="1676"/>
      <c r="C582" s="1676"/>
      <c r="D582" s="1676"/>
      <c r="E582" s="1676"/>
      <c r="F582" s="1676"/>
      <c r="G582" s="1676"/>
      <c r="H582" s="1676"/>
      <c r="I582" s="1677"/>
      <c r="J582" s="1660">
        <v>56</v>
      </c>
      <c r="K582" s="1661"/>
      <c r="L582" s="555"/>
      <c r="M582" s="555"/>
    </row>
    <row r="583" spans="1:13" ht="15.75" thickBot="1">
      <c r="A583" s="1675" t="s">
        <v>2590</v>
      </c>
      <c r="B583" s="1676"/>
      <c r="C583" s="1676"/>
      <c r="D583" s="1676"/>
      <c r="E583" s="1676"/>
      <c r="F583" s="1676"/>
      <c r="G583" s="1676"/>
      <c r="H583" s="1676"/>
      <c r="I583" s="1677"/>
      <c r="J583" s="1660">
        <v>68</v>
      </c>
      <c r="K583" s="1661"/>
      <c r="L583" s="555"/>
      <c r="M583" s="555"/>
    </row>
    <row r="584" spans="1:13" ht="15.75" thickBot="1">
      <c r="A584" s="1675" t="s">
        <v>2591</v>
      </c>
      <c r="B584" s="1676"/>
      <c r="C584" s="1676"/>
      <c r="D584" s="1676"/>
      <c r="E584" s="1676"/>
      <c r="F584" s="1676"/>
      <c r="G584" s="1676"/>
      <c r="H584" s="1676"/>
      <c r="I584" s="1677"/>
      <c r="J584" s="1660">
        <v>68</v>
      </c>
      <c r="K584" s="1661"/>
      <c r="L584" s="555"/>
      <c r="M584" s="555"/>
    </row>
    <row r="585" spans="1:13" ht="15.75" thickBot="1">
      <c r="A585" s="1675" t="s">
        <v>2592</v>
      </c>
      <c r="B585" s="1676"/>
      <c r="C585" s="1676"/>
      <c r="D585" s="1676"/>
      <c r="E585" s="1676"/>
      <c r="F585" s="1676"/>
      <c r="G585" s="1676"/>
      <c r="H585" s="1676"/>
      <c r="I585" s="1677"/>
      <c r="J585" s="1660">
        <v>68</v>
      </c>
      <c r="K585" s="1661"/>
      <c r="L585" s="555"/>
      <c r="M585" s="555"/>
    </row>
    <row r="586" spans="1:13" ht="15.75" thickBot="1">
      <c r="A586" s="1675" t="s">
        <v>2593</v>
      </c>
      <c r="B586" s="1676"/>
      <c r="C586" s="1676"/>
      <c r="D586" s="1676"/>
      <c r="E586" s="1676"/>
      <c r="F586" s="1676"/>
      <c r="G586" s="1676"/>
      <c r="H586" s="1676"/>
      <c r="I586" s="1677"/>
      <c r="J586" s="1660">
        <v>68</v>
      </c>
      <c r="K586" s="1661"/>
      <c r="L586" s="555"/>
      <c r="M586" s="555"/>
    </row>
    <row r="587" spans="1:13" ht="15.75" thickBot="1">
      <c r="A587" s="1675" t="s">
        <v>2594</v>
      </c>
      <c r="B587" s="1676"/>
      <c r="C587" s="1676"/>
      <c r="D587" s="1676"/>
      <c r="E587" s="1676"/>
      <c r="F587" s="1676"/>
      <c r="G587" s="1676"/>
      <c r="H587" s="1676"/>
      <c r="I587" s="1677"/>
      <c r="J587" s="1660">
        <v>69</v>
      </c>
      <c r="K587" s="1661"/>
      <c r="L587" s="555"/>
      <c r="M587" s="555"/>
    </row>
    <row r="588" spans="1:13" ht="15.75" thickBot="1">
      <c r="A588" s="1675" t="s">
        <v>2595</v>
      </c>
      <c r="B588" s="1676"/>
      <c r="C588" s="1676"/>
      <c r="D588" s="1676"/>
      <c r="E588" s="1676"/>
      <c r="F588" s="1676"/>
      <c r="G588" s="1676"/>
      <c r="H588" s="1676"/>
      <c r="I588" s="1677"/>
      <c r="J588" s="1660">
        <v>69</v>
      </c>
      <c r="K588" s="1661"/>
      <c r="L588" s="555"/>
      <c r="M588" s="555"/>
    </row>
    <row r="589" spans="1:13" ht="15.75" thickBot="1">
      <c r="A589" s="1675" t="s">
        <v>2596</v>
      </c>
      <c r="B589" s="1676"/>
      <c r="C589" s="1676"/>
      <c r="D589" s="1676"/>
      <c r="E589" s="1676"/>
      <c r="F589" s="1676"/>
      <c r="G589" s="1676"/>
      <c r="H589" s="1676"/>
      <c r="I589" s="1677"/>
      <c r="J589" s="1660">
        <v>69</v>
      </c>
      <c r="K589" s="1661"/>
      <c r="L589" s="555"/>
      <c r="M589" s="555"/>
    </row>
    <row r="590" spans="1:13" ht="15.75" thickBot="1">
      <c r="A590" s="1675" t="s">
        <v>2597</v>
      </c>
      <c r="B590" s="1676"/>
      <c r="C590" s="1676"/>
      <c r="D590" s="1676"/>
      <c r="E590" s="1676"/>
      <c r="F590" s="1676"/>
      <c r="G590" s="1676"/>
      <c r="H590" s="1676"/>
      <c r="I590" s="1677"/>
      <c r="J590" s="1660">
        <v>69</v>
      </c>
      <c r="K590" s="1661"/>
      <c r="L590" s="555"/>
      <c r="M590" s="555"/>
    </row>
    <row r="591" spans="1:13" ht="15.75" thickBot="1">
      <c r="A591" s="1682" t="s">
        <v>783</v>
      </c>
      <c r="B591" s="1683"/>
      <c r="C591" s="1683"/>
      <c r="D591" s="1683"/>
      <c r="E591" s="1683"/>
      <c r="F591" s="1683"/>
      <c r="G591" s="1683"/>
      <c r="H591" s="1683"/>
      <c r="I591" s="1684"/>
      <c r="J591" s="1662"/>
      <c r="K591" s="1663"/>
      <c r="L591" s="555"/>
      <c r="M591" s="555"/>
    </row>
    <row r="592" spans="1:13" ht="15.75" thickBot="1">
      <c r="A592" s="1675" t="s">
        <v>2598</v>
      </c>
      <c r="B592" s="1676"/>
      <c r="C592" s="1676"/>
      <c r="D592" s="1676"/>
      <c r="E592" s="1676"/>
      <c r="F592" s="1676"/>
      <c r="G592" s="1676"/>
      <c r="H592" s="1676"/>
      <c r="I592" s="1677"/>
      <c r="J592" s="1660">
        <v>67</v>
      </c>
      <c r="K592" s="1661"/>
      <c r="L592" s="555"/>
      <c r="M592" s="555"/>
    </row>
    <row r="593" spans="1:13" ht="15.75" thickBot="1">
      <c r="A593" s="1675" t="s">
        <v>2599</v>
      </c>
      <c r="B593" s="1676"/>
      <c r="C593" s="1676"/>
      <c r="D593" s="1676"/>
      <c r="E593" s="1676"/>
      <c r="F593" s="1676"/>
      <c r="G593" s="1676"/>
      <c r="H593" s="1676"/>
      <c r="I593" s="1677"/>
      <c r="J593" s="1660">
        <v>67</v>
      </c>
      <c r="K593" s="1661"/>
      <c r="L593" s="555"/>
      <c r="M593" s="555"/>
    </row>
    <row r="594" spans="1:13" ht="15.75" thickBot="1">
      <c r="A594" s="1675" t="s">
        <v>2600</v>
      </c>
      <c r="B594" s="1676"/>
      <c r="C594" s="1676"/>
      <c r="D594" s="1676"/>
      <c r="E594" s="1676"/>
      <c r="F594" s="1676"/>
      <c r="G594" s="1676"/>
      <c r="H594" s="1676"/>
      <c r="I594" s="1677"/>
      <c r="J594" s="1660">
        <v>67</v>
      </c>
      <c r="K594" s="1661"/>
      <c r="L594" s="555"/>
      <c r="M594" s="555"/>
    </row>
    <row r="595" spans="1:13" ht="15.75" thickBot="1">
      <c r="A595" s="1675" t="s">
        <v>2601</v>
      </c>
      <c r="B595" s="1676"/>
      <c r="C595" s="1676"/>
      <c r="D595" s="1676"/>
      <c r="E595" s="1676"/>
      <c r="F595" s="1676"/>
      <c r="G595" s="1676"/>
      <c r="H595" s="1676"/>
      <c r="I595" s="1677"/>
      <c r="J595" s="1660">
        <v>67</v>
      </c>
      <c r="K595" s="1661"/>
      <c r="L595" s="555"/>
      <c r="M595" s="555"/>
    </row>
    <row r="596" spans="1:13" ht="15.75" thickBot="1">
      <c r="A596" s="1675" t="s">
        <v>2602</v>
      </c>
      <c r="B596" s="1676"/>
      <c r="C596" s="1676"/>
      <c r="D596" s="1676"/>
      <c r="E596" s="1676"/>
      <c r="F596" s="1676"/>
      <c r="G596" s="1676"/>
      <c r="H596" s="1676"/>
      <c r="I596" s="1677"/>
      <c r="J596" s="1660">
        <v>67</v>
      </c>
      <c r="K596" s="1661"/>
      <c r="L596" s="555"/>
      <c r="M596" s="555"/>
    </row>
    <row r="597" spans="1:13" ht="15.75" thickBot="1">
      <c r="A597" s="1675" t="s">
        <v>2603</v>
      </c>
      <c r="B597" s="1676"/>
      <c r="C597" s="1676"/>
      <c r="D597" s="1676"/>
      <c r="E597" s="1676"/>
      <c r="F597" s="1676"/>
      <c r="G597" s="1676"/>
      <c r="H597" s="1676"/>
      <c r="I597" s="1677"/>
      <c r="J597" s="1660">
        <v>68</v>
      </c>
      <c r="K597" s="1661"/>
      <c r="L597" s="555"/>
      <c r="M597" s="555"/>
    </row>
    <row r="598" spans="1:13" ht="15.75" thickBot="1">
      <c r="A598" s="1675" t="s">
        <v>2604</v>
      </c>
      <c r="B598" s="1676"/>
      <c r="C598" s="1676"/>
      <c r="D598" s="1676"/>
      <c r="E598" s="1676"/>
      <c r="F598" s="1676"/>
      <c r="G598" s="1676"/>
      <c r="H598" s="1676"/>
      <c r="I598" s="1677"/>
      <c r="J598" s="1660">
        <v>68</v>
      </c>
      <c r="K598" s="1661"/>
      <c r="L598" s="555"/>
      <c r="M598" s="555"/>
    </row>
    <row r="599" spans="1:13" ht="15.75" thickBot="1">
      <c r="A599" s="1675" t="s">
        <v>2605</v>
      </c>
      <c r="B599" s="1676"/>
      <c r="C599" s="1676"/>
      <c r="D599" s="1676"/>
      <c r="E599" s="1676"/>
      <c r="F599" s="1676"/>
      <c r="G599" s="1676"/>
      <c r="H599" s="1676"/>
      <c r="I599" s="1677"/>
      <c r="J599" s="1660">
        <v>68</v>
      </c>
      <c r="K599" s="1661"/>
      <c r="L599" s="555"/>
      <c r="M599" s="555"/>
    </row>
    <row r="600" spans="1:13" ht="15.75" thickBot="1">
      <c r="A600" s="1675" t="s">
        <v>2606</v>
      </c>
      <c r="B600" s="1676"/>
      <c r="C600" s="1676"/>
      <c r="D600" s="1676"/>
      <c r="E600" s="1676"/>
      <c r="F600" s="1676"/>
      <c r="G600" s="1676"/>
      <c r="H600" s="1676"/>
      <c r="I600" s="1677"/>
      <c r="J600" s="1660">
        <v>68</v>
      </c>
      <c r="K600" s="1661"/>
      <c r="L600" s="555"/>
      <c r="M600" s="555"/>
    </row>
    <row r="601" spans="1:13" ht="15.75" thickBot="1">
      <c r="A601" s="1682" t="s">
        <v>793</v>
      </c>
      <c r="B601" s="1683"/>
      <c r="C601" s="1683"/>
      <c r="D601" s="1683"/>
      <c r="E601" s="1683"/>
      <c r="F601" s="1683"/>
      <c r="G601" s="1683"/>
      <c r="H601" s="1683"/>
      <c r="I601" s="1684"/>
      <c r="J601" s="1662"/>
      <c r="K601" s="1663"/>
      <c r="L601" s="555"/>
      <c r="M601" s="555"/>
    </row>
    <row r="602" spans="1:13" ht="15.75" thickBot="1">
      <c r="A602" s="1675" t="s">
        <v>2607</v>
      </c>
      <c r="B602" s="1676"/>
      <c r="C602" s="1676"/>
      <c r="D602" s="1676"/>
      <c r="E602" s="1676"/>
      <c r="F602" s="1676"/>
      <c r="G602" s="1676"/>
      <c r="H602" s="1676"/>
      <c r="I602" s="1677"/>
      <c r="J602" s="1660">
        <v>67</v>
      </c>
      <c r="K602" s="1661"/>
      <c r="L602" s="555"/>
      <c r="M602" s="555"/>
    </row>
    <row r="603" spans="1:13" ht="15.75" thickBot="1">
      <c r="A603" s="1675" t="s">
        <v>2608</v>
      </c>
      <c r="B603" s="1676"/>
      <c r="C603" s="1676"/>
      <c r="D603" s="1676"/>
      <c r="E603" s="1676"/>
      <c r="F603" s="1676"/>
      <c r="G603" s="1676"/>
      <c r="H603" s="1676"/>
      <c r="I603" s="1677"/>
      <c r="J603" s="1660">
        <v>67</v>
      </c>
      <c r="K603" s="1661"/>
      <c r="L603" s="555"/>
      <c r="M603" s="555"/>
    </row>
    <row r="604" spans="1:13" ht="15.75" thickBot="1">
      <c r="A604" s="1675" t="s">
        <v>2609</v>
      </c>
      <c r="B604" s="1676"/>
      <c r="C604" s="1676"/>
      <c r="D604" s="1676"/>
      <c r="E604" s="1676"/>
      <c r="F604" s="1676"/>
      <c r="G604" s="1676"/>
      <c r="H604" s="1676"/>
      <c r="I604" s="1677"/>
      <c r="J604" s="1660">
        <v>67</v>
      </c>
      <c r="K604" s="1661"/>
      <c r="L604" s="555"/>
      <c r="M604" s="555"/>
    </row>
    <row r="605" spans="1:13" ht="15.75" thickBot="1">
      <c r="A605" s="1675" t="s">
        <v>2610</v>
      </c>
      <c r="B605" s="1676"/>
      <c r="C605" s="1676"/>
      <c r="D605" s="1676"/>
      <c r="E605" s="1676"/>
      <c r="F605" s="1676"/>
      <c r="G605" s="1676"/>
      <c r="H605" s="1676"/>
      <c r="I605" s="1677"/>
      <c r="J605" s="1660">
        <v>67</v>
      </c>
      <c r="K605" s="1661"/>
      <c r="L605" s="555"/>
      <c r="M605" s="555"/>
    </row>
    <row r="606" spans="1:13" ht="15.75" thickBot="1">
      <c r="A606" s="1675" t="s">
        <v>2611</v>
      </c>
      <c r="B606" s="1676"/>
      <c r="C606" s="1676"/>
      <c r="D606" s="1676"/>
      <c r="E606" s="1676"/>
      <c r="F606" s="1676"/>
      <c r="G606" s="1676"/>
      <c r="H606" s="1676"/>
      <c r="I606" s="1677"/>
      <c r="J606" s="1660">
        <v>67</v>
      </c>
      <c r="K606" s="1661"/>
      <c r="L606" s="555"/>
      <c r="M606" s="555"/>
    </row>
    <row r="607" spans="1:13" ht="15.75" thickBot="1">
      <c r="A607" s="1675" t="s">
        <v>2612</v>
      </c>
      <c r="B607" s="1676"/>
      <c r="C607" s="1676"/>
      <c r="D607" s="1676"/>
      <c r="E607" s="1676"/>
      <c r="F607" s="1676"/>
      <c r="G607" s="1676"/>
      <c r="H607" s="1676"/>
      <c r="I607" s="1677"/>
      <c r="J607" s="1660">
        <v>67</v>
      </c>
      <c r="K607" s="1661"/>
      <c r="L607" s="555"/>
      <c r="M607" s="555"/>
    </row>
    <row r="608" spans="1:13" ht="15.75" thickBot="1">
      <c r="A608" s="1675" t="s">
        <v>2613</v>
      </c>
      <c r="B608" s="1676"/>
      <c r="C608" s="1676"/>
      <c r="D608" s="1676"/>
      <c r="E608" s="1676"/>
      <c r="F608" s="1676"/>
      <c r="G608" s="1676"/>
      <c r="H608" s="1676"/>
      <c r="I608" s="1677"/>
      <c r="J608" s="1660">
        <v>67</v>
      </c>
      <c r="K608" s="1661"/>
      <c r="L608" s="555"/>
      <c r="M608" s="555"/>
    </row>
    <row r="609" spans="1:13" ht="15.75" thickBot="1">
      <c r="A609" s="1675" t="s">
        <v>2614</v>
      </c>
      <c r="B609" s="1676"/>
      <c r="C609" s="1676"/>
      <c r="D609" s="1676"/>
      <c r="E609" s="1676"/>
      <c r="F609" s="1676"/>
      <c r="G609" s="1676"/>
      <c r="H609" s="1676"/>
      <c r="I609" s="1677"/>
      <c r="J609" s="1660">
        <v>67</v>
      </c>
      <c r="K609" s="1661"/>
      <c r="L609" s="555"/>
      <c r="M609" s="555"/>
    </row>
    <row r="610" spans="1:13" ht="15.75" thickBot="1">
      <c r="A610" s="1675" t="s">
        <v>2606</v>
      </c>
      <c r="B610" s="1676"/>
      <c r="C610" s="1676"/>
      <c r="D610" s="1676"/>
      <c r="E610" s="1676"/>
      <c r="F610" s="1676"/>
      <c r="G610" s="1676"/>
      <c r="H610" s="1676"/>
      <c r="I610" s="1677"/>
      <c r="J610" s="1660">
        <v>67</v>
      </c>
      <c r="K610" s="1661"/>
      <c r="L610" s="555"/>
      <c r="M610" s="555"/>
    </row>
    <row r="611" spans="1:13" ht="15.75" thickBot="1">
      <c r="A611" s="1682" t="s">
        <v>802</v>
      </c>
      <c r="B611" s="1683"/>
      <c r="C611" s="1683"/>
      <c r="D611" s="1683"/>
      <c r="E611" s="1683"/>
      <c r="F611" s="1683"/>
      <c r="G611" s="1683"/>
      <c r="H611" s="1683"/>
      <c r="I611" s="1684"/>
      <c r="J611" s="1662"/>
      <c r="K611" s="1663"/>
      <c r="L611" s="555"/>
      <c r="M611" s="555"/>
    </row>
    <row r="612" spans="1:13" ht="15.75" thickBot="1">
      <c r="A612" s="1675" t="s">
        <v>2615</v>
      </c>
      <c r="B612" s="1676"/>
      <c r="C612" s="1676"/>
      <c r="D612" s="1676"/>
      <c r="E612" s="1676"/>
      <c r="F612" s="1676"/>
      <c r="G612" s="1676"/>
      <c r="H612" s="1676"/>
      <c r="I612" s="1677"/>
      <c r="J612" s="1660">
        <v>67</v>
      </c>
      <c r="K612" s="1661"/>
      <c r="L612" s="555"/>
      <c r="M612" s="555"/>
    </row>
    <row r="613" spans="1:13" ht="15.75" thickBot="1">
      <c r="A613" s="1675" t="s">
        <v>2616</v>
      </c>
      <c r="B613" s="1676"/>
      <c r="C613" s="1676"/>
      <c r="D613" s="1676"/>
      <c r="E613" s="1676"/>
      <c r="F613" s="1676"/>
      <c r="G613" s="1676"/>
      <c r="H613" s="1676"/>
      <c r="I613" s="1677"/>
      <c r="J613" s="1660">
        <v>67</v>
      </c>
      <c r="K613" s="1661"/>
      <c r="L613" s="555"/>
      <c r="M613" s="555"/>
    </row>
    <row r="614" spans="1:13" ht="15.75" thickBot="1">
      <c r="A614" s="1682" t="s">
        <v>2617</v>
      </c>
      <c r="B614" s="1683"/>
      <c r="C614" s="1683"/>
      <c r="D614" s="1683"/>
      <c r="E614" s="1683"/>
      <c r="F614" s="1683"/>
      <c r="G614" s="1683"/>
      <c r="H614" s="1683"/>
      <c r="I614" s="1684"/>
      <c r="J614" s="1662"/>
      <c r="K614" s="1663"/>
      <c r="L614" s="555"/>
      <c r="M614" s="555"/>
    </row>
    <row r="615" spans="1:13" ht="15.75" thickBot="1">
      <c r="A615" s="1675" t="s">
        <v>2618</v>
      </c>
      <c r="B615" s="1676"/>
      <c r="C615" s="1676"/>
      <c r="D615" s="1676"/>
      <c r="E615" s="1676"/>
      <c r="F615" s="1676"/>
      <c r="G615" s="1676"/>
      <c r="H615" s="1676"/>
      <c r="I615" s="1677"/>
      <c r="J615" s="1660">
        <v>72</v>
      </c>
      <c r="K615" s="1661"/>
      <c r="L615" s="555"/>
      <c r="M615" s="555"/>
    </row>
    <row r="616" spans="1:13" ht="30" customHeight="1" thickBot="1">
      <c r="A616" s="1675" t="s">
        <v>807</v>
      </c>
      <c r="B616" s="1676"/>
      <c r="C616" s="1676"/>
      <c r="D616" s="1676"/>
      <c r="E616" s="1676"/>
      <c r="F616" s="1676"/>
      <c r="G616" s="1676"/>
      <c r="H616" s="1676"/>
      <c r="I616" s="1677"/>
      <c r="J616" s="1660">
        <v>70</v>
      </c>
      <c r="K616" s="1661"/>
      <c r="L616" s="555"/>
      <c r="M616" s="555"/>
    </row>
    <row r="617" spans="1:13" ht="15.75" thickBot="1">
      <c r="A617" s="1675" t="s">
        <v>2619</v>
      </c>
      <c r="B617" s="1676"/>
      <c r="C617" s="1676"/>
      <c r="D617" s="1676"/>
      <c r="E617" s="1676"/>
      <c r="F617" s="1676"/>
      <c r="G617" s="1676"/>
      <c r="H617" s="1676"/>
      <c r="I617" s="1677"/>
      <c r="J617" s="1660">
        <v>63</v>
      </c>
      <c r="K617" s="1661"/>
      <c r="L617" s="555"/>
      <c r="M617" s="555"/>
    </row>
    <row r="618" spans="1:13" ht="15.75" thickBot="1">
      <c r="A618" s="1675" t="s">
        <v>2620</v>
      </c>
      <c r="B618" s="1676"/>
      <c r="C618" s="1676"/>
      <c r="D618" s="1676"/>
      <c r="E618" s="1676"/>
      <c r="F618" s="1676"/>
      <c r="G618" s="1676"/>
      <c r="H618" s="1676"/>
      <c r="I618" s="1677"/>
      <c r="J618" s="1660">
        <v>57</v>
      </c>
      <c r="K618" s="1661"/>
      <c r="L618" s="555"/>
      <c r="M618" s="555"/>
    </row>
    <row r="619" spans="1:13" ht="15.75" thickBot="1">
      <c r="A619" s="1675" t="s">
        <v>2621</v>
      </c>
      <c r="B619" s="1676"/>
      <c r="C619" s="1676"/>
      <c r="D619" s="1676"/>
      <c r="E619" s="1676"/>
      <c r="F619" s="1676"/>
      <c r="G619" s="1676"/>
      <c r="H619" s="1676"/>
      <c r="I619" s="1677"/>
      <c r="J619" s="1660">
        <v>68</v>
      </c>
      <c r="K619" s="1661"/>
      <c r="L619" s="555"/>
      <c r="M619" s="555"/>
    </row>
    <row r="620" spans="1:13" ht="15.75" thickBot="1">
      <c r="A620" s="1675" t="s">
        <v>811</v>
      </c>
      <c r="B620" s="1676"/>
      <c r="C620" s="1676"/>
      <c r="D620" s="1676"/>
      <c r="E620" s="1676"/>
      <c r="F620" s="1676"/>
      <c r="G620" s="1676"/>
      <c r="H620" s="1676"/>
      <c r="I620" s="1677"/>
      <c r="J620" s="1660">
        <v>67</v>
      </c>
      <c r="K620" s="1661"/>
      <c r="L620" s="555"/>
      <c r="M620" s="555"/>
    </row>
    <row r="621" spans="1:13" ht="15.75" thickBot="1">
      <c r="A621" s="1675" t="s">
        <v>812</v>
      </c>
      <c r="B621" s="1676"/>
      <c r="C621" s="1676"/>
      <c r="D621" s="1676"/>
      <c r="E621" s="1676"/>
      <c r="F621" s="1676"/>
      <c r="G621" s="1676"/>
      <c r="H621" s="1676"/>
      <c r="I621" s="1677"/>
      <c r="J621" s="1660">
        <v>77</v>
      </c>
      <c r="K621" s="1661"/>
      <c r="L621" s="555"/>
      <c r="M621" s="555"/>
    </row>
    <row r="622" spans="1:13" ht="15.75" thickBot="1">
      <c r="A622" s="1675" t="s">
        <v>813</v>
      </c>
      <c r="B622" s="1676"/>
      <c r="C622" s="1676"/>
      <c r="D622" s="1676"/>
      <c r="E622" s="1676"/>
      <c r="F622" s="1676"/>
      <c r="G622" s="1676"/>
      <c r="H622" s="1676"/>
      <c r="I622" s="1677"/>
      <c r="J622" s="1662"/>
      <c r="K622" s="1663"/>
      <c r="L622" s="555"/>
      <c r="M622" s="555"/>
    </row>
    <row r="623" spans="1:13" ht="15.75" thickBot="1">
      <c r="A623" s="1675" t="s">
        <v>2622</v>
      </c>
      <c r="B623" s="1676"/>
      <c r="C623" s="1676"/>
      <c r="D623" s="1676"/>
      <c r="E623" s="1676"/>
      <c r="F623" s="1676"/>
      <c r="G623" s="1676"/>
      <c r="H623" s="1676"/>
      <c r="I623" s="1677"/>
      <c r="J623" s="1660">
        <v>66</v>
      </c>
      <c r="K623" s="1661"/>
      <c r="L623" s="555"/>
      <c r="M623" s="555"/>
    </row>
    <row r="624" spans="1:13" ht="15.75" thickBot="1">
      <c r="A624" s="1675" t="s">
        <v>2623</v>
      </c>
      <c r="B624" s="1676"/>
      <c r="C624" s="1676"/>
      <c r="D624" s="1676"/>
      <c r="E624" s="1676"/>
      <c r="F624" s="1676"/>
      <c r="G624" s="1676"/>
      <c r="H624" s="1676"/>
      <c r="I624" s="1677"/>
      <c r="J624" s="1660">
        <v>66</v>
      </c>
      <c r="K624" s="1661"/>
      <c r="L624" s="555"/>
      <c r="M624" s="555"/>
    </row>
    <row r="625" spans="1:13" ht="15.75" thickBot="1">
      <c r="A625" s="1675" t="s">
        <v>2624</v>
      </c>
      <c r="B625" s="1676"/>
      <c r="C625" s="1676"/>
      <c r="D625" s="1676"/>
      <c r="E625" s="1676"/>
      <c r="F625" s="1676"/>
      <c r="G625" s="1676"/>
      <c r="H625" s="1676"/>
      <c r="I625" s="1677"/>
      <c r="J625" s="1660">
        <v>66</v>
      </c>
      <c r="K625" s="1661"/>
      <c r="L625" s="555"/>
      <c r="M625" s="555"/>
    </row>
    <row r="626" spans="1:13" ht="44.25" customHeight="1" thickBot="1">
      <c r="A626" s="1679" t="s">
        <v>2625</v>
      </c>
      <c r="B626" s="1680"/>
      <c r="C626" s="1680"/>
      <c r="D626" s="1680"/>
      <c r="E626" s="1680"/>
      <c r="F626" s="1680"/>
      <c r="G626" s="1680"/>
      <c r="H626" s="1680"/>
      <c r="I626" s="1681"/>
      <c r="J626" s="1662"/>
      <c r="K626" s="1663"/>
      <c r="L626" s="555"/>
      <c r="M626" s="555"/>
    </row>
    <row r="627" spans="1:13" ht="87" customHeight="1" thickBot="1">
      <c r="A627" s="1667" t="s">
        <v>2626</v>
      </c>
      <c r="B627" s="1668"/>
      <c r="C627" s="1668"/>
      <c r="D627" s="1668"/>
      <c r="E627" s="1668"/>
      <c r="F627" s="1668"/>
      <c r="G627" s="1668"/>
      <c r="H627" s="1668"/>
      <c r="I627" s="1669"/>
      <c r="J627" s="1660">
        <v>82</v>
      </c>
      <c r="K627" s="1661"/>
      <c r="L627" s="555"/>
      <c r="M627" s="555"/>
    </row>
    <row r="628" spans="1:13" ht="51" customHeight="1" thickBot="1">
      <c r="A628" s="1667" t="s">
        <v>2627</v>
      </c>
      <c r="B628" s="1668"/>
      <c r="C628" s="1668"/>
      <c r="D628" s="1668"/>
      <c r="E628" s="1668"/>
      <c r="F628" s="1668"/>
      <c r="G628" s="1668"/>
      <c r="H628" s="1668"/>
      <c r="I628" s="1669"/>
      <c r="J628" s="1660">
        <v>67</v>
      </c>
      <c r="K628" s="1661"/>
      <c r="L628" s="555"/>
      <c r="M628" s="555"/>
    </row>
    <row r="629" spans="1:13" ht="15.75" thickBot="1">
      <c r="A629" s="1667" t="s">
        <v>2628</v>
      </c>
      <c r="B629" s="1668"/>
      <c r="C629" s="1668"/>
      <c r="D629" s="1668"/>
      <c r="E629" s="1668"/>
      <c r="F629" s="1668"/>
      <c r="G629" s="1668"/>
      <c r="H629" s="1668"/>
      <c r="I629" s="1669"/>
      <c r="J629" s="1660">
        <v>53</v>
      </c>
      <c r="K629" s="1661"/>
      <c r="L629" s="555"/>
      <c r="M629" s="555"/>
    </row>
    <row r="630" spans="1:13" ht="25.5" customHeight="1" thickBot="1">
      <c r="A630" s="1667" t="s">
        <v>2629</v>
      </c>
      <c r="B630" s="1668"/>
      <c r="C630" s="1668"/>
      <c r="D630" s="1668"/>
      <c r="E630" s="1668"/>
      <c r="F630" s="1668"/>
      <c r="G630" s="1668"/>
      <c r="H630" s="1668"/>
      <c r="I630" s="1669"/>
      <c r="J630" s="1660">
        <v>48</v>
      </c>
      <c r="K630" s="1661"/>
      <c r="L630" s="555"/>
      <c r="M630" s="555"/>
    </row>
    <row r="631" spans="1:13" ht="36.75" customHeight="1" thickBot="1">
      <c r="A631" s="1667" t="s">
        <v>2630</v>
      </c>
      <c r="B631" s="1668"/>
      <c r="C631" s="1668"/>
      <c r="D631" s="1668"/>
      <c r="E631" s="1668"/>
      <c r="F631" s="1668"/>
      <c r="G631" s="1668"/>
      <c r="H631" s="1668"/>
      <c r="I631" s="1669"/>
      <c r="J631" s="1660">
        <v>47</v>
      </c>
      <c r="K631" s="1661"/>
      <c r="L631" s="555"/>
      <c r="M631" s="555"/>
    </row>
    <row r="632" spans="1:13" ht="15.75" thickBot="1">
      <c r="A632" s="1667" t="s">
        <v>2631</v>
      </c>
      <c r="B632" s="1668"/>
      <c r="C632" s="1668"/>
      <c r="D632" s="1668"/>
      <c r="E632" s="1668"/>
      <c r="F632" s="1668"/>
      <c r="G632" s="1668"/>
      <c r="H632" s="1668"/>
      <c r="I632" s="1669"/>
      <c r="J632" s="1660">
        <v>42</v>
      </c>
      <c r="K632" s="1661"/>
      <c r="L632" s="555"/>
      <c r="M632" s="555"/>
    </row>
    <row r="633" spans="1:13" ht="15">
      <c r="A633" s="1672"/>
      <c r="B633" s="1673"/>
      <c r="C633" s="1673"/>
      <c r="D633" s="1673"/>
      <c r="E633" s="1673"/>
      <c r="F633" s="1673"/>
      <c r="G633" s="1673"/>
      <c r="H633" s="1673"/>
      <c r="I633" s="1674"/>
      <c r="J633" s="555"/>
      <c r="K633" s="555"/>
      <c r="L633" s="555"/>
      <c r="M633" s="555"/>
    </row>
    <row r="634" spans="1:13">
      <c r="A634" s="1735"/>
      <c r="B634" s="1735"/>
      <c r="C634" s="1735"/>
      <c r="D634" s="1735"/>
      <c r="E634" s="1735"/>
    </row>
    <row r="635" spans="1:13">
      <c r="A635" s="1659"/>
      <c r="B635" s="1659"/>
      <c r="C635" s="1659"/>
      <c r="D635" s="1659"/>
      <c r="E635" s="1659"/>
    </row>
    <row r="636" spans="1:13" ht="12.75" customHeight="1">
      <c r="A636" s="1659" t="s">
        <v>2632</v>
      </c>
      <c r="B636" s="1659"/>
      <c r="C636" s="1659"/>
      <c r="D636" s="1659"/>
      <c r="E636" s="1659"/>
      <c r="F636" s="1659"/>
      <c r="G636" s="1659"/>
      <c r="H636" s="1659"/>
      <c r="I636" s="1659"/>
      <c r="J636" s="1659"/>
      <c r="K636" s="1659"/>
      <c r="L636" s="1659"/>
      <c r="M636" s="1659"/>
    </row>
    <row r="637" spans="1:13" ht="36" customHeight="1">
      <c r="A637" s="1659" t="s">
        <v>2633</v>
      </c>
      <c r="B637" s="1659"/>
      <c r="C637" s="1659"/>
      <c r="D637" s="1659"/>
      <c r="E637" s="1659"/>
      <c r="F637" s="1659"/>
      <c r="G637" s="1659"/>
      <c r="H637" s="1659"/>
      <c r="I637" s="1659"/>
      <c r="J637" s="1659"/>
      <c r="K637" s="1659"/>
      <c r="L637" s="1659"/>
      <c r="M637" s="1659"/>
    </row>
    <row r="638" spans="1:13">
      <c r="A638" s="1659"/>
      <c r="B638" s="1659"/>
      <c r="C638" s="1659"/>
      <c r="D638" s="1659"/>
      <c r="E638" s="1659"/>
    </row>
    <row r="639" spans="1:13" ht="36" customHeight="1">
      <c r="A639" s="1658" t="s">
        <v>2634</v>
      </c>
      <c r="B639" s="1658" t="s">
        <v>2635</v>
      </c>
      <c r="C639" s="1658"/>
      <c r="D639" s="1658"/>
      <c r="E639" s="1658"/>
      <c r="F639" s="1658"/>
      <c r="G639" s="1658"/>
      <c r="H639" s="1658"/>
      <c r="I639" s="1658"/>
      <c r="J639" s="1658" t="s">
        <v>2636</v>
      </c>
      <c r="K639" s="1658"/>
      <c r="L639" s="1658" t="s">
        <v>3801</v>
      </c>
      <c r="M639" s="1658"/>
    </row>
    <row r="640" spans="1:13" ht="36.75" customHeight="1">
      <c r="A640" s="1658"/>
      <c r="B640" s="1658"/>
      <c r="C640" s="1658"/>
      <c r="D640" s="1658"/>
      <c r="E640" s="1658"/>
      <c r="F640" s="1658"/>
      <c r="G640" s="1658"/>
      <c r="H640" s="1658"/>
      <c r="I640" s="1658"/>
      <c r="J640" s="1658"/>
      <c r="K640" s="1658"/>
      <c r="L640" s="1658" t="s">
        <v>3802</v>
      </c>
      <c r="M640" s="1658"/>
    </row>
    <row r="641" spans="1:13" ht="30" customHeight="1">
      <c r="A641" s="561">
        <v>1</v>
      </c>
      <c r="B641" s="1670" t="s">
        <v>2637</v>
      </c>
      <c r="C641" s="1670"/>
      <c r="D641" s="1670"/>
      <c r="E641" s="1670"/>
      <c r="F641" s="1670"/>
      <c r="G641" s="1670"/>
      <c r="H641" s="1670"/>
      <c r="I641" s="1670"/>
      <c r="J641" s="1671">
        <v>81200</v>
      </c>
      <c r="K641" s="1671"/>
      <c r="L641" s="1671">
        <v>43600</v>
      </c>
      <c r="M641" s="1671"/>
    </row>
    <row r="642" spans="1:13" ht="30" customHeight="1">
      <c r="A642" s="561">
        <v>2</v>
      </c>
      <c r="B642" s="1670" t="s">
        <v>2638</v>
      </c>
      <c r="C642" s="1670"/>
      <c r="D642" s="1670"/>
      <c r="E642" s="1670"/>
      <c r="F642" s="1670"/>
      <c r="G642" s="1670"/>
      <c r="H642" s="1670"/>
      <c r="I642" s="1670"/>
      <c r="J642" s="1671">
        <v>77450</v>
      </c>
      <c r="K642" s="1671"/>
      <c r="L642" s="1671">
        <v>42600</v>
      </c>
      <c r="M642" s="1671"/>
    </row>
    <row r="643" spans="1:13" ht="65.25" customHeight="1">
      <c r="A643" s="561">
        <v>3</v>
      </c>
      <c r="B643" s="1670" t="s">
        <v>2639</v>
      </c>
      <c r="C643" s="1670"/>
      <c r="D643" s="1670"/>
      <c r="E643" s="1670"/>
      <c r="F643" s="1670"/>
      <c r="G643" s="1670"/>
      <c r="H643" s="1670"/>
      <c r="I643" s="1670"/>
      <c r="J643" s="1671">
        <v>72250</v>
      </c>
      <c r="K643" s="1671"/>
      <c r="L643" s="1671">
        <v>39750</v>
      </c>
      <c r="M643" s="1671"/>
    </row>
    <row r="644" spans="1:13" ht="219.75" customHeight="1">
      <c r="A644" s="561">
        <v>4</v>
      </c>
      <c r="B644" s="1670" t="s">
        <v>2640</v>
      </c>
      <c r="C644" s="1670"/>
      <c r="D644" s="1670"/>
      <c r="E644" s="1670"/>
      <c r="F644" s="1670"/>
      <c r="G644" s="1670"/>
      <c r="H644" s="1670"/>
      <c r="I644" s="1670"/>
      <c r="J644" s="1671">
        <v>67300</v>
      </c>
      <c r="K644" s="1671"/>
      <c r="L644" s="1671">
        <v>37050</v>
      </c>
      <c r="M644" s="1671"/>
    </row>
    <row r="645" spans="1:13" ht="86.25" customHeight="1">
      <c r="A645" s="561">
        <v>5</v>
      </c>
      <c r="B645" s="1670" t="s">
        <v>2641</v>
      </c>
      <c r="C645" s="1670"/>
      <c r="D645" s="1670"/>
      <c r="E645" s="1670"/>
      <c r="F645" s="1670"/>
      <c r="G645" s="1670"/>
      <c r="H645" s="1670"/>
      <c r="I645" s="1670"/>
      <c r="J645" s="1671">
        <v>63850</v>
      </c>
      <c r="K645" s="1671"/>
      <c r="L645" s="1671">
        <v>35125</v>
      </c>
      <c r="M645" s="1671"/>
    </row>
    <row r="646" spans="1:13" ht="60" customHeight="1">
      <c r="A646" s="561">
        <v>6</v>
      </c>
      <c r="B646" s="1670" t="s">
        <v>2642</v>
      </c>
      <c r="C646" s="1670"/>
      <c r="D646" s="1670"/>
      <c r="E646" s="1670"/>
      <c r="F646" s="1670"/>
      <c r="G646" s="1670"/>
      <c r="H646" s="1670"/>
      <c r="I646" s="1670"/>
      <c r="J646" s="1671">
        <v>56500</v>
      </c>
      <c r="K646" s="1671"/>
      <c r="L646" s="1671">
        <v>31100</v>
      </c>
      <c r="M646" s="1671"/>
    </row>
    <row r="647" spans="1:13" ht="78.75" customHeight="1">
      <c r="A647" s="561">
        <v>7</v>
      </c>
      <c r="B647" s="1670" t="s">
        <v>2643</v>
      </c>
      <c r="C647" s="1670"/>
      <c r="D647" s="1670"/>
      <c r="E647" s="1670"/>
      <c r="F647" s="1670"/>
      <c r="G647" s="1670"/>
      <c r="H647" s="1670"/>
      <c r="I647" s="1670"/>
      <c r="J647" s="1671">
        <v>54300</v>
      </c>
      <c r="K647" s="1671"/>
      <c r="L647" s="1671">
        <v>30000</v>
      </c>
      <c r="M647" s="1671"/>
    </row>
    <row r="648" spans="1:13" ht="91.5" customHeight="1">
      <c r="A648" s="561">
        <v>8</v>
      </c>
      <c r="B648" s="1670" t="s">
        <v>2644</v>
      </c>
      <c r="C648" s="1670"/>
      <c r="D648" s="1670"/>
      <c r="E648" s="1670"/>
      <c r="F648" s="1670"/>
      <c r="G648" s="1670"/>
      <c r="H648" s="1670"/>
      <c r="I648" s="1670"/>
      <c r="J648" s="1671">
        <v>51900</v>
      </c>
      <c r="K648" s="1671"/>
      <c r="L648" s="1671">
        <v>28575</v>
      </c>
      <c r="M648" s="1671"/>
    </row>
    <row r="649" spans="1:13" ht="159" customHeight="1">
      <c r="A649" s="1664">
        <v>9</v>
      </c>
      <c r="B649" s="1670" t="s">
        <v>3803</v>
      </c>
      <c r="C649" s="1670"/>
      <c r="D649" s="1670"/>
      <c r="E649" s="1670"/>
      <c r="F649" s="1670"/>
      <c r="G649" s="1670"/>
      <c r="H649" s="1670"/>
      <c r="I649" s="1670"/>
      <c r="J649" s="1749"/>
      <c r="K649" s="1749"/>
      <c r="L649" s="1749"/>
      <c r="M649" s="1749"/>
    </row>
    <row r="650" spans="1:13" ht="30" customHeight="1">
      <c r="A650" s="1664"/>
      <c r="B650" s="1670" t="s">
        <v>2645</v>
      </c>
      <c r="C650" s="1670"/>
      <c r="D650" s="1670"/>
      <c r="E650" s="1670"/>
      <c r="F650" s="1670"/>
      <c r="G650" s="1670"/>
      <c r="H650" s="1670"/>
      <c r="I650" s="1670"/>
      <c r="J650" s="1671">
        <v>50750</v>
      </c>
      <c r="K650" s="1671"/>
      <c r="L650" s="1671">
        <v>27950</v>
      </c>
      <c r="M650" s="1671"/>
    </row>
    <row r="651" spans="1:13" ht="30" customHeight="1">
      <c r="A651" s="1664"/>
      <c r="B651" s="1670" t="s">
        <v>2646</v>
      </c>
      <c r="C651" s="1670"/>
      <c r="D651" s="1670"/>
      <c r="E651" s="1670"/>
      <c r="F651" s="1670"/>
      <c r="G651" s="1670"/>
      <c r="H651" s="1670"/>
      <c r="I651" s="1670"/>
      <c r="J651" s="1671">
        <v>46850</v>
      </c>
      <c r="K651" s="1671"/>
      <c r="L651" s="1671">
        <v>25775</v>
      </c>
      <c r="M651" s="1671"/>
    </row>
    <row r="652" spans="1:13" ht="30" customHeight="1">
      <c r="A652" s="1664"/>
      <c r="B652" s="1670" t="s">
        <v>2647</v>
      </c>
      <c r="C652" s="1670"/>
      <c r="D652" s="1670"/>
      <c r="E652" s="1670"/>
      <c r="F652" s="1670"/>
      <c r="G652" s="1670"/>
      <c r="H652" s="1670"/>
      <c r="I652" s="1670"/>
      <c r="J652" s="1671">
        <v>45800</v>
      </c>
      <c r="K652" s="1671"/>
      <c r="L652" s="1671">
        <v>25200</v>
      </c>
      <c r="M652" s="1671"/>
    </row>
    <row r="653" spans="1:13" ht="67.5" customHeight="1">
      <c r="A653" s="561">
        <v>10</v>
      </c>
      <c r="B653" s="1670" t="s">
        <v>2648</v>
      </c>
      <c r="C653" s="1670"/>
      <c r="D653" s="1670"/>
      <c r="E653" s="1670"/>
      <c r="F653" s="1670"/>
      <c r="G653" s="1670"/>
      <c r="H653" s="1670"/>
      <c r="I653" s="1670"/>
      <c r="J653" s="1671">
        <v>46850</v>
      </c>
      <c r="K653" s="1671"/>
      <c r="L653" s="1671">
        <v>25775</v>
      </c>
      <c r="M653" s="1671"/>
    </row>
    <row r="654" spans="1:13">
      <c r="A654" s="1665"/>
      <c r="B654" s="1665"/>
      <c r="C654" s="1665"/>
      <c r="D654" s="1665"/>
      <c r="E654" s="1665"/>
    </row>
    <row r="655" spans="1:13">
      <c r="A655" s="1666"/>
      <c r="B655" s="1666"/>
      <c r="C655" s="1666"/>
      <c r="D655" s="1666"/>
      <c r="E655" s="1666"/>
    </row>
    <row r="656" spans="1:13">
      <c r="A656" s="1666"/>
      <c r="B656" s="1666"/>
      <c r="C656" s="1666"/>
      <c r="D656" s="1666"/>
      <c r="E656" s="1666"/>
    </row>
    <row r="657" spans="1:13" ht="12.75" customHeight="1">
      <c r="A657" s="1659" t="s">
        <v>819</v>
      </c>
      <c r="B657" s="1659"/>
      <c r="C657" s="1659"/>
      <c r="D657" s="1659"/>
      <c r="E657" s="1659"/>
      <c r="F657" s="1659"/>
      <c r="G657" s="1659"/>
      <c r="H657" s="1659"/>
      <c r="I657" s="1659"/>
      <c r="J657" s="1659"/>
      <c r="K657" s="1659"/>
      <c r="L657" s="1659"/>
      <c r="M657" s="1659"/>
    </row>
    <row r="658" spans="1:13" ht="24" customHeight="1">
      <c r="A658" s="1659" t="s">
        <v>2649</v>
      </c>
      <c r="B658" s="1659"/>
      <c r="C658" s="1659"/>
      <c r="D658" s="1659"/>
      <c r="E658" s="1659"/>
      <c r="F658" s="1659"/>
      <c r="G658" s="1659"/>
      <c r="H658" s="1659"/>
      <c r="I658" s="1659"/>
      <c r="J658" s="1659"/>
      <c r="K658" s="1659"/>
      <c r="L658" s="1659"/>
      <c r="M658" s="1659"/>
    </row>
    <row r="659" spans="1:13">
      <c r="A659" s="1659"/>
      <c r="B659" s="1659"/>
      <c r="C659" s="1659"/>
      <c r="D659" s="1659"/>
      <c r="E659" s="1659"/>
    </row>
    <row r="660" spans="1:13" ht="36" customHeight="1">
      <c r="A660" s="562" t="s">
        <v>2634</v>
      </c>
      <c r="B660" s="1658" t="s">
        <v>2635</v>
      </c>
      <c r="C660" s="1658"/>
      <c r="D660" s="1658"/>
      <c r="E660" s="1658"/>
      <c r="F660" s="1658"/>
      <c r="G660" s="1658"/>
      <c r="H660" s="1658"/>
      <c r="I660" s="1658"/>
      <c r="J660" s="1658" t="s">
        <v>2636</v>
      </c>
      <c r="K660" s="1658"/>
      <c r="L660" s="1658" t="s">
        <v>3304</v>
      </c>
      <c r="M660" s="1658"/>
    </row>
    <row r="661" spans="1:13" ht="135.75" customHeight="1">
      <c r="A661" s="1664">
        <v>1</v>
      </c>
      <c r="B661" s="1670" t="s">
        <v>2650</v>
      </c>
      <c r="C661" s="1670"/>
      <c r="D661" s="1670"/>
      <c r="E661" s="1670"/>
      <c r="F661" s="1670"/>
      <c r="G661" s="1670"/>
      <c r="H661" s="1670"/>
      <c r="I661" s="1670"/>
      <c r="J661" s="1746"/>
      <c r="K661" s="1747"/>
      <c r="L661" s="1747"/>
      <c r="M661" s="1748"/>
    </row>
    <row r="662" spans="1:13" ht="15" customHeight="1">
      <c r="A662" s="1664"/>
      <c r="B662" s="1670" t="s">
        <v>2651</v>
      </c>
      <c r="C662" s="1670"/>
      <c r="D662" s="1670"/>
      <c r="E662" s="1670"/>
      <c r="F662" s="1670"/>
      <c r="G662" s="1670"/>
      <c r="H662" s="1670"/>
      <c r="I662" s="1670"/>
      <c r="J662" s="1745">
        <v>46450</v>
      </c>
      <c r="K662" s="1745"/>
      <c r="L662" s="1745">
        <v>25560</v>
      </c>
      <c r="M662" s="1745"/>
    </row>
    <row r="663" spans="1:13" ht="15" customHeight="1">
      <c r="A663" s="1664"/>
      <c r="B663" s="1670" t="s">
        <v>2652</v>
      </c>
      <c r="C663" s="1670"/>
      <c r="D663" s="1670"/>
      <c r="E663" s="1670"/>
      <c r="F663" s="1670"/>
      <c r="G663" s="1670"/>
      <c r="H663" s="1670"/>
      <c r="I663" s="1670"/>
      <c r="J663" s="1745">
        <v>43400</v>
      </c>
      <c r="K663" s="1745"/>
      <c r="L663" s="1745">
        <v>23870</v>
      </c>
      <c r="M663" s="1745"/>
    </row>
    <row r="664" spans="1:13" ht="15" customHeight="1">
      <c r="A664" s="1664"/>
      <c r="B664" s="1670" t="s">
        <v>2653</v>
      </c>
      <c r="C664" s="1670"/>
      <c r="D664" s="1670"/>
      <c r="E664" s="1670"/>
      <c r="F664" s="1670"/>
      <c r="G664" s="1670"/>
      <c r="H664" s="1670"/>
      <c r="I664" s="1670"/>
      <c r="J664" s="1745">
        <v>40850</v>
      </c>
      <c r="K664" s="1745"/>
      <c r="L664" s="1745">
        <v>22475</v>
      </c>
      <c r="M664" s="1745"/>
    </row>
    <row r="665" spans="1:13" ht="15" customHeight="1">
      <c r="A665" s="1664"/>
      <c r="B665" s="1670" t="s">
        <v>2654</v>
      </c>
      <c r="C665" s="1670"/>
      <c r="D665" s="1670"/>
      <c r="E665" s="1670"/>
      <c r="F665" s="1670"/>
      <c r="G665" s="1670"/>
      <c r="H665" s="1670"/>
      <c r="I665" s="1670"/>
      <c r="J665" s="1745">
        <v>39300</v>
      </c>
      <c r="K665" s="1745"/>
      <c r="L665" s="1745">
        <v>21625</v>
      </c>
      <c r="M665" s="1745"/>
    </row>
    <row r="666" spans="1:13" ht="15" customHeight="1">
      <c r="A666" s="1664"/>
      <c r="B666" s="1670" t="s">
        <v>2655</v>
      </c>
      <c r="C666" s="1670"/>
      <c r="D666" s="1670"/>
      <c r="E666" s="1670"/>
      <c r="F666" s="1670"/>
      <c r="G666" s="1670"/>
      <c r="H666" s="1670"/>
      <c r="I666" s="1670"/>
      <c r="J666" s="1745">
        <v>37950</v>
      </c>
      <c r="K666" s="1745"/>
      <c r="L666" s="1745">
        <v>21000</v>
      </c>
      <c r="M666" s="1745"/>
    </row>
    <row r="667" spans="1:13" ht="15" customHeight="1">
      <c r="A667" s="1664"/>
      <c r="B667" s="1670" t="s">
        <v>2656</v>
      </c>
      <c r="C667" s="1670"/>
      <c r="D667" s="1670"/>
      <c r="E667" s="1670"/>
      <c r="F667" s="1670"/>
      <c r="G667" s="1670"/>
      <c r="H667" s="1670"/>
      <c r="I667" s="1670"/>
      <c r="J667" s="1745">
        <v>36800</v>
      </c>
      <c r="K667" s="1745"/>
      <c r="L667" s="1745">
        <v>20250</v>
      </c>
      <c r="M667" s="1745"/>
    </row>
    <row r="668" spans="1:13" ht="15" customHeight="1">
      <c r="A668" s="1664"/>
      <c r="B668" s="1670" t="s">
        <v>2657</v>
      </c>
      <c r="C668" s="1670"/>
      <c r="D668" s="1670"/>
      <c r="E668" s="1670"/>
      <c r="F668" s="1670"/>
      <c r="G668" s="1670"/>
      <c r="H668" s="1670"/>
      <c r="I668" s="1670"/>
      <c r="J668" s="1745">
        <v>35550</v>
      </c>
      <c r="K668" s="1745"/>
      <c r="L668" s="1745">
        <v>19550</v>
      </c>
      <c r="M668" s="1745"/>
    </row>
    <row r="669" spans="1:13" ht="15" customHeight="1">
      <c r="A669" s="561">
        <v>2</v>
      </c>
      <c r="B669" s="1723" t="s">
        <v>2658</v>
      </c>
      <c r="C669" s="1723"/>
      <c r="D669" s="1723"/>
      <c r="E669" s="1723"/>
      <c r="F669" s="1723"/>
      <c r="G669" s="1723"/>
      <c r="H669" s="1723"/>
      <c r="I669" s="1723"/>
      <c r="J669" s="1745">
        <v>30575</v>
      </c>
      <c r="K669" s="1745"/>
      <c r="L669" s="1745">
        <v>16800</v>
      </c>
      <c r="M669" s="1745"/>
    </row>
    <row r="670" spans="1:13" ht="34.5" customHeight="1">
      <c r="A670" s="1664">
        <v>3</v>
      </c>
      <c r="B670" s="1670" t="s">
        <v>2659</v>
      </c>
      <c r="C670" s="1670"/>
      <c r="D670" s="1670"/>
      <c r="E670" s="1670"/>
      <c r="F670" s="1670"/>
      <c r="G670" s="1670"/>
      <c r="H670" s="1670"/>
      <c r="I670" s="1670"/>
      <c r="J670" s="1746"/>
      <c r="K670" s="1747"/>
      <c r="L670" s="1747"/>
      <c r="M670" s="1748"/>
    </row>
    <row r="671" spans="1:13" ht="15" customHeight="1">
      <c r="A671" s="1664"/>
      <c r="B671" s="1670" t="s">
        <v>2651</v>
      </c>
      <c r="C671" s="1670"/>
      <c r="D671" s="1670"/>
      <c r="E671" s="1670"/>
      <c r="F671" s="1670"/>
      <c r="G671" s="1670"/>
      <c r="H671" s="1670"/>
      <c r="I671" s="1670"/>
      <c r="J671" s="1745">
        <v>37250</v>
      </c>
      <c r="K671" s="1745"/>
      <c r="L671" s="1745">
        <v>20500</v>
      </c>
      <c r="M671" s="1745"/>
    </row>
    <row r="672" spans="1:13" ht="15" customHeight="1">
      <c r="A672" s="1664"/>
      <c r="B672" s="1670" t="s">
        <v>2652</v>
      </c>
      <c r="C672" s="1670"/>
      <c r="D672" s="1670"/>
      <c r="E672" s="1670"/>
      <c r="F672" s="1670"/>
      <c r="G672" s="1670"/>
      <c r="H672" s="1670"/>
      <c r="I672" s="1670"/>
      <c r="J672" s="1745">
        <v>35650</v>
      </c>
      <c r="K672" s="1745"/>
      <c r="L672" s="1745">
        <v>19650</v>
      </c>
      <c r="M672" s="1745"/>
    </row>
    <row r="673" spans="1:13" ht="15" customHeight="1">
      <c r="A673" s="1664"/>
      <c r="B673" s="1670" t="s">
        <v>2653</v>
      </c>
      <c r="C673" s="1670"/>
      <c r="D673" s="1670"/>
      <c r="E673" s="1670"/>
      <c r="F673" s="1670"/>
      <c r="G673" s="1670"/>
      <c r="H673" s="1670"/>
      <c r="I673" s="1670"/>
      <c r="J673" s="1745">
        <v>34400</v>
      </c>
      <c r="K673" s="1745"/>
      <c r="L673" s="1745">
        <v>18925</v>
      </c>
      <c r="M673" s="1745"/>
    </row>
    <row r="674" spans="1:13" ht="15" customHeight="1">
      <c r="A674" s="1664"/>
      <c r="B674" s="1670" t="s">
        <v>2654</v>
      </c>
      <c r="C674" s="1670"/>
      <c r="D674" s="1670"/>
      <c r="E674" s="1670"/>
      <c r="F674" s="1670"/>
      <c r="G674" s="1670"/>
      <c r="H674" s="1670"/>
      <c r="I674" s="1670"/>
      <c r="J674" s="1745">
        <v>33150</v>
      </c>
      <c r="K674" s="1745"/>
      <c r="L674" s="1745">
        <v>18250</v>
      </c>
      <c r="M674" s="1745"/>
    </row>
    <row r="675" spans="1:13" ht="15" customHeight="1">
      <c r="A675" s="1664"/>
      <c r="B675" s="1670" t="s">
        <v>2655</v>
      </c>
      <c r="C675" s="1670"/>
      <c r="D675" s="1670"/>
      <c r="E675" s="1670"/>
      <c r="F675" s="1670"/>
      <c r="G675" s="1670"/>
      <c r="H675" s="1670"/>
      <c r="I675" s="1670"/>
      <c r="J675" s="1745">
        <v>32650</v>
      </c>
      <c r="K675" s="1745"/>
      <c r="L675" s="1745">
        <v>17950</v>
      </c>
      <c r="M675" s="1745"/>
    </row>
    <row r="676" spans="1:13" ht="15" customHeight="1">
      <c r="A676" s="1664"/>
      <c r="B676" s="1670" t="s">
        <v>2656</v>
      </c>
      <c r="C676" s="1670"/>
      <c r="D676" s="1670"/>
      <c r="E676" s="1670"/>
      <c r="F676" s="1670"/>
      <c r="G676" s="1670"/>
      <c r="H676" s="1670"/>
      <c r="I676" s="1670"/>
      <c r="J676" s="1745">
        <v>31450</v>
      </c>
      <c r="K676" s="1745"/>
      <c r="L676" s="1745">
        <v>17300</v>
      </c>
      <c r="M676" s="1745"/>
    </row>
    <row r="677" spans="1:13" ht="15" customHeight="1">
      <c r="A677" s="1664"/>
      <c r="B677" s="1670" t="s">
        <v>2657</v>
      </c>
      <c r="C677" s="1670"/>
      <c r="D677" s="1670"/>
      <c r="E677" s="1670"/>
      <c r="F677" s="1670"/>
      <c r="G677" s="1670"/>
      <c r="H677" s="1670"/>
      <c r="I677" s="1670"/>
      <c r="J677" s="1745">
        <v>30250</v>
      </c>
      <c r="K677" s="1745"/>
      <c r="L677" s="1745">
        <v>16650</v>
      </c>
      <c r="M677" s="1745"/>
    </row>
    <row r="678" spans="1:13" ht="15" customHeight="1">
      <c r="A678" s="561">
        <v>4</v>
      </c>
      <c r="B678" s="1723" t="s">
        <v>2660</v>
      </c>
      <c r="C678" s="1723"/>
      <c r="D678" s="1723"/>
      <c r="E678" s="1723"/>
      <c r="F678" s="1723"/>
      <c r="G678" s="1723"/>
      <c r="H678" s="1723"/>
      <c r="I678" s="1723"/>
      <c r="J678" s="1745">
        <v>25875</v>
      </c>
      <c r="K678" s="1745"/>
      <c r="L678" s="1745">
        <v>14225</v>
      </c>
      <c r="M678" s="1745"/>
    </row>
    <row r="679" spans="1:13">
      <c r="A679" s="1685"/>
      <c r="B679" s="1685"/>
      <c r="C679" s="1685"/>
      <c r="D679" s="1685"/>
      <c r="E679" s="1685"/>
    </row>
    <row r="680" spans="1:13">
      <c r="A680" s="1659"/>
      <c r="B680" s="1659"/>
      <c r="C680" s="1659"/>
      <c r="D680" s="1659"/>
      <c r="E680" s="1659"/>
    </row>
    <row r="681" spans="1:13">
      <c r="A681" s="1659"/>
      <c r="B681" s="1659"/>
      <c r="C681" s="1659"/>
      <c r="D681" s="1659"/>
      <c r="E681" s="1659"/>
    </row>
    <row r="682" spans="1:13" ht="12.75" customHeight="1">
      <c r="A682" s="1659" t="s">
        <v>2661</v>
      </c>
      <c r="B682" s="1659"/>
      <c r="C682" s="1659"/>
      <c r="D682" s="1659"/>
      <c r="E682" s="1659"/>
      <c r="F682" s="1659"/>
      <c r="G682" s="1659"/>
      <c r="H682" s="1659"/>
      <c r="I682" s="1659"/>
      <c r="J682" s="1659"/>
      <c r="K682" s="1659"/>
      <c r="L682" s="1659"/>
      <c r="M682" s="1659"/>
    </row>
    <row r="683" spans="1:13" ht="12.75" customHeight="1">
      <c r="A683" s="1659" t="s">
        <v>2662</v>
      </c>
      <c r="B683" s="1659"/>
      <c r="C683" s="1659"/>
      <c r="D683" s="1659"/>
      <c r="E683" s="1659"/>
      <c r="F683" s="1659"/>
      <c r="G683" s="1659"/>
      <c r="H683" s="1659"/>
      <c r="I683" s="1659"/>
      <c r="J683" s="1659"/>
      <c r="K683" s="1659"/>
      <c r="L683" s="1659"/>
      <c r="M683" s="1659"/>
    </row>
    <row r="684" spans="1:13" ht="12.75" customHeight="1">
      <c r="A684" s="1659" t="s">
        <v>2663</v>
      </c>
      <c r="B684" s="1659"/>
      <c r="C684" s="1659"/>
      <c r="D684" s="1659"/>
      <c r="E684" s="1659"/>
      <c r="F684" s="1659"/>
      <c r="G684" s="1659"/>
      <c r="H684" s="1659"/>
      <c r="I684" s="1659"/>
      <c r="J684" s="1659"/>
      <c r="K684" s="1659"/>
      <c r="L684" s="1659"/>
      <c r="M684" s="1659"/>
    </row>
    <row r="685" spans="1:13" ht="12.75" customHeight="1">
      <c r="A685" s="1659" t="s">
        <v>2664</v>
      </c>
      <c r="B685" s="1659"/>
      <c r="C685" s="1659"/>
      <c r="D685" s="1659"/>
      <c r="E685" s="1659"/>
      <c r="F685" s="1659"/>
      <c r="G685" s="1659"/>
      <c r="H685" s="1659"/>
      <c r="I685" s="1659"/>
      <c r="J685" s="1659"/>
      <c r="K685" s="1659"/>
      <c r="L685" s="1659"/>
      <c r="M685" s="1659"/>
    </row>
    <row r="686" spans="1:13">
      <c r="A686" s="1659"/>
      <c r="B686" s="1659"/>
      <c r="C686" s="1659"/>
      <c r="D686" s="1659"/>
      <c r="E686" s="1659"/>
    </row>
    <row r="687" spans="1:13" ht="48.75" customHeight="1">
      <c r="A687" s="1658" t="s">
        <v>869</v>
      </c>
      <c r="B687" s="1658"/>
      <c r="C687" s="1658"/>
      <c r="D687" s="1658"/>
      <c r="E687" s="1658"/>
      <c r="F687" s="1658"/>
      <c r="G687" s="1658"/>
      <c r="H687" s="1658"/>
      <c r="I687" s="1658"/>
      <c r="J687" s="1658" t="s">
        <v>870</v>
      </c>
      <c r="K687" s="1658"/>
      <c r="L687" s="1658" t="s">
        <v>3804</v>
      </c>
      <c r="M687" s="1658"/>
    </row>
    <row r="688" spans="1:13" ht="15">
      <c r="A688" s="1724" t="s">
        <v>873</v>
      </c>
      <c r="B688" s="1724"/>
      <c r="C688" s="1724"/>
      <c r="D688" s="1724"/>
      <c r="E688" s="1724"/>
      <c r="F688" s="1724"/>
      <c r="G688" s="1724"/>
      <c r="H688" s="1724"/>
      <c r="I688" s="1724"/>
      <c r="J688" s="1737"/>
      <c r="K688" s="1737"/>
      <c r="L688" s="1737"/>
      <c r="M688" s="1737"/>
    </row>
    <row r="689" spans="1:13">
      <c r="A689" s="1670" t="s">
        <v>2665</v>
      </c>
      <c r="B689" s="1670"/>
      <c r="C689" s="1670"/>
      <c r="D689" s="1670"/>
      <c r="E689" s="1670"/>
      <c r="F689" s="1670"/>
      <c r="G689" s="1670"/>
      <c r="H689" s="1670"/>
      <c r="I689" s="1670"/>
      <c r="J689" s="1664">
        <v>1</v>
      </c>
      <c r="K689" s="1664"/>
      <c r="L689" s="1664">
        <v>8000</v>
      </c>
      <c r="M689" s="1664"/>
    </row>
    <row r="690" spans="1:13">
      <c r="A690" s="1724" t="s">
        <v>2666</v>
      </c>
      <c r="B690" s="1724"/>
      <c r="C690" s="1724"/>
      <c r="D690" s="1724"/>
      <c r="E690" s="1724"/>
      <c r="F690" s="1724"/>
      <c r="G690" s="1724"/>
      <c r="H690" s="1724"/>
      <c r="I690" s="1724"/>
      <c r="J690" s="1664">
        <v>1</v>
      </c>
      <c r="K690" s="1664"/>
      <c r="L690" s="1664">
        <v>7600</v>
      </c>
      <c r="M690" s="1664"/>
    </row>
    <row r="691" spans="1:13">
      <c r="A691" s="1724" t="s">
        <v>2667</v>
      </c>
      <c r="B691" s="1724"/>
      <c r="C691" s="1724"/>
      <c r="D691" s="1724"/>
      <c r="E691" s="1724"/>
      <c r="F691" s="1724"/>
      <c r="G691" s="1724"/>
      <c r="H691" s="1724"/>
      <c r="I691" s="1724"/>
      <c r="J691" s="1664">
        <v>1</v>
      </c>
      <c r="K691" s="1664"/>
      <c r="L691" s="1664">
        <v>7000</v>
      </c>
      <c r="M691" s="1664"/>
    </row>
    <row r="692" spans="1:13">
      <c r="A692" s="1670" t="s">
        <v>3805</v>
      </c>
      <c r="B692" s="1670"/>
      <c r="C692" s="1670"/>
      <c r="D692" s="1670"/>
      <c r="E692" s="1670"/>
      <c r="F692" s="1670"/>
      <c r="G692" s="1670"/>
      <c r="H692" s="1670"/>
      <c r="I692" s="1670"/>
      <c r="J692" s="1664">
        <v>1</v>
      </c>
      <c r="K692" s="1664"/>
      <c r="L692" s="1664"/>
      <c r="M692" s="1664"/>
    </row>
    <row r="693" spans="1:13">
      <c r="A693" s="1670" t="s">
        <v>3806</v>
      </c>
      <c r="B693" s="1670"/>
      <c r="C693" s="1670"/>
      <c r="D693" s="1670"/>
      <c r="E693" s="1670"/>
      <c r="F693" s="1670"/>
      <c r="G693" s="1670"/>
      <c r="H693" s="1670"/>
      <c r="I693" s="1670"/>
      <c r="J693" s="1664"/>
      <c r="K693" s="1664"/>
      <c r="L693" s="1664">
        <v>6400</v>
      </c>
      <c r="M693" s="1664"/>
    </row>
    <row r="694" spans="1:13">
      <c r="A694" s="1670" t="s">
        <v>3807</v>
      </c>
      <c r="B694" s="1670"/>
      <c r="C694" s="1670"/>
      <c r="D694" s="1670"/>
      <c r="E694" s="1670"/>
      <c r="F694" s="1670"/>
      <c r="G694" s="1670"/>
      <c r="H694" s="1670"/>
      <c r="I694" s="1670"/>
      <c r="J694" s="1664"/>
      <c r="K694" s="1664"/>
      <c r="L694" s="1738"/>
      <c r="M694" s="1738"/>
    </row>
    <row r="695" spans="1:13">
      <c r="A695" s="1670" t="s">
        <v>2668</v>
      </c>
      <c r="B695" s="1670"/>
      <c r="C695" s="1670"/>
      <c r="D695" s="1670"/>
      <c r="E695" s="1670"/>
      <c r="F695" s="1670"/>
      <c r="G695" s="1670"/>
      <c r="H695" s="1670"/>
      <c r="I695" s="1670"/>
      <c r="J695" s="1664">
        <v>1</v>
      </c>
      <c r="K695" s="1664"/>
      <c r="L695" s="1664">
        <v>3600</v>
      </c>
      <c r="M695" s="1664"/>
    </row>
    <row r="696" spans="1:13">
      <c r="A696" s="1670" t="s">
        <v>3808</v>
      </c>
      <c r="B696" s="1670"/>
      <c r="C696" s="1670"/>
      <c r="D696" s="1670"/>
      <c r="E696" s="1670"/>
      <c r="F696" s="1670"/>
      <c r="G696" s="1670"/>
      <c r="H696" s="1670"/>
      <c r="I696" s="1670"/>
      <c r="J696" s="1664"/>
      <c r="K696" s="1664"/>
      <c r="L696" s="1664"/>
      <c r="M696" s="1664"/>
    </row>
    <row r="697" spans="1:13">
      <c r="A697" s="1670" t="s">
        <v>3809</v>
      </c>
      <c r="B697" s="1670"/>
      <c r="C697" s="1670"/>
      <c r="D697" s="1670"/>
      <c r="E697" s="1670"/>
      <c r="F697" s="1670"/>
      <c r="G697" s="1670"/>
      <c r="H697" s="1670"/>
      <c r="I697" s="1670"/>
      <c r="J697" s="1664">
        <v>1</v>
      </c>
      <c r="K697" s="1664"/>
      <c r="L697" s="1664">
        <v>3000</v>
      </c>
      <c r="M697" s="1664"/>
    </row>
    <row r="698" spans="1:13">
      <c r="A698" s="1670" t="s">
        <v>2669</v>
      </c>
      <c r="B698" s="1670"/>
      <c r="C698" s="1670"/>
      <c r="D698" s="1670"/>
      <c r="E698" s="1670"/>
      <c r="F698" s="1670"/>
      <c r="G698" s="1670"/>
      <c r="H698" s="1670"/>
      <c r="I698" s="1670"/>
      <c r="J698" s="1664">
        <v>1</v>
      </c>
      <c r="K698" s="1664"/>
      <c r="L698" s="1664">
        <v>3600</v>
      </c>
      <c r="M698" s="1664"/>
    </row>
    <row r="699" spans="1:13">
      <c r="A699" s="1670"/>
      <c r="B699" s="1670"/>
      <c r="C699" s="1670"/>
      <c r="D699" s="1670"/>
      <c r="E699" s="1670"/>
      <c r="F699" s="1670"/>
      <c r="G699" s="1670"/>
      <c r="H699" s="1670"/>
      <c r="I699" s="1670"/>
      <c r="J699" s="1664">
        <v>2</v>
      </c>
      <c r="K699" s="1664"/>
      <c r="L699" s="1664">
        <v>3000</v>
      </c>
      <c r="M699" s="1664"/>
    </row>
    <row r="700" spans="1:13">
      <c r="A700" s="1670"/>
      <c r="B700" s="1670"/>
      <c r="C700" s="1670"/>
      <c r="D700" s="1670"/>
      <c r="E700" s="1670"/>
      <c r="F700" s="1670"/>
      <c r="G700" s="1670"/>
      <c r="H700" s="1670"/>
      <c r="I700" s="1670"/>
      <c r="J700" s="1664">
        <v>3</v>
      </c>
      <c r="K700" s="1664"/>
      <c r="L700" s="1664">
        <v>2200</v>
      </c>
      <c r="M700" s="1664"/>
    </row>
    <row r="701" spans="1:13">
      <c r="A701" s="1670"/>
      <c r="B701" s="1670"/>
      <c r="C701" s="1670"/>
      <c r="D701" s="1670"/>
      <c r="E701" s="1670"/>
      <c r="F701" s="1670"/>
      <c r="G701" s="1670"/>
      <c r="H701" s="1670"/>
      <c r="I701" s="1670"/>
      <c r="J701" s="1664">
        <v>4</v>
      </c>
      <c r="K701" s="1664"/>
      <c r="L701" s="1664">
        <v>1600</v>
      </c>
      <c r="M701" s="1664"/>
    </row>
    <row r="702" spans="1:13">
      <c r="A702" s="1670"/>
      <c r="B702" s="1670"/>
      <c r="C702" s="1670"/>
      <c r="D702" s="1670"/>
      <c r="E702" s="1670"/>
      <c r="F702" s="1670"/>
      <c r="G702" s="1670"/>
      <c r="H702" s="1670"/>
      <c r="I702" s="1670"/>
      <c r="J702" s="1664">
        <v>5</v>
      </c>
      <c r="K702" s="1664"/>
      <c r="L702" s="1664">
        <v>1300</v>
      </c>
      <c r="M702" s="1664"/>
    </row>
    <row r="703" spans="1:13">
      <c r="A703" s="1670"/>
      <c r="B703" s="1670"/>
      <c r="C703" s="1670"/>
      <c r="D703" s="1670"/>
      <c r="E703" s="1670"/>
      <c r="F703" s="1670"/>
      <c r="G703" s="1670"/>
      <c r="H703" s="1670"/>
      <c r="I703" s="1670"/>
      <c r="J703" s="1664">
        <v>6</v>
      </c>
      <c r="K703" s="1664"/>
      <c r="L703" s="1664">
        <v>1150</v>
      </c>
      <c r="M703" s="1664"/>
    </row>
    <row r="704" spans="1:13">
      <c r="A704" s="1670"/>
      <c r="B704" s="1670"/>
      <c r="C704" s="1670"/>
      <c r="D704" s="1670"/>
      <c r="E704" s="1670"/>
      <c r="F704" s="1670"/>
      <c r="G704" s="1670"/>
      <c r="H704" s="1670"/>
      <c r="I704" s="1670"/>
      <c r="J704" s="1664">
        <v>7</v>
      </c>
      <c r="K704" s="1664"/>
      <c r="L704" s="1664">
        <v>950</v>
      </c>
      <c r="M704" s="1664"/>
    </row>
    <row r="705" spans="1:13">
      <c r="A705" s="1670"/>
      <c r="B705" s="1670"/>
      <c r="C705" s="1670"/>
      <c r="D705" s="1670"/>
      <c r="E705" s="1670"/>
      <c r="F705" s="1670"/>
      <c r="G705" s="1670"/>
      <c r="H705" s="1670"/>
      <c r="I705" s="1670"/>
      <c r="J705" s="1664">
        <v>8</v>
      </c>
      <c r="K705" s="1664"/>
      <c r="L705" s="1664">
        <v>850</v>
      </c>
      <c r="M705" s="1664"/>
    </row>
    <row r="706" spans="1:13">
      <c r="A706" s="1724" t="s">
        <v>2670</v>
      </c>
      <c r="B706" s="1724"/>
      <c r="C706" s="1724"/>
      <c r="D706" s="1724"/>
      <c r="E706" s="1724"/>
      <c r="F706" s="1724"/>
      <c r="G706" s="1724"/>
      <c r="H706" s="1724"/>
      <c r="I706" s="1724"/>
      <c r="J706" s="1664"/>
      <c r="K706" s="1664"/>
      <c r="L706" s="1664"/>
      <c r="M706" s="1664"/>
    </row>
    <row r="707" spans="1:13">
      <c r="A707" s="1724" t="s">
        <v>902</v>
      </c>
      <c r="B707" s="1724"/>
      <c r="C707" s="1724"/>
      <c r="D707" s="1724"/>
      <c r="E707" s="1724"/>
      <c r="F707" s="1724"/>
      <c r="G707" s="1724"/>
      <c r="H707" s="1724"/>
      <c r="I707" s="1724"/>
      <c r="J707" s="1664">
        <v>1</v>
      </c>
      <c r="K707" s="1664"/>
      <c r="L707" s="1664">
        <v>2200</v>
      </c>
      <c r="M707" s="1664"/>
    </row>
    <row r="708" spans="1:13">
      <c r="A708" s="1724"/>
      <c r="B708" s="1724"/>
      <c r="C708" s="1724"/>
      <c r="D708" s="1724"/>
      <c r="E708" s="1724"/>
      <c r="F708" s="1724"/>
      <c r="G708" s="1724"/>
      <c r="H708" s="1724"/>
      <c r="I708" s="1724"/>
      <c r="J708" s="1664">
        <v>2</v>
      </c>
      <c r="K708" s="1664"/>
      <c r="L708" s="1664">
        <v>1600</v>
      </c>
      <c r="M708" s="1664"/>
    </row>
    <row r="709" spans="1:13">
      <c r="A709" s="1725"/>
      <c r="B709" s="1725"/>
      <c r="C709" s="1725"/>
      <c r="D709" s="1725"/>
      <c r="E709" s="1725"/>
      <c r="F709" s="1725"/>
      <c r="G709" s="1725"/>
      <c r="H709" s="1725"/>
      <c r="I709" s="1725"/>
      <c r="J709" s="1664">
        <v>3</v>
      </c>
      <c r="K709" s="1664"/>
      <c r="L709" s="1664">
        <v>1100</v>
      </c>
      <c r="M709" s="1664"/>
    </row>
    <row r="710" spans="1:13">
      <c r="A710" s="1725"/>
      <c r="B710" s="1725"/>
      <c r="C710" s="1725"/>
      <c r="D710" s="1725"/>
      <c r="E710" s="1725"/>
      <c r="F710" s="1725"/>
      <c r="G710" s="1725"/>
      <c r="H710" s="1725"/>
      <c r="I710" s="1725"/>
      <c r="J710" s="1664">
        <v>4</v>
      </c>
      <c r="K710" s="1664"/>
      <c r="L710" s="1664">
        <v>800</v>
      </c>
      <c r="M710" s="1664"/>
    </row>
    <row r="711" spans="1:13">
      <c r="A711" s="1724" t="s">
        <v>2671</v>
      </c>
      <c r="B711" s="1724"/>
      <c r="C711" s="1724"/>
      <c r="D711" s="1724"/>
      <c r="E711" s="1724"/>
      <c r="F711" s="1724"/>
      <c r="G711" s="1724"/>
      <c r="H711" s="1724"/>
      <c r="I711" s="1724"/>
      <c r="J711" s="1664">
        <v>1</v>
      </c>
      <c r="K711" s="1664"/>
      <c r="L711" s="1664">
        <v>1500</v>
      </c>
      <c r="M711" s="1664"/>
    </row>
    <row r="712" spans="1:13">
      <c r="A712" s="1725"/>
      <c r="B712" s="1725"/>
      <c r="C712" s="1725"/>
      <c r="D712" s="1725"/>
      <c r="E712" s="1725"/>
      <c r="F712" s="1725"/>
      <c r="G712" s="1725"/>
      <c r="H712" s="1725"/>
      <c r="I712" s="1725"/>
      <c r="J712" s="1664">
        <v>2</v>
      </c>
      <c r="K712" s="1664"/>
      <c r="L712" s="1664">
        <v>1100</v>
      </c>
      <c r="M712" s="1664"/>
    </row>
    <row r="713" spans="1:13">
      <c r="A713" s="1725"/>
      <c r="B713" s="1725"/>
      <c r="C713" s="1725"/>
      <c r="D713" s="1725"/>
      <c r="E713" s="1725"/>
      <c r="F713" s="1725"/>
      <c r="G713" s="1725"/>
      <c r="H713" s="1725"/>
      <c r="I713" s="1725"/>
      <c r="J713" s="1664">
        <v>3</v>
      </c>
      <c r="K713" s="1664"/>
      <c r="L713" s="1664">
        <v>800</v>
      </c>
      <c r="M713" s="1664"/>
    </row>
    <row r="714" spans="1:13">
      <c r="A714" s="1725"/>
      <c r="B714" s="1725"/>
      <c r="C714" s="1725"/>
      <c r="D714" s="1725"/>
      <c r="E714" s="1725"/>
      <c r="F714" s="1725"/>
      <c r="G714" s="1725"/>
      <c r="H714" s="1725"/>
      <c r="I714" s="1725"/>
      <c r="J714" s="1664">
        <v>4</v>
      </c>
      <c r="K714" s="1664"/>
      <c r="L714" s="1664">
        <v>650</v>
      </c>
      <c r="M714" s="1664"/>
    </row>
    <row r="715" spans="1:13" ht="15">
      <c r="A715" s="1670" t="s">
        <v>904</v>
      </c>
      <c r="B715" s="1670"/>
      <c r="C715" s="1670"/>
      <c r="D715" s="1670"/>
      <c r="E715" s="1670"/>
      <c r="F715" s="1670"/>
      <c r="G715" s="1670"/>
      <c r="H715" s="1670"/>
      <c r="I715" s="1670"/>
      <c r="J715" s="1737"/>
      <c r="K715" s="1737"/>
      <c r="L715" s="1737"/>
      <c r="M715" s="1737"/>
    </row>
    <row r="716" spans="1:13">
      <c r="A716" s="1724" t="s">
        <v>2672</v>
      </c>
      <c r="B716" s="1724"/>
      <c r="C716" s="1724"/>
      <c r="D716" s="1724"/>
      <c r="E716" s="1724"/>
      <c r="F716" s="1724"/>
      <c r="G716" s="1724"/>
      <c r="H716" s="1724"/>
      <c r="I716" s="1724"/>
      <c r="J716" s="1664">
        <v>1</v>
      </c>
      <c r="K716" s="1664"/>
      <c r="L716" s="1664">
        <v>3600</v>
      </c>
      <c r="M716" s="1664"/>
    </row>
    <row r="717" spans="1:13">
      <c r="A717" s="1724"/>
      <c r="B717" s="1724"/>
      <c r="C717" s="1724"/>
      <c r="D717" s="1724"/>
      <c r="E717" s="1724"/>
      <c r="F717" s="1724"/>
      <c r="G717" s="1724"/>
      <c r="H717" s="1724"/>
      <c r="I717" s="1724"/>
      <c r="J717" s="1664">
        <v>2</v>
      </c>
      <c r="K717" s="1664"/>
      <c r="L717" s="1664">
        <v>3000</v>
      </c>
      <c r="M717" s="1664"/>
    </row>
    <row r="718" spans="1:13">
      <c r="A718" s="1724"/>
      <c r="B718" s="1724"/>
      <c r="C718" s="1724"/>
      <c r="D718" s="1724"/>
      <c r="E718" s="1724"/>
      <c r="F718" s="1724"/>
      <c r="G718" s="1724"/>
      <c r="H718" s="1724"/>
      <c r="I718" s="1724"/>
      <c r="J718" s="1664">
        <v>3</v>
      </c>
      <c r="K718" s="1664"/>
      <c r="L718" s="1664">
        <v>2200</v>
      </c>
      <c r="M718" s="1664"/>
    </row>
    <row r="719" spans="1:13">
      <c r="A719" s="1724"/>
      <c r="B719" s="1724"/>
      <c r="C719" s="1724"/>
      <c r="D719" s="1724"/>
      <c r="E719" s="1724"/>
      <c r="F719" s="1724"/>
      <c r="G719" s="1724"/>
      <c r="H719" s="1724"/>
      <c r="I719" s="1724"/>
      <c r="J719" s="1664">
        <v>4</v>
      </c>
      <c r="K719" s="1664"/>
      <c r="L719" s="1664">
        <v>1600</v>
      </c>
      <c r="M719" s="1664"/>
    </row>
    <row r="720" spans="1:13">
      <c r="A720" s="1724"/>
      <c r="B720" s="1724"/>
      <c r="C720" s="1724"/>
      <c r="D720" s="1724"/>
      <c r="E720" s="1724"/>
      <c r="F720" s="1724"/>
      <c r="G720" s="1724"/>
      <c r="H720" s="1724"/>
      <c r="I720" s="1724"/>
      <c r="J720" s="1664">
        <v>5</v>
      </c>
      <c r="K720" s="1664"/>
      <c r="L720" s="1664">
        <v>1300</v>
      </c>
      <c r="M720" s="1664"/>
    </row>
    <row r="721" spans="1:13">
      <c r="A721" s="1724"/>
      <c r="B721" s="1724"/>
      <c r="C721" s="1724"/>
      <c r="D721" s="1724"/>
      <c r="E721" s="1724"/>
      <c r="F721" s="1724"/>
      <c r="G721" s="1724"/>
      <c r="H721" s="1724"/>
      <c r="I721" s="1724"/>
      <c r="J721" s="1664">
        <v>6</v>
      </c>
      <c r="K721" s="1664"/>
      <c r="L721" s="1664">
        <v>1150</v>
      </c>
      <c r="M721" s="1664"/>
    </row>
    <row r="722" spans="1:13">
      <c r="A722" s="1724"/>
      <c r="B722" s="1724"/>
      <c r="C722" s="1724"/>
      <c r="D722" s="1724"/>
      <c r="E722" s="1724"/>
      <c r="F722" s="1724"/>
      <c r="G722" s="1724"/>
      <c r="H722" s="1724"/>
      <c r="I722" s="1724"/>
      <c r="J722" s="1664">
        <v>7</v>
      </c>
      <c r="K722" s="1664"/>
      <c r="L722" s="1664">
        <v>950</v>
      </c>
      <c r="M722" s="1664"/>
    </row>
    <row r="723" spans="1:13">
      <c r="A723" s="1724"/>
      <c r="B723" s="1724"/>
      <c r="C723" s="1724"/>
      <c r="D723" s="1724"/>
      <c r="E723" s="1724"/>
      <c r="F723" s="1724"/>
      <c r="G723" s="1724"/>
      <c r="H723" s="1724"/>
      <c r="I723" s="1724"/>
      <c r="J723" s="1664">
        <v>8</v>
      </c>
      <c r="K723" s="1664"/>
      <c r="L723" s="1664">
        <v>850</v>
      </c>
      <c r="M723" s="1664"/>
    </row>
    <row r="724" spans="1:13">
      <c r="A724" s="1670" t="s">
        <v>2673</v>
      </c>
      <c r="B724" s="1670"/>
      <c r="C724" s="1670"/>
      <c r="D724" s="1670"/>
      <c r="E724" s="1670"/>
      <c r="F724" s="1670"/>
      <c r="G724" s="1670"/>
      <c r="H724" s="1670"/>
      <c r="I724" s="1670"/>
      <c r="J724" s="1664">
        <v>1</v>
      </c>
      <c r="K724" s="1664"/>
      <c r="L724" s="1664">
        <v>2200</v>
      </c>
      <c r="M724" s="1664"/>
    </row>
    <row r="725" spans="1:13">
      <c r="A725" s="1670"/>
      <c r="B725" s="1670"/>
      <c r="C725" s="1670"/>
      <c r="D725" s="1670"/>
      <c r="E725" s="1670"/>
      <c r="F725" s="1670"/>
      <c r="G725" s="1670"/>
      <c r="H725" s="1670"/>
      <c r="I725" s="1670"/>
      <c r="J725" s="1664">
        <v>2</v>
      </c>
      <c r="K725" s="1664"/>
      <c r="L725" s="1664">
        <v>1600</v>
      </c>
      <c r="M725" s="1664"/>
    </row>
    <row r="726" spans="1:13">
      <c r="A726" s="1670"/>
      <c r="B726" s="1670"/>
      <c r="C726" s="1670"/>
      <c r="D726" s="1670"/>
      <c r="E726" s="1670"/>
      <c r="F726" s="1670"/>
      <c r="G726" s="1670"/>
      <c r="H726" s="1670"/>
      <c r="I726" s="1670"/>
      <c r="J726" s="1664">
        <v>3</v>
      </c>
      <c r="K726" s="1664"/>
      <c r="L726" s="1664">
        <v>1500</v>
      </c>
      <c r="M726" s="1664"/>
    </row>
    <row r="727" spans="1:13">
      <c r="A727" s="1670"/>
      <c r="B727" s="1670"/>
      <c r="C727" s="1670"/>
      <c r="D727" s="1670"/>
      <c r="E727" s="1670"/>
      <c r="F727" s="1670"/>
      <c r="G727" s="1670"/>
      <c r="H727" s="1670"/>
      <c r="I727" s="1670"/>
      <c r="J727" s="1664">
        <v>4</v>
      </c>
      <c r="K727" s="1664"/>
      <c r="L727" s="1664">
        <v>1100</v>
      </c>
      <c r="M727" s="1664"/>
    </row>
    <row r="728" spans="1:13">
      <c r="A728" s="1670" t="s">
        <v>2674</v>
      </c>
      <c r="B728" s="1670"/>
      <c r="C728" s="1670"/>
      <c r="D728" s="1670"/>
      <c r="E728" s="1670"/>
      <c r="F728" s="1670"/>
      <c r="G728" s="1670"/>
      <c r="H728" s="1670"/>
      <c r="I728" s="1670"/>
      <c r="J728" s="1664">
        <v>1</v>
      </c>
      <c r="K728" s="1664"/>
      <c r="L728" s="1664">
        <v>1500</v>
      </c>
      <c r="M728" s="1664"/>
    </row>
    <row r="729" spans="1:13">
      <c r="A729" s="1670"/>
      <c r="B729" s="1670"/>
      <c r="C729" s="1670"/>
      <c r="D729" s="1670"/>
      <c r="E729" s="1670"/>
      <c r="F729" s="1670"/>
      <c r="G729" s="1670"/>
      <c r="H729" s="1670"/>
      <c r="I729" s="1670"/>
      <c r="J729" s="1664">
        <v>2</v>
      </c>
      <c r="K729" s="1664"/>
      <c r="L729" s="1664">
        <v>1100</v>
      </c>
      <c r="M729" s="1664"/>
    </row>
    <row r="730" spans="1:13">
      <c r="A730" s="1670"/>
      <c r="B730" s="1670"/>
      <c r="C730" s="1670"/>
      <c r="D730" s="1670"/>
      <c r="E730" s="1670"/>
      <c r="F730" s="1670"/>
      <c r="G730" s="1670"/>
      <c r="H730" s="1670"/>
      <c r="I730" s="1670"/>
      <c r="J730" s="1664">
        <v>3</v>
      </c>
      <c r="K730" s="1664"/>
      <c r="L730" s="1664">
        <v>800</v>
      </c>
      <c r="M730" s="1664"/>
    </row>
    <row r="731" spans="1:13">
      <c r="A731" s="1670"/>
      <c r="B731" s="1670"/>
      <c r="C731" s="1670"/>
      <c r="D731" s="1670"/>
      <c r="E731" s="1670"/>
      <c r="F731" s="1670"/>
      <c r="G731" s="1670"/>
      <c r="H731" s="1670"/>
      <c r="I731" s="1670"/>
      <c r="J731" s="1664">
        <v>4</v>
      </c>
      <c r="K731" s="1664"/>
      <c r="L731" s="1664">
        <v>650</v>
      </c>
      <c r="M731" s="1664"/>
    </row>
    <row r="732" spans="1:13" ht="15">
      <c r="A732" s="1724" t="s">
        <v>2675</v>
      </c>
      <c r="B732" s="1724"/>
      <c r="C732" s="1724"/>
      <c r="D732" s="1724"/>
      <c r="E732" s="1724"/>
      <c r="F732" s="1724"/>
      <c r="G732" s="1724"/>
      <c r="H732" s="1724"/>
      <c r="I732" s="1724"/>
      <c r="J732" s="1737"/>
      <c r="K732" s="1737"/>
      <c r="L732" s="1737"/>
      <c r="M732" s="1737"/>
    </row>
    <row r="733" spans="1:13">
      <c r="A733" s="1670" t="s">
        <v>2676</v>
      </c>
      <c r="B733" s="1670"/>
      <c r="C733" s="1670"/>
      <c r="D733" s="1670"/>
      <c r="E733" s="1670"/>
      <c r="F733" s="1670"/>
      <c r="G733" s="1670"/>
      <c r="H733" s="1670"/>
      <c r="I733" s="1670"/>
      <c r="J733" s="1664">
        <v>1</v>
      </c>
      <c r="K733" s="1664"/>
      <c r="L733" s="1664">
        <v>3600</v>
      </c>
      <c r="M733" s="1664"/>
    </row>
    <row r="734" spans="1:13">
      <c r="A734" s="1670"/>
      <c r="B734" s="1670"/>
      <c r="C734" s="1670"/>
      <c r="D734" s="1670"/>
      <c r="E734" s="1670"/>
      <c r="F734" s="1670"/>
      <c r="G734" s="1670"/>
      <c r="H734" s="1670"/>
      <c r="I734" s="1670"/>
      <c r="J734" s="1664">
        <v>2</v>
      </c>
      <c r="K734" s="1664"/>
      <c r="L734" s="1664">
        <v>3000</v>
      </c>
      <c r="M734" s="1664"/>
    </row>
    <row r="735" spans="1:13">
      <c r="A735" s="1670"/>
      <c r="B735" s="1670"/>
      <c r="C735" s="1670"/>
      <c r="D735" s="1670"/>
      <c r="E735" s="1670"/>
      <c r="F735" s="1670"/>
      <c r="G735" s="1670"/>
      <c r="H735" s="1670"/>
      <c r="I735" s="1670"/>
      <c r="J735" s="1664">
        <v>3</v>
      </c>
      <c r="K735" s="1664"/>
      <c r="L735" s="1664">
        <v>2200</v>
      </c>
      <c r="M735" s="1664"/>
    </row>
    <row r="736" spans="1:13">
      <c r="A736" s="1670"/>
      <c r="B736" s="1670"/>
      <c r="C736" s="1670"/>
      <c r="D736" s="1670"/>
      <c r="E736" s="1670"/>
      <c r="F736" s="1670"/>
      <c r="G736" s="1670"/>
      <c r="H736" s="1670"/>
      <c r="I736" s="1670"/>
      <c r="J736" s="1664">
        <v>4</v>
      </c>
      <c r="K736" s="1664"/>
      <c r="L736" s="1664">
        <v>1600</v>
      </c>
      <c r="M736" s="1664"/>
    </row>
    <row r="737" spans="1:13">
      <c r="A737" s="1670"/>
      <c r="B737" s="1670"/>
      <c r="C737" s="1670"/>
      <c r="D737" s="1670"/>
      <c r="E737" s="1670"/>
      <c r="F737" s="1670"/>
      <c r="G737" s="1670"/>
      <c r="H737" s="1670"/>
      <c r="I737" s="1670"/>
      <c r="J737" s="1664">
        <v>5</v>
      </c>
      <c r="K737" s="1664"/>
      <c r="L737" s="1664">
        <v>1300</v>
      </c>
      <c r="M737" s="1664"/>
    </row>
    <row r="738" spans="1:13">
      <c r="A738" s="1670"/>
      <c r="B738" s="1670"/>
      <c r="C738" s="1670"/>
      <c r="D738" s="1670"/>
      <c r="E738" s="1670"/>
      <c r="F738" s="1670"/>
      <c r="G738" s="1670"/>
      <c r="H738" s="1670"/>
      <c r="I738" s="1670"/>
      <c r="J738" s="1664">
        <v>6</v>
      </c>
      <c r="K738" s="1664"/>
      <c r="L738" s="1664">
        <v>1150</v>
      </c>
      <c r="M738" s="1664"/>
    </row>
    <row r="739" spans="1:13">
      <c r="A739" s="1670"/>
      <c r="B739" s="1670"/>
      <c r="C739" s="1670"/>
      <c r="D739" s="1670"/>
      <c r="E739" s="1670"/>
      <c r="F739" s="1670"/>
      <c r="G739" s="1670"/>
      <c r="H739" s="1670"/>
      <c r="I739" s="1670"/>
      <c r="J739" s="1664">
        <v>7</v>
      </c>
      <c r="K739" s="1664"/>
      <c r="L739" s="1664">
        <v>950</v>
      </c>
      <c r="M739" s="1664"/>
    </row>
    <row r="740" spans="1:13">
      <c r="A740" s="1670"/>
      <c r="B740" s="1670"/>
      <c r="C740" s="1670"/>
      <c r="D740" s="1670"/>
      <c r="E740" s="1670"/>
      <c r="F740" s="1670"/>
      <c r="G740" s="1670"/>
      <c r="H740" s="1670"/>
      <c r="I740" s="1670"/>
      <c r="J740" s="1664">
        <v>8</v>
      </c>
      <c r="K740" s="1664"/>
      <c r="L740" s="1664">
        <v>850</v>
      </c>
      <c r="M740" s="1664"/>
    </row>
    <row r="741" spans="1:13">
      <c r="A741" s="1723" t="s">
        <v>2677</v>
      </c>
      <c r="B741" s="1723"/>
      <c r="C741" s="1723"/>
      <c r="D741" s="1723"/>
      <c r="E741" s="1723"/>
      <c r="F741" s="1723"/>
      <c r="G741" s="1723"/>
      <c r="H741" s="1723"/>
      <c r="I741" s="1723"/>
      <c r="J741" s="1664">
        <v>1</v>
      </c>
      <c r="K741" s="1664"/>
      <c r="L741" s="1664">
        <v>3000</v>
      </c>
      <c r="M741" s="1664"/>
    </row>
    <row r="742" spans="1:13">
      <c r="A742" s="1723"/>
      <c r="B742" s="1723"/>
      <c r="C742" s="1723"/>
      <c r="D742" s="1723"/>
      <c r="E742" s="1723"/>
      <c r="F742" s="1723"/>
      <c r="G742" s="1723"/>
      <c r="H742" s="1723"/>
      <c r="I742" s="1723"/>
      <c r="J742" s="1664">
        <v>2</v>
      </c>
      <c r="K742" s="1664"/>
      <c r="L742" s="1664">
        <v>2200</v>
      </c>
      <c r="M742" s="1664"/>
    </row>
    <row r="743" spans="1:13">
      <c r="A743" s="1723"/>
      <c r="B743" s="1723"/>
      <c r="C743" s="1723"/>
      <c r="D743" s="1723"/>
      <c r="E743" s="1723"/>
      <c r="F743" s="1723"/>
      <c r="G743" s="1723"/>
      <c r="H743" s="1723"/>
      <c r="I743" s="1723"/>
      <c r="J743" s="1664">
        <v>3</v>
      </c>
      <c r="K743" s="1664"/>
      <c r="L743" s="1664">
        <v>1600</v>
      </c>
      <c r="M743" s="1664"/>
    </row>
    <row r="744" spans="1:13">
      <c r="A744" s="1723"/>
      <c r="B744" s="1723"/>
      <c r="C744" s="1723"/>
      <c r="D744" s="1723"/>
      <c r="E744" s="1723"/>
      <c r="F744" s="1723"/>
      <c r="G744" s="1723"/>
      <c r="H744" s="1723"/>
      <c r="I744" s="1723"/>
      <c r="J744" s="1664">
        <v>4</v>
      </c>
      <c r="K744" s="1664"/>
      <c r="L744" s="1664">
        <v>1500</v>
      </c>
      <c r="M744" s="1664"/>
    </row>
    <row r="745" spans="1:13">
      <c r="A745" s="1723"/>
      <c r="B745" s="1723"/>
      <c r="C745" s="1723"/>
      <c r="D745" s="1723"/>
      <c r="E745" s="1723"/>
      <c r="F745" s="1723"/>
      <c r="G745" s="1723"/>
      <c r="H745" s="1723"/>
      <c r="I745" s="1723"/>
      <c r="J745" s="1664">
        <v>5</v>
      </c>
      <c r="K745" s="1664"/>
      <c r="L745" s="1664">
        <v>1200</v>
      </c>
      <c r="M745" s="1664"/>
    </row>
    <row r="746" spans="1:13">
      <c r="A746" s="1723"/>
      <c r="B746" s="1723"/>
      <c r="C746" s="1723"/>
      <c r="D746" s="1723"/>
      <c r="E746" s="1723"/>
      <c r="F746" s="1723"/>
      <c r="G746" s="1723"/>
      <c r="H746" s="1723"/>
      <c r="I746" s="1723"/>
      <c r="J746" s="1664">
        <v>6</v>
      </c>
      <c r="K746" s="1664"/>
      <c r="L746" s="1664">
        <v>1100</v>
      </c>
      <c r="M746" s="1664"/>
    </row>
    <row r="747" spans="1:13">
      <c r="A747" s="1723"/>
      <c r="B747" s="1723"/>
      <c r="C747" s="1723"/>
      <c r="D747" s="1723"/>
      <c r="E747" s="1723"/>
      <c r="F747" s="1723"/>
      <c r="G747" s="1723"/>
      <c r="H747" s="1723"/>
      <c r="I747" s="1723"/>
      <c r="J747" s="1664">
        <v>7</v>
      </c>
      <c r="K747" s="1664"/>
      <c r="L747" s="1664">
        <v>900</v>
      </c>
      <c r="M747" s="1664"/>
    </row>
    <row r="748" spans="1:13">
      <c r="A748" s="1723"/>
      <c r="B748" s="1723"/>
      <c r="C748" s="1723"/>
      <c r="D748" s="1723"/>
      <c r="E748" s="1723"/>
      <c r="F748" s="1723"/>
      <c r="G748" s="1723"/>
      <c r="H748" s="1723"/>
      <c r="I748" s="1723"/>
      <c r="J748" s="1664">
        <v>8</v>
      </c>
      <c r="K748" s="1664"/>
      <c r="L748" s="1664">
        <v>800</v>
      </c>
      <c r="M748" s="1664"/>
    </row>
    <row r="749" spans="1:13">
      <c r="A749" s="1724" t="s">
        <v>2678</v>
      </c>
      <c r="B749" s="1724"/>
      <c r="C749" s="1724"/>
      <c r="D749" s="1724"/>
      <c r="E749" s="1724"/>
      <c r="F749" s="1724"/>
      <c r="G749" s="1724"/>
      <c r="H749" s="1724"/>
      <c r="I749" s="1724"/>
      <c r="J749" s="1664"/>
      <c r="K749" s="1664"/>
      <c r="L749" s="1664"/>
      <c r="M749" s="1664"/>
    </row>
    <row r="750" spans="1:13">
      <c r="A750" s="1736" t="s">
        <v>906</v>
      </c>
      <c r="B750" s="1736"/>
      <c r="C750" s="1736"/>
      <c r="D750" s="1736"/>
      <c r="E750" s="1736"/>
      <c r="F750" s="1736"/>
      <c r="G750" s="1736"/>
      <c r="H750" s="1736"/>
      <c r="I750" s="1736"/>
      <c r="J750" s="1664">
        <v>1</v>
      </c>
      <c r="K750" s="1664"/>
      <c r="L750" s="1664">
        <v>2200</v>
      </c>
      <c r="M750" s="1664"/>
    </row>
    <row r="751" spans="1:13">
      <c r="A751" s="1736"/>
      <c r="B751" s="1736"/>
      <c r="C751" s="1736"/>
      <c r="D751" s="1736"/>
      <c r="E751" s="1736"/>
      <c r="F751" s="1736"/>
      <c r="G751" s="1736"/>
      <c r="H751" s="1736"/>
      <c r="I751" s="1736"/>
      <c r="J751" s="1664">
        <v>2</v>
      </c>
      <c r="K751" s="1664"/>
      <c r="L751" s="1664">
        <v>1600</v>
      </c>
      <c r="M751" s="1664"/>
    </row>
    <row r="752" spans="1:13">
      <c r="A752" s="1725"/>
      <c r="B752" s="1725"/>
      <c r="C752" s="1725"/>
      <c r="D752" s="1725"/>
      <c r="E752" s="1725"/>
      <c r="F752" s="1725"/>
      <c r="G752" s="1725"/>
      <c r="H752" s="1725"/>
      <c r="I752" s="1725"/>
      <c r="J752" s="1664">
        <v>3</v>
      </c>
      <c r="K752" s="1664"/>
      <c r="L752" s="1664">
        <v>1100</v>
      </c>
      <c r="M752" s="1664"/>
    </row>
    <row r="753" spans="1:13">
      <c r="A753" s="1725"/>
      <c r="B753" s="1725"/>
      <c r="C753" s="1725"/>
      <c r="D753" s="1725"/>
      <c r="E753" s="1725"/>
      <c r="F753" s="1725"/>
      <c r="G753" s="1725"/>
      <c r="H753" s="1725"/>
      <c r="I753" s="1725"/>
      <c r="J753" s="1664">
        <v>4</v>
      </c>
      <c r="K753" s="1664"/>
      <c r="L753" s="1664">
        <v>800</v>
      </c>
      <c r="M753" s="1664"/>
    </row>
    <row r="754" spans="1:13">
      <c r="A754" s="1736" t="s">
        <v>908</v>
      </c>
      <c r="B754" s="1736"/>
      <c r="C754" s="1736"/>
      <c r="D754" s="1736"/>
      <c r="E754" s="1736"/>
      <c r="F754" s="1736"/>
      <c r="G754" s="1736"/>
      <c r="H754" s="1736"/>
      <c r="I754" s="1736"/>
      <c r="J754" s="1664">
        <v>1</v>
      </c>
      <c r="K754" s="1664"/>
      <c r="L754" s="1664">
        <v>1500</v>
      </c>
      <c r="M754" s="1664"/>
    </row>
    <row r="755" spans="1:13">
      <c r="A755" s="1725"/>
      <c r="B755" s="1725"/>
      <c r="C755" s="1725"/>
      <c r="D755" s="1725"/>
      <c r="E755" s="1725"/>
      <c r="F755" s="1725"/>
      <c r="G755" s="1725"/>
      <c r="H755" s="1725"/>
      <c r="I755" s="1725"/>
      <c r="J755" s="1664">
        <v>2</v>
      </c>
      <c r="K755" s="1664"/>
      <c r="L755" s="1664">
        <v>1100</v>
      </c>
      <c r="M755" s="1664"/>
    </row>
    <row r="756" spans="1:13">
      <c r="A756" s="1725"/>
      <c r="B756" s="1725"/>
      <c r="C756" s="1725"/>
      <c r="D756" s="1725"/>
      <c r="E756" s="1725"/>
      <c r="F756" s="1725"/>
      <c r="G756" s="1725"/>
      <c r="H756" s="1725"/>
      <c r="I756" s="1725"/>
      <c r="J756" s="1664">
        <v>3</v>
      </c>
      <c r="K756" s="1664"/>
      <c r="L756" s="1664">
        <v>800</v>
      </c>
      <c r="M756" s="1664"/>
    </row>
    <row r="757" spans="1:13">
      <c r="A757" s="1725"/>
      <c r="B757" s="1725"/>
      <c r="C757" s="1725"/>
      <c r="D757" s="1725"/>
      <c r="E757" s="1725"/>
      <c r="F757" s="1725"/>
      <c r="G757" s="1725"/>
      <c r="H757" s="1725"/>
      <c r="I757" s="1725"/>
      <c r="J757" s="1664">
        <v>4</v>
      </c>
      <c r="K757" s="1664"/>
      <c r="L757" s="1664">
        <v>650</v>
      </c>
      <c r="M757" s="1664"/>
    </row>
    <row r="758" spans="1:13" ht="15" customHeight="1">
      <c r="A758" s="1724" t="s">
        <v>2679</v>
      </c>
      <c r="B758" s="1724"/>
      <c r="C758" s="1724"/>
      <c r="D758" s="1724"/>
      <c r="E758" s="1724"/>
      <c r="F758" s="1724"/>
      <c r="G758" s="1724"/>
      <c r="H758" s="1724"/>
      <c r="I758" s="1724"/>
      <c r="J758" s="1739"/>
      <c r="K758" s="1740"/>
      <c r="L758" s="1740"/>
      <c r="M758" s="1741"/>
    </row>
    <row r="759" spans="1:13" ht="15" customHeight="1">
      <c r="A759" s="1723" t="s">
        <v>909</v>
      </c>
      <c r="B759" s="1723"/>
      <c r="C759" s="1723"/>
      <c r="D759" s="1723"/>
      <c r="E759" s="1723"/>
      <c r="F759" s="1723"/>
      <c r="G759" s="1723"/>
      <c r="H759" s="1723"/>
      <c r="I759" s="1723"/>
      <c r="J759" s="1742"/>
      <c r="K759" s="1743"/>
      <c r="L759" s="1743"/>
      <c r="M759" s="1744"/>
    </row>
    <row r="760" spans="1:13" ht="12.75" customHeight="1">
      <c r="A760" s="1723" t="s">
        <v>2680</v>
      </c>
      <c r="B760" s="1723"/>
      <c r="C760" s="1723"/>
      <c r="D760" s="1723"/>
      <c r="E760" s="1723"/>
      <c r="F760" s="1723"/>
      <c r="G760" s="1723"/>
      <c r="H760" s="1723"/>
      <c r="I760" s="1723"/>
      <c r="J760" s="1664">
        <v>1</v>
      </c>
      <c r="K760" s="1664"/>
      <c r="L760" s="1664">
        <v>3000</v>
      </c>
      <c r="M760" s="1664"/>
    </row>
    <row r="761" spans="1:13">
      <c r="A761" s="1723"/>
      <c r="B761" s="1723"/>
      <c r="C761" s="1723"/>
      <c r="D761" s="1723"/>
      <c r="E761" s="1723"/>
      <c r="F761" s="1723"/>
      <c r="G761" s="1723"/>
      <c r="H761" s="1723"/>
      <c r="I761" s="1723"/>
      <c r="J761" s="1664">
        <v>2</v>
      </c>
      <c r="K761" s="1664"/>
      <c r="L761" s="1664">
        <v>2200</v>
      </c>
      <c r="M761" s="1664"/>
    </row>
    <row r="762" spans="1:13">
      <c r="A762" s="1725"/>
      <c r="B762" s="1725"/>
      <c r="C762" s="1725"/>
      <c r="D762" s="1725"/>
      <c r="E762" s="1725"/>
      <c r="F762" s="1725"/>
      <c r="G762" s="1725"/>
      <c r="H762" s="1725"/>
      <c r="I762" s="1725"/>
      <c r="J762" s="1664">
        <v>3</v>
      </c>
      <c r="K762" s="1664"/>
      <c r="L762" s="1664">
        <v>1600</v>
      </c>
      <c r="M762" s="1664"/>
    </row>
    <row r="763" spans="1:13">
      <c r="A763" s="1725"/>
      <c r="B763" s="1725"/>
      <c r="C763" s="1725"/>
      <c r="D763" s="1725"/>
      <c r="E763" s="1725"/>
      <c r="F763" s="1725"/>
      <c r="G763" s="1725"/>
      <c r="H763" s="1725"/>
      <c r="I763" s="1725"/>
      <c r="J763" s="1664">
        <v>4</v>
      </c>
      <c r="K763" s="1664"/>
      <c r="L763" s="1664">
        <v>1100</v>
      </c>
      <c r="M763" s="1664"/>
    </row>
    <row r="764" spans="1:13">
      <c r="A764" s="1725"/>
      <c r="B764" s="1725"/>
      <c r="C764" s="1725"/>
      <c r="D764" s="1725"/>
      <c r="E764" s="1725"/>
      <c r="F764" s="1725"/>
      <c r="G764" s="1725"/>
      <c r="H764" s="1725"/>
      <c r="I764" s="1725"/>
      <c r="J764" s="1664">
        <v>5</v>
      </c>
      <c r="K764" s="1664"/>
      <c r="L764" s="1664">
        <v>900</v>
      </c>
      <c r="M764" s="1664"/>
    </row>
    <row r="765" spans="1:13">
      <c r="A765" s="1725"/>
      <c r="B765" s="1725"/>
      <c r="C765" s="1725"/>
      <c r="D765" s="1725"/>
      <c r="E765" s="1725"/>
      <c r="F765" s="1725"/>
      <c r="G765" s="1725"/>
      <c r="H765" s="1725"/>
      <c r="I765" s="1725"/>
      <c r="J765" s="1664">
        <v>6</v>
      </c>
      <c r="K765" s="1664"/>
      <c r="L765" s="1664">
        <v>800</v>
      </c>
      <c r="M765" s="1664"/>
    </row>
    <row r="766" spans="1:13">
      <c r="A766" s="1725"/>
      <c r="B766" s="1725"/>
      <c r="C766" s="1725"/>
      <c r="D766" s="1725"/>
      <c r="E766" s="1725"/>
      <c r="F766" s="1725"/>
      <c r="G766" s="1725"/>
      <c r="H766" s="1725"/>
      <c r="I766" s="1725"/>
      <c r="J766" s="1664">
        <v>7</v>
      </c>
      <c r="K766" s="1664"/>
      <c r="L766" s="1664">
        <v>500</v>
      </c>
      <c r="M766" s="1664"/>
    </row>
    <row r="767" spans="1:13">
      <c r="A767" s="1725"/>
      <c r="B767" s="1725"/>
      <c r="C767" s="1725"/>
      <c r="D767" s="1725"/>
      <c r="E767" s="1725"/>
      <c r="F767" s="1725"/>
      <c r="G767" s="1725"/>
      <c r="H767" s="1725"/>
      <c r="I767" s="1725"/>
      <c r="J767" s="1664">
        <v>8</v>
      </c>
      <c r="K767" s="1664"/>
      <c r="L767" s="1664">
        <v>450</v>
      </c>
      <c r="M767" s="1664"/>
    </row>
    <row r="768" spans="1:13">
      <c r="A768" s="1685"/>
      <c r="B768" s="1685"/>
      <c r="C768" s="1685"/>
      <c r="D768" s="1685"/>
      <c r="E768" s="1685"/>
    </row>
    <row r="769" spans="1:13">
      <c r="A769" s="1685"/>
      <c r="B769" s="1685"/>
      <c r="C769" s="1685"/>
      <c r="D769" s="1685"/>
      <c r="E769" s="1685"/>
    </row>
    <row r="770" spans="1:13" ht="12.75" customHeight="1">
      <c r="A770" s="1659" t="s">
        <v>2681</v>
      </c>
      <c r="B770" s="1659"/>
      <c r="C770" s="1659"/>
      <c r="D770" s="1659"/>
      <c r="E770" s="1659"/>
      <c r="F770" s="1659"/>
      <c r="G770" s="1659"/>
      <c r="H770" s="1659"/>
      <c r="I770" s="1659"/>
      <c r="J770" s="1659"/>
      <c r="K770" s="1659"/>
      <c r="L770" s="1659"/>
      <c r="M770" s="1659"/>
    </row>
    <row r="771" spans="1:13" ht="12.75" customHeight="1">
      <c r="A771" s="1659" t="s">
        <v>2662</v>
      </c>
      <c r="B771" s="1659"/>
      <c r="C771" s="1659"/>
      <c r="D771" s="1659"/>
      <c r="E771" s="1659"/>
      <c r="F771" s="1659"/>
      <c r="G771" s="1659"/>
      <c r="H771" s="1659"/>
      <c r="I771" s="1659"/>
      <c r="J771" s="1659"/>
      <c r="K771" s="1659"/>
      <c r="L771" s="1659"/>
      <c r="M771" s="1659"/>
    </row>
    <row r="772" spans="1:13" ht="12.75" customHeight="1">
      <c r="A772" s="1659" t="s">
        <v>2663</v>
      </c>
      <c r="B772" s="1659"/>
      <c r="C772" s="1659"/>
      <c r="D772" s="1659"/>
      <c r="E772" s="1659"/>
      <c r="F772" s="1659"/>
      <c r="G772" s="1659"/>
      <c r="H772" s="1659"/>
      <c r="I772" s="1659"/>
      <c r="J772" s="1659"/>
      <c r="K772" s="1659"/>
      <c r="L772" s="1659"/>
      <c r="M772" s="1659"/>
    </row>
    <row r="773" spans="1:13" ht="12.75" customHeight="1">
      <c r="A773" s="1659" t="s">
        <v>2682</v>
      </c>
      <c r="B773" s="1659"/>
      <c r="C773" s="1659"/>
      <c r="D773" s="1659"/>
      <c r="E773" s="1659"/>
      <c r="F773" s="1659"/>
      <c r="G773" s="1659"/>
      <c r="H773" s="1659"/>
      <c r="I773" s="1659"/>
      <c r="J773" s="1659"/>
      <c r="K773" s="1659"/>
      <c r="L773" s="1659"/>
      <c r="M773" s="1659"/>
    </row>
    <row r="774" spans="1:13">
      <c r="A774" s="1685"/>
      <c r="B774" s="1685"/>
      <c r="C774" s="1685"/>
      <c r="D774" s="1685"/>
      <c r="E774" s="1685"/>
    </row>
    <row r="775" spans="1:13" ht="84.75" customHeight="1">
      <c r="A775" s="560" t="s">
        <v>3810</v>
      </c>
      <c r="B775" s="1658" t="s">
        <v>3811</v>
      </c>
      <c r="C775" s="1658"/>
      <c r="D775" s="1658"/>
      <c r="E775" s="1658"/>
      <c r="F775" s="1658"/>
      <c r="G775" s="1658"/>
      <c r="H775" s="1658"/>
      <c r="I775" s="1658"/>
      <c r="J775" s="1658" t="s">
        <v>3812</v>
      </c>
      <c r="K775" s="1658"/>
      <c r="L775" s="1658"/>
      <c r="M775" s="1658"/>
    </row>
    <row r="776" spans="1:13">
      <c r="A776" s="561">
        <v>1</v>
      </c>
      <c r="B776" s="1670" t="s">
        <v>2683</v>
      </c>
      <c r="C776" s="1670"/>
      <c r="D776" s="1670"/>
      <c r="E776" s="1670"/>
      <c r="F776" s="1670"/>
      <c r="G776" s="1670"/>
      <c r="H776" s="1670"/>
      <c r="I776" s="1670"/>
      <c r="J776" s="1671">
        <v>13000</v>
      </c>
      <c r="K776" s="1671"/>
      <c r="L776" s="1671"/>
      <c r="M776" s="1671"/>
    </row>
    <row r="777" spans="1:13">
      <c r="A777" s="561">
        <v>2</v>
      </c>
      <c r="B777" s="1670" t="s">
        <v>2684</v>
      </c>
      <c r="C777" s="1670"/>
      <c r="D777" s="1670"/>
      <c r="E777" s="1670"/>
      <c r="F777" s="1670"/>
      <c r="G777" s="1670"/>
      <c r="H777" s="1670"/>
      <c r="I777" s="1670"/>
      <c r="J777" s="1671">
        <v>10000</v>
      </c>
      <c r="K777" s="1671"/>
      <c r="L777" s="1671"/>
      <c r="M777" s="1671"/>
    </row>
    <row r="778" spans="1:13">
      <c r="A778" s="1664">
        <v>3</v>
      </c>
      <c r="B778" s="1670" t="s">
        <v>2685</v>
      </c>
      <c r="C778" s="1670"/>
      <c r="D778" s="1670"/>
      <c r="E778" s="1670"/>
      <c r="F778" s="1670"/>
      <c r="G778" s="1670"/>
      <c r="H778" s="1670"/>
      <c r="I778" s="1670"/>
      <c r="J778" s="1664"/>
      <c r="K778" s="1664"/>
      <c r="L778" s="1664"/>
      <c r="M778" s="1664"/>
    </row>
    <row r="779" spans="1:13">
      <c r="A779" s="1664"/>
      <c r="B779" s="1670"/>
      <c r="C779" s="1670"/>
      <c r="D779" s="1670"/>
      <c r="E779" s="1670"/>
      <c r="F779" s="1670"/>
      <c r="G779" s="1670"/>
      <c r="H779" s="1670"/>
      <c r="I779" s="1670"/>
      <c r="J779" s="1671">
        <v>7000</v>
      </c>
      <c r="K779" s="1671"/>
      <c r="L779" s="1671"/>
      <c r="M779" s="1671"/>
    </row>
    <row r="780" spans="1:13">
      <c r="A780" s="1664">
        <v>4</v>
      </c>
      <c r="B780" s="1670" t="s">
        <v>2686</v>
      </c>
      <c r="C780" s="1670"/>
      <c r="D780" s="1670"/>
      <c r="E780" s="1670"/>
      <c r="F780" s="1670"/>
      <c r="G780" s="1670"/>
      <c r="H780" s="1670"/>
      <c r="I780" s="1670"/>
      <c r="J780" s="1664"/>
      <c r="K780" s="1664"/>
      <c r="L780" s="1664"/>
      <c r="M780" s="1664"/>
    </row>
    <row r="781" spans="1:13">
      <c r="A781" s="1664"/>
      <c r="B781" s="1670"/>
      <c r="C781" s="1670"/>
      <c r="D781" s="1670"/>
      <c r="E781" s="1670"/>
      <c r="F781" s="1670"/>
      <c r="G781" s="1670"/>
      <c r="H781" s="1670"/>
      <c r="I781" s="1670"/>
      <c r="J781" s="1671">
        <v>4500</v>
      </c>
      <c r="K781" s="1671"/>
      <c r="L781" s="1671"/>
      <c r="M781" s="1671"/>
    </row>
    <row r="782" spans="1:13">
      <c r="A782" s="1664">
        <v>5</v>
      </c>
      <c r="B782" s="1670" t="s">
        <v>2687</v>
      </c>
      <c r="C782" s="1670"/>
      <c r="D782" s="1670"/>
      <c r="E782" s="1670"/>
      <c r="F782" s="1670"/>
      <c r="G782" s="1670"/>
      <c r="H782" s="1670"/>
      <c r="I782" s="1670"/>
      <c r="J782" s="1664"/>
      <c r="K782" s="1664"/>
      <c r="L782" s="1664"/>
      <c r="M782" s="1664"/>
    </row>
    <row r="783" spans="1:13">
      <c r="A783" s="1664"/>
      <c r="B783" s="1670"/>
      <c r="C783" s="1670"/>
      <c r="D783" s="1670"/>
      <c r="E783" s="1670"/>
      <c r="F783" s="1670"/>
      <c r="G783" s="1670"/>
      <c r="H783" s="1670"/>
      <c r="I783" s="1670"/>
      <c r="J783" s="1671">
        <v>3000</v>
      </c>
      <c r="K783" s="1671"/>
      <c r="L783" s="1671"/>
      <c r="M783" s="1671"/>
    </row>
    <row r="784" spans="1:13">
      <c r="A784" s="1664">
        <v>6</v>
      </c>
      <c r="B784" s="1670" t="s">
        <v>2688</v>
      </c>
      <c r="C784" s="1670"/>
      <c r="D784" s="1670"/>
      <c r="E784" s="1670"/>
      <c r="F784" s="1670"/>
      <c r="G784" s="1670"/>
      <c r="H784" s="1670"/>
      <c r="I784" s="1670"/>
      <c r="J784" s="1664"/>
      <c r="K784" s="1664"/>
      <c r="L784" s="1664"/>
      <c r="M784" s="1664"/>
    </row>
    <row r="785" spans="1:13">
      <c r="A785" s="1664"/>
      <c r="B785" s="1670"/>
      <c r="C785" s="1670"/>
      <c r="D785" s="1670"/>
      <c r="E785" s="1670"/>
      <c r="F785" s="1670"/>
      <c r="G785" s="1670"/>
      <c r="H785" s="1670"/>
      <c r="I785" s="1670"/>
      <c r="J785" s="1671">
        <v>2000</v>
      </c>
      <c r="K785" s="1671"/>
      <c r="L785" s="1671"/>
      <c r="M785" s="1671"/>
    </row>
    <row r="786" spans="1:13">
      <c r="A786" s="1726"/>
      <c r="B786" s="1726"/>
      <c r="C786" s="1726"/>
      <c r="D786" s="1726"/>
      <c r="E786" s="1726"/>
    </row>
  </sheetData>
  <mergeCells count="1243">
    <mergeCell ref="L653:M653"/>
    <mergeCell ref="J641:K641"/>
    <mergeCell ref="J642:K642"/>
    <mergeCell ref="J643:K643"/>
    <mergeCell ref="J644:K644"/>
    <mergeCell ref="J645:K645"/>
    <mergeCell ref="L650:M650"/>
    <mergeCell ref="L651:M651"/>
    <mergeCell ref="L652:M652"/>
    <mergeCell ref="L641:M641"/>
    <mergeCell ref="L642:M642"/>
    <mergeCell ref="L643:M643"/>
    <mergeCell ref="L644:M644"/>
    <mergeCell ref="L645:M645"/>
    <mergeCell ref="L646:M646"/>
    <mergeCell ref="J646:K646"/>
    <mergeCell ref="J647:K647"/>
    <mergeCell ref="J648:K648"/>
    <mergeCell ref="J649:K649"/>
    <mergeCell ref="L647:M647"/>
    <mergeCell ref="L648:M648"/>
    <mergeCell ref="L649:M649"/>
    <mergeCell ref="J650:K650"/>
    <mergeCell ref="J651:K651"/>
    <mergeCell ref="J652:K652"/>
    <mergeCell ref="J662:K662"/>
    <mergeCell ref="J663:K663"/>
    <mergeCell ref="J664:K664"/>
    <mergeCell ref="J665:K665"/>
    <mergeCell ref="J666:K666"/>
    <mergeCell ref="L671:M671"/>
    <mergeCell ref="J673:K673"/>
    <mergeCell ref="J674:K674"/>
    <mergeCell ref="J675:K675"/>
    <mergeCell ref="J676:K676"/>
    <mergeCell ref="J677:K677"/>
    <mergeCell ref="J678:K678"/>
    <mergeCell ref="J660:K660"/>
    <mergeCell ref="J670:M670"/>
    <mergeCell ref="J661:M661"/>
    <mergeCell ref="A657:M657"/>
    <mergeCell ref="A658:M658"/>
    <mergeCell ref="J667:K667"/>
    <mergeCell ref="J668:K668"/>
    <mergeCell ref="J669:K669"/>
    <mergeCell ref="L660:M660"/>
    <mergeCell ref="L662:M662"/>
    <mergeCell ref="L663:M663"/>
    <mergeCell ref="L664:M664"/>
    <mergeCell ref="B660:I660"/>
    <mergeCell ref="A659:E659"/>
    <mergeCell ref="B661:I661"/>
    <mergeCell ref="B662:I662"/>
    <mergeCell ref="B676:I676"/>
    <mergeCell ref="J767:K767"/>
    <mergeCell ref="J687:K687"/>
    <mergeCell ref="L687:M687"/>
    <mergeCell ref="A682:M682"/>
    <mergeCell ref="A683:M683"/>
    <mergeCell ref="A684:M684"/>
    <mergeCell ref="A685:M685"/>
    <mergeCell ref="J763:K763"/>
    <mergeCell ref="L672:M672"/>
    <mergeCell ref="L673:M673"/>
    <mergeCell ref="L674:M674"/>
    <mergeCell ref="L675:M675"/>
    <mergeCell ref="L676:M676"/>
    <mergeCell ref="L665:M665"/>
    <mergeCell ref="L666:M666"/>
    <mergeCell ref="L667:M667"/>
    <mergeCell ref="L668:M668"/>
    <mergeCell ref="L669:M669"/>
    <mergeCell ref="J671:K671"/>
    <mergeCell ref="J672:K672"/>
    <mergeCell ref="L677:M677"/>
    <mergeCell ref="L678:M678"/>
    <mergeCell ref="J746:K746"/>
    <mergeCell ref="J747:K747"/>
    <mergeCell ref="J748:K748"/>
    <mergeCell ref="J749:K749"/>
    <mergeCell ref="J750:K750"/>
    <mergeCell ref="J751:K751"/>
    <mergeCell ref="J752:K752"/>
    <mergeCell ref="J753:K753"/>
    <mergeCell ref="J766:K766"/>
    <mergeCell ref="J754:K754"/>
    <mergeCell ref="J755:K755"/>
    <mergeCell ref="J756:K756"/>
    <mergeCell ref="J757:K757"/>
    <mergeCell ref="J760:K760"/>
    <mergeCell ref="J758:M759"/>
    <mergeCell ref="L766:M766"/>
    <mergeCell ref="J761:K761"/>
    <mergeCell ref="J762:K762"/>
    <mergeCell ref="J764:K764"/>
    <mergeCell ref="J765:K765"/>
    <mergeCell ref="J729:K729"/>
    <mergeCell ref="J730:K730"/>
    <mergeCell ref="J731:K731"/>
    <mergeCell ref="J732:K732"/>
    <mergeCell ref="J733:K733"/>
    <mergeCell ref="J734:K734"/>
    <mergeCell ref="J735:K735"/>
    <mergeCell ref="J736:K736"/>
    <mergeCell ref="J737:K737"/>
    <mergeCell ref="J738:K738"/>
    <mergeCell ref="J739:K739"/>
    <mergeCell ref="J740:K740"/>
    <mergeCell ref="J741:K741"/>
    <mergeCell ref="J742:K742"/>
    <mergeCell ref="J743:K743"/>
    <mergeCell ref="J744:K744"/>
    <mergeCell ref="J745:K745"/>
    <mergeCell ref="L736:M736"/>
    <mergeCell ref="L737:M737"/>
    <mergeCell ref="L738:M738"/>
    <mergeCell ref="L739:M739"/>
    <mergeCell ref="L751:M751"/>
    <mergeCell ref="J712:K712"/>
    <mergeCell ref="J713:K713"/>
    <mergeCell ref="J714:K714"/>
    <mergeCell ref="J715:K715"/>
    <mergeCell ref="J716:K716"/>
    <mergeCell ref="J717:K717"/>
    <mergeCell ref="J718:K718"/>
    <mergeCell ref="J719:K719"/>
    <mergeCell ref="J720:K720"/>
    <mergeCell ref="J721:K721"/>
    <mergeCell ref="J722:K722"/>
    <mergeCell ref="J723:K723"/>
    <mergeCell ref="J724:K724"/>
    <mergeCell ref="J725:K725"/>
    <mergeCell ref="J726:K726"/>
    <mergeCell ref="J727:K727"/>
    <mergeCell ref="J728:K728"/>
    <mergeCell ref="L767:M767"/>
    <mergeCell ref="J688:K688"/>
    <mergeCell ref="J689:K689"/>
    <mergeCell ref="J690:K690"/>
    <mergeCell ref="J691:K691"/>
    <mergeCell ref="J692:K692"/>
    <mergeCell ref="J693:K693"/>
    <mergeCell ref="J694:K694"/>
    <mergeCell ref="L760:M760"/>
    <mergeCell ref="L761:M761"/>
    <mergeCell ref="J695:K695"/>
    <mergeCell ref="J696:K696"/>
    <mergeCell ref="J697:K697"/>
    <mergeCell ref="J698:K698"/>
    <mergeCell ref="J699:K699"/>
    <mergeCell ref="L765:M765"/>
    <mergeCell ref="L762:M762"/>
    <mergeCell ref="L763:M763"/>
    <mergeCell ref="L764:M764"/>
    <mergeCell ref="L752:M752"/>
    <mergeCell ref="J700:K700"/>
    <mergeCell ref="J701:K701"/>
    <mergeCell ref="J702:K702"/>
    <mergeCell ref="J703:K703"/>
    <mergeCell ref="J704:K704"/>
    <mergeCell ref="J705:K705"/>
    <mergeCell ref="J706:K706"/>
    <mergeCell ref="J707:K707"/>
    <mergeCell ref="J708:K708"/>
    <mergeCell ref="J709:K709"/>
    <mergeCell ref="J710:K710"/>
    <mergeCell ref="J711:K711"/>
    <mergeCell ref="L741:M741"/>
    <mergeCell ref="L742:M742"/>
    <mergeCell ref="L743:M743"/>
    <mergeCell ref="L744:M744"/>
    <mergeCell ref="L745:M745"/>
    <mergeCell ref="L753:M753"/>
    <mergeCell ref="L754:M754"/>
    <mergeCell ref="L755:M755"/>
    <mergeCell ref="L756:M756"/>
    <mergeCell ref="L757:M757"/>
    <mergeCell ref="L746:M746"/>
    <mergeCell ref="L747:M747"/>
    <mergeCell ref="L748:M748"/>
    <mergeCell ref="L749:M749"/>
    <mergeCell ref="L750:M750"/>
    <mergeCell ref="L719:M719"/>
    <mergeCell ref="L720:M720"/>
    <mergeCell ref="L721:M721"/>
    <mergeCell ref="L722:M722"/>
    <mergeCell ref="L723:M723"/>
    <mergeCell ref="L724:M724"/>
    <mergeCell ref="L725:M725"/>
    <mergeCell ref="L726:M726"/>
    <mergeCell ref="L727:M727"/>
    <mergeCell ref="L728:M728"/>
    <mergeCell ref="L729:M729"/>
    <mergeCell ref="L730:M730"/>
    <mergeCell ref="L731:M731"/>
    <mergeCell ref="L732:M732"/>
    <mergeCell ref="L733:M733"/>
    <mergeCell ref="L734:M734"/>
    <mergeCell ref="B782:I782"/>
    <mergeCell ref="B783:I783"/>
    <mergeCell ref="B784:I784"/>
    <mergeCell ref="B785:I785"/>
    <mergeCell ref="J775:M775"/>
    <mergeCell ref="J776:M776"/>
    <mergeCell ref="J777:M777"/>
    <mergeCell ref="J778:M778"/>
    <mergeCell ref="J779:M779"/>
    <mergeCell ref="J780:M780"/>
    <mergeCell ref="J782:M782"/>
    <mergeCell ref="J783:M783"/>
    <mergeCell ref="J784:M784"/>
    <mergeCell ref="J785:M785"/>
    <mergeCell ref="L688:M688"/>
    <mergeCell ref="L689:M689"/>
    <mergeCell ref="L690:M690"/>
    <mergeCell ref="L691:M691"/>
    <mergeCell ref="L692:M692"/>
    <mergeCell ref="L693:M693"/>
    <mergeCell ref="L694:M694"/>
    <mergeCell ref="L695:M695"/>
    <mergeCell ref="L696:M696"/>
    <mergeCell ref="L697:M697"/>
    <mergeCell ref="J781:M781"/>
    <mergeCell ref="L698:M698"/>
    <mergeCell ref="L699:M699"/>
    <mergeCell ref="L700:M700"/>
    <mergeCell ref="L701:M701"/>
    <mergeCell ref="L702:M702"/>
    <mergeCell ref="L703:M703"/>
    <mergeCell ref="L740:M740"/>
    <mergeCell ref="L704:M704"/>
    <mergeCell ref="A767:I767"/>
    <mergeCell ref="A687:I687"/>
    <mergeCell ref="A759:I759"/>
    <mergeCell ref="A747:I747"/>
    <mergeCell ref="A748:I748"/>
    <mergeCell ref="A749:I749"/>
    <mergeCell ref="A754:I754"/>
    <mergeCell ref="A755:I755"/>
    <mergeCell ref="A756:I756"/>
    <mergeCell ref="A757:I757"/>
    <mergeCell ref="B775:I775"/>
    <mergeCell ref="B776:I776"/>
    <mergeCell ref="B777:I777"/>
    <mergeCell ref="A770:M770"/>
    <mergeCell ref="A771:M771"/>
    <mergeCell ref="A772:M772"/>
    <mergeCell ref="A773:M773"/>
    <mergeCell ref="A774:E774"/>
    <mergeCell ref="L705:M705"/>
    <mergeCell ref="L706:M706"/>
    <mergeCell ref="L707:M707"/>
    <mergeCell ref="L708:M708"/>
    <mergeCell ref="L709:M709"/>
    <mergeCell ref="L710:M710"/>
    <mergeCell ref="L711:M711"/>
    <mergeCell ref="L712:M712"/>
    <mergeCell ref="L713:M713"/>
    <mergeCell ref="L714:M714"/>
    <mergeCell ref="L715:M715"/>
    <mergeCell ref="L716:M716"/>
    <mergeCell ref="L717:M717"/>
    <mergeCell ref="A737:I737"/>
    <mergeCell ref="A738:I738"/>
    <mergeCell ref="A739:I739"/>
    <mergeCell ref="A740:I740"/>
    <mergeCell ref="A741:I741"/>
    <mergeCell ref="A742:I742"/>
    <mergeCell ref="A743:I743"/>
    <mergeCell ref="A744:I744"/>
    <mergeCell ref="A758:I758"/>
    <mergeCell ref="A766:I766"/>
    <mergeCell ref="A745:I745"/>
    <mergeCell ref="A746:I746"/>
    <mergeCell ref="A750:I750"/>
    <mergeCell ref="A751:I751"/>
    <mergeCell ref="A752:I752"/>
    <mergeCell ref="A753:I753"/>
    <mergeCell ref="A760:I760"/>
    <mergeCell ref="A761:I761"/>
    <mergeCell ref="A762:I762"/>
    <mergeCell ref="A763:I763"/>
    <mergeCell ref="A764:I764"/>
    <mergeCell ref="A765:I765"/>
    <mergeCell ref="A721:I721"/>
    <mergeCell ref="A722:I722"/>
    <mergeCell ref="A723:I723"/>
    <mergeCell ref="A724:I724"/>
    <mergeCell ref="A725:I725"/>
    <mergeCell ref="A726:I726"/>
    <mergeCell ref="A727:I727"/>
    <mergeCell ref="A728:I728"/>
    <mergeCell ref="A729:I729"/>
    <mergeCell ref="A730:I730"/>
    <mergeCell ref="L718:M718"/>
    <mergeCell ref="A731:I731"/>
    <mergeCell ref="A732:I732"/>
    <mergeCell ref="A733:I733"/>
    <mergeCell ref="A734:I734"/>
    <mergeCell ref="A735:I735"/>
    <mergeCell ref="A736:I736"/>
    <mergeCell ref="L735:M735"/>
    <mergeCell ref="A435:I435"/>
    <mergeCell ref="A430:I430"/>
    <mergeCell ref="A699:I699"/>
    <mergeCell ref="A680:E680"/>
    <mergeCell ref="A681:E681"/>
    <mergeCell ref="A700:I700"/>
    <mergeCell ref="B677:I677"/>
    <mergeCell ref="B678:I678"/>
    <mergeCell ref="A688:I688"/>
    <mergeCell ref="A689:I689"/>
    <mergeCell ref="A690:I690"/>
    <mergeCell ref="A691:I691"/>
    <mergeCell ref="A679:E679"/>
    <mergeCell ref="A705:I705"/>
    <mergeCell ref="A417:I417"/>
    <mergeCell ref="A418:I418"/>
    <mergeCell ref="A419:I419"/>
    <mergeCell ref="A422:I422"/>
    <mergeCell ref="A424:I424"/>
    <mergeCell ref="A425:I425"/>
    <mergeCell ref="B643:I643"/>
    <mergeCell ref="B644:I644"/>
    <mergeCell ref="A634:E634"/>
    <mergeCell ref="A635:E635"/>
    <mergeCell ref="A638:E638"/>
    <mergeCell ref="B664:I664"/>
    <mergeCell ref="A661:A668"/>
    <mergeCell ref="A670:A677"/>
    <mergeCell ref="B670:I670"/>
    <mergeCell ref="B671:I671"/>
    <mergeCell ref="B672:I672"/>
    <mergeCell ref="B673:I673"/>
    <mergeCell ref="A377:M377"/>
    <mergeCell ref="A378:M378"/>
    <mergeCell ref="A393:M393"/>
    <mergeCell ref="A394:M394"/>
    <mergeCell ref="A360:M360"/>
    <mergeCell ref="A432:I432"/>
    <mergeCell ref="A433:I433"/>
    <mergeCell ref="A367:M367"/>
    <mergeCell ref="A368:M368"/>
    <mergeCell ref="A379:M379"/>
    <mergeCell ref="A380:M380"/>
    <mergeCell ref="A428:I428"/>
    <mergeCell ref="A429:I429"/>
    <mergeCell ref="A385:M385"/>
    <mergeCell ref="A386:M386"/>
    <mergeCell ref="A373:M373"/>
    <mergeCell ref="A374:M374"/>
    <mergeCell ref="A375:M375"/>
    <mergeCell ref="A412:I412"/>
    <mergeCell ref="A363:M363"/>
    <mergeCell ref="A364:M364"/>
    <mergeCell ref="A365:M365"/>
    <mergeCell ref="A366:M366"/>
    <mergeCell ref="A409:E409"/>
    <mergeCell ref="A410:E410"/>
    <mergeCell ref="A388:M388"/>
    <mergeCell ref="A376:M376"/>
    <mergeCell ref="J419:K419"/>
    <mergeCell ref="J420:K420"/>
    <mergeCell ref="J421:K421"/>
    <mergeCell ref="A391:M391"/>
    <mergeCell ref="A392:M392"/>
    <mergeCell ref="A330:M330"/>
    <mergeCell ref="A337:M337"/>
    <mergeCell ref="A338:M338"/>
    <mergeCell ref="A333:M333"/>
    <mergeCell ref="A334:M334"/>
    <mergeCell ref="A335:M335"/>
    <mergeCell ref="A336:M336"/>
    <mergeCell ref="A339:M339"/>
    <mergeCell ref="A340:M340"/>
    <mergeCell ref="A341:M341"/>
    <mergeCell ref="A342:M342"/>
    <mergeCell ref="A349:M349"/>
    <mergeCell ref="A350:M350"/>
    <mergeCell ref="A343:M343"/>
    <mergeCell ref="A344:M344"/>
    <mergeCell ref="A371:M371"/>
    <mergeCell ref="A372:M372"/>
    <mergeCell ref="A354:M354"/>
    <mergeCell ref="A361:M361"/>
    <mergeCell ref="A362:M362"/>
    <mergeCell ref="A370:M370"/>
    <mergeCell ref="A369:M369"/>
    <mergeCell ref="A347:M347"/>
    <mergeCell ref="A348:M348"/>
    <mergeCell ref="A351:M351"/>
    <mergeCell ref="A352:M352"/>
    <mergeCell ref="A353:M353"/>
    <mergeCell ref="A311:M311"/>
    <mergeCell ref="A312:M312"/>
    <mergeCell ref="A313:M313"/>
    <mergeCell ref="A248:M248"/>
    <mergeCell ref="A272:M272"/>
    <mergeCell ref="A315:M315"/>
    <mergeCell ref="A316:M316"/>
    <mergeCell ref="A317:M317"/>
    <mergeCell ref="A318:M318"/>
    <mergeCell ref="A325:M325"/>
    <mergeCell ref="A326:M326"/>
    <mergeCell ref="A267:M267"/>
    <mergeCell ref="A268:M268"/>
    <mergeCell ref="A269:M269"/>
    <mergeCell ref="A270:M270"/>
    <mergeCell ref="A277:M277"/>
    <mergeCell ref="A278:M278"/>
    <mergeCell ref="A279:M279"/>
    <mergeCell ref="A280:M280"/>
    <mergeCell ref="A281:M281"/>
    <mergeCell ref="A282:M282"/>
    <mergeCell ref="A289:M289"/>
    <mergeCell ref="A290:M290"/>
    <mergeCell ref="A291:M291"/>
    <mergeCell ref="A292:M292"/>
    <mergeCell ref="A293:M293"/>
    <mergeCell ref="A294:M294"/>
    <mergeCell ref="A301:M301"/>
    <mergeCell ref="A276:M276"/>
    <mergeCell ref="A322:M322"/>
    <mergeCell ref="A229:M229"/>
    <mergeCell ref="A230:M230"/>
    <mergeCell ref="A231:M231"/>
    <mergeCell ref="A232:M232"/>
    <mergeCell ref="A233:M233"/>
    <mergeCell ref="A234:M234"/>
    <mergeCell ref="A241:M241"/>
    <mergeCell ref="A242:M242"/>
    <mergeCell ref="A243:M243"/>
    <mergeCell ref="A224:M224"/>
    <mergeCell ref="A327:M327"/>
    <mergeCell ref="A328:M328"/>
    <mergeCell ref="A329:M329"/>
    <mergeCell ref="A323:M323"/>
    <mergeCell ref="A324:M324"/>
    <mergeCell ref="A302:M302"/>
    <mergeCell ref="A303:M303"/>
    <mergeCell ref="A304:M304"/>
    <mergeCell ref="A305:M305"/>
    <mergeCell ref="A306:M306"/>
    <mergeCell ref="A244:M244"/>
    <mergeCell ref="A245:M245"/>
    <mergeCell ref="A246:M246"/>
    <mergeCell ref="A253:M253"/>
    <mergeCell ref="A254:M254"/>
    <mergeCell ref="A255:M255"/>
    <mergeCell ref="A256:M256"/>
    <mergeCell ref="A257:M257"/>
    <mergeCell ref="A258:M258"/>
    <mergeCell ref="A265:M265"/>
    <mergeCell ref="A266:M266"/>
    <mergeCell ref="A260:M260"/>
    <mergeCell ref="A786:E786"/>
    <mergeCell ref="D1:F1"/>
    <mergeCell ref="G1:M1"/>
    <mergeCell ref="A2:M2"/>
    <mergeCell ref="A3:M3"/>
    <mergeCell ref="A4:M4"/>
    <mergeCell ref="A5:M5"/>
    <mergeCell ref="A415:I415"/>
    <mergeCell ref="A686:E686"/>
    <mergeCell ref="A768:E768"/>
    <mergeCell ref="A74:M74"/>
    <mergeCell ref="A75:M75"/>
    <mergeCell ref="A76:M76"/>
    <mergeCell ref="A77:M77"/>
    <mergeCell ref="A78:M78"/>
    <mergeCell ref="A85:M85"/>
    <mergeCell ref="A86:M86"/>
    <mergeCell ref="A87:M87"/>
    <mergeCell ref="A88:M88"/>
    <mergeCell ref="A89:M89"/>
    <mergeCell ref="A90:M90"/>
    <mergeCell ref="A97:M97"/>
    <mergeCell ref="A98:M98"/>
    <mergeCell ref="A99:M99"/>
    <mergeCell ref="A100:M100"/>
    <mergeCell ref="A101:M101"/>
    <mergeCell ref="A102:M102"/>
    <mergeCell ref="A109:M109"/>
    <mergeCell ref="A110:M110"/>
    <mergeCell ref="A111:M111"/>
    <mergeCell ref="A112:M112"/>
    <mergeCell ref="A113:M113"/>
    <mergeCell ref="A769:E769"/>
    <mergeCell ref="A692:I692"/>
    <mergeCell ref="A693:I693"/>
    <mergeCell ref="A694:I694"/>
    <mergeCell ref="A695:I695"/>
    <mergeCell ref="A703:I703"/>
    <mergeCell ref="A704:I704"/>
    <mergeCell ref="A696:I696"/>
    <mergeCell ref="A697:I697"/>
    <mergeCell ref="A698:I698"/>
    <mergeCell ref="B665:I665"/>
    <mergeCell ref="B666:I666"/>
    <mergeCell ref="B667:I667"/>
    <mergeCell ref="B668:I668"/>
    <mergeCell ref="B669:I669"/>
    <mergeCell ref="A706:I706"/>
    <mergeCell ref="A707:I707"/>
    <mergeCell ref="A708:I708"/>
    <mergeCell ref="A709:I709"/>
    <mergeCell ref="A710:I710"/>
    <mergeCell ref="A711:I711"/>
    <mergeCell ref="A712:I712"/>
    <mergeCell ref="A713:I713"/>
    <mergeCell ref="B674:I674"/>
    <mergeCell ref="B675:I675"/>
    <mergeCell ref="A714:I714"/>
    <mergeCell ref="A715:I715"/>
    <mergeCell ref="A716:I716"/>
    <mergeCell ref="A717:I717"/>
    <mergeCell ref="A718:I718"/>
    <mergeCell ref="A719:I719"/>
    <mergeCell ref="A720:I720"/>
    <mergeCell ref="A6:M6"/>
    <mergeCell ref="A7:M7"/>
    <mergeCell ref="A8:M8"/>
    <mergeCell ref="A9:M9"/>
    <mergeCell ref="A10:M10"/>
    <mergeCell ref="A11:M11"/>
    <mergeCell ref="A12:M12"/>
    <mergeCell ref="A13:M13"/>
    <mergeCell ref="A14:M14"/>
    <mergeCell ref="A405:E405"/>
    <mergeCell ref="A406:E406"/>
    <mergeCell ref="A407:E407"/>
    <mergeCell ref="A37:M37"/>
    <mergeCell ref="A38:M38"/>
    <mergeCell ref="A39:M39"/>
    <mergeCell ref="A40:M40"/>
    <mergeCell ref="B663:I663"/>
    <mergeCell ref="A114:M114"/>
    <mergeCell ref="A121:M121"/>
    <mergeCell ref="A122:M122"/>
    <mergeCell ref="A123:M123"/>
    <mergeCell ref="A124:M124"/>
    <mergeCell ref="A125:M125"/>
    <mergeCell ref="A126:M126"/>
    <mergeCell ref="A133:M133"/>
    <mergeCell ref="A134:M134"/>
    <mergeCell ref="A135:M135"/>
    <mergeCell ref="A136:M136"/>
    <mergeCell ref="A137:M137"/>
    <mergeCell ref="A138:M138"/>
    <mergeCell ref="A145:M145"/>
    <mergeCell ref="A146:M146"/>
    <mergeCell ref="A15:M15"/>
    <mergeCell ref="A16:M16"/>
    <mergeCell ref="A17:M17"/>
    <mergeCell ref="A18:M18"/>
    <mergeCell ref="A19:M19"/>
    <mergeCell ref="A147:M147"/>
    <mergeCell ref="A148:M148"/>
    <mergeCell ref="A149:M149"/>
    <mergeCell ref="A150:M150"/>
    <mergeCell ref="A157:M157"/>
    <mergeCell ref="A158:M158"/>
    <mergeCell ref="A159:M159"/>
    <mergeCell ref="A160:M160"/>
    <mergeCell ref="A161:M161"/>
    <mergeCell ref="A162:M162"/>
    <mergeCell ref="A169:M169"/>
    <mergeCell ref="A170:M170"/>
    <mergeCell ref="A23:M24"/>
    <mergeCell ref="A164:M164"/>
    <mergeCell ref="A84:M84"/>
    <mergeCell ref="A68:M68"/>
    <mergeCell ref="A30:M30"/>
    <mergeCell ref="A31:M31"/>
    <mergeCell ref="A32:M32"/>
    <mergeCell ref="A64:M64"/>
    <mergeCell ref="A65:M65"/>
    <mergeCell ref="A66:M66"/>
    <mergeCell ref="A73:M73"/>
    <mergeCell ref="A41:M41"/>
    <mergeCell ref="A42:M42"/>
    <mergeCell ref="A49:M49"/>
    <mergeCell ref="A50:M50"/>
    <mergeCell ref="A20:M20"/>
    <mergeCell ref="A21:M21"/>
    <mergeCell ref="A26:M26"/>
    <mergeCell ref="A420:I420"/>
    <mergeCell ref="A421:I421"/>
    <mergeCell ref="A395:E395"/>
    <mergeCell ref="A396:E396"/>
    <mergeCell ref="A27:M27"/>
    <mergeCell ref="A28:M28"/>
    <mergeCell ref="A29:M29"/>
    <mergeCell ref="A22:M22"/>
    <mergeCell ref="A25:M25"/>
    <mergeCell ref="A51:M51"/>
    <mergeCell ref="A52:M52"/>
    <mergeCell ref="A53:M53"/>
    <mergeCell ref="A197:M197"/>
    <mergeCell ref="A198:M198"/>
    <mergeCell ref="A205:M205"/>
    <mergeCell ref="A206:M206"/>
    <mergeCell ref="A207:M207"/>
    <mergeCell ref="A208:M208"/>
    <mergeCell ref="A237:M237"/>
    <mergeCell ref="A238:M238"/>
    <mergeCell ref="A239:M239"/>
    <mergeCell ref="A240:M240"/>
    <mergeCell ref="A314:M314"/>
    <mergeCell ref="A309:M309"/>
    <mergeCell ref="A310:M310"/>
    <mergeCell ref="A209:M209"/>
    <mergeCell ref="A210:M210"/>
    <mergeCell ref="A217:M217"/>
    <mergeCell ref="A218:M218"/>
    <mergeCell ref="A54:M54"/>
    <mergeCell ref="A61:M61"/>
    <mergeCell ref="A62:M62"/>
    <mergeCell ref="A63:M63"/>
    <mergeCell ref="A171:M171"/>
    <mergeCell ref="A172:M172"/>
    <mergeCell ref="A173:M173"/>
    <mergeCell ref="A262:M262"/>
    <mergeCell ref="A263:M263"/>
    <mergeCell ref="A264:M264"/>
    <mergeCell ref="A247:M247"/>
    <mergeCell ref="A174:M174"/>
    <mergeCell ref="A181:M181"/>
    <mergeCell ref="A182:M182"/>
    <mergeCell ref="A183:M183"/>
    <mergeCell ref="A184:M184"/>
    <mergeCell ref="A185:M185"/>
    <mergeCell ref="A186:M186"/>
    <mergeCell ref="A202:M202"/>
    <mergeCell ref="A203:M203"/>
    <mergeCell ref="A204:M204"/>
    <mergeCell ref="A143:M143"/>
    <mergeCell ref="A144:M144"/>
    <mergeCell ref="A128:M128"/>
    <mergeCell ref="A193:M193"/>
    <mergeCell ref="A194:M194"/>
    <mergeCell ref="A195:M195"/>
    <mergeCell ref="A196:M196"/>
    <mergeCell ref="A219:M219"/>
    <mergeCell ref="A220:M220"/>
    <mergeCell ref="A221:M221"/>
    <mergeCell ref="A222:M222"/>
    <mergeCell ref="A389:M389"/>
    <mergeCell ref="A390:M390"/>
    <mergeCell ref="J422:K422"/>
    <mergeCell ref="J412:K412"/>
    <mergeCell ref="J413:K413"/>
    <mergeCell ref="A434:I434"/>
    <mergeCell ref="A381:M381"/>
    <mergeCell ref="A382:M382"/>
    <mergeCell ref="A408:E408"/>
    <mergeCell ref="A411:E411"/>
    <mergeCell ref="A413:I413"/>
    <mergeCell ref="A414:I414"/>
    <mergeCell ref="A387:M387"/>
    <mergeCell ref="J433:K433"/>
    <mergeCell ref="A416:I416"/>
    <mergeCell ref="A423:I423"/>
    <mergeCell ref="A426:I426"/>
    <mergeCell ref="A427:I427"/>
    <mergeCell ref="J414:K414"/>
    <mergeCell ref="J425:K425"/>
    <mergeCell ref="A454:I454"/>
    <mergeCell ref="A455:I455"/>
    <mergeCell ref="A321:M321"/>
    <mergeCell ref="J454:K454"/>
    <mergeCell ref="J455:K455"/>
    <mergeCell ref="J456:K456"/>
    <mergeCell ref="J457:K457"/>
    <mergeCell ref="A450:I450"/>
    <mergeCell ref="A451:I451"/>
    <mergeCell ref="A444:I444"/>
    <mergeCell ref="A445:I445"/>
    <mergeCell ref="A355:M355"/>
    <mergeCell ref="A356:M356"/>
    <mergeCell ref="A440:I440"/>
    <mergeCell ref="A441:I441"/>
    <mergeCell ref="A436:I436"/>
    <mergeCell ref="A437:I437"/>
    <mergeCell ref="A357:M357"/>
    <mergeCell ref="A358:M358"/>
    <mergeCell ref="A446:I446"/>
    <mergeCell ref="A447:I447"/>
    <mergeCell ref="A442:I442"/>
    <mergeCell ref="A443:I443"/>
    <mergeCell ref="A345:M345"/>
    <mergeCell ref="A346:M346"/>
    <mergeCell ref="A438:I438"/>
    <mergeCell ref="A439:I439"/>
    <mergeCell ref="A359:M359"/>
    <mergeCell ref="A431:I431"/>
    <mergeCell ref="A383:M383"/>
    <mergeCell ref="A384:M384"/>
    <mergeCell ref="A397:E397"/>
    <mergeCell ref="A466:I466"/>
    <mergeCell ref="A467:I467"/>
    <mergeCell ref="A297:M297"/>
    <mergeCell ref="A298:M298"/>
    <mergeCell ref="A299:M299"/>
    <mergeCell ref="A300:M300"/>
    <mergeCell ref="A462:I462"/>
    <mergeCell ref="A463:I463"/>
    <mergeCell ref="A307:M307"/>
    <mergeCell ref="A308:M308"/>
    <mergeCell ref="A464:I464"/>
    <mergeCell ref="A465:I465"/>
    <mergeCell ref="J415:K415"/>
    <mergeCell ref="J416:K416"/>
    <mergeCell ref="J446:K446"/>
    <mergeCell ref="A460:I460"/>
    <mergeCell ref="A461:I461"/>
    <mergeCell ref="A456:I456"/>
    <mergeCell ref="A457:I457"/>
    <mergeCell ref="A319:M319"/>
    <mergeCell ref="A320:M320"/>
    <mergeCell ref="A331:M331"/>
    <mergeCell ref="A332:M332"/>
    <mergeCell ref="A452:I452"/>
    <mergeCell ref="A453:I453"/>
    <mergeCell ref="A448:I448"/>
    <mergeCell ref="J430:K430"/>
    <mergeCell ref="J431:K431"/>
    <mergeCell ref="J432:K432"/>
    <mergeCell ref="A449:I449"/>
    <mergeCell ref="A458:I458"/>
    <mergeCell ref="A459:I459"/>
    <mergeCell ref="A479:I479"/>
    <mergeCell ref="A273:M273"/>
    <mergeCell ref="A274:M274"/>
    <mergeCell ref="A275:M275"/>
    <mergeCell ref="J465:K465"/>
    <mergeCell ref="A474:I474"/>
    <mergeCell ref="A475:I475"/>
    <mergeCell ref="A283:M283"/>
    <mergeCell ref="A284:M284"/>
    <mergeCell ref="A476:I476"/>
    <mergeCell ref="A477:I477"/>
    <mergeCell ref="J434:K434"/>
    <mergeCell ref="J423:K423"/>
    <mergeCell ref="J424:K424"/>
    <mergeCell ref="A472:I472"/>
    <mergeCell ref="A473:I473"/>
    <mergeCell ref="A285:M285"/>
    <mergeCell ref="A286:M286"/>
    <mergeCell ref="A287:M287"/>
    <mergeCell ref="A288:M288"/>
    <mergeCell ref="J426:K426"/>
    <mergeCell ref="J427:K427"/>
    <mergeCell ref="J428:K428"/>
    <mergeCell ref="J417:K417"/>
    <mergeCell ref="J448:K448"/>
    <mergeCell ref="A468:I468"/>
    <mergeCell ref="A469:I469"/>
    <mergeCell ref="A295:M295"/>
    <mergeCell ref="A296:M296"/>
    <mergeCell ref="A470:I470"/>
    <mergeCell ref="A471:I471"/>
    <mergeCell ref="J418:K418"/>
    <mergeCell ref="J450:K450"/>
    <mergeCell ref="J451:K451"/>
    <mergeCell ref="J452:K452"/>
    <mergeCell ref="J441:K441"/>
    <mergeCell ref="A486:I486"/>
    <mergeCell ref="A487:I487"/>
    <mergeCell ref="A259:M259"/>
    <mergeCell ref="A488:I488"/>
    <mergeCell ref="J488:K488"/>
    <mergeCell ref="J477:K477"/>
    <mergeCell ref="A489:I489"/>
    <mergeCell ref="J442:K442"/>
    <mergeCell ref="J443:K443"/>
    <mergeCell ref="J444:K444"/>
    <mergeCell ref="J445:K445"/>
    <mergeCell ref="A484:I484"/>
    <mergeCell ref="A485:I485"/>
    <mergeCell ref="A261:M261"/>
    <mergeCell ref="J435:K435"/>
    <mergeCell ref="J436:K436"/>
    <mergeCell ref="J437:K437"/>
    <mergeCell ref="A480:I480"/>
    <mergeCell ref="A481:I481"/>
    <mergeCell ref="A271:M271"/>
    <mergeCell ref="J467:K467"/>
    <mergeCell ref="A482:I482"/>
    <mergeCell ref="A483:I483"/>
    <mergeCell ref="J438:K438"/>
    <mergeCell ref="J439:K439"/>
    <mergeCell ref="J440:K440"/>
    <mergeCell ref="J429:K429"/>
    <mergeCell ref="A478:I478"/>
    <mergeCell ref="A228:M228"/>
    <mergeCell ref="J470:K470"/>
    <mergeCell ref="J459:K459"/>
    <mergeCell ref="J460:K460"/>
    <mergeCell ref="J461:K461"/>
    <mergeCell ref="A498:I498"/>
    <mergeCell ref="A499:I499"/>
    <mergeCell ref="A235:M235"/>
    <mergeCell ref="A236:M236"/>
    <mergeCell ref="A500:I500"/>
    <mergeCell ref="A501:I501"/>
    <mergeCell ref="J462:K462"/>
    <mergeCell ref="J463:K463"/>
    <mergeCell ref="J464:K464"/>
    <mergeCell ref="J453:K453"/>
    <mergeCell ref="A496:I496"/>
    <mergeCell ref="J487:K487"/>
    <mergeCell ref="A497:I497"/>
    <mergeCell ref="A492:I492"/>
    <mergeCell ref="A493:I493"/>
    <mergeCell ref="A494:I494"/>
    <mergeCell ref="A495:I495"/>
    <mergeCell ref="J458:K458"/>
    <mergeCell ref="J447:K447"/>
    <mergeCell ref="J478:K478"/>
    <mergeCell ref="J449:K449"/>
    <mergeCell ref="A490:I490"/>
    <mergeCell ref="A491:I491"/>
    <mergeCell ref="A249:M249"/>
    <mergeCell ref="A250:M250"/>
    <mergeCell ref="A251:M251"/>
    <mergeCell ref="A252:M252"/>
    <mergeCell ref="A512:I512"/>
    <mergeCell ref="A513:I513"/>
    <mergeCell ref="J482:K482"/>
    <mergeCell ref="J471:K471"/>
    <mergeCell ref="J472:K472"/>
    <mergeCell ref="J473:K473"/>
    <mergeCell ref="A508:I508"/>
    <mergeCell ref="A509:I509"/>
    <mergeCell ref="A213:M213"/>
    <mergeCell ref="A214:M214"/>
    <mergeCell ref="A215:M215"/>
    <mergeCell ref="A216:M216"/>
    <mergeCell ref="J474:K474"/>
    <mergeCell ref="J475:K475"/>
    <mergeCell ref="J476:K476"/>
    <mergeCell ref="A504:I504"/>
    <mergeCell ref="A505:I505"/>
    <mergeCell ref="A223:M223"/>
    <mergeCell ref="A506:I506"/>
    <mergeCell ref="A507:I507"/>
    <mergeCell ref="J466:K466"/>
    <mergeCell ref="J500:K500"/>
    <mergeCell ref="J489:K489"/>
    <mergeCell ref="J501:K501"/>
    <mergeCell ref="J513:K513"/>
    <mergeCell ref="J468:K468"/>
    <mergeCell ref="J469:K469"/>
    <mergeCell ref="A502:I502"/>
    <mergeCell ref="A503:I503"/>
    <mergeCell ref="A225:M225"/>
    <mergeCell ref="A226:M226"/>
    <mergeCell ref="A227:M227"/>
    <mergeCell ref="J533:K533"/>
    <mergeCell ref="A180:M180"/>
    <mergeCell ref="J498:K498"/>
    <mergeCell ref="J499:K499"/>
    <mergeCell ref="J522:K522"/>
    <mergeCell ref="J523:K523"/>
    <mergeCell ref="J524:K524"/>
    <mergeCell ref="A522:I522"/>
    <mergeCell ref="A523:I523"/>
    <mergeCell ref="A187:M187"/>
    <mergeCell ref="A188:M188"/>
    <mergeCell ref="A524:I524"/>
    <mergeCell ref="A525:I525"/>
    <mergeCell ref="J490:K490"/>
    <mergeCell ref="J491:K491"/>
    <mergeCell ref="J492:K492"/>
    <mergeCell ref="J493:K493"/>
    <mergeCell ref="A520:I520"/>
    <mergeCell ref="A521:I521"/>
    <mergeCell ref="A189:M189"/>
    <mergeCell ref="A190:M190"/>
    <mergeCell ref="A191:M191"/>
    <mergeCell ref="A192:M192"/>
    <mergeCell ref="J494:K494"/>
    <mergeCell ref="J483:K483"/>
    <mergeCell ref="J484:K484"/>
    <mergeCell ref="J485:K485"/>
    <mergeCell ref="A516:I516"/>
    <mergeCell ref="A517:I517"/>
    <mergeCell ref="A199:M199"/>
    <mergeCell ref="A200:M200"/>
    <mergeCell ref="A518:I518"/>
    <mergeCell ref="J503:K503"/>
    <mergeCell ref="J504:K504"/>
    <mergeCell ref="J505:K505"/>
    <mergeCell ref="A528:I528"/>
    <mergeCell ref="A529:I529"/>
    <mergeCell ref="A175:M175"/>
    <mergeCell ref="A176:M176"/>
    <mergeCell ref="A530:I530"/>
    <mergeCell ref="A531:I531"/>
    <mergeCell ref="J506:K506"/>
    <mergeCell ref="J495:K495"/>
    <mergeCell ref="J496:K496"/>
    <mergeCell ref="J497:K497"/>
    <mergeCell ref="A526:I526"/>
    <mergeCell ref="A527:I527"/>
    <mergeCell ref="A177:M177"/>
    <mergeCell ref="A178:M178"/>
    <mergeCell ref="A179:M179"/>
    <mergeCell ref="A519:I519"/>
    <mergeCell ref="J486:K486"/>
    <mergeCell ref="A514:I514"/>
    <mergeCell ref="A515:I515"/>
    <mergeCell ref="A201:M201"/>
    <mergeCell ref="J511:K511"/>
    <mergeCell ref="J512:K512"/>
    <mergeCell ref="J479:K479"/>
    <mergeCell ref="J480:K480"/>
    <mergeCell ref="J481:K481"/>
    <mergeCell ref="A510:I510"/>
    <mergeCell ref="A511:I511"/>
    <mergeCell ref="A211:M211"/>
    <mergeCell ref="A212:M212"/>
    <mergeCell ref="A541:I541"/>
    <mergeCell ref="A151:M151"/>
    <mergeCell ref="A152:M152"/>
    <mergeCell ref="A542:I542"/>
    <mergeCell ref="A543:I543"/>
    <mergeCell ref="J514:K514"/>
    <mergeCell ref="J515:K515"/>
    <mergeCell ref="J516:K516"/>
    <mergeCell ref="J517:K517"/>
    <mergeCell ref="A538:I538"/>
    <mergeCell ref="A539:I539"/>
    <mergeCell ref="A153:M153"/>
    <mergeCell ref="A154:M154"/>
    <mergeCell ref="A155:M155"/>
    <mergeCell ref="A156:M156"/>
    <mergeCell ref="J518:K518"/>
    <mergeCell ref="J507:K507"/>
    <mergeCell ref="J508:K508"/>
    <mergeCell ref="J509:K509"/>
    <mergeCell ref="A534:I534"/>
    <mergeCell ref="A535:I535"/>
    <mergeCell ref="A163:M163"/>
    <mergeCell ref="A536:I536"/>
    <mergeCell ref="A537:I537"/>
    <mergeCell ref="J510:K510"/>
    <mergeCell ref="A532:I532"/>
    <mergeCell ref="A533:I533"/>
    <mergeCell ref="A165:M165"/>
    <mergeCell ref="A166:M166"/>
    <mergeCell ref="A167:M167"/>
    <mergeCell ref="A168:M168"/>
    <mergeCell ref="J502:K502"/>
    <mergeCell ref="A555:I555"/>
    <mergeCell ref="J534:K534"/>
    <mergeCell ref="J535:K535"/>
    <mergeCell ref="J536:K536"/>
    <mergeCell ref="J525:K525"/>
    <mergeCell ref="A550:I550"/>
    <mergeCell ref="A551:I551"/>
    <mergeCell ref="A129:M129"/>
    <mergeCell ref="A130:M130"/>
    <mergeCell ref="A131:M131"/>
    <mergeCell ref="A132:M132"/>
    <mergeCell ref="J526:K526"/>
    <mergeCell ref="J527:K527"/>
    <mergeCell ref="J528:K528"/>
    <mergeCell ref="J529:K529"/>
    <mergeCell ref="A546:I546"/>
    <mergeCell ref="A547:I547"/>
    <mergeCell ref="A139:M139"/>
    <mergeCell ref="A140:M140"/>
    <mergeCell ref="A548:I548"/>
    <mergeCell ref="A549:I549"/>
    <mergeCell ref="J530:K530"/>
    <mergeCell ref="J519:K519"/>
    <mergeCell ref="J520:K520"/>
    <mergeCell ref="J521:K521"/>
    <mergeCell ref="A544:I544"/>
    <mergeCell ref="J543:K543"/>
    <mergeCell ref="A545:I545"/>
    <mergeCell ref="A141:M141"/>
    <mergeCell ref="A142:M142"/>
    <mergeCell ref="J555:K555"/>
    <mergeCell ref="A540:I540"/>
    <mergeCell ref="A563:I563"/>
    <mergeCell ref="A105:M105"/>
    <mergeCell ref="A106:M106"/>
    <mergeCell ref="A107:M107"/>
    <mergeCell ref="A108:M108"/>
    <mergeCell ref="J546:K546"/>
    <mergeCell ref="J547:K547"/>
    <mergeCell ref="J548:K548"/>
    <mergeCell ref="J537:K537"/>
    <mergeCell ref="A558:I558"/>
    <mergeCell ref="A559:I559"/>
    <mergeCell ref="A115:M115"/>
    <mergeCell ref="A116:M116"/>
    <mergeCell ref="A560:I560"/>
    <mergeCell ref="A561:I561"/>
    <mergeCell ref="J538:K538"/>
    <mergeCell ref="J539:K539"/>
    <mergeCell ref="J540:K540"/>
    <mergeCell ref="J541:K541"/>
    <mergeCell ref="A556:I556"/>
    <mergeCell ref="A557:I557"/>
    <mergeCell ref="A117:M117"/>
    <mergeCell ref="A118:M118"/>
    <mergeCell ref="A119:M119"/>
    <mergeCell ref="A120:M120"/>
    <mergeCell ref="J542:K542"/>
    <mergeCell ref="J531:K531"/>
    <mergeCell ref="J532:K532"/>
    <mergeCell ref="A552:I552"/>
    <mergeCell ref="A553:I553"/>
    <mergeCell ref="A127:M127"/>
    <mergeCell ref="A554:I554"/>
    <mergeCell ref="J556:K556"/>
    <mergeCell ref="J557:K557"/>
    <mergeCell ref="A570:I570"/>
    <mergeCell ref="A571:I571"/>
    <mergeCell ref="A91:M91"/>
    <mergeCell ref="A92:M92"/>
    <mergeCell ref="A572:I572"/>
    <mergeCell ref="A573:I573"/>
    <mergeCell ref="J558:K558"/>
    <mergeCell ref="J559:K559"/>
    <mergeCell ref="J560:K560"/>
    <mergeCell ref="J549:K549"/>
    <mergeCell ref="A568:I568"/>
    <mergeCell ref="A569:I569"/>
    <mergeCell ref="A93:M93"/>
    <mergeCell ref="A94:M94"/>
    <mergeCell ref="A95:M95"/>
    <mergeCell ref="A96:M96"/>
    <mergeCell ref="K550:L550"/>
    <mergeCell ref="J551:K551"/>
    <mergeCell ref="J552:K552"/>
    <mergeCell ref="J553:K553"/>
    <mergeCell ref="A564:I564"/>
    <mergeCell ref="A565:I565"/>
    <mergeCell ref="A103:M103"/>
    <mergeCell ref="A104:M104"/>
    <mergeCell ref="A566:I566"/>
    <mergeCell ref="A567:I567"/>
    <mergeCell ref="J554:K554"/>
    <mergeCell ref="J544:K544"/>
    <mergeCell ref="J545:K545"/>
    <mergeCell ref="A562:I562"/>
    <mergeCell ref="A584:I584"/>
    <mergeCell ref="A585:I585"/>
    <mergeCell ref="J578:K578"/>
    <mergeCell ref="J567:K567"/>
    <mergeCell ref="J568:K568"/>
    <mergeCell ref="J569:K569"/>
    <mergeCell ref="A580:I580"/>
    <mergeCell ref="A581:I581"/>
    <mergeCell ref="A69:M69"/>
    <mergeCell ref="A70:M70"/>
    <mergeCell ref="A71:M71"/>
    <mergeCell ref="A72:M72"/>
    <mergeCell ref="J570:K570"/>
    <mergeCell ref="J571:K571"/>
    <mergeCell ref="J572:K572"/>
    <mergeCell ref="J561:K561"/>
    <mergeCell ref="A576:I576"/>
    <mergeCell ref="A577:I577"/>
    <mergeCell ref="A79:M79"/>
    <mergeCell ref="A80:M80"/>
    <mergeCell ref="A578:I578"/>
    <mergeCell ref="A579:I579"/>
    <mergeCell ref="J562:K562"/>
    <mergeCell ref="J563:K563"/>
    <mergeCell ref="J564:K564"/>
    <mergeCell ref="J565:K565"/>
    <mergeCell ref="A574:I574"/>
    <mergeCell ref="A575:I575"/>
    <mergeCell ref="A81:M81"/>
    <mergeCell ref="A82:M82"/>
    <mergeCell ref="A83:M83"/>
    <mergeCell ref="J566:K566"/>
    <mergeCell ref="A593:I593"/>
    <mergeCell ref="A45:M45"/>
    <mergeCell ref="A46:M46"/>
    <mergeCell ref="A47:M47"/>
    <mergeCell ref="A48:M48"/>
    <mergeCell ref="J590:K590"/>
    <mergeCell ref="J579:K579"/>
    <mergeCell ref="J580:K580"/>
    <mergeCell ref="J581:K581"/>
    <mergeCell ref="A588:I588"/>
    <mergeCell ref="A589:I589"/>
    <mergeCell ref="A55:M55"/>
    <mergeCell ref="A56:M56"/>
    <mergeCell ref="A590:I590"/>
    <mergeCell ref="A591:I591"/>
    <mergeCell ref="J582:K582"/>
    <mergeCell ref="J583:K583"/>
    <mergeCell ref="J584:K584"/>
    <mergeCell ref="J573:K573"/>
    <mergeCell ref="A586:I586"/>
    <mergeCell ref="A587:I587"/>
    <mergeCell ref="A57:M57"/>
    <mergeCell ref="A58:M58"/>
    <mergeCell ref="A59:M59"/>
    <mergeCell ref="A60:M60"/>
    <mergeCell ref="J574:K574"/>
    <mergeCell ref="J575:K575"/>
    <mergeCell ref="J576:K576"/>
    <mergeCell ref="J577:K577"/>
    <mergeCell ref="A582:I582"/>
    <mergeCell ref="A583:I583"/>
    <mergeCell ref="A67:M67"/>
    <mergeCell ref="A607:I607"/>
    <mergeCell ref="A608:I608"/>
    <mergeCell ref="A609:I609"/>
    <mergeCell ref="A610:I610"/>
    <mergeCell ref="A611:I611"/>
    <mergeCell ref="A600:I600"/>
    <mergeCell ref="A601:I601"/>
    <mergeCell ref="A602:I602"/>
    <mergeCell ref="A603:I603"/>
    <mergeCell ref="A604:I604"/>
    <mergeCell ref="A605:I605"/>
    <mergeCell ref="A598:I598"/>
    <mergeCell ref="A599:I599"/>
    <mergeCell ref="A33:M33"/>
    <mergeCell ref="A34:M34"/>
    <mergeCell ref="A35:M35"/>
    <mergeCell ref="A36:M36"/>
    <mergeCell ref="J597:K597"/>
    <mergeCell ref="J598:K598"/>
    <mergeCell ref="J599:K599"/>
    <mergeCell ref="J585:K585"/>
    <mergeCell ref="A594:I594"/>
    <mergeCell ref="A595:I595"/>
    <mergeCell ref="A43:M43"/>
    <mergeCell ref="A44:M44"/>
    <mergeCell ref="A596:I596"/>
    <mergeCell ref="A597:I597"/>
    <mergeCell ref="J586:K586"/>
    <mergeCell ref="J587:K587"/>
    <mergeCell ref="J588:K588"/>
    <mergeCell ref="J589:K589"/>
    <mergeCell ref="A592:I592"/>
    <mergeCell ref="A778:A779"/>
    <mergeCell ref="A780:A781"/>
    <mergeCell ref="A782:A783"/>
    <mergeCell ref="B778:I778"/>
    <mergeCell ref="B779:I779"/>
    <mergeCell ref="B780:I780"/>
    <mergeCell ref="B781:I781"/>
    <mergeCell ref="A701:I701"/>
    <mergeCell ref="A702:I702"/>
    <mergeCell ref="A624:I624"/>
    <mergeCell ref="A625:I625"/>
    <mergeCell ref="A784:A785"/>
    <mergeCell ref="A1:C1"/>
    <mergeCell ref="A626:I626"/>
    <mergeCell ref="A627:I627"/>
    <mergeCell ref="A628:I628"/>
    <mergeCell ref="A629:I629"/>
    <mergeCell ref="A630:I630"/>
    <mergeCell ref="A631:I631"/>
    <mergeCell ref="A618:I618"/>
    <mergeCell ref="A619:I619"/>
    <mergeCell ref="A620:I620"/>
    <mergeCell ref="A621:I621"/>
    <mergeCell ref="A622:I622"/>
    <mergeCell ref="A623:I623"/>
    <mergeCell ref="A612:I612"/>
    <mergeCell ref="A613:I613"/>
    <mergeCell ref="A614:I614"/>
    <mergeCell ref="A615:I615"/>
    <mergeCell ref="A616:I616"/>
    <mergeCell ref="A617:I617"/>
    <mergeCell ref="A606:I606"/>
    <mergeCell ref="J621:K621"/>
    <mergeCell ref="J622:K622"/>
    <mergeCell ref="J623:K623"/>
    <mergeCell ref="J624:K624"/>
    <mergeCell ref="J625:K625"/>
    <mergeCell ref="J626:K626"/>
    <mergeCell ref="A649:A652"/>
    <mergeCell ref="A654:E654"/>
    <mergeCell ref="A655:E655"/>
    <mergeCell ref="A656:E656"/>
    <mergeCell ref="J627:K627"/>
    <mergeCell ref="J628:K628"/>
    <mergeCell ref="J629:K629"/>
    <mergeCell ref="J630:K630"/>
    <mergeCell ref="J631:K631"/>
    <mergeCell ref="A632:I632"/>
    <mergeCell ref="B641:I641"/>
    <mergeCell ref="B642:I642"/>
    <mergeCell ref="B652:I652"/>
    <mergeCell ref="B653:I653"/>
    <mergeCell ref="B646:I646"/>
    <mergeCell ref="B647:I647"/>
    <mergeCell ref="B648:I648"/>
    <mergeCell ref="B649:I649"/>
    <mergeCell ref="B650:I650"/>
    <mergeCell ref="B651:I651"/>
    <mergeCell ref="J653:K653"/>
    <mergeCell ref="J639:K640"/>
    <mergeCell ref="A633:I633"/>
    <mergeCell ref="B645:I645"/>
    <mergeCell ref="A639:A640"/>
    <mergeCell ref="B639:I640"/>
    <mergeCell ref="L639:M639"/>
    <mergeCell ref="L640:M640"/>
    <mergeCell ref="A636:M636"/>
    <mergeCell ref="A637:M637"/>
    <mergeCell ref="J600:K600"/>
    <mergeCell ref="J601:K601"/>
    <mergeCell ref="J602:K602"/>
    <mergeCell ref="J603:K603"/>
    <mergeCell ref="J604:K604"/>
    <mergeCell ref="J591:K591"/>
    <mergeCell ref="J592:K592"/>
    <mergeCell ref="J593:K593"/>
    <mergeCell ref="J594:K594"/>
    <mergeCell ref="J595:K595"/>
    <mergeCell ref="J596:K596"/>
    <mergeCell ref="J605:K605"/>
    <mergeCell ref="J606:K606"/>
    <mergeCell ref="J607:K607"/>
    <mergeCell ref="J608:K608"/>
    <mergeCell ref="J609:K609"/>
    <mergeCell ref="J610:K610"/>
    <mergeCell ref="J611:K611"/>
    <mergeCell ref="J612:K612"/>
    <mergeCell ref="J613:K613"/>
    <mergeCell ref="J614:K614"/>
    <mergeCell ref="J615:K615"/>
    <mergeCell ref="J616:K616"/>
    <mergeCell ref="J617:K617"/>
    <mergeCell ref="J618:K618"/>
    <mergeCell ref="J619:K619"/>
    <mergeCell ref="J620:K620"/>
    <mergeCell ref="J632:K632"/>
  </mergeCells>
  <pageMargins left="0.70866141732283472" right="0.70866141732283472" top="0.74803149606299213" bottom="0.74803149606299213" header="0.31496062992125984" footer="0.31496062992125984"/>
  <pageSetup paperSize="9" orientation="portrait" r:id="rId1"/>
  <headerFooter>
    <oddFooter>Sayfa &amp;P / &amp;N</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E219"/>
  <sheetViews>
    <sheetView topLeftCell="A190" zoomScale="80" zoomScaleNormal="80" workbookViewId="0">
      <selection activeCell="Q200" sqref="Q200:AE200"/>
    </sheetView>
  </sheetViews>
  <sheetFormatPr defaultRowHeight="12.75"/>
  <cols>
    <col min="1" max="3" width="9.140625" style="558"/>
    <col min="4" max="15" width="4.7109375" style="558" customWidth="1"/>
    <col min="16" max="16" width="1" style="558" customWidth="1"/>
    <col min="17" max="19" width="9.140625" style="558"/>
    <col min="20" max="31" width="4.7109375" style="558" customWidth="1"/>
    <col min="32" max="32" width="0.85546875" style="558" customWidth="1"/>
    <col min="33" max="16384" width="9.140625" style="558"/>
  </cols>
  <sheetData>
    <row r="1" spans="1:31" ht="30.75" customHeight="1">
      <c r="A1" s="1754" t="s">
        <v>4055</v>
      </c>
      <c r="B1" s="1754"/>
      <c r="C1" s="1754"/>
      <c r="D1" s="1754"/>
      <c r="E1" s="1754"/>
      <c r="F1" s="1754"/>
      <c r="G1" s="1754"/>
      <c r="H1" s="1754"/>
      <c r="I1" s="1754"/>
      <c r="J1" s="1754"/>
      <c r="K1" s="1754"/>
      <c r="L1" s="1754"/>
      <c r="M1" s="1754"/>
      <c r="N1" s="1754"/>
      <c r="O1" s="1754"/>
      <c r="P1" s="271"/>
      <c r="Q1" s="1754" t="s">
        <v>4056</v>
      </c>
      <c r="R1" s="1754"/>
      <c r="S1" s="1754"/>
      <c r="T1" s="1754"/>
      <c r="U1" s="1754"/>
      <c r="V1" s="1754"/>
      <c r="W1" s="1754"/>
      <c r="X1" s="1754"/>
      <c r="Y1" s="1754"/>
      <c r="Z1" s="1754"/>
      <c r="AA1" s="1754"/>
      <c r="AB1" s="1754"/>
      <c r="AC1" s="1754"/>
      <c r="AD1" s="1754"/>
      <c r="AE1" s="1754"/>
    </row>
    <row r="2" spans="1:31" ht="15">
      <c r="Q2" s="1758" t="s">
        <v>3815</v>
      </c>
      <c r="R2" s="1758"/>
      <c r="S2" s="1758"/>
      <c r="T2" s="1758"/>
      <c r="U2" s="1758"/>
      <c r="V2" s="1758"/>
      <c r="W2" s="1758"/>
      <c r="X2" s="1758"/>
      <c r="Y2" s="1758"/>
      <c r="Z2" s="1758"/>
      <c r="AA2" s="1758"/>
      <c r="AB2" s="1758"/>
      <c r="AC2" s="1758"/>
      <c r="AD2" s="1758"/>
      <c r="AE2" s="1758"/>
    </row>
    <row r="3" spans="1:31" ht="15">
      <c r="Q3" s="1758" t="s">
        <v>3816</v>
      </c>
      <c r="R3" s="1758"/>
      <c r="S3" s="1758"/>
      <c r="T3" s="1758"/>
      <c r="U3" s="1758"/>
      <c r="V3" s="1758"/>
      <c r="W3" s="1758"/>
      <c r="X3" s="1758"/>
      <c r="Y3" s="1758"/>
      <c r="Z3" s="1758"/>
      <c r="AA3" s="1758"/>
      <c r="AB3" s="1758"/>
      <c r="AC3" s="1758"/>
      <c r="AD3" s="1758"/>
      <c r="AE3" s="1758"/>
    </row>
    <row r="4" spans="1:31" ht="19.5" customHeight="1">
      <c r="A4" s="1769" t="s">
        <v>3521</v>
      </c>
      <c r="B4" s="1769"/>
      <c r="C4" s="1769"/>
      <c r="D4" s="1769"/>
      <c r="E4" s="1769"/>
      <c r="F4" s="1769"/>
      <c r="G4" s="1769"/>
      <c r="H4" s="1769"/>
      <c r="I4" s="1769"/>
      <c r="J4" s="1769"/>
      <c r="K4" s="1769"/>
      <c r="L4" s="1769"/>
      <c r="M4" s="1769"/>
      <c r="N4" s="1769"/>
      <c r="O4" s="1769"/>
      <c r="Q4" s="1759" t="s">
        <v>3817</v>
      </c>
      <c r="R4" s="1759"/>
      <c r="S4" s="1759"/>
      <c r="T4" s="1759"/>
      <c r="U4" s="1759"/>
      <c r="V4" s="1759"/>
      <c r="W4" s="1759"/>
      <c r="X4" s="1759"/>
      <c r="Y4" s="1759"/>
      <c r="Z4" s="1759"/>
      <c r="AA4" s="1759"/>
      <c r="AB4" s="1759"/>
      <c r="AC4" s="1759"/>
      <c r="AD4" s="1759"/>
      <c r="AE4" s="1759"/>
    </row>
    <row r="5" spans="1:31" ht="12.75" customHeight="1">
      <c r="A5" s="1750" t="s">
        <v>3938</v>
      </c>
      <c r="B5" s="1750"/>
      <c r="C5" s="1750"/>
      <c r="D5" s="1750"/>
      <c r="E5" s="1750"/>
      <c r="F5" s="1750"/>
      <c r="G5" s="1750"/>
      <c r="H5" s="1750"/>
      <c r="I5" s="1750"/>
      <c r="J5" s="1750"/>
      <c r="K5" s="1750"/>
      <c r="L5" s="1750"/>
      <c r="M5" s="1750"/>
      <c r="N5" s="1750"/>
      <c r="O5" s="1750"/>
      <c r="Q5" s="1759" t="s">
        <v>3818</v>
      </c>
      <c r="R5" s="1759"/>
      <c r="S5" s="1759"/>
      <c r="T5" s="1759"/>
      <c r="U5" s="1759"/>
      <c r="V5" s="1759"/>
      <c r="W5" s="1759"/>
      <c r="X5" s="1759"/>
      <c r="Y5" s="1759"/>
      <c r="Z5" s="1759"/>
      <c r="AA5" s="1759"/>
      <c r="AB5" s="1759"/>
      <c r="AC5" s="1759"/>
      <c r="AD5" s="1759"/>
      <c r="AE5" s="1759"/>
    </row>
    <row r="6" spans="1:31" ht="12.75" customHeight="1">
      <c r="A6" s="1750" t="s">
        <v>3939</v>
      </c>
      <c r="B6" s="1750"/>
      <c r="C6" s="1750"/>
      <c r="D6" s="1750"/>
      <c r="E6" s="1750"/>
      <c r="F6" s="1750"/>
      <c r="G6" s="1750"/>
      <c r="H6" s="1750"/>
      <c r="I6" s="1750"/>
      <c r="J6" s="1750"/>
      <c r="K6" s="1750"/>
      <c r="L6" s="1750"/>
      <c r="M6" s="1750"/>
      <c r="N6" s="1750"/>
      <c r="O6" s="1750"/>
      <c r="Q6" s="1759" t="s">
        <v>3819</v>
      </c>
      <c r="R6" s="1759"/>
      <c r="S6" s="1759"/>
      <c r="T6" s="1759"/>
      <c r="U6" s="1759"/>
      <c r="V6" s="1759"/>
      <c r="W6" s="1759"/>
      <c r="X6" s="1759"/>
      <c r="Y6" s="1759"/>
      <c r="Z6" s="1759"/>
      <c r="AA6" s="1759"/>
      <c r="AB6" s="1759"/>
      <c r="AC6" s="1759"/>
      <c r="AD6" s="1759"/>
      <c r="AE6" s="1759"/>
    </row>
    <row r="7" spans="1:31" ht="12.75" customHeight="1">
      <c r="A7" s="1750" t="s">
        <v>3940</v>
      </c>
      <c r="B7" s="1750"/>
      <c r="C7" s="1750"/>
      <c r="D7" s="1750"/>
      <c r="E7" s="1750"/>
      <c r="F7" s="1750"/>
      <c r="G7" s="1750"/>
      <c r="H7" s="1750"/>
      <c r="I7" s="1750"/>
      <c r="J7" s="1750"/>
      <c r="K7" s="1750"/>
      <c r="L7" s="1750"/>
      <c r="M7" s="1750"/>
      <c r="N7" s="1750"/>
      <c r="O7" s="1750"/>
      <c r="Q7" s="1760" t="s">
        <v>3820</v>
      </c>
      <c r="R7" s="1760"/>
      <c r="S7" s="1760"/>
      <c r="T7" s="1760"/>
      <c r="U7" s="1760"/>
      <c r="V7" s="1760"/>
      <c r="W7" s="1760"/>
      <c r="X7" s="1760"/>
      <c r="Y7" s="1760"/>
      <c r="Z7" s="1760"/>
      <c r="AA7" s="1760"/>
      <c r="AB7" s="1760"/>
      <c r="AC7" s="1760"/>
      <c r="AD7" s="1760"/>
      <c r="AE7" s="1760"/>
    </row>
    <row r="8" spans="1:31" ht="12.75" customHeight="1">
      <c r="A8" s="1755" t="s">
        <v>3941</v>
      </c>
      <c r="B8" s="1755"/>
      <c r="C8" s="1755"/>
      <c r="D8" s="1755"/>
      <c r="E8" s="1755"/>
      <c r="F8" s="1755"/>
      <c r="G8" s="1755"/>
      <c r="H8" s="1755"/>
      <c r="I8" s="1755"/>
      <c r="J8" s="1755"/>
      <c r="K8" s="1755"/>
      <c r="L8" s="1755"/>
      <c r="M8" s="1755"/>
      <c r="N8" s="1755"/>
      <c r="O8" s="1755"/>
      <c r="R8" s="559"/>
      <c r="S8" s="559"/>
      <c r="T8" s="559"/>
      <c r="U8" s="559"/>
      <c r="V8" s="559"/>
      <c r="W8" s="559"/>
      <c r="X8" s="559"/>
      <c r="Y8" s="559"/>
      <c r="Z8" s="559"/>
      <c r="AA8" s="559"/>
      <c r="AB8" s="559"/>
      <c r="AC8" s="559"/>
      <c r="AD8" s="559"/>
      <c r="AE8" s="559"/>
    </row>
    <row r="9" spans="1:31" ht="57.75" customHeight="1">
      <c r="A9" s="1751" t="s">
        <v>3942</v>
      </c>
      <c r="B9" s="1751"/>
      <c r="C9" s="1751"/>
      <c r="D9" s="1751"/>
      <c r="E9" s="1751"/>
      <c r="F9" s="1751"/>
      <c r="G9" s="1751"/>
      <c r="H9" s="1751"/>
      <c r="I9" s="1751"/>
      <c r="J9" s="1751"/>
      <c r="K9" s="1751"/>
      <c r="L9" s="1751"/>
      <c r="M9" s="1751"/>
      <c r="N9" s="1751"/>
      <c r="O9" s="1751"/>
      <c r="Q9" s="1751" t="s">
        <v>3942</v>
      </c>
      <c r="R9" s="1751"/>
      <c r="S9" s="1751"/>
      <c r="T9" s="1751"/>
      <c r="U9" s="1751"/>
      <c r="V9" s="1751"/>
      <c r="W9" s="1751"/>
      <c r="X9" s="1751"/>
      <c r="Y9" s="1751"/>
      <c r="Z9" s="1751"/>
      <c r="AA9" s="1751"/>
      <c r="AB9" s="1751"/>
      <c r="AC9" s="1751"/>
      <c r="AD9" s="1751"/>
      <c r="AE9" s="1751"/>
    </row>
    <row r="10" spans="1:31">
      <c r="A10" s="1752" t="s">
        <v>3821</v>
      </c>
      <c r="B10" s="1752"/>
      <c r="C10" s="1752"/>
      <c r="D10" s="1752"/>
      <c r="E10" s="1752"/>
      <c r="F10" s="1752"/>
      <c r="G10" s="1752"/>
      <c r="H10" s="1752"/>
      <c r="I10" s="1752"/>
      <c r="J10" s="1752"/>
      <c r="K10" s="1752"/>
      <c r="L10" s="1752"/>
      <c r="M10" s="1752"/>
      <c r="N10" s="1752"/>
      <c r="O10" s="1752"/>
      <c r="Q10" s="1752" t="s">
        <v>3821</v>
      </c>
      <c r="R10" s="1752"/>
      <c r="S10" s="1752"/>
      <c r="T10" s="1752"/>
      <c r="U10" s="1752"/>
      <c r="V10" s="1752"/>
      <c r="W10" s="1752"/>
      <c r="X10" s="1752"/>
      <c r="Y10" s="1752"/>
      <c r="Z10" s="1752"/>
      <c r="AA10" s="1752"/>
      <c r="AB10" s="1752"/>
      <c r="AC10" s="1752"/>
      <c r="AD10" s="1752"/>
      <c r="AE10" s="1752"/>
    </row>
    <row r="11" spans="1:31" ht="60" customHeight="1">
      <c r="A11" s="1752" t="s">
        <v>4021</v>
      </c>
      <c r="B11" s="1752"/>
      <c r="C11" s="1752"/>
      <c r="D11" s="1752"/>
      <c r="E11" s="1752"/>
      <c r="F11" s="1752"/>
      <c r="G11" s="1752"/>
      <c r="H11" s="1752"/>
      <c r="I11" s="1752"/>
      <c r="J11" s="1752"/>
      <c r="K11" s="1752"/>
      <c r="L11" s="1752"/>
      <c r="M11" s="1752"/>
      <c r="N11" s="1752"/>
      <c r="O11" s="1752"/>
      <c r="Q11" s="1752" t="s">
        <v>4021</v>
      </c>
      <c r="R11" s="1752"/>
      <c r="S11" s="1752"/>
      <c r="T11" s="1752"/>
      <c r="U11" s="1752"/>
      <c r="V11" s="1752"/>
      <c r="W11" s="1752"/>
      <c r="X11" s="1752"/>
      <c r="Y11" s="1752"/>
      <c r="Z11" s="1752"/>
      <c r="AA11" s="1752"/>
      <c r="AB11" s="1752"/>
      <c r="AC11" s="1752"/>
      <c r="AD11" s="1752"/>
      <c r="AE11" s="1752"/>
    </row>
    <row r="12" spans="1:31">
      <c r="A12" s="1752" t="s">
        <v>3822</v>
      </c>
      <c r="B12" s="1752"/>
      <c r="C12" s="1752"/>
      <c r="D12" s="1752"/>
      <c r="E12" s="1752"/>
      <c r="F12" s="1752"/>
      <c r="G12" s="1752"/>
      <c r="H12" s="1752"/>
      <c r="I12" s="1752"/>
      <c r="J12" s="1752"/>
      <c r="K12" s="1752"/>
      <c r="L12" s="1752"/>
      <c r="M12" s="1752"/>
      <c r="N12" s="1752"/>
      <c r="O12" s="1752"/>
      <c r="Q12" s="1752" t="s">
        <v>3822</v>
      </c>
      <c r="R12" s="1752"/>
      <c r="S12" s="1752"/>
      <c r="T12" s="1752"/>
      <c r="U12" s="1752"/>
      <c r="V12" s="1752"/>
      <c r="W12" s="1752"/>
      <c r="X12" s="1752"/>
      <c r="Y12" s="1752"/>
      <c r="Z12" s="1752"/>
      <c r="AA12" s="1752"/>
      <c r="AB12" s="1752"/>
      <c r="AC12" s="1752"/>
      <c r="AD12" s="1752"/>
      <c r="AE12" s="1752"/>
    </row>
    <row r="13" spans="1:31" ht="20.25" customHeight="1">
      <c r="A13" s="1752" t="s">
        <v>4022</v>
      </c>
      <c r="B13" s="1752"/>
      <c r="C13" s="1752"/>
      <c r="D13" s="1752"/>
      <c r="E13" s="1752"/>
      <c r="F13" s="1752"/>
      <c r="G13" s="1752"/>
      <c r="H13" s="1752"/>
      <c r="I13" s="1752"/>
      <c r="J13" s="1752"/>
      <c r="K13" s="1752"/>
      <c r="L13" s="1752"/>
      <c r="M13" s="1752"/>
      <c r="N13" s="1752"/>
      <c r="O13" s="1752"/>
      <c r="Q13" s="1752" t="s">
        <v>4022</v>
      </c>
      <c r="R13" s="1752"/>
      <c r="S13" s="1752"/>
      <c r="T13" s="1752"/>
      <c r="U13" s="1752"/>
      <c r="V13" s="1752"/>
      <c r="W13" s="1752"/>
      <c r="X13" s="1752"/>
      <c r="Y13" s="1752"/>
      <c r="Z13" s="1752"/>
      <c r="AA13" s="1752"/>
      <c r="AB13" s="1752"/>
      <c r="AC13" s="1752"/>
      <c r="AD13" s="1752"/>
      <c r="AE13" s="1752"/>
    </row>
    <row r="14" spans="1:31" ht="24" customHeight="1">
      <c r="A14" s="1751" t="s">
        <v>3823</v>
      </c>
      <c r="B14" s="1751"/>
      <c r="C14" s="1751"/>
      <c r="D14" s="1751"/>
      <c r="E14" s="1751"/>
      <c r="F14" s="1751"/>
      <c r="G14" s="1751"/>
      <c r="H14" s="1751"/>
      <c r="I14" s="1751"/>
      <c r="J14" s="1751"/>
      <c r="K14" s="1751"/>
      <c r="L14" s="1751"/>
      <c r="M14" s="1751"/>
      <c r="N14" s="1751"/>
      <c r="O14" s="1751"/>
      <c r="Q14" s="1751" t="s">
        <v>3823</v>
      </c>
      <c r="R14" s="1751"/>
      <c r="S14" s="1751"/>
      <c r="T14" s="1751"/>
      <c r="U14" s="1751"/>
      <c r="V14" s="1751"/>
      <c r="W14" s="1751"/>
      <c r="X14" s="1751"/>
      <c r="Y14" s="1751"/>
      <c r="Z14" s="1751"/>
      <c r="AA14" s="1751"/>
      <c r="AB14" s="1751"/>
      <c r="AC14" s="1751"/>
      <c r="AD14" s="1751"/>
      <c r="AE14" s="1751"/>
    </row>
    <row r="15" spans="1:31" ht="24" customHeight="1">
      <c r="A15" s="1751" t="s">
        <v>3824</v>
      </c>
      <c r="B15" s="1751"/>
      <c r="C15" s="1751"/>
      <c r="D15" s="1751"/>
      <c r="E15" s="1751"/>
      <c r="F15" s="1751"/>
      <c r="G15" s="1751"/>
      <c r="H15" s="1751"/>
      <c r="I15" s="1751"/>
      <c r="J15" s="1751"/>
      <c r="K15" s="1751"/>
      <c r="L15" s="1751"/>
      <c r="M15" s="1751"/>
      <c r="N15" s="1751"/>
      <c r="O15" s="1751"/>
      <c r="Q15" s="1751" t="s">
        <v>3824</v>
      </c>
      <c r="R15" s="1751"/>
      <c r="S15" s="1751"/>
      <c r="T15" s="1751"/>
      <c r="U15" s="1751"/>
      <c r="V15" s="1751"/>
      <c r="W15" s="1751"/>
      <c r="X15" s="1751"/>
      <c r="Y15" s="1751"/>
      <c r="Z15" s="1751"/>
      <c r="AA15" s="1751"/>
      <c r="AB15" s="1751"/>
      <c r="AC15" s="1751"/>
      <c r="AD15" s="1751"/>
      <c r="AE15" s="1751"/>
    </row>
    <row r="16" spans="1:31" ht="41.25" customHeight="1">
      <c r="A16" s="1751" t="s">
        <v>3825</v>
      </c>
      <c r="B16" s="1751"/>
      <c r="C16" s="1751"/>
      <c r="D16" s="1751"/>
      <c r="E16" s="1751"/>
      <c r="F16" s="1751"/>
      <c r="G16" s="1751"/>
      <c r="H16" s="1751"/>
      <c r="I16" s="1751"/>
      <c r="J16" s="1751"/>
      <c r="K16" s="1751"/>
      <c r="L16" s="1751"/>
      <c r="M16" s="1751"/>
      <c r="N16" s="1751"/>
      <c r="O16" s="1751"/>
      <c r="Q16" s="1751" t="s">
        <v>3825</v>
      </c>
      <c r="R16" s="1751"/>
      <c r="S16" s="1751"/>
      <c r="T16" s="1751"/>
      <c r="U16" s="1751"/>
      <c r="V16" s="1751"/>
      <c r="W16" s="1751"/>
      <c r="X16" s="1751"/>
      <c r="Y16" s="1751"/>
      <c r="Z16" s="1751"/>
      <c r="AA16" s="1751"/>
      <c r="AB16" s="1751"/>
      <c r="AC16" s="1751"/>
      <c r="AD16" s="1751"/>
      <c r="AE16" s="1751"/>
    </row>
    <row r="17" spans="1:31" ht="31.5" customHeight="1">
      <c r="A17" s="1751" t="s">
        <v>3826</v>
      </c>
      <c r="B17" s="1751"/>
      <c r="C17" s="1751"/>
      <c r="D17" s="1751"/>
      <c r="E17" s="1751"/>
      <c r="F17" s="1751"/>
      <c r="G17" s="1751"/>
      <c r="H17" s="1751"/>
      <c r="I17" s="1751"/>
      <c r="J17" s="1751"/>
      <c r="K17" s="1751"/>
      <c r="L17" s="1751"/>
      <c r="M17" s="1751"/>
      <c r="N17" s="1751"/>
      <c r="O17" s="1751"/>
      <c r="Q17" s="1751" t="s">
        <v>3826</v>
      </c>
      <c r="R17" s="1751"/>
      <c r="S17" s="1751"/>
      <c r="T17" s="1751"/>
      <c r="U17" s="1751"/>
      <c r="V17" s="1751"/>
      <c r="W17" s="1751"/>
      <c r="X17" s="1751"/>
      <c r="Y17" s="1751"/>
      <c r="Z17" s="1751"/>
      <c r="AA17" s="1751"/>
      <c r="AB17" s="1751"/>
      <c r="AC17" s="1751"/>
      <c r="AD17" s="1751"/>
      <c r="AE17" s="1751"/>
    </row>
    <row r="18" spans="1:31" ht="53.25" customHeight="1">
      <c r="A18" s="1751" t="s">
        <v>3827</v>
      </c>
      <c r="B18" s="1751"/>
      <c r="C18" s="1751"/>
      <c r="D18" s="1751"/>
      <c r="E18" s="1751"/>
      <c r="F18" s="1751"/>
      <c r="G18" s="1751"/>
      <c r="H18" s="1751"/>
      <c r="I18" s="1751"/>
      <c r="J18" s="1751"/>
      <c r="K18" s="1751"/>
      <c r="L18" s="1751"/>
      <c r="M18" s="1751"/>
      <c r="N18" s="1751"/>
      <c r="O18" s="1751"/>
      <c r="Q18" s="1751" t="s">
        <v>3827</v>
      </c>
      <c r="R18" s="1751"/>
      <c r="S18" s="1751"/>
      <c r="T18" s="1751"/>
      <c r="U18" s="1751"/>
      <c r="V18" s="1751"/>
      <c r="W18" s="1751"/>
      <c r="X18" s="1751"/>
      <c r="Y18" s="1751"/>
      <c r="Z18" s="1751"/>
      <c r="AA18" s="1751"/>
      <c r="AB18" s="1751"/>
      <c r="AC18" s="1751"/>
      <c r="AD18" s="1751"/>
      <c r="AE18" s="1751"/>
    </row>
    <row r="19" spans="1:31" ht="31.5" customHeight="1">
      <c r="A19" s="1751" t="s">
        <v>3828</v>
      </c>
      <c r="B19" s="1751"/>
      <c r="C19" s="1751"/>
      <c r="D19" s="1751"/>
      <c r="E19" s="1751"/>
      <c r="F19" s="1751"/>
      <c r="G19" s="1751"/>
      <c r="H19" s="1751"/>
      <c r="I19" s="1751"/>
      <c r="J19" s="1751"/>
      <c r="K19" s="1751"/>
      <c r="L19" s="1751"/>
      <c r="M19" s="1751"/>
      <c r="N19" s="1751"/>
      <c r="O19" s="1751"/>
      <c r="Q19" s="1751" t="s">
        <v>3828</v>
      </c>
      <c r="R19" s="1751"/>
      <c r="S19" s="1751"/>
      <c r="T19" s="1751"/>
      <c r="U19" s="1751"/>
      <c r="V19" s="1751"/>
      <c r="W19" s="1751"/>
      <c r="X19" s="1751"/>
      <c r="Y19" s="1751"/>
      <c r="Z19" s="1751"/>
      <c r="AA19" s="1751"/>
      <c r="AB19" s="1751"/>
      <c r="AC19" s="1751"/>
      <c r="AD19" s="1751"/>
      <c r="AE19" s="1751"/>
    </row>
    <row r="20" spans="1:31">
      <c r="A20" s="1751" t="s">
        <v>3829</v>
      </c>
      <c r="B20" s="1751"/>
      <c r="C20" s="1751"/>
      <c r="D20" s="1751"/>
      <c r="E20" s="1751"/>
      <c r="F20" s="1751"/>
      <c r="G20" s="1751"/>
      <c r="H20" s="1751"/>
      <c r="I20" s="1751"/>
      <c r="J20" s="1751"/>
      <c r="K20" s="1751"/>
      <c r="L20" s="1751"/>
      <c r="M20" s="1751"/>
      <c r="N20" s="1751"/>
      <c r="O20" s="1751"/>
      <c r="Q20" s="1751" t="s">
        <v>3829</v>
      </c>
      <c r="R20" s="1751"/>
      <c r="S20" s="1751"/>
      <c r="T20" s="1751"/>
      <c r="U20" s="1751"/>
      <c r="V20" s="1751"/>
      <c r="W20" s="1751"/>
      <c r="X20" s="1751"/>
      <c r="Y20" s="1751"/>
      <c r="Z20" s="1751"/>
      <c r="AA20" s="1751"/>
      <c r="AB20" s="1751"/>
      <c r="AC20" s="1751"/>
      <c r="AD20" s="1751"/>
      <c r="AE20" s="1751"/>
    </row>
    <row r="21" spans="1:31">
      <c r="A21" s="1752" t="s">
        <v>3830</v>
      </c>
      <c r="B21" s="1752"/>
      <c r="C21" s="1752"/>
      <c r="D21" s="1752"/>
      <c r="E21" s="1752"/>
      <c r="F21" s="1752"/>
      <c r="G21" s="1752"/>
      <c r="H21" s="1752"/>
      <c r="I21" s="1752"/>
      <c r="J21" s="1752"/>
      <c r="K21" s="1752"/>
      <c r="L21" s="1752"/>
      <c r="M21" s="1752"/>
      <c r="N21" s="1752"/>
      <c r="O21" s="1752"/>
      <c r="Q21" s="1752" t="s">
        <v>3830</v>
      </c>
      <c r="R21" s="1752"/>
      <c r="S21" s="1752"/>
      <c r="T21" s="1752"/>
      <c r="U21" s="1752"/>
      <c r="V21" s="1752"/>
      <c r="W21" s="1752"/>
      <c r="X21" s="1752"/>
      <c r="Y21" s="1752"/>
      <c r="Z21" s="1752"/>
      <c r="AA21" s="1752"/>
      <c r="AB21" s="1752"/>
      <c r="AC21" s="1752"/>
      <c r="AD21" s="1752"/>
      <c r="AE21" s="1752"/>
    </row>
    <row r="22" spans="1:31">
      <c r="A22" s="1752" t="s">
        <v>4023</v>
      </c>
      <c r="B22" s="1752"/>
      <c r="C22" s="1752"/>
      <c r="D22" s="1752"/>
      <c r="E22" s="1752"/>
      <c r="F22" s="1752"/>
      <c r="G22" s="1752"/>
      <c r="H22" s="1752"/>
      <c r="I22" s="1752"/>
      <c r="J22" s="1752"/>
      <c r="K22" s="1752"/>
      <c r="L22" s="1752"/>
      <c r="M22" s="1752"/>
      <c r="N22" s="1752"/>
      <c r="O22" s="1752"/>
      <c r="Q22" s="1752" t="s">
        <v>3831</v>
      </c>
      <c r="R22" s="1752"/>
      <c r="S22" s="1752"/>
      <c r="T22" s="1752"/>
      <c r="U22" s="1752"/>
      <c r="V22" s="1752"/>
      <c r="W22" s="1752"/>
      <c r="X22" s="1752"/>
      <c r="Y22" s="1752"/>
      <c r="Z22" s="1752"/>
      <c r="AA22" s="1752"/>
      <c r="AB22" s="1752"/>
      <c r="AC22" s="1752"/>
      <c r="AD22" s="1752"/>
      <c r="AE22" s="1752"/>
    </row>
    <row r="23" spans="1:31" ht="31.5" customHeight="1">
      <c r="A23" s="1751" t="s">
        <v>3832</v>
      </c>
      <c r="B23" s="1751"/>
      <c r="C23" s="1751"/>
      <c r="D23" s="1751"/>
      <c r="E23" s="1751"/>
      <c r="F23" s="1751"/>
      <c r="G23" s="1751"/>
      <c r="H23" s="1751"/>
      <c r="I23" s="1751"/>
      <c r="J23" s="1751"/>
      <c r="K23" s="1751"/>
      <c r="L23" s="1751"/>
      <c r="M23" s="1751"/>
      <c r="N23" s="1751"/>
      <c r="O23" s="1751"/>
      <c r="Q23" s="1751" t="s">
        <v>3832</v>
      </c>
      <c r="R23" s="1751"/>
      <c r="S23" s="1751"/>
      <c r="T23" s="1751"/>
      <c r="U23" s="1751"/>
      <c r="V23" s="1751"/>
      <c r="W23" s="1751"/>
      <c r="X23" s="1751"/>
      <c r="Y23" s="1751"/>
      <c r="Z23" s="1751"/>
      <c r="AA23" s="1751"/>
      <c r="AB23" s="1751"/>
      <c r="AC23" s="1751"/>
      <c r="AD23" s="1751"/>
      <c r="AE23" s="1751"/>
    </row>
    <row r="24" spans="1:31" ht="31.5" customHeight="1">
      <c r="A24" s="1751" t="s">
        <v>3833</v>
      </c>
      <c r="B24" s="1751"/>
      <c r="C24" s="1751"/>
      <c r="D24" s="1751"/>
      <c r="E24" s="1751"/>
      <c r="F24" s="1751"/>
      <c r="G24" s="1751"/>
      <c r="H24" s="1751"/>
      <c r="I24" s="1751"/>
      <c r="J24" s="1751"/>
      <c r="K24" s="1751"/>
      <c r="L24" s="1751"/>
      <c r="M24" s="1751"/>
      <c r="N24" s="1751"/>
      <c r="O24" s="1751"/>
      <c r="Q24" s="1751" t="s">
        <v>3833</v>
      </c>
      <c r="R24" s="1751"/>
      <c r="S24" s="1751"/>
      <c r="T24" s="1751"/>
      <c r="U24" s="1751"/>
      <c r="V24" s="1751"/>
      <c r="W24" s="1751"/>
      <c r="X24" s="1751"/>
      <c r="Y24" s="1751"/>
      <c r="Z24" s="1751"/>
      <c r="AA24" s="1751"/>
      <c r="AB24" s="1751"/>
      <c r="AC24" s="1751"/>
      <c r="AD24" s="1751"/>
      <c r="AE24" s="1751"/>
    </row>
    <row r="25" spans="1:31" ht="31.5" customHeight="1">
      <c r="A25" s="1751" t="s">
        <v>3834</v>
      </c>
      <c r="B25" s="1751"/>
      <c r="C25" s="1751"/>
      <c r="D25" s="1751"/>
      <c r="E25" s="1751"/>
      <c r="F25" s="1751"/>
      <c r="G25" s="1751"/>
      <c r="H25" s="1751"/>
      <c r="I25" s="1751"/>
      <c r="J25" s="1751"/>
      <c r="K25" s="1751"/>
      <c r="L25" s="1751"/>
      <c r="M25" s="1751"/>
      <c r="N25" s="1751"/>
      <c r="O25" s="1751"/>
      <c r="Q25" s="1751" t="s">
        <v>3834</v>
      </c>
      <c r="R25" s="1751"/>
      <c r="S25" s="1751"/>
      <c r="T25" s="1751"/>
      <c r="U25" s="1751"/>
      <c r="V25" s="1751"/>
      <c r="W25" s="1751"/>
      <c r="X25" s="1751"/>
      <c r="Y25" s="1751"/>
      <c r="Z25" s="1751"/>
      <c r="AA25" s="1751"/>
      <c r="AB25" s="1751"/>
      <c r="AC25" s="1751"/>
      <c r="AD25" s="1751"/>
      <c r="AE25" s="1751"/>
    </row>
    <row r="26" spans="1:31">
      <c r="A26" s="1751" t="s">
        <v>3835</v>
      </c>
      <c r="B26" s="1751"/>
      <c r="C26" s="1751"/>
      <c r="D26" s="1751"/>
      <c r="E26" s="1751"/>
      <c r="F26" s="1751"/>
      <c r="G26" s="1751"/>
      <c r="H26" s="1751"/>
      <c r="I26" s="1751"/>
      <c r="J26" s="1751"/>
      <c r="K26" s="1751"/>
      <c r="L26" s="1751"/>
      <c r="M26" s="1751"/>
      <c r="N26" s="1751"/>
      <c r="O26" s="1751"/>
      <c r="Q26" s="1751" t="s">
        <v>3835</v>
      </c>
      <c r="R26" s="1751"/>
      <c r="S26" s="1751"/>
      <c r="T26" s="1751"/>
      <c r="U26" s="1751"/>
      <c r="V26" s="1751"/>
      <c r="W26" s="1751"/>
      <c r="X26" s="1751"/>
      <c r="Y26" s="1751"/>
      <c r="Z26" s="1751"/>
      <c r="AA26" s="1751"/>
      <c r="AB26" s="1751"/>
      <c r="AC26" s="1751"/>
      <c r="AD26" s="1751"/>
      <c r="AE26" s="1751"/>
    </row>
    <row r="27" spans="1:31">
      <c r="A27" s="1752" t="s">
        <v>3836</v>
      </c>
      <c r="B27" s="1752"/>
      <c r="C27" s="1752"/>
      <c r="D27" s="1752"/>
      <c r="E27" s="1752"/>
      <c r="F27" s="1752"/>
      <c r="G27" s="1752"/>
      <c r="H27" s="1752"/>
      <c r="I27" s="1752"/>
      <c r="J27" s="1752"/>
      <c r="K27" s="1752"/>
      <c r="L27" s="1752"/>
      <c r="M27" s="1752"/>
      <c r="N27" s="1752"/>
      <c r="O27" s="1752"/>
      <c r="Q27" s="1752" t="s">
        <v>3836</v>
      </c>
      <c r="R27" s="1752"/>
      <c r="S27" s="1752"/>
      <c r="T27" s="1752"/>
      <c r="U27" s="1752"/>
      <c r="V27" s="1752"/>
      <c r="W27" s="1752"/>
      <c r="X27" s="1752"/>
      <c r="Y27" s="1752"/>
      <c r="Z27" s="1752"/>
      <c r="AA27" s="1752"/>
      <c r="AB27" s="1752"/>
      <c r="AC27" s="1752"/>
      <c r="AD27" s="1752"/>
      <c r="AE27" s="1752"/>
    </row>
    <row r="28" spans="1:31" ht="31.5" customHeight="1">
      <c r="A28" s="1752" t="s">
        <v>4024</v>
      </c>
      <c r="B28" s="1752"/>
      <c r="C28" s="1752"/>
      <c r="D28" s="1752"/>
      <c r="E28" s="1752"/>
      <c r="F28" s="1752"/>
      <c r="G28" s="1752"/>
      <c r="H28" s="1752"/>
      <c r="I28" s="1752"/>
      <c r="J28" s="1752"/>
      <c r="K28" s="1752"/>
      <c r="L28" s="1752"/>
      <c r="M28" s="1752"/>
      <c r="N28" s="1752"/>
      <c r="O28" s="1752"/>
      <c r="Q28" s="1752" t="s">
        <v>3837</v>
      </c>
      <c r="R28" s="1752"/>
      <c r="S28" s="1752"/>
      <c r="T28" s="1752"/>
      <c r="U28" s="1752"/>
      <c r="V28" s="1752"/>
      <c r="W28" s="1752"/>
      <c r="X28" s="1752"/>
      <c r="Y28" s="1752"/>
      <c r="Z28" s="1752"/>
      <c r="AA28" s="1752"/>
      <c r="AB28" s="1752"/>
      <c r="AC28" s="1752"/>
      <c r="AD28" s="1752"/>
      <c r="AE28" s="1752"/>
    </row>
    <row r="29" spans="1:31">
      <c r="A29" s="1751" t="s">
        <v>3838</v>
      </c>
      <c r="B29" s="1751"/>
      <c r="C29" s="1751"/>
      <c r="D29" s="1751"/>
      <c r="E29" s="1751"/>
      <c r="F29" s="1751"/>
      <c r="G29" s="1751"/>
      <c r="H29" s="1751"/>
      <c r="I29" s="1751"/>
      <c r="J29" s="1751"/>
      <c r="K29" s="1751"/>
      <c r="L29" s="1751"/>
      <c r="M29" s="1751"/>
      <c r="N29" s="1751"/>
      <c r="O29" s="1751"/>
      <c r="Q29" s="1751" t="s">
        <v>3838</v>
      </c>
      <c r="R29" s="1751"/>
      <c r="S29" s="1751"/>
      <c r="T29" s="1751"/>
      <c r="U29" s="1751"/>
      <c r="V29" s="1751"/>
      <c r="W29" s="1751"/>
      <c r="X29" s="1751"/>
      <c r="Y29" s="1751"/>
      <c r="Z29" s="1751"/>
      <c r="AA29" s="1751"/>
      <c r="AB29" s="1751"/>
      <c r="AC29" s="1751"/>
      <c r="AD29" s="1751"/>
      <c r="AE29" s="1751"/>
    </row>
    <row r="30" spans="1:31" ht="45" customHeight="1">
      <c r="A30" s="1751" t="s">
        <v>3839</v>
      </c>
      <c r="B30" s="1751"/>
      <c r="C30" s="1751"/>
      <c r="D30" s="1751"/>
      <c r="E30" s="1751"/>
      <c r="F30" s="1751"/>
      <c r="G30" s="1751"/>
      <c r="H30" s="1751"/>
      <c r="I30" s="1751"/>
      <c r="J30" s="1751"/>
      <c r="K30" s="1751"/>
      <c r="L30" s="1751"/>
      <c r="M30" s="1751"/>
      <c r="N30" s="1751"/>
      <c r="O30" s="1751"/>
      <c r="Q30" s="1751" t="s">
        <v>3839</v>
      </c>
      <c r="R30" s="1751"/>
      <c r="S30" s="1751"/>
      <c r="T30" s="1751"/>
      <c r="U30" s="1751"/>
      <c r="V30" s="1751"/>
      <c r="W30" s="1751"/>
      <c r="X30" s="1751"/>
      <c r="Y30" s="1751"/>
      <c r="Z30" s="1751"/>
      <c r="AA30" s="1751"/>
      <c r="AB30" s="1751"/>
      <c r="AC30" s="1751"/>
      <c r="AD30" s="1751"/>
      <c r="AE30" s="1751"/>
    </row>
    <row r="31" spans="1:31" ht="36.75" customHeight="1">
      <c r="A31" s="1751" t="s">
        <v>3840</v>
      </c>
      <c r="B31" s="1751"/>
      <c r="C31" s="1751"/>
      <c r="D31" s="1751"/>
      <c r="E31" s="1751"/>
      <c r="F31" s="1751"/>
      <c r="G31" s="1751"/>
      <c r="H31" s="1751"/>
      <c r="I31" s="1751"/>
      <c r="J31" s="1751"/>
      <c r="K31" s="1751"/>
      <c r="L31" s="1751"/>
      <c r="M31" s="1751"/>
      <c r="N31" s="1751"/>
      <c r="O31" s="1751"/>
      <c r="Q31" s="1751" t="s">
        <v>3840</v>
      </c>
      <c r="R31" s="1751"/>
      <c r="S31" s="1751"/>
      <c r="T31" s="1751"/>
      <c r="U31" s="1751"/>
      <c r="V31" s="1751"/>
      <c r="W31" s="1751"/>
      <c r="X31" s="1751"/>
      <c r="Y31" s="1751"/>
      <c r="Z31" s="1751"/>
      <c r="AA31" s="1751"/>
      <c r="AB31" s="1751"/>
      <c r="AC31" s="1751"/>
      <c r="AD31" s="1751"/>
      <c r="AE31" s="1751"/>
    </row>
    <row r="32" spans="1:31">
      <c r="A32" s="1751" t="s">
        <v>3841</v>
      </c>
      <c r="B32" s="1751"/>
      <c r="C32" s="1751"/>
      <c r="D32" s="1751"/>
      <c r="E32" s="1751"/>
      <c r="F32" s="1751"/>
      <c r="G32" s="1751"/>
      <c r="H32" s="1751"/>
      <c r="I32" s="1751"/>
      <c r="J32" s="1751"/>
      <c r="K32" s="1751"/>
      <c r="L32" s="1751"/>
      <c r="M32" s="1751"/>
      <c r="N32" s="1751"/>
      <c r="O32" s="1751"/>
      <c r="Q32" s="1751" t="s">
        <v>3841</v>
      </c>
      <c r="R32" s="1751"/>
      <c r="S32" s="1751"/>
      <c r="T32" s="1751"/>
      <c r="U32" s="1751"/>
      <c r="V32" s="1751"/>
      <c r="W32" s="1751"/>
      <c r="X32" s="1751"/>
      <c r="Y32" s="1751"/>
      <c r="Z32" s="1751"/>
      <c r="AA32" s="1751"/>
      <c r="AB32" s="1751"/>
      <c r="AC32" s="1751"/>
      <c r="AD32" s="1751"/>
      <c r="AE32" s="1751"/>
    </row>
    <row r="33" spans="1:31" ht="54.75" customHeight="1">
      <c r="A33" s="1751" t="s">
        <v>3842</v>
      </c>
      <c r="B33" s="1751"/>
      <c r="C33" s="1751"/>
      <c r="D33" s="1751"/>
      <c r="E33" s="1751"/>
      <c r="F33" s="1751"/>
      <c r="G33" s="1751"/>
      <c r="H33" s="1751"/>
      <c r="I33" s="1751"/>
      <c r="J33" s="1751"/>
      <c r="K33" s="1751"/>
      <c r="L33" s="1751"/>
      <c r="M33" s="1751"/>
      <c r="N33" s="1751"/>
      <c r="O33" s="1751"/>
      <c r="Q33" s="1751" t="s">
        <v>3842</v>
      </c>
      <c r="R33" s="1751"/>
      <c r="S33" s="1751"/>
      <c r="T33" s="1751"/>
      <c r="U33" s="1751"/>
      <c r="V33" s="1751"/>
      <c r="W33" s="1751"/>
      <c r="X33" s="1751"/>
      <c r="Y33" s="1751"/>
      <c r="Z33" s="1751"/>
      <c r="AA33" s="1751"/>
      <c r="AB33" s="1751"/>
      <c r="AC33" s="1751"/>
      <c r="AD33" s="1751"/>
      <c r="AE33" s="1751"/>
    </row>
    <row r="34" spans="1:31" ht="30.75" customHeight="1">
      <c r="A34" s="1751" t="s">
        <v>3843</v>
      </c>
      <c r="B34" s="1751"/>
      <c r="C34" s="1751"/>
      <c r="D34" s="1751"/>
      <c r="E34" s="1751"/>
      <c r="F34" s="1751"/>
      <c r="G34" s="1751"/>
      <c r="H34" s="1751"/>
      <c r="I34" s="1751"/>
      <c r="J34" s="1751"/>
      <c r="K34" s="1751"/>
      <c r="L34" s="1751"/>
      <c r="M34" s="1751"/>
      <c r="N34" s="1751"/>
      <c r="O34" s="1751"/>
      <c r="Q34" s="1751" t="s">
        <v>3843</v>
      </c>
      <c r="R34" s="1751"/>
      <c r="S34" s="1751"/>
      <c r="T34" s="1751"/>
      <c r="U34" s="1751"/>
      <c r="V34" s="1751"/>
      <c r="W34" s="1751"/>
      <c r="X34" s="1751"/>
      <c r="Y34" s="1751"/>
      <c r="Z34" s="1751"/>
      <c r="AA34" s="1751"/>
      <c r="AB34" s="1751"/>
      <c r="AC34" s="1751"/>
      <c r="AD34" s="1751"/>
      <c r="AE34" s="1751"/>
    </row>
    <row r="35" spans="1:31" ht="33" customHeight="1">
      <c r="A35" s="1751" t="s">
        <v>3844</v>
      </c>
      <c r="B35" s="1751"/>
      <c r="C35" s="1751"/>
      <c r="D35" s="1751"/>
      <c r="E35" s="1751"/>
      <c r="F35" s="1751"/>
      <c r="G35" s="1751"/>
      <c r="H35" s="1751"/>
      <c r="I35" s="1751"/>
      <c r="J35" s="1751"/>
      <c r="K35" s="1751"/>
      <c r="L35" s="1751"/>
      <c r="M35" s="1751"/>
      <c r="N35" s="1751"/>
      <c r="O35" s="1751"/>
      <c r="Q35" s="1751" t="s">
        <v>3844</v>
      </c>
      <c r="R35" s="1751"/>
      <c r="S35" s="1751"/>
      <c r="T35" s="1751"/>
      <c r="U35" s="1751"/>
      <c r="V35" s="1751"/>
      <c r="W35" s="1751"/>
      <c r="X35" s="1751"/>
      <c r="Y35" s="1751"/>
      <c r="Z35" s="1751"/>
      <c r="AA35" s="1751"/>
      <c r="AB35" s="1751"/>
      <c r="AC35" s="1751"/>
      <c r="AD35" s="1751"/>
      <c r="AE35" s="1751"/>
    </row>
    <row r="36" spans="1:31" ht="34.5" customHeight="1">
      <c r="A36" s="1751" t="s">
        <v>3845</v>
      </c>
      <c r="B36" s="1751"/>
      <c r="C36" s="1751"/>
      <c r="D36" s="1751"/>
      <c r="E36" s="1751"/>
      <c r="F36" s="1751"/>
      <c r="G36" s="1751"/>
      <c r="H36" s="1751"/>
      <c r="I36" s="1751"/>
      <c r="J36" s="1751"/>
      <c r="K36" s="1751"/>
      <c r="L36" s="1751"/>
      <c r="M36" s="1751"/>
      <c r="N36" s="1751"/>
      <c r="O36" s="1751"/>
      <c r="Q36" s="1751" t="s">
        <v>3845</v>
      </c>
      <c r="R36" s="1751"/>
      <c r="S36" s="1751"/>
      <c r="T36" s="1751"/>
      <c r="U36" s="1751"/>
      <c r="V36" s="1751"/>
      <c r="W36" s="1751"/>
      <c r="X36" s="1751"/>
      <c r="Y36" s="1751"/>
      <c r="Z36" s="1751"/>
      <c r="AA36" s="1751"/>
      <c r="AB36" s="1751"/>
      <c r="AC36" s="1751"/>
      <c r="AD36" s="1751"/>
      <c r="AE36" s="1751"/>
    </row>
    <row r="37" spans="1:31">
      <c r="A37" s="1751" t="s">
        <v>3846</v>
      </c>
      <c r="B37" s="1751"/>
      <c r="C37" s="1751"/>
      <c r="D37" s="1751"/>
      <c r="E37" s="1751"/>
      <c r="F37" s="1751"/>
      <c r="G37" s="1751"/>
      <c r="H37" s="1751"/>
      <c r="I37" s="1751"/>
      <c r="J37" s="1751"/>
      <c r="K37" s="1751"/>
      <c r="L37" s="1751"/>
      <c r="M37" s="1751"/>
      <c r="N37" s="1751"/>
      <c r="O37" s="1751"/>
      <c r="Q37" s="1751" t="s">
        <v>3846</v>
      </c>
      <c r="R37" s="1751"/>
      <c r="S37" s="1751"/>
      <c r="T37" s="1751"/>
      <c r="U37" s="1751"/>
      <c r="V37" s="1751"/>
      <c r="W37" s="1751"/>
      <c r="X37" s="1751"/>
      <c r="Y37" s="1751"/>
      <c r="Z37" s="1751"/>
      <c r="AA37" s="1751"/>
      <c r="AB37" s="1751"/>
      <c r="AC37" s="1751"/>
      <c r="AD37" s="1751"/>
      <c r="AE37" s="1751"/>
    </row>
    <row r="38" spans="1:31" ht="54.75" customHeight="1">
      <c r="A38" s="1751" t="s">
        <v>3847</v>
      </c>
      <c r="B38" s="1751"/>
      <c r="C38" s="1751"/>
      <c r="D38" s="1751"/>
      <c r="E38" s="1751"/>
      <c r="F38" s="1751"/>
      <c r="G38" s="1751"/>
      <c r="H38" s="1751"/>
      <c r="I38" s="1751"/>
      <c r="J38" s="1751"/>
      <c r="K38" s="1751"/>
      <c r="L38" s="1751"/>
      <c r="M38" s="1751"/>
      <c r="N38" s="1751"/>
      <c r="O38" s="1751"/>
      <c r="Q38" s="1751" t="s">
        <v>3847</v>
      </c>
      <c r="R38" s="1751"/>
      <c r="S38" s="1751"/>
      <c r="T38" s="1751"/>
      <c r="U38" s="1751"/>
      <c r="V38" s="1751"/>
      <c r="W38" s="1751"/>
      <c r="X38" s="1751"/>
      <c r="Y38" s="1751"/>
      <c r="Z38" s="1751"/>
      <c r="AA38" s="1751"/>
      <c r="AB38" s="1751"/>
      <c r="AC38" s="1751"/>
      <c r="AD38" s="1751"/>
      <c r="AE38" s="1751"/>
    </row>
    <row r="39" spans="1:31">
      <c r="A39" s="1753" t="s">
        <v>3848</v>
      </c>
      <c r="B39" s="1753"/>
      <c r="C39" s="1753"/>
      <c r="D39" s="1753"/>
      <c r="E39" s="1753"/>
      <c r="F39" s="1753"/>
      <c r="G39" s="1753"/>
      <c r="H39" s="1753"/>
      <c r="I39" s="1753"/>
      <c r="J39" s="1753"/>
      <c r="K39" s="1753"/>
      <c r="L39" s="1753"/>
      <c r="M39" s="1753"/>
      <c r="N39" s="1753"/>
      <c r="O39" s="1753"/>
      <c r="Q39" s="1753" t="s">
        <v>3848</v>
      </c>
      <c r="R39" s="1753"/>
      <c r="S39" s="1753"/>
      <c r="T39" s="1753"/>
      <c r="U39" s="1753"/>
      <c r="V39" s="1753"/>
      <c r="W39" s="1753"/>
      <c r="X39" s="1753"/>
      <c r="Y39" s="1753"/>
      <c r="Z39" s="1753"/>
      <c r="AA39" s="1753"/>
      <c r="AB39" s="1753"/>
      <c r="AC39" s="1753"/>
      <c r="AD39" s="1753"/>
      <c r="AE39" s="1753"/>
    </row>
    <row r="40" spans="1:31">
      <c r="A40" s="1752" t="s">
        <v>4025</v>
      </c>
      <c r="B40" s="1752"/>
      <c r="C40" s="1752"/>
      <c r="D40" s="1752"/>
      <c r="E40" s="1752"/>
      <c r="F40" s="1752"/>
      <c r="G40" s="1752"/>
      <c r="H40" s="1752"/>
      <c r="I40" s="1752"/>
      <c r="J40" s="1752"/>
      <c r="K40" s="1752"/>
      <c r="L40" s="1752"/>
      <c r="M40" s="1752"/>
      <c r="N40" s="1752"/>
      <c r="O40" s="1752"/>
      <c r="Q40" s="1752" t="s">
        <v>3849</v>
      </c>
      <c r="R40" s="1752"/>
      <c r="S40" s="1752"/>
      <c r="T40" s="1752"/>
      <c r="U40" s="1752"/>
      <c r="V40" s="1752"/>
      <c r="W40" s="1752"/>
      <c r="X40" s="1752"/>
      <c r="Y40" s="1752"/>
      <c r="Z40" s="1752"/>
      <c r="AA40" s="1752"/>
      <c r="AB40" s="1752"/>
      <c r="AC40" s="1752"/>
      <c r="AD40" s="1752"/>
      <c r="AE40" s="1752"/>
    </row>
    <row r="41" spans="1:31">
      <c r="A41" s="1751" t="s">
        <v>3850</v>
      </c>
      <c r="B41" s="1751"/>
      <c r="C41" s="1751"/>
      <c r="D41" s="1751"/>
      <c r="E41" s="1751"/>
      <c r="F41" s="1751"/>
      <c r="G41" s="1751"/>
      <c r="H41" s="1751"/>
      <c r="I41" s="1751"/>
      <c r="J41" s="1751"/>
      <c r="K41" s="1751"/>
      <c r="L41" s="1751"/>
      <c r="M41" s="1751"/>
      <c r="N41" s="1751"/>
      <c r="O41" s="1751"/>
      <c r="Q41" s="1751" t="s">
        <v>3850</v>
      </c>
      <c r="R41" s="1751"/>
      <c r="S41" s="1751"/>
      <c r="T41" s="1751"/>
      <c r="U41" s="1751"/>
      <c r="V41" s="1751"/>
      <c r="W41" s="1751"/>
      <c r="X41" s="1751"/>
      <c r="Y41" s="1751"/>
      <c r="Z41" s="1751"/>
      <c r="AA41" s="1751"/>
      <c r="AB41" s="1751"/>
      <c r="AC41" s="1751"/>
      <c r="AD41" s="1751"/>
      <c r="AE41" s="1751"/>
    </row>
    <row r="42" spans="1:31">
      <c r="A42" s="1751" t="s">
        <v>3851</v>
      </c>
      <c r="B42" s="1751"/>
      <c r="C42" s="1751"/>
      <c r="D42" s="1751"/>
      <c r="E42" s="1751"/>
      <c r="F42" s="1751"/>
      <c r="G42" s="1751"/>
      <c r="H42" s="1751"/>
      <c r="I42" s="1751"/>
      <c r="J42" s="1751"/>
      <c r="K42" s="1751"/>
      <c r="L42" s="1751"/>
      <c r="M42" s="1751"/>
      <c r="N42" s="1751"/>
      <c r="O42" s="1751"/>
      <c r="Q42" s="1751" t="s">
        <v>3851</v>
      </c>
      <c r="R42" s="1751"/>
      <c r="S42" s="1751"/>
      <c r="T42" s="1751"/>
      <c r="U42" s="1751"/>
      <c r="V42" s="1751"/>
      <c r="W42" s="1751"/>
      <c r="X42" s="1751"/>
      <c r="Y42" s="1751"/>
      <c r="Z42" s="1751"/>
      <c r="AA42" s="1751"/>
      <c r="AB42" s="1751"/>
      <c r="AC42" s="1751"/>
      <c r="AD42" s="1751"/>
      <c r="AE42" s="1751"/>
    </row>
    <row r="43" spans="1:31">
      <c r="A43" s="1751" t="s">
        <v>3852</v>
      </c>
      <c r="B43" s="1751"/>
      <c r="C43" s="1751"/>
      <c r="D43" s="1751"/>
      <c r="E43" s="1751"/>
      <c r="F43" s="1751"/>
      <c r="G43" s="1751"/>
      <c r="H43" s="1751"/>
      <c r="I43" s="1751"/>
      <c r="J43" s="1751"/>
      <c r="K43" s="1751"/>
      <c r="L43" s="1751"/>
      <c r="M43" s="1751"/>
      <c r="N43" s="1751"/>
      <c r="O43" s="1751"/>
      <c r="Q43" s="1751" t="s">
        <v>3852</v>
      </c>
      <c r="R43" s="1751"/>
      <c r="S43" s="1751"/>
      <c r="T43" s="1751"/>
      <c r="U43" s="1751"/>
      <c r="V43" s="1751"/>
      <c r="W43" s="1751"/>
      <c r="X43" s="1751"/>
      <c r="Y43" s="1751"/>
      <c r="Z43" s="1751"/>
      <c r="AA43" s="1751"/>
      <c r="AB43" s="1751"/>
      <c r="AC43" s="1751"/>
      <c r="AD43" s="1751"/>
      <c r="AE43" s="1751"/>
    </row>
    <row r="44" spans="1:31" ht="29.25" customHeight="1">
      <c r="A44" s="1751" t="s">
        <v>3853</v>
      </c>
      <c r="B44" s="1751"/>
      <c r="C44" s="1751"/>
      <c r="D44" s="1751"/>
      <c r="E44" s="1751"/>
      <c r="F44" s="1751"/>
      <c r="G44" s="1751"/>
      <c r="H44" s="1751"/>
      <c r="I44" s="1751"/>
      <c r="J44" s="1751"/>
      <c r="K44" s="1751"/>
      <c r="L44" s="1751"/>
      <c r="M44" s="1751"/>
      <c r="N44" s="1751"/>
      <c r="O44" s="1751"/>
      <c r="Q44" s="1751" t="s">
        <v>3853</v>
      </c>
      <c r="R44" s="1751"/>
      <c r="S44" s="1751"/>
      <c r="T44" s="1751"/>
      <c r="U44" s="1751"/>
      <c r="V44" s="1751"/>
      <c r="W44" s="1751"/>
      <c r="X44" s="1751"/>
      <c r="Y44" s="1751"/>
      <c r="Z44" s="1751"/>
      <c r="AA44" s="1751"/>
      <c r="AB44" s="1751"/>
      <c r="AC44" s="1751"/>
      <c r="AD44" s="1751"/>
      <c r="AE44" s="1751"/>
    </row>
    <row r="45" spans="1:31" ht="70.5" customHeight="1">
      <c r="A45" s="1751" t="s">
        <v>3854</v>
      </c>
      <c r="B45" s="1751"/>
      <c r="C45" s="1751"/>
      <c r="D45" s="1751"/>
      <c r="E45" s="1751"/>
      <c r="F45" s="1751"/>
      <c r="G45" s="1751"/>
      <c r="H45" s="1751"/>
      <c r="I45" s="1751"/>
      <c r="J45" s="1751"/>
      <c r="K45" s="1751"/>
      <c r="L45" s="1751"/>
      <c r="M45" s="1751"/>
      <c r="N45" s="1751"/>
      <c r="O45" s="1751"/>
      <c r="Q45" s="1751" t="s">
        <v>3854</v>
      </c>
      <c r="R45" s="1751"/>
      <c r="S45" s="1751"/>
      <c r="T45" s="1751"/>
      <c r="U45" s="1751"/>
      <c r="V45" s="1751"/>
      <c r="W45" s="1751"/>
      <c r="X45" s="1751"/>
      <c r="Y45" s="1751"/>
      <c r="Z45" s="1751"/>
      <c r="AA45" s="1751"/>
      <c r="AB45" s="1751"/>
      <c r="AC45" s="1751"/>
      <c r="AD45" s="1751"/>
      <c r="AE45" s="1751"/>
    </row>
    <row r="46" spans="1:31" ht="42.75" customHeight="1">
      <c r="A46" s="1751" t="s">
        <v>3855</v>
      </c>
      <c r="B46" s="1751"/>
      <c r="C46" s="1751"/>
      <c r="D46" s="1751"/>
      <c r="E46" s="1751"/>
      <c r="F46" s="1751"/>
      <c r="G46" s="1751"/>
      <c r="H46" s="1751"/>
      <c r="I46" s="1751"/>
      <c r="J46" s="1751"/>
      <c r="K46" s="1751"/>
      <c r="L46" s="1751"/>
      <c r="M46" s="1751"/>
      <c r="N46" s="1751"/>
      <c r="O46" s="1751"/>
      <c r="Q46" s="1751" t="s">
        <v>3855</v>
      </c>
      <c r="R46" s="1751"/>
      <c r="S46" s="1751"/>
      <c r="T46" s="1751"/>
      <c r="U46" s="1751"/>
      <c r="V46" s="1751"/>
      <c r="W46" s="1751"/>
      <c r="X46" s="1751"/>
      <c r="Y46" s="1751"/>
      <c r="Z46" s="1751"/>
      <c r="AA46" s="1751"/>
      <c r="AB46" s="1751"/>
      <c r="AC46" s="1751"/>
      <c r="AD46" s="1751"/>
      <c r="AE46" s="1751"/>
    </row>
    <row r="47" spans="1:31">
      <c r="A47" s="1752" t="s">
        <v>3856</v>
      </c>
      <c r="B47" s="1752"/>
      <c r="C47" s="1752"/>
      <c r="D47" s="1752"/>
      <c r="E47" s="1752"/>
      <c r="F47" s="1752"/>
      <c r="G47" s="1752"/>
      <c r="H47" s="1752"/>
      <c r="I47" s="1752"/>
      <c r="J47" s="1752"/>
      <c r="K47" s="1752"/>
      <c r="L47" s="1752"/>
      <c r="M47" s="1752"/>
      <c r="N47" s="1752"/>
      <c r="O47" s="1752"/>
      <c r="Q47" s="1752" t="s">
        <v>3856</v>
      </c>
      <c r="R47" s="1752"/>
      <c r="S47" s="1752"/>
      <c r="T47" s="1752"/>
      <c r="U47" s="1752"/>
      <c r="V47" s="1752"/>
      <c r="W47" s="1752"/>
      <c r="X47" s="1752"/>
      <c r="Y47" s="1752"/>
      <c r="Z47" s="1752"/>
      <c r="AA47" s="1752"/>
      <c r="AB47" s="1752"/>
      <c r="AC47" s="1752"/>
      <c r="AD47" s="1752"/>
      <c r="AE47" s="1752"/>
    </row>
    <row r="48" spans="1:31" ht="35.25" customHeight="1">
      <c r="A48" s="1752" t="s">
        <v>4026</v>
      </c>
      <c r="B48" s="1752"/>
      <c r="C48" s="1752"/>
      <c r="D48" s="1752"/>
      <c r="E48" s="1752"/>
      <c r="F48" s="1752"/>
      <c r="G48" s="1752"/>
      <c r="H48" s="1752"/>
      <c r="I48" s="1752"/>
      <c r="J48" s="1752"/>
      <c r="K48" s="1752"/>
      <c r="L48" s="1752"/>
      <c r="M48" s="1752"/>
      <c r="N48" s="1752"/>
      <c r="O48" s="1752"/>
      <c r="Q48" s="1752" t="s">
        <v>3857</v>
      </c>
      <c r="R48" s="1752"/>
      <c r="S48" s="1752"/>
      <c r="T48" s="1752"/>
      <c r="U48" s="1752"/>
      <c r="V48" s="1752"/>
      <c r="W48" s="1752"/>
      <c r="X48" s="1752"/>
      <c r="Y48" s="1752"/>
      <c r="Z48" s="1752"/>
      <c r="AA48" s="1752"/>
      <c r="AB48" s="1752"/>
      <c r="AC48" s="1752"/>
      <c r="AD48" s="1752"/>
      <c r="AE48" s="1752"/>
    </row>
    <row r="49" spans="1:31" ht="45" customHeight="1">
      <c r="A49" s="1751" t="s">
        <v>3858</v>
      </c>
      <c r="B49" s="1751"/>
      <c r="C49" s="1751"/>
      <c r="D49" s="1751"/>
      <c r="E49" s="1751"/>
      <c r="F49" s="1751"/>
      <c r="G49" s="1751"/>
      <c r="H49" s="1751"/>
      <c r="I49" s="1751"/>
      <c r="J49" s="1751"/>
      <c r="K49" s="1751"/>
      <c r="L49" s="1751"/>
      <c r="M49" s="1751"/>
      <c r="N49" s="1751"/>
      <c r="O49" s="1751"/>
      <c r="Q49" s="1751" t="s">
        <v>3858</v>
      </c>
      <c r="R49" s="1751"/>
      <c r="S49" s="1751"/>
      <c r="T49" s="1751"/>
      <c r="U49" s="1751"/>
      <c r="V49" s="1751"/>
      <c r="W49" s="1751"/>
      <c r="X49" s="1751"/>
      <c r="Y49" s="1751"/>
      <c r="Z49" s="1751"/>
      <c r="AA49" s="1751"/>
      <c r="AB49" s="1751"/>
      <c r="AC49" s="1751"/>
      <c r="AD49" s="1751"/>
      <c r="AE49" s="1751"/>
    </row>
    <row r="50" spans="1:31" ht="55.5" customHeight="1">
      <c r="A50" s="1751" t="s">
        <v>3859</v>
      </c>
      <c r="B50" s="1751"/>
      <c r="C50" s="1751"/>
      <c r="D50" s="1751"/>
      <c r="E50" s="1751"/>
      <c r="F50" s="1751"/>
      <c r="G50" s="1751"/>
      <c r="H50" s="1751"/>
      <c r="I50" s="1751"/>
      <c r="J50" s="1751"/>
      <c r="K50" s="1751"/>
      <c r="L50" s="1751"/>
      <c r="M50" s="1751"/>
      <c r="N50" s="1751"/>
      <c r="O50" s="1751"/>
      <c r="Q50" s="1751" t="s">
        <v>3859</v>
      </c>
      <c r="R50" s="1751"/>
      <c r="S50" s="1751"/>
      <c r="T50" s="1751"/>
      <c r="U50" s="1751"/>
      <c r="V50" s="1751"/>
      <c r="W50" s="1751"/>
      <c r="X50" s="1751"/>
      <c r="Y50" s="1751"/>
      <c r="Z50" s="1751"/>
      <c r="AA50" s="1751"/>
      <c r="AB50" s="1751"/>
      <c r="AC50" s="1751"/>
      <c r="AD50" s="1751"/>
      <c r="AE50" s="1751"/>
    </row>
    <row r="51" spans="1:31" ht="33.75" customHeight="1">
      <c r="A51" s="1751" t="s">
        <v>3860</v>
      </c>
      <c r="B51" s="1751"/>
      <c r="C51" s="1751"/>
      <c r="D51" s="1751"/>
      <c r="E51" s="1751"/>
      <c r="F51" s="1751"/>
      <c r="G51" s="1751"/>
      <c r="H51" s="1751"/>
      <c r="I51" s="1751"/>
      <c r="J51" s="1751"/>
      <c r="K51" s="1751"/>
      <c r="L51" s="1751"/>
      <c r="M51" s="1751"/>
      <c r="N51" s="1751"/>
      <c r="O51" s="1751"/>
      <c r="Q51" s="1751" t="s">
        <v>3860</v>
      </c>
      <c r="R51" s="1751"/>
      <c r="S51" s="1751"/>
      <c r="T51" s="1751"/>
      <c r="U51" s="1751"/>
      <c r="V51" s="1751"/>
      <c r="W51" s="1751"/>
      <c r="X51" s="1751"/>
      <c r="Y51" s="1751"/>
      <c r="Z51" s="1751"/>
      <c r="AA51" s="1751"/>
      <c r="AB51" s="1751"/>
      <c r="AC51" s="1751"/>
      <c r="AD51" s="1751"/>
      <c r="AE51" s="1751"/>
    </row>
    <row r="52" spans="1:31" ht="137.25" customHeight="1">
      <c r="A52" s="1751" t="s">
        <v>3861</v>
      </c>
      <c r="B52" s="1751"/>
      <c r="C52" s="1751"/>
      <c r="D52" s="1751"/>
      <c r="E52" s="1751"/>
      <c r="F52" s="1751"/>
      <c r="G52" s="1751"/>
      <c r="H52" s="1751"/>
      <c r="I52" s="1751"/>
      <c r="J52" s="1751"/>
      <c r="K52" s="1751"/>
      <c r="L52" s="1751"/>
      <c r="M52" s="1751"/>
      <c r="N52" s="1751"/>
      <c r="O52" s="1751"/>
      <c r="Q52" s="1751" t="s">
        <v>3861</v>
      </c>
      <c r="R52" s="1751"/>
      <c r="S52" s="1751"/>
      <c r="T52" s="1751"/>
      <c r="U52" s="1751"/>
      <c r="V52" s="1751"/>
      <c r="W52" s="1751"/>
      <c r="X52" s="1751"/>
      <c r="Y52" s="1751"/>
      <c r="Z52" s="1751"/>
      <c r="AA52" s="1751"/>
      <c r="AB52" s="1751"/>
      <c r="AC52" s="1751"/>
      <c r="AD52" s="1751"/>
      <c r="AE52" s="1751"/>
    </row>
    <row r="53" spans="1:31" s="273" customFormat="1" ht="15">
      <c r="A53" s="1768" t="s">
        <v>3862</v>
      </c>
      <c r="B53" s="1768"/>
      <c r="C53" s="1768"/>
      <c r="D53" s="1768"/>
      <c r="E53" s="1768"/>
      <c r="F53" s="1768"/>
      <c r="G53" s="1768"/>
      <c r="H53" s="1768"/>
      <c r="I53" s="1768"/>
      <c r="J53" s="1768"/>
      <c r="K53" s="1768"/>
      <c r="L53" s="1768"/>
      <c r="M53" s="1768"/>
      <c r="N53" s="1768"/>
      <c r="O53" s="1768"/>
      <c r="Q53" s="1764" t="s">
        <v>3862</v>
      </c>
      <c r="R53" s="1764"/>
      <c r="S53" s="1764"/>
      <c r="T53" s="1764"/>
      <c r="U53" s="1764"/>
      <c r="V53" s="1764"/>
      <c r="W53" s="1764"/>
      <c r="X53" s="1764"/>
      <c r="Y53" s="1764"/>
      <c r="Z53" s="1764"/>
      <c r="AA53" s="1764"/>
      <c r="AB53" s="1764"/>
      <c r="AC53" s="1764"/>
      <c r="AD53" s="1764"/>
      <c r="AE53" s="1764"/>
    </row>
    <row r="54" spans="1:31" ht="16.5" customHeight="1">
      <c r="A54" s="1752" t="s">
        <v>4027</v>
      </c>
      <c r="B54" s="1752"/>
      <c r="C54" s="1752"/>
      <c r="D54" s="1752"/>
      <c r="E54" s="1752"/>
      <c r="F54" s="1752"/>
      <c r="G54" s="1752"/>
      <c r="H54" s="1752"/>
      <c r="I54" s="1752"/>
      <c r="J54" s="1752"/>
      <c r="K54" s="1752"/>
      <c r="L54" s="1752"/>
      <c r="M54" s="1752"/>
      <c r="N54" s="1752"/>
      <c r="O54" s="1752"/>
      <c r="Q54" s="1756" t="s">
        <v>3863</v>
      </c>
      <c r="R54" s="1756"/>
      <c r="S54" s="1756"/>
      <c r="T54" s="1756"/>
      <c r="U54" s="1756"/>
      <c r="V54" s="1756"/>
      <c r="W54" s="1756"/>
      <c r="X54" s="1756"/>
      <c r="Y54" s="1756"/>
      <c r="Z54" s="1756"/>
      <c r="AA54" s="1756"/>
      <c r="AB54" s="1756"/>
      <c r="AC54" s="1756"/>
      <c r="AD54" s="1756"/>
      <c r="AE54" s="1756"/>
    </row>
    <row r="55" spans="1:31" ht="37.5" customHeight="1">
      <c r="A55" s="1751" t="s">
        <v>3864</v>
      </c>
      <c r="B55" s="1751"/>
      <c r="C55" s="1751"/>
      <c r="D55" s="1751"/>
      <c r="E55" s="1751"/>
      <c r="F55" s="1751"/>
      <c r="G55" s="1751"/>
      <c r="H55" s="1751"/>
      <c r="I55" s="1751"/>
      <c r="J55" s="1751"/>
      <c r="K55" s="1751"/>
      <c r="L55" s="1751"/>
      <c r="M55" s="1751"/>
      <c r="N55" s="1751"/>
      <c r="O55" s="1751"/>
      <c r="Q55" s="1765" t="s">
        <v>3864</v>
      </c>
      <c r="R55" s="1765"/>
      <c r="S55" s="1765"/>
      <c r="T55" s="1765"/>
      <c r="U55" s="1765"/>
      <c r="V55" s="1765"/>
      <c r="W55" s="1765"/>
      <c r="X55" s="1765"/>
      <c r="Y55" s="1765"/>
      <c r="Z55" s="1765"/>
      <c r="AA55" s="1765"/>
      <c r="AB55" s="1765"/>
      <c r="AC55" s="1765"/>
      <c r="AD55" s="1765"/>
      <c r="AE55" s="1765"/>
    </row>
    <row r="56" spans="1:31" ht="53.25" customHeight="1">
      <c r="A56" s="1751" t="s">
        <v>3865</v>
      </c>
      <c r="B56" s="1751"/>
      <c r="C56" s="1751"/>
      <c r="D56" s="1751"/>
      <c r="E56" s="1751"/>
      <c r="F56" s="1751"/>
      <c r="G56" s="1751"/>
      <c r="H56" s="1751"/>
      <c r="I56" s="1751"/>
      <c r="J56" s="1751"/>
      <c r="K56" s="1751"/>
      <c r="L56" s="1751"/>
      <c r="M56" s="1751"/>
      <c r="N56" s="1751"/>
      <c r="O56" s="1751"/>
      <c r="Q56" s="1765" t="s">
        <v>3865</v>
      </c>
      <c r="R56" s="1765"/>
      <c r="S56" s="1765"/>
      <c r="T56" s="1765"/>
      <c r="U56" s="1765"/>
      <c r="V56" s="1765"/>
      <c r="W56" s="1765"/>
      <c r="X56" s="1765"/>
      <c r="Y56" s="1765"/>
      <c r="Z56" s="1765"/>
      <c r="AA56" s="1765"/>
      <c r="AB56" s="1765"/>
      <c r="AC56" s="1765"/>
      <c r="AD56" s="1765"/>
      <c r="AE56" s="1765"/>
    </row>
    <row r="57" spans="1:31" ht="64.5" customHeight="1">
      <c r="A57" s="1751" t="s">
        <v>3866</v>
      </c>
      <c r="B57" s="1751"/>
      <c r="C57" s="1751"/>
      <c r="D57" s="1751"/>
      <c r="E57" s="1751"/>
      <c r="F57" s="1751"/>
      <c r="G57" s="1751"/>
      <c r="H57" s="1751"/>
      <c r="I57" s="1751"/>
      <c r="J57" s="1751"/>
      <c r="K57" s="1751"/>
      <c r="L57" s="1751"/>
      <c r="M57" s="1751"/>
      <c r="N57" s="1751"/>
      <c r="O57" s="1751"/>
      <c r="Q57" s="1765" t="s">
        <v>3866</v>
      </c>
      <c r="R57" s="1765"/>
      <c r="S57" s="1765"/>
      <c r="T57" s="1765"/>
      <c r="U57" s="1765"/>
      <c r="V57" s="1765"/>
      <c r="W57" s="1765"/>
      <c r="X57" s="1765"/>
      <c r="Y57" s="1765"/>
      <c r="Z57" s="1765"/>
      <c r="AA57" s="1765"/>
      <c r="AB57" s="1765"/>
      <c r="AC57" s="1765"/>
      <c r="AD57" s="1765"/>
      <c r="AE57" s="1765"/>
    </row>
    <row r="58" spans="1:31">
      <c r="A58" s="1752" t="s">
        <v>3867</v>
      </c>
      <c r="B58" s="1752"/>
      <c r="C58" s="1752"/>
      <c r="D58" s="1752"/>
      <c r="E58" s="1752"/>
      <c r="F58" s="1752"/>
      <c r="G58" s="1752"/>
      <c r="H58" s="1752"/>
      <c r="I58" s="1752"/>
      <c r="J58" s="1752"/>
      <c r="K58" s="1752"/>
      <c r="L58" s="1752"/>
      <c r="M58" s="1752"/>
      <c r="N58" s="1752"/>
      <c r="O58" s="1752"/>
      <c r="Q58" s="1752" t="s">
        <v>3867</v>
      </c>
      <c r="R58" s="1752"/>
      <c r="S58" s="1752"/>
      <c r="T58" s="1752"/>
      <c r="U58" s="1752"/>
      <c r="V58" s="1752"/>
      <c r="W58" s="1752"/>
      <c r="X58" s="1752"/>
      <c r="Y58" s="1752"/>
      <c r="Z58" s="1752"/>
      <c r="AA58" s="1752"/>
      <c r="AB58" s="1752"/>
      <c r="AC58" s="1752"/>
      <c r="AD58" s="1752"/>
      <c r="AE58" s="1752"/>
    </row>
    <row r="59" spans="1:31" ht="66" customHeight="1">
      <c r="A59" s="1752" t="s">
        <v>4028</v>
      </c>
      <c r="B59" s="1752"/>
      <c r="C59" s="1752"/>
      <c r="D59" s="1752"/>
      <c r="E59" s="1752"/>
      <c r="F59" s="1752"/>
      <c r="G59" s="1752"/>
      <c r="H59" s="1752"/>
      <c r="I59" s="1752"/>
      <c r="J59" s="1752"/>
      <c r="K59" s="1752"/>
      <c r="L59" s="1752"/>
      <c r="M59" s="1752"/>
      <c r="N59" s="1752"/>
      <c r="O59" s="1752"/>
      <c r="Q59" s="1752" t="s">
        <v>3868</v>
      </c>
      <c r="R59" s="1752"/>
      <c r="S59" s="1752"/>
      <c r="T59" s="1752"/>
      <c r="U59" s="1752"/>
      <c r="V59" s="1752"/>
      <c r="W59" s="1752"/>
      <c r="X59" s="1752"/>
      <c r="Y59" s="1752"/>
      <c r="Z59" s="1752"/>
      <c r="AA59" s="1752"/>
      <c r="AB59" s="1752"/>
      <c r="AC59" s="1752"/>
      <c r="AD59" s="1752"/>
      <c r="AE59" s="1752"/>
    </row>
    <row r="60" spans="1:31" ht="54" customHeight="1">
      <c r="A60" s="1751" t="s">
        <v>3869</v>
      </c>
      <c r="B60" s="1751"/>
      <c r="C60" s="1751"/>
      <c r="D60" s="1751"/>
      <c r="E60" s="1751"/>
      <c r="F60" s="1751"/>
      <c r="G60" s="1751"/>
      <c r="H60" s="1751"/>
      <c r="I60" s="1751"/>
      <c r="J60" s="1751"/>
      <c r="K60" s="1751"/>
      <c r="L60" s="1751"/>
      <c r="M60" s="1751"/>
      <c r="N60" s="1751"/>
      <c r="O60" s="1751"/>
      <c r="Q60" s="1751" t="s">
        <v>3869</v>
      </c>
      <c r="R60" s="1751"/>
      <c r="S60" s="1751"/>
      <c r="T60" s="1751"/>
      <c r="U60" s="1751"/>
      <c r="V60" s="1751"/>
      <c r="W60" s="1751"/>
      <c r="X60" s="1751"/>
      <c r="Y60" s="1751"/>
      <c r="Z60" s="1751"/>
      <c r="AA60" s="1751"/>
      <c r="AB60" s="1751"/>
      <c r="AC60" s="1751"/>
      <c r="AD60" s="1751"/>
      <c r="AE60" s="1751"/>
    </row>
    <row r="61" spans="1:31" ht="30.75" customHeight="1">
      <c r="A61" s="1751" t="s">
        <v>3870</v>
      </c>
      <c r="B61" s="1751"/>
      <c r="C61" s="1751"/>
      <c r="D61" s="1751"/>
      <c r="E61" s="1751"/>
      <c r="F61" s="1751"/>
      <c r="G61" s="1751"/>
      <c r="H61" s="1751"/>
      <c r="I61" s="1751"/>
      <c r="J61" s="1751"/>
      <c r="K61" s="1751"/>
      <c r="L61" s="1751"/>
      <c r="M61" s="1751"/>
      <c r="N61" s="1751"/>
      <c r="O61" s="1751"/>
      <c r="Q61" s="1751" t="s">
        <v>3870</v>
      </c>
      <c r="R61" s="1751"/>
      <c r="S61" s="1751"/>
      <c r="T61" s="1751"/>
      <c r="U61" s="1751"/>
      <c r="V61" s="1751"/>
      <c r="W61" s="1751"/>
      <c r="X61" s="1751"/>
      <c r="Y61" s="1751"/>
      <c r="Z61" s="1751"/>
      <c r="AA61" s="1751"/>
      <c r="AB61" s="1751"/>
      <c r="AC61" s="1751"/>
      <c r="AD61" s="1751"/>
      <c r="AE61" s="1751"/>
    </row>
    <row r="62" spans="1:31" ht="27" customHeight="1">
      <c r="A62" s="1751" t="s">
        <v>3871</v>
      </c>
      <c r="B62" s="1751"/>
      <c r="C62" s="1751"/>
      <c r="D62" s="1751"/>
      <c r="E62" s="1751"/>
      <c r="F62" s="1751"/>
      <c r="G62" s="1751"/>
      <c r="H62" s="1751"/>
      <c r="I62" s="1751"/>
      <c r="J62" s="1751"/>
      <c r="K62" s="1751"/>
      <c r="L62" s="1751"/>
      <c r="M62" s="1751"/>
      <c r="N62" s="1751"/>
      <c r="O62" s="1751"/>
      <c r="Q62" s="1751" t="s">
        <v>3871</v>
      </c>
      <c r="R62" s="1751"/>
      <c r="S62" s="1751"/>
      <c r="T62" s="1751"/>
      <c r="U62" s="1751"/>
      <c r="V62" s="1751"/>
      <c r="W62" s="1751"/>
      <c r="X62" s="1751"/>
      <c r="Y62" s="1751"/>
      <c r="Z62" s="1751"/>
      <c r="AA62" s="1751"/>
      <c r="AB62" s="1751"/>
      <c r="AC62" s="1751"/>
      <c r="AD62" s="1751"/>
      <c r="AE62" s="1751"/>
    </row>
    <row r="63" spans="1:31">
      <c r="A63" s="1752" t="s">
        <v>3872</v>
      </c>
      <c r="B63" s="1752"/>
      <c r="C63" s="1752"/>
      <c r="D63" s="1752"/>
      <c r="E63" s="1752"/>
      <c r="F63" s="1752"/>
      <c r="G63" s="1752"/>
      <c r="H63" s="1752"/>
      <c r="I63" s="1752"/>
      <c r="J63" s="1752"/>
      <c r="K63" s="1752"/>
      <c r="L63" s="1752"/>
      <c r="M63" s="1752"/>
      <c r="N63" s="1752"/>
      <c r="O63" s="1752"/>
      <c r="Q63" s="1752" t="s">
        <v>3872</v>
      </c>
      <c r="R63" s="1752"/>
      <c r="S63" s="1752"/>
      <c r="T63" s="1752"/>
      <c r="U63" s="1752"/>
      <c r="V63" s="1752"/>
      <c r="W63" s="1752"/>
      <c r="X63" s="1752"/>
      <c r="Y63" s="1752"/>
      <c r="Z63" s="1752"/>
      <c r="AA63" s="1752"/>
      <c r="AB63" s="1752"/>
      <c r="AC63" s="1752"/>
      <c r="AD63" s="1752"/>
      <c r="AE63" s="1752"/>
    </row>
    <row r="64" spans="1:31" ht="80.25" customHeight="1">
      <c r="A64" s="1752" t="s">
        <v>4029</v>
      </c>
      <c r="B64" s="1752"/>
      <c r="C64" s="1752"/>
      <c r="D64" s="1752"/>
      <c r="E64" s="1752"/>
      <c r="F64" s="1752"/>
      <c r="G64" s="1752"/>
      <c r="H64" s="1752"/>
      <c r="I64" s="1752"/>
      <c r="J64" s="1752"/>
      <c r="K64" s="1752"/>
      <c r="L64" s="1752"/>
      <c r="M64" s="1752"/>
      <c r="N64" s="1752"/>
      <c r="O64" s="1752"/>
      <c r="Q64" s="1752" t="s">
        <v>3873</v>
      </c>
      <c r="R64" s="1752"/>
      <c r="S64" s="1752"/>
      <c r="T64" s="1752"/>
      <c r="U64" s="1752"/>
      <c r="V64" s="1752"/>
      <c r="W64" s="1752"/>
      <c r="X64" s="1752"/>
      <c r="Y64" s="1752"/>
      <c r="Z64" s="1752"/>
      <c r="AA64" s="1752"/>
      <c r="AB64" s="1752"/>
      <c r="AC64" s="1752"/>
      <c r="AD64" s="1752"/>
      <c r="AE64" s="1752"/>
    </row>
    <row r="65" spans="1:31" ht="30" customHeight="1">
      <c r="A65" s="1751" t="s">
        <v>3874</v>
      </c>
      <c r="B65" s="1751"/>
      <c r="C65" s="1751"/>
      <c r="D65" s="1751"/>
      <c r="E65" s="1751"/>
      <c r="F65" s="1751"/>
      <c r="G65" s="1751"/>
      <c r="H65" s="1751"/>
      <c r="I65" s="1751"/>
      <c r="J65" s="1751"/>
      <c r="K65" s="1751"/>
      <c r="L65" s="1751"/>
      <c r="M65" s="1751"/>
      <c r="N65" s="1751"/>
      <c r="O65" s="1751"/>
      <c r="Q65" s="1751" t="s">
        <v>3874</v>
      </c>
      <c r="R65" s="1751"/>
      <c r="S65" s="1751"/>
      <c r="T65" s="1751"/>
      <c r="U65" s="1751"/>
      <c r="V65" s="1751"/>
      <c r="W65" s="1751"/>
      <c r="X65" s="1751"/>
      <c r="Y65" s="1751"/>
      <c r="Z65" s="1751"/>
      <c r="AA65" s="1751"/>
      <c r="AB65" s="1751"/>
      <c r="AC65" s="1751"/>
      <c r="AD65" s="1751"/>
      <c r="AE65" s="1751"/>
    </row>
    <row r="66" spans="1:31" ht="30.75" customHeight="1">
      <c r="A66" s="1751" t="s">
        <v>3875</v>
      </c>
      <c r="B66" s="1751"/>
      <c r="C66" s="1751"/>
      <c r="D66" s="1751"/>
      <c r="E66" s="1751"/>
      <c r="F66" s="1751"/>
      <c r="G66" s="1751"/>
      <c r="H66" s="1751"/>
      <c r="I66" s="1751"/>
      <c r="J66" s="1751"/>
      <c r="K66" s="1751"/>
      <c r="L66" s="1751"/>
      <c r="M66" s="1751"/>
      <c r="N66" s="1751"/>
      <c r="O66" s="1751"/>
      <c r="Q66" s="1751" t="s">
        <v>3875</v>
      </c>
      <c r="R66" s="1751"/>
      <c r="S66" s="1751"/>
      <c r="T66" s="1751"/>
      <c r="U66" s="1751"/>
      <c r="V66" s="1751"/>
      <c r="W66" s="1751"/>
      <c r="X66" s="1751"/>
      <c r="Y66" s="1751"/>
      <c r="Z66" s="1751"/>
      <c r="AA66" s="1751"/>
      <c r="AB66" s="1751"/>
      <c r="AC66" s="1751"/>
      <c r="AD66" s="1751"/>
      <c r="AE66" s="1751"/>
    </row>
    <row r="67" spans="1:31" ht="31.5" customHeight="1">
      <c r="A67" s="1751" t="s">
        <v>3876</v>
      </c>
      <c r="B67" s="1751"/>
      <c r="C67" s="1751"/>
      <c r="D67" s="1751"/>
      <c r="E67" s="1751"/>
      <c r="F67" s="1751"/>
      <c r="G67" s="1751"/>
      <c r="H67" s="1751"/>
      <c r="I67" s="1751"/>
      <c r="J67" s="1751"/>
      <c r="K67" s="1751"/>
      <c r="L67" s="1751"/>
      <c r="M67" s="1751"/>
      <c r="N67" s="1751"/>
      <c r="O67" s="1751"/>
      <c r="Q67" s="1751" t="s">
        <v>3876</v>
      </c>
      <c r="R67" s="1751"/>
      <c r="S67" s="1751"/>
      <c r="T67" s="1751"/>
      <c r="U67" s="1751"/>
      <c r="V67" s="1751"/>
      <c r="W67" s="1751"/>
      <c r="X67" s="1751"/>
      <c r="Y67" s="1751"/>
      <c r="Z67" s="1751"/>
      <c r="AA67" s="1751"/>
      <c r="AB67" s="1751"/>
      <c r="AC67" s="1751"/>
      <c r="AD67" s="1751"/>
      <c r="AE67" s="1751"/>
    </row>
    <row r="68" spans="1:31" ht="33.75" customHeight="1">
      <c r="A68" s="1751" t="s">
        <v>3877</v>
      </c>
      <c r="B68" s="1751"/>
      <c r="C68" s="1751"/>
      <c r="D68" s="1751"/>
      <c r="E68" s="1751"/>
      <c r="F68" s="1751"/>
      <c r="G68" s="1751"/>
      <c r="H68" s="1751"/>
      <c r="I68" s="1751"/>
      <c r="J68" s="1751"/>
      <c r="K68" s="1751"/>
      <c r="L68" s="1751"/>
      <c r="M68" s="1751"/>
      <c r="N68" s="1751"/>
      <c r="O68" s="1751"/>
      <c r="Q68" s="1751" t="s">
        <v>3877</v>
      </c>
      <c r="R68" s="1751"/>
      <c r="S68" s="1751"/>
      <c r="T68" s="1751"/>
      <c r="U68" s="1751"/>
      <c r="V68" s="1751"/>
      <c r="W68" s="1751"/>
      <c r="X68" s="1751"/>
      <c r="Y68" s="1751"/>
      <c r="Z68" s="1751"/>
      <c r="AA68" s="1751"/>
      <c r="AB68" s="1751"/>
      <c r="AC68" s="1751"/>
      <c r="AD68" s="1751"/>
      <c r="AE68" s="1751"/>
    </row>
    <row r="69" spans="1:31" ht="12.75" customHeight="1">
      <c r="A69" s="1752" t="s">
        <v>3878</v>
      </c>
      <c r="B69" s="1752"/>
      <c r="C69" s="1752"/>
      <c r="D69" s="1752"/>
      <c r="E69" s="1752"/>
      <c r="F69" s="1752"/>
      <c r="G69" s="1752"/>
      <c r="H69" s="1752"/>
      <c r="I69" s="1752"/>
      <c r="J69" s="1752"/>
      <c r="K69" s="1752"/>
      <c r="L69" s="1752"/>
      <c r="M69" s="1752"/>
      <c r="N69" s="1752"/>
      <c r="O69" s="1752"/>
      <c r="Q69" s="1752" t="s">
        <v>3878</v>
      </c>
      <c r="R69" s="1752"/>
      <c r="S69" s="1752"/>
      <c r="T69" s="1752"/>
      <c r="U69" s="1752"/>
      <c r="V69" s="1752"/>
      <c r="W69" s="1752"/>
      <c r="X69" s="1752"/>
      <c r="Y69" s="1752"/>
      <c r="Z69" s="1752"/>
      <c r="AA69" s="1752"/>
      <c r="AB69" s="1752"/>
      <c r="AC69" s="1752"/>
      <c r="AD69" s="1752"/>
      <c r="AE69" s="1752"/>
    </row>
    <row r="70" spans="1:31" ht="67.5" customHeight="1">
      <c r="A70" s="1752" t="s">
        <v>4030</v>
      </c>
      <c r="B70" s="1752"/>
      <c r="C70" s="1752"/>
      <c r="D70" s="1752"/>
      <c r="E70" s="1752"/>
      <c r="F70" s="1752"/>
      <c r="G70" s="1752"/>
      <c r="H70" s="1752"/>
      <c r="I70" s="1752"/>
      <c r="J70" s="1752"/>
      <c r="K70" s="1752"/>
      <c r="L70" s="1752"/>
      <c r="M70" s="1752"/>
      <c r="N70" s="1752"/>
      <c r="O70" s="1752"/>
      <c r="Q70" s="1752" t="s">
        <v>3879</v>
      </c>
      <c r="R70" s="1752"/>
      <c r="S70" s="1752"/>
      <c r="T70" s="1752"/>
      <c r="U70" s="1752"/>
      <c r="V70" s="1752"/>
      <c r="W70" s="1752"/>
      <c r="X70" s="1752"/>
      <c r="Y70" s="1752"/>
      <c r="Z70" s="1752"/>
      <c r="AA70" s="1752"/>
      <c r="AB70" s="1752"/>
      <c r="AC70" s="1752"/>
      <c r="AD70" s="1752"/>
      <c r="AE70" s="1752"/>
    </row>
    <row r="71" spans="1:31" ht="32.25" customHeight="1">
      <c r="A71" s="1751" t="s">
        <v>3880</v>
      </c>
      <c r="B71" s="1751"/>
      <c r="C71" s="1751"/>
      <c r="D71" s="1751"/>
      <c r="E71" s="1751"/>
      <c r="F71" s="1751"/>
      <c r="G71" s="1751"/>
      <c r="H71" s="1751"/>
      <c r="I71" s="1751"/>
      <c r="J71" s="1751"/>
      <c r="K71" s="1751"/>
      <c r="L71" s="1751"/>
      <c r="M71" s="1751"/>
      <c r="N71" s="1751"/>
      <c r="O71" s="1751"/>
      <c r="Q71" s="1751" t="s">
        <v>3880</v>
      </c>
      <c r="R71" s="1751"/>
      <c r="S71" s="1751"/>
      <c r="T71" s="1751"/>
      <c r="U71" s="1751"/>
      <c r="V71" s="1751"/>
      <c r="W71" s="1751"/>
      <c r="X71" s="1751"/>
      <c r="Y71" s="1751"/>
      <c r="Z71" s="1751"/>
      <c r="AA71" s="1751"/>
      <c r="AB71" s="1751"/>
      <c r="AC71" s="1751"/>
      <c r="AD71" s="1751"/>
      <c r="AE71" s="1751"/>
    </row>
    <row r="72" spans="1:31" ht="105" customHeight="1">
      <c r="A72" s="1751" t="s">
        <v>4031</v>
      </c>
      <c r="B72" s="1751"/>
      <c r="C72" s="1751"/>
      <c r="D72" s="1751"/>
      <c r="E72" s="1751"/>
      <c r="F72" s="1751"/>
      <c r="G72" s="1751"/>
      <c r="H72" s="1751"/>
      <c r="I72" s="1751"/>
      <c r="J72" s="1751"/>
      <c r="K72" s="1751"/>
      <c r="L72" s="1751"/>
      <c r="M72" s="1751"/>
      <c r="N72" s="1751"/>
      <c r="O72" s="1751"/>
      <c r="Q72" s="1751" t="s">
        <v>3881</v>
      </c>
      <c r="R72" s="1751"/>
      <c r="S72" s="1751"/>
      <c r="T72" s="1751"/>
      <c r="U72" s="1751"/>
      <c r="V72" s="1751"/>
      <c r="W72" s="1751"/>
      <c r="X72" s="1751"/>
      <c r="Y72" s="1751"/>
      <c r="Z72" s="1751"/>
      <c r="AA72" s="1751"/>
      <c r="AB72" s="1751"/>
      <c r="AC72" s="1751"/>
      <c r="AD72" s="1751"/>
      <c r="AE72" s="1751"/>
    </row>
    <row r="73" spans="1:31">
      <c r="A73" s="1751" t="s">
        <v>3882</v>
      </c>
      <c r="B73" s="1751"/>
      <c r="C73" s="1751"/>
      <c r="D73" s="1751"/>
      <c r="E73" s="1751"/>
      <c r="F73" s="1751"/>
      <c r="G73" s="1751"/>
      <c r="H73" s="1751"/>
      <c r="I73" s="1751"/>
      <c r="J73" s="1751"/>
      <c r="K73" s="1751"/>
      <c r="L73" s="1751"/>
      <c r="M73" s="1751"/>
      <c r="N73" s="1751"/>
      <c r="O73" s="1751"/>
      <c r="Q73" s="1751" t="s">
        <v>3882</v>
      </c>
      <c r="R73" s="1751"/>
      <c r="S73" s="1751"/>
      <c r="T73" s="1751"/>
      <c r="U73" s="1751"/>
      <c r="V73" s="1751"/>
      <c r="W73" s="1751"/>
      <c r="X73" s="1751"/>
      <c r="Y73" s="1751"/>
      <c r="Z73" s="1751"/>
      <c r="AA73" s="1751"/>
      <c r="AB73" s="1751"/>
      <c r="AC73" s="1751"/>
      <c r="AD73" s="1751"/>
      <c r="AE73" s="1751"/>
    </row>
    <row r="74" spans="1:31" ht="58.5" customHeight="1">
      <c r="A74" s="1751" t="s">
        <v>3883</v>
      </c>
      <c r="B74" s="1751"/>
      <c r="C74" s="1751"/>
      <c r="D74" s="1751"/>
      <c r="E74" s="1751"/>
      <c r="F74" s="1751"/>
      <c r="G74" s="1751"/>
      <c r="H74" s="1751"/>
      <c r="I74" s="1751"/>
      <c r="J74" s="1751"/>
      <c r="K74" s="1751"/>
      <c r="L74" s="1751"/>
      <c r="M74" s="1751"/>
      <c r="N74" s="1751"/>
      <c r="O74" s="1751"/>
      <c r="Q74" s="1751" t="s">
        <v>3883</v>
      </c>
      <c r="R74" s="1751"/>
      <c r="S74" s="1751"/>
      <c r="T74" s="1751"/>
      <c r="U74" s="1751"/>
      <c r="V74" s="1751"/>
      <c r="W74" s="1751"/>
      <c r="X74" s="1751"/>
      <c r="Y74" s="1751"/>
      <c r="Z74" s="1751"/>
      <c r="AA74" s="1751"/>
      <c r="AB74" s="1751"/>
      <c r="AC74" s="1751"/>
      <c r="AD74" s="1751"/>
      <c r="AE74" s="1751"/>
    </row>
    <row r="75" spans="1:31">
      <c r="A75" s="1752" t="s">
        <v>3884</v>
      </c>
      <c r="B75" s="1752"/>
      <c r="C75" s="1752"/>
      <c r="D75" s="1752"/>
      <c r="E75" s="1752"/>
      <c r="F75" s="1752"/>
      <c r="G75" s="1752"/>
      <c r="H75" s="1752"/>
      <c r="I75" s="1752"/>
      <c r="J75" s="1752"/>
      <c r="K75" s="1752"/>
      <c r="L75" s="1752"/>
      <c r="M75" s="1752"/>
      <c r="N75" s="1752"/>
      <c r="O75" s="1752"/>
      <c r="Q75" s="1752" t="s">
        <v>3884</v>
      </c>
      <c r="R75" s="1752"/>
      <c r="S75" s="1752"/>
      <c r="T75" s="1752"/>
      <c r="U75" s="1752"/>
      <c r="V75" s="1752"/>
      <c r="W75" s="1752"/>
      <c r="X75" s="1752"/>
      <c r="Y75" s="1752"/>
      <c r="Z75" s="1752"/>
      <c r="AA75" s="1752"/>
      <c r="AB75" s="1752"/>
      <c r="AC75" s="1752"/>
      <c r="AD75" s="1752"/>
      <c r="AE75" s="1752"/>
    </row>
    <row r="76" spans="1:31">
      <c r="A76" s="1752" t="s">
        <v>4032</v>
      </c>
      <c r="B76" s="1752"/>
      <c r="C76" s="1752"/>
      <c r="D76" s="1752"/>
      <c r="E76" s="1752"/>
      <c r="F76" s="1752"/>
      <c r="G76" s="1752"/>
      <c r="H76" s="1752"/>
      <c r="I76" s="1752"/>
      <c r="J76" s="1752"/>
      <c r="K76" s="1752"/>
      <c r="L76" s="1752"/>
      <c r="M76" s="1752"/>
      <c r="N76" s="1752"/>
      <c r="O76" s="1752"/>
      <c r="Q76" s="1752" t="s">
        <v>3885</v>
      </c>
      <c r="R76" s="1752"/>
      <c r="S76" s="1752"/>
      <c r="T76" s="1752"/>
      <c r="U76" s="1752"/>
      <c r="V76" s="1752"/>
      <c r="W76" s="1752"/>
      <c r="X76" s="1752"/>
      <c r="Y76" s="1752"/>
      <c r="Z76" s="1752"/>
      <c r="AA76" s="1752"/>
      <c r="AB76" s="1752"/>
      <c r="AC76" s="1752"/>
      <c r="AD76" s="1752"/>
      <c r="AE76" s="1752"/>
    </row>
    <row r="77" spans="1:31" ht="59.25" customHeight="1">
      <c r="A77" s="1751" t="s">
        <v>3886</v>
      </c>
      <c r="B77" s="1751"/>
      <c r="C77" s="1751"/>
      <c r="D77" s="1751"/>
      <c r="E77" s="1751"/>
      <c r="F77" s="1751"/>
      <c r="G77" s="1751"/>
      <c r="H77" s="1751"/>
      <c r="I77" s="1751"/>
      <c r="J77" s="1751"/>
      <c r="K77" s="1751"/>
      <c r="L77" s="1751"/>
      <c r="M77" s="1751"/>
      <c r="N77" s="1751"/>
      <c r="O77" s="1751"/>
      <c r="Q77" s="1751" t="s">
        <v>3886</v>
      </c>
      <c r="R77" s="1751"/>
      <c r="S77" s="1751"/>
      <c r="T77" s="1751"/>
      <c r="U77" s="1751"/>
      <c r="V77" s="1751"/>
      <c r="W77" s="1751"/>
      <c r="X77" s="1751"/>
      <c r="Y77" s="1751"/>
      <c r="Z77" s="1751"/>
      <c r="AA77" s="1751"/>
      <c r="AB77" s="1751"/>
      <c r="AC77" s="1751"/>
      <c r="AD77" s="1751"/>
      <c r="AE77" s="1751"/>
    </row>
    <row r="78" spans="1:31" ht="48" customHeight="1">
      <c r="A78" s="1757" t="s">
        <v>3934</v>
      </c>
      <c r="B78" s="1757"/>
      <c r="C78" s="1757"/>
      <c r="D78" s="1757"/>
      <c r="E78" s="1757"/>
      <c r="F78" s="1757"/>
      <c r="G78" s="1757"/>
      <c r="H78" s="1757"/>
      <c r="I78" s="1757"/>
      <c r="J78" s="1757"/>
      <c r="K78" s="1757"/>
      <c r="L78" s="1757"/>
      <c r="M78" s="1757"/>
      <c r="N78" s="1757"/>
      <c r="O78" s="1757"/>
      <c r="Q78" s="1757" t="s">
        <v>3934</v>
      </c>
      <c r="R78" s="1757"/>
      <c r="S78" s="1757"/>
      <c r="T78" s="1757"/>
      <c r="U78" s="1757"/>
      <c r="V78" s="1757"/>
      <c r="W78" s="1757"/>
      <c r="X78" s="1757"/>
      <c r="Y78" s="1757"/>
      <c r="Z78" s="1757"/>
      <c r="AA78" s="1757"/>
      <c r="AB78" s="1757"/>
      <c r="AC78" s="1757"/>
      <c r="AD78" s="1757"/>
      <c r="AE78" s="1757"/>
    </row>
    <row r="79" spans="1:31" ht="51" customHeight="1">
      <c r="A79" s="1757"/>
      <c r="B79" s="1757"/>
      <c r="C79" s="1757"/>
      <c r="D79" s="1757"/>
      <c r="E79" s="1757"/>
      <c r="F79" s="1757"/>
      <c r="G79" s="1757"/>
      <c r="H79" s="1757"/>
      <c r="I79" s="1757"/>
      <c r="J79" s="1757"/>
      <c r="K79" s="1757"/>
      <c r="L79" s="1757"/>
      <c r="M79" s="1757"/>
      <c r="N79" s="1757"/>
      <c r="O79" s="1757"/>
      <c r="Q79" s="1757"/>
      <c r="R79" s="1757"/>
      <c r="S79" s="1757"/>
      <c r="T79" s="1757"/>
      <c r="U79" s="1757"/>
      <c r="V79" s="1757"/>
      <c r="W79" s="1757"/>
      <c r="X79" s="1757"/>
      <c r="Y79" s="1757"/>
      <c r="Z79" s="1757"/>
      <c r="AA79" s="1757"/>
      <c r="AB79" s="1757"/>
      <c r="AC79" s="1757"/>
      <c r="AD79" s="1757"/>
      <c r="AE79" s="1757"/>
    </row>
    <row r="80" spans="1:31" ht="133.5" customHeight="1">
      <c r="A80" s="1751" t="s">
        <v>3887</v>
      </c>
      <c r="B80" s="1751"/>
      <c r="C80" s="1751"/>
      <c r="D80" s="1751"/>
      <c r="E80" s="1751"/>
      <c r="F80" s="1751"/>
      <c r="G80" s="1751"/>
      <c r="H80" s="1751"/>
      <c r="I80" s="1751"/>
      <c r="J80" s="1751"/>
      <c r="K80" s="1751"/>
      <c r="L80" s="1751"/>
      <c r="M80" s="1751"/>
      <c r="N80" s="1751"/>
      <c r="O80" s="1751"/>
      <c r="Q80" s="1751" t="s">
        <v>3887</v>
      </c>
      <c r="R80" s="1751"/>
      <c r="S80" s="1751"/>
      <c r="T80" s="1751"/>
      <c r="U80" s="1751"/>
      <c r="V80" s="1751"/>
      <c r="W80" s="1751"/>
      <c r="X80" s="1751"/>
      <c r="Y80" s="1751"/>
      <c r="Z80" s="1751"/>
      <c r="AA80" s="1751"/>
      <c r="AB80" s="1751"/>
      <c r="AC80" s="1751"/>
      <c r="AD80" s="1751"/>
      <c r="AE80" s="1751"/>
    </row>
    <row r="81" spans="1:31" ht="38.25" customHeight="1">
      <c r="A81" s="1751" t="s">
        <v>3888</v>
      </c>
      <c r="B81" s="1751"/>
      <c r="C81" s="1751"/>
      <c r="D81" s="1751"/>
      <c r="E81" s="1751"/>
      <c r="F81" s="1751"/>
      <c r="G81" s="1751"/>
      <c r="H81" s="1751"/>
      <c r="I81" s="1751"/>
      <c r="J81" s="1751"/>
      <c r="K81" s="1751"/>
      <c r="L81" s="1751"/>
      <c r="M81" s="1751"/>
      <c r="N81" s="1751"/>
      <c r="O81" s="1751"/>
      <c r="Q81" s="1751" t="s">
        <v>3888</v>
      </c>
      <c r="R81" s="1751"/>
      <c r="S81" s="1751"/>
      <c r="T81" s="1751"/>
      <c r="U81" s="1751"/>
      <c r="V81" s="1751"/>
      <c r="W81" s="1751"/>
      <c r="X81" s="1751"/>
      <c r="Y81" s="1751"/>
      <c r="Z81" s="1751"/>
      <c r="AA81" s="1751"/>
      <c r="AB81" s="1751"/>
      <c r="AC81" s="1751"/>
      <c r="AD81" s="1751"/>
      <c r="AE81" s="1751"/>
    </row>
    <row r="82" spans="1:31" ht="59.25" customHeight="1">
      <c r="A82" s="1751" t="s">
        <v>3889</v>
      </c>
      <c r="B82" s="1751"/>
      <c r="C82" s="1751"/>
      <c r="D82" s="1751"/>
      <c r="E82" s="1751"/>
      <c r="F82" s="1751"/>
      <c r="G82" s="1751"/>
      <c r="H82" s="1751"/>
      <c r="I82" s="1751"/>
      <c r="J82" s="1751"/>
      <c r="K82" s="1751"/>
      <c r="L82" s="1751"/>
      <c r="M82" s="1751"/>
      <c r="N82" s="1751"/>
      <c r="O82" s="1751"/>
      <c r="Q82" s="1751" t="s">
        <v>3889</v>
      </c>
      <c r="R82" s="1751"/>
      <c r="S82" s="1751"/>
      <c r="T82" s="1751"/>
      <c r="U82" s="1751"/>
      <c r="V82" s="1751"/>
      <c r="W82" s="1751"/>
      <c r="X82" s="1751"/>
      <c r="Y82" s="1751"/>
      <c r="Z82" s="1751"/>
      <c r="AA82" s="1751"/>
      <c r="AB82" s="1751"/>
      <c r="AC82" s="1751"/>
      <c r="AD82" s="1751"/>
      <c r="AE82" s="1751"/>
    </row>
    <row r="83" spans="1:31" ht="38.25" customHeight="1">
      <c r="A83" s="1757" t="s">
        <v>3935</v>
      </c>
      <c r="B83" s="1757"/>
      <c r="C83" s="1757"/>
      <c r="D83" s="1757"/>
      <c r="E83" s="1757"/>
      <c r="F83" s="1757"/>
      <c r="G83" s="1757"/>
      <c r="H83" s="1757"/>
      <c r="I83" s="1757"/>
      <c r="J83" s="1757"/>
      <c r="K83" s="1757"/>
      <c r="L83" s="1757"/>
      <c r="M83" s="1757"/>
      <c r="N83" s="1757"/>
      <c r="O83" s="1757"/>
      <c r="Q83" s="1757" t="s">
        <v>3935</v>
      </c>
      <c r="R83" s="1757"/>
      <c r="S83" s="1757"/>
      <c r="T83" s="1757"/>
      <c r="U83" s="1757"/>
      <c r="V83" s="1757"/>
      <c r="W83" s="1757"/>
      <c r="X83" s="1757"/>
      <c r="Y83" s="1757"/>
      <c r="Z83" s="1757"/>
      <c r="AA83" s="1757"/>
      <c r="AB83" s="1757"/>
      <c r="AC83" s="1757"/>
      <c r="AD83" s="1757"/>
      <c r="AE83" s="1757"/>
    </row>
    <row r="84" spans="1:31" ht="38.25" customHeight="1">
      <c r="A84" s="1757"/>
      <c r="B84" s="1757"/>
      <c r="C84" s="1757"/>
      <c r="D84" s="1757"/>
      <c r="E84" s="1757"/>
      <c r="F84" s="1757"/>
      <c r="G84" s="1757"/>
      <c r="H84" s="1757"/>
      <c r="I84" s="1757"/>
      <c r="J84" s="1757"/>
      <c r="K84" s="1757"/>
      <c r="L84" s="1757"/>
      <c r="M84" s="1757"/>
      <c r="N84" s="1757"/>
      <c r="O84" s="1757"/>
      <c r="Q84" s="1757"/>
      <c r="R84" s="1757"/>
      <c r="S84" s="1757"/>
      <c r="T84" s="1757"/>
      <c r="U84" s="1757"/>
      <c r="V84" s="1757"/>
      <c r="W84" s="1757"/>
      <c r="X84" s="1757"/>
      <c r="Y84" s="1757"/>
      <c r="Z84" s="1757"/>
      <c r="AA84" s="1757"/>
      <c r="AB84" s="1757"/>
      <c r="AC84" s="1757"/>
      <c r="AD84" s="1757"/>
      <c r="AE84" s="1757"/>
    </row>
    <row r="85" spans="1:31" ht="65.25" customHeight="1">
      <c r="A85" s="1751" t="s">
        <v>3890</v>
      </c>
      <c r="B85" s="1751"/>
      <c r="C85" s="1751"/>
      <c r="D85" s="1751"/>
      <c r="E85" s="1751"/>
      <c r="F85" s="1751"/>
      <c r="G85" s="1751"/>
      <c r="H85" s="1751"/>
      <c r="I85" s="1751"/>
      <c r="J85" s="1751"/>
      <c r="K85" s="1751"/>
      <c r="L85" s="1751"/>
      <c r="M85" s="1751"/>
      <c r="N85" s="1751"/>
      <c r="O85" s="1751"/>
      <c r="Q85" s="1751" t="s">
        <v>3890</v>
      </c>
      <c r="R85" s="1751"/>
      <c r="S85" s="1751"/>
      <c r="T85" s="1751"/>
      <c r="U85" s="1751"/>
      <c r="V85" s="1751"/>
      <c r="W85" s="1751"/>
      <c r="X85" s="1751"/>
      <c r="Y85" s="1751"/>
      <c r="Z85" s="1751"/>
      <c r="AA85" s="1751"/>
      <c r="AB85" s="1751"/>
      <c r="AC85" s="1751"/>
      <c r="AD85" s="1751"/>
      <c r="AE85" s="1751"/>
    </row>
    <row r="86" spans="1:31" ht="64.5" customHeight="1">
      <c r="A86" s="1751" t="s">
        <v>3891</v>
      </c>
      <c r="B86" s="1751"/>
      <c r="C86" s="1751"/>
      <c r="D86" s="1751"/>
      <c r="E86" s="1751"/>
      <c r="F86" s="1751"/>
      <c r="G86" s="1751"/>
      <c r="H86" s="1751"/>
      <c r="I86" s="1751"/>
      <c r="J86" s="1751"/>
      <c r="K86" s="1751"/>
      <c r="L86" s="1751"/>
      <c r="M86" s="1751"/>
      <c r="N86" s="1751"/>
      <c r="O86" s="1751"/>
      <c r="Q86" s="1751" t="s">
        <v>3891</v>
      </c>
      <c r="R86" s="1751"/>
      <c r="S86" s="1751"/>
      <c r="T86" s="1751"/>
      <c r="U86" s="1751"/>
      <c r="V86" s="1751"/>
      <c r="W86" s="1751"/>
      <c r="X86" s="1751"/>
      <c r="Y86" s="1751"/>
      <c r="Z86" s="1751"/>
      <c r="AA86" s="1751"/>
      <c r="AB86" s="1751"/>
      <c r="AC86" s="1751"/>
      <c r="AD86" s="1751"/>
      <c r="AE86" s="1751"/>
    </row>
    <row r="87" spans="1:31">
      <c r="A87" s="1752" t="s">
        <v>3892</v>
      </c>
      <c r="B87" s="1752"/>
      <c r="C87" s="1752"/>
      <c r="D87" s="1752"/>
      <c r="E87" s="1752"/>
      <c r="F87" s="1752"/>
      <c r="G87" s="1752"/>
      <c r="H87" s="1752"/>
      <c r="I87" s="1752"/>
      <c r="J87" s="1752"/>
      <c r="K87" s="1752"/>
      <c r="L87" s="1752"/>
      <c r="M87" s="1752"/>
      <c r="N87" s="1752"/>
      <c r="O87" s="1752"/>
      <c r="Q87" s="1752" t="s">
        <v>3892</v>
      </c>
      <c r="R87" s="1752"/>
      <c r="S87" s="1752"/>
      <c r="T87" s="1752"/>
      <c r="U87" s="1752"/>
      <c r="V87" s="1752"/>
      <c r="W87" s="1752"/>
      <c r="X87" s="1752"/>
      <c r="Y87" s="1752"/>
      <c r="Z87" s="1752"/>
      <c r="AA87" s="1752"/>
      <c r="AB87" s="1752"/>
      <c r="AC87" s="1752"/>
      <c r="AD87" s="1752"/>
      <c r="AE87" s="1752"/>
    </row>
    <row r="88" spans="1:31" ht="81" customHeight="1">
      <c r="A88" s="1752" t="s">
        <v>4033</v>
      </c>
      <c r="B88" s="1752"/>
      <c r="C88" s="1752"/>
      <c r="D88" s="1752"/>
      <c r="E88" s="1752"/>
      <c r="F88" s="1752"/>
      <c r="G88" s="1752"/>
      <c r="H88" s="1752"/>
      <c r="I88" s="1752"/>
      <c r="J88" s="1752"/>
      <c r="K88" s="1752"/>
      <c r="L88" s="1752"/>
      <c r="M88" s="1752"/>
      <c r="N88" s="1752"/>
      <c r="O88" s="1752"/>
      <c r="Q88" s="1752" t="s">
        <v>3893</v>
      </c>
      <c r="R88" s="1752"/>
      <c r="S88" s="1752"/>
      <c r="T88" s="1752"/>
      <c r="U88" s="1752"/>
      <c r="V88" s="1752"/>
      <c r="W88" s="1752"/>
      <c r="X88" s="1752"/>
      <c r="Y88" s="1752"/>
      <c r="Z88" s="1752"/>
      <c r="AA88" s="1752"/>
      <c r="AB88" s="1752"/>
      <c r="AC88" s="1752"/>
      <c r="AD88" s="1752"/>
      <c r="AE88" s="1752"/>
    </row>
    <row r="89" spans="1:31" ht="27" customHeight="1">
      <c r="A89" s="1751" t="s">
        <v>3894</v>
      </c>
      <c r="B89" s="1751"/>
      <c r="C89" s="1751"/>
      <c r="D89" s="1751"/>
      <c r="E89" s="1751"/>
      <c r="F89" s="1751"/>
      <c r="G89" s="1751"/>
      <c r="H89" s="1751"/>
      <c r="I89" s="1751"/>
      <c r="J89" s="1751"/>
      <c r="K89" s="1751"/>
      <c r="L89" s="1751"/>
      <c r="M89" s="1751"/>
      <c r="N89" s="1751"/>
      <c r="O89" s="1751"/>
      <c r="Q89" s="1751" t="s">
        <v>3894</v>
      </c>
      <c r="R89" s="1751"/>
      <c r="S89" s="1751"/>
      <c r="T89" s="1751"/>
      <c r="U89" s="1751"/>
      <c r="V89" s="1751"/>
      <c r="W89" s="1751"/>
      <c r="X89" s="1751"/>
      <c r="Y89" s="1751"/>
      <c r="Z89" s="1751"/>
      <c r="AA89" s="1751"/>
      <c r="AB89" s="1751"/>
      <c r="AC89" s="1751"/>
      <c r="AD89" s="1751"/>
      <c r="AE89" s="1751"/>
    </row>
    <row r="90" spans="1:31" ht="27" customHeight="1">
      <c r="A90" s="1751" t="s">
        <v>3895</v>
      </c>
      <c r="B90" s="1751"/>
      <c r="C90" s="1751"/>
      <c r="D90" s="1751"/>
      <c r="E90" s="1751"/>
      <c r="F90" s="1751"/>
      <c r="G90" s="1751"/>
      <c r="H90" s="1751"/>
      <c r="I90" s="1751"/>
      <c r="J90" s="1751"/>
      <c r="K90" s="1751"/>
      <c r="L90" s="1751"/>
      <c r="M90" s="1751"/>
      <c r="N90" s="1751"/>
      <c r="O90" s="1751"/>
      <c r="Q90" s="1751" t="s">
        <v>3895</v>
      </c>
      <c r="R90" s="1751"/>
      <c r="S90" s="1751"/>
      <c r="T90" s="1751"/>
      <c r="U90" s="1751"/>
      <c r="V90" s="1751"/>
      <c r="W90" s="1751"/>
      <c r="X90" s="1751"/>
      <c r="Y90" s="1751"/>
      <c r="Z90" s="1751"/>
      <c r="AA90" s="1751"/>
      <c r="AB90" s="1751"/>
      <c r="AC90" s="1751"/>
      <c r="AD90" s="1751"/>
      <c r="AE90" s="1751"/>
    </row>
    <row r="91" spans="1:31" ht="38.25" customHeight="1">
      <c r="A91" s="1751" t="s">
        <v>3896</v>
      </c>
      <c r="B91" s="1751"/>
      <c r="C91" s="1751"/>
      <c r="D91" s="1751"/>
      <c r="E91" s="1751"/>
      <c r="F91" s="1751"/>
      <c r="G91" s="1751"/>
      <c r="H91" s="1751"/>
      <c r="I91" s="1751"/>
      <c r="J91" s="1751"/>
      <c r="K91" s="1751"/>
      <c r="L91" s="1751"/>
      <c r="M91" s="1751"/>
      <c r="N91" s="1751"/>
      <c r="O91" s="1751"/>
      <c r="Q91" s="1751" t="s">
        <v>3896</v>
      </c>
      <c r="R91" s="1751"/>
      <c r="S91" s="1751"/>
      <c r="T91" s="1751"/>
      <c r="U91" s="1751"/>
      <c r="V91" s="1751"/>
      <c r="W91" s="1751"/>
      <c r="X91" s="1751"/>
      <c r="Y91" s="1751"/>
      <c r="Z91" s="1751"/>
      <c r="AA91" s="1751"/>
      <c r="AB91" s="1751"/>
      <c r="AC91" s="1751"/>
      <c r="AD91" s="1751"/>
      <c r="AE91" s="1751"/>
    </row>
    <row r="92" spans="1:31" ht="38.25" customHeight="1">
      <c r="A92" s="1751" t="s">
        <v>3897</v>
      </c>
      <c r="B92" s="1751"/>
      <c r="C92" s="1751"/>
      <c r="D92" s="1751"/>
      <c r="E92" s="1751"/>
      <c r="F92" s="1751"/>
      <c r="G92" s="1751"/>
      <c r="H92" s="1751"/>
      <c r="I92" s="1751"/>
      <c r="J92" s="1751"/>
      <c r="K92" s="1751"/>
      <c r="L92" s="1751"/>
      <c r="M92" s="1751"/>
      <c r="N92" s="1751"/>
      <c r="O92" s="1751"/>
      <c r="Q92" s="1751" t="s">
        <v>3897</v>
      </c>
      <c r="R92" s="1751"/>
      <c r="S92" s="1751"/>
      <c r="T92" s="1751"/>
      <c r="U92" s="1751"/>
      <c r="V92" s="1751"/>
      <c r="W92" s="1751"/>
      <c r="X92" s="1751"/>
      <c r="Y92" s="1751"/>
      <c r="Z92" s="1751"/>
      <c r="AA92" s="1751"/>
      <c r="AB92" s="1751"/>
      <c r="AC92" s="1751"/>
      <c r="AD92" s="1751"/>
      <c r="AE92" s="1751"/>
    </row>
    <row r="93" spans="1:31" ht="38.25" customHeight="1">
      <c r="A93" s="1751" t="s">
        <v>3943</v>
      </c>
      <c r="B93" s="1751"/>
      <c r="C93" s="1751"/>
      <c r="D93" s="1751"/>
      <c r="E93" s="1751"/>
      <c r="F93" s="1751"/>
      <c r="G93" s="1751"/>
      <c r="H93" s="1751"/>
      <c r="I93" s="1751"/>
      <c r="J93" s="1751"/>
      <c r="K93" s="1751"/>
      <c r="L93" s="1751"/>
      <c r="M93" s="1751"/>
      <c r="N93" s="1751"/>
      <c r="O93" s="1751"/>
      <c r="Q93" s="1751" t="s">
        <v>3898</v>
      </c>
      <c r="R93" s="1751"/>
      <c r="S93" s="1751"/>
      <c r="T93" s="1751"/>
      <c r="U93" s="1751"/>
      <c r="V93" s="1751"/>
      <c r="W93" s="1751"/>
      <c r="X93" s="1751"/>
      <c r="Y93" s="1751"/>
      <c r="Z93" s="1751"/>
      <c r="AA93" s="1751"/>
      <c r="AB93" s="1751"/>
      <c r="AC93" s="1751"/>
      <c r="AD93" s="1751"/>
      <c r="AE93" s="1751"/>
    </row>
    <row r="94" spans="1:31" ht="38.25" customHeight="1">
      <c r="A94" s="1751" t="s">
        <v>3899</v>
      </c>
      <c r="B94" s="1751"/>
      <c r="C94" s="1751"/>
      <c r="D94" s="1751"/>
      <c r="E94" s="1751"/>
      <c r="F94" s="1751"/>
      <c r="G94" s="1751"/>
      <c r="H94" s="1751"/>
      <c r="I94" s="1751"/>
      <c r="J94" s="1751"/>
      <c r="K94" s="1751"/>
      <c r="L94" s="1751"/>
      <c r="M94" s="1751"/>
      <c r="N94" s="1751"/>
      <c r="O94" s="1751"/>
      <c r="Q94" s="1751" t="s">
        <v>3899</v>
      </c>
      <c r="R94" s="1751"/>
      <c r="S94" s="1751"/>
      <c r="T94" s="1751"/>
      <c r="U94" s="1751"/>
      <c r="V94" s="1751"/>
      <c r="W94" s="1751"/>
      <c r="X94" s="1751"/>
      <c r="Y94" s="1751"/>
      <c r="Z94" s="1751"/>
      <c r="AA94" s="1751"/>
      <c r="AB94" s="1751"/>
      <c r="AC94" s="1751"/>
      <c r="AD94" s="1751"/>
      <c r="AE94" s="1751"/>
    </row>
    <row r="95" spans="1:31" ht="38.25" customHeight="1">
      <c r="A95" s="1751" t="s">
        <v>3900</v>
      </c>
      <c r="B95" s="1751"/>
      <c r="C95" s="1751"/>
      <c r="D95" s="1751"/>
      <c r="E95" s="1751"/>
      <c r="F95" s="1751"/>
      <c r="G95" s="1751"/>
      <c r="H95" s="1751"/>
      <c r="I95" s="1751"/>
      <c r="J95" s="1751"/>
      <c r="K95" s="1751"/>
      <c r="L95" s="1751"/>
      <c r="M95" s="1751"/>
      <c r="N95" s="1751"/>
      <c r="O95" s="1751"/>
      <c r="Q95" s="1751" t="s">
        <v>3900</v>
      </c>
      <c r="R95" s="1751"/>
      <c r="S95" s="1751"/>
      <c r="T95" s="1751"/>
      <c r="U95" s="1751"/>
      <c r="V95" s="1751"/>
      <c r="W95" s="1751"/>
      <c r="X95" s="1751"/>
      <c r="Y95" s="1751"/>
      <c r="Z95" s="1751"/>
      <c r="AA95" s="1751"/>
      <c r="AB95" s="1751"/>
      <c r="AC95" s="1751"/>
      <c r="AD95" s="1751"/>
      <c r="AE95" s="1751"/>
    </row>
    <row r="96" spans="1:31" ht="17.25" customHeight="1">
      <c r="A96" s="1751" t="s">
        <v>3901</v>
      </c>
      <c r="B96" s="1751"/>
      <c r="C96" s="1751"/>
      <c r="D96" s="1751"/>
      <c r="E96" s="1751"/>
      <c r="F96" s="1751"/>
      <c r="G96" s="1751"/>
      <c r="H96" s="1751"/>
      <c r="I96" s="1751"/>
      <c r="J96" s="1751"/>
      <c r="K96" s="1751"/>
      <c r="L96" s="1751"/>
      <c r="M96" s="1751"/>
      <c r="N96" s="1751"/>
      <c r="O96" s="1751"/>
      <c r="Q96" s="1751" t="s">
        <v>3901</v>
      </c>
      <c r="R96" s="1751"/>
      <c r="S96" s="1751"/>
      <c r="T96" s="1751"/>
      <c r="U96" s="1751"/>
      <c r="V96" s="1751"/>
      <c r="W96" s="1751"/>
      <c r="X96" s="1751"/>
      <c r="Y96" s="1751"/>
      <c r="Z96" s="1751"/>
      <c r="AA96" s="1751"/>
      <c r="AB96" s="1751"/>
      <c r="AC96" s="1751"/>
      <c r="AD96" s="1751"/>
      <c r="AE96" s="1751"/>
    </row>
    <row r="97" spans="1:31" ht="38.25" customHeight="1">
      <c r="A97" s="1751" t="s">
        <v>3902</v>
      </c>
      <c r="B97" s="1751"/>
      <c r="C97" s="1751"/>
      <c r="D97" s="1751"/>
      <c r="E97" s="1751"/>
      <c r="F97" s="1751"/>
      <c r="G97" s="1751"/>
      <c r="H97" s="1751"/>
      <c r="I97" s="1751"/>
      <c r="J97" s="1751"/>
      <c r="K97" s="1751"/>
      <c r="L97" s="1751"/>
      <c r="M97" s="1751"/>
      <c r="N97" s="1751"/>
      <c r="O97" s="1751"/>
      <c r="Q97" s="1751" t="s">
        <v>3902</v>
      </c>
      <c r="R97" s="1751"/>
      <c r="S97" s="1751"/>
      <c r="T97" s="1751"/>
      <c r="U97" s="1751"/>
      <c r="V97" s="1751"/>
      <c r="W97" s="1751"/>
      <c r="X97" s="1751"/>
      <c r="Y97" s="1751"/>
      <c r="Z97" s="1751"/>
      <c r="AA97" s="1751"/>
      <c r="AB97" s="1751"/>
      <c r="AC97" s="1751"/>
      <c r="AD97" s="1751"/>
      <c r="AE97" s="1751"/>
    </row>
    <row r="98" spans="1:31" ht="15.75" customHeight="1">
      <c r="A98" s="1752" t="s">
        <v>3903</v>
      </c>
      <c r="B98" s="1752"/>
      <c r="C98" s="1752"/>
      <c r="D98" s="1752"/>
      <c r="E98" s="1752"/>
      <c r="F98" s="1752"/>
      <c r="G98" s="1752"/>
      <c r="H98" s="1752"/>
      <c r="I98" s="1752"/>
      <c r="J98" s="1752"/>
      <c r="K98" s="1752"/>
      <c r="L98" s="1752"/>
      <c r="M98" s="1752"/>
      <c r="N98" s="1752"/>
      <c r="O98" s="1752"/>
      <c r="Q98" s="1752" t="s">
        <v>3903</v>
      </c>
      <c r="R98" s="1752"/>
      <c r="S98" s="1752"/>
      <c r="T98" s="1752"/>
      <c r="U98" s="1752"/>
      <c r="V98" s="1752"/>
      <c r="W98" s="1752"/>
      <c r="X98" s="1752"/>
      <c r="Y98" s="1752"/>
      <c r="Z98" s="1752"/>
      <c r="AA98" s="1752"/>
      <c r="AB98" s="1752"/>
      <c r="AC98" s="1752"/>
      <c r="AD98" s="1752"/>
      <c r="AE98" s="1752"/>
    </row>
    <row r="99" spans="1:31" ht="38.25" customHeight="1">
      <c r="A99" s="1752" t="s">
        <v>4034</v>
      </c>
      <c r="B99" s="1752"/>
      <c r="C99" s="1752"/>
      <c r="D99" s="1752"/>
      <c r="E99" s="1752"/>
      <c r="F99" s="1752"/>
      <c r="G99" s="1752"/>
      <c r="H99" s="1752"/>
      <c r="I99" s="1752"/>
      <c r="J99" s="1752"/>
      <c r="K99" s="1752"/>
      <c r="L99" s="1752"/>
      <c r="M99" s="1752"/>
      <c r="N99" s="1752"/>
      <c r="O99" s="1752"/>
      <c r="Q99" s="1752" t="s">
        <v>3904</v>
      </c>
      <c r="R99" s="1752"/>
      <c r="S99" s="1752"/>
      <c r="T99" s="1752"/>
      <c r="U99" s="1752"/>
      <c r="V99" s="1752"/>
      <c r="W99" s="1752"/>
      <c r="X99" s="1752"/>
      <c r="Y99" s="1752"/>
      <c r="Z99" s="1752"/>
      <c r="AA99" s="1752"/>
      <c r="AB99" s="1752"/>
      <c r="AC99" s="1752"/>
      <c r="AD99" s="1752"/>
      <c r="AE99" s="1752"/>
    </row>
    <row r="100" spans="1:31" ht="20.25" customHeight="1">
      <c r="A100" s="1752" t="s">
        <v>3905</v>
      </c>
      <c r="B100" s="1752"/>
      <c r="C100" s="1752"/>
      <c r="D100" s="1752"/>
      <c r="E100" s="1752"/>
      <c r="F100" s="1752"/>
      <c r="G100" s="1752"/>
      <c r="H100" s="1752"/>
      <c r="I100" s="1752"/>
      <c r="J100" s="1752"/>
      <c r="K100" s="1752"/>
      <c r="L100" s="1752"/>
      <c r="M100" s="1752"/>
      <c r="N100" s="1752"/>
      <c r="O100" s="1752"/>
      <c r="Q100" s="1752" t="s">
        <v>3905</v>
      </c>
      <c r="R100" s="1752"/>
      <c r="S100" s="1752"/>
      <c r="T100" s="1752"/>
      <c r="U100" s="1752"/>
      <c r="V100" s="1752"/>
      <c r="W100" s="1752"/>
      <c r="X100" s="1752"/>
      <c r="Y100" s="1752"/>
      <c r="Z100" s="1752"/>
      <c r="AA100" s="1752"/>
      <c r="AB100" s="1752"/>
      <c r="AC100" s="1752"/>
      <c r="AD100" s="1752"/>
      <c r="AE100" s="1752"/>
    </row>
    <row r="101" spans="1:31" ht="38.25" customHeight="1">
      <c r="A101" s="1752" t="s">
        <v>4035</v>
      </c>
      <c r="B101" s="1752"/>
      <c r="C101" s="1752"/>
      <c r="D101" s="1752"/>
      <c r="E101" s="1752"/>
      <c r="F101" s="1752"/>
      <c r="G101" s="1752"/>
      <c r="H101" s="1752"/>
      <c r="I101" s="1752"/>
      <c r="J101" s="1752"/>
      <c r="K101" s="1752"/>
      <c r="L101" s="1752"/>
      <c r="M101" s="1752"/>
      <c r="N101" s="1752"/>
      <c r="O101" s="1752"/>
      <c r="Q101" s="1752" t="s">
        <v>3906</v>
      </c>
      <c r="R101" s="1752"/>
      <c r="S101" s="1752"/>
      <c r="T101" s="1752"/>
      <c r="U101" s="1752"/>
      <c r="V101" s="1752"/>
      <c r="W101" s="1752"/>
      <c r="X101" s="1752"/>
      <c r="Y101" s="1752"/>
      <c r="Z101" s="1752"/>
      <c r="AA101" s="1752"/>
      <c r="AB101" s="1752"/>
      <c r="AC101" s="1752"/>
      <c r="AD101" s="1752"/>
      <c r="AE101" s="1752"/>
    </row>
    <row r="102" spans="1:31" ht="38.25" customHeight="1">
      <c r="A102" s="1751" t="s">
        <v>3907</v>
      </c>
      <c r="B102" s="1751"/>
      <c r="C102" s="1751"/>
      <c r="D102" s="1751"/>
      <c r="E102" s="1751"/>
      <c r="F102" s="1751"/>
      <c r="G102" s="1751"/>
      <c r="H102" s="1751"/>
      <c r="I102" s="1751"/>
      <c r="J102" s="1751"/>
      <c r="K102" s="1751"/>
      <c r="L102" s="1751"/>
      <c r="M102" s="1751"/>
      <c r="N102" s="1751"/>
      <c r="O102" s="1751"/>
      <c r="Q102" s="1751" t="s">
        <v>3907</v>
      </c>
      <c r="R102" s="1751"/>
      <c r="S102" s="1751"/>
      <c r="T102" s="1751"/>
      <c r="U102" s="1751"/>
      <c r="V102" s="1751"/>
      <c r="W102" s="1751"/>
      <c r="X102" s="1751"/>
      <c r="Y102" s="1751"/>
      <c r="Z102" s="1751"/>
      <c r="AA102" s="1751"/>
      <c r="AB102" s="1751"/>
      <c r="AC102" s="1751"/>
      <c r="AD102" s="1751"/>
      <c r="AE102" s="1751"/>
    </row>
    <row r="103" spans="1:31" ht="53.25" customHeight="1">
      <c r="A103" s="1751" t="s">
        <v>3908</v>
      </c>
      <c r="B103" s="1751"/>
      <c r="C103" s="1751"/>
      <c r="D103" s="1751"/>
      <c r="E103" s="1751"/>
      <c r="F103" s="1751"/>
      <c r="G103" s="1751"/>
      <c r="H103" s="1751"/>
      <c r="I103" s="1751"/>
      <c r="J103" s="1751"/>
      <c r="K103" s="1751"/>
      <c r="L103" s="1751"/>
      <c r="M103" s="1751"/>
      <c r="N103" s="1751"/>
      <c r="O103" s="1751"/>
      <c r="Q103" s="1751" t="s">
        <v>3908</v>
      </c>
      <c r="R103" s="1751"/>
      <c r="S103" s="1751"/>
      <c r="T103" s="1751"/>
      <c r="U103" s="1751"/>
      <c r="V103" s="1751"/>
      <c r="W103" s="1751"/>
      <c r="X103" s="1751"/>
      <c r="Y103" s="1751"/>
      <c r="Z103" s="1751"/>
      <c r="AA103" s="1751"/>
      <c r="AB103" s="1751"/>
      <c r="AC103" s="1751"/>
      <c r="AD103" s="1751"/>
      <c r="AE103" s="1751"/>
    </row>
    <row r="104" spans="1:31" ht="41.25" customHeight="1">
      <c r="A104" s="1751" t="s">
        <v>3909</v>
      </c>
      <c r="B104" s="1751"/>
      <c r="C104" s="1751"/>
      <c r="D104" s="1751"/>
      <c r="E104" s="1751"/>
      <c r="F104" s="1751"/>
      <c r="G104" s="1751"/>
      <c r="H104" s="1751"/>
      <c r="I104" s="1751"/>
      <c r="J104" s="1751"/>
      <c r="K104" s="1751"/>
      <c r="L104" s="1751"/>
      <c r="M104" s="1751"/>
      <c r="N104" s="1751"/>
      <c r="O104" s="1751"/>
      <c r="Q104" s="1751" t="s">
        <v>3909</v>
      </c>
      <c r="R104" s="1751"/>
      <c r="S104" s="1751"/>
      <c r="T104" s="1751"/>
      <c r="U104" s="1751"/>
      <c r="V104" s="1751"/>
      <c r="W104" s="1751"/>
      <c r="X104" s="1751"/>
      <c r="Y104" s="1751"/>
      <c r="Z104" s="1751"/>
      <c r="AA104" s="1751"/>
      <c r="AB104" s="1751"/>
      <c r="AC104" s="1751"/>
      <c r="AD104" s="1751"/>
      <c r="AE104" s="1751"/>
    </row>
    <row r="105" spans="1:31" ht="53.25" customHeight="1">
      <c r="A105" s="1751" t="s">
        <v>3910</v>
      </c>
      <c r="B105" s="1751"/>
      <c r="C105" s="1751"/>
      <c r="D105" s="1751"/>
      <c r="E105" s="1751"/>
      <c r="F105" s="1751"/>
      <c r="G105" s="1751"/>
      <c r="H105" s="1751"/>
      <c r="I105" s="1751"/>
      <c r="J105" s="1751"/>
      <c r="K105" s="1751"/>
      <c r="L105" s="1751"/>
      <c r="M105" s="1751"/>
      <c r="N105" s="1751"/>
      <c r="O105" s="1751"/>
      <c r="Q105" s="1751" t="s">
        <v>3910</v>
      </c>
      <c r="R105" s="1751"/>
      <c r="S105" s="1751"/>
      <c r="T105" s="1751"/>
      <c r="U105" s="1751"/>
      <c r="V105" s="1751"/>
      <c r="W105" s="1751"/>
      <c r="X105" s="1751"/>
      <c r="Y105" s="1751"/>
      <c r="Z105" s="1751"/>
      <c r="AA105" s="1751"/>
      <c r="AB105" s="1751"/>
      <c r="AC105" s="1751"/>
      <c r="AD105" s="1751"/>
      <c r="AE105" s="1751"/>
    </row>
    <row r="106" spans="1:31" ht="17.25" customHeight="1">
      <c r="A106" s="1751" t="s">
        <v>3911</v>
      </c>
      <c r="B106" s="1751"/>
      <c r="C106" s="1751"/>
      <c r="D106" s="1751"/>
      <c r="E106" s="1751"/>
      <c r="F106" s="1751"/>
      <c r="G106" s="1751"/>
      <c r="H106" s="1751"/>
      <c r="I106" s="1751"/>
      <c r="J106" s="1751"/>
      <c r="K106" s="1751"/>
      <c r="L106" s="1751"/>
      <c r="M106" s="1751"/>
      <c r="N106" s="1751"/>
      <c r="O106" s="1751"/>
      <c r="Q106" s="1751" t="s">
        <v>3911</v>
      </c>
      <c r="R106" s="1751"/>
      <c r="S106" s="1751"/>
      <c r="T106" s="1751"/>
      <c r="U106" s="1751"/>
      <c r="V106" s="1751"/>
      <c r="W106" s="1751"/>
      <c r="X106" s="1751"/>
      <c r="Y106" s="1751"/>
      <c r="Z106" s="1751"/>
      <c r="AA106" s="1751"/>
      <c r="AB106" s="1751"/>
      <c r="AC106" s="1751"/>
      <c r="AD106" s="1751"/>
      <c r="AE106" s="1751"/>
    </row>
    <row r="107" spans="1:31" ht="18.75" customHeight="1">
      <c r="A107" s="1752" t="s">
        <v>3912</v>
      </c>
      <c r="B107" s="1752"/>
      <c r="C107" s="1752"/>
      <c r="D107" s="1752"/>
      <c r="E107" s="1752"/>
      <c r="F107" s="1752"/>
      <c r="G107" s="1752"/>
      <c r="H107" s="1752"/>
      <c r="I107" s="1752"/>
      <c r="J107" s="1752"/>
      <c r="K107" s="1752"/>
      <c r="L107" s="1752"/>
      <c r="M107" s="1752"/>
      <c r="N107" s="1752"/>
      <c r="O107" s="1752"/>
      <c r="Q107" s="1752" t="s">
        <v>3912</v>
      </c>
      <c r="R107" s="1752"/>
      <c r="S107" s="1752"/>
      <c r="T107" s="1752"/>
      <c r="U107" s="1752"/>
      <c r="V107" s="1752"/>
      <c r="W107" s="1752"/>
      <c r="X107" s="1752"/>
      <c r="Y107" s="1752"/>
      <c r="Z107" s="1752"/>
      <c r="AA107" s="1752"/>
      <c r="AB107" s="1752"/>
      <c r="AC107" s="1752"/>
      <c r="AD107" s="1752"/>
      <c r="AE107" s="1752"/>
    </row>
    <row r="108" spans="1:31" ht="57.75" customHeight="1">
      <c r="A108" s="1752" t="s">
        <v>4036</v>
      </c>
      <c r="B108" s="1752"/>
      <c r="C108" s="1752"/>
      <c r="D108" s="1752"/>
      <c r="E108" s="1752"/>
      <c r="F108" s="1752"/>
      <c r="G108" s="1752"/>
      <c r="H108" s="1752"/>
      <c r="I108" s="1752"/>
      <c r="J108" s="1752"/>
      <c r="K108" s="1752"/>
      <c r="L108" s="1752"/>
      <c r="M108" s="1752"/>
      <c r="N108" s="1752"/>
      <c r="O108" s="1752"/>
      <c r="Q108" s="1752" t="s">
        <v>3913</v>
      </c>
      <c r="R108" s="1752"/>
      <c r="S108" s="1752"/>
      <c r="T108" s="1752"/>
      <c r="U108" s="1752"/>
      <c r="V108" s="1752"/>
      <c r="W108" s="1752"/>
      <c r="X108" s="1752"/>
      <c r="Y108" s="1752"/>
      <c r="Z108" s="1752"/>
      <c r="AA108" s="1752"/>
      <c r="AB108" s="1752"/>
      <c r="AC108" s="1752"/>
      <c r="AD108" s="1752"/>
      <c r="AE108" s="1752"/>
    </row>
    <row r="109" spans="1:31" ht="38.25" customHeight="1">
      <c r="A109" s="1752" t="s">
        <v>3914</v>
      </c>
      <c r="B109" s="1752"/>
      <c r="C109" s="1752"/>
      <c r="D109" s="1752"/>
      <c r="E109" s="1752"/>
      <c r="F109" s="1752"/>
      <c r="G109" s="1752"/>
      <c r="H109" s="1752"/>
      <c r="I109" s="1752"/>
      <c r="J109" s="1752"/>
      <c r="K109" s="1752"/>
      <c r="L109" s="1752"/>
      <c r="M109" s="1752"/>
      <c r="N109" s="1752"/>
      <c r="O109" s="1752"/>
      <c r="Q109" s="1752" t="s">
        <v>3914</v>
      </c>
      <c r="R109" s="1752"/>
      <c r="S109" s="1752"/>
      <c r="T109" s="1752"/>
      <c r="U109" s="1752"/>
      <c r="V109" s="1752"/>
      <c r="W109" s="1752"/>
      <c r="X109" s="1752"/>
      <c r="Y109" s="1752"/>
      <c r="Z109" s="1752"/>
      <c r="AA109" s="1752"/>
      <c r="AB109" s="1752"/>
      <c r="AC109" s="1752"/>
      <c r="AD109" s="1752"/>
      <c r="AE109" s="1752"/>
    </row>
    <row r="110" spans="1:31" ht="53.25" customHeight="1">
      <c r="A110" s="1752" t="s">
        <v>4037</v>
      </c>
      <c r="B110" s="1752"/>
      <c r="C110" s="1752"/>
      <c r="D110" s="1752"/>
      <c r="E110" s="1752"/>
      <c r="F110" s="1752"/>
      <c r="G110" s="1752"/>
      <c r="H110" s="1752"/>
      <c r="I110" s="1752"/>
      <c r="J110" s="1752"/>
      <c r="K110" s="1752"/>
      <c r="L110" s="1752"/>
      <c r="M110" s="1752"/>
      <c r="N110" s="1752"/>
      <c r="O110" s="1752"/>
      <c r="Q110" s="1752" t="s">
        <v>3915</v>
      </c>
      <c r="R110" s="1752"/>
      <c r="S110" s="1752"/>
      <c r="T110" s="1752"/>
      <c r="U110" s="1752"/>
      <c r="V110" s="1752"/>
      <c r="W110" s="1752"/>
      <c r="X110" s="1752"/>
      <c r="Y110" s="1752"/>
      <c r="Z110" s="1752"/>
      <c r="AA110" s="1752"/>
      <c r="AB110" s="1752"/>
      <c r="AC110" s="1752"/>
      <c r="AD110" s="1752"/>
      <c r="AE110" s="1752"/>
    </row>
    <row r="111" spans="1:31" ht="17.25" customHeight="1">
      <c r="A111" s="1752" t="s">
        <v>663</v>
      </c>
      <c r="B111" s="1752"/>
      <c r="C111" s="1752"/>
      <c r="D111" s="1752"/>
      <c r="E111" s="1752"/>
      <c r="F111" s="1752"/>
      <c r="G111" s="1752"/>
      <c r="H111" s="1752"/>
      <c r="I111" s="1752"/>
      <c r="J111" s="1752"/>
      <c r="K111" s="1752"/>
      <c r="L111" s="1752"/>
      <c r="M111" s="1752"/>
      <c r="N111" s="1752"/>
      <c r="O111" s="1752"/>
      <c r="Q111" s="1752" t="s">
        <v>663</v>
      </c>
      <c r="R111" s="1752"/>
      <c r="S111" s="1752"/>
      <c r="T111" s="1752"/>
      <c r="U111" s="1752"/>
      <c r="V111" s="1752"/>
      <c r="W111" s="1752"/>
      <c r="X111" s="1752"/>
      <c r="Y111" s="1752"/>
      <c r="Z111" s="1752"/>
      <c r="AA111" s="1752"/>
      <c r="AB111" s="1752"/>
      <c r="AC111" s="1752"/>
      <c r="AD111" s="1752"/>
      <c r="AE111" s="1752"/>
    </row>
    <row r="112" spans="1:31" ht="27.75" customHeight="1">
      <c r="A112" s="1752" t="s">
        <v>4038</v>
      </c>
      <c r="B112" s="1752"/>
      <c r="C112" s="1752"/>
      <c r="D112" s="1752"/>
      <c r="E112" s="1752"/>
      <c r="F112" s="1752"/>
      <c r="G112" s="1752"/>
      <c r="H112" s="1752"/>
      <c r="I112" s="1752"/>
      <c r="J112" s="1752"/>
      <c r="K112" s="1752"/>
      <c r="L112" s="1752"/>
      <c r="M112" s="1752"/>
      <c r="N112" s="1752"/>
      <c r="O112" s="1752"/>
      <c r="Q112" s="1752" t="s">
        <v>3916</v>
      </c>
      <c r="R112" s="1752"/>
      <c r="S112" s="1752"/>
      <c r="T112" s="1752"/>
      <c r="U112" s="1752"/>
      <c r="V112" s="1752"/>
      <c r="W112" s="1752"/>
      <c r="X112" s="1752"/>
      <c r="Y112" s="1752"/>
      <c r="Z112" s="1752"/>
      <c r="AA112" s="1752"/>
      <c r="AB112" s="1752"/>
      <c r="AC112" s="1752"/>
      <c r="AD112" s="1752"/>
      <c r="AE112" s="1752"/>
    </row>
    <row r="113" spans="1:31" ht="168" customHeight="1">
      <c r="A113" s="1762" t="s">
        <v>3944</v>
      </c>
      <c r="B113" s="1762"/>
      <c r="C113" s="1762"/>
      <c r="D113" s="1762"/>
      <c r="E113" s="1762"/>
      <c r="F113" s="1762"/>
      <c r="G113" s="1762"/>
      <c r="H113" s="1762"/>
      <c r="I113" s="1762"/>
      <c r="J113" s="1762"/>
      <c r="K113" s="1762"/>
      <c r="L113" s="1762"/>
      <c r="M113" s="1762"/>
      <c r="N113" s="1762"/>
      <c r="O113" s="1762"/>
      <c r="Q113" s="607"/>
      <c r="R113" s="607"/>
      <c r="S113" s="607"/>
      <c r="T113" s="607"/>
      <c r="U113" s="607"/>
      <c r="V113" s="607"/>
      <c r="W113" s="607"/>
      <c r="X113" s="607"/>
      <c r="Y113" s="607"/>
      <c r="Z113" s="607"/>
      <c r="AA113" s="607"/>
      <c r="AB113" s="607"/>
      <c r="AC113" s="607"/>
      <c r="AD113" s="607"/>
      <c r="AE113" s="607"/>
    </row>
    <row r="114" spans="1:31" ht="108.75" customHeight="1">
      <c r="A114" s="1762" t="s">
        <v>3945</v>
      </c>
      <c r="B114" s="1762"/>
      <c r="C114" s="1762"/>
      <c r="D114" s="1762"/>
      <c r="E114" s="1762"/>
      <c r="F114" s="1762"/>
      <c r="G114" s="1762"/>
      <c r="H114" s="1762"/>
      <c r="I114" s="1762"/>
      <c r="J114" s="1762"/>
      <c r="K114" s="1762"/>
      <c r="L114" s="1762"/>
      <c r="M114" s="1762"/>
      <c r="N114" s="1762"/>
      <c r="O114" s="1762"/>
      <c r="Q114" s="607"/>
      <c r="R114" s="607"/>
      <c r="S114" s="607"/>
      <c r="T114" s="607"/>
      <c r="U114" s="607"/>
      <c r="V114" s="607"/>
      <c r="W114" s="607"/>
      <c r="X114" s="607"/>
      <c r="Y114" s="607"/>
      <c r="Z114" s="607"/>
      <c r="AA114" s="607"/>
      <c r="AB114" s="607"/>
      <c r="AC114" s="607"/>
      <c r="AD114" s="607"/>
      <c r="AE114" s="607"/>
    </row>
    <row r="115" spans="1:31" ht="81.75" customHeight="1">
      <c r="A115" s="1762" t="s">
        <v>4051</v>
      </c>
      <c r="B115" s="1762"/>
      <c r="C115" s="1762"/>
      <c r="D115" s="1762"/>
      <c r="E115" s="1762"/>
      <c r="F115" s="1762"/>
      <c r="G115" s="1762"/>
      <c r="H115" s="1762"/>
      <c r="I115" s="1762"/>
      <c r="J115" s="1762"/>
      <c r="K115" s="1762"/>
      <c r="L115" s="1762"/>
      <c r="M115" s="1762"/>
      <c r="N115" s="1762"/>
      <c r="O115" s="1762"/>
      <c r="Q115" s="607"/>
      <c r="R115" s="607"/>
      <c r="S115" s="607"/>
      <c r="T115" s="607"/>
      <c r="U115" s="607"/>
      <c r="V115" s="607"/>
      <c r="W115" s="607"/>
      <c r="X115" s="607"/>
      <c r="Y115" s="607"/>
      <c r="Z115" s="607"/>
      <c r="AA115" s="607"/>
      <c r="AB115" s="607"/>
      <c r="AC115" s="607"/>
      <c r="AD115" s="607"/>
      <c r="AE115" s="607"/>
    </row>
    <row r="116" spans="1:31" ht="79.5" customHeight="1">
      <c r="A116" s="1762" t="s">
        <v>3946</v>
      </c>
      <c r="B116" s="1762"/>
      <c r="C116" s="1762"/>
      <c r="D116" s="1762"/>
      <c r="E116" s="1762"/>
      <c r="F116" s="1762"/>
      <c r="G116" s="1762"/>
      <c r="H116" s="1762"/>
      <c r="I116" s="1762"/>
      <c r="J116" s="1762"/>
      <c r="K116" s="1762"/>
      <c r="L116" s="1762"/>
      <c r="M116" s="1762"/>
      <c r="N116" s="1762"/>
      <c r="O116" s="1762"/>
      <c r="Q116" s="607"/>
      <c r="R116" s="607"/>
      <c r="S116" s="607"/>
      <c r="T116" s="607"/>
      <c r="U116" s="607"/>
      <c r="V116" s="607"/>
      <c r="W116" s="607"/>
      <c r="X116" s="607"/>
      <c r="Y116" s="607"/>
      <c r="Z116" s="607"/>
      <c r="AA116" s="607"/>
      <c r="AB116" s="607"/>
      <c r="AC116" s="607"/>
      <c r="AD116" s="607"/>
      <c r="AE116" s="607"/>
    </row>
    <row r="117" spans="1:31" ht="32.25" customHeight="1">
      <c r="A117" s="1751" t="s">
        <v>4045</v>
      </c>
      <c r="B117" s="1751"/>
      <c r="C117" s="1751"/>
      <c r="D117" s="1751"/>
      <c r="E117" s="1751"/>
      <c r="F117" s="1751"/>
      <c r="G117" s="1751"/>
      <c r="H117" s="1751"/>
      <c r="I117" s="1751"/>
      <c r="J117" s="1751"/>
      <c r="K117" s="1751"/>
      <c r="L117" s="1751"/>
      <c r="M117" s="1751"/>
      <c r="N117" s="1751"/>
      <c r="O117" s="1751"/>
      <c r="Q117" s="1751" t="s">
        <v>3937</v>
      </c>
      <c r="R117" s="1751"/>
      <c r="S117" s="1751"/>
      <c r="T117" s="1751"/>
      <c r="U117" s="1751"/>
      <c r="V117" s="1751"/>
      <c r="W117" s="1751"/>
      <c r="X117" s="1751"/>
      <c r="Y117" s="1751"/>
      <c r="Z117" s="1751"/>
      <c r="AA117" s="1751"/>
      <c r="AB117" s="1751"/>
      <c r="AC117" s="1751"/>
      <c r="AD117" s="1751"/>
      <c r="AE117" s="1751"/>
    </row>
    <row r="118" spans="1:31" ht="25.5" customHeight="1">
      <c r="A118" s="1751" t="s">
        <v>3947</v>
      </c>
      <c r="B118" s="1751"/>
      <c r="C118" s="1751"/>
      <c r="D118" s="1751"/>
      <c r="E118" s="1751"/>
      <c r="F118" s="1751"/>
      <c r="G118" s="1751"/>
      <c r="H118" s="1751"/>
      <c r="I118" s="1751"/>
      <c r="J118" s="1751"/>
      <c r="K118" s="1751"/>
      <c r="L118" s="1751"/>
      <c r="M118" s="1751"/>
      <c r="N118" s="1751"/>
      <c r="O118" s="1751"/>
      <c r="Q118" s="607"/>
      <c r="R118" s="607"/>
      <c r="S118" s="607"/>
      <c r="T118" s="607"/>
      <c r="U118" s="607"/>
      <c r="V118" s="607"/>
      <c r="W118" s="607"/>
      <c r="X118" s="607"/>
      <c r="Y118" s="607"/>
      <c r="Z118" s="607"/>
      <c r="AA118" s="607"/>
      <c r="AB118" s="607"/>
      <c r="AC118" s="607"/>
      <c r="AD118" s="607"/>
      <c r="AE118" s="607"/>
    </row>
    <row r="119" spans="1:31" ht="15.75" customHeight="1">
      <c r="A119" s="1751" t="s">
        <v>3948</v>
      </c>
      <c r="B119" s="1751"/>
      <c r="C119" s="1751"/>
      <c r="D119" s="1751"/>
      <c r="E119" s="1751"/>
      <c r="F119" s="1751"/>
      <c r="G119" s="1751"/>
      <c r="H119" s="1751"/>
      <c r="I119" s="1751"/>
      <c r="J119" s="1751"/>
      <c r="K119" s="1751"/>
      <c r="L119" s="1751"/>
      <c r="M119" s="1751"/>
      <c r="N119" s="1751"/>
      <c r="O119" s="1751"/>
      <c r="Q119" s="607"/>
      <c r="R119" s="607"/>
      <c r="S119" s="607"/>
      <c r="T119" s="607"/>
      <c r="U119" s="607"/>
      <c r="V119" s="607"/>
      <c r="W119" s="607"/>
      <c r="X119" s="607"/>
      <c r="Y119" s="607"/>
      <c r="Z119" s="607"/>
      <c r="AA119" s="607"/>
      <c r="AB119" s="607"/>
      <c r="AC119" s="607"/>
      <c r="AD119" s="607"/>
      <c r="AE119" s="607"/>
    </row>
    <row r="120" spans="1:31" ht="13.5" customHeight="1">
      <c r="A120" s="1751" t="s">
        <v>3949</v>
      </c>
      <c r="B120" s="1751"/>
      <c r="C120" s="1751"/>
      <c r="D120" s="1751"/>
      <c r="E120" s="1751"/>
      <c r="F120" s="1751"/>
      <c r="G120" s="1751"/>
      <c r="H120" s="1751"/>
      <c r="I120" s="1751"/>
      <c r="J120" s="1751"/>
      <c r="K120" s="1751"/>
      <c r="L120" s="1751"/>
      <c r="M120" s="1751"/>
      <c r="N120" s="1751"/>
      <c r="O120" s="1751"/>
      <c r="Q120" s="607"/>
      <c r="R120" s="607"/>
      <c r="S120" s="607"/>
      <c r="T120" s="607"/>
      <c r="U120" s="607"/>
      <c r="V120" s="607"/>
      <c r="W120" s="607"/>
      <c r="X120" s="607"/>
      <c r="Y120" s="607"/>
      <c r="Z120" s="607"/>
      <c r="AA120" s="607"/>
      <c r="AB120" s="607"/>
      <c r="AC120" s="607"/>
      <c r="AD120" s="607"/>
      <c r="AE120" s="607"/>
    </row>
    <row r="121" spans="1:31" ht="12" customHeight="1">
      <c r="A121" s="1751" t="s">
        <v>3950</v>
      </c>
      <c r="B121" s="1751"/>
      <c r="C121" s="1751"/>
      <c r="D121" s="1751"/>
      <c r="E121" s="1751"/>
      <c r="F121" s="1751"/>
      <c r="G121" s="1751"/>
      <c r="H121" s="1751"/>
      <c r="I121" s="1751"/>
      <c r="J121" s="1751"/>
      <c r="K121" s="1751"/>
      <c r="L121" s="1751"/>
      <c r="M121" s="1751"/>
      <c r="N121" s="1751"/>
      <c r="O121" s="1751"/>
      <c r="Q121" s="607"/>
      <c r="R121" s="607"/>
      <c r="S121" s="607"/>
      <c r="T121" s="607"/>
      <c r="U121" s="607"/>
      <c r="V121" s="607"/>
      <c r="W121" s="607"/>
      <c r="X121" s="607"/>
      <c r="Y121" s="607"/>
      <c r="Z121" s="607"/>
      <c r="AA121" s="607"/>
      <c r="AB121" s="607"/>
      <c r="AC121" s="607"/>
      <c r="AD121" s="607"/>
      <c r="AE121" s="607"/>
    </row>
    <row r="122" spans="1:31" ht="23.25" customHeight="1">
      <c r="A122" s="1751" t="s">
        <v>3951</v>
      </c>
      <c r="B122" s="1751"/>
      <c r="C122" s="1751"/>
      <c r="D122" s="1751"/>
      <c r="E122" s="1751"/>
      <c r="F122" s="1751"/>
      <c r="G122" s="1751"/>
      <c r="H122" s="1751"/>
      <c r="I122" s="1751"/>
      <c r="J122" s="1751"/>
      <c r="K122" s="1751"/>
      <c r="L122" s="1751"/>
      <c r="M122" s="1751"/>
      <c r="N122" s="1751"/>
      <c r="O122" s="1751"/>
      <c r="Q122" s="607"/>
      <c r="R122" s="607"/>
      <c r="S122" s="607"/>
      <c r="T122" s="607"/>
      <c r="U122" s="607"/>
      <c r="V122" s="607"/>
      <c r="W122" s="607"/>
      <c r="X122" s="607"/>
      <c r="Y122" s="607"/>
      <c r="Z122" s="607"/>
      <c r="AA122" s="607"/>
      <c r="AB122" s="607"/>
      <c r="AC122" s="607"/>
      <c r="AD122" s="607"/>
      <c r="AE122" s="607"/>
    </row>
    <row r="123" spans="1:31" ht="25.5" customHeight="1">
      <c r="A123" s="1751" t="s">
        <v>3952</v>
      </c>
      <c r="B123" s="1751"/>
      <c r="C123" s="1751"/>
      <c r="D123" s="1751"/>
      <c r="E123" s="1751"/>
      <c r="F123" s="1751"/>
      <c r="G123" s="1751"/>
      <c r="H123" s="1751"/>
      <c r="I123" s="1751"/>
      <c r="J123" s="1751"/>
      <c r="K123" s="1751"/>
      <c r="L123" s="1751"/>
      <c r="M123" s="1751"/>
      <c r="N123" s="1751"/>
      <c r="O123" s="1751"/>
      <c r="Q123" s="607"/>
      <c r="R123" s="607"/>
      <c r="S123" s="607"/>
      <c r="T123" s="607"/>
      <c r="U123" s="607"/>
      <c r="V123" s="607"/>
      <c r="W123" s="607"/>
      <c r="X123" s="607"/>
      <c r="Y123" s="607"/>
      <c r="Z123" s="607"/>
      <c r="AA123" s="607"/>
      <c r="AB123" s="607"/>
      <c r="AC123" s="607"/>
      <c r="AD123" s="607"/>
      <c r="AE123" s="607"/>
    </row>
    <row r="124" spans="1:31" ht="15.75" customHeight="1">
      <c r="A124" s="1751" t="s">
        <v>3953</v>
      </c>
      <c r="B124" s="1751"/>
      <c r="C124" s="1751"/>
      <c r="D124" s="1751"/>
      <c r="E124" s="1751"/>
      <c r="F124" s="1751"/>
      <c r="G124" s="1751"/>
      <c r="H124" s="1751"/>
      <c r="I124" s="1751"/>
      <c r="J124" s="1751"/>
      <c r="K124" s="1751"/>
      <c r="L124" s="1751"/>
      <c r="M124" s="1751"/>
      <c r="N124" s="1751"/>
      <c r="O124" s="1751"/>
      <c r="Q124" s="607"/>
      <c r="R124" s="607"/>
      <c r="S124" s="607"/>
      <c r="T124" s="607"/>
      <c r="U124" s="607"/>
      <c r="V124" s="607"/>
      <c r="W124" s="607"/>
      <c r="X124" s="607"/>
      <c r="Y124" s="607"/>
      <c r="Z124" s="607"/>
      <c r="AA124" s="607"/>
      <c r="AB124" s="607"/>
      <c r="AC124" s="607"/>
      <c r="AD124" s="607"/>
      <c r="AE124" s="607"/>
    </row>
    <row r="125" spans="1:31" ht="42.75" customHeight="1">
      <c r="A125" s="1751" t="s">
        <v>3954</v>
      </c>
      <c r="B125" s="1751"/>
      <c r="C125" s="1751"/>
      <c r="D125" s="1751"/>
      <c r="E125" s="1751"/>
      <c r="F125" s="1751"/>
      <c r="G125" s="1751"/>
      <c r="H125" s="1751"/>
      <c r="I125" s="1751"/>
      <c r="J125" s="1751"/>
      <c r="K125" s="1751"/>
      <c r="L125" s="1751"/>
      <c r="M125" s="1751"/>
      <c r="N125" s="1751"/>
      <c r="O125" s="1751"/>
      <c r="Q125" s="607"/>
      <c r="R125" s="607"/>
      <c r="S125" s="607"/>
      <c r="T125" s="607"/>
      <c r="U125" s="607"/>
      <c r="V125" s="607"/>
      <c r="W125" s="607"/>
      <c r="X125" s="607"/>
      <c r="Y125" s="607"/>
      <c r="Z125" s="607"/>
      <c r="AA125" s="607"/>
      <c r="AB125" s="607"/>
      <c r="AC125" s="607"/>
      <c r="AD125" s="607"/>
      <c r="AE125" s="607"/>
    </row>
    <row r="126" spans="1:31" ht="53.25" customHeight="1">
      <c r="A126" s="1751" t="s">
        <v>3955</v>
      </c>
      <c r="B126" s="1751"/>
      <c r="C126" s="1751"/>
      <c r="D126" s="1751"/>
      <c r="E126" s="1751"/>
      <c r="F126" s="1751"/>
      <c r="G126" s="1751"/>
      <c r="H126" s="1751"/>
      <c r="I126" s="1751"/>
      <c r="J126" s="1751"/>
      <c r="K126" s="1751"/>
      <c r="L126" s="1751"/>
      <c r="M126" s="1751"/>
      <c r="N126" s="1751"/>
      <c r="O126" s="1751"/>
      <c r="Q126" s="607"/>
      <c r="R126" s="607"/>
      <c r="S126" s="607"/>
      <c r="T126" s="607"/>
      <c r="U126" s="607"/>
      <c r="V126" s="607"/>
      <c r="W126" s="607"/>
      <c r="X126" s="607"/>
      <c r="Y126" s="607"/>
      <c r="Z126" s="607"/>
      <c r="AA126" s="607"/>
      <c r="AB126" s="607"/>
      <c r="AC126" s="607"/>
      <c r="AD126" s="607"/>
      <c r="AE126" s="607"/>
    </row>
    <row r="127" spans="1:31" ht="17.25" customHeight="1">
      <c r="A127" s="1751" t="s">
        <v>3956</v>
      </c>
      <c r="B127" s="1751"/>
      <c r="C127" s="1751"/>
      <c r="D127" s="1751"/>
      <c r="E127" s="1751"/>
      <c r="F127" s="1751"/>
      <c r="G127" s="1751"/>
      <c r="H127" s="1751"/>
      <c r="I127" s="1751"/>
      <c r="J127" s="1751"/>
      <c r="K127" s="1751"/>
      <c r="L127" s="1751"/>
      <c r="M127" s="1751"/>
      <c r="N127" s="1751"/>
      <c r="O127" s="1751"/>
      <c r="Q127" s="607"/>
      <c r="R127" s="607"/>
      <c r="S127" s="607"/>
      <c r="T127" s="607"/>
      <c r="U127" s="607"/>
      <c r="V127" s="607"/>
      <c r="W127" s="607"/>
      <c r="X127" s="607"/>
      <c r="Y127" s="607"/>
      <c r="Z127" s="607"/>
      <c r="AA127" s="607"/>
      <c r="AB127" s="607"/>
      <c r="AC127" s="607"/>
      <c r="AD127" s="607"/>
      <c r="AE127" s="607"/>
    </row>
    <row r="128" spans="1:31" ht="28.5" customHeight="1">
      <c r="A128" s="1751" t="s">
        <v>3957</v>
      </c>
      <c r="B128" s="1751"/>
      <c r="C128" s="1751"/>
      <c r="D128" s="1751"/>
      <c r="E128" s="1751"/>
      <c r="F128" s="1751"/>
      <c r="G128" s="1751"/>
      <c r="H128" s="1751"/>
      <c r="I128" s="1751"/>
      <c r="J128" s="1751"/>
      <c r="K128" s="1751"/>
      <c r="L128" s="1751"/>
      <c r="M128" s="1751"/>
      <c r="N128" s="1751"/>
      <c r="O128" s="1751"/>
      <c r="Q128" s="607"/>
      <c r="R128" s="607"/>
      <c r="S128" s="607"/>
      <c r="T128" s="607"/>
      <c r="U128" s="607"/>
      <c r="V128" s="607"/>
      <c r="W128" s="607"/>
      <c r="X128" s="607"/>
      <c r="Y128" s="607"/>
      <c r="Z128" s="607"/>
      <c r="AA128" s="607"/>
      <c r="AB128" s="607"/>
      <c r="AC128" s="607"/>
      <c r="AD128" s="607"/>
      <c r="AE128" s="607"/>
    </row>
    <row r="129" spans="1:31" ht="15.75" customHeight="1">
      <c r="A129" s="1751" t="s">
        <v>4039</v>
      </c>
      <c r="B129" s="1751"/>
      <c r="C129" s="1751"/>
      <c r="D129" s="1751"/>
      <c r="E129" s="1751"/>
      <c r="F129" s="1751"/>
      <c r="G129" s="1751"/>
      <c r="H129" s="1751"/>
      <c r="I129" s="1751"/>
      <c r="J129" s="1751"/>
      <c r="K129" s="1751"/>
      <c r="L129" s="1751"/>
      <c r="M129" s="1751"/>
      <c r="N129" s="1751"/>
      <c r="O129" s="1751"/>
      <c r="Q129" s="607"/>
      <c r="R129" s="607"/>
      <c r="S129" s="607"/>
      <c r="T129" s="607"/>
      <c r="U129" s="607"/>
      <c r="V129" s="607"/>
      <c r="W129" s="607"/>
      <c r="X129" s="607"/>
      <c r="Y129" s="607"/>
      <c r="Z129" s="607"/>
      <c r="AA129" s="607"/>
      <c r="AB129" s="607"/>
      <c r="AC129" s="607"/>
      <c r="AD129" s="607"/>
      <c r="AE129" s="607"/>
    </row>
    <row r="130" spans="1:31" ht="57" customHeight="1">
      <c r="A130" s="1751" t="s">
        <v>3958</v>
      </c>
      <c r="B130" s="1751"/>
      <c r="C130" s="1751"/>
      <c r="D130" s="1751"/>
      <c r="E130" s="1751"/>
      <c r="F130" s="1751"/>
      <c r="G130" s="1751"/>
      <c r="H130" s="1751"/>
      <c r="I130" s="1751"/>
      <c r="J130" s="1751"/>
      <c r="K130" s="1751"/>
      <c r="L130" s="1751"/>
      <c r="M130" s="1751"/>
      <c r="N130" s="1751"/>
      <c r="O130" s="1751"/>
      <c r="Q130" s="607"/>
      <c r="R130" s="607"/>
      <c r="S130" s="607"/>
      <c r="T130" s="607"/>
      <c r="U130" s="607"/>
      <c r="V130" s="607"/>
      <c r="W130" s="607"/>
      <c r="X130" s="607"/>
      <c r="Y130" s="607"/>
      <c r="Z130" s="607"/>
      <c r="AA130" s="607"/>
      <c r="AB130" s="607"/>
      <c r="AC130" s="607"/>
      <c r="AD130" s="607"/>
      <c r="AE130" s="607"/>
    </row>
    <row r="131" spans="1:31" ht="27.75" customHeight="1">
      <c r="A131" s="1751" t="s">
        <v>3959</v>
      </c>
      <c r="B131" s="1751"/>
      <c r="C131" s="1751"/>
      <c r="D131" s="1751"/>
      <c r="E131" s="1751"/>
      <c r="F131" s="1751"/>
      <c r="G131" s="1751"/>
      <c r="H131" s="1751"/>
      <c r="I131" s="1751"/>
      <c r="J131" s="1751"/>
      <c r="K131" s="1751"/>
      <c r="L131" s="1751"/>
      <c r="M131" s="1751"/>
      <c r="N131" s="1751"/>
      <c r="O131" s="1751"/>
      <c r="Q131" s="607"/>
      <c r="R131" s="607"/>
      <c r="S131" s="607"/>
      <c r="T131" s="607"/>
      <c r="U131" s="607"/>
      <c r="V131" s="607"/>
      <c r="W131" s="607"/>
      <c r="X131" s="607"/>
      <c r="Y131" s="607"/>
      <c r="Z131" s="607"/>
      <c r="AA131" s="607"/>
      <c r="AB131" s="607"/>
      <c r="AC131" s="607"/>
      <c r="AD131" s="607"/>
      <c r="AE131" s="607"/>
    </row>
    <row r="132" spans="1:31" ht="16.5" customHeight="1">
      <c r="A132" s="1751" t="s">
        <v>3960</v>
      </c>
      <c r="B132" s="1751"/>
      <c r="C132" s="1751"/>
      <c r="D132" s="1751"/>
      <c r="E132" s="1751"/>
      <c r="F132" s="1751"/>
      <c r="G132" s="1751"/>
      <c r="H132" s="1751"/>
      <c r="I132" s="1751"/>
      <c r="J132" s="1751"/>
      <c r="K132" s="1751"/>
      <c r="L132" s="1751"/>
      <c r="M132" s="1751"/>
      <c r="N132" s="1751"/>
      <c r="O132" s="1751"/>
      <c r="Q132" s="607"/>
      <c r="R132" s="607"/>
      <c r="S132" s="607"/>
      <c r="T132" s="607"/>
      <c r="U132" s="607"/>
      <c r="V132" s="607"/>
      <c r="W132" s="607"/>
      <c r="X132" s="607"/>
      <c r="Y132" s="607"/>
      <c r="Z132" s="607"/>
      <c r="AA132" s="607"/>
      <c r="AB132" s="607"/>
      <c r="AC132" s="607"/>
      <c r="AD132" s="607"/>
      <c r="AE132" s="607"/>
    </row>
    <row r="133" spans="1:31" ht="15.75" customHeight="1">
      <c r="A133" s="1751" t="s">
        <v>3961</v>
      </c>
      <c r="B133" s="1751"/>
      <c r="C133" s="1751"/>
      <c r="D133" s="1751"/>
      <c r="E133" s="1751"/>
      <c r="F133" s="1751"/>
      <c r="G133" s="1751"/>
      <c r="H133" s="1751"/>
      <c r="I133" s="1751"/>
      <c r="J133" s="1751"/>
      <c r="K133" s="1751"/>
      <c r="L133" s="1751"/>
      <c r="M133" s="1751"/>
      <c r="N133" s="1751"/>
      <c r="O133" s="1751"/>
      <c r="Q133" s="607"/>
      <c r="R133" s="607"/>
      <c r="S133" s="607"/>
      <c r="T133" s="607"/>
      <c r="U133" s="607"/>
      <c r="V133" s="607"/>
      <c r="W133" s="607"/>
      <c r="X133" s="607"/>
      <c r="Y133" s="607"/>
      <c r="Z133" s="607"/>
      <c r="AA133" s="607"/>
      <c r="AB133" s="607"/>
      <c r="AC133" s="607"/>
      <c r="AD133" s="607"/>
      <c r="AE133" s="607"/>
    </row>
    <row r="134" spans="1:31" ht="12.75" customHeight="1">
      <c r="A134" s="1751" t="s">
        <v>3962</v>
      </c>
      <c r="B134" s="1751"/>
      <c r="C134" s="1751"/>
      <c r="D134" s="1751"/>
      <c r="E134" s="1751"/>
      <c r="F134" s="1751"/>
      <c r="G134" s="1751"/>
      <c r="H134" s="1751"/>
      <c r="I134" s="1751"/>
      <c r="J134" s="1751"/>
      <c r="K134" s="1751"/>
      <c r="L134" s="1751"/>
      <c r="M134" s="1751"/>
      <c r="N134" s="1751"/>
      <c r="O134" s="1751"/>
      <c r="Q134" s="607"/>
      <c r="R134" s="607"/>
      <c r="S134" s="607"/>
      <c r="T134" s="607"/>
      <c r="U134" s="607"/>
      <c r="V134" s="607"/>
      <c r="W134" s="607"/>
      <c r="X134" s="607"/>
      <c r="Y134" s="607"/>
      <c r="Z134" s="607"/>
      <c r="AA134" s="607"/>
      <c r="AB134" s="607"/>
      <c r="AC134" s="607"/>
      <c r="AD134" s="607"/>
      <c r="AE134" s="607"/>
    </row>
    <row r="135" spans="1:31" ht="30" customHeight="1">
      <c r="A135" s="1751" t="s">
        <v>3963</v>
      </c>
      <c r="B135" s="1751"/>
      <c r="C135" s="1751"/>
      <c r="D135" s="1751"/>
      <c r="E135" s="1751"/>
      <c r="F135" s="1751"/>
      <c r="G135" s="1751"/>
      <c r="H135" s="1751"/>
      <c r="I135" s="1751"/>
      <c r="J135" s="1751"/>
      <c r="K135" s="1751"/>
      <c r="L135" s="1751"/>
      <c r="M135" s="1751"/>
      <c r="N135" s="1751"/>
      <c r="O135" s="1751"/>
      <c r="Q135" s="607"/>
      <c r="R135" s="607"/>
      <c r="S135" s="607"/>
      <c r="T135" s="607"/>
      <c r="U135" s="607"/>
      <c r="V135" s="607"/>
      <c r="W135" s="607"/>
      <c r="X135" s="607"/>
      <c r="Y135" s="607"/>
      <c r="Z135" s="607"/>
      <c r="AA135" s="607"/>
      <c r="AB135" s="607"/>
      <c r="AC135" s="607"/>
      <c r="AD135" s="607"/>
      <c r="AE135" s="607"/>
    </row>
    <row r="136" spans="1:31" ht="14.25" customHeight="1">
      <c r="A136" s="1751" t="s">
        <v>3964</v>
      </c>
      <c r="B136" s="1751"/>
      <c r="C136" s="1751"/>
      <c r="D136" s="1751"/>
      <c r="E136" s="1751"/>
      <c r="F136" s="1751"/>
      <c r="G136" s="1751"/>
      <c r="H136" s="1751"/>
      <c r="I136" s="1751"/>
      <c r="J136" s="1751"/>
      <c r="K136" s="1751"/>
      <c r="L136" s="1751"/>
      <c r="M136" s="1751"/>
      <c r="N136" s="1751"/>
      <c r="O136" s="1751"/>
      <c r="Q136" s="607"/>
      <c r="R136" s="607"/>
      <c r="S136" s="607"/>
      <c r="T136" s="607"/>
      <c r="U136" s="607"/>
      <c r="V136" s="607"/>
      <c r="W136" s="607"/>
      <c r="X136" s="607"/>
      <c r="Y136" s="607"/>
      <c r="Z136" s="607"/>
      <c r="AA136" s="607"/>
      <c r="AB136" s="607"/>
      <c r="AC136" s="607"/>
      <c r="AD136" s="607"/>
      <c r="AE136" s="607"/>
    </row>
    <row r="137" spans="1:31" ht="88.5" customHeight="1">
      <c r="A137" s="1751" t="s">
        <v>3965</v>
      </c>
      <c r="B137" s="1751"/>
      <c r="C137" s="1751"/>
      <c r="D137" s="1751"/>
      <c r="E137" s="1751"/>
      <c r="F137" s="1751"/>
      <c r="G137" s="1751"/>
      <c r="H137" s="1751"/>
      <c r="I137" s="1751"/>
      <c r="J137" s="1751"/>
      <c r="K137" s="1751"/>
      <c r="L137" s="1751"/>
      <c r="M137" s="1751"/>
      <c r="N137" s="1751"/>
      <c r="O137" s="1751"/>
      <c r="Q137" s="607"/>
      <c r="R137" s="607"/>
      <c r="S137" s="607"/>
      <c r="T137" s="607"/>
      <c r="U137" s="607"/>
      <c r="V137" s="607"/>
      <c r="W137" s="607"/>
      <c r="X137" s="607"/>
      <c r="Y137" s="607"/>
      <c r="Z137" s="607"/>
      <c r="AA137" s="607"/>
      <c r="AB137" s="607"/>
      <c r="AC137" s="607"/>
      <c r="AD137" s="607"/>
      <c r="AE137" s="607"/>
    </row>
    <row r="138" spans="1:31" ht="27.75" customHeight="1">
      <c r="A138" s="1751" t="s">
        <v>4040</v>
      </c>
      <c r="B138" s="1751"/>
      <c r="C138" s="1751"/>
      <c r="D138" s="1751"/>
      <c r="E138" s="1751"/>
      <c r="F138" s="1751"/>
      <c r="G138" s="1751"/>
      <c r="H138" s="1751"/>
      <c r="I138" s="1751"/>
      <c r="J138" s="1751"/>
      <c r="K138" s="1751"/>
      <c r="L138" s="1751"/>
      <c r="M138" s="1751"/>
      <c r="N138" s="1751"/>
      <c r="O138" s="1751"/>
      <c r="Q138" s="607"/>
      <c r="R138" s="607"/>
      <c r="S138" s="607"/>
      <c r="T138" s="607"/>
      <c r="U138" s="607"/>
      <c r="V138" s="607"/>
      <c r="W138" s="607"/>
      <c r="X138" s="607"/>
      <c r="Y138" s="607"/>
      <c r="Z138" s="607"/>
      <c r="AA138" s="607"/>
      <c r="AB138" s="607"/>
      <c r="AC138" s="607"/>
      <c r="AD138" s="607"/>
      <c r="AE138" s="607"/>
    </row>
    <row r="139" spans="1:31" ht="18" customHeight="1">
      <c r="A139" s="1751" t="s">
        <v>3966</v>
      </c>
      <c r="B139" s="1751"/>
      <c r="C139" s="1751"/>
      <c r="D139" s="1751"/>
      <c r="E139" s="1751"/>
      <c r="F139" s="1751"/>
      <c r="G139" s="1751"/>
      <c r="H139" s="1751"/>
      <c r="I139" s="1751"/>
      <c r="J139" s="1751"/>
      <c r="K139" s="1751"/>
      <c r="L139" s="1751"/>
      <c r="M139" s="1751"/>
      <c r="N139" s="1751"/>
      <c r="O139" s="1751"/>
      <c r="Q139" s="607"/>
      <c r="R139" s="607"/>
      <c r="S139" s="607"/>
      <c r="T139" s="607"/>
      <c r="U139" s="607"/>
      <c r="V139" s="607"/>
      <c r="W139" s="607"/>
      <c r="X139" s="607"/>
      <c r="Y139" s="607"/>
      <c r="Z139" s="607"/>
      <c r="AA139" s="607"/>
      <c r="AB139" s="607"/>
      <c r="AC139" s="607"/>
      <c r="AD139" s="607"/>
      <c r="AE139" s="607"/>
    </row>
    <row r="140" spans="1:31" ht="29.25" customHeight="1">
      <c r="A140" s="1751" t="s">
        <v>3967</v>
      </c>
      <c r="B140" s="1751"/>
      <c r="C140" s="1751"/>
      <c r="D140" s="1751"/>
      <c r="E140" s="1751"/>
      <c r="F140" s="1751"/>
      <c r="G140" s="1751"/>
      <c r="H140" s="1751"/>
      <c r="I140" s="1751"/>
      <c r="J140" s="1751"/>
      <c r="K140" s="1751"/>
      <c r="L140" s="1751"/>
      <c r="M140" s="1751"/>
      <c r="N140" s="1751"/>
      <c r="O140" s="1751"/>
      <c r="Q140" s="607"/>
      <c r="R140" s="607"/>
      <c r="S140" s="607"/>
      <c r="T140" s="607"/>
      <c r="U140" s="607"/>
      <c r="V140" s="607"/>
      <c r="W140" s="607"/>
      <c r="X140" s="607"/>
      <c r="Y140" s="607"/>
      <c r="Z140" s="607"/>
      <c r="AA140" s="607"/>
      <c r="AB140" s="607"/>
      <c r="AC140" s="607"/>
      <c r="AD140" s="607"/>
      <c r="AE140" s="607"/>
    </row>
    <row r="141" spans="1:31">
      <c r="A141" s="1751" t="s">
        <v>3968</v>
      </c>
      <c r="B141" s="1751"/>
      <c r="C141" s="1751"/>
      <c r="D141" s="1751"/>
      <c r="E141" s="1751"/>
      <c r="F141" s="1751"/>
      <c r="G141" s="1751"/>
      <c r="H141" s="1751"/>
      <c r="I141" s="1751"/>
      <c r="J141" s="1751"/>
      <c r="K141" s="1751"/>
      <c r="L141" s="1751"/>
      <c r="M141" s="1751"/>
      <c r="N141" s="1751"/>
      <c r="O141" s="1751"/>
      <c r="Q141" s="607"/>
      <c r="R141" s="607"/>
      <c r="S141" s="607"/>
      <c r="T141" s="607"/>
      <c r="U141" s="607"/>
      <c r="V141" s="607"/>
      <c r="W141" s="607"/>
      <c r="X141" s="607"/>
      <c r="Y141" s="607"/>
      <c r="Z141" s="607"/>
      <c r="AA141" s="607"/>
      <c r="AB141" s="607"/>
      <c r="AC141" s="607"/>
      <c r="AD141" s="607"/>
      <c r="AE141" s="607"/>
    </row>
    <row r="142" spans="1:31" ht="18.75" customHeight="1">
      <c r="A142" s="1751" t="s">
        <v>3969</v>
      </c>
      <c r="B142" s="1751"/>
      <c r="C142" s="1751"/>
      <c r="D142" s="1751"/>
      <c r="E142" s="1751"/>
      <c r="F142" s="1751"/>
      <c r="G142" s="1751"/>
      <c r="H142" s="1751"/>
      <c r="I142" s="1751"/>
      <c r="J142" s="1751"/>
      <c r="K142" s="1751"/>
      <c r="L142" s="1751"/>
      <c r="M142" s="1751"/>
      <c r="N142" s="1751"/>
      <c r="O142" s="1751"/>
      <c r="Q142" s="607"/>
      <c r="R142" s="607"/>
      <c r="S142" s="607"/>
      <c r="T142" s="607"/>
      <c r="U142" s="607"/>
      <c r="V142" s="607"/>
      <c r="W142" s="607"/>
      <c r="X142" s="607"/>
      <c r="Y142" s="607"/>
      <c r="Z142" s="607"/>
      <c r="AA142" s="607"/>
      <c r="AB142" s="607"/>
      <c r="AC142" s="607"/>
      <c r="AD142" s="607"/>
      <c r="AE142" s="607"/>
    </row>
    <row r="143" spans="1:31" ht="30" customHeight="1">
      <c r="A143" s="1751" t="s">
        <v>3970</v>
      </c>
      <c r="B143" s="1751"/>
      <c r="C143" s="1751"/>
      <c r="D143" s="1751"/>
      <c r="E143" s="1751"/>
      <c r="F143" s="1751"/>
      <c r="G143" s="1751"/>
      <c r="H143" s="1751"/>
      <c r="I143" s="1751"/>
      <c r="J143" s="1751"/>
      <c r="K143" s="1751"/>
      <c r="L143" s="1751"/>
      <c r="M143" s="1751"/>
      <c r="N143" s="1751"/>
      <c r="O143" s="1751"/>
      <c r="Q143" s="607"/>
      <c r="R143" s="607"/>
      <c r="S143" s="607"/>
      <c r="T143" s="607"/>
      <c r="U143" s="607"/>
      <c r="V143" s="607"/>
      <c r="W143" s="607"/>
      <c r="X143" s="607"/>
      <c r="Y143" s="607"/>
      <c r="Z143" s="607"/>
      <c r="AA143" s="607"/>
      <c r="AB143" s="607"/>
      <c r="AC143" s="607"/>
      <c r="AD143" s="607"/>
      <c r="AE143" s="607"/>
    </row>
    <row r="144" spans="1:31" ht="16.5" customHeight="1">
      <c r="A144" s="1751" t="s">
        <v>3971</v>
      </c>
      <c r="B144" s="1751"/>
      <c r="C144" s="1751"/>
      <c r="D144" s="1751"/>
      <c r="E144" s="1751"/>
      <c r="F144" s="1751"/>
      <c r="G144" s="1751"/>
      <c r="H144" s="1751"/>
      <c r="I144" s="1751"/>
      <c r="J144" s="1751"/>
      <c r="K144" s="1751"/>
      <c r="L144" s="1751"/>
      <c r="M144" s="1751"/>
      <c r="N144" s="1751"/>
      <c r="O144" s="1751"/>
      <c r="Q144" s="607"/>
      <c r="R144" s="607"/>
      <c r="S144" s="607"/>
      <c r="T144" s="607"/>
      <c r="U144" s="607"/>
      <c r="V144" s="607"/>
      <c r="W144" s="607"/>
      <c r="X144" s="607"/>
      <c r="Y144" s="607"/>
      <c r="Z144" s="607"/>
      <c r="AA144" s="607"/>
      <c r="AB144" s="607"/>
      <c r="AC144" s="607"/>
      <c r="AD144" s="607"/>
      <c r="AE144" s="607"/>
    </row>
    <row r="145" spans="1:31" ht="18.75" customHeight="1">
      <c r="A145" s="1751" t="s">
        <v>3972</v>
      </c>
      <c r="B145" s="1751"/>
      <c r="C145" s="1751"/>
      <c r="D145" s="1751"/>
      <c r="E145" s="1751"/>
      <c r="F145" s="1751"/>
      <c r="G145" s="1751"/>
      <c r="H145" s="1751"/>
      <c r="I145" s="1751"/>
      <c r="J145" s="1751"/>
      <c r="K145" s="1751"/>
      <c r="L145" s="1751"/>
      <c r="M145" s="1751"/>
      <c r="N145" s="1751"/>
      <c r="O145" s="1751"/>
      <c r="Q145" s="607"/>
      <c r="R145" s="607"/>
      <c r="S145" s="607"/>
      <c r="T145" s="607"/>
      <c r="U145" s="607"/>
      <c r="V145" s="607"/>
      <c r="W145" s="607"/>
      <c r="X145" s="607"/>
      <c r="Y145" s="607"/>
      <c r="Z145" s="607"/>
      <c r="AA145" s="607"/>
      <c r="AB145" s="607"/>
      <c r="AC145" s="607"/>
      <c r="AD145" s="607"/>
      <c r="AE145" s="607"/>
    </row>
    <row r="146" spans="1:31" ht="17.25" customHeight="1">
      <c r="A146" s="1751" t="s">
        <v>3973</v>
      </c>
      <c r="B146" s="1751"/>
      <c r="C146" s="1751"/>
      <c r="D146" s="1751"/>
      <c r="E146" s="1751"/>
      <c r="F146" s="1751"/>
      <c r="G146" s="1751"/>
      <c r="H146" s="1751"/>
      <c r="I146" s="1751"/>
      <c r="J146" s="1751"/>
      <c r="K146" s="1751"/>
      <c r="L146" s="1751"/>
      <c r="M146" s="1751"/>
      <c r="N146" s="1751"/>
      <c r="O146" s="1751"/>
      <c r="Q146" s="607"/>
      <c r="R146" s="607"/>
      <c r="S146" s="607"/>
      <c r="T146" s="607"/>
      <c r="U146" s="607"/>
      <c r="V146" s="607"/>
      <c r="W146" s="607"/>
      <c r="X146" s="607"/>
      <c r="Y146" s="607"/>
      <c r="Z146" s="607"/>
      <c r="AA146" s="607"/>
      <c r="AB146" s="607"/>
      <c r="AC146" s="607"/>
      <c r="AD146" s="607"/>
      <c r="AE146" s="607"/>
    </row>
    <row r="147" spans="1:31" ht="29.25" customHeight="1">
      <c r="A147" s="1751" t="s">
        <v>3974</v>
      </c>
      <c r="B147" s="1751"/>
      <c r="C147" s="1751"/>
      <c r="D147" s="1751"/>
      <c r="E147" s="1751"/>
      <c r="F147" s="1751"/>
      <c r="G147" s="1751"/>
      <c r="H147" s="1751"/>
      <c r="I147" s="1751"/>
      <c r="J147" s="1751"/>
      <c r="K147" s="1751"/>
      <c r="L147" s="1751"/>
      <c r="M147" s="1751"/>
      <c r="N147" s="1751"/>
      <c r="O147" s="1751"/>
      <c r="Q147" s="607"/>
      <c r="R147" s="607"/>
      <c r="S147" s="607"/>
      <c r="T147" s="607"/>
      <c r="U147" s="607"/>
      <c r="V147" s="607"/>
      <c r="W147" s="607"/>
      <c r="X147" s="607"/>
      <c r="Y147" s="607"/>
      <c r="Z147" s="607"/>
      <c r="AA147" s="607"/>
      <c r="AB147" s="607"/>
      <c r="AC147" s="607"/>
      <c r="AD147" s="607"/>
      <c r="AE147" s="607"/>
    </row>
    <row r="148" spans="1:31" ht="30.75" customHeight="1">
      <c r="A148" s="1751" t="s">
        <v>3975</v>
      </c>
      <c r="B148" s="1751"/>
      <c r="C148" s="1751"/>
      <c r="D148" s="1751"/>
      <c r="E148" s="1751"/>
      <c r="F148" s="1751"/>
      <c r="G148" s="1751"/>
      <c r="H148" s="1751"/>
      <c r="I148" s="1751"/>
      <c r="J148" s="1751"/>
      <c r="K148" s="1751"/>
      <c r="L148" s="1751"/>
      <c r="M148" s="1751"/>
      <c r="N148" s="1751"/>
      <c r="O148" s="1751"/>
      <c r="Q148" s="607"/>
      <c r="R148" s="607"/>
      <c r="S148" s="607"/>
      <c r="T148" s="607"/>
      <c r="U148" s="607"/>
      <c r="V148" s="607"/>
      <c r="W148" s="607"/>
      <c r="X148" s="607"/>
      <c r="Y148" s="607"/>
      <c r="Z148" s="607"/>
      <c r="AA148" s="607"/>
      <c r="AB148" s="607"/>
      <c r="AC148" s="607"/>
      <c r="AD148" s="607"/>
      <c r="AE148" s="607"/>
    </row>
    <row r="149" spans="1:31" ht="26.25" customHeight="1">
      <c r="A149" s="1751" t="s">
        <v>3976</v>
      </c>
      <c r="B149" s="1751"/>
      <c r="C149" s="1751"/>
      <c r="D149" s="1751"/>
      <c r="E149" s="1751"/>
      <c r="F149" s="1751"/>
      <c r="G149" s="1751"/>
      <c r="H149" s="1751"/>
      <c r="I149" s="1751"/>
      <c r="J149" s="1751"/>
      <c r="K149" s="1751"/>
      <c r="L149" s="1751"/>
      <c r="M149" s="1751"/>
      <c r="N149" s="1751"/>
      <c r="O149" s="1751"/>
      <c r="Q149" s="607"/>
      <c r="R149" s="607"/>
      <c r="S149" s="607"/>
      <c r="T149" s="607"/>
      <c r="U149" s="607"/>
      <c r="V149" s="607"/>
      <c r="W149" s="607"/>
      <c r="X149" s="607"/>
      <c r="Y149" s="607"/>
      <c r="Z149" s="607"/>
      <c r="AA149" s="607"/>
      <c r="AB149" s="607"/>
      <c r="AC149" s="607"/>
      <c r="AD149" s="607"/>
      <c r="AE149" s="607"/>
    </row>
    <row r="150" spans="1:31" ht="54" customHeight="1">
      <c r="A150" s="1751" t="s">
        <v>3977</v>
      </c>
      <c r="B150" s="1751"/>
      <c r="C150" s="1751"/>
      <c r="D150" s="1751"/>
      <c r="E150" s="1751"/>
      <c r="F150" s="1751"/>
      <c r="G150" s="1751"/>
      <c r="H150" s="1751"/>
      <c r="I150" s="1751"/>
      <c r="J150" s="1751"/>
      <c r="K150" s="1751"/>
      <c r="L150" s="1751"/>
      <c r="M150" s="1751"/>
      <c r="N150" s="1751"/>
      <c r="O150" s="1751"/>
      <c r="Q150" s="607"/>
      <c r="R150" s="607"/>
      <c r="S150" s="607"/>
      <c r="T150" s="607"/>
      <c r="U150" s="607"/>
      <c r="V150" s="607"/>
      <c r="W150" s="607"/>
      <c r="X150" s="607"/>
      <c r="Y150" s="607"/>
      <c r="Z150" s="607"/>
      <c r="AA150" s="607"/>
      <c r="AB150" s="607"/>
      <c r="AC150" s="607"/>
      <c r="AD150" s="607"/>
      <c r="AE150" s="607"/>
    </row>
    <row r="151" spans="1:31" ht="42" customHeight="1">
      <c r="A151" s="1751" t="s">
        <v>3978</v>
      </c>
      <c r="B151" s="1751"/>
      <c r="C151" s="1751"/>
      <c r="D151" s="1751"/>
      <c r="E151" s="1751"/>
      <c r="F151" s="1751"/>
      <c r="G151" s="1751"/>
      <c r="H151" s="1751"/>
      <c r="I151" s="1751"/>
      <c r="J151" s="1751"/>
      <c r="K151" s="1751"/>
      <c r="L151" s="1751"/>
      <c r="M151" s="1751"/>
      <c r="N151" s="1751"/>
      <c r="O151" s="1751"/>
      <c r="Q151" s="607"/>
      <c r="R151" s="607"/>
      <c r="S151" s="607"/>
      <c r="T151" s="607"/>
      <c r="U151" s="607"/>
      <c r="V151" s="607"/>
      <c r="W151" s="607"/>
      <c r="X151" s="607"/>
      <c r="Y151" s="607"/>
      <c r="Z151" s="607"/>
      <c r="AA151" s="607"/>
      <c r="AB151" s="607"/>
      <c r="AC151" s="607"/>
      <c r="AD151" s="607"/>
      <c r="AE151" s="607"/>
    </row>
    <row r="152" spans="1:31">
      <c r="A152" s="1751" t="s">
        <v>3979</v>
      </c>
      <c r="B152" s="1751"/>
      <c r="C152" s="1751"/>
      <c r="D152" s="1751"/>
      <c r="E152" s="1751"/>
      <c r="F152" s="1751"/>
      <c r="G152" s="1751"/>
      <c r="H152" s="1751"/>
      <c r="I152" s="1751"/>
      <c r="J152" s="1751"/>
      <c r="K152" s="1751"/>
      <c r="L152" s="1751"/>
      <c r="M152" s="1751"/>
      <c r="N152" s="1751"/>
      <c r="O152" s="1751"/>
      <c r="Q152" s="607"/>
      <c r="R152" s="607"/>
      <c r="S152" s="607"/>
      <c r="T152" s="607"/>
      <c r="U152" s="607"/>
      <c r="V152" s="607"/>
      <c r="W152" s="607"/>
      <c r="X152" s="607"/>
      <c r="Y152" s="607"/>
      <c r="Z152" s="607"/>
      <c r="AA152" s="607"/>
      <c r="AB152" s="607"/>
      <c r="AC152" s="607"/>
      <c r="AD152" s="607"/>
      <c r="AE152" s="607"/>
    </row>
    <row r="153" spans="1:31" ht="30" customHeight="1">
      <c r="A153" s="1751" t="s">
        <v>3980</v>
      </c>
      <c r="B153" s="1751"/>
      <c r="C153" s="1751"/>
      <c r="D153" s="1751"/>
      <c r="E153" s="1751"/>
      <c r="F153" s="1751"/>
      <c r="G153" s="1751"/>
      <c r="H153" s="1751"/>
      <c r="I153" s="1751"/>
      <c r="J153" s="1751"/>
      <c r="K153" s="1751"/>
      <c r="L153" s="1751"/>
      <c r="M153" s="1751"/>
      <c r="N153" s="1751"/>
      <c r="O153" s="1751"/>
      <c r="Q153" s="607"/>
      <c r="R153" s="607"/>
      <c r="S153" s="607"/>
      <c r="T153" s="607"/>
      <c r="U153" s="607"/>
      <c r="V153" s="607"/>
      <c r="W153" s="607"/>
      <c r="X153" s="607"/>
      <c r="Y153" s="607"/>
      <c r="Z153" s="607"/>
      <c r="AA153" s="607"/>
      <c r="AB153" s="607"/>
      <c r="AC153" s="607"/>
      <c r="AD153" s="607"/>
      <c r="AE153" s="607"/>
    </row>
    <row r="154" spans="1:31">
      <c r="A154" s="1751" t="s">
        <v>3981</v>
      </c>
      <c r="B154" s="1751"/>
      <c r="C154" s="1751"/>
      <c r="D154" s="1751"/>
      <c r="E154" s="1751"/>
      <c r="F154" s="1751"/>
      <c r="G154" s="1751"/>
      <c r="H154" s="1751"/>
      <c r="I154" s="1751"/>
      <c r="J154" s="1751"/>
      <c r="K154" s="1751"/>
      <c r="L154" s="1751"/>
      <c r="M154" s="1751"/>
      <c r="N154" s="1751"/>
      <c r="O154" s="1751"/>
      <c r="Q154" s="607"/>
      <c r="R154" s="607"/>
      <c r="S154" s="607"/>
      <c r="T154" s="607"/>
      <c r="U154" s="607"/>
      <c r="V154" s="607"/>
      <c r="W154" s="607"/>
      <c r="X154" s="607"/>
      <c r="Y154" s="607"/>
      <c r="Z154" s="607"/>
      <c r="AA154" s="607"/>
      <c r="AB154" s="607"/>
      <c r="AC154" s="607"/>
      <c r="AD154" s="607"/>
      <c r="AE154" s="607"/>
    </row>
    <row r="155" spans="1:31" ht="27.75" customHeight="1">
      <c r="A155" s="1751" t="s">
        <v>3982</v>
      </c>
      <c r="B155" s="1751"/>
      <c r="C155" s="1751"/>
      <c r="D155" s="1751"/>
      <c r="E155" s="1751"/>
      <c r="F155" s="1751"/>
      <c r="G155" s="1751"/>
      <c r="H155" s="1751"/>
      <c r="I155" s="1751"/>
      <c r="J155" s="1751"/>
      <c r="K155" s="1751"/>
      <c r="L155" s="1751"/>
      <c r="M155" s="1751"/>
      <c r="N155" s="1751"/>
      <c r="O155" s="1751"/>
      <c r="Q155" s="607"/>
      <c r="R155" s="607"/>
      <c r="S155" s="607"/>
      <c r="T155" s="607"/>
      <c r="U155" s="607"/>
      <c r="V155" s="607"/>
      <c r="W155" s="607"/>
      <c r="X155" s="607"/>
      <c r="Y155" s="607"/>
      <c r="Z155" s="607"/>
      <c r="AA155" s="607"/>
      <c r="AB155" s="607"/>
      <c r="AC155" s="607"/>
      <c r="AD155" s="607"/>
      <c r="AE155" s="607"/>
    </row>
    <row r="156" spans="1:31" ht="26.25" customHeight="1">
      <c r="A156" s="1751" t="s">
        <v>3983</v>
      </c>
      <c r="B156" s="1751"/>
      <c r="C156" s="1751"/>
      <c r="D156" s="1751"/>
      <c r="E156" s="1751"/>
      <c r="F156" s="1751"/>
      <c r="G156" s="1751"/>
      <c r="H156" s="1751"/>
      <c r="I156" s="1751"/>
      <c r="J156" s="1751"/>
      <c r="K156" s="1751"/>
      <c r="L156" s="1751"/>
      <c r="M156" s="1751"/>
      <c r="N156" s="1751"/>
      <c r="O156" s="1751"/>
      <c r="Q156" s="607"/>
      <c r="R156" s="607"/>
      <c r="S156" s="607"/>
      <c r="T156" s="607"/>
      <c r="U156" s="607"/>
      <c r="V156" s="607"/>
      <c r="W156" s="607"/>
      <c r="X156" s="607"/>
      <c r="Y156" s="607"/>
      <c r="Z156" s="607"/>
      <c r="AA156" s="607"/>
      <c r="AB156" s="607"/>
      <c r="AC156" s="607"/>
      <c r="AD156" s="607"/>
      <c r="AE156" s="607"/>
    </row>
    <row r="157" spans="1:31" ht="30.75" customHeight="1">
      <c r="A157" s="1751" t="s">
        <v>3984</v>
      </c>
      <c r="B157" s="1751"/>
      <c r="C157" s="1751"/>
      <c r="D157" s="1751"/>
      <c r="E157" s="1751"/>
      <c r="F157" s="1751"/>
      <c r="G157" s="1751"/>
      <c r="H157" s="1751"/>
      <c r="I157" s="1751"/>
      <c r="J157" s="1751"/>
      <c r="K157" s="1751"/>
      <c r="L157" s="1751"/>
      <c r="M157" s="1751"/>
      <c r="N157" s="1751"/>
      <c r="O157" s="1751"/>
      <c r="Q157" s="607"/>
      <c r="R157" s="607"/>
      <c r="S157" s="607"/>
      <c r="T157" s="607"/>
      <c r="U157" s="607"/>
      <c r="V157" s="607"/>
      <c r="W157" s="607"/>
      <c r="X157" s="607"/>
      <c r="Y157" s="607"/>
      <c r="Z157" s="607"/>
      <c r="AA157" s="607"/>
      <c r="AB157" s="607"/>
      <c r="AC157" s="607"/>
      <c r="AD157" s="607"/>
      <c r="AE157" s="607"/>
    </row>
    <row r="158" spans="1:31" ht="30.75" customHeight="1">
      <c r="A158" s="1751" t="s">
        <v>3985</v>
      </c>
      <c r="B158" s="1751"/>
      <c r="C158" s="1751"/>
      <c r="D158" s="1751"/>
      <c r="E158" s="1751"/>
      <c r="F158" s="1751"/>
      <c r="G158" s="1751"/>
      <c r="H158" s="1751"/>
      <c r="I158" s="1751"/>
      <c r="J158" s="1751"/>
      <c r="K158" s="1751"/>
      <c r="L158" s="1751"/>
      <c r="M158" s="1751"/>
      <c r="N158" s="1751"/>
      <c r="O158" s="1751"/>
      <c r="Q158" s="607"/>
      <c r="R158" s="607"/>
      <c r="S158" s="607"/>
      <c r="T158" s="607"/>
      <c r="U158" s="607"/>
      <c r="V158" s="607"/>
      <c r="W158" s="607"/>
      <c r="X158" s="607"/>
      <c r="Y158" s="607"/>
      <c r="Z158" s="607"/>
      <c r="AA158" s="607"/>
      <c r="AB158" s="607"/>
      <c r="AC158" s="607"/>
      <c r="AD158" s="607"/>
      <c r="AE158" s="607"/>
    </row>
    <row r="159" spans="1:31" ht="27" customHeight="1">
      <c r="A159" s="1751" t="s">
        <v>3986</v>
      </c>
      <c r="B159" s="1751"/>
      <c r="C159" s="1751"/>
      <c r="D159" s="1751"/>
      <c r="E159" s="1751"/>
      <c r="F159" s="1751"/>
      <c r="G159" s="1751"/>
      <c r="H159" s="1751"/>
      <c r="I159" s="1751"/>
      <c r="J159" s="1751"/>
      <c r="K159" s="1751"/>
      <c r="L159" s="1751"/>
      <c r="M159" s="1751"/>
      <c r="N159" s="1751"/>
      <c r="O159" s="1751"/>
      <c r="Q159" s="607"/>
      <c r="R159" s="607"/>
      <c r="S159" s="607"/>
      <c r="T159" s="607"/>
      <c r="U159" s="607"/>
      <c r="V159" s="607"/>
      <c r="W159" s="607"/>
      <c r="X159" s="607"/>
      <c r="Y159" s="607"/>
      <c r="Z159" s="607"/>
      <c r="AA159" s="607"/>
      <c r="AB159" s="607"/>
      <c r="AC159" s="607"/>
      <c r="AD159" s="607"/>
      <c r="AE159" s="607"/>
    </row>
    <row r="160" spans="1:31" ht="81" customHeight="1">
      <c r="A160" s="1763" t="s">
        <v>3987</v>
      </c>
      <c r="B160" s="1763"/>
      <c r="C160" s="1763"/>
      <c r="D160" s="1763"/>
      <c r="E160" s="1763"/>
      <c r="F160" s="1763"/>
      <c r="G160" s="1763"/>
      <c r="H160" s="1763"/>
      <c r="I160" s="1763"/>
      <c r="J160" s="1763"/>
      <c r="K160" s="1763"/>
      <c r="L160" s="1763"/>
      <c r="M160" s="1763"/>
      <c r="N160" s="1763"/>
      <c r="O160" s="1763"/>
      <c r="Q160" s="607"/>
      <c r="R160" s="607"/>
      <c r="S160" s="607"/>
      <c r="T160" s="607"/>
      <c r="U160" s="607"/>
      <c r="V160" s="607"/>
      <c r="W160" s="607"/>
      <c r="X160" s="607"/>
      <c r="Y160" s="607"/>
      <c r="Z160" s="607"/>
      <c r="AA160" s="607"/>
      <c r="AB160" s="607"/>
      <c r="AC160" s="607"/>
      <c r="AD160" s="607"/>
      <c r="AE160" s="607"/>
    </row>
    <row r="161" spans="1:31">
      <c r="A161" s="1751" t="s">
        <v>3988</v>
      </c>
      <c r="B161" s="1751"/>
      <c r="C161" s="1751"/>
      <c r="D161" s="1751"/>
      <c r="E161" s="1751"/>
      <c r="F161" s="1751"/>
      <c r="G161" s="1751"/>
      <c r="H161" s="1751"/>
      <c r="I161" s="1751"/>
      <c r="J161" s="1751"/>
      <c r="K161" s="1751"/>
      <c r="L161" s="1751"/>
      <c r="M161" s="1751"/>
      <c r="N161" s="1751"/>
      <c r="O161" s="1751"/>
      <c r="Q161" s="607"/>
      <c r="R161" s="607"/>
      <c r="S161" s="607"/>
      <c r="T161" s="607"/>
      <c r="U161" s="607"/>
      <c r="V161" s="607"/>
      <c r="W161" s="607"/>
      <c r="X161" s="607"/>
      <c r="Y161" s="607"/>
      <c r="Z161" s="607"/>
      <c r="AA161" s="607"/>
      <c r="AB161" s="607"/>
      <c r="AC161" s="607"/>
      <c r="AD161" s="607"/>
      <c r="AE161" s="607"/>
    </row>
    <row r="162" spans="1:31">
      <c r="A162" s="1751" t="s">
        <v>3989</v>
      </c>
      <c r="B162" s="1751"/>
      <c r="C162" s="1751"/>
      <c r="D162" s="1751"/>
      <c r="E162" s="1751"/>
      <c r="F162" s="1751"/>
      <c r="G162" s="1751"/>
      <c r="H162" s="1751"/>
      <c r="I162" s="1751"/>
      <c r="J162" s="1751"/>
      <c r="K162" s="1751"/>
      <c r="L162" s="1751"/>
      <c r="M162" s="1751"/>
      <c r="N162" s="1751"/>
      <c r="O162" s="1751"/>
      <c r="Q162" s="607"/>
      <c r="R162" s="607"/>
      <c r="S162" s="607"/>
      <c r="T162" s="607"/>
      <c r="U162" s="607"/>
      <c r="V162" s="607"/>
      <c r="W162" s="607"/>
      <c r="X162" s="607"/>
      <c r="Y162" s="607"/>
      <c r="Z162" s="607"/>
      <c r="AA162" s="607"/>
      <c r="AB162" s="607"/>
      <c r="AC162" s="607"/>
      <c r="AD162" s="607"/>
      <c r="AE162" s="607"/>
    </row>
    <row r="163" spans="1:31" ht="106.5" customHeight="1">
      <c r="A163" s="1751" t="s">
        <v>3990</v>
      </c>
      <c r="B163" s="1751"/>
      <c r="C163" s="1751"/>
      <c r="D163" s="1751"/>
      <c r="E163" s="1751"/>
      <c r="F163" s="1751"/>
      <c r="G163" s="1751"/>
      <c r="H163" s="1751"/>
      <c r="I163" s="1751"/>
      <c r="J163" s="1751"/>
      <c r="K163" s="1751"/>
      <c r="L163" s="1751"/>
      <c r="M163" s="1751"/>
      <c r="N163" s="1751"/>
      <c r="O163" s="1751"/>
      <c r="Q163" s="607"/>
      <c r="R163" s="607"/>
      <c r="S163" s="607"/>
      <c r="T163" s="607"/>
      <c r="U163" s="607"/>
      <c r="V163" s="607"/>
      <c r="W163" s="607"/>
      <c r="X163" s="607"/>
      <c r="Y163" s="607"/>
      <c r="Z163" s="607"/>
      <c r="AA163" s="607"/>
      <c r="AB163" s="607"/>
      <c r="AC163" s="607"/>
      <c r="AD163" s="607"/>
      <c r="AE163" s="607"/>
    </row>
    <row r="164" spans="1:31" ht="93" customHeight="1">
      <c r="A164" s="1751" t="s">
        <v>3991</v>
      </c>
      <c r="B164" s="1751"/>
      <c r="C164" s="1751"/>
      <c r="D164" s="1751"/>
      <c r="E164" s="1751"/>
      <c r="F164" s="1751"/>
      <c r="G164" s="1751"/>
      <c r="H164" s="1751"/>
      <c r="I164" s="1751"/>
      <c r="J164" s="1751"/>
      <c r="K164" s="1751"/>
      <c r="L164" s="1751"/>
      <c r="M164" s="1751"/>
      <c r="N164" s="1751"/>
      <c r="O164" s="1751"/>
      <c r="Q164" s="607"/>
      <c r="R164" s="607"/>
      <c r="S164" s="607"/>
      <c r="T164" s="607"/>
      <c r="U164" s="607"/>
      <c r="V164" s="607"/>
      <c r="W164" s="607"/>
      <c r="X164" s="607"/>
      <c r="Y164" s="607"/>
      <c r="Z164" s="607"/>
      <c r="AA164" s="607"/>
      <c r="AB164" s="607"/>
      <c r="AC164" s="607"/>
      <c r="AD164" s="607"/>
      <c r="AE164" s="607"/>
    </row>
    <row r="165" spans="1:31" ht="102" customHeight="1">
      <c r="A165" s="1751" t="s">
        <v>3992</v>
      </c>
      <c r="B165" s="1751"/>
      <c r="C165" s="1751"/>
      <c r="D165" s="1751"/>
      <c r="E165" s="1751"/>
      <c r="F165" s="1751"/>
      <c r="G165" s="1751"/>
      <c r="H165" s="1751"/>
      <c r="I165" s="1751"/>
      <c r="J165" s="1751"/>
      <c r="K165" s="1751"/>
      <c r="L165" s="1751"/>
      <c r="M165" s="1751"/>
      <c r="N165" s="1751"/>
      <c r="O165" s="1751"/>
      <c r="Q165" s="607"/>
      <c r="R165" s="607"/>
      <c r="S165" s="607"/>
      <c r="T165" s="607"/>
      <c r="U165" s="607"/>
      <c r="V165" s="607"/>
      <c r="W165" s="607"/>
      <c r="X165" s="607"/>
      <c r="Y165" s="607"/>
      <c r="Z165" s="607"/>
      <c r="AA165" s="607"/>
      <c r="AB165" s="607"/>
      <c r="AC165" s="607"/>
      <c r="AD165" s="607"/>
      <c r="AE165" s="607"/>
    </row>
    <row r="166" spans="1:31" ht="175.5" customHeight="1">
      <c r="A166" s="1751" t="s">
        <v>3993</v>
      </c>
      <c r="B166" s="1751"/>
      <c r="C166" s="1751"/>
      <c r="D166" s="1751"/>
      <c r="E166" s="1751"/>
      <c r="F166" s="1751"/>
      <c r="G166" s="1751"/>
      <c r="H166" s="1751"/>
      <c r="I166" s="1751"/>
      <c r="J166" s="1751"/>
      <c r="K166" s="1751"/>
      <c r="L166" s="1751"/>
      <c r="M166" s="1751"/>
      <c r="N166" s="1751"/>
      <c r="O166" s="1751"/>
      <c r="Q166" s="607"/>
      <c r="R166" s="607"/>
      <c r="S166" s="607"/>
      <c r="T166" s="607"/>
      <c r="U166" s="607"/>
      <c r="V166" s="607"/>
      <c r="W166" s="607"/>
      <c r="X166" s="607"/>
      <c r="Y166" s="607"/>
      <c r="Z166" s="607"/>
      <c r="AA166" s="607"/>
      <c r="AB166" s="607"/>
      <c r="AC166" s="607"/>
      <c r="AD166" s="607"/>
      <c r="AE166" s="607"/>
    </row>
    <row r="167" spans="1:31" ht="66" customHeight="1">
      <c r="A167" s="1770" t="s">
        <v>3994</v>
      </c>
      <c r="B167" s="1770"/>
      <c r="C167" s="1770"/>
      <c r="D167" s="1770"/>
      <c r="E167" s="1770"/>
      <c r="F167" s="1770"/>
      <c r="G167" s="1770"/>
      <c r="H167" s="1770"/>
      <c r="I167" s="1770"/>
      <c r="J167" s="1770"/>
      <c r="K167" s="1770"/>
      <c r="L167" s="1770"/>
      <c r="M167" s="1770"/>
      <c r="N167" s="1770"/>
      <c r="O167" s="1770"/>
      <c r="Q167" s="607"/>
      <c r="R167" s="607"/>
      <c r="S167" s="607"/>
      <c r="T167" s="607"/>
      <c r="U167" s="607"/>
      <c r="V167" s="607"/>
      <c r="W167" s="607"/>
      <c r="X167" s="607"/>
      <c r="Y167" s="607"/>
      <c r="Z167" s="607"/>
      <c r="AA167" s="607"/>
      <c r="AB167" s="607"/>
      <c r="AC167" s="607"/>
      <c r="AD167" s="607"/>
      <c r="AE167" s="607"/>
    </row>
    <row r="168" spans="1:31" ht="42.75" customHeight="1">
      <c r="A168" s="1767" t="s">
        <v>3995</v>
      </c>
      <c r="B168" s="1767"/>
      <c r="C168" s="1767"/>
      <c r="D168" s="1767"/>
      <c r="E168" s="1767"/>
      <c r="F168" s="1767"/>
      <c r="G168" s="1767"/>
      <c r="H168" s="1767"/>
      <c r="I168" s="1767"/>
      <c r="J168" s="1767"/>
      <c r="K168" s="1767"/>
      <c r="L168" s="1767"/>
      <c r="M168" s="1767"/>
      <c r="N168" s="1767"/>
      <c r="O168" s="1767"/>
      <c r="Q168" s="607"/>
      <c r="R168" s="607"/>
      <c r="S168" s="607"/>
      <c r="T168" s="607"/>
      <c r="U168" s="607"/>
      <c r="V168" s="607"/>
      <c r="W168" s="607"/>
      <c r="X168" s="607"/>
      <c r="Y168" s="607"/>
      <c r="Z168" s="607"/>
      <c r="AA168" s="607"/>
      <c r="AB168" s="607"/>
      <c r="AC168" s="607"/>
      <c r="AD168" s="607"/>
      <c r="AE168" s="607"/>
    </row>
    <row r="169" spans="1:31" ht="54" customHeight="1">
      <c r="A169" s="1767" t="s">
        <v>3996</v>
      </c>
      <c r="B169" s="1767"/>
      <c r="C169" s="1767"/>
      <c r="D169" s="1767"/>
      <c r="E169" s="1767"/>
      <c r="F169" s="1767"/>
      <c r="G169" s="1767"/>
      <c r="H169" s="1767"/>
      <c r="I169" s="1767"/>
      <c r="J169" s="1767"/>
      <c r="K169" s="1767"/>
      <c r="L169" s="1767"/>
      <c r="M169" s="1767"/>
      <c r="N169" s="1767"/>
      <c r="O169" s="1767"/>
      <c r="Q169" s="607"/>
      <c r="R169" s="607"/>
      <c r="S169" s="607"/>
      <c r="T169" s="607"/>
      <c r="U169" s="607"/>
      <c r="V169" s="607"/>
      <c r="W169" s="607"/>
      <c r="X169" s="607"/>
      <c r="Y169" s="607"/>
      <c r="Z169" s="607"/>
      <c r="AA169" s="607"/>
      <c r="AB169" s="607"/>
      <c r="AC169" s="607"/>
      <c r="AD169" s="607"/>
      <c r="AE169" s="607"/>
    </row>
    <row r="170" spans="1:31" ht="17.25" customHeight="1">
      <c r="A170" s="1751" t="s">
        <v>3997</v>
      </c>
      <c r="B170" s="1751"/>
      <c r="C170" s="1751"/>
      <c r="D170" s="1751"/>
      <c r="E170" s="1751"/>
      <c r="F170" s="1751"/>
      <c r="G170" s="1751"/>
      <c r="H170" s="1751"/>
      <c r="I170" s="1751"/>
      <c r="J170" s="1751"/>
      <c r="K170" s="1751"/>
      <c r="L170" s="1751"/>
      <c r="M170" s="1751"/>
      <c r="N170" s="1751"/>
      <c r="O170" s="1751"/>
      <c r="Q170" s="607"/>
      <c r="R170" s="607"/>
      <c r="S170" s="607"/>
      <c r="T170" s="607"/>
      <c r="U170" s="607"/>
      <c r="V170" s="607"/>
      <c r="W170" s="607"/>
      <c r="X170" s="607"/>
      <c r="Y170" s="607"/>
      <c r="Z170" s="607"/>
      <c r="AA170" s="607"/>
      <c r="AB170" s="607"/>
      <c r="AC170" s="607"/>
      <c r="AD170" s="607"/>
      <c r="AE170" s="607"/>
    </row>
    <row r="171" spans="1:31" ht="15.75" customHeight="1">
      <c r="A171" s="1751" t="s">
        <v>3998</v>
      </c>
      <c r="B171" s="1751"/>
      <c r="C171" s="1751"/>
      <c r="D171" s="1751"/>
      <c r="E171" s="1751"/>
      <c r="F171" s="1751"/>
      <c r="G171" s="1751"/>
      <c r="H171" s="1751"/>
      <c r="I171" s="1751"/>
      <c r="J171" s="1751"/>
      <c r="K171" s="1751"/>
      <c r="L171" s="1751"/>
      <c r="M171" s="1751"/>
      <c r="N171" s="1751"/>
      <c r="O171" s="1751"/>
      <c r="Q171" s="607"/>
      <c r="R171" s="607"/>
      <c r="S171" s="607"/>
      <c r="T171" s="607"/>
      <c r="U171" s="607"/>
      <c r="V171" s="607"/>
      <c r="W171" s="607"/>
      <c r="X171" s="607"/>
      <c r="Y171" s="607"/>
      <c r="Z171" s="607"/>
      <c r="AA171" s="607"/>
      <c r="AB171" s="607"/>
      <c r="AC171" s="607"/>
      <c r="AD171" s="607"/>
      <c r="AE171" s="607"/>
    </row>
    <row r="172" spans="1:31" ht="43.5" customHeight="1">
      <c r="A172" s="1751" t="s">
        <v>3999</v>
      </c>
      <c r="B172" s="1751"/>
      <c r="C172" s="1751"/>
      <c r="D172" s="1751"/>
      <c r="E172" s="1751"/>
      <c r="F172" s="1751"/>
      <c r="G172" s="1751"/>
      <c r="H172" s="1751"/>
      <c r="I172" s="1751"/>
      <c r="J172" s="1751"/>
      <c r="K172" s="1751"/>
      <c r="L172" s="1751"/>
      <c r="M172" s="1751"/>
      <c r="N172" s="1751"/>
      <c r="O172" s="1751"/>
      <c r="Q172" s="607"/>
      <c r="R172" s="607"/>
      <c r="S172" s="607"/>
      <c r="T172" s="607"/>
      <c r="U172" s="607"/>
      <c r="V172" s="607"/>
      <c r="W172" s="607"/>
      <c r="X172" s="607"/>
      <c r="Y172" s="607"/>
      <c r="Z172" s="607"/>
      <c r="AA172" s="607"/>
      <c r="AB172" s="607"/>
      <c r="AC172" s="607"/>
      <c r="AD172" s="607"/>
      <c r="AE172" s="607"/>
    </row>
    <row r="173" spans="1:31" ht="17.25" customHeight="1">
      <c r="A173" s="1751" t="s">
        <v>4000</v>
      </c>
      <c r="B173" s="1751"/>
      <c r="C173" s="1751"/>
      <c r="D173" s="1751"/>
      <c r="E173" s="1751"/>
      <c r="F173" s="1751"/>
      <c r="G173" s="1751"/>
      <c r="H173" s="1751"/>
      <c r="I173" s="1751"/>
      <c r="J173" s="1751"/>
      <c r="K173" s="1751"/>
      <c r="L173" s="1751"/>
      <c r="M173" s="1751"/>
      <c r="N173" s="1751"/>
      <c r="O173" s="1751"/>
      <c r="Q173" s="607"/>
      <c r="R173" s="607"/>
      <c r="S173" s="607"/>
      <c r="T173" s="607"/>
      <c r="U173" s="607"/>
      <c r="V173" s="607"/>
      <c r="W173" s="607"/>
      <c r="X173" s="607"/>
      <c r="Y173" s="607"/>
      <c r="Z173" s="607"/>
      <c r="AA173" s="607"/>
      <c r="AB173" s="607"/>
      <c r="AC173" s="607"/>
      <c r="AD173" s="607"/>
      <c r="AE173" s="607"/>
    </row>
    <row r="174" spans="1:31" ht="27" customHeight="1">
      <c r="A174" s="1751" t="s">
        <v>4001</v>
      </c>
      <c r="B174" s="1751"/>
      <c r="C174" s="1751"/>
      <c r="D174" s="1751"/>
      <c r="E174" s="1751"/>
      <c r="F174" s="1751"/>
      <c r="G174" s="1751"/>
      <c r="H174" s="1751"/>
      <c r="I174" s="1751"/>
      <c r="J174" s="1751"/>
      <c r="K174" s="1751"/>
      <c r="L174" s="1751"/>
      <c r="M174" s="1751"/>
      <c r="N174" s="1751"/>
      <c r="O174" s="1751"/>
      <c r="Q174" s="607"/>
      <c r="R174" s="607"/>
      <c r="S174" s="607"/>
      <c r="T174" s="607"/>
      <c r="U174" s="607"/>
      <c r="V174" s="607"/>
      <c r="W174" s="607"/>
      <c r="X174" s="607"/>
      <c r="Y174" s="607"/>
      <c r="Z174" s="607"/>
      <c r="AA174" s="607"/>
      <c r="AB174" s="607"/>
      <c r="AC174" s="607"/>
      <c r="AD174" s="607"/>
      <c r="AE174" s="607"/>
    </row>
    <row r="175" spans="1:31">
      <c r="A175" s="1751" t="s">
        <v>4002</v>
      </c>
      <c r="B175" s="1751"/>
      <c r="C175" s="1751"/>
      <c r="D175" s="1751"/>
      <c r="E175" s="1751"/>
      <c r="F175" s="1751"/>
      <c r="G175" s="1751"/>
      <c r="H175" s="1751"/>
      <c r="I175" s="1751"/>
      <c r="J175" s="1751"/>
      <c r="K175" s="1751"/>
      <c r="L175" s="1751"/>
      <c r="M175" s="1751"/>
      <c r="N175" s="1751"/>
      <c r="O175" s="1751"/>
      <c r="Q175" s="607"/>
      <c r="R175" s="607"/>
      <c r="S175" s="607"/>
      <c r="T175" s="607"/>
      <c r="U175" s="607"/>
      <c r="V175" s="607"/>
      <c r="W175" s="607"/>
      <c r="X175" s="607"/>
      <c r="Y175" s="607"/>
      <c r="Z175" s="607"/>
      <c r="AA175" s="607"/>
      <c r="AB175" s="607"/>
      <c r="AC175" s="607"/>
      <c r="AD175" s="607"/>
      <c r="AE175" s="607"/>
    </row>
    <row r="176" spans="1:31" ht="15" customHeight="1">
      <c r="A176" s="1751" t="s">
        <v>4003</v>
      </c>
      <c r="B176" s="1751"/>
      <c r="C176" s="1751"/>
      <c r="D176" s="1751"/>
      <c r="E176" s="1751"/>
      <c r="F176" s="1751"/>
      <c r="G176" s="1751"/>
      <c r="H176" s="1751"/>
      <c r="I176" s="1751"/>
      <c r="J176" s="1751"/>
      <c r="K176" s="1751"/>
      <c r="L176" s="1751"/>
      <c r="M176" s="1751"/>
      <c r="N176" s="1751"/>
      <c r="O176" s="1751"/>
      <c r="Q176" s="607"/>
      <c r="R176" s="607"/>
      <c r="S176" s="607"/>
      <c r="T176" s="607"/>
      <c r="U176" s="607"/>
      <c r="V176" s="607"/>
      <c r="W176" s="607"/>
      <c r="X176" s="607"/>
      <c r="Y176" s="607"/>
      <c r="Z176" s="607"/>
      <c r="AA176" s="607"/>
      <c r="AB176" s="607"/>
      <c r="AC176" s="607"/>
      <c r="AD176" s="607"/>
      <c r="AE176" s="607"/>
    </row>
    <row r="177" spans="1:31" ht="18.75" customHeight="1">
      <c r="A177" s="1767" t="s">
        <v>4004</v>
      </c>
      <c r="B177" s="1767"/>
      <c r="C177" s="1767"/>
      <c r="D177" s="1767"/>
      <c r="E177" s="1767"/>
      <c r="F177" s="1767"/>
      <c r="G177" s="1767"/>
      <c r="H177" s="1767"/>
      <c r="I177" s="1767"/>
      <c r="J177" s="1767"/>
      <c r="K177" s="1767"/>
      <c r="L177" s="1767"/>
      <c r="M177" s="1767"/>
      <c r="N177" s="1767"/>
      <c r="O177" s="1767"/>
      <c r="Q177" s="607"/>
      <c r="R177" s="607"/>
      <c r="S177" s="607"/>
      <c r="T177" s="607"/>
      <c r="U177" s="607"/>
      <c r="V177" s="607"/>
      <c r="W177" s="607"/>
      <c r="X177" s="607"/>
      <c r="Y177" s="607"/>
      <c r="Z177" s="607"/>
      <c r="AA177" s="607"/>
      <c r="AB177" s="607"/>
      <c r="AC177" s="607"/>
      <c r="AD177" s="607"/>
      <c r="AE177" s="607"/>
    </row>
    <row r="178" spans="1:31" ht="47.25" customHeight="1">
      <c r="A178" s="1751" t="s">
        <v>4005</v>
      </c>
      <c r="B178" s="1751"/>
      <c r="C178" s="1751"/>
      <c r="D178" s="1751"/>
      <c r="E178" s="1751"/>
      <c r="F178" s="1751"/>
      <c r="G178" s="1751"/>
      <c r="H178" s="1751"/>
      <c r="I178" s="1751"/>
      <c r="J178" s="1751"/>
      <c r="K178" s="1751"/>
      <c r="L178" s="1751"/>
      <c r="M178" s="1751"/>
      <c r="N178" s="1751"/>
      <c r="O178" s="1751"/>
      <c r="Q178" s="607"/>
      <c r="R178" s="607"/>
      <c r="S178" s="607"/>
      <c r="T178" s="607"/>
      <c r="U178" s="607"/>
      <c r="V178" s="607"/>
      <c r="W178" s="607"/>
      <c r="X178" s="607"/>
      <c r="Y178" s="607"/>
      <c r="Z178" s="607"/>
      <c r="AA178" s="607"/>
      <c r="AB178" s="607"/>
      <c r="AC178" s="607"/>
      <c r="AD178" s="607"/>
      <c r="AE178" s="607"/>
    </row>
    <row r="179" spans="1:31">
      <c r="A179" s="1751" t="s">
        <v>3929</v>
      </c>
      <c r="B179" s="1751"/>
      <c r="C179" s="1751"/>
      <c r="D179" s="1751"/>
      <c r="E179" s="1751"/>
      <c r="F179" s="1751"/>
      <c r="G179" s="1751"/>
      <c r="H179" s="1751"/>
      <c r="I179" s="1751"/>
      <c r="J179" s="1751"/>
      <c r="K179" s="1751"/>
      <c r="L179" s="1751"/>
      <c r="M179" s="1751"/>
      <c r="N179" s="1751"/>
      <c r="O179" s="1751"/>
      <c r="Q179" s="607"/>
      <c r="R179" s="607"/>
      <c r="S179" s="607"/>
      <c r="T179" s="607"/>
      <c r="U179" s="607"/>
      <c r="V179" s="607"/>
      <c r="W179" s="607"/>
      <c r="X179" s="607"/>
      <c r="Y179" s="607"/>
      <c r="Z179" s="607"/>
      <c r="AA179" s="607"/>
      <c r="AB179" s="607"/>
      <c r="AC179" s="607"/>
      <c r="AD179" s="607"/>
      <c r="AE179" s="607"/>
    </row>
    <row r="180" spans="1:31" ht="162.75" customHeight="1">
      <c r="A180" s="1763" t="s">
        <v>4046</v>
      </c>
      <c r="B180" s="1763"/>
      <c r="C180" s="1763"/>
      <c r="D180" s="1763"/>
      <c r="E180" s="1763"/>
      <c r="F180" s="1763"/>
      <c r="G180" s="1763"/>
      <c r="H180" s="1763"/>
      <c r="I180" s="1763"/>
      <c r="J180" s="1763"/>
      <c r="K180" s="1763"/>
      <c r="L180" s="1763"/>
      <c r="M180" s="1763"/>
      <c r="N180" s="1763"/>
      <c r="O180" s="1763"/>
      <c r="Q180" s="607"/>
      <c r="R180" s="607"/>
      <c r="S180" s="607"/>
      <c r="T180" s="607"/>
      <c r="U180" s="607"/>
      <c r="V180" s="607"/>
      <c r="W180" s="607"/>
      <c r="X180" s="607"/>
      <c r="Y180" s="607"/>
      <c r="Z180" s="607"/>
      <c r="AA180" s="607"/>
      <c r="AB180" s="607"/>
      <c r="AC180" s="607"/>
      <c r="AD180" s="607"/>
      <c r="AE180" s="607"/>
    </row>
    <row r="181" spans="1:31" ht="19.5" customHeight="1">
      <c r="A181" s="1751" t="s">
        <v>4006</v>
      </c>
      <c r="B181" s="1751"/>
      <c r="C181" s="1751"/>
      <c r="D181" s="1751"/>
      <c r="E181" s="1751"/>
      <c r="F181" s="1751"/>
      <c r="G181" s="1751"/>
      <c r="H181" s="1751"/>
      <c r="I181" s="1751"/>
      <c r="J181" s="1751"/>
      <c r="K181" s="1751"/>
      <c r="L181" s="1751"/>
      <c r="M181" s="1751"/>
      <c r="N181" s="1751"/>
      <c r="O181" s="1751"/>
      <c r="Q181" s="607"/>
      <c r="R181" s="607"/>
      <c r="S181" s="607"/>
      <c r="T181" s="607"/>
      <c r="U181" s="607"/>
      <c r="V181" s="607"/>
      <c r="W181" s="607"/>
      <c r="X181" s="607"/>
      <c r="Y181" s="607"/>
      <c r="Z181" s="607"/>
      <c r="AA181" s="607"/>
      <c r="AB181" s="607"/>
      <c r="AC181" s="607"/>
      <c r="AD181" s="607"/>
      <c r="AE181" s="607"/>
    </row>
    <row r="182" spans="1:31">
      <c r="A182" s="1751" t="s">
        <v>4007</v>
      </c>
      <c r="B182" s="1751"/>
      <c r="C182" s="1751"/>
      <c r="D182" s="1751"/>
      <c r="E182" s="1751"/>
      <c r="F182" s="1751"/>
      <c r="G182" s="1751"/>
      <c r="H182" s="1751"/>
      <c r="I182" s="1751"/>
      <c r="J182" s="1751"/>
      <c r="K182" s="1751"/>
      <c r="L182" s="1751"/>
      <c r="M182" s="1751"/>
      <c r="N182" s="1751"/>
      <c r="O182" s="1751"/>
      <c r="Q182" s="607"/>
      <c r="R182" s="607"/>
      <c r="S182" s="607"/>
      <c r="T182" s="607"/>
      <c r="U182" s="607"/>
      <c r="V182" s="607"/>
      <c r="W182" s="607"/>
      <c r="X182" s="607"/>
      <c r="Y182" s="607"/>
      <c r="Z182" s="607"/>
      <c r="AA182" s="607"/>
      <c r="AB182" s="607"/>
      <c r="AC182" s="607"/>
      <c r="AD182" s="607"/>
      <c r="AE182" s="607"/>
    </row>
    <row r="183" spans="1:31" ht="52.5" customHeight="1">
      <c r="A183" s="1751" t="s">
        <v>4008</v>
      </c>
      <c r="B183" s="1751"/>
      <c r="C183" s="1751"/>
      <c r="D183" s="1751"/>
      <c r="E183" s="1751"/>
      <c r="F183" s="1751"/>
      <c r="G183" s="1751"/>
      <c r="H183" s="1751"/>
      <c r="I183" s="1751"/>
      <c r="J183" s="1751"/>
      <c r="K183" s="1751"/>
      <c r="L183" s="1751"/>
      <c r="M183" s="1751"/>
      <c r="N183" s="1751"/>
      <c r="O183" s="1751"/>
      <c r="Q183" s="607"/>
      <c r="R183" s="607"/>
      <c r="S183" s="607"/>
      <c r="T183" s="607"/>
      <c r="U183" s="607"/>
      <c r="V183" s="607"/>
      <c r="W183" s="607"/>
      <c r="X183" s="607"/>
      <c r="Y183" s="607"/>
      <c r="Z183" s="607"/>
      <c r="AA183" s="607"/>
      <c r="AB183" s="607"/>
      <c r="AC183" s="607"/>
      <c r="AD183" s="607"/>
      <c r="AE183" s="607"/>
    </row>
    <row r="184" spans="1:31" ht="49.5" customHeight="1">
      <c r="A184" s="1766" t="s">
        <v>4047</v>
      </c>
      <c r="B184" s="1766"/>
      <c r="C184" s="1766"/>
      <c r="D184" s="1766"/>
      <c r="E184" s="1766"/>
      <c r="F184" s="1766"/>
      <c r="G184" s="1766"/>
      <c r="H184" s="1766"/>
      <c r="I184" s="1766"/>
      <c r="J184" s="1766"/>
      <c r="K184" s="1766"/>
      <c r="L184" s="1766"/>
      <c r="M184" s="1766"/>
      <c r="N184" s="1766"/>
      <c r="O184" s="1766"/>
      <c r="Q184" s="607"/>
      <c r="R184" s="607"/>
      <c r="S184" s="607"/>
      <c r="T184" s="607"/>
      <c r="U184" s="607"/>
      <c r="V184" s="607"/>
      <c r="W184" s="607"/>
      <c r="X184" s="607"/>
      <c r="Y184" s="607"/>
      <c r="Z184" s="607"/>
      <c r="AA184" s="607"/>
      <c r="AB184" s="607"/>
      <c r="AC184" s="607"/>
      <c r="AD184" s="607"/>
      <c r="AE184" s="607"/>
    </row>
    <row r="185" spans="1:31" ht="15.75" customHeight="1">
      <c r="A185" s="1751" t="s">
        <v>4009</v>
      </c>
      <c r="B185" s="1751"/>
      <c r="C185" s="1751"/>
      <c r="D185" s="1751"/>
      <c r="E185" s="1751"/>
      <c r="F185" s="1751"/>
      <c r="G185" s="1751"/>
      <c r="H185" s="1751"/>
      <c r="I185" s="1751"/>
      <c r="J185" s="1751"/>
      <c r="K185" s="1751"/>
      <c r="L185" s="1751"/>
      <c r="M185" s="1751"/>
      <c r="N185" s="1751"/>
      <c r="O185" s="1751"/>
      <c r="Q185" s="607"/>
      <c r="R185" s="607"/>
      <c r="S185" s="607"/>
      <c r="T185" s="607"/>
      <c r="U185" s="607"/>
      <c r="V185" s="607"/>
      <c r="W185" s="607"/>
      <c r="X185" s="607"/>
      <c r="Y185" s="607"/>
      <c r="Z185" s="607"/>
      <c r="AA185" s="607"/>
      <c r="AB185" s="607"/>
      <c r="AC185" s="607"/>
      <c r="AD185" s="607"/>
      <c r="AE185" s="607"/>
    </row>
    <row r="186" spans="1:31" ht="140.25" customHeight="1">
      <c r="A186" s="1766" t="s">
        <v>4010</v>
      </c>
      <c r="B186" s="1766"/>
      <c r="C186" s="1766"/>
      <c r="D186" s="1766"/>
      <c r="E186" s="1766"/>
      <c r="F186" s="1766"/>
      <c r="G186" s="1766"/>
      <c r="H186" s="1766"/>
      <c r="I186" s="1766"/>
      <c r="J186" s="1766"/>
      <c r="K186" s="1766"/>
      <c r="L186" s="1766"/>
      <c r="M186" s="1766"/>
      <c r="N186" s="1766"/>
      <c r="O186" s="1766"/>
      <c r="Q186" s="607"/>
      <c r="R186" s="607"/>
      <c r="S186" s="607"/>
      <c r="T186" s="607"/>
      <c r="U186" s="607"/>
      <c r="V186" s="607"/>
      <c r="W186" s="607"/>
      <c r="X186" s="607"/>
      <c r="Y186" s="607"/>
      <c r="Z186" s="607"/>
      <c r="AA186" s="607"/>
      <c r="AB186" s="607"/>
      <c r="AC186" s="607"/>
      <c r="AD186" s="607"/>
      <c r="AE186" s="607"/>
    </row>
    <row r="187" spans="1:31" ht="64.5" customHeight="1">
      <c r="A187" s="1767" t="s">
        <v>4011</v>
      </c>
      <c r="B187" s="1767"/>
      <c r="C187" s="1767"/>
      <c r="D187" s="1767"/>
      <c r="E187" s="1767"/>
      <c r="F187" s="1767"/>
      <c r="G187" s="1767"/>
      <c r="H187" s="1767"/>
      <c r="I187" s="1767"/>
      <c r="J187" s="1767"/>
      <c r="K187" s="1767"/>
      <c r="L187" s="1767"/>
      <c r="M187" s="1767"/>
      <c r="N187" s="1767"/>
      <c r="O187" s="1767"/>
      <c r="Q187" s="607"/>
      <c r="R187" s="607"/>
      <c r="S187" s="607"/>
      <c r="T187" s="607"/>
      <c r="U187" s="607"/>
      <c r="V187" s="607"/>
      <c r="W187" s="607"/>
      <c r="X187" s="607"/>
      <c r="Y187" s="607"/>
      <c r="Z187" s="607"/>
      <c r="AA187" s="607"/>
      <c r="AB187" s="607"/>
      <c r="AC187" s="607"/>
      <c r="AD187" s="607"/>
      <c r="AE187" s="607"/>
    </row>
    <row r="188" spans="1:31" ht="126" customHeight="1">
      <c r="A188" s="1767" t="s">
        <v>4012</v>
      </c>
      <c r="B188" s="1767"/>
      <c r="C188" s="1767"/>
      <c r="D188" s="1767"/>
      <c r="E188" s="1767"/>
      <c r="F188" s="1767"/>
      <c r="G188" s="1767"/>
      <c r="H188" s="1767"/>
      <c r="I188" s="1767"/>
      <c r="J188" s="1767"/>
      <c r="K188" s="1767"/>
      <c r="L188" s="1767"/>
      <c r="M188" s="1767"/>
      <c r="N188" s="1767"/>
      <c r="O188" s="1767"/>
      <c r="Q188" s="607"/>
      <c r="R188" s="607"/>
      <c r="S188" s="607"/>
      <c r="T188" s="607"/>
      <c r="U188" s="607"/>
      <c r="V188" s="607"/>
      <c r="W188" s="607"/>
      <c r="X188" s="607"/>
      <c r="Y188" s="607"/>
      <c r="Z188" s="607"/>
      <c r="AA188" s="607"/>
      <c r="AB188" s="607"/>
      <c r="AC188" s="607"/>
      <c r="AD188" s="607"/>
      <c r="AE188" s="607"/>
    </row>
    <row r="189" spans="1:31" ht="254.25" customHeight="1">
      <c r="A189" s="1770" t="s">
        <v>4050</v>
      </c>
      <c r="B189" s="1770"/>
      <c r="C189" s="1770"/>
      <c r="D189" s="1770"/>
      <c r="E189" s="1770"/>
      <c r="F189" s="1770"/>
      <c r="G189" s="1770"/>
      <c r="H189" s="1770"/>
      <c r="I189" s="1770"/>
      <c r="J189" s="1770"/>
      <c r="K189" s="1770"/>
      <c r="L189" s="1770"/>
      <c r="M189" s="1770"/>
      <c r="N189" s="1770"/>
      <c r="O189" s="1770"/>
      <c r="Q189" s="607"/>
      <c r="R189" s="607"/>
      <c r="S189" s="607"/>
      <c r="T189" s="607"/>
      <c r="U189" s="607"/>
      <c r="V189" s="607"/>
      <c r="W189" s="607"/>
      <c r="X189" s="607"/>
      <c r="Y189" s="607"/>
      <c r="Z189" s="607"/>
      <c r="AA189" s="607"/>
      <c r="AB189" s="607"/>
      <c r="AC189" s="607"/>
      <c r="AD189" s="607"/>
      <c r="AE189" s="607"/>
    </row>
    <row r="190" spans="1:31" ht="105.75" customHeight="1">
      <c r="A190" s="1770" t="s">
        <v>4049</v>
      </c>
      <c r="B190" s="1770"/>
      <c r="C190" s="1770"/>
      <c r="D190" s="1770"/>
      <c r="E190" s="1770"/>
      <c r="F190" s="1770"/>
      <c r="G190" s="1770"/>
      <c r="H190" s="1770"/>
      <c r="I190" s="1770"/>
      <c r="J190" s="1770"/>
      <c r="K190" s="1770"/>
      <c r="L190" s="1770"/>
      <c r="M190" s="1770"/>
      <c r="N190" s="1770"/>
      <c r="O190" s="1770"/>
      <c r="Q190" s="607"/>
      <c r="R190" s="607"/>
      <c r="S190" s="607"/>
      <c r="T190" s="607"/>
      <c r="U190" s="607"/>
      <c r="V190" s="607"/>
      <c r="W190" s="607"/>
      <c r="X190" s="607"/>
      <c r="Y190" s="607"/>
      <c r="Z190" s="607"/>
      <c r="AA190" s="607"/>
      <c r="AB190" s="607"/>
      <c r="AC190" s="607"/>
      <c r="AD190" s="607"/>
      <c r="AE190" s="607"/>
    </row>
    <row r="191" spans="1:31" ht="54" customHeight="1">
      <c r="A191" s="1766" t="s">
        <v>4013</v>
      </c>
      <c r="B191" s="1766"/>
      <c r="C191" s="1766"/>
      <c r="D191" s="1766"/>
      <c r="E191" s="1766"/>
      <c r="F191" s="1766"/>
      <c r="G191" s="1766"/>
      <c r="H191" s="1766"/>
      <c r="I191" s="1766"/>
      <c r="J191" s="1766"/>
      <c r="K191" s="1766"/>
      <c r="L191" s="1766"/>
      <c r="M191" s="1766"/>
      <c r="N191" s="1766"/>
      <c r="O191" s="1766"/>
      <c r="Q191" s="607"/>
      <c r="R191" s="607"/>
      <c r="S191" s="607"/>
      <c r="T191" s="607"/>
      <c r="U191" s="607"/>
      <c r="V191" s="607"/>
      <c r="W191" s="607"/>
      <c r="X191" s="607"/>
      <c r="Y191" s="607"/>
      <c r="Z191" s="607"/>
      <c r="AA191" s="607"/>
      <c r="AB191" s="607"/>
      <c r="AC191" s="607"/>
      <c r="AD191" s="607"/>
      <c r="AE191" s="607"/>
    </row>
    <row r="192" spans="1:31" ht="109.5" customHeight="1">
      <c r="A192" s="1766" t="s">
        <v>4048</v>
      </c>
      <c r="B192" s="1766"/>
      <c r="C192" s="1766"/>
      <c r="D192" s="1766"/>
      <c r="E192" s="1766"/>
      <c r="F192" s="1766"/>
      <c r="G192" s="1766"/>
      <c r="H192" s="1766"/>
      <c r="I192" s="1766"/>
      <c r="J192" s="1766"/>
      <c r="K192" s="1766"/>
      <c r="L192" s="1766"/>
      <c r="M192" s="1766"/>
      <c r="N192" s="1766"/>
      <c r="O192" s="1766"/>
      <c r="Q192" s="607"/>
      <c r="R192" s="607"/>
      <c r="S192" s="607"/>
      <c r="T192" s="607"/>
      <c r="U192" s="607"/>
      <c r="V192" s="607"/>
      <c r="W192" s="607"/>
      <c r="X192" s="607"/>
      <c r="Y192" s="607"/>
      <c r="Z192" s="607"/>
      <c r="AA192" s="607"/>
      <c r="AB192" s="607"/>
      <c r="AC192" s="607"/>
      <c r="AD192" s="607"/>
      <c r="AE192" s="607"/>
    </row>
    <row r="193" spans="1:31" ht="67.5" customHeight="1">
      <c r="A193" s="1766" t="s">
        <v>4014</v>
      </c>
      <c r="B193" s="1766"/>
      <c r="C193" s="1766"/>
      <c r="D193" s="1766"/>
      <c r="E193" s="1766"/>
      <c r="F193" s="1766"/>
      <c r="G193" s="1766"/>
      <c r="H193" s="1766"/>
      <c r="I193" s="1766"/>
      <c r="J193" s="1766"/>
      <c r="K193" s="1766"/>
      <c r="L193" s="1766"/>
      <c r="M193" s="1766"/>
      <c r="N193" s="1766"/>
      <c r="O193" s="1766"/>
      <c r="Q193" s="607"/>
      <c r="R193" s="607"/>
      <c r="S193" s="607"/>
      <c r="T193" s="607"/>
      <c r="U193" s="607"/>
      <c r="V193" s="607"/>
      <c r="W193" s="607"/>
      <c r="X193" s="607"/>
      <c r="Y193" s="607"/>
      <c r="Z193" s="607"/>
      <c r="AA193" s="607"/>
      <c r="AB193" s="607"/>
      <c r="AC193" s="607"/>
      <c r="AD193" s="607"/>
      <c r="AE193" s="607"/>
    </row>
    <row r="194" spans="1:31" ht="33.75" customHeight="1">
      <c r="A194" s="1751" t="s">
        <v>4015</v>
      </c>
      <c r="B194" s="1751"/>
      <c r="C194" s="1751"/>
      <c r="D194" s="1751"/>
      <c r="E194" s="1751"/>
      <c r="F194" s="1751"/>
      <c r="G194" s="1751"/>
      <c r="H194" s="1751"/>
      <c r="I194" s="1751"/>
      <c r="J194" s="1751"/>
      <c r="K194" s="1751"/>
      <c r="L194" s="1751"/>
      <c r="M194" s="1751"/>
      <c r="N194" s="1751"/>
      <c r="O194" s="1751"/>
      <c r="Q194" s="607"/>
      <c r="R194" s="607"/>
      <c r="S194" s="607"/>
      <c r="T194" s="607"/>
      <c r="U194" s="607"/>
      <c r="V194" s="607"/>
      <c r="W194" s="607"/>
      <c r="X194" s="607"/>
      <c r="Y194" s="607"/>
      <c r="Z194" s="607"/>
      <c r="AA194" s="607"/>
      <c r="AB194" s="607"/>
      <c r="AC194" s="607"/>
      <c r="AD194" s="607"/>
      <c r="AE194" s="607"/>
    </row>
    <row r="195" spans="1:31">
      <c r="A195" s="1751" t="s">
        <v>4016</v>
      </c>
      <c r="B195" s="1751"/>
      <c r="C195" s="1751"/>
      <c r="D195" s="1751"/>
      <c r="E195" s="1751"/>
      <c r="F195" s="1751"/>
      <c r="G195" s="1751"/>
      <c r="H195" s="1751"/>
      <c r="I195" s="1751"/>
      <c r="J195" s="1751"/>
      <c r="K195" s="1751"/>
      <c r="L195" s="1751"/>
      <c r="M195" s="1751"/>
      <c r="N195" s="1751"/>
      <c r="O195" s="1751"/>
      <c r="Q195" s="607"/>
      <c r="R195" s="607"/>
      <c r="S195" s="607"/>
      <c r="T195" s="607"/>
      <c r="U195" s="607"/>
      <c r="V195" s="607"/>
      <c r="W195" s="607"/>
      <c r="X195" s="607"/>
      <c r="Y195" s="607"/>
      <c r="Z195" s="607"/>
      <c r="AA195" s="607"/>
      <c r="AB195" s="607"/>
      <c r="AC195" s="607"/>
      <c r="AD195" s="607"/>
      <c r="AE195" s="607"/>
    </row>
    <row r="196" spans="1:31">
      <c r="A196" s="1751" t="s">
        <v>4017</v>
      </c>
      <c r="B196" s="1751"/>
      <c r="C196" s="1751"/>
      <c r="D196" s="1751"/>
      <c r="E196" s="1751"/>
      <c r="F196" s="1751"/>
      <c r="G196" s="1751"/>
      <c r="H196" s="1751"/>
      <c r="I196" s="1751"/>
      <c r="J196" s="1751"/>
      <c r="K196" s="1751"/>
      <c r="L196" s="1751"/>
      <c r="M196" s="1751"/>
      <c r="N196" s="1751"/>
      <c r="O196" s="1751"/>
      <c r="Q196" s="607"/>
      <c r="R196" s="607"/>
      <c r="S196" s="607"/>
      <c r="T196" s="607"/>
      <c r="U196" s="607"/>
      <c r="V196" s="607"/>
      <c r="W196" s="607"/>
      <c r="X196" s="607"/>
      <c r="Y196" s="607"/>
      <c r="Z196" s="607"/>
      <c r="AA196" s="607"/>
      <c r="AB196" s="607"/>
      <c r="AC196" s="607"/>
      <c r="AD196" s="607"/>
      <c r="AE196" s="607"/>
    </row>
    <row r="197" spans="1:31" ht="26.25" customHeight="1">
      <c r="A197" s="1751" t="s">
        <v>4018</v>
      </c>
      <c r="B197" s="1751"/>
      <c r="C197" s="1751"/>
      <c r="D197" s="1751"/>
      <c r="E197" s="1751"/>
      <c r="F197" s="1751"/>
      <c r="G197" s="1751"/>
      <c r="H197" s="1751"/>
      <c r="I197" s="1751"/>
      <c r="J197" s="1751"/>
      <c r="K197" s="1751"/>
      <c r="L197" s="1751"/>
      <c r="M197" s="1751"/>
      <c r="N197" s="1751"/>
      <c r="O197" s="1751"/>
      <c r="Q197" s="607"/>
      <c r="R197" s="607"/>
      <c r="S197" s="607"/>
      <c r="T197" s="607"/>
      <c r="U197" s="607"/>
      <c r="V197" s="607"/>
      <c r="W197" s="607"/>
      <c r="X197" s="607"/>
      <c r="Y197" s="607"/>
      <c r="Z197" s="607"/>
      <c r="AA197" s="607"/>
      <c r="AB197" s="607"/>
      <c r="AC197" s="607"/>
      <c r="AD197" s="607"/>
      <c r="AE197" s="607"/>
    </row>
    <row r="198" spans="1:31" ht="30.75" customHeight="1">
      <c r="A198" s="1751" t="s">
        <v>4019</v>
      </c>
      <c r="B198" s="1751"/>
      <c r="C198" s="1751"/>
      <c r="D198" s="1751"/>
      <c r="E198" s="1751"/>
      <c r="F198" s="1751"/>
      <c r="G198" s="1751"/>
      <c r="H198" s="1751"/>
      <c r="I198" s="1751"/>
      <c r="J198" s="1751"/>
      <c r="K198" s="1751"/>
      <c r="L198" s="1751"/>
      <c r="M198" s="1751"/>
      <c r="N198" s="1751"/>
      <c r="O198" s="1751"/>
      <c r="Q198" s="607"/>
      <c r="R198" s="607"/>
      <c r="S198" s="607"/>
      <c r="T198" s="607"/>
      <c r="U198" s="607"/>
      <c r="V198" s="607"/>
      <c r="W198" s="607"/>
      <c r="X198" s="607"/>
      <c r="Y198" s="607"/>
      <c r="Z198" s="607"/>
      <c r="AA198" s="607"/>
      <c r="AB198" s="607"/>
      <c r="AC198" s="607"/>
      <c r="AD198" s="607"/>
      <c r="AE198" s="607"/>
    </row>
    <row r="199" spans="1:31" ht="42" customHeight="1">
      <c r="A199" s="1751" t="s">
        <v>4020</v>
      </c>
      <c r="B199" s="1751"/>
      <c r="C199" s="1751"/>
      <c r="D199" s="1751"/>
      <c r="E199" s="1751"/>
      <c r="F199" s="1751"/>
      <c r="G199" s="1751"/>
      <c r="H199" s="1751"/>
      <c r="I199" s="1751"/>
      <c r="J199" s="1751"/>
      <c r="K199" s="1751"/>
      <c r="L199" s="1751"/>
      <c r="M199" s="1751"/>
      <c r="N199" s="1751"/>
      <c r="O199" s="1751"/>
      <c r="Q199" s="607"/>
      <c r="R199" s="607"/>
      <c r="S199" s="607"/>
      <c r="T199" s="607"/>
      <c r="U199" s="607"/>
      <c r="V199" s="607"/>
      <c r="W199" s="607"/>
      <c r="X199" s="607"/>
      <c r="Y199" s="607"/>
      <c r="Z199" s="607"/>
      <c r="AA199" s="607"/>
      <c r="AB199" s="607"/>
      <c r="AC199" s="607"/>
      <c r="AD199" s="607"/>
      <c r="AE199" s="607"/>
    </row>
    <row r="200" spans="1:31">
      <c r="A200" s="1752" t="s">
        <v>3917</v>
      </c>
      <c r="B200" s="1752"/>
      <c r="C200" s="1752"/>
      <c r="D200" s="1752"/>
      <c r="E200" s="1752"/>
      <c r="F200" s="1752"/>
      <c r="G200" s="1752"/>
      <c r="H200" s="1752"/>
      <c r="I200" s="1752"/>
      <c r="J200" s="1752"/>
      <c r="K200" s="1752"/>
      <c r="L200" s="1752"/>
      <c r="M200" s="1752"/>
      <c r="N200" s="1752"/>
      <c r="O200" s="1752"/>
      <c r="Q200" s="1752" t="s">
        <v>3917</v>
      </c>
      <c r="R200" s="1752"/>
      <c r="S200" s="1752"/>
      <c r="T200" s="1752"/>
      <c r="U200" s="1752"/>
      <c r="V200" s="1752"/>
      <c r="W200" s="1752"/>
      <c r="X200" s="1752"/>
      <c r="Y200" s="1752"/>
      <c r="Z200" s="1752"/>
      <c r="AA200" s="1752"/>
      <c r="AB200" s="1752"/>
      <c r="AC200" s="1752"/>
      <c r="AD200" s="1752"/>
      <c r="AE200" s="1752"/>
    </row>
    <row r="201" spans="1:31" ht="41.25" customHeight="1">
      <c r="A201" s="1752" t="s">
        <v>4041</v>
      </c>
      <c r="B201" s="1752"/>
      <c r="C201" s="1752"/>
      <c r="D201" s="1752"/>
      <c r="E201" s="1752"/>
      <c r="F201" s="1752"/>
      <c r="G201" s="1752"/>
      <c r="H201" s="1752"/>
      <c r="I201" s="1752"/>
      <c r="J201" s="1752"/>
      <c r="K201" s="1752"/>
      <c r="L201" s="1752"/>
      <c r="M201" s="1752"/>
      <c r="N201" s="1752"/>
      <c r="O201" s="1752"/>
      <c r="Q201" s="1752" t="s">
        <v>3918</v>
      </c>
      <c r="R201" s="1752"/>
      <c r="S201" s="1752"/>
      <c r="T201" s="1752"/>
      <c r="U201" s="1752"/>
      <c r="V201" s="1752"/>
      <c r="W201" s="1752"/>
      <c r="X201" s="1752"/>
      <c r="Y201" s="1752"/>
      <c r="Z201" s="1752"/>
      <c r="AA201" s="1752"/>
      <c r="AB201" s="1752"/>
      <c r="AC201" s="1752"/>
      <c r="AD201" s="1752"/>
      <c r="AE201" s="1752"/>
    </row>
    <row r="202" spans="1:31" ht="67.5" customHeight="1">
      <c r="A202" s="1751" t="s">
        <v>3919</v>
      </c>
      <c r="B202" s="1751"/>
      <c r="C202" s="1751"/>
      <c r="D202" s="1751"/>
      <c r="E202" s="1751"/>
      <c r="F202" s="1751"/>
      <c r="G202" s="1751"/>
      <c r="H202" s="1751"/>
      <c r="I202" s="1751"/>
      <c r="J202" s="1751"/>
      <c r="K202" s="1751"/>
      <c r="L202" s="1751"/>
      <c r="M202" s="1751"/>
      <c r="N202" s="1751"/>
      <c r="O202" s="1751"/>
      <c r="Q202" s="1751" t="s">
        <v>3919</v>
      </c>
      <c r="R202" s="1751"/>
      <c r="S202" s="1751"/>
      <c r="T202" s="1751"/>
      <c r="U202" s="1751"/>
      <c r="V202" s="1751"/>
      <c r="W202" s="1751"/>
      <c r="X202" s="1751"/>
      <c r="Y202" s="1751"/>
      <c r="Z202" s="1751"/>
      <c r="AA202" s="1751"/>
      <c r="AB202" s="1751"/>
      <c r="AC202" s="1751"/>
      <c r="AD202" s="1751"/>
      <c r="AE202" s="1751"/>
    </row>
    <row r="203" spans="1:31" ht="51.75" customHeight="1">
      <c r="A203" s="1751" t="s">
        <v>3920</v>
      </c>
      <c r="B203" s="1751"/>
      <c r="C203" s="1751"/>
      <c r="D203" s="1751"/>
      <c r="E203" s="1751"/>
      <c r="F203" s="1751"/>
      <c r="G203" s="1751"/>
      <c r="H203" s="1751"/>
      <c r="I203" s="1751"/>
      <c r="J203" s="1751"/>
      <c r="K203" s="1751"/>
      <c r="L203" s="1751"/>
      <c r="M203" s="1751"/>
      <c r="N203" s="1751"/>
      <c r="O203" s="1751"/>
      <c r="Q203" s="1751" t="s">
        <v>3920</v>
      </c>
      <c r="R203" s="1751"/>
      <c r="S203" s="1751"/>
      <c r="T203" s="1751"/>
      <c r="U203" s="1751"/>
      <c r="V203" s="1751"/>
      <c r="W203" s="1751"/>
      <c r="X203" s="1751"/>
      <c r="Y203" s="1751"/>
      <c r="Z203" s="1751"/>
      <c r="AA203" s="1751"/>
      <c r="AB203" s="1751"/>
      <c r="AC203" s="1751"/>
      <c r="AD203" s="1751"/>
      <c r="AE203" s="1751"/>
    </row>
    <row r="204" spans="1:31" ht="42" customHeight="1">
      <c r="A204" s="1751" t="s">
        <v>3921</v>
      </c>
      <c r="B204" s="1751"/>
      <c r="C204" s="1751"/>
      <c r="D204" s="1751"/>
      <c r="E204" s="1751"/>
      <c r="F204" s="1751"/>
      <c r="G204" s="1751"/>
      <c r="H204" s="1751"/>
      <c r="I204" s="1751"/>
      <c r="J204" s="1751"/>
      <c r="K204" s="1751"/>
      <c r="L204" s="1751"/>
      <c r="M204" s="1751"/>
      <c r="N204" s="1751"/>
      <c r="O204" s="1751"/>
      <c r="Q204" s="1751" t="s">
        <v>3921</v>
      </c>
      <c r="R204" s="1751"/>
      <c r="S204" s="1751"/>
      <c r="T204" s="1751"/>
      <c r="U204" s="1751"/>
      <c r="V204" s="1751"/>
      <c r="W204" s="1751"/>
      <c r="X204" s="1751"/>
      <c r="Y204" s="1751"/>
      <c r="Z204" s="1751"/>
      <c r="AA204" s="1751"/>
      <c r="AB204" s="1751"/>
      <c r="AC204" s="1751"/>
      <c r="AD204" s="1751"/>
      <c r="AE204" s="1751"/>
    </row>
    <row r="205" spans="1:31" ht="39" customHeight="1">
      <c r="A205" s="1751" t="s">
        <v>3922</v>
      </c>
      <c r="B205" s="1751"/>
      <c r="C205" s="1751"/>
      <c r="D205" s="1751"/>
      <c r="E205" s="1751"/>
      <c r="F205" s="1751"/>
      <c r="G205" s="1751"/>
      <c r="H205" s="1751"/>
      <c r="I205" s="1751"/>
      <c r="J205" s="1751"/>
      <c r="K205" s="1751"/>
      <c r="L205" s="1751"/>
      <c r="M205" s="1751"/>
      <c r="N205" s="1751"/>
      <c r="O205" s="1751"/>
      <c r="Q205" s="1751" t="s">
        <v>3922</v>
      </c>
      <c r="R205" s="1751"/>
      <c r="S205" s="1751"/>
      <c r="T205" s="1751"/>
      <c r="U205" s="1751"/>
      <c r="V205" s="1751"/>
      <c r="W205" s="1751"/>
      <c r="X205" s="1751"/>
      <c r="Y205" s="1751"/>
      <c r="Z205" s="1751"/>
      <c r="AA205" s="1751"/>
      <c r="AB205" s="1751"/>
      <c r="AC205" s="1751"/>
      <c r="AD205" s="1751"/>
      <c r="AE205" s="1751"/>
    </row>
    <row r="206" spans="1:31" ht="30.75" customHeight="1">
      <c r="A206" s="1751" t="s">
        <v>3923</v>
      </c>
      <c r="B206" s="1751"/>
      <c r="C206" s="1751"/>
      <c r="D206" s="1751"/>
      <c r="E206" s="1751"/>
      <c r="F206" s="1751"/>
      <c r="G206" s="1751"/>
      <c r="H206" s="1751"/>
      <c r="I206" s="1751"/>
      <c r="J206" s="1751"/>
      <c r="K206" s="1751"/>
      <c r="L206" s="1751"/>
      <c r="M206" s="1751"/>
      <c r="N206" s="1751"/>
      <c r="O206" s="1751"/>
      <c r="Q206" s="1751" t="s">
        <v>3923</v>
      </c>
      <c r="R206" s="1751"/>
      <c r="S206" s="1751"/>
      <c r="T206" s="1751"/>
      <c r="U206" s="1751"/>
      <c r="V206" s="1751"/>
      <c r="W206" s="1751"/>
      <c r="X206" s="1751"/>
      <c r="Y206" s="1751"/>
      <c r="Z206" s="1751"/>
      <c r="AA206" s="1751"/>
      <c r="AB206" s="1751"/>
      <c r="AC206" s="1751"/>
      <c r="AD206" s="1751"/>
      <c r="AE206" s="1751"/>
    </row>
    <row r="207" spans="1:31">
      <c r="A207" s="1752" t="s">
        <v>3924</v>
      </c>
      <c r="B207" s="1752"/>
      <c r="C207" s="1752"/>
      <c r="D207" s="1752"/>
      <c r="E207" s="1752"/>
      <c r="F207" s="1752"/>
      <c r="G207" s="1752"/>
      <c r="H207" s="1752"/>
      <c r="I207" s="1752"/>
      <c r="J207" s="1752"/>
      <c r="K207" s="1752"/>
      <c r="L207" s="1752"/>
      <c r="M207" s="1752"/>
      <c r="N207" s="1752"/>
      <c r="O207" s="1752"/>
      <c r="Q207" s="1752" t="s">
        <v>3924</v>
      </c>
      <c r="R207" s="1752"/>
      <c r="S207" s="1752"/>
      <c r="T207" s="1752"/>
      <c r="U207" s="1752"/>
      <c r="V207" s="1752"/>
      <c r="W207" s="1752"/>
      <c r="X207" s="1752"/>
      <c r="Y207" s="1752"/>
      <c r="Z207" s="1752"/>
      <c r="AA207" s="1752"/>
      <c r="AB207" s="1752"/>
      <c r="AC207" s="1752"/>
      <c r="AD207" s="1752"/>
      <c r="AE207" s="1752"/>
    </row>
    <row r="208" spans="1:31" ht="56.25" customHeight="1">
      <c r="A208" s="1752" t="s">
        <v>4042</v>
      </c>
      <c r="B208" s="1752"/>
      <c r="C208" s="1752"/>
      <c r="D208" s="1752"/>
      <c r="E208" s="1752"/>
      <c r="F208" s="1752"/>
      <c r="G208" s="1752"/>
      <c r="H208" s="1752"/>
      <c r="I208" s="1752"/>
      <c r="J208" s="1752"/>
      <c r="K208" s="1752"/>
      <c r="L208" s="1752"/>
      <c r="M208" s="1752"/>
      <c r="N208" s="1752"/>
      <c r="O208" s="1752"/>
      <c r="Q208" s="1752" t="s">
        <v>3925</v>
      </c>
      <c r="R208" s="1752"/>
      <c r="S208" s="1752"/>
      <c r="T208" s="1752"/>
      <c r="U208" s="1752"/>
      <c r="V208" s="1752"/>
      <c r="W208" s="1752"/>
      <c r="X208" s="1752"/>
      <c r="Y208" s="1752"/>
      <c r="Z208" s="1752"/>
      <c r="AA208" s="1752"/>
      <c r="AB208" s="1752"/>
      <c r="AC208" s="1752"/>
      <c r="AD208" s="1752"/>
      <c r="AE208" s="1752"/>
    </row>
    <row r="209" spans="1:31" ht="66.75" customHeight="1">
      <c r="A209" s="1751" t="s">
        <v>3926</v>
      </c>
      <c r="B209" s="1751"/>
      <c r="C209" s="1751"/>
      <c r="D209" s="1751"/>
      <c r="E209" s="1751"/>
      <c r="F209" s="1751"/>
      <c r="G209" s="1751"/>
      <c r="H209" s="1751"/>
      <c r="I209" s="1751"/>
      <c r="J209" s="1751"/>
      <c r="K209" s="1751"/>
      <c r="L209" s="1751"/>
      <c r="M209" s="1751"/>
      <c r="N209" s="1751"/>
      <c r="O209" s="1751"/>
      <c r="Q209" s="1751" t="s">
        <v>3926</v>
      </c>
      <c r="R209" s="1751"/>
      <c r="S209" s="1751"/>
      <c r="T209" s="1751"/>
      <c r="U209" s="1751"/>
      <c r="V209" s="1751"/>
      <c r="W209" s="1751"/>
      <c r="X209" s="1751"/>
      <c r="Y209" s="1751"/>
      <c r="Z209" s="1751"/>
      <c r="AA209" s="1751"/>
      <c r="AB209" s="1751"/>
      <c r="AC209" s="1751"/>
      <c r="AD209" s="1751"/>
      <c r="AE209" s="1751"/>
    </row>
    <row r="210" spans="1:31" ht="45.75" customHeight="1">
      <c r="A210" s="1751" t="s">
        <v>3927</v>
      </c>
      <c r="B210" s="1751"/>
      <c r="C210" s="1751"/>
      <c r="D210" s="1751"/>
      <c r="E210" s="1751"/>
      <c r="F210" s="1751"/>
      <c r="G210" s="1751"/>
      <c r="H210" s="1751"/>
      <c r="I210" s="1751"/>
      <c r="J210" s="1751"/>
      <c r="K210" s="1751"/>
      <c r="L210" s="1751"/>
      <c r="M210" s="1751"/>
      <c r="N210" s="1751"/>
      <c r="O210" s="1751"/>
      <c r="Q210" s="1751" t="s">
        <v>3927</v>
      </c>
      <c r="R210" s="1751"/>
      <c r="S210" s="1751"/>
      <c r="T210" s="1751"/>
      <c r="U210" s="1751"/>
      <c r="V210" s="1751"/>
      <c r="W210" s="1751"/>
      <c r="X210" s="1751"/>
      <c r="Y210" s="1751"/>
      <c r="Z210" s="1751"/>
      <c r="AA210" s="1751"/>
      <c r="AB210" s="1751"/>
      <c r="AC210" s="1751"/>
      <c r="AD210" s="1751"/>
      <c r="AE210" s="1751"/>
    </row>
    <row r="211" spans="1:31" ht="42" customHeight="1">
      <c r="A211" s="1751" t="s">
        <v>3928</v>
      </c>
      <c r="B211" s="1751"/>
      <c r="C211" s="1751"/>
      <c r="D211" s="1751"/>
      <c r="E211" s="1751"/>
      <c r="F211" s="1751"/>
      <c r="G211" s="1751"/>
      <c r="H211" s="1751"/>
      <c r="I211" s="1751"/>
      <c r="J211" s="1751"/>
      <c r="K211" s="1751"/>
      <c r="L211" s="1751"/>
      <c r="M211" s="1751"/>
      <c r="N211" s="1751"/>
      <c r="O211" s="1751"/>
      <c r="Q211" s="1751" t="s">
        <v>3928</v>
      </c>
      <c r="R211" s="1751"/>
      <c r="S211" s="1751"/>
      <c r="T211" s="1751"/>
      <c r="U211" s="1751"/>
      <c r="V211" s="1751"/>
      <c r="W211" s="1751"/>
      <c r="X211" s="1751"/>
      <c r="Y211" s="1751"/>
      <c r="Z211" s="1751"/>
      <c r="AA211" s="1751"/>
      <c r="AB211" s="1751"/>
      <c r="AC211" s="1751"/>
      <c r="AD211" s="1751"/>
      <c r="AE211" s="1751"/>
    </row>
    <row r="212" spans="1:31">
      <c r="A212" s="1752" t="s">
        <v>3929</v>
      </c>
      <c r="B212" s="1752"/>
      <c r="C212" s="1752"/>
      <c r="D212" s="1752"/>
      <c r="E212" s="1752"/>
      <c r="F212" s="1752"/>
      <c r="G212" s="1752"/>
      <c r="H212" s="1752"/>
      <c r="I212" s="1752"/>
      <c r="J212" s="1752"/>
      <c r="K212" s="1752"/>
      <c r="L212" s="1752"/>
      <c r="M212" s="1752"/>
      <c r="N212" s="1752"/>
      <c r="O212" s="1752"/>
      <c r="Q212" s="1752" t="s">
        <v>3929</v>
      </c>
      <c r="R212" s="1752"/>
      <c r="S212" s="1752"/>
      <c r="T212" s="1752"/>
      <c r="U212" s="1752"/>
      <c r="V212" s="1752"/>
      <c r="W212" s="1752"/>
      <c r="X212" s="1752"/>
      <c r="Y212" s="1752"/>
      <c r="Z212" s="1752"/>
      <c r="AA212" s="1752"/>
      <c r="AB212" s="1752"/>
      <c r="AC212" s="1752"/>
      <c r="AD212" s="1752"/>
      <c r="AE212" s="1752"/>
    </row>
    <row r="213" spans="1:31" ht="82.5" customHeight="1">
      <c r="A213" s="1752" t="s">
        <v>4043</v>
      </c>
      <c r="B213" s="1752"/>
      <c r="C213" s="1752"/>
      <c r="D213" s="1752"/>
      <c r="E213" s="1752"/>
      <c r="F213" s="1752"/>
      <c r="G213" s="1752"/>
      <c r="H213" s="1752"/>
      <c r="I213" s="1752"/>
      <c r="J213" s="1752"/>
      <c r="K213" s="1752"/>
      <c r="L213" s="1752"/>
      <c r="M213" s="1752"/>
      <c r="N213" s="1752"/>
      <c r="O213" s="1752"/>
      <c r="Q213" s="1752" t="s">
        <v>3930</v>
      </c>
      <c r="R213" s="1752"/>
      <c r="S213" s="1752"/>
      <c r="T213" s="1752"/>
      <c r="U213" s="1752"/>
      <c r="V213" s="1752"/>
      <c r="W213" s="1752"/>
      <c r="X213" s="1752"/>
      <c r="Y213" s="1752"/>
      <c r="Z213" s="1752"/>
      <c r="AA213" s="1752"/>
      <c r="AB213" s="1752"/>
      <c r="AC213" s="1752"/>
      <c r="AD213" s="1752"/>
      <c r="AE213" s="1752"/>
    </row>
    <row r="214" spans="1:31" ht="28.5" customHeight="1">
      <c r="A214" s="1751" t="s">
        <v>3931</v>
      </c>
      <c r="B214" s="1751"/>
      <c r="C214" s="1751"/>
      <c r="D214" s="1751"/>
      <c r="E214" s="1751"/>
      <c r="F214" s="1751"/>
      <c r="G214" s="1751"/>
      <c r="H214" s="1751"/>
      <c r="I214" s="1751"/>
      <c r="J214" s="1751"/>
      <c r="K214" s="1751"/>
      <c r="L214" s="1751"/>
      <c r="M214" s="1751"/>
      <c r="N214" s="1751"/>
      <c r="O214" s="1751"/>
      <c r="Q214" s="1751" t="s">
        <v>3931</v>
      </c>
      <c r="R214" s="1751"/>
      <c r="S214" s="1751"/>
      <c r="T214" s="1751"/>
      <c r="U214" s="1751"/>
      <c r="V214" s="1751"/>
      <c r="W214" s="1751"/>
      <c r="X214" s="1751"/>
      <c r="Y214" s="1751"/>
      <c r="Z214" s="1751"/>
      <c r="AA214" s="1751"/>
      <c r="AB214" s="1751"/>
      <c r="AC214" s="1751"/>
      <c r="AD214" s="1751"/>
      <c r="AE214" s="1751"/>
    </row>
    <row r="215" spans="1:31" ht="50.25" customHeight="1">
      <c r="A215" s="1751" t="s">
        <v>3932</v>
      </c>
      <c r="B215" s="1751"/>
      <c r="C215" s="1751"/>
      <c r="D215" s="1751"/>
      <c r="E215" s="1751"/>
      <c r="F215" s="1751"/>
      <c r="G215" s="1751"/>
      <c r="H215" s="1751"/>
      <c r="I215" s="1751"/>
      <c r="J215" s="1751"/>
      <c r="K215" s="1751"/>
      <c r="L215" s="1751"/>
      <c r="M215" s="1751"/>
      <c r="N215" s="1751"/>
      <c r="O215" s="1751"/>
      <c r="Q215" s="1751" t="s">
        <v>3932</v>
      </c>
      <c r="R215" s="1751"/>
      <c r="S215" s="1751"/>
      <c r="T215" s="1751"/>
      <c r="U215" s="1751"/>
      <c r="V215" s="1751"/>
      <c r="W215" s="1751"/>
      <c r="X215" s="1751"/>
      <c r="Y215" s="1751"/>
      <c r="Z215" s="1751"/>
      <c r="AA215" s="1751"/>
      <c r="AB215" s="1751"/>
      <c r="AC215" s="1751"/>
      <c r="AD215" s="1751"/>
      <c r="AE215" s="1751"/>
    </row>
    <row r="216" spans="1:31">
      <c r="A216" s="1752" t="s">
        <v>667</v>
      </c>
      <c r="B216" s="1752"/>
      <c r="C216" s="1752"/>
      <c r="D216" s="1752"/>
      <c r="E216" s="1752"/>
      <c r="F216" s="1752"/>
      <c r="G216" s="1752"/>
      <c r="H216" s="1752"/>
      <c r="I216" s="1752"/>
      <c r="J216" s="1752"/>
      <c r="K216" s="1752"/>
      <c r="L216" s="1752"/>
      <c r="M216" s="1752"/>
      <c r="N216" s="1752"/>
      <c r="O216" s="1752"/>
      <c r="Q216" s="1756" t="s">
        <v>667</v>
      </c>
      <c r="R216" s="1756"/>
      <c r="S216" s="1756"/>
      <c r="T216" s="1756"/>
      <c r="U216" s="1756"/>
      <c r="V216" s="1756"/>
      <c r="W216" s="1756"/>
      <c r="X216" s="1756"/>
      <c r="Y216" s="1756"/>
      <c r="Z216" s="1756"/>
      <c r="AA216" s="1756"/>
      <c r="AB216" s="1756"/>
      <c r="AC216" s="1756"/>
      <c r="AD216" s="1756"/>
      <c r="AE216" s="1756"/>
    </row>
    <row r="217" spans="1:31" ht="12.75" customHeight="1">
      <c r="A217" s="1761" t="s">
        <v>3936</v>
      </c>
      <c r="B217" s="1761"/>
      <c r="C217" s="1761"/>
      <c r="D217" s="1761"/>
      <c r="E217" s="1761"/>
      <c r="F217" s="1761"/>
      <c r="G217" s="1761"/>
      <c r="H217" s="1761"/>
      <c r="I217" s="1761"/>
      <c r="J217" s="1761"/>
      <c r="K217" s="1761"/>
      <c r="L217" s="1761"/>
      <c r="M217" s="1761"/>
      <c r="N217" s="1761"/>
      <c r="O217" s="1761"/>
      <c r="Q217" s="1761" t="s">
        <v>3936</v>
      </c>
      <c r="R217" s="1761"/>
      <c r="S217" s="1761"/>
      <c r="T217" s="1761"/>
      <c r="U217" s="1761"/>
      <c r="V217" s="1761"/>
      <c r="W217" s="1761"/>
      <c r="X217" s="1761"/>
      <c r="Y217" s="1761"/>
      <c r="Z217" s="1761"/>
      <c r="AA217" s="1761"/>
      <c r="AB217" s="1761"/>
      <c r="AC217" s="1761"/>
      <c r="AD217" s="1761"/>
      <c r="AE217" s="1761"/>
    </row>
    <row r="218" spans="1:31">
      <c r="A218" s="1752" t="s">
        <v>669</v>
      </c>
      <c r="B218" s="1752"/>
      <c r="C218" s="1752"/>
      <c r="D218" s="1752"/>
      <c r="E218" s="1752"/>
      <c r="F218" s="1752"/>
      <c r="G218" s="1752"/>
      <c r="H218" s="1752"/>
      <c r="I218" s="1752"/>
      <c r="J218" s="1752"/>
      <c r="K218" s="1752"/>
      <c r="L218" s="1752"/>
      <c r="M218" s="1752"/>
      <c r="N218" s="1752"/>
      <c r="O218" s="1752"/>
      <c r="Q218" s="1756" t="s">
        <v>669</v>
      </c>
      <c r="R218" s="1756"/>
      <c r="S218" s="1756"/>
      <c r="T218" s="1756"/>
      <c r="U218" s="1756"/>
      <c r="V218" s="1756"/>
      <c r="W218" s="1756"/>
      <c r="X218" s="1756"/>
      <c r="Y218" s="1756"/>
      <c r="Z218" s="1756"/>
      <c r="AA218" s="1756"/>
      <c r="AB218" s="1756"/>
      <c r="AC218" s="1756"/>
      <c r="AD218" s="1756"/>
      <c r="AE218" s="1756"/>
    </row>
    <row r="219" spans="1:31">
      <c r="A219" s="1752" t="s">
        <v>4044</v>
      </c>
      <c r="B219" s="1752"/>
      <c r="C219" s="1752"/>
      <c r="D219" s="1752"/>
      <c r="E219" s="1752"/>
      <c r="F219" s="1752"/>
      <c r="G219" s="1752"/>
      <c r="H219" s="1752"/>
      <c r="I219" s="1752"/>
      <c r="J219" s="1752"/>
      <c r="K219" s="1752"/>
      <c r="L219" s="1752"/>
      <c r="M219" s="1752"/>
      <c r="N219" s="1752"/>
      <c r="O219" s="1752"/>
      <c r="Q219" s="1756" t="s">
        <v>3933</v>
      </c>
      <c r="R219" s="1756"/>
      <c r="S219" s="1756"/>
      <c r="T219" s="1756"/>
      <c r="U219" s="1756"/>
      <c r="V219" s="1756"/>
      <c r="W219" s="1756"/>
      <c r="X219" s="1756"/>
      <c r="Y219" s="1756"/>
      <c r="Z219" s="1756"/>
      <c r="AA219" s="1756"/>
      <c r="AB219" s="1756"/>
      <c r="AC219" s="1756"/>
      <c r="AD219" s="1756"/>
      <c r="AE219" s="1756"/>
    </row>
  </sheetData>
  <mergeCells count="345">
    <mergeCell ref="A200:O200"/>
    <mergeCell ref="A204:O204"/>
    <mergeCell ref="A211:O211"/>
    <mergeCell ref="A206:O206"/>
    <mergeCell ref="A207:O207"/>
    <mergeCell ref="Q203:AE203"/>
    <mergeCell ref="A188:O188"/>
    <mergeCell ref="Q204:AE204"/>
    <mergeCell ref="A201:O201"/>
    <mergeCell ref="Q200:AE200"/>
    <mergeCell ref="A202:O202"/>
    <mergeCell ref="A189:O189"/>
    <mergeCell ref="A197:O197"/>
    <mergeCell ref="A198:O198"/>
    <mergeCell ref="A199:O199"/>
    <mergeCell ref="A166:O166"/>
    <mergeCell ref="A167:O167"/>
    <mergeCell ref="A168:O168"/>
    <mergeCell ref="A169:O169"/>
    <mergeCell ref="A215:O215"/>
    <mergeCell ref="A177:O177"/>
    <mergeCell ref="A217:O217"/>
    <mergeCell ref="A205:O205"/>
    <mergeCell ref="A212:O212"/>
    <mergeCell ref="A213:O213"/>
    <mergeCell ref="A214:O214"/>
    <mergeCell ref="A178:O178"/>
    <mergeCell ref="A179:O179"/>
    <mergeCell ref="A180:O180"/>
    <mergeCell ref="A203:O203"/>
    <mergeCell ref="A216:O216"/>
    <mergeCell ref="A208:O208"/>
    <mergeCell ref="A209:O209"/>
    <mergeCell ref="A210:O210"/>
    <mergeCell ref="A190:O190"/>
    <mergeCell ref="A191:O191"/>
    <mergeCell ref="A192:O192"/>
    <mergeCell ref="A193:O193"/>
    <mergeCell ref="A196:O196"/>
    <mergeCell ref="A1:O1"/>
    <mergeCell ref="A68:O68"/>
    <mergeCell ref="A69:O69"/>
    <mergeCell ref="A70:O70"/>
    <mergeCell ref="A71:O71"/>
    <mergeCell ref="A92:O92"/>
    <mergeCell ref="A62:O62"/>
    <mergeCell ref="A63:O63"/>
    <mergeCell ref="A80:O80"/>
    <mergeCell ref="A81:O81"/>
    <mergeCell ref="A49:O49"/>
    <mergeCell ref="A72:O72"/>
    <mergeCell ref="A73:O73"/>
    <mergeCell ref="A56:O56"/>
    <mergeCell ref="A57:O57"/>
    <mergeCell ref="A58:O58"/>
    <mergeCell ref="A77:O77"/>
    <mergeCell ref="A76:O76"/>
    <mergeCell ref="A53:O53"/>
    <mergeCell ref="A20:O20"/>
    <mergeCell ref="A21:O21"/>
    <mergeCell ref="A22:O22"/>
    <mergeCell ref="A4:O4"/>
    <mergeCell ref="A5:O5"/>
    <mergeCell ref="A218:O218"/>
    <mergeCell ref="A219:O219"/>
    <mergeCell ref="Q10:AE10"/>
    <mergeCell ref="Q11:AE11"/>
    <mergeCell ref="Q12:AE12"/>
    <mergeCell ref="Q13:AE13"/>
    <mergeCell ref="Q14:AE14"/>
    <mergeCell ref="Q15:AE15"/>
    <mergeCell ref="Q16:AE16"/>
    <mergeCell ref="Q17:AE17"/>
    <mergeCell ref="A59:O59"/>
    <mergeCell ref="A60:O60"/>
    <mergeCell ref="A61:O61"/>
    <mergeCell ref="A24:O24"/>
    <mergeCell ref="A25:O25"/>
    <mergeCell ref="A32:O32"/>
    <mergeCell ref="A33:O33"/>
    <mergeCell ref="A34:O34"/>
    <mergeCell ref="A35:O35"/>
    <mergeCell ref="A54:O54"/>
    <mergeCell ref="A82:O82"/>
    <mergeCell ref="A85:O85"/>
    <mergeCell ref="A83:O84"/>
    <mergeCell ref="A48:O48"/>
    <mergeCell ref="Q32:AE32"/>
    <mergeCell ref="Q33:AE33"/>
    <mergeCell ref="Q34:AE34"/>
    <mergeCell ref="Q35:AE35"/>
    <mergeCell ref="Q24:AE24"/>
    <mergeCell ref="Q25:AE25"/>
    <mergeCell ref="Q26:AE26"/>
    <mergeCell ref="Q27:AE27"/>
    <mergeCell ref="Q28:AE28"/>
    <mergeCell ref="Q29:AE29"/>
    <mergeCell ref="Q30:AE30"/>
    <mergeCell ref="Q31:AE31"/>
    <mergeCell ref="A174:O174"/>
    <mergeCell ref="A93:O93"/>
    <mergeCell ref="A94:O94"/>
    <mergeCell ref="A95:O95"/>
    <mergeCell ref="A96:O96"/>
    <mergeCell ref="A194:O194"/>
    <mergeCell ref="A195:O195"/>
    <mergeCell ref="Q38:AE38"/>
    <mergeCell ref="Q39:AE39"/>
    <mergeCell ref="Q40:AE40"/>
    <mergeCell ref="Q41:AE41"/>
    <mergeCell ref="Q42:AE42"/>
    <mergeCell ref="Q43:AE43"/>
    <mergeCell ref="A97:O97"/>
    <mergeCell ref="A104:O104"/>
    <mergeCell ref="A100:O100"/>
    <mergeCell ref="A101:O101"/>
    <mergeCell ref="A102:O102"/>
    <mergeCell ref="A103:O103"/>
    <mergeCell ref="A105:O105"/>
    <mergeCell ref="A106:O106"/>
    <mergeCell ref="A107:O107"/>
    <mergeCell ref="A108:O108"/>
    <mergeCell ref="A109:O109"/>
    <mergeCell ref="Q90:AE90"/>
    <mergeCell ref="A110:O110"/>
    <mergeCell ref="A111:O111"/>
    <mergeCell ref="A184:O184"/>
    <mergeCell ref="A185:O185"/>
    <mergeCell ref="A186:O186"/>
    <mergeCell ref="A187:O187"/>
    <mergeCell ref="Q46:AE46"/>
    <mergeCell ref="Q47:AE47"/>
    <mergeCell ref="Q48:AE48"/>
    <mergeCell ref="Q49:AE49"/>
    <mergeCell ref="A176:O176"/>
    <mergeCell ref="A144:O144"/>
    <mergeCell ref="A183:O183"/>
    <mergeCell ref="A145:O145"/>
    <mergeCell ref="A152:O152"/>
    <mergeCell ref="A153:O153"/>
    <mergeCell ref="A154:O154"/>
    <mergeCell ref="A155:O155"/>
    <mergeCell ref="A181:O181"/>
    <mergeCell ref="A156:O156"/>
    <mergeCell ref="A157:O157"/>
    <mergeCell ref="A164:O164"/>
    <mergeCell ref="A165:O165"/>
    <mergeCell ref="Q52:AE52"/>
    <mergeCell ref="Q53:AE53"/>
    <mergeCell ref="Q54:AE54"/>
    <mergeCell ref="Q55:AE55"/>
    <mergeCell ref="Q56:AE56"/>
    <mergeCell ref="Q57:AE57"/>
    <mergeCell ref="Q44:AE44"/>
    <mergeCell ref="Q45:AE45"/>
    <mergeCell ref="Q89:AE89"/>
    <mergeCell ref="A125:O125"/>
    <mergeCell ref="A124:O124"/>
    <mergeCell ref="A141:O141"/>
    <mergeCell ref="A134:O134"/>
    <mergeCell ref="A135:O135"/>
    <mergeCell ref="A126:O126"/>
    <mergeCell ref="A127:O127"/>
    <mergeCell ref="A133:O133"/>
    <mergeCell ref="A140:O140"/>
    <mergeCell ref="A128:O128"/>
    <mergeCell ref="A175:O175"/>
    <mergeCell ref="Q59:AE59"/>
    <mergeCell ref="Q60:AE60"/>
    <mergeCell ref="Q61:AE61"/>
    <mergeCell ref="Q62:AE62"/>
    <mergeCell ref="Q50:AE50"/>
    <mergeCell ref="Q51:AE51"/>
    <mergeCell ref="A182:O182"/>
    <mergeCell ref="Q78:AE79"/>
    <mergeCell ref="A158:O158"/>
    <mergeCell ref="A159:O159"/>
    <mergeCell ref="Q80:AE80"/>
    <mergeCell ref="Q81:AE81"/>
    <mergeCell ref="Q82:AE82"/>
    <mergeCell ref="Q83:AE84"/>
    <mergeCell ref="Q85:AE85"/>
    <mergeCell ref="Q86:AE86"/>
    <mergeCell ref="Q109:AE109"/>
    <mergeCell ref="Q87:AE87"/>
    <mergeCell ref="Q88:AE88"/>
    <mergeCell ref="A148:O148"/>
    <mergeCell ref="A149:O149"/>
    <mergeCell ref="A150:O150"/>
    <mergeCell ref="A151:O151"/>
    <mergeCell ref="Q91:AE91"/>
    <mergeCell ref="Q92:AE92"/>
    <mergeCell ref="Q93:AE93"/>
    <mergeCell ref="Q94:AE94"/>
    <mergeCell ref="A146:O146"/>
    <mergeCell ref="A147:O147"/>
    <mergeCell ref="Q95:AE95"/>
    <mergeCell ref="Q96:AE96"/>
    <mergeCell ref="Q97:AE97"/>
    <mergeCell ref="Q98:AE98"/>
    <mergeCell ref="Q99:AE99"/>
    <mergeCell ref="Q100:AE100"/>
    <mergeCell ref="Q101:AE101"/>
    <mergeCell ref="Q102:AE102"/>
    <mergeCell ref="A136:O136"/>
    <mergeCell ref="A137:O137"/>
    <mergeCell ref="A138:O138"/>
    <mergeCell ref="A139:O139"/>
    <mergeCell ref="Q103:AE103"/>
    <mergeCell ref="Q104:AE104"/>
    <mergeCell ref="Q105:AE105"/>
    <mergeCell ref="Q106:AE106"/>
    <mergeCell ref="A117:O117"/>
    <mergeCell ref="A118:O118"/>
    <mergeCell ref="A119:O119"/>
    <mergeCell ref="A120:O120"/>
    <mergeCell ref="A122:O122"/>
    <mergeCell ref="A123:O123"/>
    <mergeCell ref="A121:O121"/>
    <mergeCell ref="Q107:AE107"/>
    <mergeCell ref="Q108:AE108"/>
    <mergeCell ref="Q110:AE110"/>
    <mergeCell ref="Q111:AE111"/>
    <mergeCell ref="Q112:AE112"/>
    <mergeCell ref="Q117:AE117"/>
    <mergeCell ref="A112:O112"/>
    <mergeCell ref="A113:O113"/>
    <mergeCell ref="A116:O116"/>
    <mergeCell ref="Q215:AE215"/>
    <mergeCell ref="Q216:AE216"/>
    <mergeCell ref="Q211:AE211"/>
    <mergeCell ref="Q212:AE212"/>
    <mergeCell ref="Q207:AE207"/>
    <mergeCell ref="Q208:AE208"/>
    <mergeCell ref="A129:O129"/>
    <mergeCell ref="Q209:AE209"/>
    <mergeCell ref="Q210:AE210"/>
    <mergeCell ref="Q205:AE205"/>
    <mergeCell ref="Q206:AE206"/>
    <mergeCell ref="A130:O130"/>
    <mergeCell ref="A131:O131"/>
    <mergeCell ref="A132:O132"/>
    <mergeCell ref="A142:O142"/>
    <mergeCell ref="A143:O143"/>
    <mergeCell ref="A160:O160"/>
    <mergeCell ref="A161:O161"/>
    <mergeCell ref="A162:O162"/>
    <mergeCell ref="A163:O163"/>
    <mergeCell ref="A170:O170"/>
    <mergeCell ref="A171:O171"/>
    <mergeCell ref="A172:O172"/>
    <mergeCell ref="A173:O173"/>
    <mergeCell ref="Q219:AE219"/>
    <mergeCell ref="A78:O79"/>
    <mergeCell ref="A86:O86"/>
    <mergeCell ref="A87:O87"/>
    <mergeCell ref="Q2:AE2"/>
    <mergeCell ref="Q4:AE4"/>
    <mergeCell ref="Q5:AE5"/>
    <mergeCell ref="Q6:AE6"/>
    <mergeCell ref="Q7:AE7"/>
    <mergeCell ref="Q3:AE3"/>
    <mergeCell ref="Q217:AE217"/>
    <mergeCell ref="Q218:AE218"/>
    <mergeCell ref="A88:O88"/>
    <mergeCell ref="A89:O89"/>
    <mergeCell ref="A90:O90"/>
    <mergeCell ref="A91:O91"/>
    <mergeCell ref="Q213:AE213"/>
    <mergeCell ref="Q214:AE214"/>
    <mergeCell ref="A98:O98"/>
    <mergeCell ref="A99:O99"/>
    <mergeCell ref="A114:O114"/>
    <mergeCell ref="A115:O115"/>
    <mergeCell ref="Q201:AE201"/>
    <mergeCell ref="Q202:AE202"/>
    <mergeCell ref="Q1:AE1"/>
    <mergeCell ref="A74:O74"/>
    <mergeCell ref="A75:O75"/>
    <mergeCell ref="A64:O64"/>
    <mergeCell ref="A65:O65"/>
    <mergeCell ref="A66:O66"/>
    <mergeCell ref="A67:O67"/>
    <mergeCell ref="A8:O8"/>
    <mergeCell ref="A9:O9"/>
    <mergeCell ref="A55:O55"/>
    <mergeCell ref="A50:O50"/>
    <mergeCell ref="A51:O51"/>
    <mergeCell ref="Q9:AE9"/>
    <mergeCell ref="A10:O10"/>
    <mergeCell ref="A11:O11"/>
    <mergeCell ref="A12:O12"/>
    <mergeCell ref="A13:O13"/>
    <mergeCell ref="A42:O42"/>
    <mergeCell ref="Q58:AE58"/>
    <mergeCell ref="Q18:AE18"/>
    <mergeCell ref="Q19:AE19"/>
    <mergeCell ref="Q20:AE20"/>
    <mergeCell ref="Q21:AE21"/>
    <mergeCell ref="Q22:AE22"/>
    <mergeCell ref="A28:O28"/>
    <mergeCell ref="A29:O29"/>
    <mergeCell ref="A23:O23"/>
    <mergeCell ref="A30:O30"/>
    <mergeCell ref="A31:O31"/>
    <mergeCell ref="A26:O26"/>
    <mergeCell ref="A27:O27"/>
    <mergeCell ref="Q77:AE77"/>
    <mergeCell ref="Q71:AE71"/>
    <mergeCell ref="Q72:AE72"/>
    <mergeCell ref="Q73:AE73"/>
    <mergeCell ref="Q74:AE74"/>
    <mergeCell ref="Q75:AE75"/>
    <mergeCell ref="Q76:AE76"/>
    <mergeCell ref="Q63:AE63"/>
    <mergeCell ref="Q64:AE64"/>
    <mergeCell ref="Q65:AE65"/>
    <mergeCell ref="Q66:AE66"/>
    <mergeCell ref="Q67:AE67"/>
    <mergeCell ref="Q68:AE68"/>
    <mergeCell ref="Q69:AE69"/>
    <mergeCell ref="Q70:AE70"/>
    <mergeCell ref="Q36:AE36"/>
    <mergeCell ref="Q37:AE37"/>
    <mergeCell ref="A40:O40"/>
    <mergeCell ref="A41:O41"/>
    <mergeCell ref="A36:O36"/>
    <mergeCell ref="A37:O37"/>
    <mergeCell ref="A43:O43"/>
    <mergeCell ref="A38:O38"/>
    <mergeCell ref="A39:O39"/>
    <mergeCell ref="A52:O52"/>
    <mergeCell ref="A44:O44"/>
    <mergeCell ref="A45:O45"/>
    <mergeCell ref="A46:O46"/>
    <mergeCell ref="A47:O47"/>
    <mergeCell ref="A6:O6"/>
    <mergeCell ref="A7:O7"/>
    <mergeCell ref="A16:O16"/>
    <mergeCell ref="A17:O17"/>
    <mergeCell ref="A18:O18"/>
    <mergeCell ref="A19:O19"/>
    <mergeCell ref="A14:O14"/>
    <mergeCell ref="A15:O15"/>
    <mergeCell ref="Q23:AE23"/>
  </mergeCells>
  <pageMargins left="0.7" right="0.7" top="0.75" bottom="0.75" header="0.3" footer="0.3"/>
  <pageSetup paperSize="9" orientation="portrait"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1371"/>
  <sheetViews>
    <sheetView topLeftCell="A814" zoomScaleNormal="100" workbookViewId="0">
      <selection activeCell="A57" sqref="A57:S58"/>
    </sheetView>
  </sheetViews>
  <sheetFormatPr defaultRowHeight="12.75"/>
  <cols>
    <col min="1" max="1" width="4.140625" style="79" customWidth="1"/>
    <col min="2" max="19" width="4.7109375" style="79" customWidth="1"/>
    <col min="20" max="21" width="9.140625" style="79"/>
    <col min="22" max="22" width="11" style="79" bestFit="1" customWidth="1"/>
    <col min="23" max="16384" width="9.140625" style="79"/>
  </cols>
  <sheetData>
    <row r="1" spans="1:19">
      <c r="A1" s="1406" t="s">
        <v>4262</v>
      </c>
      <c r="B1" s="1406"/>
      <c r="C1" s="1406"/>
      <c r="D1" s="1406"/>
      <c r="E1" s="1406"/>
      <c r="F1" s="1406"/>
      <c r="G1" s="1406"/>
      <c r="H1" s="1406"/>
      <c r="I1" s="1406"/>
      <c r="J1" s="1406"/>
      <c r="K1" s="1406"/>
      <c r="L1" s="1406"/>
      <c r="M1" s="1406"/>
      <c r="N1" s="1406"/>
      <c r="O1" s="1406"/>
      <c r="P1" s="1406"/>
      <c r="Q1" s="1406"/>
      <c r="R1" s="1406"/>
      <c r="S1" s="1406"/>
    </row>
    <row r="2" spans="1:19" ht="15">
      <c r="A2" s="1781" t="s">
        <v>4263</v>
      </c>
      <c r="B2" s="1781"/>
      <c r="C2" s="1781"/>
      <c r="D2" s="1781"/>
      <c r="E2" s="1781"/>
      <c r="F2" s="1781"/>
      <c r="G2" s="1781"/>
      <c r="H2" s="1781"/>
      <c r="I2" s="1781"/>
      <c r="J2" s="1781"/>
      <c r="K2" s="1781"/>
      <c r="L2" s="1781"/>
      <c r="M2" s="1781"/>
      <c r="N2" s="1781"/>
      <c r="O2" s="1781"/>
      <c r="P2" s="1781"/>
      <c r="Q2" s="1781"/>
      <c r="R2" s="1781"/>
      <c r="S2" s="1781"/>
    </row>
    <row r="3" spans="1:19" ht="15">
      <c r="A3" s="1781" t="s">
        <v>4264</v>
      </c>
      <c r="B3" s="1781"/>
      <c r="C3" s="1781"/>
      <c r="D3" s="1781"/>
      <c r="E3" s="1781"/>
      <c r="F3" s="1781"/>
      <c r="G3" s="1781"/>
      <c r="H3" s="1781"/>
      <c r="I3" s="1781"/>
      <c r="J3" s="1781"/>
      <c r="K3" s="1781"/>
      <c r="L3" s="1781"/>
      <c r="M3" s="1781"/>
      <c r="N3" s="1781"/>
      <c r="O3" s="1781"/>
      <c r="P3" s="1781"/>
      <c r="Q3" s="1781"/>
      <c r="R3" s="1781"/>
      <c r="S3" s="1781"/>
    </row>
    <row r="4" spans="1:19" ht="12.75" customHeight="1">
      <c r="A4" s="1287" t="s">
        <v>4563</v>
      </c>
      <c r="B4" s="1287"/>
      <c r="C4" s="1287"/>
      <c r="D4" s="1287"/>
      <c r="E4" s="1287"/>
      <c r="F4" s="1287"/>
      <c r="G4" s="1287"/>
      <c r="H4" s="1287"/>
      <c r="I4" s="1287"/>
      <c r="J4" s="1287"/>
      <c r="K4" s="1287"/>
      <c r="L4" s="1287"/>
      <c r="M4" s="1287"/>
      <c r="N4" s="1287"/>
      <c r="O4" s="1287"/>
      <c r="P4" s="1287"/>
      <c r="Q4" s="1287"/>
      <c r="R4" s="1287"/>
      <c r="S4" s="1287"/>
    </row>
    <row r="5" spans="1:19">
      <c r="A5" s="1287"/>
      <c r="B5" s="1287"/>
      <c r="C5" s="1287"/>
      <c r="D5" s="1287"/>
      <c r="E5" s="1287"/>
      <c r="F5" s="1287"/>
      <c r="G5" s="1287"/>
      <c r="H5" s="1287"/>
      <c r="I5" s="1287"/>
      <c r="J5" s="1287"/>
      <c r="K5" s="1287"/>
      <c r="L5" s="1287"/>
      <c r="M5" s="1287"/>
      <c r="N5" s="1287"/>
      <c r="O5" s="1287"/>
      <c r="P5" s="1287"/>
      <c r="Q5" s="1287"/>
      <c r="R5" s="1287"/>
      <c r="S5" s="1287"/>
    </row>
    <row r="6" spans="1:19">
      <c r="A6" s="1287"/>
      <c r="B6" s="1287"/>
      <c r="C6" s="1287"/>
      <c r="D6" s="1287"/>
      <c r="E6" s="1287"/>
      <c r="F6" s="1287"/>
      <c r="G6" s="1287"/>
      <c r="H6" s="1287"/>
      <c r="I6" s="1287"/>
      <c r="J6" s="1287"/>
      <c r="K6" s="1287"/>
      <c r="L6" s="1287"/>
      <c r="M6" s="1287"/>
      <c r="N6" s="1287"/>
      <c r="O6" s="1287"/>
      <c r="P6" s="1287"/>
      <c r="Q6" s="1287"/>
      <c r="R6" s="1287"/>
      <c r="S6" s="1287"/>
    </row>
    <row r="7" spans="1:19">
      <c r="A7" s="1287"/>
      <c r="B7" s="1287"/>
      <c r="C7" s="1287"/>
      <c r="D7" s="1287"/>
      <c r="E7" s="1287"/>
      <c r="F7" s="1287"/>
      <c r="G7" s="1287"/>
      <c r="H7" s="1287"/>
      <c r="I7" s="1287"/>
      <c r="J7" s="1287"/>
      <c r="K7" s="1287"/>
      <c r="L7" s="1287"/>
      <c r="M7" s="1287"/>
      <c r="N7" s="1287"/>
      <c r="O7" s="1287"/>
      <c r="P7" s="1287"/>
      <c r="Q7" s="1287"/>
      <c r="R7" s="1287"/>
      <c r="S7" s="1287"/>
    </row>
    <row r="8" spans="1:19" ht="12.75" customHeight="1">
      <c r="A8" s="1287" t="s">
        <v>4564</v>
      </c>
      <c r="B8" s="1216"/>
      <c r="C8" s="1216"/>
      <c r="D8" s="1216"/>
      <c r="E8" s="1216"/>
      <c r="F8" s="1216"/>
      <c r="G8" s="1216"/>
      <c r="H8" s="1216"/>
      <c r="I8" s="1216"/>
      <c r="J8" s="1216"/>
      <c r="K8" s="1216"/>
      <c r="L8" s="1216"/>
      <c r="M8" s="1216"/>
      <c r="N8" s="1216"/>
      <c r="O8" s="1216"/>
      <c r="P8" s="1216"/>
      <c r="Q8" s="1216"/>
      <c r="R8" s="1216"/>
      <c r="S8" s="1216"/>
    </row>
    <row r="9" spans="1:19">
      <c r="A9" s="1216"/>
      <c r="B9" s="1216"/>
      <c r="C9" s="1216"/>
      <c r="D9" s="1216"/>
      <c r="E9" s="1216"/>
      <c r="F9" s="1216"/>
      <c r="G9" s="1216"/>
      <c r="H9" s="1216"/>
      <c r="I9" s="1216"/>
      <c r="J9" s="1216"/>
      <c r="K9" s="1216"/>
      <c r="L9" s="1216"/>
      <c r="M9" s="1216"/>
      <c r="N9" s="1216"/>
      <c r="O9" s="1216"/>
      <c r="P9" s="1216"/>
      <c r="Q9" s="1216"/>
      <c r="R9" s="1216"/>
      <c r="S9" s="1216"/>
    </row>
    <row r="10" spans="1:19" ht="12.75" customHeight="1">
      <c r="A10" s="1778" t="s">
        <v>4565</v>
      </c>
      <c r="B10" s="1778"/>
      <c r="C10" s="1778"/>
      <c r="D10" s="1778"/>
      <c r="E10" s="1778"/>
      <c r="F10" s="1778"/>
      <c r="G10" s="1778"/>
      <c r="H10" s="1778"/>
      <c r="I10" s="1778"/>
      <c r="J10" s="1778"/>
      <c r="K10" s="1778"/>
      <c r="L10" s="1778"/>
      <c r="M10" s="1778"/>
      <c r="N10" s="1778"/>
      <c r="O10" s="1778"/>
      <c r="P10" s="1778"/>
      <c r="Q10" s="1778"/>
      <c r="R10" s="1778"/>
      <c r="S10" s="1778"/>
    </row>
    <row r="11" spans="1:19">
      <c r="A11" s="1778"/>
      <c r="B11" s="1778"/>
      <c r="C11" s="1778"/>
      <c r="D11" s="1778"/>
      <c r="E11" s="1778"/>
      <c r="F11" s="1778"/>
      <c r="G11" s="1778"/>
      <c r="H11" s="1778"/>
      <c r="I11" s="1778"/>
      <c r="J11" s="1778"/>
      <c r="K11" s="1778"/>
      <c r="L11" s="1778"/>
      <c r="M11" s="1778"/>
      <c r="N11" s="1778"/>
      <c r="O11" s="1778"/>
      <c r="P11" s="1778"/>
      <c r="Q11" s="1778"/>
      <c r="R11" s="1778"/>
      <c r="S11" s="1778"/>
    </row>
    <row r="12" spans="1:19" ht="12.75" customHeight="1">
      <c r="A12" s="1287" t="s">
        <v>4566</v>
      </c>
      <c r="B12" s="1216"/>
      <c r="C12" s="1216"/>
      <c r="D12" s="1216"/>
      <c r="E12" s="1216"/>
      <c r="F12" s="1216"/>
      <c r="G12" s="1216"/>
      <c r="H12" s="1216"/>
      <c r="I12" s="1216"/>
      <c r="J12" s="1216"/>
      <c r="K12" s="1216"/>
      <c r="L12" s="1216"/>
      <c r="M12" s="1216"/>
      <c r="N12" s="1216"/>
      <c r="O12" s="1216"/>
      <c r="P12" s="1216"/>
      <c r="Q12" s="1216"/>
      <c r="R12" s="1216"/>
      <c r="S12" s="1216"/>
    </row>
    <row r="13" spans="1:19">
      <c r="A13" s="1216"/>
      <c r="B13" s="1216"/>
      <c r="C13" s="1216"/>
      <c r="D13" s="1216"/>
      <c r="E13" s="1216"/>
      <c r="F13" s="1216"/>
      <c r="G13" s="1216"/>
      <c r="H13" s="1216"/>
      <c r="I13" s="1216"/>
      <c r="J13" s="1216"/>
      <c r="K13" s="1216"/>
      <c r="L13" s="1216"/>
      <c r="M13" s="1216"/>
      <c r="N13" s="1216"/>
      <c r="O13" s="1216"/>
      <c r="P13" s="1216"/>
      <c r="Q13" s="1216"/>
      <c r="R13" s="1216"/>
      <c r="S13" s="1216"/>
    </row>
    <row r="14" spans="1:19">
      <c r="A14" s="1216"/>
      <c r="B14" s="1216"/>
      <c r="C14" s="1216"/>
      <c r="D14" s="1216"/>
      <c r="E14" s="1216"/>
      <c r="F14" s="1216"/>
      <c r="G14" s="1216"/>
      <c r="H14" s="1216"/>
      <c r="I14" s="1216"/>
      <c r="J14" s="1216"/>
      <c r="K14" s="1216"/>
      <c r="L14" s="1216"/>
      <c r="M14" s="1216"/>
      <c r="N14" s="1216"/>
      <c r="O14" s="1216"/>
      <c r="P14" s="1216"/>
      <c r="Q14" s="1216"/>
      <c r="R14" s="1216"/>
      <c r="S14" s="1216"/>
    </row>
    <row r="15" spans="1:19">
      <c r="A15" s="1216"/>
      <c r="B15" s="1216"/>
      <c r="C15" s="1216"/>
      <c r="D15" s="1216"/>
      <c r="E15" s="1216"/>
      <c r="F15" s="1216"/>
      <c r="G15" s="1216"/>
      <c r="H15" s="1216"/>
      <c r="I15" s="1216"/>
      <c r="J15" s="1216"/>
      <c r="K15" s="1216"/>
      <c r="L15" s="1216"/>
      <c r="M15" s="1216"/>
      <c r="N15" s="1216"/>
      <c r="O15" s="1216"/>
      <c r="P15" s="1216"/>
      <c r="Q15" s="1216"/>
      <c r="R15" s="1216"/>
      <c r="S15" s="1216"/>
    </row>
    <row r="16" spans="1:19">
      <c r="B16" s="1501" t="s">
        <v>4541</v>
      </c>
      <c r="C16" s="1501"/>
      <c r="D16" s="1501"/>
      <c r="E16" s="1501"/>
      <c r="F16" s="1501"/>
      <c r="G16" s="1501"/>
      <c r="H16" s="1501"/>
      <c r="I16" s="1501"/>
      <c r="J16" s="1501"/>
      <c r="K16" s="1501"/>
      <c r="L16" s="1501"/>
      <c r="M16" s="1501"/>
      <c r="N16" s="1501"/>
      <c r="O16" s="1501"/>
      <c r="P16" s="1501"/>
      <c r="Q16" s="1501"/>
      <c r="R16" s="1501"/>
      <c r="S16" s="1501"/>
    </row>
    <row r="17" spans="1:19">
      <c r="B17" s="1216" t="s">
        <v>4542</v>
      </c>
      <c r="C17" s="1216"/>
      <c r="D17" s="1216"/>
      <c r="E17" s="1216"/>
      <c r="F17" s="1216"/>
      <c r="G17" s="1216"/>
      <c r="H17" s="1216"/>
      <c r="I17" s="1216"/>
      <c r="J17" s="1216"/>
      <c r="K17" s="1216"/>
      <c r="L17" s="1216"/>
      <c r="M17" s="1216"/>
      <c r="N17" s="1216"/>
      <c r="O17" s="1216"/>
      <c r="P17" s="1216"/>
      <c r="Q17" s="1216"/>
      <c r="R17" s="1216"/>
      <c r="S17" s="1216"/>
    </row>
    <row r="18" spans="1:19">
      <c r="B18" s="1216" t="s">
        <v>4543</v>
      </c>
      <c r="C18" s="1216"/>
      <c r="D18" s="1216"/>
      <c r="E18" s="1216"/>
      <c r="F18" s="1216"/>
      <c r="G18" s="1216"/>
      <c r="H18" s="1216"/>
      <c r="I18" s="1216"/>
      <c r="J18" s="1216"/>
      <c r="K18" s="1216"/>
      <c r="L18" s="1216"/>
      <c r="M18" s="1216"/>
      <c r="N18" s="1216"/>
      <c r="O18" s="1216"/>
      <c r="P18" s="1216"/>
      <c r="Q18" s="1216"/>
      <c r="R18" s="1216"/>
      <c r="S18" s="1216"/>
    </row>
    <row r="19" spans="1:19">
      <c r="B19" s="1287" t="s">
        <v>4567</v>
      </c>
      <c r="C19" s="1216"/>
      <c r="D19" s="1216"/>
      <c r="E19" s="1216"/>
      <c r="F19" s="1216"/>
      <c r="G19" s="1216"/>
      <c r="H19" s="1216"/>
      <c r="I19" s="1216"/>
      <c r="J19" s="1216"/>
      <c r="K19" s="1216"/>
      <c r="L19" s="1216"/>
      <c r="M19" s="1216"/>
      <c r="N19" s="1216"/>
      <c r="O19" s="1216"/>
      <c r="P19" s="1216"/>
      <c r="Q19" s="1216"/>
      <c r="R19" s="1216"/>
      <c r="S19" s="1216"/>
    </row>
    <row r="20" spans="1:19">
      <c r="A20" s="1406" t="s">
        <v>4568</v>
      </c>
      <c r="B20" s="1406"/>
      <c r="C20" s="1406"/>
      <c r="D20" s="1406"/>
      <c r="E20" s="1406"/>
      <c r="F20" s="1406"/>
      <c r="G20" s="1406"/>
      <c r="H20" s="1406"/>
      <c r="I20" s="1406"/>
      <c r="J20" s="1406"/>
      <c r="K20" s="1406"/>
      <c r="L20" s="1406"/>
      <c r="M20" s="1406"/>
      <c r="N20" s="1406"/>
      <c r="O20" s="1406"/>
      <c r="P20" s="1406"/>
      <c r="Q20" s="1406"/>
      <c r="R20" s="1406"/>
      <c r="S20" s="1406"/>
    </row>
    <row r="21" spans="1:19">
      <c r="B21" s="1287" t="s">
        <v>4569</v>
      </c>
      <c r="C21" s="1216"/>
      <c r="D21" s="1216"/>
      <c r="E21" s="1216"/>
      <c r="F21" s="1216"/>
      <c r="G21" s="1216"/>
      <c r="H21" s="1216"/>
      <c r="I21" s="1216"/>
      <c r="J21" s="1216"/>
      <c r="K21" s="1216"/>
      <c r="L21" s="1216"/>
      <c r="M21" s="1216"/>
      <c r="N21" s="1216"/>
      <c r="O21" s="1216"/>
      <c r="P21" s="1216"/>
      <c r="Q21" s="1216"/>
      <c r="R21" s="1216"/>
      <c r="S21" s="1216"/>
    </row>
    <row r="22" spans="1:19">
      <c r="A22" s="1783" t="s">
        <v>4570</v>
      </c>
      <c r="B22" s="1406"/>
      <c r="C22" s="1406"/>
      <c r="D22" s="1406"/>
      <c r="E22" s="1406"/>
      <c r="F22" s="1406"/>
      <c r="G22" s="1406"/>
      <c r="H22" s="1406"/>
      <c r="I22" s="1406"/>
      <c r="J22" s="1406"/>
      <c r="K22" s="1406"/>
      <c r="L22" s="1406"/>
      <c r="M22" s="1406"/>
      <c r="N22" s="1406"/>
      <c r="O22" s="1406"/>
      <c r="P22" s="1406"/>
      <c r="Q22" s="1406"/>
      <c r="R22" s="1406"/>
      <c r="S22" s="1406"/>
    </row>
    <row r="23" spans="1:19" ht="12.75" customHeight="1">
      <c r="A23" s="1287" t="s">
        <v>4571</v>
      </c>
      <c r="B23" s="1216"/>
      <c r="C23" s="1216"/>
      <c r="D23" s="1216"/>
      <c r="E23" s="1216"/>
      <c r="F23" s="1216"/>
      <c r="G23" s="1216"/>
      <c r="H23" s="1216"/>
      <c r="I23" s="1216"/>
      <c r="J23" s="1216"/>
      <c r="K23" s="1216"/>
      <c r="L23" s="1216"/>
      <c r="M23" s="1216"/>
      <c r="N23" s="1216"/>
      <c r="O23" s="1216"/>
      <c r="P23" s="1216"/>
      <c r="Q23" s="1216"/>
      <c r="R23" s="1216"/>
      <c r="S23" s="1216"/>
    </row>
    <row r="24" spans="1:19">
      <c r="A24" s="1216"/>
      <c r="B24" s="1216"/>
      <c r="C24" s="1216"/>
      <c r="D24" s="1216"/>
      <c r="E24" s="1216"/>
      <c r="F24" s="1216"/>
      <c r="G24" s="1216"/>
      <c r="H24" s="1216"/>
      <c r="I24" s="1216"/>
      <c r="J24" s="1216"/>
      <c r="K24" s="1216"/>
      <c r="L24" s="1216"/>
      <c r="M24" s="1216"/>
      <c r="N24" s="1216"/>
      <c r="O24" s="1216"/>
      <c r="P24" s="1216"/>
      <c r="Q24" s="1216"/>
      <c r="R24" s="1216"/>
      <c r="S24" s="1216"/>
    </row>
    <row r="25" spans="1:19">
      <c r="A25" s="1216"/>
      <c r="B25" s="1216"/>
      <c r="C25" s="1216"/>
      <c r="D25" s="1216"/>
      <c r="E25" s="1216"/>
      <c r="F25" s="1216"/>
      <c r="G25" s="1216"/>
      <c r="H25" s="1216"/>
      <c r="I25" s="1216"/>
      <c r="J25" s="1216"/>
      <c r="K25" s="1216"/>
      <c r="L25" s="1216"/>
      <c r="M25" s="1216"/>
      <c r="N25" s="1216"/>
      <c r="O25" s="1216"/>
      <c r="P25" s="1216"/>
      <c r="Q25" s="1216"/>
      <c r="R25" s="1216"/>
      <c r="S25" s="1216"/>
    </row>
    <row r="26" spans="1:19">
      <c r="A26" s="1216"/>
      <c r="B26" s="1216"/>
      <c r="C26" s="1216"/>
      <c r="D26" s="1216"/>
      <c r="E26" s="1216"/>
      <c r="F26" s="1216"/>
      <c r="G26" s="1216"/>
      <c r="H26" s="1216"/>
      <c r="I26" s="1216"/>
      <c r="J26" s="1216"/>
      <c r="K26" s="1216"/>
      <c r="L26" s="1216"/>
      <c r="M26" s="1216"/>
      <c r="N26" s="1216"/>
      <c r="O26" s="1216"/>
      <c r="P26" s="1216"/>
      <c r="Q26" s="1216"/>
      <c r="R26" s="1216"/>
      <c r="S26" s="1216"/>
    </row>
    <row r="27" spans="1:19" ht="12.75" customHeight="1">
      <c r="A27" s="1501" t="s">
        <v>4572</v>
      </c>
      <c r="B27" s="1501"/>
      <c r="C27" s="1501"/>
      <c r="D27" s="1501"/>
      <c r="E27" s="1501"/>
      <c r="F27" s="1501"/>
      <c r="G27" s="1501"/>
      <c r="H27" s="1501"/>
      <c r="I27" s="1501"/>
      <c r="J27" s="1501"/>
      <c r="K27" s="1501"/>
      <c r="L27" s="1501"/>
      <c r="M27" s="1501"/>
      <c r="N27" s="1501"/>
      <c r="O27" s="1501"/>
      <c r="P27" s="1501"/>
      <c r="Q27" s="1501"/>
      <c r="R27" s="1501"/>
      <c r="S27" s="1501"/>
    </row>
    <row r="28" spans="1:19">
      <c r="A28" s="1501"/>
      <c r="B28" s="1501"/>
      <c r="C28" s="1501"/>
      <c r="D28" s="1501"/>
      <c r="E28" s="1501"/>
      <c r="F28" s="1501"/>
      <c r="G28" s="1501"/>
      <c r="H28" s="1501"/>
      <c r="I28" s="1501"/>
      <c r="J28" s="1501"/>
      <c r="K28" s="1501"/>
      <c r="L28" s="1501"/>
      <c r="M28" s="1501"/>
      <c r="N28" s="1501"/>
      <c r="O28" s="1501"/>
      <c r="P28" s="1501"/>
      <c r="Q28" s="1501"/>
      <c r="R28" s="1501"/>
      <c r="S28" s="1501"/>
    </row>
    <row r="29" spans="1:19">
      <c r="A29" s="1501"/>
      <c r="B29" s="1501"/>
      <c r="C29" s="1501"/>
      <c r="D29" s="1501"/>
      <c r="E29" s="1501"/>
      <c r="F29" s="1501"/>
      <c r="G29" s="1501"/>
      <c r="H29" s="1501"/>
      <c r="I29" s="1501"/>
      <c r="J29" s="1501"/>
      <c r="K29" s="1501"/>
      <c r="L29" s="1501"/>
      <c r="M29" s="1501"/>
      <c r="N29" s="1501"/>
      <c r="O29" s="1501"/>
      <c r="P29" s="1501"/>
      <c r="Q29" s="1501"/>
      <c r="R29" s="1501"/>
      <c r="S29" s="1501"/>
    </row>
    <row r="30" spans="1:19">
      <c r="A30" s="1501"/>
      <c r="B30" s="1501"/>
      <c r="C30" s="1501"/>
      <c r="D30" s="1501"/>
      <c r="E30" s="1501"/>
      <c r="F30" s="1501"/>
      <c r="G30" s="1501"/>
      <c r="H30" s="1501"/>
      <c r="I30" s="1501"/>
      <c r="J30" s="1501"/>
      <c r="K30" s="1501"/>
      <c r="L30" s="1501"/>
      <c r="M30" s="1501"/>
      <c r="N30" s="1501"/>
      <c r="O30" s="1501"/>
      <c r="P30" s="1501"/>
      <c r="Q30" s="1501"/>
      <c r="R30" s="1501"/>
      <c r="S30" s="1501"/>
    </row>
    <row r="31" spans="1:19" ht="12.75" customHeight="1">
      <c r="A31" s="1298" t="s">
        <v>4573</v>
      </c>
      <c r="B31" s="1298"/>
      <c r="C31" s="1298"/>
      <c r="D31" s="1298"/>
      <c r="E31" s="1298"/>
      <c r="F31" s="1298"/>
      <c r="G31" s="1298"/>
      <c r="H31" s="1298"/>
      <c r="I31" s="1298"/>
      <c r="J31" s="1298"/>
      <c r="K31" s="1298"/>
      <c r="L31" s="1298"/>
      <c r="M31" s="1298"/>
      <c r="N31" s="1298"/>
      <c r="O31" s="1298"/>
      <c r="P31" s="1298"/>
      <c r="Q31" s="1298"/>
      <c r="R31" s="1298"/>
      <c r="S31" s="1298"/>
    </row>
    <row r="32" spans="1:19">
      <c r="A32" s="1298"/>
      <c r="B32" s="1298"/>
      <c r="C32" s="1298"/>
      <c r="D32" s="1298"/>
      <c r="E32" s="1298"/>
      <c r="F32" s="1298"/>
      <c r="G32" s="1298"/>
      <c r="H32" s="1298"/>
      <c r="I32" s="1298"/>
      <c r="J32" s="1298"/>
      <c r="K32" s="1298"/>
      <c r="L32" s="1298"/>
      <c r="M32" s="1298"/>
      <c r="N32" s="1298"/>
      <c r="O32" s="1298"/>
      <c r="P32" s="1298"/>
      <c r="Q32" s="1298"/>
      <c r="R32" s="1298"/>
      <c r="S32" s="1298"/>
    </row>
    <row r="33" spans="1:42" ht="12.75" customHeight="1">
      <c r="A33" s="1287" t="s">
        <v>4574</v>
      </c>
      <c r="B33" s="1216"/>
      <c r="C33" s="1216"/>
      <c r="D33" s="1216"/>
      <c r="E33" s="1216"/>
      <c r="F33" s="1216"/>
      <c r="G33" s="1216"/>
      <c r="H33" s="1216"/>
      <c r="I33" s="1216"/>
      <c r="J33" s="1216"/>
      <c r="K33" s="1216"/>
      <c r="L33" s="1216"/>
      <c r="M33" s="1216"/>
      <c r="N33" s="1216"/>
      <c r="O33" s="1216"/>
      <c r="P33" s="1216"/>
      <c r="Q33" s="1216"/>
      <c r="R33" s="1216"/>
      <c r="S33" s="1216"/>
    </row>
    <row r="34" spans="1:42" ht="12.75" customHeight="1">
      <c r="A34" s="1216"/>
      <c r="B34" s="1216"/>
      <c r="C34" s="1216"/>
      <c r="D34" s="1216"/>
      <c r="E34" s="1216"/>
      <c r="F34" s="1216"/>
      <c r="G34" s="1216"/>
      <c r="H34" s="1216"/>
      <c r="I34" s="1216"/>
      <c r="J34" s="1216"/>
      <c r="K34" s="1216"/>
      <c r="L34" s="1216"/>
      <c r="M34" s="1216"/>
      <c r="N34" s="1216"/>
      <c r="O34" s="1216"/>
      <c r="P34" s="1216"/>
      <c r="Q34" s="1216"/>
      <c r="R34" s="1216"/>
      <c r="S34" s="1216"/>
    </row>
    <row r="35" spans="1:42">
      <c r="A35" s="1216"/>
      <c r="B35" s="1216"/>
      <c r="C35" s="1216"/>
      <c r="D35" s="1216"/>
      <c r="E35" s="1216"/>
      <c r="F35" s="1216"/>
      <c r="G35" s="1216"/>
      <c r="H35" s="1216"/>
      <c r="I35" s="1216"/>
      <c r="J35" s="1216"/>
      <c r="K35" s="1216"/>
      <c r="L35" s="1216"/>
      <c r="M35" s="1216"/>
      <c r="N35" s="1216"/>
      <c r="O35" s="1216"/>
      <c r="P35" s="1216"/>
      <c r="Q35" s="1216"/>
      <c r="R35" s="1216"/>
      <c r="S35" s="1216"/>
    </row>
    <row r="36" spans="1:42">
      <c r="A36" s="1216"/>
      <c r="B36" s="1216"/>
      <c r="C36" s="1216"/>
      <c r="D36" s="1216"/>
      <c r="E36" s="1216"/>
      <c r="F36" s="1216"/>
      <c r="G36" s="1216"/>
      <c r="H36" s="1216"/>
      <c r="I36" s="1216"/>
      <c r="J36" s="1216"/>
      <c r="K36" s="1216"/>
      <c r="L36" s="1216"/>
      <c r="M36" s="1216"/>
      <c r="N36" s="1216"/>
      <c r="O36" s="1216"/>
      <c r="P36" s="1216"/>
      <c r="Q36" s="1216"/>
      <c r="R36" s="1216"/>
      <c r="S36" s="1216"/>
    </row>
    <row r="37" spans="1:42">
      <c r="A37" s="1216"/>
      <c r="B37" s="1216"/>
      <c r="C37" s="1216"/>
      <c r="D37" s="1216"/>
      <c r="E37" s="1216"/>
      <c r="F37" s="1216"/>
      <c r="G37" s="1216"/>
      <c r="H37" s="1216"/>
      <c r="I37" s="1216"/>
      <c r="J37" s="1216"/>
      <c r="K37" s="1216"/>
      <c r="L37" s="1216"/>
      <c r="M37" s="1216"/>
      <c r="N37" s="1216"/>
      <c r="O37" s="1216"/>
      <c r="P37" s="1216"/>
      <c r="Q37" s="1216"/>
      <c r="R37" s="1216"/>
      <c r="S37" s="1216"/>
    </row>
    <row r="38" spans="1:42">
      <c r="B38" s="1298" t="s">
        <v>4265</v>
      </c>
      <c r="C38" s="1298"/>
      <c r="D38" s="1298"/>
      <c r="E38" s="1298"/>
      <c r="F38" s="1298"/>
      <c r="G38" s="1298"/>
      <c r="H38" s="1298"/>
      <c r="I38" s="1298"/>
      <c r="J38" s="1298"/>
      <c r="K38" s="1298"/>
      <c r="L38" s="1298"/>
      <c r="M38" s="1298"/>
      <c r="N38" s="1298"/>
      <c r="O38" s="1298"/>
      <c r="P38" s="1298"/>
      <c r="Q38" s="1298"/>
      <c r="R38" s="1298"/>
      <c r="S38" s="1298"/>
    </row>
    <row r="39" spans="1:42" ht="12.75" customHeight="1">
      <c r="A39" s="1287" t="s">
        <v>4575</v>
      </c>
      <c r="B39" s="1216"/>
      <c r="C39" s="1216"/>
      <c r="D39" s="1216"/>
      <c r="E39" s="1216"/>
      <c r="F39" s="1216"/>
      <c r="G39" s="1216"/>
      <c r="H39" s="1216"/>
      <c r="I39" s="1216"/>
      <c r="J39" s="1216"/>
      <c r="K39" s="1216"/>
      <c r="L39" s="1216"/>
      <c r="M39" s="1216"/>
      <c r="N39" s="1216"/>
      <c r="O39" s="1216"/>
      <c r="P39" s="1216"/>
      <c r="Q39" s="1216"/>
      <c r="R39" s="1216"/>
      <c r="S39" s="1216"/>
    </row>
    <row r="40" spans="1:42">
      <c r="A40" s="1216"/>
      <c r="B40" s="1216"/>
      <c r="C40" s="1216"/>
      <c r="D40" s="1216"/>
      <c r="E40" s="1216"/>
      <c r="F40" s="1216"/>
      <c r="G40" s="1216"/>
      <c r="H40" s="1216"/>
      <c r="I40" s="1216"/>
      <c r="J40" s="1216"/>
      <c r="K40" s="1216"/>
      <c r="L40" s="1216"/>
      <c r="M40" s="1216"/>
      <c r="N40" s="1216"/>
      <c r="O40" s="1216"/>
      <c r="P40" s="1216"/>
      <c r="Q40" s="1216"/>
      <c r="R40" s="1216"/>
      <c r="S40" s="1216"/>
    </row>
    <row r="41" spans="1:42" ht="12.75" customHeight="1">
      <c r="A41" s="1298" t="s">
        <v>4576</v>
      </c>
      <c r="B41" s="1298"/>
      <c r="C41" s="1298"/>
      <c r="D41" s="1298"/>
      <c r="E41" s="1298"/>
      <c r="F41" s="1298"/>
      <c r="G41" s="1298"/>
      <c r="H41" s="1298"/>
      <c r="I41" s="1298"/>
      <c r="J41" s="1298"/>
      <c r="K41" s="1298"/>
      <c r="L41" s="1298"/>
      <c r="M41" s="1298"/>
      <c r="N41" s="1298"/>
      <c r="O41" s="1298"/>
      <c r="P41" s="1298"/>
      <c r="Q41" s="1298"/>
      <c r="R41" s="1298"/>
      <c r="S41" s="1298"/>
    </row>
    <row r="42" spans="1:42">
      <c r="A42" s="1298"/>
      <c r="B42" s="1298"/>
      <c r="C42" s="1298"/>
      <c r="D42" s="1298"/>
      <c r="E42" s="1298"/>
      <c r="F42" s="1298"/>
      <c r="G42" s="1298"/>
      <c r="H42" s="1298"/>
      <c r="I42" s="1298"/>
      <c r="J42" s="1298"/>
      <c r="K42" s="1298"/>
      <c r="L42" s="1298"/>
      <c r="M42" s="1298"/>
      <c r="N42" s="1298"/>
      <c r="O42" s="1298"/>
      <c r="P42" s="1298"/>
      <c r="Q42" s="1298"/>
      <c r="R42" s="1298"/>
      <c r="S42" s="1298"/>
    </row>
    <row r="43" spans="1:42" ht="12.75" customHeight="1">
      <c r="A43" s="1287" t="s">
        <v>4577</v>
      </c>
      <c r="B43" s="1216"/>
      <c r="C43" s="1216"/>
      <c r="D43" s="1216"/>
      <c r="E43" s="1216"/>
      <c r="F43" s="1216"/>
      <c r="G43" s="1216"/>
      <c r="H43" s="1216"/>
      <c r="I43" s="1216"/>
      <c r="J43" s="1216"/>
      <c r="K43" s="1216"/>
      <c r="L43" s="1216"/>
      <c r="M43" s="1216"/>
      <c r="N43" s="1216"/>
      <c r="O43" s="1216"/>
      <c r="P43" s="1216"/>
      <c r="Q43" s="1216"/>
      <c r="R43" s="1216"/>
      <c r="S43" s="1216"/>
    </row>
    <row r="44" spans="1:42">
      <c r="A44" s="1216"/>
      <c r="B44" s="1216"/>
      <c r="C44" s="1216"/>
      <c r="D44" s="1216"/>
      <c r="E44" s="1216"/>
      <c r="F44" s="1216"/>
      <c r="G44" s="1216"/>
      <c r="H44" s="1216"/>
      <c r="I44" s="1216"/>
      <c r="J44" s="1216"/>
      <c r="K44" s="1216"/>
      <c r="L44" s="1216"/>
      <c r="M44" s="1216"/>
      <c r="N44" s="1216"/>
      <c r="O44" s="1216"/>
      <c r="P44" s="1216"/>
      <c r="Q44" s="1216"/>
      <c r="R44" s="1216"/>
      <c r="S44" s="1216"/>
    </row>
    <row r="45" spans="1:42">
      <c r="A45" s="1216"/>
      <c r="B45" s="1216"/>
      <c r="C45" s="1216"/>
      <c r="D45" s="1216"/>
      <c r="E45" s="1216"/>
      <c r="F45" s="1216"/>
      <c r="G45" s="1216"/>
      <c r="H45" s="1216"/>
      <c r="I45" s="1216"/>
      <c r="J45" s="1216"/>
      <c r="K45" s="1216"/>
      <c r="L45" s="1216"/>
      <c r="M45" s="1216"/>
      <c r="N45" s="1216"/>
      <c r="O45" s="1216"/>
      <c r="P45" s="1216"/>
      <c r="Q45" s="1216"/>
      <c r="R45" s="1216"/>
      <c r="S45" s="1216"/>
    </row>
    <row r="46" spans="1:42">
      <c r="A46" s="1216"/>
      <c r="B46" s="1216"/>
      <c r="C46" s="1216"/>
      <c r="D46" s="1216"/>
      <c r="E46" s="1216"/>
      <c r="F46" s="1216"/>
      <c r="G46" s="1216"/>
      <c r="H46" s="1216"/>
      <c r="I46" s="1216"/>
      <c r="J46" s="1216"/>
      <c r="K46" s="1216"/>
      <c r="L46" s="1216"/>
      <c r="M46" s="1216"/>
      <c r="N46" s="1216"/>
      <c r="O46" s="1216"/>
      <c r="P46" s="1216"/>
      <c r="Q46" s="1216"/>
      <c r="R46" s="1216"/>
      <c r="S46" s="1216"/>
    </row>
    <row r="47" spans="1:42">
      <c r="B47" s="1216" t="s">
        <v>4544</v>
      </c>
      <c r="C47" s="1216"/>
      <c r="D47" s="1216"/>
      <c r="E47" s="1216"/>
      <c r="F47" s="1216"/>
      <c r="G47" s="1216"/>
      <c r="H47" s="1216"/>
      <c r="I47" s="1216"/>
      <c r="J47" s="1216"/>
      <c r="K47" s="1216"/>
      <c r="L47" s="1216"/>
      <c r="M47" s="1216"/>
      <c r="N47" s="1216"/>
      <c r="O47" s="1216"/>
      <c r="P47" s="1216"/>
      <c r="Q47" s="1216"/>
      <c r="R47" s="1216"/>
      <c r="S47" s="1216"/>
    </row>
    <row r="48" spans="1:42" ht="12.75" customHeight="1">
      <c r="A48" s="1287" t="s">
        <v>4578</v>
      </c>
      <c r="B48" s="1216"/>
      <c r="C48" s="1216"/>
      <c r="D48" s="1216"/>
      <c r="E48" s="1216"/>
      <c r="F48" s="1216"/>
      <c r="G48" s="1216"/>
      <c r="H48" s="1216"/>
      <c r="I48" s="1216"/>
      <c r="J48" s="1216"/>
      <c r="K48" s="1216"/>
      <c r="L48" s="1216"/>
      <c r="M48" s="1216"/>
      <c r="N48" s="1216"/>
      <c r="O48" s="1216"/>
      <c r="P48" s="1216"/>
      <c r="Q48" s="1216"/>
      <c r="R48" s="1216"/>
      <c r="S48" s="1216"/>
      <c r="T48" s="1216" t="s">
        <v>2399</v>
      </c>
      <c r="U48" s="1216"/>
      <c r="V48" s="1216"/>
      <c r="W48" s="1216"/>
      <c r="X48" s="1216"/>
      <c r="Y48" s="1216"/>
      <c r="Z48" s="1216"/>
      <c r="AA48" s="1216"/>
      <c r="AB48" s="1216"/>
      <c r="AC48" s="1216"/>
      <c r="AD48" s="1216"/>
      <c r="AE48" s="1216"/>
      <c r="AF48" s="1216"/>
      <c r="AG48" s="1216"/>
      <c r="AH48" s="1216"/>
      <c r="AI48" s="1216"/>
      <c r="AJ48" s="1216"/>
      <c r="AK48" s="1216"/>
      <c r="AL48" s="1216"/>
      <c r="AM48" s="1216"/>
      <c r="AN48" s="1216"/>
      <c r="AO48" s="1216"/>
      <c r="AP48" s="1216"/>
    </row>
    <row r="49" spans="1:42" ht="12.75" customHeight="1">
      <c r="A49" s="1216"/>
      <c r="B49" s="1216"/>
      <c r="C49" s="1216"/>
      <c r="D49" s="1216"/>
      <c r="E49" s="1216"/>
      <c r="F49" s="1216"/>
      <c r="G49" s="1216"/>
      <c r="H49" s="1216"/>
      <c r="I49" s="1216"/>
      <c r="J49" s="1216"/>
      <c r="K49" s="1216"/>
      <c r="L49" s="1216"/>
      <c r="M49" s="1216"/>
      <c r="N49" s="1216"/>
      <c r="O49" s="1216"/>
      <c r="P49" s="1216"/>
      <c r="Q49" s="1216"/>
      <c r="R49" s="1216"/>
      <c r="S49" s="1216"/>
      <c r="T49" s="1216" t="s">
        <v>2402</v>
      </c>
      <c r="U49" s="1216"/>
      <c r="V49" s="1216"/>
      <c r="W49" s="1216"/>
      <c r="X49" s="1216"/>
      <c r="Y49" s="1216"/>
      <c r="Z49" s="1216"/>
      <c r="AA49" s="1216"/>
      <c r="AB49" s="1216"/>
      <c r="AC49" s="1216"/>
      <c r="AD49" s="1216"/>
      <c r="AE49" s="1216"/>
      <c r="AF49" s="1216"/>
      <c r="AG49" s="1216"/>
      <c r="AH49" s="1216"/>
      <c r="AI49" s="1216"/>
      <c r="AJ49" s="1216"/>
      <c r="AK49" s="1216"/>
      <c r="AL49" s="1216"/>
      <c r="AM49" s="1216"/>
      <c r="AN49" s="1216"/>
      <c r="AO49" s="1216"/>
      <c r="AP49" s="1216"/>
    </row>
    <row r="50" spans="1:42">
      <c r="A50" s="1216"/>
      <c r="B50" s="1216"/>
      <c r="C50" s="1216"/>
      <c r="D50" s="1216"/>
      <c r="E50" s="1216"/>
      <c r="F50" s="1216"/>
      <c r="G50" s="1216"/>
      <c r="H50" s="1216"/>
      <c r="I50" s="1216"/>
      <c r="J50" s="1216"/>
      <c r="K50" s="1216"/>
      <c r="L50" s="1216"/>
      <c r="M50" s="1216"/>
      <c r="N50" s="1216"/>
      <c r="O50" s="1216"/>
      <c r="P50" s="1216"/>
      <c r="Q50" s="1216"/>
      <c r="R50" s="1216"/>
      <c r="S50" s="1216"/>
    </row>
    <row r="51" spans="1:42">
      <c r="A51" s="1216"/>
      <c r="B51" s="1216"/>
      <c r="C51" s="1216"/>
      <c r="D51" s="1216"/>
      <c r="E51" s="1216"/>
      <c r="F51" s="1216"/>
      <c r="G51" s="1216"/>
      <c r="H51" s="1216"/>
      <c r="I51" s="1216"/>
      <c r="J51" s="1216"/>
      <c r="K51" s="1216"/>
      <c r="L51" s="1216"/>
      <c r="M51" s="1216"/>
      <c r="N51" s="1216"/>
      <c r="O51" s="1216"/>
      <c r="P51" s="1216"/>
      <c r="Q51" s="1216"/>
      <c r="R51" s="1216"/>
      <c r="S51" s="1216"/>
    </row>
    <row r="52" spans="1:42">
      <c r="B52" s="1298" t="s">
        <v>4266</v>
      </c>
      <c r="C52" s="1298"/>
      <c r="D52" s="1298"/>
      <c r="E52" s="1298"/>
      <c r="F52" s="1298"/>
      <c r="G52" s="1298"/>
      <c r="H52" s="1298"/>
      <c r="I52" s="1298"/>
      <c r="J52" s="1298"/>
      <c r="K52" s="1298"/>
      <c r="L52" s="1298"/>
      <c r="M52" s="1298"/>
      <c r="N52" s="1298"/>
      <c r="O52" s="1298"/>
      <c r="P52" s="1298"/>
      <c r="Q52" s="1298"/>
      <c r="R52" s="1298"/>
      <c r="S52" s="1298"/>
    </row>
    <row r="53" spans="1:42" ht="12.75" customHeight="1">
      <c r="A53" s="1287" t="s">
        <v>4579</v>
      </c>
      <c r="B53" s="1216"/>
      <c r="C53" s="1216"/>
      <c r="D53" s="1216"/>
      <c r="E53" s="1216"/>
      <c r="F53" s="1216"/>
      <c r="G53" s="1216"/>
      <c r="H53" s="1216"/>
      <c r="I53" s="1216"/>
      <c r="J53" s="1216"/>
      <c r="K53" s="1216"/>
      <c r="L53" s="1216"/>
      <c r="M53" s="1216"/>
      <c r="N53" s="1216"/>
      <c r="O53" s="1216"/>
      <c r="P53" s="1216"/>
      <c r="Q53" s="1216"/>
      <c r="R53" s="1216"/>
      <c r="S53" s="1216"/>
    </row>
    <row r="54" spans="1:42">
      <c r="A54" s="1216"/>
      <c r="B54" s="1216"/>
      <c r="C54" s="1216"/>
      <c r="D54" s="1216"/>
      <c r="E54" s="1216"/>
      <c r="F54" s="1216"/>
      <c r="G54" s="1216"/>
      <c r="H54" s="1216"/>
      <c r="I54" s="1216"/>
      <c r="J54" s="1216"/>
      <c r="K54" s="1216"/>
      <c r="L54" s="1216"/>
      <c r="M54" s="1216"/>
      <c r="N54" s="1216"/>
      <c r="O54" s="1216"/>
      <c r="P54" s="1216"/>
      <c r="Q54" s="1216"/>
      <c r="R54" s="1216"/>
      <c r="S54" s="1216"/>
    </row>
    <row r="55" spans="1:42" ht="12.75" customHeight="1">
      <c r="A55" s="1287" t="s">
        <v>4580</v>
      </c>
      <c r="B55" s="1216"/>
      <c r="C55" s="1216"/>
      <c r="D55" s="1216"/>
      <c r="E55" s="1216"/>
      <c r="F55" s="1216"/>
      <c r="G55" s="1216"/>
      <c r="H55" s="1216"/>
      <c r="I55" s="1216"/>
      <c r="J55" s="1216"/>
      <c r="K55" s="1216"/>
      <c r="L55" s="1216"/>
      <c r="M55" s="1216"/>
      <c r="N55" s="1216"/>
      <c r="O55" s="1216"/>
      <c r="P55" s="1216"/>
      <c r="Q55" s="1216"/>
      <c r="R55" s="1216"/>
      <c r="S55" s="1216"/>
    </row>
    <row r="56" spans="1:42">
      <c r="A56" s="1216"/>
      <c r="B56" s="1216"/>
      <c r="C56" s="1216"/>
      <c r="D56" s="1216"/>
      <c r="E56" s="1216"/>
      <c r="F56" s="1216"/>
      <c r="G56" s="1216"/>
      <c r="H56" s="1216"/>
      <c r="I56" s="1216"/>
      <c r="J56" s="1216"/>
      <c r="K56" s="1216"/>
      <c r="L56" s="1216"/>
      <c r="M56" s="1216"/>
      <c r="N56" s="1216"/>
      <c r="O56" s="1216"/>
      <c r="P56" s="1216"/>
      <c r="Q56" s="1216"/>
      <c r="R56" s="1216"/>
      <c r="S56" s="1216"/>
    </row>
    <row r="57" spans="1:42" ht="12.75" customHeight="1">
      <c r="A57" s="1778" t="s">
        <v>4770</v>
      </c>
      <c r="B57" s="1778"/>
      <c r="C57" s="1778"/>
      <c r="D57" s="1778"/>
      <c r="E57" s="1778"/>
      <c r="F57" s="1778"/>
      <c r="G57" s="1778"/>
      <c r="H57" s="1778"/>
      <c r="I57" s="1778"/>
      <c r="J57" s="1778"/>
      <c r="K57" s="1778"/>
      <c r="L57" s="1778"/>
      <c r="M57" s="1778"/>
      <c r="N57" s="1778"/>
      <c r="O57" s="1778"/>
      <c r="P57" s="1778"/>
      <c r="Q57" s="1778"/>
      <c r="R57" s="1778"/>
      <c r="S57" s="1778"/>
    </row>
    <row r="58" spans="1:42">
      <c r="A58" s="1778"/>
      <c r="B58" s="1778"/>
      <c r="C58" s="1778"/>
      <c r="D58" s="1778"/>
      <c r="E58" s="1778"/>
      <c r="F58" s="1778"/>
      <c r="G58" s="1778"/>
      <c r="H58" s="1778"/>
      <c r="I58" s="1778"/>
      <c r="J58" s="1778"/>
      <c r="K58" s="1778"/>
      <c r="L58" s="1778"/>
      <c r="M58" s="1778"/>
      <c r="N58" s="1778"/>
      <c r="O58" s="1778"/>
      <c r="P58" s="1778"/>
      <c r="Q58" s="1778"/>
      <c r="R58" s="1778"/>
      <c r="S58" s="1778"/>
    </row>
    <row r="59" spans="1:42" ht="12.75" customHeight="1">
      <c r="A59" s="1501" t="s">
        <v>4581</v>
      </c>
      <c r="B59" s="1501"/>
      <c r="C59" s="1501"/>
      <c r="D59" s="1501"/>
      <c r="E59" s="1501"/>
      <c r="F59" s="1501"/>
      <c r="G59" s="1501"/>
      <c r="H59" s="1501"/>
      <c r="I59" s="1501"/>
      <c r="J59" s="1501"/>
      <c r="K59" s="1501"/>
      <c r="L59" s="1501"/>
      <c r="M59" s="1501"/>
      <c r="N59" s="1501"/>
      <c r="O59" s="1501"/>
      <c r="P59" s="1501"/>
      <c r="Q59" s="1501"/>
      <c r="R59" s="1501"/>
      <c r="S59" s="1501"/>
    </row>
    <row r="60" spans="1:42">
      <c r="A60" s="1501"/>
      <c r="B60" s="1501"/>
      <c r="C60" s="1501"/>
      <c r="D60" s="1501"/>
      <c r="E60" s="1501"/>
      <c r="F60" s="1501"/>
      <c r="G60" s="1501"/>
      <c r="H60" s="1501"/>
      <c r="I60" s="1501"/>
      <c r="J60" s="1501"/>
      <c r="K60" s="1501"/>
      <c r="L60" s="1501"/>
      <c r="M60" s="1501"/>
      <c r="N60" s="1501"/>
      <c r="O60" s="1501"/>
      <c r="P60" s="1501"/>
      <c r="Q60" s="1501"/>
      <c r="R60" s="1501"/>
      <c r="S60" s="1501"/>
    </row>
    <row r="61" spans="1:42">
      <c r="A61" s="1501"/>
      <c r="B61" s="1501"/>
      <c r="C61" s="1501"/>
      <c r="D61" s="1501"/>
      <c r="E61" s="1501"/>
      <c r="F61" s="1501"/>
      <c r="G61" s="1501"/>
      <c r="H61" s="1501"/>
      <c r="I61" s="1501"/>
      <c r="J61" s="1501"/>
      <c r="K61" s="1501"/>
      <c r="L61" s="1501"/>
      <c r="M61" s="1501"/>
      <c r="N61" s="1501"/>
      <c r="O61" s="1501"/>
      <c r="P61" s="1501"/>
      <c r="Q61" s="1501"/>
      <c r="R61" s="1501"/>
      <c r="S61" s="1501"/>
    </row>
    <row r="62" spans="1:42">
      <c r="A62" s="1501"/>
      <c r="B62" s="1501"/>
      <c r="C62" s="1501"/>
      <c r="D62" s="1501"/>
      <c r="E62" s="1501"/>
      <c r="F62" s="1501"/>
      <c r="G62" s="1501"/>
      <c r="H62" s="1501"/>
      <c r="I62" s="1501"/>
      <c r="J62" s="1501"/>
      <c r="K62" s="1501"/>
      <c r="L62" s="1501"/>
      <c r="M62" s="1501"/>
      <c r="N62" s="1501"/>
      <c r="O62" s="1501"/>
      <c r="P62" s="1501"/>
      <c r="Q62" s="1501"/>
      <c r="R62" s="1501"/>
      <c r="S62" s="1501"/>
    </row>
    <row r="63" spans="1:42">
      <c r="A63" s="1501"/>
      <c r="B63" s="1501"/>
      <c r="C63" s="1501"/>
      <c r="D63" s="1501"/>
      <c r="E63" s="1501"/>
      <c r="F63" s="1501"/>
      <c r="G63" s="1501"/>
      <c r="H63" s="1501"/>
      <c r="I63" s="1501"/>
      <c r="J63" s="1501"/>
      <c r="K63" s="1501"/>
      <c r="L63" s="1501"/>
      <c r="M63" s="1501"/>
      <c r="N63" s="1501"/>
      <c r="O63" s="1501"/>
      <c r="P63" s="1501"/>
      <c r="Q63" s="1501"/>
      <c r="R63" s="1501"/>
      <c r="S63" s="1501"/>
    </row>
    <row r="64" spans="1:42">
      <c r="A64" s="1501"/>
      <c r="B64" s="1501"/>
      <c r="C64" s="1501"/>
      <c r="D64" s="1501"/>
      <c r="E64" s="1501"/>
      <c r="F64" s="1501"/>
      <c r="G64" s="1501"/>
      <c r="H64" s="1501"/>
      <c r="I64" s="1501"/>
      <c r="J64" s="1501"/>
      <c r="K64" s="1501"/>
      <c r="L64" s="1501"/>
      <c r="M64" s="1501"/>
      <c r="N64" s="1501"/>
      <c r="O64" s="1501"/>
      <c r="P64" s="1501"/>
      <c r="Q64" s="1501"/>
      <c r="R64" s="1501"/>
      <c r="S64" s="1501"/>
    </row>
    <row r="65" spans="1:19">
      <c r="A65" s="1501"/>
      <c r="B65" s="1501"/>
      <c r="C65" s="1501"/>
      <c r="D65" s="1501"/>
      <c r="E65" s="1501"/>
      <c r="F65" s="1501"/>
      <c r="G65" s="1501"/>
      <c r="H65" s="1501"/>
      <c r="I65" s="1501"/>
      <c r="J65" s="1501"/>
      <c r="K65" s="1501"/>
      <c r="L65" s="1501"/>
      <c r="M65" s="1501"/>
      <c r="N65" s="1501"/>
      <c r="O65" s="1501"/>
      <c r="P65" s="1501"/>
      <c r="Q65" s="1501"/>
      <c r="R65" s="1501"/>
      <c r="S65" s="1501"/>
    </row>
    <row r="66" spans="1:19">
      <c r="A66" s="1501"/>
      <c r="B66" s="1501"/>
      <c r="C66" s="1501"/>
      <c r="D66" s="1501"/>
      <c r="E66" s="1501"/>
      <c r="F66" s="1501"/>
      <c r="G66" s="1501"/>
      <c r="H66" s="1501"/>
      <c r="I66" s="1501"/>
      <c r="J66" s="1501"/>
      <c r="K66" s="1501"/>
      <c r="L66" s="1501"/>
      <c r="M66" s="1501"/>
      <c r="N66" s="1501"/>
      <c r="O66" s="1501"/>
      <c r="P66" s="1501"/>
      <c r="Q66" s="1501"/>
      <c r="R66" s="1501"/>
      <c r="S66" s="1501"/>
    </row>
    <row r="67" spans="1:19">
      <c r="A67" s="1501"/>
      <c r="B67" s="1501"/>
      <c r="C67" s="1501"/>
      <c r="D67" s="1501"/>
      <c r="E67" s="1501"/>
      <c r="F67" s="1501"/>
      <c r="G67" s="1501"/>
      <c r="H67" s="1501"/>
      <c r="I67" s="1501"/>
      <c r="J67" s="1501"/>
      <c r="K67" s="1501"/>
      <c r="L67" s="1501"/>
      <c r="M67" s="1501"/>
      <c r="N67" s="1501"/>
      <c r="O67" s="1501"/>
      <c r="P67" s="1501"/>
      <c r="Q67" s="1501"/>
      <c r="R67" s="1501"/>
      <c r="S67" s="1501"/>
    </row>
    <row r="68" spans="1:19" ht="12.75" customHeight="1">
      <c r="A68" s="1501" t="s">
        <v>4582</v>
      </c>
      <c r="B68" s="1501"/>
      <c r="C68" s="1501"/>
      <c r="D68" s="1501"/>
      <c r="E68" s="1501"/>
      <c r="F68" s="1501"/>
      <c r="G68" s="1501"/>
      <c r="H68" s="1501"/>
      <c r="I68" s="1501"/>
      <c r="J68" s="1501"/>
      <c r="K68" s="1501"/>
      <c r="L68" s="1501"/>
      <c r="M68" s="1501"/>
      <c r="N68" s="1501"/>
      <c r="O68" s="1501"/>
      <c r="P68" s="1501"/>
      <c r="Q68" s="1501"/>
      <c r="R68" s="1501"/>
      <c r="S68" s="1501"/>
    </row>
    <row r="69" spans="1:19" ht="12.75" customHeight="1">
      <c r="A69" s="1501"/>
      <c r="B69" s="1501"/>
      <c r="C69" s="1501"/>
      <c r="D69" s="1501"/>
      <c r="E69" s="1501"/>
      <c r="F69" s="1501"/>
      <c r="G69" s="1501"/>
      <c r="H69" s="1501"/>
      <c r="I69" s="1501"/>
      <c r="J69" s="1501"/>
      <c r="K69" s="1501"/>
      <c r="L69" s="1501"/>
      <c r="M69" s="1501"/>
      <c r="N69" s="1501"/>
      <c r="O69" s="1501"/>
      <c r="P69" s="1501"/>
      <c r="Q69" s="1501"/>
      <c r="R69" s="1501"/>
      <c r="S69" s="1501"/>
    </row>
    <row r="70" spans="1:19" ht="12.75" customHeight="1">
      <c r="A70" s="1501"/>
      <c r="B70" s="1501"/>
      <c r="C70" s="1501"/>
      <c r="D70" s="1501"/>
      <c r="E70" s="1501"/>
      <c r="F70" s="1501"/>
      <c r="G70" s="1501"/>
      <c r="H70" s="1501"/>
      <c r="I70" s="1501"/>
      <c r="J70" s="1501"/>
      <c r="K70" s="1501"/>
      <c r="L70" s="1501"/>
      <c r="M70" s="1501"/>
      <c r="N70" s="1501"/>
      <c r="O70" s="1501"/>
      <c r="P70" s="1501"/>
      <c r="Q70" s="1501"/>
      <c r="R70" s="1501"/>
      <c r="S70" s="1501"/>
    </row>
    <row r="71" spans="1:19">
      <c r="A71" s="1501"/>
      <c r="B71" s="1501"/>
      <c r="C71" s="1501"/>
      <c r="D71" s="1501"/>
      <c r="E71" s="1501"/>
      <c r="F71" s="1501"/>
      <c r="G71" s="1501"/>
      <c r="H71" s="1501"/>
      <c r="I71" s="1501"/>
      <c r="J71" s="1501"/>
      <c r="K71" s="1501"/>
      <c r="L71" s="1501"/>
      <c r="M71" s="1501"/>
      <c r="N71" s="1501"/>
      <c r="O71" s="1501"/>
      <c r="P71" s="1501"/>
      <c r="Q71" s="1501"/>
      <c r="R71" s="1501"/>
      <c r="S71" s="1501"/>
    </row>
    <row r="72" spans="1:19" ht="12.75" customHeight="1">
      <c r="A72" s="1501" t="s">
        <v>4583</v>
      </c>
      <c r="B72" s="1501"/>
      <c r="C72" s="1501"/>
      <c r="D72" s="1501"/>
      <c r="E72" s="1501"/>
      <c r="F72" s="1501"/>
      <c r="G72" s="1501"/>
      <c r="H72" s="1501"/>
      <c r="I72" s="1501"/>
      <c r="J72" s="1501"/>
      <c r="K72" s="1501"/>
      <c r="L72" s="1501"/>
      <c r="M72" s="1501"/>
      <c r="N72" s="1501"/>
      <c r="O72" s="1501"/>
      <c r="P72" s="1501"/>
      <c r="Q72" s="1501"/>
      <c r="R72" s="1501"/>
      <c r="S72" s="1501"/>
    </row>
    <row r="73" spans="1:19">
      <c r="A73" s="1501"/>
      <c r="B73" s="1501"/>
      <c r="C73" s="1501"/>
      <c r="D73" s="1501"/>
      <c r="E73" s="1501"/>
      <c r="F73" s="1501"/>
      <c r="G73" s="1501"/>
      <c r="H73" s="1501"/>
      <c r="I73" s="1501"/>
      <c r="J73" s="1501"/>
      <c r="K73" s="1501"/>
      <c r="L73" s="1501"/>
      <c r="M73" s="1501"/>
      <c r="N73" s="1501"/>
      <c r="O73" s="1501"/>
      <c r="P73" s="1501"/>
      <c r="Q73" s="1501"/>
      <c r="R73" s="1501"/>
      <c r="S73" s="1501"/>
    </row>
    <row r="74" spans="1:19">
      <c r="A74" s="1501"/>
      <c r="B74" s="1501"/>
      <c r="C74" s="1501"/>
      <c r="D74" s="1501"/>
      <c r="E74" s="1501"/>
      <c r="F74" s="1501"/>
      <c r="G74" s="1501"/>
      <c r="H74" s="1501"/>
      <c r="I74" s="1501"/>
      <c r="J74" s="1501"/>
      <c r="K74" s="1501"/>
      <c r="L74" s="1501"/>
      <c r="M74" s="1501"/>
      <c r="N74" s="1501"/>
      <c r="O74" s="1501"/>
      <c r="P74" s="1501"/>
      <c r="Q74" s="1501"/>
      <c r="R74" s="1501"/>
      <c r="S74" s="1501"/>
    </row>
    <row r="75" spans="1:19">
      <c r="A75" s="1501"/>
      <c r="B75" s="1501"/>
      <c r="C75" s="1501"/>
      <c r="D75" s="1501"/>
      <c r="E75" s="1501"/>
      <c r="F75" s="1501"/>
      <c r="G75" s="1501"/>
      <c r="H75" s="1501"/>
      <c r="I75" s="1501"/>
      <c r="J75" s="1501"/>
      <c r="K75" s="1501"/>
      <c r="L75" s="1501"/>
      <c r="M75" s="1501"/>
      <c r="N75" s="1501"/>
      <c r="O75" s="1501"/>
      <c r="P75" s="1501"/>
      <c r="Q75" s="1501"/>
      <c r="R75" s="1501"/>
      <c r="S75" s="1501"/>
    </row>
    <row r="76" spans="1:19">
      <c r="A76" s="1501"/>
      <c r="B76" s="1501"/>
      <c r="C76" s="1501"/>
      <c r="D76" s="1501"/>
      <c r="E76" s="1501"/>
      <c r="F76" s="1501"/>
      <c r="G76" s="1501"/>
      <c r="H76" s="1501"/>
      <c r="I76" s="1501"/>
      <c r="J76" s="1501"/>
      <c r="K76" s="1501"/>
      <c r="L76" s="1501"/>
      <c r="M76" s="1501"/>
      <c r="N76" s="1501"/>
      <c r="O76" s="1501"/>
      <c r="P76" s="1501"/>
      <c r="Q76" s="1501"/>
      <c r="R76" s="1501"/>
      <c r="S76" s="1501"/>
    </row>
    <row r="77" spans="1:19">
      <c r="A77" s="1501"/>
      <c r="B77" s="1501"/>
      <c r="C77" s="1501"/>
      <c r="D77" s="1501"/>
      <c r="E77" s="1501"/>
      <c r="F77" s="1501"/>
      <c r="G77" s="1501"/>
      <c r="H77" s="1501"/>
      <c r="I77" s="1501"/>
      <c r="J77" s="1501"/>
      <c r="K77" s="1501"/>
      <c r="L77" s="1501"/>
      <c r="M77" s="1501"/>
      <c r="N77" s="1501"/>
      <c r="O77" s="1501"/>
      <c r="P77" s="1501"/>
      <c r="Q77" s="1501"/>
      <c r="R77" s="1501"/>
      <c r="S77" s="1501"/>
    </row>
    <row r="78" spans="1:19" ht="12.75" customHeight="1">
      <c r="A78" s="1501" t="s">
        <v>4584</v>
      </c>
      <c r="B78" s="1501"/>
      <c r="C78" s="1501"/>
      <c r="D78" s="1501"/>
      <c r="E78" s="1501"/>
      <c r="F78" s="1501"/>
      <c r="G78" s="1501"/>
      <c r="H78" s="1501"/>
      <c r="I78" s="1501"/>
      <c r="J78" s="1501"/>
      <c r="K78" s="1501"/>
      <c r="L78" s="1501"/>
      <c r="M78" s="1501"/>
      <c r="N78" s="1501"/>
      <c r="O78" s="1501"/>
      <c r="P78" s="1501"/>
      <c r="Q78" s="1501"/>
      <c r="R78" s="1501"/>
      <c r="S78" s="1501"/>
    </row>
    <row r="79" spans="1:19" ht="12.75" customHeight="1">
      <c r="A79" s="1501"/>
      <c r="B79" s="1501"/>
      <c r="C79" s="1501"/>
      <c r="D79" s="1501"/>
      <c r="E79" s="1501"/>
      <c r="F79" s="1501"/>
      <c r="G79" s="1501"/>
      <c r="H79" s="1501"/>
      <c r="I79" s="1501"/>
      <c r="J79" s="1501"/>
      <c r="K79" s="1501"/>
      <c r="L79" s="1501"/>
      <c r="M79" s="1501"/>
      <c r="N79" s="1501"/>
      <c r="O79" s="1501"/>
      <c r="P79" s="1501"/>
      <c r="Q79" s="1501"/>
      <c r="R79" s="1501"/>
      <c r="S79" s="1501"/>
    </row>
    <row r="80" spans="1:19" ht="12.75" customHeight="1">
      <c r="A80" s="1501"/>
      <c r="B80" s="1501"/>
      <c r="C80" s="1501"/>
      <c r="D80" s="1501"/>
      <c r="E80" s="1501"/>
      <c r="F80" s="1501"/>
      <c r="G80" s="1501"/>
      <c r="H80" s="1501"/>
      <c r="I80" s="1501"/>
      <c r="J80" s="1501"/>
      <c r="K80" s="1501"/>
      <c r="L80" s="1501"/>
      <c r="M80" s="1501"/>
      <c r="N80" s="1501"/>
      <c r="O80" s="1501"/>
      <c r="P80" s="1501"/>
      <c r="Q80" s="1501"/>
      <c r="R80" s="1501"/>
      <c r="S80" s="1501"/>
    </row>
    <row r="81" spans="1:19" ht="12.75" customHeight="1">
      <c r="A81" s="1501"/>
      <c r="B81" s="1501"/>
      <c r="C81" s="1501"/>
      <c r="D81" s="1501"/>
      <c r="E81" s="1501"/>
      <c r="F81" s="1501"/>
      <c r="G81" s="1501"/>
      <c r="H81" s="1501"/>
      <c r="I81" s="1501"/>
      <c r="J81" s="1501"/>
      <c r="K81" s="1501"/>
      <c r="L81" s="1501"/>
      <c r="M81" s="1501"/>
      <c r="N81" s="1501"/>
      <c r="O81" s="1501"/>
      <c r="P81" s="1501"/>
      <c r="Q81" s="1501"/>
      <c r="R81" s="1501"/>
      <c r="S81" s="1501"/>
    </row>
    <row r="82" spans="1:19" ht="12.75" customHeight="1">
      <c r="A82" s="1501"/>
      <c r="B82" s="1501"/>
      <c r="C82" s="1501"/>
      <c r="D82" s="1501"/>
      <c r="E82" s="1501"/>
      <c r="F82" s="1501"/>
      <c r="G82" s="1501"/>
      <c r="H82" s="1501"/>
      <c r="I82" s="1501"/>
      <c r="J82" s="1501"/>
      <c r="K82" s="1501"/>
      <c r="L82" s="1501"/>
      <c r="M82" s="1501"/>
      <c r="N82" s="1501"/>
      <c r="O82" s="1501"/>
      <c r="P82" s="1501"/>
      <c r="Q82" s="1501"/>
      <c r="R82" s="1501"/>
      <c r="S82" s="1501"/>
    </row>
    <row r="83" spans="1:19" ht="12.75" customHeight="1">
      <c r="A83" s="1501"/>
      <c r="B83" s="1501"/>
      <c r="C83" s="1501"/>
      <c r="D83" s="1501"/>
      <c r="E83" s="1501"/>
      <c r="F83" s="1501"/>
      <c r="G83" s="1501"/>
      <c r="H83" s="1501"/>
      <c r="I83" s="1501"/>
      <c r="J83" s="1501"/>
      <c r="K83" s="1501"/>
      <c r="L83" s="1501"/>
      <c r="M83" s="1501"/>
      <c r="N83" s="1501"/>
      <c r="O83" s="1501"/>
      <c r="P83" s="1501"/>
      <c r="Q83" s="1501"/>
      <c r="R83" s="1501"/>
      <c r="S83" s="1501"/>
    </row>
    <row r="84" spans="1:19" ht="12.75" customHeight="1">
      <c r="A84" s="1501"/>
      <c r="B84" s="1501"/>
      <c r="C84" s="1501"/>
      <c r="D84" s="1501"/>
      <c r="E84" s="1501"/>
      <c r="F84" s="1501"/>
      <c r="G84" s="1501"/>
      <c r="H84" s="1501"/>
      <c r="I84" s="1501"/>
      <c r="J84" s="1501"/>
      <c r="K84" s="1501"/>
      <c r="L84" s="1501"/>
      <c r="M84" s="1501"/>
      <c r="N84" s="1501"/>
      <c r="O84" s="1501"/>
      <c r="P84" s="1501"/>
      <c r="Q84" s="1501"/>
      <c r="R84" s="1501"/>
      <c r="S84" s="1501"/>
    </row>
    <row r="85" spans="1:19" ht="12.75" customHeight="1">
      <c r="A85" s="1501"/>
      <c r="B85" s="1501"/>
      <c r="C85" s="1501"/>
      <c r="D85" s="1501"/>
      <c r="E85" s="1501"/>
      <c r="F85" s="1501"/>
      <c r="G85" s="1501"/>
      <c r="H85" s="1501"/>
      <c r="I85" s="1501"/>
      <c r="J85" s="1501"/>
      <c r="K85" s="1501"/>
      <c r="L85" s="1501"/>
      <c r="M85" s="1501"/>
      <c r="N85" s="1501"/>
      <c r="O85" s="1501"/>
      <c r="P85" s="1501"/>
      <c r="Q85" s="1501"/>
      <c r="R85" s="1501"/>
      <c r="S85" s="1501"/>
    </row>
    <row r="86" spans="1:19">
      <c r="A86" s="1501"/>
      <c r="B86" s="1501"/>
      <c r="C86" s="1501"/>
      <c r="D86" s="1501"/>
      <c r="E86" s="1501"/>
      <c r="F86" s="1501"/>
      <c r="G86" s="1501"/>
      <c r="H86" s="1501"/>
      <c r="I86" s="1501"/>
      <c r="J86" s="1501"/>
      <c r="K86" s="1501"/>
      <c r="L86" s="1501"/>
      <c r="M86" s="1501"/>
      <c r="N86" s="1501"/>
      <c r="O86" s="1501"/>
      <c r="P86" s="1501"/>
      <c r="Q86" s="1501"/>
      <c r="R86" s="1501"/>
      <c r="S86" s="1501"/>
    </row>
    <row r="87" spans="1:19">
      <c r="A87" s="1501"/>
      <c r="B87" s="1501"/>
      <c r="C87" s="1501"/>
      <c r="D87" s="1501"/>
      <c r="E87" s="1501"/>
      <c r="F87" s="1501"/>
      <c r="G87" s="1501"/>
      <c r="H87" s="1501"/>
      <c r="I87" s="1501"/>
      <c r="J87" s="1501"/>
      <c r="K87" s="1501"/>
      <c r="L87" s="1501"/>
      <c r="M87" s="1501"/>
      <c r="N87" s="1501"/>
      <c r="O87" s="1501"/>
      <c r="P87" s="1501"/>
      <c r="Q87" s="1501"/>
      <c r="R87" s="1501"/>
      <c r="S87" s="1501"/>
    </row>
    <row r="88" spans="1:19">
      <c r="A88" s="1501"/>
      <c r="B88" s="1501"/>
      <c r="C88" s="1501"/>
      <c r="D88" s="1501"/>
      <c r="E88" s="1501"/>
      <c r="F88" s="1501"/>
      <c r="G88" s="1501"/>
      <c r="H88" s="1501"/>
      <c r="I88" s="1501"/>
      <c r="J88" s="1501"/>
      <c r="K88" s="1501"/>
      <c r="L88" s="1501"/>
      <c r="M88" s="1501"/>
      <c r="N88" s="1501"/>
      <c r="O88" s="1501"/>
      <c r="P88" s="1501"/>
      <c r="Q88" s="1501"/>
      <c r="R88" s="1501"/>
      <c r="S88" s="1501"/>
    </row>
    <row r="89" spans="1:19" ht="12.75" customHeight="1">
      <c r="A89" s="1287" t="s">
        <v>4585</v>
      </c>
      <c r="B89" s="1216"/>
      <c r="C89" s="1216"/>
      <c r="D89" s="1216"/>
      <c r="E89" s="1216"/>
      <c r="F89" s="1216"/>
      <c r="G89" s="1216"/>
      <c r="H89" s="1216"/>
      <c r="I89" s="1216"/>
      <c r="J89" s="1216"/>
      <c r="K89" s="1216"/>
      <c r="L89" s="1216"/>
      <c r="M89" s="1216"/>
      <c r="N89" s="1216"/>
      <c r="O89" s="1216"/>
      <c r="P89" s="1216"/>
      <c r="Q89" s="1216"/>
      <c r="R89" s="1216"/>
      <c r="S89" s="1216"/>
    </row>
    <row r="90" spans="1:19">
      <c r="A90" s="1216"/>
      <c r="B90" s="1216"/>
      <c r="C90" s="1216"/>
      <c r="D90" s="1216"/>
      <c r="E90" s="1216"/>
      <c r="F90" s="1216"/>
      <c r="G90" s="1216"/>
      <c r="H90" s="1216"/>
      <c r="I90" s="1216"/>
      <c r="J90" s="1216"/>
      <c r="K90" s="1216"/>
      <c r="L90" s="1216"/>
      <c r="M90" s="1216"/>
      <c r="N90" s="1216"/>
      <c r="O90" s="1216"/>
      <c r="P90" s="1216"/>
      <c r="Q90" s="1216"/>
      <c r="R90" s="1216"/>
      <c r="S90" s="1216"/>
    </row>
    <row r="91" spans="1:19">
      <c r="A91" s="1216"/>
      <c r="B91" s="1216"/>
      <c r="C91" s="1216"/>
      <c r="D91" s="1216"/>
      <c r="E91" s="1216"/>
      <c r="F91" s="1216"/>
      <c r="G91" s="1216"/>
      <c r="H91" s="1216"/>
      <c r="I91" s="1216"/>
      <c r="J91" s="1216"/>
      <c r="K91" s="1216"/>
      <c r="L91" s="1216"/>
      <c r="M91" s="1216"/>
      <c r="N91" s="1216"/>
      <c r="O91" s="1216"/>
      <c r="P91" s="1216"/>
      <c r="Q91" s="1216"/>
      <c r="R91" s="1216"/>
      <c r="S91" s="1216"/>
    </row>
    <row r="92" spans="1:19">
      <c r="A92" s="1216"/>
      <c r="B92" s="1216"/>
      <c r="C92" s="1216"/>
      <c r="D92" s="1216"/>
      <c r="E92" s="1216"/>
      <c r="F92" s="1216"/>
      <c r="G92" s="1216"/>
      <c r="H92" s="1216"/>
      <c r="I92" s="1216"/>
      <c r="J92" s="1216"/>
      <c r="K92" s="1216"/>
      <c r="L92" s="1216"/>
      <c r="M92" s="1216"/>
      <c r="N92" s="1216"/>
      <c r="O92" s="1216"/>
      <c r="P92" s="1216"/>
      <c r="Q92" s="1216"/>
      <c r="R92" s="1216"/>
      <c r="S92" s="1216"/>
    </row>
    <row r="93" spans="1:19" ht="12.75" customHeight="1">
      <c r="A93" s="1287" t="s">
        <v>4586</v>
      </c>
      <c r="B93" s="1216"/>
      <c r="C93" s="1216"/>
      <c r="D93" s="1216"/>
      <c r="E93" s="1216"/>
      <c r="F93" s="1216"/>
      <c r="G93" s="1216"/>
      <c r="H93" s="1216"/>
      <c r="I93" s="1216"/>
      <c r="J93" s="1216"/>
      <c r="K93" s="1216"/>
      <c r="L93" s="1216"/>
      <c r="M93" s="1216"/>
      <c r="N93" s="1216"/>
      <c r="O93" s="1216"/>
      <c r="P93" s="1216"/>
      <c r="Q93" s="1216"/>
      <c r="R93" s="1216"/>
      <c r="S93" s="1216"/>
    </row>
    <row r="94" spans="1:19">
      <c r="A94" s="1216"/>
      <c r="B94" s="1216"/>
      <c r="C94" s="1216"/>
      <c r="D94" s="1216"/>
      <c r="E94" s="1216"/>
      <c r="F94" s="1216"/>
      <c r="G94" s="1216"/>
      <c r="H94" s="1216"/>
      <c r="I94" s="1216"/>
      <c r="J94" s="1216"/>
      <c r="K94" s="1216"/>
      <c r="L94" s="1216"/>
      <c r="M94" s="1216"/>
      <c r="N94" s="1216"/>
      <c r="O94" s="1216"/>
      <c r="P94" s="1216"/>
      <c r="Q94" s="1216"/>
      <c r="R94" s="1216"/>
      <c r="S94" s="1216"/>
    </row>
    <row r="95" spans="1:19">
      <c r="A95" s="1216"/>
      <c r="B95" s="1216"/>
      <c r="C95" s="1216"/>
      <c r="D95" s="1216"/>
      <c r="E95" s="1216"/>
      <c r="F95" s="1216"/>
      <c r="G95" s="1216"/>
      <c r="H95" s="1216"/>
      <c r="I95" s="1216"/>
      <c r="J95" s="1216"/>
      <c r="K95" s="1216"/>
      <c r="L95" s="1216"/>
      <c r="M95" s="1216"/>
      <c r="N95" s="1216"/>
      <c r="O95" s="1216"/>
      <c r="P95" s="1216"/>
      <c r="Q95" s="1216"/>
      <c r="R95" s="1216"/>
      <c r="S95" s="1216"/>
    </row>
    <row r="96" spans="1:19" ht="12" customHeight="1">
      <c r="A96" s="1287" t="s">
        <v>4587</v>
      </c>
      <c r="B96" s="1216"/>
      <c r="C96" s="1216"/>
      <c r="D96" s="1216"/>
      <c r="E96" s="1216"/>
      <c r="F96" s="1216"/>
      <c r="G96" s="1216"/>
      <c r="H96" s="1216"/>
      <c r="I96" s="1216"/>
      <c r="J96" s="1216"/>
      <c r="K96" s="1216"/>
      <c r="L96" s="1216"/>
      <c r="M96" s="1216"/>
      <c r="N96" s="1216"/>
      <c r="O96" s="1216"/>
      <c r="P96" s="1216"/>
      <c r="Q96" s="1216"/>
      <c r="R96" s="1216"/>
      <c r="S96" s="1216"/>
    </row>
    <row r="97" spans="1:19" ht="12" customHeight="1">
      <c r="A97" s="1216"/>
      <c r="B97" s="1216"/>
      <c r="C97" s="1216"/>
      <c r="D97" s="1216"/>
      <c r="E97" s="1216"/>
      <c r="F97" s="1216"/>
      <c r="G97" s="1216"/>
      <c r="H97" s="1216"/>
      <c r="I97" s="1216"/>
      <c r="J97" s="1216"/>
      <c r="K97" s="1216"/>
      <c r="L97" s="1216"/>
      <c r="M97" s="1216"/>
      <c r="N97" s="1216"/>
      <c r="O97" s="1216"/>
      <c r="P97" s="1216"/>
      <c r="Q97" s="1216"/>
      <c r="R97" s="1216"/>
      <c r="S97" s="1216"/>
    </row>
    <row r="98" spans="1:19" ht="12" customHeight="1">
      <c r="A98" s="1216"/>
      <c r="B98" s="1216"/>
      <c r="C98" s="1216"/>
      <c r="D98" s="1216"/>
      <c r="E98" s="1216"/>
      <c r="F98" s="1216"/>
      <c r="G98" s="1216"/>
      <c r="H98" s="1216"/>
      <c r="I98" s="1216"/>
      <c r="J98" s="1216"/>
      <c r="K98" s="1216"/>
      <c r="L98" s="1216"/>
      <c r="M98" s="1216"/>
      <c r="N98" s="1216"/>
      <c r="O98" s="1216"/>
      <c r="P98" s="1216"/>
      <c r="Q98" s="1216"/>
      <c r="R98" s="1216"/>
      <c r="S98" s="1216"/>
    </row>
    <row r="99" spans="1:19" ht="12" customHeight="1">
      <c r="A99" s="1216"/>
      <c r="B99" s="1216"/>
      <c r="C99" s="1216"/>
      <c r="D99" s="1216"/>
      <c r="E99" s="1216"/>
      <c r="F99" s="1216"/>
      <c r="G99" s="1216"/>
      <c r="H99" s="1216"/>
      <c r="I99" s="1216"/>
      <c r="J99" s="1216"/>
      <c r="K99" s="1216"/>
      <c r="L99" s="1216"/>
      <c r="M99" s="1216"/>
      <c r="N99" s="1216"/>
      <c r="O99" s="1216"/>
      <c r="P99" s="1216"/>
      <c r="Q99" s="1216"/>
      <c r="R99" s="1216"/>
      <c r="S99" s="1216"/>
    </row>
    <row r="100" spans="1:19" ht="12.75" customHeight="1">
      <c r="A100" s="1287" t="s">
        <v>4588</v>
      </c>
      <c r="B100" s="1216"/>
      <c r="C100" s="1216"/>
      <c r="D100" s="1216"/>
      <c r="E100" s="1216"/>
      <c r="F100" s="1216"/>
      <c r="G100" s="1216"/>
      <c r="H100" s="1216"/>
      <c r="I100" s="1216"/>
      <c r="J100" s="1216"/>
      <c r="K100" s="1216"/>
      <c r="L100" s="1216"/>
      <c r="M100" s="1216"/>
      <c r="N100" s="1216"/>
      <c r="O100" s="1216"/>
      <c r="P100" s="1216"/>
      <c r="Q100" s="1216"/>
      <c r="R100" s="1216"/>
      <c r="S100" s="1216"/>
    </row>
    <row r="101" spans="1:19">
      <c r="A101" s="1216"/>
      <c r="B101" s="1216"/>
      <c r="C101" s="1216"/>
      <c r="D101" s="1216"/>
      <c r="E101" s="1216"/>
      <c r="F101" s="1216"/>
      <c r="G101" s="1216"/>
      <c r="H101" s="1216"/>
      <c r="I101" s="1216"/>
      <c r="J101" s="1216"/>
      <c r="K101" s="1216"/>
      <c r="L101" s="1216"/>
      <c r="M101" s="1216"/>
      <c r="N101" s="1216"/>
      <c r="O101" s="1216"/>
      <c r="P101" s="1216"/>
      <c r="Q101" s="1216"/>
      <c r="R101" s="1216"/>
      <c r="S101" s="1216"/>
    </row>
    <row r="102" spans="1:19">
      <c r="A102" s="1216"/>
      <c r="B102" s="1216"/>
      <c r="C102" s="1216"/>
      <c r="D102" s="1216"/>
      <c r="E102" s="1216"/>
      <c r="F102" s="1216"/>
      <c r="G102" s="1216"/>
      <c r="H102" s="1216"/>
      <c r="I102" s="1216"/>
      <c r="J102" s="1216"/>
      <c r="K102" s="1216"/>
      <c r="L102" s="1216"/>
      <c r="M102" s="1216"/>
      <c r="N102" s="1216"/>
      <c r="O102" s="1216"/>
      <c r="P102" s="1216"/>
      <c r="Q102" s="1216"/>
      <c r="R102" s="1216"/>
      <c r="S102" s="1216"/>
    </row>
    <row r="103" spans="1:19">
      <c r="B103" s="99"/>
      <c r="C103" s="99"/>
      <c r="D103" s="99"/>
      <c r="E103" s="99"/>
      <c r="F103" s="99"/>
      <c r="G103" s="99"/>
      <c r="H103" s="99"/>
      <c r="I103" s="99"/>
      <c r="J103" s="99"/>
      <c r="K103" s="99"/>
      <c r="L103" s="99"/>
      <c r="M103" s="99"/>
      <c r="N103" s="99"/>
      <c r="O103" s="99"/>
      <c r="P103" s="99"/>
      <c r="Q103" s="99"/>
      <c r="R103" s="99"/>
      <c r="S103" s="99"/>
    </row>
    <row r="104" spans="1:19" ht="12.75" customHeight="1">
      <c r="B104" s="1780"/>
      <c r="C104" s="1780"/>
      <c r="D104" s="1780"/>
      <c r="E104" s="1780" t="s">
        <v>4267</v>
      </c>
      <c r="F104" s="1780"/>
      <c r="G104" s="1780" t="s">
        <v>4268</v>
      </c>
      <c r="H104" s="1780"/>
      <c r="I104" s="1780"/>
      <c r="J104" s="1780"/>
      <c r="K104" s="1780"/>
      <c r="L104" s="1780" t="s">
        <v>4269</v>
      </c>
      <c r="M104" s="1780"/>
      <c r="N104" s="1780"/>
      <c r="O104" s="1780"/>
      <c r="P104" s="1780"/>
      <c r="Q104" s="1780"/>
      <c r="R104" s="1738" t="s">
        <v>4270</v>
      </c>
      <c r="S104" s="1738"/>
    </row>
    <row r="105" spans="1:19">
      <c r="B105" s="1780"/>
      <c r="C105" s="1780"/>
      <c r="D105" s="1780"/>
      <c r="E105" s="1786" t="s">
        <v>4590</v>
      </c>
      <c r="F105" s="1780"/>
      <c r="G105" s="1780"/>
      <c r="H105" s="1780"/>
      <c r="I105" s="1780"/>
      <c r="J105" s="1780"/>
      <c r="K105" s="1780"/>
      <c r="L105" s="1780"/>
      <c r="M105" s="1780"/>
      <c r="N105" s="1780"/>
      <c r="O105" s="1780"/>
      <c r="P105" s="1780"/>
      <c r="Q105" s="1780"/>
      <c r="R105" s="1738"/>
      <c r="S105" s="1738"/>
    </row>
    <row r="106" spans="1:19">
      <c r="B106" s="1782" t="s">
        <v>4271</v>
      </c>
      <c r="C106" s="1782"/>
      <c r="D106" s="1782"/>
      <c r="E106" s="1780">
        <v>115</v>
      </c>
      <c r="F106" s="1779" t="s">
        <v>4591</v>
      </c>
      <c r="G106" s="1779"/>
      <c r="H106" s="1779"/>
      <c r="I106" s="1779"/>
      <c r="J106" s="1779"/>
      <c r="K106" s="1779"/>
      <c r="L106" s="1779" t="s">
        <v>4589</v>
      </c>
      <c r="M106" s="1779"/>
      <c r="N106" s="1779"/>
      <c r="O106" s="1779"/>
      <c r="P106" s="1779"/>
      <c r="Q106" s="1779"/>
      <c r="R106" s="1780">
        <v>699.58</v>
      </c>
      <c r="S106" s="1780"/>
    </row>
    <row r="107" spans="1:19">
      <c r="B107" s="1782"/>
      <c r="C107" s="1782"/>
      <c r="D107" s="1782"/>
      <c r="E107" s="1780"/>
      <c r="F107" s="1779"/>
      <c r="G107" s="1779"/>
      <c r="H107" s="1779"/>
      <c r="I107" s="1779"/>
      <c r="J107" s="1779"/>
      <c r="K107" s="1779"/>
      <c r="L107" s="1779"/>
      <c r="M107" s="1779"/>
      <c r="N107" s="1779"/>
      <c r="O107" s="1779"/>
      <c r="P107" s="1779"/>
      <c r="Q107" s="1779"/>
      <c r="R107" s="1780"/>
      <c r="S107" s="1780"/>
    </row>
    <row r="108" spans="1:19">
      <c r="B108" s="1738" t="s">
        <v>4274</v>
      </c>
      <c r="C108" s="1738"/>
      <c r="D108" s="1738"/>
      <c r="E108" s="1771">
        <v>170</v>
      </c>
      <c r="F108" s="1779" t="s">
        <v>4592</v>
      </c>
      <c r="G108" s="1779"/>
      <c r="H108" s="1779"/>
      <c r="I108" s="1779"/>
      <c r="J108" s="1779"/>
      <c r="K108" s="1779"/>
      <c r="L108" s="1782" t="s">
        <v>4276</v>
      </c>
      <c r="M108" s="1782"/>
      <c r="N108" s="1782"/>
      <c r="O108" s="1782"/>
      <c r="P108" s="1782"/>
      <c r="Q108" s="1782"/>
      <c r="R108" s="1785">
        <v>1034.1600000000001</v>
      </c>
      <c r="S108" s="1785"/>
    </row>
    <row r="109" spans="1:19">
      <c r="B109" s="1738"/>
      <c r="C109" s="1738"/>
      <c r="D109" s="1738"/>
      <c r="E109" s="1771"/>
      <c r="F109" s="1779"/>
      <c r="G109" s="1779"/>
      <c r="H109" s="1779"/>
      <c r="I109" s="1779"/>
      <c r="J109" s="1779"/>
      <c r="K109" s="1779"/>
      <c r="L109" s="1782"/>
      <c r="M109" s="1782"/>
      <c r="N109" s="1782"/>
      <c r="O109" s="1782"/>
      <c r="P109" s="1782"/>
      <c r="Q109" s="1782"/>
      <c r="R109" s="1785"/>
      <c r="S109" s="1785"/>
    </row>
    <row r="110" spans="1:19">
      <c r="B110" s="1784" t="s">
        <v>4277</v>
      </c>
      <c r="C110" s="1784"/>
      <c r="D110" s="1784"/>
      <c r="E110" s="1738" t="s">
        <v>4278</v>
      </c>
      <c r="F110" s="1738"/>
      <c r="G110" s="1738"/>
      <c r="H110" s="1738"/>
      <c r="I110" s="1738"/>
      <c r="J110" s="1738"/>
      <c r="K110" s="1738"/>
      <c r="L110" s="1738"/>
      <c r="M110" s="1738"/>
      <c r="N110" s="1738"/>
      <c r="O110" s="1738"/>
      <c r="P110" s="1738"/>
      <c r="Q110" s="1738"/>
      <c r="R110" s="1780">
        <v>334.58</v>
      </c>
      <c r="S110" s="1780"/>
    </row>
    <row r="111" spans="1:19">
      <c r="B111" s="1784"/>
      <c r="C111" s="1784"/>
      <c r="D111" s="1784"/>
      <c r="E111" s="1738"/>
      <c r="F111" s="1738"/>
      <c r="G111" s="1738"/>
      <c r="H111" s="1738"/>
      <c r="I111" s="1738"/>
      <c r="J111" s="1738"/>
      <c r="K111" s="1738"/>
      <c r="L111" s="1738"/>
      <c r="M111" s="1738"/>
      <c r="N111" s="1738"/>
      <c r="O111" s="1738"/>
      <c r="P111" s="1738"/>
      <c r="Q111" s="1738"/>
      <c r="R111" s="1780"/>
      <c r="S111" s="1780"/>
    </row>
    <row r="114" spans="1:19" ht="12.75" customHeight="1">
      <c r="A114" s="1287" t="s">
        <v>4593</v>
      </c>
      <c r="B114" s="1216"/>
      <c r="C114" s="1216"/>
      <c r="D114" s="1216"/>
      <c r="E114" s="1216"/>
      <c r="F114" s="1216"/>
      <c r="G114" s="1216"/>
      <c r="H114" s="1216"/>
      <c r="I114" s="1216"/>
      <c r="J114" s="1216"/>
      <c r="K114" s="1216"/>
      <c r="L114" s="1216"/>
      <c r="M114" s="1216"/>
      <c r="N114" s="1216"/>
      <c r="O114" s="1216"/>
      <c r="P114" s="1216"/>
      <c r="Q114" s="1216"/>
      <c r="R114" s="1216"/>
      <c r="S114" s="1216"/>
    </row>
    <row r="115" spans="1:19">
      <c r="A115" s="1216"/>
      <c r="B115" s="1216"/>
      <c r="C115" s="1216"/>
      <c r="D115" s="1216"/>
      <c r="E115" s="1216"/>
      <c r="F115" s="1216"/>
      <c r="G115" s="1216"/>
      <c r="H115" s="1216"/>
      <c r="I115" s="1216"/>
      <c r="J115" s="1216"/>
      <c r="K115" s="1216"/>
      <c r="L115" s="1216"/>
      <c r="M115" s="1216"/>
      <c r="N115" s="1216"/>
      <c r="O115" s="1216"/>
      <c r="P115" s="1216"/>
      <c r="Q115" s="1216"/>
      <c r="R115" s="1216"/>
      <c r="S115" s="1216"/>
    </row>
    <row r="116" spans="1:19">
      <c r="A116" s="1216"/>
      <c r="B116" s="1216"/>
      <c r="C116" s="1216"/>
      <c r="D116" s="1216"/>
      <c r="E116" s="1216"/>
      <c r="F116" s="1216"/>
      <c r="G116" s="1216"/>
      <c r="H116" s="1216"/>
      <c r="I116" s="1216"/>
      <c r="J116" s="1216"/>
      <c r="K116" s="1216"/>
      <c r="L116" s="1216"/>
      <c r="M116" s="1216"/>
      <c r="N116" s="1216"/>
      <c r="O116" s="1216"/>
      <c r="P116" s="1216"/>
      <c r="Q116" s="1216"/>
      <c r="R116" s="1216"/>
      <c r="S116" s="1216"/>
    </row>
    <row r="117" spans="1:19">
      <c r="A117" s="1216"/>
      <c r="B117" s="1216"/>
      <c r="C117" s="1216"/>
      <c r="D117" s="1216"/>
      <c r="E117" s="1216"/>
      <c r="F117" s="1216"/>
      <c r="G117" s="1216"/>
      <c r="H117" s="1216"/>
      <c r="I117" s="1216"/>
      <c r="J117" s="1216"/>
      <c r="K117" s="1216"/>
      <c r="L117" s="1216"/>
      <c r="M117" s="1216"/>
      <c r="N117" s="1216"/>
      <c r="O117" s="1216"/>
      <c r="P117" s="1216"/>
      <c r="Q117" s="1216"/>
      <c r="R117" s="1216"/>
      <c r="S117" s="1216"/>
    </row>
    <row r="118" spans="1:19">
      <c r="A118" s="1216"/>
      <c r="B118" s="1216"/>
      <c r="C118" s="1216"/>
      <c r="D118" s="1216"/>
      <c r="E118" s="1216"/>
      <c r="F118" s="1216"/>
      <c r="G118" s="1216"/>
      <c r="H118" s="1216"/>
      <c r="I118" s="1216"/>
      <c r="J118" s="1216"/>
      <c r="K118" s="1216"/>
      <c r="L118" s="1216"/>
      <c r="M118" s="1216"/>
      <c r="N118" s="1216"/>
      <c r="O118" s="1216"/>
      <c r="P118" s="1216"/>
      <c r="Q118" s="1216"/>
      <c r="R118" s="1216"/>
      <c r="S118" s="1216"/>
    </row>
    <row r="119" spans="1:19" ht="12.75" customHeight="1">
      <c r="A119" s="1501" t="s">
        <v>4594</v>
      </c>
      <c r="B119" s="1501"/>
      <c r="C119" s="1501"/>
      <c r="D119" s="1501"/>
      <c r="E119" s="1501"/>
      <c r="F119" s="1501"/>
      <c r="G119" s="1501"/>
      <c r="H119" s="1501"/>
      <c r="I119" s="1501"/>
      <c r="J119" s="1501"/>
      <c r="K119" s="1501"/>
      <c r="L119" s="1501"/>
      <c r="M119" s="1501"/>
      <c r="N119" s="1501"/>
      <c r="O119" s="1501"/>
      <c r="P119" s="1501"/>
      <c r="Q119" s="1501"/>
      <c r="R119" s="1501"/>
      <c r="S119" s="1501"/>
    </row>
    <row r="120" spans="1:19">
      <c r="A120" s="1501"/>
      <c r="B120" s="1501"/>
      <c r="C120" s="1501"/>
      <c r="D120" s="1501"/>
      <c r="E120" s="1501"/>
      <c r="F120" s="1501"/>
      <c r="G120" s="1501"/>
      <c r="H120" s="1501"/>
      <c r="I120" s="1501"/>
      <c r="J120" s="1501"/>
      <c r="K120" s="1501"/>
      <c r="L120" s="1501"/>
      <c r="M120" s="1501"/>
      <c r="N120" s="1501"/>
      <c r="O120" s="1501"/>
      <c r="P120" s="1501"/>
      <c r="Q120" s="1501"/>
      <c r="R120" s="1501"/>
      <c r="S120" s="1501"/>
    </row>
    <row r="121" spans="1:19">
      <c r="A121" s="1501"/>
      <c r="B121" s="1501"/>
      <c r="C121" s="1501"/>
      <c r="D121" s="1501"/>
      <c r="E121" s="1501"/>
      <c r="F121" s="1501"/>
      <c r="G121" s="1501"/>
      <c r="H121" s="1501"/>
      <c r="I121" s="1501"/>
      <c r="J121" s="1501"/>
      <c r="K121" s="1501"/>
      <c r="L121" s="1501"/>
      <c r="M121" s="1501"/>
      <c r="N121" s="1501"/>
      <c r="O121" s="1501"/>
      <c r="P121" s="1501"/>
      <c r="Q121" s="1501"/>
      <c r="R121" s="1501"/>
      <c r="S121" s="1501"/>
    </row>
    <row r="122" spans="1:19" ht="12.75" customHeight="1">
      <c r="A122" s="1287" t="s">
        <v>4595</v>
      </c>
      <c r="B122" s="1216"/>
      <c r="C122" s="1216"/>
      <c r="D122" s="1216"/>
      <c r="E122" s="1216"/>
      <c r="F122" s="1216"/>
      <c r="G122" s="1216"/>
      <c r="H122" s="1216"/>
      <c r="I122" s="1216"/>
      <c r="J122" s="1216"/>
      <c r="K122" s="1216"/>
      <c r="L122" s="1216"/>
      <c r="M122" s="1216"/>
      <c r="N122" s="1216"/>
      <c r="O122" s="1216"/>
      <c r="P122" s="1216"/>
      <c r="Q122" s="1216"/>
      <c r="R122" s="1216"/>
      <c r="S122" s="1216"/>
    </row>
    <row r="123" spans="1:19">
      <c r="A123" s="1216"/>
      <c r="B123" s="1216"/>
      <c r="C123" s="1216"/>
      <c r="D123" s="1216"/>
      <c r="E123" s="1216"/>
      <c r="F123" s="1216"/>
      <c r="G123" s="1216"/>
      <c r="H123" s="1216"/>
      <c r="I123" s="1216"/>
      <c r="J123" s="1216"/>
      <c r="K123" s="1216"/>
      <c r="L123" s="1216"/>
      <c r="M123" s="1216"/>
      <c r="N123" s="1216"/>
      <c r="O123" s="1216"/>
      <c r="P123" s="1216"/>
      <c r="Q123" s="1216"/>
      <c r="R123" s="1216"/>
      <c r="S123" s="1216"/>
    </row>
    <row r="124" spans="1:19">
      <c r="A124" s="1216"/>
      <c r="B124" s="1216"/>
      <c r="C124" s="1216"/>
      <c r="D124" s="1216"/>
      <c r="E124" s="1216"/>
      <c r="F124" s="1216"/>
      <c r="G124" s="1216"/>
      <c r="H124" s="1216"/>
      <c r="I124" s="1216"/>
      <c r="J124" s="1216"/>
      <c r="K124" s="1216"/>
      <c r="L124" s="1216"/>
      <c r="M124" s="1216"/>
      <c r="N124" s="1216"/>
      <c r="O124" s="1216"/>
      <c r="P124" s="1216"/>
      <c r="Q124" s="1216"/>
      <c r="R124" s="1216"/>
      <c r="S124" s="1216"/>
    </row>
    <row r="125" spans="1:19">
      <c r="A125" s="1216"/>
      <c r="B125" s="1216"/>
      <c r="C125" s="1216"/>
      <c r="D125" s="1216"/>
      <c r="E125" s="1216"/>
      <c r="F125" s="1216"/>
      <c r="G125" s="1216"/>
      <c r="H125" s="1216"/>
      <c r="I125" s="1216"/>
      <c r="J125" s="1216"/>
      <c r="K125" s="1216"/>
      <c r="L125" s="1216"/>
      <c r="M125" s="1216"/>
      <c r="N125" s="1216"/>
      <c r="O125" s="1216"/>
      <c r="P125" s="1216"/>
      <c r="Q125" s="1216"/>
      <c r="R125" s="1216"/>
      <c r="S125" s="1216"/>
    </row>
    <row r="126" spans="1:19" ht="12.75" customHeight="1">
      <c r="A126" s="1287" t="s">
        <v>4596</v>
      </c>
      <c r="B126" s="1216"/>
      <c r="C126" s="1216"/>
      <c r="D126" s="1216"/>
      <c r="E126" s="1216"/>
      <c r="F126" s="1216"/>
      <c r="G126" s="1216"/>
      <c r="H126" s="1216"/>
      <c r="I126" s="1216"/>
      <c r="J126" s="1216"/>
      <c r="K126" s="1216"/>
      <c r="L126" s="1216"/>
      <c r="M126" s="1216"/>
      <c r="N126" s="1216"/>
      <c r="O126" s="1216"/>
      <c r="P126" s="1216"/>
      <c r="Q126" s="1216"/>
      <c r="R126" s="1216"/>
      <c r="S126" s="1216"/>
    </row>
    <row r="127" spans="1:19">
      <c r="A127" s="1216"/>
      <c r="B127" s="1216"/>
      <c r="C127" s="1216"/>
      <c r="D127" s="1216"/>
      <c r="E127" s="1216"/>
      <c r="F127" s="1216"/>
      <c r="G127" s="1216"/>
      <c r="H127" s="1216"/>
      <c r="I127" s="1216"/>
      <c r="J127" s="1216"/>
      <c r="K127" s="1216"/>
      <c r="L127" s="1216"/>
      <c r="M127" s="1216"/>
      <c r="N127" s="1216"/>
      <c r="O127" s="1216"/>
      <c r="P127" s="1216"/>
      <c r="Q127" s="1216"/>
      <c r="R127" s="1216"/>
      <c r="S127" s="1216"/>
    </row>
    <row r="128" spans="1:19">
      <c r="B128" s="1216" t="s">
        <v>4279</v>
      </c>
      <c r="C128" s="1216"/>
      <c r="D128" s="1216"/>
      <c r="E128" s="1216"/>
      <c r="F128" s="1216"/>
      <c r="G128" s="1216"/>
      <c r="H128" s="1216"/>
      <c r="I128" s="1216"/>
      <c r="J128" s="1216"/>
      <c r="K128" s="1216"/>
      <c r="L128" s="1216"/>
      <c r="M128" s="1216"/>
      <c r="N128" s="1216"/>
      <c r="O128" s="1216"/>
      <c r="P128" s="1216"/>
      <c r="Q128" s="1216"/>
      <c r="R128" s="1216"/>
      <c r="S128" s="1216"/>
    </row>
    <row r="129" spans="1:19" ht="12.75" customHeight="1">
      <c r="A129" s="1287" t="s">
        <v>4597</v>
      </c>
      <c r="B129" s="1216"/>
      <c r="C129" s="1216"/>
      <c r="D129" s="1216"/>
      <c r="E129" s="1216"/>
      <c r="F129" s="1216"/>
      <c r="G129" s="1216"/>
      <c r="H129" s="1216"/>
      <c r="I129" s="1216"/>
      <c r="J129" s="1216"/>
      <c r="K129" s="1216"/>
      <c r="L129" s="1216"/>
      <c r="M129" s="1216"/>
      <c r="N129" s="1216"/>
      <c r="O129" s="1216"/>
      <c r="P129" s="1216"/>
      <c r="Q129" s="1216"/>
      <c r="R129" s="1216"/>
      <c r="S129" s="1216"/>
    </row>
    <row r="130" spans="1:19">
      <c r="A130" s="1216"/>
      <c r="B130" s="1216"/>
      <c r="C130" s="1216"/>
      <c r="D130" s="1216"/>
      <c r="E130" s="1216"/>
      <c r="F130" s="1216"/>
      <c r="G130" s="1216"/>
      <c r="H130" s="1216"/>
      <c r="I130" s="1216"/>
      <c r="J130" s="1216"/>
      <c r="K130" s="1216"/>
      <c r="L130" s="1216"/>
      <c r="M130" s="1216"/>
      <c r="N130" s="1216"/>
      <c r="O130" s="1216"/>
      <c r="P130" s="1216"/>
      <c r="Q130" s="1216"/>
      <c r="R130" s="1216"/>
      <c r="S130" s="1216"/>
    </row>
    <row r="131" spans="1:19" ht="12.75" customHeight="1">
      <c r="A131" s="1501" t="s">
        <v>4598</v>
      </c>
      <c r="B131" s="1501"/>
      <c r="C131" s="1501"/>
      <c r="D131" s="1501"/>
      <c r="E131" s="1501"/>
      <c r="F131" s="1501"/>
      <c r="G131" s="1501"/>
      <c r="H131" s="1501"/>
      <c r="I131" s="1501"/>
      <c r="J131" s="1501"/>
      <c r="K131" s="1501"/>
      <c r="L131" s="1501"/>
      <c r="M131" s="1501"/>
      <c r="N131" s="1501"/>
      <c r="O131" s="1501"/>
      <c r="P131" s="1501"/>
      <c r="Q131" s="1501"/>
      <c r="R131" s="1501"/>
      <c r="S131" s="1501"/>
    </row>
    <row r="132" spans="1:19" ht="12.75" customHeight="1">
      <c r="A132" s="1501"/>
      <c r="B132" s="1501"/>
      <c r="C132" s="1501"/>
      <c r="D132" s="1501"/>
      <c r="E132" s="1501"/>
      <c r="F132" s="1501"/>
      <c r="G132" s="1501"/>
      <c r="H132" s="1501"/>
      <c r="I132" s="1501"/>
      <c r="J132" s="1501"/>
      <c r="K132" s="1501"/>
      <c r="L132" s="1501"/>
      <c r="M132" s="1501"/>
      <c r="N132" s="1501"/>
      <c r="O132" s="1501"/>
      <c r="P132" s="1501"/>
      <c r="Q132" s="1501"/>
      <c r="R132" s="1501"/>
      <c r="S132" s="1501"/>
    </row>
    <row r="133" spans="1:19" ht="12.75" customHeight="1">
      <c r="A133" s="1501"/>
      <c r="B133" s="1501"/>
      <c r="C133" s="1501"/>
      <c r="D133" s="1501"/>
      <c r="E133" s="1501"/>
      <c r="F133" s="1501"/>
      <c r="G133" s="1501"/>
      <c r="H133" s="1501"/>
      <c r="I133" s="1501"/>
      <c r="J133" s="1501"/>
      <c r="K133" s="1501"/>
      <c r="L133" s="1501"/>
      <c r="M133" s="1501"/>
      <c r="N133" s="1501"/>
      <c r="O133" s="1501"/>
      <c r="P133" s="1501"/>
      <c r="Q133" s="1501"/>
      <c r="R133" s="1501"/>
      <c r="S133" s="1501"/>
    </row>
    <row r="134" spans="1:19" ht="12.75" customHeight="1">
      <c r="A134" s="1501"/>
      <c r="B134" s="1501"/>
      <c r="C134" s="1501"/>
      <c r="D134" s="1501"/>
      <c r="E134" s="1501"/>
      <c r="F134" s="1501"/>
      <c r="G134" s="1501"/>
      <c r="H134" s="1501"/>
      <c r="I134" s="1501"/>
      <c r="J134" s="1501"/>
      <c r="K134" s="1501"/>
      <c r="L134" s="1501"/>
      <c r="M134" s="1501"/>
      <c r="N134" s="1501"/>
      <c r="O134" s="1501"/>
      <c r="P134" s="1501"/>
      <c r="Q134" s="1501"/>
      <c r="R134" s="1501"/>
      <c r="S134" s="1501"/>
    </row>
    <row r="135" spans="1:19" ht="12.75" customHeight="1">
      <c r="A135" s="1501"/>
      <c r="B135" s="1501"/>
      <c r="C135" s="1501"/>
      <c r="D135" s="1501"/>
      <c r="E135" s="1501"/>
      <c r="F135" s="1501"/>
      <c r="G135" s="1501"/>
      <c r="H135" s="1501"/>
      <c r="I135" s="1501"/>
      <c r="J135" s="1501"/>
      <c r="K135" s="1501"/>
      <c r="L135" s="1501"/>
      <c r="M135" s="1501"/>
      <c r="N135" s="1501"/>
      <c r="O135" s="1501"/>
      <c r="P135" s="1501"/>
      <c r="Q135" s="1501"/>
      <c r="R135" s="1501"/>
      <c r="S135" s="1501"/>
    </row>
    <row r="136" spans="1:19" ht="12.75" customHeight="1">
      <c r="A136" s="1501"/>
      <c r="B136" s="1501"/>
      <c r="C136" s="1501"/>
      <c r="D136" s="1501"/>
      <c r="E136" s="1501"/>
      <c r="F136" s="1501"/>
      <c r="G136" s="1501"/>
      <c r="H136" s="1501"/>
      <c r="I136" s="1501"/>
      <c r="J136" s="1501"/>
      <c r="K136" s="1501"/>
      <c r="L136" s="1501"/>
      <c r="M136" s="1501"/>
      <c r="N136" s="1501"/>
      <c r="O136" s="1501"/>
      <c r="P136" s="1501"/>
      <c r="Q136" s="1501"/>
      <c r="R136" s="1501"/>
      <c r="S136" s="1501"/>
    </row>
    <row r="137" spans="1:19">
      <c r="A137" s="1501"/>
      <c r="B137" s="1501"/>
      <c r="C137" s="1501"/>
      <c r="D137" s="1501"/>
      <c r="E137" s="1501"/>
      <c r="F137" s="1501"/>
      <c r="G137" s="1501"/>
      <c r="H137" s="1501"/>
      <c r="I137" s="1501"/>
      <c r="J137" s="1501"/>
      <c r="K137" s="1501"/>
      <c r="L137" s="1501"/>
      <c r="M137" s="1501"/>
      <c r="N137" s="1501"/>
      <c r="O137" s="1501"/>
      <c r="P137" s="1501"/>
      <c r="Q137" s="1501"/>
      <c r="R137" s="1501"/>
      <c r="S137" s="1501"/>
    </row>
    <row r="138" spans="1:19">
      <c r="A138" s="1501"/>
      <c r="B138" s="1501"/>
      <c r="C138" s="1501"/>
      <c r="D138" s="1501"/>
      <c r="E138" s="1501"/>
      <c r="F138" s="1501"/>
      <c r="G138" s="1501"/>
      <c r="H138" s="1501"/>
      <c r="I138" s="1501"/>
      <c r="J138" s="1501"/>
      <c r="K138" s="1501"/>
      <c r="L138" s="1501"/>
      <c r="M138" s="1501"/>
      <c r="N138" s="1501"/>
      <c r="O138" s="1501"/>
      <c r="P138" s="1501"/>
      <c r="Q138" s="1501"/>
      <c r="R138" s="1501"/>
      <c r="S138" s="1501"/>
    </row>
    <row r="139" spans="1:19">
      <c r="A139" s="1501"/>
      <c r="B139" s="1501"/>
      <c r="C139" s="1501"/>
      <c r="D139" s="1501"/>
      <c r="E139" s="1501"/>
      <c r="F139" s="1501"/>
      <c r="G139" s="1501"/>
      <c r="H139" s="1501"/>
      <c r="I139" s="1501"/>
      <c r="J139" s="1501"/>
      <c r="K139" s="1501"/>
      <c r="L139" s="1501"/>
      <c r="M139" s="1501"/>
      <c r="N139" s="1501"/>
      <c r="O139" s="1501"/>
      <c r="P139" s="1501"/>
      <c r="Q139" s="1501"/>
      <c r="R139" s="1501"/>
      <c r="S139" s="1501"/>
    </row>
    <row r="140" spans="1:19" ht="12.75" customHeight="1">
      <c r="A140" s="1287" t="s">
        <v>4599</v>
      </c>
      <c r="B140" s="1216"/>
      <c r="C140" s="1216"/>
      <c r="D140" s="1216"/>
      <c r="E140" s="1216"/>
      <c r="F140" s="1216"/>
      <c r="G140" s="1216"/>
      <c r="H140" s="1216"/>
      <c r="I140" s="1216"/>
      <c r="J140" s="1216"/>
      <c r="K140" s="1216"/>
      <c r="L140" s="1216"/>
      <c r="M140" s="1216"/>
      <c r="N140" s="1216"/>
      <c r="O140" s="1216"/>
      <c r="P140" s="1216"/>
      <c r="Q140" s="1216"/>
      <c r="R140" s="1216"/>
      <c r="S140" s="1216"/>
    </row>
    <row r="141" spans="1:19">
      <c r="A141" s="1216"/>
      <c r="B141" s="1216"/>
      <c r="C141" s="1216"/>
      <c r="D141" s="1216"/>
      <c r="E141" s="1216"/>
      <c r="F141" s="1216"/>
      <c r="G141" s="1216"/>
      <c r="H141" s="1216"/>
      <c r="I141" s="1216"/>
      <c r="J141" s="1216"/>
      <c r="K141" s="1216"/>
      <c r="L141" s="1216"/>
      <c r="M141" s="1216"/>
      <c r="N141" s="1216"/>
      <c r="O141" s="1216"/>
      <c r="P141" s="1216"/>
      <c r="Q141" s="1216"/>
      <c r="R141" s="1216"/>
      <c r="S141" s="1216"/>
    </row>
    <row r="142" spans="1:19">
      <c r="A142" s="1216"/>
      <c r="B142" s="1216"/>
      <c r="C142" s="1216"/>
      <c r="D142" s="1216"/>
      <c r="E142" s="1216"/>
      <c r="F142" s="1216"/>
      <c r="G142" s="1216"/>
      <c r="H142" s="1216"/>
      <c r="I142" s="1216"/>
      <c r="J142" s="1216"/>
      <c r="K142" s="1216"/>
      <c r="L142" s="1216"/>
      <c r="M142" s="1216"/>
      <c r="N142" s="1216"/>
      <c r="O142" s="1216"/>
      <c r="P142" s="1216"/>
      <c r="Q142" s="1216"/>
      <c r="R142" s="1216"/>
      <c r="S142" s="1216"/>
    </row>
    <row r="143" spans="1:19">
      <c r="A143" s="1216"/>
      <c r="B143" s="1216"/>
      <c r="C143" s="1216"/>
      <c r="D143" s="1216"/>
      <c r="E143" s="1216"/>
      <c r="F143" s="1216"/>
      <c r="G143" s="1216"/>
      <c r="H143" s="1216"/>
      <c r="I143" s="1216"/>
      <c r="J143" s="1216"/>
      <c r="K143" s="1216"/>
      <c r="L143" s="1216"/>
      <c r="M143" s="1216"/>
      <c r="N143" s="1216"/>
      <c r="O143" s="1216"/>
      <c r="P143" s="1216"/>
      <c r="Q143" s="1216"/>
      <c r="R143" s="1216"/>
      <c r="S143" s="1216"/>
    </row>
    <row r="144" spans="1:19" ht="12.75" customHeight="1">
      <c r="A144" s="1287" t="s">
        <v>4600</v>
      </c>
      <c r="B144" s="1216"/>
      <c r="C144" s="1216"/>
      <c r="D144" s="1216"/>
      <c r="E144" s="1216"/>
      <c r="F144" s="1216"/>
      <c r="G144" s="1216"/>
      <c r="H144" s="1216"/>
      <c r="I144" s="1216"/>
      <c r="J144" s="1216"/>
      <c r="K144" s="1216"/>
      <c r="L144" s="1216"/>
      <c r="M144" s="1216"/>
      <c r="N144" s="1216"/>
      <c r="O144" s="1216"/>
      <c r="P144" s="1216"/>
      <c r="Q144" s="1216"/>
      <c r="R144" s="1216"/>
      <c r="S144" s="1216"/>
    </row>
    <row r="145" spans="1:19">
      <c r="A145" s="1216"/>
      <c r="B145" s="1216"/>
      <c r="C145" s="1216"/>
      <c r="D145" s="1216"/>
      <c r="E145" s="1216"/>
      <c r="F145" s="1216"/>
      <c r="G145" s="1216"/>
      <c r="H145" s="1216"/>
      <c r="I145" s="1216"/>
      <c r="J145" s="1216"/>
      <c r="K145" s="1216"/>
      <c r="L145" s="1216"/>
      <c r="M145" s="1216"/>
      <c r="N145" s="1216"/>
      <c r="O145" s="1216"/>
      <c r="P145" s="1216"/>
      <c r="Q145" s="1216"/>
      <c r="R145" s="1216"/>
      <c r="S145" s="1216"/>
    </row>
    <row r="146" spans="1:19">
      <c r="A146" s="1216"/>
      <c r="B146" s="1216"/>
      <c r="C146" s="1216"/>
      <c r="D146" s="1216"/>
      <c r="E146" s="1216"/>
      <c r="F146" s="1216"/>
      <c r="G146" s="1216"/>
      <c r="H146" s="1216"/>
      <c r="I146" s="1216"/>
      <c r="J146" s="1216"/>
      <c r="K146" s="1216"/>
      <c r="L146" s="1216"/>
      <c r="M146" s="1216"/>
      <c r="N146" s="1216"/>
      <c r="O146" s="1216"/>
      <c r="P146" s="1216"/>
      <c r="Q146" s="1216"/>
      <c r="R146" s="1216"/>
      <c r="S146" s="1216"/>
    </row>
    <row r="147" spans="1:19" ht="12.75" customHeight="1">
      <c r="A147" s="1287" t="s">
        <v>4601</v>
      </c>
      <c r="B147" s="1216"/>
      <c r="C147" s="1216"/>
      <c r="D147" s="1216"/>
      <c r="E147" s="1216"/>
      <c r="F147" s="1216"/>
      <c r="G147" s="1216"/>
      <c r="H147" s="1216"/>
      <c r="I147" s="1216"/>
      <c r="J147" s="1216"/>
      <c r="K147" s="1216"/>
      <c r="L147" s="1216"/>
      <c r="M147" s="1216"/>
      <c r="N147" s="1216"/>
      <c r="O147" s="1216"/>
      <c r="P147" s="1216"/>
      <c r="Q147" s="1216"/>
      <c r="R147" s="1216"/>
      <c r="S147" s="1216"/>
    </row>
    <row r="148" spans="1:19">
      <c r="A148" s="1216"/>
      <c r="B148" s="1216"/>
      <c r="C148" s="1216"/>
      <c r="D148" s="1216"/>
      <c r="E148" s="1216"/>
      <c r="F148" s="1216"/>
      <c r="G148" s="1216"/>
      <c r="H148" s="1216"/>
      <c r="I148" s="1216"/>
      <c r="J148" s="1216"/>
      <c r="K148" s="1216"/>
      <c r="L148" s="1216"/>
      <c r="M148" s="1216"/>
      <c r="N148" s="1216"/>
      <c r="O148" s="1216"/>
      <c r="P148" s="1216"/>
      <c r="Q148" s="1216"/>
      <c r="R148" s="1216"/>
      <c r="S148" s="1216"/>
    </row>
    <row r="149" spans="1:19" ht="12.75" customHeight="1">
      <c r="A149" s="1287" t="s">
        <v>4602</v>
      </c>
      <c r="B149" s="1216"/>
      <c r="C149" s="1216"/>
      <c r="D149" s="1216"/>
      <c r="E149" s="1216"/>
      <c r="F149" s="1216"/>
      <c r="G149" s="1216"/>
      <c r="H149" s="1216"/>
      <c r="I149" s="1216"/>
      <c r="J149" s="1216"/>
      <c r="K149" s="1216"/>
      <c r="L149" s="1216"/>
      <c r="M149" s="1216"/>
      <c r="N149" s="1216"/>
      <c r="O149" s="1216"/>
      <c r="P149" s="1216"/>
      <c r="Q149" s="1216"/>
      <c r="R149" s="1216"/>
      <c r="S149" s="1216"/>
    </row>
    <row r="150" spans="1:19">
      <c r="A150" s="1216"/>
      <c r="B150" s="1216"/>
      <c r="C150" s="1216"/>
      <c r="D150" s="1216"/>
      <c r="E150" s="1216"/>
      <c r="F150" s="1216"/>
      <c r="G150" s="1216"/>
      <c r="H150" s="1216"/>
      <c r="I150" s="1216"/>
      <c r="J150" s="1216"/>
      <c r="K150" s="1216"/>
      <c r="L150" s="1216"/>
      <c r="M150" s="1216"/>
      <c r="N150" s="1216"/>
      <c r="O150" s="1216"/>
      <c r="P150" s="1216"/>
      <c r="Q150" s="1216"/>
      <c r="R150" s="1216"/>
      <c r="S150" s="1216"/>
    </row>
    <row r="151" spans="1:19">
      <c r="A151" s="1216"/>
      <c r="B151" s="1216"/>
      <c r="C151" s="1216"/>
      <c r="D151" s="1216"/>
      <c r="E151" s="1216"/>
      <c r="F151" s="1216"/>
      <c r="G151" s="1216"/>
      <c r="H151" s="1216"/>
      <c r="I151" s="1216"/>
      <c r="J151" s="1216"/>
      <c r="K151" s="1216"/>
      <c r="L151" s="1216"/>
      <c r="M151" s="1216"/>
      <c r="N151" s="1216"/>
      <c r="O151" s="1216"/>
      <c r="P151" s="1216"/>
      <c r="Q151" s="1216"/>
      <c r="R151" s="1216"/>
      <c r="S151" s="1216"/>
    </row>
    <row r="152" spans="1:19">
      <c r="A152" s="1216"/>
      <c r="B152" s="1216"/>
      <c r="C152" s="1216"/>
      <c r="D152" s="1216"/>
      <c r="E152" s="1216"/>
      <c r="F152" s="1216"/>
      <c r="G152" s="1216"/>
      <c r="H152" s="1216"/>
      <c r="I152" s="1216"/>
      <c r="J152" s="1216"/>
      <c r="K152" s="1216"/>
      <c r="L152" s="1216"/>
      <c r="M152" s="1216"/>
      <c r="N152" s="1216"/>
      <c r="O152" s="1216"/>
      <c r="P152" s="1216"/>
      <c r="Q152" s="1216"/>
      <c r="R152" s="1216"/>
      <c r="S152" s="1216"/>
    </row>
    <row r="153" spans="1:19" ht="12.75" customHeight="1">
      <c r="A153" s="1287" t="s">
        <v>4603</v>
      </c>
      <c r="B153" s="1287"/>
      <c r="C153" s="1287"/>
      <c r="D153" s="1287"/>
      <c r="E153" s="1287"/>
      <c r="F153" s="1287"/>
      <c r="G153" s="1287"/>
      <c r="H153" s="1287"/>
      <c r="I153" s="1287"/>
      <c r="J153" s="1287"/>
      <c r="K153" s="1287"/>
      <c r="L153" s="1287"/>
      <c r="M153" s="1287"/>
      <c r="N153" s="1287"/>
      <c r="O153" s="1287"/>
      <c r="P153" s="1287"/>
      <c r="Q153" s="1287"/>
      <c r="R153" s="1287"/>
      <c r="S153" s="1287"/>
    </row>
    <row r="154" spans="1:19" ht="12.75" customHeight="1">
      <c r="A154" s="1287"/>
      <c r="B154" s="1287"/>
      <c r="C154" s="1287"/>
      <c r="D154" s="1287"/>
      <c r="E154" s="1287"/>
      <c r="F154" s="1287"/>
      <c r="G154" s="1287"/>
      <c r="H154" s="1287"/>
      <c r="I154" s="1287"/>
      <c r="J154" s="1287"/>
      <c r="K154" s="1287"/>
      <c r="L154" s="1287"/>
      <c r="M154" s="1287"/>
      <c r="N154" s="1287"/>
      <c r="O154" s="1287"/>
      <c r="P154" s="1287"/>
      <c r="Q154" s="1287"/>
      <c r="R154" s="1287"/>
      <c r="S154" s="1287"/>
    </row>
    <row r="155" spans="1:19" ht="12.75" customHeight="1">
      <c r="A155" s="1287"/>
      <c r="B155" s="1287"/>
      <c r="C155" s="1287"/>
      <c r="D155" s="1287"/>
      <c r="E155" s="1287"/>
      <c r="F155" s="1287"/>
      <c r="G155" s="1287"/>
      <c r="H155" s="1287"/>
      <c r="I155" s="1287"/>
      <c r="J155" s="1287"/>
      <c r="K155" s="1287"/>
      <c r="L155" s="1287"/>
      <c r="M155" s="1287"/>
      <c r="N155" s="1287"/>
      <c r="O155" s="1287"/>
      <c r="P155" s="1287"/>
      <c r="Q155" s="1287"/>
      <c r="R155" s="1287"/>
      <c r="S155" s="1287"/>
    </row>
    <row r="156" spans="1:19">
      <c r="A156" s="1287"/>
      <c r="B156" s="1287"/>
      <c r="C156" s="1287"/>
      <c r="D156" s="1287"/>
      <c r="E156" s="1287"/>
      <c r="F156" s="1287"/>
      <c r="G156" s="1287"/>
      <c r="H156" s="1287"/>
      <c r="I156" s="1287"/>
      <c r="J156" s="1287"/>
      <c r="K156" s="1287"/>
      <c r="L156" s="1287"/>
      <c r="M156" s="1287"/>
      <c r="N156" s="1287"/>
      <c r="O156" s="1287"/>
      <c r="P156" s="1287"/>
      <c r="Q156" s="1287"/>
      <c r="R156" s="1287"/>
      <c r="S156" s="1287"/>
    </row>
    <row r="157" spans="1:19">
      <c r="A157" s="1287"/>
      <c r="B157" s="1287"/>
      <c r="C157" s="1287"/>
      <c r="D157" s="1287"/>
      <c r="E157" s="1287"/>
      <c r="F157" s="1287"/>
      <c r="G157" s="1287"/>
      <c r="H157" s="1287"/>
      <c r="I157" s="1287"/>
      <c r="J157" s="1287"/>
      <c r="K157" s="1287"/>
      <c r="L157" s="1287"/>
      <c r="M157" s="1287"/>
      <c r="N157" s="1287"/>
      <c r="O157" s="1287"/>
      <c r="P157" s="1287"/>
      <c r="Q157" s="1287"/>
      <c r="R157" s="1287"/>
      <c r="S157" s="1287"/>
    </row>
    <row r="158" spans="1:19">
      <c r="A158" s="1287"/>
      <c r="B158" s="1287"/>
      <c r="C158" s="1287"/>
      <c r="D158" s="1287"/>
      <c r="E158" s="1287"/>
      <c r="F158" s="1287"/>
      <c r="G158" s="1287"/>
      <c r="H158" s="1287"/>
      <c r="I158" s="1287"/>
      <c r="J158" s="1287"/>
      <c r="K158" s="1287"/>
      <c r="L158" s="1287"/>
      <c r="M158" s="1287"/>
      <c r="N158" s="1287"/>
      <c r="O158" s="1287"/>
      <c r="P158" s="1287"/>
      <c r="Q158" s="1287"/>
      <c r="R158" s="1287"/>
      <c r="S158" s="1287"/>
    </row>
    <row r="159" spans="1:19" ht="12.75" customHeight="1">
      <c r="A159" s="1287"/>
      <c r="B159" s="1287"/>
      <c r="C159" s="1287"/>
      <c r="D159" s="1287"/>
      <c r="E159" s="1287"/>
      <c r="F159" s="1287"/>
      <c r="G159" s="1287"/>
      <c r="H159" s="1287"/>
      <c r="I159" s="1287"/>
      <c r="J159" s="1287"/>
      <c r="K159" s="1287"/>
      <c r="L159" s="1287"/>
      <c r="M159" s="1287"/>
      <c r="N159" s="1287"/>
      <c r="O159" s="1287"/>
      <c r="P159" s="1287"/>
      <c r="Q159" s="1287"/>
      <c r="R159" s="1287"/>
      <c r="S159" s="1287"/>
    </row>
    <row r="160" spans="1:19">
      <c r="A160" s="1287"/>
      <c r="B160" s="1287"/>
      <c r="C160" s="1287"/>
      <c r="D160" s="1287"/>
      <c r="E160" s="1287"/>
      <c r="F160" s="1287"/>
      <c r="G160" s="1287"/>
      <c r="H160" s="1287"/>
      <c r="I160" s="1287"/>
      <c r="J160" s="1287"/>
      <c r="K160" s="1287"/>
      <c r="L160" s="1287"/>
      <c r="M160" s="1287"/>
      <c r="N160" s="1287"/>
      <c r="O160" s="1287"/>
      <c r="P160" s="1287"/>
      <c r="Q160" s="1287"/>
      <c r="R160" s="1287"/>
      <c r="S160" s="1287"/>
    </row>
    <row r="161" spans="2:19" ht="51" customHeight="1">
      <c r="B161" s="1791" t="s">
        <v>4280</v>
      </c>
      <c r="C161" s="1791"/>
      <c r="D161" s="1791"/>
      <c r="E161" s="1776" t="s">
        <v>4281</v>
      </c>
      <c r="F161" s="1776"/>
      <c r="G161" s="1776"/>
      <c r="H161" s="1471" t="s">
        <v>4282</v>
      </c>
      <c r="I161" s="1471"/>
      <c r="J161" s="1471"/>
      <c r="K161" s="1471"/>
      <c r="L161" s="1471"/>
      <c r="M161" s="1471"/>
      <c r="N161" s="1738" t="s">
        <v>4283</v>
      </c>
      <c r="O161" s="1738"/>
      <c r="P161" s="1738"/>
      <c r="Q161" s="1738"/>
      <c r="R161" s="1471" t="s">
        <v>4270</v>
      </c>
      <c r="S161" s="1471"/>
    </row>
    <row r="162" spans="2:19">
      <c r="B162" s="1791"/>
      <c r="C162" s="1791"/>
      <c r="D162" s="1791"/>
      <c r="E162" s="1776"/>
      <c r="F162" s="1776"/>
      <c r="G162" s="1776"/>
      <c r="H162" s="1471"/>
      <c r="I162" s="1471"/>
      <c r="J162" s="1471"/>
      <c r="K162" s="1471"/>
      <c r="L162" s="1471"/>
      <c r="M162" s="1471"/>
      <c r="N162" s="1738"/>
      <c r="O162" s="1738"/>
      <c r="P162" s="1738"/>
      <c r="Q162" s="1738"/>
      <c r="R162" s="1471"/>
      <c r="S162" s="1471"/>
    </row>
    <row r="163" spans="2:19">
      <c r="B163" s="1791"/>
      <c r="C163" s="1791"/>
      <c r="D163" s="1791"/>
      <c r="E163" s="1776"/>
      <c r="F163" s="1776"/>
      <c r="G163" s="1776"/>
      <c r="H163" s="1471"/>
      <c r="I163" s="1471"/>
      <c r="J163" s="1471"/>
      <c r="K163" s="1471"/>
      <c r="L163" s="1471"/>
      <c r="M163" s="1471"/>
      <c r="N163" s="1738"/>
      <c r="O163" s="1738"/>
      <c r="P163" s="1738"/>
      <c r="Q163" s="1738"/>
      <c r="R163" s="1471"/>
      <c r="S163" s="1471"/>
    </row>
    <row r="164" spans="2:19">
      <c r="B164" s="1774" t="s">
        <v>4284</v>
      </c>
      <c r="C164" s="1774"/>
      <c r="D164" s="1774"/>
      <c r="E164" s="1775">
        <v>150</v>
      </c>
      <c r="F164" s="1775"/>
      <c r="G164" s="1775"/>
      <c r="H164" s="1798" t="s">
        <v>4285</v>
      </c>
      <c r="I164" s="1798"/>
      <c r="J164" s="1798"/>
      <c r="K164" s="1798"/>
      <c r="L164" s="1798"/>
      <c r="M164" s="1798"/>
      <c r="N164" s="1780"/>
      <c r="O164" s="1780"/>
      <c r="P164" s="1780"/>
      <c r="Q164" s="1780"/>
      <c r="R164" s="1791">
        <v>912.5</v>
      </c>
      <c r="S164" s="1791"/>
    </row>
    <row r="165" spans="2:19">
      <c r="B165" s="1774"/>
      <c r="C165" s="1774"/>
      <c r="D165" s="1774"/>
      <c r="E165" s="1775"/>
      <c r="F165" s="1775"/>
      <c r="G165" s="1775"/>
      <c r="H165" s="1798"/>
      <c r="I165" s="1798"/>
      <c r="J165" s="1798"/>
      <c r="K165" s="1798"/>
      <c r="L165" s="1798"/>
      <c r="M165" s="1798"/>
      <c r="N165" s="1780"/>
      <c r="O165" s="1780"/>
      <c r="P165" s="1780"/>
      <c r="Q165" s="1780"/>
      <c r="R165" s="1791"/>
      <c r="S165" s="1791"/>
    </row>
    <row r="166" spans="2:19">
      <c r="B166" s="1774"/>
      <c r="C166" s="1774"/>
      <c r="D166" s="1774"/>
      <c r="E166" s="1775"/>
      <c r="F166" s="1775"/>
      <c r="G166" s="1775"/>
      <c r="H166" s="1798"/>
      <c r="I166" s="1798"/>
      <c r="J166" s="1798"/>
      <c r="K166" s="1798"/>
      <c r="L166" s="1798"/>
      <c r="M166" s="1798"/>
      <c r="N166" s="1797" t="s">
        <v>4286</v>
      </c>
      <c r="O166" s="1797"/>
      <c r="P166" s="1797"/>
      <c r="Q166" s="1797"/>
      <c r="R166" s="1791"/>
      <c r="S166" s="1791"/>
    </row>
    <row r="167" spans="2:19">
      <c r="B167" s="1774"/>
      <c r="C167" s="1774"/>
      <c r="D167" s="1774"/>
      <c r="E167" s="1775"/>
      <c r="F167" s="1775"/>
      <c r="G167" s="1775"/>
      <c r="H167" s="1798"/>
      <c r="I167" s="1798"/>
      <c r="J167" s="1798"/>
      <c r="K167" s="1798"/>
      <c r="L167" s="1798"/>
      <c r="M167" s="1798"/>
      <c r="N167" s="1797"/>
      <c r="O167" s="1797"/>
      <c r="P167" s="1797"/>
      <c r="Q167" s="1797"/>
      <c r="R167" s="1791"/>
      <c r="S167" s="1791"/>
    </row>
    <row r="168" spans="2:19">
      <c r="B168" s="1774"/>
      <c r="C168" s="1774"/>
      <c r="D168" s="1774"/>
      <c r="E168" s="1775"/>
      <c r="F168" s="1775"/>
      <c r="G168" s="1775"/>
      <c r="H168" s="1798"/>
      <c r="I168" s="1798"/>
      <c r="J168" s="1798"/>
      <c r="K168" s="1798"/>
      <c r="L168" s="1798"/>
      <c r="M168" s="1798"/>
      <c r="N168" s="1797"/>
      <c r="O168" s="1797"/>
      <c r="P168" s="1797"/>
      <c r="Q168" s="1797"/>
      <c r="R168" s="1791"/>
      <c r="S168" s="1791"/>
    </row>
    <row r="169" spans="2:19">
      <c r="B169" s="1774" t="s">
        <v>4287</v>
      </c>
      <c r="C169" s="1774"/>
      <c r="D169" s="1774"/>
      <c r="E169" s="1789" t="s">
        <v>4604</v>
      </c>
      <c r="F169" s="1789"/>
      <c r="G169" s="1789"/>
      <c r="H169" s="1775" t="s">
        <v>4288</v>
      </c>
      <c r="I169" s="1775"/>
      <c r="J169" s="1775"/>
      <c r="K169" s="1775"/>
      <c r="L169" s="1775"/>
      <c r="M169" s="1775"/>
      <c r="N169" s="1794" t="s">
        <v>4289</v>
      </c>
      <c r="O169" s="1794"/>
      <c r="P169" s="1794"/>
      <c r="Q169" s="1794"/>
      <c r="R169" s="1792">
        <v>5060.3999999999996</v>
      </c>
      <c r="S169" s="1792"/>
    </row>
    <row r="170" spans="2:19">
      <c r="B170" s="1774"/>
      <c r="C170" s="1774"/>
      <c r="D170" s="1774"/>
      <c r="E170" s="1789"/>
      <c r="F170" s="1789"/>
      <c r="G170" s="1789"/>
      <c r="H170" s="1775"/>
      <c r="I170" s="1775"/>
      <c r="J170" s="1775"/>
      <c r="K170" s="1775"/>
      <c r="L170" s="1775"/>
      <c r="M170" s="1775"/>
      <c r="N170" s="1794"/>
      <c r="O170" s="1794"/>
      <c r="P170" s="1794"/>
      <c r="Q170" s="1794"/>
      <c r="R170" s="1792"/>
      <c r="S170" s="1792"/>
    </row>
    <row r="171" spans="2:19">
      <c r="B171" s="1774"/>
      <c r="C171" s="1774"/>
      <c r="D171" s="1774"/>
      <c r="E171" s="1789"/>
      <c r="F171" s="1789"/>
      <c r="G171" s="1789"/>
      <c r="H171" s="1775"/>
      <c r="I171" s="1775"/>
      <c r="J171" s="1775"/>
      <c r="K171" s="1775"/>
      <c r="L171" s="1775"/>
      <c r="M171" s="1775"/>
      <c r="N171" s="1794"/>
      <c r="O171" s="1794"/>
      <c r="P171" s="1794"/>
      <c r="Q171" s="1794"/>
      <c r="R171" s="1792"/>
      <c r="S171" s="1792"/>
    </row>
    <row r="172" spans="2:19">
      <c r="B172" s="1774"/>
      <c r="C172" s="1774"/>
      <c r="D172" s="1774"/>
      <c r="E172" s="1789"/>
      <c r="F172" s="1789"/>
      <c r="G172" s="1789"/>
      <c r="H172" s="1775"/>
      <c r="I172" s="1775"/>
      <c r="J172" s="1775"/>
      <c r="K172" s="1775"/>
      <c r="L172" s="1775"/>
      <c r="M172" s="1775"/>
      <c r="N172" s="1794" t="s">
        <v>4290</v>
      </c>
      <c r="O172" s="1794"/>
      <c r="P172" s="1794"/>
      <c r="Q172" s="1794"/>
      <c r="R172" s="1792"/>
      <c r="S172" s="1792"/>
    </row>
    <row r="173" spans="2:19">
      <c r="B173" s="1774"/>
      <c r="C173" s="1774"/>
      <c r="D173" s="1774"/>
      <c r="E173" s="1789"/>
      <c r="F173" s="1789"/>
      <c r="G173" s="1789"/>
      <c r="H173" s="1775"/>
      <c r="I173" s="1775"/>
      <c r="J173" s="1775"/>
      <c r="K173" s="1775"/>
      <c r="L173" s="1775"/>
      <c r="M173" s="1775"/>
      <c r="N173" s="1794"/>
      <c r="O173" s="1794"/>
      <c r="P173" s="1794"/>
      <c r="Q173" s="1794"/>
      <c r="R173" s="1792"/>
      <c r="S173" s="1792"/>
    </row>
    <row r="174" spans="2:19">
      <c r="B174" s="1774"/>
      <c r="C174" s="1774"/>
      <c r="D174" s="1774"/>
      <c r="E174" s="1789"/>
      <c r="F174" s="1789"/>
      <c r="G174" s="1789"/>
      <c r="H174" s="1775"/>
      <c r="I174" s="1775"/>
      <c r="J174" s="1775"/>
      <c r="K174" s="1775"/>
      <c r="L174" s="1775"/>
      <c r="M174" s="1775"/>
      <c r="N174" s="1794"/>
      <c r="O174" s="1794"/>
      <c r="P174" s="1794"/>
      <c r="Q174" s="1794"/>
      <c r="R174" s="1792"/>
      <c r="S174" s="1792"/>
    </row>
    <row r="176" spans="2:19">
      <c r="B176" s="1790" t="s">
        <v>4291</v>
      </c>
      <c r="C176" s="1790"/>
      <c r="D176" s="1790"/>
      <c r="E176" s="1790"/>
      <c r="F176" s="1790"/>
      <c r="G176" s="1790"/>
      <c r="H176" s="1790"/>
      <c r="I176" s="1790"/>
      <c r="J176" s="1790"/>
      <c r="K176" s="1790"/>
      <c r="L176" s="1790"/>
      <c r="M176" s="1790"/>
      <c r="N176" s="1790"/>
      <c r="O176" s="1790"/>
      <c r="P176" s="1790"/>
      <c r="Q176" s="1790"/>
      <c r="R176" s="1790"/>
      <c r="S176" s="1790"/>
    </row>
    <row r="177" spans="2:19">
      <c r="B177" s="611"/>
      <c r="C177" s="611"/>
      <c r="D177" s="611"/>
      <c r="E177" s="611"/>
      <c r="F177" s="611"/>
      <c r="G177" s="611"/>
      <c r="H177" s="611"/>
      <c r="I177" s="611"/>
      <c r="J177" s="611"/>
      <c r="K177" s="611"/>
      <c r="L177" s="611"/>
      <c r="M177" s="611"/>
      <c r="N177" s="611"/>
      <c r="O177" s="611"/>
      <c r="P177" s="611"/>
      <c r="Q177" s="611"/>
      <c r="R177" s="611"/>
      <c r="S177" s="611"/>
    </row>
    <row r="178" spans="2:19">
      <c r="B178" s="1771" t="s">
        <v>4292</v>
      </c>
      <c r="C178" s="1771"/>
      <c r="D178" s="1471" t="s">
        <v>4293</v>
      </c>
      <c r="E178" s="1471"/>
      <c r="F178" s="1471"/>
      <c r="G178" s="1471"/>
      <c r="H178" s="1775" t="s">
        <v>4294</v>
      </c>
      <c r="I178" s="1775"/>
      <c r="J178" s="1775"/>
      <c r="K178" s="1775"/>
      <c r="L178" s="1776" t="s">
        <v>4295</v>
      </c>
      <c r="M178" s="1776"/>
      <c r="N178" s="1776" t="s">
        <v>4296</v>
      </c>
      <c r="O178" s="1776"/>
      <c r="P178" s="1777" t="s">
        <v>4297</v>
      </c>
      <c r="Q178" s="1777"/>
      <c r="R178" s="1777"/>
      <c r="S178" s="1777"/>
    </row>
    <row r="179" spans="2:19">
      <c r="B179" s="1771"/>
      <c r="C179" s="1771"/>
      <c r="D179" s="1471"/>
      <c r="E179" s="1471"/>
      <c r="F179" s="1471"/>
      <c r="G179" s="1471"/>
      <c r="H179" s="1775"/>
      <c r="I179" s="1775"/>
      <c r="J179" s="1775"/>
      <c r="K179" s="1775"/>
      <c r="L179" s="1776"/>
      <c r="M179" s="1776"/>
      <c r="N179" s="1776"/>
      <c r="O179" s="1776"/>
      <c r="P179" s="1777"/>
      <c r="Q179" s="1777"/>
      <c r="R179" s="1777"/>
      <c r="S179" s="1777"/>
    </row>
    <row r="180" spans="2:19">
      <c r="B180" s="1771"/>
      <c r="C180" s="1771"/>
      <c r="D180" s="1471"/>
      <c r="E180" s="1471"/>
      <c r="F180" s="1471"/>
      <c r="G180" s="1471"/>
      <c r="H180" s="1775"/>
      <c r="I180" s="1775"/>
      <c r="J180" s="1775"/>
      <c r="K180" s="1775"/>
      <c r="L180" s="1776"/>
      <c r="M180" s="1776"/>
      <c r="N180" s="1776"/>
      <c r="O180" s="1776"/>
      <c r="P180" s="1777"/>
      <c r="Q180" s="1777"/>
      <c r="R180" s="1777"/>
      <c r="S180" s="1777"/>
    </row>
    <row r="181" spans="2:19">
      <c r="B181" s="1771"/>
      <c r="C181" s="1771"/>
      <c r="D181" s="1471"/>
      <c r="E181" s="1471"/>
      <c r="F181" s="1471"/>
      <c r="G181" s="1471"/>
      <c r="H181" s="1775"/>
      <c r="I181" s="1775"/>
      <c r="J181" s="1775"/>
      <c r="K181" s="1775"/>
      <c r="L181" s="1776"/>
      <c r="M181" s="1776"/>
      <c r="N181" s="1776"/>
      <c r="O181" s="1776"/>
      <c r="P181" s="1777"/>
      <c r="Q181" s="1777"/>
      <c r="R181" s="1777"/>
      <c r="S181" s="1777"/>
    </row>
    <row r="182" spans="2:19">
      <c r="B182" s="1771"/>
      <c r="C182" s="1771"/>
      <c r="D182" s="1471"/>
      <c r="E182" s="1471"/>
      <c r="F182" s="1471"/>
      <c r="G182" s="1471"/>
      <c r="H182" s="1775"/>
      <c r="I182" s="1775"/>
      <c r="J182" s="1775"/>
      <c r="K182" s="1775"/>
      <c r="L182" s="1776"/>
      <c r="M182" s="1776"/>
      <c r="N182" s="1776"/>
      <c r="O182" s="1776"/>
      <c r="P182" s="1777"/>
      <c r="Q182" s="1777"/>
      <c r="R182" s="1777"/>
      <c r="S182" s="1777"/>
    </row>
    <row r="183" spans="2:19">
      <c r="B183" s="1771"/>
      <c r="C183" s="1771"/>
      <c r="D183" s="1471"/>
      <c r="E183" s="1471"/>
      <c r="F183" s="1471"/>
      <c r="G183" s="1471"/>
      <c r="H183" s="1775"/>
      <c r="I183" s="1775"/>
      <c r="J183" s="1775"/>
      <c r="K183" s="1775"/>
      <c r="L183" s="1776"/>
      <c r="M183" s="1776"/>
      <c r="N183" s="1776"/>
      <c r="O183" s="1776"/>
      <c r="P183" s="1777"/>
      <c r="Q183" s="1777"/>
      <c r="R183" s="1777"/>
      <c r="S183" s="1777"/>
    </row>
    <row r="184" spans="2:19">
      <c r="B184" s="1787">
        <v>40954</v>
      </c>
      <c r="C184" s="1787"/>
      <c r="D184" s="1788">
        <v>5060.3999999999996</v>
      </c>
      <c r="E184" s="1788"/>
      <c r="F184" s="1788"/>
      <c r="G184" s="1788"/>
      <c r="H184" s="1771" t="s">
        <v>4298</v>
      </c>
      <c r="I184" s="1771"/>
      <c r="J184" s="1771"/>
      <c r="K184" s="1771"/>
      <c r="L184" s="1773">
        <v>912.5</v>
      </c>
      <c r="M184" s="1773"/>
      <c r="N184" s="1772">
        <v>912.5</v>
      </c>
      <c r="O184" s="1772"/>
      <c r="P184" s="1774" t="s">
        <v>4299</v>
      </c>
      <c r="Q184" s="1774"/>
      <c r="R184" s="1774"/>
      <c r="S184" s="1774"/>
    </row>
    <row r="185" spans="2:19">
      <c r="B185" s="1787">
        <v>40983</v>
      </c>
      <c r="C185" s="1787"/>
      <c r="D185" s="1788"/>
      <c r="E185" s="1788"/>
      <c r="F185" s="1788"/>
      <c r="G185" s="1788"/>
      <c r="H185" s="1771" t="s">
        <v>1057</v>
      </c>
      <c r="I185" s="1771"/>
      <c r="J185" s="1771"/>
      <c r="K185" s="1771"/>
      <c r="L185" s="1773">
        <v>912.5</v>
      </c>
      <c r="M185" s="1773"/>
      <c r="N185" s="1772">
        <v>1825</v>
      </c>
      <c r="O185" s="1772"/>
      <c r="P185" s="1774"/>
      <c r="Q185" s="1774"/>
      <c r="R185" s="1774"/>
      <c r="S185" s="1774"/>
    </row>
    <row r="186" spans="2:19">
      <c r="B186" s="1787">
        <v>41014</v>
      </c>
      <c r="C186" s="1787"/>
      <c r="D186" s="1788" t="s">
        <v>1057</v>
      </c>
      <c r="E186" s="1788"/>
      <c r="F186" s="1788"/>
      <c r="G186" s="1788"/>
      <c r="H186" s="1771" t="s">
        <v>1057</v>
      </c>
      <c r="I186" s="1771"/>
      <c r="J186" s="1771"/>
      <c r="K186" s="1771"/>
      <c r="L186" s="1773">
        <v>912.5</v>
      </c>
      <c r="M186" s="1773"/>
      <c r="N186" s="1772">
        <v>2737.5</v>
      </c>
      <c r="O186" s="1772"/>
      <c r="P186" s="1774"/>
      <c r="Q186" s="1774"/>
      <c r="R186" s="1774"/>
      <c r="S186" s="1774"/>
    </row>
    <row r="187" spans="2:19">
      <c r="B187" s="1787">
        <v>41044</v>
      </c>
      <c r="C187" s="1787"/>
      <c r="D187" s="1788" t="s">
        <v>1057</v>
      </c>
      <c r="E187" s="1788"/>
      <c r="F187" s="1788"/>
      <c r="G187" s="1788"/>
      <c r="H187" s="1771"/>
      <c r="I187" s="1771"/>
      <c r="J187" s="1771"/>
      <c r="K187" s="1771"/>
      <c r="L187" s="1773">
        <v>912.5</v>
      </c>
      <c r="M187" s="1773"/>
      <c r="N187" s="1772">
        <v>3650</v>
      </c>
      <c r="O187" s="1772"/>
      <c r="P187" s="1774"/>
      <c r="Q187" s="1774"/>
      <c r="R187" s="1774"/>
      <c r="S187" s="1774"/>
    </row>
    <row r="188" spans="2:19">
      <c r="B188" s="1787">
        <v>41075</v>
      </c>
      <c r="C188" s="1787"/>
      <c r="D188" s="1788" t="s">
        <v>1057</v>
      </c>
      <c r="E188" s="1788"/>
      <c r="F188" s="1788"/>
      <c r="G188" s="1788"/>
      <c r="H188" s="1771"/>
      <c r="I188" s="1771"/>
      <c r="J188" s="1771"/>
      <c r="K188" s="1771"/>
      <c r="L188" s="1773">
        <v>912.5</v>
      </c>
      <c r="M188" s="1773"/>
      <c r="N188" s="1772">
        <v>4562.5</v>
      </c>
      <c r="O188" s="1772"/>
      <c r="P188" s="1774"/>
      <c r="Q188" s="1774"/>
      <c r="R188" s="1774"/>
      <c r="S188" s="1774"/>
    </row>
    <row r="189" spans="2:19">
      <c r="B189" s="1787">
        <v>41105</v>
      </c>
      <c r="C189" s="1787"/>
      <c r="D189" s="1788">
        <v>414.6</v>
      </c>
      <c r="E189" s="1788"/>
      <c r="F189" s="1788"/>
      <c r="G189" s="1788"/>
      <c r="H189" s="1771" t="s">
        <v>4300</v>
      </c>
      <c r="I189" s="1771"/>
      <c r="J189" s="1771"/>
      <c r="K189" s="1771"/>
      <c r="L189" s="1773">
        <v>497.9</v>
      </c>
      <c r="M189" s="1773"/>
      <c r="N189" s="1772">
        <v>5060.3999999999996</v>
      </c>
      <c r="O189" s="1772"/>
      <c r="P189" s="1774"/>
      <c r="Q189" s="1774"/>
      <c r="R189" s="1774"/>
      <c r="S189" s="1774"/>
    </row>
    <row r="190" spans="2:19">
      <c r="B190" s="1787">
        <v>41136</v>
      </c>
      <c r="C190" s="1787"/>
      <c r="D190" s="1788">
        <v>912.5</v>
      </c>
      <c r="E190" s="1788"/>
      <c r="F190" s="1788"/>
      <c r="G190" s="1788"/>
      <c r="H190" s="1771" t="s">
        <v>4267</v>
      </c>
      <c r="I190" s="1771"/>
      <c r="J190" s="1771"/>
      <c r="K190" s="1771"/>
      <c r="L190" s="1773"/>
      <c r="M190" s="1773"/>
      <c r="N190" s="1772"/>
      <c r="O190" s="1772"/>
      <c r="P190" s="1774"/>
      <c r="Q190" s="1774"/>
      <c r="R190" s="1774"/>
      <c r="S190" s="1774"/>
    </row>
    <row r="191" spans="2:19">
      <c r="B191" s="1787">
        <v>41167</v>
      </c>
      <c r="C191" s="1787"/>
      <c r="D191" s="1788">
        <v>912.5</v>
      </c>
      <c r="E191" s="1788"/>
      <c r="F191" s="1788"/>
      <c r="G191" s="1788"/>
      <c r="H191" s="1771" t="s">
        <v>4267</v>
      </c>
      <c r="I191" s="1771"/>
      <c r="J191" s="1771"/>
      <c r="K191" s="1771"/>
      <c r="L191" s="1773"/>
      <c r="M191" s="1773"/>
      <c r="N191" s="1772"/>
      <c r="O191" s="1772"/>
      <c r="P191" s="1774"/>
      <c r="Q191" s="1774"/>
      <c r="R191" s="1774"/>
      <c r="S191" s="1774"/>
    </row>
    <row r="192" spans="2:19">
      <c r="B192" s="1787">
        <v>41197</v>
      </c>
      <c r="C192" s="1787"/>
      <c r="D192" s="1788">
        <v>912.5</v>
      </c>
      <c r="E192" s="1788"/>
      <c r="F192" s="1788"/>
      <c r="G192" s="1788"/>
      <c r="H192" s="1771" t="s">
        <v>4267</v>
      </c>
      <c r="I192" s="1771"/>
      <c r="J192" s="1771"/>
      <c r="K192" s="1771"/>
      <c r="L192" s="1773"/>
      <c r="M192" s="1773"/>
      <c r="N192" s="1772"/>
      <c r="O192" s="1772"/>
      <c r="P192" s="1774"/>
      <c r="Q192" s="1774"/>
      <c r="R192" s="1774"/>
      <c r="S192" s="1774"/>
    </row>
    <row r="193" spans="1:19">
      <c r="B193" s="1787">
        <v>41228</v>
      </c>
      <c r="C193" s="1787"/>
      <c r="D193" s="1788">
        <v>912.5</v>
      </c>
      <c r="E193" s="1788"/>
      <c r="F193" s="1788"/>
      <c r="G193" s="1788"/>
      <c r="H193" s="1771" t="s">
        <v>4267</v>
      </c>
      <c r="I193" s="1771"/>
      <c r="J193" s="1771"/>
      <c r="K193" s="1771"/>
      <c r="L193" s="1773"/>
      <c r="M193" s="1773"/>
      <c r="N193" s="1772"/>
      <c r="O193" s="1772"/>
      <c r="P193" s="1774"/>
      <c r="Q193" s="1774"/>
      <c r="R193" s="1774"/>
      <c r="S193" s="1774"/>
    </row>
    <row r="194" spans="1:19">
      <c r="B194" s="1787">
        <v>41258</v>
      </c>
      <c r="C194" s="1787"/>
      <c r="D194" s="1788">
        <v>912.5</v>
      </c>
      <c r="E194" s="1788"/>
      <c r="F194" s="1788"/>
      <c r="G194" s="1788"/>
      <c r="H194" s="1771" t="s">
        <v>4267</v>
      </c>
      <c r="I194" s="1771"/>
      <c r="J194" s="1771"/>
      <c r="K194" s="1771"/>
      <c r="L194" s="1773"/>
      <c r="M194" s="1773"/>
      <c r="N194" s="1772"/>
      <c r="O194" s="1772"/>
      <c r="P194" s="1774"/>
      <c r="Q194" s="1774"/>
      <c r="R194" s="1774"/>
      <c r="S194" s="1774"/>
    </row>
    <row r="195" spans="1:19">
      <c r="B195" s="1787">
        <v>41289</v>
      </c>
      <c r="C195" s="1787"/>
      <c r="D195" s="1788">
        <v>912.5</v>
      </c>
      <c r="E195" s="1788"/>
      <c r="F195" s="1788"/>
      <c r="G195" s="1788"/>
      <c r="H195" s="1771" t="s">
        <v>4267</v>
      </c>
      <c r="I195" s="1771"/>
      <c r="J195" s="1771"/>
      <c r="K195" s="1771"/>
      <c r="L195" s="1773"/>
      <c r="M195" s="1773"/>
      <c r="N195" s="1772"/>
      <c r="O195" s="1772"/>
      <c r="P195" s="1774"/>
      <c r="Q195" s="1774"/>
      <c r="R195" s="1774"/>
      <c r="S195" s="1774"/>
    </row>
    <row r="198" spans="1:19" ht="12.75" customHeight="1">
      <c r="A198" s="1287" t="s">
        <v>4605</v>
      </c>
      <c r="B198" s="1216"/>
      <c r="C198" s="1216"/>
      <c r="D198" s="1216"/>
      <c r="E198" s="1216"/>
      <c r="F198" s="1216"/>
      <c r="G198" s="1216"/>
      <c r="H198" s="1216"/>
      <c r="I198" s="1216"/>
      <c r="J198" s="1216"/>
      <c r="K198" s="1216"/>
      <c r="L198" s="1216"/>
      <c r="M198" s="1216"/>
      <c r="N198" s="1216"/>
      <c r="O198" s="1216"/>
      <c r="P198" s="1216"/>
      <c r="Q198" s="1216"/>
      <c r="R198" s="1216"/>
      <c r="S198" s="1216"/>
    </row>
    <row r="199" spans="1:19">
      <c r="A199" s="1216"/>
      <c r="B199" s="1216"/>
      <c r="C199" s="1216"/>
      <c r="D199" s="1216"/>
      <c r="E199" s="1216"/>
      <c r="F199" s="1216"/>
      <c r="G199" s="1216"/>
      <c r="H199" s="1216"/>
      <c r="I199" s="1216"/>
      <c r="J199" s="1216"/>
      <c r="K199" s="1216"/>
      <c r="L199" s="1216"/>
      <c r="M199" s="1216"/>
      <c r="N199" s="1216"/>
      <c r="O199" s="1216"/>
      <c r="P199" s="1216"/>
      <c r="Q199" s="1216"/>
      <c r="R199" s="1216"/>
      <c r="S199" s="1216"/>
    </row>
    <row r="200" spans="1:19">
      <c r="A200" s="1216"/>
      <c r="B200" s="1216"/>
      <c r="C200" s="1216"/>
      <c r="D200" s="1216"/>
      <c r="E200" s="1216"/>
      <c r="F200" s="1216"/>
      <c r="G200" s="1216"/>
      <c r="H200" s="1216"/>
      <c r="I200" s="1216"/>
      <c r="J200" s="1216"/>
      <c r="K200" s="1216"/>
      <c r="L200" s="1216"/>
      <c r="M200" s="1216"/>
      <c r="N200" s="1216"/>
      <c r="O200" s="1216"/>
      <c r="P200" s="1216"/>
      <c r="Q200" s="1216"/>
      <c r="R200" s="1216"/>
      <c r="S200" s="1216"/>
    </row>
    <row r="201" spans="1:19">
      <c r="A201" s="1216"/>
      <c r="B201" s="1216"/>
      <c r="C201" s="1216"/>
      <c r="D201" s="1216"/>
      <c r="E201" s="1216"/>
      <c r="F201" s="1216"/>
      <c r="G201" s="1216"/>
      <c r="H201" s="1216"/>
      <c r="I201" s="1216"/>
      <c r="J201" s="1216"/>
      <c r="K201" s="1216"/>
      <c r="L201" s="1216"/>
      <c r="M201" s="1216"/>
      <c r="N201" s="1216"/>
      <c r="O201" s="1216"/>
      <c r="P201" s="1216"/>
      <c r="Q201" s="1216"/>
      <c r="R201" s="1216"/>
      <c r="S201" s="1216"/>
    </row>
    <row r="202" spans="1:19">
      <c r="B202" s="1799" t="s">
        <v>4301</v>
      </c>
      <c r="C202" s="1799"/>
      <c r="D202" s="1799"/>
      <c r="E202" s="1799"/>
      <c r="F202" s="1799"/>
      <c r="G202" s="1799"/>
      <c r="H202" s="1799"/>
      <c r="I202" s="1799"/>
      <c r="J202" s="1799"/>
      <c r="K202" s="1799"/>
      <c r="L202" s="1799"/>
      <c r="M202" s="1799"/>
      <c r="N202" s="1799"/>
      <c r="O202" s="1799"/>
      <c r="P202" s="1799"/>
      <c r="Q202" s="1799"/>
      <c r="R202" s="1799"/>
      <c r="S202" s="1799"/>
    </row>
    <row r="203" spans="1:19" ht="12.75" customHeight="1">
      <c r="A203" s="1795" t="s">
        <v>4606</v>
      </c>
      <c r="B203" s="1795"/>
      <c r="C203" s="1795"/>
      <c r="D203" s="1795"/>
      <c r="E203" s="1795"/>
      <c r="F203" s="1795"/>
      <c r="G203" s="1795"/>
      <c r="H203" s="1795"/>
      <c r="I203" s="1795"/>
      <c r="J203" s="1795"/>
      <c r="K203" s="1795"/>
      <c r="L203" s="1795"/>
      <c r="M203" s="1795"/>
      <c r="N203" s="1795"/>
      <c r="O203" s="1795"/>
      <c r="P203" s="1795"/>
      <c r="Q203" s="1795"/>
      <c r="R203" s="1795"/>
      <c r="S203" s="1795"/>
    </row>
    <row r="204" spans="1:19" ht="12.75" customHeight="1">
      <c r="A204" s="1795"/>
      <c r="B204" s="1795"/>
      <c r="C204" s="1795"/>
      <c r="D204" s="1795"/>
      <c r="E204" s="1795"/>
      <c r="F204" s="1795"/>
      <c r="G204" s="1795"/>
      <c r="H204" s="1795"/>
      <c r="I204" s="1795"/>
      <c r="J204" s="1795"/>
      <c r="K204" s="1795"/>
      <c r="L204" s="1795"/>
      <c r="M204" s="1795"/>
      <c r="N204" s="1795"/>
      <c r="O204" s="1795"/>
      <c r="P204" s="1795"/>
      <c r="Q204" s="1795"/>
      <c r="R204" s="1795"/>
      <c r="S204" s="1795"/>
    </row>
    <row r="205" spans="1:19">
      <c r="A205" s="1795"/>
      <c r="B205" s="1795"/>
      <c r="C205" s="1795"/>
      <c r="D205" s="1795"/>
      <c r="E205" s="1795"/>
      <c r="F205" s="1795"/>
      <c r="G205" s="1795"/>
      <c r="H205" s="1795"/>
      <c r="I205" s="1795"/>
      <c r="J205" s="1795"/>
      <c r="K205" s="1795"/>
      <c r="L205" s="1795"/>
      <c r="M205" s="1795"/>
      <c r="N205" s="1795"/>
      <c r="O205" s="1795"/>
      <c r="P205" s="1795"/>
      <c r="Q205" s="1795"/>
      <c r="R205" s="1795"/>
      <c r="S205" s="1795"/>
    </row>
    <row r="206" spans="1:19">
      <c r="A206" s="1795"/>
      <c r="B206" s="1795"/>
      <c r="C206" s="1795"/>
      <c r="D206" s="1795"/>
      <c r="E206" s="1795"/>
      <c r="F206" s="1795"/>
      <c r="G206" s="1795"/>
      <c r="H206" s="1795"/>
      <c r="I206" s="1795"/>
      <c r="J206" s="1795"/>
      <c r="K206" s="1795"/>
      <c r="L206" s="1795"/>
      <c r="M206" s="1795"/>
      <c r="N206" s="1795"/>
      <c r="O206" s="1795"/>
      <c r="P206" s="1795"/>
      <c r="Q206" s="1795"/>
      <c r="R206" s="1795"/>
      <c r="S206" s="1795"/>
    </row>
    <row r="207" spans="1:19" ht="12.75" customHeight="1">
      <c r="A207" s="1795" t="s">
        <v>4607</v>
      </c>
      <c r="B207" s="1795"/>
      <c r="C207" s="1795"/>
      <c r="D207" s="1795"/>
      <c r="E207" s="1795"/>
      <c r="F207" s="1795"/>
      <c r="G207" s="1795"/>
      <c r="H207" s="1795"/>
      <c r="I207" s="1795"/>
      <c r="J207" s="1795"/>
      <c r="K207" s="1795"/>
      <c r="L207" s="1795"/>
      <c r="M207" s="1795"/>
      <c r="N207" s="1795"/>
      <c r="O207" s="1795"/>
      <c r="P207" s="1795"/>
      <c r="Q207" s="1795"/>
      <c r="R207" s="1795"/>
      <c r="S207" s="1795"/>
    </row>
    <row r="208" spans="1:19">
      <c r="A208" s="1795"/>
      <c r="B208" s="1795"/>
      <c r="C208" s="1795"/>
      <c r="D208" s="1795"/>
      <c r="E208" s="1795"/>
      <c r="F208" s="1795"/>
      <c r="G208" s="1795"/>
      <c r="H208" s="1795"/>
      <c r="I208" s="1795"/>
      <c r="J208" s="1795"/>
      <c r="K208" s="1795"/>
      <c r="L208" s="1795"/>
      <c r="M208" s="1795"/>
      <c r="N208" s="1795"/>
      <c r="O208" s="1795"/>
      <c r="P208" s="1795"/>
      <c r="Q208" s="1795"/>
      <c r="R208" s="1795"/>
      <c r="S208" s="1795"/>
    </row>
    <row r="209" spans="1:19">
      <c r="A209" s="1795"/>
      <c r="B209" s="1795"/>
      <c r="C209" s="1795"/>
      <c r="D209" s="1795"/>
      <c r="E209" s="1795"/>
      <c r="F209" s="1795"/>
      <c r="G209" s="1795"/>
      <c r="H209" s="1795"/>
      <c r="I209" s="1795"/>
      <c r="J209" s="1795"/>
      <c r="K209" s="1795"/>
      <c r="L209" s="1795"/>
      <c r="M209" s="1795"/>
      <c r="N209" s="1795"/>
      <c r="O209" s="1795"/>
      <c r="P209" s="1795"/>
      <c r="Q209" s="1795"/>
      <c r="R209" s="1795"/>
      <c r="S209" s="1795"/>
    </row>
    <row r="210" spans="1:19">
      <c r="A210" s="1795"/>
      <c r="B210" s="1795"/>
      <c r="C210" s="1795"/>
      <c r="D210" s="1795"/>
      <c r="E210" s="1795"/>
      <c r="F210" s="1795"/>
      <c r="G210" s="1795"/>
      <c r="H210" s="1795"/>
      <c r="I210" s="1795"/>
      <c r="J210" s="1795"/>
      <c r="K210" s="1795"/>
      <c r="L210" s="1795"/>
      <c r="M210" s="1795"/>
      <c r="N210" s="1795"/>
      <c r="O210" s="1795"/>
      <c r="P210" s="1795"/>
      <c r="Q210" s="1795"/>
      <c r="R210" s="1795"/>
      <c r="S210" s="1795"/>
    </row>
    <row r="211" spans="1:19">
      <c r="A211" s="1795"/>
      <c r="B211" s="1795"/>
      <c r="C211" s="1795"/>
      <c r="D211" s="1795"/>
      <c r="E211" s="1795"/>
      <c r="F211" s="1795"/>
      <c r="G211" s="1795"/>
      <c r="H211" s="1795"/>
      <c r="I211" s="1795"/>
      <c r="J211" s="1795"/>
      <c r="K211" s="1795"/>
      <c r="L211" s="1795"/>
      <c r="M211" s="1795"/>
      <c r="N211" s="1795"/>
      <c r="O211" s="1795"/>
      <c r="P211" s="1795"/>
      <c r="Q211" s="1795"/>
      <c r="R211" s="1795"/>
      <c r="S211" s="1795"/>
    </row>
    <row r="212" spans="1:19">
      <c r="A212" s="1795"/>
      <c r="B212" s="1795"/>
      <c r="C212" s="1795"/>
      <c r="D212" s="1795"/>
      <c r="E212" s="1795"/>
      <c r="F212" s="1795"/>
      <c r="G212" s="1795"/>
      <c r="H212" s="1795"/>
      <c r="I212" s="1795"/>
      <c r="J212" s="1795"/>
      <c r="K212" s="1795"/>
      <c r="L212" s="1795"/>
      <c r="M212" s="1795"/>
      <c r="N212" s="1795"/>
      <c r="O212" s="1795"/>
      <c r="P212" s="1795"/>
      <c r="Q212" s="1795"/>
      <c r="R212" s="1795"/>
      <c r="S212" s="1795"/>
    </row>
    <row r="213" spans="1:19" ht="12.75" customHeight="1">
      <c r="A213" s="1795"/>
      <c r="B213" s="1795"/>
      <c r="C213" s="1795"/>
      <c r="D213" s="1795"/>
      <c r="E213" s="1795"/>
      <c r="F213" s="1795"/>
      <c r="G213" s="1795"/>
      <c r="H213" s="1795"/>
      <c r="I213" s="1795"/>
      <c r="J213" s="1795"/>
      <c r="K213" s="1795"/>
      <c r="L213" s="1795"/>
      <c r="M213" s="1795"/>
      <c r="N213" s="1795"/>
      <c r="O213" s="1795"/>
      <c r="P213" s="1795"/>
      <c r="Q213" s="1795"/>
      <c r="R213" s="1795"/>
      <c r="S213" s="1795"/>
    </row>
    <row r="214" spans="1:19">
      <c r="A214" s="1795"/>
      <c r="B214" s="1795"/>
      <c r="C214" s="1795"/>
      <c r="D214" s="1795"/>
      <c r="E214" s="1795"/>
      <c r="F214" s="1795"/>
      <c r="G214" s="1795"/>
      <c r="H214" s="1795"/>
      <c r="I214" s="1795"/>
      <c r="J214" s="1795"/>
      <c r="K214" s="1795"/>
      <c r="L214" s="1795"/>
      <c r="M214" s="1795"/>
      <c r="N214" s="1795"/>
      <c r="O214" s="1795"/>
      <c r="P214" s="1795"/>
      <c r="Q214" s="1795"/>
      <c r="R214" s="1795"/>
      <c r="S214" s="1795"/>
    </row>
    <row r="215" spans="1:19">
      <c r="A215" s="1795"/>
      <c r="B215" s="1795"/>
      <c r="C215" s="1795"/>
      <c r="D215" s="1795"/>
      <c r="E215" s="1795"/>
      <c r="F215" s="1795"/>
      <c r="G215" s="1795"/>
      <c r="H215" s="1795"/>
      <c r="I215" s="1795"/>
      <c r="J215" s="1795"/>
      <c r="K215" s="1795"/>
      <c r="L215" s="1795"/>
      <c r="M215" s="1795"/>
      <c r="N215" s="1795"/>
      <c r="O215" s="1795"/>
      <c r="P215" s="1795"/>
      <c r="Q215" s="1795"/>
      <c r="R215" s="1795"/>
      <c r="S215" s="1795"/>
    </row>
    <row r="216" spans="1:19">
      <c r="A216" s="1795"/>
      <c r="B216" s="1795"/>
      <c r="C216" s="1795"/>
      <c r="D216" s="1795"/>
      <c r="E216" s="1795"/>
      <c r="F216" s="1795"/>
      <c r="G216" s="1795"/>
      <c r="H216" s="1795"/>
      <c r="I216" s="1795"/>
      <c r="J216" s="1795"/>
      <c r="K216" s="1795"/>
      <c r="L216" s="1795"/>
      <c r="M216" s="1795"/>
      <c r="N216" s="1795"/>
      <c r="O216" s="1795"/>
      <c r="P216" s="1795"/>
      <c r="Q216" s="1795"/>
      <c r="R216" s="1795"/>
      <c r="S216" s="1795"/>
    </row>
    <row r="217" spans="1:19" ht="12.75" customHeight="1">
      <c r="A217" s="1287" t="s">
        <v>4608</v>
      </c>
      <c r="B217" s="1216"/>
      <c r="C217" s="1216"/>
      <c r="D217" s="1216"/>
      <c r="E217" s="1216"/>
      <c r="F217" s="1216"/>
      <c r="G217" s="1216"/>
      <c r="H217" s="1216"/>
      <c r="I217" s="1216"/>
      <c r="J217" s="1216"/>
      <c r="K217" s="1216"/>
      <c r="L217" s="1216"/>
      <c r="M217" s="1216"/>
      <c r="N217" s="1216"/>
      <c r="O217" s="1216"/>
      <c r="P217" s="1216"/>
      <c r="Q217" s="1216"/>
      <c r="R217" s="1216"/>
      <c r="S217" s="1216"/>
    </row>
    <row r="218" spans="1:19">
      <c r="A218" s="1216"/>
      <c r="B218" s="1216"/>
      <c r="C218" s="1216"/>
      <c r="D218" s="1216"/>
      <c r="E218" s="1216"/>
      <c r="F218" s="1216"/>
      <c r="G218" s="1216"/>
      <c r="H218" s="1216"/>
      <c r="I218" s="1216"/>
      <c r="J218" s="1216"/>
      <c r="K218" s="1216"/>
      <c r="L218" s="1216"/>
      <c r="M218" s="1216"/>
      <c r="N218" s="1216"/>
      <c r="O218" s="1216"/>
      <c r="P218" s="1216"/>
      <c r="Q218" s="1216"/>
      <c r="R218" s="1216"/>
      <c r="S218" s="1216"/>
    </row>
    <row r="219" spans="1:19">
      <c r="A219" s="1216"/>
      <c r="B219" s="1216"/>
      <c r="C219" s="1216"/>
      <c r="D219" s="1216"/>
      <c r="E219" s="1216"/>
      <c r="F219" s="1216"/>
      <c r="G219" s="1216"/>
      <c r="H219" s="1216"/>
      <c r="I219" s="1216"/>
      <c r="J219" s="1216"/>
      <c r="K219" s="1216"/>
      <c r="L219" s="1216"/>
      <c r="M219" s="1216"/>
      <c r="N219" s="1216"/>
      <c r="O219" s="1216"/>
      <c r="P219" s="1216"/>
      <c r="Q219" s="1216"/>
      <c r="R219" s="1216"/>
      <c r="S219" s="1216"/>
    </row>
    <row r="220" spans="1:19">
      <c r="A220" s="1216"/>
      <c r="B220" s="1216"/>
      <c r="C220" s="1216"/>
      <c r="D220" s="1216"/>
      <c r="E220" s="1216"/>
      <c r="F220" s="1216"/>
      <c r="G220" s="1216"/>
      <c r="H220" s="1216"/>
      <c r="I220" s="1216"/>
      <c r="J220" s="1216"/>
      <c r="K220" s="1216"/>
      <c r="L220" s="1216"/>
      <c r="M220" s="1216"/>
      <c r="N220" s="1216"/>
      <c r="O220" s="1216"/>
      <c r="P220" s="1216"/>
      <c r="Q220" s="1216"/>
      <c r="R220" s="1216"/>
      <c r="S220" s="1216"/>
    </row>
    <row r="221" spans="1:19" ht="12.75" customHeight="1">
      <c r="A221" s="1287" t="s">
        <v>4609</v>
      </c>
      <c r="B221" s="1216"/>
      <c r="C221" s="1216"/>
      <c r="D221" s="1216"/>
      <c r="E221" s="1216"/>
      <c r="F221" s="1216"/>
      <c r="G221" s="1216"/>
      <c r="H221" s="1216"/>
      <c r="I221" s="1216"/>
      <c r="J221" s="1216"/>
      <c r="K221" s="1216"/>
      <c r="L221" s="1216"/>
      <c r="M221" s="1216"/>
      <c r="N221" s="1216"/>
      <c r="O221" s="1216"/>
      <c r="P221" s="1216"/>
      <c r="Q221" s="1216"/>
      <c r="R221" s="1216"/>
      <c r="S221" s="1216"/>
    </row>
    <row r="222" spans="1:19">
      <c r="A222" s="1216"/>
      <c r="B222" s="1216"/>
      <c r="C222" s="1216"/>
      <c r="D222" s="1216"/>
      <c r="E222" s="1216"/>
      <c r="F222" s="1216"/>
      <c r="G222" s="1216"/>
      <c r="H222" s="1216"/>
      <c r="I222" s="1216"/>
      <c r="J222" s="1216"/>
      <c r="K222" s="1216"/>
      <c r="L222" s="1216"/>
      <c r="M222" s="1216"/>
      <c r="N222" s="1216"/>
      <c r="O222" s="1216"/>
      <c r="P222" s="1216"/>
      <c r="Q222" s="1216"/>
      <c r="R222" s="1216"/>
      <c r="S222" s="1216"/>
    </row>
    <row r="223" spans="1:19">
      <c r="A223" s="1216"/>
      <c r="B223" s="1216"/>
      <c r="C223" s="1216"/>
      <c r="D223" s="1216"/>
      <c r="E223" s="1216"/>
      <c r="F223" s="1216"/>
      <c r="G223" s="1216"/>
      <c r="H223" s="1216"/>
      <c r="I223" s="1216"/>
      <c r="J223" s="1216"/>
      <c r="K223" s="1216"/>
      <c r="L223" s="1216"/>
      <c r="M223" s="1216"/>
      <c r="N223" s="1216"/>
      <c r="O223" s="1216"/>
      <c r="P223" s="1216"/>
      <c r="Q223" s="1216"/>
      <c r="R223" s="1216"/>
      <c r="S223" s="1216"/>
    </row>
    <row r="224" spans="1:19">
      <c r="A224" s="1216"/>
      <c r="B224" s="1216"/>
      <c r="C224" s="1216"/>
      <c r="D224" s="1216"/>
      <c r="E224" s="1216"/>
      <c r="F224" s="1216"/>
      <c r="G224" s="1216"/>
      <c r="H224" s="1216"/>
      <c r="I224" s="1216"/>
      <c r="J224" s="1216"/>
      <c r="K224" s="1216"/>
      <c r="L224" s="1216"/>
      <c r="M224" s="1216"/>
      <c r="N224" s="1216"/>
      <c r="O224" s="1216"/>
      <c r="P224" s="1216"/>
      <c r="Q224" s="1216"/>
      <c r="R224" s="1216"/>
      <c r="S224" s="1216"/>
    </row>
    <row r="225" spans="1:19">
      <c r="A225" s="1216"/>
      <c r="B225" s="1216"/>
      <c r="C225" s="1216"/>
      <c r="D225" s="1216"/>
      <c r="E225" s="1216"/>
      <c r="F225" s="1216"/>
      <c r="G225" s="1216"/>
      <c r="H225" s="1216"/>
      <c r="I225" s="1216"/>
      <c r="J225" s="1216"/>
      <c r="K225" s="1216"/>
      <c r="L225" s="1216"/>
      <c r="M225" s="1216"/>
      <c r="N225" s="1216"/>
      <c r="O225" s="1216"/>
      <c r="P225" s="1216"/>
      <c r="Q225" s="1216"/>
      <c r="R225" s="1216"/>
      <c r="S225" s="1216"/>
    </row>
    <row r="226" spans="1:19">
      <c r="A226" s="1287" t="s">
        <v>4610</v>
      </c>
      <c r="B226" s="1216"/>
      <c r="C226" s="1216"/>
      <c r="D226" s="1216"/>
      <c r="E226" s="1216"/>
      <c r="F226" s="1216"/>
      <c r="G226" s="1216"/>
      <c r="H226" s="1216"/>
      <c r="I226" s="1216"/>
      <c r="J226" s="1216"/>
      <c r="K226" s="1216"/>
      <c r="L226" s="1216"/>
      <c r="M226" s="1216"/>
      <c r="N226" s="1216"/>
      <c r="O226" s="1216"/>
      <c r="P226" s="1216"/>
      <c r="Q226" s="1216"/>
      <c r="R226" s="1216"/>
      <c r="S226" s="1216"/>
    </row>
    <row r="227" spans="1:19">
      <c r="A227" s="1287"/>
      <c r="B227" s="1216"/>
      <c r="C227" s="1216"/>
      <c r="D227" s="1216"/>
      <c r="E227" s="1216"/>
      <c r="F227" s="1216"/>
      <c r="G227" s="1216"/>
      <c r="H227" s="1216"/>
      <c r="I227" s="1216"/>
      <c r="J227" s="1216"/>
      <c r="K227" s="1216"/>
      <c r="L227" s="1216"/>
      <c r="M227" s="1216"/>
      <c r="N227" s="1216"/>
      <c r="O227" s="1216"/>
      <c r="P227" s="1216"/>
      <c r="Q227" s="1216"/>
      <c r="R227" s="1216"/>
      <c r="S227" s="1216"/>
    </row>
    <row r="228" spans="1:19">
      <c r="A228" s="1287"/>
      <c r="B228" s="1216"/>
      <c r="C228" s="1216"/>
      <c r="D228" s="1216"/>
      <c r="E228" s="1216"/>
      <c r="F228" s="1216"/>
      <c r="G228" s="1216"/>
      <c r="H228" s="1216"/>
      <c r="I228" s="1216"/>
      <c r="J228" s="1216"/>
      <c r="K228" s="1216"/>
      <c r="L228" s="1216"/>
      <c r="M228" s="1216"/>
      <c r="N228" s="1216"/>
      <c r="O228" s="1216"/>
      <c r="P228" s="1216"/>
      <c r="Q228" s="1216"/>
      <c r="R228" s="1216"/>
      <c r="S228" s="1216"/>
    </row>
    <row r="229" spans="1:19">
      <c r="A229" s="1287"/>
      <c r="B229" s="1216"/>
      <c r="C229" s="1216"/>
      <c r="D229" s="1216"/>
      <c r="E229" s="1216"/>
      <c r="F229" s="1216"/>
      <c r="G229" s="1216"/>
      <c r="H229" s="1216"/>
      <c r="I229" s="1216"/>
      <c r="J229" s="1216"/>
      <c r="K229" s="1216"/>
      <c r="L229" s="1216"/>
      <c r="M229" s="1216"/>
      <c r="N229" s="1216"/>
      <c r="O229" s="1216"/>
      <c r="P229" s="1216"/>
      <c r="Q229" s="1216"/>
      <c r="R229" s="1216"/>
      <c r="S229" s="1216"/>
    </row>
    <row r="230" spans="1:19">
      <c r="A230" s="1216"/>
      <c r="B230" s="1216"/>
      <c r="C230" s="1216"/>
      <c r="D230" s="1216"/>
      <c r="E230" s="1216"/>
      <c r="F230" s="1216"/>
      <c r="G230" s="1216"/>
      <c r="H230" s="1216"/>
      <c r="I230" s="1216"/>
      <c r="J230" s="1216"/>
      <c r="K230" s="1216"/>
      <c r="L230" s="1216"/>
      <c r="M230" s="1216"/>
      <c r="N230" s="1216"/>
      <c r="O230" s="1216"/>
      <c r="P230" s="1216"/>
      <c r="Q230" s="1216"/>
      <c r="R230" s="1216"/>
      <c r="S230" s="1216"/>
    </row>
    <row r="231" spans="1:19">
      <c r="A231" s="1216"/>
      <c r="B231" s="1216"/>
      <c r="C231" s="1216"/>
      <c r="D231" s="1216"/>
      <c r="E231" s="1216"/>
      <c r="F231" s="1216"/>
      <c r="G231" s="1216"/>
      <c r="H231" s="1216"/>
      <c r="I231" s="1216"/>
      <c r="J231" s="1216"/>
      <c r="K231" s="1216"/>
      <c r="L231" s="1216"/>
      <c r="M231" s="1216"/>
      <c r="N231" s="1216"/>
      <c r="O231" s="1216"/>
      <c r="P231" s="1216"/>
      <c r="Q231" s="1216"/>
      <c r="R231" s="1216"/>
      <c r="S231" s="1216"/>
    </row>
    <row r="232" spans="1:19">
      <c r="A232" s="1216"/>
      <c r="B232" s="1216"/>
      <c r="C232" s="1216"/>
      <c r="D232" s="1216"/>
      <c r="E232" s="1216"/>
      <c r="F232" s="1216"/>
      <c r="G232" s="1216"/>
      <c r="H232" s="1216"/>
      <c r="I232" s="1216"/>
      <c r="J232" s="1216"/>
      <c r="K232" s="1216"/>
      <c r="L232" s="1216"/>
      <c r="M232" s="1216"/>
      <c r="N232" s="1216"/>
      <c r="O232" s="1216"/>
      <c r="P232" s="1216"/>
      <c r="Q232" s="1216"/>
      <c r="R232" s="1216"/>
      <c r="S232" s="1216"/>
    </row>
    <row r="233" spans="1:19">
      <c r="B233" s="1794" t="s">
        <v>4302</v>
      </c>
      <c r="C233" s="1794"/>
      <c r="D233" s="1794"/>
      <c r="E233" s="1793" t="s">
        <v>4303</v>
      </c>
      <c r="F233" s="1793"/>
      <c r="G233" s="1738" t="s">
        <v>4304</v>
      </c>
      <c r="H233" s="1738"/>
      <c r="I233" s="1738"/>
      <c r="J233" s="1738"/>
      <c r="K233" s="1738"/>
      <c r="L233" s="1738"/>
      <c r="M233" s="1471" t="s">
        <v>4283</v>
      </c>
      <c r="N233" s="1471"/>
      <c r="O233" s="1471"/>
      <c r="P233" s="1471"/>
      <c r="Q233" s="1471"/>
      <c r="R233" s="1471" t="s">
        <v>4270</v>
      </c>
      <c r="S233" s="1471"/>
    </row>
    <row r="234" spans="1:19">
      <c r="B234" s="1794"/>
      <c r="C234" s="1794"/>
      <c r="D234" s="1794"/>
      <c r="E234" s="1793"/>
      <c r="F234" s="1793"/>
      <c r="G234" s="1738"/>
      <c r="H234" s="1738"/>
      <c r="I234" s="1738"/>
      <c r="J234" s="1738"/>
      <c r="K234" s="1738"/>
      <c r="L234" s="1738"/>
      <c r="M234" s="1471"/>
      <c r="N234" s="1471"/>
      <c r="O234" s="1471"/>
      <c r="P234" s="1471"/>
      <c r="Q234" s="1471"/>
      <c r="R234" s="1471"/>
      <c r="S234" s="1471"/>
    </row>
    <row r="235" spans="1:19">
      <c r="B235" s="1794"/>
      <c r="C235" s="1794"/>
      <c r="D235" s="1794"/>
      <c r="E235" s="1793"/>
      <c r="F235" s="1793"/>
      <c r="G235" s="1738"/>
      <c r="H235" s="1738"/>
      <c r="I235" s="1738"/>
      <c r="J235" s="1738"/>
      <c r="K235" s="1738"/>
      <c r="L235" s="1738"/>
      <c r="M235" s="1471"/>
      <c r="N235" s="1471"/>
      <c r="O235" s="1471"/>
      <c r="P235" s="1471"/>
      <c r="Q235" s="1471"/>
      <c r="R235" s="1471"/>
      <c r="S235" s="1471"/>
    </row>
    <row r="236" spans="1:19">
      <c r="B236" s="1794"/>
      <c r="C236" s="1794"/>
      <c r="D236" s="1794"/>
      <c r="E236" s="1793"/>
      <c r="F236" s="1793"/>
      <c r="G236" s="1738"/>
      <c r="H236" s="1738"/>
      <c r="I236" s="1738"/>
      <c r="J236" s="1738"/>
      <c r="K236" s="1738"/>
      <c r="L236" s="1738"/>
      <c r="M236" s="1471"/>
      <c r="N236" s="1471"/>
      <c r="O236" s="1471"/>
      <c r="P236" s="1471"/>
      <c r="Q236" s="1471"/>
      <c r="R236" s="1471"/>
      <c r="S236" s="1471"/>
    </row>
    <row r="237" spans="1:19">
      <c r="B237" s="1810" t="s">
        <v>4306</v>
      </c>
      <c r="C237" s="1810"/>
      <c r="D237" s="1810"/>
      <c r="E237" s="1775">
        <v>95</v>
      </c>
      <c r="F237" s="1775"/>
      <c r="G237" s="1775" t="s">
        <v>4307</v>
      </c>
      <c r="H237" s="1775"/>
      <c r="I237" s="1775"/>
      <c r="J237" s="1775"/>
      <c r="K237" s="1775"/>
      <c r="L237" s="1775"/>
      <c r="M237" s="1775" t="s">
        <v>4308</v>
      </c>
      <c r="N237" s="1775"/>
      <c r="O237" s="1775"/>
      <c r="P237" s="1775"/>
      <c r="Q237" s="1775"/>
      <c r="R237" s="1775">
        <v>577.91</v>
      </c>
      <c r="S237" s="1775"/>
    </row>
    <row r="238" spans="1:19">
      <c r="B238" s="1810"/>
      <c r="C238" s="1810"/>
      <c r="D238" s="1810"/>
      <c r="E238" s="1775"/>
      <c r="F238" s="1775"/>
      <c r="G238" s="1775"/>
      <c r="H238" s="1775"/>
      <c r="I238" s="1775"/>
      <c r="J238" s="1775"/>
      <c r="K238" s="1775"/>
      <c r="L238" s="1775"/>
      <c r="M238" s="1775"/>
      <c r="N238" s="1775"/>
      <c r="O238" s="1775"/>
      <c r="P238" s="1775"/>
      <c r="Q238" s="1775"/>
      <c r="R238" s="1775"/>
      <c r="S238" s="1775"/>
    </row>
    <row r="239" spans="1:19">
      <c r="B239" s="1810"/>
      <c r="C239" s="1810"/>
      <c r="D239" s="1810"/>
      <c r="E239" s="1775"/>
      <c r="F239" s="1775"/>
      <c r="G239" s="1775"/>
      <c r="H239" s="1775"/>
      <c r="I239" s="1775"/>
      <c r="J239" s="1775"/>
      <c r="K239" s="1775"/>
      <c r="L239" s="1775"/>
      <c r="M239" s="1775"/>
      <c r="N239" s="1775"/>
      <c r="O239" s="1775"/>
      <c r="P239" s="1775"/>
      <c r="Q239" s="1775"/>
      <c r="R239" s="1775"/>
      <c r="S239" s="1775"/>
    </row>
    <row r="240" spans="1:19">
      <c r="B240" s="1810"/>
      <c r="C240" s="1810"/>
      <c r="D240" s="1810"/>
      <c r="E240" s="1775"/>
      <c r="F240" s="1775"/>
      <c r="G240" s="1775"/>
      <c r="H240" s="1775"/>
      <c r="I240" s="1775"/>
      <c r="J240" s="1775"/>
      <c r="K240" s="1775"/>
      <c r="L240" s="1775"/>
      <c r="M240" s="1775"/>
      <c r="N240" s="1775"/>
      <c r="O240" s="1775"/>
      <c r="P240" s="1775"/>
      <c r="Q240" s="1775"/>
      <c r="R240" s="1775"/>
      <c r="S240" s="1775"/>
    </row>
    <row r="241" spans="2:19" ht="12" customHeight="1">
      <c r="B241" s="1776" t="s">
        <v>4309</v>
      </c>
      <c r="C241" s="1776"/>
      <c r="D241" s="1776"/>
      <c r="E241" s="1812" t="s">
        <v>4611</v>
      </c>
      <c r="F241" s="1812"/>
      <c r="G241" s="1796" t="s">
        <v>4612</v>
      </c>
      <c r="H241" s="1775"/>
      <c r="I241" s="1775"/>
      <c r="J241" s="1775"/>
      <c r="K241" s="1775"/>
      <c r="L241" s="1775"/>
      <c r="M241" s="1775" t="s">
        <v>4310</v>
      </c>
      <c r="N241" s="1775"/>
      <c r="O241" s="1775"/>
      <c r="P241" s="1775"/>
      <c r="Q241" s="1775"/>
      <c r="R241" s="1775">
        <v>117.65</v>
      </c>
      <c r="S241" s="1775"/>
    </row>
    <row r="242" spans="2:19" ht="12" customHeight="1">
      <c r="B242" s="1776"/>
      <c r="C242" s="1776"/>
      <c r="D242" s="1776"/>
      <c r="E242" s="1812"/>
      <c r="F242" s="1812"/>
      <c r="G242" s="1775"/>
      <c r="H242" s="1775"/>
      <c r="I242" s="1775"/>
      <c r="J242" s="1775"/>
      <c r="K242" s="1775"/>
      <c r="L242" s="1775"/>
      <c r="M242" s="1775"/>
      <c r="N242" s="1775"/>
      <c r="O242" s="1775"/>
      <c r="P242" s="1775"/>
      <c r="Q242" s="1775"/>
      <c r="R242" s="1775"/>
      <c r="S242" s="1775"/>
    </row>
    <row r="243" spans="2:19" ht="12" customHeight="1">
      <c r="B243" s="1776"/>
      <c r="C243" s="1776"/>
      <c r="D243" s="1776"/>
      <c r="E243" s="1812"/>
      <c r="F243" s="1812"/>
      <c r="G243" s="1775"/>
      <c r="H243" s="1775"/>
      <c r="I243" s="1775"/>
      <c r="J243" s="1775"/>
      <c r="K243" s="1775"/>
      <c r="L243" s="1775"/>
      <c r="M243" s="1775"/>
      <c r="N243" s="1775"/>
      <c r="O243" s="1775"/>
      <c r="P243" s="1775"/>
      <c r="Q243" s="1775"/>
      <c r="R243" s="1775"/>
      <c r="S243" s="1775"/>
    </row>
    <row r="244" spans="2:19" ht="12" customHeight="1">
      <c r="B244" s="1776"/>
      <c r="C244" s="1776"/>
      <c r="D244" s="1776"/>
      <c r="E244" s="1812"/>
      <c r="F244" s="1812"/>
      <c r="G244" s="1775"/>
      <c r="H244" s="1775"/>
      <c r="I244" s="1775"/>
      <c r="J244" s="1775"/>
      <c r="K244" s="1775"/>
      <c r="L244" s="1775"/>
      <c r="M244" s="1775"/>
      <c r="N244" s="1775"/>
      <c r="O244" s="1775"/>
      <c r="P244" s="1775"/>
      <c r="Q244" s="1775"/>
      <c r="R244" s="1775"/>
      <c r="S244" s="1775"/>
    </row>
    <row r="245" spans="2:19">
      <c r="B245" s="1776" t="s">
        <v>4311</v>
      </c>
      <c r="C245" s="1776"/>
      <c r="D245" s="1776"/>
      <c r="E245" s="1812"/>
      <c r="F245" s="1812"/>
      <c r="G245" s="1775"/>
      <c r="H245" s="1775"/>
      <c r="I245" s="1775"/>
      <c r="J245" s="1775"/>
      <c r="K245" s="1775"/>
      <c r="L245" s="1775"/>
      <c r="M245" s="1775" t="s">
        <v>4312</v>
      </c>
      <c r="N245" s="1775"/>
      <c r="O245" s="1775"/>
      <c r="P245" s="1775"/>
      <c r="Q245" s="1775"/>
      <c r="R245" s="1775"/>
      <c r="S245" s="1775"/>
    </row>
    <row r="246" spans="2:19">
      <c r="B246" s="1776"/>
      <c r="C246" s="1776"/>
      <c r="D246" s="1776"/>
      <c r="E246" s="1812"/>
      <c r="F246" s="1812"/>
      <c r="G246" s="1775"/>
      <c r="H246" s="1775"/>
      <c r="I246" s="1775"/>
      <c r="J246" s="1775"/>
      <c r="K246" s="1775"/>
      <c r="L246" s="1775"/>
      <c r="M246" s="1775"/>
      <c r="N246" s="1775"/>
      <c r="O246" s="1775"/>
      <c r="P246" s="1775"/>
      <c r="Q246" s="1775"/>
      <c r="R246" s="1775"/>
      <c r="S246" s="1775"/>
    </row>
    <row r="247" spans="2:19">
      <c r="B247" s="1776"/>
      <c r="C247" s="1776"/>
      <c r="D247" s="1776"/>
      <c r="E247" s="1812"/>
      <c r="F247" s="1812"/>
      <c r="G247" s="1775"/>
      <c r="H247" s="1775"/>
      <c r="I247" s="1775"/>
      <c r="J247" s="1775"/>
      <c r="K247" s="1775"/>
      <c r="L247" s="1775"/>
      <c r="M247" s="1775"/>
      <c r="N247" s="1775"/>
      <c r="O247" s="1775"/>
      <c r="P247" s="1775"/>
      <c r="Q247" s="1775"/>
      <c r="R247" s="1775"/>
      <c r="S247" s="1775"/>
    </row>
    <row r="248" spans="2:19">
      <c r="B248" s="1776"/>
      <c r="C248" s="1776"/>
      <c r="D248" s="1776"/>
      <c r="E248" s="1812"/>
      <c r="F248" s="1812"/>
      <c r="G248" s="1775"/>
      <c r="H248" s="1775"/>
      <c r="I248" s="1775"/>
      <c r="J248" s="1775"/>
      <c r="K248" s="1775"/>
      <c r="L248" s="1775"/>
      <c r="M248" s="1775"/>
      <c r="N248" s="1775"/>
      <c r="O248" s="1775"/>
      <c r="P248" s="1775"/>
      <c r="Q248" s="1775"/>
      <c r="R248" s="1775"/>
      <c r="S248" s="1775"/>
    </row>
    <row r="249" spans="2:19">
      <c r="B249" s="1774" t="s">
        <v>4313</v>
      </c>
      <c r="C249" s="1774"/>
      <c r="D249" s="1774"/>
      <c r="E249" s="1775">
        <v>90</v>
      </c>
      <c r="F249" s="1775"/>
      <c r="G249" s="1775" t="s">
        <v>4314</v>
      </c>
      <c r="H249" s="1775"/>
      <c r="I249" s="1775"/>
      <c r="J249" s="1775"/>
      <c r="K249" s="1775"/>
      <c r="L249" s="1775"/>
      <c r="M249" s="1775" t="s">
        <v>4315</v>
      </c>
      <c r="N249" s="1775"/>
      <c r="O249" s="1775"/>
      <c r="P249" s="1775"/>
      <c r="Q249" s="1775"/>
      <c r="R249" s="1775">
        <v>547.49</v>
      </c>
      <c r="S249" s="1775"/>
    </row>
    <row r="250" spans="2:19">
      <c r="B250" s="1774"/>
      <c r="C250" s="1774"/>
      <c r="D250" s="1774"/>
      <c r="E250" s="1775"/>
      <c r="F250" s="1775"/>
      <c r="G250" s="1775"/>
      <c r="H250" s="1775"/>
      <c r="I250" s="1775"/>
      <c r="J250" s="1775"/>
      <c r="K250" s="1775"/>
      <c r="L250" s="1775"/>
      <c r="M250" s="1775"/>
      <c r="N250" s="1775"/>
      <c r="O250" s="1775"/>
      <c r="P250" s="1775"/>
      <c r="Q250" s="1775"/>
      <c r="R250" s="1775"/>
      <c r="S250" s="1775"/>
    </row>
    <row r="251" spans="2:19">
      <c r="B251" s="1774"/>
      <c r="C251" s="1774"/>
      <c r="D251" s="1774"/>
      <c r="E251" s="1775"/>
      <c r="F251" s="1775"/>
      <c r="G251" s="1775"/>
      <c r="H251" s="1775"/>
      <c r="I251" s="1775"/>
      <c r="J251" s="1775"/>
      <c r="K251" s="1775"/>
      <c r="L251" s="1775"/>
      <c r="M251" s="1775"/>
      <c r="N251" s="1775"/>
      <c r="O251" s="1775"/>
      <c r="P251" s="1775"/>
      <c r="Q251" s="1775"/>
      <c r="R251" s="1775"/>
      <c r="S251" s="1775"/>
    </row>
    <row r="252" spans="2:19">
      <c r="B252" s="1774"/>
      <c r="C252" s="1774"/>
      <c r="D252" s="1774"/>
      <c r="E252" s="1775"/>
      <c r="F252" s="1775"/>
      <c r="G252" s="1775"/>
      <c r="H252" s="1775"/>
      <c r="I252" s="1775"/>
      <c r="J252" s="1775"/>
      <c r="K252" s="1775"/>
      <c r="L252" s="1775"/>
      <c r="M252" s="1775"/>
      <c r="N252" s="1775"/>
      <c r="O252" s="1775"/>
      <c r="P252" s="1775"/>
      <c r="Q252" s="1775"/>
      <c r="R252" s="1775"/>
      <c r="S252" s="1775"/>
    </row>
    <row r="253" spans="2:19">
      <c r="B253" s="1776" t="s">
        <v>4316</v>
      </c>
      <c r="C253" s="1776"/>
      <c r="D253" s="1776"/>
      <c r="E253" s="1738" t="s">
        <v>4317</v>
      </c>
      <c r="F253" s="1738"/>
      <c r="G253" s="1738"/>
      <c r="H253" s="1738"/>
      <c r="I253" s="1738"/>
      <c r="J253" s="1738"/>
      <c r="K253" s="1738"/>
      <c r="L253" s="1738"/>
      <c r="M253" s="1738"/>
      <c r="N253" s="1738"/>
      <c r="O253" s="1738"/>
      <c r="P253" s="1738"/>
      <c r="Q253" s="1738"/>
      <c r="R253" s="1775">
        <v>148.07</v>
      </c>
      <c r="S253" s="1775"/>
    </row>
    <row r="254" spans="2:19">
      <c r="B254" s="1776"/>
      <c r="C254" s="1776"/>
      <c r="D254" s="1776"/>
      <c r="E254" s="1738"/>
      <c r="F254" s="1738"/>
      <c r="G254" s="1738"/>
      <c r="H254" s="1738"/>
      <c r="I254" s="1738"/>
      <c r="J254" s="1738"/>
      <c r="K254" s="1738"/>
      <c r="L254" s="1738"/>
      <c r="M254" s="1738"/>
      <c r="N254" s="1738"/>
      <c r="O254" s="1738"/>
      <c r="P254" s="1738"/>
      <c r="Q254" s="1738"/>
      <c r="R254" s="1775"/>
      <c r="S254" s="1775"/>
    </row>
    <row r="255" spans="2:19">
      <c r="B255" s="1776"/>
      <c r="C255" s="1776"/>
      <c r="D255" s="1776"/>
      <c r="E255" s="1738"/>
      <c r="F255" s="1738"/>
      <c r="G255" s="1738"/>
      <c r="H255" s="1738"/>
      <c r="I255" s="1738"/>
      <c r="J255" s="1738"/>
      <c r="K255" s="1738"/>
      <c r="L255" s="1738"/>
      <c r="M255" s="1738"/>
      <c r="N255" s="1738"/>
      <c r="O255" s="1738"/>
      <c r="P255" s="1738"/>
      <c r="Q255" s="1738"/>
      <c r="R255" s="1775"/>
      <c r="S255" s="1775"/>
    </row>
    <row r="257" spans="1:19" ht="12.75" customHeight="1">
      <c r="A257" s="1287" t="s">
        <v>4613</v>
      </c>
      <c r="B257" s="1216"/>
      <c r="C257" s="1216"/>
      <c r="D257" s="1216"/>
      <c r="E257" s="1216"/>
      <c r="F257" s="1216"/>
      <c r="G257" s="1216"/>
      <c r="H257" s="1216"/>
      <c r="I257" s="1216"/>
      <c r="J257" s="1216"/>
      <c r="K257" s="1216"/>
      <c r="L257" s="1216"/>
      <c r="M257" s="1216"/>
      <c r="N257" s="1216"/>
      <c r="O257" s="1216"/>
      <c r="P257" s="1216"/>
      <c r="Q257" s="1216"/>
      <c r="R257" s="1216"/>
      <c r="S257" s="1216"/>
    </row>
    <row r="258" spans="1:19" ht="12.75" customHeight="1">
      <c r="A258" s="1216"/>
      <c r="B258" s="1216"/>
      <c r="C258" s="1216"/>
      <c r="D258" s="1216"/>
      <c r="E258" s="1216"/>
      <c r="F258" s="1216"/>
      <c r="G258" s="1216"/>
      <c r="H258" s="1216"/>
      <c r="I258" s="1216"/>
      <c r="J258" s="1216"/>
      <c r="K258" s="1216"/>
      <c r="L258" s="1216"/>
      <c r="M258" s="1216"/>
      <c r="N258" s="1216"/>
      <c r="O258" s="1216"/>
      <c r="P258" s="1216"/>
      <c r="Q258" s="1216"/>
      <c r="R258" s="1216"/>
      <c r="S258" s="1216"/>
    </row>
    <row r="259" spans="1:19" ht="12.75" customHeight="1">
      <c r="A259" s="1216"/>
      <c r="B259" s="1216"/>
      <c r="C259" s="1216"/>
      <c r="D259" s="1216"/>
      <c r="E259" s="1216"/>
      <c r="F259" s="1216"/>
      <c r="G259" s="1216"/>
      <c r="H259" s="1216"/>
      <c r="I259" s="1216"/>
      <c r="J259" s="1216"/>
      <c r="K259" s="1216"/>
      <c r="L259" s="1216"/>
      <c r="M259" s="1216"/>
      <c r="N259" s="1216"/>
      <c r="O259" s="1216"/>
      <c r="P259" s="1216"/>
      <c r="Q259" s="1216"/>
      <c r="R259" s="1216"/>
      <c r="S259" s="1216"/>
    </row>
    <row r="260" spans="1:19" ht="12.75" customHeight="1">
      <c r="A260" s="1216"/>
      <c r="B260" s="1216"/>
      <c r="C260" s="1216"/>
      <c r="D260" s="1216"/>
      <c r="E260" s="1216"/>
      <c r="F260" s="1216"/>
      <c r="G260" s="1216"/>
      <c r="H260" s="1216"/>
      <c r="I260" s="1216"/>
      <c r="J260" s="1216"/>
      <c r="K260" s="1216"/>
      <c r="L260" s="1216"/>
      <c r="M260" s="1216"/>
      <c r="N260" s="1216"/>
      <c r="O260" s="1216"/>
      <c r="P260" s="1216"/>
      <c r="Q260" s="1216"/>
      <c r="R260" s="1216"/>
      <c r="S260" s="1216"/>
    </row>
    <row r="261" spans="1:19" ht="12.75" customHeight="1">
      <c r="A261" s="1216"/>
      <c r="B261" s="1216"/>
      <c r="C261" s="1216"/>
      <c r="D261" s="1216"/>
      <c r="E261" s="1216"/>
      <c r="F261" s="1216"/>
      <c r="G261" s="1216"/>
      <c r="H261" s="1216"/>
      <c r="I261" s="1216"/>
      <c r="J261" s="1216"/>
      <c r="K261" s="1216"/>
      <c r="L261" s="1216"/>
      <c r="M261" s="1216"/>
      <c r="N261" s="1216"/>
      <c r="O261" s="1216"/>
      <c r="P261" s="1216"/>
      <c r="Q261" s="1216"/>
      <c r="R261" s="1216"/>
      <c r="S261" s="1216"/>
    </row>
    <row r="262" spans="1:19">
      <c r="A262" s="1216"/>
      <c r="B262" s="1216"/>
      <c r="C262" s="1216"/>
      <c r="D262" s="1216"/>
      <c r="E262" s="1216"/>
      <c r="F262" s="1216"/>
      <c r="G262" s="1216"/>
      <c r="H262" s="1216"/>
      <c r="I262" s="1216"/>
      <c r="J262" s="1216"/>
      <c r="K262" s="1216"/>
      <c r="L262" s="1216"/>
      <c r="M262" s="1216"/>
      <c r="N262" s="1216"/>
      <c r="O262" s="1216"/>
      <c r="P262" s="1216"/>
      <c r="Q262" s="1216"/>
      <c r="R262" s="1216"/>
      <c r="S262" s="1216"/>
    </row>
    <row r="263" spans="1:19">
      <c r="A263" s="1216"/>
      <c r="B263" s="1216"/>
      <c r="C263" s="1216"/>
      <c r="D263" s="1216"/>
      <c r="E263" s="1216"/>
      <c r="F263" s="1216"/>
      <c r="G263" s="1216"/>
      <c r="H263" s="1216"/>
      <c r="I263" s="1216"/>
      <c r="J263" s="1216"/>
      <c r="K263" s="1216"/>
      <c r="L263" s="1216"/>
      <c r="M263" s="1216"/>
      <c r="N263" s="1216"/>
      <c r="O263" s="1216"/>
      <c r="P263" s="1216"/>
      <c r="Q263" s="1216"/>
      <c r="R263" s="1216"/>
      <c r="S263" s="1216"/>
    </row>
    <row r="264" spans="1:19">
      <c r="A264" s="1216"/>
      <c r="B264" s="1216"/>
      <c r="C264" s="1216"/>
      <c r="D264" s="1216"/>
      <c r="E264" s="1216"/>
      <c r="F264" s="1216"/>
      <c r="G264" s="1216"/>
      <c r="H264" s="1216"/>
      <c r="I264" s="1216"/>
      <c r="J264" s="1216"/>
      <c r="K264" s="1216"/>
      <c r="L264" s="1216"/>
      <c r="M264" s="1216"/>
      <c r="N264" s="1216"/>
      <c r="O264" s="1216"/>
      <c r="P264" s="1216"/>
      <c r="Q264" s="1216"/>
      <c r="R264" s="1216"/>
      <c r="S264" s="1216"/>
    </row>
    <row r="265" spans="1:19" ht="12.75" customHeight="1">
      <c r="A265" s="1287" t="s">
        <v>4614</v>
      </c>
      <c r="B265" s="1216"/>
      <c r="C265" s="1216"/>
      <c r="D265" s="1216"/>
      <c r="E265" s="1216"/>
      <c r="F265" s="1216"/>
      <c r="G265" s="1216"/>
      <c r="H265" s="1216"/>
      <c r="I265" s="1216"/>
      <c r="J265" s="1216"/>
      <c r="K265" s="1216"/>
      <c r="L265" s="1216"/>
      <c r="M265" s="1216"/>
      <c r="N265" s="1216"/>
      <c r="O265" s="1216"/>
      <c r="P265" s="1216"/>
      <c r="Q265" s="1216"/>
      <c r="R265" s="1216"/>
      <c r="S265" s="1216"/>
    </row>
    <row r="266" spans="1:19" ht="12.75" customHeight="1">
      <c r="A266" s="1216"/>
      <c r="B266" s="1216"/>
      <c r="C266" s="1216"/>
      <c r="D266" s="1216"/>
      <c r="E266" s="1216"/>
      <c r="F266" s="1216"/>
      <c r="G266" s="1216"/>
      <c r="H266" s="1216"/>
      <c r="I266" s="1216"/>
      <c r="J266" s="1216"/>
      <c r="K266" s="1216"/>
      <c r="L266" s="1216"/>
      <c r="M266" s="1216"/>
      <c r="N266" s="1216"/>
      <c r="O266" s="1216"/>
      <c r="P266" s="1216"/>
      <c r="Q266" s="1216"/>
      <c r="R266" s="1216"/>
      <c r="S266" s="1216"/>
    </row>
    <row r="267" spans="1:19" ht="12.75" customHeight="1">
      <c r="A267" s="1216"/>
      <c r="B267" s="1216"/>
      <c r="C267" s="1216"/>
      <c r="D267" s="1216"/>
      <c r="E267" s="1216"/>
      <c r="F267" s="1216"/>
      <c r="G267" s="1216"/>
      <c r="H267" s="1216"/>
      <c r="I267" s="1216"/>
      <c r="J267" s="1216"/>
      <c r="K267" s="1216"/>
      <c r="L267" s="1216"/>
      <c r="M267" s="1216"/>
      <c r="N267" s="1216"/>
      <c r="O267" s="1216"/>
      <c r="P267" s="1216"/>
      <c r="Q267" s="1216"/>
      <c r="R267" s="1216"/>
      <c r="S267" s="1216"/>
    </row>
    <row r="268" spans="1:19" ht="12.75" customHeight="1">
      <c r="A268" s="1216"/>
      <c r="B268" s="1216"/>
      <c r="C268" s="1216"/>
      <c r="D268" s="1216"/>
      <c r="E268" s="1216"/>
      <c r="F268" s="1216"/>
      <c r="G268" s="1216"/>
      <c r="H268" s="1216"/>
      <c r="I268" s="1216"/>
      <c r="J268" s="1216"/>
      <c r="K268" s="1216"/>
      <c r="L268" s="1216"/>
      <c r="M268" s="1216"/>
      <c r="N268" s="1216"/>
      <c r="O268" s="1216"/>
      <c r="P268" s="1216"/>
      <c r="Q268" s="1216"/>
      <c r="R268" s="1216"/>
      <c r="S268" s="1216"/>
    </row>
    <row r="269" spans="1:19">
      <c r="A269" s="1216"/>
      <c r="B269" s="1216"/>
      <c r="C269" s="1216"/>
      <c r="D269" s="1216"/>
      <c r="E269" s="1216"/>
      <c r="F269" s="1216"/>
      <c r="G269" s="1216"/>
      <c r="H269" s="1216"/>
      <c r="I269" s="1216"/>
      <c r="J269" s="1216"/>
      <c r="K269" s="1216"/>
      <c r="L269" s="1216"/>
      <c r="M269" s="1216"/>
      <c r="N269" s="1216"/>
      <c r="O269" s="1216"/>
      <c r="P269" s="1216"/>
      <c r="Q269" s="1216"/>
      <c r="R269" s="1216"/>
      <c r="S269" s="1216"/>
    </row>
    <row r="270" spans="1:19">
      <c r="A270" s="1216"/>
      <c r="B270" s="1216"/>
      <c r="C270" s="1216"/>
      <c r="D270" s="1216"/>
      <c r="E270" s="1216"/>
      <c r="F270" s="1216"/>
      <c r="G270" s="1216"/>
      <c r="H270" s="1216"/>
      <c r="I270" s="1216"/>
      <c r="J270" s="1216"/>
      <c r="K270" s="1216"/>
      <c r="L270" s="1216"/>
      <c r="M270" s="1216"/>
      <c r="N270" s="1216"/>
      <c r="O270" s="1216"/>
      <c r="P270" s="1216"/>
      <c r="Q270" s="1216"/>
      <c r="R270" s="1216"/>
      <c r="S270" s="1216"/>
    </row>
    <row r="271" spans="1:19">
      <c r="A271" s="1216"/>
      <c r="B271" s="1216"/>
      <c r="C271" s="1216"/>
      <c r="D271" s="1216"/>
      <c r="E271" s="1216"/>
      <c r="F271" s="1216"/>
      <c r="G271" s="1216"/>
      <c r="H271" s="1216"/>
      <c r="I271" s="1216"/>
      <c r="J271" s="1216"/>
      <c r="K271" s="1216"/>
      <c r="L271" s="1216"/>
      <c r="M271" s="1216"/>
      <c r="N271" s="1216"/>
      <c r="O271" s="1216"/>
      <c r="P271" s="1216"/>
      <c r="Q271" s="1216"/>
      <c r="R271" s="1216"/>
      <c r="S271" s="1216"/>
    </row>
    <row r="272" spans="1:19">
      <c r="A272" s="1216"/>
      <c r="B272" s="1216"/>
      <c r="C272" s="1216"/>
      <c r="D272" s="1216"/>
      <c r="E272" s="1216"/>
      <c r="F272" s="1216"/>
      <c r="G272" s="1216"/>
      <c r="H272" s="1216"/>
      <c r="I272" s="1216"/>
      <c r="J272" s="1216"/>
      <c r="K272" s="1216"/>
      <c r="L272" s="1216"/>
      <c r="M272" s="1216"/>
      <c r="N272" s="1216"/>
      <c r="O272" s="1216"/>
      <c r="P272" s="1216"/>
      <c r="Q272" s="1216"/>
      <c r="R272" s="1216"/>
      <c r="S272" s="1216"/>
    </row>
    <row r="273" spans="1:19">
      <c r="A273" s="99"/>
      <c r="B273" s="99"/>
      <c r="C273" s="99"/>
      <c r="D273" s="99"/>
      <c r="E273" s="99"/>
      <c r="F273" s="99"/>
      <c r="G273" s="99"/>
      <c r="H273" s="99"/>
      <c r="I273" s="99"/>
      <c r="J273" s="99"/>
      <c r="K273" s="99"/>
      <c r="L273" s="99"/>
      <c r="M273" s="99"/>
      <c r="N273" s="99"/>
      <c r="O273" s="99"/>
      <c r="P273" s="99"/>
      <c r="Q273" s="99"/>
      <c r="R273" s="99"/>
      <c r="S273" s="99"/>
    </row>
    <row r="274" spans="1:19">
      <c r="A274" s="99"/>
      <c r="B274" s="1850" t="s">
        <v>4318</v>
      </c>
      <c r="C274" s="1851"/>
      <c r="D274" s="1852"/>
      <c r="E274" s="1793" t="s">
        <v>4319</v>
      </c>
      <c r="F274" s="1793"/>
      <c r="G274" s="1800" t="s">
        <v>4320</v>
      </c>
      <c r="H274" s="1738"/>
      <c r="I274" s="1738"/>
      <c r="J274" s="1738"/>
      <c r="K274" s="1738"/>
      <c r="L274" s="1738"/>
      <c r="M274" s="1859" t="s">
        <v>4283</v>
      </c>
      <c r="N274" s="1471"/>
      <c r="O274" s="1471"/>
      <c r="P274" s="1471"/>
      <c r="Q274" s="1471"/>
      <c r="R274" s="1471" t="s">
        <v>4270</v>
      </c>
      <c r="S274" s="1471"/>
    </row>
    <row r="275" spans="1:19">
      <c r="A275" s="99"/>
      <c r="B275" s="1853"/>
      <c r="C275" s="1854"/>
      <c r="D275" s="1855"/>
      <c r="E275" s="1793"/>
      <c r="F275" s="1793"/>
      <c r="G275" s="1738"/>
      <c r="H275" s="1738"/>
      <c r="I275" s="1738"/>
      <c r="J275" s="1738"/>
      <c r="K275" s="1738"/>
      <c r="L275" s="1738"/>
      <c r="M275" s="1471"/>
      <c r="N275" s="1471"/>
      <c r="O275" s="1471"/>
      <c r="P275" s="1471"/>
      <c r="Q275" s="1471"/>
      <c r="R275" s="1471"/>
      <c r="S275" s="1471"/>
    </row>
    <row r="276" spans="1:19">
      <c r="A276" s="99"/>
      <c r="B276" s="1853"/>
      <c r="C276" s="1854"/>
      <c r="D276" s="1855"/>
      <c r="E276" s="1793"/>
      <c r="F276" s="1793"/>
      <c r="G276" s="1738"/>
      <c r="H276" s="1738"/>
      <c r="I276" s="1738"/>
      <c r="J276" s="1738"/>
      <c r="K276" s="1738"/>
      <c r="L276" s="1738"/>
      <c r="M276" s="1471"/>
      <c r="N276" s="1471"/>
      <c r="O276" s="1471"/>
      <c r="P276" s="1471"/>
      <c r="Q276" s="1471"/>
      <c r="R276" s="1471"/>
      <c r="S276" s="1471"/>
    </row>
    <row r="277" spans="1:19">
      <c r="A277" s="99"/>
      <c r="B277" s="1856"/>
      <c r="C277" s="1857"/>
      <c r="D277" s="1858"/>
      <c r="E277" s="1793"/>
      <c r="F277" s="1793"/>
      <c r="G277" s="1738"/>
      <c r="H277" s="1738"/>
      <c r="I277" s="1738"/>
      <c r="J277" s="1738"/>
      <c r="K277" s="1738"/>
      <c r="L277" s="1738"/>
      <c r="M277" s="1471"/>
      <c r="N277" s="1471"/>
      <c r="O277" s="1471"/>
      <c r="P277" s="1471"/>
      <c r="Q277" s="1471"/>
      <c r="R277" s="1471"/>
      <c r="S277" s="1471"/>
    </row>
    <row r="278" spans="1:19">
      <c r="A278" s="99"/>
      <c r="B278" s="1810" t="s">
        <v>4321</v>
      </c>
      <c r="C278" s="1810"/>
      <c r="D278" s="1810"/>
      <c r="E278" s="1775">
        <v>100</v>
      </c>
      <c r="F278" s="1775"/>
      <c r="G278" s="1811" t="s">
        <v>4322</v>
      </c>
      <c r="H278" s="1775"/>
      <c r="I278" s="1775"/>
      <c r="J278" s="1775"/>
      <c r="K278" s="1775"/>
      <c r="L278" s="1775"/>
      <c r="M278" s="1811" t="s">
        <v>4323</v>
      </c>
      <c r="N278" s="1775"/>
      <c r="O278" s="1775"/>
      <c r="P278" s="1775"/>
      <c r="Q278" s="1775"/>
      <c r="R278" s="1775">
        <v>608.33000000000004</v>
      </c>
      <c r="S278" s="1775"/>
    </row>
    <row r="279" spans="1:19">
      <c r="A279" s="99"/>
      <c r="B279" s="1810"/>
      <c r="C279" s="1810"/>
      <c r="D279" s="1810"/>
      <c r="E279" s="1775"/>
      <c r="F279" s="1775"/>
      <c r="G279" s="1775"/>
      <c r="H279" s="1775"/>
      <c r="I279" s="1775"/>
      <c r="J279" s="1775"/>
      <c r="K279" s="1775"/>
      <c r="L279" s="1775"/>
      <c r="M279" s="1775"/>
      <c r="N279" s="1775"/>
      <c r="O279" s="1775"/>
      <c r="P279" s="1775"/>
      <c r="Q279" s="1775"/>
      <c r="R279" s="1775"/>
      <c r="S279" s="1775"/>
    </row>
    <row r="280" spans="1:19">
      <c r="A280" s="99"/>
      <c r="B280" s="1810"/>
      <c r="C280" s="1810"/>
      <c r="D280" s="1810"/>
      <c r="E280" s="1775"/>
      <c r="F280" s="1775"/>
      <c r="G280" s="1775"/>
      <c r="H280" s="1775"/>
      <c r="I280" s="1775"/>
      <c r="J280" s="1775"/>
      <c r="K280" s="1775"/>
      <c r="L280" s="1775"/>
      <c r="M280" s="1775"/>
      <c r="N280" s="1775"/>
      <c r="O280" s="1775"/>
      <c r="P280" s="1775"/>
      <c r="Q280" s="1775"/>
      <c r="R280" s="1775"/>
      <c r="S280" s="1775"/>
    </row>
    <row r="281" spans="1:19">
      <c r="A281" s="99"/>
      <c r="B281" s="1810"/>
      <c r="C281" s="1810"/>
      <c r="D281" s="1810"/>
      <c r="E281" s="1775"/>
      <c r="F281" s="1775"/>
      <c r="G281" s="1775"/>
      <c r="H281" s="1775"/>
      <c r="I281" s="1775"/>
      <c r="J281" s="1775"/>
      <c r="K281" s="1775"/>
      <c r="L281" s="1775"/>
      <c r="M281" s="1775"/>
      <c r="N281" s="1775"/>
      <c r="O281" s="1775"/>
      <c r="P281" s="1775"/>
      <c r="Q281" s="1775"/>
      <c r="R281" s="1775"/>
      <c r="S281" s="1775"/>
    </row>
    <row r="282" spans="1:19">
      <c r="A282" s="99"/>
      <c r="B282" s="1801" t="s">
        <v>4324</v>
      </c>
      <c r="C282" s="1802"/>
      <c r="D282" s="1803"/>
      <c r="E282" s="1812">
        <v>12000</v>
      </c>
      <c r="F282" s="1812"/>
      <c r="G282" s="1796" t="s">
        <v>4325</v>
      </c>
      <c r="H282" s="1775"/>
      <c r="I282" s="1775"/>
      <c r="J282" s="1775"/>
      <c r="K282" s="1775"/>
      <c r="L282" s="1775"/>
      <c r="M282" s="1811" t="s">
        <v>4326</v>
      </c>
      <c r="N282" s="1775"/>
      <c r="O282" s="1775"/>
      <c r="P282" s="1775"/>
      <c r="Q282" s="1775"/>
      <c r="R282" s="1775">
        <v>652.38</v>
      </c>
      <c r="S282" s="1775"/>
    </row>
    <row r="283" spans="1:19">
      <c r="A283" s="99"/>
      <c r="B283" s="1804"/>
      <c r="C283" s="1805"/>
      <c r="D283" s="1806"/>
      <c r="E283" s="1812"/>
      <c r="F283" s="1812"/>
      <c r="G283" s="1775"/>
      <c r="H283" s="1775"/>
      <c r="I283" s="1775"/>
      <c r="J283" s="1775"/>
      <c r="K283" s="1775"/>
      <c r="L283" s="1775"/>
      <c r="M283" s="1775"/>
      <c r="N283" s="1775"/>
      <c r="O283" s="1775"/>
      <c r="P283" s="1775"/>
      <c r="Q283" s="1775"/>
      <c r="R283" s="1775"/>
      <c r="S283" s="1775"/>
    </row>
    <row r="284" spans="1:19">
      <c r="A284" s="99"/>
      <c r="B284" s="1804"/>
      <c r="C284" s="1805"/>
      <c r="D284" s="1806"/>
      <c r="E284" s="1812"/>
      <c r="F284" s="1812"/>
      <c r="G284" s="1775"/>
      <c r="H284" s="1775"/>
      <c r="I284" s="1775"/>
      <c r="J284" s="1775"/>
      <c r="K284" s="1775"/>
      <c r="L284" s="1775"/>
      <c r="M284" s="1811" t="s">
        <v>4327</v>
      </c>
      <c r="N284" s="1775"/>
      <c r="O284" s="1775"/>
      <c r="P284" s="1775"/>
      <c r="Q284" s="1775"/>
      <c r="R284" s="1775"/>
      <c r="S284" s="1775"/>
    </row>
    <row r="285" spans="1:19">
      <c r="A285" s="99"/>
      <c r="B285" s="1807"/>
      <c r="C285" s="1808"/>
      <c r="D285" s="1809"/>
      <c r="E285" s="1812"/>
      <c r="F285" s="1812"/>
      <c r="G285" s="1775"/>
      <c r="H285" s="1775"/>
      <c r="I285" s="1775"/>
      <c r="J285" s="1775"/>
      <c r="K285" s="1775"/>
      <c r="L285" s="1775"/>
      <c r="M285" s="1775"/>
      <c r="N285" s="1775"/>
      <c r="O285" s="1775"/>
      <c r="P285" s="1775"/>
      <c r="Q285" s="1775"/>
      <c r="R285" s="1775"/>
      <c r="S285" s="1775"/>
    </row>
    <row r="286" spans="1:19">
      <c r="A286" s="99"/>
      <c r="B286" s="1774" t="s">
        <v>4313</v>
      </c>
      <c r="C286" s="1774"/>
      <c r="D286" s="1774"/>
      <c r="E286" s="1775">
        <v>200</v>
      </c>
      <c r="F286" s="1775"/>
      <c r="G286" s="1811" t="s">
        <v>4328</v>
      </c>
      <c r="H286" s="1775"/>
      <c r="I286" s="1775"/>
      <c r="J286" s="1775"/>
      <c r="K286" s="1775"/>
      <c r="L286" s="1775"/>
      <c r="M286" s="1813"/>
      <c r="N286" s="1813"/>
      <c r="O286" s="1813"/>
      <c r="P286" s="1813"/>
      <c r="Q286" s="1813"/>
      <c r="R286" s="1775">
        <v>1216.6600000000001</v>
      </c>
      <c r="S286" s="1775"/>
    </row>
    <row r="287" spans="1:19">
      <c r="A287" s="99"/>
      <c r="B287" s="1774"/>
      <c r="C287" s="1774"/>
      <c r="D287" s="1774"/>
      <c r="E287" s="1775"/>
      <c r="F287" s="1775"/>
      <c r="G287" s="1775"/>
      <c r="H287" s="1775"/>
      <c r="I287" s="1775"/>
      <c r="J287" s="1775"/>
      <c r="K287" s="1775"/>
      <c r="L287" s="1775"/>
      <c r="M287" s="1813"/>
      <c r="N287" s="1813"/>
      <c r="O287" s="1813"/>
      <c r="P287" s="1813"/>
      <c r="Q287" s="1813"/>
      <c r="R287" s="1775"/>
      <c r="S287" s="1775"/>
    </row>
    <row r="288" spans="1:19">
      <c r="A288" s="99"/>
      <c r="B288" s="1774"/>
      <c r="C288" s="1774"/>
      <c r="D288" s="1774"/>
      <c r="E288" s="1775"/>
      <c r="F288" s="1775"/>
      <c r="G288" s="1775"/>
      <c r="H288" s="1775"/>
      <c r="I288" s="1775"/>
      <c r="J288" s="1775"/>
      <c r="K288" s="1775"/>
      <c r="L288" s="1775"/>
      <c r="M288" s="1811" t="s">
        <v>4329</v>
      </c>
      <c r="N288" s="1811"/>
      <c r="O288" s="1811"/>
      <c r="P288" s="1811"/>
      <c r="Q288" s="1811"/>
      <c r="R288" s="1775"/>
      <c r="S288" s="1775"/>
    </row>
    <row r="289" spans="1:19">
      <c r="A289" s="99"/>
      <c r="B289" s="1774"/>
      <c r="C289" s="1774"/>
      <c r="D289" s="1774"/>
      <c r="E289" s="1775"/>
      <c r="F289" s="1775"/>
      <c r="G289" s="1775"/>
      <c r="H289" s="1775"/>
      <c r="I289" s="1775"/>
      <c r="J289" s="1775"/>
      <c r="K289" s="1775"/>
      <c r="L289" s="1775"/>
      <c r="M289" s="1811"/>
      <c r="N289" s="1811"/>
      <c r="O289" s="1811"/>
      <c r="P289" s="1811"/>
      <c r="Q289" s="1811"/>
      <c r="R289" s="1775"/>
      <c r="S289" s="1775"/>
    </row>
    <row r="290" spans="1:19">
      <c r="A290" s="99"/>
      <c r="B290" s="1776" t="s">
        <v>4316</v>
      </c>
      <c r="C290" s="1776"/>
      <c r="D290" s="1776"/>
      <c r="E290" s="1800" t="s">
        <v>4330</v>
      </c>
      <c r="F290" s="1738"/>
      <c r="G290" s="1738"/>
      <c r="H290" s="1738"/>
      <c r="I290" s="1738"/>
      <c r="J290" s="1738"/>
      <c r="K290" s="1738"/>
      <c r="L290" s="1738"/>
      <c r="M290" s="1738"/>
      <c r="N290" s="1738"/>
      <c r="O290" s="1738"/>
      <c r="P290" s="1738"/>
      <c r="Q290" s="1738"/>
      <c r="R290" s="1775">
        <v>44.05</v>
      </c>
      <c r="S290" s="1775"/>
    </row>
    <row r="291" spans="1:19">
      <c r="A291" s="99"/>
      <c r="B291" s="1776"/>
      <c r="C291" s="1776"/>
      <c r="D291" s="1776"/>
      <c r="E291" s="1738"/>
      <c r="F291" s="1738"/>
      <c r="G291" s="1738"/>
      <c r="H291" s="1738"/>
      <c r="I291" s="1738"/>
      <c r="J291" s="1738"/>
      <c r="K291" s="1738"/>
      <c r="L291" s="1738"/>
      <c r="M291" s="1738"/>
      <c r="N291" s="1738"/>
      <c r="O291" s="1738"/>
      <c r="P291" s="1738"/>
      <c r="Q291" s="1738"/>
      <c r="R291" s="1775"/>
      <c r="S291" s="1775"/>
    </row>
    <row r="292" spans="1:19">
      <c r="A292" s="99"/>
      <c r="B292" s="1776"/>
      <c r="C292" s="1776"/>
      <c r="D292" s="1776"/>
      <c r="E292" s="1738"/>
      <c r="F292" s="1738"/>
      <c r="G292" s="1738"/>
      <c r="H292" s="1738"/>
      <c r="I292" s="1738"/>
      <c r="J292" s="1738"/>
      <c r="K292" s="1738"/>
      <c r="L292" s="1738"/>
      <c r="M292" s="1738"/>
      <c r="N292" s="1738"/>
      <c r="O292" s="1738"/>
      <c r="P292" s="1738"/>
      <c r="Q292" s="1738"/>
      <c r="R292" s="1775"/>
      <c r="S292" s="1775"/>
    </row>
    <row r="293" spans="1:19">
      <c r="A293" s="99"/>
      <c r="B293" s="99"/>
      <c r="C293" s="99"/>
      <c r="D293" s="99"/>
      <c r="E293" s="99"/>
      <c r="F293" s="99"/>
      <c r="G293" s="99"/>
      <c r="H293" s="99"/>
      <c r="I293" s="99"/>
      <c r="J293" s="99"/>
      <c r="K293" s="99"/>
      <c r="L293" s="99"/>
      <c r="M293" s="99"/>
      <c r="N293" s="99"/>
      <c r="O293" s="99"/>
      <c r="P293" s="99"/>
      <c r="Q293" s="99"/>
      <c r="R293" s="99"/>
      <c r="S293" s="99"/>
    </row>
    <row r="294" spans="1:19" ht="12.75" customHeight="1">
      <c r="A294" s="1287" t="s">
        <v>4615</v>
      </c>
      <c r="B294" s="1216"/>
      <c r="C294" s="1216"/>
      <c r="D294" s="1216"/>
      <c r="E294" s="1216"/>
      <c r="F294" s="1216"/>
      <c r="G294" s="1216"/>
      <c r="H294" s="1216"/>
      <c r="I294" s="1216"/>
      <c r="J294" s="1216"/>
      <c r="K294" s="1216"/>
      <c r="L294" s="1216"/>
      <c r="M294" s="1216"/>
      <c r="N294" s="1216"/>
      <c r="O294" s="1216"/>
      <c r="P294" s="1216"/>
      <c r="Q294" s="1216"/>
      <c r="R294" s="1216"/>
      <c r="S294" s="1216"/>
    </row>
    <row r="295" spans="1:19">
      <c r="A295" s="1216"/>
      <c r="B295" s="1216"/>
      <c r="C295" s="1216"/>
      <c r="D295" s="1216"/>
      <c r="E295" s="1216"/>
      <c r="F295" s="1216"/>
      <c r="G295" s="1216"/>
      <c r="H295" s="1216"/>
      <c r="I295" s="1216"/>
      <c r="J295" s="1216"/>
      <c r="K295" s="1216"/>
      <c r="L295" s="1216"/>
      <c r="M295" s="1216"/>
      <c r="N295" s="1216"/>
      <c r="O295" s="1216"/>
      <c r="P295" s="1216"/>
      <c r="Q295" s="1216"/>
      <c r="R295" s="1216"/>
      <c r="S295" s="1216"/>
    </row>
    <row r="296" spans="1:19">
      <c r="A296" s="1216"/>
      <c r="B296" s="1216"/>
      <c r="C296" s="1216"/>
      <c r="D296" s="1216"/>
      <c r="E296" s="1216"/>
      <c r="F296" s="1216"/>
      <c r="G296" s="1216"/>
      <c r="H296" s="1216"/>
      <c r="I296" s="1216"/>
      <c r="J296" s="1216"/>
      <c r="K296" s="1216"/>
      <c r="L296" s="1216"/>
      <c r="M296" s="1216"/>
      <c r="N296" s="1216"/>
      <c r="O296" s="1216"/>
      <c r="P296" s="1216"/>
      <c r="Q296" s="1216"/>
      <c r="R296" s="1216"/>
      <c r="S296" s="1216"/>
    </row>
    <row r="297" spans="1:19">
      <c r="A297" s="1216"/>
      <c r="B297" s="1216"/>
      <c r="C297" s="1216"/>
      <c r="D297" s="1216"/>
      <c r="E297" s="1216"/>
      <c r="F297" s="1216"/>
      <c r="G297" s="1216"/>
      <c r="H297" s="1216"/>
      <c r="I297" s="1216"/>
      <c r="J297" s="1216"/>
      <c r="K297" s="1216"/>
      <c r="L297" s="1216"/>
      <c r="M297" s="1216"/>
      <c r="N297" s="1216"/>
      <c r="O297" s="1216"/>
      <c r="P297" s="1216"/>
      <c r="Q297" s="1216"/>
      <c r="R297" s="1216"/>
      <c r="S297" s="1216"/>
    </row>
    <row r="298" spans="1:19">
      <c r="A298" s="1216"/>
      <c r="B298" s="1216"/>
      <c r="C298" s="1216"/>
      <c r="D298" s="1216"/>
      <c r="E298" s="1216"/>
      <c r="F298" s="1216"/>
      <c r="G298" s="1216"/>
      <c r="H298" s="1216"/>
      <c r="I298" s="1216"/>
      <c r="J298" s="1216"/>
      <c r="K298" s="1216"/>
      <c r="L298" s="1216"/>
      <c r="M298" s="1216"/>
      <c r="N298" s="1216"/>
      <c r="O298" s="1216"/>
      <c r="P298" s="1216"/>
      <c r="Q298" s="1216"/>
      <c r="R298" s="1216"/>
      <c r="S298" s="1216"/>
    </row>
    <row r="299" spans="1:19">
      <c r="A299" s="1216"/>
      <c r="B299" s="1216"/>
      <c r="C299" s="1216"/>
      <c r="D299" s="1216"/>
      <c r="E299" s="1216"/>
      <c r="F299" s="1216"/>
      <c r="G299" s="1216"/>
      <c r="H299" s="1216"/>
      <c r="I299" s="1216"/>
      <c r="J299" s="1216"/>
      <c r="K299" s="1216"/>
      <c r="L299" s="1216"/>
      <c r="M299" s="1216"/>
      <c r="N299" s="1216"/>
      <c r="O299" s="1216"/>
      <c r="P299" s="1216"/>
      <c r="Q299" s="1216"/>
      <c r="R299" s="1216"/>
      <c r="S299" s="1216"/>
    </row>
    <row r="300" spans="1:19">
      <c r="A300" s="1216"/>
      <c r="B300" s="1216"/>
      <c r="C300" s="1216"/>
      <c r="D300" s="1216"/>
      <c r="E300" s="1216"/>
      <c r="F300" s="1216"/>
      <c r="G300" s="1216"/>
      <c r="H300" s="1216"/>
      <c r="I300" s="1216"/>
      <c r="J300" s="1216"/>
      <c r="K300" s="1216"/>
      <c r="L300" s="1216"/>
      <c r="M300" s="1216"/>
      <c r="N300" s="1216"/>
      <c r="O300" s="1216"/>
      <c r="P300" s="1216"/>
      <c r="Q300" s="1216"/>
      <c r="R300" s="1216"/>
      <c r="S300" s="1216"/>
    </row>
    <row r="301" spans="1:19" ht="12.75" customHeight="1">
      <c r="A301" s="1287" t="s">
        <v>4616</v>
      </c>
      <c r="B301" s="1216"/>
      <c r="C301" s="1216"/>
      <c r="D301" s="1216"/>
      <c r="E301" s="1216"/>
      <c r="F301" s="1216"/>
      <c r="G301" s="1216"/>
      <c r="H301" s="1216"/>
      <c r="I301" s="1216"/>
      <c r="J301" s="1216"/>
      <c r="K301" s="1216"/>
      <c r="L301" s="1216"/>
      <c r="M301" s="1216"/>
      <c r="N301" s="1216"/>
      <c r="O301" s="1216"/>
      <c r="P301" s="1216"/>
      <c r="Q301" s="1216"/>
      <c r="R301" s="1216"/>
      <c r="S301" s="1216"/>
    </row>
    <row r="302" spans="1:19" ht="12.75" customHeight="1">
      <c r="A302" s="1216"/>
      <c r="B302" s="1216"/>
      <c r="C302" s="1216"/>
      <c r="D302" s="1216"/>
      <c r="E302" s="1216"/>
      <c r="F302" s="1216"/>
      <c r="G302" s="1216"/>
      <c r="H302" s="1216"/>
      <c r="I302" s="1216"/>
      <c r="J302" s="1216"/>
      <c r="K302" s="1216"/>
      <c r="L302" s="1216"/>
      <c r="M302" s="1216"/>
      <c r="N302" s="1216"/>
      <c r="O302" s="1216"/>
      <c r="P302" s="1216"/>
      <c r="Q302" s="1216"/>
      <c r="R302" s="1216"/>
      <c r="S302" s="1216"/>
    </row>
    <row r="303" spans="1:19" ht="12.75" customHeight="1">
      <c r="A303" s="1216"/>
      <c r="B303" s="1216"/>
      <c r="C303" s="1216"/>
      <c r="D303" s="1216"/>
      <c r="E303" s="1216"/>
      <c r="F303" s="1216"/>
      <c r="G303" s="1216"/>
      <c r="H303" s="1216"/>
      <c r="I303" s="1216"/>
      <c r="J303" s="1216"/>
      <c r="K303" s="1216"/>
      <c r="L303" s="1216"/>
      <c r="M303" s="1216"/>
      <c r="N303" s="1216"/>
      <c r="O303" s="1216"/>
      <c r="P303" s="1216"/>
      <c r="Q303" s="1216"/>
      <c r="R303" s="1216"/>
      <c r="S303" s="1216"/>
    </row>
    <row r="304" spans="1:19" ht="12.75" customHeight="1">
      <c r="A304" s="1216"/>
      <c r="B304" s="1216"/>
      <c r="C304" s="1216"/>
      <c r="D304" s="1216"/>
      <c r="E304" s="1216"/>
      <c r="F304" s="1216"/>
      <c r="G304" s="1216"/>
      <c r="H304" s="1216"/>
      <c r="I304" s="1216"/>
      <c r="J304" s="1216"/>
      <c r="K304" s="1216"/>
      <c r="L304" s="1216"/>
      <c r="M304" s="1216"/>
      <c r="N304" s="1216"/>
      <c r="O304" s="1216"/>
      <c r="P304" s="1216"/>
      <c r="Q304" s="1216"/>
      <c r="R304" s="1216"/>
      <c r="S304" s="1216"/>
    </row>
    <row r="305" spans="1:19" ht="12.75" customHeight="1">
      <c r="A305" s="1216"/>
      <c r="B305" s="1216"/>
      <c r="C305" s="1216"/>
      <c r="D305" s="1216"/>
      <c r="E305" s="1216"/>
      <c r="F305" s="1216"/>
      <c r="G305" s="1216"/>
      <c r="H305" s="1216"/>
      <c r="I305" s="1216"/>
      <c r="J305" s="1216"/>
      <c r="K305" s="1216"/>
      <c r="L305" s="1216"/>
      <c r="M305" s="1216"/>
      <c r="N305" s="1216"/>
      <c r="O305" s="1216"/>
      <c r="P305" s="1216"/>
      <c r="Q305" s="1216"/>
      <c r="R305" s="1216"/>
      <c r="S305" s="1216"/>
    </row>
    <row r="306" spans="1:19" ht="12.75" customHeight="1">
      <c r="A306" s="1216"/>
      <c r="B306" s="1216"/>
      <c r="C306" s="1216"/>
      <c r="D306" s="1216"/>
      <c r="E306" s="1216"/>
      <c r="F306" s="1216"/>
      <c r="G306" s="1216"/>
      <c r="H306" s="1216"/>
      <c r="I306" s="1216"/>
      <c r="J306" s="1216"/>
      <c r="K306" s="1216"/>
      <c r="L306" s="1216"/>
      <c r="M306" s="1216"/>
      <c r="N306" s="1216"/>
      <c r="O306" s="1216"/>
      <c r="P306" s="1216"/>
      <c r="Q306" s="1216"/>
      <c r="R306" s="1216"/>
      <c r="S306" s="1216"/>
    </row>
    <row r="307" spans="1:19" ht="12.75" customHeight="1">
      <c r="A307" s="1287" t="s">
        <v>4617</v>
      </c>
      <c r="B307" s="1216"/>
      <c r="C307" s="1216"/>
      <c r="D307" s="1216"/>
      <c r="E307" s="1216"/>
      <c r="F307" s="1216"/>
      <c r="G307" s="1216"/>
      <c r="H307" s="1216"/>
      <c r="I307" s="1216"/>
      <c r="J307" s="1216"/>
      <c r="K307" s="1216"/>
      <c r="L307" s="1216"/>
      <c r="M307" s="1216"/>
      <c r="N307" s="1216"/>
      <c r="O307" s="1216"/>
      <c r="P307" s="1216"/>
      <c r="Q307" s="1216"/>
      <c r="R307" s="1216"/>
      <c r="S307" s="1216"/>
    </row>
    <row r="308" spans="1:19" ht="12.75" customHeight="1">
      <c r="A308" s="1216"/>
      <c r="B308" s="1216"/>
      <c r="C308" s="1216"/>
      <c r="D308" s="1216"/>
      <c r="E308" s="1216"/>
      <c r="F308" s="1216"/>
      <c r="G308" s="1216"/>
      <c r="H308" s="1216"/>
      <c r="I308" s="1216"/>
      <c r="J308" s="1216"/>
      <c r="K308" s="1216"/>
      <c r="L308" s="1216"/>
      <c r="M308" s="1216"/>
      <c r="N308" s="1216"/>
      <c r="O308" s="1216"/>
      <c r="P308" s="1216"/>
      <c r="Q308" s="1216"/>
      <c r="R308" s="1216"/>
      <c r="S308" s="1216"/>
    </row>
    <row r="309" spans="1:19" ht="12.75" customHeight="1">
      <c r="A309" s="1216"/>
      <c r="B309" s="1216"/>
      <c r="C309" s="1216"/>
      <c r="D309" s="1216"/>
      <c r="E309" s="1216"/>
      <c r="F309" s="1216"/>
      <c r="G309" s="1216"/>
      <c r="H309" s="1216"/>
      <c r="I309" s="1216"/>
      <c r="J309" s="1216"/>
      <c r="K309" s="1216"/>
      <c r="L309" s="1216"/>
      <c r="M309" s="1216"/>
      <c r="N309" s="1216"/>
      <c r="O309" s="1216"/>
      <c r="P309" s="1216"/>
      <c r="Q309" s="1216"/>
      <c r="R309" s="1216"/>
      <c r="S309" s="1216"/>
    </row>
    <row r="310" spans="1:19" ht="12.75" customHeight="1">
      <c r="A310" s="1216"/>
      <c r="B310" s="1216"/>
      <c r="C310" s="1216"/>
      <c r="D310" s="1216"/>
      <c r="E310" s="1216"/>
      <c r="F310" s="1216"/>
      <c r="G310" s="1216"/>
      <c r="H310" s="1216"/>
      <c r="I310" s="1216"/>
      <c r="J310" s="1216"/>
      <c r="K310" s="1216"/>
      <c r="L310" s="1216"/>
      <c r="M310" s="1216"/>
      <c r="N310" s="1216"/>
      <c r="O310" s="1216"/>
      <c r="P310" s="1216"/>
      <c r="Q310" s="1216"/>
      <c r="R310" s="1216"/>
      <c r="S310" s="1216"/>
    </row>
    <row r="311" spans="1:19" ht="12.75" customHeight="1">
      <c r="A311" s="1216"/>
      <c r="B311" s="1216"/>
      <c r="C311" s="1216"/>
      <c r="D311" s="1216"/>
      <c r="E311" s="1216"/>
      <c r="F311" s="1216"/>
      <c r="G311" s="1216"/>
      <c r="H311" s="1216"/>
      <c r="I311" s="1216"/>
      <c r="J311" s="1216"/>
      <c r="K311" s="1216"/>
      <c r="L311" s="1216"/>
      <c r="M311" s="1216"/>
      <c r="N311" s="1216"/>
      <c r="O311" s="1216"/>
      <c r="P311" s="1216"/>
      <c r="Q311" s="1216"/>
      <c r="R311" s="1216"/>
      <c r="S311" s="1216"/>
    </row>
    <row r="312" spans="1:19" ht="12.75" customHeight="1">
      <c r="A312" s="1216"/>
      <c r="B312" s="1216"/>
      <c r="C312" s="1216"/>
      <c r="D312" s="1216"/>
      <c r="E312" s="1216"/>
      <c r="F312" s="1216"/>
      <c r="G312" s="1216"/>
      <c r="H312" s="1216"/>
      <c r="I312" s="1216"/>
      <c r="J312" s="1216"/>
      <c r="K312" s="1216"/>
      <c r="L312" s="1216"/>
      <c r="M312" s="1216"/>
      <c r="N312" s="1216"/>
      <c r="O312" s="1216"/>
      <c r="P312" s="1216"/>
      <c r="Q312" s="1216"/>
      <c r="R312" s="1216"/>
      <c r="S312" s="1216"/>
    </row>
    <row r="313" spans="1:19" ht="12.75" customHeight="1">
      <c r="A313" s="1216"/>
      <c r="B313" s="1216"/>
      <c r="C313" s="1216"/>
      <c r="D313" s="1216"/>
      <c r="E313" s="1216"/>
      <c r="F313" s="1216"/>
      <c r="G313" s="1216"/>
      <c r="H313" s="1216"/>
      <c r="I313" s="1216"/>
      <c r="J313" s="1216"/>
      <c r="K313" s="1216"/>
      <c r="L313" s="1216"/>
      <c r="M313" s="1216"/>
      <c r="N313" s="1216"/>
      <c r="O313" s="1216"/>
      <c r="P313" s="1216"/>
      <c r="Q313" s="1216"/>
      <c r="R313" s="1216"/>
      <c r="S313" s="1216"/>
    </row>
    <row r="314" spans="1:19" ht="12.75" customHeight="1">
      <c r="A314" s="1216"/>
      <c r="B314" s="1216"/>
      <c r="C314" s="1216"/>
      <c r="D314" s="1216"/>
      <c r="E314" s="1216"/>
      <c r="F314" s="1216"/>
      <c r="G314" s="1216"/>
      <c r="H314" s="1216"/>
      <c r="I314" s="1216"/>
      <c r="J314" s="1216"/>
      <c r="K314" s="1216"/>
      <c r="L314" s="1216"/>
      <c r="M314" s="1216"/>
      <c r="N314" s="1216"/>
      <c r="O314" s="1216"/>
      <c r="P314" s="1216"/>
      <c r="Q314" s="1216"/>
      <c r="R314" s="1216"/>
      <c r="S314" s="1216"/>
    </row>
    <row r="315" spans="1:19" ht="12.75" customHeight="1">
      <c r="A315" s="1216"/>
      <c r="B315" s="1216"/>
      <c r="C315" s="1216"/>
      <c r="D315" s="1216"/>
      <c r="E315" s="1216"/>
      <c r="F315" s="1216"/>
      <c r="G315" s="1216"/>
      <c r="H315" s="1216"/>
      <c r="I315" s="1216"/>
      <c r="J315" s="1216"/>
      <c r="K315" s="1216"/>
      <c r="L315" s="1216"/>
      <c r="M315" s="1216"/>
      <c r="N315" s="1216"/>
      <c r="O315" s="1216"/>
      <c r="P315" s="1216"/>
      <c r="Q315" s="1216"/>
      <c r="R315" s="1216"/>
      <c r="S315" s="1216"/>
    </row>
    <row r="316" spans="1:19" ht="12.75" customHeight="1">
      <c r="A316" s="99"/>
      <c r="B316" s="99"/>
      <c r="C316" s="99"/>
      <c r="D316" s="99"/>
      <c r="E316" s="99"/>
      <c r="F316" s="99"/>
      <c r="G316" s="99"/>
      <c r="H316" s="99"/>
      <c r="I316" s="99"/>
      <c r="J316" s="99"/>
      <c r="K316" s="99"/>
      <c r="L316" s="99"/>
      <c r="M316" s="99"/>
      <c r="N316" s="99"/>
      <c r="O316" s="99"/>
      <c r="P316" s="99"/>
      <c r="Q316" s="99"/>
      <c r="R316" s="99"/>
      <c r="S316" s="99"/>
    </row>
    <row r="317" spans="1:19" ht="12.75" customHeight="1">
      <c r="A317" s="99"/>
      <c r="B317" s="1850" t="s">
        <v>4331</v>
      </c>
      <c r="C317" s="1851"/>
      <c r="D317" s="1852"/>
      <c r="E317" s="1860" t="s">
        <v>4624</v>
      </c>
      <c r="F317" s="1860"/>
      <c r="G317" s="1800" t="s">
        <v>4332</v>
      </c>
      <c r="H317" s="1738"/>
      <c r="I317" s="1738"/>
      <c r="J317" s="1738"/>
      <c r="K317" s="1738"/>
      <c r="L317" s="1738"/>
      <c r="M317" s="1859" t="s">
        <v>4283</v>
      </c>
      <c r="N317" s="1471"/>
      <c r="O317" s="1471"/>
      <c r="P317" s="1471"/>
      <c r="Q317" s="1471"/>
      <c r="R317" s="1859" t="s">
        <v>4270</v>
      </c>
      <c r="S317" s="1471"/>
    </row>
    <row r="318" spans="1:19" ht="12.75" customHeight="1">
      <c r="A318" s="99"/>
      <c r="B318" s="1853"/>
      <c r="C318" s="1854"/>
      <c r="D318" s="1855"/>
      <c r="E318" s="1860"/>
      <c r="F318" s="1860"/>
      <c r="G318" s="1738"/>
      <c r="H318" s="1738"/>
      <c r="I318" s="1738"/>
      <c r="J318" s="1738"/>
      <c r="K318" s="1738"/>
      <c r="L318" s="1738"/>
      <c r="M318" s="1471"/>
      <c r="N318" s="1471"/>
      <c r="O318" s="1471"/>
      <c r="P318" s="1471"/>
      <c r="Q318" s="1471"/>
      <c r="R318" s="1471"/>
      <c r="S318" s="1471"/>
    </row>
    <row r="319" spans="1:19" ht="12.75" customHeight="1">
      <c r="A319" s="99"/>
      <c r="B319" s="1853"/>
      <c r="C319" s="1854"/>
      <c r="D319" s="1855"/>
      <c r="E319" s="1860"/>
      <c r="F319" s="1860"/>
      <c r="G319" s="1738"/>
      <c r="H319" s="1738"/>
      <c r="I319" s="1738"/>
      <c r="J319" s="1738"/>
      <c r="K319" s="1738"/>
      <c r="L319" s="1738"/>
      <c r="M319" s="1471"/>
      <c r="N319" s="1471"/>
      <c r="O319" s="1471"/>
      <c r="P319" s="1471"/>
      <c r="Q319" s="1471"/>
      <c r="R319" s="1471"/>
      <c r="S319" s="1471"/>
    </row>
    <row r="320" spans="1:19" ht="12.75" customHeight="1">
      <c r="A320" s="99"/>
      <c r="B320" s="1856"/>
      <c r="C320" s="1857"/>
      <c r="D320" s="1858"/>
      <c r="E320" s="1860"/>
      <c r="F320" s="1860"/>
      <c r="G320" s="1738"/>
      <c r="H320" s="1738"/>
      <c r="I320" s="1738"/>
      <c r="J320" s="1738"/>
      <c r="K320" s="1738"/>
      <c r="L320" s="1738"/>
      <c r="M320" s="1471"/>
      <c r="N320" s="1471"/>
      <c r="O320" s="1471"/>
      <c r="P320" s="1471"/>
      <c r="Q320" s="1471"/>
      <c r="R320" s="1471"/>
      <c r="S320" s="1471"/>
    </row>
    <row r="321" spans="1:21" ht="12.75" customHeight="1">
      <c r="A321" s="99"/>
      <c r="B321" s="1810" t="s">
        <v>4333</v>
      </c>
      <c r="C321" s="1810"/>
      <c r="D321" s="1810"/>
      <c r="E321" s="1775">
        <v>26000</v>
      </c>
      <c r="F321" s="1775"/>
      <c r="G321" s="1811" t="s">
        <v>4334</v>
      </c>
      <c r="H321" s="1775"/>
      <c r="I321" s="1775"/>
      <c r="J321" s="1775"/>
      <c r="K321" s="1775"/>
      <c r="L321" s="1775"/>
      <c r="M321" s="1796" t="s">
        <v>4625</v>
      </c>
      <c r="N321" s="1775"/>
      <c r="O321" s="1775"/>
      <c r="P321" s="1775"/>
      <c r="Q321" s="1775"/>
      <c r="R321" s="1775">
        <v>1413.51</v>
      </c>
      <c r="S321" s="1775"/>
    </row>
    <row r="322" spans="1:21" ht="12.75" customHeight="1">
      <c r="A322" s="99"/>
      <c r="B322" s="1810"/>
      <c r="C322" s="1810"/>
      <c r="D322" s="1810"/>
      <c r="E322" s="1775"/>
      <c r="F322" s="1775"/>
      <c r="G322" s="1775"/>
      <c r="H322" s="1775"/>
      <c r="I322" s="1775"/>
      <c r="J322" s="1775"/>
      <c r="K322" s="1775"/>
      <c r="L322" s="1775"/>
      <c r="M322" s="1775"/>
      <c r="N322" s="1775"/>
      <c r="O322" s="1775"/>
      <c r="P322" s="1775"/>
      <c r="Q322" s="1775"/>
      <c r="R322" s="1775"/>
      <c r="S322" s="1775"/>
    </row>
    <row r="323" spans="1:21" ht="12.75" customHeight="1">
      <c r="A323" s="99"/>
      <c r="B323" s="1810"/>
      <c r="C323" s="1810"/>
      <c r="D323" s="1810"/>
      <c r="E323" s="1775"/>
      <c r="F323" s="1775"/>
      <c r="G323" s="1775"/>
      <c r="H323" s="1775"/>
      <c r="I323" s="1775"/>
      <c r="J323" s="1775"/>
      <c r="K323" s="1775"/>
      <c r="L323" s="1775"/>
      <c r="M323" s="1775"/>
      <c r="N323" s="1775"/>
      <c r="O323" s="1775"/>
      <c r="P323" s="1775"/>
      <c r="Q323" s="1775"/>
      <c r="R323" s="1775"/>
      <c r="S323" s="1775"/>
    </row>
    <row r="324" spans="1:21" ht="12.75" customHeight="1">
      <c r="A324" s="99"/>
      <c r="B324" s="1810"/>
      <c r="C324" s="1810"/>
      <c r="D324" s="1810"/>
      <c r="E324" s="1775"/>
      <c r="F324" s="1775"/>
      <c r="G324" s="1775"/>
      <c r="H324" s="1775"/>
      <c r="I324" s="1775"/>
      <c r="J324" s="1775"/>
      <c r="K324" s="1775"/>
      <c r="L324" s="1775"/>
      <c r="M324" s="1775"/>
      <c r="N324" s="1775"/>
      <c r="O324" s="1775"/>
      <c r="P324" s="1775"/>
      <c r="Q324" s="1775"/>
      <c r="R324" s="1775"/>
      <c r="S324" s="1775"/>
    </row>
    <row r="325" spans="1:21" ht="12.75" customHeight="1">
      <c r="A325" s="99"/>
      <c r="B325" s="1861" t="s">
        <v>4335</v>
      </c>
      <c r="C325" s="1862"/>
      <c r="D325" s="1863"/>
      <c r="E325" s="1812">
        <v>155</v>
      </c>
      <c r="F325" s="1812"/>
      <c r="G325" s="1796" t="s">
        <v>4336</v>
      </c>
      <c r="H325" s="1775"/>
      <c r="I325" s="1775"/>
      <c r="J325" s="1775"/>
      <c r="K325" s="1775"/>
      <c r="L325" s="1775"/>
      <c r="M325" s="1832" t="s">
        <v>4337</v>
      </c>
      <c r="N325" s="1833"/>
      <c r="O325" s="1833"/>
      <c r="P325" s="1833"/>
      <c r="Q325" s="1834"/>
      <c r="R325" s="1775">
        <v>942.91</v>
      </c>
      <c r="S325" s="1775"/>
    </row>
    <row r="326" spans="1:21" ht="12.75" customHeight="1">
      <c r="A326" s="99"/>
      <c r="B326" s="1864"/>
      <c r="C326" s="1865"/>
      <c r="D326" s="1866"/>
      <c r="E326" s="1812"/>
      <c r="F326" s="1812"/>
      <c r="G326" s="1775"/>
      <c r="H326" s="1775"/>
      <c r="I326" s="1775"/>
      <c r="J326" s="1775"/>
      <c r="K326" s="1775"/>
      <c r="L326" s="1775"/>
      <c r="M326" s="1835"/>
      <c r="N326" s="1836"/>
      <c r="O326" s="1836"/>
      <c r="P326" s="1836"/>
      <c r="Q326" s="1837"/>
      <c r="R326" s="1775"/>
      <c r="S326" s="1775"/>
    </row>
    <row r="327" spans="1:21" ht="12.75" customHeight="1">
      <c r="A327" s="99"/>
      <c r="B327" s="1864"/>
      <c r="C327" s="1865"/>
      <c r="D327" s="1866"/>
      <c r="E327" s="1812"/>
      <c r="F327" s="1812"/>
      <c r="G327" s="1775"/>
      <c r="H327" s="1775"/>
      <c r="I327" s="1775"/>
      <c r="J327" s="1775"/>
      <c r="K327" s="1775"/>
      <c r="L327" s="1775"/>
      <c r="M327" s="1835"/>
      <c r="N327" s="1836"/>
      <c r="O327" s="1836"/>
      <c r="P327" s="1836"/>
      <c r="Q327" s="1837"/>
      <c r="R327" s="1775"/>
      <c r="S327" s="1775"/>
    </row>
    <row r="328" spans="1:21" ht="12.75" customHeight="1">
      <c r="A328" s="99"/>
      <c r="B328" s="1867"/>
      <c r="C328" s="1868"/>
      <c r="D328" s="1869"/>
      <c r="E328" s="1812"/>
      <c r="F328" s="1812"/>
      <c r="G328" s="1775"/>
      <c r="H328" s="1775"/>
      <c r="I328" s="1775"/>
      <c r="J328" s="1775"/>
      <c r="K328" s="1775"/>
      <c r="L328" s="1775"/>
      <c r="M328" s="1838"/>
      <c r="N328" s="1839"/>
      <c r="O328" s="1839"/>
      <c r="P328" s="1839"/>
      <c r="Q328" s="1840"/>
      <c r="R328" s="1775"/>
      <c r="S328" s="1775"/>
    </row>
    <row r="329" spans="1:21" ht="12.75" customHeight="1">
      <c r="A329" s="99"/>
      <c r="B329" s="1776" t="s">
        <v>4338</v>
      </c>
      <c r="C329" s="1776"/>
      <c r="D329" s="1776"/>
      <c r="E329" s="1823" t="s">
        <v>4339</v>
      </c>
      <c r="F329" s="1824"/>
      <c r="G329" s="1824"/>
      <c r="H329" s="1824"/>
      <c r="I329" s="1824"/>
      <c r="J329" s="1824"/>
      <c r="K329" s="1824"/>
      <c r="L329" s="1824"/>
      <c r="M329" s="1824"/>
      <c r="N329" s="1824"/>
      <c r="O329" s="1824"/>
      <c r="P329" s="1824"/>
      <c r="Q329" s="1824"/>
      <c r="R329" s="1824"/>
      <c r="S329" s="1825"/>
    </row>
    <row r="330" spans="1:21" ht="12.75" customHeight="1">
      <c r="A330" s="99"/>
      <c r="B330" s="1776"/>
      <c r="C330" s="1776"/>
      <c r="D330" s="1776"/>
      <c r="E330" s="1826"/>
      <c r="F330" s="1827"/>
      <c r="G330" s="1827"/>
      <c r="H330" s="1827"/>
      <c r="I330" s="1827"/>
      <c r="J330" s="1827"/>
      <c r="K330" s="1827"/>
      <c r="L330" s="1827"/>
      <c r="M330" s="1827"/>
      <c r="N330" s="1827"/>
      <c r="O330" s="1827"/>
      <c r="P330" s="1827"/>
      <c r="Q330" s="1827"/>
      <c r="R330" s="1827"/>
      <c r="S330" s="1828"/>
    </row>
    <row r="331" spans="1:21" ht="12.75" customHeight="1">
      <c r="A331" s="99"/>
      <c r="B331" s="1776"/>
      <c r="C331" s="1776"/>
      <c r="D331" s="1776"/>
      <c r="E331" s="1826"/>
      <c r="F331" s="1827"/>
      <c r="G331" s="1827"/>
      <c r="H331" s="1827"/>
      <c r="I331" s="1827"/>
      <c r="J331" s="1827"/>
      <c r="K331" s="1827"/>
      <c r="L331" s="1827"/>
      <c r="M331" s="1827"/>
      <c r="N331" s="1827"/>
      <c r="O331" s="1827"/>
      <c r="P331" s="1827"/>
      <c r="Q331" s="1827"/>
      <c r="R331" s="1827"/>
      <c r="S331" s="1828"/>
      <c r="U331" s="522"/>
    </row>
    <row r="332" spans="1:21" ht="12.75" customHeight="1">
      <c r="A332" s="99"/>
      <c r="B332" s="1776"/>
      <c r="C332" s="1776"/>
      <c r="D332" s="1776"/>
      <c r="E332" s="1826"/>
      <c r="F332" s="1827"/>
      <c r="G332" s="1827"/>
      <c r="H332" s="1827"/>
      <c r="I332" s="1827"/>
      <c r="J332" s="1827"/>
      <c r="K332" s="1827"/>
      <c r="L332" s="1827"/>
      <c r="M332" s="1827"/>
      <c r="N332" s="1827"/>
      <c r="O332" s="1827"/>
      <c r="P332" s="1827"/>
      <c r="Q332" s="1827"/>
      <c r="R332" s="1827"/>
      <c r="S332" s="1828"/>
    </row>
    <row r="333" spans="1:21" ht="12.75" customHeight="1">
      <c r="A333" s="99"/>
      <c r="B333" s="1776"/>
      <c r="C333" s="1776"/>
      <c r="D333" s="1776"/>
      <c r="E333" s="1829"/>
      <c r="F333" s="1830"/>
      <c r="G333" s="1830"/>
      <c r="H333" s="1830"/>
      <c r="I333" s="1830"/>
      <c r="J333" s="1830"/>
      <c r="K333" s="1830"/>
      <c r="L333" s="1830"/>
      <c r="M333" s="1830"/>
      <c r="N333" s="1830"/>
      <c r="O333" s="1830"/>
      <c r="P333" s="1830"/>
      <c r="Q333" s="1830"/>
      <c r="R333" s="1830"/>
      <c r="S333" s="1831"/>
    </row>
    <row r="334" spans="1:21" ht="12.75" customHeight="1">
      <c r="A334" s="99"/>
      <c r="B334" s="1774" t="s">
        <v>4340</v>
      </c>
      <c r="C334" s="1774"/>
      <c r="D334" s="1774"/>
      <c r="E334" s="1775">
        <v>170</v>
      </c>
      <c r="F334" s="1775"/>
      <c r="G334" s="1811" t="s">
        <v>4275</v>
      </c>
      <c r="H334" s="1775"/>
      <c r="I334" s="1775"/>
      <c r="J334" s="1775"/>
      <c r="K334" s="1775"/>
      <c r="L334" s="1775"/>
      <c r="M334" s="1841" t="s">
        <v>4276</v>
      </c>
      <c r="N334" s="1842"/>
      <c r="O334" s="1842"/>
      <c r="P334" s="1842"/>
      <c r="Q334" s="1843"/>
      <c r="R334" s="1775">
        <v>1034.1600000000001</v>
      </c>
      <c r="S334" s="1775"/>
    </row>
    <row r="335" spans="1:21" ht="12.75" customHeight="1">
      <c r="A335" s="99"/>
      <c r="B335" s="1774"/>
      <c r="C335" s="1774"/>
      <c r="D335" s="1774"/>
      <c r="E335" s="1775"/>
      <c r="F335" s="1775"/>
      <c r="G335" s="1775"/>
      <c r="H335" s="1775"/>
      <c r="I335" s="1775"/>
      <c r="J335" s="1775"/>
      <c r="K335" s="1775"/>
      <c r="L335" s="1775"/>
      <c r="M335" s="1844"/>
      <c r="N335" s="1845"/>
      <c r="O335" s="1845"/>
      <c r="P335" s="1845"/>
      <c r="Q335" s="1846"/>
      <c r="R335" s="1775"/>
      <c r="S335" s="1775"/>
    </row>
    <row r="336" spans="1:21" ht="12.75" customHeight="1">
      <c r="A336" s="99"/>
      <c r="B336" s="1774"/>
      <c r="C336" s="1774"/>
      <c r="D336" s="1774"/>
      <c r="E336" s="1775"/>
      <c r="F336" s="1775"/>
      <c r="G336" s="1775"/>
      <c r="H336" s="1775"/>
      <c r="I336" s="1775"/>
      <c r="J336" s="1775"/>
      <c r="K336" s="1775"/>
      <c r="L336" s="1775"/>
      <c r="M336" s="1844"/>
      <c r="N336" s="1845"/>
      <c r="O336" s="1845"/>
      <c r="P336" s="1845"/>
      <c r="Q336" s="1846"/>
      <c r="R336" s="1775"/>
      <c r="S336" s="1775"/>
    </row>
    <row r="337" spans="1:19">
      <c r="B337" s="1774"/>
      <c r="C337" s="1774"/>
      <c r="D337" s="1774"/>
      <c r="E337" s="1775"/>
      <c r="F337" s="1775"/>
      <c r="G337" s="1775"/>
      <c r="H337" s="1775"/>
      <c r="I337" s="1775"/>
      <c r="J337" s="1775"/>
      <c r="K337" s="1775"/>
      <c r="L337" s="1775"/>
      <c r="M337" s="1847"/>
      <c r="N337" s="1848"/>
      <c r="O337" s="1848"/>
      <c r="P337" s="1848"/>
      <c r="Q337" s="1849"/>
      <c r="R337" s="1775"/>
      <c r="S337" s="1775"/>
    </row>
    <row r="338" spans="1:19" ht="12.75" customHeight="1">
      <c r="B338" s="1776" t="s">
        <v>4316</v>
      </c>
      <c r="C338" s="1776"/>
      <c r="D338" s="1776"/>
      <c r="E338" s="1800" t="s">
        <v>4341</v>
      </c>
      <c r="F338" s="1800"/>
      <c r="G338" s="1800"/>
      <c r="H338" s="1800"/>
      <c r="I338" s="1800"/>
      <c r="J338" s="1800"/>
      <c r="K338" s="1800"/>
      <c r="L338" s="1800"/>
      <c r="M338" s="1800"/>
      <c r="N338" s="1800"/>
      <c r="O338" s="1800"/>
      <c r="P338" s="1800"/>
      <c r="Q338" s="1800"/>
      <c r="R338" s="1796">
        <v>379.35</v>
      </c>
      <c r="S338" s="1796"/>
    </row>
    <row r="339" spans="1:19">
      <c r="B339" s="1776"/>
      <c r="C339" s="1776"/>
      <c r="D339" s="1776"/>
      <c r="E339" s="1800"/>
      <c r="F339" s="1800"/>
      <c r="G339" s="1800"/>
      <c r="H339" s="1800"/>
      <c r="I339" s="1800"/>
      <c r="J339" s="1800"/>
      <c r="K339" s="1800"/>
      <c r="L339" s="1800"/>
      <c r="M339" s="1800"/>
      <c r="N339" s="1800"/>
      <c r="O339" s="1800"/>
      <c r="P339" s="1800"/>
      <c r="Q339" s="1800"/>
      <c r="R339" s="1796"/>
      <c r="S339" s="1796"/>
    </row>
    <row r="340" spans="1:19">
      <c r="B340" s="1776"/>
      <c r="C340" s="1776"/>
      <c r="D340" s="1776"/>
      <c r="E340" s="1800"/>
      <c r="F340" s="1800"/>
      <c r="G340" s="1800"/>
      <c r="H340" s="1800"/>
      <c r="I340" s="1800"/>
      <c r="J340" s="1800"/>
      <c r="K340" s="1800"/>
      <c r="L340" s="1800"/>
      <c r="M340" s="1800"/>
      <c r="N340" s="1800"/>
      <c r="O340" s="1800"/>
      <c r="P340" s="1800"/>
      <c r="Q340" s="1800"/>
      <c r="R340" s="1796"/>
      <c r="S340" s="1796"/>
    </row>
    <row r="341" spans="1:19">
      <c r="B341" s="1776"/>
      <c r="C341" s="1776"/>
      <c r="D341" s="1776"/>
      <c r="E341" s="1800"/>
      <c r="F341" s="1800"/>
      <c r="G341" s="1800"/>
      <c r="H341" s="1800"/>
      <c r="I341" s="1800"/>
      <c r="J341" s="1800"/>
      <c r="K341" s="1800"/>
      <c r="L341" s="1800"/>
      <c r="M341" s="1800"/>
      <c r="N341" s="1800"/>
      <c r="O341" s="1800"/>
      <c r="P341" s="1800"/>
      <c r="Q341" s="1800"/>
      <c r="R341" s="1796"/>
      <c r="S341" s="1796"/>
    </row>
    <row r="342" spans="1:19">
      <c r="B342" s="1776"/>
      <c r="C342" s="1776"/>
      <c r="D342" s="1776"/>
      <c r="E342" s="1800"/>
      <c r="F342" s="1800"/>
      <c r="G342" s="1800"/>
      <c r="H342" s="1800"/>
      <c r="I342" s="1800"/>
      <c r="J342" s="1800"/>
      <c r="K342" s="1800"/>
      <c r="L342" s="1800"/>
      <c r="M342" s="1800"/>
      <c r="N342" s="1800"/>
      <c r="O342" s="1800"/>
      <c r="P342" s="1800"/>
      <c r="Q342" s="1800"/>
      <c r="R342" s="1796"/>
      <c r="S342" s="1796"/>
    </row>
    <row r="343" spans="1:19">
      <c r="F343" s="610"/>
    </row>
    <row r="344" spans="1:19" ht="12.75" customHeight="1">
      <c r="A344" s="1287" t="s">
        <v>4622</v>
      </c>
      <c r="B344" s="1216"/>
      <c r="C344" s="1216"/>
      <c r="D344" s="1216"/>
      <c r="E344" s="1216"/>
      <c r="F344" s="1216"/>
      <c r="G344" s="1216"/>
      <c r="H344" s="1216"/>
      <c r="I344" s="1216"/>
      <c r="J344" s="1216"/>
      <c r="K344" s="1216"/>
      <c r="L344" s="1216"/>
      <c r="M344" s="1216"/>
      <c r="N344" s="1216"/>
      <c r="O344" s="1216"/>
      <c r="P344" s="1216"/>
      <c r="Q344" s="1216"/>
      <c r="R344" s="1216"/>
      <c r="S344" s="1216"/>
    </row>
    <row r="345" spans="1:19">
      <c r="A345" s="1216"/>
      <c r="B345" s="1216"/>
      <c r="C345" s="1216"/>
      <c r="D345" s="1216"/>
      <c r="E345" s="1216"/>
      <c r="F345" s="1216"/>
      <c r="G345" s="1216"/>
      <c r="H345" s="1216"/>
      <c r="I345" s="1216"/>
      <c r="J345" s="1216"/>
      <c r="K345" s="1216"/>
      <c r="L345" s="1216"/>
      <c r="M345" s="1216"/>
      <c r="N345" s="1216"/>
      <c r="O345" s="1216"/>
      <c r="P345" s="1216"/>
      <c r="Q345" s="1216"/>
      <c r="R345" s="1216"/>
      <c r="S345" s="1216"/>
    </row>
    <row r="346" spans="1:19">
      <c r="A346" s="1216"/>
      <c r="B346" s="1216"/>
      <c r="C346" s="1216"/>
      <c r="D346" s="1216"/>
      <c r="E346" s="1216"/>
      <c r="F346" s="1216"/>
      <c r="G346" s="1216"/>
      <c r="H346" s="1216"/>
      <c r="I346" s="1216"/>
      <c r="J346" s="1216"/>
      <c r="K346" s="1216"/>
      <c r="L346" s="1216"/>
      <c r="M346" s="1216"/>
      <c r="N346" s="1216"/>
      <c r="O346" s="1216"/>
      <c r="P346" s="1216"/>
      <c r="Q346" s="1216"/>
      <c r="R346" s="1216"/>
      <c r="S346" s="1216"/>
    </row>
    <row r="347" spans="1:19">
      <c r="A347" s="1216"/>
      <c r="B347" s="1216"/>
      <c r="C347" s="1216"/>
      <c r="D347" s="1216"/>
      <c r="E347" s="1216"/>
      <c r="F347" s="1216"/>
      <c r="G347" s="1216"/>
      <c r="H347" s="1216"/>
      <c r="I347" s="1216"/>
      <c r="J347" s="1216"/>
      <c r="K347" s="1216"/>
      <c r="L347" s="1216"/>
      <c r="M347" s="1216"/>
      <c r="N347" s="1216"/>
      <c r="O347" s="1216"/>
      <c r="P347" s="1216"/>
      <c r="Q347" s="1216"/>
      <c r="R347" s="1216"/>
      <c r="S347" s="1216"/>
    </row>
    <row r="348" spans="1:19">
      <c r="A348" s="1216"/>
      <c r="B348" s="1216"/>
      <c r="C348" s="1216"/>
      <c r="D348" s="1216"/>
      <c r="E348" s="1216"/>
      <c r="F348" s="1216"/>
      <c r="G348" s="1216"/>
      <c r="H348" s="1216"/>
      <c r="I348" s="1216"/>
      <c r="J348" s="1216"/>
      <c r="K348" s="1216"/>
      <c r="L348" s="1216"/>
      <c r="M348" s="1216"/>
      <c r="N348" s="1216"/>
      <c r="O348" s="1216"/>
      <c r="P348" s="1216"/>
      <c r="Q348" s="1216"/>
      <c r="R348" s="1216"/>
      <c r="S348" s="1216"/>
    </row>
    <row r="349" spans="1:19">
      <c r="A349" s="1216"/>
      <c r="B349" s="1216"/>
      <c r="C349" s="1216"/>
      <c r="D349" s="1216"/>
      <c r="E349" s="1216"/>
      <c r="F349" s="1216"/>
      <c r="G349" s="1216"/>
      <c r="H349" s="1216"/>
      <c r="I349" s="1216"/>
      <c r="J349" s="1216"/>
      <c r="K349" s="1216"/>
      <c r="L349" s="1216"/>
      <c r="M349" s="1216"/>
      <c r="N349" s="1216"/>
      <c r="O349" s="1216"/>
      <c r="P349" s="1216"/>
      <c r="Q349" s="1216"/>
      <c r="R349" s="1216"/>
      <c r="S349" s="1216"/>
    </row>
    <row r="350" spans="1:19">
      <c r="A350" s="1287" t="s">
        <v>4623</v>
      </c>
      <c r="B350" s="1216"/>
      <c r="C350" s="1216"/>
      <c r="D350" s="1216"/>
      <c r="E350" s="1216"/>
      <c r="F350" s="1216"/>
      <c r="G350" s="1216"/>
      <c r="H350" s="1216"/>
      <c r="I350" s="1216"/>
      <c r="J350" s="1216"/>
      <c r="K350" s="1216"/>
      <c r="L350" s="1216"/>
      <c r="M350" s="1216"/>
      <c r="N350" s="1216"/>
      <c r="O350" s="1216"/>
      <c r="P350" s="1216"/>
      <c r="Q350" s="1216"/>
      <c r="R350" s="1216"/>
      <c r="S350" s="1216"/>
    </row>
    <row r="351" spans="1:19">
      <c r="A351" s="1216"/>
      <c r="B351" s="1216"/>
      <c r="C351" s="1216"/>
      <c r="D351" s="1216"/>
      <c r="E351" s="1216"/>
      <c r="F351" s="1216"/>
      <c r="G351" s="1216"/>
      <c r="H351" s="1216"/>
      <c r="I351" s="1216"/>
      <c r="J351" s="1216"/>
      <c r="K351" s="1216"/>
      <c r="L351" s="1216"/>
      <c r="M351" s="1216"/>
      <c r="N351" s="1216"/>
      <c r="O351" s="1216"/>
      <c r="P351" s="1216"/>
      <c r="Q351" s="1216"/>
      <c r="R351" s="1216"/>
      <c r="S351" s="1216"/>
    </row>
    <row r="352" spans="1:19">
      <c r="A352" s="1216"/>
      <c r="B352" s="1216"/>
      <c r="C352" s="1216"/>
      <c r="D352" s="1216"/>
      <c r="E352" s="1216"/>
      <c r="F352" s="1216"/>
      <c r="G352" s="1216"/>
      <c r="H352" s="1216"/>
      <c r="I352" s="1216"/>
      <c r="J352" s="1216"/>
      <c r="K352" s="1216"/>
      <c r="L352" s="1216"/>
      <c r="M352" s="1216"/>
      <c r="N352" s="1216"/>
      <c r="O352" s="1216"/>
      <c r="P352" s="1216"/>
      <c r="Q352" s="1216"/>
      <c r="R352" s="1216"/>
      <c r="S352" s="1216"/>
    </row>
    <row r="353" spans="1:19">
      <c r="A353" s="1216"/>
      <c r="B353" s="1216"/>
      <c r="C353" s="1216"/>
      <c r="D353" s="1216"/>
      <c r="E353" s="1216"/>
      <c r="F353" s="1216"/>
      <c r="G353" s="1216"/>
      <c r="H353" s="1216"/>
      <c r="I353" s="1216"/>
      <c r="J353" s="1216"/>
      <c r="K353" s="1216"/>
      <c r="L353" s="1216"/>
      <c r="M353" s="1216"/>
      <c r="N353" s="1216"/>
      <c r="O353" s="1216"/>
      <c r="P353" s="1216"/>
      <c r="Q353" s="1216"/>
      <c r="R353" s="1216"/>
      <c r="S353" s="1216"/>
    </row>
    <row r="354" spans="1:19">
      <c r="A354" s="1216"/>
      <c r="B354" s="1216"/>
      <c r="C354" s="1216"/>
      <c r="D354" s="1216"/>
      <c r="E354" s="1216"/>
      <c r="F354" s="1216"/>
      <c r="G354" s="1216"/>
      <c r="H354" s="1216"/>
      <c r="I354" s="1216"/>
      <c r="J354" s="1216"/>
      <c r="K354" s="1216"/>
      <c r="L354" s="1216"/>
      <c r="M354" s="1216"/>
      <c r="N354" s="1216"/>
      <c r="O354" s="1216"/>
      <c r="P354" s="1216"/>
      <c r="Q354" s="1216"/>
      <c r="R354" s="1216"/>
      <c r="S354" s="1216"/>
    </row>
    <row r="355" spans="1:19">
      <c r="A355" s="1216"/>
      <c r="B355" s="1216"/>
      <c r="C355" s="1216"/>
      <c r="D355" s="1216"/>
      <c r="E355" s="1216"/>
      <c r="F355" s="1216"/>
      <c r="G355" s="1216"/>
      <c r="H355" s="1216"/>
      <c r="I355" s="1216"/>
      <c r="J355" s="1216"/>
      <c r="K355" s="1216"/>
      <c r="L355" s="1216"/>
      <c r="M355" s="1216"/>
      <c r="N355" s="1216"/>
      <c r="O355" s="1216"/>
      <c r="P355" s="1216"/>
      <c r="Q355" s="1216"/>
      <c r="R355" s="1216"/>
      <c r="S355" s="1216"/>
    </row>
    <row r="356" spans="1:19">
      <c r="A356" s="1216"/>
      <c r="B356" s="1216"/>
      <c r="C356" s="1216"/>
      <c r="D356" s="1216"/>
      <c r="E356" s="1216"/>
      <c r="F356" s="1216"/>
      <c r="G356" s="1216"/>
      <c r="H356" s="1216"/>
      <c r="I356" s="1216"/>
      <c r="J356" s="1216"/>
      <c r="K356" s="1216"/>
      <c r="L356" s="1216"/>
      <c r="M356" s="1216"/>
      <c r="N356" s="1216"/>
      <c r="O356" s="1216"/>
      <c r="P356" s="1216"/>
      <c r="Q356" s="1216"/>
      <c r="R356" s="1216"/>
      <c r="S356" s="1216"/>
    </row>
    <row r="357" spans="1:19">
      <c r="A357" s="99"/>
      <c r="B357" s="99"/>
      <c r="C357" s="99"/>
      <c r="D357" s="99"/>
      <c r="E357" s="99"/>
      <c r="F357" s="99"/>
      <c r="G357" s="99"/>
      <c r="H357" s="99"/>
      <c r="I357" s="99"/>
      <c r="J357" s="99"/>
      <c r="K357" s="99"/>
      <c r="L357" s="99"/>
      <c r="M357" s="99"/>
      <c r="N357" s="99"/>
      <c r="O357" s="99"/>
      <c r="P357" s="99"/>
      <c r="Q357" s="99"/>
      <c r="R357" s="99"/>
      <c r="S357" s="99"/>
    </row>
    <row r="358" spans="1:19">
      <c r="A358" s="99"/>
      <c r="B358" s="1814" t="s">
        <v>4342</v>
      </c>
      <c r="C358" s="1815"/>
      <c r="D358" s="1816"/>
      <c r="E358" s="1812" t="s">
        <v>3305</v>
      </c>
      <c r="F358" s="1812"/>
      <c r="G358" s="1796" t="s">
        <v>4268</v>
      </c>
      <c r="H358" s="1777"/>
      <c r="I358" s="1777"/>
      <c r="J358" s="1777"/>
      <c r="K358" s="1777"/>
      <c r="L358" s="1777"/>
      <c r="M358" s="1796" t="s">
        <v>4343</v>
      </c>
      <c r="N358" s="1777"/>
      <c r="O358" s="1777"/>
      <c r="P358" s="1777"/>
      <c r="Q358" s="1777"/>
      <c r="R358" s="1859" t="s">
        <v>4270</v>
      </c>
      <c r="S358" s="1471"/>
    </row>
    <row r="359" spans="1:19">
      <c r="A359" s="99"/>
      <c r="B359" s="1817"/>
      <c r="C359" s="1818"/>
      <c r="D359" s="1819"/>
      <c r="E359" s="1812"/>
      <c r="F359" s="1812"/>
      <c r="G359" s="1777"/>
      <c r="H359" s="1777"/>
      <c r="I359" s="1777"/>
      <c r="J359" s="1777"/>
      <c r="K359" s="1777"/>
      <c r="L359" s="1777"/>
      <c r="M359" s="1777"/>
      <c r="N359" s="1777"/>
      <c r="O359" s="1777"/>
      <c r="P359" s="1777"/>
      <c r="Q359" s="1777"/>
      <c r="R359" s="1471"/>
      <c r="S359" s="1471"/>
    </row>
    <row r="360" spans="1:19">
      <c r="A360" s="99"/>
      <c r="B360" s="1817"/>
      <c r="C360" s="1818"/>
      <c r="D360" s="1819"/>
      <c r="E360" s="1812"/>
      <c r="F360" s="1812"/>
      <c r="G360" s="1777"/>
      <c r="H360" s="1777"/>
      <c r="I360" s="1777"/>
      <c r="J360" s="1777"/>
      <c r="K360" s="1777"/>
      <c r="L360" s="1777"/>
      <c r="M360" s="1777"/>
      <c r="N360" s="1777"/>
      <c r="O360" s="1777"/>
      <c r="P360" s="1777"/>
      <c r="Q360" s="1777"/>
      <c r="R360" s="1471"/>
      <c r="S360" s="1471"/>
    </row>
    <row r="361" spans="1:19">
      <c r="A361" s="99"/>
      <c r="B361" s="1820"/>
      <c r="C361" s="1821"/>
      <c r="D361" s="1822"/>
      <c r="E361" s="1812"/>
      <c r="F361" s="1812"/>
      <c r="G361" s="1777"/>
      <c r="H361" s="1777"/>
      <c r="I361" s="1777"/>
      <c r="J361" s="1777"/>
      <c r="K361" s="1777"/>
      <c r="L361" s="1777"/>
      <c r="M361" s="1777"/>
      <c r="N361" s="1777"/>
      <c r="O361" s="1777"/>
      <c r="P361" s="1777"/>
      <c r="Q361" s="1777"/>
      <c r="R361" s="1471"/>
      <c r="S361" s="1471"/>
    </row>
    <row r="362" spans="1:19">
      <c r="A362" s="99"/>
      <c r="B362" s="1810" t="s">
        <v>4344</v>
      </c>
      <c r="C362" s="1810"/>
      <c r="D362" s="1810"/>
      <c r="E362" s="1775">
        <v>80</v>
      </c>
      <c r="F362" s="1775"/>
      <c r="G362" s="1811" t="s">
        <v>4345</v>
      </c>
      <c r="H362" s="1775"/>
      <c r="I362" s="1775"/>
      <c r="J362" s="1775"/>
      <c r="K362" s="1775"/>
      <c r="L362" s="1775"/>
      <c r="M362" s="1811" t="s">
        <v>4346</v>
      </c>
      <c r="N362" s="1775"/>
      <c r="O362" s="1775"/>
      <c r="P362" s="1775"/>
      <c r="Q362" s="1775"/>
      <c r="R362" s="1775">
        <v>486.67</v>
      </c>
      <c r="S362" s="1775"/>
    </row>
    <row r="363" spans="1:19">
      <c r="A363" s="99"/>
      <c r="B363" s="1810"/>
      <c r="C363" s="1810"/>
      <c r="D363" s="1810"/>
      <c r="E363" s="1775"/>
      <c r="F363" s="1775"/>
      <c r="G363" s="1775"/>
      <c r="H363" s="1775"/>
      <c r="I363" s="1775"/>
      <c r="J363" s="1775"/>
      <c r="K363" s="1775"/>
      <c r="L363" s="1775"/>
      <c r="M363" s="1775"/>
      <c r="N363" s="1775"/>
      <c r="O363" s="1775"/>
      <c r="P363" s="1775"/>
      <c r="Q363" s="1775"/>
      <c r="R363" s="1775"/>
      <c r="S363" s="1775"/>
    </row>
    <row r="364" spans="1:19">
      <c r="A364" s="99"/>
      <c r="B364" s="1810"/>
      <c r="C364" s="1810"/>
      <c r="D364" s="1810"/>
      <c r="E364" s="1775"/>
      <c r="F364" s="1775"/>
      <c r="G364" s="1775"/>
      <c r="H364" s="1775"/>
      <c r="I364" s="1775"/>
      <c r="J364" s="1775"/>
      <c r="K364" s="1775"/>
      <c r="L364" s="1775"/>
      <c r="M364" s="1775"/>
      <c r="N364" s="1775"/>
      <c r="O364" s="1775"/>
      <c r="P364" s="1775"/>
      <c r="Q364" s="1775"/>
      <c r="R364" s="1775"/>
      <c r="S364" s="1775"/>
    </row>
    <row r="365" spans="1:19">
      <c r="A365" s="99"/>
      <c r="B365" s="1810"/>
      <c r="C365" s="1810"/>
      <c r="D365" s="1810"/>
      <c r="E365" s="1775"/>
      <c r="F365" s="1775"/>
      <c r="G365" s="1775"/>
      <c r="H365" s="1775"/>
      <c r="I365" s="1775"/>
      <c r="J365" s="1775"/>
      <c r="K365" s="1775"/>
      <c r="L365" s="1775"/>
      <c r="M365" s="1775"/>
      <c r="N365" s="1775"/>
      <c r="O365" s="1775"/>
      <c r="P365" s="1775"/>
      <c r="Q365" s="1775"/>
      <c r="R365" s="1775"/>
      <c r="S365" s="1775"/>
    </row>
    <row r="366" spans="1:19">
      <c r="A366" s="99"/>
      <c r="B366" s="1801" t="s">
        <v>4313</v>
      </c>
      <c r="C366" s="1802"/>
      <c r="D366" s="1803"/>
      <c r="E366" s="1812">
        <v>70</v>
      </c>
      <c r="F366" s="1812"/>
      <c r="G366" s="1796" t="s">
        <v>4347</v>
      </c>
      <c r="H366" s="1775"/>
      <c r="I366" s="1775"/>
      <c r="J366" s="1775"/>
      <c r="K366" s="1775"/>
      <c r="L366" s="1775"/>
      <c r="M366" s="1832" t="s">
        <v>4348</v>
      </c>
      <c r="N366" s="1833"/>
      <c r="O366" s="1833"/>
      <c r="P366" s="1833"/>
      <c r="Q366" s="1834"/>
      <c r="R366" s="1775">
        <v>425.83</v>
      </c>
      <c r="S366" s="1775"/>
    </row>
    <row r="367" spans="1:19">
      <c r="A367" s="99"/>
      <c r="B367" s="1804"/>
      <c r="C367" s="1805"/>
      <c r="D367" s="1806"/>
      <c r="E367" s="1812"/>
      <c r="F367" s="1812"/>
      <c r="G367" s="1775"/>
      <c r="H367" s="1775"/>
      <c r="I367" s="1775"/>
      <c r="J367" s="1775"/>
      <c r="K367" s="1775"/>
      <c r="L367" s="1775"/>
      <c r="M367" s="1835"/>
      <c r="N367" s="1836"/>
      <c r="O367" s="1836"/>
      <c r="P367" s="1836"/>
      <c r="Q367" s="1837"/>
      <c r="R367" s="1775"/>
      <c r="S367" s="1775"/>
    </row>
    <row r="368" spans="1:19">
      <c r="A368" s="99"/>
      <c r="B368" s="1804"/>
      <c r="C368" s="1805"/>
      <c r="D368" s="1806"/>
      <c r="E368" s="1812"/>
      <c r="F368" s="1812"/>
      <c r="G368" s="1775"/>
      <c r="H368" s="1775"/>
      <c r="I368" s="1775"/>
      <c r="J368" s="1775"/>
      <c r="K368" s="1775"/>
      <c r="L368" s="1775"/>
      <c r="M368" s="1835"/>
      <c r="N368" s="1836"/>
      <c r="O368" s="1836"/>
      <c r="P368" s="1836"/>
      <c r="Q368" s="1837"/>
      <c r="R368" s="1775"/>
      <c r="S368" s="1775"/>
    </row>
    <row r="369" spans="1:19">
      <c r="A369" s="99"/>
      <c r="B369" s="1807"/>
      <c r="C369" s="1808"/>
      <c r="D369" s="1809"/>
      <c r="E369" s="1812"/>
      <c r="F369" s="1812"/>
      <c r="G369" s="1775"/>
      <c r="H369" s="1775"/>
      <c r="I369" s="1775"/>
      <c r="J369" s="1775"/>
      <c r="K369" s="1775"/>
      <c r="L369" s="1775"/>
      <c r="M369" s="1838"/>
      <c r="N369" s="1839"/>
      <c r="O369" s="1839"/>
      <c r="P369" s="1839"/>
      <c r="Q369" s="1840"/>
      <c r="R369" s="1775"/>
      <c r="S369" s="1775"/>
    </row>
    <row r="370" spans="1:19">
      <c r="A370" s="99"/>
      <c r="B370" s="1776" t="s">
        <v>4316</v>
      </c>
      <c r="C370" s="1776"/>
      <c r="D370" s="1776"/>
      <c r="E370" s="1800" t="s">
        <v>4349</v>
      </c>
      <c r="F370" s="1738"/>
      <c r="G370" s="1738"/>
      <c r="H370" s="1738"/>
      <c r="I370" s="1738"/>
      <c r="J370" s="1738"/>
      <c r="K370" s="1738"/>
      <c r="L370" s="1738"/>
      <c r="M370" s="1738"/>
      <c r="N370" s="1738"/>
      <c r="O370" s="1738"/>
      <c r="P370" s="1738"/>
      <c r="Q370" s="1738"/>
      <c r="R370" s="1775">
        <v>60.84</v>
      </c>
      <c r="S370" s="1775"/>
    </row>
    <row r="371" spans="1:19">
      <c r="A371" s="99"/>
      <c r="B371" s="1776"/>
      <c r="C371" s="1776"/>
      <c r="D371" s="1776"/>
      <c r="E371" s="1738"/>
      <c r="F371" s="1738"/>
      <c r="G371" s="1738"/>
      <c r="H371" s="1738"/>
      <c r="I371" s="1738"/>
      <c r="J371" s="1738"/>
      <c r="K371" s="1738"/>
      <c r="L371" s="1738"/>
      <c r="M371" s="1738"/>
      <c r="N371" s="1738"/>
      <c r="O371" s="1738"/>
      <c r="P371" s="1738"/>
      <c r="Q371" s="1738"/>
      <c r="R371" s="1775"/>
      <c r="S371" s="1775"/>
    </row>
    <row r="372" spans="1:19">
      <c r="A372" s="99"/>
      <c r="B372" s="1776"/>
      <c r="C372" s="1776"/>
      <c r="D372" s="1776"/>
      <c r="E372" s="1738"/>
      <c r="F372" s="1738"/>
      <c r="G372" s="1738"/>
      <c r="H372" s="1738"/>
      <c r="I372" s="1738"/>
      <c r="J372" s="1738"/>
      <c r="K372" s="1738"/>
      <c r="L372" s="1738"/>
      <c r="M372" s="1738"/>
      <c r="N372" s="1738"/>
      <c r="O372" s="1738"/>
      <c r="P372" s="1738"/>
      <c r="Q372" s="1738"/>
      <c r="R372" s="1775"/>
      <c r="S372" s="1775"/>
    </row>
    <row r="373" spans="1:19">
      <c r="A373" s="99"/>
      <c r="B373" s="99"/>
      <c r="C373" s="99"/>
      <c r="D373" s="99"/>
      <c r="E373" s="99"/>
      <c r="F373" s="99"/>
      <c r="G373" s="99"/>
      <c r="H373" s="99"/>
      <c r="I373" s="99"/>
      <c r="J373" s="99"/>
      <c r="K373" s="99"/>
      <c r="L373" s="99"/>
      <c r="M373" s="99"/>
      <c r="N373" s="99"/>
      <c r="O373" s="99"/>
      <c r="P373" s="99"/>
      <c r="Q373" s="99"/>
      <c r="R373" s="99"/>
      <c r="S373" s="99"/>
    </row>
    <row r="374" spans="1:19">
      <c r="A374" s="1287" t="s">
        <v>4618</v>
      </c>
      <c r="B374" s="1216"/>
      <c r="C374" s="1216"/>
      <c r="D374" s="1216"/>
      <c r="E374" s="1216"/>
      <c r="F374" s="1216"/>
      <c r="G374" s="1216"/>
      <c r="H374" s="1216"/>
      <c r="I374" s="1216"/>
      <c r="J374" s="1216"/>
      <c r="K374" s="1216"/>
      <c r="L374" s="1216"/>
      <c r="M374" s="1216"/>
      <c r="N374" s="1216"/>
      <c r="O374" s="1216"/>
      <c r="P374" s="1216"/>
      <c r="Q374" s="1216"/>
      <c r="R374" s="1216"/>
      <c r="S374" s="1216"/>
    </row>
    <row r="375" spans="1:19">
      <c r="A375" s="1216"/>
      <c r="B375" s="1216"/>
      <c r="C375" s="1216"/>
      <c r="D375" s="1216"/>
      <c r="E375" s="1216"/>
      <c r="F375" s="1216"/>
      <c r="G375" s="1216"/>
      <c r="H375" s="1216"/>
      <c r="I375" s="1216"/>
      <c r="J375" s="1216"/>
      <c r="K375" s="1216"/>
      <c r="L375" s="1216"/>
      <c r="M375" s="1216"/>
      <c r="N375" s="1216"/>
      <c r="O375" s="1216"/>
      <c r="P375" s="1216"/>
      <c r="Q375" s="1216"/>
      <c r="R375" s="1216"/>
      <c r="S375" s="1216"/>
    </row>
    <row r="376" spans="1:19">
      <c r="A376" s="1216"/>
      <c r="B376" s="1216"/>
      <c r="C376" s="1216"/>
      <c r="D376" s="1216"/>
      <c r="E376" s="1216"/>
      <c r="F376" s="1216"/>
      <c r="G376" s="1216"/>
      <c r="H376" s="1216"/>
      <c r="I376" s="1216"/>
      <c r="J376" s="1216"/>
      <c r="K376" s="1216"/>
      <c r="L376" s="1216"/>
      <c r="M376" s="1216"/>
      <c r="N376" s="1216"/>
      <c r="O376" s="1216"/>
      <c r="P376" s="1216"/>
      <c r="Q376" s="1216"/>
      <c r="R376" s="1216"/>
      <c r="S376" s="1216"/>
    </row>
    <row r="377" spans="1:19">
      <c r="A377" s="1216"/>
      <c r="B377" s="1216"/>
      <c r="C377" s="1216"/>
      <c r="D377" s="1216"/>
      <c r="E377" s="1216"/>
      <c r="F377" s="1216"/>
      <c r="G377" s="1216"/>
      <c r="H377" s="1216"/>
      <c r="I377" s="1216"/>
      <c r="J377" s="1216"/>
      <c r="K377" s="1216"/>
      <c r="L377" s="1216"/>
      <c r="M377" s="1216"/>
      <c r="N377" s="1216"/>
      <c r="O377" s="1216"/>
      <c r="P377" s="1216"/>
      <c r="Q377" s="1216"/>
      <c r="R377" s="1216"/>
      <c r="S377" s="1216"/>
    </row>
    <row r="378" spans="1:19">
      <c r="A378" s="1216"/>
      <c r="B378" s="1216"/>
      <c r="C378" s="1216"/>
      <c r="D378" s="1216"/>
      <c r="E378" s="1216"/>
      <c r="F378" s="1216"/>
      <c r="G378" s="1216"/>
      <c r="H378" s="1216"/>
      <c r="I378" s="1216"/>
      <c r="J378" s="1216"/>
      <c r="K378" s="1216"/>
      <c r="L378" s="1216"/>
      <c r="M378" s="1216"/>
      <c r="N378" s="1216"/>
      <c r="O378" s="1216"/>
      <c r="P378" s="1216"/>
      <c r="Q378" s="1216"/>
      <c r="R378" s="1216"/>
      <c r="S378" s="1216"/>
    </row>
    <row r="379" spans="1:19">
      <c r="A379" s="1216"/>
      <c r="B379" s="1216"/>
      <c r="C379" s="1216"/>
      <c r="D379" s="1216"/>
      <c r="E379" s="1216"/>
      <c r="F379" s="1216"/>
      <c r="G379" s="1216"/>
      <c r="H379" s="1216"/>
      <c r="I379" s="1216"/>
      <c r="J379" s="1216"/>
      <c r="K379" s="1216"/>
      <c r="L379" s="1216"/>
      <c r="M379" s="1216"/>
      <c r="N379" s="1216"/>
      <c r="O379" s="1216"/>
      <c r="P379" s="1216"/>
      <c r="Q379" s="1216"/>
      <c r="R379" s="1216"/>
      <c r="S379" s="1216"/>
    </row>
    <row r="380" spans="1:19">
      <c r="A380" s="1216"/>
      <c r="B380" s="1216"/>
      <c r="C380" s="1216"/>
      <c r="D380" s="1216"/>
      <c r="E380" s="1216"/>
      <c r="F380" s="1216"/>
      <c r="G380" s="1216"/>
      <c r="H380" s="1216"/>
      <c r="I380" s="1216"/>
      <c r="J380" s="1216"/>
      <c r="K380" s="1216"/>
      <c r="L380" s="1216"/>
      <c r="M380" s="1216"/>
      <c r="N380" s="1216"/>
      <c r="O380" s="1216"/>
      <c r="P380" s="1216"/>
      <c r="Q380" s="1216"/>
      <c r="R380" s="1216"/>
      <c r="S380" s="1216"/>
    </row>
    <row r="381" spans="1:19">
      <c r="A381" s="1287" t="s">
        <v>4619</v>
      </c>
      <c r="B381" s="1216"/>
      <c r="C381" s="1216"/>
      <c r="D381" s="1216"/>
      <c r="E381" s="1216"/>
      <c r="F381" s="1216"/>
      <c r="G381" s="1216"/>
      <c r="H381" s="1216"/>
      <c r="I381" s="1216"/>
      <c r="J381" s="1216"/>
      <c r="K381" s="1216"/>
      <c r="L381" s="1216"/>
      <c r="M381" s="1216"/>
      <c r="N381" s="1216"/>
      <c r="O381" s="1216"/>
      <c r="P381" s="1216"/>
      <c r="Q381" s="1216"/>
      <c r="R381" s="1216"/>
      <c r="S381" s="1216"/>
    </row>
    <row r="382" spans="1:19">
      <c r="A382" s="1216"/>
      <c r="B382" s="1216"/>
      <c r="C382" s="1216"/>
      <c r="D382" s="1216"/>
      <c r="E382" s="1216"/>
      <c r="F382" s="1216"/>
      <c r="G382" s="1216"/>
      <c r="H382" s="1216"/>
      <c r="I382" s="1216"/>
      <c r="J382" s="1216"/>
      <c r="K382" s="1216"/>
      <c r="L382" s="1216"/>
      <c r="M382" s="1216"/>
      <c r="N382" s="1216"/>
      <c r="O382" s="1216"/>
      <c r="P382" s="1216"/>
      <c r="Q382" s="1216"/>
      <c r="R382" s="1216"/>
      <c r="S382" s="1216"/>
    </row>
    <row r="383" spans="1:19">
      <c r="A383" s="1216"/>
      <c r="B383" s="1216"/>
      <c r="C383" s="1216"/>
      <c r="D383" s="1216"/>
      <c r="E383" s="1216"/>
      <c r="F383" s="1216"/>
      <c r="G383" s="1216"/>
      <c r="H383" s="1216"/>
      <c r="I383" s="1216"/>
      <c r="J383" s="1216"/>
      <c r="K383" s="1216"/>
      <c r="L383" s="1216"/>
      <c r="M383" s="1216"/>
      <c r="N383" s="1216"/>
      <c r="O383" s="1216"/>
      <c r="P383" s="1216"/>
      <c r="Q383" s="1216"/>
      <c r="R383" s="1216"/>
      <c r="S383" s="1216"/>
    </row>
    <row r="384" spans="1:19">
      <c r="A384" s="1216"/>
      <c r="B384" s="1216"/>
      <c r="C384" s="1216"/>
      <c r="D384" s="1216"/>
      <c r="E384" s="1216"/>
      <c r="F384" s="1216"/>
      <c r="G384" s="1216"/>
      <c r="H384" s="1216"/>
      <c r="I384" s="1216"/>
      <c r="J384" s="1216"/>
      <c r="K384" s="1216"/>
      <c r="L384" s="1216"/>
      <c r="M384" s="1216"/>
      <c r="N384" s="1216"/>
      <c r="O384" s="1216"/>
      <c r="P384" s="1216"/>
      <c r="Q384" s="1216"/>
      <c r="R384" s="1216"/>
      <c r="S384" s="1216"/>
    </row>
    <row r="385" spans="1:19">
      <c r="A385" s="1216"/>
      <c r="B385" s="1216"/>
      <c r="C385" s="1216"/>
      <c r="D385" s="1216"/>
      <c r="E385" s="1216"/>
      <c r="F385" s="1216"/>
      <c r="G385" s="1216"/>
      <c r="H385" s="1216"/>
      <c r="I385" s="1216"/>
      <c r="J385" s="1216"/>
      <c r="K385" s="1216"/>
      <c r="L385" s="1216"/>
      <c r="M385" s="1216"/>
      <c r="N385" s="1216"/>
      <c r="O385" s="1216"/>
      <c r="P385" s="1216"/>
      <c r="Q385" s="1216"/>
      <c r="R385" s="1216"/>
      <c r="S385" s="1216"/>
    </row>
    <row r="386" spans="1:19">
      <c r="A386" s="1216"/>
      <c r="B386" s="1216"/>
      <c r="C386" s="1216"/>
      <c r="D386" s="1216"/>
      <c r="E386" s="1216"/>
      <c r="F386" s="1216"/>
      <c r="G386" s="1216"/>
      <c r="H386" s="1216"/>
      <c r="I386" s="1216"/>
      <c r="J386" s="1216"/>
      <c r="K386" s="1216"/>
      <c r="L386" s="1216"/>
      <c r="M386" s="1216"/>
      <c r="N386" s="1216"/>
      <c r="O386" s="1216"/>
      <c r="P386" s="1216"/>
      <c r="Q386" s="1216"/>
      <c r="R386" s="1216"/>
      <c r="S386" s="1216"/>
    </row>
    <row r="387" spans="1:19">
      <c r="A387" s="1216"/>
      <c r="B387" s="1216"/>
      <c r="C387" s="1216"/>
      <c r="D387" s="1216"/>
      <c r="E387" s="1216"/>
      <c r="F387" s="1216"/>
      <c r="G387" s="1216"/>
      <c r="H387" s="1216"/>
      <c r="I387" s="1216"/>
      <c r="J387" s="1216"/>
      <c r="K387" s="1216"/>
      <c r="L387" s="1216"/>
      <c r="M387" s="1216"/>
      <c r="N387" s="1216"/>
      <c r="O387" s="1216"/>
      <c r="P387" s="1216"/>
      <c r="Q387" s="1216"/>
      <c r="R387" s="1216"/>
      <c r="S387" s="1216"/>
    </row>
    <row r="388" spans="1:19">
      <c r="A388" s="99"/>
      <c r="B388" s="99"/>
      <c r="C388" s="99"/>
      <c r="D388" s="99"/>
      <c r="E388" s="99"/>
      <c r="F388" s="99"/>
      <c r="G388" s="99"/>
      <c r="H388" s="99"/>
      <c r="I388" s="99"/>
      <c r="J388" s="99"/>
      <c r="K388" s="99"/>
      <c r="L388" s="99"/>
      <c r="M388" s="99"/>
      <c r="N388" s="99"/>
      <c r="O388" s="99"/>
      <c r="P388" s="99"/>
      <c r="Q388" s="99"/>
      <c r="R388" s="99"/>
      <c r="S388" s="99"/>
    </row>
    <row r="389" spans="1:19" ht="12.75" customHeight="1">
      <c r="A389" s="99"/>
      <c r="B389" s="1814" t="s">
        <v>4302</v>
      </c>
      <c r="C389" s="1815"/>
      <c r="D389" s="1816"/>
      <c r="E389" s="1812" t="s">
        <v>3305</v>
      </c>
      <c r="F389" s="1812"/>
      <c r="G389" s="1796" t="s">
        <v>4268</v>
      </c>
      <c r="H389" s="1777"/>
      <c r="I389" s="1777"/>
      <c r="J389" s="1777"/>
      <c r="K389" s="1777"/>
      <c r="L389" s="1777"/>
      <c r="M389" s="1796" t="s">
        <v>4343</v>
      </c>
      <c r="N389" s="1777"/>
      <c r="O389" s="1777"/>
      <c r="P389" s="1777"/>
      <c r="Q389" s="1777"/>
      <c r="R389" s="1859" t="s">
        <v>4270</v>
      </c>
      <c r="S389" s="1471"/>
    </row>
    <row r="390" spans="1:19">
      <c r="A390" s="99"/>
      <c r="B390" s="1817"/>
      <c r="C390" s="1818"/>
      <c r="D390" s="1819"/>
      <c r="E390" s="1812"/>
      <c r="F390" s="1812"/>
      <c r="G390" s="1777"/>
      <c r="H390" s="1777"/>
      <c r="I390" s="1777"/>
      <c r="J390" s="1777"/>
      <c r="K390" s="1777"/>
      <c r="L390" s="1777"/>
      <c r="M390" s="1777"/>
      <c r="N390" s="1777"/>
      <c r="O390" s="1777"/>
      <c r="P390" s="1777"/>
      <c r="Q390" s="1777"/>
      <c r="R390" s="1471"/>
      <c r="S390" s="1471"/>
    </row>
    <row r="391" spans="1:19">
      <c r="A391" s="99"/>
      <c r="B391" s="1817"/>
      <c r="C391" s="1818"/>
      <c r="D391" s="1819"/>
      <c r="E391" s="1812"/>
      <c r="F391" s="1812"/>
      <c r="G391" s="1777"/>
      <c r="H391" s="1777"/>
      <c r="I391" s="1777"/>
      <c r="J391" s="1777"/>
      <c r="K391" s="1777"/>
      <c r="L391" s="1777"/>
      <c r="M391" s="1777"/>
      <c r="N391" s="1777"/>
      <c r="O391" s="1777"/>
      <c r="P391" s="1777"/>
      <c r="Q391" s="1777"/>
      <c r="R391" s="1471"/>
      <c r="S391" s="1471"/>
    </row>
    <row r="392" spans="1:19">
      <c r="A392" s="99"/>
      <c r="B392" s="1820"/>
      <c r="C392" s="1821"/>
      <c r="D392" s="1822"/>
      <c r="E392" s="1812"/>
      <c r="F392" s="1812"/>
      <c r="G392" s="1777"/>
      <c r="H392" s="1777"/>
      <c r="I392" s="1777"/>
      <c r="J392" s="1777"/>
      <c r="K392" s="1777"/>
      <c r="L392" s="1777"/>
      <c r="M392" s="1777"/>
      <c r="N392" s="1777"/>
      <c r="O392" s="1777"/>
      <c r="P392" s="1777"/>
      <c r="Q392" s="1777"/>
      <c r="R392" s="1471"/>
      <c r="S392" s="1471"/>
    </row>
    <row r="393" spans="1:19" ht="12.75" customHeight="1">
      <c r="A393" s="99"/>
      <c r="B393" s="1810" t="s">
        <v>4350</v>
      </c>
      <c r="C393" s="1810"/>
      <c r="D393" s="1810"/>
      <c r="E393" s="1775">
        <v>65</v>
      </c>
      <c r="F393" s="1775"/>
      <c r="G393" s="1811" t="s">
        <v>4351</v>
      </c>
      <c r="H393" s="1775"/>
      <c r="I393" s="1775"/>
      <c r="J393" s="1775"/>
      <c r="K393" s="1775"/>
      <c r="L393" s="1775"/>
      <c r="M393" s="1811" t="s">
        <v>4352</v>
      </c>
      <c r="N393" s="1775"/>
      <c r="O393" s="1775"/>
      <c r="P393" s="1775"/>
      <c r="Q393" s="1775"/>
      <c r="R393" s="1775">
        <v>395.41</v>
      </c>
      <c r="S393" s="1775"/>
    </row>
    <row r="394" spans="1:19">
      <c r="A394" s="99"/>
      <c r="B394" s="1810"/>
      <c r="C394" s="1810"/>
      <c r="D394" s="1810"/>
      <c r="E394" s="1775"/>
      <c r="F394" s="1775"/>
      <c r="G394" s="1775"/>
      <c r="H394" s="1775"/>
      <c r="I394" s="1775"/>
      <c r="J394" s="1775"/>
      <c r="K394" s="1775"/>
      <c r="L394" s="1775"/>
      <c r="M394" s="1775"/>
      <c r="N394" s="1775"/>
      <c r="O394" s="1775"/>
      <c r="P394" s="1775"/>
      <c r="Q394" s="1775"/>
      <c r="R394" s="1775"/>
      <c r="S394" s="1775"/>
    </row>
    <row r="395" spans="1:19">
      <c r="A395" s="99"/>
      <c r="B395" s="1810"/>
      <c r="C395" s="1810"/>
      <c r="D395" s="1810"/>
      <c r="E395" s="1775"/>
      <c r="F395" s="1775"/>
      <c r="G395" s="1775"/>
      <c r="H395" s="1775"/>
      <c r="I395" s="1775"/>
      <c r="J395" s="1775"/>
      <c r="K395" s="1775"/>
      <c r="L395" s="1775"/>
      <c r="M395" s="1775"/>
      <c r="N395" s="1775"/>
      <c r="O395" s="1775"/>
      <c r="P395" s="1775"/>
      <c r="Q395" s="1775"/>
      <c r="R395" s="1775"/>
      <c r="S395" s="1775"/>
    </row>
    <row r="396" spans="1:19">
      <c r="A396" s="99"/>
      <c r="B396" s="1810"/>
      <c r="C396" s="1810"/>
      <c r="D396" s="1810"/>
      <c r="E396" s="1775"/>
      <c r="F396" s="1775"/>
      <c r="G396" s="1775"/>
      <c r="H396" s="1775"/>
      <c r="I396" s="1775"/>
      <c r="J396" s="1775"/>
      <c r="K396" s="1775"/>
      <c r="L396" s="1775"/>
      <c r="M396" s="1775"/>
      <c r="N396" s="1775"/>
      <c r="O396" s="1775"/>
      <c r="P396" s="1775"/>
      <c r="Q396" s="1775"/>
      <c r="R396" s="1775"/>
      <c r="S396" s="1775"/>
    </row>
    <row r="397" spans="1:19" ht="12.75" customHeight="1">
      <c r="A397" s="99"/>
      <c r="B397" s="1801" t="s">
        <v>4313</v>
      </c>
      <c r="C397" s="1802"/>
      <c r="D397" s="1803"/>
      <c r="E397" s="1812">
        <v>110</v>
      </c>
      <c r="F397" s="1812"/>
      <c r="G397" s="1796" t="s">
        <v>4353</v>
      </c>
      <c r="H397" s="1775"/>
      <c r="I397" s="1775"/>
      <c r="J397" s="1775"/>
      <c r="K397" s="1775"/>
      <c r="L397" s="1775"/>
      <c r="M397" s="1832" t="s">
        <v>4354</v>
      </c>
      <c r="N397" s="1833"/>
      <c r="O397" s="1833"/>
      <c r="P397" s="1833"/>
      <c r="Q397" s="1834"/>
      <c r="R397" s="1775">
        <v>669.16</v>
      </c>
      <c r="S397" s="1775"/>
    </row>
    <row r="398" spans="1:19">
      <c r="A398" s="99"/>
      <c r="B398" s="1804"/>
      <c r="C398" s="1805"/>
      <c r="D398" s="1806"/>
      <c r="E398" s="1812"/>
      <c r="F398" s="1812"/>
      <c r="G398" s="1775"/>
      <c r="H398" s="1775"/>
      <c r="I398" s="1775"/>
      <c r="J398" s="1775"/>
      <c r="K398" s="1775"/>
      <c r="L398" s="1775"/>
      <c r="M398" s="1835"/>
      <c r="N398" s="1836"/>
      <c r="O398" s="1836"/>
      <c r="P398" s="1836"/>
      <c r="Q398" s="1837"/>
      <c r="R398" s="1775"/>
      <c r="S398" s="1775"/>
    </row>
    <row r="399" spans="1:19">
      <c r="A399" s="99"/>
      <c r="B399" s="1804"/>
      <c r="C399" s="1805"/>
      <c r="D399" s="1806"/>
      <c r="E399" s="1812"/>
      <c r="F399" s="1812"/>
      <c r="G399" s="1775"/>
      <c r="H399" s="1775"/>
      <c r="I399" s="1775"/>
      <c r="J399" s="1775"/>
      <c r="K399" s="1775"/>
      <c r="L399" s="1775"/>
      <c r="M399" s="1835"/>
      <c r="N399" s="1836"/>
      <c r="O399" s="1836"/>
      <c r="P399" s="1836"/>
      <c r="Q399" s="1837"/>
      <c r="R399" s="1775"/>
      <c r="S399" s="1775"/>
    </row>
    <row r="400" spans="1:19">
      <c r="A400" s="99"/>
      <c r="B400" s="1807"/>
      <c r="C400" s="1808"/>
      <c r="D400" s="1809"/>
      <c r="E400" s="1812"/>
      <c r="F400" s="1812"/>
      <c r="G400" s="1775"/>
      <c r="H400" s="1775"/>
      <c r="I400" s="1775"/>
      <c r="J400" s="1775"/>
      <c r="K400" s="1775"/>
      <c r="L400" s="1775"/>
      <c r="M400" s="1838"/>
      <c r="N400" s="1839"/>
      <c r="O400" s="1839"/>
      <c r="P400" s="1839"/>
      <c r="Q400" s="1840"/>
      <c r="R400" s="1775"/>
      <c r="S400" s="1775"/>
    </row>
    <row r="401" spans="1:19">
      <c r="A401" s="99"/>
      <c r="B401" s="1776" t="s">
        <v>4355</v>
      </c>
      <c r="C401" s="1776"/>
      <c r="D401" s="1776"/>
      <c r="E401" s="1800" t="s">
        <v>4356</v>
      </c>
      <c r="F401" s="1738"/>
      <c r="G401" s="1738"/>
      <c r="H401" s="1738"/>
      <c r="I401" s="1738"/>
      <c r="J401" s="1738"/>
      <c r="K401" s="1738"/>
      <c r="L401" s="1738"/>
      <c r="M401" s="1738"/>
      <c r="N401" s="1738"/>
      <c r="O401" s="1738"/>
      <c r="P401" s="1738"/>
      <c r="Q401" s="1738"/>
      <c r="R401" s="1775">
        <v>-273.75</v>
      </c>
      <c r="S401" s="1775"/>
    </row>
    <row r="402" spans="1:19">
      <c r="A402" s="99"/>
      <c r="B402" s="1776"/>
      <c r="C402" s="1776"/>
      <c r="D402" s="1776"/>
      <c r="E402" s="1738"/>
      <c r="F402" s="1738"/>
      <c r="G402" s="1738"/>
      <c r="H402" s="1738"/>
      <c r="I402" s="1738"/>
      <c r="J402" s="1738"/>
      <c r="K402" s="1738"/>
      <c r="L402" s="1738"/>
      <c r="M402" s="1738"/>
      <c r="N402" s="1738"/>
      <c r="O402" s="1738"/>
      <c r="P402" s="1738"/>
      <c r="Q402" s="1738"/>
      <c r="R402" s="1775"/>
      <c r="S402" s="1775"/>
    </row>
    <row r="403" spans="1:19">
      <c r="A403" s="99"/>
      <c r="B403" s="1776"/>
      <c r="C403" s="1776"/>
      <c r="D403" s="1776"/>
      <c r="E403" s="1738"/>
      <c r="F403" s="1738"/>
      <c r="G403" s="1738"/>
      <c r="H403" s="1738"/>
      <c r="I403" s="1738"/>
      <c r="J403" s="1738"/>
      <c r="K403" s="1738"/>
      <c r="L403" s="1738"/>
      <c r="M403" s="1738"/>
      <c r="N403" s="1738"/>
      <c r="O403" s="1738"/>
      <c r="P403" s="1738"/>
      <c r="Q403" s="1738"/>
      <c r="R403" s="1775"/>
      <c r="S403" s="1775"/>
    </row>
    <row r="404" spans="1:19">
      <c r="A404" s="99"/>
      <c r="B404" s="99"/>
      <c r="C404" s="99"/>
      <c r="D404" s="99"/>
      <c r="E404" s="99"/>
      <c r="F404" s="99"/>
      <c r="G404" s="99"/>
      <c r="H404" s="99"/>
      <c r="I404" s="99"/>
      <c r="J404" s="99"/>
      <c r="K404" s="99"/>
      <c r="L404" s="99"/>
      <c r="M404" s="99"/>
      <c r="N404" s="99"/>
      <c r="O404" s="99"/>
      <c r="P404" s="99"/>
      <c r="Q404" s="99"/>
      <c r="R404" s="99"/>
      <c r="S404" s="99"/>
    </row>
    <row r="405" spans="1:19">
      <c r="A405" s="1287" t="s">
        <v>4620</v>
      </c>
      <c r="B405" s="1216"/>
      <c r="C405" s="1216"/>
      <c r="D405" s="1216"/>
      <c r="E405" s="1216"/>
      <c r="F405" s="1216"/>
      <c r="G405" s="1216"/>
      <c r="H405" s="1216"/>
      <c r="I405" s="1216"/>
      <c r="J405" s="1216"/>
      <c r="K405" s="1216"/>
      <c r="L405" s="1216"/>
      <c r="M405" s="1216"/>
      <c r="N405" s="1216"/>
      <c r="O405" s="1216"/>
      <c r="P405" s="1216"/>
      <c r="Q405" s="1216"/>
      <c r="R405" s="1216"/>
      <c r="S405" s="1216"/>
    </row>
    <row r="406" spans="1:19">
      <c r="A406" s="1216"/>
      <c r="B406" s="1216"/>
      <c r="C406" s="1216"/>
      <c r="D406" s="1216"/>
      <c r="E406" s="1216"/>
      <c r="F406" s="1216"/>
      <c r="G406" s="1216"/>
      <c r="H406" s="1216"/>
      <c r="I406" s="1216"/>
      <c r="J406" s="1216"/>
      <c r="K406" s="1216"/>
      <c r="L406" s="1216"/>
      <c r="M406" s="1216"/>
      <c r="N406" s="1216"/>
      <c r="O406" s="1216"/>
      <c r="P406" s="1216"/>
      <c r="Q406" s="1216"/>
      <c r="R406" s="1216"/>
      <c r="S406" s="1216"/>
    </row>
    <row r="407" spans="1:19">
      <c r="A407" s="1216"/>
      <c r="B407" s="1216"/>
      <c r="C407" s="1216"/>
      <c r="D407" s="1216"/>
      <c r="E407" s="1216"/>
      <c r="F407" s="1216"/>
      <c r="G407" s="1216"/>
      <c r="H407" s="1216"/>
      <c r="I407" s="1216"/>
      <c r="J407" s="1216"/>
      <c r="K407" s="1216"/>
      <c r="L407" s="1216"/>
      <c r="M407" s="1216"/>
      <c r="N407" s="1216"/>
      <c r="O407" s="1216"/>
      <c r="P407" s="1216"/>
      <c r="Q407" s="1216"/>
      <c r="R407" s="1216"/>
      <c r="S407" s="1216"/>
    </row>
    <row r="408" spans="1:19">
      <c r="A408" s="1216"/>
      <c r="B408" s="1216"/>
      <c r="C408" s="1216"/>
      <c r="D408" s="1216"/>
      <c r="E408" s="1216"/>
      <c r="F408" s="1216"/>
      <c r="G408" s="1216"/>
      <c r="H408" s="1216"/>
      <c r="I408" s="1216"/>
      <c r="J408" s="1216"/>
      <c r="K408" s="1216"/>
      <c r="L408" s="1216"/>
      <c r="M408" s="1216"/>
      <c r="N408" s="1216"/>
      <c r="O408" s="1216"/>
      <c r="P408" s="1216"/>
      <c r="Q408" s="1216"/>
      <c r="R408" s="1216"/>
      <c r="S408" s="1216"/>
    </row>
    <row r="409" spans="1:19">
      <c r="A409" s="1287" t="s">
        <v>4621</v>
      </c>
      <c r="B409" s="1216"/>
      <c r="C409" s="1216"/>
      <c r="D409" s="1216"/>
      <c r="E409" s="1216"/>
      <c r="F409" s="1216"/>
      <c r="G409" s="1216"/>
      <c r="H409" s="1216"/>
      <c r="I409" s="1216"/>
      <c r="J409" s="1216"/>
      <c r="K409" s="1216"/>
      <c r="L409" s="1216"/>
      <c r="M409" s="1216"/>
      <c r="N409" s="1216"/>
      <c r="O409" s="1216"/>
      <c r="P409" s="1216"/>
      <c r="Q409" s="1216"/>
      <c r="R409" s="1216"/>
      <c r="S409" s="1216"/>
    </row>
    <row r="410" spans="1:19">
      <c r="A410" s="1216"/>
      <c r="B410" s="1216"/>
      <c r="C410" s="1216"/>
      <c r="D410" s="1216"/>
      <c r="E410" s="1216"/>
      <c r="F410" s="1216"/>
      <c r="G410" s="1216"/>
      <c r="H410" s="1216"/>
      <c r="I410" s="1216"/>
      <c r="J410" s="1216"/>
      <c r="K410" s="1216"/>
      <c r="L410" s="1216"/>
      <c r="M410" s="1216"/>
      <c r="N410" s="1216"/>
      <c r="O410" s="1216"/>
      <c r="P410" s="1216"/>
      <c r="Q410" s="1216"/>
      <c r="R410" s="1216"/>
      <c r="S410" s="1216"/>
    </row>
    <row r="411" spans="1:19">
      <c r="A411" s="1216"/>
      <c r="B411" s="1216"/>
      <c r="C411" s="1216"/>
      <c r="D411" s="1216"/>
      <c r="E411" s="1216"/>
      <c r="F411" s="1216"/>
      <c r="G411" s="1216"/>
      <c r="H411" s="1216"/>
      <c r="I411" s="1216"/>
      <c r="J411" s="1216"/>
      <c r="K411" s="1216"/>
      <c r="L411" s="1216"/>
      <c r="M411" s="1216"/>
      <c r="N411" s="1216"/>
      <c r="O411" s="1216"/>
      <c r="P411" s="1216"/>
      <c r="Q411" s="1216"/>
      <c r="R411" s="1216"/>
      <c r="S411" s="1216"/>
    </row>
    <row r="412" spans="1:19">
      <c r="A412" s="1216"/>
      <c r="B412" s="1216"/>
      <c r="C412" s="1216"/>
      <c r="D412" s="1216"/>
      <c r="E412" s="1216"/>
      <c r="F412" s="1216"/>
      <c r="G412" s="1216"/>
      <c r="H412" s="1216"/>
      <c r="I412" s="1216"/>
      <c r="J412" s="1216"/>
      <c r="K412" s="1216"/>
      <c r="L412" s="1216"/>
      <c r="M412" s="1216"/>
      <c r="N412" s="1216"/>
      <c r="O412" s="1216"/>
      <c r="P412" s="1216"/>
      <c r="Q412" s="1216"/>
      <c r="R412" s="1216"/>
      <c r="S412" s="1216"/>
    </row>
    <row r="413" spans="1:19">
      <c r="A413" s="1216"/>
      <c r="B413" s="1216"/>
      <c r="C413" s="1216"/>
      <c r="D413" s="1216"/>
      <c r="E413" s="1216"/>
      <c r="F413" s="1216"/>
      <c r="G413" s="1216"/>
      <c r="H413" s="1216"/>
      <c r="I413" s="1216"/>
      <c r="J413" s="1216"/>
      <c r="K413" s="1216"/>
      <c r="L413" s="1216"/>
      <c r="M413" s="1216"/>
      <c r="N413" s="1216"/>
      <c r="O413" s="1216"/>
      <c r="P413" s="1216"/>
      <c r="Q413" s="1216"/>
      <c r="R413" s="1216"/>
      <c r="S413" s="1216"/>
    </row>
    <row r="414" spans="1:19">
      <c r="A414" s="1216"/>
      <c r="B414" s="1216"/>
      <c r="C414" s="1216"/>
      <c r="D414" s="1216"/>
      <c r="E414" s="1216"/>
      <c r="F414" s="1216"/>
      <c r="G414" s="1216"/>
      <c r="H414" s="1216"/>
      <c r="I414" s="1216"/>
      <c r="J414" s="1216"/>
      <c r="K414" s="1216"/>
      <c r="L414" s="1216"/>
      <c r="M414" s="1216"/>
      <c r="N414" s="1216"/>
      <c r="O414" s="1216"/>
      <c r="P414" s="1216"/>
      <c r="Q414" s="1216"/>
      <c r="R414" s="1216"/>
      <c r="S414" s="1216"/>
    </row>
    <row r="415" spans="1:19">
      <c r="A415" s="1216"/>
      <c r="B415" s="1216"/>
      <c r="C415" s="1216"/>
      <c r="D415" s="1216"/>
      <c r="E415" s="1216"/>
      <c r="F415" s="1216"/>
      <c r="G415" s="1216"/>
      <c r="H415" s="1216"/>
      <c r="I415" s="1216"/>
      <c r="J415" s="1216"/>
      <c r="K415" s="1216"/>
      <c r="L415" s="1216"/>
      <c r="M415" s="1216"/>
      <c r="N415" s="1216"/>
      <c r="O415" s="1216"/>
      <c r="P415" s="1216"/>
      <c r="Q415" s="1216"/>
      <c r="R415" s="1216"/>
      <c r="S415" s="1216"/>
    </row>
    <row r="416" spans="1:19">
      <c r="A416" s="99"/>
      <c r="B416" s="99"/>
      <c r="C416" s="99"/>
      <c r="D416" s="99"/>
      <c r="E416" s="99"/>
      <c r="F416" s="99"/>
      <c r="G416" s="99"/>
      <c r="H416" s="99"/>
      <c r="I416" s="99"/>
      <c r="J416" s="99"/>
      <c r="K416" s="99"/>
      <c r="L416" s="99"/>
      <c r="M416" s="99"/>
      <c r="N416" s="99"/>
      <c r="O416" s="99"/>
      <c r="P416" s="99"/>
      <c r="Q416" s="99"/>
      <c r="R416" s="99"/>
      <c r="S416" s="99"/>
    </row>
    <row r="417" spans="1:19">
      <c r="A417" s="99"/>
      <c r="B417" s="1814" t="s">
        <v>4280</v>
      </c>
      <c r="C417" s="1815"/>
      <c r="D417" s="1816"/>
      <c r="E417" s="1812" t="s">
        <v>3305</v>
      </c>
      <c r="F417" s="1812"/>
      <c r="G417" s="1796" t="s">
        <v>4268</v>
      </c>
      <c r="H417" s="1777"/>
      <c r="I417" s="1777"/>
      <c r="J417" s="1777"/>
      <c r="K417" s="1777"/>
      <c r="L417" s="1777"/>
      <c r="M417" s="1796" t="s">
        <v>4343</v>
      </c>
      <c r="N417" s="1777"/>
      <c r="O417" s="1777"/>
      <c r="P417" s="1777"/>
      <c r="Q417" s="1777"/>
      <c r="R417" s="1859" t="s">
        <v>4270</v>
      </c>
      <c r="S417" s="1471"/>
    </row>
    <row r="418" spans="1:19">
      <c r="A418" s="99"/>
      <c r="B418" s="1817"/>
      <c r="C418" s="1818"/>
      <c r="D418" s="1819"/>
      <c r="E418" s="1812"/>
      <c r="F418" s="1812"/>
      <c r="G418" s="1777"/>
      <c r="H418" s="1777"/>
      <c r="I418" s="1777"/>
      <c r="J418" s="1777"/>
      <c r="K418" s="1777"/>
      <c r="L418" s="1777"/>
      <c r="M418" s="1777"/>
      <c r="N418" s="1777"/>
      <c r="O418" s="1777"/>
      <c r="P418" s="1777"/>
      <c r="Q418" s="1777"/>
      <c r="R418" s="1471"/>
      <c r="S418" s="1471"/>
    </row>
    <row r="419" spans="1:19">
      <c r="A419" s="99"/>
      <c r="B419" s="1817"/>
      <c r="C419" s="1818"/>
      <c r="D419" s="1819"/>
      <c r="E419" s="1812"/>
      <c r="F419" s="1812"/>
      <c r="G419" s="1777"/>
      <c r="H419" s="1777"/>
      <c r="I419" s="1777"/>
      <c r="J419" s="1777"/>
      <c r="K419" s="1777"/>
      <c r="L419" s="1777"/>
      <c r="M419" s="1777"/>
      <c r="N419" s="1777"/>
      <c r="O419" s="1777"/>
      <c r="P419" s="1777"/>
      <c r="Q419" s="1777"/>
      <c r="R419" s="1471"/>
      <c r="S419" s="1471"/>
    </row>
    <row r="420" spans="1:19">
      <c r="A420" s="99"/>
      <c r="B420" s="1820"/>
      <c r="C420" s="1821"/>
      <c r="D420" s="1822"/>
      <c r="E420" s="1812"/>
      <c r="F420" s="1812"/>
      <c r="G420" s="1777"/>
      <c r="H420" s="1777"/>
      <c r="I420" s="1777"/>
      <c r="J420" s="1777"/>
      <c r="K420" s="1777"/>
      <c r="L420" s="1777"/>
      <c r="M420" s="1777"/>
      <c r="N420" s="1777"/>
      <c r="O420" s="1777"/>
      <c r="P420" s="1777"/>
      <c r="Q420" s="1777"/>
      <c r="R420" s="1471"/>
      <c r="S420" s="1471"/>
    </row>
    <row r="421" spans="1:19">
      <c r="A421" s="99"/>
      <c r="B421" s="1810" t="s">
        <v>4357</v>
      </c>
      <c r="C421" s="1810"/>
      <c r="D421" s="1810"/>
      <c r="E421" s="1775">
        <v>96</v>
      </c>
      <c r="F421" s="1775"/>
      <c r="G421" s="1811" t="s">
        <v>4358</v>
      </c>
      <c r="H421" s="1775"/>
      <c r="I421" s="1775"/>
      <c r="J421" s="1775"/>
      <c r="K421" s="1775"/>
      <c r="L421" s="1775"/>
      <c r="M421" s="1811" t="s">
        <v>4359</v>
      </c>
      <c r="N421" s="1775"/>
      <c r="O421" s="1775"/>
      <c r="P421" s="1775"/>
      <c r="Q421" s="1775"/>
      <c r="R421" s="1775">
        <v>584</v>
      </c>
      <c r="S421" s="1775"/>
    </row>
    <row r="422" spans="1:19">
      <c r="A422" s="99"/>
      <c r="B422" s="1810"/>
      <c r="C422" s="1810"/>
      <c r="D422" s="1810"/>
      <c r="E422" s="1775"/>
      <c r="F422" s="1775"/>
      <c r="G422" s="1775"/>
      <c r="H422" s="1775"/>
      <c r="I422" s="1775"/>
      <c r="J422" s="1775"/>
      <c r="K422" s="1775"/>
      <c r="L422" s="1775"/>
      <c r="M422" s="1775"/>
      <c r="N422" s="1775"/>
      <c r="O422" s="1775"/>
      <c r="P422" s="1775"/>
      <c r="Q422" s="1775"/>
      <c r="R422" s="1775"/>
      <c r="S422" s="1775"/>
    </row>
    <row r="423" spans="1:19">
      <c r="A423" s="99"/>
      <c r="B423" s="1810"/>
      <c r="C423" s="1810"/>
      <c r="D423" s="1810"/>
      <c r="E423" s="1775"/>
      <c r="F423" s="1775"/>
      <c r="G423" s="1775"/>
      <c r="H423" s="1775"/>
      <c r="I423" s="1775"/>
      <c r="J423" s="1775"/>
      <c r="K423" s="1775"/>
      <c r="L423" s="1775"/>
      <c r="M423" s="1775"/>
      <c r="N423" s="1775"/>
      <c r="O423" s="1775"/>
      <c r="P423" s="1775"/>
      <c r="Q423" s="1775"/>
      <c r="R423" s="1775"/>
      <c r="S423" s="1775"/>
    </row>
    <row r="424" spans="1:19">
      <c r="A424" s="99"/>
      <c r="B424" s="1810"/>
      <c r="C424" s="1810"/>
      <c r="D424" s="1810"/>
      <c r="E424" s="1775"/>
      <c r="F424" s="1775"/>
      <c r="G424" s="1775"/>
      <c r="H424" s="1775"/>
      <c r="I424" s="1775"/>
      <c r="J424" s="1775"/>
      <c r="K424" s="1775"/>
      <c r="L424" s="1775"/>
      <c r="M424" s="1775"/>
      <c r="N424" s="1775"/>
      <c r="O424" s="1775"/>
      <c r="P424" s="1775"/>
      <c r="Q424" s="1775"/>
      <c r="R424" s="1775"/>
      <c r="S424" s="1775"/>
    </row>
    <row r="425" spans="1:19">
      <c r="A425" s="99"/>
      <c r="B425" s="1801" t="s">
        <v>4313</v>
      </c>
      <c r="C425" s="1802"/>
      <c r="D425" s="1803"/>
      <c r="E425" s="1812">
        <v>150</v>
      </c>
      <c r="F425" s="1812"/>
      <c r="G425" s="1796" t="s">
        <v>4360</v>
      </c>
      <c r="H425" s="1775"/>
      <c r="I425" s="1775"/>
      <c r="J425" s="1775"/>
      <c r="K425" s="1775"/>
      <c r="L425" s="1775"/>
      <c r="M425" s="1832" t="s">
        <v>4361</v>
      </c>
      <c r="N425" s="1833"/>
      <c r="O425" s="1833"/>
      <c r="P425" s="1833"/>
      <c r="Q425" s="1834"/>
      <c r="R425" s="1775">
        <v>912.5</v>
      </c>
      <c r="S425" s="1775"/>
    </row>
    <row r="426" spans="1:19">
      <c r="A426" s="99"/>
      <c r="B426" s="1804"/>
      <c r="C426" s="1805"/>
      <c r="D426" s="1806"/>
      <c r="E426" s="1812"/>
      <c r="F426" s="1812"/>
      <c r="G426" s="1775"/>
      <c r="H426" s="1775"/>
      <c r="I426" s="1775"/>
      <c r="J426" s="1775"/>
      <c r="K426" s="1775"/>
      <c r="L426" s="1775"/>
      <c r="M426" s="1835"/>
      <c r="N426" s="1836"/>
      <c r="O426" s="1836"/>
      <c r="P426" s="1836"/>
      <c r="Q426" s="1837"/>
      <c r="R426" s="1775"/>
      <c r="S426" s="1775"/>
    </row>
    <row r="427" spans="1:19">
      <c r="A427" s="99"/>
      <c r="B427" s="1804"/>
      <c r="C427" s="1805"/>
      <c r="D427" s="1806"/>
      <c r="E427" s="1812"/>
      <c r="F427" s="1812"/>
      <c r="G427" s="1775"/>
      <c r="H427" s="1775"/>
      <c r="I427" s="1775"/>
      <c r="J427" s="1775"/>
      <c r="K427" s="1775"/>
      <c r="L427" s="1775"/>
      <c r="M427" s="1835"/>
      <c r="N427" s="1836"/>
      <c r="O427" s="1836"/>
      <c r="P427" s="1836"/>
      <c r="Q427" s="1837"/>
      <c r="R427" s="1775"/>
      <c r="S427" s="1775"/>
    </row>
    <row r="428" spans="1:19">
      <c r="A428" s="99"/>
      <c r="B428" s="1807"/>
      <c r="C428" s="1808"/>
      <c r="D428" s="1809"/>
      <c r="E428" s="1812"/>
      <c r="F428" s="1812"/>
      <c r="G428" s="1775"/>
      <c r="H428" s="1775"/>
      <c r="I428" s="1775"/>
      <c r="J428" s="1775"/>
      <c r="K428" s="1775"/>
      <c r="L428" s="1775"/>
      <c r="M428" s="1838"/>
      <c r="N428" s="1839"/>
      <c r="O428" s="1839"/>
      <c r="P428" s="1839"/>
      <c r="Q428" s="1840"/>
      <c r="R428" s="1775"/>
      <c r="S428" s="1775"/>
    </row>
    <row r="429" spans="1:19">
      <c r="A429" s="99"/>
      <c r="B429" s="1776" t="s">
        <v>4355</v>
      </c>
      <c r="C429" s="1776"/>
      <c r="D429" s="1776"/>
      <c r="E429" s="1800" t="s">
        <v>4362</v>
      </c>
      <c r="F429" s="1738"/>
      <c r="G429" s="1738"/>
      <c r="H429" s="1738"/>
      <c r="I429" s="1738"/>
      <c r="J429" s="1738"/>
      <c r="K429" s="1738"/>
      <c r="L429" s="1738"/>
      <c r="M429" s="1738"/>
      <c r="N429" s="1738"/>
      <c r="O429" s="1738"/>
      <c r="P429" s="1738"/>
      <c r="Q429" s="1738"/>
      <c r="R429" s="1775">
        <v>-328.5</v>
      </c>
      <c r="S429" s="1775"/>
    </row>
    <row r="430" spans="1:19">
      <c r="A430" s="99"/>
      <c r="B430" s="1776"/>
      <c r="C430" s="1776"/>
      <c r="D430" s="1776"/>
      <c r="E430" s="1738"/>
      <c r="F430" s="1738"/>
      <c r="G430" s="1738"/>
      <c r="H430" s="1738"/>
      <c r="I430" s="1738"/>
      <c r="J430" s="1738"/>
      <c r="K430" s="1738"/>
      <c r="L430" s="1738"/>
      <c r="M430" s="1738"/>
      <c r="N430" s="1738"/>
      <c r="O430" s="1738"/>
      <c r="P430" s="1738"/>
      <c r="Q430" s="1738"/>
      <c r="R430" s="1775"/>
      <c r="S430" s="1775"/>
    </row>
    <row r="431" spans="1:19">
      <c r="A431" s="99"/>
      <c r="B431" s="1776"/>
      <c r="C431" s="1776"/>
      <c r="D431" s="1776"/>
      <c r="E431" s="1738"/>
      <c r="F431" s="1738"/>
      <c r="G431" s="1738"/>
      <c r="H431" s="1738"/>
      <c r="I431" s="1738"/>
      <c r="J431" s="1738"/>
      <c r="K431" s="1738"/>
      <c r="L431" s="1738"/>
      <c r="M431" s="1738"/>
      <c r="N431" s="1738"/>
      <c r="O431" s="1738"/>
      <c r="P431" s="1738"/>
      <c r="Q431" s="1738"/>
      <c r="R431" s="1775"/>
      <c r="S431" s="1775"/>
    </row>
    <row r="432" spans="1:19">
      <c r="A432" s="99"/>
      <c r="B432" s="99"/>
      <c r="C432" s="99"/>
      <c r="D432" s="99"/>
      <c r="E432" s="99"/>
      <c r="F432" s="99"/>
      <c r="G432" s="99"/>
      <c r="H432" s="99"/>
      <c r="I432" s="99"/>
      <c r="J432" s="99"/>
      <c r="K432" s="99"/>
      <c r="L432" s="99"/>
      <c r="M432" s="99"/>
      <c r="N432" s="99"/>
      <c r="O432" s="99"/>
      <c r="P432" s="99"/>
      <c r="Q432" s="99"/>
      <c r="R432" s="99"/>
      <c r="S432" s="99"/>
    </row>
    <row r="433" spans="1:19">
      <c r="A433" s="1287" t="s">
        <v>4626</v>
      </c>
      <c r="B433" s="1216"/>
      <c r="C433" s="1216"/>
      <c r="D433" s="1216"/>
      <c r="E433" s="1216"/>
      <c r="F433" s="1216"/>
      <c r="G433" s="1216"/>
      <c r="H433" s="1216"/>
      <c r="I433" s="1216"/>
      <c r="J433" s="1216"/>
      <c r="K433" s="1216"/>
      <c r="L433" s="1216"/>
      <c r="M433" s="1216"/>
      <c r="N433" s="1216"/>
      <c r="O433" s="1216"/>
      <c r="P433" s="1216"/>
      <c r="Q433" s="1216"/>
      <c r="R433" s="1216"/>
      <c r="S433" s="1216"/>
    </row>
    <row r="434" spans="1:19">
      <c r="A434" s="1216"/>
      <c r="B434" s="1216"/>
      <c r="C434" s="1216"/>
      <c r="D434" s="1216"/>
      <c r="E434" s="1216"/>
      <c r="F434" s="1216"/>
      <c r="G434" s="1216"/>
      <c r="H434" s="1216"/>
      <c r="I434" s="1216"/>
      <c r="J434" s="1216"/>
      <c r="K434" s="1216"/>
      <c r="L434" s="1216"/>
      <c r="M434" s="1216"/>
      <c r="N434" s="1216"/>
      <c r="O434" s="1216"/>
      <c r="P434" s="1216"/>
      <c r="Q434" s="1216"/>
      <c r="R434" s="1216"/>
      <c r="S434" s="1216"/>
    </row>
    <row r="435" spans="1:19">
      <c r="A435" s="1216"/>
      <c r="B435" s="1216"/>
      <c r="C435" s="1216"/>
      <c r="D435" s="1216"/>
      <c r="E435" s="1216"/>
      <c r="F435" s="1216"/>
      <c r="G435" s="1216"/>
      <c r="H435" s="1216"/>
      <c r="I435" s="1216"/>
      <c r="J435" s="1216"/>
      <c r="K435" s="1216"/>
      <c r="L435" s="1216"/>
      <c r="M435" s="1216"/>
      <c r="N435" s="1216"/>
      <c r="O435" s="1216"/>
      <c r="P435" s="1216"/>
      <c r="Q435" s="1216"/>
      <c r="R435" s="1216"/>
      <c r="S435" s="1216"/>
    </row>
    <row r="436" spans="1:19">
      <c r="A436" s="1216"/>
      <c r="B436" s="1216"/>
      <c r="C436" s="1216"/>
      <c r="D436" s="1216"/>
      <c r="E436" s="1216"/>
      <c r="F436" s="1216"/>
      <c r="G436" s="1216"/>
      <c r="H436" s="1216"/>
      <c r="I436" s="1216"/>
      <c r="J436" s="1216"/>
      <c r="K436" s="1216"/>
      <c r="L436" s="1216"/>
      <c r="M436" s="1216"/>
      <c r="N436" s="1216"/>
      <c r="O436" s="1216"/>
      <c r="P436" s="1216"/>
      <c r="Q436" s="1216"/>
      <c r="R436" s="1216"/>
      <c r="S436" s="1216"/>
    </row>
    <row r="437" spans="1:19" ht="12.75" customHeight="1">
      <c r="A437" s="1287" t="s">
        <v>4627</v>
      </c>
      <c r="B437" s="1216"/>
      <c r="C437" s="1216"/>
      <c r="D437" s="1216"/>
      <c r="E437" s="1216"/>
      <c r="F437" s="1216"/>
      <c r="G437" s="1216"/>
      <c r="H437" s="1216"/>
      <c r="I437" s="1216"/>
      <c r="J437" s="1216"/>
      <c r="K437" s="1216"/>
      <c r="L437" s="1216"/>
      <c r="M437" s="1216"/>
      <c r="N437" s="1216"/>
      <c r="O437" s="1216"/>
      <c r="P437" s="1216"/>
      <c r="Q437" s="1216"/>
      <c r="R437" s="1216"/>
      <c r="S437" s="1216"/>
    </row>
    <row r="438" spans="1:19" ht="12.75" customHeight="1">
      <c r="A438" s="1216"/>
      <c r="B438" s="1216"/>
      <c r="C438" s="1216"/>
      <c r="D438" s="1216"/>
      <c r="E438" s="1216"/>
      <c r="F438" s="1216"/>
      <c r="G438" s="1216"/>
      <c r="H438" s="1216"/>
      <c r="I438" s="1216"/>
      <c r="J438" s="1216"/>
      <c r="K438" s="1216"/>
      <c r="L438" s="1216"/>
      <c r="M438" s="1216"/>
      <c r="N438" s="1216"/>
      <c r="O438" s="1216"/>
      <c r="P438" s="1216"/>
      <c r="Q438" s="1216"/>
      <c r="R438" s="1216"/>
      <c r="S438" s="1216"/>
    </row>
    <row r="439" spans="1:19" ht="12.75" customHeight="1">
      <c r="A439" s="1216"/>
      <c r="B439" s="1216"/>
      <c r="C439" s="1216"/>
      <c r="D439" s="1216"/>
      <c r="E439" s="1216"/>
      <c r="F439" s="1216"/>
      <c r="G439" s="1216"/>
      <c r="H439" s="1216"/>
      <c r="I439" s="1216"/>
      <c r="J439" s="1216"/>
      <c r="K439" s="1216"/>
      <c r="L439" s="1216"/>
      <c r="M439" s="1216"/>
      <c r="N439" s="1216"/>
      <c r="O439" s="1216"/>
      <c r="P439" s="1216"/>
      <c r="Q439" s="1216"/>
      <c r="R439" s="1216"/>
      <c r="S439" s="1216"/>
    </row>
    <row r="440" spans="1:19" ht="12.75" customHeight="1">
      <c r="A440" s="1216"/>
      <c r="B440" s="1216"/>
      <c r="C440" s="1216"/>
      <c r="D440" s="1216"/>
      <c r="E440" s="1216"/>
      <c r="F440" s="1216"/>
      <c r="G440" s="1216"/>
      <c r="H440" s="1216"/>
      <c r="I440" s="1216"/>
      <c r="J440" s="1216"/>
      <c r="K440" s="1216"/>
      <c r="L440" s="1216"/>
      <c r="M440" s="1216"/>
      <c r="N440" s="1216"/>
      <c r="O440" s="1216"/>
      <c r="P440" s="1216"/>
      <c r="Q440" s="1216"/>
      <c r="R440" s="1216"/>
      <c r="S440" s="1216"/>
    </row>
    <row r="441" spans="1:19" ht="12.75" customHeight="1">
      <c r="A441" s="1216"/>
      <c r="B441" s="1216"/>
      <c r="C441" s="1216"/>
      <c r="D441" s="1216"/>
      <c r="E441" s="1216"/>
      <c r="F441" s="1216"/>
      <c r="G441" s="1216"/>
      <c r="H441" s="1216"/>
      <c r="I441" s="1216"/>
      <c r="J441" s="1216"/>
      <c r="K441" s="1216"/>
      <c r="L441" s="1216"/>
      <c r="M441" s="1216"/>
      <c r="N441" s="1216"/>
      <c r="O441" s="1216"/>
      <c r="P441" s="1216"/>
      <c r="Q441" s="1216"/>
      <c r="R441" s="1216"/>
      <c r="S441" s="1216"/>
    </row>
    <row r="442" spans="1:19">
      <c r="A442" s="1216"/>
      <c r="B442" s="1216"/>
      <c r="C442" s="1216"/>
      <c r="D442" s="1216"/>
      <c r="E442" s="1216"/>
      <c r="F442" s="1216"/>
      <c r="G442" s="1216"/>
      <c r="H442" s="1216"/>
      <c r="I442" s="1216"/>
      <c r="J442" s="1216"/>
      <c r="K442" s="1216"/>
      <c r="L442" s="1216"/>
      <c r="M442" s="1216"/>
      <c r="N442" s="1216"/>
      <c r="O442" s="1216"/>
      <c r="P442" s="1216"/>
      <c r="Q442" s="1216"/>
      <c r="R442" s="1216"/>
      <c r="S442" s="1216"/>
    </row>
    <row r="443" spans="1:19">
      <c r="A443" s="1216"/>
      <c r="B443" s="1216"/>
      <c r="C443" s="1216"/>
      <c r="D443" s="1216"/>
      <c r="E443" s="1216"/>
      <c r="F443" s="1216"/>
      <c r="G443" s="1216"/>
      <c r="H443" s="1216"/>
      <c r="I443" s="1216"/>
      <c r="J443" s="1216"/>
      <c r="K443" s="1216"/>
      <c r="L443" s="1216"/>
      <c r="M443" s="1216"/>
      <c r="N443" s="1216"/>
      <c r="O443" s="1216"/>
      <c r="P443" s="1216"/>
      <c r="Q443" s="1216"/>
      <c r="R443" s="1216"/>
      <c r="S443" s="1216"/>
    </row>
    <row r="444" spans="1:19" ht="12.75" customHeight="1">
      <c r="A444" s="1287" t="s">
        <v>4628</v>
      </c>
      <c r="B444" s="1216"/>
      <c r="C444" s="1216"/>
      <c r="D444" s="1216"/>
      <c r="E444" s="1216"/>
      <c r="F444" s="1216"/>
      <c r="G444" s="1216"/>
      <c r="H444" s="1216"/>
      <c r="I444" s="1216"/>
      <c r="J444" s="1216"/>
      <c r="K444" s="1216"/>
      <c r="L444" s="1216"/>
      <c r="M444" s="1216"/>
      <c r="N444" s="1216"/>
      <c r="O444" s="1216"/>
      <c r="P444" s="1216"/>
      <c r="Q444" s="1216"/>
      <c r="R444" s="1216"/>
      <c r="S444" s="1216"/>
    </row>
    <row r="445" spans="1:19" ht="12.75" customHeight="1">
      <c r="A445" s="1216"/>
      <c r="B445" s="1216"/>
      <c r="C445" s="1216"/>
      <c r="D445" s="1216"/>
      <c r="E445" s="1216"/>
      <c r="F445" s="1216"/>
      <c r="G445" s="1216"/>
      <c r="H445" s="1216"/>
      <c r="I445" s="1216"/>
      <c r="J445" s="1216"/>
      <c r="K445" s="1216"/>
      <c r="L445" s="1216"/>
      <c r="M445" s="1216"/>
      <c r="N445" s="1216"/>
      <c r="O445" s="1216"/>
      <c r="P445" s="1216"/>
      <c r="Q445" s="1216"/>
      <c r="R445" s="1216"/>
      <c r="S445" s="1216"/>
    </row>
    <row r="446" spans="1:19" ht="12.75" customHeight="1">
      <c r="A446" s="1216"/>
      <c r="B446" s="1216"/>
      <c r="C446" s="1216"/>
      <c r="D446" s="1216"/>
      <c r="E446" s="1216"/>
      <c r="F446" s="1216"/>
      <c r="G446" s="1216"/>
      <c r="H446" s="1216"/>
      <c r="I446" s="1216"/>
      <c r="J446" s="1216"/>
      <c r="K446" s="1216"/>
      <c r="L446" s="1216"/>
      <c r="M446" s="1216"/>
      <c r="N446" s="1216"/>
      <c r="O446" s="1216"/>
      <c r="P446" s="1216"/>
      <c r="Q446" s="1216"/>
      <c r="R446" s="1216"/>
      <c r="S446" s="1216"/>
    </row>
    <row r="447" spans="1:19" ht="12.75" customHeight="1">
      <c r="A447" s="1216"/>
      <c r="B447" s="1216"/>
      <c r="C447" s="1216"/>
      <c r="D447" s="1216"/>
      <c r="E447" s="1216"/>
      <c r="F447" s="1216"/>
      <c r="G447" s="1216"/>
      <c r="H447" s="1216"/>
      <c r="I447" s="1216"/>
      <c r="J447" s="1216"/>
      <c r="K447" s="1216"/>
      <c r="L447" s="1216"/>
      <c r="M447" s="1216"/>
      <c r="N447" s="1216"/>
      <c r="O447" s="1216"/>
      <c r="P447" s="1216"/>
      <c r="Q447" s="1216"/>
      <c r="R447" s="1216"/>
      <c r="S447" s="1216"/>
    </row>
    <row r="448" spans="1:19">
      <c r="A448" s="1216"/>
      <c r="B448" s="1216"/>
      <c r="C448" s="1216"/>
      <c r="D448" s="1216"/>
      <c r="E448" s="1216"/>
      <c r="F448" s="1216"/>
      <c r="G448" s="1216"/>
      <c r="H448" s="1216"/>
      <c r="I448" s="1216"/>
      <c r="J448" s="1216"/>
      <c r="K448" s="1216"/>
      <c r="L448" s="1216"/>
      <c r="M448" s="1216"/>
      <c r="N448" s="1216"/>
      <c r="O448" s="1216"/>
      <c r="P448" s="1216"/>
      <c r="Q448" s="1216"/>
      <c r="R448" s="1216"/>
      <c r="S448" s="1216"/>
    </row>
    <row r="449" spans="1:19">
      <c r="A449" s="1216"/>
      <c r="B449" s="1216"/>
      <c r="C449" s="1216"/>
      <c r="D449" s="1216"/>
      <c r="E449" s="1216"/>
      <c r="F449" s="1216"/>
      <c r="G449" s="1216"/>
      <c r="H449" s="1216"/>
      <c r="I449" s="1216"/>
      <c r="J449" s="1216"/>
      <c r="K449" s="1216"/>
      <c r="L449" s="1216"/>
      <c r="M449" s="1216"/>
      <c r="N449" s="1216"/>
      <c r="O449" s="1216"/>
      <c r="P449" s="1216"/>
      <c r="Q449" s="1216"/>
      <c r="R449" s="1216"/>
      <c r="S449" s="1216"/>
    </row>
    <row r="450" spans="1:19">
      <c r="A450" s="1216"/>
      <c r="B450" s="1216"/>
      <c r="C450" s="1216"/>
      <c r="D450" s="1216"/>
      <c r="E450" s="1216"/>
      <c r="F450" s="1216"/>
      <c r="G450" s="1216"/>
      <c r="H450" s="1216"/>
      <c r="I450" s="1216"/>
      <c r="J450" s="1216"/>
      <c r="K450" s="1216"/>
      <c r="L450" s="1216"/>
      <c r="M450" s="1216"/>
      <c r="N450" s="1216"/>
      <c r="O450" s="1216"/>
      <c r="P450" s="1216"/>
      <c r="Q450" s="1216"/>
      <c r="R450" s="1216"/>
      <c r="S450" s="1216"/>
    </row>
    <row r="451" spans="1:19" ht="12.75" customHeight="1">
      <c r="A451" s="1287" t="s">
        <v>4629</v>
      </c>
      <c r="B451" s="1216"/>
      <c r="C451" s="1216"/>
      <c r="D451" s="1216"/>
      <c r="E451" s="1216"/>
      <c r="F451" s="1216"/>
      <c r="G451" s="1216"/>
      <c r="H451" s="1216"/>
      <c r="I451" s="1216"/>
      <c r="J451" s="1216"/>
      <c r="K451" s="1216"/>
      <c r="L451" s="1216"/>
      <c r="M451" s="1216"/>
      <c r="N451" s="1216"/>
      <c r="O451" s="1216"/>
      <c r="P451" s="1216"/>
      <c r="Q451" s="1216"/>
      <c r="R451" s="1216"/>
      <c r="S451" s="1216"/>
    </row>
    <row r="452" spans="1:19">
      <c r="A452" s="1216"/>
      <c r="B452" s="1216"/>
      <c r="C452" s="1216"/>
      <c r="D452" s="1216"/>
      <c r="E452" s="1216"/>
      <c r="F452" s="1216"/>
      <c r="G452" s="1216"/>
      <c r="H452" s="1216"/>
      <c r="I452" s="1216"/>
      <c r="J452" s="1216"/>
      <c r="K452" s="1216"/>
      <c r="L452" s="1216"/>
      <c r="M452" s="1216"/>
      <c r="N452" s="1216"/>
      <c r="O452" s="1216"/>
      <c r="P452" s="1216"/>
      <c r="Q452" s="1216"/>
      <c r="R452" s="1216"/>
      <c r="S452" s="1216"/>
    </row>
    <row r="453" spans="1:19">
      <c r="A453" s="1216"/>
      <c r="B453" s="1216"/>
      <c r="C453" s="1216"/>
      <c r="D453" s="1216"/>
      <c r="E453" s="1216"/>
      <c r="F453" s="1216"/>
      <c r="G453" s="1216"/>
      <c r="H453" s="1216"/>
      <c r="I453" s="1216"/>
      <c r="J453" s="1216"/>
      <c r="K453" s="1216"/>
      <c r="L453" s="1216"/>
      <c r="M453" s="1216"/>
      <c r="N453" s="1216"/>
      <c r="O453" s="1216"/>
      <c r="P453" s="1216"/>
      <c r="Q453" s="1216"/>
      <c r="R453" s="1216"/>
      <c r="S453" s="1216"/>
    </row>
    <row r="454" spans="1:19">
      <c r="A454" s="1216"/>
      <c r="B454" s="1216"/>
      <c r="C454" s="1216"/>
      <c r="D454" s="1216"/>
      <c r="E454" s="1216"/>
      <c r="F454" s="1216"/>
      <c r="G454" s="1216"/>
      <c r="H454" s="1216"/>
      <c r="I454" s="1216"/>
      <c r="J454" s="1216"/>
      <c r="K454" s="1216"/>
      <c r="L454" s="1216"/>
      <c r="M454" s="1216"/>
      <c r="N454" s="1216"/>
      <c r="O454" s="1216"/>
      <c r="P454" s="1216"/>
      <c r="Q454" s="1216"/>
      <c r="R454" s="1216"/>
      <c r="S454" s="1216"/>
    </row>
    <row r="455" spans="1:19">
      <c r="A455" s="1216"/>
      <c r="B455" s="1216"/>
      <c r="C455" s="1216"/>
      <c r="D455" s="1216"/>
      <c r="E455" s="1216"/>
      <c r="F455" s="1216"/>
      <c r="G455" s="1216"/>
      <c r="H455" s="1216"/>
      <c r="I455" s="1216"/>
      <c r="J455" s="1216"/>
      <c r="K455" s="1216"/>
      <c r="L455" s="1216"/>
      <c r="M455" s="1216"/>
      <c r="N455" s="1216"/>
      <c r="O455" s="1216"/>
      <c r="P455" s="1216"/>
      <c r="Q455" s="1216"/>
      <c r="R455" s="1216"/>
      <c r="S455" s="1216"/>
    </row>
    <row r="456" spans="1:19" ht="12.75" customHeight="1">
      <c r="A456" s="1287" t="s">
        <v>4630</v>
      </c>
      <c r="B456" s="1216"/>
      <c r="C456" s="1216"/>
      <c r="D456" s="1216"/>
      <c r="E456" s="1216"/>
      <c r="F456" s="1216"/>
      <c r="G456" s="1216"/>
      <c r="H456" s="1216"/>
      <c r="I456" s="1216"/>
      <c r="J456" s="1216"/>
      <c r="K456" s="1216"/>
      <c r="L456" s="1216"/>
      <c r="M456" s="1216"/>
      <c r="N456" s="1216"/>
      <c r="O456" s="1216"/>
      <c r="P456" s="1216"/>
      <c r="Q456" s="1216"/>
      <c r="R456" s="1216"/>
      <c r="S456" s="1216"/>
    </row>
    <row r="457" spans="1:19">
      <c r="A457" s="1216"/>
      <c r="B457" s="1216"/>
      <c r="C457" s="1216"/>
      <c r="D457" s="1216"/>
      <c r="E457" s="1216"/>
      <c r="F457" s="1216"/>
      <c r="G457" s="1216"/>
      <c r="H457" s="1216"/>
      <c r="I457" s="1216"/>
      <c r="J457" s="1216"/>
      <c r="K457" s="1216"/>
      <c r="L457" s="1216"/>
      <c r="M457" s="1216"/>
      <c r="N457" s="1216"/>
      <c r="O457" s="1216"/>
      <c r="P457" s="1216"/>
      <c r="Q457" s="1216"/>
      <c r="R457" s="1216"/>
      <c r="S457" s="1216"/>
    </row>
    <row r="458" spans="1:19">
      <c r="A458" s="1216"/>
      <c r="B458" s="1216"/>
      <c r="C458" s="1216"/>
      <c r="D458" s="1216"/>
      <c r="E458" s="1216"/>
      <c r="F458" s="1216"/>
      <c r="G458" s="1216"/>
      <c r="H458" s="1216"/>
      <c r="I458" s="1216"/>
      <c r="J458" s="1216"/>
      <c r="K458" s="1216"/>
      <c r="L458" s="1216"/>
      <c r="M458" s="1216"/>
      <c r="N458" s="1216"/>
      <c r="O458" s="1216"/>
      <c r="P458" s="1216"/>
      <c r="Q458" s="1216"/>
      <c r="R458" s="1216"/>
      <c r="S458" s="1216"/>
    </row>
    <row r="459" spans="1:19" ht="12.75" customHeight="1">
      <c r="A459" s="1287" t="s">
        <v>4631</v>
      </c>
      <c r="B459" s="1216"/>
      <c r="C459" s="1216"/>
      <c r="D459" s="1216"/>
      <c r="E459" s="1216"/>
      <c r="F459" s="1216"/>
      <c r="G459" s="1216"/>
      <c r="H459" s="1216"/>
      <c r="I459" s="1216"/>
      <c r="J459" s="1216"/>
      <c r="K459" s="1216"/>
      <c r="L459" s="1216"/>
      <c r="M459" s="1216"/>
      <c r="N459" s="1216"/>
      <c r="O459" s="1216"/>
      <c r="P459" s="1216"/>
      <c r="Q459" s="1216"/>
      <c r="R459" s="1216"/>
      <c r="S459" s="1216"/>
    </row>
    <row r="460" spans="1:19" ht="12.75" customHeight="1">
      <c r="A460" s="1216"/>
      <c r="B460" s="1216"/>
      <c r="C460" s="1216"/>
      <c r="D460" s="1216"/>
      <c r="E460" s="1216"/>
      <c r="F460" s="1216"/>
      <c r="G460" s="1216"/>
      <c r="H460" s="1216"/>
      <c r="I460" s="1216"/>
      <c r="J460" s="1216"/>
      <c r="K460" s="1216"/>
      <c r="L460" s="1216"/>
      <c r="M460" s="1216"/>
      <c r="N460" s="1216"/>
      <c r="O460" s="1216"/>
      <c r="P460" s="1216"/>
      <c r="Q460" s="1216"/>
      <c r="R460" s="1216"/>
      <c r="S460" s="1216"/>
    </row>
    <row r="461" spans="1:19" ht="12.75" customHeight="1">
      <c r="A461" s="1216"/>
      <c r="B461" s="1216"/>
      <c r="C461" s="1216"/>
      <c r="D461" s="1216"/>
      <c r="E461" s="1216"/>
      <c r="F461" s="1216"/>
      <c r="G461" s="1216"/>
      <c r="H461" s="1216"/>
      <c r="I461" s="1216"/>
      <c r="J461" s="1216"/>
      <c r="K461" s="1216"/>
      <c r="L461" s="1216"/>
      <c r="M461" s="1216"/>
      <c r="N461" s="1216"/>
      <c r="O461" s="1216"/>
      <c r="P461" s="1216"/>
      <c r="Q461" s="1216"/>
      <c r="R461" s="1216"/>
      <c r="S461" s="1216"/>
    </row>
    <row r="462" spans="1:19" ht="12.75" customHeight="1">
      <c r="A462" s="1216"/>
      <c r="B462" s="1216"/>
      <c r="C462" s="1216"/>
      <c r="D462" s="1216"/>
      <c r="E462" s="1216"/>
      <c r="F462" s="1216"/>
      <c r="G462" s="1216"/>
      <c r="H462" s="1216"/>
      <c r="I462" s="1216"/>
      <c r="J462" s="1216"/>
      <c r="K462" s="1216"/>
      <c r="L462" s="1216"/>
      <c r="M462" s="1216"/>
      <c r="N462" s="1216"/>
      <c r="O462" s="1216"/>
      <c r="P462" s="1216"/>
      <c r="Q462" s="1216"/>
      <c r="R462" s="1216"/>
      <c r="S462" s="1216"/>
    </row>
    <row r="463" spans="1:19">
      <c r="A463" s="1216"/>
      <c r="B463" s="1216"/>
      <c r="C463" s="1216"/>
      <c r="D463" s="1216"/>
      <c r="E463" s="1216"/>
      <c r="F463" s="1216"/>
      <c r="G463" s="1216"/>
      <c r="H463" s="1216"/>
      <c r="I463" s="1216"/>
      <c r="J463" s="1216"/>
      <c r="K463" s="1216"/>
      <c r="L463" s="1216"/>
      <c r="M463" s="1216"/>
      <c r="N463" s="1216"/>
      <c r="O463" s="1216"/>
      <c r="P463" s="1216"/>
      <c r="Q463" s="1216"/>
      <c r="R463" s="1216"/>
      <c r="S463" s="1216"/>
    </row>
    <row r="464" spans="1:19">
      <c r="A464" s="1216"/>
      <c r="B464" s="1216"/>
      <c r="C464" s="1216"/>
      <c r="D464" s="1216"/>
      <c r="E464" s="1216"/>
      <c r="F464" s="1216"/>
      <c r="G464" s="1216"/>
      <c r="H464" s="1216"/>
      <c r="I464" s="1216"/>
      <c r="J464" s="1216"/>
      <c r="K464" s="1216"/>
      <c r="L464" s="1216"/>
      <c r="M464" s="1216"/>
      <c r="N464" s="1216"/>
      <c r="O464" s="1216"/>
      <c r="P464" s="1216"/>
      <c r="Q464" s="1216"/>
      <c r="R464" s="1216"/>
      <c r="S464" s="1216"/>
    </row>
    <row r="465" spans="1:19">
      <c r="A465" s="1216"/>
      <c r="B465" s="1216"/>
      <c r="C465" s="1216"/>
      <c r="D465" s="1216"/>
      <c r="E465" s="1216"/>
      <c r="F465" s="1216"/>
      <c r="G465" s="1216"/>
      <c r="H465" s="1216"/>
      <c r="I465" s="1216"/>
      <c r="J465" s="1216"/>
      <c r="K465" s="1216"/>
      <c r="L465" s="1216"/>
      <c r="M465" s="1216"/>
      <c r="N465" s="1216"/>
      <c r="O465" s="1216"/>
      <c r="P465" s="1216"/>
      <c r="Q465" s="1216"/>
      <c r="R465" s="1216"/>
      <c r="S465" s="1216"/>
    </row>
    <row r="466" spans="1:19" ht="12.75" customHeight="1">
      <c r="A466" s="1287" t="s">
        <v>4632</v>
      </c>
      <c r="B466" s="1216"/>
      <c r="C466" s="1216"/>
      <c r="D466" s="1216"/>
      <c r="E466" s="1216"/>
      <c r="F466" s="1216"/>
      <c r="G466" s="1216"/>
      <c r="H466" s="1216"/>
      <c r="I466" s="1216"/>
      <c r="J466" s="1216"/>
      <c r="K466" s="1216"/>
      <c r="L466" s="1216"/>
      <c r="M466" s="1216"/>
      <c r="N466" s="1216"/>
      <c r="O466" s="1216"/>
      <c r="P466" s="1216"/>
      <c r="Q466" s="1216"/>
      <c r="R466" s="1216"/>
      <c r="S466" s="1216"/>
    </row>
    <row r="467" spans="1:19">
      <c r="A467" s="1216"/>
      <c r="B467" s="1216"/>
      <c r="C467" s="1216"/>
      <c r="D467" s="1216"/>
      <c r="E467" s="1216"/>
      <c r="F467" s="1216"/>
      <c r="G467" s="1216"/>
      <c r="H467" s="1216"/>
      <c r="I467" s="1216"/>
      <c r="J467" s="1216"/>
      <c r="K467" s="1216"/>
      <c r="L467" s="1216"/>
      <c r="M467" s="1216"/>
      <c r="N467" s="1216"/>
      <c r="O467" s="1216"/>
      <c r="P467" s="1216"/>
      <c r="Q467" s="1216"/>
      <c r="R467" s="1216"/>
      <c r="S467" s="1216"/>
    </row>
    <row r="468" spans="1:19">
      <c r="A468" s="1216"/>
      <c r="B468" s="1216"/>
      <c r="C468" s="1216"/>
      <c r="D468" s="1216"/>
      <c r="E468" s="1216"/>
      <c r="F468" s="1216"/>
      <c r="G468" s="1216"/>
      <c r="H468" s="1216"/>
      <c r="I468" s="1216"/>
      <c r="J468" s="1216"/>
      <c r="K468" s="1216"/>
      <c r="L468" s="1216"/>
      <c r="M468" s="1216"/>
      <c r="N468" s="1216"/>
      <c r="O468" s="1216"/>
      <c r="P468" s="1216"/>
      <c r="Q468" s="1216"/>
      <c r="R468" s="1216"/>
      <c r="S468" s="1216"/>
    </row>
    <row r="469" spans="1:19" ht="12.75" customHeight="1">
      <c r="A469" s="1287" t="s">
        <v>4633</v>
      </c>
      <c r="B469" s="1216"/>
      <c r="C469" s="1216"/>
      <c r="D469" s="1216"/>
      <c r="E469" s="1216"/>
      <c r="F469" s="1216"/>
      <c r="G469" s="1216"/>
      <c r="H469" s="1216"/>
      <c r="I469" s="1216"/>
      <c r="J469" s="1216"/>
      <c r="K469" s="1216"/>
      <c r="L469" s="1216"/>
      <c r="M469" s="1216"/>
      <c r="N469" s="1216"/>
      <c r="O469" s="1216"/>
      <c r="P469" s="1216"/>
      <c r="Q469" s="1216"/>
      <c r="R469" s="1216"/>
      <c r="S469" s="1216"/>
    </row>
    <row r="470" spans="1:19">
      <c r="A470" s="1216"/>
      <c r="B470" s="1216"/>
      <c r="C470" s="1216"/>
      <c r="D470" s="1216"/>
      <c r="E470" s="1216"/>
      <c r="F470" s="1216"/>
      <c r="G470" s="1216"/>
      <c r="H470" s="1216"/>
      <c r="I470" s="1216"/>
      <c r="J470" s="1216"/>
      <c r="K470" s="1216"/>
      <c r="L470" s="1216"/>
      <c r="M470" s="1216"/>
      <c r="N470" s="1216"/>
      <c r="O470" s="1216"/>
      <c r="P470" s="1216"/>
      <c r="Q470" s="1216"/>
      <c r="R470" s="1216"/>
      <c r="S470" s="1216"/>
    </row>
    <row r="471" spans="1:19">
      <c r="A471" s="1216"/>
      <c r="B471" s="1216"/>
      <c r="C471" s="1216"/>
      <c r="D471" s="1216"/>
      <c r="E471" s="1216"/>
      <c r="F471" s="1216"/>
      <c r="G471" s="1216"/>
      <c r="H471" s="1216"/>
      <c r="I471" s="1216"/>
      <c r="J471" s="1216"/>
      <c r="K471" s="1216"/>
      <c r="L471" s="1216"/>
      <c r="M471" s="1216"/>
      <c r="N471" s="1216"/>
      <c r="O471" s="1216"/>
      <c r="P471" s="1216"/>
      <c r="Q471" s="1216"/>
      <c r="R471" s="1216"/>
      <c r="S471" s="1216"/>
    </row>
    <row r="472" spans="1:19" ht="12.75" customHeight="1">
      <c r="A472" s="1287" t="s">
        <v>4634</v>
      </c>
      <c r="B472" s="1216"/>
      <c r="C472" s="1216"/>
      <c r="D472" s="1216"/>
      <c r="E472" s="1216"/>
      <c r="F472" s="1216"/>
      <c r="G472" s="1216"/>
      <c r="H472" s="1216"/>
      <c r="I472" s="1216"/>
      <c r="J472" s="1216"/>
      <c r="K472" s="1216"/>
      <c r="L472" s="1216"/>
      <c r="M472" s="1216"/>
      <c r="N472" s="1216"/>
      <c r="O472" s="1216"/>
      <c r="P472" s="1216"/>
      <c r="Q472" s="1216"/>
      <c r="R472" s="1216"/>
      <c r="S472" s="1216"/>
    </row>
    <row r="473" spans="1:19" ht="12.75" customHeight="1">
      <c r="A473" s="1216"/>
      <c r="B473" s="1216"/>
      <c r="C473" s="1216"/>
      <c r="D473" s="1216"/>
      <c r="E473" s="1216"/>
      <c r="F473" s="1216"/>
      <c r="G473" s="1216"/>
      <c r="H473" s="1216"/>
      <c r="I473" s="1216"/>
      <c r="J473" s="1216"/>
      <c r="K473" s="1216"/>
      <c r="L473" s="1216"/>
      <c r="M473" s="1216"/>
      <c r="N473" s="1216"/>
      <c r="O473" s="1216"/>
      <c r="P473" s="1216"/>
      <c r="Q473" s="1216"/>
      <c r="R473" s="1216"/>
      <c r="S473" s="1216"/>
    </row>
    <row r="474" spans="1:19" ht="12.75" customHeight="1">
      <c r="A474" s="1216"/>
      <c r="B474" s="1216"/>
      <c r="C474" s="1216"/>
      <c r="D474" s="1216"/>
      <c r="E474" s="1216"/>
      <c r="F474" s="1216"/>
      <c r="G474" s="1216"/>
      <c r="H474" s="1216"/>
      <c r="I474" s="1216"/>
      <c r="J474" s="1216"/>
      <c r="K474" s="1216"/>
      <c r="L474" s="1216"/>
      <c r="M474" s="1216"/>
      <c r="N474" s="1216"/>
      <c r="O474" s="1216"/>
      <c r="P474" s="1216"/>
      <c r="Q474" s="1216"/>
      <c r="R474" s="1216"/>
      <c r="S474" s="1216"/>
    </row>
    <row r="475" spans="1:19">
      <c r="A475" s="1216"/>
      <c r="B475" s="1216"/>
      <c r="C475" s="1216"/>
      <c r="D475" s="1216"/>
      <c r="E475" s="1216"/>
      <c r="F475" s="1216"/>
      <c r="G475" s="1216"/>
      <c r="H475" s="1216"/>
      <c r="I475" s="1216"/>
      <c r="J475" s="1216"/>
      <c r="K475" s="1216"/>
      <c r="L475" s="1216"/>
      <c r="M475" s="1216"/>
      <c r="N475" s="1216"/>
      <c r="O475" s="1216"/>
      <c r="P475" s="1216"/>
      <c r="Q475" s="1216"/>
      <c r="R475" s="1216"/>
      <c r="S475" s="1216"/>
    </row>
    <row r="476" spans="1:19">
      <c r="A476" s="1216"/>
      <c r="B476" s="1216"/>
      <c r="C476" s="1216"/>
      <c r="D476" s="1216"/>
      <c r="E476" s="1216"/>
      <c r="F476" s="1216"/>
      <c r="G476" s="1216"/>
      <c r="H476" s="1216"/>
      <c r="I476" s="1216"/>
      <c r="J476" s="1216"/>
      <c r="K476" s="1216"/>
      <c r="L476" s="1216"/>
      <c r="M476" s="1216"/>
      <c r="N476" s="1216"/>
      <c r="O476" s="1216"/>
      <c r="P476" s="1216"/>
      <c r="Q476" s="1216"/>
      <c r="R476" s="1216"/>
      <c r="S476" s="1216"/>
    </row>
    <row r="477" spans="1:19">
      <c r="A477" s="1216"/>
      <c r="B477" s="1216"/>
      <c r="C477" s="1216"/>
      <c r="D477" s="1216"/>
      <c r="E477" s="1216"/>
      <c r="F477" s="1216"/>
      <c r="G477" s="1216"/>
      <c r="H477" s="1216"/>
      <c r="I477" s="1216"/>
      <c r="J477" s="1216"/>
      <c r="K477" s="1216"/>
      <c r="L477" s="1216"/>
      <c r="M477" s="1216"/>
      <c r="N477" s="1216"/>
      <c r="O477" s="1216"/>
      <c r="P477" s="1216"/>
      <c r="Q477" s="1216"/>
      <c r="R477" s="1216"/>
      <c r="S477" s="1216"/>
    </row>
    <row r="478" spans="1:19" ht="12.75" customHeight="1">
      <c r="A478" s="1287" t="s">
        <v>4635</v>
      </c>
      <c r="B478" s="1216"/>
      <c r="C478" s="1216"/>
      <c r="D478" s="1216"/>
      <c r="E478" s="1216"/>
      <c r="F478" s="1216"/>
      <c r="G478" s="1216"/>
      <c r="H478" s="1216"/>
      <c r="I478" s="1216"/>
      <c r="J478" s="1216"/>
      <c r="K478" s="1216"/>
      <c r="L478" s="1216"/>
      <c r="M478" s="1216"/>
      <c r="N478" s="1216"/>
      <c r="O478" s="1216"/>
      <c r="P478" s="1216"/>
      <c r="Q478" s="1216"/>
      <c r="R478" s="1216"/>
      <c r="S478" s="1216"/>
    </row>
    <row r="479" spans="1:19">
      <c r="A479" s="1216"/>
      <c r="B479" s="1216"/>
      <c r="C479" s="1216"/>
      <c r="D479" s="1216"/>
      <c r="E479" s="1216"/>
      <c r="F479" s="1216"/>
      <c r="G479" s="1216"/>
      <c r="H479" s="1216"/>
      <c r="I479" s="1216"/>
      <c r="J479" s="1216"/>
      <c r="K479" s="1216"/>
      <c r="L479" s="1216"/>
      <c r="M479" s="1216"/>
      <c r="N479" s="1216"/>
      <c r="O479" s="1216"/>
      <c r="P479" s="1216"/>
      <c r="Q479" s="1216"/>
      <c r="R479" s="1216"/>
      <c r="S479" s="1216"/>
    </row>
    <row r="480" spans="1:19">
      <c r="A480" s="1216"/>
      <c r="B480" s="1216"/>
      <c r="C480" s="1216"/>
      <c r="D480" s="1216"/>
      <c r="E480" s="1216"/>
      <c r="F480" s="1216"/>
      <c r="G480" s="1216"/>
      <c r="H480" s="1216"/>
      <c r="I480" s="1216"/>
      <c r="J480" s="1216"/>
      <c r="K480" s="1216"/>
      <c r="L480" s="1216"/>
      <c r="M480" s="1216"/>
      <c r="N480" s="1216"/>
      <c r="O480" s="1216"/>
      <c r="P480" s="1216"/>
      <c r="Q480" s="1216"/>
      <c r="R480" s="1216"/>
      <c r="S480" s="1216"/>
    </row>
    <row r="481" spans="1:19" ht="12.75" customHeight="1">
      <c r="A481" s="1287" t="s">
        <v>4636</v>
      </c>
      <c r="B481" s="1216"/>
      <c r="C481" s="1216"/>
      <c r="D481" s="1216"/>
      <c r="E481" s="1216"/>
      <c r="F481" s="1216"/>
      <c r="G481" s="1216"/>
      <c r="H481" s="1216"/>
      <c r="I481" s="1216"/>
      <c r="J481" s="1216"/>
      <c r="K481" s="1216"/>
      <c r="L481" s="1216"/>
      <c r="M481" s="1216"/>
      <c r="N481" s="1216"/>
      <c r="O481" s="1216"/>
      <c r="P481" s="1216"/>
      <c r="Q481" s="1216"/>
      <c r="R481" s="1216"/>
      <c r="S481" s="1216"/>
    </row>
    <row r="482" spans="1:19">
      <c r="A482" s="1216"/>
      <c r="B482" s="1216"/>
      <c r="C482" s="1216"/>
      <c r="D482" s="1216"/>
      <c r="E482" s="1216"/>
      <c r="F482" s="1216"/>
      <c r="G482" s="1216"/>
      <c r="H482" s="1216"/>
      <c r="I482" s="1216"/>
      <c r="J482" s="1216"/>
      <c r="K482" s="1216"/>
      <c r="L482" s="1216"/>
      <c r="M482" s="1216"/>
      <c r="N482" s="1216"/>
      <c r="O482" s="1216"/>
      <c r="P482" s="1216"/>
      <c r="Q482" s="1216"/>
      <c r="R482" s="1216"/>
      <c r="S482" s="1216"/>
    </row>
    <row r="483" spans="1:19">
      <c r="A483" s="1216"/>
      <c r="B483" s="1216"/>
      <c r="C483" s="1216"/>
      <c r="D483" s="1216"/>
      <c r="E483" s="1216"/>
      <c r="F483" s="1216"/>
      <c r="G483" s="1216"/>
      <c r="H483" s="1216"/>
      <c r="I483" s="1216"/>
      <c r="J483" s="1216"/>
      <c r="K483" s="1216"/>
      <c r="L483" s="1216"/>
      <c r="M483" s="1216"/>
      <c r="N483" s="1216"/>
      <c r="O483" s="1216"/>
      <c r="P483" s="1216"/>
      <c r="Q483" s="1216"/>
      <c r="R483" s="1216"/>
      <c r="S483" s="1216"/>
    </row>
    <row r="484" spans="1:19">
      <c r="A484" s="1216"/>
      <c r="B484" s="1216"/>
      <c r="C484" s="1216"/>
      <c r="D484" s="1216"/>
      <c r="E484" s="1216"/>
      <c r="F484" s="1216"/>
      <c r="G484" s="1216"/>
      <c r="H484" s="1216"/>
      <c r="I484" s="1216"/>
      <c r="J484" s="1216"/>
      <c r="K484" s="1216"/>
      <c r="L484" s="1216"/>
      <c r="M484" s="1216"/>
      <c r="N484" s="1216"/>
      <c r="O484" s="1216"/>
      <c r="P484" s="1216"/>
      <c r="Q484" s="1216"/>
      <c r="R484" s="1216"/>
      <c r="S484" s="1216"/>
    </row>
    <row r="485" spans="1:19">
      <c r="A485" s="1216"/>
      <c r="B485" s="1216"/>
      <c r="C485" s="1216"/>
      <c r="D485" s="1216"/>
      <c r="E485" s="1216"/>
      <c r="F485" s="1216"/>
      <c r="G485" s="1216"/>
      <c r="H485" s="1216"/>
      <c r="I485" s="1216"/>
      <c r="J485" s="1216"/>
      <c r="K485" s="1216"/>
      <c r="L485" s="1216"/>
      <c r="M485" s="1216"/>
      <c r="N485" s="1216"/>
      <c r="O485" s="1216"/>
      <c r="P485" s="1216"/>
      <c r="Q485" s="1216"/>
      <c r="R485" s="1216"/>
      <c r="S485" s="1216"/>
    </row>
    <row r="486" spans="1:19" ht="12.75" customHeight="1">
      <c r="A486" s="1287" t="s">
        <v>4637</v>
      </c>
      <c r="B486" s="1216"/>
      <c r="C486" s="1216"/>
      <c r="D486" s="1216"/>
      <c r="E486" s="1216"/>
      <c r="F486" s="1216"/>
      <c r="G486" s="1216"/>
      <c r="H486" s="1216"/>
      <c r="I486" s="1216"/>
      <c r="J486" s="1216"/>
      <c r="K486" s="1216"/>
      <c r="L486" s="1216"/>
      <c r="M486" s="1216"/>
      <c r="N486" s="1216"/>
      <c r="O486" s="1216"/>
      <c r="P486" s="1216"/>
      <c r="Q486" s="1216"/>
      <c r="R486" s="1216"/>
      <c r="S486" s="1216"/>
    </row>
    <row r="487" spans="1:19">
      <c r="A487" s="1216"/>
      <c r="B487" s="1216"/>
      <c r="C487" s="1216"/>
      <c r="D487" s="1216"/>
      <c r="E487" s="1216"/>
      <c r="F487" s="1216"/>
      <c r="G487" s="1216"/>
      <c r="H487" s="1216"/>
      <c r="I487" s="1216"/>
      <c r="J487" s="1216"/>
      <c r="K487" s="1216"/>
      <c r="L487" s="1216"/>
      <c r="M487" s="1216"/>
      <c r="N487" s="1216"/>
      <c r="O487" s="1216"/>
      <c r="P487" s="1216"/>
      <c r="Q487" s="1216"/>
      <c r="R487" s="1216"/>
      <c r="S487" s="1216"/>
    </row>
    <row r="488" spans="1:19">
      <c r="A488" s="1216"/>
      <c r="B488" s="1216"/>
      <c r="C488" s="1216"/>
      <c r="D488" s="1216"/>
      <c r="E488" s="1216"/>
      <c r="F488" s="1216"/>
      <c r="G488" s="1216"/>
      <c r="H488" s="1216"/>
      <c r="I488" s="1216"/>
      <c r="J488" s="1216"/>
      <c r="K488" s="1216"/>
      <c r="L488" s="1216"/>
      <c r="M488" s="1216"/>
      <c r="N488" s="1216"/>
      <c r="O488" s="1216"/>
      <c r="P488" s="1216"/>
      <c r="Q488" s="1216"/>
      <c r="R488" s="1216"/>
      <c r="S488" s="1216"/>
    </row>
    <row r="489" spans="1:19">
      <c r="A489" s="1216"/>
      <c r="B489" s="1216"/>
      <c r="C489" s="1216"/>
      <c r="D489" s="1216"/>
      <c r="E489" s="1216"/>
      <c r="F489" s="1216"/>
      <c r="G489" s="1216"/>
      <c r="H489" s="1216"/>
      <c r="I489" s="1216"/>
      <c r="J489" s="1216"/>
      <c r="K489" s="1216"/>
      <c r="L489" s="1216"/>
      <c r="M489" s="1216"/>
      <c r="N489" s="1216"/>
      <c r="O489" s="1216"/>
      <c r="P489" s="1216"/>
      <c r="Q489" s="1216"/>
      <c r="R489" s="1216"/>
      <c r="S489" s="1216"/>
    </row>
    <row r="490" spans="1:19" ht="12.75" customHeight="1">
      <c r="A490" s="1287" t="s">
        <v>4638</v>
      </c>
      <c r="B490" s="1216"/>
      <c r="C490" s="1216"/>
      <c r="D490" s="1216"/>
      <c r="E490" s="1216"/>
      <c r="F490" s="1216"/>
      <c r="G490" s="1216"/>
      <c r="H490" s="1216"/>
      <c r="I490" s="1216"/>
      <c r="J490" s="1216"/>
      <c r="K490" s="1216"/>
      <c r="L490" s="1216"/>
      <c r="M490" s="1216"/>
      <c r="N490" s="1216"/>
      <c r="O490" s="1216"/>
      <c r="P490" s="1216"/>
      <c r="Q490" s="1216"/>
      <c r="R490" s="1216"/>
      <c r="S490" s="1216"/>
    </row>
    <row r="491" spans="1:19">
      <c r="A491" s="1216"/>
      <c r="B491" s="1216"/>
      <c r="C491" s="1216"/>
      <c r="D491" s="1216"/>
      <c r="E491" s="1216"/>
      <c r="F491" s="1216"/>
      <c r="G491" s="1216"/>
      <c r="H491" s="1216"/>
      <c r="I491" s="1216"/>
      <c r="J491" s="1216"/>
      <c r="K491" s="1216"/>
      <c r="L491" s="1216"/>
      <c r="M491" s="1216"/>
      <c r="N491" s="1216"/>
      <c r="O491" s="1216"/>
      <c r="P491" s="1216"/>
      <c r="Q491" s="1216"/>
      <c r="R491" s="1216"/>
      <c r="S491" s="1216"/>
    </row>
    <row r="492" spans="1:19">
      <c r="A492" s="1216"/>
      <c r="B492" s="1216"/>
      <c r="C492" s="1216"/>
      <c r="D492" s="1216"/>
      <c r="E492" s="1216"/>
      <c r="F492" s="1216"/>
      <c r="G492" s="1216"/>
      <c r="H492" s="1216"/>
      <c r="I492" s="1216"/>
      <c r="J492" s="1216"/>
      <c r="K492" s="1216"/>
      <c r="L492" s="1216"/>
      <c r="M492" s="1216"/>
      <c r="N492" s="1216"/>
      <c r="O492" s="1216"/>
      <c r="P492" s="1216"/>
      <c r="Q492" s="1216"/>
      <c r="R492" s="1216"/>
      <c r="S492" s="1216"/>
    </row>
    <row r="493" spans="1:19">
      <c r="A493" s="1216"/>
      <c r="B493" s="1216"/>
      <c r="C493" s="1216"/>
      <c r="D493" s="1216"/>
      <c r="E493" s="1216"/>
      <c r="F493" s="1216"/>
      <c r="G493" s="1216"/>
      <c r="H493" s="1216"/>
      <c r="I493" s="1216"/>
      <c r="J493" s="1216"/>
      <c r="K493" s="1216"/>
      <c r="L493" s="1216"/>
      <c r="M493" s="1216"/>
      <c r="N493" s="1216"/>
      <c r="O493" s="1216"/>
      <c r="P493" s="1216"/>
      <c r="Q493" s="1216"/>
      <c r="R493" s="1216"/>
      <c r="S493" s="1216"/>
    </row>
    <row r="494" spans="1:19">
      <c r="A494" s="1216"/>
      <c r="B494" s="1216"/>
      <c r="C494" s="1216"/>
      <c r="D494" s="1216"/>
      <c r="E494" s="1216"/>
      <c r="F494" s="1216"/>
      <c r="G494" s="1216"/>
      <c r="H494" s="1216"/>
      <c r="I494" s="1216"/>
      <c r="J494" s="1216"/>
      <c r="K494" s="1216"/>
      <c r="L494" s="1216"/>
      <c r="M494" s="1216"/>
      <c r="N494" s="1216"/>
      <c r="O494" s="1216"/>
      <c r="P494" s="1216"/>
      <c r="Q494" s="1216"/>
      <c r="R494" s="1216"/>
      <c r="S494" s="1216"/>
    </row>
    <row r="495" spans="1:19" ht="12.75" customHeight="1">
      <c r="A495" s="1287" t="s">
        <v>4639</v>
      </c>
      <c r="B495" s="1216"/>
      <c r="C495" s="1216"/>
      <c r="D495" s="1216"/>
      <c r="E495" s="1216"/>
      <c r="F495" s="1216"/>
      <c r="G495" s="1216"/>
      <c r="H495" s="1216"/>
      <c r="I495" s="1216"/>
      <c r="J495" s="1216"/>
      <c r="K495" s="1216"/>
      <c r="L495" s="1216"/>
      <c r="M495" s="1216"/>
      <c r="N495" s="1216"/>
      <c r="O495" s="1216"/>
      <c r="P495" s="1216"/>
      <c r="Q495" s="1216"/>
      <c r="R495" s="1216"/>
      <c r="S495" s="1216"/>
    </row>
    <row r="496" spans="1:19" ht="12.75" customHeight="1">
      <c r="A496" s="1287" t="s">
        <v>4640</v>
      </c>
      <c r="B496" s="1216"/>
      <c r="C496" s="1216"/>
      <c r="D496" s="1216"/>
      <c r="E496" s="1216"/>
      <c r="F496" s="1216"/>
      <c r="G496" s="1216"/>
      <c r="H496" s="1216"/>
      <c r="I496" s="1216"/>
      <c r="J496" s="1216"/>
      <c r="K496" s="1216"/>
      <c r="L496" s="1216"/>
      <c r="M496" s="1216"/>
      <c r="N496" s="1216"/>
      <c r="O496" s="1216"/>
      <c r="P496" s="1216"/>
      <c r="Q496" s="1216"/>
      <c r="R496" s="1216"/>
      <c r="S496" s="1216"/>
    </row>
    <row r="497" spans="1:19">
      <c r="A497" s="1216"/>
      <c r="B497" s="1216"/>
      <c r="C497" s="1216"/>
      <c r="D497" s="1216"/>
      <c r="E497" s="1216"/>
      <c r="F497" s="1216"/>
      <c r="G497" s="1216"/>
      <c r="H497" s="1216"/>
      <c r="I497" s="1216"/>
      <c r="J497" s="1216"/>
      <c r="K497" s="1216"/>
      <c r="L497" s="1216"/>
      <c r="M497" s="1216"/>
      <c r="N497" s="1216"/>
      <c r="O497" s="1216"/>
      <c r="P497" s="1216"/>
      <c r="Q497" s="1216"/>
      <c r="R497" s="1216"/>
      <c r="S497" s="1216"/>
    </row>
    <row r="498" spans="1:19">
      <c r="A498" s="1216"/>
      <c r="B498" s="1216"/>
      <c r="C498" s="1216"/>
      <c r="D498" s="1216"/>
      <c r="E498" s="1216"/>
      <c r="F498" s="1216"/>
      <c r="G498" s="1216"/>
      <c r="H498" s="1216"/>
      <c r="I498" s="1216"/>
      <c r="J498" s="1216"/>
      <c r="K498" s="1216"/>
      <c r="L498" s="1216"/>
      <c r="M498" s="1216"/>
      <c r="N498" s="1216"/>
      <c r="O498" s="1216"/>
      <c r="P498" s="1216"/>
      <c r="Q498" s="1216"/>
      <c r="R498" s="1216"/>
      <c r="S498" s="1216"/>
    </row>
    <row r="499" spans="1:19">
      <c r="A499" s="1216"/>
      <c r="B499" s="1216"/>
      <c r="C499" s="1216"/>
      <c r="D499" s="1216"/>
      <c r="E499" s="1216"/>
      <c r="F499" s="1216"/>
      <c r="G499" s="1216"/>
      <c r="H499" s="1216"/>
      <c r="I499" s="1216"/>
      <c r="J499" s="1216"/>
      <c r="K499" s="1216"/>
      <c r="L499" s="1216"/>
      <c r="M499" s="1216"/>
      <c r="N499" s="1216"/>
      <c r="O499" s="1216"/>
      <c r="P499" s="1216"/>
      <c r="Q499" s="1216"/>
      <c r="R499" s="1216"/>
      <c r="S499" s="1216"/>
    </row>
    <row r="500" spans="1:19" ht="12.75" customHeight="1">
      <c r="A500" s="1287" t="s">
        <v>4641</v>
      </c>
      <c r="B500" s="1216"/>
      <c r="C500" s="1216"/>
      <c r="D500" s="1216"/>
      <c r="E500" s="1216"/>
      <c r="F500" s="1216"/>
      <c r="G500" s="1216"/>
      <c r="H500" s="1216"/>
      <c r="I500" s="1216"/>
      <c r="J500" s="1216"/>
      <c r="K500" s="1216"/>
      <c r="L500" s="1216"/>
      <c r="M500" s="1216"/>
      <c r="N500" s="1216"/>
      <c r="O500" s="1216"/>
      <c r="P500" s="1216"/>
      <c r="Q500" s="1216"/>
      <c r="R500" s="1216"/>
      <c r="S500" s="1216"/>
    </row>
    <row r="501" spans="1:19">
      <c r="A501" s="1216"/>
      <c r="B501" s="1216"/>
      <c r="C501" s="1216"/>
      <c r="D501" s="1216"/>
      <c r="E501" s="1216"/>
      <c r="F501" s="1216"/>
      <c r="G501" s="1216"/>
      <c r="H501" s="1216"/>
      <c r="I501" s="1216"/>
      <c r="J501" s="1216"/>
      <c r="K501" s="1216"/>
      <c r="L501" s="1216"/>
      <c r="M501" s="1216"/>
      <c r="N501" s="1216"/>
      <c r="O501" s="1216"/>
      <c r="P501" s="1216"/>
      <c r="Q501" s="1216"/>
      <c r="R501" s="1216"/>
      <c r="S501" s="1216"/>
    </row>
    <row r="502" spans="1:19">
      <c r="A502" s="1216"/>
      <c r="B502" s="1216"/>
      <c r="C502" s="1216"/>
      <c r="D502" s="1216"/>
      <c r="E502" s="1216"/>
      <c r="F502" s="1216"/>
      <c r="G502" s="1216"/>
      <c r="H502" s="1216"/>
      <c r="I502" s="1216"/>
      <c r="J502" s="1216"/>
      <c r="K502" s="1216"/>
      <c r="L502" s="1216"/>
      <c r="M502" s="1216"/>
      <c r="N502" s="1216"/>
      <c r="O502" s="1216"/>
      <c r="P502" s="1216"/>
      <c r="Q502" s="1216"/>
      <c r="R502" s="1216"/>
      <c r="S502" s="1216"/>
    </row>
    <row r="503" spans="1:19">
      <c r="A503" s="1216"/>
      <c r="B503" s="1216"/>
      <c r="C503" s="1216"/>
      <c r="D503" s="1216"/>
      <c r="E503" s="1216"/>
      <c r="F503" s="1216"/>
      <c r="G503" s="1216"/>
      <c r="H503" s="1216"/>
      <c r="I503" s="1216"/>
      <c r="J503" s="1216"/>
      <c r="K503" s="1216"/>
      <c r="L503" s="1216"/>
      <c r="M503" s="1216"/>
      <c r="N503" s="1216"/>
      <c r="O503" s="1216"/>
      <c r="P503" s="1216"/>
      <c r="Q503" s="1216"/>
      <c r="R503" s="1216"/>
      <c r="S503" s="1216"/>
    </row>
    <row r="504" spans="1:19">
      <c r="A504" s="1216"/>
      <c r="B504" s="1216"/>
      <c r="C504" s="1216"/>
      <c r="D504" s="1216"/>
      <c r="E504" s="1216"/>
      <c r="F504" s="1216"/>
      <c r="G504" s="1216"/>
      <c r="H504" s="1216"/>
      <c r="I504" s="1216"/>
      <c r="J504" s="1216"/>
      <c r="K504" s="1216"/>
      <c r="L504" s="1216"/>
      <c r="M504" s="1216"/>
      <c r="N504" s="1216"/>
      <c r="O504" s="1216"/>
      <c r="P504" s="1216"/>
      <c r="Q504" s="1216"/>
      <c r="R504" s="1216"/>
      <c r="S504" s="1216"/>
    </row>
    <row r="505" spans="1:19" ht="12.75" customHeight="1">
      <c r="A505" s="1287" t="s">
        <v>4642</v>
      </c>
      <c r="B505" s="1216"/>
      <c r="C505" s="1216"/>
      <c r="D505" s="1216"/>
      <c r="E505" s="1216"/>
      <c r="F505" s="1216"/>
      <c r="G505" s="1216"/>
      <c r="H505" s="1216"/>
      <c r="I505" s="1216"/>
      <c r="J505" s="1216"/>
      <c r="K505" s="1216"/>
      <c r="L505" s="1216"/>
      <c r="M505" s="1216"/>
      <c r="N505" s="1216"/>
      <c r="O505" s="1216"/>
      <c r="P505" s="1216"/>
      <c r="Q505" s="1216"/>
      <c r="R505" s="1216"/>
      <c r="S505" s="1216"/>
    </row>
    <row r="506" spans="1:19">
      <c r="A506" s="1216"/>
      <c r="B506" s="1216"/>
      <c r="C506" s="1216"/>
      <c r="D506" s="1216"/>
      <c r="E506" s="1216"/>
      <c r="F506" s="1216"/>
      <c r="G506" s="1216"/>
      <c r="H506" s="1216"/>
      <c r="I506" s="1216"/>
      <c r="J506" s="1216"/>
      <c r="K506" s="1216"/>
      <c r="L506" s="1216"/>
      <c r="M506" s="1216"/>
      <c r="N506" s="1216"/>
      <c r="O506" s="1216"/>
      <c r="P506" s="1216"/>
      <c r="Q506" s="1216"/>
      <c r="R506" s="1216"/>
      <c r="S506" s="1216"/>
    </row>
    <row r="507" spans="1:19">
      <c r="A507" s="1216"/>
      <c r="B507" s="1216"/>
      <c r="C507" s="1216"/>
      <c r="D507" s="1216"/>
      <c r="E507" s="1216"/>
      <c r="F507" s="1216"/>
      <c r="G507" s="1216"/>
      <c r="H507" s="1216"/>
      <c r="I507" s="1216"/>
      <c r="J507" s="1216"/>
      <c r="K507" s="1216"/>
      <c r="L507" s="1216"/>
      <c r="M507" s="1216"/>
      <c r="N507" s="1216"/>
      <c r="O507" s="1216"/>
      <c r="P507" s="1216"/>
      <c r="Q507" s="1216"/>
      <c r="R507" s="1216"/>
      <c r="S507" s="1216"/>
    </row>
    <row r="508" spans="1:19">
      <c r="A508" s="1216"/>
      <c r="B508" s="1216"/>
      <c r="C508" s="1216"/>
      <c r="D508" s="1216"/>
      <c r="E508" s="1216"/>
      <c r="F508" s="1216"/>
      <c r="G508" s="1216"/>
      <c r="H508" s="1216"/>
      <c r="I508" s="1216"/>
      <c r="J508" s="1216"/>
      <c r="K508" s="1216"/>
      <c r="L508" s="1216"/>
      <c r="M508" s="1216"/>
      <c r="N508" s="1216"/>
      <c r="O508" s="1216"/>
      <c r="P508" s="1216"/>
      <c r="Q508" s="1216"/>
      <c r="R508" s="1216"/>
      <c r="S508" s="1216"/>
    </row>
    <row r="509" spans="1:19">
      <c r="A509" s="1216"/>
      <c r="B509" s="1216"/>
      <c r="C509" s="1216"/>
      <c r="D509" s="1216"/>
      <c r="E509" s="1216"/>
      <c r="F509" s="1216"/>
      <c r="G509" s="1216"/>
      <c r="H509" s="1216"/>
      <c r="I509" s="1216"/>
      <c r="J509" s="1216"/>
      <c r="K509" s="1216"/>
      <c r="L509" s="1216"/>
      <c r="M509" s="1216"/>
      <c r="N509" s="1216"/>
      <c r="O509" s="1216"/>
      <c r="P509" s="1216"/>
      <c r="Q509" s="1216"/>
      <c r="R509" s="1216"/>
      <c r="S509" s="1216"/>
    </row>
    <row r="510" spans="1:19">
      <c r="A510" s="1216"/>
      <c r="B510" s="1216"/>
      <c r="C510" s="1216"/>
      <c r="D510" s="1216"/>
      <c r="E510" s="1216"/>
      <c r="F510" s="1216"/>
      <c r="G510" s="1216"/>
      <c r="H510" s="1216"/>
      <c r="I510" s="1216"/>
      <c r="J510" s="1216"/>
      <c r="K510" s="1216"/>
      <c r="L510" s="1216"/>
      <c r="M510" s="1216"/>
      <c r="N510" s="1216"/>
      <c r="O510" s="1216"/>
      <c r="P510" s="1216"/>
      <c r="Q510" s="1216"/>
      <c r="R510" s="1216"/>
      <c r="S510" s="1216"/>
    </row>
    <row r="511" spans="1:19">
      <c r="A511" s="99"/>
      <c r="B511" s="99"/>
      <c r="C511" s="99"/>
      <c r="D511" s="99"/>
      <c r="E511" s="99"/>
      <c r="F511" s="99"/>
      <c r="G511" s="99"/>
      <c r="H511" s="99"/>
      <c r="I511" s="99"/>
      <c r="J511" s="99"/>
      <c r="K511" s="99"/>
      <c r="L511" s="99"/>
      <c r="M511" s="99"/>
      <c r="N511" s="99"/>
      <c r="O511" s="99"/>
      <c r="P511" s="99"/>
      <c r="Q511" s="99"/>
      <c r="R511" s="99"/>
      <c r="S511" s="99"/>
    </row>
    <row r="512" spans="1:19">
      <c r="A512" s="99"/>
      <c r="B512" s="1814" t="s">
        <v>4363</v>
      </c>
      <c r="C512" s="1815"/>
      <c r="D512" s="1816"/>
      <c r="E512" s="1812" t="s">
        <v>3305</v>
      </c>
      <c r="F512" s="1812"/>
      <c r="G512" s="1796" t="s">
        <v>4268</v>
      </c>
      <c r="H512" s="1777"/>
      <c r="I512" s="1777"/>
      <c r="J512" s="1777"/>
      <c r="K512" s="1777"/>
      <c r="L512" s="1777"/>
      <c r="M512" s="1796" t="s">
        <v>4283</v>
      </c>
      <c r="N512" s="1777"/>
      <c r="O512" s="1777"/>
      <c r="P512" s="1777"/>
      <c r="Q512" s="1777"/>
      <c r="R512" s="1859" t="s">
        <v>4270</v>
      </c>
      <c r="S512" s="1471"/>
    </row>
    <row r="513" spans="1:19">
      <c r="A513" s="99"/>
      <c r="B513" s="1817"/>
      <c r="C513" s="1818"/>
      <c r="D513" s="1819"/>
      <c r="E513" s="1812"/>
      <c r="F513" s="1812"/>
      <c r="G513" s="1777"/>
      <c r="H513" s="1777"/>
      <c r="I513" s="1777"/>
      <c r="J513" s="1777"/>
      <c r="K513" s="1777"/>
      <c r="L513" s="1777"/>
      <c r="M513" s="1777"/>
      <c r="N513" s="1777"/>
      <c r="O513" s="1777"/>
      <c r="P513" s="1777"/>
      <c r="Q513" s="1777"/>
      <c r="R513" s="1471"/>
      <c r="S513" s="1471"/>
    </row>
    <row r="514" spans="1:19">
      <c r="A514" s="99"/>
      <c r="B514" s="1817"/>
      <c r="C514" s="1818"/>
      <c r="D514" s="1819"/>
      <c r="E514" s="1812"/>
      <c r="F514" s="1812"/>
      <c r="G514" s="1777"/>
      <c r="H514" s="1777"/>
      <c r="I514" s="1777"/>
      <c r="J514" s="1777"/>
      <c r="K514" s="1777"/>
      <c r="L514" s="1777"/>
      <c r="M514" s="1777"/>
      <c r="N514" s="1777"/>
      <c r="O514" s="1777"/>
      <c r="P514" s="1777"/>
      <c r="Q514" s="1777"/>
      <c r="R514" s="1471"/>
      <c r="S514" s="1471"/>
    </row>
    <row r="515" spans="1:19">
      <c r="A515" s="99"/>
      <c r="B515" s="1820"/>
      <c r="C515" s="1821"/>
      <c r="D515" s="1822"/>
      <c r="E515" s="1812"/>
      <c r="F515" s="1812"/>
      <c r="G515" s="1777"/>
      <c r="H515" s="1777"/>
      <c r="I515" s="1777"/>
      <c r="J515" s="1777"/>
      <c r="K515" s="1777"/>
      <c r="L515" s="1777"/>
      <c r="M515" s="1777"/>
      <c r="N515" s="1777"/>
      <c r="O515" s="1777"/>
      <c r="P515" s="1777"/>
      <c r="Q515" s="1777"/>
      <c r="R515" s="1471"/>
      <c r="S515" s="1471"/>
    </row>
    <row r="516" spans="1:19">
      <c r="A516" s="99"/>
      <c r="B516" s="1810" t="s">
        <v>4364</v>
      </c>
      <c r="C516" s="1810"/>
      <c r="D516" s="1810"/>
      <c r="E516" s="1775">
        <v>900</v>
      </c>
      <c r="F516" s="1775"/>
      <c r="G516" s="1811" t="s">
        <v>4365</v>
      </c>
      <c r="H516" s="1775"/>
      <c r="I516" s="1775"/>
      <c r="J516" s="1775"/>
      <c r="K516" s="1775"/>
      <c r="L516" s="1775"/>
      <c r="M516" s="1832" t="s">
        <v>4365</v>
      </c>
      <c r="N516" s="1833"/>
      <c r="O516" s="1833"/>
      <c r="P516" s="1833"/>
      <c r="Q516" s="1834"/>
      <c r="R516" s="1775">
        <v>759.06</v>
      </c>
      <c r="S516" s="1775"/>
    </row>
    <row r="517" spans="1:19">
      <c r="A517" s="99"/>
      <c r="B517" s="1810"/>
      <c r="C517" s="1810"/>
      <c r="D517" s="1810"/>
      <c r="E517" s="1775"/>
      <c r="F517" s="1775"/>
      <c r="G517" s="1775"/>
      <c r="H517" s="1775"/>
      <c r="I517" s="1775"/>
      <c r="J517" s="1775"/>
      <c r="K517" s="1775"/>
      <c r="L517" s="1775"/>
      <c r="M517" s="1835"/>
      <c r="N517" s="1836"/>
      <c r="O517" s="1836"/>
      <c r="P517" s="1836"/>
      <c r="Q517" s="1837"/>
      <c r="R517" s="1775"/>
      <c r="S517" s="1775"/>
    </row>
    <row r="518" spans="1:19">
      <c r="A518" s="99"/>
      <c r="B518" s="1810"/>
      <c r="C518" s="1810"/>
      <c r="D518" s="1810"/>
      <c r="E518" s="1775"/>
      <c r="F518" s="1775"/>
      <c r="G518" s="1775"/>
      <c r="H518" s="1775"/>
      <c r="I518" s="1775"/>
      <c r="J518" s="1775"/>
      <c r="K518" s="1775"/>
      <c r="L518" s="1775"/>
      <c r="M518" s="1832" t="s">
        <v>4366</v>
      </c>
      <c r="N518" s="1833"/>
      <c r="O518" s="1833"/>
      <c r="P518" s="1833"/>
      <c r="Q518" s="1834"/>
      <c r="R518" s="1775"/>
      <c r="S518" s="1775"/>
    </row>
    <row r="519" spans="1:19">
      <c r="A519" s="99"/>
      <c r="B519" s="1810"/>
      <c r="C519" s="1810"/>
      <c r="D519" s="1810"/>
      <c r="E519" s="1775"/>
      <c r="F519" s="1775"/>
      <c r="G519" s="1775"/>
      <c r="H519" s="1775"/>
      <c r="I519" s="1775"/>
      <c r="J519" s="1775"/>
      <c r="K519" s="1775"/>
      <c r="L519" s="1775"/>
      <c r="M519" s="1835"/>
      <c r="N519" s="1836"/>
      <c r="O519" s="1836"/>
      <c r="P519" s="1836"/>
      <c r="Q519" s="1837"/>
      <c r="R519" s="1775"/>
      <c r="S519" s="1775"/>
    </row>
    <row r="520" spans="1:19">
      <c r="A520" s="99"/>
      <c r="B520" s="1801" t="s">
        <v>4367</v>
      </c>
      <c r="C520" s="1802"/>
      <c r="D520" s="1803"/>
      <c r="E520" s="1812">
        <v>115</v>
      </c>
      <c r="F520" s="1812"/>
      <c r="G520" s="1796" t="s">
        <v>4272</v>
      </c>
      <c r="H520" s="1775"/>
      <c r="I520" s="1775"/>
      <c r="J520" s="1775"/>
      <c r="K520" s="1775"/>
      <c r="L520" s="1775"/>
      <c r="M520" s="1841"/>
      <c r="N520" s="1842"/>
      <c r="O520" s="1842"/>
      <c r="P520" s="1842"/>
      <c r="Q520" s="1843"/>
      <c r="R520" s="1775">
        <v>699.58</v>
      </c>
      <c r="S520" s="1775"/>
    </row>
    <row r="521" spans="1:19">
      <c r="A521" s="99"/>
      <c r="B521" s="1804"/>
      <c r="C521" s="1805"/>
      <c r="D521" s="1806"/>
      <c r="E521" s="1812"/>
      <c r="F521" s="1812"/>
      <c r="G521" s="1775"/>
      <c r="H521" s="1775"/>
      <c r="I521" s="1775"/>
      <c r="J521" s="1775"/>
      <c r="K521" s="1775"/>
      <c r="L521" s="1775"/>
      <c r="M521" s="1844"/>
      <c r="N521" s="1845"/>
      <c r="O521" s="1845"/>
      <c r="P521" s="1845"/>
      <c r="Q521" s="1846"/>
      <c r="R521" s="1775"/>
      <c r="S521" s="1775"/>
    </row>
    <row r="522" spans="1:19">
      <c r="A522" s="99"/>
      <c r="B522" s="1804"/>
      <c r="C522" s="1805"/>
      <c r="D522" s="1806"/>
      <c r="E522" s="1812"/>
      <c r="F522" s="1812"/>
      <c r="G522" s="1775"/>
      <c r="H522" s="1775"/>
      <c r="I522" s="1775"/>
      <c r="J522" s="1775"/>
      <c r="K522" s="1775"/>
      <c r="L522" s="1775"/>
      <c r="M522" s="1841" t="s">
        <v>4643</v>
      </c>
      <c r="N522" s="1842"/>
      <c r="O522" s="1842"/>
      <c r="P522" s="1842"/>
      <c r="Q522" s="1843"/>
      <c r="R522" s="1775"/>
      <c r="S522" s="1775"/>
    </row>
    <row r="523" spans="1:19">
      <c r="A523" s="99"/>
      <c r="B523" s="1807"/>
      <c r="C523" s="1808"/>
      <c r="D523" s="1809"/>
      <c r="E523" s="1812"/>
      <c r="F523" s="1812"/>
      <c r="G523" s="1775"/>
      <c r="H523" s="1775"/>
      <c r="I523" s="1775"/>
      <c r="J523" s="1775"/>
      <c r="K523" s="1775"/>
      <c r="L523" s="1775"/>
      <c r="M523" s="1844"/>
      <c r="N523" s="1845"/>
      <c r="O523" s="1845"/>
      <c r="P523" s="1845"/>
      <c r="Q523" s="1846"/>
      <c r="R523" s="1775"/>
      <c r="S523" s="1775"/>
    </row>
    <row r="524" spans="1:19">
      <c r="A524" s="99"/>
      <c r="B524" s="1776" t="s">
        <v>4355</v>
      </c>
      <c r="C524" s="1776"/>
      <c r="D524" s="1776"/>
      <c r="E524" s="1800" t="s">
        <v>4368</v>
      </c>
      <c r="F524" s="1738"/>
      <c r="G524" s="1738"/>
      <c r="H524" s="1738"/>
      <c r="I524" s="1738"/>
      <c r="J524" s="1738"/>
      <c r="K524" s="1738"/>
      <c r="L524" s="1738"/>
      <c r="M524" s="1738"/>
      <c r="N524" s="1738"/>
      <c r="O524" s="1738"/>
      <c r="P524" s="1738"/>
      <c r="Q524" s="1738"/>
      <c r="R524" s="1775">
        <v>59.48</v>
      </c>
      <c r="S524" s="1775"/>
    </row>
    <row r="525" spans="1:19">
      <c r="A525" s="99"/>
      <c r="B525" s="1776"/>
      <c r="C525" s="1776"/>
      <c r="D525" s="1776"/>
      <c r="E525" s="1738"/>
      <c r="F525" s="1738"/>
      <c r="G525" s="1738"/>
      <c r="H525" s="1738"/>
      <c r="I525" s="1738"/>
      <c r="J525" s="1738"/>
      <c r="K525" s="1738"/>
      <c r="L525" s="1738"/>
      <c r="M525" s="1738"/>
      <c r="N525" s="1738"/>
      <c r="O525" s="1738"/>
      <c r="P525" s="1738"/>
      <c r="Q525" s="1738"/>
      <c r="R525" s="1775"/>
      <c r="S525" s="1775"/>
    </row>
    <row r="526" spans="1:19">
      <c r="A526" s="99"/>
      <c r="B526" s="1776"/>
      <c r="C526" s="1776"/>
      <c r="D526" s="1776"/>
      <c r="E526" s="1738"/>
      <c r="F526" s="1738"/>
      <c r="G526" s="1738"/>
      <c r="H526" s="1738"/>
      <c r="I526" s="1738"/>
      <c r="J526" s="1738"/>
      <c r="K526" s="1738"/>
      <c r="L526" s="1738"/>
      <c r="M526" s="1738"/>
      <c r="N526" s="1738"/>
      <c r="O526" s="1738"/>
      <c r="P526" s="1738"/>
      <c r="Q526" s="1738"/>
      <c r="R526" s="1775"/>
      <c r="S526" s="1775"/>
    </row>
    <row r="527" spans="1:19">
      <c r="A527" s="99"/>
      <c r="B527" s="99"/>
      <c r="C527" s="99"/>
      <c r="D527" s="99"/>
      <c r="E527" s="99"/>
      <c r="F527" s="99"/>
      <c r="G527" s="99"/>
      <c r="H527" s="99"/>
      <c r="I527" s="99"/>
      <c r="J527" s="99"/>
      <c r="K527" s="99"/>
      <c r="L527" s="99"/>
      <c r="M527" s="99"/>
      <c r="N527" s="99"/>
      <c r="O527" s="99"/>
      <c r="P527" s="99"/>
      <c r="Q527" s="99"/>
      <c r="R527" s="99"/>
      <c r="S527" s="99"/>
    </row>
    <row r="528" spans="1:19">
      <c r="A528" s="1287" t="s">
        <v>4644</v>
      </c>
      <c r="B528" s="1216"/>
      <c r="C528" s="1216"/>
      <c r="D528" s="1216"/>
      <c r="E528" s="1216"/>
      <c r="F528" s="1216"/>
      <c r="G528" s="1216"/>
      <c r="H528" s="1216"/>
      <c r="I528" s="1216"/>
      <c r="J528" s="1216"/>
      <c r="K528" s="1216"/>
      <c r="L528" s="1216"/>
      <c r="M528" s="1216"/>
      <c r="N528" s="1216"/>
      <c r="O528" s="1216"/>
      <c r="P528" s="1216"/>
      <c r="Q528" s="1216"/>
      <c r="R528" s="1216"/>
      <c r="S528" s="1216"/>
    </row>
    <row r="529" spans="1:19">
      <c r="A529" s="1216"/>
      <c r="B529" s="1216"/>
      <c r="C529" s="1216"/>
      <c r="D529" s="1216"/>
      <c r="E529" s="1216"/>
      <c r="F529" s="1216"/>
      <c r="G529" s="1216"/>
      <c r="H529" s="1216"/>
      <c r="I529" s="1216"/>
      <c r="J529" s="1216"/>
      <c r="K529" s="1216"/>
      <c r="L529" s="1216"/>
      <c r="M529" s="1216"/>
      <c r="N529" s="1216"/>
      <c r="O529" s="1216"/>
      <c r="P529" s="1216"/>
      <c r="Q529" s="1216"/>
      <c r="R529" s="1216"/>
      <c r="S529" s="1216"/>
    </row>
    <row r="530" spans="1:19">
      <c r="A530" s="1216"/>
      <c r="B530" s="1216"/>
      <c r="C530" s="1216"/>
      <c r="D530" s="1216"/>
      <c r="E530" s="1216"/>
      <c r="F530" s="1216"/>
      <c r="G530" s="1216"/>
      <c r="H530" s="1216"/>
      <c r="I530" s="1216"/>
      <c r="J530" s="1216"/>
      <c r="K530" s="1216"/>
      <c r="L530" s="1216"/>
      <c r="M530" s="1216"/>
      <c r="N530" s="1216"/>
      <c r="O530" s="1216"/>
      <c r="P530" s="1216"/>
      <c r="Q530" s="1216"/>
      <c r="R530" s="1216"/>
      <c r="S530" s="1216"/>
    </row>
    <row r="531" spans="1:19">
      <c r="A531" s="1216"/>
      <c r="B531" s="1216"/>
      <c r="C531" s="1216"/>
      <c r="D531" s="1216"/>
      <c r="E531" s="1216"/>
      <c r="F531" s="1216"/>
      <c r="G531" s="1216"/>
      <c r="H531" s="1216"/>
      <c r="I531" s="1216"/>
      <c r="J531" s="1216"/>
      <c r="K531" s="1216"/>
      <c r="L531" s="1216"/>
      <c r="M531" s="1216"/>
      <c r="N531" s="1216"/>
      <c r="O531" s="1216"/>
      <c r="P531" s="1216"/>
      <c r="Q531" s="1216"/>
      <c r="R531" s="1216"/>
      <c r="S531" s="1216"/>
    </row>
    <row r="532" spans="1:19">
      <c r="A532" s="1287" t="s">
        <v>4645</v>
      </c>
      <c r="B532" s="1216"/>
      <c r="C532" s="1216"/>
      <c r="D532" s="1216"/>
      <c r="E532" s="1216"/>
      <c r="F532" s="1216"/>
      <c r="G532" s="1216"/>
      <c r="H532" s="1216"/>
      <c r="I532" s="1216"/>
      <c r="J532" s="1216"/>
      <c r="K532" s="1216"/>
      <c r="L532" s="1216"/>
      <c r="M532" s="1216"/>
      <c r="N532" s="1216"/>
      <c r="O532" s="1216"/>
      <c r="P532" s="1216"/>
      <c r="Q532" s="1216"/>
      <c r="R532" s="1216"/>
      <c r="S532" s="1216"/>
    </row>
    <row r="533" spans="1:19">
      <c r="A533" s="1216"/>
      <c r="B533" s="1216"/>
      <c r="C533" s="1216"/>
      <c r="D533" s="1216"/>
      <c r="E533" s="1216"/>
      <c r="F533" s="1216"/>
      <c r="G533" s="1216"/>
      <c r="H533" s="1216"/>
      <c r="I533" s="1216"/>
      <c r="J533" s="1216"/>
      <c r="K533" s="1216"/>
      <c r="L533" s="1216"/>
      <c r="M533" s="1216"/>
      <c r="N533" s="1216"/>
      <c r="O533" s="1216"/>
      <c r="P533" s="1216"/>
      <c r="Q533" s="1216"/>
      <c r="R533" s="1216"/>
      <c r="S533" s="1216"/>
    </row>
    <row r="534" spans="1:19">
      <c r="A534" s="1216"/>
      <c r="B534" s="1216"/>
      <c r="C534" s="1216"/>
      <c r="D534" s="1216"/>
      <c r="E534" s="1216"/>
      <c r="F534" s="1216"/>
      <c r="G534" s="1216"/>
      <c r="H534" s="1216"/>
      <c r="I534" s="1216"/>
      <c r="J534" s="1216"/>
      <c r="K534" s="1216"/>
      <c r="L534" s="1216"/>
      <c r="M534" s="1216"/>
      <c r="N534" s="1216"/>
      <c r="O534" s="1216"/>
      <c r="P534" s="1216"/>
      <c r="Q534" s="1216"/>
      <c r="R534" s="1216"/>
      <c r="S534" s="1216"/>
    </row>
    <row r="535" spans="1:19">
      <c r="A535" s="1216"/>
      <c r="B535" s="1216"/>
      <c r="C535" s="1216"/>
      <c r="D535" s="1216"/>
      <c r="E535" s="1216"/>
      <c r="F535" s="1216"/>
      <c r="G535" s="1216"/>
      <c r="H535" s="1216"/>
      <c r="I535" s="1216"/>
      <c r="J535" s="1216"/>
      <c r="K535" s="1216"/>
      <c r="L535" s="1216"/>
      <c r="M535" s="1216"/>
      <c r="N535" s="1216"/>
      <c r="O535" s="1216"/>
      <c r="P535" s="1216"/>
      <c r="Q535" s="1216"/>
      <c r="R535" s="1216"/>
      <c r="S535" s="1216"/>
    </row>
    <row r="536" spans="1:19">
      <c r="A536" s="1216"/>
      <c r="B536" s="1216"/>
      <c r="C536" s="1216"/>
      <c r="D536" s="1216"/>
      <c r="E536" s="1216"/>
      <c r="F536" s="1216"/>
      <c r="G536" s="1216"/>
      <c r="H536" s="1216"/>
      <c r="I536" s="1216"/>
      <c r="J536" s="1216"/>
      <c r="K536" s="1216"/>
      <c r="L536" s="1216"/>
      <c r="M536" s="1216"/>
      <c r="N536" s="1216"/>
      <c r="O536" s="1216"/>
      <c r="P536" s="1216"/>
      <c r="Q536" s="1216"/>
      <c r="R536" s="1216"/>
      <c r="S536" s="1216"/>
    </row>
    <row r="537" spans="1:19">
      <c r="A537" s="1216"/>
      <c r="B537" s="1216"/>
      <c r="C537" s="1216"/>
      <c r="D537" s="1216"/>
      <c r="E537" s="1216"/>
      <c r="F537" s="1216"/>
      <c r="G537" s="1216"/>
      <c r="H537" s="1216"/>
      <c r="I537" s="1216"/>
      <c r="J537" s="1216"/>
      <c r="K537" s="1216"/>
      <c r="L537" s="1216"/>
      <c r="M537" s="1216"/>
      <c r="N537" s="1216"/>
      <c r="O537" s="1216"/>
      <c r="P537" s="1216"/>
      <c r="Q537" s="1216"/>
      <c r="R537" s="1216"/>
      <c r="S537" s="1216"/>
    </row>
    <row r="538" spans="1:19">
      <c r="A538" s="1216"/>
      <c r="B538" s="1216"/>
      <c r="C538" s="1216"/>
      <c r="D538" s="1216"/>
      <c r="E538" s="1216"/>
      <c r="F538" s="1216"/>
      <c r="G538" s="1216"/>
      <c r="H538" s="1216"/>
      <c r="I538" s="1216"/>
      <c r="J538" s="1216"/>
      <c r="K538" s="1216"/>
      <c r="L538" s="1216"/>
      <c r="M538" s="1216"/>
      <c r="N538" s="1216"/>
      <c r="O538" s="1216"/>
      <c r="P538" s="1216"/>
      <c r="Q538" s="1216"/>
      <c r="R538" s="1216"/>
      <c r="S538" s="1216"/>
    </row>
    <row r="539" spans="1:19">
      <c r="A539" s="99"/>
      <c r="B539" s="99"/>
      <c r="C539" s="99"/>
      <c r="D539" s="99"/>
      <c r="E539" s="99"/>
      <c r="F539" s="99"/>
      <c r="G539" s="99"/>
      <c r="H539" s="99"/>
      <c r="I539" s="99"/>
      <c r="J539" s="99"/>
      <c r="K539" s="99"/>
      <c r="L539" s="99"/>
      <c r="M539" s="99"/>
      <c r="N539" s="99"/>
      <c r="O539" s="99"/>
      <c r="P539" s="99"/>
      <c r="Q539" s="99"/>
      <c r="R539" s="99"/>
      <c r="S539" s="99"/>
    </row>
    <row r="540" spans="1:19" ht="12.75" customHeight="1">
      <c r="A540" s="99"/>
      <c r="B540" s="1814" t="s">
        <v>4363</v>
      </c>
      <c r="C540" s="1815"/>
      <c r="D540" s="1816"/>
      <c r="E540" s="1812" t="s">
        <v>4369</v>
      </c>
      <c r="F540" s="1812"/>
      <c r="G540" s="1796" t="s">
        <v>4268</v>
      </c>
      <c r="H540" s="1777"/>
      <c r="I540" s="1777"/>
      <c r="J540" s="1777"/>
      <c r="K540" s="1777"/>
      <c r="L540" s="1777"/>
      <c r="M540" s="1796" t="s">
        <v>4283</v>
      </c>
      <c r="N540" s="1777"/>
      <c r="O540" s="1777"/>
      <c r="P540" s="1777"/>
      <c r="Q540" s="1777"/>
      <c r="R540" s="1859" t="s">
        <v>4270</v>
      </c>
      <c r="S540" s="1471"/>
    </row>
    <row r="541" spans="1:19">
      <c r="A541" s="99"/>
      <c r="B541" s="1817"/>
      <c r="C541" s="1818"/>
      <c r="D541" s="1819"/>
      <c r="E541" s="1812"/>
      <c r="F541" s="1812"/>
      <c r="G541" s="1777"/>
      <c r="H541" s="1777"/>
      <c r="I541" s="1777"/>
      <c r="J541" s="1777"/>
      <c r="K541" s="1777"/>
      <c r="L541" s="1777"/>
      <c r="M541" s="1777"/>
      <c r="N541" s="1777"/>
      <c r="O541" s="1777"/>
      <c r="P541" s="1777"/>
      <c r="Q541" s="1777"/>
      <c r="R541" s="1471"/>
      <c r="S541" s="1471"/>
    </row>
    <row r="542" spans="1:19">
      <c r="A542" s="99"/>
      <c r="B542" s="1817"/>
      <c r="C542" s="1818"/>
      <c r="D542" s="1819"/>
      <c r="E542" s="1812"/>
      <c r="F542" s="1812"/>
      <c r="G542" s="1777"/>
      <c r="H542" s="1777"/>
      <c r="I542" s="1777"/>
      <c r="J542" s="1777"/>
      <c r="K542" s="1777"/>
      <c r="L542" s="1777"/>
      <c r="M542" s="1777"/>
      <c r="N542" s="1777"/>
      <c r="O542" s="1777"/>
      <c r="P542" s="1777"/>
      <c r="Q542" s="1777"/>
      <c r="R542" s="1471"/>
      <c r="S542" s="1471"/>
    </row>
    <row r="543" spans="1:19">
      <c r="A543" s="99"/>
      <c r="B543" s="1820"/>
      <c r="C543" s="1821"/>
      <c r="D543" s="1822"/>
      <c r="E543" s="1812"/>
      <c r="F543" s="1812"/>
      <c r="G543" s="1777"/>
      <c r="H543" s="1777"/>
      <c r="I543" s="1777"/>
      <c r="J543" s="1777"/>
      <c r="K543" s="1777"/>
      <c r="L543" s="1777"/>
      <c r="M543" s="1777"/>
      <c r="N543" s="1777"/>
      <c r="O543" s="1777"/>
      <c r="P543" s="1777"/>
      <c r="Q543" s="1777"/>
      <c r="R543" s="1471"/>
      <c r="S543" s="1471"/>
    </row>
    <row r="544" spans="1:19" ht="12.75" customHeight="1">
      <c r="A544" s="99"/>
      <c r="B544" s="1810" t="s">
        <v>4370</v>
      </c>
      <c r="C544" s="1810"/>
      <c r="D544" s="1810"/>
      <c r="E544" s="1775"/>
      <c r="F544" s="1775"/>
      <c r="G544" s="1811">
        <v>730</v>
      </c>
      <c r="H544" s="1775"/>
      <c r="I544" s="1775"/>
      <c r="J544" s="1775"/>
      <c r="K544" s="1775"/>
      <c r="L544" s="1775"/>
      <c r="M544" s="1890" t="s">
        <v>4646</v>
      </c>
      <c r="N544" s="1891"/>
      <c r="O544" s="1891"/>
      <c r="P544" s="1891"/>
      <c r="Q544" s="1892"/>
      <c r="R544" s="1775">
        <v>615.67999999999995</v>
      </c>
      <c r="S544" s="1775"/>
    </row>
    <row r="545" spans="1:19">
      <c r="A545" s="99"/>
      <c r="B545" s="1810"/>
      <c r="C545" s="1810"/>
      <c r="D545" s="1810"/>
      <c r="E545" s="1775"/>
      <c r="F545" s="1775"/>
      <c r="G545" s="1775"/>
      <c r="H545" s="1775"/>
      <c r="I545" s="1775"/>
      <c r="J545" s="1775"/>
      <c r="K545" s="1775"/>
      <c r="L545" s="1775"/>
      <c r="M545" s="1893"/>
      <c r="N545" s="1894"/>
      <c r="O545" s="1894"/>
      <c r="P545" s="1894"/>
      <c r="Q545" s="1895"/>
      <c r="R545" s="1775"/>
      <c r="S545" s="1775"/>
    </row>
    <row r="546" spans="1:19">
      <c r="A546" s="99"/>
      <c r="B546" s="1810"/>
      <c r="C546" s="1810"/>
      <c r="D546" s="1810"/>
      <c r="E546" s="1775"/>
      <c r="F546" s="1775"/>
      <c r="G546" s="1775"/>
      <c r="H546" s="1775"/>
      <c r="I546" s="1775"/>
      <c r="J546" s="1775"/>
      <c r="K546" s="1775"/>
      <c r="L546" s="1775"/>
      <c r="M546" s="1893"/>
      <c r="N546" s="1894"/>
      <c r="O546" s="1894"/>
      <c r="P546" s="1894"/>
      <c r="Q546" s="1895"/>
      <c r="R546" s="1775"/>
      <c r="S546" s="1775"/>
    </row>
    <row r="547" spans="1:19">
      <c r="A547" s="99"/>
      <c r="B547" s="1810"/>
      <c r="C547" s="1810"/>
      <c r="D547" s="1810"/>
      <c r="E547" s="1775"/>
      <c r="F547" s="1775"/>
      <c r="G547" s="1775"/>
      <c r="H547" s="1775"/>
      <c r="I547" s="1775"/>
      <c r="J547" s="1775"/>
      <c r="K547" s="1775"/>
      <c r="L547" s="1775"/>
      <c r="M547" s="1896"/>
      <c r="N547" s="1897"/>
      <c r="O547" s="1897"/>
      <c r="P547" s="1897"/>
      <c r="Q547" s="1898"/>
      <c r="R547" s="1775"/>
      <c r="S547" s="1775"/>
    </row>
    <row r="548" spans="1:19" ht="12.75" customHeight="1">
      <c r="A548" s="99"/>
      <c r="B548" s="1801" t="s">
        <v>4371</v>
      </c>
      <c r="C548" s="1802"/>
      <c r="D548" s="1803"/>
      <c r="E548" s="1812">
        <v>115</v>
      </c>
      <c r="F548" s="1812"/>
      <c r="G548" s="1796" t="s">
        <v>4372</v>
      </c>
      <c r="H548" s="1775"/>
      <c r="I548" s="1775"/>
      <c r="J548" s="1775"/>
      <c r="K548" s="1775"/>
      <c r="L548" s="1775"/>
      <c r="M548" s="1841" t="s">
        <v>4273</v>
      </c>
      <c r="N548" s="1842"/>
      <c r="O548" s="1842"/>
      <c r="P548" s="1842"/>
      <c r="Q548" s="1843"/>
      <c r="R548" s="1775">
        <v>699.58</v>
      </c>
      <c r="S548" s="1775"/>
    </row>
    <row r="549" spans="1:19">
      <c r="A549" s="99"/>
      <c r="B549" s="1804"/>
      <c r="C549" s="1805"/>
      <c r="D549" s="1806"/>
      <c r="E549" s="1812"/>
      <c r="F549" s="1812"/>
      <c r="G549" s="1775"/>
      <c r="H549" s="1775"/>
      <c r="I549" s="1775"/>
      <c r="J549" s="1775"/>
      <c r="K549" s="1775"/>
      <c r="L549" s="1775"/>
      <c r="M549" s="1844"/>
      <c r="N549" s="1845"/>
      <c r="O549" s="1845"/>
      <c r="P549" s="1845"/>
      <c r="Q549" s="1846"/>
      <c r="R549" s="1775"/>
      <c r="S549" s="1775"/>
    </row>
    <row r="550" spans="1:19">
      <c r="A550" s="99"/>
      <c r="B550" s="1804"/>
      <c r="C550" s="1805"/>
      <c r="D550" s="1806"/>
      <c r="E550" s="1812"/>
      <c r="F550" s="1812"/>
      <c r="G550" s="1775"/>
      <c r="H550" s="1775"/>
      <c r="I550" s="1775"/>
      <c r="J550" s="1775"/>
      <c r="K550" s="1775"/>
      <c r="L550" s="1775"/>
      <c r="M550" s="1844"/>
      <c r="N550" s="1845"/>
      <c r="O550" s="1845"/>
      <c r="P550" s="1845"/>
      <c r="Q550" s="1846"/>
      <c r="R550" s="1775"/>
      <c r="S550" s="1775"/>
    </row>
    <row r="551" spans="1:19">
      <c r="A551" s="99"/>
      <c r="B551" s="1807"/>
      <c r="C551" s="1808"/>
      <c r="D551" s="1809"/>
      <c r="E551" s="1812"/>
      <c r="F551" s="1812"/>
      <c r="G551" s="1775"/>
      <c r="H551" s="1775"/>
      <c r="I551" s="1775"/>
      <c r="J551" s="1775"/>
      <c r="K551" s="1775"/>
      <c r="L551" s="1775"/>
      <c r="M551" s="1847"/>
      <c r="N551" s="1848"/>
      <c r="O551" s="1848"/>
      <c r="P551" s="1848"/>
      <c r="Q551" s="1849"/>
      <c r="R551" s="1775"/>
      <c r="S551" s="1775"/>
    </row>
    <row r="552" spans="1:19" ht="12.75" customHeight="1">
      <c r="A552" s="99"/>
      <c r="B552" s="1776" t="s">
        <v>4355</v>
      </c>
      <c r="C552" s="1776"/>
      <c r="D552" s="1776"/>
      <c r="E552" s="1800" t="s">
        <v>4373</v>
      </c>
      <c r="F552" s="1738"/>
      <c r="G552" s="1738"/>
      <c r="H552" s="1738"/>
      <c r="I552" s="1738"/>
      <c r="J552" s="1738"/>
      <c r="K552" s="1738"/>
      <c r="L552" s="1738"/>
      <c r="M552" s="1738"/>
      <c r="N552" s="1738"/>
      <c r="O552" s="1738"/>
      <c r="P552" s="1738"/>
      <c r="Q552" s="1738"/>
      <c r="R552" s="1775">
        <v>-83.9</v>
      </c>
      <c r="S552" s="1775"/>
    </row>
    <row r="553" spans="1:19">
      <c r="A553" s="99"/>
      <c r="B553" s="1776"/>
      <c r="C553" s="1776"/>
      <c r="D553" s="1776"/>
      <c r="E553" s="1738"/>
      <c r="F553" s="1738"/>
      <c r="G553" s="1738"/>
      <c r="H553" s="1738"/>
      <c r="I553" s="1738"/>
      <c r="J553" s="1738"/>
      <c r="K553" s="1738"/>
      <c r="L553" s="1738"/>
      <c r="M553" s="1738"/>
      <c r="N553" s="1738"/>
      <c r="O553" s="1738"/>
      <c r="P553" s="1738"/>
      <c r="Q553" s="1738"/>
      <c r="R553" s="1775"/>
      <c r="S553" s="1775"/>
    </row>
    <row r="554" spans="1:19">
      <c r="A554" s="99"/>
      <c r="B554" s="1776"/>
      <c r="C554" s="1776"/>
      <c r="D554" s="1776"/>
      <c r="E554" s="1738"/>
      <c r="F554" s="1738"/>
      <c r="G554" s="1738"/>
      <c r="H554" s="1738"/>
      <c r="I554" s="1738"/>
      <c r="J554" s="1738"/>
      <c r="K554" s="1738"/>
      <c r="L554" s="1738"/>
      <c r="M554" s="1738"/>
      <c r="N554" s="1738"/>
      <c r="O554" s="1738"/>
      <c r="P554" s="1738"/>
      <c r="Q554" s="1738"/>
      <c r="R554" s="1775"/>
      <c r="S554" s="1775"/>
    </row>
    <row r="555" spans="1:19">
      <c r="A555" s="99"/>
      <c r="B555" s="1801" t="s">
        <v>4374</v>
      </c>
      <c r="C555" s="1802"/>
      <c r="D555" s="1802"/>
      <c r="E555" s="1802"/>
      <c r="F555" s="1803"/>
      <c r="G555" s="1796" t="s">
        <v>4375</v>
      </c>
      <c r="H555" s="1796"/>
      <c r="I555" s="1796"/>
      <c r="J555" s="1796"/>
      <c r="K555" s="1796"/>
      <c r="L555" s="1796"/>
      <c r="M555" s="1832" t="s">
        <v>4376</v>
      </c>
      <c r="N555" s="1833"/>
      <c r="O555" s="1833"/>
      <c r="P555" s="1833"/>
      <c r="Q555" s="1834"/>
      <c r="R555" s="1775">
        <v>83.9</v>
      </c>
      <c r="S555" s="1775"/>
    </row>
    <row r="556" spans="1:19">
      <c r="A556" s="99"/>
      <c r="B556" s="1804"/>
      <c r="C556" s="1805"/>
      <c r="D556" s="1805"/>
      <c r="E556" s="1805"/>
      <c r="F556" s="1806"/>
      <c r="G556" s="1796"/>
      <c r="H556" s="1796"/>
      <c r="I556" s="1796"/>
      <c r="J556" s="1796"/>
      <c r="K556" s="1796"/>
      <c r="L556" s="1796"/>
      <c r="M556" s="1835"/>
      <c r="N556" s="1836"/>
      <c r="O556" s="1836"/>
      <c r="P556" s="1836"/>
      <c r="Q556" s="1837"/>
      <c r="R556" s="1775"/>
      <c r="S556" s="1775"/>
    </row>
    <row r="557" spans="1:19">
      <c r="A557" s="99"/>
      <c r="B557" s="1804"/>
      <c r="C557" s="1805"/>
      <c r="D557" s="1805"/>
      <c r="E557" s="1805"/>
      <c r="F557" s="1806"/>
      <c r="G557" s="1796" t="s">
        <v>4545</v>
      </c>
      <c r="H557" s="1796"/>
      <c r="I557" s="1796"/>
      <c r="J557" s="1796"/>
      <c r="K557" s="1796"/>
      <c r="L557" s="1796"/>
      <c r="M557" s="1811" t="s">
        <v>4377</v>
      </c>
      <c r="N557" s="1811"/>
      <c r="O557" s="1811"/>
      <c r="P557" s="1811"/>
      <c r="Q557" s="1811"/>
      <c r="R557" s="1775"/>
      <c r="S557" s="1775"/>
    </row>
    <row r="558" spans="1:19">
      <c r="A558" s="99"/>
      <c r="B558" s="1807"/>
      <c r="C558" s="1808"/>
      <c r="D558" s="1808"/>
      <c r="E558" s="1808"/>
      <c r="F558" s="1809"/>
      <c r="G558" s="1796"/>
      <c r="H558" s="1796"/>
      <c r="I558" s="1796"/>
      <c r="J558" s="1796"/>
      <c r="K558" s="1796"/>
      <c r="L558" s="1796"/>
      <c r="M558" s="1811"/>
      <c r="N558" s="1811"/>
      <c r="O558" s="1811"/>
      <c r="P558" s="1811"/>
      <c r="Q558" s="1811"/>
      <c r="R558" s="1775"/>
      <c r="S558" s="1775"/>
    </row>
    <row r="559" spans="1:19">
      <c r="A559" s="99"/>
      <c r="B559" s="99"/>
      <c r="C559" s="99"/>
      <c r="D559" s="99"/>
      <c r="E559" s="99"/>
      <c r="F559" s="99"/>
      <c r="G559" s="99"/>
      <c r="H559" s="99"/>
      <c r="I559" s="99"/>
      <c r="J559" s="99"/>
      <c r="K559" s="99"/>
      <c r="L559" s="99"/>
      <c r="M559" s="99"/>
      <c r="N559" s="99"/>
      <c r="O559" s="99"/>
      <c r="P559" s="99"/>
      <c r="Q559" s="99"/>
      <c r="R559" s="99"/>
      <c r="S559" s="99"/>
    </row>
    <row r="560" spans="1:19">
      <c r="A560" s="1287" t="s">
        <v>4647</v>
      </c>
      <c r="B560" s="1216"/>
      <c r="C560" s="1216"/>
      <c r="D560" s="1216"/>
      <c r="E560" s="1216"/>
      <c r="F560" s="1216"/>
      <c r="G560" s="1216"/>
      <c r="H560" s="1216"/>
      <c r="I560" s="1216"/>
      <c r="J560" s="1216"/>
      <c r="K560" s="1216"/>
      <c r="L560" s="1216"/>
      <c r="M560" s="1216"/>
      <c r="N560" s="1216"/>
      <c r="O560" s="1216"/>
      <c r="P560" s="1216"/>
      <c r="Q560" s="1216"/>
      <c r="R560" s="1216"/>
      <c r="S560" s="1216"/>
    </row>
    <row r="561" spans="1:19">
      <c r="A561" s="1216"/>
      <c r="B561" s="1216"/>
      <c r="C561" s="1216"/>
      <c r="D561" s="1216"/>
      <c r="E561" s="1216"/>
      <c r="F561" s="1216"/>
      <c r="G561" s="1216"/>
      <c r="H561" s="1216"/>
      <c r="I561" s="1216"/>
      <c r="J561" s="1216"/>
      <c r="K561" s="1216"/>
      <c r="L561" s="1216"/>
      <c r="M561" s="1216"/>
      <c r="N561" s="1216"/>
      <c r="O561" s="1216"/>
      <c r="P561" s="1216"/>
      <c r="Q561" s="1216"/>
      <c r="R561" s="1216"/>
      <c r="S561" s="1216"/>
    </row>
    <row r="562" spans="1:19">
      <c r="A562" s="1216"/>
      <c r="B562" s="1216"/>
      <c r="C562" s="1216"/>
      <c r="D562" s="1216"/>
      <c r="E562" s="1216"/>
      <c r="F562" s="1216"/>
      <c r="G562" s="1216"/>
      <c r="H562" s="1216"/>
      <c r="I562" s="1216"/>
      <c r="J562" s="1216"/>
      <c r="K562" s="1216"/>
      <c r="L562" s="1216"/>
      <c r="M562" s="1216"/>
      <c r="N562" s="1216"/>
      <c r="O562" s="1216"/>
      <c r="P562" s="1216"/>
      <c r="Q562" s="1216"/>
      <c r="R562" s="1216"/>
      <c r="S562" s="1216"/>
    </row>
    <row r="563" spans="1:19">
      <c r="A563" s="1216"/>
      <c r="B563" s="1216"/>
      <c r="C563" s="1216"/>
      <c r="D563" s="1216"/>
      <c r="E563" s="1216"/>
      <c r="F563" s="1216"/>
      <c r="G563" s="1216"/>
      <c r="H563" s="1216"/>
      <c r="I563" s="1216"/>
      <c r="J563" s="1216"/>
      <c r="K563" s="1216"/>
      <c r="L563" s="1216"/>
      <c r="M563" s="1216"/>
      <c r="N563" s="1216"/>
      <c r="O563" s="1216"/>
      <c r="P563" s="1216"/>
      <c r="Q563" s="1216"/>
      <c r="R563" s="1216"/>
      <c r="S563" s="1216"/>
    </row>
    <row r="564" spans="1:19">
      <c r="A564" s="1216"/>
      <c r="B564" s="1216"/>
      <c r="C564" s="1216"/>
      <c r="D564" s="1216"/>
      <c r="E564" s="1216"/>
      <c r="F564" s="1216"/>
      <c r="G564" s="1216"/>
      <c r="H564" s="1216"/>
      <c r="I564" s="1216"/>
      <c r="J564" s="1216"/>
      <c r="K564" s="1216"/>
      <c r="L564" s="1216"/>
      <c r="M564" s="1216"/>
      <c r="N564" s="1216"/>
      <c r="O564" s="1216"/>
      <c r="P564" s="1216"/>
      <c r="Q564" s="1216"/>
      <c r="R564" s="1216"/>
      <c r="S564" s="1216"/>
    </row>
    <row r="565" spans="1:19">
      <c r="A565" s="1216"/>
      <c r="B565" s="1216"/>
      <c r="C565" s="1216"/>
      <c r="D565" s="1216"/>
      <c r="E565" s="1216"/>
      <c r="F565" s="1216"/>
      <c r="G565" s="1216"/>
      <c r="H565" s="1216"/>
      <c r="I565" s="1216"/>
      <c r="J565" s="1216"/>
      <c r="K565" s="1216"/>
      <c r="L565" s="1216"/>
      <c r="M565" s="1216"/>
      <c r="N565" s="1216"/>
      <c r="O565" s="1216"/>
      <c r="P565" s="1216"/>
      <c r="Q565" s="1216"/>
      <c r="R565" s="1216"/>
      <c r="S565" s="1216"/>
    </row>
    <row r="566" spans="1:19">
      <c r="A566" s="1216"/>
      <c r="B566" s="1216"/>
      <c r="C566" s="1216"/>
      <c r="D566" s="1216"/>
      <c r="E566" s="1216"/>
      <c r="F566" s="1216"/>
      <c r="G566" s="1216"/>
      <c r="H566" s="1216"/>
      <c r="I566" s="1216"/>
      <c r="J566" s="1216"/>
      <c r="K566" s="1216"/>
      <c r="L566" s="1216"/>
      <c r="M566" s="1216"/>
      <c r="N566" s="1216"/>
      <c r="O566" s="1216"/>
      <c r="P566" s="1216"/>
      <c r="Q566" s="1216"/>
      <c r="R566" s="1216"/>
      <c r="S566" s="1216"/>
    </row>
    <row r="567" spans="1:19">
      <c r="A567" s="1216"/>
      <c r="B567" s="1216"/>
      <c r="C567" s="1216"/>
      <c r="D567" s="1216"/>
      <c r="E567" s="1216"/>
      <c r="F567" s="1216"/>
      <c r="G567" s="1216"/>
      <c r="H567" s="1216"/>
      <c r="I567" s="1216"/>
      <c r="J567" s="1216"/>
      <c r="K567" s="1216"/>
      <c r="L567" s="1216"/>
      <c r="M567" s="1216"/>
      <c r="N567" s="1216"/>
      <c r="O567" s="1216"/>
      <c r="P567" s="1216"/>
      <c r="Q567" s="1216"/>
      <c r="R567" s="1216"/>
      <c r="S567" s="1216"/>
    </row>
    <row r="568" spans="1:19" ht="15" customHeight="1">
      <c r="A568" s="1287" t="s">
        <v>4653</v>
      </c>
      <c r="B568" s="1216"/>
      <c r="C568" s="1216"/>
      <c r="D568" s="1216"/>
      <c r="E568" s="1216"/>
      <c r="F568" s="1216"/>
      <c r="G568" s="1216"/>
      <c r="H568" s="1216"/>
      <c r="I568" s="1216"/>
      <c r="J568" s="1216"/>
      <c r="K568" s="1216"/>
      <c r="L568" s="1216"/>
      <c r="M568" s="1216"/>
      <c r="N568" s="1216"/>
      <c r="O568" s="1216"/>
      <c r="P568" s="1216"/>
      <c r="Q568" s="1216"/>
      <c r="R568" s="1216"/>
      <c r="S568" s="1216"/>
    </row>
    <row r="569" spans="1:19">
      <c r="A569" s="1216"/>
      <c r="B569" s="1216"/>
      <c r="C569" s="1216"/>
      <c r="D569" s="1216"/>
      <c r="E569" s="1216"/>
      <c r="F569" s="1216"/>
      <c r="G569" s="1216"/>
      <c r="H569" s="1216"/>
      <c r="I569" s="1216"/>
      <c r="J569" s="1216"/>
      <c r="K569" s="1216"/>
      <c r="L569" s="1216"/>
      <c r="M569" s="1216"/>
      <c r="N569" s="1216"/>
      <c r="O569" s="1216"/>
      <c r="P569" s="1216"/>
      <c r="Q569" s="1216"/>
      <c r="R569" s="1216"/>
      <c r="S569" s="1216"/>
    </row>
    <row r="570" spans="1:19" ht="12.75" customHeight="1">
      <c r="A570" s="1216"/>
      <c r="B570" s="1216"/>
      <c r="C570" s="1216"/>
      <c r="D570" s="1216"/>
      <c r="E570" s="1216"/>
      <c r="F570" s="1216"/>
      <c r="G570" s="1216"/>
      <c r="H570" s="1216"/>
      <c r="I570" s="1216"/>
      <c r="J570" s="1216"/>
      <c r="K570" s="1216"/>
      <c r="L570" s="1216"/>
      <c r="M570" s="1216"/>
      <c r="N570" s="1216"/>
      <c r="O570" s="1216"/>
      <c r="P570" s="1216"/>
      <c r="Q570" s="1216"/>
      <c r="R570" s="1216"/>
      <c r="S570" s="1216"/>
    </row>
    <row r="571" spans="1:19">
      <c r="A571" s="1216"/>
      <c r="B571" s="1216"/>
      <c r="C571" s="1216"/>
      <c r="D571" s="1216"/>
      <c r="E571" s="1216"/>
      <c r="F571" s="1216"/>
      <c r="G571" s="1216"/>
      <c r="H571" s="1216"/>
      <c r="I571" s="1216"/>
      <c r="J571" s="1216"/>
      <c r="K571" s="1216"/>
      <c r="L571" s="1216"/>
      <c r="M571" s="1216"/>
      <c r="N571" s="1216"/>
      <c r="O571" s="1216"/>
      <c r="P571" s="1216"/>
      <c r="Q571" s="1216"/>
      <c r="R571" s="1216"/>
      <c r="S571" s="1216"/>
    </row>
    <row r="572" spans="1:19">
      <c r="A572" s="1216"/>
      <c r="B572" s="1216"/>
      <c r="C572" s="1216"/>
      <c r="D572" s="1216"/>
      <c r="E572" s="1216"/>
      <c r="F572" s="1216"/>
      <c r="G572" s="1216"/>
      <c r="H572" s="1216"/>
      <c r="I572" s="1216"/>
      <c r="J572" s="1216"/>
      <c r="K572" s="1216"/>
      <c r="L572" s="1216"/>
      <c r="M572" s="1216"/>
      <c r="N572" s="1216"/>
      <c r="O572" s="1216"/>
      <c r="P572" s="1216"/>
      <c r="Q572" s="1216"/>
      <c r="R572" s="1216"/>
      <c r="S572" s="1216"/>
    </row>
    <row r="573" spans="1:19">
      <c r="A573" s="1216"/>
      <c r="B573" s="1216"/>
      <c r="C573" s="1216"/>
      <c r="D573" s="1216"/>
      <c r="E573" s="1216"/>
      <c r="F573" s="1216"/>
      <c r="G573" s="1216"/>
      <c r="H573" s="1216"/>
      <c r="I573" s="1216"/>
      <c r="J573" s="1216"/>
      <c r="K573" s="1216"/>
      <c r="L573" s="1216"/>
      <c r="M573" s="1216"/>
      <c r="N573" s="1216"/>
      <c r="O573" s="1216"/>
      <c r="P573" s="1216"/>
      <c r="Q573" s="1216"/>
      <c r="R573" s="1216"/>
      <c r="S573" s="1216"/>
    </row>
    <row r="574" spans="1:19">
      <c r="A574" s="1216"/>
      <c r="B574" s="1216"/>
      <c r="C574" s="1216"/>
      <c r="D574" s="1216"/>
      <c r="E574" s="1216"/>
      <c r="F574" s="1216"/>
      <c r="G574" s="1216"/>
      <c r="H574" s="1216"/>
      <c r="I574" s="1216"/>
      <c r="J574" s="1216"/>
      <c r="K574" s="1216"/>
      <c r="L574" s="1216"/>
      <c r="M574" s="1216"/>
      <c r="N574" s="1216"/>
      <c r="O574" s="1216"/>
      <c r="P574" s="1216"/>
      <c r="Q574" s="1216"/>
      <c r="R574" s="1216"/>
      <c r="S574" s="1216"/>
    </row>
    <row r="575" spans="1:19">
      <c r="A575" s="99"/>
      <c r="B575" s="99"/>
      <c r="C575" s="99"/>
      <c r="D575" s="99"/>
      <c r="E575" s="99"/>
      <c r="F575" s="99"/>
      <c r="G575" s="99"/>
      <c r="H575" s="99"/>
      <c r="I575" s="99"/>
      <c r="J575" s="99"/>
      <c r="K575" s="99"/>
      <c r="L575" s="99"/>
      <c r="M575" s="99"/>
      <c r="N575" s="99"/>
      <c r="O575" s="99"/>
      <c r="P575" s="99"/>
      <c r="Q575" s="99"/>
      <c r="R575" s="99"/>
      <c r="S575" s="99"/>
    </row>
    <row r="576" spans="1:19" ht="12.75" customHeight="1">
      <c r="A576" s="99"/>
      <c r="B576" s="1814" t="s">
        <v>4378</v>
      </c>
      <c r="C576" s="1815"/>
      <c r="D576" s="1816"/>
      <c r="E576" s="1812" t="s">
        <v>4379</v>
      </c>
      <c r="F576" s="1812"/>
      <c r="G576" s="1796" t="s">
        <v>4268</v>
      </c>
      <c r="H576" s="1777"/>
      <c r="I576" s="1777"/>
      <c r="J576" s="1777"/>
      <c r="K576" s="1777"/>
      <c r="L576" s="1777"/>
      <c r="M576" s="1796" t="s">
        <v>4283</v>
      </c>
      <c r="N576" s="1777"/>
      <c r="O576" s="1777"/>
      <c r="P576" s="1777"/>
      <c r="Q576" s="1777"/>
      <c r="R576" s="1859" t="s">
        <v>4270</v>
      </c>
      <c r="S576" s="1471"/>
    </row>
    <row r="577" spans="1:19" ht="12.75" customHeight="1">
      <c r="A577" s="99"/>
      <c r="B577" s="1817"/>
      <c r="C577" s="1818"/>
      <c r="D577" s="1819"/>
      <c r="E577" s="1812"/>
      <c r="F577" s="1812"/>
      <c r="G577" s="1777"/>
      <c r="H577" s="1777"/>
      <c r="I577" s="1777"/>
      <c r="J577" s="1777"/>
      <c r="K577" s="1777"/>
      <c r="L577" s="1777"/>
      <c r="M577" s="1777"/>
      <c r="N577" s="1777"/>
      <c r="O577" s="1777"/>
      <c r="P577" s="1777"/>
      <c r="Q577" s="1777"/>
      <c r="R577" s="1471"/>
      <c r="S577" s="1471"/>
    </row>
    <row r="578" spans="1:19" ht="12.75" customHeight="1">
      <c r="A578" s="99"/>
      <c r="B578" s="1817"/>
      <c r="C578" s="1818"/>
      <c r="D578" s="1819"/>
      <c r="E578" s="1812"/>
      <c r="F578" s="1812"/>
      <c r="G578" s="1777"/>
      <c r="H578" s="1777"/>
      <c r="I578" s="1777"/>
      <c r="J578" s="1777"/>
      <c r="K578" s="1777"/>
      <c r="L578" s="1777"/>
      <c r="M578" s="1777"/>
      <c r="N578" s="1777"/>
      <c r="O578" s="1777"/>
      <c r="P578" s="1777"/>
      <c r="Q578" s="1777"/>
      <c r="R578" s="1471"/>
      <c r="S578" s="1471"/>
    </row>
    <row r="579" spans="1:19" ht="12.75" customHeight="1">
      <c r="A579" s="99"/>
      <c r="B579" s="1820"/>
      <c r="C579" s="1821"/>
      <c r="D579" s="1822"/>
      <c r="E579" s="1812"/>
      <c r="F579" s="1812"/>
      <c r="G579" s="1777"/>
      <c r="H579" s="1777"/>
      <c r="I579" s="1777"/>
      <c r="J579" s="1777"/>
      <c r="K579" s="1777"/>
      <c r="L579" s="1777"/>
      <c r="M579" s="1777"/>
      <c r="N579" s="1777"/>
      <c r="O579" s="1777"/>
      <c r="P579" s="1777"/>
      <c r="Q579" s="1777"/>
      <c r="R579" s="1471"/>
      <c r="S579" s="1471"/>
    </row>
    <row r="580" spans="1:19" ht="12.75" customHeight="1">
      <c r="A580" s="99"/>
      <c r="B580" s="1810" t="s">
        <v>4370</v>
      </c>
      <c r="C580" s="1810"/>
      <c r="D580" s="1810"/>
      <c r="E580" s="1775"/>
      <c r="F580" s="1775"/>
      <c r="G580" s="1811">
        <v>3000</v>
      </c>
      <c r="H580" s="1775"/>
      <c r="I580" s="1775"/>
      <c r="J580" s="1775"/>
      <c r="K580" s="1775"/>
      <c r="L580" s="1775"/>
      <c r="M580" s="1890" t="s">
        <v>4380</v>
      </c>
      <c r="N580" s="1891"/>
      <c r="O580" s="1891"/>
      <c r="P580" s="1891"/>
      <c r="Q580" s="1892"/>
      <c r="R580" s="1775">
        <v>2530.1999999999998</v>
      </c>
      <c r="S580" s="1775"/>
    </row>
    <row r="581" spans="1:19" ht="12.75" customHeight="1">
      <c r="A581" s="99"/>
      <c r="B581" s="1810"/>
      <c r="C581" s="1810"/>
      <c r="D581" s="1810"/>
      <c r="E581" s="1775"/>
      <c r="F581" s="1775"/>
      <c r="G581" s="1775"/>
      <c r="H581" s="1775"/>
      <c r="I581" s="1775"/>
      <c r="J581" s="1775"/>
      <c r="K581" s="1775"/>
      <c r="L581" s="1775"/>
      <c r="M581" s="1893"/>
      <c r="N581" s="1894"/>
      <c r="O581" s="1894"/>
      <c r="P581" s="1894"/>
      <c r="Q581" s="1895"/>
      <c r="R581" s="1775"/>
      <c r="S581" s="1775"/>
    </row>
    <row r="582" spans="1:19" ht="12.75" customHeight="1">
      <c r="A582" s="99"/>
      <c r="B582" s="1810"/>
      <c r="C582" s="1810"/>
      <c r="D582" s="1810"/>
      <c r="E582" s="1775"/>
      <c r="F582" s="1775"/>
      <c r="G582" s="1775"/>
      <c r="H582" s="1775"/>
      <c r="I582" s="1775"/>
      <c r="J582" s="1775"/>
      <c r="K582" s="1775"/>
      <c r="L582" s="1775"/>
      <c r="M582" s="1890" t="s">
        <v>4381</v>
      </c>
      <c r="N582" s="1891"/>
      <c r="O582" s="1891"/>
      <c r="P582" s="1891"/>
      <c r="Q582" s="1892"/>
      <c r="R582" s="1775"/>
      <c r="S582" s="1775"/>
    </row>
    <row r="583" spans="1:19" ht="12.75" customHeight="1">
      <c r="A583" s="99"/>
      <c r="B583" s="1810"/>
      <c r="C583" s="1810"/>
      <c r="D583" s="1810"/>
      <c r="E583" s="1775"/>
      <c r="F583" s="1775"/>
      <c r="G583" s="1775"/>
      <c r="H583" s="1775"/>
      <c r="I583" s="1775"/>
      <c r="J583" s="1775"/>
      <c r="K583" s="1775"/>
      <c r="L583" s="1775"/>
      <c r="M583" s="1893"/>
      <c r="N583" s="1894"/>
      <c r="O583" s="1894"/>
      <c r="P583" s="1894"/>
      <c r="Q583" s="1895"/>
      <c r="R583" s="1775"/>
      <c r="S583" s="1775"/>
    </row>
    <row r="584" spans="1:19" ht="12.75" customHeight="1">
      <c r="A584" s="99"/>
      <c r="B584" s="1801" t="s">
        <v>4382</v>
      </c>
      <c r="C584" s="1802"/>
      <c r="D584" s="1803"/>
      <c r="E584" s="1812">
        <v>67</v>
      </c>
      <c r="F584" s="1812"/>
      <c r="G584" s="1796" t="s">
        <v>4383</v>
      </c>
      <c r="H584" s="1775"/>
      <c r="I584" s="1775"/>
      <c r="J584" s="1775"/>
      <c r="K584" s="1775"/>
      <c r="L584" s="1775"/>
      <c r="M584" s="1890"/>
      <c r="N584" s="1891"/>
      <c r="O584" s="1891"/>
      <c r="P584" s="1891"/>
      <c r="Q584" s="1892"/>
      <c r="R584" s="1775">
        <v>407.58</v>
      </c>
      <c r="S584" s="1775"/>
    </row>
    <row r="585" spans="1:19">
      <c r="A585" s="99"/>
      <c r="B585" s="1804"/>
      <c r="C585" s="1805"/>
      <c r="D585" s="1806"/>
      <c r="E585" s="1812"/>
      <c r="F585" s="1812"/>
      <c r="G585" s="1775"/>
      <c r="H585" s="1775"/>
      <c r="I585" s="1775"/>
      <c r="J585" s="1775"/>
      <c r="K585" s="1775"/>
      <c r="L585" s="1775"/>
      <c r="M585" s="1893"/>
      <c r="N585" s="1894"/>
      <c r="O585" s="1894"/>
      <c r="P585" s="1894"/>
      <c r="Q585" s="1895"/>
      <c r="R585" s="1775"/>
      <c r="S585" s="1775"/>
    </row>
    <row r="586" spans="1:19">
      <c r="A586" s="99"/>
      <c r="B586" s="1804"/>
      <c r="C586" s="1805"/>
      <c r="D586" s="1806"/>
      <c r="E586" s="1812"/>
      <c r="F586" s="1812"/>
      <c r="G586" s="1775"/>
      <c r="H586" s="1775"/>
      <c r="I586" s="1775"/>
      <c r="J586" s="1775"/>
      <c r="K586" s="1775"/>
      <c r="L586" s="1775"/>
      <c r="M586" s="1890" t="s">
        <v>4384</v>
      </c>
      <c r="N586" s="1891"/>
      <c r="O586" s="1891"/>
      <c r="P586" s="1891"/>
      <c r="Q586" s="1892"/>
      <c r="R586" s="1775"/>
      <c r="S586" s="1775"/>
    </row>
    <row r="587" spans="1:19">
      <c r="A587" s="99"/>
      <c r="B587" s="1807"/>
      <c r="C587" s="1808"/>
      <c r="D587" s="1809"/>
      <c r="E587" s="1812"/>
      <c r="F587" s="1812"/>
      <c r="G587" s="1775"/>
      <c r="H587" s="1775"/>
      <c r="I587" s="1775"/>
      <c r="J587" s="1775"/>
      <c r="K587" s="1775"/>
      <c r="L587" s="1775"/>
      <c r="M587" s="1893"/>
      <c r="N587" s="1894"/>
      <c r="O587" s="1894"/>
      <c r="P587" s="1894"/>
      <c r="Q587" s="1895"/>
      <c r="R587" s="1775"/>
      <c r="S587" s="1775"/>
    </row>
    <row r="588" spans="1:19" ht="12.75" customHeight="1">
      <c r="A588" s="99"/>
      <c r="B588" s="1776" t="s">
        <v>4355</v>
      </c>
      <c r="C588" s="1776"/>
      <c r="D588" s="1776"/>
      <c r="E588" s="1800" t="s">
        <v>4385</v>
      </c>
      <c r="F588" s="1738"/>
      <c r="G588" s="1738"/>
      <c r="H588" s="1738"/>
      <c r="I588" s="1738"/>
      <c r="J588" s="1738"/>
      <c r="K588" s="1738"/>
      <c r="L588" s="1738"/>
      <c r="M588" s="1738"/>
      <c r="N588" s="1738"/>
      <c r="O588" s="1738"/>
      <c r="P588" s="1738"/>
      <c r="Q588" s="1738"/>
      <c r="R588" s="1775">
        <v>2122.62</v>
      </c>
      <c r="S588" s="1775"/>
    </row>
    <row r="589" spans="1:19">
      <c r="A589" s="99"/>
      <c r="B589" s="1776"/>
      <c r="C589" s="1776"/>
      <c r="D589" s="1776"/>
      <c r="E589" s="1738"/>
      <c r="F589" s="1738"/>
      <c r="G589" s="1738"/>
      <c r="H589" s="1738"/>
      <c r="I589" s="1738"/>
      <c r="J589" s="1738"/>
      <c r="K589" s="1738"/>
      <c r="L589" s="1738"/>
      <c r="M589" s="1738"/>
      <c r="N589" s="1738"/>
      <c r="O589" s="1738"/>
      <c r="P589" s="1738"/>
      <c r="Q589" s="1738"/>
      <c r="R589" s="1775"/>
      <c r="S589" s="1775"/>
    </row>
    <row r="590" spans="1:19">
      <c r="A590" s="99"/>
      <c r="B590" s="1776"/>
      <c r="C590" s="1776"/>
      <c r="D590" s="1776"/>
      <c r="E590" s="1738"/>
      <c r="F590" s="1738"/>
      <c r="G590" s="1738"/>
      <c r="H590" s="1738"/>
      <c r="I590" s="1738"/>
      <c r="J590" s="1738"/>
      <c r="K590" s="1738"/>
      <c r="L590" s="1738"/>
      <c r="M590" s="1738"/>
      <c r="N590" s="1738"/>
      <c r="O590" s="1738"/>
      <c r="P590" s="1738"/>
      <c r="Q590" s="1738"/>
      <c r="R590" s="1775"/>
      <c r="S590" s="1775"/>
    </row>
    <row r="591" spans="1:19">
      <c r="A591" s="99"/>
      <c r="B591" s="99"/>
      <c r="C591" s="99"/>
      <c r="D591" s="99"/>
      <c r="E591" s="99"/>
      <c r="F591" s="99"/>
      <c r="G591" s="99"/>
      <c r="H591" s="99"/>
      <c r="I591" s="99"/>
      <c r="J591" s="99"/>
      <c r="K591" s="99"/>
      <c r="L591" s="99"/>
      <c r="M591" s="99"/>
      <c r="N591" s="99"/>
      <c r="O591" s="99"/>
      <c r="P591" s="99"/>
      <c r="Q591" s="99"/>
      <c r="R591" s="99"/>
      <c r="S591" s="99"/>
    </row>
    <row r="592" spans="1:19" ht="12.75" customHeight="1">
      <c r="A592" s="1287" t="s">
        <v>4655</v>
      </c>
      <c r="B592" s="1216"/>
      <c r="C592" s="1216"/>
      <c r="D592" s="1216"/>
      <c r="E592" s="1216"/>
      <c r="F592" s="1216"/>
      <c r="G592" s="1216"/>
      <c r="H592" s="1216"/>
      <c r="I592" s="1216"/>
      <c r="J592" s="1216"/>
      <c r="K592" s="1216"/>
      <c r="L592" s="1216"/>
      <c r="M592" s="1216"/>
      <c r="N592" s="1216"/>
      <c r="O592" s="1216"/>
      <c r="P592" s="1216"/>
      <c r="Q592" s="1216"/>
      <c r="R592" s="1216"/>
      <c r="S592" s="1216"/>
    </row>
    <row r="593" spans="1:19">
      <c r="A593" s="1216"/>
      <c r="B593" s="1216"/>
      <c r="C593" s="1216"/>
      <c r="D593" s="1216"/>
      <c r="E593" s="1216"/>
      <c r="F593" s="1216"/>
      <c r="G593" s="1216"/>
      <c r="H593" s="1216"/>
      <c r="I593" s="1216"/>
      <c r="J593" s="1216"/>
      <c r="K593" s="1216"/>
      <c r="L593" s="1216"/>
      <c r="M593" s="1216"/>
      <c r="N593" s="1216"/>
      <c r="O593" s="1216"/>
      <c r="P593" s="1216"/>
      <c r="Q593" s="1216"/>
      <c r="R593" s="1216"/>
      <c r="S593" s="1216"/>
    </row>
    <row r="594" spans="1:19">
      <c r="A594" s="1216"/>
      <c r="B594" s="1216"/>
      <c r="C594" s="1216"/>
      <c r="D594" s="1216"/>
      <c r="E594" s="1216"/>
      <c r="F594" s="1216"/>
      <c r="G594" s="1216"/>
      <c r="H594" s="1216"/>
      <c r="I594" s="1216"/>
      <c r="J594" s="1216"/>
      <c r="K594" s="1216"/>
      <c r="L594" s="1216"/>
      <c r="M594" s="1216"/>
      <c r="N594" s="1216"/>
      <c r="O594" s="1216"/>
      <c r="P594" s="1216"/>
      <c r="Q594" s="1216"/>
      <c r="R594" s="1216"/>
      <c r="S594" s="1216"/>
    </row>
    <row r="595" spans="1:19">
      <c r="A595" s="1216"/>
      <c r="B595" s="1216"/>
      <c r="C595" s="1216"/>
      <c r="D595" s="1216"/>
      <c r="E595" s="1216"/>
      <c r="F595" s="1216"/>
      <c r="G595" s="1216"/>
      <c r="H595" s="1216"/>
      <c r="I595" s="1216"/>
      <c r="J595" s="1216"/>
      <c r="K595" s="1216"/>
      <c r="L595" s="1216"/>
      <c r="M595" s="1216"/>
      <c r="N595" s="1216"/>
      <c r="O595" s="1216"/>
      <c r="P595" s="1216"/>
      <c r="Q595" s="1216"/>
      <c r="R595" s="1216"/>
      <c r="S595" s="1216"/>
    </row>
    <row r="596" spans="1:19">
      <c r="A596" s="1216"/>
      <c r="B596" s="1216"/>
      <c r="C596" s="1216"/>
      <c r="D596" s="1216"/>
      <c r="E596" s="1216"/>
      <c r="F596" s="1216"/>
      <c r="G596" s="1216"/>
      <c r="H596" s="1216"/>
      <c r="I596" s="1216"/>
      <c r="J596" s="1216"/>
      <c r="K596" s="1216"/>
      <c r="L596" s="1216"/>
      <c r="M596" s="1216"/>
      <c r="N596" s="1216"/>
      <c r="O596" s="1216"/>
      <c r="P596" s="1216"/>
      <c r="Q596" s="1216"/>
      <c r="R596" s="1216"/>
      <c r="S596" s="1216"/>
    </row>
    <row r="597" spans="1:19" ht="12.75" customHeight="1">
      <c r="A597" s="1287" t="s">
        <v>4654</v>
      </c>
      <c r="B597" s="1216"/>
      <c r="C597" s="1216"/>
      <c r="D597" s="1216"/>
      <c r="E597" s="1216"/>
      <c r="F597" s="1216"/>
      <c r="G597" s="1216"/>
      <c r="H597" s="1216"/>
      <c r="I597" s="1216"/>
      <c r="J597" s="1216"/>
      <c r="K597" s="1216"/>
      <c r="L597" s="1216"/>
      <c r="M597" s="1216"/>
      <c r="N597" s="1216"/>
      <c r="O597" s="1216"/>
      <c r="P597" s="1216"/>
      <c r="Q597" s="1216"/>
      <c r="R597" s="1216"/>
      <c r="S597" s="1216"/>
    </row>
    <row r="598" spans="1:19">
      <c r="A598" s="1216"/>
      <c r="B598" s="1216"/>
      <c r="C598" s="1216"/>
      <c r="D598" s="1216"/>
      <c r="E598" s="1216"/>
      <c r="F598" s="1216"/>
      <c r="G598" s="1216"/>
      <c r="H598" s="1216"/>
      <c r="I598" s="1216"/>
      <c r="J598" s="1216"/>
      <c r="K598" s="1216"/>
      <c r="L598" s="1216"/>
      <c r="M598" s="1216"/>
      <c r="N598" s="1216"/>
      <c r="O598" s="1216"/>
      <c r="P598" s="1216"/>
      <c r="Q598" s="1216"/>
      <c r="R598" s="1216"/>
      <c r="S598" s="1216"/>
    </row>
    <row r="599" spans="1:19" ht="12.75" customHeight="1">
      <c r="A599" s="1287" t="s">
        <v>4656</v>
      </c>
      <c r="B599" s="1216"/>
      <c r="C599" s="1216"/>
      <c r="D599" s="1216"/>
      <c r="E599" s="1216"/>
      <c r="F599" s="1216"/>
      <c r="G599" s="1216"/>
      <c r="H599" s="1216"/>
      <c r="I599" s="1216"/>
      <c r="J599" s="1216"/>
      <c r="K599" s="1216"/>
      <c r="L599" s="1216"/>
      <c r="M599" s="1216"/>
      <c r="N599" s="1216"/>
      <c r="O599" s="1216"/>
      <c r="P599" s="1216"/>
      <c r="Q599" s="1216"/>
      <c r="R599" s="1216"/>
      <c r="S599" s="1216"/>
    </row>
    <row r="600" spans="1:19" ht="12.75" customHeight="1">
      <c r="A600" s="1216"/>
      <c r="B600" s="1216"/>
      <c r="C600" s="1216"/>
      <c r="D600" s="1216"/>
      <c r="E600" s="1216"/>
      <c r="F600" s="1216"/>
      <c r="G600" s="1216"/>
      <c r="H600" s="1216"/>
      <c r="I600" s="1216"/>
      <c r="J600" s="1216"/>
      <c r="K600" s="1216"/>
      <c r="L600" s="1216"/>
      <c r="M600" s="1216"/>
      <c r="N600" s="1216"/>
      <c r="O600" s="1216"/>
      <c r="P600" s="1216"/>
      <c r="Q600" s="1216"/>
      <c r="R600" s="1216"/>
      <c r="S600" s="1216"/>
    </row>
    <row r="601" spans="1:19" ht="12.75" customHeight="1">
      <c r="A601" s="1216"/>
      <c r="B601" s="1216"/>
      <c r="C601" s="1216"/>
      <c r="D601" s="1216"/>
      <c r="E601" s="1216"/>
      <c r="F601" s="1216"/>
      <c r="G601" s="1216"/>
      <c r="H601" s="1216"/>
      <c r="I601" s="1216"/>
      <c r="J601" s="1216"/>
      <c r="K601" s="1216"/>
      <c r="L601" s="1216"/>
      <c r="M601" s="1216"/>
      <c r="N601" s="1216"/>
      <c r="O601" s="1216"/>
      <c r="P601" s="1216"/>
      <c r="Q601" s="1216"/>
      <c r="R601" s="1216"/>
      <c r="S601" s="1216"/>
    </row>
    <row r="602" spans="1:19" ht="12.75" customHeight="1">
      <c r="A602" s="1216"/>
      <c r="B602" s="1216"/>
      <c r="C602" s="1216"/>
      <c r="D602" s="1216"/>
      <c r="E602" s="1216"/>
      <c r="F602" s="1216"/>
      <c r="G602" s="1216"/>
      <c r="H602" s="1216"/>
      <c r="I602" s="1216"/>
      <c r="J602" s="1216"/>
      <c r="K602" s="1216"/>
      <c r="L602" s="1216"/>
      <c r="M602" s="1216"/>
      <c r="N602" s="1216"/>
      <c r="O602" s="1216"/>
      <c r="P602" s="1216"/>
      <c r="Q602" s="1216"/>
      <c r="R602" s="1216"/>
      <c r="S602" s="1216"/>
    </row>
    <row r="603" spans="1:19" ht="12.75" customHeight="1">
      <c r="A603" s="1216"/>
      <c r="B603" s="1216"/>
      <c r="C603" s="1216"/>
      <c r="D603" s="1216"/>
      <c r="E603" s="1216"/>
      <c r="F603" s="1216"/>
      <c r="G603" s="1216"/>
      <c r="H603" s="1216"/>
      <c r="I603" s="1216"/>
      <c r="J603" s="1216"/>
      <c r="K603" s="1216"/>
      <c r="L603" s="1216"/>
      <c r="M603" s="1216"/>
      <c r="N603" s="1216"/>
      <c r="O603" s="1216"/>
      <c r="P603" s="1216"/>
      <c r="Q603" s="1216"/>
      <c r="R603" s="1216"/>
      <c r="S603" s="1216"/>
    </row>
    <row r="604" spans="1:19">
      <c r="A604" s="1216"/>
      <c r="B604" s="1216"/>
      <c r="C604" s="1216"/>
      <c r="D604" s="1216"/>
      <c r="E604" s="1216"/>
      <c r="F604" s="1216"/>
      <c r="G604" s="1216"/>
      <c r="H604" s="1216"/>
      <c r="I604" s="1216"/>
      <c r="J604" s="1216"/>
      <c r="K604" s="1216"/>
      <c r="L604" s="1216"/>
      <c r="M604" s="1216"/>
      <c r="N604" s="1216"/>
      <c r="O604" s="1216"/>
      <c r="P604" s="1216"/>
      <c r="Q604" s="1216"/>
      <c r="R604" s="1216"/>
      <c r="S604" s="1216"/>
    </row>
    <row r="605" spans="1:19">
      <c r="A605" s="1216"/>
      <c r="B605" s="1216"/>
      <c r="C605" s="1216"/>
      <c r="D605" s="1216"/>
      <c r="E605" s="1216"/>
      <c r="F605" s="1216"/>
      <c r="G605" s="1216"/>
      <c r="H605" s="1216"/>
      <c r="I605" s="1216"/>
      <c r="J605" s="1216"/>
      <c r="K605" s="1216"/>
      <c r="L605" s="1216"/>
      <c r="M605" s="1216"/>
      <c r="N605" s="1216"/>
      <c r="O605" s="1216"/>
      <c r="P605" s="1216"/>
      <c r="Q605" s="1216"/>
      <c r="R605" s="1216"/>
      <c r="S605" s="1216"/>
    </row>
    <row r="606" spans="1:19">
      <c r="A606" s="1216"/>
      <c r="B606" s="1216"/>
      <c r="C606" s="1216"/>
      <c r="D606" s="1216"/>
      <c r="E606" s="1216"/>
      <c r="F606" s="1216"/>
      <c r="G606" s="1216"/>
      <c r="H606" s="1216"/>
      <c r="I606" s="1216"/>
      <c r="J606" s="1216"/>
      <c r="K606" s="1216"/>
      <c r="L606" s="1216"/>
      <c r="M606" s="1216"/>
      <c r="N606" s="1216"/>
      <c r="O606" s="1216"/>
      <c r="P606" s="1216"/>
      <c r="Q606" s="1216"/>
      <c r="R606" s="1216"/>
      <c r="S606" s="1216"/>
    </row>
    <row r="607" spans="1:19">
      <c r="A607" s="1216"/>
      <c r="B607" s="1216"/>
      <c r="C607" s="1216"/>
      <c r="D607" s="1216"/>
      <c r="E607" s="1216"/>
      <c r="F607" s="1216"/>
      <c r="G607" s="1216"/>
      <c r="H607" s="1216"/>
      <c r="I607" s="1216"/>
      <c r="J607" s="1216"/>
      <c r="K607" s="1216"/>
      <c r="L607" s="1216"/>
      <c r="M607" s="1216"/>
      <c r="N607" s="1216"/>
      <c r="O607" s="1216"/>
      <c r="P607" s="1216"/>
      <c r="Q607" s="1216"/>
      <c r="R607" s="1216"/>
      <c r="S607" s="1216"/>
    </row>
    <row r="608" spans="1:19" ht="12.75" customHeight="1">
      <c r="A608" s="1287" t="s">
        <v>4657</v>
      </c>
      <c r="B608" s="1216"/>
      <c r="C608" s="1216"/>
      <c r="D608" s="1216"/>
      <c r="E608" s="1216"/>
      <c r="F608" s="1216"/>
      <c r="G608" s="1216"/>
      <c r="H608" s="1216"/>
      <c r="I608" s="1216"/>
      <c r="J608" s="1216"/>
      <c r="K608" s="1216"/>
      <c r="L608" s="1216"/>
      <c r="M608" s="1216"/>
      <c r="N608" s="1216"/>
      <c r="O608" s="1216"/>
      <c r="P608" s="1216"/>
      <c r="Q608" s="1216"/>
      <c r="R608" s="1216"/>
      <c r="S608" s="1216"/>
    </row>
    <row r="609" spans="1:19">
      <c r="A609" s="1216"/>
      <c r="B609" s="1216"/>
      <c r="C609" s="1216"/>
      <c r="D609" s="1216"/>
      <c r="E609" s="1216"/>
      <c r="F609" s="1216"/>
      <c r="G609" s="1216"/>
      <c r="H609" s="1216"/>
      <c r="I609" s="1216"/>
      <c r="J609" s="1216"/>
      <c r="K609" s="1216"/>
      <c r="L609" s="1216"/>
      <c r="M609" s="1216"/>
      <c r="N609" s="1216"/>
      <c r="O609" s="1216"/>
      <c r="P609" s="1216"/>
      <c r="Q609" s="1216"/>
      <c r="R609" s="1216"/>
      <c r="S609" s="1216"/>
    </row>
    <row r="610" spans="1:19">
      <c r="A610" s="1216"/>
      <c r="B610" s="1216"/>
      <c r="C610" s="1216"/>
      <c r="D610" s="1216"/>
      <c r="E610" s="1216"/>
      <c r="F610" s="1216"/>
      <c r="G610" s="1216"/>
      <c r="H610" s="1216"/>
      <c r="I610" s="1216"/>
      <c r="J610" s="1216"/>
      <c r="K610" s="1216"/>
      <c r="L610" s="1216"/>
      <c r="M610" s="1216"/>
      <c r="N610" s="1216"/>
      <c r="O610" s="1216"/>
      <c r="P610" s="1216"/>
      <c r="Q610" s="1216"/>
      <c r="R610" s="1216"/>
      <c r="S610" s="1216"/>
    </row>
    <row r="611" spans="1:19">
      <c r="A611" s="1216"/>
      <c r="B611" s="1216"/>
      <c r="C611" s="1216"/>
      <c r="D611" s="1216"/>
      <c r="E611" s="1216"/>
      <c r="F611" s="1216"/>
      <c r="G611" s="1216"/>
      <c r="H611" s="1216"/>
      <c r="I611" s="1216"/>
      <c r="J611" s="1216"/>
      <c r="K611" s="1216"/>
      <c r="L611" s="1216"/>
      <c r="M611" s="1216"/>
      <c r="N611" s="1216"/>
      <c r="O611" s="1216"/>
      <c r="P611" s="1216"/>
      <c r="Q611" s="1216"/>
      <c r="R611" s="1216"/>
      <c r="S611" s="1216"/>
    </row>
    <row r="612" spans="1:19">
      <c r="A612" s="1216"/>
      <c r="B612" s="1216"/>
      <c r="C612" s="1216"/>
      <c r="D612" s="1216"/>
      <c r="E612" s="1216"/>
      <c r="F612" s="1216"/>
      <c r="G612" s="1216"/>
      <c r="H612" s="1216"/>
      <c r="I612" s="1216"/>
      <c r="J612" s="1216"/>
      <c r="K612" s="1216"/>
      <c r="L612" s="1216"/>
      <c r="M612" s="1216"/>
      <c r="N612" s="1216"/>
      <c r="O612" s="1216"/>
      <c r="P612" s="1216"/>
      <c r="Q612" s="1216"/>
      <c r="R612" s="1216"/>
      <c r="S612" s="1216"/>
    </row>
    <row r="613" spans="1:19" ht="12.75" customHeight="1">
      <c r="A613" s="1287" t="s">
        <v>4658</v>
      </c>
      <c r="B613" s="1216"/>
      <c r="C613" s="1216"/>
      <c r="D613" s="1216"/>
      <c r="E613" s="1216"/>
      <c r="F613" s="1216"/>
      <c r="G613" s="1216"/>
      <c r="H613" s="1216"/>
      <c r="I613" s="1216"/>
      <c r="J613" s="1216"/>
      <c r="K613" s="1216"/>
      <c r="L613" s="1216"/>
      <c r="M613" s="1216"/>
      <c r="N613" s="1216"/>
      <c r="O613" s="1216"/>
      <c r="P613" s="1216"/>
      <c r="Q613" s="1216"/>
      <c r="R613" s="1216"/>
      <c r="S613" s="1216"/>
    </row>
    <row r="614" spans="1:19">
      <c r="A614" s="1216"/>
      <c r="B614" s="1216"/>
      <c r="C614" s="1216"/>
      <c r="D614" s="1216"/>
      <c r="E614" s="1216"/>
      <c r="F614" s="1216"/>
      <c r="G614" s="1216"/>
      <c r="H614" s="1216"/>
      <c r="I614" s="1216"/>
      <c r="J614" s="1216"/>
      <c r="K614" s="1216"/>
      <c r="L614" s="1216"/>
      <c r="M614" s="1216"/>
      <c r="N614" s="1216"/>
      <c r="O614" s="1216"/>
      <c r="P614" s="1216"/>
      <c r="Q614" s="1216"/>
      <c r="R614" s="1216"/>
      <c r="S614" s="1216"/>
    </row>
    <row r="615" spans="1:19">
      <c r="A615" s="1216"/>
      <c r="B615" s="1216"/>
      <c r="C615" s="1216"/>
      <c r="D615" s="1216"/>
      <c r="E615" s="1216"/>
      <c r="F615" s="1216"/>
      <c r="G615" s="1216"/>
      <c r="H615" s="1216"/>
      <c r="I615" s="1216"/>
      <c r="J615" s="1216"/>
      <c r="K615" s="1216"/>
      <c r="L615" s="1216"/>
      <c r="M615" s="1216"/>
      <c r="N615" s="1216"/>
      <c r="O615" s="1216"/>
      <c r="P615" s="1216"/>
      <c r="Q615" s="1216"/>
      <c r="R615" s="1216"/>
      <c r="S615" s="1216"/>
    </row>
    <row r="616" spans="1:19">
      <c r="A616" s="1216"/>
      <c r="B616" s="1216"/>
      <c r="C616" s="1216"/>
      <c r="D616" s="1216"/>
      <c r="E616" s="1216"/>
      <c r="F616" s="1216"/>
      <c r="G616" s="1216"/>
      <c r="H616" s="1216"/>
      <c r="I616" s="1216"/>
      <c r="J616" s="1216"/>
      <c r="K616" s="1216"/>
      <c r="L616" s="1216"/>
      <c r="M616" s="1216"/>
      <c r="N616" s="1216"/>
      <c r="O616" s="1216"/>
      <c r="P616" s="1216"/>
      <c r="Q616" s="1216"/>
      <c r="R616" s="1216"/>
      <c r="S616" s="1216"/>
    </row>
    <row r="617" spans="1:19">
      <c r="A617" s="1216"/>
      <c r="B617" s="1216"/>
      <c r="C617" s="1216"/>
      <c r="D617" s="1216"/>
      <c r="E617" s="1216"/>
      <c r="F617" s="1216"/>
      <c r="G617" s="1216"/>
      <c r="H617" s="1216"/>
      <c r="I617" s="1216"/>
      <c r="J617" s="1216"/>
      <c r="K617" s="1216"/>
      <c r="L617" s="1216"/>
      <c r="M617" s="1216"/>
      <c r="N617" s="1216"/>
      <c r="O617" s="1216"/>
      <c r="P617" s="1216"/>
      <c r="Q617" s="1216"/>
      <c r="R617" s="1216"/>
      <c r="S617" s="1216"/>
    </row>
    <row r="618" spans="1:19">
      <c r="A618" s="1216"/>
      <c r="B618" s="1216"/>
      <c r="C618" s="1216"/>
      <c r="D618" s="1216"/>
      <c r="E618" s="1216"/>
      <c r="F618" s="1216"/>
      <c r="G618" s="1216"/>
      <c r="H618" s="1216"/>
      <c r="I618" s="1216"/>
      <c r="J618" s="1216"/>
      <c r="K618" s="1216"/>
      <c r="L618" s="1216"/>
      <c r="M618" s="1216"/>
      <c r="N618" s="1216"/>
      <c r="O618" s="1216"/>
      <c r="P618" s="1216"/>
      <c r="Q618" s="1216"/>
      <c r="R618" s="1216"/>
      <c r="S618" s="1216"/>
    </row>
    <row r="619" spans="1:19">
      <c r="A619" s="1216"/>
      <c r="B619" s="1216"/>
      <c r="C619" s="1216"/>
      <c r="D619" s="1216"/>
      <c r="E619" s="1216"/>
      <c r="F619" s="1216"/>
      <c r="G619" s="1216"/>
      <c r="H619" s="1216"/>
      <c r="I619" s="1216"/>
      <c r="J619" s="1216"/>
      <c r="K619" s="1216"/>
      <c r="L619" s="1216"/>
      <c r="M619" s="1216"/>
      <c r="N619" s="1216"/>
      <c r="O619" s="1216"/>
      <c r="P619" s="1216"/>
      <c r="Q619" s="1216"/>
      <c r="R619" s="1216"/>
      <c r="S619" s="1216"/>
    </row>
    <row r="620" spans="1:19">
      <c r="A620" s="1216"/>
      <c r="B620" s="1216"/>
      <c r="C620" s="1216"/>
      <c r="D620" s="1216"/>
      <c r="E620" s="1216"/>
      <c r="F620" s="1216"/>
      <c r="G620" s="1216"/>
      <c r="H620" s="1216"/>
      <c r="I620" s="1216"/>
      <c r="J620" s="1216"/>
      <c r="K620" s="1216"/>
      <c r="L620" s="1216"/>
      <c r="M620" s="1216"/>
      <c r="N620" s="1216"/>
      <c r="O620" s="1216"/>
      <c r="P620" s="1216"/>
      <c r="Q620" s="1216"/>
      <c r="R620" s="1216"/>
      <c r="S620" s="1216"/>
    </row>
    <row r="621" spans="1:19">
      <c r="A621" s="1216"/>
      <c r="B621" s="1216"/>
      <c r="C621" s="1216"/>
      <c r="D621" s="1216"/>
      <c r="E621" s="1216"/>
      <c r="F621" s="1216"/>
      <c r="G621" s="1216"/>
      <c r="H621" s="1216"/>
      <c r="I621" s="1216"/>
      <c r="J621" s="1216"/>
      <c r="K621" s="1216"/>
      <c r="L621" s="1216"/>
      <c r="M621" s="1216"/>
      <c r="N621" s="1216"/>
      <c r="O621" s="1216"/>
      <c r="P621" s="1216"/>
      <c r="Q621" s="1216"/>
      <c r="R621" s="1216"/>
      <c r="S621" s="1216"/>
    </row>
    <row r="622" spans="1:19">
      <c r="A622" s="1216"/>
      <c r="B622" s="1216"/>
      <c r="C622" s="1216"/>
      <c r="D622" s="1216"/>
      <c r="E622" s="1216"/>
      <c r="F622" s="1216"/>
      <c r="G622" s="1216"/>
      <c r="H622" s="1216"/>
      <c r="I622" s="1216"/>
      <c r="J622" s="1216"/>
      <c r="K622" s="1216"/>
      <c r="L622" s="1216"/>
      <c r="M622" s="1216"/>
      <c r="N622" s="1216"/>
      <c r="O622" s="1216"/>
      <c r="P622" s="1216"/>
      <c r="Q622" s="1216"/>
      <c r="R622" s="1216"/>
      <c r="S622" s="1216"/>
    </row>
    <row r="623" spans="1:19">
      <c r="A623" s="1216"/>
      <c r="B623" s="1216"/>
      <c r="C623" s="1216"/>
      <c r="D623" s="1216"/>
      <c r="E623" s="1216"/>
      <c r="F623" s="1216"/>
      <c r="G623" s="1216"/>
      <c r="H623" s="1216"/>
      <c r="I623" s="1216"/>
      <c r="J623" s="1216"/>
      <c r="K623" s="1216"/>
      <c r="L623" s="1216"/>
      <c r="M623" s="1216"/>
      <c r="N623" s="1216"/>
      <c r="O623" s="1216"/>
      <c r="P623" s="1216"/>
      <c r="Q623" s="1216"/>
      <c r="R623" s="1216"/>
      <c r="S623" s="1216"/>
    </row>
    <row r="624" spans="1:19" ht="12.75" customHeight="1">
      <c r="A624" s="1287" t="s">
        <v>4659</v>
      </c>
      <c r="B624" s="1216"/>
      <c r="C624" s="1216"/>
      <c r="D624" s="1216"/>
      <c r="E624" s="1216"/>
      <c r="F624" s="1216"/>
      <c r="G624" s="1216"/>
      <c r="H624" s="1216"/>
      <c r="I624" s="1216"/>
      <c r="J624" s="1216"/>
      <c r="K624" s="1216"/>
      <c r="L624" s="1216"/>
      <c r="M624" s="1216"/>
      <c r="N624" s="1216"/>
      <c r="O624" s="1216"/>
      <c r="P624" s="1216"/>
      <c r="Q624" s="1216"/>
      <c r="R624" s="1216"/>
      <c r="S624" s="1216"/>
    </row>
    <row r="625" spans="1:19">
      <c r="A625" s="1216"/>
      <c r="B625" s="1216"/>
      <c r="C625" s="1216"/>
      <c r="D625" s="1216"/>
      <c r="E625" s="1216"/>
      <c r="F625" s="1216"/>
      <c r="G625" s="1216"/>
      <c r="H625" s="1216"/>
      <c r="I625" s="1216"/>
      <c r="J625" s="1216"/>
      <c r="K625" s="1216"/>
      <c r="L625" s="1216"/>
      <c r="M625" s="1216"/>
      <c r="N625" s="1216"/>
      <c r="O625" s="1216"/>
      <c r="P625" s="1216"/>
      <c r="Q625" s="1216"/>
      <c r="R625" s="1216"/>
      <c r="S625" s="1216"/>
    </row>
    <row r="626" spans="1:19" ht="12.75" customHeight="1">
      <c r="A626" s="1287" t="s">
        <v>4660</v>
      </c>
      <c r="B626" s="1216"/>
      <c r="C626" s="1216"/>
      <c r="D626" s="1216"/>
      <c r="E626" s="1216"/>
      <c r="F626" s="1216"/>
      <c r="G626" s="1216"/>
      <c r="H626" s="1216"/>
      <c r="I626" s="1216"/>
      <c r="J626" s="1216"/>
      <c r="K626" s="1216"/>
      <c r="L626" s="1216"/>
      <c r="M626" s="1216"/>
      <c r="N626" s="1216"/>
      <c r="O626" s="1216"/>
      <c r="P626" s="1216"/>
      <c r="Q626" s="1216"/>
      <c r="R626" s="1216"/>
      <c r="S626" s="1216"/>
    </row>
    <row r="627" spans="1:19">
      <c r="A627" s="1216"/>
      <c r="B627" s="1216"/>
      <c r="C627" s="1216"/>
      <c r="D627" s="1216"/>
      <c r="E627" s="1216"/>
      <c r="F627" s="1216"/>
      <c r="G627" s="1216"/>
      <c r="H627" s="1216"/>
      <c r="I627" s="1216"/>
      <c r="J627" s="1216"/>
      <c r="K627" s="1216"/>
      <c r="L627" s="1216"/>
      <c r="M627" s="1216"/>
      <c r="N627" s="1216"/>
      <c r="O627" s="1216"/>
      <c r="P627" s="1216"/>
      <c r="Q627" s="1216"/>
      <c r="R627" s="1216"/>
      <c r="S627" s="1216"/>
    </row>
    <row r="628" spans="1:19">
      <c r="A628" s="1216"/>
      <c r="B628" s="1216"/>
      <c r="C628" s="1216"/>
      <c r="D628" s="1216"/>
      <c r="E628" s="1216"/>
      <c r="F628" s="1216"/>
      <c r="G628" s="1216"/>
      <c r="H628" s="1216"/>
      <c r="I628" s="1216"/>
      <c r="J628" s="1216"/>
      <c r="K628" s="1216"/>
      <c r="L628" s="1216"/>
      <c r="M628" s="1216"/>
      <c r="N628" s="1216"/>
      <c r="O628" s="1216"/>
      <c r="P628" s="1216"/>
      <c r="Q628" s="1216"/>
      <c r="R628" s="1216"/>
      <c r="S628" s="1216"/>
    </row>
    <row r="629" spans="1:19">
      <c r="A629" s="1216"/>
      <c r="B629" s="1216"/>
      <c r="C629" s="1216"/>
      <c r="D629" s="1216"/>
      <c r="E629" s="1216"/>
      <c r="F629" s="1216"/>
      <c r="G629" s="1216"/>
      <c r="H629" s="1216"/>
      <c r="I629" s="1216"/>
      <c r="J629" s="1216"/>
      <c r="K629" s="1216"/>
      <c r="L629" s="1216"/>
      <c r="M629" s="1216"/>
      <c r="N629" s="1216"/>
      <c r="O629" s="1216"/>
      <c r="P629" s="1216"/>
      <c r="Q629" s="1216"/>
      <c r="R629" s="1216"/>
      <c r="S629" s="1216"/>
    </row>
    <row r="630" spans="1:19">
      <c r="A630" s="1216"/>
      <c r="B630" s="1216"/>
      <c r="C630" s="1216"/>
      <c r="D630" s="1216"/>
      <c r="E630" s="1216"/>
      <c r="F630" s="1216"/>
      <c r="G630" s="1216"/>
      <c r="H630" s="1216"/>
      <c r="I630" s="1216"/>
      <c r="J630" s="1216"/>
      <c r="K630" s="1216"/>
      <c r="L630" s="1216"/>
      <c r="M630" s="1216"/>
      <c r="N630" s="1216"/>
      <c r="O630" s="1216"/>
      <c r="P630" s="1216"/>
      <c r="Q630" s="1216"/>
      <c r="R630" s="1216"/>
      <c r="S630" s="1216"/>
    </row>
    <row r="631" spans="1:19" ht="12.75" customHeight="1">
      <c r="A631" s="1287" t="s">
        <v>4661</v>
      </c>
      <c r="B631" s="1216"/>
      <c r="C631" s="1216"/>
      <c r="D631" s="1216"/>
      <c r="E631" s="1216"/>
      <c r="F631" s="1216"/>
      <c r="G631" s="1216"/>
      <c r="H631" s="1216"/>
      <c r="I631" s="1216"/>
      <c r="J631" s="1216"/>
      <c r="K631" s="1216"/>
      <c r="L631" s="1216"/>
      <c r="M631" s="1216"/>
      <c r="N631" s="1216"/>
      <c r="O631" s="1216"/>
      <c r="P631" s="1216"/>
      <c r="Q631" s="1216"/>
      <c r="R631" s="1216"/>
      <c r="S631" s="1216"/>
    </row>
    <row r="632" spans="1:19">
      <c r="A632" s="1216"/>
      <c r="B632" s="1216"/>
      <c r="C632" s="1216"/>
      <c r="D632" s="1216"/>
      <c r="E632" s="1216"/>
      <c r="F632" s="1216"/>
      <c r="G632" s="1216"/>
      <c r="H632" s="1216"/>
      <c r="I632" s="1216"/>
      <c r="J632" s="1216"/>
      <c r="K632" s="1216"/>
      <c r="L632" s="1216"/>
      <c r="M632" s="1216"/>
      <c r="N632" s="1216"/>
      <c r="O632" s="1216"/>
      <c r="P632" s="1216"/>
      <c r="Q632" s="1216"/>
      <c r="R632" s="1216"/>
      <c r="S632" s="1216"/>
    </row>
    <row r="633" spans="1:19">
      <c r="A633" s="1216"/>
      <c r="B633" s="1216"/>
      <c r="C633" s="1216"/>
      <c r="D633" s="1216"/>
      <c r="E633" s="1216"/>
      <c r="F633" s="1216"/>
      <c r="G633" s="1216"/>
      <c r="H633" s="1216"/>
      <c r="I633" s="1216"/>
      <c r="J633" s="1216"/>
      <c r="K633" s="1216"/>
      <c r="L633" s="1216"/>
      <c r="M633" s="1216"/>
      <c r="N633" s="1216"/>
      <c r="O633" s="1216"/>
      <c r="P633" s="1216"/>
      <c r="Q633" s="1216"/>
      <c r="R633" s="1216"/>
      <c r="S633" s="1216"/>
    </row>
    <row r="634" spans="1:19">
      <c r="A634" s="1216"/>
      <c r="B634" s="1216"/>
      <c r="C634" s="1216"/>
      <c r="D634" s="1216"/>
      <c r="E634" s="1216"/>
      <c r="F634" s="1216"/>
      <c r="G634" s="1216"/>
      <c r="H634" s="1216"/>
      <c r="I634" s="1216"/>
      <c r="J634" s="1216"/>
      <c r="K634" s="1216"/>
      <c r="L634" s="1216"/>
      <c r="M634" s="1216"/>
      <c r="N634" s="1216"/>
      <c r="O634" s="1216"/>
      <c r="P634" s="1216"/>
      <c r="Q634" s="1216"/>
      <c r="R634" s="1216"/>
      <c r="S634" s="1216"/>
    </row>
    <row r="635" spans="1:19">
      <c r="A635" s="1216"/>
      <c r="B635" s="1216"/>
      <c r="C635" s="1216"/>
      <c r="D635" s="1216"/>
      <c r="E635" s="1216"/>
      <c r="F635" s="1216"/>
      <c r="G635" s="1216"/>
      <c r="H635" s="1216"/>
      <c r="I635" s="1216"/>
      <c r="J635" s="1216"/>
      <c r="K635" s="1216"/>
      <c r="L635" s="1216"/>
      <c r="M635" s="1216"/>
      <c r="N635" s="1216"/>
      <c r="O635" s="1216"/>
      <c r="P635" s="1216"/>
      <c r="Q635" s="1216"/>
      <c r="R635" s="1216"/>
      <c r="S635" s="1216"/>
    </row>
    <row r="636" spans="1:19">
      <c r="A636" s="1216"/>
      <c r="B636" s="1216"/>
      <c r="C636" s="1216"/>
      <c r="D636" s="1216"/>
      <c r="E636" s="1216"/>
      <c r="F636" s="1216"/>
      <c r="G636" s="1216"/>
      <c r="H636" s="1216"/>
      <c r="I636" s="1216"/>
      <c r="J636" s="1216"/>
      <c r="K636" s="1216"/>
      <c r="L636" s="1216"/>
      <c r="M636" s="1216"/>
      <c r="N636" s="1216"/>
      <c r="O636" s="1216"/>
      <c r="P636" s="1216"/>
      <c r="Q636" s="1216"/>
      <c r="R636" s="1216"/>
      <c r="S636" s="1216"/>
    </row>
    <row r="637" spans="1:19" ht="12.75" customHeight="1">
      <c r="A637" s="1287" t="s">
        <v>4662</v>
      </c>
      <c r="B637" s="1216"/>
      <c r="C637" s="1216"/>
      <c r="D637" s="1216"/>
      <c r="E637" s="1216"/>
      <c r="F637" s="1216"/>
      <c r="G637" s="1216"/>
      <c r="H637" s="1216"/>
      <c r="I637" s="1216"/>
      <c r="J637" s="1216"/>
      <c r="K637" s="1216"/>
      <c r="L637" s="1216"/>
      <c r="M637" s="1216"/>
      <c r="N637" s="1216"/>
      <c r="O637" s="1216"/>
      <c r="P637" s="1216"/>
      <c r="Q637" s="1216"/>
      <c r="R637" s="1216"/>
      <c r="S637" s="1216"/>
    </row>
    <row r="638" spans="1:19">
      <c r="A638" s="1216"/>
      <c r="B638" s="1216"/>
      <c r="C638" s="1216"/>
      <c r="D638" s="1216"/>
      <c r="E638" s="1216"/>
      <c r="F638" s="1216"/>
      <c r="G638" s="1216"/>
      <c r="H638" s="1216"/>
      <c r="I638" s="1216"/>
      <c r="J638" s="1216"/>
      <c r="K638" s="1216"/>
      <c r="L638" s="1216"/>
      <c r="M638" s="1216"/>
      <c r="N638" s="1216"/>
      <c r="O638" s="1216"/>
      <c r="P638" s="1216"/>
      <c r="Q638" s="1216"/>
      <c r="R638" s="1216"/>
      <c r="S638" s="1216"/>
    </row>
    <row r="639" spans="1:19">
      <c r="A639" s="1287" t="s">
        <v>4663</v>
      </c>
      <c r="B639" s="1216"/>
      <c r="C639" s="1216"/>
      <c r="D639" s="1216"/>
      <c r="E639" s="1216"/>
      <c r="F639" s="1216"/>
      <c r="G639" s="1216"/>
      <c r="H639" s="1216"/>
      <c r="I639" s="1216"/>
      <c r="J639" s="1216"/>
      <c r="K639" s="1216"/>
      <c r="L639" s="1216"/>
      <c r="M639" s="1216"/>
      <c r="N639" s="1216"/>
      <c r="O639" s="1216"/>
      <c r="P639" s="1216"/>
      <c r="Q639" s="1216"/>
      <c r="R639" s="1216"/>
      <c r="S639" s="1216"/>
    </row>
    <row r="640" spans="1:19">
      <c r="A640" s="1216"/>
      <c r="B640" s="1216"/>
      <c r="C640" s="1216"/>
      <c r="D640" s="1216"/>
      <c r="E640" s="1216"/>
      <c r="F640" s="1216"/>
      <c r="G640" s="1216"/>
      <c r="H640" s="1216"/>
      <c r="I640" s="1216"/>
      <c r="J640" s="1216"/>
      <c r="K640" s="1216"/>
      <c r="L640" s="1216"/>
      <c r="M640" s="1216"/>
      <c r="N640" s="1216"/>
      <c r="O640" s="1216"/>
      <c r="P640" s="1216"/>
      <c r="Q640" s="1216"/>
      <c r="R640" s="1216"/>
      <c r="S640" s="1216"/>
    </row>
    <row r="641" spans="1:19">
      <c r="A641" s="1216"/>
      <c r="B641" s="1216"/>
      <c r="C641" s="1216"/>
      <c r="D641" s="1216"/>
      <c r="E641" s="1216"/>
      <c r="F641" s="1216"/>
      <c r="G641" s="1216"/>
      <c r="H641" s="1216"/>
      <c r="I641" s="1216"/>
      <c r="J641" s="1216"/>
      <c r="K641" s="1216"/>
      <c r="L641" s="1216"/>
      <c r="M641" s="1216"/>
      <c r="N641" s="1216"/>
      <c r="O641" s="1216"/>
      <c r="P641" s="1216"/>
      <c r="Q641" s="1216"/>
      <c r="R641" s="1216"/>
      <c r="S641" s="1216"/>
    </row>
    <row r="642" spans="1:19" ht="12.75" customHeight="1">
      <c r="A642" s="1216"/>
      <c r="B642" s="1216"/>
      <c r="C642" s="1216"/>
      <c r="D642" s="1216"/>
      <c r="E642" s="1216"/>
      <c r="F642" s="1216"/>
      <c r="G642" s="1216"/>
      <c r="H642" s="1216"/>
      <c r="I642" s="1216"/>
      <c r="J642" s="1216"/>
      <c r="K642" s="1216"/>
      <c r="L642" s="1216"/>
      <c r="M642" s="1216"/>
      <c r="N642" s="1216"/>
      <c r="O642" s="1216"/>
      <c r="P642" s="1216"/>
      <c r="Q642" s="1216"/>
      <c r="R642" s="1216"/>
      <c r="S642" s="1216"/>
    </row>
    <row r="643" spans="1:19" ht="12.75" customHeight="1">
      <c r="A643" s="1287" t="s">
        <v>4651</v>
      </c>
      <c r="B643" s="1216"/>
      <c r="C643" s="1216"/>
      <c r="D643" s="1216"/>
      <c r="E643" s="1216"/>
      <c r="F643" s="1216"/>
      <c r="G643" s="1216"/>
      <c r="H643" s="1216"/>
      <c r="I643" s="1216"/>
      <c r="J643" s="1216"/>
      <c r="K643" s="1216"/>
      <c r="L643" s="1216"/>
      <c r="M643" s="1216"/>
      <c r="N643" s="1216"/>
      <c r="O643" s="1216"/>
      <c r="P643" s="1216"/>
      <c r="Q643" s="1216"/>
      <c r="R643" s="1216"/>
      <c r="S643" s="1216"/>
    </row>
    <row r="644" spans="1:19">
      <c r="A644" s="1216"/>
      <c r="B644" s="1216"/>
      <c r="C644" s="1216"/>
      <c r="D644" s="1216"/>
      <c r="E644" s="1216"/>
      <c r="F644" s="1216"/>
      <c r="G644" s="1216"/>
      <c r="H644" s="1216"/>
      <c r="I644" s="1216"/>
      <c r="J644" s="1216"/>
      <c r="K644" s="1216"/>
      <c r="L644" s="1216"/>
      <c r="M644" s="1216"/>
      <c r="N644" s="1216"/>
      <c r="O644" s="1216"/>
      <c r="P644" s="1216"/>
      <c r="Q644" s="1216"/>
      <c r="R644" s="1216"/>
      <c r="S644" s="1216"/>
    </row>
    <row r="645" spans="1:19">
      <c r="A645" s="1216"/>
      <c r="B645" s="1216"/>
      <c r="C645" s="1216"/>
      <c r="D645" s="1216"/>
      <c r="E645" s="1216"/>
      <c r="F645" s="1216"/>
      <c r="G645" s="1216"/>
      <c r="H645" s="1216"/>
      <c r="I645" s="1216"/>
      <c r="J645" s="1216"/>
      <c r="K645" s="1216"/>
      <c r="L645" s="1216"/>
      <c r="M645" s="1216"/>
      <c r="N645" s="1216"/>
      <c r="O645" s="1216"/>
      <c r="P645" s="1216"/>
      <c r="Q645" s="1216"/>
      <c r="R645" s="1216"/>
      <c r="S645" s="1216"/>
    </row>
    <row r="646" spans="1:19">
      <c r="A646" s="1216"/>
      <c r="B646" s="1216"/>
      <c r="C646" s="1216"/>
      <c r="D646" s="1216"/>
      <c r="E646" s="1216"/>
      <c r="F646" s="1216"/>
      <c r="G646" s="1216"/>
      <c r="H646" s="1216"/>
      <c r="I646" s="1216"/>
      <c r="J646" s="1216"/>
      <c r="K646" s="1216"/>
      <c r="L646" s="1216"/>
      <c r="M646" s="1216"/>
      <c r="N646" s="1216"/>
      <c r="O646" s="1216"/>
      <c r="P646" s="1216"/>
      <c r="Q646" s="1216"/>
      <c r="R646" s="1216"/>
      <c r="S646" s="1216"/>
    </row>
    <row r="647" spans="1:19">
      <c r="A647" s="1216"/>
      <c r="B647" s="1216"/>
      <c r="C647" s="1216"/>
      <c r="D647" s="1216"/>
      <c r="E647" s="1216"/>
      <c r="F647" s="1216"/>
      <c r="G647" s="1216"/>
      <c r="H647" s="1216"/>
      <c r="I647" s="1216"/>
      <c r="J647" s="1216"/>
      <c r="K647" s="1216"/>
      <c r="L647" s="1216"/>
      <c r="M647" s="1216"/>
      <c r="N647" s="1216"/>
      <c r="O647" s="1216"/>
      <c r="P647" s="1216"/>
      <c r="Q647" s="1216"/>
      <c r="R647" s="1216"/>
      <c r="S647" s="1216"/>
    </row>
    <row r="648" spans="1:19" ht="12.75" customHeight="1">
      <c r="A648" s="1287" t="s">
        <v>4650</v>
      </c>
      <c r="B648" s="1216"/>
      <c r="C648" s="1216"/>
      <c r="D648" s="1216"/>
      <c r="E648" s="1216"/>
      <c r="F648" s="1216"/>
      <c r="G648" s="1216"/>
      <c r="H648" s="1216"/>
      <c r="I648" s="1216"/>
      <c r="J648" s="1216"/>
      <c r="K648" s="1216"/>
      <c r="L648" s="1216"/>
      <c r="M648" s="1216"/>
      <c r="N648" s="1216"/>
      <c r="O648" s="1216"/>
      <c r="P648" s="1216"/>
      <c r="Q648" s="1216"/>
      <c r="R648" s="1216"/>
      <c r="S648" s="1216"/>
    </row>
    <row r="649" spans="1:19">
      <c r="A649" s="1216"/>
      <c r="B649" s="1216"/>
      <c r="C649" s="1216"/>
      <c r="D649" s="1216"/>
      <c r="E649" s="1216"/>
      <c r="F649" s="1216"/>
      <c r="G649" s="1216"/>
      <c r="H649" s="1216"/>
      <c r="I649" s="1216"/>
      <c r="J649" s="1216"/>
      <c r="K649" s="1216"/>
      <c r="L649" s="1216"/>
      <c r="M649" s="1216"/>
      <c r="N649" s="1216"/>
      <c r="O649" s="1216"/>
      <c r="P649" s="1216"/>
      <c r="Q649" s="1216"/>
      <c r="R649" s="1216"/>
      <c r="S649" s="1216"/>
    </row>
    <row r="650" spans="1:19">
      <c r="A650" s="1216"/>
      <c r="B650" s="1216"/>
      <c r="C650" s="1216"/>
      <c r="D650" s="1216"/>
      <c r="E650" s="1216"/>
      <c r="F650" s="1216"/>
      <c r="G650" s="1216"/>
      <c r="H650" s="1216"/>
      <c r="I650" s="1216"/>
      <c r="J650" s="1216"/>
      <c r="K650" s="1216"/>
      <c r="L650" s="1216"/>
      <c r="M650" s="1216"/>
      <c r="N650" s="1216"/>
      <c r="O650" s="1216"/>
      <c r="P650" s="1216"/>
      <c r="Q650" s="1216"/>
      <c r="R650" s="1216"/>
      <c r="S650" s="1216"/>
    </row>
    <row r="651" spans="1:19">
      <c r="A651" s="1216"/>
      <c r="B651" s="1216"/>
      <c r="C651" s="1216"/>
      <c r="D651" s="1216"/>
      <c r="E651" s="1216"/>
      <c r="F651" s="1216"/>
      <c r="G651" s="1216"/>
      <c r="H651" s="1216"/>
      <c r="I651" s="1216"/>
      <c r="J651" s="1216"/>
      <c r="K651" s="1216"/>
      <c r="L651" s="1216"/>
      <c r="M651" s="1216"/>
      <c r="N651" s="1216"/>
      <c r="O651" s="1216"/>
      <c r="P651" s="1216"/>
      <c r="Q651" s="1216"/>
      <c r="R651" s="1216"/>
      <c r="S651" s="1216"/>
    </row>
    <row r="652" spans="1:19">
      <c r="A652" s="1216"/>
      <c r="B652" s="1216"/>
      <c r="C652" s="1216"/>
      <c r="D652" s="1216"/>
      <c r="E652" s="1216"/>
      <c r="F652" s="1216"/>
      <c r="G652" s="1216"/>
      <c r="H652" s="1216"/>
      <c r="I652" s="1216"/>
      <c r="J652" s="1216"/>
      <c r="K652" s="1216"/>
      <c r="L652" s="1216"/>
      <c r="M652" s="1216"/>
      <c r="N652" s="1216"/>
      <c r="O652" s="1216"/>
      <c r="P652" s="1216"/>
      <c r="Q652" s="1216"/>
      <c r="R652" s="1216"/>
      <c r="S652" s="1216"/>
    </row>
    <row r="653" spans="1:19" ht="12.75" customHeight="1">
      <c r="A653" s="1287" t="s">
        <v>4649</v>
      </c>
      <c r="B653" s="1216"/>
      <c r="C653" s="1216"/>
      <c r="D653" s="1216"/>
      <c r="E653" s="1216"/>
      <c r="F653" s="1216"/>
      <c r="G653" s="1216"/>
      <c r="H653" s="1216"/>
      <c r="I653" s="1216"/>
      <c r="J653" s="1216"/>
      <c r="K653" s="1216"/>
      <c r="L653" s="1216"/>
      <c r="M653" s="1216"/>
      <c r="N653" s="1216"/>
      <c r="O653" s="1216"/>
      <c r="P653" s="1216"/>
      <c r="Q653" s="1216"/>
      <c r="R653" s="1216"/>
      <c r="S653" s="1216"/>
    </row>
    <row r="654" spans="1:19">
      <c r="A654" s="1216"/>
      <c r="B654" s="1216"/>
      <c r="C654" s="1216"/>
      <c r="D654" s="1216"/>
      <c r="E654" s="1216"/>
      <c r="F654" s="1216"/>
      <c r="G654" s="1216"/>
      <c r="H654" s="1216"/>
      <c r="I654" s="1216"/>
      <c r="J654" s="1216"/>
      <c r="K654" s="1216"/>
      <c r="L654" s="1216"/>
      <c r="M654" s="1216"/>
      <c r="N654" s="1216"/>
      <c r="O654" s="1216"/>
      <c r="P654" s="1216"/>
      <c r="Q654" s="1216"/>
      <c r="R654" s="1216"/>
      <c r="S654" s="1216"/>
    </row>
    <row r="655" spans="1:19">
      <c r="B655" s="1216" t="s">
        <v>4546</v>
      </c>
      <c r="C655" s="1216"/>
      <c r="D655" s="1216"/>
      <c r="E655" s="1216"/>
      <c r="F655" s="1216"/>
      <c r="G655" s="1216"/>
      <c r="H655" s="1216"/>
      <c r="I655" s="1216"/>
      <c r="J655" s="1216"/>
      <c r="K655" s="1216"/>
      <c r="L655" s="1216"/>
      <c r="M655" s="1216"/>
      <c r="N655" s="1216"/>
      <c r="O655" s="1216"/>
      <c r="P655" s="1216"/>
      <c r="Q655" s="1216"/>
      <c r="R655" s="1216"/>
      <c r="S655" s="1216"/>
    </row>
    <row r="656" spans="1:19" ht="12.75" customHeight="1">
      <c r="A656" s="1287" t="s">
        <v>4648</v>
      </c>
      <c r="B656" s="1216"/>
      <c r="C656" s="1216"/>
      <c r="D656" s="1216"/>
      <c r="E656" s="1216"/>
      <c r="F656" s="1216"/>
      <c r="G656" s="1216"/>
      <c r="H656" s="1216"/>
      <c r="I656" s="1216"/>
      <c r="J656" s="1216"/>
      <c r="K656" s="1216"/>
      <c r="L656" s="1216"/>
      <c r="M656" s="1216"/>
      <c r="N656" s="1216"/>
      <c r="O656" s="1216"/>
      <c r="P656" s="1216"/>
      <c r="Q656" s="1216"/>
      <c r="R656" s="1216"/>
      <c r="S656" s="1216"/>
    </row>
    <row r="657" spans="1:19" ht="12.75" customHeight="1">
      <c r="A657" s="1216"/>
      <c r="B657" s="1216"/>
      <c r="C657" s="1216"/>
      <c r="D657" s="1216"/>
      <c r="E657" s="1216"/>
      <c r="F657" s="1216"/>
      <c r="G657" s="1216"/>
      <c r="H657" s="1216"/>
      <c r="I657" s="1216"/>
      <c r="J657" s="1216"/>
      <c r="K657" s="1216"/>
      <c r="L657" s="1216"/>
      <c r="M657" s="1216"/>
      <c r="N657" s="1216"/>
      <c r="O657" s="1216"/>
      <c r="P657" s="1216"/>
      <c r="Q657" s="1216"/>
      <c r="R657" s="1216"/>
      <c r="S657" s="1216"/>
    </row>
    <row r="658" spans="1:19" ht="12.75" customHeight="1">
      <c r="A658" s="1216"/>
      <c r="B658" s="1216"/>
      <c r="C658" s="1216"/>
      <c r="D658" s="1216"/>
      <c r="E658" s="1216"/>
      <c r="F658" s="1216"/>
      <c r="G658" s="1216"/>
      <c r="H658" s="1216"/>
      <c r="I658" s="1216"/>
      <c r="J658" s="1216"/>
      <c r="K658" s="1216"/>
      <c r="L658" s="1216"/>
      <c r="M658" s="1216"/>
      <c r="N658" s="1216"/>
      <c r="O658" s="1216"/>
      <c r="P658" s="1216"/>
      <c r="Q658" s="1216"/>
      <c r="R658" s="1216"/>
      <c r="S658" s="1216"/>
    </row>
    <row r="659" spans="1:19" ht="12.75" customHeight="1">
      <c r="A659" s="1216"/>
      <c r="B659" s="1216"/>
      <c r="C659" s="1216"/>
      <c r="D659" s="1216"/>
      <c r="E659" s="1216"/>
      <c r="F659" s="1216"/>
      <c r="G659" s="1216"/>
      <c r="H659" s="1216"/>
      <c r="I659" s="1216"/>
      <c r="J659" s="1216"/>
      <c r="K659" s="1216"/>
      <c r="L659" s="1216"/>
      <c r="M659" s="1216"/>
      <c r="N659" s="1216"/>
      <c r="O659" s="1216"/>
      <c r="P659" s="1216"/>
      <c r="Q659" s="1216"/>
      <c r="R659" s="1216"/>
      <c r="S659" s="1216"/>
    </row>
    <row r="660" spans="1:19" ht="12.75" customHeight="1">
      <c r="A660" s="1216"/>
      <c r="B660" s="1216"/>
      <c r="C660" s="1216"/>
      <c r="D660" s="1216"/>
      <c r="E660" s="1216"/>
      <c r="F660" s="1216"/>
      <c r="G660" s="1216"/>
      <c r="H660" s="1216"/>
      <c r="I660" s="1216"/>
      <c r="J660" s="1216"/>
      <c r="K660" s="1216"/>
      <c r="L660" s="1216"/>
      <c r="M660" s="1216"/>
      <c r="N660" s="1216"/>
      <c r="O660" s="1216"/>
      <c r="P660" s="1216"/>
      <c r="Q660" s="1216"/>
      <c r="R660" s="1216"/>
      <c r="S660" s="1216"/>
    </row>
    <row r="661" spans="1:19" ht="12.75" customHeight="1">
      <c r="A661" s="1216"/>
      <c r="B661" s="1216"/>
      <c r="C661" s="1216"/>
      <c r="D661" s="1216"/>
      <c r="E661" s="1216"/>
      <c r="F661" s="1216"/>
      <c r="G661" s="1216"/>
      <c r="H661" s="1216"/>
      <c r="I661" s="1216"/>
      <c r="J661" s="1216"/>
      <c r="K661" s="1216"/>
      <c r="L661" s="1216"/>
      <c r="M661" s="1216"/>
      <c r="N661" s="1216"/>
      <c r="O661" s="1216"/>
      <c r="P661" s="1216"/>
      <c r="Q661" s="1216"/>
      <c r="R661" s="1216"/>
      <c r="S661" s="1216"/>
    </row>
    <row r="662" spans="1:19">
      <c r="A662" s="1216"/>
      <c r="B662" s="1216"/>
      <c r="C662" s="1216"/>
      <c r="D662" s="1216"/>
      <c r="E662" s="1216"/>
      <c r="F662" s="1216"/>
      <c r="G662" s="1216"/>
      <c r="H662" s="1216"/>
      <c r="I662" s="1216"/>
      <c r="J662" s="1216"/>
      <c r="K662" s="1216"/>
      <c r="L662" s="1216"/>
      <c r="M662" s="1216"/>
      <c r="N662" s="1216"/>
      <c r="O662" s="1216"/>
      <c r="P662" s="1216"/>
      <c r="Q662" s="1216"/>
      <c r="R662" s="1216"/>
      <c r="S662" s="1216"/>
    </row>
    <row r="663" spans="1:19">
      <c r="A663" s="1216"/>
      <c r="B663" s="1216"/>
      <c r="C663" s="1216"/>
      <c r="D663" s="1216"/>
      <c r="E663" s="1216"/>
      <c r="F663" s="1216"/>
      <c r="G663" s="1216"/>
      <c r="H663" s="1216"/>
      <c r="I663" s="1216"/>
      <c r="J663" s="1216"/>
      <c r="K663" s="1216"/>
      <c r="L663" s="1216"/>
      <c r="M663" s="1216"/>
      <c r="N663" s="1216"/>
      <c r="O663" s="1216"/>
      <c r="P663" s="1216"/>
      <c r="Q663" s="1216"/>
      <c r="R663" s="1216"/>
      <c r="S663" s="1216"/>
    </row>
    <row r="664" spans="1:19">
      <c r="A664" s="1216"/>
      <c r="B664" s="1216"/>
      <c r="C664" s="1216"/>
      <c r="D664" s="1216"/>
      <c r="E664" s="1216"/>
      <c r="F664" s="1216"/>
      <c r="G664" s="1216"/>
      <c r="H664" s="1216"/>
      <c r="I664" s="1216"/>
      <c r="J664" s="1216"/>
      <c r="K664" s="1216"/>
      <c r="L664" s="1216"/>
      <c r="M664" s="1216"/>
      <c r="N664" s="1216"/>
      <c r="O664" s="1216"/>
      <c r="P664" s="1216"/>
      <c r="Q664" s="1216"/>
      <c r="R664" s="1216"/>
      <c r="S664" s="1216"/>
    </row>
    <row r="665" spans="1:19">
      <c r="A665" s="1287" t="s">
        <v>4652</v>
      </c>
      <c r="B665" s="1216"/>
      <c r="C665" s="1216"/>
      <c r="D665" s="1216"/>
      <c r="E665" s="1216"/>
      <c r="F665" s="1216"/>
      <c r="G665" s="1216"/>
      <c r="H665" s="1216"/>
      <c r="I665" s="1216"/>
      <c r="J665" s="1216"/>
      <c r="K665" s="1216"/>
      <c r="L665" s="1216"/>
      <c r="M665" s="1216"/>
      <c r="N665" s="1216"/>
      <c r="O665" s="1216"/>
      <c r="P665" s="1216"/>
      <c r="Q665" s="1216"/>
      <c r="R665" s="1216"/>
      <c r="S665" s="1216"/>
    </row>
    <row r="666" spans="1:19">
      <c r="A666" s="1216"/>
      <c r="B666" s="1216"/>
      <c r="C666" s="1216"/>
      <c r="D666" s="1216"/>
      <c r="E666" s="1216"/>
      <c r="F666" s="1216"/>
      <c r="G666" s="1216"/>
      <c r="H666" s="1216"/>
      <c r="I666" s="1216"/>
      <c r="J666" s="1216"/>
      <c r="K666" s="1216"/>
      <c r="L666" s="1216"/>
      <c r="M666" s="1216"/>
      <c r="N666" s="1216"/>
      <c r="O666" s="1216"/>
      <c r="P666" s="1216"/>
      <c r="Q666" s="1216"/>
      <c r="R666" s="1216"/>
      <c r="S666" s="1216"/>
    </row>
    <row r="667" spans="1:19">
      <c r="A667" s="1216"/>
      <c r="B667" s="1216"/>
      <c r="C667" s="1216"/>
      <c r="D667" s="1216"/>
      <c r="E667" s="1216"/>
      <c r="F667" s="1216"/>
      <c r="G667" s="1216"/>
      <c r="H667" s="1216"/>
      <c r="I667" s="1216"/>
      <c r="J667" s="1216"/>
      <c r="K667" s="1216"/>
      <c r="L667" s="1216"/>
      <c r="M667" s="1216"/>
      <c r="N667" s="1216"/>
      <c r="O667" s="1216"/>
      <c r="P667" s="1216"/>
      <c r="Q667" s="1216"/>
      <c r="R667" s="1216"/>
      <c r="S667" s="1216"/>
    </row>
    <row r="668" spans="1:19">
      <c r="A668" s="1216"/>
      <c r="B668" s="1216"/>
      <c r="C668" s="1216"/>
      <c r="D668" s="1216"/>
      <c r="E668" s="1216"/>
      <c r="F668" s="1216"/>
      <c r="G668" s="1216"/>
      <c r="H668" s="1216"/>
      <c r="I668" s="1216"/>
      <c r="J668" s="1216"/>
      <c r="K668" s="1216"/>
      <c r="L668" s="1216"/>
      <c r="M668" s="1216"/>
      <c r="N668" s="1216"/>
      <c r="O668" s="1216"/>
      <c r="P668" s="1216"/>
      <c r="Q668" s="1216"/>
      <c r="R668" s="1216"/>
      <c r="S668" s="1216"/>
    </row>
    <row r="669" spans="1:19">
      <c r="A669" s="1216"/>
      <c r="B669" s="1216"/>
      <c r="C669" s="1216"/>
      <c r="D669" s="1216"/>
      <c r="E669" s="1216"/>
      <c r="F669" s="1216"/>
      <c r="G669" s="1216"/>
      <c r="H669" s="1216"/>
      <c r="I669" s="1216"/>
      <c r="J669" s="1216"/>
      <c r="K669" s="1216"/>
      <c r="L669" s="1216"/>
      <c r="M669" s="1216"/>
      <c r="N669" s="1216"/>
      <c r="O669" s="1216"/>
      <c r="P669" s="1216"/>
      <c r="Q669" s="1216"/>
      <c r="R669" s="1216"/>
      <c r="S669" s="1216"/>
    </row>
    <row r="670" spans="1:19">
      <c r="A670" s="1216"/>
      <c r="B670" s="1216"/>
      <c r="C670" s="1216"/>
      <c r="D670" s="1216"/>
      <c r="E670" s="1216"/>
      <c r="F670" s="1216"/>
      <c r="G670" s="1216"/>
      <c r="H670" s="1216"/>
      <c r="I670" s="1216"/>
      <c r="J670" s="1216"/>
      <c r="K670" s="1216"/>
      <c r="L670" s="1216"/>
      <c r="M670" s="1216"/>
      <c r="N670" s="1216"/>
      <c r="O670" s="1216"/>
      <c r="P670" s="1216"/>
      <c r="Q670" s="1216"/>
      <c r="R670" s="1216"/>
      <c r="S670" s="1216"/>
    </row>
    <row r="671" spans="1:19">
      <c r="A671" s="1216"/>
      <c r="B671" s="1216"/>
      <c r="C671" s="1216"/>
      <c r="D671" s="1216"/>
      <c r="E671" s="1216"/>
      <c r="F671" s="1216"/>
      <c r="G671" s="1216"/>
      <c r="H671" s="1216"/>
      <c r="I671" s="1216"/>
      <c r="J671" s="1216"/>
      <c r="K671" s="1216"/>
      <c r="L671" s="1216"/>
      <c r="M671" s="1216"/>
      <c r="N671" s="1216"/>
      <c r="O671" s="1216"/>
      <c r="P671" s="1216"/>
      <c r="Q671" s="1216"/>
      <c r="R671" s="1216"/>
      <c r="S671" s="1216"/>
    </row>
    <row r="672" spans="1:19" ht="12.75" customHeight="1">
      <c r="A672" s="1216"/>
      <c r="B672" s="1216"/>
      <c r="C672" s="1216"/>
      <c r="D672" s="1216"/>
      <c r="E672" s="1216"/>
      <c r="F672" s="1216"/>
      <c r="G672" s="1216"/>
      <c r="H672" s="1216"/>
      <c r="I672" s="1216"/>
      <c r="J672" s="1216"/>
      <c r="K672" s="1216"/>
      <c r="L672" s="1216"/>
      <c r="M672" s="1216"/>
      <c r="N672" s="1216"/>
      <c r="O672" s="1216"/>
      <c r="P672" s="1216"/>
      <c r="Q672" s="1216"/>
      <c r="R672" s="1216"/>
      <c r="S672" s="1216"/>
    </row>
    <row r="673" spans="1:19" ht="12.75" customHeight="1">
      <c r="A673" s="1287" t="s">
        <v>4664</v>
      </c>
      <c r="B673" s="1216"/>
      <c r="C673" s="1216"/>
      <c r="D673" s="1216"/>
      <c r="E673" s="1216"/>
      <c r="F673" s="1216"/>
      <c r="G673" s="1216"/>
      <c r="H673" s="1216"/>
      <c r="I673" s="1216"/>
      <c r="J673" s="1216"/>
      <c r="K673" s="1216"/>
      <c r="L673" s="1216"/>
      <c r="M673" s="1216"/>
      <c r="N673" s="1216"/>
      <c r="O673" s="1216"/>
      <c r="P673" s="1216"/>
      <c r="Q673" s="1216"/>
      <c r="R673" s="1216"/>
      <c r="S673" s="1216"/>
    </row>
    <row r="674" spans="1:19" ht="12.75" customHeight="1">
      <c r="A674" s="1216"/>
      <c r="B674" s="1216"/>
      <c r="C674" s="1216"/>
      <c r="D674" s="1216"/>
      <c r="E674" s="1216"/>
      <c r="F674" s="1216"/>
      <c r="G674" s="1216"/>
      <c r="H674" s="1216"/>
      <c r="I674" s="1216"/>
      <c r="J674" s="1216"/>
      <c r="K674" s="1216"/>
      <c r="L674" s="1216"/>
      <c r="M674" s="1216"/>
      <c r="N674" s="1216"/>
      <c r="O674" s="1216"/>
      <c r="P674" s="1216"/>
      <c r="Q674" s="1216"/>
      <c r="R674" s="1216"/>
      <c r="S674" s="1216"/>
    </row>
    <row r="675" spans="1:19" ht="12.75" customHeight="1">
      <c r="A675" s="1216"/>
      <c r="B675" s="1216"/>
      <c r="C675" s="1216"/>
      <c r="D675" s="1216"/>
      <c r="E675" s="1216"/>
      <c r="F675" s="1216"/>
      <c r="G675" s="1216"/>
      <c r="H675" s="1216"/>
      <c r="I675" s="1216"/>
      <c r="J675" s="1216"/>
      <c r="K675" s="1216"/>
      <c r="L675" s="1216"/>
      <c r="M675" s="1216"/>
      <c r="N675" s="1216"/>
      <c r="O675" s="1216"/>
      <c r="P675" s="1216"/>
      <c r="Q675" s="1216"/>
      <c r="R675" s="1216"/>
      <c r="S675" s="1216"/>
    </row>
    <row r="676" spans="1:19">
      <c r="A676" s="1216"/>
      <c r="B676" s="1216"/>
      <c r="C676" s="1216"/>
      <c r="D676" s="1216"/>
      <c r="E676" s="1216"/>
      <c r="F676" s="1216"/>
      <c r="G676" s="1216"/>
      <c r="H676" s="1216"/>
      <c r="I676" s="1216"/>
      <c r="J676" s="1216"/>
      <c r="K676" s="1216"/>
      <c r="L676" s="1216"/>
      <c r="M676" s="1216"/>
      <c r="N676" s="1216"/>
      <c r="O676" s="1216"/>
      <c r="P676" s="1216"/>
      <c r="Q676" s="1216"/>
      <c r="R676" s="1216"/>
      <c r="S676" s="1216"/>
    </row>
    <row r="677" spans="1:19">
      <c r="A677" s="1216"/>
      <c r="B677" s="1216"/>
      <c r="C677" s="1216"/>
      <c r="D677" s="1216"/>
      <c r="E677" s="1216"/>
      <c r="F677" s="1216"/>
      <c r="G677" s="1216"/>
      <c r="H677" s="1216"/>
      <c r="I677" s="1216"/>
      <c r="J677" s="1216"/>
      <c r="K677" s="1216"/>
      <c r="L677" s="1216"/>
      <c r="M677" s="1216"/>
      <c r="N677" s="1216"/>
      <c r="O677" s="1216"/>
      <c r="P677" s="1216"/>
      <c r="Q677" s="1216"/>
      <c r="R677" s="1216"/>
      <c r="S677" s="1216"/>
    </row>
    <row r="678" spans="1:19">
      <c r="A678" s="1216"/>
      <c r="B678" s="1216"/>
      <c r="C678" s="1216"/>
      <c r="D678" s="1216"/>
      <c r="E678" s="1216"/>
      <c r="F678" s="1216"/>
      <c r="G678" s="1216"/>
      <c r="H678" s="1216"/>
      <c r="I678" s="1216"/>
      <c r="J678" s="1216"/>
      <c r="K678" s="1216"/>
      <c r="L678" s="1216"/>
      <c r="M678" s="1216"/>
      <c r="N678" s="1216"/>
      <c r="O678" s="1216"/>
      <c r="P678" s="1216"/>
      <c r="Q678" s="1216"/>
      <c r="R678" s="1216"/>
      <c r="S678" s="1216"/>
    </row>
    <row r="679" spans="1:19" ht="12.75" customHeight="1">
      <c r="A679" s="1287" t="s">
        <v>4665</v>
      </c>
      <c r="B679" s="1216"/>
      <c r="C679" s="1216"/>
      <c r="D679" s="1216"/>
      <c r="E679" s="1216"/>
      <c r="F679" s="1216"/>
      <c r="G679" s="1216"/>
      <c r="H679" s="1216"/>
      <c r="I679" s="1216"/>
      <c r="J679" s="1216"/>
      <c r="K679" s="1216"/>
      <c r="L679" s="1216"/>
      <c r="M679" s="1216"/>
      <c r="N679" s="1216"/>
      <c r="O679" s="1216"/>
      <c r="P679" s="1216"/>
      <c r="Q679" s="1216"/>
      <c r="R679" s="1216"/>
      <c r="S679" s="1216"/>
    </row>
    <row r="680" spans="1:19">
      <c r="A680" s="1216"/>
      <c r="B680" s="1216"/>
      <c r="C680" s="1216"/>
      <c r="D680" s="1216"/>
      <c r="E680" s="1216"/>
      <c r="F680" s="1216"/>
      <c r="G680" s="1216"/>
      <c r="H680" s="1216"/>
      <c r="I680" s="1216"/>
      <c r="J680" s="1216"/>
      <c r="K680" s="1216"/>
      <c r="L680" s="1216"/>
      <c r="M680" s="1216"/>
      <c r="N680" s="1216"/>
      <c r="O680" s="1216"/>
      <c r="P680" s="1216"/>
      <c r="Q680" s="1216"/>
      <c r="R680" s="1216"/>
      <c r="S680" s="1216"/>
    </row>
    <row r="681" spans="1:19">
      <c r="A681" s="1216"/>
      <c r="B681" s="1216"/>
      <c r="C681" s="1216"/>
      <c r="D681" s="1216"/>
      <c r="E681" s="1216"/>
      <c r="F681" s="1216"/>
      <c r="G681" s="1216"/>
      <c r="H681" s="1216"/>
      <c r="I681" s="1216"/>
      <c r="J681" s="1216"/>
      <c r="K681" s="1216"/>
      <c r="L681" s="1216"/>
      <c r="M681" s="1216"/>
      <c r="N681" s="1216"/>
      <c r="O681" s="1216"/>
      <c r="P681" s="1216"/>
      <c r="Q681" s="1216"/>
      <c r="R681" s="1216"/>
      <c r="S681" s="1216"/>
    </row>
    <row r="682" spans="1:19">
      <c r="A682" s="1216"/>
      <c r="B682" s="1216"/>
      <c r="C682" s="1216"/>
      <c r="D682" s="1216"/>
      <c r="E682" s="1216"/>
      <c r="F682" s="1216"/>
      <c r="G682" s="1216"/>
      <c r="H682" s="1216"/>
      <c r="I682" s="1216"/>
      <c r="J682" s="1216"/>
      <c r="K682" s="1216"/>
      <c r="L682" s="1216"/>
      <c r="M682" s="1216"/>
      <c r="N682" s="1216"/>
      <c r="O682" s="1216"/>
      <c r="P682" s="1216"/>
      <c r="Q682" s="1216"/>
      <c r="R682" s="1216"/>
      <c r="S682" s="1216"/>
    </row>
    <row r="683" spans="1:19" ht="12.75" customHeight="1">
      <c r="A683" s="1287" t="s">
        <v>4666</v>
      </c>
      <c r="B683" s="1216"/>
      <c r="C683" s="1216"/>
      <c r="D683" s="1216"/>
      <c r="E683" s="1216"/>
      <c r="F683" s="1216"/>
      <c r="G683" s="1216"/>
      <c r="H683" s="1216"/>
      <c r="I683" s="1216"/>
      <c r="J683" s="1216"/>
      <c r="K683" s="1216"/>
      <c r="L683" s="1216"/>
      <c r="M683" s="1216"/>
      <c r="N683" s="1216"/>
      <c r="O683" s="1216"/>
      <c r="P683" s="1216"/>
      <c r="Q683" s="1216"/>
      <c r="R683" s="1216"/>
      <c r="S683" s="1216"/>
    </row>
    <row r="684" spans="1:19">
      <c r="A684" s="1216"/>
      <c r="B684" s="1216"/>
      <c r="C684" s="1216"/>
      <c r="D684" s="1216"/>
      <c r="E684" s="1216"/>
      <c r="F684" s="1216"/>
      <c r="G684" s="1216"/>
      <c r="H684" s="1216"/>
      <c r="I684" s="1216"/>
      <c r="J684" s="1216"/>
      <c r="K684" s="1216"/>
      <c r="L684" s="1216"/>
      <c r="M684" s="1216"/>
      <c r="N684" s="1216"/>
      <c r="O684" s="1216"/>
      <c r="P684" s="1216"/>
      <c r="Q684" s="1216"/>
      <c r="R684" s="1216"/>
      <c r="S684" s="1216"/>
    </row>
    <row r="685" spans="1:19">
      <c r="A685" s="1216"/>
      <c r="B685" s="1216"/>
      <c r="C685" s="1216"/>
      <c r="D685" s="1216"/>
      <c r="E685" s="1216"/>
      <c r="F685" s="1216"/>
      <c r="G685" s="1216"/>
      <c r="H685" s="1216"/>
      <c r="I685" s="1216"/>
      <c r="J685" s="1216"/>
      <c r="K685" s="1216"/>
      <c r="L685" s="1216"/>
      <c r="M685" s="1216"/>
      <c r="N685" s="1216"/>
      <c r="O685" s="1216"/>
      <c r="P685" s="1216"/>
      <c r="Q685" s="1216"/>
      <c r="R685" s="1216"/>
      <c r="S685" s="1216"/>
    </row>
    <row r="686" spans="1:19">
      <c r="A686" s="1216"/>
      <c r="B686" s="1216"/>
      <c r="C686" s="1216"/>
      <c r="D686" s="1216"/>
      <c r="E686" s="1216"/>
      <c r="F686" s="1216"/>
      <c r="G686" s="1216"/>
      <c r="H686" s="1216"/>
      <c r="I686" s="1216"/>
      <c r="J686" s="1216"/>
      <c r="K686" s="1216"/>
      <c r="L686" s="1216"/>
      <c r="M686" s="1216"/>
      <c r="N686" s="1216"/>
      <c r="O686" s="1216"/>
      <c r="P686" s="1216"/>
      <c r="Q686" s="1216"/>
      <c r="R686" s="1216"/>
      <c r="S686" s="1216"/>
    </row>
    <row r="687" spans="1:19">
      <c r="B687" s="99"/>
      <c r="C687" s="99"/>
      <c r="D687" s="99"/>
      <c r="E687" s="99"/>
      <c r="F687" s="99"/>
      <c r="G687" s="99"/>
      <c r="H687" s="99"/>
      <c r="I687" s="99"/>
      <c r="J687" s="99"/>
      <c r="K687" s="99"/>
      <c r="L687" s="99"/>
      <c r="M687" s="99"/>
      <c r="N687" s="99"/>
      <c r="O687" s="99"/>
      <c r="P687" s="99"/>
      <c r="Q687" s="99"/>
      <c r="R687" s="99"/>
      <c r="S687" s="99"/>
    </row>
    <row r="688" spans="1:19" ht="12.75" customHeight="1">
      <c r="A688" s="1287" t="s">
        <v>4667</v>
      </c>
      <c r="B688" s="1216"/>
      <c r="C688" s="1216"/>
      <c r="D688" s="1216"/>
      <c r="E688" s="1216"/>
      <c r="F688" s="1216"/>
      <c r="G688" s="1216"/>
      <c r="H688" s="1216"/>
      <c r="I688" s="1216"/>
      <c r="J688" s="1216"/>
      <c r="K688" s="1216"/>
      <c r="L688" s="1216"/>
      <c r="M688" s="1216"/>
      <c r="N688" s="1216"/>
      <c r="O688" s="1216"/>
      <c r="P688" s="1216"/>
      <c r="Q688" s="1216"/>
      <c r="R688" s="1216"/>
      <c r="S688" s="1216"/>
    </row>
    <row r="689" spans="1:19" ht="12.75" customHeight="1">
      <c r="A689" s="1216"/>
      <c r="B689" s="1216"/>
      <c r="C689" s="1216"/>
      <c r="D689" s="1216"/>
      <c r="E689" s="1216"/>
      <c r="F689" s="1216"/>
      <c r="G689" s="1216"/>
      <c r="H689" s="1216"/>
      <c r="I689" s="1216"/>
      <c r="J689" s="1216"/>
      <c r="K689" s="1216"/>
      <c r="L689" s="1216"/>
      <c r="M689" s="1216"/>
      <c r="N689" s="1216"/>
      <c r="O689" s="1216"/>
      <c r="P689" s="1216"/>
      <c r="Q689" s="1216"/>
      <c r="R689" s="1216"/>
      <c r="S689" s="1216"/>
    </row>
    <row r="690" spans="1:19" ht="12.75" customHeight="1">
      <c r="A690" s="1216"/>
      <c r="B690" s="1216"/>
      <c r="C690" s="1216"/>
      <c r="D690" s="1216"/>
      <c r="E690" s="1216"/>
      <c r="F690" s="1216"/>
      <c r="G690" s="1216"/>
      <c r="H690" s="1216"/>
      <c r="I690" s="1216"/>
      <c r="J690" s="1216"/>
      <c r="K690" s="1216"/>
      <c r="L690" s="1216"/>
      <c r="M690" s="1216"/>
      <c r="N690" s="1216"/>
      <c r="O690" s="1216"/>
      <c r="P690" s="1216"/>
      <c r="Q690" s="1216"/>
      <c r="R690" s="1216"/>
      <c r="S690" s="1216"/>
    </row>
    <row r="691" spans="1:19" ht="12.75" customHeight="1">
      <c r="A691" s="1216"/>
      <c r="B691" s="1216"/>
      <c r="C691" s="1216"/>
      <c r="D691" s="1216"/>
      <c r="E691" s="1216"/>
      <c r="F691" s="1216"/>
      <c r="G691" s="1216"/>
      <c r="H691" s="1216"/>
      <c r="I691" s="1216"/>
      <c r="J691" s="1216"/>
      <c r="K691" s="1216"/>
      <c r="L691" s="1216"/>
      <c r="M691" s="1216"/>
      <c r="N691" s="1216"/>
      <c r="O691" s="1216"/>
      <c r="P691" s="1216"/>
      <c r="Q691" s="1216"/>
      <c r="R691" s="1216"/>
      <c r="S691" s="1216"/>
    </row>
    <row r="692" spans="1:19" ht="12.75" customHeight="1">
      <c r="A692" s="1216"/>
      <c r="B692" s="1216"/>
      <c r="C692" s="1216"/>
      <c r="D692" s="1216"/>
      <c r="E692" s="1216"/>
      <c r="F692" s="1216"/>
      <c r="G692" s="1216"/>
      <c r="H692" s="1216"/>
      <c r="I692" s="1216"/>
      <c r="J692" s="1216"/>
      <c r="K692" s="1216"/>
      <c r="L692" s="1216"/>
      <c r="M692" s="1216"/>
      <c r="N692" s="1216"/>
      <c r="O692" s="1216"/>
      <c r="P692" s="1216"/>
      <c r="Q692" s="1216"/>
      <c r="R692" s="1216"/>
      <c r="S692" s="1216"/>
    </row>
    <row r="693" spans="1:19" ht="12.75" customHeight="1">
      <c r="A693" s="1216"/>
      <c r="B693" s="1216"/>
      <c r="C693" s="1216"/>
      <c r="D693" s="1216"/>
      <c r="E693" s="1216"/>
      <c r="F693" s="1216"/>
      <c r="G693" s="1216"/>
      <c r="H693" s="1216"/>
      <c r="I693" s="1216"/>
      <c r="J693" s="1216"/>
      <c r="K693" s="1216"/>
      <c r="L693" s="1216"/>
      <c r="M693" s="1216"/>
      <c r="N693" s="1216"/>
      <c r="O693" s="1216"/>
      <c r="P693" s="1216"/>
      <c r="Q693" s="1216"/>
      <c r="R693" s="1216"/>
      <c r="S693" s="1216"/>
    </row>
    <row r="694" spans="1:19" ht="12.75" customHeight="1">
      <c r="A694" s="1216"/>
      <c r="B694" s="1216"/>
      <c r="C694" s="1216"/>
      <c r="D694" s="1216"/>
      <c r="E694" s="1216"/>
      <c r="F694" s="1216"/>
      <c r="G694" s="1216"/>
      <c r="H694" s="1216"/>
      <c r="I694" s="1216"/>
      <c r="J694" s="1216"/>
      <c r="K694" s="1216"/>
      <c r="L694" s="1216"/>
      <c r="M694" s="1216"/>
      <c r="N694" s="1216"/>
      <c r="O694" s="1216"/>
      <c r="P694" s="1216"/>
      <c r="Q694" s="1216"/>
      <c r="R694" s="1216"/>
      <c r="S694" s="1216"/>
    </row>
    <row r="695" spans="1:19" ht="12.75" customHeight="1">
      <c r="A695" s="1216"/>
      <c r="B695" s="1216"/>
      <c r="C695" s="1216"/>
      <c r="D695" s="1216"/>
      <c r="E695" s="1216"/>
      <c r="F695" s="1216"/>
      <c r="G695" s="1216"/>
      <c r="H695" s="1216"/>
      <c r="I695" s="1216"/>
      <c r="J695" s="1216"/>
      <c r="K695" s="1216"/>
      <c r="L695" s="1216"/>
      <c r="M695" s="1216"/>
      <c r="N695" s="1216"/>
      <c r="O695" s="1216"/>
      <c r="P695" s="1216"/>
      <c r="Q695" s="1216"/>
      <c r="R695" s="1216"/>
      <c r="S695" s="1216"/>
    </row>
    <row r="696" spans="1:19" ht="12.75" customHeight="1">
      <c r="A696" s="1216"/>
      <c r="B696" s="1216"/>
      <c r="C696" s="1216"/>
      <c r="D696" s="1216"/>
      <c r="E696" s="1216"/>
      <c r="F696" s="1216"/>
      <c r="G696" s="1216"/>
      <c r="H696" s="1216"/>
      <c r="I696" s="1216"/>
      <c r="J696" s="1216"/>
      <c r="K696" s="1216"/>
      <c r="L696" s="1216"/>
      <c r="M696" s="1216"/>
      <c r="N696" s="1216"/>
      <c r="O696" s="1216"/>
      <c r="P696" s="1216"/>
      <c r="Q696" s="1216"/>
      <c r="R696" s="1216"/>
      <c r="S696" s="1216"/>
    </row>
    <row r="697" spans="1:19">
      <c r="A697" s="1216"/>
      <c r="B697" s="1216"/>
      <c r="C697" s="1216"/>
      <c r="D697" s="1216"/>
      <c r="E697" s="1216"/>
      <c r="F697" s="1216"/>
      <c r="G697" s="1216"/>
      <c r="H697" s="1216"/>
      <c r="I697" s="1216"/>
      <c r="J697" s="1216"/>
      <c r="K697" s="1216"/>
      <c r="L697" s="1216"/>
      <c r="M697" s="1216"/>
      <c r="N697" s="1216"/>
      <c r="O697" s="1216"/>
      <c r="P697" s="1216"/>
      <c r="Q697" s="1216"/>
      <c r="R697" s="1216"/>
      <c r="S697" s="1216"/>
    </row>
    <row r="698" spans="1:19">
      <c r="A698" s="1216"/>
      <c r="B698" s="1216"/>
      <c r="C698" s="1216"/>
      <c r="D698" s="1216"/>
      <c r="E698" s="1216"/>
      <c r="F698" s="1216"/>
      <c r="G698" s="1216"/>
      <c r="H698" s="1216"/>
      <c r="I698" s="1216"/>
      <c r="J698" s="1216"/>
      <c r="K698" s="1216"/>
      <c r="L698" s="1216"/>
      <c r="M698" s="1216"/>
      <c r="N698" s="1216"/>
      <c r="O698" s="1216"/>
      <c r="P698" s="1216"/>
      <c r="Q698" s="1216"/>
      <c r="R698" s="1216"/>
      <c r="S698" s="1216"/>
    </row>
    <row r="699" spans="1:19">
      <c r="A699" s="1216"/>
      <c r="B699" s="1216"/>
      <c r="C699" s="1216"/>
      <c r="D699" s="1216"/>
      <c r="E699" s="1216"/>
      <c r="F699" s="1216"/>
      <c r="G699" s="1216"/>
      <c r="H699" s="1216"/>
      <c r="I699" s="1216"/>
      <c r="J699" s="1216"/>
      <c r="K699" s="1216"/>
      <c r="L699" s="1216"/>
      <c r="M699" s="1216"/>
      <c r="N699" s="1216"/>
      <c r="O699" s="1216"/>
      <c r="P699" s="1216"/>
      <c r="Q699" s="1216"/>
      <c r="R699" s="1216"/>
      <c r="S699" s="1216"/>
    </row>
    <row r="700" spans="1:19" ht="12.75" customHeight="1">
      <c r="A700" s="1287" t="s">
        <v>4668</v>
      </c>
      <c r="B700" s="1216"/>
      <c r="C700" s="1216"/>
      <c r="D700" s="1216"/>
      <c r="E700" s="1216"/>
      <c r="F700" s="1216"/>
      <c r="G700" s="1216"/>
      <c r="H700" s="1216"/>
      <c r="I700" s="1216"/>
      <c r="J700" s="1216"/>
      <c r="K700" s="1216"/>
      <c r="L700" s="1216"/>
      <c r="M700" s="1216"/>
      <c r="N700" s="1216"/>
      <c r="O700" s="1216"/>
      <c r="P700" s="1216"/>
      <c r="Q700" s="1216"/>
      <c r="R700" s="1216"/>
      <c r="S700" s="1216"/>
    </row>
    <row r="701" spans="1:19">
      <c r="A701" s="1216"/>
      <c r="B701" s="1216"/>
      <c r="C701" s="1216"/>
      <c r="D701" s="1216"/>
      <c r="E701" s="1216"/>
      <c r="F701" s="1216"/>
      <c r="G701" s="1216"/>
      <c r="H701" s="1216"/>
      <c r="I701" s="1216"/>
      <c r="J701" s="1216"/>
      <c r="K701" s="1216"/>
      <c r="L701" s="1216"/>
      <c r="M701" s="1216"/>
      <c r="N701" s="1216"/>
      <c r="O701" s="1216"/>
      <c r="P701" s="1216"/>
      <c r="Q701" s="1216"/>
      <c r="R701" s="1216"/>
      <c r="S701" s="1216"/>
    </row>
    <row r="702" spans="1:19">
      <c r="A702" s="1216"/>
      <c r="B702" s="1216"/>
      <c r="C702" s="1216"/>
      <c r="D702" s="1216"/>
      <c r="E702" s="1216"/>
      <c r="F702" s="1216"/>
      <c r="G702" s="1216"/>
      <c r="H702" s="1216"/>
      <c r="I702" s="1216"/>
      <c r="J702" s="1216"/>
      <c r="K702" s="1216"/>
      <c r="L702" s="1216"/>
      <c r="M702" s="1216"/>
      <c r="N702" s="1216"/>
      <c r="O702" s="1216"/>
      <c r="P702" s="1216"/>
      <c r="Q702" s="1216"/>
      <c r="R702" s="1216"/>
      <c r="S702" s="1216"/>
    </row>
    <row r="703" spans="1:19">
      <c r="A703" s="1216"/>
      <c r="B703" s="1216"/>
      <c r="C703" s="1216"/>
      <c r="D703" s="1216"/>
      <c r="E703" s="1216"/>
      <c r="F703" s="1216"/>
      <c r="G703" s="1216"/>
      <c r="H703" s="1216"/>
      <c r="I703" s="1216"/>
      <c r="J703" s="1216"/>
      <c r="K703" s="1216"/>
      <c r="L703" s="1216"/>
      <c r="M703" s="1216"/>
      <c r="N703" s="1216"/>
      <c r="O703" s="1216"/>
      <c r="P703" s="1216"/>
      <c r="Q703" s="1216"/>
      <c r="R703" s="1216"/>
      <c r="S703" s="1216"/>
    </row>
    <row r="704" spans="1:19">
      <c r="A704" s="1216"/>
      <c r="B704" s="1216"/>
      <c r="C704" s="1216"/>
      <c r="D704" s="1216"/>
      <c r="E704" s="1216"/>
      <c r="F704" s="1216"/>
      <c r="G704" s="1216"/>
      <c r="H704" s="1216"/>
      <c r="I704" s="1216"/>
      <c r="J704" s="1216"/>
      <c r="K704" s="1216"/>
      <c r="L704" s="1216"/>
      <c r="M704" s="1216"/>
      <c r="N704" s="1216"/>
      <c r="O704" s="1216"/>
      <c r="P704" s="1216"/>
      <c r="Q704" s="1216"/>
      <c r="R704" s="1216"/>
      <c r="S704" s="1216"/>
    </row>
    <row r="705" spans="1:19">
      <c r="A705" s="1216"/>
      <c r="B705" s="1216"/>
      <c r="C705" s="1216"/>
      <c r="D705" s="1216"/>
      <c r="E705" s="1216"/>
      <c r="F705" s="1216"/>
      <c r="G705" s="1216"/>
      <c r="H705" s="1216"/>
      <c r="I705" s="1216"/>
      <c r="J705" s="1216"/>
      <c r="K705" s="1216"/>
      <c r="L705" s="1216"/>
      <c r="M705" s="1216"/>
      <c r="N705" s="1216"/>
      <c r="O705" s="1216"/>
      <c r="P705" s="1216"/>
      <c r="Q705" s="1216"/>
      <c r="R705" s="1216"/>
      <c r="S705" s="1216"/>
    </row>
    <row r="706" spans="1:19">
      <c r="A706" s="1216"/>
      <c r="B706" s="1216"/>
      <c r="C706" s="1216"/>
      <c r="D706" s="1216"/>
      <c r="E706" s="1216"/>
      <c r="F706" s="1216"/>
      <c r="G706" s="1216"/>
      <c r="H706" s="1216"/>
      <c r="I706" s="1216"/>
      <c r="J706" s="1216"/>
      <c r="K706" s="1216"/>
      <c r="L706" s="1216"/>
      <c r="M706" s="1216"/>
      <c r="N706" s="1216"/>
      <c r="O706" s="1216"/>
      <c r="P706" s="1216"/>
      <c r="Q706" s="1216"/>
      <c r="R706" s="1216"/>
      <c r="S706" s="1216"/>
    </row>
    <row r="707" spans="1:19">
      <c r="A707" s="1216"/>
      <c r="B707" s="1216"/>
      <c r="C707" s="1216"/>
      <c r="D707" s="1216"/>
      <c r="E707" s="1216"/>
      <c r="F707" s="1216"/>
      <c r="G707" s="1216"/>
      <c r="H707" s="1216"/>
      <c r="I707" s="1216"/>
      <c r="J707" s="1216"/>
      <c r="K707" s="1216"/>
      <c r="L707" s="1216"/>
      <c r="M707" s="1216"/>
      <c r="N707" s="1216"/>
      <c r="O707" s="1216"/>
      <c r="P707" s="1216"/>
      <c r="Q707" s="1216"/>
      <c r="R707" s="1216"/>
      <c r="S707" s="1216"/>
    </row>
    <row r="708" spans="1:19">
      <c r="A708" s="1216"/>
      <c r="B708" s="1216"/>
      <c r="C708" s="1216"/>
      <c r="D708" s="1216"/>
      <c r="E708" s="1216"/>
      <c r="F708" s="1216"/>
      <c r="G708" s="1216"/>
      <c r="H708" s="1216"/>
      <c r="I708" s="1216"/>
      <c r="J708" s="1216"/>
      <c r="K708" s="1216"/>
      <c r="L708" s="1216"/>
      <c r="M708" s="1216"/>
      <c r="N708" s="1216"/>
      <c r="O708" s="1216"/>
      <c r="P708" s="1216"/>
      <c r="Q708" s="1216"/>
      <c r="R708" s="1216"/>
      <c r="S708" s="1216"/>
    </row>
    <row r="709" spans="1:19">
      <c r="A709" s="1216"/>
      <c r="B709" s="1216"/>
      <c r="C709" s="1216"/>
      <c r="D709" s="1216"/>
      <c r="E709" s="1216"/>
      <c r="F709" s="1216"/>
      <c r="G709" s="1216"/>
      <c r="H709" s="1216"/>
      <c r="I709" s="1216"/>
      <c r="J709" s="1216"/>
      <c r="K709" s="1216"/>
      <c r="L709" s="1216"/>
      <c r="M709" s="1216"/>
      <c r="N709" s="1216"/>
      <c r="O709" s="1216"/>
      <c r="P709" s="1216"/>
      <c r="Q709" s="1216"/>
      <c r="R709" s="1216"/>
      <c r="S709" s="1216"/>
    </row>
    <row r="710" spans="1:19" ht="12.75" customHeight="1">
      <c r="A710" s="1287" t="s">
        <v>4669</v>
      </c>
      <c r="B710" s="1216"/>
      <c r="C710" s="1216"/>
      <c r="D710" s="1216"/>
      <c r="E710" s="1216"/>
      <c r="F710" s="1216"/>
      <c r="G710" s="1216"/>
      <c r="H710" s="1216"/>
      <c r="I710" s="1216"/>
      <c r="J710" s="1216"/>
      <c r="K710" s="1216"/>
      <c r="L710" s="1216"/>
      <c r="M710" s="1216"/>
      <c r="N710" s="1216"/>
      <c r="O710" s="1216"/>
      <c r="P710" s="1216"/>
      <c r="Q710" s="1216"/>
      <c r="R710" s="1216"/>
      <c r="S710" s="1216"/>
    </row>
    <row r="711" spans="1:19">
      <c r="A711" s="1216"/>
      <c r="B711" s="1216"/>
      <c r="C711" s="1216"/>
      <c r="D711" s="1216"/>
      <c r="E711" s="1216"/>
      <c r="F711" s="1216"/>
      <c r="G711" s="1216"/>
      <c r="H711" s="1216"/>
      <c r="I711" s="1216"/>
      <c r="J711" s="1216"/>
      <c r="K711" s="1216"/>
      <c r="L711" s="1216"/>
      <c r="M711" s="1216"/>
      <c r="N711" s="1216"/>
      <c r="O711" s="1216"/>
      <c r="P711" s="1216"/>
      <c r="Q711" s="1216"/>
      <c r="R711" s="1216"/>
      <c r="S711" s="1216"/>
    </row>
    <row r="712" spans="1:19">
      <c r="A712" s="1216"/>
      <c r="B712" s="1216"/>
      <c r="C712" s="1216"/>
      <c r="D712" s="1216"/>
      <c r="E712" s="1216"/>
      <c r="F712" s="1216"/>
      <c r="G712" s="1216"/>
      <c r="H712" s="1216"/>
      <c r="I712" s="1216"/>
      <c r="J712" s="1216"/>
      <c r="K712" s="1216"/>
      <c r="L712" s="1216"/>
      <c r="M712" s="1216"/>
      <c r="N712" s="1216"/>
      <c r="O712" s="1216"/>
      <c r="P712" s="1216"/>
      <c r="Q712" s="1216"/>
      <c r="R712" s="1216"/>
      <c r="S712" s="1216"/>
    </row>
    <row r="713" spans="1:19">
      <c r="A713" s="1216"/>
      <c r="B713" s="1216"/>
      <c r="C713" s="1216"/>
      <c r="D713" s="1216"/>
      <c r="E713" s="1216"/>
      <c r="F713" s="1216"/>
      <c r="G713" s="1216"/>
      <c r="H713" s="1216"/>
      <c r="I713" s="1216"/>
      <c r="J713" s="1216"/>
      <c r="K713" s="1216"/>
      <c r="L713" s="1216"/>
      <c r="M713" s="1216"/>
      <c r="N713" s="1216"/>
      <c r="O713" s="1216"/>
      <c r="P713" s="1216"/>
      <c r="Q713" s="1216"/>
      <c r="R713" s="1216"/>
      <c r="S713" s="1216"/>
    </row>
    <row r="714" spans="1:19">
      <c r="A714" s="1216"/>
      <c r="B714" s="1216"/>
      <c r="C714" s="1216"/>
      <c r="D714" s="1216"/>
      <c r="E714" s="1216"/>
      <c r="F714" s="1216"/>
      <c r="G714" s="1216"/>
      <c r="H714" s="1216"/>
      <c r="I714" s="1216"/>
      <c r="J714" s="1216"/>
      <c r="K714" s="1216"/>
      <c r="L714" s="1216"/>
      <c r="M714" s="1216"/>
      <c r="N714" s="1216"/>
      <c r="O714" s="1216"/>
      <c r="P714" s="1216"/>
      <c r="Q714" s="1216"/>
      <c r="R714" s="1216"/>
      <c r="S714" s="1216"/>
    </row>
    <row r="715" spans="1:19">
      <c r="A715" s="1216"/>
      <c r="B715" s="1216"/>
      <c r="C715" s="1216"/>
      <c r="D715" s="1216"/>
      <c r="E715" s="1216"/>
      <c r="F715" s="1216"/>
      <c r="G715" s="1216"/>
      <c r="H715" s="1216"/>
      <c r="I715" s="1216"/>
      <c r="J715" s="1216"/>
      <c r="K715" s="1216"/>
      <c r="L715" s="1216"/>
      <c r="M715" s="1216"/>
      <c r="N715" s="1216"/>
      <c r="O715" s="1216"/>
      <c r="P715" s="1216"/>
      <c r="Q715" s="1216"/>
      <c r="R715" s="1216"/>
      <c r="S715" s="1216"/>
    </row>
    <row r="716" spans="1:19">
      <c r="B716" s="1871" t="s">
        <v>4386</v>
      </c>
      <c r="C716" s="1871"/>
      <c r="D716" s="1871"/>
      <c r="E716" s="1871"/>
      <c r="F716" s="1871"/>
      <c r="G716" s="1871" t="s">
        <v>4387</v>
      </c>
      <c r="H716" s="1871"/>
      <c r="I716" s="1871"/>
      <c r="J716" s="1871"/>
      <c r="K716" s="1871"/>
      <c r="L716" s="1871"/>
      <c r="M716" s="1871"/>
      <c r="N716" s="1871"/>
      <c r="O716" s="1871"/>
      <c r="P716" s="1871"/>
      <c r="Q716" s="1871" t="s">
        <v>4388</v>
      </c>
      <c r="R716" s="1871"/>
      <c r="S716" s="1871"/>
    </row>
    <row r="717" spans="1:19">
      <c r="B717" s="1871"/>
      <c r="C717" s="1871"/>
      <c r="D717" s="1871"/>
      <c r="E717" s="1871"/>
      <c r="F717" s="1871"/>
      <c r="G717" s="1871"/>
      <c r="H717" s="1871"/>
      <c r="I717" s="1871"/>
      <c r="J717" s="1871"/>
      <c r="K717" s="1871"/>
      <c r="L717" s="1871"/>
      <c r="M717" s="1871"/>
      <c r="N717" s="1871"/>
      <c r="O717" s="1871"/>
      <c r="P717" s="1871"/>
      <c r="Q717" s="1871"/>
      <c r="R717" s="1871"/>
      <c r="S717" s="1871"/>
    </row>
    <row r="718" spans="1:19">
      <c r="B718" s="1871"/>
      <c r="C718" s="1871"/>
      <c r="D718" s="1871"/>
      <c r="E718" s="1871"/>
      <c r="F718" s="1871"/>
      <c r="G718" s="1871"/>
      <c r="H718" s="1871"/>
      <c r="I718" s="1871"/>
      <c r="J718" s="1871"/>
      <c r="K718" s="1871"/>
      <c r="L718" s="1871"/>
      <c r="M718" s="1871"/>
      <c r="N718" s="1871"/>
      <c r="O718" s="1871"/>
      <c r="P718" s="1871"/>
      <c r="Q718" s="1871"/>
      <c r="R718" s="1871"/>
      <c r="S718" s="1871"/>
    </row>
    <row r="719" spans="1:19">
      <c r="B719" s="1800" t="s">
        <v>4389</v>
      </c>
      <c r="C719" s="1738"/>
      <c r="D719" s="1738"/>
      <c r="E719" s="1738"/>
      <c r="F719" s="1738"/>
      <c r="G719" s="1738" t="s">
        <v>4390</v>
      </c>
      <c r="H719" s="1738"/>
      <c r="I719" s="1738"/>
      <c r="J719" s="1738"/>
      <c r="K719" s="1738"/>
      <c r="L719" s="1738"/>
      <c r="M719" s="1738"/>
      <c r="N719" s="1738"/>
      <c r="O719" s="1738"/>
      <c r="P719" s="1738"/>
      <c r="Q719" s="1870">
        <v>4338.16</v>
      </c>
      <c r="R719" s="1870"/>
      <c r="S719" s="1870"/>
    </row>
    <row r="720" spans="1:19">
      <c r="B720" s="1738" t="s">
        <v>4391</v>
      </c>
      <c r="C720" s="1738"/>
      <c r="D720" s="1738"/>
      <c r="E720" s="1738"/>
      <c r="F720" s="1738"/>
      <c r="G720" s="1738" t="s">
        <v>4392</v>
      </c>
      <c r="H720" s="1738"/>
      <c r="I720" s="1738"/>
      <c r="J720" s="1738"/>
      <c r="K720" s="1738"/>
      <c r="L720" s="1738"/>
      <c r="M720" s="1738"/>
      <c r="N720" s="1738"/>
      <c r="O720" s="1738"/>
      <c r="P720" s="1738"/>
      <c r="Q720" s="1870">
        <v>2388.2399999999998</v>
      </c>
      <c r="R720" s="1870"/>
      <c r="S720" s="1870"/>
    </row>
    <row r="721" spans="2:19" ht="24.95" customHeight="1">
      <c r="B721" s="1872" t="s">
        <v>4393</v>
      </c>
      <c r="C721" s="1872"/>
      <c r="D721" s="1872"/>
      <c r="E721" s="1872"/>
      <c r="F721" s="1872"/>
      <c r="G721" s="1872" t="s">
        <v>4394</v>
      </c>
      <c r="H721" s="1872"/>
      <c r="I721" s="1872"/>
      <c r="J721" s="1872"/>
      <c r="K721" s="1872"/>
      <c r="L721" s="1872"/>
      <c r="M721" s="1872"/>
      <c r="N721" s="1872"/>
      <c r="O721" s="1872"/>
      <c r="P721" s="1872"/>
      <c r="Q721" s="1874">
        <v>6726.4</v>
      </c>
      <c r="R721" s="1874"/>
      <c r="S721" s="1874"/>
    </row>
    <row r="722" spans="2:19">
      <c r="B722" s="1738" t="s">
        <v>4547</v>
      </c>
      <c r="C722" s="1738"/>
      <c r="D722" s="1738"/>
      <c r="E722" s="1738"/>
      <c r="F722" s="1738"/>
      <c r="G722" s="1738" t="s">
        <v>4548</v>
      </c>
      <c r="H722" s="1738"/>
      <c r="I722" s="1738"/>
      <c r="J722" s="1738"/>
      <c r="K722" s="1738"/>
      <c r="L722" s="1738"/>
      <c r="M722" s="1738"/>
      <c r="N722" s="1738"/>
      <c r="O722" s="1738"/>
      <c r="P722" s="1738"/>
      <c r="Q722" s="1725">
        <v>500.22</v>
      </c>
      <c r="R722" s="1725"/>
      <c r="S722" s="1725"/>
    </row>
    <row r="723" spans="2:19">
      <c r="B723" s="1738"/>
      <c r="C723" s="1738"/>
      <c r="D723" s="1738"/>
      <c r="E723" s="1738"/>
      <c r="F723" s="1738"/>
      <c r="G723" s="1738"/>
      <c r="H723" s="1738"/>
      <c r="I723" s="1738"/>
      <c r="J723" s="1738"/>
      <c r="K723" s="1738"/>
      <c r="L723" s="1738"/>
      <c r="M723" s="1738"/>
      <c r="N723" s="1738"/>
      <c r="O723" s="1738"/>
      <c r="P723" s="1738"/>
      <c r="Q723" s="1725"/>
      <c r="R723" s="1725"/>
      <c r="S723" s="1725"/>
    </row>
    <row r="724" spans="2:19">
      <c r="B724" s="1738"/>
      <c r="C724" s="1738"/>
      <c r="D724" s="1738"/>
      <c r="E724" s="1738"/>
      <c r="F724" s="1738"/>
      <c r="G724" s="1738"/>
      <c r="H724" s="1738"/>
      <c r="I724" s="1738"/>
      <c r="J724" s="1738"/>
      <c r="K724" s="1738"/>
      <c r="L724" s="1738"/>
      <c r="M724" s="1738"/>
      <c r="N724" s="1738"/>
      <c r="O724" s="1738"/>
      <c r="P724" s="1738"/>
      <c r="Q724" s="1725"/>
      <c r="R724" s="1725"/>
      <c r="S724" s="1725"/>
    </row>
    <row r="725" spans="2:19">
      <c r="B725" s="1738"/>
      <c r="C725" s="1738"/>
      <c r="D725" s="1738"/>
      <c r="E725" s="1738"/>
      <c r="F725" s="1738"/>
      <c r="G725" s="1738"/>
      <c r="H725" s="1738"/>
      <c r="I725" s="1738"/>
      <c r="J725" s="1738"/>
      <c r="K725" s="1738"/>
      <c r="L725" s="1738"/>
      <c r="M725" s="1738"/>
      <c r="N725" s="1738"/>
      <c r="O725" s="1738"/>
      <c r="P725" s="1738"/>
      <c r="Q725" s="1725"/>
      <c r="R725" s="1725"/>
      <c r="S725" s="1725"/>
    </row>
    <row r="726" spans="2:19">
      <c r="B726" s="1738"/>
      <c r="C726" s="1738"/>
      <c r="D726" s="1738"/>
      <c r="E726" s="1738"/>
      <c r="F726" s="1738"/>
      <c r="G726" s="1738"/>
      <c r="H726" s="1738"/>
      <c r="I726" s="1738"/>
      <c r="J726" s="1738"/>
      <c r="K726" s="1738"/>
      <c r="L726" s="1738"/>
      <c r="M726" s="1738"/>
      <c r="N726" s="1738"/>
      <c r="O726" s="1738"/>
      <c r="P726" s="1738"/>
      <c r="Q726" s="1725"/>
      <c r="R726" s="1725"/>
      <c r="S726" s="1725"/>
    </row>
    <row r="727" spans="2:19">
      <c r="B727" s="1738"/>
      <c r="C727" s="1738"/>
      <c r="D727" s="1738"/>
      <c r="E727" s="1738"/>
      <c r="F727" s="1738"/>
      <c r="G727" s="1738"/>
      <c r="H727" s="1738"/>
      <c r="I727" s="1738"/>
      <c r="J727" s="1738"/>
      <c r="K727" s="1738"/>
      <c r="L727" s="1738"/>
      <c r="M727" s="1738"/>
      <c r="N727" s="1738"/>
      <c r="O727" s="1738"/>
      <c r="P727" s="1738"/>
      <c r="Q727" s="1725"/>
      <c r="R727" s="1725"/>
      <c r="S727" s="1725"/>
    </row>
    <row r="728" spans="2:19">
      <c r="B728" s="1738"/>
      <c r="C728" s="1738"/>
      <c r="D728" s="1738"/>
      <c r="E728" s="1738"/>
      <c r="F728" s="1738"/>
      <c r="G728" s="1738"/>
      <c r="H728" s="1738"/>
      <c r="I728" s="1738"/>
      <c r="J728" s="1738"/>
      <c r="K728" s="1738"/>
      <c r="L728" s="1738"/>
      <c r="M728" s="1738"/>
      <c r="N728" s="1738"/>
      <c r="O728" s="1738"/>
      <c r="P728" s="1738"/>
      <c r="Q728" s="1725"/>
      <c r="R728" s="1725"/>
      <c r="S728" s="1725"/>
    </row>
    <row r="729" spans="2:19">
      <c r="B729" s="1738"/>
      <c r="C729" s="1738"/>
      <c r="D729" s="1738"/>
      <c r="E729" s="1738"/>
      <c r="F729" s="1738"/>
      <c r="G729" s="1738"/>
      <c r="H729" s="1738"/>
      <c r="I729" s="1738"/>
      <c r="J729" s="1738"/>
      <c r="K729" s="1738"/>
      <c r="L729" s="1738"/>
      <c r="M729" s="1738"/>
      <c r="N729" s="1738"/>
      <c r="O729" s="1738"/>
      <c r="P729" s="1738"/>
      <c r="Q729" s="1725"/>
      <c r="R729" s="1725"/>
      <c r="S729" s="1725"/>
    </row>
    <row r="730" spans="2:19">
      <c r="B730" s="1738"/>
      <c r="C730" s="1738"/>
      <c r="D730" s="1738"/>
      <c r="E730" s="1738"/>
      <c r="F730" s="1738"/>
      <c r="G730" s="1738"/>
      <c r="H730" s="1738"/>
      <c r="I730" s="1738"/>
      <c r="J730" s="1738"/>
      <c r="K730" s="1738"/>
      <c r="L730" s="1738"/>
      <c r="M730" s="1738"/>
      <c r="N730" s="1738"/>
      <c r="O730" s="1738"/>
      <c r="P730" s="1738"/>
      <c r="Q730" s="1725"/>
      <c r="R730" s="1725"/>
      <c r="S730" s="1725"/>
    </row>
    <row r="731" spans="2:19">
      <c r="B731" s="1738" t="s">
        <v>4395</v>
      </c>
      <c r="C731" s="1738"/>
      <c r="D731" s="1738"/>
      <c r="E731" s="1738"/>
      <c r="F731" s="1738"/>
      <c r="G731" s="1738" t="s">
        <v>4396</v>
      </c>
      <c r="H731" s="1738"/>
      <c r="I731" s="1738"/>
      <c r="J731" s="1738"/>
      <c r="K731" s="1738"/>
      <c r="L731" s="1738"/>
      <c r="M731" s="1738"/>
      <c r="N731" s="1738"/>
      <c r="O731" s="1738"/>
      <c r="P731" s="1738"/>
      <c r="Q731" s="1738">
        <v>300.13</v>
      </c>
      <c r="R731" s="1738"/>
      <c r="S731" s="1738"/>
    </row>
    <row r="732" spans="2:19" ht="24.95" customHeight="1">
      <c r="B732" s="1872" t="s">
        <v>4397</v>
      </c>
      <c r="C732" s="1872"/>
      <c r="D732" s="1872"/>
      <c r="E732" s="1872"/>
      <c r="F732" s="1872"/>
      <c r="G732" s="1872" t="s">
        <v>4398</v>
      </c>
      <c r="H732" s="1872"/>
      <c r="I732" s="1872"/>
      <c r="J732" s="1872"/>
      <c r="K732" s="1872"/>
      <c r="L732" s="1872"/>
      <c r="M732" s="1872"/>
      <c r="N732" s="1872"/>
      <c r="O732" s="1872"/>
      <c r="P732" s="1872"/>
      <c r="Q732" s="1874">
        <v>7526.75</v>
      </c>
      <c r="R732" s="1874"/>
      <c r="S732" s="1874"/>
    </row>
    <row r="733" spans="2:19">
      <c r="B733" s="1738" t="s">
        <v>4399</v>
      </c>
      <c r="C733" s="1738"/>
      <c r="D733" s="1738"/>
      <c r="E733" s="1738"/>
      <c r="F733" s="1738"/>
      <c r="G733" s="1738"/>
      <c r="H733" s="1738"/>
      <c r="I733" s="1738"/>
      <c r="J733" s="1738"/>
      <c r="K733" s="1738"/>
      <c r="L733" s="1738"/>
      <c r="M733" s="1738"/>
      <c r="N733" s="1738"/>
      <c r="O733" s="1738"/>
      <c r="P733" s="1738"/>
      <c r="Q733" s="1738">
        <v>500.22</v>
      </c>
      <c r="R733" s="1738"/>
      <c r="S733" s="1738"/>
    </row>
    <row r="734" spans="2:19">
      <c r="B734" s="1738" t="s">
        <v>4400</v>
      </c>
      <c r="C734" s="1738"/>
      <c r="D734" s="1738"/>
      <c r="E734" s="1738"/>
      <c r="F734" s="1738"/>
      <c r="G734" s="1738"/>
      <c r="H734" s="1738"/>
      <c r="I734" s="1738"/>
      <c r="J734" s="1738"/>
      <c r="K734" s="1738"/>
      <c r="L734" s="1738"/>
      <c r="M734" s="1738"/>
      <c r="N734" s="1738"/>
      <c r="O734" s="1738"/>
      <c r="P734" s="1738"/>
      <c r="Q734" s="1738">
        <v>300.13</v>
      </c>
      <c r="R734" s="1738"/>
      <c r="S734" s="1738"/>
    </row>
    <row r="735" spans="2:19">
      <c r="B735" s="1738" t="s">
        <v>4401</v>
      </c>
      <c r="C735" s="1738"/>
      <c r="D735" s="1738"/>
      <c r="E735" s="1738"/>
      <c r="F735" s="1738"/>
      <c r="G735" s="1738" t="s">
        <v>4402</v>
      </c>
      <c r="H735" s="1738"/>
      <c r="I735" s="1738"/>
      <c r="J735" s="1738"/>
      <c r="K735" s="1738"/>
      <c r="L735" s="1738"/>
      <c r="M735" s="1738"/>
      <c r="N735" s="1738"/>
      <c r="O735" s="1738"/>
      <c r="P735" s="1738"/>
      <c r="Q735" s="1738">
        <v>400.17</v>
      </c>
      <c r="R735" s="1738"/>
      <c r="S735" s="1738"/>
    </row>
    <row r="736" spans="2:19">
      <c r="B736" s="1738" t="s">
        <v>4403</v>
      </c>
      <c r="C736" s="1738"/>
      <c r="D736" s="1738"/>
      <c r="E736" s="1738"/>
      <c r="F736" s="1738"/>
      <c r="G736" s="1738" t="s">
        <v>4404</v>
      </c>
      <c r="H736" s="1738"/>
      <c r="I736" s="1738"/>
      <c r="J736" s="1738"/>
      <c r="K736" s="1738"/>
      <c r="L736" s="1738"/>
      <c r="M736" s="1738"/>
      <c r="N736" s="1738"/>
      <c r="O736" s="1738"/>
      <c r="P736" s="1738"/>
      <c r="Q736" s="1738">
        <v>530.96</v>
      </c>
      <c r="R736" s="1738"/>
      <c r="S736" s="1738"/>
    </row>
    <row r="737" spans="1:19">
      <c r="B737" s="1738"/>
      <c r="C737" s="1738"/>
      <c r="D737" s="1738"/>
      <c r="E737" s="1738"/>
      <c r="F737" s="1738"/>
      <c r="G737" s="1738"/>
      <c r="H737" s="1738"/>
      <c r="I737" s="1738"/>
      <c r="J737" s="1738"/>
      <c r="K737" s="1738"/>
      <c r="L737" s="1738"/>
      <c r="M737" s="1738"/>
      <c r="N737" s="1738"/>
      <c r="O737" s="1738"/>
      <c r="P737" s="1738"/>
      <c r="Q737" s="1738"/>
      <c r="R737" s="1738"/>
      <c r="S737" s="1738"/>
    </row>
    <row r="738" spans="1:19">
      <c r="B738" s="1738"/>
      <c r="C738" s="1738"/>
      <c r="D738" s="1738"/>
      <c r="E738" s="1738"/>
      <c r="F738" s="1738"/>
      <c r="G738" s="1738"/>
      <c r="H738" s="1738"/>
      <c r="I738" s="1738"/>
      <c r="J738" s="1738"/>
      <c r="K738" s="1738"/>
      <c r="L738" s="1738"/>
      <c r="M738" s="1738"/>
      <c r="N738" s="1738"/>
      <c r="O738" s="1738"/>
      <c r="P738" s="1738"/>
      <c r="Q738" s="1738"/>
      <c r="R738" s="1738"/>
      <c r="S738" s="1738"/>
    </row>
    <row r="739" spans="1:19">
      <c r="B739" s="1738" t="s">
        <v>4405</v>
      </c>
      <c r="C739" s="1738"/>
      <c r="D739" s="1738"/>
      <c r="E739" s="1738"/>
      <c r="F739" s="1738"/>
      <c r="G739" s="1738" t="s">
        <v>4406</v>
      </c>
      <c r="H739" s="1738"/>
      <c r="I739" s="1738"/>
      <c r="J739" s="1738"/>
      <c r="K739" s="1738"/>
      <c r="L739" s="1738"/>
      <c r="M739" s="1738"/>
      <c r="N739" s="1738"/>
      <c r="O739" s="1738"/>
      <c r="P739" s="1738"/>
      <c r="Q739" s="1738">
        <v>44.39</v>
      </c>
      <c r="R739" s="1738"/>
      <c r="S739" s="1738"/>
    </row>
    <row r="740" spans="1:19" ht="24.95" customHeight="1">
      <c r="B740" s="1872" t="s">
        <v>4407</v>
      </c>
      <c r="C740" s="1872"/>
      <c r="D740" s="1872"/>
      <c r="E740" s="1872"/>
      <c r="F740" s="1872"/>
      <c r="G740" s="1872" t="s">
        <v>4408</v>
      </c>
      <c r="H740" s="1872"/>
      <c r="I740" s="1872"/>
      <c r="J740" s="1872"/>
      <c r="K740" s="1872"/>
      <c r="L740" s="1872"/>
      <c r="M740" s="1872"/>
      <c r="N740" s="1872"/>
      <c r="O740" s="1872"/>
      <c r="P740" s="1872"/>
      <c r="Q740" s="1874">
        <v>1775.87</v>
      </c>
      <c r="R740" s="1874"/>
      <c r="S740" s="1874"/>
    </row>
    <row r="741" spans="1:19" ht="24.95" customHeight="1">
      <c r="B741" s="1872" t="s">
        <v>4409</v>
      </c>
      <c r="C741" s="1872"/>
      <c r="D741" s="1872"/>
      <c r="E741" s="1872"/>
      <c r="F741" s="1872"/>
      <c r="G741" s="1872" t="s">
        <v>4410</v>
      </c>
      <c r="H741" s="1872"/>
      <c r="I741" s="1872"/>
      <c r="J741" s="1872"/>
      <c r="K741" s="1872"/>
      <c r="L741" s="1872"/>
      <c r="M741" s="1872"/>
      <c r="N741" s="1872"/>
      <c r="O741" s="1872"/>
      <c r="P741" s="1872"/>
      <c r="Q741" s="1874">
        <v>5750.88</v>
      </c>
      <c r="R741" s="1874"/>
      <c r="S741" s="1874"/>
    </row>
    <row r="742" spans="1:19">
      <c r="G742" s="1406"/>
      <c r="H742" s="1406"/>
      <c r="I742" s="1406"/>
      <c r="J742" s="1406"/>
      <c r="K742" s="1406"/>
      <c r="L742" s="1406"/>
      <c r="M742" s="1406"/>
      <c r="N742" s="1406"/>
      <c r="O742" s="1406"/>
      <c r="P742" s="1406"/>
    </row>
    <row r="743" spans="1:19">
      <c r="A743" s="1287" t="s">
        <v>4670</v>
      </c>
      <c r="B743" s="1216"/>
      <c r="C743" s="1216"/>
      <c r="D743" s="1216"/>
      <c r="E743" s="1216"/>
      <c r="F743" s="1216"/>
      <c r="G743" s="1216"/>
      <c r="H743" s="1216"/>
      <c r="I743" s="1216"/>
      <c r="J743" s="1216"/>
      <c r="K743" s="1216"/>
      <c r="L743" s="1216"/>
      <c r="M743" s="1216"/>
      <c r="N743" s="1216"/>
      <c r="O743" s="1216"/>
      <c r="P743" s="1216"/>
      <c r="Q743" s="1216"/>
      <c r="R743" s="1216"/>
      <c r="S743" s="1216"/>
    </row>
    <row r="744" spans="1:19">
      <c r="A744" s="1216"/>
      <c r="B744" s="1216"/>
      <c r="C744" s="1216"/>
      <c r="D744" s="1216"/>
      <c r="E744" s="1216"/>
      <c r="F744" s="1216"/>
      <c r="G744" s="1216"/>
      <c r="H744" s="1216"/>
      <c r="I744" s="1216"/>
      <c r="J744" s="1216"/>
      <c r="K744" s="1216"/>
      <c r="L744" s="1216"/>
      <c r="M744" s="1216"/>
      <c r="N744" s="1216"/>
      <c r="O744" s="1216"/>
      <c r="P744" s="1216"/>
      <c r="Q744" s="1216"/>
      <c r="R744" s="1216"/>
      <c r="S744" s="1216"/>
    </row>
    <row r="745" spans="1:19">
      <c r="A745" s="1216"/>
      <c r="B745" s="1216"/>
      <c r="C745" s="1216"/>
      <c r="D745" s="1216"/>
      <c r="E745" s="1216"/>
      <c r="F745" s="1216"/>
      <c r="G745" s="1216"/>
      <c r="H745" s="1216"/>
      <c r="I745" s="1216"/>
      <c r="J745" s="1216"/>
      <c r="K745" s="1216"/>
      <c r="L745" s="1216"/>
      <c r="M745" s="1216"/>
      <c r="N745" s="1216"/>
      <c r="O745" s="1216"/>
      <c r="P745" s="1216"/>
      <c r="Q745" s="1216"/>
      <c r="R745" s="1216"/>
      <c r="S745" s="1216"/>
    </row>
    <row r="746" spans="1:19">
      <c r="A746" s="1216"/>
      <c r="B746" s="1216"/>
      <c r="C746" s="1216"/>
      <c r="D746" s="1216"/>
      <c r="E746" s="1216"/>
      <c r="F746" s="1216"/>
      <c r="G746" s="1216"/>
      <c r="H746" s="1216"/>
      <c r="I746" s="1216"/>
      <c r="J746" s="1216"/>
      <c r="K746" s="1216"/>
      <c r="L746" s="1216"/>
      <c r="M746" s="1216"/>
      <c r="N746" s="1216"/>
      <c r="O746" s="1216"/>
      <c r="P746" s="1216"/>
      <c r="Q746" s="1216"/>
      <c r="R746" s="1216"/>
      <c r="S746" s="1216"/>
    </row>
    <row r="747" spans="1:19">
      <c r="A747" s="1216"/>
      <c r="B747" s="1216"/>
      <c r="C747" s="1216"/>
      <c r="D747" s="1216"/>
      <c r="E747" s="1216"/>
      <c r="F747" s="1216"/>
      <c r="G747" s="1216"/>
      <c r="H747" s="1216"/>
      <c r="I747" s="1216"/>
      <c r="J747" s="1216"/>
      <c r="K747" s="1216"/>
      <c r="L747" s="1216"/>
      <c r="M747" s="1216"/>
      <c r="N747" s="1216"/>
      <c r="O747" s="1216"/>
      <c r="P747" s="1216"/>
      <c r="Q747" s="1216"/>
      <c r="R747" s="1216"/>
      <c r="S747" s="1216"/>
    </row>
    <row r="748" spans="1:19">
      <c r="A748" s="1216"/>
      <c r="B748" s="1216"/>
      <c r="C748" s="1216"/>
      <c r="D748" s="1216"/>
      <c r="E748" s="1216"/>
      <c r="F748" s="1216"/>
      <c r="G748" s="1216"/>
      <c r="H748" s="1216"/>
      <c r="I748" s="1216"/>
      <c r="J748" s="1216"/>
      <c r="K748" s="1216"/>
      <c r="L748" s="1216"/>
      <c r="M748" s="1216"/>
      <c r="N748" s="1216"/>
      <c r="O748" s="1216"/>
      <c r="P748" s="1216"/>
      <c r="Q748" s="1216"/>
      <c r="R748" s="1216"/>
      <c r="S748" s="1216"/>
    </row>
    <row r="749" spans="1:19">
      <c r="A749" s="99"/>
      <c r="B749" s="99"/>
      <c r="C749" s="99"/>
      <c r="D749" s="99"/>
      <c r="E749" s="99"/>
      <c r="F749" s="99"/>
      <c r="G749" s="99"/>
      <c r="H749" s="99"/>
      <c r="I749" s="99"/>
      <c r="J749" s="99"/>
      <c r="K749" s="99"/>
      <c r="L749" s="99"/>
      <c r="M749" s="99"/>
      <c r="N749" s="99"/>
      <c r="O749" s="99"/>
      <c r="P749" s="99"/>
      <c r="Q749" s="99"/>
      <c r="R749" s="99"/>
      <c r="S749" s="99"/>
    </row>
    <row r="750" spans="1:19" s="314" customFormat="1" ht="24.95" customHeight="1">
      <c r="B750" s="1872" t="s">
        <v>4411</v>
      </c>
      <c r="C750" s="1872"/>
      <c r="D750" s="1872"/>
      <c r="E750" s="1872"/>
      <c r="F750" s="1872"/>
      <c r="G750" s="1872" t="s">
        <v>4387</v>
      </c>
      <c r="H750" s="1872"/>
      <c r="I750" s="1872"/>
      <c r="J750" s="1872"/>
      <c r="K750" s="1872"/>
      <c r="L750" s="1872"/>
      <c r="M750" s="1872"/>
      <c r="N750" s="1872"/>
      <c r="O750" s="1872"/>
      <c r="P750" s="1872"/>
      <c r="Q750" s="1872" t="s">
        <v>4388</v>
      </c>
      <c r="R750" s="1872"/>
      <c r="S750" s="1872"/>
    </row>
    <row r="751" spans="1:19">
      <c r="B751" s="1780" t="s">
        <v>4412</v>
      </c>
      <c r="C751" s="1780"/>
      <c r="D751" s="1780"/>
      <c r="E751" s="1780"/>
      <c r="F751" s="1780"/>
      <c r="G751" s="1780" t="s">
        <v>4413</v>
      </c>
      <c r="H751" s="1780"/>
      <c r="I751" s="1780"/>
      <c r="J751" s="1780"/>
      <c r="K751" s="1780"/>
      <c r="L751" s="1780"/>
      <c r="M751" s="1780"/>
      <c r="N751" s="1780"/>
      <c r="O751" s="1780"/>
      <c r="P751" s="1780"/>
      <c r="Q751" s="1785">
        <v>2533.2800000000002</v>
      </c>
      <c r="R751" s="1785"/>
      <c r="S751" s="1785"/>
    </row>
    <row r="752" spans="1:19">
      <c r="B752" s="1780" t="s">
        <v>4391</v>
      </c>
      <c r="C752" s="1780"/>
      <c r="D752" s="1780"/>
      <c r="E752" s="1780"/>
      <c r="F752" s="1780"/>
      <c r="G752" s="1780" t="s">
        <v>4414</v>
      </c>
      <c r="H752" s="1780"/>
      <c r="I752" s="1780"/>
      <c r="J752" s="1780"/>
      <c r="K752" s="1780"/>
      <c r="L752" s="1780"/>
      <c r="M752" s="1780"/>
      <c r="N752" s="1780"/>
      <c r="O752" s="1780"/>
      <c r="P752" s="1780"/>
      <c r="Q752" s="1785">
        <v>1393.95</v>
      </c>
      <c r="R752" s="1785"/>
      <c r="S752" s="1785"/>
    </row>
    <row r="753" spans="2:19" s="612" customFormat="1" ht="24.95" customHeight="1">
      <c r="B753" s="1873" t="s">
        <v>4393</v>
      </c>
      <c r="C753" s="1873"/>
      <c r="D753" s="1873"/>
      <c r="E753" s="1873"/>
      <c r="F753" s="1873"/>
      <c r="G753" s="1873" t="s">
        <v>4394</v>
      </c>
      <c r="H753" s="1873"/>
      <c r="I753" s="1873"/>
      <c r="J753" s="1873"/>
      <c r="K753" s="1873"/>
      <c r="L753" s="1873"/>
      <c r="M753" s="1873"/>
      <c r="N753" s="1873"/>
      <c r="O753" s="1873"/>
      <c r="P753" s="1873"/>
      <c r="Q753" s="1875">
        <v>3927.23</v>
      </c>
      <c r="R753" s="1875"/>
      <c r="S753" s="1875"/>
    </row>
    <row r="754" spans="2:19">
      <c r="B754" s="1800" t="s">
        <v>4547</v>
      </c>
      <c r="C754" s="1738"/>
      <c r="D754" s="1738"/>
      <c r="E754" s="1738"/>
      <c r="F754" s="1738"/>
      <c r="G754" s="1738" t="s">
        <v>4549</v>
      </c>
      <c r="H754" s="1738"/>
      <c r="I754" s="1738"/>
      <c r="J754" s="1738"/>
      <c r="K754" s="1738"/>
      <c r="L754" s="1738"/>
      <c r="M754" s="1738"/>
      <c r="N754" s="1738"/>
      <c r="O754" s="1738"/>
      <c r="P754" s="1738"/>
      <c r="Q754" s="1794">
        <v>257.01</v>
      </c>
      <c r="R754" s="1794"/>
      <c r="S754" s="1794"/>
    </row>
    <row r="755" spans="2:19">
      <c r="B755" s="1738"/>
      <c r="C755" s="1738"/>
      <c r="D755" s="1738"/>
      <c r="E755" s="1738"/>
      <c r="F755" s="1738"/>
      <c r="G755" s="1738"/>
      <c r="H755" s="1738"/>
      <c r="I755" s="1738"/>
      <c r="J755" s="1738"/>
      <c r="K755" s="1738"/>
      <c r="L755" s="1738"/>
      <c r="M755" s="1738"/>
      <c r="N755" s="1738"/>
      <c r="O755" s="1738"/>
      <c r="P755" s="1738"/>
      <c r="Q755" s="1794"/>
      <c r="R755" s="1794"/>
      <c r="S755" s="1794"/>
    </row>
    <row r="756" spans="2:19">
      <c r="B756" s="1738"/>
      <c r="C756" s="1738"/>
      <c r="D756" s="1738"/>
      <c r="E756" s="1738"/>
      <c r="F756" s="1738"/>
      <c r="G756" s="1738"/>
      <c r="H756" s="1738"/>
      <c r="I756" s="1738"/>
      <c r="J756" s="1738"/>
      <c r="K756" s="1738"/>
      <c r="L756" s="1738"/>
      <c r="M756" s="1738"/>
      <c r="N756" s="1738"/>
      <c r="O756" s="1738"/>
      <c r="P756" s="1738"/>
      <c r="Q756" s="1794"/>
      <c r="R756" s="1794"/>
      <c r="S756" s="1794"/>
    </row>
    <row r="757" spans="2:19">
      <c r="B757" s="1738"/>
      <c r="C757" s="1738"/>
      <c r="D757" s="1738"/>
      <c r="E757" s="1738"/>
      <c r="F757" s="1738"/>
      <c r="G757" s="1738"/>
      <c r="H757" s="1738"/>
      <c r="I757" s="1738"/>
      <c r="J757" s="1738"/>
      <c r="K757" s="1738"/>
      <c r="L757" s="1738"/>
      <c r="M757" s="1738"/>
      <c r="N757" s="1738"/>
      <c r="O757" s="1738"/>
      <c r="P757" s="1738"/>
      <c r="Q757" s="1794"/>
      <c r="R757" s="1794"/>
      <c r="S757" s="1794"/>
    </row>
    <row r="758" spans="2:19">
      <c r="B758" s="1738"/>
      <c r="C758" s="1738"/>
      <c r="D758" s="1738"/>
      <c r="E758" s="1738"/>
      <c r="F758" s="1738"/>
      <c r="G758" s="1738"/>
      <c r="H758" s="1738"/>
      <c r="I758" s="1738"/>
      <c r="J758" s="1738"/>
      <c r="K758" s="1738"/>
      <c r="L758" s="1738"/>
      <c r="M758" s="1738"/>
      <c r="N758" s="1738"/>
      <c r="O758" s="1738"/>
      <c r="P758" s="1738"/>
      <c r="Q758" s="1794"/>
      <c r="R758" s="1794"/>
      <c r="S758" s="1794"/>
    </row>
    <row r="759" spans="2:19">
      <c r="B759" s="1738"/>
      <c r="C759" s="1738"/>
      <c r="D759" s="1738"/>
      <c r="E759" s="1738"/>
      <c r="F759" s="1738"/>
      <c r="G759" s="1738"/>
      <c r="H759" s="1738"/>
      <c r="I759" s="1738"/>
      <c r="J759" s="1738"/>
      <c r="K759" s="1738"/>
      <c r="L759" s="1738"/>
      <c r="M759" s="1738"/>
      <c r="N759" s="1738"/>
      <c r="O759" s="1738"/>
      <c r="P759" s="1738"/>
      <c r="Q759" s="1794"/>
      <c r="R759" s="1794"/>
      <c r="S759" s="1794"/>
    </row>
    <row r="760" spans="2:19">
      <c r="B760" s="1738"/>
      <c r="C760" s="1738"/>
      <c r="D760" s="1738"/>
      <c r="E760" s="1738"/>
      <c r="F760" s="1738"/>
      <c r="G760" s="1738"/>
      <c r="H760" s="1738"/>
      <c r="I760" s="1738"/>
      <c r="J760" s="1738"/>
      <c r="K760" s="1738"/>
      <c r="L760" s="1738"/>
      <c r="M760" s="1738"/>
      <c r="N760" s="1738"/>
      <c r="O760" s="1738"/>
      <c r="P760" s="1738"/>
      <c r="Q760" s="1794"/>
      <c r="R760" s="1794"/>
      <c r="S760" s="1794"/>
    </row>
    <row r="761" spans="2:19">
      <c r="B761" s="1738"/>
      <c r="C761" s="1738"/>
      <c r="D761" s="1738"/>
      <c r="E761" s="1738"/>
      <c r="F761" s="1738"/>
      <c r="G761" s="1738"/>
      <c r="H761" s="1738"/>
      <c r="I761" s="1738"/>
      <c r="J761" s="1738"/>
      <c r="K761" s="1738"/>
      <c r="L761" s="1738"/>
      <c r="M761" s="1738"/>
      <c r="N761" s="1738"/>
      <c r="O761" s="1738"/>
      <c r="P761" s="1738"/>
      <c r="Q761" s="1794"/>
      <c r="R761" s="1794"/>
      <c r="S761" s="1794"/>
    </row>
    <row r="762" spans="2:19">
      <c r="B762" s="1738"/>
      <c r="C762" s="1738"/>
      <c r="D762" s="1738"/>
      <c r="E762" s="1738"/>
      <c r="F762" s="1738"/>
      <c r="G762" s="1738"/>
      <c r="H762" s="1738"/>
      <c r="I762" s="1738"/>
      <c r="J762" s="1738"/>
      <c r="K762" s="1738"/>
      <c r="L762" s="1738"/>
      <c r="M762" s="1738"/>
      <c r="N762" s="1738"/>
      <c r="O762" s="1738"/>
      <c r="P762" s="1738"/>
      <c r="Q762" s="1794"/>
      <c r="R762" s="1794"/>
      <c r="S762" s="1794"/>
    </row>
    <row r="763" spans="2:19">
      <c r="B763" s="1780" t="s">
        <v>4395</v>
      </c>
      <c r="C763" s="1780"/>
      <c r="D763" s="1780"/>
      <c r="E763" s="1780"/>
      <c r="F763" s="1780"/>
      <c r="G763" s="1780" t="s">
        <v>4396</v>
      </c>
      <c r="H763" s="1780"/>
      <c r="I763" s="1780"/>
      <c r="J763" s="1780"/>
      <c r="K763" s="1780"/>
      <c r="L763" s="1780"/>
      <c r="M763" s="1780"/>
      <c r="N763" s="1780"/>
      <c r="O763" s="1780"/>
      <c r="P763" s="1780"/>
      <c r="Q763" s="1780">
        <v>154.21</v>
      </c>
      <c r="R763" s="1780"/>
      <c r="S763" s="1780"/>
    </row>
    <row r="764" spans="2:19" s="612" customFormat="1" ht="24.95" customHeight="1">
      <c r="B764" s="1873" t="s">
        <v>4397</v>
      </c>
      <c r="C764" s="1873"/>
      <c r="D764" s="1873"/>
      <c r="E764" s="1873"/>
      <c r="F764" s="1873"/>
      <c r="G764" s="1873" t="s">
        <v>4398</v>
      </c>
      <c r="H764" s="1873"/>
      <c r="I764" s="1873"/>
      <c r="J764" s="1873"/>
      <c r="K764" s="1873"/>
      <c r="L764" s="1873"/>
      <c r="M764" s="1873"/>
      <c r="N764" s="1873"/>
      <c r="O764" s="1873"/>
      <c r="P764" s="1873"/>
      <c r="Q764" s="1875">
        <v>4338.45</v>
      </c>
      <c r="R764" s="1875"/>
      <c r="S764" s="1875"/>
    </row>
    <row r="765" spans="2:19">
      <c r="B765" s="1780" t="s">
        <v>4399</v>
      </c>
      <c r="C765" s="1780"/>
      <c r="D765" s="1780"/>
      <c r="E765" s="1780"/>
      <c r="F765" s="1780"/>
      <c r="G765" s="1780"/>
      <c r="H765" s="1780"/>
      <c r="I765" s="1780"/>
      <c r="J765" s="1780"/>
      <c r="K765" s="1780"/>
      <c r="L765" s="1780"/>
      <c r="M765" s="1780"/>
      <c r="N765" s="1780"/>
      <c r="O765" s="1780"/>
      <c r="P765" s="1780"/>
      <c r="Q765" s="1780">
        <v>257.01</v>
      </c>
      <c r="R765" s="1780"/>
      <c r="S765" s="1780"/>
    </row>
    <row r="766" spans="2:19">
      <c r="B766" s="1780" t="s">
        <v>4415</v>
      </c>
      <c r="C766" s="1780"/>
      <c r="D766" s="1780"/>
      <c r="E766" s="1780"/>
      <c r="F766" s="1780"/>
      <c r="G766" s="1780"/>
      <c r="H766" s="1780"/>
      <c r="I766" s="1780"/>
      <c r="J766" s="1780"/>
      <c r="K766" s="1780"/>
      <c r="L766" s="1780"/>
      <c r="M766" s="1780"/>
      <c r="N766" s="1780"/>
      <c r="O766" s="1780"/>
      <c r="P766" s="1780"/>
      <c r="Q766" s="1780">
        <v>154.21</v>
      </c>
      <c r="R766" s="1780"/>
      <c r="S766" s="1780"/>
    </row>
    <row r="767" spans="2:19">
      <c r="B767" s="1780" t="s">
        <v>4401</v>
      </c>
      <c r="C767" s="1780"/>
      <c r="D767" s="1780"/>
      <c r="E767" s="1780"/>
      <c r="F767" s="1780"/>
      <c r="G767" s="1780" t="s">
        <v>4416</v>
      </c>
      <c r="H767" s="1780"/>
      <c r="I767" s="1780"/>
      <c r="J767" s="1780"/>
      <c r="K767" s="1780"/>
      <c r="L767" s="1780"/>
      <c r="M767" s="1780"/>
      <c r="N767" s="1780"/>
      <c r="O767" s="1780"/>
      <c r="P767" s="1780"/>
      <c r="Q767" s="1780">
        <v>205.61</v>
      </c>
      <c r="R767" s="1780"/>
      <c r="S767" s="1780"/>
    </row>
    <row r="768" spans="2:19">
      <c r="B768" s="1780" t="s">
        <v>4403</v>
      </c>
      <c r="C768" s="1780"/>
      <c r="D768" s="1780"/>
      <c r="E768" s="1780"/>
      <c r="F768" s="1780"/>
      <c r="G768" s="1738" t="s">
        <v>4417</v>
      </c>
      <c r="H768" s="1738"/>
      <c r="I768" s="1738"/>
      <c r="J768" s="1738"/>
      <c r="K768" s="1738"/>
      <c r="L768" s="1738"/>
      <c r="M768" s="1738"/>
      <c r="N768" s="1738"/>
      <c r="O768" s="1738"/>
      <c r="P768" s="1738"/>
      <c r="Q768" s="1794">
        <v>289.41000000000003</v>
      </c>
      <c r="R768" s="1794"/>
      <c r="S768" s="1794"/>
    </row>
    <row r="769" spans="1:19">
      <c r="B769" s="1780"/>
      <c r="C769" s="1780"/>
      <c r="D769" s="1780"/>
      <c r="E769" s="1780"/>
      <c r="F769" s="1780"/>
      <c r="G769" s="1738"/>
      <c r="H769" s="1738"/>
      <c r="I769" s="1738"/>
      <c r="J769" s="1738"/>
      <c r="K769" s="1738"/>
      <c r="L769" s="1738"/>
      <c r="M769" s="1738"/>
      <c r="N769" s="1738"/>
      <c r="O769" s="1738"/>
      <c r="P769" s="1738"/>
      <c r="Q769" s="1794"/>
      <c r="R769" s="1794"/>
      <c r="S769" s="1794"/>
    </row>
    <row r="770" spans="1:19">
      <c r="B770" s="1780"/>
      <c r="C770" s="1780"/>
      <c r="D770" s="1780"/>
      <c r="E770" s="1780"/>
      <c r="F770" s="1780"/>
      <c r="G770" s="1738"/>
      <c r="H770" s="1738"/>
      <c r="I770" s="1738"/>
      <c r="J770" s="1738"/>
      <c r="K770" s="1738"/>
      <c r="L770" s="1738"/>
      <c r="M770" s="1738"/>
      <c r="N770" s="1738"/>
      <c r="O770" s="1738"/>
      <c r="P770" s="1738"/>
      <c r="Q770" s="1794"/>
      <c r="R770" s="1794"/>
      <c r="S770" s="1794"/>
    </row>
    <row r="771" spans="1:19">
      <c r="B771" s="1780" t="s">
        <v>4405</v>
      </c>
      <c r="C771" s="1780"/>
      <c r="D771" s="1780"/>
      <c r="E771" s="1780"/>
      <c r="F771" s="1780"/>
      <c r="G771" s="1780" t="s">
        <v>4406</v>
      </c>
      <c r="H771" s="1780"/>
      <c r="I771" s="1780"/>
      <c r="J771" s="1780"/>
      <c r="K771" s="1780"/>
      <c r="L771" s="1780"/>
      <c r="M771" s="1780"/>
      <c r="N771" s="1780"/>
      <c r="O771" s="1780"/>
      <c r="P771" s="1780"/>
      <c r="Q771" s="1780">
        <v>25.92</v>
      </c>
      <c r="R771" s="1780"/>
      <c r="S771" s="1780"/>
    </row>
    <row r="772" spans="1:19" s="612" customFormat="1" ht="24.95" customHeight="1">
      <c r="B772" s="1873" t="s">
        <v>4418</v>
      </c>
      <c r="C772" s="1873"/>
      <c r="D772" s="1873"/>
      <c r="E772" s="1873"/>
      <c r="F772" s="1873"/>
      <c r="G772" s="1873" t="s">
        <v>4408</v>
      </c>
      <c r="H772" s="1873"/>
      <c r="I772" s="1873"/>
      <c r="J772" s="1873"/>
      <c r="K772" s="1873"/>
      <c r="L772" s="1873"/>
      <c r="M772" s="1873"/>
      <c r="N772" s="1873"/>
      <c r="O772" s="1873"/>
      <c r="P772" s="1873"/>
      <c r="Q772" s="1873">
        <v>932.16</v>
      </c>
      <c r="R772" s="1873"/>
      <c r="S772" s="1873"/>
    </row>
    <row r="773" spans="1:19" s="612" customFormat="1" ht="24.95" customHeight="1">
      <c r="B773" s="1873" t="s">
        <v>4419</v>
      </c>
      <c r="C773" s="1873"/>
      <c r="D773" s="1873"/>
      <c r="E773" s="1873"/>
      <c r="F773" s="1873"/>
      <c r="G773" s="1873" t="s">
        <v>4420</v>
      </c>
      <c r="H773" s="1873"/>
      <c r="I773" s="1873"/>
      <c r="J773" s="1873"/>
      <c r="K773" s="1873"/>
      <c r="L773" s="1873"/>
      <c r="M773" s="1873"/>
      <c r="N773" s="1873"/>
      <c r="O773" s="1873"/>
      <c r="P773" s="1873"/>
      <c r="Q773" s="1875">
        <v>3406.29</v>
      </c>
      <c r="R773" s="1875"/>
      <c r="S773" s="1875"/>
    </row>
    <row r="775" spans="1:19">
      <c r="A775" s="1287" t="s">
        <v>4671</v>
      </c>
      <c r="B775" s="1216"/>
      <c r="C775" s="1216"/>
      <c r="D775" s="1216"/>
      <c r="E775" s="1216"/>
      <c r="F775" s="1216"/>
      <c r="G775" s="1216"/>
      <c r="H775" s="1216"/>
      <c r="I775" s="1216"/>
      <c r="J775" s="1216"/>
      <c r="K775" s="1216"/>
      <c r="L775" s="1216"/>
      <c r="M775" s="1216"/>
      <c r="N775" s="1216"/>
      <c r="O775" s="1216"/>
      <c r="P775" s="1216"/>
      <c r="Q775" s="1216"/>
      <c r="R775" s="1216"/>
      <c r="S775" s="1216"/>
    </row>
    <row r="776" spans="1:19">
      <c r="A776" s="1216"/>
      <c r="B776" s="1216"/>
      <c r="C776" s="1216"/>
      <c r="D776" s="1216"/>
      <c r="E776" s="1216"/>
      <c r="F776" s="1216"/>
      <c r="G776" s="1216"/>
      <c r="H776" s="1216"/>
      <c r="I776" s="1216"/>
      <c r="J776" s="1216"/>
      <c r="K776" s="1216"/>
      <c r="L776" s="1216"/>
      <c r="M776" s="1216"/>
      <c r="N776" s="1216"/>
      <c r="O776" s="1216"/>
      <c r="P776" s="1216"/>
      <c r="Q776" s="1216"/>
      <c r="R776" s="1216"/>
      <c r="S776" s="1216"/>
    </row>
    <row r="777" spans="1:19">
      <c r="A777" s="1216"/>
      <c r="B777" s="1216"/>
      <c r="C777" s="1216"/>
      <c r="D777" s="1216"/>
      <c r="E777" s="1216"/>
      <c r="F777" s="1216"/>
      <c r="G777" s="1216"/>
      <c r="H777" s="1216"/>
      <c r="I777" s="1216"/>
      <c r="J777" s="1216"/>
      <c r="K777" s="1216"/>
      <c r="L777" s="1216"/>
      <c r="M777" s="1216"/>
      <c r="N777" s="1216"/>
      <c r="O777" s="1216"/>
      <c r="P777" s="1216"/>
      <c r="Q777" s="1216"/>
      <c r="R777" s="1216"/>
      <c r="S777" s="1216"/>
    </row>
    <row r="778" spans="1:19">
      <c r="A778" s="1216"/>
      <c r="B778" s="1216"/>
      <c r="C778" s="1216"/>
      <c r="D778" s="1216"/>
      <c r="E778" s="1216"/>
      <c r="F778" s="1216"/>
      <c r="G778" s="1216"/>
      <c r="H778" s="1216"/>
      <c r="I778" s="1216"/>
      <c r="J778" s="1216"/>
      <c r="K778" s="1216"/>
      <c r="L778" s="1216"/>
      <c r="M778" s="1216"/>
      <c r="N778" s="1216"/>
      <c r="O778" s="1216"/>
      <c r="P778" s="1216"/>
      <c r="Q778" s="1216"/>
      <c r="R778" s="1216"/>
      <c r="S778" s="1216"/>
    </row>
    <row r="779" spans="1:19">
      <c r="A779" s="1216"/>
      <c r="B779" s="1216"/>
      <c r="C779" s="1216"/>
      <c r="D779" s="1216"/>
      <c r="E779" s="1216"/>
      <c r="F779" s="1216"/>
      <c r="G779" s="1216"/>
      <c r="H779" s="1216"/>
      <c r="I779" s="1216"/>
      <c r="J779" s="1216"/>
      <c r="K779" s="1216"/>
      <c r="L779" s="1216"/>
      <c r="M779" s="1216"/>
      <c r="N779" s="1216"/>
      <c r="O779" s="1216"/>
      <c r="P779" s="1216"/>
      <c r="Q779" s="1216"/>
      <c r="R779" s="1216"/>
      <c r="S779" s="1216"/>
    </row>
    <row r="780" spans="1:19">
      <c r="A780" s="1216"/>
      <c r="B780" s="1216"/>
      <c r="C780" s="1216"/>
      <c r="D780" s="1216"/>
      <c r="E780" s="1216"/>
      <c r="F780" s="1216"/>
      <c r="G780" s="1216"/>
      <c r="H780" s="1216"/>
      <c r="I780" s="1216"/>
      <c r="J780" s="1216"/>
      <c r="K780" s="1216"/>
      <c r="L780" s="1216"/>
      <c r="M780" s="1216"/>
      <c r="N780" s="1216"/>
      <c r="O780" s="1216"/>
      <c r="P780" s="1216"/>
      <c r="Q780" s="1216"/>
      <c r="R780" s="1216"/>
      <c r="S780" s="1216"/>
    </row>
    <row r="781" spans="1:19">
      <c r="A781" s="99"/>
      <c r="B781" s="99"/>
      <c r="C781" s="99"/>
      <c r="D781" s="99"/>
      <c r="E781" s="99"/>
      <c r="F781" s="99"/>
      <c r="G781" s="99"/>
      <c r="H781" s="99"/>
      <c r="I781" s="99"/>
      <c r="J781" s="99"/>
      <c r="K781" s="99"/>
      <c r="L781" s="99"/>
      <c r="M781" s="99"/>
      <c r="N781" s="99"/>
      <c r="O781" s="99"/>
      <c r="P781" s="99"/>
      <c r="Q781" s="99"/>
      <c r="R781" s="99"/>
      <c r="S781" s="99"/>
    </row>
    <row r="782" spans="1:19" s="612" customFormat="1" ht="24.95" customHeight="1">
      <c r="B782" s="1899" t="s">
        <v>4421</v>
      </c>
      <c r="C782" s="1900"/>
      <c r="D782" s="1900"/>
      <c r="E782" s="1900"/>
      <c r="F782" s="1901"/>
      <c r="G782" s="1885" t="s">
        <v>4387</v>
      </c>
      <c r="H782" s="1886"/>
      <c r="I782" s="1886"/>
      <c r="J782" s="1886"/>
      <c r="K782" s="1886"/>
      <c r="L782" s="1886"/>
      <c r="M782" s="1886"/>
      <c r="N782" s="1886"/>
      <c r="O782" s="1886"/>
      <c r="P782" s="1887"/>
      <c r="Q782" s="1885" t="s">
        <v>4388</v>
      </c>
      <c r="R782" s="1886"/>
      <c r="S782" s="1887"/>
    </row>
    <row r="783" spans="1:19">
      <c r="B783" s="1780" t="s">
        <v>4422</v>
      </c>
      <c r="C783" s="1780"/>
      <c r="D783" s="1780"/>
      <c r="E783" s="1780"/>
      <c r="F783" s="1780"/>
      <c r="G783" s="1780" t="s">
        <v>4423</v>
      </c>
      <c r="H783" s="1780"/>
      <c r="I783" s="1780"/>
      <c r="J783" s="1780"/>
      <c r="K783" s="1780"/>
      <c r="L783" s="1780"/>
      <c r="M783" s="1780"/>
      <c r="N783" s="1780"/>
      <c r="O783" s="1780"/>
      <c r="P783" s="1780"/>
      <c r="Q783" s="1785">
        <v>1970.86</v>
      </c>
      <c r="R783" s="1785"/>
      <c r="S783" s="1785"/>
    </row>
    <row r="784" spans="1:19">
      <c r="B784" s="1780" t="s">
        <v>4391</v>
      </c>
      <c r="C784" s="1780"/>
      <c r="D784" s="1780"/>
      <c r="E784" s="1780"/>
      <c r="F784" s="1780"/>
      <c r="G784" s="1780" t="s">
        <v>4424</v>
      </c>
      <c r="H784" s="1780"/>
      <c r="I784" s="1780"/>
      <c r="J784" s="1780"/>
      <c r="K784" s="1780"/>
      <c r="L784" s="1780"/>
      <c r="M784" s="1780"/>
      <c r="N784" s="1780"/>
      <c r="O784" s="1780"/>
      <c r="P784" s="1780"/>
      <c r="Q784" s="1785">
        <v>1082.93</v>
      </c>
      <c r="R784" s="1785"/>
      <c r="S784" s="1785"/>
    </row>
    <row r="785" spans="2:19" s="612" customFormat="1" ht="24.95" customHeight="1">
      <c r="B785" s="1873" t="s">
        <v>4393</v>
      </c>
      <c r="C785" s="1873"/>
      <c r="D785" s="1873"/>
      <c r="E785" s="1873"/>
      <c r="F785" s="1873"/>
      <c r="G785" s="1873" t="s">
        <v>4394</v>
      </c>
      <c r="H785" s="1873"/>
      <c r="I785" s="1873"/>
      <c r="J785" s="1873"/>
      <c r="K785" s="1873"/>
      <c r="L785" s="1873"/>
      <c r="M785" s="1873"/>
      <c r="N785" s="1873"/>
      <c r="O785" s="1873"/>
      <c r="P785" s="1873"/>
      <c r="Q785" s="1875">
        <v>3053.79</v>
      </c>
      <c r="R785" s="1875"/>
      <c r="S785" s="1875"/>
    </row>
    <row r="786" spans="2:19">
      <c r="B786" s="1902" t="s">
        <v>4550</v>
      </c>
      <c r="C786" s="1903"/>
      <c r="D786" s="1903"/>
      <c r="E786" s="1903"/>
      <c r="F786" s="1904"/>
      <c r="G786" s="1823" t="s">
        <v>4672</v>
      </c>
      <c r="H786" s="1824"/>
      <c r="I786" s="1824"/>
      <c r="J786" s="1824"/>
      <c r="K786" s="1824"/>
      <c r="L786" s="1824"/>
      <c r="M786" s="1824"/>
      <c r="N786" s="1824"/>
      <c r="O786" s="1824"/>
      <c r="P786" s="1825"/>
      <c r="Q786" s="1876">
        <v>293.83999999999997</v>
      </c>
      <c r="R786" s="1877"/>
      <c r="S786" s="1878"/>
    </row>
    <row r="787" spans="2:19">
      <c r="B787" s="1905"/>
      <c r="C787" s="1906"/>
      <c r="D787" s="1906"/>
      <c r="E787" s="1906"/>
      <c r="F787" s="1907"/>
      <c r="G787" s="1826"/>
      <c r="H787" s="1827"/>
      <c r="I787" s="1827"/>
      <c r="J787" s="1827"/>
      <c r="K787" s="1827"/>
      <c r="L787" s="1827"/>
      <c r="M787" s="1827"/>
      <c r="N787" s="1827"/>
      <c r="O787" s="1827"/>
      <c r="P787" s="1828"/>
      <c r="Q787" s="1879"/>
      <c r="R787" s="1880"/>
      <c r="S787" s="1881"/>
    </row>
    <row r="788" spans="2:19">
      <c r="B788" s="1905"/>
      <c r="C788" s="1906"/>
      <c r="D788" s="1906"/>
      <c r="E788" s="1906"/>
      <c r="F788" s="1907"/>
      <c r="G788" s="1826"/>
      <c r="H788" s="1827"/>
      <c r="I788" s="1827"/>
      <c r="J788" s="1827"/>
      <c r="K788" s="1827"/>
      <c r="L788" s="1827"/>
      <c r="M788" s="1827"/>
      <c r="N788" s="1827"/>
      <c r="O788" s="1827"/>
      <c r="P788" s="1828"/>
      <c r="Q788" s="1879"/>
      <c r="R788" s="1880"/>
      <c r="S788" s="1881"/>
    </row>
    <row r="789" spans="2:19">
      <c r="B789" s="1905"/>
      <c r="C789" s="1906"/>
      <c r="D789" s="1906"/>
      <c r="E789" s="1906"/>
      <c r="F789" s="1907"/>
      <c r="G789" s="1826"/>
      <c r="H789" s="1827"/>
      <c r="I789" s="1827"/>
      <c r="J789" s="1827"/>
      <c r="K789" s="1827"/>
      <c r="L789" s="1827"/>
      <c r="M789" s="1827"/>
      <c r="N789" s="1827"/>
      <c r="O789" s="1827"/>
      <c r="P789" s="1828"/>
      <c r="Q789" s="1879"/>
      <c r="R789" s="1880"/>
      <c r="S789" s="1881"/>
    </row>
    <row r="790" spans="2:19">
      <c r="B790" s="1905"/>
      <c r="C790" s="1906"/>
      <c r="D790" s="1906"/>
      <c r="E790" s="1906"/>
      <c r="F790" s="1907"/>
      <c r="G790" s="1826"/>
      <c r="H790" s="1827"/>
      <c r="I790" s="1827"/>
      <c r="J790" s="1827"/>
      <c r="K790" s="1827"/>
      <c r="L790" s="1827"/>
      <c r="M790" s="1827"/>
      <c r="N790" s="1827"/>
      <c r="O790" s="1827"/>
      <c r="P790" s="1828"/>
      <c r="Q790" s="1879"/>
      <c r="R790" s="1880"/>
      <c r="S790" s="1881"/>
    </row>
    <row r="791" spans="2:19">
      <c r="B791" s="1905"/>
      <c r="C791" s="1906"/>
      <c r="D791" s="1906"/>
      <c r="E791" s="1906"/>
      <c r="F791" s="1907"/>
      <c r="G791" s="1826"/>
      <c r="H791" s="1827"/>
      <c r="I791" s="1827"/>
      <c r="J791" s="1827"/>
      <c r="K791" s="1827"/>
      <c r="L791" s="1827"/>
      <c r="M791" s="1827"/>
      <c r="N791" s="1827"/>
      <c r="O791" s="1827"/>
      <c r="P791" s="1828"/>
      <c r="Q791" s="1879"/>
      <c r="R791" s="1880"/>
      <c r="S791" s="1881"/>
    </row>
    <row r="792" spans="2:19">
      <c r="B792" s="1905"/>
      <c r="C792" s="1906"/>
      <c r="D792" s="1906"/>
      <c r="E792" s="1906"/>
      <c r="F792" s="1907"/>
      <c r="G792" s="1826"/>
      <c r="H792" s="1827"/>
      <c r="I792" s="1827"/>
      <c r="J792" s="1827"/>
      <c r="K792" s="1827"/>
      <c r="L792" s="1827"/>
      <c r="M792" s="1827"/>
      <c r="N792" s="1827"/>
      <c r="O792" s="1827"/>
      <c r="P792" s="1828"/>
      <c r="Q792" s="1879"/>
      <c r="R792" s="1880"/>
      <c r="S792" s="1881"/>
    </row>
    <row r="793" spans="2:19">
      <c r="B793" s="1905"/>
      <c r="C793" s="1906"/>
      <c r="D793" s="1906"/>
      <c r="E793" s="1906"/>
      <c r="F793" s="1907"/>
      <c r="G793" s="1826"/>
      <c r="H793" s="1827"/>
      <c r="I793" s="1827"/>
      <c r="J793" s="1827"/>
      <c r="K793" s="1827"/>
      <c r="L793" s="1827"/>
      <c r="M793" s="1827"/>
      <c r="N793" s="1827"/>
      <c r="O793" s="1827"/>
      <c r="P793" s="1828"/>
      <c r="Q793" s="1879"/>
      <c r="R793" s="1880"/>
      <c r="S793" s="1881"/>
    </row>
    <row r="794" spans="2:19">
      <c r="B794" s="1905"/>
      <c r="C794" s="1906"/>
      <c r="D794" s="1906"/>
      <c r="E794" s="1906"/>
      <c r="F794" s="1907"/>
      <c r="G794" s="1826"/>
      <c r="H794" s="1827"/>
      <c r="I794" s="1827"/>
      <c r="J794" s="1827"/>
      <c r="K794" s="1827"/>
      <c r="L794" s="1827"/>
      <c r="M794" s="1827"/>
      <c r="N794" s="1827"/>
      <c r="O794" s="1827"/>
      <c r="P794" s="1828"/>
      <c r="Q794" s="1879"/>
      <c r="R794" s="1880"/>
      <c r="S794" s="1881"/>
    </row>
    <row r="795" spans="2:19">
      <c r="B795" s="1905"/>
      <c r="C795" s="1906"/>
      <c r="D795" s="1906"/>
      <c r="E795" s="1906"/>
      <c r="F795" s="1907"/>
      <c r="G795" s="1826"/>
      <c r="H795" s="1827"/>
      <c r="I795" s="1827"/>
      <c r="J795" s="1827"/>
      <c r="K795" s="1827"/>
      <c r="L795" s="1827"/>
      <c r="M795" s="1827"/>
      <c r="N795" s="1827"/>
      <c r="O795" s="1827"/>
      <c r="P795" s="1828"/>
      <c r="Q795" s="1879"/>
      <c r="R795" s="1880"/>
      <c r="S795" s="1881"/>
    </row>
    <row r="796" spans="2:19">
      <c r="B796" s="1908"/>
      <c r="C796" s="1909"/>
      <c r="D796" s="1909"/>
      <c r="E796" s="1909"/>
      <c r="F796" s="1910"/>
      <c r="G796" s="1829"/>
      <c r="H796" s="1830"/>
      <c r="I796" s="1830"/>
      <c r="J796" s="1830"/>
      <c r="K796" s="1830"/>
      <c r="L796" s="1830"/>
      <c r="M796" s="1830"/>
      <c r="N796" s="1830"/>
      <c r="O796" s="1830"/>
      <c r="P796" s="1831"/>
      <c r="Q796" s="1882"/>
      <c r="R796" s="1883"/>
      <c r="S796" s="1884"/>
    </row>
    <row r="797" spans="2:19" s="612" customFormat="1" ht="24.95" customHeight="1">
      <c r="B797" s="1873" t="s">
        <v>4397</v>
      </c>
      <c r="C797" s="1873"/>
      <c r="D797" s="1873"/>
      <c r="E797" s="1873"/>
      <c r="F797" s="1873"/>
      <c r="G797" s="1873" t="s">
        <v>4425</v>
      </c>
      <c r="H797" s="1873"/>
      <c r="I797" s="1873"/>
      <c r="J797" s="1873"/>
      <c r="K797" s="1873"/>
      <c r="L797" s="1873"/>
      <c r="M797" s="1873"/>
      <c r="N797" s="1873"/>
      <c r="O797" s="1873"/>
      <c r="P797" s="1873"/>
      <c r="Q797" s="1875">
        <v>3347.63</v>
      </c>
      <c r="R797" s="1875"/>
      <c r="S797" s="1875"/>
    </row>
    <row r="798" spans="2:19">
      <c r="B798" s="1780" t="s">
        <v>4426</v>
      </c>
      <c r="C798" s="1780"/>
      <c r="D798" s="1780"/>
      <c r="E798" s="1780"/>
      <c r="F798" s="1780"/>
      <c r="G798" s="1780"/>
      <c r="H798" s="1780"/>
      <c r="I798" s="1780"/>
      <c r="J798" s="1780"/>
      <c r="K798" s="1780"/>
      <c r="L798" s="1780"/>
      <c r="M798" s="1780"/>
      <c r="N798" s="1780"/>
      <c r="O798" s="1780"/>
      <c r="P798" s="1780"/>
      <c r="Q798" s="1780">
        <v>293.83999999999997</v>
      </c>
      <c r="R798" s="1780"/>
      <c r="S798" s="1780"/>
    </row>
    <row r="799" spans="2:19">
      <c r="B799" s="1780" t="s">
        <v>4427</v>
      </c>
      <c r="C799" s="1780"/>
      <c r="D799" s="1780"/>
      <c r="E799" s="1780"/>
      <c r="F799" s="1780"/>
      <c r="G799" s="1780" t="s">
        <v>4428</v>
      </c>
      <c r="H799" s="1780"/>
      <c r="I799" s="1780"/>
      <c r="J799" s="1780"/>
      <c r="K799" s="1780"/>
      <c r="L799" s="1780"/>
      <c r="M799" s="1780"/>
      <c r="N799" s="1780"/>
      <c r="O799" s="1780"/>
      <c r="P799" s="1780"/>
      <c r="Q799" s="1780">
        <v>222.37</v>
      </c>
      <c r="R799" s="1780"/>
      <c r="S799" s="1780"/>
    </row>
    <row r="800" spans="2:19">
      <c r="B800" s="1902" t="s">
        <v>4429</v>
      </c>
      <c r="C800" s="1903"/>
      <c r="D800" s="1903"/>
      <c r="E800" s="1903"/>
      <c r="F800" s="1904"/>
      <c r="G800" s="1911" t="s">
        <v>4430</v>
      </c>
      <c r="H800" s="1912"/>
      <c r="I800" s="1912"/>
      <c r="J800" s="1912"/>
      <c r="K800" s="1912"/>
      <c r="L800" s="1912"/>
      <c r="M800" s="1912"/>
      <c r="N800" s="1912"/>
      <c r="O800" s="1912"/>
      <c r="P800" s="1913"/>
      <c r="Q800" s="1876">
        <v>202.53</v>
      </c>
      <c r="R800" s="1877"/>
      <c r="S800" s="1878"/>
    </row>
    <row r="801" spans="1:19">
      <c r="B801" s="1908"/>
      <c r="C801" s="1909"/>
      <c r="D801" s="1909"/>
      <c r="E801" s="1909"/>
      <c r="F801" s="1910"/>
      <c r="G801" s="1914"/>
      <c r="H801" s="1915"/>
      <c r="I801" s="1915"/>
      <c r="J801" s="1915"/>
      <c r="K801" s="1915"/>
      <c r="L801" s="1915"/>
      <c r="M801" s="1915"/>
      <c r="N801" s="1915"/>
      <c r="O801" s="1915"/>
      <c r="P801" s="1916"/>
      <c r="Q801" s="1882"/>
      <c r="R801" s="1883"/>
      <c r="S801" s="1884"/>
    </row>
    <row r="802" spans="1:19">
      <c r="B802" s="1780" t="s">
        <v>4431</v>
      </c>
      <c r="C802" s="1780"/>
      <c r="D802" s="1780"/>
      <c r="E802" s="1780"/>
      <c r="F802" s="1780"/>
      <c r="G802" s="1780" t="s">
        <v>4406</v>
      </c>
      <c r="H802" s="1780"/>
      <c r="I802" s="1780"/>
      <c r="J802" s="1780"/>
      <c r="K802" s="1780"/>
      <c r="L802" s="1780"/>
      <c r="M802" s="1780"/>
      <c r="N802" s="1780"/>
      <c r="O802" s="1780"/>
      <c r="P802" s="1780"/>
      <c r="Q802" s="1780">
        <v>20.16</v>
      </c>
      <c r="R802" s="1780"/>
      <c r="S802" s="1780"/>
    </row>
    <row r="803" spans="1:19" s="612" customFormat="1" ht="24.95" customHeight="1">
      <c r="B803" s="1873" t="s">
        <v>4418</v>
      </c>
      <c r="C803" s="1873"/>
      <c r="D803" s="1873"/>
      <c r="E803" s="1873"/>
      <c r="F803" s="1873"/>
      <c r="G803" s="1873" t="s">
        <v>4432</v>
      </c>
      <c r="H803" s="1873"/>
      <c r="I803" s="1873"/>
      <c r="J803" s="1873"/>
      <c r="K803" s="1873"/>
      <c r="L803" s="1873"/>
      <c r="M803" s="1873"/>
      <c r="N803" s="1873"/>
      <c r="O803" s="1873"/>
      <c r="P803" s="1873"/>
      <c r="Q803" s="1873">
        <v>738.9</v>
      </c>
      <c r="R803" s="1873"/>
      <c r="S803" s="1873"/>
    </row>
    <row r="804" spans="1:19" s="612" customFormat="1" ht="24.95" customHeight="1">
      <c r="B804" s="1873" t="s">
        <v>4409</v>
      </c>
      <c r="C804" s="1873"/>
      <c r="D804" s="1873"/>
      <c r="E804" s="1873"/>
      <c r="F804" s="1873"/>
      <c r="G804" s="1873" t="s">
        <v>4410</v>
      </c>
      <c r="H804" s="1873"/>
      <c r="I804" s="1873"/>
      <c r="J804" s="1873"/>
      <c r="K804" s="1873"/>
      <c r="L804" s="1873"/>
      <c r="M804" s="1873"/>
      <c r="N804" s="1873"/>
      <c r="O804" s="1873"/>
      <c r="P804" s="1873"/>
      <c r="Q804" s="1875">
        <v>2608.73</v>
      </c>
      <c r="R804" s="1875"/>
      <c r="S804" s="1875"/>
    </row>
    <row r="806" spans="1:19" ht="12.75" customHeight="1">
      <c r="A806" s="1287" t="s">
        <v>4675</v>
      </c>
      <c r="B806" s="1216"/>
      <c r="C806" s="1216"/>
      <c r="D806" s="1216"/>
      <c r="E806" s="1216"/>
      <c r="F806" s="1216"/>
      <c r="G806" s="1216"/>
      <c r="H806" s="1216"/>
      <c r="I806" s="1216"/>
      <c r="J806" s="1216"/>
      <c r="K806" s="1216"/>
      <c r="L806" s="1216"/>
      <c r="M806" s="1216"/>
      <c r="N806" s="1216"/>
      <c r="O806" s="1216"/>
      <c r="P806" s="1216"/>
      <c r="Q806" s="1216"/>
      <c r="R806" s="1216"/>
      <c r="S806" s="1216"/>
    </row>
    <row r="807" spans="1:19">
      <c r="A807" s="1216"/>
      <c r="B807" s="1216"/>
      <c r="C807" s="1216"/>
      <c r="D807" s="1216"/>
      <c r="E807" s="1216"/>
      <c r="F807" s="1216"/>
      <c r="G807" s="1216"/>
      <c r="H807" s="1216"/>
      <c r="I807" s="1216"/>
      <c r="J807" s="1216"/>
      <c r="K807" s="1216"/>
      <c r="L807" s="1216"/>
      <c r="M807" s="1216"/>
      <c r="N807" s="1216"/>
      <c r="O807" s="1216"/>
      <c r="P807" s="1216"/>
      <c r="Q807" s="1216"/>
      <c r="R807" s="1216"/>
      <c r="S807" s="1216"/>
    </row>
    <row r="808" spans="1:19">
      <c r="A808" s="1216"/>
      <c r="B808" s="1216"/>
      <c r="C808" s="1216"/>
      <c r="D808" s="1216"/>
      <c r="E808" s="1216"/>
      <c r="F808" s="1216"/>
      <c r="G808" s="1216"/>
      <c r="H808" s="1216"/>
      <c r="I808" s="1216"/>
      <c r="J808" s="1216"/>
      <c r="K808" s="1216"/>
      <c r="L808" s="1216"/>
      <c r="M808" s="1216"/>
      <c r="N808" s="1216"/>
      <c r="O808" s="1216"/>
      <c r="P808" s="1216"/>
      <c r="Q808" s="1216"/>
      <c r="R808" s="1216"/>
      <c r="S808" s="1216"/>
    </row>
    <row r="809" spans="1:19">
      <c r="A809" s="1216"/>
      <c r="B809" s="1216"/>
      <c r="C809" s="1216"/>
      <c r="D809" s="1216"/>
      <c r="E809" s="1216"/>
      <c r="F809" s="1216"/>
      <c r="G809" s="1216"/>
      <c r="H809" s="1216"/>
      <c r="I809" s="1216"/>
      <c r="J809" s="1216"/>
      <c r="K809" s="1216"/>
      <c r="L809" s="1216"/>
      <c r="M809" s="1216"/>
      <c r="N809" s="1216"/>
      <c r="O809" s="1216"/>
      <c r="P809" s="1216"/>
      <c r="Q809" s="1216"/>
      <c r="R809" s="1216"/>
      <c r="S809" s="1216"/>
    </row>
    <row r="810" spans="1:19">
      <c r="A810" s="1216"/>
      <c r="B810" s="1216"/>
      <c r="C810" s="1216"/>
      <c r="D810" s="1216"/>
      <c r="E810" s="1216"/>
      <c r="F810" s="1216"/>
      <c r="G810" s="1216"/>
      <c r="H810" s="1216"/>
      <c r="I810" s="1216"/>
      <c r="J810" s="1216"/>
      <c r="K810" s="1216"/>
      <c r="L810" s="1216"/>
      <c r="M810" s="1216"/>
      <c r="N810" s="1216"/>
      <c r="O810" s="1216"/>
      <c r="P810" s="1216"/>
      <c r="Q810" s="1216"/>
      <c r="R810" s="1216"/>
      <c r="S810" s="1216"/>
    </row>
    <row r="811" spans="1:19" ht="12.75" customHeight="1">
      <c r="A811" s="1287" t="s">
        <v>4674</v>
      </c>
      <c r="B811" s="1216"/>
      <c r="C811" s="1216"/>
      <c r="D811" s="1216"/>
      <c r="E811" s="1216"/>
      <c r="F811" s="1216"/>
      <c r="G811" s="1216"/>
      <c r="H811" s="1216"/>
      <c r="I811" s="1216"/>
      <c r="J811" s="1216"/>
      <c r="K811" s="1216"/>
      <c r="L811" s="1216"/>
      <c r="M811" s="1216"/>
      <c r="N811" s="1216"/>
      <c r="O811" s="1216"/>
      <c r="P811" s="1216"/>
      <c r="Q811" s="1216"/>
      <c r="R811" s="1216"/>
      <c r="S811" s="1216"/>
    </row>
    <row r="812" spans="1:19">
      <c r="A812" s="1216"/>
      <c r="B812" s="1216"/>
      <c r="C812" s="1216"/>
      <c r="D812" s="1216"/>
      <c r="E812" s="1216"/>
      <c r="F812" s="1216"/>
      <c r="G812" s="1216"/>
      <c r="H812" s="1216"/>
      <c r="I812" s="1216"/>
      <c r="J812" s="1216"/>
      <c r="K812" s="1216"/>
      <c r="L812" s="1216"/>
      <c r="M812" s="1216"/>
      <c r="N812" s="1216"/>
      <c r="O812" s="1216"/>
      <c r="P812" s="1216"/>
      <c r="Q812" s="1216"/>
      <c r="R812" s="1216"/>
      <c r="S812" s="1216"/>
    </row>
    <row r="813" spans="1:19">
      <c r="A813" s="1216"/>
      <c r="B813" s="1216"/>
      <c r="C813" s="1216"/>
      <c r="D813" s="1216"/>
      <c r="E813" s="1216"/>
      <c r="F813" s="1216"/>
      <c r="G813" s="1216"/>
      <c r="H813" s="1216"/>
      <c r="I813" s="1216"/>
      <c r="J813" s="1216"/>
      <c r="K813" s="1216"/>
      <c r="L813" s="1216"/>
      <c r="M813" s="1216"/>
      <c r="N813" s="1216"/>
      <c r="O813" s="1216"/>
      <c r="P813" s="1216"/>
      <c r="Q813" s="1216"/>
      <c r="R813" s="1216"/>
      <c r="S813" s="1216"/>
    </row>
    <row r="814" spans="1:19" ht="12.75" customHeight="1">
      <c r="A814" s="1287" t="s">
        <v>4673</v>
      </c>
      <c r="B814" s="1216"/>
      <c r="C814" s="1216"/>
      <c r="D814" s="1216"/>
      <c r="E814" s="1216"/>
      <c r="F814" s="1216"/>
      <c r="G814" s="1216"/>
      <c r="H814" s="1216"/>
      <c r="I814" s="1216"/>
      <c r="J814" s="1216"/>
      <c r="K814" s="1216"/>
      <c r="L814" s="1216"/>
      <c r="M814" s="1216"/>
      <c r="N814" s="1216"/>
      <c r="O814" s="1216"/>
      <c r="P814" s="1216"/>
      <c r="Q814" s="1216"/>
      <c r="R814" s="1216"/>
      <c r="S814" s="1216"/>
    </row>
    <row r="815" spans="1:19">
      <c r="A815" s="1216"/>
      <c r="B815" s="1216"/>
      <c r="C815" s="1216"/>
      <c r="D815" s="1216"/>
      <c r="E815" s="1216"/>
      <c r="F815" s="1216"/>
      <c r="G815" s="1216"/>
      <c r="H815" s="1216"/>
      <c r="I815" s="1216"/>
      <c r="J815" s="1216"/>
      <c r="K815" s="1216"/>
      <c r="L815" s="1216"/>
      <c r="M815" s="1216"/>
      <c r="N815" s="1216"/>
      <c r="O815" s="1216"/>
      <c r="P815" s="1216"/>
      <c r="Q815" s="1216"/>
      <c r="R815" s="1216"/>
      <c r="S815" s="1216"/>
    </row>
    <row r="816" spans="1:19">
      <c r="A816" s="1216"/>
      <c r="B816" s="1216"/>
      <c r="C816" s="1216"/>
      <c r="D816" s="1216"/>
      <c r="E816" s="1216"/>
      <c r="F816" s="1216"/>
      <c r="G816" s="1216"/>
      <c r="H816" s="1216"/>
      <c r="I816" s="1216"/>
      <c r="J816" s="1216"/>
      <c r="K816" s="1216"/>
      <c r="L816" s="1216"/>
      <c r="M816" s="1216"/>
      <c r="N816" s="1216"/>
      <c r="O816" s="1216"/>
      <c r="P816" s="1216"/>
      <c r="Q816" s="1216"/>
      <c r="R816" s="1216"/>
      <c r="S816" s="1216"/>
    </row>
    <row r="817" spans="1:19">
      <c r="A817" s="1216"/>
      <c r="B817" s="1216"/>
      <c r="C817" s="1216"/>
      <c r="D817" s="1216"/>
      <c r="E817" s="1216"/>
      <c r="F817" s="1216"/>
      <c r="G817" s="1216"/>
      <c r="H817" s="1216"/>
      <c r="I817" s="1216"/>
      <c r="J817" s="1216"/>
      <c r="K817" s="1216"/>
      <c r="L817" s="1216"/>
      <c r="M817" s="1216"/>
      <c r="N817" s="1216"/>
      <c r="O817" s="1216"/>
      <c r="P817" s="1216"/>
      <c r="Q817" s="1216"/>
      <c r="R817" s="1216"/>
      <c r="S817" s="1216"/>
    </row>
    <row r="818" spans="1:19">
      <c r="A818" s="1216"/>
      <c r="B818" s="1216"/>
      <c r="C818" s="1216"/>
      <c r="D818" s="1216"/>
      <c r="E818" s="1216"/>
      <c r="F818" s="1216"/>
      <c r="G818" s="1216"/>
      <c r="H818" s="1216"/>
      <c r="I818" s="1216"/>
      <c r="J818" s="1216"/>
      <c r="K818" s="1216"/>
      <c r="L818" s="1216"/>
      <c r="M818" s="1216"/>
      <c r="N818" s="1216"/>
      <c r="O818" s="1216"/>
      <c r="P818" s="1216"/>
      <c r="Q818" s="1216"/>
      <c r="R818" s="1216"/>
      <c r="S818" s="1216"/>
    </row>
    <row r="819" spans="1:19">
      <c r="A819" s="1216"/>
      <c r="B819" s="1216"/>
      <c r="C819" s="1216"/>
      <c r="D819" s="1216"/>
      <c r="E819" s="1216"/>
      <c r="F819" s="1216"/>
      <c r="G819" s="1216"/>
      <c r="H819" s="1216"/>
      <c r="I819" s="1216"/>
      <c r="J819" s="1216"/>
      <c r="K819" s="1216"/>
      <c r="L819" s="1216"/>
      <c r="M819" s="1216"/>
      <c r="N819" s="1216"/>
      <c r="O819" s="1216"/>
      <c r="P819" s="1216"/>
      <c r="Q819" s="1216"/>
      <c r="R819" s="1216"/>
      <c r="S819" s="1216"/>
    </row>
    <row r="820" spans="1:19">
      <c r="A820" s="1287" t="s">
        <v>4676</v>
      </c>
      <c r="B820" s="1216"/>
      <c r="C820" s="1216"/>
      <c r="D820" s="1216"/>
      <c r="E820" s="1216"/>
      <c r="F820" s="1216"/>
      <c r="G820" s="1216"/>
      <c r="H820" s="1216"/>
      <c r="I820" s="1216"/>
      <c r="J820" s="1216"/>
      <c r="K820" s="1216"/>
      <c r="L820" s="1216"/>
      <c r="M820" s="1216"/>
      <c r="N820" s="1216"/>
      <c r="O820" s="1216"/>
      <c r="P820" s="1216"/>
      <c r="Q820" s="1216"/>
      <c r="R820" s="1216"/>
      <c r="S820" s="1216"/>
    </row>
    <row r="821" spans="1:19">
      <c r="A821" s="1216"/>
      <c r="B821" s="1216"/>
      <c r="C821" s="1216"/>
      <c r="D821" s="1216"/>
      <c r="E821" s="1216"/>
      <c r="F821" s="1216"/>
      <c r="G821" s="1216"/>
      <c r="H821" s="1216"/>
      <c r="I821" s="1216"/>
      <c r="J821" s="1216"/>
      <c r="K821" s="1216"/>
      <c r="L821" s="1216"/>
      <c r="M821" s="1216"/>
      <c r="N821" s="1216"/>
      <c r="O821" s="1216"/>
      <c r="P821" s="1216"/>
      <c r="Q821" s="1216"/>
      <c r="R821" s="1216"/>
      <c r="S821" s="1216"/>
    </row>
    <row r="822" spans="1:19">
      <c r="A822" s="1216"/>
      <c r="B822" s="1216"/>
      <c r="C822" s="1216"/>
      <c r="D822" s="1216"/>
      <c r="E822" s="1216"/>
      <c r="F822" s="1216"/>
      <c r="G822" s="1216"/>
      <c r="H822" s="1216"/>
      <c r="I822" s="1216"/>
      <c r="J822" s="1216"/>
      <c r="K822" s="1216"/>
      <c r="L822" s="1216"/>
      <c r="M822" s="1216"/>
      <c r="N822" s="1216"/>
      <c r="O822" s="1216"/>
      <c r="P822" s="1216"/>
      <c r="Q822" s="1216"/>
      <c r="R822" s="1216"/>
      <c r="S822" s="1216"/>
    </row>
    <row r="823" spans="1:19">
      <c r="A823" s="1216"/>
      <c r="B823" s="1216"/>
      <c r="C823" s="1216"/>
      <c r="D823" s="1216"/>
      <c r="E823" s="1216"/>
      <c r="F823" s="1216"/>
      <c r="G823" s="1216"/>
      <c r="H823" s="1216"/>
      <c r="I823" s="1216"/>
      <c r="J823" s="1216"/>
      <c r="K823" s="1216"/>
      <c r="L823" s="1216"/>
      <c r="M823" s="1216"/>
      <c r="N823" s="1216"/>
      <c r="O823" s="1216"/>
      <c r="P823" s="1216"/>
      <c r="Q823" s="1216"/>
      <c r="R823" s="1216"/>
      <c r="S823" s="1216"/>
    </row>
    <row r="824" spans="1:19">
      <c r="A824" s="1216"/>
      <c r="B824" s="1216"/>
      <c r="C824" s="1216"/>
      <c r="D824" s="1216"/>
      <c r="E824" s="1216"/>
      <c r="F824" s="1216"/>
      <c r="G824" s="1216"/>
      <c r="H824" s="1216"/>
      <c r="I824" s="1216"/>
      <c r="J824" s="1216"/>
      <c r="K824" s="1216"/>
      <c r="L824" s="1216"/>
      <c r="M824" s="1216"/>
      <c r="N824" s="1216"/>
      <c r="O824" s="1216"/>
      <c r="P824" s="1216"/>
      <c r="Q824" s="1216"/>
      <c r="R824" s="1216"/>
      <c r="S824" s="1216"/>
    </row>
    <row r="825" spans="1:19">
      <c r="A825" s="1216"/>
      <c r="B825" s="1216"/>
      <c r="C825" s="1216"/>
      <c r="D825" s="1216"/>
      <c r="E825" s="1216"/>
      <c r="F825" s="1216"/>
      <c r="G825" s="1216"/>
      <c r="H825" s="1216"/>
      <c r="I825" s="1216"/>
      <c r="J825" s="1216"/>
      <c r="K825" s="1216"/>
      <c r="L825" s="1216"/>
      <c r="M825" s="1216"/>
      <c r="N825" s="1216"/>
      <c r="O825" s="1216"/>
      <c r="P825" s="1216"/>
      <c r="Q825" s="1216"/>
      <c r="R825" s="1216"/>
      <c r="S825" s="1216"/>
    </row>
    <row r="826" spans="1:19" ht="12.75" customHeight="1">
      <c r="A826" s="1216"/>
      <c r="B826" s="1216"/>
      <c r="C826" s="1216"/>
      <c r="D826" s="1216"/>
      <c r="E826" s="1216"/>
      <c r="F826" s="1216"/>
      <c r="G826" s="1216"/>
      <c r="H826" s="1216"/>
      <c r="I826" s="1216"/>
      <c r="J826" s="1216"/>
      <c r="K826" s="1216"/>
      <c r="L826" s="1216"/>
      <c r="M826" s="1216"/>
      <c r="N826" s="1216"/>
      <c r="O826" s="1216"/>
      <c r="P826" s="1216"/>
      <c r="Q826" s="1216"/>
      <c r="R826" s="1216"/>
      <c r="S826" s="1216"/>
    </row>
    <row r="827" spans="1:19">
      <c r="A827" s="1216"/>
      <c r="B827" s="1216"/>
      <c r="C827" s="1216"/>
      <c r="D827" s="1216"/>
      <c r="E827" s="1216"/>
      <c r="F827" s="1216"/>
      <c r="G827" s="1216"/>
      <c r="H827" s="1216"/>
      <c r="I827" s="1216"/>
      <c r="J827" s="1216"/>
      <c r="K827" s="1216"/>
      <c r="L827" s="1216"/>
      <c r="M827" s="1216"/>
      <c r="N827" s="1216"/>
      <c r="O827" s="1216"/>
      <c r="P827" s="1216"/>
      <c r="Q827" s="1216"/>
      <c r="R827" s="1216"/>
      <c r="S827" s="1216"/>
    </row>
    <row r="828" spans="1:19" ht="12.75" customHeight="1">
      <c r="A828" s="1287" t="s">
        <v>4677</v>
      </c>
      <c r="B828" s="1216"/>
      <c r="C828" s="1216"/>
      <c r="D828" s="1216"/>
      <c r="E828" s="1216"/>
      <c r="F828" s="1216"/>
      <c r="G828" s="1216"/>
      <c r="H828" s="1216"/>
      <c r="I828" s="1216"/>
      <c r="J828" s="1216"/>
      <c r="K828" s="1216"/>
      <c r="L828" s="1216"/>
      <c r="M828" s="1216"/>
      <c r="N828" s="1216"/>
      <c r="O828" s="1216"/>
      <c r="P828" s="1216"/>
      <c r="Q828" s="1216"/>
      <c r="R828" s="1216"/>
      <c r="S828" s="1216"/>
    </row>
    <row r="829" spans="1:19">
      <c r="A829" s="1216"/>
      <c r="B829" s="1216"/>
      <c r="C829" s="1216"/>
      <c r="D829" s="1216"/>
      <c r="E829" s="1216"/>
      <c r="F829" s="1216"/>
      <c r="G829" s="1216"/>
      <c r="H829" s="1216"/>
      <c r="I829" s="1216"/>
      <c r="J829" s="1216"/>
      <c r="K829" s="1216"/>
      <c r="L829" s="1216"/>
      <c r="M829" s="1216"/>
      <c r="N829" s="1216"/>
      <c r="O829" s="1216"/>
      <c r="P829" s="1216"/>
      <c r="Q829" s="1216"/>
      <c r="R829" s="1216"/>
      <c r="S829" s="1216"/>
    </row>
    <row r="830" spans="1:19">
      <c r="A830" s="1216"/>
      <c r="B830" s="1216"/>
      <c r="C830" s="1216"/>
      <c r="D830" s="1216"/>
      <c r="E830" s="1216"/>
      <c r="F830" s="1216"/>
      <c r="G830" s="1216"/>
      <c r="H830" s="1216"/>
      <c r="I830" s="1216"/>
      <c r="J830" s="1216"/>
      <c r="K830" s="1216"/>
      <c r="L830" s="1216"/>
      <c r="M830" s="1216"/>
      <c r="N830" s="1216"/>
      <c r="O830" s="1216"/>
      <c r="P830" s="1216"/>
      <c r="Q830" s="1216"/>
      <c r="R830" s="1216"/>
      <c r="S830" s="1216"/>
    </row>
    <row r="831" spans="1:19">
      <c r="A831" s="1216"/>
      <c r="B831" s="1216"/>
      <c r="C831" s="1216"/>
      <c r="D831" s="1216"/>
      <c r="E831" s="1216"/>
      <c r="F831" s="1216"/>
      <c r="G831" s="1216"/>
      <c r="H831" s="1216"/>
      <c r="I831" s="1216"/>
      <c r="J831" s="1216"/>
      <c r="K831" s="1216"/>
      <c r="L831" s="1216"/>
      <c r="M831" s="1216"/>
      <c r="N831" s="1216"/>
      <c r="O831" s="1216"/>
      <c r="P831" s="1216"/>
      <c r="Q831" s="1216"/>
      <c r="R831" s="1216"/>
      <c r="S831" s="1216"/>
    </row>
    <row r="832" spans="1:19">
      <c r="A832" s="1216"/>
      <c r="B832" s="1216"/>
      <c r="C832" s="1216"/>
      <c r="D832" s="1216"/>
      <c r="E832" s="1216"/>
      <c r="F832" s="1216"/>
      <c r="G832" s="1216"/>
      <c r="H832" s="1216"/>
      <c r="I832" s="1216"/>
      <c r="J832" s="1216"/>
      <c r="K832" s="1216"/>
      <c r="L832" s="1216"/>
      <c r="M832" s="1216"/>
      <c r="N832" s="1216"/>
      <c r="O832" s="1216"/>
      <c r="P832" s="1216"/>
      <c r="Q832" s="1216"/>
      <c r="R832" s="1216"/>
      <c r="S832" s="1216"/>
    </row>
    <row r="833" spans="1:19">
      <c r="A833" s="1216"/>
      <c r="B833" s="1216"/>
      <c r="C833" s="1216"/>
      <c r="D833" s="1216"/>
      <c r="E833" s="1216"/>
      <c r="F833" s="1216"/>
      <c r="G833" s="1216"/>
      <c r="H833" s="1216"/>
      <c r="I833" s="1216"/>
      <c r="J833" s="1216"/>
      <c r="K833" s="1216"/>
      <c r="L833" s="1216"/>
      <c r="M833" s="1216"/>
      <c r="N833" s="1216"/>
      <c r="O833" s="1216"/>
      <c r="P833" s="1216"/>
      <c r="Q833" s="1216"/>
      <c r="R833" s="1216"/>
      <c r="S833" s="1216"/>
    </row>
    <row r="834" spans="1:19">
      <c r="A834" s="1216"/>
      <c r="B834" s="1216"/>
      <c r="C834" s="1216"/>
      <c r="D834" s="1216"/>
      <c r="E834" s="1216"/>
      <c r="F834" s="1216"/>
      <c r="G834" s="1216"/>
      <c r="H834" s="1216"/>
      <c r="I834" s="1216"/>
      <c r="J834" s="1216"/>
      <c r="K834" s="1216"/>
      <c r="L834" s="1216"/>
      <c r="M834" s="1216"/>
      <c r="N834" s="1216"/>
      <c r="O834" s="1216"/>
      <c r="P834" s="1216"/>
      <c r="Q834" s="1216"/>
      <c r="R834" s="1216"/>
      <c r="S834" s="1216"/>
    </row>
    <row r="835" spans="1:19">
      <c r="A835" s="1216"/>
      <c r="B835" s="1216"/>
      <c r="C835" s="1216"/>
      <c r="D835" s="1216"/>
      <c r="E835" s="1216"/>
      <c r="F835" s="1216"/>
      <c r="G835" s="1216"/>
      <c r="H835" s="1216"/>
      <c r="I835" s="1216"/>
      <c r="J835" s="1216"/>
      <c r="K835" s="1216"/>
      <c r="L835" s="1216"/>
      <c r="M835" s="1216"/>
      <c r="N835" s="1216"/>
      <c r="O835" s="1216"/>
      <c r="P835" s="1216"/>
      <c r="Q835" s="1216"/>
      <c r="R835" s="1216"/>
      <c r="S835" s="1216"/>
    </row>
    <row r="836" spans="1:19">
      <c r="A836" s="99"/>
      <c r="B836" s="99"/>
      <c r="C836" s="99"/>
      <c r="D836" s="99"/>
      <c r="E836" s="99"/>
      <c r="F836" s="99"/>
      <c r="G836" s="99"/>
      <c r="H836" s="99"/>
      <c r="I836" s="99"/>
      <c r="J836" s="99"/>
      <c r="K836" s="99"/>
      <c r="L836" s="99"/>
      <c r="M836" s="99"/>
      <c r="N836" s="99"/>
      <c r="O836" s="99"/>
      <c r="P836" s="99"/>
      <c r="Q836" s="99"/>
      <c r="R836" s="99"/>
      <c r="S836" s="99"/>
    </row>
    <row r="837" spans="1:19">
      <c r="B837" s="1780"/>
      <c r="C837" s="1780"/>
      <c r="D837" s="1780"/>
      <c r="E837" s="1780"/>
      <c r="F837" s="1780"/>
      <c r="G837" s="1871" t="s">
        <v>4678</v>
      </c>
      <c r="H837" s="1871"/>
      <c r="I837" s="1871"/>
      <c r="J837" s="1871"/>
      <c r="K837" s="1871"/>
      <c r="L837" s="1871"/>
      <c r="M837" s="1871"/>
      <c r="N837" s="1871" t="s">
        <v>4679</v>
      </c>
      <c r="O837" s="1871"/>
      <c r="P837" s="1871"/>
      <c r="Q837" s="1871"/>
      <c r="R837" s="1871"/>
      <c r="S837" s="1871"/>
    </row>
    <row r="838" spans="1:19">
      <c r="B838" s="1780"/>
      <c r="C838" s="1780"/>
      <c r="D838" s="1780"/>
      <c r="E838" s="1780"/>
      <c r="F838" s="1780"/>
      <c r="G838" s="1871"/>
      <c r="H838" s="1871"/>
      <c r="I838" s="1871"/>
      <c r="J838" s="1871"/>
      <c r="K838" s="1871"/>
      <c r="L838" s="1871"/>
      <c r="M838" s="1871"/>
      <c r="N838" s="1871"/>
      <c r="O838" s="1871"/>
      <c r="P838" s="1871"/>
      <c r="Q838" s="1871"/>
      <c r="R838" s="1871"/>
      <c r="S838" s="1871"/>
    </row>
    <row r="839" spans="1:19" s="612" customFormat="1" ht="24.95" customHeight="1">
      <c r="B839" s="1873" t="s">
        <v>4433</v>
      </c>
      <c r="C839" s="1873"/>
      <c r="D839" s="1873"/>
      <c r="E839" s="1873"/>
      <c r="F839" s="1873"/>
      <c r="G839" s="1873"/>
      <c r="H839" s="1873"/>
      <c r="I839" s="1873"/>
      <c r="J839" s="1873"/>
      <c r="K839" s="1873"/>
      <c r="L839" s="1873"/>
      <c r="M839" s="1873"/>
      <c r="N839" s="1873"/>
      <c r="O839" s="1873"/>
      <c r="P839" s="1873"/>
      <c r="Q839" s="1873"/>
      <c r="R839" s="1873"/>
      <c r="S839" s="1873"/>
    </row>
    <row r="840" spans="1:19">
      <c r="B840" s="1780" t="s">
        <v>4434</v>
      </c>
      <c r="C840" s="1780"/>
      <c r="D840" s="1780"/>
      <c r="E840" s="1780"/>
      <c r="F840" s="1780"/>
      <c r="G840" s="1780" t="s">
        <v>4435</v>
      </c>
      <c r="H840" s="1780"/>
      <c r="I840" s="1780"/>
      <c r="J840" s="1780"/>
      <c r="K840" s="1780"/>
      <c r="L840" s="1780"/>
      <c r="M840" s="1780"/>
      <c r="N840" s="1780" t="s">
        <v>4436</v>
      </c>
      <c r="O840" s="1780"/>
      <c r="P840" s="1780"/>
      <c r="Q840" s="1780"/>
      <c r="R840" s="1780"/>
      <c r="S840" s="1780"/>
    </row>
    <row r="841" spans="1:19">
      <c r="B841" s="1782" t="s">
        <v>4437</v>
      </c>
      <c r="C841" s="1782"/>
      <c r="D841" s="1782"/>
      <c r="E841" s="1782"/>
      <c r="F841" s="1782"/>
      <c r="G841" s="1780" t="s">
        <v>4438</v>
      </c>
      <c r="H841" s="1780"/>
      <c r="I841" s="1780"/>
      <c r="J841" s="1780"/>
      <c r="K841" s="1780"/>
      <c r="L841" s="1780"/>
      <c r="M841" s="1780"/>
      <c r="N841" s="1780" t="s">
        <v>4439</v>
      </c>
      <c r="O841" s="1780"/>
      <c r="P841" s="1780"/>
      <c r="Q841" s="1780"/>
      <c r="R841" s="1780"/>
      <c r="S841" s="1780"/>
    </row>
    <row r="842" spans="1:19" s="612" customFormat="1" ht="24.95" customHeight="1">
      <c r="B842" s="1873" t="s">
        <v>4440</v>
      </c>
      <c r="C842" s="1873"/>
      <c r="D842" s="1873"/>
      <c r="E842" s="1873"/>
      <c r="F842" s="1873"/>
      <c r="G842" s="1875">
        <v>1320.73</v>
      </c>
      <c r="H842" s="1875"/>
      <c r="I842" s="1875"/>
      <c r="J842" s="1875"/>
      <c r="K842" s="1875"/>
      <c r="L842" s="1875"/>
      <c r="M842" s="1875"/>
      <c r="N842" s="1875">
        <v>2060.6799999999998</v>
      </c>
      <c r="O842" s="1875"/>
      <c r="P842" s="1875"/>
      <c r="Q842" s="1875"/>
      <c r="R842" s="1875"/>
      <c r="S842" s="1875"/>
    </row>
    <row r="843" spans="1:19" s="612" customFormat="1" ht="24.95" customHeight="1">
      <c r="B843" s="1873" t="s">
        <v>4441</v>
      </c>
      <c r="C843" s="1873"/>
      <c r="D843" s="1873"/>
      <c r="E843" s="1873"/>
      <c r="F843" s="1873"/>
      <c r="G843" s="1873"/>
      <c r="H843" s="1873"/>
      <c r="I843" s="1873"/>
      <c r="J843" s="1873"/>
      <c r="K843" s="1873"/>
      <c r="L843" s="1873"/>
      <c r="M843" s="1873"/>
      <c r="N843" s="1873"/>
      <c r="O843" s="1873"/>
      <c r="P843" s="1873"/>
      <c r="Q843" s="1873"/>
      <c r="R843" s="1873"/>
      <c r="S843" s="1873"/>
    </row>
    <row r="844" spans="1:19">
      <c r="B844" s="1780" t="s">
        <v>4442</v>
      </c>
      <c r="C844" s="1780"/>
      <c r="D844" s="1780"/>
      <c r="E844" s="1780"/>
      <c r="F844" s="1780"/>
      <c r="G844" s="1780" t="s">
        <v>4443</v>
      </c>
      <c r="H844" s="1780"/>
      <c r="I844" s="1780"/>
      <c r="J844" s="1780"/>
      <c r="K844" s="1780"/>
      <c r="L844" s="1780"/>
      <c r="M844" s="1780"/>
      <c r="N844" s="1780" t="s">
        <v>4444</v>
      </c>
      <c r="O844" s="1780"/>
      <c r="P844" s="1780"/>
      <c r="Q844" s="1780"/>
      <c r="R844" s="1780"/>
      <c r="S844" s="1780"/>
    </row>
    <row r="845" spans="1:19">
      <c r="B845" s="1780" t="s">
        <v>4445</v>
      </c>
      <c r="C845" s="1780"/>
      <c r="D845" s="1780"/>
      <c r="E845" s="1780"/>
      <c r="F845" s="1780"/>
      <c r="G845" s="1780" t="s">
        <v>4446</v>
      </c>
      <c r="H845" s="1780"/>
      <c r="I845" s="1780"/>
      <c r="J845" s="1780"/>
      <c r="K845" s="1780"/>
      <c r="L845" s="1780"/>
      <c r="M845" s="1780"/>
      <c r="N845" s="1780" t="s">
        <v>4447</v>
      </c>
      <c r="O845" s="1780"/>
      <c r="P845" s="1780"/>
      <c r="Q845" s="1780"/>
      <c r="R845" s="1780"/>
      <c r="S845" s="1780"/>
    </row>
    <row r="846" spans="1:19" s="612" customFormat="1" ht="24.95" customHeight="1">
      <c r="B846" s="1873" t="s">
        <v>4448</v>
      </c>
      <c r="C846" s="1873"/>
      <c r="D846" s="1873"/>
      <c r="E846" s="1873"/>
      <c r="F846" s="1873"/>
      <c r="G846" s="1873">
        <v>13.93</v>
      </c>
      <c r="H846" s="1873"/>
      <c r="I846" s="1873"/>
      <c r="J846" s="1873"/>
      <c r="K846" s="1873"/>
      <c r="L846" s="1873"/>
      <c r="M846" s="1873"/>
      <c r="N846" s="1873">
        <v>19.579999999999998</v>
      </c>
      <c r="O846" s="1873"/>
      <c r="P846" s="1873"/>
      <c r="Q846" s="1873"/>
      <c r="R846" s="1873"/>
      <c r="S846" s="1873"/>
    </row>
    <row r="847" spans="1:19" s="612" customFormat="1" ht="24.95" customHeight="1">
      <c r="B847" s="1873" t="s">
        <v>4305</v>
      </c>
      <c r="C847" s="1873"/>
      <c r="D847" s="1873"/>
      <c r="E847" s="1873"/>
      <c r="F847" s="1873"/>
      <c r="G847" s="1873" t="s">
        <v>4551</v>
      </c>
      <c r="H847" s="1873"/>
      <c r="I847" s="1873"/>
      <c r="J847" s="1873"/>
      <c r="K847" s="1873"/>
      <c r="L847" s="1873"/>
      <c r="M847" s="1873"/>
      <c r="N847" s="1873" t="s">
        <v>4552</v>
      </c>
      <c r="O847" s="1873"/>
      <c r="P847" s="1873"/>
      <c r="Q847" s="1873"/>
      <c r="R847" s="1873"/>
      <c r="S847" s="1873"/>
    </row>
    <row r="848" spans="1:19" s="612" customFormat="1" ht="24.95" customHeight="1">
      <c r="B848" s="1873" t="s">
        <v>4355</v>
      </c>
      <c r="C848" s="1873"/>
      <c r="D848" s="1873"/>
      <c r="E848" s="1873"/>
      <c r="F848" s="1873"/>
      <c r="G848" s="1885" t="s">
        <v>4553</v>
      </c>
      <c r="H848" s="1886"/>
      <c r="I848" s="1886"/>
      <c r="J848" s="1886"/>
      <c r="K848" s="1886"/>
      <c r="L848" s="1886"/>
      <c r="M848" s="1886"/>
      <c r="N848" s="1886"/>
      <c r="O848" s="1886"/>
      <c r="P848" s="1886"/>
      <c r="Q848" s="1886"/>
      <c r="R848" s="1886"/>
      <c r="S848" s="1887"/>
    </row>
    <row r="850" spans="1:19" ht="12.75" customHeight="1">
      <c r="A850" s="1287" t="s">
        <v>4681</v>
      </c>
      <c r="B850" s="1216"/>
      <c r="C850" s="1216"/>
      <c r="D850" s="1216"/>
      <c r="E850" s="1216"/>
      <c r="F850" s="1216"/>
      <c r="G850" s="1216"/>
      <c r="H850" s="1216"/>
      <c r="I850" s="1216"/>
      <c r="J850" s="1216"/>
      <c r="K850" s="1216"/>
      <c r="L850" s="1216"/>
      <c r="M850" s="1216"/>
      <c r="N850" s="1216"/>
      <c r="O850" s="1216"/>
      <c r="P850" s="1216"/>
      <c r="Q850" s="1216"/>
      <c r="R850" s="1216"/>
      <c r="S850" s="1216"/>
    </row>
    <row r="851" spans="1:19">
      <c r="A851" s="1216"/>
      <c r="B851" s="1216"/>
      <c r="C851" s="1216"/>
      <c r="D851" s="1216"/>
      <c r="E851" s="1216"/>
      <c r="F851" s="1216"/>
      <c r="G851" s="1216"/>
      <c r="H851" s="1216"/>
      <c r="I851" s="1216"/>
      <c r="J851" s="1216"/>
      <c r="K851" s="1216"/>
      <c r="L851" s="1216"/>
      <c r="M851" s="1216"/>
      <c r="N851" s="1216"/>
      <c r="O851" s="1216"/>
      <c r="P851" s="1216"/>
      <c r="Q851" s="1216"/>
      <c r="R851" s="1216"/>
      <c r="S851" s="1216"/>
    </row>
    <row r="852" spans="1:19">
      <c r="A852" s="1216"/>
      <c r="B852" s="1216"/>
      <c r="C852" s="1216"/>
      <c r="D852" s="1216"/>
      <c r="E852" s="1216"/>
      <c r="F852" s="1216"/>
      <c r="G852" s="1216"/>
      <c r="H852" s="1216"/>
      <c r="I852" s="1216"/>
      <c r="J852" s="1216"/>
      <c r="K852" s="1216"/>
      <c r="L852" s="1216"/>
      <c r="M852" s="1216"/>
      <c r="N852" s="1216"/>
      <c r="O852" s="1216"/>
      <c r="P852" s="1216"/>
      <c r="Q852" s="1216"/>
      <c r="R852" s="1216"/>
      <c r="S852" s="1216"/>
    </row>
    <row r="853" spans="1:19">
      <c r="A853" s="1216"/>
      <c r="B853" s="1216"/>
      <c r="C853" s="1216"/>
      <c r="D853" s="1216"/>
      <c r="E853" s="1216"/>
      <c r="F853" s="1216"/>
      <c r="G853" s="1216"/>
      <c r="H853" s="1216"/>
      <c r="I853" s="1216"/>
      <c r="J853" s="1216"/>
      <c r="K853" s="1216"/>
      <c r="L853" s="1216"/>
      <c r="M853" s="1216"/>
      <c r="N853" s="1216"/>
      <c r="O853" s="1216"/>
      <c r="P853" s="1216"/>
      <c r="Q853" s="1216"/>
      <c r="R853" s="1216"/>
      <c r="S853" s="1216"/>
    </row>
    <row r="854" spans="1:19">
      <c r="A854" s="1216"/>
      <c r="B854" s="1216"/>
      <c r="C854" s="1216"/>
      <c r="D854" s="1216"/>
      <c r="E854" s="1216"/>
      <c r="F854" s="1216"/>
      <c r="G854" s="1216"/>
      <c r="H854" s="1216"/>
      <c r="I854" s="1216"/>
      <c r="J854" s="1216"/>
      <c r="K854" s="1216"/>
      <c r="L854" s="1216"/>
      <c r="M854" s="1216"/>
      <c r="N854" s="1216"/>
      <c r="O854" s="1216"/>
      <c r="P854" s="1216"/>
      <c r="Q854" s="1216"/>
      <c r="R854" s="1216"/>
      <c r="S854" s="1216"/>
    </row>
    <row r="855" spans="1:19">
      <c r="A855" s="1216"/>
      <c r="B855" s="1216"/>
      <c r="C855" s="1216"/>
      <c r="D855" s="1216"/>
      <c r="E855" s="1216"/>
      <c r="F855" s="1216"/>
      <c r="G855" s="1216"/>
      <c r="H855" s="1216"/>
      <c r="I855" s="1216"/>
      <c r="J855" s="1216"/>
      <c r="K855" s="1216"/>
      <c r="L855" s="1216"/>
      <c r="M855" s="1216"/>
      <c r="N855" s="1216"/>
      <c r="O855" s="1216"/>
      <c r="P855" s="1216"/>
      <c r="Q855" s="1216"/>
      <c r="R855" s="1216"/>
      <c r="S855" s="1216"/>
    </row>
    <row r="856" spans="1:19" ht="12.75" customHeight="1">
      <c r="A856" s="1287" t="s">
        <v>4680</v>
      </c>
      <c r="B856" s="1216"/>
      <c r="C856" s="1216"/>
      <c r="D856" s="1216"/>
      <c r="E856" s="1216"/>
      <c r="F856" s="1216"/>
      <c r="G856" s="1216"/>
      <c r="H856" s="1216"/>
      <c r="I856" s="1216"/>
      <c r="J856" s="1216"/>
      <c r="K856" s="1216"/>
      <c r="L856" s="1216"/>
      <c r="M856" s="1216"/>
      <c r="N856" s="1216"/>
      <c r="O856" s="1216"/>
      <c r="P856" s="1216"/>
      <c r="Q856" s="1216"/>
      <c r="R856" s="1216"/>
      <c r="S856" s="1216"/>
    </row>
    <row r="857" spans="1:19">
      <c r="A857" s="1216"/>
      <c r="B857" s="1216"/>
      <c r="C857" s="1216"/>
      <c r="D857" s="1216"/>
      <c r="E857" s="1216"/>
      <c r="F857" s="1216"/>
      <c r="G857" s="1216"/>
      <c r="H857" s="1216"/>
      <c r="I857" s="1216"/>
      <c r="J857" s="1216"/>
      <c r="K857" s="1216"/>
      <c r="L857" s="1216"/>
      <c r="M857" s="1216"/>
      <c r="N857" s="1216"/>
      <c r="O857" s="1216"/>
      <c r="P857" s="1216"/>
      <c r="Q857" s="1216"/>
      <c r="R857" s="1216"/>
      <c r="S857" s="1216"/>
    </row>
    <row r="858" spans="1:19">
      <c r="A858" s="1216"/>
      <c r="B858" s="1216"/>
      <c r="C858" s="1216"/>
      <c r="D858" s="1216"/>
      <c r="E858" s="1216"/>
      <c r="F858" s="1216"/>
      <c r="G858" s="1216"/>
      <c r="H858" s="1216"/>
      <c r="I858" s="1216"/>
      <c r="J858" s="1216"/>
      <c r="K858" s="1216"/>
      <c r="L858" s="1216"/>
      <c r="M858" s="1216"/>
      <c r="N858" s="1216"/>
      <c r="O858" s="1216"/>
      <c r="P858" s="1216"/>
      <c r="Q858" s="1216"/>
      <c r="R858" s="1216"/>
      <c r="S858" s="1216"/>
    </row>
    <row r="859" spans="1:19">
      <c r="A859" s="1216"/>
      <c r="B859" s="1216"/>
      <c r="C859" s="1216"/>
      <c r="D859" s="1216"/>
      <c r="E859" s="1216"/>
      <c r="F859" s="1216"/>
      <c r="G859" s="1216"/>
      <c r="H859" s="1216"/>
      <c r="I859" s="1216"/>
      <c r="J859" s="1216"/>
      <c r="K859" s="1216"/>
      <c r="L859" s="1216"/>
      <c r="M859" s="1216"/>
      <c r="N859" s="1216"/>
      <c r="O859" s="1216"/>
      <c r="P859" s="1216"/>
      <c r="Q859" s="1216"/>
      <c r="R859" s="1216"/>
      <c r="S859" s="1216"/>
    </row>
    <row r="860" spans="1:19">
      <c r="A860" s="1216"/>
      <c r="B860" s="1216"/>
      <c r="C860" s="1216"/>
      <c r="D860" s="1216"/>
      <c r="E860" s="1216"/>
      <c r="F860" s="1216"/>
      <c r="G860" s="1216"/>
      <c r="H860" s="1216"/>
      <c r="I860" s="1216"/>
      <c r="J860" s="1216"/>
      <c r="K860" s="1216"/>
      <c r="L860" s="1216"/>
      <c r="M860" s="1216"/>
      <c r="N860" s="1216"/>
      <c r="O860" s="1216"/>
      <c r="P860" s="1216"/>
      <c r="Q860" s="1216"/>
      <c r="R860" s="1216"/>
      <c r="S860" s="1216"/>
    </row>
    <row r="861" spans="1:19">
      <c r="A861" s="1216"/>
      <c r="B861" s="1216"/>
      <c r="C861" s="1216"/>
      <c r="D861" s="1216"/>
      <c r="E861" s="1216"/>
      <c r="F861" s="1216"/>
      <c r="G861" s="1216"/>
      <c r="H861" s="1216"/>
      <c r="I861" s="1216"/>
      <c r="J861" s="1216"/>
      <c r="K861" s="1216"/>
      <c r="L861" s="1216"/>
      <c r="M861" s="1216"/>
      <c r="N861" s="1216"/>
      <c r="O861" s="1216"/>
      <c r="P861" s="1216"/>
      <c r="Q861" s="1216"/>
      <c r="R861" s="1216"/>
      <c r="S861" s="1216"/>
    </row>
    <row r="862" spans="1:19">
      <c r="A862" s="1216"/>
      <c r="B862" s="1216"/>
      <c r="C862" s="1216"/>
      <c r="D862" s="1216"/>
      <c r="E862" s="1216"/>
      <c r="F862" s="1216"/>
      <c r="G862" s="1216"/>
      <c r="H862" s="1216"/>
      <c r="I862" s="1216"/>
      <c r="J862" s="1216"/>
      <c r="K862" s="1216"/>
      <c r="L862" s="1216"/>
      <c r="M862" s="1216"/>
      <c r="N862" s="1216"/>
      <c r="O862" s="1216"/>
      <c r="P862" s="1216"/>
      <c r="Q862" s="1216"/>
      <c r="R862" s="1216"/>
      <c r="S862" s="1216"/>
    </row>
    <row r="863" spans="1:19">
      <c r="A863" s="1216"/>
      <c r="B863" s="1216"/>
      <c r="C863" s="1216"/>
      <c r="D863" s="1216"/>
      <c r="E863" s="1216"/>
      <c r="F863" s="1216"/>
      <c r="G863" s="1216"/>
      <c r="H863" s="1216"/>
      <c r="I863" s="1216"/>
      <c r="J863" s="1216"/>
      <c r="K863" s="1216"/>
      <c r="L863" s="1216"/>
      <c r="M863" s="1216"/>
      <c r="N863" s="1216"/>
      <c r="O863" s="1216"/>
      <c r="P863" s="1216"/>
      <c r="Q863" s="1216"/>
      <c r="R863" s="1216"/>
      <c r="S863" s="1216"/>
    </row>
    <row r="864" spans="1:19" ht="12.75" customHeight="1">
      <c r="A864" s="1287" t="s">
        <v>4682</v>
      </c>
      <c r="B864" s="1216"/>
      <c r="C864" s="1216"/>
      <c r="D864" s="1216"/>
      <c r="E864" s="1216"/>
      <c r="F864" s="1216"/>
      <c r="G864" s="1216"/>
      <c r="H864" s="1216"/>
      <c r="I864" s="1216"/>
      <c r="J864" s="1216"/>
      <c r="K864" s="1216"/>
      <c r="L864" s="1216"/>
      <c r="M864" s="1216"/>
      <c r="N864" s="1216"/>
      <c r="O864" s="1216"/>
      <c r="P864" s="1216"/>
      <c r="Q864" s="1216"/>
      <c r="R864" s="1216"/>
      <c r="S864" s="1216"/>
    </row>
    <row r="865" spans="1:19">
      <c r="A865" s="1216"/>
      <c r="B865" s="1216"/>
      <c r="C865" s="1216"/>
      <c r="D865" s="1216"/>
      <c r="E865" s="1216"/>
      <c r="F865" s="1216"/>
      <c r="G865" s="1216"/>
      <c r="H865" s="1216"/>
      <c r="I865" s="1216"/>
      <c r="J865" s="1216"/>
      <c r="K865" s="1216"/>
      <c r="L865" s="1216"/>
      <c r="M865" s="1216"/>
      <c r="N865" s="1216"/>
      <c r="O865" s="1216"/>
      <c r="P865" s="1216"/>
      <c r="Q865" s="1216"/>
      <c r="R865" s="1216"/>
      <c r="S865" s="1216"/>
    </row>
    <row r="866" spans="1:19">
      <c r="A866" s="1216"/>
      <c r="B866" s="1216"/>
      <c r="C866" s="1216"/>
      <c r="D866" s="1216"/>
      <c r="E866" s="1216"/>
      <c r="F866" s="1216"/>
      <c r="G866" s="1216"/>
      <c r="H866" s="1216"/>
      <c r="I866" s="1216"/>
      <c r="J866" s="1216"/>
      <c r="K866" s="1216"/>
      <c r="L866" s="1216"/>
      <c r="M866" s="1216"/>
      <c r="N866" s="1216"/>
      <c r="O866" s="1216"/>
      <c r="P866" s="1216"/>
      <c r="Q866" s="1216"/>
      <c r="R866" s="1216"/>
      <c r="S866" s="1216"/>
    </row>
    <row r="867" spans="1:19">
      <c r="A867" s="1216"/>
      <c r="B867" s="1216"/>
      <c r="C867" s="1216"/>
      <c r="D867" s="1216"/>
      <c r="E867" s="1216"/>
      <c r="F867" s="1216"/>
      <c r="G867" s="1216"/>
      <c r="H867" s="1216"/>
      <c r="I867" s="1216"/>
      <c r="J867" s="1216"/>
      <c r="K867" s="1216"/>
      <c r="L867" s="1216"/>
      <c r="M867" s="1216"/>
      <c r="N867" s="1216"/>
      <c r="O867" s="1216"/>
      <c r="P867" s="1216"/>
      <c r="Q867" s="1216"/>
      <c r="R867" s="1216"/>
      <c r="S867" s="1216"/>
    </row>
    <row r="868" spans="1:19">
      <c r="A868" s="1216"/>
      <c r="B868" s="1216"/>
      <c r="C868" s="1216"/>
      <c r="D868" s="1216"/>
      <c r="E868" s="1216"/>
      <c r="F868" s="1216"/>
      <c r="G868" s="1216"/>
      <c r="H868" s="1216"/>
      <c r="I868" s="1216"/>
      <c r="J868" s="1216"/>
      <c r="K868" s="1216"/>
      <c r="L868" s="1216"/>
      <c r="M868" s="1216"/>
      <c r="N868" s="1216"/>
      <c r="O868" s="1216"/>
      <c r="P868" s="1216"/>
      <c r="Q868" s="1216"/>
      <c r="R868" s="1216"/>
      <c r="S868" s="1216"/>
    </row>
    <row r="869" spans="1:19">
      <c r="A869" s="1216"/>
      <c r="B869" s="1216"/>
      <c r="C869" s="1216"/>
      <c r="D869" s="1216"/>
      <c r="E869" s="1216"/>
      <c r="F869" s="1216"/>
      <c r="G869" s="1216"/>
      <c r="H869" s="1216"/>
      <c r="I869" s="1216"/>
      <c r="J869" s="1216"/>
      <c r="K869" s="1216"/>
      <c r="L869" s="1216"/>
      <c r="M869" s="1216"/>
      <c r="N869" s="1216"/>
      <c r="O869" s="1216"/>
      <c r="P869" s="1216"/>
      <c r="Q869" s="1216"/>
      <c r="R869" s="1216"/>
      <c r="S869" s="1216"/>
    </row>
    <row r="870" spans="1:19">
      <c r="A870" s="1216"/>
      <c r="B870" s="1216"/>
      <c r="C870" s="1216"/>
      <c r="D870" s="1216"/>
      <c r="E870" s="1216"/>
      <c r="F870" s="1216"/>
      <c r="G870" s="1216"/>
      <c r="H870" s="1216"/>
      <c r="I870" s="1216"/>
      <c r="J870" s="1216"/>
      <c r="K870" s="1216"/>
      <c r="L870" s="1216"/>
      <c r="M870" s="1216"/>
      <c r="N870" s="1216"/>
      <c r="O870" s="1216"/>
      <c r="P870" s="1216"/>
      <c r="Q870" s="1216"/>
      <c r="R870" s="1216"/>
      <c r="S870" s="1216"/>
    </row>
    <row r="871" spans="1:19">
      <c r="A871" s="1216"/>
      <c r="B871" s="1216"/>
      <c r="C871" s="1216"/>
      <c r="D871" s="1216"/>
      <c r="E871" s="1216"/>
      <c r="F871" s="1216"/>
      <c r="G871" s="1216"/>
      <c r="H871" s="1216"/>
      <c r="I871" s="1216"/>
      <c r="J871" s="1216"/>
      <c r="K871" s="1216"/>
      <c r="L871" s="1216"/>
      <c r="M871" s="1216"/>
      <c r="N871" s="1216"/>
      <c r="O871" s="1216"/>
      <c r="P871" s="1216"/>
      <c r="Q871" s="1216"/>
      <c r="R871" s="1216"/>
      <c r="S871" s="1216"/>
    </row>
    <row r="872" spans="1:19">
      <c r="B872" s="99"/>
      <c r="C872" s="99"/>
      <c r="D872" s="99"/>
      <c r="E872" s="99"/>
      <c r="F872" s="99"/>
      <c r="G872" s="99"/>
      <c r="H872" s="99"/>
      <c r="I872" s="99"/>
      <c r="J872" s="99"/>
      <c r="K872" s="99"/>
      <c r="L872" s="99"/>
      <c r="M872" s="99"/>
      <c r="N872" s="99"/>
      <c r="O872" s="99"/>
      <c r="P872" s="99"/>
      <c r="Q872" s="99"/>
      <c r="R872" s="99"/>
      <c r="S872" s="99"/>
    </row>
    <row r="873" spans="1:19">
      <c r="B873" s="99"/>
      <c r="C873" s="99"/>
      <c r="D873" s="99"/>
      <c r="E873" s="99"/>
      <c r="F873" s="99"/>
      <c r="G873" s="99"/>
      <c r="H873" s="99"/>
      <c r="I873" s="99"/>
      <c r="J873" s="99"/>
      <c r="K873" s="99"/>
      <c r="L873" s="99"/>
      <c r="M873" s="99"/>
      <c r="N873" s="99"/>
      <c r="O873" s="99"/>
      <c r="P873" s="99"/>
      <c r="Q873" s="99"/>
      <c r="R873" s="99"/>
      <c r="S873" s="99"/>
    </row>
    <row r="874" spans="1:19">
      <c r="B874" s="99"/>
      <c r="C874" s="99"/>
      <c r="D874" s="99"/>
      <c r="E874" s="99"/>
      <c r="F874" s="99"/>
      <c r="G874" s="99"/>
      <c r="H874" s="99"/>
      <c r="I874" s="99"/>
      <c r="J874" s="99"/>
      <c r="K874" s="99"/>
      <c r="L874" s="99"/>
      <c r="M874" s="99"/>
      <c r="N874" s="99"/>
      <c r="O874" s="99"/>
      <c r="P874" s="99"/>
      <c r="Q874" s="99"/>
      <c r="R874" s="99"/>
      <c r="S874" s="99"/>
    </row>
    <row r="875" spans="1:19">
      <c r="B875" s="99"/>
      <c r="C875" s="99"/>
      <c r="D875" s="99"/>
      <c r="E875" s="99"/>
      <c r="F875" s="99"/>
      <c r="G875" s="99"/>
      <c r="H875" s="99"/>
      <c r="I875" s="99"/>
      <c r="J875" s="99"/>
      <c r="K875" s="99"/>
      <c r="L875" s="99"/>
      <c r="M875" s="99"/>
      <c r="N875" s="99"/>
      <c r="O875" s="99"/>
      <c r="P875" s="99"/>
      <c r="Q875" s="99"/>
      <c r="R875" s="99"/>
      <c r="S875" s="99"/>
    </row>
    <row r="876" spans="1:19">
      <c r="B876" s="99"/>
      <c r="C876" s="99"/>
      <c r="D876" s="99"/>
      <c r="E876" s="99"/>
      <c r="F876" s="99"/>
      <c r="G876" s="99"/>
      <c r="H876" s="99"/>
      <c r="I876" s="99"/>
      <c r="J876" s="99"/>
      <c r="K876" s="99"/>
      <c r="L876" s="99"/>
      <c r="M876" s="99"/>
      <c r="N876" s="99"/>
      <c r="O876" s="99"/>
      <c r="P876" s="99"/>
      <c r="Q876" s="99"/>
      <c r="R876" s="99"/>
      <c r="S876" s="99"/>
    </row>
    <row r="877" spans="1:19">
      <c r="B877" s="99"/>
      <c r="C877" s="99"/>
      <c r="D877" s="99"/>
      <c r="E877" s="99"/>
      <c r="F877" s="99"/>
      <c r="G877" s="99"/>
      <c r="H877" s="99"/>
      <c r="I877" s="99"/>
      <c r="J877" s="99"/>
      <c r="K877" s="99"/>
      <c r="L877" s="99"/>
      <c r="M877" s="99"/>
      <c r="N877" s="99"/>
      <c r="O877" s="99"/>
      <c r="P877" s="99"/>
      <c r="Q877" s="99"/>
      <c r="R877" s="99"/>
      <c r="S877" s="99"/>
    </row>
    <row r="878" spans="1:19">
      <c r="B878" s="99"/>
      <c r="C878" s="99"/>
      <c r="D878" s="99"/>
      <c r="E878" s="99"/>
      <c r="F878" s="99"/>
      <c r="G878" s="99"/>
      <c r="H878" s="99"/>
      <c r="I878" s="99"/>
      <c r="J878" s="99"/>
      <c r="K878" s="99"/>
      <c r="L878" s="99"/>
      <c r="M878" s="99"/>
      <c r="N878" s="99"/>
      <c r="O878" s="99"/>
      <c r="P878" s="99"/>
      <c r="Q878" s="99"/>
      <c r="R878" s="99"/>
      <c r="S878" s="99"/>
    </row>
    <row r="879" spans="1:19">
      <c r="B879" s="99"/>
      <c r="C879" s="99"/>
      <c r="D879" s="99"/>
      <c r="E879" s="99"/>
      <c r="F879" s="99"/>
      <c r="G879" s="99"/>
      <c r="H879" s="99"/>
      <c r="I879" s="99"/>
      <c r="J879" s="99"/>
      <c r="K879" s="99"/>
      <c r="L879" s="99"/>
      <c r="M879" s="99"/>
      <c r="N879" s="99"/>
      <c r="O879" s="99"/>
      <c r="P879" s="99"/>
      <c r="Q879" s="99"/>
      <c r="R879" s="99"/>
      <c r="S879" s="99"/>
    </row>
    <row r="880" spans="1:19">
      <c r="B880" s="99"/>
      <c r="C880" s="99"/>
      <c r="D880" s="99"/>
      <c r="E880" s="99"/>
      <c r="F880" s="99"/>
      <c r="G880" s="99"/>
      <c r="H880" s="99"/>
      <c r="I880" s="99"/>
      <c r="J880" s="99"/>
      <c r="K880" s="99"/>
      <c r="L880" s="99"/>
      <c r="M880" s="99"/>
      <c r="N880" s="99"/>
      <c r="O880" s="99"/>
      <c r="P880" s="99"/>
      <c r="Q880" s="99"/>
      <c r="R880" s="99"/>
      <c r="S880" s="99"/>
    </row>
    <row r="881" spans="2:19">
      <c r="B881" s="99"/>
      <c r="C881" s="99"/>
      <c r="D881" s="99"/>
      <c r="E881" s="99"/>
      <c r="F881" s="99"/>
      <c r="G881" s="99"/>
      <c r="H881" s="99"/>
      <c r="I881" s="99"/>
      <c r="J881" s="99"/>
      <c r="K881" s="99"/>
      <c r="L881" s="99"/>
      <c r="M881" s="99"/>
      <c r="N881" s="99"/>
      <c r="O881" s="99"/>
      <c r="P881" s="99"/>
      <c r="Q881" s="99"/>
      <c r="R881" s="99"/>
      <c r="S881" s="99"/>
    </row>
    <row r="882" spans="2:19">
      <c r="B882" s="99"/>
      <c r="C882" s="99"/>
      <c r="D882" s="99"/>
      <c r="E882" s="99"/>
      <c r="F882" s="99"/>
      <c r="G882" s="99"/>
      <c r="H882" s="99"/>
      <c r="I882" s="99"/>
      <c r="J882" s="99"/>
      <c r="K882" s="99"/>
      <c r="L882" s="99"/>
      <c r="M882" s="99"/>
      <c r="N882" s="99"/>
      <c r="O882" s="99"/>
      <c r="P882" s="99"/>
      <c r="Q882" s="99"/>
      <c r="R882" s="99"/>
      <c r="S882" s="99"/>
    </row>
    <row r="883" spans="2:19">
      <c r="B883" s="99"/>
      <c r="C883" s="99"/>
      <c r="D883" s="99"/>
      <c r="E883" s="99"/>
      <c r="F883" s="99"/>
      <c r="G883" s="99"/>
      <c r="H883" s="99"/>
      <c r="I883" s="99"/>
      <c r="J883" s="99"/>
      <c r="K883" s="99"/>
      <c r="L883" s="99"/>
      <c r="M883" s="99"/>
      <c r="N883" s="99"/>
      <c r="O883" s="99"/>
      <c r="P883" s="99"/>
      <c r="Q883" s="99"/>
      <c r="R883" s="99"/>
      <c r="S883" s="99"/>
    </row>
    <row r="884" spans="2:19">
      <c r="B884" s="99"/>
      <c r="C884" s="99"/>
      <c r="D884" s="99"/>
      <c r="E884" s="99"/>
      <c r="F884" s="99"/>
      <c r="G884" s="99"/>
      <c r="H884" s="99"/>
      <c r="I884" s="99"/>
      <c r="J884" s="99"/>
      <c r="K884" s="99"/>
      <c r="L884" s="99"/>
      <c r="M884" s="99"/>
      <c r="N884" s="99"/>
      <c r="O884" s="99"/>
      <c r="P884" s="99"/>
      <c r="Q884" s="99"/>
      <c r="R884" s="99"/>
      <c r="S884" s="99"/>
    </row>
    <row r="885" spans="2:19">
      <c r="B885" s="1873"/>
      <c r="C885" s="1873"/>
      <c r="D885" s="1873"/>
      <c r="E885" s="1873"/>
      <c r="F885" s="1873"/>
      <c r="G885" s="1873"/>
      <c r="H885" s="1888" t="s">
        <v>4449</v>
      </c>
      <c r="I885" s="1888"/>
      <c r="J885" s="1888"/>
      <c r="K885" s="1888"/>
      <c r="L885" s="1888"/>
      <c r="M885" s="1888"/>
      <c r="N885" s="1871" t="s">
        <v>4683</v>
      </c>
      <c r="O885" s="1888"/>
      <c r="P885" s="1888"/>
      <c r="Q885" s="1888"/>
      <c r="R885" s="1888"/>
      <c r="S885" s="1888"/>
    </row>
    <row r="886" spans="2:19">
      <c r="B886" s="1873"/>
      <c r="C886" s="1873"/>
      <c r="D886" s="1873"/>
      <c r="E886" s="1873"/>
      <c r="F886" s="1873"/>
      <c r="G886" s="1873"/>
      <c r="H886" s="1888"/>
      <c r="I886" s="1888"/>
      <c r="J886" s="1888"/>
      <c r="K886" s="1888"/>
      <c r="L886" s="1888"/>
      <c r="M886" s="1888"/>
      <c r="N886" s="1888"/>
      <c r="O886" s="1888"/>
      <c r="P886" s="1888"/>
      <c r="Q886" s="1888"/>
      <c r="R886" s="1888"/>
      <c r="S886" s="1888"/>
    </row>
    <row r="887" spans="2:19" ht="24.95" customHeight="1">
      <c r="B887" s="1873" t="s">
        <v>4433</v>
      </c>
      <c r="C887" s="1873"/>
      <c r="D887" s="1873"/>
      <c r="E887" s="1873"/>
      <c r="F887" s="1873"/>
      <c r="G887" s="1873"/>
      <c r="H887" s="1873"/>
      <c r="I887" s="1873"/>
      <c r="J887" s="1873"/>
      <c r="K887" s="1873"/>
      <c r="L887" s="1873"/>
      <c r="M887" s="1873"/>
      <c r="N887" s="1873"/>
      <c r="O887" s="1873"/>
      <c r="P887" s="1873"/>
      <c r="Q887" s="1873"/>
      <c r="R887" s="1873"/>
      <c r="S887" s="1873"/>
    </row>
    <row r="888" spans="2:19">
      <c r="B888" s="1780" t="s">
        <v>4434</v>
      </c>
      <c r="C888" s="1780"/>
      <c r="D888" s="1780"/>
      <c r="E888" s="1780"/>
      <c r="F888" s="1780"/>
      <c r="G888" s="1780"/>
      <c r="H888" s="1780" t="s">
        <v>4450</v>
      </c>
      <c r="I888" s="1780"/>
      <c r="J888" s="1780"/>
      <c r="K888" s="1780"/>
      <c r="L888" s="1780"/>
      <c r="M888" s="1780"/>
      <c r="N888" s="1780" t="s">
        <v>4451</v>
      </c>
      <c r="O888" s="1780"/>
      <c r="P888" s="1780"/>
      <c r="Q888" s="1780"/>
      <c r="R888" s="1780"/>
      <c r="S888" s="1780"/>
    </row>
    <row r="889" spans="2:19">
      <c r="B889" s="1780" t="s">
        <v>4437</v>
      </c>
      <c r="C889" s="1780"/>
      <c r="D889" s="1780"/>
      <c r="E889" s="1780"/>
      <c r="F889" s="1780"/>
      <c r="G889" s="1780"/>
      <c r="H889" s="1780" t="s">
        <v>4452</v>
      </c>
      <c r="I889" s="1780"/>
      <c r="J889" s="1780"/>
      <c r="K889" s="1780"/>
      <c r="L889" s="1780"/>
      <c r="M889" s="1780"/>
      <c r="N889" s="1780" t="s">
        <v>4453</v>
      </c>
      <c r="O889" s="1780"/>
      <c r="P889" s="1780"/>
      <c r="Q889" s="1780"/>
      <c r="R889" s="1780"/>
      <c r="S889" s="1780"/>
    </row>
    <row r="890" spans="2:19" s="612" customFormat="1" ht="24.95" customHeight="1">
      <c r="B890" s="1873" t="s">
        <v>4454</v>
      </c>
      <c r="C890" s="1873"/>
      <c r="D890" s="1873"/>
      <c r="E890" s="1873"/>
      <c r="F890" s="1873"/>
      <c r="G890" s="1873"/>
      <c r="H890" s="1873">
        <v>849.18</v>
      </c>
      <c r="I890" s="1873"/>
      <c r="J890" s="1873"/>
      <c r="K890" s="1873"/>
      <c r="L890" s="1873"/>
      <c r="M890" s="1873"/>
      <c r="N890" s="1875">
        <v>1259.49</v>
      </c>
      <c r="O890" s="1875"/>
      <c r="P890" s="1875"/>
      <c r="Q890" s="1875"/>
      <c r="R890" s="1875"/>
      <c r="S890" s="1875"/>
    </row>
    <row r="891" spans="2:19" s="612" customFormat="1" ht="24.95" customHeight="1">
      <c r="B891" s="1873" t="s">
        <v>4441</v>
      </c>
      <c r="C891" s="1873"/>
      <c r="D891" s="1873"/>
      <c r="E891" s="1873"/>
      <c r="F891" s="1873"/>
      <c r="G891" s="1873"/>
      <c r="H891" s="1873"/>
      <c r="I891" s="1873"/>
      <c r="J891" s="1873"/>
      <c r="K891" s="1873"/>
      <c r="L891" s="1873"/>
      <c r="M891" s="1873"/>
      <c r="N891" s="1873"/>
      <c r="O891" s="1873"/>
      <c r="P891" s="1873"/>
      <c r="Q891" s="1873"/>
      <c r="R891" s="1873"/>
      <c r="S891" s="1873"/>
    </row>
    <row r="892" spans="2:19">
      <c r="B892" s="1780" t="s">
        <v>4442</v>
      </c>
      <c r="C892" s="1780"/>
      <c r="D892" s="1780"/>
      <c r="E892" s="1780"/>
      <c r="F892" s="1780"/>
      <c r="G892" s="1780"/>
      <c r="H892" s="1780" t="s">
        <v>4455</v>
      </c>
      <c r="I892" s="1780"/>
      <c r="J892" s="1780"/>
      <c r="K892" s="1780"/>
      <c r="L892" s="1780"/>
      <c r="M892" s="1780"/>
      <c r="N892" s="1780" t="s">
        <v>4456</v>
      </c>
      <c r="O892" s="1780"/>
      <c r="P892" s="1780"/>
      <c r="Q892" s="1780"/>
      <c r="R892" s="1780"/>
      <c r="S892" s="1780"/>
    </row>
    <row r="893" spans="2:19">
      <c r="B893" s="1780" t="s">
        <v>4445</v>
      </c>
      <c r="C893" s="1780"/>
      <c r="D893" s="1780"/>
      <c r="E893" s="1780"/>
      <c r="F893" s="1780"/>
      <c r="G893" s="1780"/>
      <c r="H893" s="1780" t="s">
        <v>4457</v>
      </c>
      <c r="I893" s="1780"/>
      <c r="J893" s="1780"/>
      <c r="K893" s="1780"/>
      <c r="L893" s="1780"/>
      <c r="M893" s="1780"/>
      <c r="N893" s="1780" t="s">
        <v>4446</v>
      </c>
      <c r="O893" s="1780"/>
      <c r="P893" s="1780"/>
      <c r="Q893" s="1780"/>
      <c r="R893" s="1780"/>
      <c r="S893" s="1780"/>
    </row>
    <row r="894" spans="2:19" s="612" customFormat="1" ht="24.95" customHeight="1">
      <c r="B894" s="1873" t="s">
        <v>4448</v>
      </c>
      <c r="C894" s="1873"/>
      <c r="D894" s="1873"/>
      <c r="E894" s="1873"/>
      <c r="F894" s="1873"/>
      <c r="G894" s="1873"/>
      <c r="H894" s="1873">
        <v>8.9700000000000006</v>
      </c>
      <c r="I894" s="1873"/>
      <c r="J894" s="1873"/>
      <c r="K894" s="1873"/>
      <c r="L894" s="1873"/>
      <c r="M894" s="1873"/>
      <c r="N894" s="1873">
        <v>13.52</v>
      </c>
      <c r="O894" s="1873"/>
      <c r="P894" s="1873"/>
      <c r="Q894" s="1873"/>
      <c r="R894" s="1873"/>
      <c r="S894" s="1873"/>
    </row>
    <row r="895" spans="2:19" s="612" customFormat="1" ht="24.95" customHeight="1">
      <c r="B895" s="1873" t="s">
        <v>4305</v>
      </c>
      <c r="C895" s="1873"/>
      <c r="D895" s="1873"/>
      <c r="E895" s="1873"/>
      <c r="F895" s="1873"/>
      <c r="G895" s="1873"/>
      <c r="H895" s="1873" t="s">
        <v>4554</v>
      </c>
      <c r="I895" s="1873"/>
      <c r="J895" s="1873"/>
      <c r="K895" s="1873"/>
      <c r="L895" s="1873"/>
      <c r="M895" s="1873"/>
      <c r="N895" s="1873" t="s">
        <v>4555</v>
      </c>
      <c r="O895" s="1873"/>
      <c r="P895" s="1873"/>
      <c r="Q895" s="1873"/>
      <c r="R895" s="1873"/>
      <c r="S895" s="1873"/>
    </row>
    <row r="896" spans="2:19" s="612" customFormat="1" ht="24.95" customHeight="1">
      <c r="B896" s="1873" t="s">
        <v>4355</v>
      </c>
      <c r="C896" s="1873"/>
      <c r="D896" s="1873"/>
      <c r="E896" s="1873"/>
      <c r="F896" s="1873"/>
      <c r="G896" s="1873"/>
      <c r="H896" s="1873" t="s">
        <v>4556</v>
      </c>
      <c r="I896" s="1873"/>
      <c r="J896" s="1873"/>
      <c r="K896" s="1873"/>
      <c r="L896" s="1873"/>
      <c r="M896" s="1873"/>
      <c r="N896" s="1873"/>
      <c r="O896" s="1873"/>
      <c r="P896" s="1873"/>
      <c r="Q896" s="1873"/>
      <c r="R896" s="1873"/>
      <c r="S896" s="1873"/>
    </row>
    <row r="897" spans="1:19">
      <c r="H897" s="1406"/>
      <c r="I897" s="1406"/>
      <c r="J897" s="1406"/>
      <c r="K897" s="1406"/>
      <c r="L897" s="1406"/>
      <c r="M897" s="1406"/>
    </row>
    <row r="898" spans="1:19" ht="12.75" customHeight="1">
      <c r="A898" s="1287" t="s">
        <v>4684</v>
      </c>
      <c r="B898" s="1216"/>
      <c r="C898" s="1216"/>
      <c r="D898" s="1216"/>
      <c r="E898" s="1216"/>
      <c r="F898" s="1216"/>
      <c r="G898" s="1216"/>
      <c r="H898" s="1216"/>
      <c r="I898" s="1216"/>
      <c r="J898" s="1216"/>
      <c r="K898" s="1216"/>
      <c r="L898" s="1216"/>
      <c r="M898" s="1216"/>
      <c r="N898" s="1216"/>
      <c r="O898" s="1216"/>
      <c r="P898" s="1216"/>
      <c r="Q898" s="1216"/>
      <c r="R898" s="1216"/>
      <c r="S898" s="1216"/>
    </row>
    <row r="899" spans="1:19">
      <c r="A899" s="1216"/>
      <c r="B899" s="1216"/>
      <c r="C899" s="1216"/>
      <c r="D899" s="1216"/>
      <c r="E899" s="1216"/>
      <c r="F899" s="1216"/>
      <c r="G899" s="1216"/>
      <c r="H899" s="1216"/>
      <c r="I899" s="1216"/>
      <c r="J899" s="1216"/>
      <c r="K899" s="1216"/>
      <c r="L899" s="1216"/>
      <c r="M899" s="1216"/>
      <c r="N899" s="1216"/>
      <c r="O899" s="1216"/>
      <c r="P899" s="1216"/>
      <c r="Q899" s="1216"/>
      <c r="R899" s="1216"/>
      <c r="S899" s="1216"/>
    </row>
    <row r="900" spans="1:19">
      <c r="A900" s="1216"/>
      <c r="B900" s="1216"/>
      <c r="C900" s="1216"/>
      <c r="D900" s="1216"/>
      <c r="E900" s="1216"/>
      <c r="F900" s="1216"/>
      <c r="G900" s="1216"/>
      <c r="H900" s="1216"/>
      <c r="I900" s="1216"/>
      <c r="J900" s="1216"/>
      <c r="K900" s="1216"/>
      <c r="L900" s="1216"/>
      <c r="M900" s="1216"/>
      <c r="N900" s="1216"/>
      <c r="O900" s="1216"/>
      <c r="P900" s="1216"/>
      <c r="Q900" s="1216"/>
      <c r="R900" s="1216"/>
      <c r="S900" s="1216"/>
    </row>
    <row r="901" spans="1:19">
      <c r="A901" s="1216"/>
      <c r="B901" s="1216"/>
      <c r="C901" s="1216"/>
      <c r="D901" s="1216"/>
      <c r="E901" s="1216"/>
      <c r="F901" s="1216"/>
      <c r="G901" s="1216"/>
      <c r="H901" s="1216"/>
      <c r="I901" s="1216"/>
      <c r="J901" s="1216"/>
      <c r="K901" s="1216"/>
      <c r="L901" s="1216"/>
      <c r="M901" s="1216"/>
      <c r="N901" s="1216"/>
      <c r="O901" s="1216"/>
      <c r="P901" s="1216"/>
      <c r="Q901" s="1216"/>
      <c r="R901" s="1216"/>
      <c r="S901" s="1216"/>
    </row>
    <row r="902" spans="1:19">
      <c r="A902" s="1216"/>
      <c r="B902" s="1216"/>
      <c r="C902" s="1216"/>
      <c r="D902" s="1216"/>
      <c r="E902" s="1216"/>
      <c r="F902" s="1216"/>
      <c r="G902" s="1216"/>
      <c r="H902" s="1216"/>
      <c r="I902" s="1216"/>
      <c r="J902" s="1216"/>
      <c r="K902" s="1216"/>
      <c r="L902" s="1216"/>
      <c r="M902" s="1216"/>
      <c r="N902" s="1216"/>
      <c r="O902" s="1216"/>
      <c r="P902" s="1216"/>
      <c r="Q902" s="1216"/>
      <c r="R902" s="1216"/>
      <c r="S902" s="1216"/>
    </row>
    <row r="903" spans="1:19" ht="12.75" customHeight="1">
      <c r="A903" s="1287" t="s">
        <v>4685</v>
      </c>
      <c r="B903" s="1216"/>
      <c r="C903" s="1216"/>
      <c r="D903" s="1216"/>
      <c r="E903" s="1216"/>
      <c r="F903" s="1216"/>
      <c r="G903" s="1216"/>
      <c r="H903" s="1216"/>
      <c r="I903" s="1216"/>
      <c r="J903" s="1216"/>
      <c r="K903" s="1216"/>
      <c r="L903" s="1216"/>
      <c r="M903" s="1216"/>
      <c r="N903" s="1216"/>
      <c r="O903" s="1216"/>
      <c r="P903" s="1216"/>
      <c r="Q903" s="1216"/>
      <c r="R903" s="1216"/>
      <c r="S903" s="1216"/>
    </row>
    <row r="904" spans="1:19" ht="12.75" customHeight="1">
      <c r="A904" s="1216"/>
      <c r="B904" s="1216"/>
      <c r="C904" s="1216"/>
      <c r="D904" s="1216"/>
      <c r="E904" s="1216"/>
      <c r="F904" s="1216"/>
      <c r="G904" s="1216"/>
      <c r="H904" s="1216"/>
      <c r="I904" s="1216"/>
      <c r="J904" s="1216"/>
      <c r="K904" s="1216"/>
      <c r="L904" s="1216"/>
      <c r="M904" s="1216"/>
      <c r="N904" s="1216"/>
      <c r="O904" s="1216"/>
      <c r="P904" s="1216"/>
      <c r="Q904" s="1216"/>
      <c r="R904" s="1216"/>
      <c r="S904" s="1216"/>
    </row>
    <row r="905" spans="1:19" ht="12.75" customHeight="1">
      <c r="A905" s="1216"/>
      <c r="B905" s="1216"/>
      <c r="C905" s="1216"/>
      <c r="D905" s="1216"/>
      <c r="E905" s="1216"/>
      <c r="F905" s="1216"/>
      <c r="G905" s="1216"/>
      <c r="H905" s="1216"/>
      <c r="I905" s="1216"/>
      <c r="J905" s="1216"/>
      <c r="K905" s="1216"/>
      <c r="L905" s="1216"/>
      <c r="M905" s="1216"/>
      <c r="N905" s="1216"/>
      <c r="O905" s="1216"/>
      <c r="P905" s="1216"/>
      <c r="Q905" s="1216"/>
      <c r="R905" s="1216"/>
      <c r="S905" s="1216"/>
    </row>
    <row r="906" spans="1:19" ht="12.75" customHeight="1">
      <c r="A906" s="1216"/>
      <c r="B906" s="1216"/>
      <c r="C906" s="1216"/>
      <c r="D906" s="1216"/>
      <c r="E906" s="1216"/>
      <c r="F906" s="1216"/>
      <c r="G906" s="1216"/>
      <c r="H906" s="1216"/>
      <c r="I906" s="1216"/>
      <c r="J906" s="1216"/>
      <c r="K906" s="1216"/>
      <c r="L906" s="1216"/>
      <c r="M906" s="1216"/>
      <c r="N906" s="1216"/>
      <c r="O906" s="1216"/>
      <c r="P906" s="1216"/>
      <c r="Q906" s="1216"/>
      <c r="R906" s="1216"/>
      <c r="S906" s="1216"/>
    </row>
    <row r="907" spans="1:19" ht="12.75" customHeight="1">
      <c r="A907" s="1216"/>
      <c r="B907" s="1216"/>
      <c r="C907" s="1216"/>
      <c r="D907" s="1216"/>
      <c r="E907" s="1216"/>
      <c r="F907" s="1216"/>
      <c r="G907" s="1216"/>
      <c r="H907" s="1216"/>
      <c r="I907" s="1216"/>
      <c r="J907" s="1216"/>
      <c r="K907" s="1216"/>
      <c r="L907" s="1216"/>
      <c r="M907" s="1216"/>
      <c r="N907" s="1216"/>
      <c r="O907" s="1216"/>
      <c r="P907" s="1216"/>
      <c r="Q907" s="1216"/>
      <c r="R907" s="1216"/>
      <c r="S907" s="1216"/>
    </row>
    <row r="908" spans="1:19">
      <c r="A908" s="1216"/>
      <c r="B908" s="1216"/>
      <c r="C908" s="1216"/>
      <c r="D908" s="1216"/>
      <c r="E908" s="1216"/>
      <c r="F908" s="1216"/>
      <c r="G908" s="1216"/>
      <c r="H908" s="1216"/>
      <c r="I908" s="1216"/>
      <c r="J908" s="1216"/>
      <c r="K908" s="1216"/>
      <c r="L908" s="1216"/>
      <c r="M908" s="1216"/>
      <c r="N908" s="1216"/>
      <c r="O908" s="1216"/>
      <c r="P908" s="1216"/>
      <c r="Q908" s="1216"/>
      <c r="R908" s="1216"/>
      <c r="S908" s="1216"/>
    </row>
    <row r="909" spans="1:19">
      <c r="A909" s="1216"/>
      <c r="B909" s="1216"/>
      <c r="C909" s="1216"/>
      <c r="D909" s="1216"/>
      <c r="E909" s="1216"/>
      <c r="F909" s="1216"/>
      <c r="G909" s="1216"/>
      <c r="H909" s="1216"/>
      <c r="I909" s="1216"/>
      <c r="J909" s="1216"/>
      <c r="K909" s="1216"/>
      <c r="L909" s="1216"/>
      <c r="M909" s="1216"/>
      <c r="N909" s="1216"/>
      <c r="O909" s="1216"/>
      <c r="P909" s="1216"/>
      <c r="Q909" s="1216"/>
      <c r="R909" s="1216"/>
      <c r="S909" s="1216"/>
    </row>
    <row r="910" spans="1:19">
      <c r="A910" s="1216"/>
      <c r="B910" s="1216"/>
      <c r="C910" s="1216"/>
      <c r="D910" s="1216"/>
      <c r="E910" s="1216"/>
      <c r="F910" s="1216"/>
      <c r="G910" s="1216"/>
      <c r="H910" s="1216"/>
      <c r="I910" s="1216"/>
      <c r="J910" s="1216"/>
      <c r="K910" s="1216"/>
      <c r="L910" s="1216"/>
      <c r="M910" s="1216"/>
      <c r="N910" s="1216"/>
      <c r="O910" s="1216"/>
      <c r="P910" s="1216"/>
      <c r="Q910" s="1216"/>
      <c r="R910" s="1216"/>
      <c r="S910" s="1216"/>
    </row>
    <row r="911" spans="1:19">
      <c r="A911" s="1216"/>
      <c r="B911" s="1216"/>
      <c r="C911" s="1216"/>
      <c r="D911" s="1216"/>
      <c r="E911" s="1216"/>
      <c r="F911" s="1216"/>
      <c r="G911" s="1216"/>
      <c r="H911" s="1216"/>
      <c r="I911" s="1216"/>
      <c r="J911" s="1216"/>
      <c r="K911" s="1216"/>
      <c r="L911" s="1216"/>
      <c r="M911" s="1216"/>
      <c r="N911" s="1216"/>
      <c r="O911" s="1216"/>
      <c r="P911" s="1216"/>
      <c r="Q911" s="1216"/>
      <c r="R911" s="1216"/>
      <c r="S911" s="1216"/>
    </row>
    <row r="912" spans="1:19" ht="12.75" customHeight="1">
      <c r="A912" s="1287" t="s">
        <v>4686</v>
      </c>
      <c r="B912" s="1216"/>
      <c r="C912" s="1216"/>
      <c r="D912" s="1216"/>
      <c r="E912" s="1216"/>
      <c r="F912" s="1216"/>
      <c r="G912" s="1216"/>
      <c r="H912" s="1216"/>
      <c r="I912" s="1216"/>
      <c r="J912" s="1216"/>
      <c r="K912" s="1216"/>
      <c r="L912" s="1216"/>
      <c r="M912" s="1216"/>
      <c r="N912" s="1216"/>
      <c r="O912" s="1216"/>
      <c r="P912" s="1216"/>
      <c r="Q912" s="1216"/>
      <c r="R912" s="1216"/>
      <c r="S912" s="1216"/>
    </row>
    <row r="913" spans="1:19">
      <c r="A913" s="1216"/>
      <c r="B913" s="1216"/>
      <c r="C913" s="1216"/>
      <c r="D913" s="1216"/>
      <c r="E913" s="1216"/>
      <c r="F913" s="1216"/>
      <c r="G913" s="1216"/>
      <c r="H913" s="1216"/>
      <c r="I913" s="1216"/>
      <c r="J913" s="1216"/>
      <c r="K913" s="1216"/>
      <c r="L913" s="1216"/>
      <c r="M913" s="1216"/>
      <c r="N913" s="1216"/>
      <c r="O913" s="1216"/>
      <c r="P913" s="1216"/>
      <c r="Q913" s="1216"/>
      <c r="R913" s="1216"/>
      <c r="S913" s="1216"/>
    </row>
    <row r="914" spans="1:19">
      <c r="A914" s="1216"/>
      <c r="B914" s="1216"/>
      <c r="C914" s="1216"/>
      <c r="D914" s="1216"/>
      <c r="E914" s="1216"/>
      <c r="F914" s="1216"/>
      <c r="G914" s="1216"/>
      <c r="H914" s="1216"/>
      <c r="I914" s="1216"/>
      <c r="J914" s="1216"/>
      <c r="K914" s="1216"/>
      <c r="L914" s="1216"/>
      <c r="M914" s="1216"/>
      <c r="N914" s="1216"/>
      <c r="O914" s="1216"/>
      <c r="P914" s="1216"/>
      <c r="Q914" s="1216"/>
      <c r="R914" s="1216"/>
      <c r="S914" s="1216"/>
    </row>
    <row r="915" spans="1:19" ht="12.75" customHeight="1">
      <c r="A915" s="1216" t="s">
        <v>4557</v>
      </c>
      <c r="B915" s="1216"/>
      <c r="C915" s="1216"/>
      <c r="D915" s="1216"/>
      <c r="E915" s="1216"/>
      <c r="F915" s="1216"/>
      <c r="G915" s="1216"/>
      <c r="H915" s="1216"/>
      <c r="I915" s="1216"/>
      <c r="J915" s="1216"/>
      <c r="K915" s="1216"/>
      <c r="L915" s="1216"/>
      <c r="M915" s="1216"/>
      <c r="N915" s="1216"/>
      <c r="O915" s="1216"/>
      <c r="P915" s="1216"/>
      <c r="Q915" s="1216"/>
      <c r="R915" s="1216"/>
      <c r="S915" s="1216"/>
    </row>
    <row r="916" spans="1:19" ht="12.75" customHeight="1">
      <c r="A916" s="1216"/>
      <c r="B916" s="1216"/>
      <c r="C916" s="1216"/>
      <c r="D916" s="1216"/>
      <c r="E916" s="1216"/>
      <c r="F916" s="1216"/>
      <c r="G916" s="1216"/>
      <c r="H916" s="1216"/>
      <c r="I916" s="1216"/>
      <c r="J916" s="1216"/>
      <c r="K916" s="1216"/>
      <c r="L916" s="1216"/>
      <c r="M916" s="1216"/>
      <c r="N916" s="1216"/>
      <c r="O916" s="1216"/>
      <c r="P916" s="1216"/>
      <c r="Q916" s="1216"/>
      <c r="R916" s="1216"/>
      <c r="S916" s="1216"/>
    </row>
    <row r="917" spans="1:19" ht="12.75" customHeight="1">
      <c r="A917" s="1216"/>
      <c r="B917" s="1216"/>
      <c r="C917" s="1216"/>
      <c r="D917" s="1216"/>
      <c r="E917" s="1216"/>
      <c r="F917" s="1216"/>
      <c r="G917" s="1216"/>
      <c r="H917" s="1216"/>
      <c r="I917" s="1216"/>
      <c r="J917" s="1216"/>
      <c r="K917" s="1216"/>
      <c r="L917" s="1216"/>
      <c r="M917" s="1216"/>
      <c r="N917" s="1216"/>
      <c r="O917" s="1216"/>
      <c r="P917" s="1216"/>
      <c r="Q917" s="1216"/>
      <c r="R917" s="1216"/>
      <c r="S917" s="1216"/>
    </row>
    <row r="918" spans="1:19" ht="14.25" customHeight="1">
      <c r="A918" s="1216"/>
      <c r="B918" s="1216"/>
      <c r="C918" s="1216"/>
      <c r="D918" s="1216"/>
      <c r="E918" s="1216"/>
      <c r="F918" s="1216"/>
      <c r="G918" s="1216"/>
      <c r="H918" s="1216"/>
      <c r="I918" s="1216"/>
      <c r="J918" s="1216"/>
      <c r="K918" s="1216"/>
      <c r="L918" s="1216"/>
      <c r="M918" s="1216"/>
      <c r="N918" s="1216"/>
      <c r="O918" s="1216"/>
      <c r="P918" s="1216"/>
      <c r="Q918" s="1216"/>
      <c r="R918" s="1216"/>
      <c r="S918" s="1216"/>
    </row>
    <row r="919" spans="1:19">
      <c r="A919" s="1216"/>
      <c r="B919" s="1216"/>
      <c r="C919" s="1216"/>
      <c r="D919" s="1216"/>
      <c r="E919" s="1216"/>
      <c r="F919" s="1216"/>
      <c r="G919" s="1216"/>
      <c r="H919" s="1216"/>
      <c r="I919" s="1216"/>
      <c r="J919" s="1216"/>
      <c r="K919" s="1216"/>
      <c r="L919" s="1216"/>
      <c r="M919" s="1216"/>
      <c r="N919" s="1216"/>
      <c r="O919" s="1216"/>
      <c r="P919" s="1216"/>
      <c r="Q919" s="1216"/>
      <c r="R919" s="1216"/>
      <c r="S919" s="1216"/>
    </row>
    <row r="920" spans="1:19">
      <c r="A920" s="1216"/>
      <c r="B920" s="1216"/>
      <c r="C920" s="1216"/>
      <c r="D920" s="1216"/>
      <c r="E920" s="1216"/>
      <c r="F920" s="1216"/>
      <c r="G920" s="1216"/>
      <c r="H920" s="1216"/>
      <c r="I920" s="1216"/>
      <c r="J920" s="1216"/>
      <c r="K920" s="1216"/>
      <c r="L920" s="1216"/>
      <c r="M920" s="1216"/>
      <c r="N920" s="1216"/>
      <c r="O920" s="1216"/>
      <c r="P920" s="1216"/>
      <c r="Q920" s="1216"/>
      <c r="R920" s="1216"/>
      <c r="S920" s="1216"/>
    </row>
    <row r="921" spans="1:19">
      <c r="A921" s="1216"/>
      <c r="B921" s="1216"/>
      <c r="C921" s="1216"/>
      <c r="D921" s="1216"/>
      <c r="E921" s="1216"/>
      <c r="F921" s="1216"/>
      <c r="G921" s="1216"/>
      <c r="H921" s="1216"/>
      <c r="I921" s="1216"/>
      <c r="J921" s="1216"/>
      <c r="K921" s="1216"/>
      <c r="L921" s="1216"/>
      <c r="M921" s="1216"/>
      <c r="N921" s="1216"/>
      <c r="O921" s="1216"/>
      <c r="P921" s="1216"/>
      <c r="Q921" s="1216"/>
      <c r="R921" s="1216"/>
      <c r="S921" s="1216"/>
    </row>
    <row r="922" spans="1:19">
      <c r="B922" s="1216" t="s">
        <v>4458</v>
      </c>
      <c r="C922" s="1216"/>
      <c r="D922" s="1216"/>
      <c r="E922" s="1216"/>
      <c r="F922" s="1216"/>
      <c r="G922" s="1216"/>
      <c r="H922" s="1216"/>
      <c r="I922" s="1216"/>
      <c r="J922" s="1216"/>
      <c r="K922" s="1216"/>
      <c r="L922" s="1216"/>
      <c r="M922" s="1216"/>
      <c r="N922" s="1216"/>
      <c r="O922" s="1216"/>
      <c r="P922" s="1216"/>
      <c r="Q922" s="1216"/>
      <c r="R922" s="1216"/>
      <c r="S922" s="1216"/>
    </row>
    <row r="923" spans="1:19" ht="12.75" customHeight="1">
      <c r="A923" s="1287" t="s">
        <v>4687</v>
      </c>
      <c r="B923" s="1216"/>
      <c r="C923" s="1216"/>
      <c r="D923" s="1216"/>
      <c r="E923" s="1216"/>
      <c r="F923" s="1216"/>
      <c r="G923" s="1216"/>
      <c r="H923" s="1216"/>
      <c r="I923" s="1216"/>
      <c r="J923" s="1216"/>
      <c r="K923" s="1216"/>
      <c r="L923" s="1216"/>
      <c r="M923" s="1216"/>
      <c r="N923" s="1216"/>
      <c r="O923" s="1216"/>
      <c r="P923" s="1216"/>
      <c r="Q923" s="1216"/>
      <c r="R923" s="1216"/>
      <c r="S923" s="1216"/>
    </row>
    <row r="924" spans="1:19" ht="12.75" customHeight="1">
      <c r="A924" s="1216"/>
      <c r="B924" s="1216"/>
      <c r="C924" s="1216"/>
      <c r="D924" s="1216"/>
      <c r="E924" s="1216"/>
      <c r="F924" s="1216"/>
      <c r="G924" s="1216"/>
      <c r="H924" s="1216"/>
      <c r="I924" s="1216"/>
      <c r="J924" s="1216"/>
      <c r="K924" s="1216"/>
      <c r="L924" s="1216"/>
      <c r="M924" s="1216"/>
      <c r="N924" s="1216"/>
      <c r="O924" s="1216"/>
      <c r="P924" s="1216"/>
      <c r="Q924" s="1216"/>
      <c r="R924" s="1216"/>
      <c r="S924" s="1216"/>
    </row>
    <row r="925" spans="1:19" ht="12.75" customHeight="1">
      <c r="A925" s="1216"/>
      <c r="B925" s="1216"/>
      <c r="C925" s="1216"/>
      <c r="D925" s="1216"/>
      <c r="E925" s="1216"/>
      <c r="F925" s="1216"/>
      <c r="G925" s="1216"/>
      <c r="H925" s="1216"/>
      <c r="I925" s="1216"/>
      <c r="J925" s="1216"/>
      <c r="K925" s="1216"/>
      <c r="L925" s="1216"/>
      <c r="M925" s="1216"/>
      <c r="N925" s="1216"/>
      <c r="O925" s="1216"/>
      <c r="P925" s="1216"/>
      <c r="Q925" s="1216"/>
      <c r="R925" s="1216"/>
      <c r="S925" s="1216"/>
    </row>
    <row r="926" spans="1:19" ht="12.75" customHeight="1">
      <c r="A926" s="1216"/>
      <c r="B926" s="1216"/>
      <c r="C926" s="1216"/>
      <c r="D926" s="1216"/>
      <c r="E926" s="1216"/>
      <c r="F926" s="1216"/>
      <c r="G926" s="1216"/>
      <c r="H926" s="1216"/>
      <c r="I926" s="1216"/>
      <c r="J926" s="1216"/>
      <c r="K926" s="1216"/>
      <c r="L926" s="1216"/>
      <c r="M926" s="1216"/>
      <c r="N926" s="1216"/>
      <c r="O926" s="1216"/>
      <c r="P926" s="1216"/>
      <c r="Q926" s="1216"/>
      <c r="R926" s="1216"/>
      <c r="S926" s="1216"/>
    </row>
    <row r="927" spans="1:19" ht="12.75" customHeight="1">
      <c r="A927" s="1216"/>
      <c r="B927" s="1216"/>
      <c r="C927" s="1216"/>
      <c r="D927" s="1216"/>
      <c r="E927" s="1216"/>
      <c r="F927" s="1216"/>
      <c r="G927" s="1216"/>
      <c r="H927" s="1216"/>
      <c r="I927" s="1216"/>
      <c r="J927" s="1216"/>
      <c r="K927" s="1216"/>
      <c r="L927" s="1216"/>
      <c r="M927" s="1216"/>
      <c r="N927" s="1216"/>
      <c r="O927" s="1216"/>
      <c r="P927" s="1216"/>
      <c r="Q927" s="1216"/>
      <c r="R927" s="1216"/>
      <c r="S927" s="1216"/>
    </row>
    <row r="928" spans="1:19">
      <c r="A928" s="1216"/>
      <c r="B928" s="1216"/>
      <c r="C928" s="1216"/>
      <c r="D928" s="1216"/>
      <c r="E928" s="1216"/>
      <c r="F928" s="1216"/>
      <c r="G928" s="1216"/>
      <c r="H928" s="1216"/>
      <c r="I928" s="1216"/>
      <c r="J928" s="1216"/>
      <c r="K928" s="1216"/>
      <c r="L928" s="1216"/>
      <c r="M928" s="1216"/>
      <c r="N928" s="1216"/>
      <c r="O928" s="1216"/>
      <c r="P928" s="1216"/>
      <c r="Q928" s="1216"/>
      <c r="R928" s="1216"/>
      <c r="S928" s="1216"/>
    </row>
    <row r="929" spans="1:19">
      <c r="A929" s="1216"/>
      <c r="B929" s="1216"/>
      <c r="C929" s="1216"/>
      <c r="D929" s="1216"/>
      <c r="E929" s="1216"/>
      <c r="F929" s="1216"/>
      <c r="G929" s="1216"/>
      <c r="H929" s="1216"/>
      <c r="I929" s="1216"/>
      <c r="J929" s="1216"/>
      <c r="K929" s="1216"/>
      <c r="L929" s="1216"/>
      <c r="M929" s="1216"/>
      <c r="N929" s="1216"/>
      <c r="O929" s="1216"/>
      <c r="P929" s="1216"/>
      <c r="Q929" s="1216"/>
      <c r="R929" s="1216"/>
      <c r="S929" s="1216"/>
    </row>
    <row r="930" spans="1:19">
      <c r="A930" s="1216"/>
      <c r="B930" s="1216"/>
      <c r="C930" s="1216"/>
      <c r="D930" s="1216"/>
      <c r="E930" s="1216"/>
      <c r="F930" s="1216"/>
      <c r="G930" s="1216"/>
      <c r="H930" s="1216"/>
      <c r="I930" s="1216"/>
      <c r="J930" s="1216"/>
      <c r="K930" s="1216"/>
      <c r="L930" s="1216"/>
      <c r="M930" s="1216"/>
      <c r="N930" s="1216"/>
      <c r="O930" s="1216"/>
      <c r="P930" s="1216"/>
      <c r="Q930" s="1216"/>
      <c r="R930" s="1216"/>
      <c r="S930" s="1216"/>
    </row>
    <row r="931" spans="1:19">
      <c r="A931" s="1216"/>
      <c r="B931" s="1216"/>
      <c r="C931" s="1216"/>
      <c r="D931" s="1216"/>
      <c r="E931" s="1216"/>
      <c r="F931" s="1216"/>
      <c r="G931" s="1216"/>
      <c r="H931" s="1216"/>
      <c r="I931" s="1216"/>
      <c r="J931" s="1216"/>
      <c r="K931" s="1216"/>
      <c r="L931" s="1216"/>
      <c r="M931" s="1216"/>
      <c r="N931" s="1216"/>
      <c r="O931" s="1216"/>
      <c r="P931" s="1216"/>
      <c r="Q931" s="1216"/>
      <c r="R931" s="1216"/>
      <c r="S931" s="1216"/>
    </row>
    <row r="932" spans="1:19" ht="12.75" customHeight="1">
      <c r="A932" s="1287" t="s">
        <v>4688</v>
      </c>
      <c r="B932" s="1216"/>
      <c r="C932" s="1216"/>
      <c r="D932" s="1216"/>
      <c r="E932" s="1216"/>
      <c r="F932" s="1216"/>
      <c r="G932" s="1216"/>
      <c r="H932" s="1216"/>
      <c r="I932" s="1216"/>
      <c r="J932" s="1216"/>
      <c r="K932" s="1216"/>
      <c r="L932" s="1216"/>
      <c r="M932" s="1216"/>
      <c r="N932" s="1216"/>
      <c r="O932" s="1216"/>
      <c r="P932" s="1216"/>
      <c r="Q932" s="1216"/>
      <c r="R932" s="1216"/>
      <c r="S932" s="1216"/>
    </row>
    <row r="933" spans="1:19" ht="12.75" customHeight="1">
      <c r="A933" s="1216"/>
      <c r="B933" s="1216"/>
      <c r="C933" s="1216"/>
      <c r="D933" s="1216"/>
      <c r="E933" s="1216"/>
      <c r="F933" s="1216"/>
      <c r="G933" s="1216"/>
      <c r="H933" s="1216"/>
      <c r="I933" s="1216"/>
      <c r="J933" s="1216"/>
      <c r="K933" s="1216"/>
      <c r="L933" s="1216"/>
      <c r="M933" s="1216"/>
      <c r="N933" s="1216"/>
      <c r="O933" s="1216"/>
      <c r="P933" s="1216"/>
      <c r="Q933" s="1216"/>
      <c r="R933" s="1216"/>
      <c r="S933" s="1216"/>
    </row>
    <row r="934" spans="1:19" ht="12.75" customHeight="1">
      <c r="A934" s="1216"/>
      <c r="B934" s="1216"/>
      <c r="C934" s="1216"/>
      <c r="D934" s="1216"/>
      <c r="E934" s="1216"/>
      <c r="F934" s="1216"/>
      <c r="G934" s="1216"/>
      <c r="H934" s="1216"/>
      <c r="I934" s="1216"/>
      <c r="J934" s="1216"/>
      <c r="K934" s="1216"/>
      <c r="L934" s="1216"/>
      <c r="M934" s="1216"/>
      <c r="N934" s="1216"/>
      <c r="O934" s="1216"/>
      <c r="P934" s="1216"/>
      <c r="Q934" s="1216"/>
      <c r="R934" s="1216"/>
      <c r="S934" s="1216"/>
    </row>
    <row r="935" spans="1:19" ht="12.75" customHeight="1">
      <c r="A935" s="1216"/>
      <c r="B935" s="1216"/>
      <c r="C935" s="1216"/>
      <c r="D935" s="1216"/>
      <c r="E935" s="1216"/>
      <c r="F935" s="1216"/>
      <c r="G935" s="1216"/>
      <c r="H935" s="1216"/>
      <c r="I935" s="1216"/>
      <c r="J935" s="1216"/>
      <c r="K935" s="1216"/>
      <c r="L935" s="1216"/>
      <c r="M935" s="1216"/>
      <c r="N935" s="1216"/>
      <c r="O935" s="1216"/>
      <c r="P935" s="1216"/>
      <c r="Q935" s="1216"/>
      <c r="R935" s="1216"/>
      <c r="S935" s="1216"/>
    </row>
    <row r="936" spans="1:19" ht="12.75" customHeight="1">
      <c r="A936" s="1216"/>
      <c r="B936" s="1216"/>
      <c r="C936" s="1216"/>
      <c r="D936" s="1216"/>
      <c r="E936" s="1216"/>
      <c r="F936" s="1216"/>
      <c r="G936" s="1216"/>
      <c r="H936" s="1216"/>
      <c r="I936" s="1216"/>
      <c r="J936" s="1216"/>
      <c r="K936" s="1216"/>
      <c r="L936" s="1216"/>
      <c r="M936" s="1216"/>
      <c r="N936" s="1216"/>
      <c r="O936" s="1216"/>
      <c r="P936" s="1216"/>
      <c r="Q936" s="1216"/>
      <c r="R936" s="1216"/>
      <c r="S936" s="1216"/>
    </row>
    <row r="937" spans="1:19" ht="12.75" customHeight="1">
      <c r="A937" s="1216"/>
      <c r="B937" s="1216"/>
      <c r="C937" s="1216"/>
      <c r="D937" s="1216"/>
      <c r="E937" s="1216"/>
      <c r="F937" s="1216"/>
      <c r="G937" s="1216"/>
      <c r="H937" s="1216"/>
      <c r="I937" s="1216"/>
      <c r="J937" s="1216"/>
      <c r="K937" s="1216"/>
      <c r="L937" s="1216"/>
      <c r="M937" s="1216"/>
      <c r="N937" s="1216"/>
      <c r="O937" s="1216"/>
      <c r="P937" s="1216"/>
      <c r="Q937" s="1216"/>
      <c r="R937" s="1216"/>
      <c r="S937" s="1216"/>
    </row>
    <row r="938" spans="1:19" ht="12.75" customHeight="1">
      <c r="A938" s="1216"/>
      <c r="B938" s="1216"/>
      <c r="C938" s="1216"/>
      <c r="D938" s="1216"/>
      <c r="E938" s="1216"/>
      <c r="F938" s="1216"/>
      <c r="G938" s="1216"/>
      <c r="H938" s="1216"/>
      <c r="I938" s="1216"/>
      <c r="J938" s="1216"/>
      <c r="K938" s="1216"/>
      <c r="L938" s="1216"/>
      <c r="M938" s="1216"/>
      <c r="N938" s="1216"/>
      <c r="O938" s="1216"/>
      <c r="P938" s="1216"/>
      <c r="Q938" s="1216"/>
      <c r="R938" s="1216"/>
      <c r="S938" s="1216"/>
    </row>
    <row r="939" spans="1:19">
      <c r="A939" s="1216"/>
      <c r="B939" s="1216"/>
      <c r="C939" s="1216"/>
      <c r="D939" s="1216"/>
      <c r="E939" s="1216"/>
      <c r="F939" s="1216"/>
      <c r="G939" s="1216"/>
      <c r="H939" s="1216"/>
      <c r="I939" s="1216"/>
      <c r="J939" s="1216"/>
      <c r="K939" s="1216"/>
      <c r="L939" s="1216"/>
      <c r="M939" s="1216"/>
      <c r="N939" s="1216"/>
      <c r="O939" s="1216"/>
      <c r="P939" s="1216"/>
      <c r="Q939" s="1216"/>
      <c r="R939" s="1216"/>
      <c r="S939" s="1216"/>
    </row>
    <row r="940" spans="1:19">
      <c r="A940" s="1216"/>
      <c r="B940" s="1216"/>
      <c r="C940" s="1216"/>
      <c r="D940" s="1216"/>
      <c r="E940" s="1216"/>
      <c r="F940" s="1216"/>
      <c r="G940" s="1216"/>
      <c r="H940" s="1216"/>
      <c r="I940" s="1216"/>
      <c r="J940" s="1216"/>
      <c r="K940" s="1216"/>
      <c r="L940" s="1216"/>
      <c r="M940" s="1216"/>
      <c r="N940" s="1216"/>
      <c r="O940" s="1216"/>
      <c r="P940" s="1216"/>
      <c r="Q940" s="1216"/>
      <c r="R940" s="1216"/>
      <c r="S940" s="1216"/>
    </row>
    <row r="941" spans="1:19">
      <c r="A941" s="1216"/>
      <c r="B941" s="1216"/>
      <c r="C941" s="1216"/>
      <c r="D941" s="1216"/>
      <c r="E941" s="1216"/>
      <c r="F941" s="1216"/>
      <c r="G941" s="1216"/>
      <c r="H941" s="1216"/>
      <c r="I941" s="1216"/>
      <c r="J941" s="1216"/>
      <c r="K941" s="1216"/>
      <c r="L941" s="1216"/>
      <c r="M941" s="1216"/>
      <c r="N941" s="1216"/>
      <c r="O941" s="1216"/>
      <c r="P941" s="1216"/>
      <c r="Q941" s="1216"/>
      <c r="R941" s="1216"/>
      <c r="S941" s="1216"/>
    </row>
    <row r="942" spans="1:19">
      <c r="A942" s="1216"/>
      <c r="B942" s="1216"/>
      <c r="C942" s="1216"/>
      <c r="D942" s="1216"/>
      <c r="E942" s="1216"/>
      <c r="F942" s="1216"/>
      <c r="G942" s="1216"/>
      <c r="H942" s="1216"/>
      <c r="I942" s="1216"/>
      <c r="J942" s="1216"/>
      <c r="K942" s="1216"/>
      <c r="L942" s="1216"/>
      <c r="M942" s="1216"/>
      <c r="N942" s="1216"/>
      <c r="O942" s="1216"/>
      <c r="P942" s="1216"/>
      <c r="Q942" s="1216"/>
      <c r="R942" s="1216"/>
      <c r="S942" s="1216"/>
    </row>
    <row r="943" spans="1:19" ht="12.75" customHeight="1">
      <c r="A943" s="1287" t="s">
        <v>4690</v>
      </c>
      <c r="B943" s="1216"/>
      <c r="C943" s="1216"/>
      <c r="D943" s="1216"/>
      <c r="E943" s="1216"/>
      <c r="F943" s="1216"/>
      <c r="G943" s="1216"/>
      <c r="H943" s="1216"/>
      <c r="I943" s="1216"/>
      <c r="J943" s="1216"/>
      <c r="K943" s="1216"/>
      <c r="L943" s="1216"/>
      <c r="M943" s="1216"/>
      <c r="N943" s="1216"/>
      <c r="O943" s="1216"/>
      <c r="P943" s="1216"/>
      <c r="Q943" s="1216"/>
      <c r="R943" s="1216"/>
      <c r="S943" s="1216"/>
    </row>
    <row r="944" spans="1:19">
      <c r="A944" s="1216"/>
      <c r="B944" s="1216"/>
      <c r="C944" s="1216"/>
      <c r="D944" s="1216"/>
      <c r="E944" s="1216"/>
      <c r="F944" s="1216"/>
      <c r="G944" s="1216"/>
      <c r="H944" s="1216"/>
      <c r="I944" s="1216"/>
      <c r="J944" s="1216"/>
      <c r="K944" s="1216"/>
      <c r="L944" s="1216"/>
      <c r="M944" s="1216"/>
      <c r="N944" s="1216"/>
      <c r="O944" s="1216"/>
      <c r="P944" s="1216"/>
      <c r="Q944" s="1216"/>
      <c r="R944" s="1216"/>
      <c r="S944" s="1216"/>
    </row>
    <row r="945" spans="1:19">
      <c r="A945" s="1216"/>
      <c r="B945" s="1216"/>
      <c r="C945" s="1216"/>
      <c r="D945" s="1216"/>
      <c r="E945" s="1216"/>
      <c r="F945" s="1216"/>
      <c r="G945" s="1216"/>
      <c r="H945" s="1216"/>
      <c r="I945" s="1216"/>
      <c r="J945" s="1216"/>
      <c r="K945" s="1216"/>
      <c r="L945" s="1216"/>
      <c r="M945" s="1216"/>
      <c r="N945" s="1216"/>
      <c r="O945" s="1216"/>
      <c r="P945" s="1216"/>
      <c r="Q945" s="1216"/>
      <c r="R945" s="1216"/>
      <c r="S945" s="1216"/>
    </row>
    <row r="946" spans="1:19">
      <c r="A946" s="1216"/>
      <c r="B946" s="1216"/>
      <c r="C946" s="1216"/>
      <c r="D946" s="1216"/>
      <c r="E946" s="1216"/>
      <c r="F946" s="1216"/>
      <c r="G946" s="1216"/>
      <c r="H946" s="1216"/>
      <c r="I946" s="1216"/>
      <c r="J946" s="1216"/>
      <c r="K946" s="1216"/>
      <c r="L946" s="1216"/>
      <c r="M946" s="1216"/>
      <c r="N946" s="1216"/>
      <c r="O946" s="1216"/>
      <c r="P946" s="1216"/>
      <c r="Q946" s="1216"/>
      <c r="R946" s="1216"/>
      <c r="S946" s="1216"/>
    </row>
    <row r="947" spans="1:19" ht="12.75" customHeight="1">
      <c r="A947" s="1287" t="s">
        <v>4689</v>
      </c>
      <c r="B947" s="1216"/>
      <c r="C947" s="1216"/>
      <c r="D947" s="1216"/>
      <c r="E947" s="1216"/>
      <c r="F947" s="1216"/>
      <c r="G947" s="1216"/>
      <c r="H947" s="1216"/>
      <c r="I947" s="1216"/>
      <c r="J947" s="1216"/>
      <c r="K947" s="1216"/>
      <c r="L947" s="1216"/>
      <c r="M947" s="1216"/>
      <c r="N947" s="1216"/>
      <c r="O947" s="1216"/>
      <c r="P947" s="1216"/>
      <c r="Q947" s="1216"/>
      <c r="R947" s="1216"/>
      <c r="S947" s="1216"/>
    </row>
    <row r="948" spans="1:19">
      <c r="A948" s="1216"/>
      <c r="B948" s="1216"/>
      <c r="C948" s="1216"/>
      <c r="D948" s="1216"/>
      <c r="E948" s="1216"/>
      <c r="F948" s="1216"/>
      <c r="G948" s="1216"/>
      <c r="H948" s="1216"/>
      <c r="I948" s="1216"/>
      <c r="J948" s="1216"/>
      <c r="K948" s="1216"/>
      <c r="L948" s="1216"/>
      <c r="M948" s="1216"/>
      <c r="N948" s="1216"/>
      <c r="O948" s="1216"/>
      <c r="P948" s="1216"/>
      <c r="Q948" s="1216"/>
      <c r="R948" s="1216"/>
      <c r="S948" s="1216"/>
    </row>
    <row r="949" spans="1:19">
      <c r="A949" s="1216"/>
      <c r="B949" s="1216"/>
      <c r="C949" s="1216"/>
      <c r="D949" s="1216"/>
      <c r="E949" s="1216"/>
      <c r="F949" s="1216"/>
      <c r="G949" s="1216"/>
      <c r="H949" s="1216"/>
      <c r="I949" s="1216"/>
      <c r="J949" s="1216"/>
      <c r="K949" s="1216"/>
      <c r="L949" s="1216"/>
      <c r="M949" s="1216"/>
      <c r="N949" s="1216"/>
      <c r="O949" s="1216"/>
      <c r="P949" s="1216"/>
      <c r="Q949" s="1216"/>
      <c r="R949" s="1216"/>
      <c r="S949" s="1216"/>
    </row>
    <row r="950" spans="1:19">
      <c r="A950" s="99"/>
      <c r="B950" s="99"/>
      <c r="C950" s="99"/>
      <c r="D950" s="99"/>
      <c r="E950" s="99"/>
      <c r="F950" s="99"/>
      <c r="G950" s="99"/>
      <c r="H950" s="99"/>
      <c r="I950" s="99"/>
      <c r="J950" s="99"/>
      <c r="K950" s="99"/>
      <c r="L950" s="99"/>
      <c r="M950" s="99"/>
      <c r="N950" s="99"/>
      <c r="O950" s="99"/>
      <c r="P950" s="99"/>
      <c r="Q950" s="99"/>
      <c r="R950" s="99"/>
      <c r="S950" s="99"/>
    </row>
    <row r="951" spans="1:19">
      <c r="B951" s="1917" t="s">
        <v>4459</v>
      </c>
      <c r="C951" s="1918"/>
      <c r="D951" s="1918"/>
      <c r="E951" s="1918"/>
      <c r="F951" s="1918"/>
      <c r="G951" s="1919"/>
      <c r="H951" s="1888" t="s">
        <v>4387</v>
      </c>
      <c r="I951" s="1888"/>
      <c r="J951" s="1888"/>
      <c r="K951" s="1888"/>
      <c r="L951" s="1888"/>
      <c r="M951" s="1888"/>
      <c r="N951" s="1888"/>
      <c r="O951" s="1888"/>
      <c r="P951" s="1888"/>
      <c r="Q951" s="1888" t="s">
        <v>4388</v>
      </c>
      <c r="R951" s="1888"/>
      <c r="S951" s="1888"/>
    </row>
    <row r="952" spans="1:19">
      <c r="B952" s="1920"/>
      <c r="C952" s="1921"/>
      <c r="D952" s="1921"/>
      <c r="E952" s="1921"/>
      <c r="F952" s="1921"/>
      <c r="G952" s="1922"/>
      <c r="H952" s="1888"/>
      <c r="I952" s="1888"/>
      <c r="J952" s="1888"/>
      <c r="K952" s="1888"/>
      <c r="L952" s="1888"/>
      <c r="M952" s="1888"/>
      <c r="N952" s="1888"/>
      <c r="O952" s="1888"/>
      <c r="P952" s="1888"/>
      <c r="Q952" s="1888"/>
      <c r="R952" s="1888"/>
      <c r="S952" s="1888"/>
    </row>
    <row r="953" spans="1:19" ht="22.5" customHeight="1">
      <c r="B953" s="1780" t="s">
        <v>4460</v>
      </c>
      <c r="C953" s="1780"/>
      <c r="D953" s="1780"/>
      <c r="E953" s="1780"/>
      <c r="F953" s="1780"/>
      <c r="G953" s="1780"/>
      <c r="H953" s="1738" t="s">
        <v>4461</v>
      </c>
      <c r="I953" s="1738"/>
      <c r="J953" s="1738"/>
      <c r="K953" s="1738"/>
      <c r="L953" s="1738"/>
      <c r="M953" s="1738"/>
      <c r="N953" s="1738"/>
      <c r="O953" s="1738"/>
      <c r="P953" s="1738"/>
      <c r="Q953" s="1785">
        <v>3002.44</v>
      </c>
      <c r="R953" s="1785"/>
      <c r="S953" s="1785"/>
    </row>
    <row r="954" spans="1:19" ht="27" customHeight="1">
      <c r="B954" s="1780" t="s">
        <v>4462</v>
      </c>
      <c r="C954" s="1780"/>
      <c r="D954" s="1780"/>
      <c r="E954" s="1780"/>
      <c r="F954" s="1780"/>
      <c r="G954" s="1780"/>
      <c r="H954" s="1738" t="s">
        <v>4463</v>
      </c>
      <c r="I954" s="1738"/>
      <c r="J954" s="1738"/>
      <c r="K954" s="1738"/>
      <c r="L954" s="1738"/>
      <c r="M954" s="1738"/>
      <c r="N954" s="1738"/>
      <c r="O954" s="1738"/>
      <c r="P954" s="1738"/>
      <c r="Q954" s="1785">
        <v>1501.22</v>
      </c>
      <c r="R954" s="1785"/>
      <c r="S954" s="1785"/>
    </row>
    <row r="955" spans="1:19" ht="27.75" customHeight="1">
      <c r="B955" s="1780" t="s">
        <v>4464</v>
      </c>
      <c r="C955" s="1780"/>
      <c r="D955" s="1780"/>
      <c r="E955" s="1780"/>
      <c r="F955" s="1780"/>
      <c r="G955" s="1780"/>
      <c r="H955" s="1738" t="s">
        <v>4465</v>
      </c>
      <c r="I955" s="1738"/>
      <c r="J955" s="1738"/>
      <c r="K955" s="1738"/>
      <c r="L955" s="1738"/>
      <c r="M955" s="1738"/>
      <c r="N955" s="1738"/>
      <c r="O955" s="1738"/>
      <c r="P955" s="1738"/>
      <c r="Q955" s="1785">
        <v>2020.82</v>
      </c>
      <c r="R955" s="1785"/>
      <c r="S955" s="1785"/>
    </row>
    <row r="956" spans="1:19" ht="29.25" customHeight="1">
      <c r="B956" s="1780" t="s">
        <v>4466</v>
      </c>
      <c r="C956" s="1780"/>
      <c r="D956" s="1780"/>
      <c r="E956" s="1780"/>
      <c r="F956" s="1780"/>
      <c r="G956" s="1780"/>
      <c r="H956" s="1738" t="s">
        <v>4467</v>
      </c>
      <c r="I956" s="1738"/>
      <c r="J956" s="1738"/>
      <c r="K956" s="1738"/>
      <c r="L956" s="1738"/>
      <c r="M956" s="1738"/>
      <c r="N956" s="1738"/>
      <c r="O956" s="1738"/>
      <c r="P956" s="1738"/>
      <c r="Q956" s="1780">
        <v>214.33</v>
      </c>
      <c r="R956" s="1780"/>
      <c r="S956" s="1780"/>
    </row>
    <row r="957" spans="1:19" s="612" customFormat="1" ht="24.95" customHeight="1">
      <c r="B957" s="1873" t="s">
        <v>4393</v>
      </c>
      <c r="C957" s="1873"/>
      <c r="D957" s="1873"/>
      <c r="E957" s="1873"/>
      <c r="F957" s="1873"/>
      <c r="G957" s="1873"/>
      <c r="H957" s="1873" t="s">
        <v>4398</v>
      </c>
      <c r="I957" s="1873"/>
      <c r="J957" s="1873"/>
      <c r="K957" s="1873"/>
      <c r="L957" s="1873"/>
      <c r="M957" s="1873"/>
      <c r="N957" s="1873"/>
      <c r="O957" s="1873"/>
      <c r="P957" s="1873"/>
      <c r="Q957" s="1875">
        <v>6738.81</v>
      </c>
      <c r="R957" s="1875"/>
      <c r="S957" s="1875"/>
    </row>
    <row r="958" spans="1:19">
      <c r="B958" s="1776" t="s">
        <v>4558</v>
      </c>
      <c r="C958" s="1776"/>
      <c r="D958" s="1776"/>
      <c r="E958" s="1776"/>
      <c r="F958" s="1776"/>
      <c r="G958" s="1776"/>
      <c r="H958" s="1738" t="s">
        <v>4468</v>
      </c>
      <c r="I958" s="1738"/>
      <c r="J958" s="1738"/>
      <c r="K958" s="1738"/>
      <c r="L958" s="1738"/>
      <c r="M958" s="1738"/>
      <c r="N958" s="1738"/>
      <c r="O958" s="1738"/>
      <c r="P958" s="1738"/>
      <c r="Q958" s="1794">
        <v>500.22</v>
      </c>
      <c r="R958" s="1794"/>
      <c r="S958" s="1794"/>
    </row>
    <row r="959" spans="1:19">
      <c r="B959" s="1776"/>
      <c r="C959" s="1776"/>
      <c r="D959" s="1776"/>
      <c r="E959" s="1776"/>
      <c r="F959" s="1776"/>
      <c r="G959" s="1776"/>
      <c r="H959" s="1738"/>
      <c r="I959" s="1738"/>
      <c r="J959" s="1738"/>
      <c r="K959" s="1738"/>
      <c r="L959" s="1738"/>
      <c r="M959" s="1738"/>
      <c r="N959" s="1738"/>
      <c r="O959" s="1738"/>
      <c r="P959" s="1738"/>
      <c r="Q959" s="1794"/>
      <c r="R959" s="1794"/>
      <c r="S959" s="1794"/>
    </row>
    <row r="960" spans="1:19">
      <c r="B960" s="1776"/>
      <c r="C960" s="1776"/>
      <c r="D960" s="1776"/>
      <c r="E960" s="1776"/>
      <c r="F960" s="1776"/>
      <c r="G960" s="1776"/>
      <c r="H960" s="1738"/>
      <c r="I960" s="1738"/>
      <c r="J960" s="1738"/>
      <c r="K960" s="1738"/>
      <c r="L960" s="1738"/>
      <c r="M960" s="1738"/>
      <c r="N960" s="1738"/>
      <c r="O960" s="1738"/>
      <c r="P960" s="1738"/>
      <c r="Q960" s="1794"/>
      <c r="R960" s="1794"/>
      <c r="S960" s="1794"/>
    </row>
    <row r="961" spans="2:19">
      <c r="B961" s="1776"/>
      <c r="C961" s="1776"/>
      <c r="D961" s="1776"/>
      <c r="E961" s="1776"/>
      <c r="F961" s="1776"/>
      <c r="G961" s="1776"/>
      <c r="H961" s="1738"/>
      <c r="I961" s="1738"/>
      <c r="J961" s="1738"/>
      <c r="K961" s="1738"/>
      <c r="L961" s="1738"/>
      <c r="M961" s="1738"/>
      <c r="N961" s="1738"/>
      <c r="O961" s="1738"/>
      <c r="P961" s="1738"/>
      <c r="Q961" s="1794"/>
      <c r="R961" s="1794"/>
      <c r="S961" s="1794"/>
    </row>
    <row r="962" spans="2:19">
      <c r="B962" s="1738" t="s">
        <v>4469</v>
      </c>
      <c r="C962" s="1738"/>
      <c r="D962" s="1738"/>
      <c r="E962" s="1738"/>
      <c r="F962" s="1738"/>
      <c r="G962" s="1738"/>
      <c r="H962" s="1738" t="s">
        <v>4470</v>
      </c>
      <c r="I962" s="1738"/>
      <c r="J962" s="1738"/>
      <c r="K962" s="1738"/>
      <c r="L962" s="1738"/>
      <c r="M962" s="1738"/>
      <c r="N962" s="1738"/>
      <c r="O962" s="1738"/>
      <c r="P962" s="1738"/>
      <c r="Q962" s="1794">
        <v>300.13</v>
      </c>
      <c r="R962" s="1794"/>
      <c r="S962" s="1794"/>
    </row>
    <row r="963" spans="2:19">
      <c r="B963" s="1738"/>
      <c r="C963" s="1738"/>
      <c r="D963" s="1738"/>
      <c r="E963" s="1738"/>
      <c r="F963" s="1738"/>
      <c r="G963" s="1738"/>
      <c r="H963" s="1738"/>
      <c r="I963" s="1738"/>
      <c r="J963" s="1738"/>
      <c r="K963" s="1738"/>
      <c r="L963" s="1738"/>
      <c r="M963" s="1738"/>
      <c r="N963" s="1738"/>
      <c r="O963" s="1738"/>
      <c r="P963" s="1738"/>
      <c r="Q963" s="1794"/>
      <c r="R963" s="1794"/>
      <c r="S963" s="1794"/>
    </row>
    <row r="964" spans="2:19">
      <c r="B964" s="1738"/>
      <c r="C964" s="1738"/>
      <c r="D964" s="1738"/>
      <c r="E964" s="1738"/>
      <c r="F964" s="1738"/>
      <c r="G964" s="1738"/>
      <c r="H964" s="1738"/>
      <c r="I964" s="1738"/>
      <c r="J964" s="1738"/>
      <c r="K964" s="1738"/>
      <c r="L964" s="1738"/>
      <c r="M964" s="1738"/>
      <c r="N964" s="1738"/>
      <c r="O964" s="1738"/>
      <c r="P964" s="1738"/>
      <c r="Q964" s="1794"/>
      <c r="R964" s="1794"/>
      <c r="S964" s="1794"/>
    </row>
    <row r="965" spans="2:19">
      <c r="B965" s="1738"/>
      <c r="C965" s="1738"/>
      <c r="D965" s="1738"/>
      <c r="E965" s="1738"/>
      <c r="F965" s="1738"/>
      <c r="G965" s="1738"/>
      <c r="H965" s="1738"/>
      <c r="I965" s="1738"/>
      <c r="J965" s="1738"/>
      <c r="K965" s="1738"/>
      <c r="L965" s="1738"/>
      <c r="M965" s="1738"/>
      <c r="N965" s="1738"/>
      <c r="O965" s="1738"/>
      <c r="P965" s="1738"/>
      <c r="Q965" s="1794"/>
      <c r="R965" s="1794"/>
      <c r="S965" s="1794"/>
    </row>
    <row r="966" spans="2:19" s="612" customFormat="1" ht="24.95" customHeight="1">
      <c r="B966" s="1873" t="s">
        <v>4397</v>
      </c>
      <c r="C966" s="1873"/>
      <c r="D966" s="1873"/>
      <c r="E966" s="1873"/>
      <c r="F966" s="1873"/>
      <c r="G966" s="1873"/>
      <c r="H966" s="1873" t="s">
        <v>4471</v>
      </c>
      <c r="I966" s="1873"/>
      <c r="J966" s="1873"/>
      <c r="K966" s="1873"/>
      <c r="L966" s="1873"/>
      <c r="M966" s="1873"/>
      <c r="N966" s="1873"/>
      <c r="O966" s="1873"/>
      <c r="P966" s="1873"/>
      <c r="Q966" s="1875">
        <v>7539.16</v>
      </c>
      <c r="R966" s="1875"/>
      <c r="S966" s="1875"/>
    </row>
    <row r="967" spans="2:19">
      <c r="B967" s="1780" t="s">
        <v>4472</v>
      </c>
      <c r="C967" s="1780"/>
      <c r="D967" s="1780"/>
      <c r="E967" s="1780"/>
      <c r="F967" s="1780"/>
      <c r="G967" s="1780"/>
      <c r="H967" s="1780"/>
      <c r="I967" s="1780"/>
      <c r="J967" s="1780"/>
      <c r="K967" s="1780"/>
      <c r="L967" s="1780"/>
      <c r="M967" s="1780"/>
      <c r="N967" s="1780"/>
      <c r="O967" s="1780"/>
      <c r="P967" s="1780"/>
      <c r="Q967" s="1780">
        <v>500.22</v>
      </c>
      <c r="R967" s="1780"/>
      <c r="S967" s="1780"/>
    </row>
    <row r="968" spans="2:19">
      <c r="B968" s="1780" t="s">
        <v>4473</v>
      </c>
      <c r="C968" s="1780"/>
      <c r="D968" s="1780"/>
      <c r="E968" s="1780"/>
      <c r="F968" s="1780"/>
      <c r="G968" s="1780"/>
      <c r="H968" s="1780"/>
      <c r="I968" s="1780"/>
      <c r="J968" s="1780"/>
      <c r="K968" s="1780"/>
      <c r="L968" s="1780"/>
      <c r="M968" s="1780"/>
      <c r="N968" s="1780"/>
      <c r="O968" s="1780"/>
      <c r="P968" s="1780"/>
      <c r="Q968" s="1780">
        <v>300.13</v>
      </c>
      <c r="R968" s="1780"/>
      <c r="S968" s="1780"/>
    </row>
    <row r="969" spans="2:19">
      <c r="B969" s="1780" t="s">
        <v>4474</v>
      </c>
      <c r="C969" s="1780"/>
      <c r="D969" s="1780"/>
      <c r="E969" s="1780"/>
      <c r="F969" s="1780"/>
      <c r="G969" s="1780"/>
      <c r="H969" s="1780" t="s">
        <v>4416</v>
      </c>
      <c r="I969" s="1780"/>
      <c r="J969" s="1780"/>
      <c r="K969" s="1780"/>
      <c r="L969" s="1780"/>
      <c r="M969" s="1780"/>
      <c r="N969" s="1780"/>
      <c r="O969" s="1780"/>
      <c r="P969" s="1780"/>
      <c r="Q969" s="1780">
        <v>400.17</v>
      </c>
      <c r="R969" s="1780"/>
      <c r="S969" s="1780"/>
    </row>
    <row r="970" spans="2:19">
      <c r="B970" s="1738" t="s">
        <v>4475</v>
      </c>
      <c r="C970" s="1738"/>
      <c r="D970" s="1738"/>
      <c r="E970" s="1738"/>
      <c r="F970" s="1738"/>
      <c r="G970" s="1738"/>
      <c r="H970" s="1738" t="s">
        <v>4476</v>
      </c>
      <c r="I970" s="1738"/>
      <c r="J970" s="1738"/>
      <c r="K970" s="1738"/>
      <c r="L970" s="1738"/>
      <c r="M970" s="1738"/>
      <c r="N970" s="1738"/>
      <c r="O970" s="1738"/>
      <c r="P970" s="1738"/>
      <c r="Q970" s="1794">
        <v>874.87</v>
      </c>
      <c r="R970" s="1794"/>
      <c r="S970" s="1794"/>
    </row>
    <row r="971" spans="2:19">
      <c r="B971" s="1738"/>
      <c r="C971" s="1738"/>
      <c r="D971" s="1738"/>
      <c r="E971" s="1738"/>
      <c r="F971" s="1738"/>
      <c r="G971" s="1738"/>
      <c r="H971" s="1738"/>
      <c r="I971" s="1738"/>
      <c r="J971" s="1738"/>
      <c r="K971" s="1738"/>
      <c r="L971" s="1738"/>
      <c r="M971" s="1738"/>
      <c r="N971" s="1738"/>
      <c r="O971" s="1738"/>
      <c r="P971" s="1738"/>
      <c r="Q971" s="1794"/>
      <c r="R971" s="1794"/>
      <c r="S971" s="1794"/>
    </row>
    <row r="972" spans="2:19">
      <c r="B972" s="1738"/>
      <c r="C972" s="1738"/>
      <c r="D972" s="1738"/>
      <c r="E972" s="1738"/>
      <c r="F972" s="1738"/>
      <c r="G972" s="1738"/>
      <c r="H972" s="1738"/>
      <c r="I972" s="1738"/>
      <c r="J972" s="1738"/>
      <c r="K972" s="1738"/>
      <c r="L972" s="1738"/>
      <c r="M972" s="1738"/>
      <c r="N972" s="1738"/>
      <c r="O972" s="1738"/>
      <c r="P972" s="1738"/>
      <c r="Q972" s="1794"/>
      <c r="R972" s="1794"/>
      <c r="S972" s="1794"/>
    </row>
    <row r="973" spans="2:19">
      <c r="B973" s="1738"/>
      <c r="C973" s="1738"/>
      <c r="D973" s="1738"/>
      <c r="E973" s="1738"/>
      <c r="F973" s="1738"/>
      <c r="G973" s="1738"/>
      <c r="H973" s="1738"/>
      <c r="I973" s="1738"/>
      <c r="J973" s="1738"/>
      <c r="K973" s="1738"/>
      <c r="L973" s="1738"/>
      <c r="M973" s="1738"/>
      <c r="N973" s="1738"/>
      <c r="O973" s="1738"/>
      <c r="P973" s="1738"/>
      <c r="Q973" s="1794"/>
      <c r="R973" s="1794"/>
      <c r="S973" s="1794"/>
    </row>
    <row r="974" spans="2:19">
      <c r="B974" s="1780" t="s">
        <v>4477</v>
      </c>
      <c r="C974" s="1780"/>
      <c r="D974" s="1780"/>
      <c r="E974" s="1780"/>
      <c r="F974" s="1780"/>
      <c r="G974" s="1780"/>
      <c r="H974" s="1780" t="s">
        <v>4406</v>
      </c>
      <c r="I974" s="1780"/>
      <c r="J974" s="1780"/>
      <c r="K974" s="1780"/>
      <c r="L974" s="1780"/>
      <c r="M974" s="1780"/>
      <c r="N974" s="1780"/>
      <c r="O974" s="1780"/>
      <c r="P974" s="1780"/>
      <c r="Q974" s="1780">
        <v>44.48</v>
      </c>
      <c r="R974" s="1780"/>
      <c r="S974" s="1780"/>
    </row>
    <row r="975" spans="2:19" s="612" customFormat="1" ht="24.95" customHeight="1">
      <c r="B975" s="1873" t="s">
        <v>4418</v>
      </c>
      <c r="C975" s="1873"/>
      <c r="D975" s="1873"/>
      <c r="E975" s="1873"/>
      <c r="F975" s="1873"/>
      <c r="G975" s="1873"/>
      <c r="H975" s="1873" t="s">
        <v>4478</v>
      </c>
      <c r="I975" s="1873"/>
      <c r="J975" s="1873"/>
      <c r="K975" s="1873"/>
      <c r="L975" s="1873"/>
      <c r="M975" s="1873"/>
      <c r="N975" s="1873"/>
      <c r="O975" s="1873"/>
      <c r="P975" s="1873"/>
      <c r="Q975" s="1875">
        <v>2119.87</v>
      </c>
      <c r="R975" s="1875"/>
      <c r="S975" s="1875"/>
    </row>
    <row r="976" spans="2:19" s="612" customFormat="1" ht="24.95" customHeight="1">
      <c r="B976" s="1873" t="s">
        <v>4479</v>
      </c>
      <c r="C976" s="1873"/>
      <c r="D976" s="1873"/>
      <c r="E976" s="1873"/>
      <c r="F976" s="1873"/>
      <c r="G976" s="1873"/>
      <c r="H976" s="1873" t="s">
        <v>4410</v>
      </c>
      <c r="I976" s="1873"/>
      <c r="J976" s="1873"/>
      <c r="K976" s="1873"/>
      <c r="L976" s="1873"/>
      <c r="M976" s="1873"/>
      <c r="N976" s="1873"/>
      <c r="O976" s="1873"/>
      <c r="P976" s="1873"/>
      <c r="Q976" s="1875">
        <v>5419.29</v>
      </c>
      <c r="R976" s="1875"/>
      <c r="S976" s="1875"/>
    </row>
    <row r="978" spans="1:19" ht="12.75" customHeight="1">
      <c r="A978" s="1287" t="s">
        <v>4691</v>
      </c>
      <c r="B978" s="1216"/>
      <c r="C978" s="1216"/>
      <c r="D978" s="1216"/>
      <c r="E978" s="1216"/>
      <c r="F978" s="1216"/>
      <c r="G978" s="1216"/>
      <c r="H978" s="1216"/>
      <c r="I978" s="1216"/>
      <c r="J978" s="1216"/>
      <c r="K978" s="1216"/>
      <c r="L978" s="1216"/>
      <c r="M978" s="1216"/>
      <c r="N978" s="1216"/>
      <c r="O978" s="1216"/>
      <c r="P978" s="1216"/>
      <c r="Q978" s="1216"/>
      <c r="R978" s="1216"/>
      <c r="S978" s="1216"/>
    </row>
    <row r="979" spans="1:19">
      <c r="A979" s="1216"/>
      <c r="B979" s="1216"/>
      <c r="C979" s="1216"/>
      <c r="D979" s="1216"/>
      <c r="E979" s="1216"/>
      <c r="F979" s="1216"/>
      <c r="G979" s="1216"/>
      <c r="H979" s="1216"/>
      <c r="I979" s="1216"/>
      <c r="J979" s="1216"/>
      <c r="K979" s="1216"/>
      <c r="L979" s="1216"/>
      <c r="M979" s="1216"/>
      <c r="N979" s="1216"/>
      <c r="O979" s="1216"/>
      <c r="P979" s="1216"/>
      <c r="Q979" s="1216"/>
      <c r="R979" s="1216"/>
      <c r="S979" s="1216"/>
    </row>
    <row r="980" spans="1:19">
      <c r="A980" s="1216"/>
      <c r="B980" s="1216"/>
      <c r="C980" s="1216"/>
      <c r="D980" s="1216"/>
      <c r="E980" s="1216"/>
      <c r="F980" s="1216"/>
      <c r="G980" s="1216"/>
      <c r="H980" s="1216"/>
      <c r="I980" s="1216"/>
      <c r="J980" s="1216"/>
      <c r="K980" s="1216"/>
      <c r="L980" s="1216"/>
      <c r="M980" s="1216"/>
      <c r="N980" s="1216"/>
      <c r="O980" s="1216"/>
      <c r="P980" s="1216"/>
      <c r="Q980" s="1216"/>
      <c r="R980" s="1216"/>
      <c r="S980" s="1216"/>
    </row>
    <row r="981" spans="1:19">
      <c r="A981" s="99"/>
      <c r="B981" s="99"/>
      <c r="C981" s="99"/>
      <c r="D981" s="99"/>
      <c r="E981" s="99"/>
      <c r="F981" s="99"/>
      <c r="G981" s="99"/>
      <c r="H981" s="99"/>
      <c r="I981" s="99"/>
      <c r="J981" s="99"/>
      <c r="K981" s="99"/>
      <c r="L981" s="99"/>
      <c r="M981" s="99"/>
      <c r="N981" s="99"/>
      <c r="O981" s="99"/>
      <c r="P981" s="99"/>
      <c r="Q981" s="99"/>
      <c r="R981" s="99"/>
      <c r="S981" s="99"/>
    </row>
    <row r="982" spans="1:19" s="612" customFormat="1" ht="24.95" customHeight="1">
      <c r="B982" s="1923" t="s">
        <v>4480</v>
      </c>
      <c r="C982" s="1924"/>
      <c r="D982" s="1924"/>
      <c r="E982" s="1924"/>
      <c r="F982" s="1924"/>
      <c r="G982" s="1925"/>
      <c r="H982" s="1888" t="s">
        <v>4387</v>
      </c>
      <c r="I982" s="1888"/>
      <c r="J982" s="1888"/>
      <c r="K982" s="1888"/>
      <c r="L982" s="1888"/>
      <c r="M982" s="1888"/>
      <c r="N982" s="1888"/>
      <c r="O982" s="1888"/>
      <c r="P982" s="1888"/>
      <c r="Q982" s="1888" t="s">
        <v>4388</v>
      </c>
      <c r="R982" s="1888"/>
      <c r="S982" s="1888"/>
    </row>
    <row r="983" spans="1:19">
      <c r="B983" s="1780" t="s">
        <v>4422</v>
      </c>
      <c r="C983" s="1780"/>
      <c r="D983" s="1780"/>
      <c r="E983" s="1780"/>
      <c r="F983" s="1780"/>
      <c r="G983" s="1780"/>
      <c r="H983" s="1780" t="s">
        <v>4390</v>
      </c>
      <c r="I983" s="1780"/>
      <c r="J983" s="1780"/>
      <c r="K983" s="1780"/>
      <c r="L983" s="1780"/>
      <c r="M983" s="1780"/>
      <c r="N983" s="1780"/>
      <c r="O983" s="1780"/>
      <c r="P983" s="1780"/>
      <c r="Q983" s="1785">
        <v>4338.16</v>
      </c>
      <c r="R983" s="1785"/>
      <c r="S983" s="1785"/>
    </row>
    <row r="984" spans="1:19">
      <c r="B984" s="1780" t="s">
        <v>4391</v>
      </c>
      <c r="C984" s="1780"/>
      <c r="D984" s="1780"/>
      <c r="E984" s="1780"/>
      <c r="F984" s="1780"/>
      <c r="G984" s="1780"/>
      <c r="H984" s="1780" t="s">
        <v>4392</v>
      </c>
      <c r="I984" s="1780"/>
      <c r="J984" s="1780"/>
      <c r="K984" s="1780"/>
      <c r="L984" s="1780"/>
      <c r="M984" s="1780"/>
      <c r="N984" s="1780"/>
      <c r="O984" s="1780"/>
      <c r="P984" s="1780"/>
      <c r="Q984" s="1785">
        <v>2388.2399999999998</v>
      </c>
      <c r="R984" s="1785"/>
      <c r="S984" s="1785"/>
    </row>
    <row r="985" spans="1:19" s="612" customFormat="1" ht="24.95" customHeight="1">
      <c r="B985" s="1873" t="s">
        <v>4481</v>
      </c>
      <c r="C985" s="1873"/>
      <c r="D985" s="1873"/>
      <c r="E985" s="1873"/>
      <c r="F985" s="1873"/>
      <c r="G985" s="1873"/>
      <c r="H985" s="1873" t="s">
        <v>4394</v>
      </c>
      <c r="I985" s="1873"/>
      <c r="J985" s="1873"/>
      <c r="K985" s="1873"/>
      <c r="L985" s="1873"/>
      <c r="M985" s="1873"/>
      <c r="N985" s="1873"/>
      <c r="O985" s="1873"/>
      <c r="P985" s="1873"/>
      <c r="Q985" s="1875">
        <v>6726.4</v>
      </c>
      <c r="R985" s="1875"/>
      <c r="S985" s="1875"/>
    </row>
    <row r="986" spans="1:19">
      <c r="B986" s="1738" t="s">
        <v>4559</v>
      </c>
      <c r="C986" s="1738"/>
      <c r="D986" s="1738"/>
      <c r="E986" s="1738"/>
      <c r="F986" s="1738"/>
      <c r="G986" s="1738"/>
      <c r="H986" s="1800" t="s">
        <v>4692</v>
      </c>
      <c r="I986" s="1738"/>
      <c r="J986" s="1738"/>
      <c r="K986" s="1738"/>
      <c r="L986" s="1738"/>
      <c r="M986" s="1738"/>
      <c r="N986" s="1738"/>
      <c r="O986" s="1738"/>
      <c r="P986" s="1738"/>
      <c r="Q986" s="1794">
        <v>500.22</v>
      </c>
      <c r="R986" s="1794"/>
      <c r="S986" s="1794"/>
    </row>
    <row r="987" spans="1:19">
      <c r="B987" s="1738"/>
      <c r="C987" s="1738"/>
      <c r="D987" s="1738"/>
      <c r="E987" s="1738"/>
      <c r="F987" s="1738"/>
      <c r="G987" s="1738"/>
      <c r="H987" s="1738"/>
      <c r="I987" s="1738"/>
      <c r="J987" s="1738"/>
      <c r="K987" s="1738"/>
      <c r="L987" s="1738"/>
      <c r="M987" s="1738"/>
      <c r="N987" s="1738"/>
      <c r="O987" s="1738"/>
      <c r="P987" s="1738"/>
      <c r="Q987" s="1794"/>
      <c r="R987" s="1794"/>
      <c r="S987" s="1794"/>
    </row>
    <row r="988" spans="1:19">
      <c r="B988" s="1738"/>
      <c r="C988" s="1738"/>
      <c r="D988" s="1738"/>
      <c r="E988" s="1738"/>
      <c r="F988" s="1738"/>
      <c r="G988" s="1738"/>
      <c r="H988" s="1738"/>
      <c r="I988" s="1738"/>
      <c r="J988" s="1738"/>
      <c r="K988" s="1738"/>
      <c r="L988" s="1738"/>
      <c r="M988" s="1738"/>
      <c r="N988" s="1738"/>
      <c r="O988" s="1738"/>
      <c r="P988" s="1738"/>
      <c r="Q988" s="1794"/>
      <c r="R988" s="1794"/>
      <c r="S988" s="1794"/>
    </row>
    <row r="989" spans="1:19">
      <c r="B989" s="1738"/>
      <c r="C989" s="1738"/>
      <c r="D989" s="1738"/>
      <c r="E989" s="1738"/>
      <c r="F989" s="1738"/>
      <c r="G989" s="1738"/>
      <c r="H989" s="1738"/>
      <c r="I989" s="1738"/>
      <c r="J989" s="1738"/>
      <c r="K989" s="1738"/>
      <c r="L989" s="1738"/>
      <c r="M989" s="1738"/>
      <c r="N989" s="1738"/>
      <c r="O989" s="1738"/>
      <c r="P989" s="1738"/>
      <c r="Q989" s="1794"/>
      <c r="R989" s="1794"/>
      <c r="S989" s="1794"/>
    </row>
    <row r="990" spans="1:19">
      <c r="B990" s="1738"/>
      <c r="C990" s="1738"/>
      <c r="D990" s="1738"/>
      <c r="E990" s="1738"/>
      <c r="F990" s="1738"/>
      <c r="G990" s="1738"/>
      <c r="H990" s="1738"/>
      <c r="I990" s="1738"/>
      <c r="J990" s="1738"/>
      <c r="K990" s="1738"/>
      <c r="L990" s="1738"/>
      <c r="M990" s="1738"/>
      <c r="N990" s="1738"/>
      <c r="O990" s="1738"/>
      <c r="P990" s="1738"/>
      <c r="Q990" s="1794"/>
      <c r="R990" s="1794"/>
      <c r="S990" s="1794"/>
    </row>
    <row r="991" spans="1:19">
      <c r="B991" s="1738"/>
      <c r="C991" s="1738"/>
      <c r="D991" s="1738"/>
      <c r="E991" s="1738"/>
      <c r="F991" s="1738"/>
      <c r="G991" s="1738"/>
      <c r="H991" s="1738"/>
      <c r="I991" s="1738"/>
      <c r="J991" s="1738"/>
      <c r="K991" s="1738"/>
      <c r="L991" s="1738"/>
      <c r="M991" s="1738"/>
      <c r="N991" s="1738"/>
      <c r="O991" s="1738"/>
      <c r="P991" s="1738"/>
      <c r="Q991" s="1794"/>
      <c r="R991" s="1794"/>
      <c r="S991" s="1794"/>
    </row>
    <row r="992" spans="1:19">
      <c r="B992" s="1738"/>
      <c r="C992" s="1738"/>
      <c r="D992" s="1738"/>
      <c r="E992" s="1738"/>
      <c r="F992" s="1738"/>
      <c r="G992" s="1738"/>
      <c r="H992" s="1738"/>
      <c r="I992" s="1738"/>
      <c r="J992" s="1738"/>
      <c r="K992" s="1738"/>
      <c r="L992" s="1738"/>
      <c r="M992" s="1738"/>
      <c r="N992" s="1738"/>
      <c r="O992" s="1738"/>
      <c r="P992" s="1738"/>
      <c r="Q992" s="1794"/>
      <c r="R992" s="1794"/>
      <c r="S992" s="1794"/>
    </row>
    <row r="993" spans="1:19">
      <c r="B993" s="1738"/>
      <c r="C993" s="1738"/>
      <c r="D993" s="1738"/>
      <c r="E993" s="1738"/>
      <c r="F993" s="1738"/>
      <c r="G993" s="1738"/>
      <c r="H993" s="1738"/>
      <c r="I993" s="1738"/>
      <c r="J993" s="1738"/>
      <c r="K993" s="1738"/>
      <c r="L993" s="1738"/>
      <c r="M993" s="1738"/>
      <c r="N993" s="1738"/>
      <c r="O993" s="1738"/>
      <c r="P993" s="1738"/>
      <c r="Q993" s="1794"/>
      <c r="R993" s="1794"/>
      <c r="S993" s="1794"/>
    </row>
    <row r="994" spans="1:19">
      <c r="B994" s="1782" t="s">
        <v>4395</v>
      </c>
      <c r="C994" s="1782"/>
      <c r="D994" s="1782"/>
      <c r="E994" s="1782"/>
      <c r="F994" s="1782"/>
      <c r="G994" s="1782"/>
      <c r="H994" s="1780" t="s">
        <v>4482</v>
      </c>
      <c r="I994" s="1780"/>
      <c r="J994" s="1780"/>
      <c r="K994" s="1780"/>
      <c r="L994" s="1780"/>
      <c r="M994" s="1780"/>
      <c r="N994" s="1780"/>
      <c r="O994" s="1780"/>
      <c r="P994" s="1780"/>
      <c r="Q994" s="1780">
        <v>300.13</v>
      </c>
      <c r="R994" s="1780"/>
      <c r="S994" s="1780"/>
    </row>
    <row r="995" spans="1:19" s="612" customFormat="1" ht="24.95" customHeight="1">
      <c r="B995" s="1873" t="s">
        <v>4397</v>
      </c>
      <c r="C995" s="1873"/>
      <c r="D995" s="1873"/>
      <c r="E995" s="1873"/>
      <c r="F995" s="1873"/>
      <c r="G995" s="1873"/>
      <c r="H995" s="1873" t="s">
        <v>4398</v>
      </c>
      <c r="I995" s="1873"/>
      <c r="J995" s="1873"/>
      <c r="K995" s="1873"/>
      <c r="L995" s="1873"/>
      <c r="M995" s="1873"/>
      <c r="N995" s="1873"/>
      <c r="O995" s="1873"/>
      <c r="P995" s="1873"/>
      <c r="Q995" s="1875">
        <v>7526.75</v>
      </c>
      <c r="R995" s="1875"/>
      <c r="S995" s="1875"/>
    </row>
    <row r="996" spans="1:19">
      <c r="B996" s="1780" t="s">
        <v>4483</v>
      </c>
      <c r="C996" s="1780"/>
      <c r="D996" s="1780"/>
      <c r="E996" s="1780"/>
      <c r="F996" s="1780"/>
      <c r="G996" s="1780"/>
      <c r="H996" s="1780"/>
      <c r="I996" s="1780"/>
      <c r="J996" s="1780"/>
      <c r="K996" s="1780"/>
      <c r="L996" s="1780"/>
      <c r="M996" s="1780"/>
      <c r="N996" s="1780"/>
      <c r="O996" s="1780"/>
      <c r="P996" s="1780"/>
      <c r="Q996" s="1780">
        <v>500.22</v>
      </c>
      <c r="R996" s="1780"/>
      <c r="S996" s="1780"/>
    </row>
    <row r="997" spans="1:19">
      <c r="B997" s="1780" t="s">
        <v>4415</v>
      </c>
      <c r="C997" s="1780"/>
      <c r="D997" s="1780"/>
      <c r="E997" s="1780"/>
      <c r="F997" s="1780"/>
      <c r="G997" s="1780"/>
      <c r="H997" s="1780"/>
      <c r="I997" s="1780"/>
      <c r="J997" s="1780"/>
      <c r="K997" s="1780"/>
      <c r="L997" s="1780"/>
      <c r="M997" s="1780"/>
      <c r="N997" s="1780"/>
      <c r="O997" s="1780"/>
      <c r="P997" s="1780"/>
      <c r="Q997" s="1780">
        <v>300.13</v>
      </c>
      <c r="R997" s="1780"/>
      <c r="S997" s="1780"/>
    </row>
    <row r="998" spans="1:19">
      <c r="B998" s="1780" t="s">
        <v>4401</v>
      </c>
      <c r="C998" s="1780"/>
      <c r="D998" s="1780"/>
      <c r="E998" s="1780"/>
      <c r="F998" s="1780"/>
      <c r="G998" s="1780"/>
      <c r="H998" s="1780" t="s">
        <v>4416</v>
      </c>
      <c r="I998" s="1780"/>
      <c r="J998" s="1780"/>
      <c r="K998" s="1780"/>
      <c r="L998" s="1780"/>
      <c r="M998" s="1780"/>
      <c r="N998" s="1780"/>
      <c r="O998" s="1780"/>
      <c r="P998" s="1780"/>
      <c r="Q998" s="1780">
        <v>400.17</v>
      </c>
      <c r="R998" s="1780"/>
      <c r="S998" s="1780"/>
    </row>
    <row r="999" spans="1:19">
      <c r="B999" s="1780" t="s">
        <v>4484</v>
      </c>
      <c r="C999" s="1780"/>
      <c r="D999" s="1780"/>
      <c r="E999" s="1780"/>
      <c r="F999" s="1780"/>
      <c r="G999" s="1780"/>
      <c r="H999" s="1738" t="s">
        <v>4485</v>
      </c>
      <c r="I999" s="1738"/>
      <c r="J999" s="1738"/>
      <c r="K999" s="1738"/>
      <c r="L999" s="1738"/>
      <c r="M999" s="1738"/>
      <c r="N999" s="1738"/>
      <c r="O999" s="1738"/>
      <c r="P999" s="1738"/>
      <c r="Q999" s="1794">
        <v>830.18</v>
      </c>
      <c r="R999" s="1794"/>
      <c r="S999" s="1794"/>
    </row>
    <row r="1000" spans="1:19">
      <c r="B1000" s="1780"/>
      <c r="C1000" s="1780"/>
      <c r="D1000" s="1780"/>
      <c r="E1000" s="1780"/>
      <c r="F1000" s="1780"/>
      <c r="G1000" s="1780"/>
      <c r="H1000" s="1738"/>
      <c r="I1000" s="1738"/>
      <c r="J1000" s="1738"/>
      <c r="K1000" s="1738"/>
      <c r="L1000" s="1738"/>
      <c r="M1000" s="1738"/>
      <c r="N1000" s="1738"/>
      <c r="O1000" s="1738"/>
      <c r="P1000" s="1738"/>
      <c r="Q1000" s="1794"/>
      <c r="R1000" s="1794"/>
      <c r="S1000" s="1794"/>
    </row>
    <row r="1001" spans="1:19">
      <c r="B1001" s="1780"/>
      <c r="C1001" s="1780"/>
      <c r="D1001" s="1780"/>
      <c r="E1001" s="1780"/>
      <c r="F1001" s="1780"/>
      <c r="G1001" s="1780"/>
      <c r="H1001" s="1738"/>
      <c r="I1001" s="1738"/>
      <c r="J1001" s="1738"/>
      <c r="K1001" s="1738"/>
      <c r="L1001" s="1738"/>
      <c r="M1001" s="1738"/>
      <c r="N1001" s="1738"/>
      <c r="O1001" s="1738"/>
      <c r="P1001" s="1738"/>
      <c r="Q1001" s="1794"/>
      <c r="R1001" s="1794"/>
      <c r="S1001" s="1794"/>
    </row>
    <row r="1002" spans="1:19">
      <c r="B1002" s="1780" t="s">
        <v>4405</v>
      </c>
      <c r="C1002" s="1780"/>
      <c r="D1002" s="1780"/>
      <c r="E1002" s="1780"/>
      <c r="F1002" s="1780"/>
      <c r="G1002" s="1780"/>
      <c r="H1002" s="1780" t="s">
        <v>4486</v>
      </c>
      <c r="I1002" s="1780"/>
      <c r="J1002" s="1780"/>
      <c r="K1002" s="1780"/>
      <c r="L1002" s="1780"/>
      <c r="M1002" s="1780"/>
      <c r="N1002" s="1780"/>
      <c r="O1002" s="1780"/>
      <c r="P1002" s="1780"/>
      <c r="Q1002" s="1780">
        <v>44.39</v>
      </c>
      <c r="R1002" s="1780"/>
      <c r="S1002" s="1780"/>
    </row>
    <row r="1003" spans="1:19" s="612" customFormat="1" ht="24.95" customHeight="1">
      <c r="B1003" s="1873" t="s">
        <v>4418</v>
      </c>
      <c r="C1003" s="1873"/>
      <c r="D1003" s="1873"/>
      <c r="E1003" s="1873"/>
      <c r="F1003" s="1873"/>
      <c r="G1003" s="1873"/>
      <c r="H1003" s="1873" t="s">
        <v>4408</v>
      </c>
      <c r="I1003" s="1873"/>
      <c r="J1003" s="1873"/>
      <c r="K1003" s="1873"/>
      <c r="L1003" s="1873"/>
      <c r="M1003" s="1873"/>
      <c r="N1003" s="1873"/>
      <c r="O1003" s="1873"/>
      <c r="P1003" s="1873"/>
      <c r="Q1003" s="1875">
        <v>2075.09</v>
      </c>
      <c r="R1003" s="1875"/>
      <c r="S1003" s="1875"/>
    </row>
    <row r="1004" spans="1:19" s="612" customFormat="1" ht="24.95" customHeight="1">
      <c r="B1004" s="1873" t="s">
        <v>4479</v>
      </c>
      <c r="C1004" s="1873"/>
      <c r="D1004" s="1873"/>
      <c r="E1004" s="1873"/>
      <c r="F1004" s="1873"/>
      <c r="G1004" s="1873"/>
      <c r="H1004" s="1873" t="s">
        <v>4410</v>
      </c>
      <c r="I1004" s="1873"/>
      <c r="J1004" s="1873"/>
      <c r="K1004" s="1873"/>
      <c r="L1004" s="1873"/>
      <c r="M1004" s="1873"/>
      <c r="N1004" s="1873"/>
      <c r="O1004" s="1873"/>
      <c r="P1004" s="1873"/>
      <c r="Q1004" s="1875">
        <v>5451.66</v>
      </c>
      <c r="R1004" s="1875"/>
      <c r="S1004" s="1875"/>
    </row>
    <row r="1006" spans="1:19">
      <c r="A1006" s="1287" t="s">
        <v>4693</v>
      </c>
      <c r="B1006" s="1216"/>
      <c r="C1006" s="1216"/>
      <c r="D1006" s="1216"/>
      <c r="E1006" s="1216"/>
      <c r="F1006" s="1216"/>
      <c r="G1006" s="1216"/>
      <c r="H1006" s="1216"/>
      <c r="I1006" s="1216"/>
      <c r="J1006" s="1216"/>
      <c r="K1006" s="1216"/>
      <c r="L1006" s="1216"/>
      <c r="M1006" s="1216"/>
      <c r="N1006" s="1216"/>
      <c r="O1006" s="1216"/>
      <c r="P1006" s="1216"/>
      <c r="Q1006" s="1216"/>
      <c r="R1006" s="1216"/>
      <c r="S1006" s="1216"/>
    </row>
    <row r="1007" spans="1:19">
      <c r="A1007" s="1216"/>
      <c r="B1007" s="1216"/>
      <c r="C1007" s="1216"/>
      <c r="D1007" s="1216"/>
      <c r="E1007" s="1216"/>
      <c r="F1007" s="1216"/>
      <c r="G1007" s="1216"/>
      <c r="H1007" s="1216"/>
      <c r="I1007" s="1216"/>
      <c r="J1007" s="1216"/>
      <c r="K1007" s="1216"/>
      <c r="L1007" s="1216"/>
      <c r="M1007" s="1216"/>
      <c r="N1007" s="1216"/>
      <c r="O1007" s="1216"/>
      <c r="P1007" s="1216"/>
      <c r="Q1007" s="1216"/>
      <c r="R1007" s="1216"/>
      <c r="S1007" s="1216"/>
    </row>
    <row r="1008" spans="1:19">
      <c r="A1008" s="1216"/>
      <c r="B1008" s="1216"/>
      <c r="C1008" s="1216"/>
      <c r="D1008" s="1216"/>
      <c r="E1008" s="1216"/>
      <c r="F1008" s="1216"/>
      <c r="G1008" s="1216"/>
      <c r="H1008" s="1216"/>
      <c r="I1008" s="1216"/>
      <c r="J1008" s="1216"/>
      <c r="K1008" s="1216"/>
      <c r="L1008" s="1216"/>
      <c r="M1008" s="1216"/>
      <c r="N1008" s="1216"/>
      <c r="O1008" s="1216"/>
      <c r="P1008" s="1216"/>
      <c r="Q1008" s="1216"/>
      <c r="R1008" s="1216"/>
      <c r="S1008" s="1216"/>
    </row>
    <row r="1009" spans="1:19">
      <c r="A1009" s="1216"/>
      <c r="B1009" s="1216"/>
      <c r="C1009" s="1216"/>
      <c r="D1009" s="1216"/>
      <c r="E1009" s="1216"/>
      <c r="F1009" s="1216"/>
      <c r="G1009" s="1216"/>
      <c r="H1009" s="1216"/>
      <c r="I1009" s="1216"/>
      <c r="J1009" s="1216"/>
      <c r="K1009" s="1216"/>
      <c r="L1009" s="1216"/>
      <c r="M1009" s="1216"/>
      <c r="N1009" s="1216"/>
      <c r="O1009" s="1216"/>
      <c r="P1009" s="1216"/>
      <c r="Q1009" s="1216"/>
      <c r="R1009" s="1216"/>
      <c r="S1009" s="1216"/>
    </row>
    <row r="1010" spans="1:19">
      <c r="A1010" s="1216"/>
      <c r="B1010" s="1216"/>
      <c r="C1010" s="1216"/>
      <c r="D1010" s="1216"/>
      <c r="E1010" s="1216"/>
      <c r="F1010" s="1216"/>
      <c r="G1010" s="1216"/>
      <c r="H1010" s="1216"/>
      <c r="I1010" s="1216"/>
      <c r="J1010" s="1216"/>
      <c r="K1010" s="1216"/>
      <c r="L1010" s="1216"/>
      <c r="M1010" s="1216"/>
      <c r="N1010" s="1216"/>
      <c r="O1010" s="1216"/>
      <c r="P1010" s="1216"/>
      <c r="Q1010" s="1216"/>
      <c r="R1010" s="1216"/>
      <c r="S1010" s="1216"/>
    </row>
    <row r="1011" spans="1:19">
      <c r="A1011" s="1216"/>
      <c r="B1011" s="1216"/>
      <c r="C1011" s="1216"/>
      <c r="D1011" s="1216"/>
      <c r="E1011" s="1216"/>
      <c r="F1011" s="1216"/>
      <c r="G1011" s="1216"/>
      <c r="H1011" s="1216"/>
      <c r="I1011" s="1216"/>
      <c r="J1011" s="1216"/>
      <c r="K1011" s="1216"/>
      <c r="L1011" s="1216"/>
      <c r="M1011" s="1216"/>
      <c r="N1011" s="1216"/>
      <c r="O1011" s="1216"/>
      <c r="P1011" s="1216"/>
      <c r="Q1011" s="1216"/>
      <c r="R1011" s="1216"/>
      <c r="S1011" s="1216"/>
    </row>
    <row r="1012" spans="1:19">
      <c r="A1012" s="1216"/>
      <c r="B1012" s="1216"/>
      <c r="C1012" s="1216"/>
      <c r="D1012" s="1216"/>
      <c r="E1012" s="1216"/>
      <c r="F1012" s="1216"/>
      <c r="G1012" s="1216"/>
      <c r="H1012" s="1216"/>
      <c r="I1012" s="1216"/>
      <c r="J1012" s="1216"/>
      <c r="K1012" s="1216"/>
      <c r="L1012" s="1216"/>
      <c r="M1012" s="1216"/>
      <c r="N1012" s="1216"/>
      <c r="O1012" s="1216"/>
      <c r="P1012" s="1216"/>
      <c r="Q1012" s="1216"/>
      <c r="R1012" s="1216"/>
      <c r="S1012" s="1216"/>
    </row>
    <row r="1013" spans="1:19">
      <c r="A1013" s="1216"/>
      <c r="B1013" s="1216"/>
      <c r="C1013" s="1216"/>
      <c r="D1013" s="1216"/>
      <c r="E1013" s="1216"/>
      <c r="F1013" s="1216"/>
      <c r="G1013" s="1216"/>
      <c r="H1013" s="1216"/>
      <c r="I1013" s="1216"/>
      <c r="J1013" s="1216"/>
      <c r="K1013" s="1216"/>
      <c r="L1013" s="1216"/>
      <c r="M1013" s="1216"/>
      <c r="N1013" s="1216"/>
      <c r="O1013" s="1216"/>
      <c r="P1013" s="1216"/>
      <c r="Q1013" s="1216"/>
      <c r="R1013" s="1216"/>
      <c r="S1013" s="1216"/>
    </row>
    <row r="1014" spans="1:19">
      <c r="A1014" s="1287" t="s">
        <v>4694</v>
      </c>
      <c r="B1014" s="1216"/>
      <c r="C1014" s="1216"/>
      <c r="D1014" s="1216"/>
      <c r="E1014" s="1216"/>
      <c r="F1014" s="1216"/>
      <c r="G1014" s="1216"/>
      <c r="H1014" s="1216"/>
      <c r="I1014" s="1216"/>
      <c r="J1014" s="1216"/>
      <c r="K1014" s="1216"/>
      <c r="L1014" s="1216"/>
      <c r="M1014" s="1216"/>
      <c r="N1014" s="1216"/>
      <c r="O1014" s="1216"/>
      <c r="P1014" s="1216"/>
      <c r="Q1014" s="1216"/>
      <c r="R1014" s="1216"/>
      <c r="S1014" s="1216"/>
    </row>
    <row r="1015" spans="1:19">
      <c r="A1015" s="1216"/>
      <c r="B1015" s="1216"/>
      <c r="C1015" s="1216"/>
      <c r="D1015" s="1216"/>
      <c r="E1015" s="1216"/>
      <c r="F1015" s="1216"/>
      <c r="G1015" s="1216"/>
      <c r="H1015" s="1216"/>
      <c r="I1015" s="1216"/>
      <c r="J1015" s="1216"/>
      <c r="K1015" s="1216"/>
      <c r="L1015" s="1216"/>
      <c r="M1015" s="1216"/>
      <c r="N1015" s="1216"/>
      <c r="O1015" s="1216"/>
      <c r="P1015" s="1216"/>
      <c r="Q1015" s="1216"/>
      <c r="R1015" s="1216"/>
      <c r="S1015" s="1216"/>
    </row>
    <row r="1016" spans="1:19">
      <c r="A1016" s="1216"/>
      <c r="B1016" s="1216"/>
      <c r="C1016" s="1216"/>
      <c r="D1016" s="1216"/>
      <c r="E1016" s="1216"/>
      <c r="F1016" s="1216"/>
      <c r="G1016" s="1216"/>
      <c r="H1016" s="1216"/>
      <c r="I1016" s="1216"/>
      <c r="J1016" s="1216"/>
      <c r="K1016" s="1216"/>
      <c r="L1016" s="1216"/>
      <c r="M1016" s="1216"/>
      <c r="N1016" s="1216"/>
      <c r="O1016" s="1216"/>
      <c r="P1016" s="1216"/>
      <c r="Q1016" s="1216"/>
      <c r="R1016" s="1216"/>
      <c r="S1016" s="1216"/>
    </row>
    <row r="1017" spans="1:19">
      <c r="A1017" s="1216"/>
      <c r="B1017" s="1216"/>
      <c r="C1017" s="1216"/>
      <c r="D1017" s="1216"/>
      <c r="E1017" s="1216"/>
      <c r="F1017" s="1216"/>
      <c r="G1017" s="1216"/>
      <c r="H1017" s="1216"/>
      <c r="I1017" s="1216"/>
      <c r="J1017" s="1216"/>
      <c r="K1017" s="1216"/>
      <c r="L1017" s="1216"/>
      <c r="M1017" s="1216"/>
      <c r="N1017" s="1216"/>
      <c r="O1017" s="1216"/>
      <c r="P1017" s="1216"/>
      <c r="Q1017" s="1216"/>
      <c r="R1017" s="1216"/>
      <c r="S1017" s="1216"/>
    </row>
    <row r="1018" spans="1:19">
      <c r="A1018" s="1287" t="s">
        <v>4695</v>
      </c>
      <c r="B1018" s="1216"/>
      <c r="C1018" s="1216"/>
      <c r="D1018" s="1216"/>
      <c r="E1018" s="1216"/>
      <c r="F1018" s="1216"/>
      <c r="G1018" s="1216"/>
      <c r="H1018" s="1216"/>
      <c r="I1018" s="1216"/>
      <c r="J1018" s="1216"/>
      <c r="K1018" s="1216"/>
      <c r="L1018" s="1216"/>
      <c r="M1018" s="1216"/>
      <c r="N1018" s="1216"/>
      <c r="O1018" s="1216"/>
      <c r="P1018" s="1216"/>
      <c r="Q1018" s="1216"/>
      <c r="R1018" s="1216"/>
      <c r="S1018" s="1216"/>
    </row>
    <row r="1019" spans="1:19">
      <c r="A1019" s="1216"/>
      <c r="B1019" s="1216"/>
      <c r="C1019" s="1216"/>
      <c r="D1019" s="1216"/>
      <c r="E1019" s="1216"/>
      <c r="F1019" s="1216"/>
      <c r="G1019" s="1216"/>
      <c r="H1019" s="1216"/>
      <c r="I1019" s="1216"/>
      <c r="J1019" s="1216"/>
      <c r="K1019" s="1216"/>
      <c r="L1019" s="1216"/>
      <c r="M1019" s="1216"/>
      <c r="N1019" s="1216"/>
      <c r="O1019" s="1216"/>
      <c r="P1019" s="1216"/>
      <c r="Q1019" s="1216"/>
      <c r="R1019" s="1216"/>
      <c r="S1019" s="1216"/>
    </row>
    <row r="1020" spans="1:19">
      <c r="A1020" s="99"/>
      <c r="B1020" s="99"/>
      <c r="C1020" s="99"/>
      <c r="D1020" s="99"/>
      <c r="E1020" s="99"/>
      <c r="F1020" s="99"/>
      <c r="G1020" s="99"/>
      <c r="H1020" s="99"/>
      <c r="I1020" s="99"/>
      <c r="J1020" s="99"/>
      <c r="K1020" s="99"/>
      <c r="L1020" s="99"/>
      <c r="M1020" s="99"/>
      <c r="N1020" s="99"/>
      <c r="O1020" s="99"/>
      <c r="P1020" s="99"/>
      <c r="Q1020" s="99"/>
      <c r="R1020" s="99"/>
      <c r="S1020" s="99"/>
    </row>
    <row r="1021" spans="1:19" ht="24.95" customHeight="1">
      <c r="B1021" s="1923" t="s">
        <v>4487</v>
      </c>
      <c r="C1021" s="1924"/>
      <c r="D1021" s="1924"/>
      <c r="E1021" s="1924"/>
      <c r="F1021" s="1924"/>
      <c r="G1021" s="1925"/>
      <c r="H1021" s="1888" t="s">
        <v>4387</v>
      </c>
      <c r="I1021" s="1888"/>
      <c r="J1021" s="1888"/>
      <c r="K1021" s="1888"/>
      <c r="L1021" s="1888"/>
      <c r="M1021" s="1888"/>
      <c r="N1021" s="1888"/>
      <c r="O1021" s="1888"/>
      <c r="P1021" s="1888"/>
      <c r="Q1021" s="1888" t="s">
        <v>4388</v>
      </c>
      <c r="R1021" s="1888"/>
      <c r="S1021" s="1888"/>
    </row>
    <row r="1022" spans="1:19">
      <c r="B1022" s="1780" t="s">
        <v>4460</v>
      </c>
      <c r="C1022" s="1780"/>
      <c r="D1022" s="1780"/>
      <c r="E1022" s="1780"/>
      <c r="F1022" s="1780"/>
      <c r="G1022" s="1780"/>
      <c r="H1022" s="1738" t="s">
        <v>4461</v>
      </c>
      <c r="I1022" s="1738"/>
      <c r="J1022" s="1738"/>
      <c r="K1022" s="1738"/>
      <c r="L1022" s="1738"/>
      <c r="M1022" s="1738"/>
      <c r="N1022" s="1738"/>
      <c r="O1022" s="1738"/>
      <c r="P1022" s="1738"/>
      <c r="Q1022" s="1926">
        <v>2485.5500000000002</v>
      </c>
      <c r="R1022" s="1926"/>
      <c r="S1022" s="1926"/>
    </row>
    <row r="1023" spans="1:19">
      <c r="B1023" s="1780"/>
      <c r="C1023" s="1780"/>
      <c r="D1023" s="1780"/>
      <c r="E1023" s="1780"/>
      <c r="F1023" s="1780"/>
      <c r="G1023" s="1780"/>
      <c r="H1023" s="1738"/>
      <c r="I1023" s="1738"/>
      <c r="J1023" s="1738"/>
      <c r="K1023" s="1738"/>
      <c r="L1023" s="1738"/>
      <c r="M1023" s="1738"/>
      <c r="N1023" s="1738"/>
      <c r="O1023" s="1738"/>
      <c r="P1023" s="1738"/>
      <c r="Q1023" s="1926"/>
      <c r="R1023" s="1926"/>
      <c r="S1023" s="1926"/>
    </row>
    <row r="1024" spans="1:19">
      <c r="B1024" s="1780" t="s">
        <v>4488</v>
      </c>
      <c r="C1024" s="1780"/>
      <c r="D1024" s="1780"/>
      <c r="E1024" s="1780"/>
      <c r="F1024" s="1780"/>
      <c r="G1024" s="1780"/>
      <c r="H1024" s="1738" t="s">
        <v>4463</v>
      </c>
      <c r="I1024" s="1738"/>
      <c r="J1024" s="1738"/>
      <c r="K1024" s="1738"/>
      <c r="L1024" s="1738"/>
      <c r="M1024" s="1738"/>
      <c r="N1024" s="1738"/>
      <c r="O1024" s="1738"/>
      <c r="P1024" s="1738"/>
      <c r="Q1024" s="1926">
        <v>1242.78</v>
      </c>
      <c r="R1024" s="1926"/>
      <c r="S1024" s="1926"/>
    </row>
    <row r="1025" spans="2:19">
      <c r="B1025" s="1780"/>
      <c r="C1025" s="1780"/>
      <c r="D1025" s="1780"/>
      <c r="E1025" s="1780"/>
      <c r="F1025" s="1780"/>
      <c r="G1025" s="1780"/>
      <c r="H1025" s="1738"/>
      <c r="I1025" s="1738"/>
      <c r="J1025" s="1738"/>
      <c r="K1025" s="1738"/>
      <c r="L1025" s="1738"/>
      <c r="M1025" s="1738"/>
      <c r="N1025" s="1738"/>
      <c r="O1025" s="1738"/>
      <c r="P1025" s="1738"/>
      <c r="Q1025" s="1926"/>
      <c r="R1025" s="1926"/>
      <c r="S1025" s="1926"/>
    </row>
    <row r="1026" spans="2:19">
      <c r="B1026" s="1738" t="s">
        <v>4464</v>
      </c>
      <c r="C1026" s="1738"/>
      <c r="D1026" s="1738"/>
      <c r="E1026" s="1738"/>
      <c r="F1026" s="1738"/>
      <c r="G1026" s="1738"/>
      <c r="H1026" s="1738" t="s">
        <v>4489</v>
      </c>
      <c r="I1026" s="1738"/>
      <c r="J1026" s="1738"/>
      <c r="K1026" s="1738"/>
      <c r="L1026" s="1738"/>
      <c r="M1026" s="1738"/>
      <c r="N1026" s="1738"/>
      <c r="O1026" s="1738"/>
      <c r="P1026" s="1738"/>
      <c r="Q1026" s="1794">
        <v>765.46</v>
      </c>
      <c r="R1026" s="1794"/>
      <c r="S1026" s="1794"/>
    </row>
    <row r="1027" spans="2:19">
      <c r="B1027" s="1738"/>
      <c r="C1027" s="1738"/>
      <c r="D1027" s="1738"/>
      <c r="E1027" s="1738"/>
      <c r="F1027" s="1738"/>
      <c r="G1027" s="1738"/>
      <c r="H1027" s="1738"/>
      <c r="I1027" s="1738"/>
      <c r="J1027" s="1738"/>
      <c r="K1027" s="1738"/>
      <c r="L1027" s="1738"/>
      <c r="M1027" s="1738"/>
      <c r="N1027" s="1738"/>
      <c r="O1027" s="1738"/>
      <c r="P1027" s="1738"/>
      <c r="Q1027" s="1794"/>
      <c r="R1027" s="1794"/>
      <c r="S1027" s="1794"/>
    </row>
    <row r="1028" spans="2:19">
      <c r="B1028" s="1780" t="s">
        <v>4466</v>
      </c>
      <c r="C1028" s="1780"/>
      <c r="D1028" s="1780"/>
      <c r="E1028" s="1780"/>
      <c r="F1028" s="1780"/>
      <c r="G1028" s="1780"/>
      <c r="H1028" s="1738" t="s">
        <v>4490</v>
      </c>
      <c r="I1028" s="1738"/>
      <c r="J1028" s="1738"/>
      <c r="K1028" s="1738"/>
      <c r="L1028" s="1738"/>
      <c r="M1028" s="1738"/>
      <c r="N1028" s="1738"/>
      <c r="O1028" s="1738"/>
      <c r="P1028" s="1738"/>
      <c r="Q1028" s="1794">
        <v>183.71</v>
      </c>
      <c r="R1028" s="1794"/>
      <c r="S1028" s="1794"/>
    </row>
    <row r="1029" spans="2:19">
      <c r="B1029" s="1780"/>
      <c r="C1029" s="1780"/>
      <c r="D1029" s="1780"/>
      <c r="E1029" s="1780"/>
      <c r="F1029" s="1780"/>
      <c r="G1029" s="1780"/>
      <c r="H1029" s="1738"/>
      <c r="I1029" s="1738"/>
      <c r="J1029" s="1738"/>
      <c r="K1029" s="1738"/>
      <c r="L1029" s="1738"/>
      <c r="M1029" s="1738"/>
      <c r="N1029" s="1738"/>
      <c r="O1029" s="1738"/>
      <c r="P1029" s="1738"/>
      <c r="Q1029" s="1794"/>
      <c r="R1029" s="1794"/>
      <c r="S1029" s="1794"/>
    </row>
    <row r="1030" spans="2:19" s="612" customFormat="1" ht="24.95" customHeight="1">
      <c r="B1030" s="1873" t="s">
        <v>4393</v>
      </c>
      <c r="C1030" s="1873"/>
      <c r="D1030" s="1873"/>
      <c r="E1030" s="1873"/>
      <c r="F1030" s="1873"/>
      <c r="G1030" s="1873"/>
      <c r="H1030" s="1873" t="s">
        <v>4398</v>
      </c>
      <c r="I1030" s="1873"/>
      <c r="J1030" s="1873"/>
      <c r="K1030" s="1873"/>
      <c r="L1030" s="1873"/>
      <c r="M1030" s="1873"/>
      <c r="N1030" s="1873"/>
      <c r="O1030" s="1873"/>
      <c r="P1030" s="1873"/>
      <c r="Q1030" s="1875">
        <v>4677.5</v>
      </c>
      <c r="R1030" s="1875"/>
      <c r="S1030" s="1875"/>
    </row>
    <row r="1031" spans="2:19">
      <c r="B1031" s="1776" t="s">
        <v>4560</v>
      </c>
      <c r="C1031" s="1776"/>
      <c r="D1031" s="1776"/>
      <c r="E1031" s="1776"/>
      <c r="F1031" s="1776"/>
      <c r="G1031" s="1776"/>
      <c r="H1031" s="1738" t="s">
        <v>4491</v>
      </c>
      <c r="I1031" s="1738"/>
      <c r="J1031" s="1738"/>
      <c r="K1031" s="1738"/>
      <c r="L1031" s="1738"/>
      <c r="M1031" s="1738"/>
      <c r="N1031" s="1738"/>
      <c r="O1031" s="1738"/>
      <c r="P1031" s="1738"/>
      <c r="Q1031" s="1794">
        <v>257.01</v>
      </c>
      <c r="R1031" s="1794"/>
      <c r="S1031" s="1794"/>
    </row>
    <row r="1032" spans="2:19">
      <c r="B1032" s="1776"/>
      <c r="C1032" s="1776"/>
      <c r="D1032" s="1776"/>
      <c r="E1032" s="1776"/>
      <c r="F1032" s="1776"/>
      <c r="G1032" s="1776"/>
      <c r="H1032" s="1738"/>
      <c r="I1032" s="1738"/>
      <c r="J1032" s="1738"/>
      <c r="K1032" s="1738"/>
      <c r="L1032" s="1738"/>
      <c r="M1032" s="1738"/>
      <c r="N1032" s="1738"/>
      <c r="O1032" s="1738"/>
      <c r="P1032" s="1738"/>
      <c r="Q1032" s="1794"/>
      <c r="R1032" s="1794"/>
      <c r="S1032" s="1794"/>
    </row>
    <row r="1033" spans="2:19">
      <c r="B1033" s="1776"/>
      <c r="C1033" s="1776"/>
      <c r="D1033" s="1776"/>
      <c r="E1033" s="1776"/>
      <c r="F1033" s="1776"/>
      <c r="G1033" s="1776"/>
      <c r="H1033" s="1738"/>
      <c r="I1033" s="1738"/>
      <c r="J1033" s="1738"/>
      <c r="K1033" s="1738"/>
      <c r="L1033" s="1738"/>
      <c r="M1033" s="1738"/>
      <c r="N1033" s="1738"/>
      <c r="O1033" s="1738"/>
      <c r="P1033" s="1738"/>
      <c r="Q1033" s="1794"/>
      <c r="R1033" s="1794"/>
      <c r="S1033" s="1794"/>
    </row>
    <row r="1034" spans="2:19">
      <c r="B1034" s="1776"/>
      <c r="C1034" s="1776"/>
      <c r="D1034" s="1776"/>
      <c r="E1034" s="1776"/>
      <c r="F1034" s="1776"/>
      <c r="G1034" s="1776"/>
      <c r="H1034" s="1738"/>
      <c r="I1034" s="1738"/>
      <c r="J1034" s="1738"/>
      <c r="K1034" s="1738"/>
      <c r="L1034" s="1738"/>
      <c r="M1034" s="1738"/>
      <c r="N1034" s="1738"/>
      <c r="O1034" s="1738"/>
      <c r="P1034" s="1738"/>
      <c r="Q1034" s="1794"/>
      <c r="R1034" s="1794"/>
      <c r="S1034" s="1794"/>
    </row>
    <row r="1035" spans="2:19">
      <c r="B1035" s="1738" t="s">
        <v>4415</v>
      </c>
      <c r="C1035" s="1738"/>
      <c r="D1035" s="1738"/>
      <c r="E1035" s="1738"/>
      <c r="F1035" s="1738"/>
      <c r="G1035" s="1738"/>
      <c r="H1035" s="1780" t="s">
        <v>4482</v>
      </c>
      <c r="I1035" s="1780"/>
      <c r="J1035" s="1780"/>
      <c r="K1035" s="1780"/>
      <c r="L1035" s="1780"/>
      <c r="M1035" s="1780"/>
      <c r="N1035" s="1780"/>
      <c r="O1035" s="1780"/>
      <c r="P1035" s="1780"/>
      <c r="Q1035" s="1780">
        <v>154.21</v>
      </c>
      <c r="R1035" s="1780"/>
      <c r="S1035" s="1780"/>
    </row>
    <row r="1036" spans="2:19">
      <c r="B1036" s="1738"/>
      <c r="C1036" s="1738"/>
      <c r="D1036" s="1738"/>
      <c r="E1036" s="1738"/>
      <c r="F1036" s="1738"/>
      <c r="G1036" s="1738"/>
      <c r="H1036" s="1780"/>
      <c r="I1036" s="1780"/>
      <c r="J1036" s="1780"/>
      <c r="K1036" s="1780"/>
      <c r="L1036" s="1780"/>
      <c r="M1036" s="1780"/>
      <c r="N1036" s="1780"/>
      <c r="O1036" s="1780"/>
      <c r="P1036" s="1780"/>
      <c r="Q1036" s="1780"/>
      <c r="R1036" s="1780"/>
      <c r="S1036" s="1780"/>
    </row>
    <row r="1037" spans="2:19" s="612" customFormat="1" ht="24.95" customHeight="1">
      <c r="B1037" s="1873" t="s">
        <v>4397</v>
      </c>
      <c r="C1037" s="1873"/>
      <c r="D1037" s="1873"/>
      <c r="E1037" s="1873"/>
      <c r="F1037" s="1873"/>
      <c r="G1037" s="1873"/>
      <c r="H1037" s="1873" t="s">
        <v>4471</v>
      </c>
      <c r="I1037" s="1873"/>
      <c r="J1037" s="1873"/>
      <c r="K1037" s="1873"/>
      <c r="L1037" s="1873"/>
      <c r="M1037" s="1873"/>
      <c r="N1037" s="1873"/>
      <c r="O1037" s="1873"/>
      <c r="P1037" s="1873"/>
      <c r="Q1037" s="1875">
        <v>5088.72</v>
      </c>
      <c r="R1037" s="1875"/>
      <c r="S1037" s="1875"/>
    </row>
    <row r="1038" spans="2:19">
      <c r="B1038" s="1780" t="s">
        <v>4472</v>
      </c>
      <c r="C1038" s="1780"/>
      <c r="D1038" s="1780"/>
      <c r="E1038" s="1780"/>
      <c r="F1038" s="1780"/>
      <c r="G1038" s="1780"/>
      <c r="H1038" s="1780"/>
      <c r="I1038" s="1780"/>
      <c r="J1038" s="1780"/>
      <c r="K1038" s="1780"/>
      <c r="L1038" s="1780"/>
      <c r="M1038" s="1780"/>
      <c r="N1038" s="1780"/>
      <c r="O1038" s="1780"/>
      <c r="P1038" s="1780"/>
      <c r="Q1038" s="1780">
        <v>257.01</v>
      </c>
      <c r="R1038" s="1780"/>
      <c r="S1038" s="1780"/>
    </row>
    <row r="1039" spans="2:19">
      <c r="B1039" s="1780" t="s">
        <v>4473</v>
      </c>
      <c r="C1039" s="1780"/>
      <c r="D1039" s="1780"/>
      <c r="E1039" s="1780"/>
      <c r="F1039" s="1780"/>
      <c r="G1039" s="1780"/>
      <c r="H1039" s="1780"/>
      <c r="I1039" s="1780"/>
      <c r="J1039" s="1780"/>
      <c r="K1039" s="1780"/>
      <c r="L1039" s="1780"/>
      <c r="M1039" s="1780"/>
      <c r="N1039" s="1780"/>
      <c r="O1039" s="1780"/>
      <c r="P1039" s="1780"/>
      <c r="Q1039" s="1780">
        <v>154.21</v>
      </c>
      <c r="R1039" s="1780"/>
      <c r="S1039" s="1780"/>
    </row>
    <row r="1040" spans="2:19">
      <c r="B1040" s="1780" t="s">
        <v>4474</v>
      </c>
      <c r="C1040" s="1780"/>
      <c r="D1040" s="1780"/>
      <c r="E1040" s="1780"/>
      <c r="F1040" s="1780"/>
      <c r="G1040" s="1780"/>
      <c r="H1040" s="1780" t="s">
        <v>4402</v>
      </c>
      <c r="I1040" s="1780"/>
      <c r="J1040" s="1780"/>
      <c r="K1040" s="1780"/>
      <c r="L1040" s="1780"/>
      <c r="M1040" s="1780"/>
      <c r="N1040" s="1780"/>
      <c r="O1040" s="1780"/>
      <c r="P1040" s="1780"/>
      <c r="Q1040" s="1780">
        <v>205.61</v>
      </c>
      <c r="R1040" s="1780"/>
      <c r="S1040" s="1780"/>
    </row>
    <row r="1041" spans="1:19">
      <c r="B1041" s="1780" t="s">
        <v>4475</v>
      </c>
      <c r="C1041" s="1780"/>
      <c r="D1041" s="1780"/>
      <c r="E1041" s="1780"/>
      <c r="F1041" s="1780"/>
      <c r="G1041" s="1780"/>
      <c r="H1041" s="1738" t="s">
        <v>4492</v>
      </c>
      <c r="I1041" s="1738"/>
      <c r="J1041" s="1738"/>
      <c r="K1041" s="1738"/>
      <c r="L1041" s="1738"/>
      <c r="M1041" s="1738"/>
      <c r="N1041" s="1738"/>
      <c r="O1041" s="1738"/>
      <c r="P1041" s="1738"/>
      <c r="Q1041" s="1794">
        <v>718.06</v>
      </c>
      <c r="R1041" s="1794"/>
      <c r="S1041" s="1794"/>
    </row>
    <row r="1042" spans="1:19">
      <c r="B1042" s="1780"/>
      <c r="C1042" s="1780"/>
      <c r="D1042" s="1780"/>
      <c r="E1042" s="1780"/>
      <c r="F1042" s="1780"/>
      <c r="G1042" s="1780"/>
      <c r="H1042" s="1738"/>
      <c r="I1042" s="1738"/>
      <c r="J1042" s="1738"/>
      <c r="K1042" s="1738"/>
      <c r="L1042" s="1738"/>
      <c r="M1042" s="1738"/>
      <c r="N1042" s="1738"/>
      <c r="O1042" s="1738"/>
      <c r="P1042" s="1738"/>
      <c r="Q1042" s="1794"/>
      <c r="R1042" s="1794"/>
      <c r="S1042" s="1794"/>
    </row>
    <row r="1043" spans="1:19">
      <c r="B1043" s="1780"/>
      <c r="C1043" s="1780"/>
      <c r="D1043" s="1780"/>
      <c r="E1043" s="1780"/>
      <c r="F1043" s="1780"/>
      <c r="G1043" s="1780"/>
      <c r="H1043" s="1738"/>
      <c r="I1043" s="1738"/>
      <c r="J1043" s="1738"/>
      <c r="K1043" s="1738"/>
      <c r="L1043" s="1738"/>
      <c r="M1043" s="1738"/>
      <c r="N1043" s="1738"/>
      <c r="O1043" s="1738"/>
      <c r="P1043" s="1738"/>
      <c r="Q1043" s="1794"/>
      <c r="R1043" s="1794"/>
      <c r="S1043" s="1794"/>
    </row>
    <row r="1044" spans="1:19">
      <c r="B1044" s="1780"/>
      <c r="C1044" s="1780"/>
      <c r="D1044" s="1780"/>
      <c r="E1044" s="1780"/>
      <c r="F1044" s="1780"/>
      <c r="G1044" s="1780"/>
      <c r="H1044" s="1738"/>
      <c r="I1044" s="1738"/>
      <c r="J1044" s="1738"/>
      <c r="K1044" s="1738"/>
      <c r="L1044" s="1738"/>
      <c r="M1044" s="1738"/>
      <c r="N1044" s="1738"/>
      <c r="O1044" s="1738"/>
      <c r="P1044" s="1738"/>
      <c r="Q1044" s="1794"/>
      <c r="R1044" s="1794"/>
      <c r="S1044" s="1794"/>
    </row>
    <row r="1045" spans="1:19">
      <c r="B1045" s="1780" t="s">
        <v>4493</v>
      </c>
      <c r="C1045" s="1780"/>
      <c r="D1045" s="1780"/>
      <c r="E1045" s="1780"/>
      <c r="F1045" s="1780"/>
      <c r="G1045" s="1780"/>
      <c r="H1045" s="1780" t="s">
        <v>4406</v>
      </c>
      <c r="I1045" s="1780"/>
      <c r="J1045" s="1780"/>
      <c r="K1045" s="1780"/>
      <c r="L1045" s="1780"/>
      <c r="M1045" s="1780"/>
      <c r="N1045" s="1780"/>
      <c r="O1045" s="1780"/>
      <c r="P1045" s="1780"/>
      <c r="Q1045" s="1780">
        <v>30.87</v>
      </c>
      <c r="R1045" s="1780"/>
      <c r="S1045" s="1780"/>
    </row>
    <row r="1046" spans="1:19" s="612" customFormat="1" ht="24.95" customHeight="1">
      <c r="B1046" s="1873" t="s">
        <v>4418</v>
      </c>
      <c r="C1046" s="1873"/>
      <c r="D1046" s="1873"/>
      <c r="E1046" s="1873"/>
      <c r="F1046" s="1873"/>
      <c r="G1046" s="1873"/>
      <c r="H1046" s="1873" t="s">
        <v>4478</v>
      </c>
      <c r="I1046" s="1873"/>
      <c r="J1046" s="1873"/>
      <c r="K1046" s="1873"/>
      <c r="L1046" s="1873"/>
      <c r="M1046" s="1873"/>
      <c r="N1046" s="1873"/>
      <c r="O1046" s="1873"/>
      <c r="P1046" s="1873"/>
      <c r="Q1046" s="1875">
        <v>1365.76</v>
      </c>
      <c r="R1046" s="1875"/>
      <c r="S1046" s="1875"/>
    </row>
    <row r="1047" spans="1:19" s="612" customFormat="1" ht="24.95" customHeight="1">
      <c r="B1047" s="1873" t="s">
        <v>4494</v>
      </c>
      <c r="C1047" s="1873"/>
      <c r="D1047" s="1873"/>
      <c r="E1047" s="1873"/>
      <c r="F1047" s="1873"/>
      <c r="G1047" s="1873"/>
      <c r="H1047" s="1873" t="s">
        <v>4410</v>
      </c>
      <c r="I1047" s="1873"/>
      <c r="J1047" s="1873"/>
      <c r="K1047" s="1873"/>
      <c r="L1047" s="1873"/>
      <c r="M1047" s="1873"/>
      <c r="N1047" s="1873"/>
      <c r="O1047" s="1873"/>
      <c r="P1047" s="1873"/>
      <c r="Q1047" s="1875">
        <v>3722.96</v>
      </c>
      <c r="R1047" s="1875"/>
      <c r="S1047" s="1875"/>
    </row>
    <row r="1049" spans="1:19">
      <c r="A1049" s="1287" t="s">
        <v>4696</v>
      </c>
      <c r="B1049" s="1216"/>
      <c r="C1049" s="1216"/>
      <c r="D1049" s="1216"/>
      <c r="E1049" s="1216"/>
      <c r="F1049" s="1216"/>
      <c r="G1049" s="1216"/>
      <c r="H1049" s="1216"/>
      <c r="I1049" s="1216"/>
      <c r="J1049" s="1216"/>
      <c r="K1049" s="1216"/>
      <c r="L1049" s="1216"/>
      <c r="M1049" s="1216"/>
      <c r="N1049" s="1216"/>
      <c r="O1049" s="1216"/>
      <c r="P1049" s="1216"/>
      <c r="Q1049" s="1216"/>
      <c r="R1049" s="1216"/>
      <c r="S1049" s="1216"/>
    </row>
    <row r="1050" spans="1:19">
      <c r="A1050" s="1216"/>
      <c r="B1050" s="1216"/>
      <c r="C1050" s="1216"/>
      <c r="D1050" s="1216"/>
      <c r="E1050" s="1216"/>
      <c r="F1050" s="1216"/>
      <c r="G1050" s="1216"/>
      <c r="H1050" s="1216"/>
      <c r="I1050" s="1216"/>
      <c r="J1050" s="1216"/>
      <c r="K1050" s="1216"/>
      <c r="L1050" s="1216"/>
      <c r="M1050" s="1216"/>
      <c r="N1050" s="1216"/>
      <c r="O1050" s="1216"/>
      <c r="P1050" s="1216"/>
      <c r="Q1050" s="1216"/>
      <c r="R1050" s="1216"/>
      <c r="S1050" s="1216"/>
    </row>
    <row r="1051" spans="1:19">
      <c r="A1051" s="1216"/>
      <c r="B1051" s="1216"/>
      <c r="C1051" s="1216"/>
      <c r="D1051" s="1216"/>
      <c r="E1051" s="1216"/>
      <c r="F1051" s="1216"/>
      <c r="G1051" s="1216"/>
      <c r="H1051" s="1216"/>
      <c r="I1051" s="1216"/>
      <c r="J1051" s="1216"/>
      <c r="K1051" s="1216"/>
      <c r="L1051" s="1216"/>
      <c r="M1051" s="1216"/>
      <c r="N1051" s="1216"/>
      <c r="O1051" s="1216"/>
      <c r="P1051" s="1216"/>
      <c r="Q1051" s="1216"/>
      <c r="R1051" s="1216"/>
      <c r="S1051" s="1216"/>
    </row>
    <row r="1052" spans="1:19">
      <c r="A1052" s="99"/>
      <c r="B1052" s="99"/>
      <c r="C1052" s="99"/>
      <c r="D1052" s="99"/>
      <c r="E1052" s="99"/>
      <c r="F1052" s="99"/>
      <c r="G1052" s="99"/>
      <c r="H1052" s="99"/>
      <c r="I1052" s="99"/>
      <c r="J1052" s="99"/>
      <c r="K1052" s="99"/>
      <c r="L1052" s="99"/>
      <c r="M1052" s="99"/>
      <c r="N1052" s="99"/>
      <c r="O1052" s="99"/>
      <c r="P1052" s="99"/>
      <c r="Q1052" s="99"/>
      <c r="R1052" s="99"/>
      <c r="S1052" s="99"/>
    </row>
    <row r="1053" spans="1:19" ht="24.95" customHeight="1">
      <c r="B1053" s="1923" t="s">
        <v>4495</v>
      </c>
      <c r="C1053" s="1924"/>
      <c r="D1053" s="1924"/>
      <c r="E1053" s="1924"/>
      <c r="F1053" s="1924"/>
      <c r="G1053" s="1925"/>
      <c r="H1053" s="1888" t="s">
        <v>4387</v>
      </c>
      <c r="I1053" s="1888"/>
      <c r="J1053" s="1888"/>
      <c r="K1053" s="1888"/>
      <c r="L1053" s="1888"/>
      <c r="M1053" s="1888"/>
      <c r="N1053" s="1888"/>
      <c r="O1053" s="1888"/>
      <c r="P1053" s="1888"/>
      <c r="Q1053" s="1888" t="s">
        <v>4388</v>
      </c>
      <c r="R1053" s="1888"/>
      <c r="S1053" s="1888"/>
    </row>
    <row r="1054" spans="1:19">
      <c r="B1054" s="1738" t="s">
        <v>4496</v>
      </c>
      <c r="C1054" s="1738"/>
      <c r="D1054" s="1738"/>
      <c r="E1054" s="1738"/>
      <c r="F1054" s="1738"/>
      <c r="G1054" s="1738"/>
      <c r="H1054" s="1738" t="s">
        <v>4497</v>
      </c>
      <c r="I1054" s="1738"/>
      <c r="J1054" s="1738"/>
      <c r="K1054" s="1738"/>
      <c r="L1054" s="1738"/>
      <c r="M1054" s="1738"/>
      <c r="N1054" s="1738"/>
      <c r="O1054" s="1738"/>
      <c r="P1054" s="1738"/>
      <c r="Q1054" s="1785">
        <v>2533.2800000000002</v>
      </c>
      <c r="R1054" s="1785"/>
      <c r="S1054" s="1785"/>
    </row>
    <row r="1055" spans="1:19">
      <c r="B1055" s="1738" t="s">
        <v>4391</v>
      </c>
      <c r="C1055" s="1738"/>
      <c r="D1055" s="1738"/>
      <c r="E1055" s="1738"/>
      <c r="F1055" s="1738"/>
      <c r="G1055" s="1738"/>
      <c r="H1055" s="1738" t="s">
        <v>4414</v>
      </c>
      <c r="I1055" s="1738"/>
      <c r="J1055" s="1738"/>
      <c r="K1055" s="1738"/>
      <c r="L1055" s="1738"/>
      <c r="M1055" s="1738"/>
      <c r="N1055" s="1738"/>
      <c r="O1055" s="1738"/>
      <c r="P1055" s="1738"/>
      <c r="Q1055" s="1785">
        <v>1393.95</v>
      </c>
      <c r="R1055" s="1785"/>
      <c r="S1055" s="1785"/>
    </row>
    <row r="1056" spans="1:19" ht="12.75" customHeight="1">
      <c r="B1056" s="1738"/>
      <c r="C1056" s="1738"/>
      <c r="D1056" s="1738"/>
      <c r="E1056" s="1738"/>
      <c r="F1056" s="1738"/>
      <c r="G1056" s="1738"/>
      <c r="H1056" s="1738"/>
      <c r="I1056" s="1738"/>
      <c r="J1056" s="1738"/>
      <c r="K1056" s="1738"/>
      <c r="L1056" s="1738"/>
      <c r="M1056" s="1738"/>
      <c r="N1056" s="1738"/>
      <c r="O1056" s="1738"/>
      <c r="P1056" s="1738"/>
      <c r="Q1056" s="1785"/>
      <c r="R1056" s="1785"/>
      <c r="S1056" s="1785"/>
    </row>
    <row r="1057" spans="2:19" ht="24.95" customHeight="1">
      <c r="B1057" s="1872" t="s">
        <v>4393</v>
      </c>
      <c r="C1057" s="1872"/>
      <c r="D1057" s="1872"/>
      <c r="E1057" s="1872"/>
      <c r="F1057" s="1872"/>
      <c r="G1057" s="1872"/>
      <c r="H1057" s="1872" t="s">
        <v>4394</v>
      </c>
      <c r="I1057" s="1872"/>
      <c r="J1057" s="1872"/>
      <c r="K1057" s="1872"/>
      <c r="L1057" s="1872"/>
      <c r="M1057" s="1872"/>
      <c r="N1057" s="1872"/>
      <c r="O1057" s="1872"/>
      <c r="P1057" s="1872"/>
      <c r="Q1057" s="1875">
        <v>3927.23</v>
      </c>
      <c r="R1057" s="1875"/>
      <c r="S1057" s="1875"/>
    </row>
    <row r="1058" spans="2:19">
      <c r="B1058" s="1800" t="s">
        <v>4559</v>
      </c>
      <c r="C1058" s="1800"/>
      <c r="D1058" s="1800"/>
      <c r="E1058" s="1800"/>
      <c r="F1058" s="1800"/>
      <c r="G1058" s="1800"/>
      <c r="H1058" s="1800" t="s">
        <v>4697</v>
      </c>
      <c r="I1058" s="1800"/>
      <c r="J1058" s="1800"/>
      <c r="K1058" s="1800"/>
      <c r="L1058" s="1800"/>
      <c r="M1058" s="1800"/>
      <c r="N1058" s="1800"/>
      <c r="O1058" s="1800"/>
      <c r="P1058" s="1800"/>
      <c r="Q1058" s="1794">
        <v>257.01</v>
      </c>
      <c r="R1058" s="1794"/>
      <c r="S1058" s="1794"/>
    </row>
    <row r="1059" spans="2:19">
      <c r="B1059" s="1800"/>
      <c r="C1059" s="1800"/>
      <c r="D1059" s="1800"/>
      <c r="E1059" s="1800"/>
      <c r="F1059" s="1800"/>
      <c r="G1059" s="1800"/>
      <c r="H1059" s="1800"/>
      <c r="I1059" s="1800"/>
      <c r="J1059" s="1800"/>
      <c r="K1059" s="1800"/>
      <c r="L1059" s="1800"/>
      <c r="M1059" s="1800"/>
      <c r="N1059" s="1800"/>
      <c r="O1059" s="1800"/>
      <c r="P1059" s="1800"/>
      <c r="Q1059" s="1794"/>
      <c r="R1059" s="1794"/>
      <c r="S1059" s="1794"/>
    </row>
    <row r="1060" spans="2:19">
      <c r="B1060" s="1800"/>
      <c r="C1060" s="1800"/>
      <c r="D1060" s="1800"/>
      <c r="E1060" s="1800"/>
      <c r="F1060" s="1800"/>
      <c r="G1060" s="1800"/>
      <c r="H1060" s="1800"/>
      <c r="I1060" s="1800"/>
      <c r="J1060" s="1800"/>
      <c r="K1060" s="1800"/>
      <c r="L1060" s="1800"/>
      <c r="M1060" s="1800"/>
      <c r="N1060" s="1800"/>
      <c r="O1060" s="1800"/>
      <c r="P1060" s="1800"/>
      <c r="Q1060" s="1794"/>
      <c r="R1060" s="1794"/>
      <c r="S1060" s="1794"/>
    </row>
    <row r="1061" spans="2:19">
      <c r="B1061" s="1800"/>
      <c r="C1061" s="1800"/>
      <c r="D1061" s="1800"/>
      <c r="E1061" s="1800"/>
      <c r="F1061" s="1800"/>
      <c r="G1061" s="1800"/>
      <c r="H1061" s="1800"/>
      <c r="I1061" s="1800"/>
      <c r="J1061" s="1800"/>
      <c r="K1061" s="1800"/>
      <c r="L1061" s="1800"/>
      <c r="M1061" s="1800"/>
      <c r="N1061" s="1800"/>
      <c r="O1061" s="1800"/>
      <c r="P1061" s="1800"/>
      <c r="Q1061" s="1794"/>
      <c r="R1061" s="1794"/>
      <c r="S1061" s="1794"/>
    </row>
    <row r="1062" spans="2:19">
      <c r="B1062" s="1800"/>
      <c r="C1062" s="1800"/>
      <c r="D1062" s="1800"/>
      <c r="E1062" s="1800"/>
      <c r="F1062" s="1800"/>
      <c r="G1062" s="1800"/>
      <c r="H1062" s="1800"/>
      <c r="I1062" s="1800"/>
      <c r="J1062" s="1800"/>
      <c r="K1062" s="1800"/>
      <c r="L1062" s="1800"/>
      <c r="M1062" s="1800"/>
      <c r="N1062" s="1800"/>
      <c r="O1062" s="1800"/>
      <c r="P1062" s="1800"/>
      <c r="Q1062" s="1794"/>
      <c r="R1062" s="1794"/>
      <c r="S1062" s="1794"/>
    </row>
    <row r="1063" spans="2:19">
      <c r="B1063" s="1800"/>
      <c r="C1063" s="1800"/>
      <c r="D1063" s="1800"/>
      <c r="E1063" s="1800"/>
      <c r="F1063" s="1800"/>
      <c r="G1063" s="1800"/>
      <c r="H1063" s="1800"/>
      <c r="I1063" s="1800"/>
      <c r="J1063" s="1800"/>
      <c r="K1063" s="1800"/>
      <c r="L1063" s="1800"/>
      <c r="M1063" s="1800"/>
      <c r="N1063" s="1800"/>
      <c r="O1063" s="1800"/>
      <c r="P1063" s="1800"/>
      <c r="Q1063" s="1794"/>
      <c r="R1063" s="1794"/>
      <c r="S1063" s="1794"/>
    </row>
    <row r="1064" spans="2:19">
      <c r="B1064" s="1800"/>
      <c r="C1064" s="1800"/>
      <c r="D1064" s="1800"/>
      <c r="E1064" s="1800"/>
      <c r="F1064" s="1800"/>
      <c r="G1064" s="1800"/>
      <c r="H1064" s="1800"/>
      <c r="I1064" s="1800"/>
      <c r="J1064" s="1800"/>
      <c r="K1064" s="1800"/>
      <c r="L1064" s="1800"/>
      <c r="M1064" s="1800"/>
      <c r="N1064" s="1800"/>
      <c r="O1064" s="1800"/>
      <c r="P1064" s="1800"/>
      <c r="Q1064" s="1794"/>
      <c r="R1064" s="1794"/>
      <c r="S1064" s="1794"/>
    </row>
    <row r="1065" spans="2:19">
      <c r="B1065" s="1800"/>
      <c r="C1065" s="1800"/>
      <c r="D1065" s="1800"/>
      <c r="E1065" s="1800"/>
      <c r="F1065" s="1800"/>
      <c r="G1065" s="1800"/>
      <c r="H1065" s="1800"/>
      <c r="I1065" s="1800"/>
      <c r="J1065" s="1800"/>
      <c r="K1065" s="1800"/>
      <c r="L1065" s="1800"/>
      <c r="M1065" s="1800"/>
      <c r="N1065" s="1800"/>
      <c r="O1065" s="1800"/>
      <c r="P1065" s="1800"/>
      <c r="Q1065" s="1794"/>
      <c r="R1065" s="1794"/>
      <c r="S1065" s="1794"/>
    </row>
    <row r="1066" spans="2:19">
      <c r="B1066" s="1738" t="s">
        <v>4536</v>
      </c>
      <c r="C1066" s="1738"/>
      <c r="D1066" s="1738"/>
      <c r="E1066" s="1738"/>
      <c r="F1066" s="1738"/>
      <c r="G1066" s="1738"/>
      <c r="H1066" s="1738" t="s">
        <v>4482</v>
      </c>
      <c r="I1066" s="1738"/>
      <c r="J1066" s="1738"/>
      <c r="K1066" s="1738"/>
      <c r="L1066" s="1738"/>
      <c r="M1066" s="1738"/>
      <c r="N1066" s="1738"/>
      <c r="O1066" s="1738"/>
      <c r="P1066" s="1738"/>
      <c r="Q1066" s="1780">
        <v>154.21</v>
      </c>
      <c r="R1066" s="1780"/>
      <c r="S1066" s="1780"/>
    </row>
    <row r="1067" spans="2:19" ht="24.95" customHeight="1">
      <c r="B1067" s="1872" t="s">
        <v>4397</v>
      </c>
      <c r="C1067" s="1872"/>
      <c r="D1067" s="1872"/>
      <c r="E1067" s="1872"/>
      <c r="F1067" s="1872"/>
      <c r="G1067" s="1872"/>
      <c r="H1067" s="1872" t="s">
        <v>4398</v>
      </c>
      <c r="I1067" s="1872"/>
      <c r="J1067" s="1872"/>
      <c r="K1067" s="1872"/>
      <c r="L1067" s="1872"/>
      <c r="M1067" s="1872"/>
      <c r="N1067" s="1872"/>
      <c r="O1067" s="1872"/>
      <c r="P1067" s="1872"/>
      <c r="Q1067" s="1875">
        <v>4338.45</v>
      </c>
      <c r="R1067" s="1875"/>
      <c r="S1067" s="1875"/>
    </row>
    <row r="1068" spans="2:19">
      <c r="B1068" s="1738" t="s">
        <v>4498</v>
      </c>
      <c r="C1068" s="1738"/>
      <c r="D1068" s="1738"/>
      <c r="E1068" s="1738"/>
      <c r="F1068" s="1738"/>
      <c r="G1068" s="1738"/>
      <c r="H1068" s="1738"/>
      <c r="I1068" s="1738"/>
      <c r="J1068" s="1738"/>
      <c r="K1068" s="1738"/>
      <c r="L1068" s="1738"/>
      <c r="M1068" s="1738"/>
      <c r="N1068" s="1738"/>
      <c r="O1068" s="1738"/>
      <c r="P1068" s="1738"/>
      <c r="Q1068" s="1780">
        <v>257.01</v>
      </c>
      <c r="R1068" s="1780"/>
      <c r="S1068" s="1780"/>
    </row>
    <row r="1069" spans="2:19">
      <c r="B1069" s="1738" t="s">
        <v>4469</v>
      </c>
      <c r="C1069" s="1738"/>
      <c r="D1069" s="1738"/>
      <c r="E1069" s="1738"/>
      <c r="F1069" s="1738"/>
      <c r="G1069" s="1738"/>
      <c r="H1069" s="1738"/>
      <c r="I1069" s="1738"/>
      <c r="J1069" s="1738"/>
      <c r="K1069" s="1738"/>
      <c r="L1069" s="1738"/>
      <c r="M1069" s="1738"/>
      <c r="N1069" s="1738"/>
      <c r="O1069" s="1738"/>
      <c r="P1069" s="1738"/>
      <c r="Q1069" s="1780">
        <v>154.21</v>
      </c>
      <c r="R1069" s="1780"/>
      <c r="S1069" s="1780"/>
    </row>
    <row r="1070" spans="2:19">
      <c r="B1070" s="1738" t="s">
        <v>4401</v>
      </c>
      <c r="C1070" s="1738"/>
      <c r="D1070" s="1738"/>
      <c r="E1070" s="1738"/>
      <c r="F1070" s="1738"/>
      <c r="G1070" s="1738"/>
      <c r="H1070" s="1738" t="s">
        <v>4499</v>
      </c>
      <c r="I1070" s="1738"/>
      <c r="J1070" s="1738"/>
      <c r="K1070" s="1738"/>
      <c r="L1070" s="1738"/>
      <c r="M1070" s="1738"/>
      <c r="N1070" s="1738"/>
      <c r="O1070" s="1738"/>
      <c r="P1070" s="1738"/>
      <c r="Q1070" s="1780">
        <v>205.61</v>
      </c>
      <c r="R1070" s="1780"/>
      <c r="S1070" s="1780"/>
    </row>
    <row r="1071" spans="2:19">
      <c r="B1071" s="1738" t="s">
        <v>4484</v>
      </c>
      <c r="C1071" s="1738"/>
      <c r="D1071" s="1738"/>
      <c r="E1071" s="1738"/>
      <c r="F1071" s="1738"/>
      <c r="G1071" s="1738"/>
      <c r="H1071" s="1738" t="s">
        <v>4500</v>
      </c>
      <c r="I1071" s="1738"/>
      <c r="J1071" s="1738"/>
      <c r="K1071" s="1738"/>
      <c r="L1071" s="1738"/>
      <c r="M1071" s="1738"/>
      <c r="N1071" s="1738"/>
      <c r="O1071" s="1738"/>
      <c r="P1071" s="1738"/>
      <c r="Q1071" s="1794">
        <v>395.4</v>
      </c>
      <c r="R1071" s="1794"/>
      <c r="S1071" s="1794"/>
    </row>
    <row r="1072" spans="2:19">
      <c r="B1072" s="1738"/>
      <c r="C1072" s="1738"/>
      <c r="D1072" s="1738"/>
      <c r="E1072" s="1738"/>
      <c r="F1072" s="1738"/>
      <c r="G1072" s="1738"/>
      <c r="H1072" s="1738"/>
      <c r="I1072" s="1738"/>
      <c r="J1072" s="1738"/>
      <c r="K1072" s="1738"/>
      <c r="L1072" s="1738"/>
      <c r="M1072" s="1738"/>
      <c r="N1072" s="1738"/>
      <c r="O1072" s="1738"/>
      <c r="P1072" s="1738"/>
      <c r="Q1072" s="1794"/>
      <c r="R1072" s="1794"/>
      <c r="S1072" s="1794"/>
    </row>
    <row r="1073" spans="1:19">
      <c r="B1073" s="1738"/>
      <c r="C1073" s="1738"/>
      <c r="D1073" s="1738"/>
      <c r="E1073" s="1738"/>
      <c r="F1073" s="1738"/>
      <c r="G1073" s="1738"/>
      <c r="H1073" s="1738"/>
      <c r="I1073" s="1738"/>
      <c r="J1073" s="1738"/>
      <c r="K1073" s="1738"/>
      <c r="L1073" s="1738"/>
      <c r="M1073" s="1738"/>
      <c r="N1073" s="1738"/>
      <c r="O1073" s="1738"/>
      <c r="P1073" s="1738"/>
      <c r="Q1073" s="1794"/>
      <c r="R1073" s="1794"/>
      <c r="S1073" s="1794"/>
    </row>
    <row r="1074" spans="1:19">
      <c r="B1074" s="1738" t="s">
        <v>4405</v>
      </c>
      <c r="C1074" s="1738"/>
      <c r="D1074" s="1738"/>
      <c r="E1074" s="1738"/>
      <c r="F1074" s="1738"/>
      <c r="G1074" s="1738"/>
      <c r="H1074" s="1738" t="s">
        <v>4406</v>
      </c>
      <c r="I1074" s="1738"/>
      <c r="J1074" s="1738"/>
      <c r="K1074" s="1738"/>
      <c r="L1074" s="1738"/>
      <c r="M1074" s="1738"/>
      <c r="N1074" s="1738"/>
      <c r="O1074" s="1738"/>
      <c r="P1074" s="1738"/>
      <c r="Q1074" s="1780">
        <v>25.92</v>
      </c>
      <c r="R1074" s="1780"/>
      <c r="S1074" s="1780"/>
    </row>
    <row r="1075" spans="1:19" ht="24.95" customHeight="1">
      <c r="B1075" s="1872" t="s">
        <v>4418</v>
      </c>
      <c r="C1075" s="1872"/>
      <c r="D1075" s="1872"/>
      <c r="E1075" s="1872"/>
      <c r="F1075" s="1872"/>
      <c r="G1075" s="1872"/>
      <c r="H1075" s="1872" t="s">
        <v>4408</v>
      </c>
      <c r="I1075" s="1872"/>
      <c r="J1075" s="1872"/>
      <c r="K1075" s="1872"/>
      <c r="L1075" s="1872"/>
      <c r="M1075" s="1872"/>
      <c r="N1075" s="1872"/>
      <c r="O1075" s="1872"/>
      <c r="P1075" s="1872"/>
      <c r="Q1075" s="1875">
        <v>1038.1500000000001</v>
      </c>
      <c r="R1075" s="1875"/>
      <c r="S1075" s="1875"/>
    </row>
    <row r="1076" spans="1:19" ht="24.95" customHeight="1">
      <c r="B1076" s="1872" t="s">
        <v>4479</v>
      </c>
      <c r="C1076" s="1872"/>
      <c r="D1076" s="1872"/>
      <c r="E1076" s="1872"/>
      <c r="F1076" s="1872"/>
      <c r="G1076" s="1872"/>
      <c r="H1076" s="1872" t="s">
        <v>4410</v>
      </c>
      <c r="I1076" s="1872"/>
      <c r="J1076" s="1872"/>
      <c r="K1076" s="1872"/>
      <c r="L1076" s="1872"/>
      <c r="M1076" s="1872"/>
      <c r="N1076" s="1872"/>
      <c r="O1076" s="1872"/>
      <c r="P1076" s="1872"/>
      <c r="Q1076" s="1875">
        <v>3300.3</v>
      </c>
      <c r="R1076" s="1875"/>
      <c r="S1076" s="1875"/>
    </row>
    <row r="1078" spans="1:19">
      <c r="A1078" s="1287" t="s">
        <v>4700</v>
      </c>
      <c r="B1078" s="1216"/>
      <c r="C1078" s="1216"/>
      <c r="D1078" s="1216"/>
      <c r="E1078" s="1216"/>
      <c r="F1078" s="1216"/>
      <c r="G1078" s="1216"/>
      <c r="H1078" s="1216"/>
      <c r="I1078" s="1216"/>
      <c r="J1078" s="1216"/>
      <c r="K1078" s="1216"/>
      <c r="L1078" s="1216"/>
      <c r="M1078" s="1216"/>
      <c r="N1078" s="1216"/>
      <c r="O1078" s="1216"/>
      <c r="P1078" s="1216"/>
      <c r="Q1078" s="1216"/>
      <c r="R1078" s="1216"/>
      <c r="S1078" s="1216"/>
    </row>
    <row r="1079" spans="1:19">
      <c r="A1079" s="1216"/>
      <c r="B1079" s="1216"/>
      <c r="C1079" s="1216"/>
      <c r="D1079" s="1216"/>
      <c r="E1079" s="1216"/>
      <c r="F1079" s="1216"/>
      <c r="G1079" s="1216"/>
      <c r="H1079" s="1216"/>
      <c r="I1079" s="1216"/>
      <c r="J1079" s="1216"/>
      <c r="K1079" s="1216"/>
      <c r="L1079" s="1216"/>
      <c r="M1079" s="1216"/>
      <c r="N1079" s="1216"/>
      <c r="O1079" s="1216"/>
      <c r="P1079" s="1216"/>
      <c r="Q1079" s="1216"/>
      <c r="R1079" s="1216"/>
      <c r="S1079" s="1216"/>
    </row>
    <row r="1080" spans="1:19">
      <c r="A1080" s="1216"/>
      <c r="B1080" s="1216"/>
      <c r="C1080" s="1216"/>
      <c r="D1080" s="1216"/>
      <c r="E1080" s="1216"/>
      <c r="F1080" s="1216"/>
      <c r="G1080" s="1216"/>
      <c r="H1080" s="1216"/>
      <c r="I1080" s="1216"/>
      <c r="J1080" s="1216"/>
      <c r="K1080" s="1216"/>
      <c r="L1080" s="1216"/>
      <c r="M1080" s="1216"/>
      <c r="N1080" s="1216"/>
      <c r="O1080" s="1216"/>
      <c r="P1080" s="1216"/>
      <c r="Q1080" s="1216"/>
      <c r="R1080" s="1216"/>
      <c r="S1080" s="1216"/>
    </row>
    <row r="1081" spans="1:19">
      <c r="A1081" s="1216"/>
      <c r="B1081" s="1216"/>
      <c r="C1081" s="1216"/>
      <c r="D1081" s="1216"/>
      <c r="E1081" s="1216"/>
      <c r="F1081" s="1216"/>
      <c r="G1081" s="1216"/>
      <c r="H1081" s="1216"/>
      <c r="I1081" s="1216"/>
      <c r="J1081" s="1216"/>
      <c r="K1081" s="1216"/>
      <c r="L1081" s="1216"/>
      <c r="M1081" s="1216"/>
      <c r="N1081" s="1216"/>
      <c r="O1081" s="1216"/>
      <c r="P1081" s="1216"/>
      <c r="Q1081" s="1216"/>
      <c r="R1081" s="1216"/>
      <c r="S1081" s="1216"/>
    </row>
    <row r="1082" spans="1:19">
      <c r="A1082" s="1216"/>
      <c r="B1082" s="1216"/>
      <c r="C1082" s="1216"/>
      <c r="D1082" s="1216"/>
      <c r="E1082" s="1216"/>
      <c r="F1082" s="1216"/>
      <c r="G1082" s="1216"/>
      <c r="H1082" s="1216"/>
      <c r="I1082" s="1216"/>
      <c r="J1082" s="1216"/>
      <c r="K1082" s="1216"/>
      <c r="L1082" s="1216"/>
      <c r="M1082" s="1216"/>
      <c r="N1082" s="1216"/>
      <c r="O1082" s="1216"/>
      <c r="P1082" s="1216"/>
      <c r="Q1082" s="1216"/>
      <c r="R1082" s="1216"/>
      <c r="S1082" s="1216"/>
    </row>
    <row r="1083" spans="1:19">
      <c r="A1083" s="1216"/>
      <c r="B1083" s="1216"/>
      <c r="C1083" s="1216"/>
      <c r="D1083" s="1216"/>
      <c r="E1083" s="1216"/>
      <c r="F1083" s="1216"/>
      <c r="G1083" s="1216"/>
      <c r="H1083" s="1216"/>
      <c r="I1083" s="1216"/>
      <c r="J1083" s="1216"/>
      <c r="K1083" s="1216"/>
      <c r="L1083" s="1216"/>
      <c r="M1083" s="1216"/>
      <c r="N1083" s="1216"/>
      <c r="O1083" s="1216"/>
      <c r="P1083" s="1216"/>
      <c r="Q1083" s="1216"/>
      <c r="R1083" s="1216"/>
      <c r="S1083" s="1216"/>
    </row>
    <row r="1084" spans="1:19">
      <c r="A1084" s="1216"/>
      <c r="B1084" s="1216"/>
      <c r="C1084" s="1216"/>
      <c r="D1084" s="1216"/>
      <c r="E1084" s="1216"/>
      <c r="F1084" s="1216"/>
      <c r="G1084" s="1216"/>
      <c r="H1084" s="1216"/>
      <c r="I1084" s="1216"/>
      <c r="J1084" s="1216"/>
      <c r="K1084" s="1216"/>
      <c r="L1084" s="1216"/>
      <c r="M1084" s="1216"/>
      <c r="N1084" s="1216"/>
      <c r="O1084" s="1216"/>
      <c r="P1084" s="1216"/>
      <c r="Q1084" s="1216"/>
      <c r="R1084" s="1216"/>
      <c r="S1084" s="1216"/>
    </row>
    <row r="1085" spans="1:19">
      <c r="A1085" s="1216"/>
      <c r="B1085" s="1216"/>
      <c r="C1085" s="1216"/>
      <c r="D1085" s="1216"/>
      <c r="E1085" s="1216"/>
      <c r="F1085" s="1216"/>
      <c r="G1085" s="1216"/>
      <c r="H1085" s="1216"/>
      <c r="I1085" s="1216"/>
      <c r="J1085" s="1216"/>
      <c r="K1085" s="1216"/>
      <c r="L1085" s="1216"/>
      <c r="M1085" s="1216"/>
      <c r="N1085" s="1216"/>
      <c r="O1085" s="1216"/>
      <c r="P1085" s="1216"/>
      <c r="Q1085" s="1216"/>
      <c r="R1085" s="1216"/>
      <c r="S1085" s="1216"/>
    </row>
    <row r="1086" spans="1:19">
      <c r="A1086" s="1216"/>
      <c r="B1086" s="1216"/>
      <c r="C1086" s="1216"/>
      <c r="D1086" s="1216"/>
      <c r="E1086" s="1216"/>
      <c r="F1086" s="1216"/>
      <c r="G1086" s="1216"/>
      <c r="H1086" s="1216"/>
      <c r="I1086" s="1216"/>
      <c r="J1086" s="1216"/>
      <c r="K1086" s="1216"/>
      <c r="L1086" s="1216"/>
      <c r="M1086" s="1216"/>
      <c r="N1086" s="1216"/>
      <c r="O1086" s="1216"/>
      <c r="P1086" s="1216"/>
      <c r="Q1086" s="1216"/>
      <c r="R1086" s="1216"/>
      <c r="S1086" s="1216"/>
    </row>
    <row r="1087" spans="1:19" ht="12.75" customHeight="1">
      <c r="A1087" s="1287" t="s">
        <v>4699</v>
      </c>
      <c r="B1087" s="1216"/>
      <c r="C1087" s="1216"/>
      <c r="D1087" s="1216"/>
      <c r="E1087" s="1216"/>
      <c r="F1087" s="1216"/>
      <c r="G1087" s="1216"/>
      <c r="H1087" s="1216"/>
      <c r="I1087" s="1216"/>
      <c r="J1087" s="1216"/>
      <c r="K1087" s="1216"/>
      <c r="L1087" s="1216"/>
      <c r="M1087" s="1216"/>
      <c r="N1087" s="1216"/>
      <c r="O1087" s="1216"/>
      <c r="P1087" s="1216"/>
      <c r="Q1087" s="1216"/>
      <c r="R1087" s="1216"/>
      <c r="S1087" s="1216"/>
    </row>
    <row r="1088" spans="1:19">
      <c r="A1088" s="1216"/>
      <c r="B1088" s="1216"/>
      <c r="C1088" s="1216"/>
      <c r="D1088" s="1216"/>
      <c r="E1088" s="1216"/>
      <c r="F1088" s="1216"/>
      <c r="G1088" s="1216"/>
      <c r="H1088" s="1216"/>
      <c r="I1088" s="1216"/>
      <c r="J1088" s="1216"/>
      <c r="K1088" s="1216"/>
      <c r="L1088" s="1216"/>
      <c r="M1088" s="1216"/>
      <c r="N1088" s="1216"/>
      <c r="O1088" s="1216"/>
      <c r="P1088" s="1216"/>
      <c r="Q1088" s="1216"/>
      <c r="R1088" s="1216"/>
      <c r="S1088" s="1216"/>
    </row>
    <row r="1089" spans="1:19">
      <c r="A1089" s="1216"/>
      <c r="B1089" s="1216"/>
      <c r="C1089" s="1216"/>
      <c r="D1089" s="1216"/>
      <c r="E1089" s="1216"/>
      <c r="F1089" s="1216"/>
      <c r="G1089" s="1216"/>
      <c r="H1089" s="1216"/>
      <c r="I1089" s="1216"/>
      <c r="J1089" s="1216"/>
      <c r="K1089" s="1216"/>
      <c r="L1089" s="1216"/>
      <c r="M1089" s="1216"/>
      <c r="N1089" s="1216"/>
      <c r="O1089" s="1216"/>
      <c r="P1089" s="1216"/>
      <c r="Q1089" s="1216"/>
      <c r="R1089" s="1216"/>
      <c r="S1089" s="1216"/>
    </row>
    <row r="1090" spans="1:19">
      <c r="A1090" s="1216"/>
      <c r="B1090" s="1216"/>
      <c r="C1090" s="1216"/>
      <c r="D1090" s="1216"/>
      <c r="E1090" s="1216"/>
      <c r="F1090" s="1216"/>
      <c r="G1090" s="1216"/>
      <c r="H1090" s="1216"/>
      <c r="I1090" s="1216"/>
      <c r="J1090" s="1216"/>
      <c r="K1090" s="1216"/>
      <c r="L1090" s="1216"/>
      <c r="M1090" s="1216"/>
      <c r="N1090" s="1216"/>
      <c r="O1090" s="1216"/>
      <c r="P1090" s="1216"/>
      <c r="Q1090" s="1216"/>
      <c r="R1090" s="1216"/>
      <c r="S1090" s="1216"/>
    </row>
    <row r="1091" spans="1:19" ht="12.75" customHeight="1">
      <c r="A1091" s="1287" t="s">
        <v>4698</v>
      </c>
      <c r="B1091" s="1216"/>
      <c r="C1091" s="1216"/>
      <c r="D1091" s="1216"/>
      <c r="E1091" s="1216"/>
      <c r="F1091" s="1216"/>
      <c r="G1091" s="1216"/>
      <c r="H1091" s="1216"/>
      <c r="I1091" s="1216"/>
      <c r="J1091" s="1216"/>
      <c r="K1091" s="1216"/>
      <c r="L1091" s="1216"/>
      <c r="M1091" s="1216"/>
      <c r="N1091" s="1216"/>
      <c r="O1091" s="1216"/>
      <c r="P1091" s="1216"/>
      <c r="Q1091" s="1216"/>
      <c r="R1091" s="1216"/>
      <c r="S1091" s="1216"/>
    </row>
    <row r="1092" spans="1:19">
      <c r="A1092" s="1216"/>
      <c r="B1092" s="1216"/>
      <c r="C1092" s="1216"/>
      <c r="D1092" s="1216"/>
      <c r="E1092" s="1216"/>
      <c r="F1092" s="1216"/>
      <c r="G1092" s="1216"/>
      <c r="H1092" s="1216"/>
      <c r="I1092" s="1216"/>
      <c r="J1092" s="1216"/>
      <c r="K1092" s="1216"/>
      <c r="L1092" s="1216"/>
      <c r="M1092" s="1216"/>
      <c r="N1092" s="1216"/>
      <c r="O1092" s="1216"/>
      <c r="P1092" s="1216"/>
      <c r="Q1092" s="1216"/>
      <c r="R1092" s="1216"/>
      <c r="S1092" s="1216"/>
    </row>
    <row r="1093" spans="1:19">
      <c r="A1093" s="1216"/>
      <c r="B1093" s="1216"/>
      <c r="C1093" s="1216"/>
      <c r="D1093" s="1216"/>
      <c r="E1093" s="1216"/>
      <c r="F1093" s="1216"/>
      <c r="G1093" s="1216"/>
      <c r="H1093" s="1216"/>
      <c r="I1093" s="1216"/>
      <c r="J1093" s="1216"/>
      <c r="K1093" s="1216"/>
      <c r="L1093" s="1216"/>
      <c r="M1093" s="1216"/>
      <c r="N1093" s="1216"/>
      <c r="O1093" s="1216"/>
      <c r="P1093" s="1216"/>
      <c r="Q1093" s="1216"/>
      <c r="R1093" s="1216"/>
      <c r="S1093" s="1216"/>
    </row>
    <row r="1094" spans="1:19">
      <c r="A1094" s="99"/>
      <c r="B1094" s="99"/>
      <c r="C1094" s="99"/>
      <c r="D1094" s="99"/>
      <c r="E1094" s="99"/>
      <c r="F1094" s="99"/>
      <c r="G1094" s="99"/>
      <c r="H1094" s="99"/>
      <c r="I1094" s="99"/>
      <c r="J1094" s="99"/>
      <c r="K1094" s="99"/>
      <c r="L1094" s="99"/>
      <c r="M1094" s="99"/>
      <c r="N1094" s="99"/>
      <c r="O1094" s="99"/>
      <c r="P1094" s="99"/>
      <c r="Q1094" s="99"/>
      <c r="R1094" s="99"/>
      <c r="S1094" s="99"/>
    </row>
    <row r="1095" spans="1:19" s="612" customFormat="1" ht="24.95" customHeight="1">
      <c r="B1095" s="1923" t="s">
        <v>4501</v>
      </c>
      <c r="C1095" s="1924"/>
      <c r="D1095" s="1924"/>
      <c r="E1095" s="1924"/>
      <c r="F1095" s="1924"/>
      <c r="G1095" s="1925"/>
      <c r="H1095" s="1888" t="s">
        <v>4387</v>
      </c>
      <c r="I1095" s="1888"/>
      <c r="J1095" s="1888"/>
      <c r="K1095" s="1888"/>
      <c r="L1095" s="1888"/>
      <c r="M1095" s="1888"/>
      <c r="N1095" s="1888"/>
      <c r="O1095" s="1888"/>
      <c r="P1095" s="1888"/>
      <c r="Q1095" s="1888" t="s">
        <v>4388</v>
      </c>
      <c r="R1095" s="1888"/>
      <c r="S1095" s="1888"/>
    </row>
    <row r="1096" spans="1:19">
      <c r="B1096" s="1738" t="s">
        <v>4502</v>
      </c>
      <c r="C1096" s="1738"/>
      <c r="D1096" s="1738"/>
      <c r="E1096" s="1738"/>
      <c r="F1096" s="1738"/>
      <c r="G1096" s="1738"/>
      <c r="H1096" s="1738" t="s">
        <v>4503</v>
      </c>
      <c r="I1096" s="1738"/>
      <c r="J1096" s="1738"/>
      <c r="K1096" s="1738"/>
      <c r="L1096" s="1738"/>
      <c r="M1096" s="1738"/>
      <c r="N1096" s="1738"/>
      <c r="O1096" s="1738"/>
      <c r="P1096" s="1738"/>
      <c r="Q1096" s="1794">
        <v>96.69</v>
      </c>
      <c r="R1096" s="1794"/>
      <c r="S1096" s="1794"/>
    </row>
    <row r="1097" spans="1:19">
      <c r="B1097" s="1738" t="s">
        <v>4504</v>
      </c>
      <c r="C1097" s="1738"/>
      <c r="D1097" s="1738"/>
      <c r="E1097" s="1738"/>
      <c r="F1097" s="1738"/>
      <c r="G1097" s="1738"/>
      <c r="H1097" s="1738" t="s">
        <v>4505</v>
      </c>
      <c r="I1097" s="1738"/>
      <c r="J1097" s="1738"/>
      <c r="K1097" s="1738"/>
      <c r="L1097" s="1738"/>
      <c r="M1097" s="1738"/>
      <c r="N1097" s="1738"/>
      <c r="O1097" s="1738"/>
      <c r="P1097" s="1738"/>
      <c r="Q1097" s="1794">
        <v>232.06</v>
      </c>
      <c r="R1097" s="1794"/>
      <c r="S1097" s="1794"/>
    </row>
    <row r="1098" spans="1:19">
      <c r="B1098" s="1911" t="s">
        <v>4506</v>
      </c>
      <c r="C1098" s="1912"/>
      <c r="D1098" s="1912"/>
      <c r="E1098" s="1912"/>
      <c r="F1098" s="1912"/>
      <c r="G1098" s="1913"/>
      <c r="H1098" s="1911" t="s">
        <v>4507</v>
      </c>
      <c r="I1098" s="1912"/>
      <c r="J1098" s="1912"/>
      <c r="K1098" s="1912"/>
      <c r="L1098" s="1912"/>
      <c r="M1098" s="1912"/>
      <c r="N1098" s="1912"/>
      <c r="O1098" s="1912"/>
      <c r="P1098" s="1913"/>
      <c r="Q1098" s="1876">
        <v>862.51</v>
      </c>
      <c r="R1098" s="1877"/>
      <c r="S1098" s="1878"/>
    </row>
    <row r="1099" spans="1:19">
      <c r="B1099" s="1914"/>
      <c r="C1099" s="1915"/>
      <c r="D1099" s="1915"/>
      <c r="E1099" s="1915"/>
      <c r="F1099" s="1915"/>
      <c r="G1099" s="1916"/>
      <c r="H1099" s="1914"/>
      <c r="I1099" s="1915"/>
      <c r="J1099" s="1915"/>
      <c r="K1099" s="1915"/>
      <c r="L1099" s="1915"/>
      <c r="M1099" s="1915"/>
      <c r="N1099" s="1915"/>
      <c r="O1099" s="1915"/>
      <c r="P1099" s="1916"/>
      <c r="Q1099" s="1882"/>
      <c r="R1099" s="1883"/>
      <c r="S1099" s="1884"/>
    </row>
    <row r="1100" spans="1:19">
      <c r="B1100" s="1738" t="s">
        <v>4508</v>
      </c>
      <c r="C1100" s="1738"/>
      <c r="D1100" s="1738"/>
      <c r="E1100" s="1738"/>
      <c r="F1100" s="1738"/>
      <c r="G1100" s="1738"/>
      <c r="H1100" s="1738" t="s">
        <v>4509</v>
      </c>
      <c r="I1100" s="1738"/>
      <c r="J1100" s="1738"/>
      <c r="K1100" s="1738"/>
      <c r="L1100" s="1738"/>
      <c r="M1100" s="1738"/>
      <c r="N1100" s="1738"/>
      <c r="O1100" s="1738"/>
      <c r="P1100" s="1738"/>
      <c r="Q1100" s="1794">
        <v>32.229999999999997</v>
      </c>
      <c r="R1100" s="1794"/>
      <c r="S1100" s="1794"/>
    </row>
    <row r="1101" spans="1:19">
      <c r="B1101" s="1738" t="s">
        <v>4510</v>
      </c>
      <c r="C1101" s="1738"/>
      <c r="D1101" s="1738"/>
      <c r="E1101" s="1738"/>
      <c r="F1101" s="1738"/>
      <c r="G1101" s="1738"/>
      <c r="H1101" s="1738" t="s">
        <v>4511</v>
      </c>
      <c r="I1101" s="1738"/>
      <c r="J1101" s="1738"/>
      <c r="K1101" s="1738"/>
      <c r="L1101" s="1738"/>
      <c r="M1101" s="1738"/>
      <c r="N1101" s="1738"/>
      <c r="O1101" s="1738"/>
      <c r="P1101" s="1738"/>
      <c r="Q1101" s="1794">
        <v>55.19</v>
      </c>
      <c r="R1101" s="1794"/>
      <c r="S1101" s="1794"/>
    </row>
    <row r="1102" spans="1:19">
      <c r="B1102" s="1911" t="s">
        <v>4512</v>
      </c>
      <c r="C1102" s="1912"/>
      <c r="D1102" s="1912"/>
      <c r="E1102" s="1912"/>
      <c r="F1102" s="1912"/>
      <c r="G1102" s="1913"/>
      <c r="H1102" s="1911" t="s">
        <v>4513</v>
      </c>
      <c r="I1102" s="1912"/>
      <c r="J1102" s="1912"/>
      <c r="K1102" s="1912"/>
      <c r="L1102" s="1912"/>
      <c r="M1102" s="1912"/>
      <c r="N1102" s="1912"/>
      <c r="O1102" s="1912"/>
      <c r="P1102" s="1913"/>
      <c r="Q1102" s="1927">
        <v>1469.69</v>
      </c>
      <c r="R1102" s="1928"/>
      <c r="S1102" s="1929"/>
    </row>
    <row r="1103" spans="1:19">
      <c r="B1103" s="1914"/>
      <c r="C1103" s="1915"/>
      <c r="D1103" s="1915"/>
      <c r="E1103" s="1915"/>
      <c r="F1103" s="1915"/>
      <c r="G1103" s="1916"/>
      <c r="H1103" s="1914"/>
      <c r="I1103" s="1915"/>
      <c r="J1103" s="1915"/>
      <c r="K1103" s="1915"/>
      <c r="L1103" s="1915"/>
      <c r="M1103" s="1915"/>
      <c r="N1103" s="1915"/>
      <c r="O1103" s="1915"/>
      <c r="P1103" s="1916"/>
      <c r="Q1103" s="1930"/>
      <c r="R1103" s="1931"/>
      <c r="S1103" s="1932"/>
    </row>
    <row r="1104" spans="1:19">
      <c r="B1104" s="1911" t="s">
        <v>4514</v>
      </c>
      <c r="C1104" s="1912"/>
      <c r="D1104" s="1912"/>
      <c r="E1104" s="1912"/>
      <c r="F1104" s="1912"/>
      <c r="G1104" s="1913"/>
      <c r="H1104" s="1911" t="s">
        <v>4515</v>
      </c>
      <c r="I1104" s="1912"/>
      <c r="J1104" s="1912"/>
      <c r="K1104" s="1912"/>
      <c r="L1104" s="1912"/>
      <c r="M1104" s="1912"/>
      <c r="N1104" s="1912"/>
      <c r="O1104" s="1912"/>
      <c r="P1104" s="1913"/>
      <c r="Q1104" s="1927">
        <v>1071.6500000000001</v>
      </c>
      <c r="R1104" s="1928"/>
      <c r="S1104" s="1929"/>
    </row>
    <row r="1105" spans="2:19">
      <c r="B1105" s="1914"/>
      <c r="C1105" s="1915"/>
      <c r="D1105" s="1915"/>
      <c r="E1105" s="1915"/>
      <c r="F1105" s="1915"/>
      <c r="G1105" s="1916"/>
      <c r="H1105" s="1914"/>
      <c r="I1105" s="1915"/>
      <c r="J1105" s="1915"/>
      <c r="K1105" s="1915"/>
      <c r="L1105" s="1915"/>
      <c r="M1105" s="1915"/>
      <c r="N1105" s="1915"/>
      <c r="O1105" s="1915"/>
      <c r="P1105" s="1916"/>
      <c r="Q1105" s="1930"/>
      <c r="R1105" s="1931"/>
      <c r="S1105" s="1932"/>
    </row>
    <row r="1106" spans="2:19">
      <c r="B1106" s="1911" t="s">
        <v>4516</v>
      </c>
      <c r="C1106" s="1912"/>
      <c r="D1106" s="1912"/>
      <c r="E1106" s="1912"/>
      <c r="F1106" s="1912"/>
      <c r="G1106" s="1913"/>
      <c r="H1106" s="1911" t="s">
        <v>4517</v>
      </c>
      <c r="I1106" s="1912"/>
      <c r="J1106" s="1912"/>
      <c r="K1106" s="1912"/>
      <c r="L1106" s="1912"/>
      <c r="M1106" s="1912"/>
      <c r="N1106" s="1912"/>
      <c r="O1106" s="1912"/>
      <c r="P1106" s="1913"/>
      <c r="Q1106" s="1876">
        <v>128.91999999999999</v>
      </c>
      <c r="R1106" s="1877"/>
      <c r="S1106" s="1878"/>
    </row>
    <row r="1107" spans="2:19">
      <c r="B1107" s="1914"/>
      <c r="C1107" s="1915"/>
      <c r="D1107" s="1915"/>
      <c r="E1107" s="1915"/>
      <c r="F1107" s="1915"/>
      <c r="G1107" s="1916"/>
      <c r="H1107" s="1914"/>
      <c r="I1107" s="1915"/>
      <c r="J1107" s="1915"/>
      <c r="K1107" s="1915"/>
      <c r="L1107" s="1915"/>
      <c r="M1107" s="1915"/>
      <c r="N1107" s="1915"/>
      <c r="O1107" s="1915"/>
      <c r="P1107" s="1916"/>
      <c r="Q1107" s="1882"/>
      <c r="R1107" s="1883"/>
      <c r="S1107" s="1884"/>
    </row>
    <row r="1108" spans="2:19">
      <c r="B1108" s="1911" t="s">
        <v>4518</v>
      </c>
      <c r="C1108" s="1912"/>
      <c r="D1108" s="1912"/>
      <c r="E1108" s="1912"/>
      <c r="F1108" s="1912"/>
      <c r="G1108" s="1913"/>
      <c r="H1108" s="1911" t="s">
        <v>4519</v>
      </c>
      <c r="I1108" s="1912"/>
      <c r="J1108" s="1912"/>
      <c r="K1108" s="1912"/>
      <c r="L1108" s="1912"/>
      <c r="M1108" s="1912"/>
      <c r="N1108" s="1912"/>
      <c r="O1108" s="1912"/>
      <c r="P1108" s="1913"/>
      <c r="Q1108" s="1935">
        <v>412.54</v>
      </c>
      <c r="R1108" s="1936"/>
      <c r="S1108" s="1937"/>
    </row>
    <row r="1109" spans="2:19">
      <c r="B1109" s="1914"/>
      <c r="C1109" s="1915"/>
      <c r="D1109" s="1915"/>
      <c r="E1109" s="1915"/>
      <c r="F1109" s="1915"/>
      <c r="G1109" s="1916"/>
      <c r="H1109" s="1914"/>
      <c r="I1109" s="1915"/>
      <c r="J1109" s="1915"/>
      <c r="K1109" s="1915"/>
      <c r="L1109" s="1915"/>
      <c r="M1109" s="1915"/>
      <c r="N1109" s="1915"/>
      <c r="O1109" s="1915"/>
      <c r="P1109" s="1916"/>
      <c r="Q1109" s="1941"/>
      <c r="R1109" s="1942"/>
      <c r="S1109" s="1943"/>
    </row>
    <row r="1110" spans="2:19" s="612" customFormat="1" ht="24.95" customHeight="1">
      <c r="B1110" s="1872" t="s">
        <v>4520</v>
      </c>
      <c r="C1110" s="1872"/>
      <c r="D1110" s="1872"/>
      <c r="E1110" s="1872"/>
      <c r="F1110" s="1872"/>
      <c r="G1110" s="1872"/>
      <c r="H1110" s="1872" t="s">
        <v>4521</v>
      </c>
      <c r="I1110" s="1872"/>
      <c r="J1110" s="1872"/>
      <c r="K1110" s="1872"/>
      <c r="L1110" s="1872"/>
      <c r="M1110" s="1872"/>
      <c r="N1110" s="1872"/>
      <c r="O1110" s="1872"/>
      <c r="P1110" s="1872"/>
      <c r="Q1110" s="1889">
        <v>4361.4799999999996</v>
      </c>
      <c r="R1110" s="1889"/>
      <c r="S1110" s="1889"/>
    </row>
    <row r="1111" spans="2:19">
      <c r="B1111" s="1823" t="s">
        <v>4702</v>
      </c>
      <c r="C1111" s="1824"/>
      <c r="D1111" s="1824"/>
      <c r="E1111" s="1824"/>
      <c r="F1111" s="1824"/>
      <c r="G1111" s="1825"/>
      <c r="H1111" s="1823" t="s">
        <v>4703</v>
      </c>
      <c r="I1111" s="1824"/>
      <c r="J1111" s="1824"/>
      <c r="K1111" s="1824"/>
      <c r="L1111" s="1824"/>
      <c r="M1111" s="1824"/>
      <c r="N1111" s="1824"/>
      <c r="O1111" s="1824"/>
      <c r="P1111" s="1825"/>
      <c r="Q1111" s="1876">
        <v>403.91</v>
      </c>
      <c r="R1111" s="1877"/>
      <c r="S1111" s="1878"/>
    </row>
    <row r="1112" spans="2:19">
      <c r="B1112" s="1826"/>
      <c r="C1112" s="1827"/>
      <c r="D1112" s="1827"/>
      <c r="E1112" s="1827"/>
      <c r="F1112" s="1827"/>
      <c r="G1112" s="1828"/>
      <c r="H1112" s="1826"/>
      <c r="I1112" s="1827"/>
      <c r="J1112" s="1827"/>
      <c r="K1112" s="1827"/>
      <c r="L1112" s="1827"/>
      <c r="M1112" s="1827"/>
      <c r="N1112" s="1827"/>
      <c r="O1112" s="1827"/>
      <c r="P1112" s="1828"/>
      <c r="Q1112" s="1879"/>
      <c r="R1112" s="1880"/>
      <c r="S1112" s="1881"/>
    </row>
    <row r="1113" spans="2:19">
      <c r="B1113" s="1826"/>
      <c r="C1113" s="1827"/>
      <c r="D1113" s="1827"/>
      <c r="E1113" s="1827"/>
      <c r="F1113" s="1827"/>
      <c r="G1113" s="1828"/>
      <c r="H1113" s="1826"/>
      <c r="I1113" s="1827"/>
      <c r="J1113" s="1827"/>
      <c r="K1113" s="1827"/>
      <c r="L1113" s="1827"/>
      <c r="M1113" s="1827"/>
      <c r="N1113" s="1827"/>
      <c r="O1113" s="1827"/>
      <c r="P1113" s="1828"/>
      <c r="Q1113" s="1879"/>
      <c r="R1113" s="1880"/>
      <c r="S1113" s="1881"/>
    </row>
    <row r="1114" spans="2:19">
      <c r="B1114" s="1826"/>
      <c r="C1114" s="1827"/>
      <c r="D1114" s="1827"/>
      <c r="E1114" s="1827"/>
      <c r="F1114" s="1827"/>
      <c r="G1114" s="1828"/>
      <c r="H1114" s="1826"/>
      <c r="I1114" s="1827"/>
      <c r="J1114" s="1827"/>
      <c r="K1114" s="1827"/>
      <c r="L1114" s="1827"/>
      <c r="M1114" s="1827"/>
      <c r="N1114" s="1827"/>
      <c r="O1114" s="1827"/>
      <c r="P1114" s="1828"/>
      <c r="Q1114" s="1879"/>
      <c r="R1114" s="1880"/>
      <c r="S1114" s="1881"/>
    </row>
    <row r="1115" spans="2:19">
      <c r="B1115" s="1826"/>
      <c r="C1115" s="1827"/>
      <c r="D1115" s="1827"/>
      <c r="E1115" s="1827"/>
      <c r="F1115" s="1827"/>
      <c r="G1115" s="1828"/>
      <c r="H1115" s="1826"/>
      <c r="I1115" s="1827"/>
      <c r="J1115" s="1827"/>
      <c r="K1115" s="1827"/>
      <c r="L1115" s="1827"/>
      <c r="M1115" s="1827"/>
      <c r="N1115" s="1827"/>
      <c r="O1115" s="1827"/>
      <c r="P1115" s="1828"/>
      <c r="Q1115" s="1879"/>
      <c r="R1115" s="1880"/>
      <c r="S1115" s="1881"/>
    </row>
    <row r="1116" spans="2:19">
      <c r="B1116" s="1826"/>
      <c r="C1116" s="1827"/>
      <c r="D1116" s="1827"/>
      <c r="E1116" s="1827"/>
      <c r="F1116" s="1827"/>
      <c r="G1116" s="1828"/>
      <c r="H1116" s="1826"/>
      <c r="I1116" s="1827"/>
      <c r="J1116" s="1827"/>
      <c r="K1116" s="1827"/>
      <c r="L1116" s="1827"/>
      <c r="M1116" s="1827"/>
      <c r="N1116" s="1827"/>
      <c r="O1116" s="1827"/>
      <c r="P1116" s="1828"/>
      <c r="Q1116" s="1879"/>
      <c r="R1116" s="1880"/>
      <c r="S1116" s="1881"/>
    </row>
    <row r="1117" spans="2:19">
      <c r="B1117" s="1826"/>
      <c r="C1117" s="1827"/>
      <c r="D1117" s="1827"/>
      <c r="E1117" s="1827"/>
      <c r="F1117" s="1827"/>
      <c r="G1117" s="1828"/>
      <c r="H1117" s="1826"/>
      <c r="I1117" s="1827"/>
      <c r="J1117" s="1827"/>
      <c r="K1117" s="1827"/>
      <c r="L1117" s="1827"/>
      <c r="M1117" s="1827"/>
      <c r="N1117" s="1827"/>
      <c r="O1117" s="1827"/>
      <c r="P1117" s="1828"/>
      <c r="Q1117" s="1879"/>
      <c r="R1117" s="1880"/>
      <c r="S1117" s="1881"/>
    </row>
    <row r="1118" spans="2:19">
      <c r="B1118" s="1829"/>
      <c r="C1118" s="1830"/>
      <c r="D1118" s="1830"/>
      <c r="E1118" s="1830"/>
      <c r="F1118" s="1830"/>
      <c r="G1118" s="1831"/>
      <c r="H1118" s="1829"/>
      <c r="I1118" s="1830"/>
      <c r="J1118" s="1830"/>
      <c r="K1118" s="1830"/>
      <c r="L1118" s="1830"/>
      <c r="M1118" s="1830"/>
      <c r="N1118" s="1830"/>
      <c r="O1118" s="1830"/>
      <c r="P1118" s="1831"/>
      <c r="Q1118" s="1882"/>
      <c r="R1118" s="1883"/>
      <c r="S1118" s="1884"/>
    </row>
    <row r="1119" spans="2:19">
      <c r="B1119" s="1738" t="s">
        <v>4522</v>
      </c>
      <c r="C1119" s="1738"/>
      <c r="D1119" s="1738"/>
      <c r="E1119" s="1738"/>
      <c r="F1119" s="1738"/>
      <c r="G1119" s="1738"/>
      <c r="H1119" s="1738" t="s">
        <v>4482</v>
      </c>
      <c r="I1119" s="1738"/>
      <c r="J1119" s="1738"/>
      <c r="K1119" s="1738"/>
      <c r="L1119" s="1738"/>
      <c r="M1119" s="1738"/>
      <c r="N1119" s="1738"/>
      <c r="O1119" s="1738"/>
      <c r="P1119" s="1738"/>
      <c r="Q1119" s="1794">
        <v>242.35</v>
      </c>
      <c r="R1119" s="1794"/>
      <c r="S1119" s="1794"/>
    </row>
    <row r="1120" spans="2:19" s="612" customFormat="1" ht="24.95" customHeight="1">
      <c r="B1120" s="1872" t="s">
        <v>4523</v>
      </c>
      <c r="C1120" s="1872"/>
      <c r="D1120" s="1872"/>
      <c r="E1120" s="1872"/>
      <c r="F1120" s="1872"/>
      <c r="G1120" s="1872"/>
      <c r="H1120" s="1872" t="s">
        <v>4524</v>
      </c>
      <c r="I1120" s="1872"/>
      <c r="J1120" s="1872"/>
      <c r="K1120" s="1872"/>
      <c r="L1120" s="1872"/>
      <c r="M1120" s="1872"/>
      <c r="N1120" s="1872"/>
      <c r="O1120" s="1872"/>
      <c r="P1120" s="1872"/>
      <c r="Q1120" s="1889">
        <v>5007.74</v>
      </c>
      <c r="R1120" s="1889"/>
      <c r="S1120" s="1889"/>
    </row>
    <row r="1121" spans="1:19">
      <c r="B1121" s="1738" t="s">
        <v>4525</v>
      </c>
      <c r="C1121" s="1738"/>
      <c r="D1121" s="1738"/>
      <c r="E1121" s="1738"/>
      <c r="F1121" s="1738"/>
      <c r="G1121" s="1738"/>
      <c r="H1121" s="1738"/>
      <c r="I1121" s="1738"/>
      <c r="J1121" s="1738"/>
      <c r="K1121" s="1738"/>
      <c r="L1121" s="1738"/>
      <c r="M1121" s="1738"/>
      <c r="N1121" s="1738"/>
      <c r="O1121" s="1738"/>
      <c r="P1121" s="1738"/>
      <c r="Q1121" s="1794">
        <v>403.91</v>
      </c>
      <c r="R1121" s="1794"/>
      <c r="S1121" s="1794"/>
    </row>
    <row r="1122" spans="1:19">
      <c r="B1122" s="1738" t="s">
        <v>4526</v>
      </c>
      <c r="C1122" s="1738"/>
      <c r="D1122" s="1738"/>
      <c r="E1122" s="1738"/>
      <c r="F1122" s="1738"/>
      <c r="G1122" s="1738"/>
      <c r="H1122" s="1738"/>
      <c r="I1122" s="1738"/>
      <c r="J1122" s="1738"/>
      <c r="K1122" s="1738"/>
      <c r="L1122" s="1738"/>
      <c r="M1122" s="1738"/>
      <c r="N1122" s="1738"/>
      <c r="O1122" s="1738"/>
      <c r="P1122" s="1738"/>
      <c r="Q1122" s="1794">
        <v>242.35</v>
      </c>
      <c r="R1122" s="1794"/>
      <c r="S1122" s="1794"/>
    </row>
    <row r="1123" spans="1:19">
      <c r="B1123" s="1738" t="s">
        <v>4527</v>
      </c>
      <c r="C1123" s="1738"/>
      <c r="D1123" s="1738"/>
      <c r="E1123" s="1738"/>
      <c r="F1123" s="1738"/>
      <c r="G1123" s="1738"/>
      <c r="H1123" s="1738" t="s">
        <v>4402</v>
      </c>
      <c r="I1123" s="1738"/>
      <c r="J1123" s="1738"/>
      <c r="K1123" s="1738"/>
      <c r="L1123" s="1738"/>
      <c r="M1123" s="1738"/>
      <c r="N1123" s="1738"/>
      <c r="O1123" s="1738"/>
      <c r="P1123" s="1738"/>
      <c r="Q1123" s="1794">
        <v>323.13</v>
      </c>
      <c r="R1123" s="1794"/>
      <c r="S1123" s="1794"/>
    </row>
    <row r="1124" spans="1:19">
      <c r="B1124" s="1911" t="s">
        <v>4528</v>
      </c>
      <c r="C1124" s="1912"/>
      <c r="D1124" s="1912"/>
      <c r="E1124" s="1912"/>
      <c r="F1124" s="1912"/>
      <c r="G1124" s="1913"/>
      <c r="H1124" s="1911" t="s">
        <v>4529</v>
      </c>
      <c r="I1124" s="1912"/>
      <c r="J1124" s="1912"/>
      <c r="K1124" s="1912"/>
      <c r="L1124" s="1912"/>
      <c r="M1124" s="1912"/>
      <c r="N1124" s="1912"/>
      <c r="O1124" s="1912"/>
      <c r="P1124" s="1913"/>
      <c r="Q1124" s="1876">
        <v>92.2</v>
      </c>
      <c r="R1124" s="1877"/>
      <c r="S1124" s="1878"/>
    </row>
    <row r="1125" spans="1:19">
      <c r="B1125" s="1933"/>
      <c r="C1125" s="1633"/>
      <c r="D1125" s="1633"/>
      <c r="E1125" s="1633"/>
      <c r="F1125" s="1633"/>
      <c r="G1125" s="1934"/>
      <c r="H1125" s="1933"/>
      <c r="I1125" s="1633"/>
      <c r="J1125" s="1633"/>
      <c r="K1125" s="1633"/>
      <c r="L1125" s="1633"/>
      <c r="M1125" s="1633"/>
      <c r="N1125" s="1633"/>
      <c r="O1125" s="1633"/>
      <c r="P1125" s="1934"/>
      <c r="Q1125" s="1879"/>
      <c r="R1125" s="1880"/>
      <c r="S1125" s="1881"/>
    </row>
    <row r="1126" spans="1:19">
      <c r="B1126" s="1933"/>
      <c r="C1126" s="1633"/>
      <c r="D1126" s="1633"/>
      <c r="E1126" s="1633"/>
      <c r="F1126" s="1633"/>
      <c r="G1126" s="1934"/>
      <c r="H1126" s="1933"/>
      <c r="I1126" s="1633"/>
      <c r="J1126" s="1633"/>
      <c r="K1126" s="1633"/>
      <c r="L1126" s="1633"/>
      <c r="M1126" s="1633"/>
      <c r="N1126" s="1633"/>
      <c r="O1126" s="1633"/>
      <c r="P1126" s="1934"/>
      <c r="Q1126" s="1879"/>
      <c r="R1126" s="1880"/>
      <c r="S1126" s="1881"/>
    </row>
    <row r="1127" spans="1:19">
      <c r="B1127" s="1914"/>
      <c r="C1127" s="1915"/>
      <c r="D1127" s="1915"/>
      <c r="E1127" s="1915"/>
      <c r="F1127" s="1915"/>
      <c r="G1127" s="1916"/>
      <c r="H1127" s="1914"/>
      <c r="I1127" s="1915"/>
      <c r="J1127" s="1915"/>
      <c r="K1127" s="1915"/>
      <c r="L1127" s="1915"/>
      <c r="M1127" s="1915"/>
      <c r="N1127" s="1915"/>
      <c r="O1127" s="1915"/>
      <c r="P1127" s="1916"/>
      <c r="Q1127" s="1882"/>
      <c r="R1127" s="1883"/>
      <c r="S1127" s="1884"/>
    </row>
    <row r="1128" spans="1:19">
      <c r="B1128" s="1738" t="s">
        <v>4530</v>
      </c>
      <c r="C1128" s="1738"/>
      <c r="D1128" s="1738"/>
      <c r="E1128" s="1738"/>
      <c r="F1128" s="1738"/>
      <c r="G1128" s="1738"/>
      <c r="H1128" s="1738" t="s">
        <v>4531</v>
      </c>
      <c r="I1128" s="1738"/>
      <c r="J1128" s="1738"/>
      <c r="K1128" s="1738"/>
      <c r="L1128" s="1738"/>
      <c r="M1128" s="1738"/>
      <c r="N1128" s="1738"/>
      <c r="O1128" s="1738"/>
      <c r="P1128" s="1738"/>
      <c r="Q1128" s="1794">
        <v>28.79</v>
      </c>
      <c r="R1128" s="1794"/>
      <c r="S1128" s="1794"/>
    </row>
    <row r="1129" spans="1:19" s="612" customFormat="1" ht="24.95" customHeight="1">
      <c r="B1129" s="1872" t="s">
        <v>4418</v>
      </c>
      <c r="C1129" s="1872"/>
      <c r="D1129" s="1872"/>
      <c r="E1129" s="1872"/>
      <c r="F1129" s="1872"/>
      <c r="G1129" s="1872"/>
      <c r="H1129" s="1872" t="s">
        <v>4532</v>
      </c>
      <c r="I1129" s="1872"/>
      <c r="J1129" s="1872"/>
      <c r="K1129" s="1872"/>
      <c r="L1129" s="1872"/>
      <c r="M1129" s="1872"/>
      <c r="N1129" s="1872"/>
      <c r="O1129" s="1872"/>
      <c r="P1129" s="1872"/>
      <c r="Q1129" s="1889">
        <v>1090.3800000000001</v>
      </c>
      <c r="R1129" s="1889"/>
      <c r="S1129" s="1889"/>
    </row>
    <row r="1130" spans="1:19" s="612" customFormat="1" ht="24.95" customHeight="1">
      <c r="B1130" s="1873" t="s">
        <v>4479</v>
      </c>
      <c r="C1130" s="1873"/>
      <c r="D1130" s="1873"/>
      <c r="E1130" s="1873"/>
      <c r="F1130" s="1873"/>
      <c r="G1130" s="1873"/>
      <c r="H1130" s="1873" t="s">
        <v>4410</v>
      </c>
      <c r="I1130" s="1873"/>
      <c r="J1130" s="1873"/>
      <c r="K1130" s="1873"/>
      <c r="L1130" s="1873"/>
      <c r="M1130" s="1873"/>
      <c r="N1130" s="1873"/>
      <c r="O1130" s="1873"/>
      <c r="P1130" s="1873"/>
      <c r="Q1130" s="1889">
        <v>3917.36</v>
      </c>
      <c r="R1130" s="1889"/>
      <c r="S1130" s="1889"/>
    </row>
    <row r="1131" spans="1:19">
      <c r="A1131" s="1287" t="s">
        <v>4701</v>
      </c>
      <c r="B1131" s="1216"/>
      <c r="C1131" s="1216"/>
      <c r="D1131" s="1216"/>
      <c r="E1131" s="1216"/>
      <c r="F1131" s="1216"/>
      <c r="G1131" s="1216"/>
      <c r="H1131" s="1216"/>
      <c r="I1131" s="1216"/>
      <c r="J1131" s="1216"/>
      <c r="K1131" s="1216"/>
      <c r="L1131" s="1216"/>
      <c r="M1131" s="1216"/>
      <c r="N1131" s="1216"/>
      <c r="O1131" s="1216"/>
      <c r="P1131" s="1216"/>
      <c r="Q1131" s="1216"/>
      <c r="R1131" s="1216"/>
      <c r="S1131" s="1216"/>
    </row>
    <row r="1132" spans="1:19">
      <c r="A1132" s="1216"/>
      <c r="B1132" s="1216"/>
      <c r="C1132" s="1216"/>
      <c r="D1132" s="1216"/>
      <c r="E1132" s="1216"/>
      <c r="F1132" s="1216"/>
      <c r="G1132" s="1216"/>
      <c r="H1132" s="1216"/>
      <c r="I1132" s="1216"/>
      <c r="J1132" s="1216"/>
      <c r="K1132" s="1216"/>
      <c r="L1132" s="1216"/>
      <c r="M1132" s="1216"/>
      <c r="N1132" s="1216"/>
      <c r="O1132" s="1216"/>
      <c r="P1132" s="1216"/>
      <c r="Q1132" s="1216"/>
      <c r="R1132" s="1216"/>
      <c r="S1132" s="1216"/>
    </row>
    <row r="1133" spans="1:19">
      <c r="A1133" s="1216"/>
      <c r="B1133" s="1216"/>
      <c r="C1133" s="1216"/>
      <c r="D1133" s="1216"/>
      <c r="E1133" s="1216"/>
      <c r="F1133" s="1216"/>
      <c r="G1133" s="1216"/>
      <c r="H1133" s="1216"/>
      <c r="I1133" s="1216"/>
      <c r="J1133" s="1216"/>
      <c r="K1133" s="1216"/>
      <c r="L1133" s="1216"/>
      <c r="M1133" s="1216"/>
      <c r="N1133" s="1216"/>
      <c r="O1133" s="1216"/>
      <c r="P1133" s="1216"/>
      <c r="Q1133" s="1216"/>
      <c r="R1133" s="1216"/>
      <c r="S1133" s="1216"/>
    </row>
    <row r="1134" spans="1:19">
      <c r="A1134" s="99"/>
      <c r="B1134" s="99"/>
      <c r="C1134" s="99"/>
      <c r="D1134" s="99"/>
      <c r="E1134" s="99"/>
      <c r="F1134" s="99"/>
      <c r="G1134" s="99"/>
      <c r="H1134" s="99"/>
      <c r="I1134" s="99"/>
      <c r="J1134" s="99"/>
      <c r="K1134" s="99"/>
      <c r="L1134" s="99"/>
      <c r="M1134" s="99"/>
      <c r="N1134" s="99"/>
      <c r="O1134" s="99"/>
      <c r="P1134" s="99"/>
      <c r="Q1134" s="99"/>
      <c r="R1134" s="99"/>
      <c r="S1134" s="99"/>
    </row>
    <row r="1135" spans="1:19" s="612" customFormat="1" ht="24.95" customHeight="1">
      <c r="B1135" s="1923" t="s">
        <v>4501</v>
      </c>
      <c r="C1135" s="1924"/>
      <c r="D1135" s="1924"/>
      <c r="E1135" s="1924"/>
      <c r="F1135" s="1924"/>
      <c r="G1135" s="1925"/>
      <c r="H1135" s="1885" t="s">
        <v>4387</v>
      </c>
      <c r="I1135" s="1886"/>
      <c r="J1135" s="1886"/>
      <c r="K1135" s="1886"/>
      <c r="L1135" s="1886"/>
      <c r="M1135" s="1886"/>
      <c r="N1135" s="1886"/>
      <c r="O1135" s="1886"/>
      <c r="P1135" s="1887"/>
      <c r="Q1135" s="1885" t="s">
        <v>4388</v>
      </c>
      <c r="R1135" s="1886"/>
      <c r="S1135" s="1887"/>
    </row>
    <row r="1136" spans="1:19">
      <c r="B1136" s="1780" t="s">
        <v>4422</v>
      </c>
      <c r="C1136" s="1780"/>
      <c r="D1136" s="1780"/>
      <c r="E1136" s="1780"/>
      <c r="F1136" s="1780"/>
      <c r="G1136" s="1780"/>
      <c r="H1136" s="1798" t="s">
        <v>4533</v>
      </c>
      <c r="I1136" s="1798"/>
      <c r="J1136" s="1798"/>
      <c r="K1136" s="1798"/>
      <c r="L1136" s="1798"/>
      <c r="M1136" s="1798"/>
      <c r="N1136" s="1798"/>
      <c r="O1136" s="1798"/>
      <c r="P1136" s="1798"/>
      <c r="Q1136" s="1785">
        <v>2994.17</v>
      </c>
      <c r="R1136" s="1785"/>
      <c r="S1136" s="1785"/>
    </row>
    <row r="1137" spans="2:19">
      <c r="B1137" s="1780" t="s">
        <v>4391</v>
      </c>
      <c r="C1137" s="1780"/>
      <c r="D1137" s="1780"/>
      <c r="E1137" s="1780"/>
      <c r="F1137" s="1780"/>
      <c r="G1137" s="1780"/>
      <c r="H1137" s="1798" t="s">
        <v>4534</v>
      </c>
      <c r="I1137" s="1798"/>
      <c r="J1137" s="1798"/>
      <c r="K1137" s="1798"/>
      <c r="L1137" s="1798"/>
      <c r="M1137" s="1798"/>
      <c r="N1137" s="1798"/>
      <c r="O1137" s="1798"/>
      <c r="P1137" s="1798"/>
      <c r="Q1137" s="1785">
        <v>1647.6</v>
      </c>
      <c r="R1137" s="1785"/>
      <c r="S1137" s="1785"/>
    </row>
    <row r="1138" spans="2:19" s="612" customFormat="1" ht="24.95" customHeight="1">
      <c r="B1138" s="1873" t="s">
        <v>4393</v>
      </c>
      <c r="C1138" s="1873"/>
      <c r="D1138" s="1873"/>
      <c r="E1138" s="1873"/>
      <c r="F1138" s="1873"/>
      <c r="G1138" s="1873"/>
      <c r="H1138" s="1873" t="s">
        <v>4394</v>
      </c>
      <c r="I1138" s="1873"/>
      <c r="J1138" s="1873"/>
      <c r="K1138" s="1873"/>
      <c r="L1138" s="1873"/>
      <c r="M1138" s="1873"/>
      <c r="N1138" s="1873"/>
      <c r="O1138" s="1873"/>
      <c r="P1138" s="1873"/>
      <c r="Q1138" s="1875">
        <v>4641.7700000000004</v>
      </c>
      <c r="R1138" s="1875"/>
      <c r="S1138" s="1875"/>
    </row>
    <row r="1139" spans="2:19">
      <c r="B1139" s="1823" t="s">
        <v>4704</v>
      </c>
      <c r="C1139" s="1824"/>
      <c r="D1139" s="1824"/>
      <c r="E1139" s="1824"/>
      <c r="F1139" s="1824"/>
      <c r="G1139" s="1825"/>
      <c r="H1139" s="1823" t="s">
        <v>4705</v>
      </c>
      <c r="I1139" s="1824"/>
      <c r="J1139" s="1824"/>
      <c r="K1139" s="1824"/>
      <c r="L1139" s="1824"/>
      <c r="M1139" s="1824"/>
      <c r="N1139" s="1824"/>
      <c r="O1139" s="1824"/>
      <c r="P1139" s="1825"/>
      <c r="Q1139" s="1935" t="s">
        <v>4535</v>
      </c>
      <c r="R1139" s="1936"/>
      <c r="S1139" s="1937"/>
    </row>
    <row r="1140" spans="2:19">
      <c r="B1140" s="1826"/>
      <c r="C1140" s="1827"/>
      <c r="D1140" s="1827"/>
      <c r="E1140" s="1827"/>
      <c r="F1140" s="1827"/>
      <c r="G1140" s="1828"/>
      <c r="H1140" s="1826"/>
      <c r="I1140" s="1827"/>
      <c r="J1140" s="1827"/>
      <c r="K1140" s="1827"/>
      <c r="L1140" s="1827"/>
      <c r="M1140" s="1827"/>
      <c r="N1140" s="1827"/>
      <c r="O1140" s="1827"/>
      <c r="P1140" s="1828"/>
      <c r="Q1140" s="1938"/>
      <c r="R1140" s="1939"/>
      <c r="S1140" s="1940"/>
    </row>
    <row r="1141" spans="2:19">
      <c r="B1141" s="1826"/>
      <c r="C1141" s="1827"/>
      <c r="D1141" s="1827"/>
      <c r="E1141" s="1827"/>
      <c r="F1141" s="1827"/>
      <c r="G1141" s="1828"/>
      <c r="H1141" s="1826"/>
      <c r="I1141" s="1827"/>
      <c r="J1141" s="1827"/>
      <c r="K1141" s="1827"/>
      <c r="L1141" s="1827"/>
      <c r="M1141" s="1827"/>
      <c r="N1141" s="1827"/>
      <c r="O1141" s="1827"/>
      <c r="P1141" s="1828"/>
      <c r="Q1141" s="1938"/>
      <c r="R1141" s="1939"/>
      <c r="S1141" s="1940"/>
    </row>
    <row r="1142" spans="2:19">
      <c r="B1142" s="1826"/>
      <c r="C1142" s="1827"/>
      <c r="D1142" s="1827"/>
      <c r="E1142" s="1827"/>
      <c r="F1142" s="1827"/>
      <c r="G1142" s="1828"/>
      <c r="H1142" s="1826"/>
      <c r="I1142" s="1827"/>
      <c r="J1142" s="1827"/>
      <c r="K1142" s="1827"/>
      <c r="L1142" s="1827"/>
      <c r="M1142" s="1827"/>
      <c r="N1142" s="1827"/>
      <c r="O1142" s="1827"/>
      <c r="P1142" s="1828"/>
      <c r="Q1142" s="1938"/>
      <c r="R1142" s="1939"/>
      <c r="S1142" s="1940"/>
    </row>
    <row r="1143" spans="2:19">
      <c r="B1143" s="1826"/>
      <c r="C1143" s="1827"/>
      <c r="D1143" s="1827"/>
      <c r="E1143" s="1827"/>
      <c r="F1143" s="1827"/>
      <c r="G1143" s="1828"/>
      <c r="H1143" s="1826"/>
      <c r="I1143" s="1827"/>
      <c r="J1143" s="1827"/>
      <c r="K1143" s="1827"/>
      <c r="L1143" s="1827"/>
      <c r="M1143" s="1827"/>
      <c r="N1143" s="1827"/>
      <c r="O1143" s="1827"/>
      <c r="P1143" s="1828"/>
      <c r="Q1143" s="1938"/>
      <c r="R1143" s="1939"/>
      <c r="S1143" s="1940"/>
    </row>
    <row r="1144" spans="2:19">
      <c r="B1144" s="1826"/>
      <c r="C1144" s="1827"/>
      <c r="D1144" s="1827"/>
      <c r="E1144" s="1827"/>
      <c r="F1144" s="1827"/>
      <c r="G1144" s="1828"/>
      <c r="H1144" s="1826"/>
      <c r="I1144" s="1827"/>
      <c r="J1144" s="1827"/>
      <c r="K1144" s="1827"/>
      <c r="L1144" s="1827"/>
      <c r="M1144" s="1827"/>
      <c r="N1144" s="1827"/>
      <c r="O1144" s="1827"/>
      <c r="P1144" s="1828"/>
      <c r="Q1144" s="1938"/>
      <c r="R1144" s="1939"/>
      <c r="S1144" s="1940"/>
    </row>
    <row r="1145" spans="2:19">
      <c r="B1145" s="1826"/>
      <c r="C1145" s="1827"/>
      <c r="D1145" s="1827"/>
      <c r="E1145" s="1827"/>
      <c r="F1145" s="1827"/>
      <c r="G1145" s="1828"/>
      <c r="H1145" s="1826"/>
      <c r="I1145" s="1827"/>
      <c r="J1145" s="1827"/>
      <c r="K1145" s="1827"/>
      <c r="L1145" s="1827"/>
      <c r="M1145" s="1827"/>
      <c r="N1145" s="1827"/>
      <c r="O1145" s="1827"/>
      <c r="P1145" s="1828"/>
      <c r="Q1145" s="1938"/>
      <c r="R1145" s="1939"/>
      <c r="S1145" s="1940"/>
    </row>
    <row r="1146" spans="2:19">
      <c r="B1146" s="1829"/>
      <c r="C1146" s="1830"/>
      <c r="D1146" s="1830"/>
      <c r="E1146" s="1830"/>
      <c r="F1146" s="1830"/>
      <c r="G1146" s="1831"/>
      <c r="H1146" s="1829"/>
      <c r="I1146" s="1830"/>
      <c r="J1146" s="1830"/>
      <c r="K1146" s="1830"/>
      <c r="L1146" s="1830"/>
      <c r="M1146" s="1830"/>
      <c r="N1146" s="1830"/>
      <c r="O1146" s="1830"/>
      <c r="P1146" s="1831"/>
      <c r="Q1146" s="1941"/>
      <c r="R1146" s="1942"/>
      <c r="S1146" s="1943"/>
    </row>
    <row r="1147" spans="2:19">
      <c r="B1147" s="1738" t="s">
        <v>4536</v>
      </c>
      <c r="C1147" s="1738"/>
      <c r="D1147" s="1738"/>
      <c r="E1147" s="1738"/>
      <c r="F1147" s="1738"/>
      <c r="G1147" s="1738"/>
      <c r="H1147" s="1738" t="s">
        <v>4482</v>
      </c>
      <c r="I1147" s="1738"/>
      <c r="J1147" s="1738"/>
      <c r="K1147" s="1738"/>
      <c r="L1147" s="1738"/>
      <c r="M1147" s="1738"/>
      <c r="N1147" s="1738"/>
      <c r="O1147" s="1738"/>
      <c r="P1147" s="1738"/>
      <c r="Q1147" s="1780">
        <v>242.35</v>
      </c>
      <c r="R1147" s="1780"/>
      <c r="S1147" s="1780"/>
    </row>
    <row r="1148" spans="2:19" s="612" customFormat="1" ht="24.95" customHeight="1">
      <c r="B1148" s="1872" t="s">
        <v>4523</v>
      </c>
      <c r="C1148" s="1872"/>
      <c r="D1148" s="1872"/>
      <c r="E1148" s="1872"/>
      <c r="F1148" s="1872"/>
      <c r="G1148" s="1872"/>
      <c r="H1148" s="1872" t="s">
        <v>4398</v>
      </c>
      <c r="I1148" s="1872"/>
      <c r="J1148" s="1872"/>
      <c r="K1148" s="1872"/>
      <c r="L1148" s="1872"/>
      <c r="M1148" s="1872"/>
      <c r="N1148" s="1872"/>
      <c r="O1148" s="1872"/>
      <c r="P1148" s="1872"/>
      <c r="Q1148" s="1875">
        <v>5288.03</v>
      </c>
      <c r="R1148" s="1875"/>
      <c r="S1148" s="1875"/>
    </row>
    <row r="1149" spans="2:19">
      <c r="B1149" s="1738" t="s">
        <v>4498</v>
      </c>
      <c r="C1149" s="1738"/>
      <c r="D1149" s="1738"/>
      <c r="E1149" s="1738"/>
      <c r="F1149" s="1738"/>
      <c r="G1149" s="1738"/>
      <c r="H1149" s="1738"/>
      <c r="I1149" s="1738"/>
      <c r="J1149" s="1738"/>
      <c r="K1149" s="1738"/>
      <c r="L1149" s="1738"/>
      <c r="M1149" s="1738"/>
      <c r="N1149" s="1738"/>
      <c r="O1149" s="1738"/>
      <c r="P1149" s="1738"/>
      <c r="Q1149" s="1780">
        <v>403.91</v>
      </c>
      <c r="R1149" s="1780"/>
      <c r="S1149" s="1780"/>
    </row>
    <row r="1150" spans="2:19">
      <c r="B1150" s="1738" t="s">
        <v>4469</v>
      </c>
      <c r="C1150" s="1738"/>
      <c r="D1150" s="1738"/>
      <c r="E1150" s="1738"/>
      <c r="F1150" s="1738"/>
      <c r="G1150" s="1738"/>
      <c r="H1150" s="1738"/>
      <c r="I1150" s="1738"/>
      <c r="J1150" s="1738"/>
      <c r="K1150" s="1738"/>
      <c r="L1150" s="1738"/>
      <c r="M1150" s="1738"/>
      <c r="N1150" s="1738"/>
      <c r="O1150" s="1738"/>
      <c r="P1150" s="1738"/>
      <c r="Q1150" s="1780">
        <v>242.35</v>
      </c>
      <c r="R1150" s="1780"/>
      <c r="S1150" s="1780"/>
    </row>
    <row r="1151" spans="2:19">
      <c r="B1151" s="1738" t="s">
        <v>4401</v>
      </c>
      <c r="C1151" s="1738"/>
      <c r="D1151" s="1738"/>
      <c r="E1151" s="1738"/>
      <c r="F1151" s="1738"/>
      <c r="G1151" s="1738"/>
      <c r="H1151" s="1738" t="s">
        <v>4402</v>
      </c>
      <c r="I1151" s="1738"/>
      <c r="J1151" s="1738"/>
      <c r="K1151" s="1738"/>
      <c r="L1151" s="1738"/>
      <c r="M1151" s="1738"/>
      <c r="N1151" s="1738"/>
      <c r="O1151" s="1738"/>
      <c r="P1151" s="1738"/>
      <c r="Q1151" s="1780">
        <v>323.13</v>
      </c>
      <c r="R1151" s="1780"/>
      <c r="S1151" s="1780"/>
    </row>
    <row r="1152" spans="2:19">
      <c r="B1152" s="1911" t="s">
        <v>4484</v>
      </c>
      <c r="C1152" s="1912"/>
      <c r="D1152" s="1912"/>
      <c r="E1152" s="1912"/>
      <c r="F1152" s="1912"/>
      <c r="G1152" s="1913"/>
      <c r="H1152" s="1911" t="s">
        <v>4529</v>
      </c>
      <c r="I1152" s="1912"/>
      <c r="J1152" s="1912"/>
      <c r="K1152" s="1912"/>
      <c r="L1152" s="1912"/>
      <c r="M1152" s="1912"/>
      <c r="N1152" s="1912"/>
      <c r="O1152" s="1912"/>
      <c r="P1152" s="1913"/>
      <c r="Q1152" s="1935" t="s">
        <v>4537</v>
      </c>
      <c r="R1152" s="1936"/>
      <c r="S1152" s="1937"/>
    </row>
    <row r="1153" spans="1:19">
      <c r="B1153" s="1933"/>
      <c r="C1153" s="1633"/>
      <c r="D1153" s="1633"/>
      <c r="E1153" s="1633"/>
      <c r="F1153" s="1633"/>
      <c r="G1153" s="1934"/>
      <c r="H1153" s="1933"/>
      <c r="I1153" s="1633"/>
      <c r="J1153" s="1633"/>
      <c r="K1153" s="1633"/>
      <c r="L1153" s="1633"/>
      <c r="M1153" s="1633"/>
      <c r="N1153" s="1633"/>
      <c r="O1153" s="1633"/>
      <c r="P1153" s="1934"/>
      <c r="Q1153" s="1938"/>
      <c r="R1153" s="1939"/>
      <c r="S1153" s="1940"/>
    </row>
    <row r="1154" spans="1:19">
      <c r="B1154" s="1914"/>
      <c r="C1154" s="1915"/>
      <c r="D1154" s="1915"/>
      <c r="E1154" s="1915"/>
      <c r="F1154" s="1915"/>
      <c r="G1154" s="1916"/>
      <c r="H1154" s="1914"/>
      <c r="I1154" s="1915"/>
      <c r="J1154" s="1915"/>
      <c r="K1154" s="1915"/>
      <c r="L1154" s="1915"/>
      <c r="M1154" s="1915"/>
      <c r="N1154" s="1915"/>
      <c r="O1154" s="1915"/>
      <c r="P1154" s="1916"/>
      <c r="Q1154" s="1941"/>
      <c r="R1154" s="1942"/>
      <c r="S1154" s="1943"/>
    </row>
    <row r="1155" spans="1:19">
      <c r="B1155" s="1738" t="s">
        <v>4405</v>
      </c>
      <c r="C1155" s="1738"/>
      <c r="D1155" s="1738"/>
      <c r="E1155" s="1738"/>
      <c r="F1155" s="1738"/>
      <c r="G1155" s="1738"/>
      <c r="H1155" s="1738" t="s">
        <v>4486</v>
      </c>
      <c r="I1155" s="1738"/>
      <c r="J1155" s="1738"/>
      <c r="K1155" s="1738"/>
      <c r="L1155" s="1738"/>
      <c r="M1155" s="1738"/>
      <c r="N1155" s="1738"/>
      <c r="O1155" s="1738"/>
      <c r="P1155" s="1738"/>
      <c r="Q1155" s="1780">
        <v>30.64</v>
      </c>
      <c r="R1155" s="1780"/>
      <c r="S1155" s="1780"/>
    </row>
    <row r="1156" spans="1:19" s="612" customFormat="1" ht="24.95" customHeight="1">
      <c r="B1156" s="1872" t="s">
        <v>4418</v>
      </c>
      <c r="C1156" s="1872"/>
      <c r="D1156" s="1872"/>
      <c r="E1156" s="1872"/>
      <c r="F1156" s="1872"/>
      <c r="G1156" s="1872"/>
      <c r="H1156" s="1872" t="s">
        <v>4408</v>
      </c>
      <c r="I1156" s="1872"/>
      <c r="J1156" s="1872"/>
      <c r="K1156" s="1872"/>
      <c r="L1156" s="1872"/>
      <c r="M1156" s="1872"/>
      <c r="N1156" s="1872"/>
      <c r="O1156" s="1872"/>
      <c r="P1156" s="1872"/>
      <c r="Q1156" s="1875">
        <v>1488.14</v>
      </c>
      <c r="R1156" s="1875"/>
      <c r="S1156" s="1875"/>
    </row>
    <row r="1157" spans="1:19" s="612" customFormat="1" ht="24.95" customHeight="1">
      <c r="B1157" s="1872" t="s">
        <v>4479</v>
      </c>
      <c r="C1157" s="1872"/>
      <c r="D1157" s="1872"/>
      <c r="E1157" s="1872"/>
      <c r="F1157" s="1872"/>
      <c r="G1157" s="1872"/>
      <c r="H1157" s="1872" t="s">
        <v>4538</v>
      </c>
      <c r="I1157" s="1872"/>
      <c r="J1157" s="1872"/>
      <c r="K1157" s="1872"/>
      <c r="L1157" s="1872"/>
      <c r="M1157" s="1872"/>
      <c r="N1157" s="1872"/>
      <c r="O1157" s="1872"/>
      <c r="P1157" s="1872"/>
      <c r="Q1157" s="1875">
        <v>3799.89</v>
      </c>
      <c r="R1157" s="1875"/>
      <c r="S1157" s="1875"/>
    </row>
    <row r="1160" spans="1:19" ht="12.75" customHeight="1">
      <c r="A1160" s="1287" t="s">
        <v>4706</v>
      </c>
      <c r="B1160" s="1216"/>
      <c r="C1160" s="1216"/>
      <c r="D1160" s="1216"/>
      <c r="E1160" s="1216"/>
      <c r="F1160" s="1216"/>
      <c r="G1160" s="1216"/>
      <c r="H1160" s="1216"/>
      <c r="I1160" s="1216"/>
      <c r="J1160" s="1216"/>
      <c r="K1160" s="1216"/>
      <c r="L1160" s="1216"/>
      <c r="M1160" s="1216"/>
      <c r="N1160" s="1216"/>
      <c r="O1160" s="1216"/>
      <c r="P1160" s="1216"/>
      <c r="Q1160" s="1216"/>
      <c r="R1160" s="1216"/>
      <c r="S1160" s="1216"/>
    </row>
    <row r="1161" spans="1:19" ht="12.75" customHeight="1">
      <c r="A1161" s="1216"/>
      <c r="B1161" s="1216"/>
      <c r="C1161" s="1216"/>
      <c r="D1161" s="1216"/>
      <c r="E1161" s="1216"/>
      <c r="F1161" s="1216"/>
      <c r="G1161" s="1216"/>
      <c r="H1161" s="1216"/>
      <c r="I1161" s="1216"/>
      <c r="J1161" s="1216"/>
      <c r="K1161" s="1216"/>
      <c r="L1161" s="1216"/>
      <c r="M1161" s="1216"/>
      <c r="N1161" s="1216"/>
      <c r="O1161" s="1216"/>
      <c r="P1161" s="1216"/>
      <c r="Q1161" s="1216"/>
      <c r="R1161" s="1216"/>
      <c r="S1161" s="1216"/>
    </row>
    <row r="1162" spans="1:19" ht="12.75" customHeight="1">
      <c r="A1162" s="1216"/>
      <c r="B1162" s="1216"/>
      <c r="C1162" s="1216"/>
      <c r="D1162" s="1216"/>
      <c r="E1162" s="1216"/>
      <c r="F1162" s="1216"/>
      <c r="G1162" s="1216"/>
      <c r="H1162" s="1216"/>
      <c r="I1162" s="1216"/>
      <c r="J1162" s="1216"/>
      <c r="K1162" s="1216"/>
      <c r="L1162" s="1216"/>
      <c r="M1162" s="1216"/>
      <c r="N1162" s="1216"/>
      <c r="O1162" s="1216"/>
      <c r="P1162" s="1216"/>
      <c r="Q1162" s="1216"/>
      <c r="R1162" s="1216"/>
      <c r="S1162" s="1216"/>
    </row>
    <row r="1163" spans="1:19" ht="12.75" customHeight="1">
      <c r="A1163" s="1216"/>
      <c r="B1163" s="1216"/>
      <c r="C1163" s="1216"/>
      <c r="D1163" s="1216"/>
      <c r="E1163" s="1216"/>
      <c r="F1163" s="1216"/>
      <c r="G1163" s="1216"/>
      <c r="H1163" s="1216"/>
      <c r="I1163" s="1216"/>
      <c r="J1163" s="1216"/>
      <c r="K1163" s="1216"/>
      <c r="L1163" s="1216"/>
      <c r="M1163" s="1216"/>
      <c r="N1163" s="1216"/>
      <c r="O1163" s="1216"/>
      <c r="P1163" s="1216"/>
      <c r="Q1163" s="1216"/>
      <c r="R1163" s="1216"/>
      <c r="S1163" s="1216"/>
    </row>
    <row r="1164" spans="1:19">
      <c r="A1164" s="1216"/>
      <c r="B1164" s="1216"/>
      <c r="C1164" s="1216"/>
      <c r="D1164" s="1216"/>
      <c r="E1164" s="1216"/>
      <c r="F1164" s="1216"/>
      <c r="G1164" s="1216"/>
      <c r="H1164" s="1216"/>
      <c r="I1164" s="1216"/>
      <c r="J1164" s="1216"/>
      <c r="K1164" s="1216"/>
      <c r="L1164" s="1216"/>
      <c r="M1164" s="1216"/>
      <c r="N1164" s="1216"/>
      <c r="O1164" s="1216"/>
      <c r="P1164" s="1216"/>
      <c r="Q1164" s="1216"/>
      <c r="R1164" s="1216"/>
      <c r="S1164" s="1216"/>
    </row>
    <row r="1165" spans="1:19">
      <c r="A1165" s="1216"/>
      <c r="B1165" s="1216"/>
      <c r="C1165" s="1216"/>
      <c r="D1165" s="1216"/>
      <c r="E1165" s="1216"/>
      <c r="F1165" s="1216"/>
      <c r="G1165" s="1216"/>
      <c r="H1165" s="1216"/>
      <c r="I1165" s="1216"/>
      <c r="J1165" s="1216"/>
      <c r="K1165" s="1216"/>
      <c r="L1165" s="1216"/>
      <c r="M1165" s="1216"/>
      <c r="N1165" s="1216"/>
      <c r="O1165" s="1216"/>
      <c r="P1165" s="1216"/>
      <c r="Q1165" s="1216"/>
      <c r="R1165" s="1216"/>
      <c r="S1165" s="1216"/>
    </row>
    <row r="1166" spans="1:19">
      <c r="A1166" s="1216"/>
      <c r="B1166" s="1216"/>
      <c r="C1166" s="1216"/>
      <c r="D1166" s="1216"/>
      <c r="E1166" s="1216"/>
      <c r="F1166" s="1216"/>
      <c r="G1166" s="1216"/>
      <c r="H1166" s="1216"/>
      <c r="I1166" s="1216"/>
      <c r="J1166" s="1216"/>
      <c r="K1166" s="1216"/>
      <c r="L1166" s="1216"/>
      <c r="M1166" s="1216"/>
      <c r="N1166" s="1216"/>
      <c r="O1166" s="1216"/>
      <c r="P1166" s="1216"/>
      <c r="Q1166" s="1216"/>
      <c r="R1166" s="1216"/>
      <c r="S1166" s="1216"/>
    </row>
    <row r="1167" spans="1:19">
      <c r="A1167" s="1216"/>
      <c r="B1167" s="1216"/>
      <c r="C1167" s="1216"/>
      <c r="D1167" s="1216"/>
      <c r="E1167" s="1216"/>
      <c r="F1167" s="1216"/>
      <c r="G1167" s="1216"/>
      <c r="H1167" s="1216"/>
      <c r="I1167" s="1216"/>
      <c r="J1167" s="1216"/>
      <c r="K1167" s="1216"/>
      <c r="L1167" s="1216"/>
      <c r="M1167" s="1216"/>
      <c r="N1167" s="1216"/>
      <c r="O1167" s="1216"/>
      <c r="P1167" s="1216"/>
      <c r="Q1167" s="1216"/>
      <c r="R1167" s="1216"/>
      <c r="S1167" s="1216"/>
    </row>
    <row r="1168" spans="1:19">
      <c r="B1168" s="1216" t="s">
        <v>4539</v>
      </c>
      <c r="C1168" s="1216"/>
      <c r="D1168" s="1216"/>
      <c r="E1168" s="1216"/>
      <c r="F1168" s="1216"/>
      <c r="G1168" s="1216"/>
      <c r="H1168" s="1216"/>
      <c r="I1168" s="1216"/>
      <c r="J1168" s="1216"/>
      <c r="K1168" s="1216"/>
      <c r="L1168" s="1216"/>
      <c r="M1168" s="1216"/>
      <c r="N1168" s="1216"/>
      <c r="O1168" s="1216"/>
      <c r="P1168" s="1216"/>
      <c r="Q1168" s="1216"/>
      <c r="R1168" s="1216"/>
      <c r="S1168" s="1216"/>
    </row>
    <row r="1169" spans="1:19" ht="12.75" customHeight="1">
      <c r="A1169" s="1287" t="s">
        <v>4707</v>
      </c>
      <c r="B1169" s="1216"/>
      <c r="C1169" s="1216"/>
      <c r="D1169" s="1216"/>
      <c r="E1169" s="1216"/>
      <c r="F1169" s="1216"/>
      <c r="G1169" s="1216"/>
      <c r="H1169" s="1216"/>
      <c r="I1169" s="1216"/>
      <c r="J1169" s="1216"/>
      <c r="K1169" s="1216"/>
      <c r="L1169" s="1216"/>
      <c r="M1169" s="1216"/>
      <c r="N1169" s="1216"/>
      <c r="O1169" s="1216"/>
      <c r="P1169" s="1216"/>
      <c r="Q1169" s="1216"/>
      <c r="R1169" s="1216"/>
      <c r="S1169" s="1216"/>
    </row>
    <row r="1170" spans="1:19">
      <c r="A1170" s="1216"/>
      <c r="B1170" s="1216"/>
      <c r="C1170" s="1216"/>
      <c r="D1170" s="1216"/>
      <c r="E1170" s="1216"/>
      <c r="F1170" s="1216"/>
      <c r="G1170" s="1216"/>
      <c r="H1170" s="1216"/>
      <c r="I1170" s="1216"/>
      <c r="J1170" s="1216"/>
      <c r="K1170" s="1216"/>
      <c r="L1170" s="1216"/>
      <c r="M1170" s="1216"/>
      <c r="N1170" s="1216"/>
      <c r="O1170" s="1216"/>
      <c r="P1170" s="1216"/>
      <c r="Q1170" s="1216"/>
      <c r="R1170" s="1216"/>
      <c r="S1170" s="1216"/>
    </row>
    <row r="1171" spans="1:19">
      <c r="A1171" s="1216"/>
      <c r="B1171" s="1216"/>
      <c r="C1171" s="1216"/>
      <c r="D1171" s="1216"/>
      <c r="E1171" s="1216"/>
      <c r="F1171" s="1216"/>
      <c r="G1171" s="1216"/>
      <c r="H1171" s="1216"/>
      <c r="I1171" s="1216"/>
      <c r="J1171" s="1216"/>
      <c r="K1171" s="1216"/>
      <c r="L1171" s="1216"/>
      <c r="M1171" s="1216"/>
      <c r="N1171" s="1216"/>
      <c r="O1171" s="1216"/>
      <c r="P1171" s="1216"/>
      <c r="Q1171" s="1216"/>
      <c r="R1171" s="1216"/>
      <c r="S1171" s="1216"/>
    </row>
    <row r="1172" spans="1:19">
      <c r="A1172" s="1216"/>
      <c r="B1172" s="1216"/>
      <c r="C1172" s="1216"/>
      <c r="D1172" s="1216"/>
      <c r="E1172" s="1216"/>
      <c r="F1172" s="1216"/>
      <c r="G1172" s="1216"/>
      <c r="H1172" s="1216"/>
      <c r="I1172" s="1216"/>
      <c r="J1172" s="1216"/>
      <c r="K1172" s="1216"/>
      <c r="L1172" s="1216"/>
      <c r="M1172" s="1216"/>
      <c r="N1172" s="1216"/>
      <c r="O1172" s="1216"/>
      <c r="P1172" s="1216"/>
      <c r="Q1172" s="1216"/>
      <c r="R1172" s="1216"/>
      <c r="S1172" s="1216"/>
    </row>
    <row r="1173" spans="1:19">
      <c r="A1173" s="1216"/>
      <c r="B1173" s="1216"/>
      <c r="C1173" s="1216"/>
      <c r="D1173" s="1216"/>
      <c r="E1173" s="1216"/>
      <c r="F1173" s="1216"/>
      <c r="G1173" s="1216"/>
      <c r="H1173" s="1216"/>
      <c r="I1173" s="1216"/>
      <c r="J1173" s="1216"/>
      <c r="K1173" s="1216"/>
      <c r="L1173" s="1216"/>
      <c r="M1173" s="1216"/>
      <c r="N1173" s="1216"/>
      <c r="O1173" s="1216"/>
      <c r="P1173" s="1216"/>
      <c r="Q1173" s="1216"/>
      <c r="R1173" s="1216"/>
      <c r="S1173" s="1216"/>
    </row>
    <row r="1174" spans="1:19" ht="12.75" customHeight="1">
      <c r="A1174" s="1287" t="s">
        <v>4714</v>
      </c>
      <c r="B1174" s="1216"/>
      <c r="C1174" s="1216"/>
      <c r="D1174" s="1216"/>
      <c r="E1174" s="1216"/>
      <c r="F1174" s="1216"/>
      <c r="G1174" s="1216"/>
      <c r="H1174" s="1216"/>
      <c r="I1174" s="1216"/>
      <c r="J1174" s="1216"/>
      <c r="K1174" s="1216"/>
      <c r="L1174" s="1216"/>
      <c r="M1174" s="1216"/>
      <c r="N1174" s="1216"/>
      <c r="O1174" s="1216"/>
      <c r="P1174" s="1216"/>
      <c r="Q1174" s="1216"/>
      <c r="R1174" s="1216"/>
      <c r="S1174" s="1216"/>
    </row>
    <row r="1175" spans="1:19" ht="12.75" customHeight="1">
      <c r="A1175" s="1216"/>
      <c r="B1175" s="1216"/>
      <c r="C1175" s="1216"/>
      <c r="D1175" s="1216"/>
      <c r="E1175" s="1216"/>
      <c r="F1175" s="1216"/>
      <c r="G1175" s="1216"/>
      <c r="H1175" s="1216"/>
      <c r="I1175" s="1216"/>
      <c r="J1175" s="1216"/>
      <c r="K1175" s="1216"/>
      <c r="L1175" s="1216"/>
      <c r="M1175" s="1216"/>
      <c r="N1175" s="1216"/>
      <c r="O1175" s="1216"/>
      <c r="P1175" s="1216"/>
      <c r="Q1175" s="1216"/>
      <c r="R1175" s="1216"/>
      <c r="S1175" s="1216"/>
    </row>
    <row r="1176" spans="1:19" ht="12.75" customHeight="1">
      <c r="A1176" s="1216"/>
      <c r="B1176" s="1216"/>
      <c r="C1176" s="1216"/>
      <c r="D1176" s="1216"/>
      <c r="E1176" s="1216"/>
      <c r="F1176" s="1216"/>
      <c r="G1176" s="1216"/>
      <c r="H1176" s="1216"/>
      <c r="I1176" s="1216"/>
      <c r="J1176" s="1216"/>
      <c r="K1176" s="1216"/>
      <c r="L1176" s="1216"/>
      <c r="M1176" s="1216"/>
      <c r="N1176" s="1216"/>
      <c r="O1176" s="1216"/>
      <c r="P1176" s="1216"/>
      <c r="Q1176" s="1216"/>
      <c r="R1176" s="1216"/>
      <c r="S1176" s="1216"/>
    </row>
    <row r="1177" spans="1:19" ht="12.75" customHeight="1">
      <c r="A1177" s="1216"/>
      <c r="B1177" s="1216"/>
      <c r="C1177" s="1216"/>
      <c r="D1177" s="1216"/>
      <c r="E1177" s="1216"/>
      <c r="F1177" s="1216"/>
      <c r="G1177" s="1216"/>
      <c r="H1177" s="1216"/>
      <c r="I1177" s="1216"/>
      <c r="J1177" s="1216"/>
      <c r="K1177" s="1216"/>
      <c r="L1177" s="1216"/>
      <c r="M1177" s="1216"/>
      <c r="N1177" s="1216"/>
      <c r="O1177" s="1216"/>
      <c r="P1177" s="1216"/>
      <c r="Q1177" s="1216"/>
      <c r="R1177" s="1216"/>
      <c r="S1177" s="1216"/>
    </row>
    <row r="1178" spans="1:19" ht="12.75" customHeight="1">
      <c r="A1178" s="1287" t="s">
        <v>4715</v>
      </c>
      <c r="B1178" s="1216"/>
      <c r="C1178" s="1216"/>
      <c r="D1178" s="1216"/>
      <c r="E1178" s="1216"/>
      <c r="F1178" s="1216"/>
      <c r="G1178" s="1216"/>
      <c r="H1178" s="1216"/>
      <c r="I1178" s="1216"/>
      <c r="J1178" s="1216"/>
      <c r="K1178" s="1216"/>
      <c r="L1178" s="1216"/>
      <c r="M1178" s="1216"/>
      <c r="N1178" s="1216"/>
      <c r="O1178" s="1216"/>
      <c r="P1178" s="1216"/>
      <c r="Q1178" s="1216"/>
      <c r="R1178" s="1216"/>
      <c r="S1178" s="1216"/>
    </row>
    <row r="1179" spans="1:19" ht="12.75" customHeight="1">
      <c r="A1179" s="1216"/>
      <c r="B1179" s="1216"/>
      <c r="C1179" s="1216"/>
      <c r="D1179" s="1216"/>
      <c r="E1179" s="1216"/>
      <c r="F1179" s="1216"/>
      <c r="G1179" s="1216"/>
      <c r="H1179" s="1216"/>
      <c r="I1179" s="1216"/>
      <c r="J1179" s="1216"/>
      <c r="K1179" s="1216"/>
      <c r="L1179" s="1216"/>
      <c r="M1179" s="1216"/>
      <c r="N1179" s="1216"/>
      <c r="O1179" s="1216"/>
      <c r="P1179" s="1216"/>
      <c r="Q1179" s="1216"/>
      <c r="R1179" s="1216"/>
      <c r="S1179" s="1216"/>
    </row>
    <row r="1180" spans="1:19" ht="12.75" customHeight="1">
      <c r="A1180" s="1216"/>
      <c r="B1180" s="1216"/>
      <c r="C1180" s="1216"/>
      <c r="D1180" s="1216"/>
      <c r="E1180" s="1216"/>
      <c r="F1180" s="1216"/>
      <c r="G1180" s="1216"/>
      <c r="H1180" s="1216"/>
      <c r="I1180" s="1216"/>
      <c r="J1180" s="1216"/>
      <c r="K1180" s="1216"/>
      <c r="L1180" s="1216"/>
      <c r="M1180" s="1216"/>
      <c r="N1180" s="1216"/>
      <c r="O1180" s="1216"/>
      <c r="P1180" s="1216"/>
      <c r="Q1180" s="1216"/>
      <c r="R1180" s="1216"/>
      <c r="S1180" s="1216"/>
    </row>
    <row r="1181" spans="1:19" ht="12.75" customHeight="1">
      <c r="A1181" s="1216"/>
      <c r="B1181" s="1216"/>
      <c r="C1181" s="1216"/>
      <c r="D1181" s="1216"/>
      <c r="E1181" s="1216"/>
      <c r="F1181" s="1216"/>
      <c r="G1181" s="1216"/>
      <c r="H1181" s="1216"/>
      <c r="I1181" s="1216"/>
      <c r="J1181" s="1216"/>
      <c r="K1181" s="1216"/>
      <c r="L1181" s="1216"/>
      <c r="M1181" s="1216"/>
      <c r="N1181" s="1216"/>
      <c r="O1181" s="1216"/>
      <c r="P1181" s="1216"/>
      <c r="Q1181" s="1216"/>
      <c r="R1181" s="1216"/>
      <c r="S1181" s="1216"/>
    </row>
    <row r="1182" spans="1:19" ht="12.75" customHeight="1">
      <c r="A1182" s="1287" t="s">
        <v>4716</v>
      </c>
      <c r="B1182" s="1216"/>
      <c r="C1182" s="1216"/>
      <c r="D1182" s="1216"/>
      <c r="E1182" s="1216"/>
      <c r="F1182" s="1216"/>
      <c r="G1182" s="1216"/>
      <c r="H1182" s="1216"/>
      <c r="I1182" s="1216"/>
      <c r="J1182" s="1216"/>
      <c r="K1182" s="1216"/>
      <c r="L1182" s="1216"/>
      <c r="M1182" s="1216"/>
      <c r="N1182" s="1216"/>
      <c r="O1182" s="1216"/>
      <c r="P1182" s="1216"/>
      <c r="Q1182" s="1216"/>
      <c r="R1182" s="1216"/>
      <c r="S1182" s="1216"/>
    </row>
    <row r="1183" spans="1:19" ht="12.75" customHeight="1">
      <c r="A1183" s="1216"/>
      <c r="B1183" s="1216"/>
      <c r="C1183" s="1216"/>
      <c r="D1183" s="1216"/>
      <c r="E1183" s="1216"/>
      <c r="F1183" s="1216"/>
      <c r="G1183" s="1216"/>
      <c r="H1183" s="1216"/>
      <c r="I1183" s="1216"/>
      <c r="J1183" s="1216"/>
      <c r="K1183" s="1216"/>
      <c r="L1183" s="1216"/>
      <c r="M1183" s="1216"/>
      <c r="N1183" s="1216"/>
      <c r="O1183" s="1216"/>
      <c r="P1183" s="1216"/>
      <c r="Q1183" s="1216"/>
      <c r="R1183" s="1216"/>
      <c r="S1183" s="1216"/>
    </row>
    <row r="1184" spans="1:19" ht="12.75" customHeight="1">
      <c r="A1184" s="1216"/>
      <c r="B1184" s="1216"/>
      <c r="C1184" s="1216"/>
      <c r="D1184" s="1216"/>
      <c r="E1184" s="1216"/>
      <c r="F1184" s="1216"/>
      <c r="G1184" s="1216"/>
      <c r="H1184" s="1216"/>
      <c r="I1184" s="1216"/>
      <c r="J1184" s="1216"/>
      <c r="K1184" s="1216"/>
      <c r="L1184" s="1216"/>
      <c r="M1184" s="1216"/>
      <c r="N1184" s="1216"/>
      <c r="O1184" s="1216"/>
      <c r="P1184" s="1216"/>
      <c r="Q1184" s="1216"/>
      <c r="R1184" s="1216"/>
      <c r="S1184" s="1216"/>
    </row>
    <row r="1185" spans="1:19" ht="12.75" customHeight="1">
      <c r="A1185" s="1216"/>
      <c r="B1185" s="1216"/>
      <c r="C1185" s="1216"/>
      <c r="D1185" s="1216"/>
      <c r="E1185" s="1216"/>
      <c r="F1185" s="1216"/>
      <c r="G1185" s="1216"/>
      <c r="H1185" s="1216"/>
      <c r="I1185" s="1216"/>
      <c r="J1185" s="1216"/>
      <c r="K1185" s="1216"/>
      <c r="L1185" s="1216"/>
      <c r="M1185" s="1216"/>
      <c r="N1185" s="1216"/>
      <c r="O1185" s="1216"/>
      <c r="P1185" s="1216"/>
      <c r="Q1185" s="1216"/>
      <c r="R1185" s="1216"/>
      <c r="S1185" s="1216"/>
    </row>
    <row r="1186" spans="1:19" ht="12.75" customHeight="1">
      <c r="A1186" s="1216"/>
      <c r="B1186" s="1216"/>
      <c r="C1186" s="1216"/>
      <c r="D1186" s="1216"/>
      <c r="E1186" s="1216"/>
      <c r="F1186" s="1216"/>
      <c r="G1186" s="1216"/>
      <c r="H1186" s="1216"/>
      <c r="I1186" s="1216"/>
      <c r="J1186" s="1216"/>
      <c r="K1186" s="1216"/>
      <c r="L1186" s="1216"/>
      <c r="M1186" s="1216"/>
      <c r="N1186" s="1216"/>
      <c r="O1186" s="1216"/>
      <c r="P1186" s="1216"/>
      <c r="Q1186" s="1216"/>
      <c r="R1186" s="1216"/>
      <c r="S1186" s="1216"/>
    </row>
    <row r="1187" spans="1:19" ht="12.75" customHeight="1">
      <c r="A1187" s="1216"/>
      <c r="B1187" s="1216"/>
      <c r="C1187" s="1216"/>
      <c r="D1187" s="1216"/>
      <c r="E1187" s="1216"/>
      <c r="F1187" s="1216"/>
      <c r="G1187" s="1216"/>
      <c r="H1187" s="1216"/>
      <c r="I1187" s="1216"/>
      <c r="J1187" s="1216"/>
      <c r="K1187" s="1216"/>
      <c r="L1187" s="1216"/>
      <c r="M1187" s="1216"/>
      <c r="N1187" s="1216"/>
      <c r="O1187" s="1216"/>
      <c r="P1187" s="1216"/>
      <c r="Q1187" s="1216"/>
      <c r="R1187" s="1216"/>
      <c r="S1187" s="1216"/>
    </row>
    <row r="1188" spans="1:19" ht="12.75" customHeight="1">
      <c r="A1188" s="1216"/>
      <c r="B1188" s="1216"/>
      <c r="C1188" s="1216"/>
      <c r="D1188" s="1216"/>
      <c r="E1188" s="1216"/>
      <c r="F1188" s="1216"/>
      <c r="G1188" s="1216"/>
      <c r="H1188" s="1216"/>
      <c r="I1188" s="1216"/>
      <c r="J1188" s="1216"/>
      <c r="K1188" s="1216"/>
      <c r="L1188" s="1216"/>
      <c r="M1188" s="1216"/>
      <c r="N1188" s="1216"/>
      <c r="O1188" s="1216"/>
      <c r="P1188" s="1216"/>
      <c r="Q1188" s="1216"/>
      <c r="R1188" s="1216"/>
      <c r="S1188" s="1216"/>
    </row>
    <row r="1189" spans="1:19" ht="12.75" customHeight="1">
      <c r="A1189" s="1216"/>
      <c r="B1189" s="1216"/>
      <c r="C1189" s="1216"/>
      <c r="D1189" s="1216"/>
      <c r="E1189" s="1216"/>
      <c r="F1189" s="1216"/>
      <c r="G1189" s="1216"/>
      <c r="H1189" s="1216"/>
      <c r="I1189" s="1216"/>
      <c r="J1189" s="1216"/>
      <c r="K1189" s="1216"/>
      <c r="L1189" s="1216"/>
      <c r="M1189" s="1216"/>
      <c r="N1189" s="1216"/>
      <c r="O1189" s="1216"/>
      <c r="P1189" s="1216"/>
      <c r="Q1189" s="1216"/>
      <c r="R1189" s="1216"/>
      <c r="S1189" s="1216"/>
    </row>
    <row r="1190" spans="1:19" ht="12.75" customHeight="1">
      <c r="A1190" s="1216"/>
      <c r="B1190" s="1216"/>
      <c r="C1190" s="1216"/>
      <c r="D1190" s="1216"/>
      <c r="E1190" s="1216"/>
      <c r="F1190" s="1216"/>
      <c r="G1190" s="1216"/>
      <c r="H1190" s="1216"/>
      <c r="I1190" s="1216"/>
      <c r="J1190" s="1216"/>
      <c r="K1190" s="1216"/>
      <c r="L1190" s="1216"/>
      <c r="M1190" s="1216"/>
      <c r="N1190" s="1216"/>
      <c r="O1190" s="1216"/>
      <c r="P1190" s="1216"/>
      <c r="Q1190" s="1216"/>
      <c r="R1190" s="1216"/>
      <c r="S1190" s="1216"/>
    </row>
    <row r="1191" spans="1:19" ht="12.75" customHeight="1">
      <c r="A1191" s="1216"/>
      <c r="B1191" s="1216"/>
      <c r="C1191" s="1216"/>
      <c r="D1191" s="1216"/>
      <c r="E1191" s="1216"/>
      <c r="F1191" s="1216"/>
      <c r="G1191" s="1216"/>
      <c r="H1191" s="1216"/>
      <c r="I1191" s="1216"/>
      <c r="J1191" s="1216"/>
      <c r="K1191" s="1216"/>
      <c r="L1191" s="1216"/>
      <c r="M1191" s="1216"/>
      <c r="N1191" s="1216"/>
      <c r="O1191" s="1216"/>
      <c r="P1191" s="1216"/>
      <c r="Q1191" s="1216"/>
      <c r="R1191" s="1216"/>
      <c r="S1191" s="1216"/>
    </row>
    <row r="1192" spans="1:19" ht="12.75" customHeight="1">
      <c r="A1192" s="1287" t="s">
        <v>4717</v>
      </c>
      <c r="B1192" s="1216"/>
      <c r="C1192" s="1216"/>
      <c r="D1192" s="1216"/>
      <c r="E1192" s="1216"/>
      <c r="F1192" s="1216"/>
      <c r="G1192" s="1216"/>
      <c r="H1192" s="1216"/>
      <c r="I1192" s="1216"/>
      <c r="J1192" s="1216"/>
      <c r="K1192" s="1216"/>
      <c r="L1192" s="1216"/>
      <c r="M1192" s="1216"/>
      <c r="N1192" s="1216"/>
      <c r="O1192" s="1216"/>
      <c r="P1192" s="1216"/>
      <c r="Q1192" s="1216"/>
      <c r="R1192" s="1216"/>
      <c r="S1192" s="1216"/>
    </row>
    <row r="1193" spans="1:19" ht="12.75" customHeight="1">
      <c r="A1193" s="1216"/>
      <c r="B1193" s="1216"/>
      <c r="C1193" s="1216"/>
      <c r="D1193" s="1216"/>
      <c r="E1193" s="1216"/>
      <c r="F1193" s="1216"/>
      <c r="G1193" s="1216"/>
      <c r="H1193" s="1216"/>
      <c r="I1193" s="1216"/>
      <c r="J1193" s="1216"/>
      <c r="K1193" s="1216"/>
      <c r="L1193" s="1216"/>
      <c r="M1193" s="1216"/>
      <c r="N1193" s="1216"/>
      <c r="O1193" s="1216"/>
      <c r="P1193" s="1216"/>
      <c r="Q1193" s="1216"/>
      <c r="R1193" s="1216"/>
      <c r="S1193" s="1216"/>
    </row>
    <row r="1194" spans="1:19" ht="12.75" customHeight="1">
      <c r="A1194" s="1216"/>
      <c r="B1194" s="1216"/>
      <c r="C1194" s="1216"/>
      <c r="D1194" s="1216"/>
      <c r="E1194" s="1216"/>
      <c r="F1194" s="1216"/>
      <c r="G1194" s="1216"/>
      <c r="H1194" s="1216"/>
      <c r="I1194" s="1216"/>
      <c r="J1194" s="1216"/>
      <c r="K1194" s="1216"/>
      <c r="L1194" s="1216"/>
      <c r="M1194" s="1216"/>
      <c r="N1194" s="1216"/>
      <c r="O1194" s="1216"/>
      <c r="P1194" s="1216"/>
      <c r="Q1194" s="1216"/>
      <c r="R1194" s="1216"/>
      <c r="S1194" s="1216"/>
    </row>
    <row r="1195" spans="1:19" ht="12.75" customHeight="1">
      <c r="A1195" s="1216"/>
      <c r="B1195" s="1216"/>
      <c r="C1195" s="1216"/>
      <c r="D1195" s="1216"/>
      <c r="E1195" s="1216"/>
      <c r="F1195" s="1216"/>
      <c r="G1195" s="1216"/>
      <c r="H1195" s="1216"/>
      <c r="I1195" s="1216"/>
      <c r="J1195" s="1216"/>
      <c r="K1195" s="1216"/>
      <c r="L1195" s="1216"/>
      <c r="M1195" s="1216"/>
      <c r="N1195" s="1216"/>
      <c r="O1195" s="1216"/>
      <c r="P1195" s="1216"/>
      <c r="Q1195" s="1216"/>
      <c r="R1195" s="1216"/>
      <c r="S1195" s="1216"/>
    </row>
    <row r="1196" spans="1:19" ht="12.75" customHeight="1">
      <c r="A1196" s="1216"/>
      <c r="B1196" s="1216"/>
      <c r="C1196" s="1216"/>
      <c r="D1196" s="1216"/>
      <c r="E1196" s="1216"/>
      <c r="F1196" s="1216"/>
      <c r="G1196" s="1216"/>
      <c r="H1196" s="1216"/>
      <c r="I1196" s="1216"/>
      <c r="J1196" s="1216"/>
      <c r="K1196" s="1216"/>
      <c r="L1196" s="1216"/>
      <c r="M1196" s="1216"/>
      <c r="N1196" s="1216"/>
      <c r="O1196" s="1216"/>
      <c r="P1196" s="1216"/>
      <c r="Q1196" s="1216"/>
      <c r="R1196" s="1216"/>
      <c r="S1196" s="1216"/>
    </row>
    <row r="1197" spans="1:19" ht="12.75" customHeight="1">
      <c r="A1197" s="1216"/>
      <c r="B1197" s="1216"/>
      <c r="C1197" s="1216"/>
      <c r="D1197" s="1216"/>
      <c r="E1197" s="1216"/>
      <c r="F1197" s="1216"/>
      <c r="G1197" s="1216"/>
      <c r="H1197" s="1216"/>
      <c r="I1197" s="1216"/>
      <c r="J1197" s="1216"/>
      <c r="K1197" s="1216"/>
      <c r="L1197" s="1216"/>
      <c r="M1197" s="1216"/>
      <c r="N1197" s="1216"/>
      <c r="O1197" s="1216"/>
      <c r="P1197" s="1216"/>
      <c r="Q1197" s="1216"/>
      <c r="R1197" s="1216"/>
      <c r="S1197" s="1216"/>
    </row>
    <row r="1198" spans="1:19" ht="12.75" customHeight="1">
      <c r="A1198" s="1216"/>
      <c r="B1198" s="1216"/>
      <c r="C1198" s="1216"/>
      <c r="D1198" s="1216"/>
      <c r="E1198" s="1216"/>
      <c r="F1198" s="1216"/>
      <c r="G1198" s="1216"/>
      <c r="H1198" s="1216"/>
      <c r="I1198" s="1216"/>
      <c r="J1198" s="1216"/>
      <c r="K1198" s="1216"/>
      <c r="L1198" s="1216"/>
      <c r="M1198" s="1216"/>
      <c r="N1198" s="1216"/>
      <c r="O1198" s="1216"/>
      <c r="P1198" s="1216"/>
      <c r="Q1198" s="1216"/>
      <c r="R1198" s="1216"/>
      <c r="S1198" s="1216"/>
    </row>
    <row r="1199" spans="1:19" ht="12.75" customHeight="1">
      <c r="A1199" s="1287" t="s">
        <v>4718</v>
      </c>
      <c r="B1199" s="1216"/>
      <c r="C1199" s="1216"/>
      <c r="D1199" s="1216"/>
      <c r="E1199" s="1216"/>
      <c r="F1199" s="1216"/>
      <c r="G1199" s="1216"/>
      <c r="H1199" s="1216"/>
      <c r="I1199" s="1216"/>
      <c r="J1199" s="1216"/>
      <c r="K1199" s="1216"/>
      <c r="L1199" s="1216"/>
      <c r="M1199" s="1216"/>
      <c r="N1199" s="1216"/>
      <c r="O1199" s="1216"/>
      <c r="P1199" s="1216"/>
      <c r="Q1199" s="1216"/>
      <c r="R1199" s="1216"/>
      <c r="S1199" s="1216"/>
    </row>
    <row r="1200" spans="1:19" ht="12.75" customHeight="1">
      <c r="A1200" s="1216"/>
      <c r="B1200" s="1216"/>
      <c r="C1200" s="1216"/>
      <c r="D1200" s="1216"/>
      <c r="E1200" s="1216"/>
      <c r="F1200" s="1216"/>
      <c r="G1200" s="1216"/>
      <c r="H1200" s="1216"/>
      <c r="I1200" s="1216"/>
      <c r="J1200" s="1216"/>
      <c r="K1200" s="1216"/>
      <c r="L1200" s="1216"/>
      <c r="M1200" s="1216"/>
      <c r="N1200" s="1216"/>
      <c r="O1200" s="1216"/>
      <c r="P1200" s="1216"/>
      <c r="Q1200" s="1216"/>
      <c r="R1200" s="1216"/>
      <c r="S1200" s="1216"/>
    </row>
    <row r="1201" spans="1:19" ht="12.75" customHeight="1">
      <c r="A1201" s="1216"/>
      <c r="B1201" s="1216"/>
      <c r="C1201" s="1216"/>
      <c r="D1201" s="1216"/>
      <c r="E1201" s="1216"/>
      <c r="F1201" s="1216"/>
      <c r="G1201" s="1216"/>
      <c r="H1201" s="1216"/>
      <c r="I1201" s="1216"/>
      <c r="J1201" s="1216"/>
      <c r="K1201" s="1216"/>
      <c r="L1201" s="1216"/>
      <c r="M1201" s="1216"/>
      <c r="N1201" s="1216"/>
      <c r="O1201" s="1216"/>
      <c r="P1201" s="1216"/>
      <c r="Q1201" s="1216"/>
      <c r="R1201" s="1216"/>
      <c r="S1201" s="1216"/>
    </row>
    <row r="1202" spans="1:19" ht="12.75" customHeight="1">
      <c r="A1202" s="1216"/>
      <c r="B1202" s="1216"/>
      <c r="C1202" s="1216"/>
      <c r="D1202" s="1216"/>
      <c r="E1202" s="1216"/>
      <c r="F1202" s="1216"/>
      <c r="G1202" s="1216"/>
      <c r="H1202" s="1216"/>
      <c r="I1202" s="1216"/>
      <c r="J1202" s="1216"/>
      <c r="K1202" s="1216"/>
      <c r="L1202" s="1216"/>
      <c r="M1202" s="1216"/>
      <c r="N1202" s="1216"/>
      <c r="O1202" s="1216"/>
      <c r="P1202" s="1216"/>
      <c r="Q1202" s="1216"/>
      <c r="R1202" s="1216"/>
      <c r="S1202" s="1216"/>
    </row>
    <row r="1203" spans="1:19" ht="12.75" customHeight="1">
      <c r="A1203" s="1216"/>
      <c r="B1203" s="1216"/>
      <c r="C1203" s="1216"/>
      <c r="D1203" s="1216"/>
      <c r="E1203" s="1216"/>
      <c r="F1203" s="1216"/>
      <c r="G1203" s="1216"/>
      <c r="H1203" s="1216"/>
      <c r="I1203" s="1216"/>
      <c r="J1203" s="1216"/>
      <c r="K1203" s="1216"/>
      <c r="L1203" s="1216"/>
      <c r="M1203" s="1216"/>
      <c r="N1203" s="1216"/>
      <c r="O1203" s="1216"/>
      <c r="P1203" s="1216"/>
      <c r="Q1203" s="1216"/>
      <c r="R1203" s="1216"/>
      <c r="S1203" s="1216"/>
    </row>
    <row r="1204" spans="1:19" ht="12.75" customHeight="1">
      <c r="A1204" s="1287" t="s">
        <v>4719</v>
      </c>
      <c r="B1204" s="1216"/>
      <c r="C1204" s="1216"/>
      <c r="D1204" s="1216"/>
      <c r="E1204" s="1216"/>
      <c r="F1204" s="1216"/>
      <c r="G1204" s="1216"/>
      <c r="H1204" s="1216"/>
      <c r="I1204" s="1216"/>
      <c r="J1204" s="1216"/>
      <c r="K1204" s="1216"/>
      <c r="L1204" s="1216"/>
      <c r="M1204" s="1216"/>
      <c r="N1204" s="1216"/>
      <c r="O1204" s="1216"/>
      <c r="P1204" s="1216"/>
      <c r="Q1204" s="1216"/>
      <c r="R1204" s="1216"/>
      <c r="S1204" s="1216"/>
    </row>
    <row r="1205" spans="1:19" ht="12.75" customHeight="1">
      <c r="A1205" s="1216"/>
      <c r="B1205" s="1216"/>
      <c r="C1205" s="1216"/>
      <c r="D1205" s="1216"/>
      <c r="E1205" s="1216"/>
      <c r="F1205" s="1216"/>
      <c r="G1205" s="1216"/>
      <c r="H1205" s="1216"/>
      <c r="I1205" s="1216"/>
      <c r="J1205" s="1216"/>
      <c r="K1205" s="1216"/>
      <c r="L1205" s="1216"/>
      <c r="M1205" s="1216"/>
      <c r="N1205" s="1216"/>
      <c r="O1205" s="1216"/>
      <c r="P1205" s="1216"/>
      <c r="Q1205" s="1216"/>
      <c r="R1205" s="1216"/>
      <c r="S1205" s="1216"/>
    </row>
    <row r="1206" spans="1:19" ht="12.75" customHeight="1">
      <c r="A1206" s="1216"/>
      <c r="B1206" s="1216"/>
      <c r="C1206" s="1216"/>
      <c r="D1206" s="1216"/>
      <c r="E1206" s="1216"/>
      <c r="F1206" s="1216"/>
      <c r="G1206" s="1216"/>
      <c r="H1206" s="1216"/>
      <c r="I1206" s="1216"/>
      <c r="J1206" s="1216"/>
      <c r="K1206" s="1216"/>
      <c r="L1206" s="1216"/>
      <c r="M1206" s="1216"/>
      <c r="N1206" s="1216"/>
      <c r="O1206" s="1216"/>
      <c r="P1206" s="1216"/>
      <c r="Q1206" s="1216"/>
      <c r="R1206" s="1216"/>
      <c r="S1206" s="1216"/>
    </row>
    <row r="1207" spans="1:19" ht="12.75" customHeight="1">
      <c r="A1207" s="1287" t="s">
        <v>4720</v>
      </c>
      <c r="B1207" s="1216"/>
      <c r="C1207" s="1216"/>
      <c r="D1207" s="1216"/>
      <c r="E1207" s="1216"/>
      <c r="F1207" s="1216"/>
      <c r="G1207" s="1216"/>
      <c r="H1207" s="1216"/>
      <c r="I1207" s="1216"/>
      <c r="J1207" s="1216"/>
      <c r="K1207" s="1216"/>
      <c r="L1207" s="1216"/>
      <c r="M1207" s="1216"/>
      <c r="N1207" s="1216"/>
      <c r="O1207" s="1216"/>
      <c r="P1207" s="1216"/>
      <c r="Q1207" s="1216"/>
      <c r="R1207" s="1216"/>
      <c r="S1207" s="1216"/>
    </row>
    <row r="1208" spans="1:19" ht="12.75" customHeight="1">
      <c r="A1208" s="1216"/>
      <c r="B1208" s="1216"/>
      <c r="C1208" s="1216"/>
      <c r="D1208" s="1216"/>
      <c r="E1208" s="1216"/>
      <c r="F1208" s="1216"/>
      <c r="G1208" s="1216"/>
      <c r="H1208" s="1216"/>
      <c r="I1208" s="1216"/>
      <c r="J1208" s="1216"/>
      <c r="K1208" s="1216"/>
      <c r="L1208" s="1216"/>
      <c r="M1208" s="1216"/>
      <c r="N1208" s="1216"/>
      <c r="O1208" s="1216"/>
      <c r="P1208" s="1216"/>
      <c r="Q1208" s="1216"/>
      <c r="R1208" s="1216"/>
      <c r="S1208" s="1216"/>
    </row>
    <row r="1209" spans="1:19" ht="12.75" customHeight="1">
      <c r="A1209" s="1216"/>
      <c r="B1209" s="1216"/>
      <c r="C1209" s="1216"/>
      <c r="D1209" s="1216"/>
      <c r="E1209" s="1216"/>
      <c r="F1209" s="1216"/>
      <c r="G1209" s="1216"/>
      <c r="H1209" s="1216"/>
      <c r="I1209" s="1216"/>
      <c r="J1209" s="1216"/>
      <c r="K1209" s="1216"/>
      <c r="L1209" s="1216"/>
      <c r="M1209" s="1216"/>
      <c r="N1209" s="1216"/>
      <c r="O1209" s="1216"/>
      <c r="P1209" s="1216"/>
      <c r="Q1209" s="1216"/>
      <c r="R1209" s="1216"/>
      <c r="S1209" s="1216"/>
    </row>
    <row r="1210" spans="1:19" ht="12.75" customHeight="1">
      <c r="A1210" s="1216"/>
      <c r="B1210" s="1216"/>
      <c r="C1210" s="1216"/>
      <c r="D1210" s="1216"/>
      <c r="E1210" s="1216"/>
      <c r="F1210" s="1216"/>
      <c r="G1210" s="1216"/>
      <c r="H1210" s="1216"/>
      <c r="I1210" s="1216"/>
      <c r="J1210" s="1216"/>
      <c r="K1210" s="1216"/>
      <c r="L1210" s="1216"/>
      <c r="M1210" s="1216"/>
      <c r="N1210" s="1216"/>
      <c r="O1210" s="1216"/>
      <c r="P1210" s="1216"/>
      <c r="Q1210" s="1216"/>
      <c r="R1210" s="1216"/>
      <c r="S1210" s="1216"/>
    </row>
    <row r="1211" spans="1:19" ht="12.75" customHeight="1">
      <c r="A1211" s="1216"/>
      <c r="B1211" s="1216"/>
      <c r="C1211" s="1216"/>
      <c r="D1211" s="1216"/>
      <c r="E1211" s="1216"/>
      <c r="F1211" s="1216"/>
      <c r="G1211" s="1216"/>
      <c r="H1211" s="1216"/>
      <c r="I1211" s="1216"/>
      <c r="J1211" s="1216"/>
      <c r="K1211" s="1216"/>
      <c r="L1211" s="1216"/>
      <c r="M1211" s="1216"/>
      <c r="N1211" s="1216"/>
      <c r="O1211" s="1216"/>
      <c r="P1211" s="1216"/>
      <c r="Q1211" s="1216"/>
      <c r="R1211" s="1216"/>
      <c r="S1211" s="1216"/>
    </row>
    <row r="1212" spans="1:19" ht="12.75" customHeight="1">
      <c r="A1212" s="1216"/>
      <c r="B1212" s="1216"/>
      <c r="C1212" s="1216"/>
      <c r="D1212" s="1216"/>
      <c r="E1212" s="1216"/>
      <c r="F1212" s="1216"/>
      <c r="G1212" s="1216"/>
      <c r="H1212" s="1216"/>
      <c r="I1212" s="1216"/>
      <c r="J1212" s="1216"/>
      <c r="K1212" s="1216"/>
      <c r="L1212" s="1216"/>
      <c r="M1212" s="1216"/>
      <c r="N1212" s="1216"/>
      <c r="O1212" s="1216"/>
      <c r="P1212" s="1216"/>
      <c r="Q1212" s="1216"/>
      <c r="R1212" s="1216"/>
      <c r="S1212" s="1216"/>
    </row>
    <row r="1213" spans="1:19" ht="12.75" customHeight="1">
      <c r="A1213" s="1216"/>
      <c r="B1213" s="1216"/>
      <c r="C1213" s="1216"/>
      <c r="D1213" s="1216"/>
      <c r="E1213" s="1216"/>
      <c r="F1213" s="1216"/>
      <c r="G1213" s="1216"/>
      <c r="H1213" s="1216"/>
      <c r="I1213" s="1216"/>
      <c r="J1213" s="1216"/>
      <c r="K1213" s="1216"/>
      <c r="L1213" s="1216"/>
      <c r="M1213" s="1216"/>
      <c r="N1213" s="1216"/>
      <c r="O1213" s="1216"/>
      <c r="P1213" s="1216"/>
      <c r="Q1213" s="1216"/>
      <c r="R1213" s="1216"/>
      <c r="S1213" s="1216"/>
    </row>
    <row r="1214" spans="1:19" ht="12.75" customHeight="1">
      <c r="A1214" s="1216"/>
      <c r="B1214" s="1216"/>
      <c r="C1214" s="1216"/>
      <c r="D1214" s="1216"/>
      <c r="E1214" s="1216"/>
      <c r="F1214" s="1216"/>
      <c r="G1214" s="1216"/>
      <c r="H1214" s="1216"/>
      <c r="I1214" s="1216"/>
      <c r="J1214" s="1216"/>
      <c r="K1214" s="1216"/>
      <c r="L1214" s="1216"/>
      <c r="M1214" s="1216"/>
      <c r="N1214" s="1216"/>
      <c r="O1214" s="1216"/>
      <c r="P1214" s="1216"/>
      <c r="Q1214" s="1216"/>
      <c r="R1214" s="1216"/>
      <c r="S1214" s="1216"/>
    </row>
    <row r="1215" spans="1:19" ht="12.75" customHeight="1">
      <c r="A1215" s="1216"/>
      <c r="B1215" s="1216"/>
      <c r="C1215" s="1216"/>
      <c r="D1215" s="1216"/>
      <c r="E1215" s="1216"/>
      <c r="F1215" s="1216"/>
      <c r="G1215" s="1216"/>
      <c r="H1215" s="1216"/>
      <c r="I1215" s="1216"/>
      <c r="J1215" s="1216"/>
      <c r="K1215" s="1216"/>
      <c r="L1215" s="1216"/>
      <c r="M1215" s="1216"/>
      <c r="N1215" s="1216"/>
      <c r="O1215" s="1216"/>
      <c r="P1215" s="1216"/>
      <c r="Q1215" s="1216"/>
      <c r="R1215" s="1216"/>
      <c r="S1215" s="1216"/>
    </row>
    <row r="1216" spans="1:19" ht="12.75" customHeight="1">
      <c r="A1216" s="1287" t="s">
        <v>4721</v>
      </c>
      <c r="B1216" s="1216"/>
      <c r="C1216" s="1216"/>
      <c r="D1216" s="1216"/>
      <c r="E1216" s="1216"/>
      <c r="F1216" s="1216"/>
      <c r="G1216" s="1216"/>
      <c r="H1216" s="1216"/>
      <c r="I1216" s="1216"/>
      <c r="J1216" s="1216"/>
      <c r="K1216" s="1216"/>
      <c r="L1216" s="1216"/>
      <c r="M1216" s="1216"/>
      <c r="N1216" s="1216"/>
      <c r="O1216" s="1216"/>
      <c r="P1216" s="1216"/>
      <c r="Q1216" s="1216"/>
      <c r="R1216" s="1216"/>
      <c r="S1216" s="1216"/>
    </row>
    <row r="1217" spans="1:19" ht="12.75" customHeight="1">
      <c r="A1217" s="1216"/>
      <c r="B1217" s="1216"/>
      <c r="C1217" s="1216"/>
      <c r="D1217" s="1216"/>
      <c r="E1217" s="1216"/>
      <c r="F1217" s="1216"/>
      <c r="G1217" s="1216"/>
      <c r="H1217" s="1216"/>
      <c r="I1217" s="1216"/>
      <c r="J1217" s="1216"/>
      <c r="K1217" s="1216"/>
      <c r="L1217" s="1216"/>
      <c r="M1217" s="1216"/>
      <c r="N1217" s="1216"/>
      <c r="O1217" s="1216"/>
      <c r="P1217" s="1216"/>
      <c r="Q1217" s="1216"/>
      <c r="R1217" s="1216"/>
      <c r="S1217" s="1216"/>
    </row>
    <row r="1218" spans="1:19" ht="12.75" customHeight="1">
      <c r="A1218" s="1216"/>
      <c r="B1218" s="1216"/>
      <c r="C1218" s="1216"/>
      <c r="D1218" s="1216"/>
      <c r="E1218" s="1216"/>
      <c r="F1218" s="1216"/>
      <c r="G1218" s="1216"/>
      <c r="H1218" s="1216"/>
      <c r="I1218" s="1216"/>
      <c r="J1218" s="1216"/>
      <c r="K1218" s="1216"/>
      <c r="L1218" s="1216"/>
      <c r="M1218" s="1216"/>
      <c r="N1218" s="1216"/>
      <c r="O1218" s="1216"/>
      <c r="P1218" s="1216"/>
      <c r="Q1218" s="1216"/>
      <c r="R1218" s="1216"/>
      <c r="S1218" s="1216"/>
    </row>
    <row r="1219" spans="1:19" ht="12.75" customHeight="1">
      <c r="A1219" s="1216"/>
      <c r="B1219" s="1216"/>
      <c r="C1219" s="1216"/>
      <c r="D1219" s="1216"/>
      <c r="E1219" s="1216"/>
      <c r="F1219" s="1216"/>
      <c r="G1219" s="1216"/>
      <c r="H1219" s="1216"/>
      <c r="I1219" s="1216"/>
      <c r="J1219" s="1216"/>
      <c r="K1219" s="1216"/>
      <c r="L1219" s="1216"/>
      <c r="M1219" s="1216"/>
      <c r="N1219" s="1216"/>
      <c r="O1219" s="1216"/>
      <c r="P1219" s="1216"/>
      <c r="Q1219" s="1216"/>
      <c r="R1219" s="1216"/>
      <c r="S1219" s="1216"/>
    </row>
    <row r="1220" spans="1:19" ht="12.75" customHeight="1">
      <c r="A1220" s="1216"/>
      <c r="B1220" s="1216"/>
      <c r="C1220" s="1216"/>
      <c r="D1220" s="1216"/>
      <c r="E1220" s="1216"/>
      <c r="F1220" s="1216"/>
      <c r="G1220" s="1216"/>
      <c r="H1220" s="1216"/>
      <c r="I1220" s="1216"/>
      <c r="J1220" s="1216"/>
      <c r="K1220" s="1216"/>
      <c r="L1220" s="1216"/>
      <c r="M1220" s="1216"/>
      <c r="N1220" s="1216"/>
      <c r="O1220" s="1216"/>
      <c r="P1220" s="1216"/>
      <c r="Q1220" s="1216"/>
      <c r="R1220" s="1216"/>
      <c r="S1220" s="1216"/>
    </row>
    <row r="1221" spans="1:19" ht="12.75" customHeight="1">
      <c r="A1221" s="1216"/>
      <c r="B1221" s="1216"/>
      <c r="C1221" s="1216"/>
      <c r="D1221" s="1216"/>
      <c r="E1221" s="1216"/>
      <c r="F1221" s="1216"/>
      <c r="G1221" s="1216"/>
      <c r="H1221" s="1216"/>
      <c r="I1221" s="1216"/>
      <c r="J1221" s="1216"/>
      <c r="K1221" s="1216"/>
      <c r="L1221" s="1216"/>
      <c r="M1221" s="1216"/>
      <c r="N1221" s="1216"/>
      <c r="O1221" s="1216"/>
      <c r="P1221" s="1216"/>
      <c r="Q1221" s="1216"/>
      <c r="R1221" s="1216"/>
      <c r="S1221" s="1216"/>
    </row>
    <row r="1222" spans="1:19" ht="12.75" customHeight="1">
      <c r="A1222" s="1216"/>
      <c r="B1222" s="1216"/>
      <c r="C1222" s="1216"/>
      <c r="D1222" s="1216"/>
      <c r="E1222" s="1216"/>
      <c r="F1222" s="1216"/>
      <c r="G1222" s="1216"/>
      <c r="H1222" s="1216"/>
      <c r="I1222" s="1216"/>
      <c r="J1222" s="1216"/>
      <c r="K1222" s="1216"/>
      <c r="L1222" s="1216"/>
      <c r="M1222" s="1216"/>
      <c r="N1222" s="1216"/>
      <c r="O1222" s="1216"/>
      <c r="P1222" s="1216"/>
      <c r="Q1222" s="1216"/>
      <c r="R1222" s="1216"/>
      <c r="S1222" s="1216"/>
    </row>
    <row r="1223" spans="1:19" ht="12.75" customHeight="1">
      <c r="A1223" s="1216"/>
      <c r="B1223" s="1216"/>
      <c r="C1223" s="1216"/>
      <c r="D1223" s="1216"/>
      <c r="E1223" s="1216"/>
      <c r="F1223" s="1216"/>
      <c r="G1223" s="1216"/>
      <c r="H1223" s="1216"/>
      <c r="I1223" s="1216"/>
      <c r="J1223" s="1216"/>
      <c r="K1223" s="1216"/>
      <c r="L1223" s="1216"/>
      <c r="M1223" s="1216"/>
      <c r="N1223" s="1216"/>
      <c r="O1223" s="1216"/>
      <c r="P1223" s="1216"/>
      <c r="Q1223" s="1216"/>
      <c r="R1223" s="1216"/>
      <c r="S1223" s="1216"/>
    </row>
    <row r="1224" spans="1:19" ht="12.75" customHeight="1">
      <c r="A1224" s="1216"/>
      <c r="B1224" s="1216"/>
      <c r="C1224" s="1216"/>
      <c r="D1224" s="1216"/>
      <c r="E1224" s="1216"/>
      <c r="F1224" s="1216"/>
      <c r="G1224" s="1216"/>
      <c r="H1224" s="1216"/>
      <c r="I1224" s="1216"/>
      <c r="J1224" s="1216"/>
      <c r="K1224" s="1216"/>
      <c r="L1224" s="1216"/>
      <c r="M1224" s="1216"/>
      <c r="N1224" s="1216"/>
      <c r="O1224" s="1216"/>
      <c r="P1224" s="1216"/>
      <c r="Q1224" s="1216"/>
      <c r="R1224" s="1216"/>
      <c r="S1224" s="1216"/>
    </row>
    <row r="1225" spans="1:19" ht="12.75" customHeight="1">
      <c r="A1225" s="1287" t="s">
        <v>4722</v>
      </c>
      <c r="B1225" s="1216"/>
      <c r="C1225" s="1216"/>
      <c r="D1225" s="1216"/>
      <c r="E1225" s="1216"/>
      <c r="F1225" s="1216"/>
      <c r="G1225" s="1216"/>
      <c r="H1225" s="1216"/>
      <c r="I1225" s="1216"/>
      <c r="J1225" s="1216"/>
      <c r="K1225" s="1216"/>
      <c r="L1225" s="1216"/>
      <c r="M1225" s="1216"/>
      <c r="N1225" s="1216"/>
      <c r="O1225" s="1216"/>
      <c r="P1225" s="1216"/>
      <c r="Q1225" s="1216"/>
      <c r="R1225" s="1216"/>
      <c r="S1225" s="1216"/>
    </row>
    <row r="1226" spans="1:19" ht="12.75" customHeight="1">
      <c r="A1226" s="1216"/>
      <c r="B1226" s="1216"/>
      <c r="C1226" s="1216"/>
      <c r="D1226" s="1216"/>
      <c r="E1226" s="1216"/>
      <c r="F1226" s="1216"/>
      <c r="G1226" s="1216"/>
      <c r="H1226" s="1216"/>
      <c r="I1226" s="1216"/>
      <c r="J1226" s="1216"/>
      <c r="K1226" s="1216"/>
      <c r="L1226" s="1216"/>
      <c r="M1226" s="1216"/>
      <c r="N1226" s="1216"/>
      <c r="O1226" s="1216"/>
      <c r="P1226" s="1216"/>
      <c r="Q1226" s="1216"/>
      <c r="R1226" s="1216"/>
      <c r="S1226" s="1216"/>
    </row>
    <row r="1227" spans="1:19" ht="12.75" customHeight="1">
      <c r="A1227" s="1216"/>
      <c r="B1227" s="1216"/>
      <c r="C1227" s="1216"/>
      <c r="D1227" s="1216"/>
      <c r="E1227" s="1216"/>
      <c r="F1227" s="1216"/>
      <c r="G1227" s="1216"/>
      <c r="H1227" s="1216"/>
      <c r="I1227" s="1216"/>
      <c r="J1227" s="1216"/>
      <c r="K1227" s="1216"/>
      <c r="L1227" s="1216"/>
      <c r="M1227" s="1216"/>
      <c r="N1227" s="1216"/>
      <c r="O1227" s="1216"/>
      <c r="P1227" s="1216"/>
      <c r="Q1227" s="1216"/>
      <c r="R1227" s="1216"/>
      <c r="S1227" s="1216"/>
    </row>
    <row r="1228" spans="1:19" ht="12.75" customHeight="1">
      <c r="A1228" s="1216"/>
      <c r="B1228" s="1216"/>
      <c r="C1228" s="1216"/>
      <c r="D1228" s="1216"/>
      <c r="E1228" s="1216"/>
      <c r="F1228" s="1216"/>
      <c r="G1228" s="1216"/>
      <c r="H1228" s="1216"/>
      <c r="I1228" s="1216"/>
      <c r="J1228" s="1216"/>
      <c r="K1228" s="1216"/>
      <c r="L1228" s="1216"/>
      <c r="M1228" s="1216"/>
      <c r="N1228" s="1216"/>
      <c r="O1228" s="1216"/>
      <c r="P1228" s="1216"/>
      <c r="Q1228" s="1216"/>
      <c r="R1228" s="1216"/>
      <c r="S1228" s="1216"/>
    </row>
    <row r="1229" spans="1:19" ht="12.75" customHeight="1">
      <c r="A1229" s="1216"/>
      <c r="B1229" s="1216"/>
      <c r="C1229" s="1216"/>
      <c r="D1229" s="1216"/>
      <c r="E1229" s="1216"/>
      <c r="F1229" s="1216"/>
      <c r="G1229" s="1216"/>
      <c r="H1229" s="1216"/>
      <c r="I1229" s="1216"/>
      <c r="J1229" s="1216"/>
      <c r="K1229" s="1216"/>
      <c r="L1229" s="1216"/>
      <c r="M1229" s="1216"/>
      <c r="N1229" s="1216"/>
      <c r="O1229" s="1216"/>
      <c r="P1229" s="1216"/>
      <c r="Q1229" s="1216"/>
      <c r="R1229" s="1216"/>
      <c r="S1229" s="1216"/>
    </row>
    <row r="1230" spans="1:19" ht="12.75" customHeight="1">
      <c r="A1230" s="1216"/>
      <c r="B1230" s="1216"/>
      <c r="C1230" s="1216"/>
      <c r="D1230" s="1216"/>
      <c r="E1230" s="1216"/>
      <c r="F1230" s="1216"/>
      <c r="G1230" s="1216"/>
      <c r="H1230" s="1216"/>
      <c r="I1230" s="1216"/>
      <c r="J1230" s="1216"/>
      <c r="K1230" s="1216"/>
      <c r="L1230" s="1216"/>
      <c r="M1230" s="1216"/>
      <c r="N1230" s="1216"/>
      <c r="O1230" s="1216"/>
      <c r="P1230" s="1216"/>
      <c r="Q1230" s="1216"/>
      <c r="R1230" s="1216"/>
      <c r="S1230" s="1216"/>
    </row>
    <row r="1231" spans="1:19" ht="12.75" customHeight="1">
      <c r="A1231" s="1216"/>
      <c r="B1231" s="1216"/>
      <c r="C1231" s="1216"/>
      <c r="D1231" s="1216"/>
      <c r="E1231" s="1216"/>
      <c r="F1231" s="1216"/>
      <c r="G1231" s="1216"/>
      <c r="H1231" s="1216"/>
      <c r="I1231" s="1216"/>
      <c r="J1231" s="1216"/>
      <c r="K1231" s="1216"/>
      <c r="L1231" s="1216"/>
      <c r="M1231" s="1216"/>
      <c r="N1231" s="1216"/>
      <c r="O1231" s="1216"/>
      <c r="P1231" s="1216"/>
      <c r="Q1231" s="1216"/>
      <c r="R1231" s="1216"/>
      <c r="S1231" s="1216"/>
    </row>
    <row r="1232" spans="1:19" ht="12.75" customHeight="1">
      <c r="A1232" s="1287" t="s">
        <v>4710</v>
      </c>
      <c r="B1232" s="1216"/>
      <c r="C1232" s="1216"/>
      <c r="D1232" s="1216"/>
      <c r="E1232" s="1216"/>
      <c r="F1232" s="1216"/>
      <c r="G1232" s="1216"/>
      <c r="H1232" s="1216"/>
      <c r="I1232" s="1216"/>
      <c r="J1232" s="1216"/>
      <c r="K1232" s="1216"/>
      <c r="L1232" s="1216"/>
      <c r="M1232" s="1216"/>
      <c r="N1232" s="1216"/>
      <c r="O1232" s="1216"/>
      <c r="P1232" s="1216"/>
      <c r="Q1232" s="1216"/>
      <c r="R1232" s="1216"/>
      <c r="S1232" s="1216"/>
    </row>
    <row r="1233" spans="1:19" ht="12.75" customHeight="1">
      <c r="A1233" s="1216"/>
      <c r="B1233" s="1216"/>
      <c r="C1233" s="1216"/>
      <c r="D1233" s="1216"/>
      <c r="E1233" s="1216"/>
      <c r="F1233" s="1216"/>
      <c r="G1233" s="1216"/>
      <c r="H1233" s="1216"/>
      <c r="I1233" s="1216"/>
      <c r="J1233" s="1216"/>
      <c r="K1233" s="1216"/>
      <c r="L1233" s="1216"/>
      <c r="M1233" s="1216"/>
      <c r="N1233" s="1216"/>
      <c r="O1233" s="1216"/>
      <c r="P1233" s="1216"/>
      <c r="Q1233" s="1216"/>
      <c r="R1233" s="1216"/>
      <c r="S1233" s="1216"/>
    </row>
    <row r="1234" spans="1:19" ht="12.75" customHeight="1">
      <c r="A1234" s="1216"/>
      <c r="B1234" s="1216"/>
      <c r="C1234" s="1216"/>
      <c r="D1234" s="1216"/>
      <c r="E1234" s="1216"/>
      <c r="F1234" s="1216"/>
      <c r="G1234" s="1216"/>
      <c r="H1234" s="1216"/>
      <c r="I1234" s="1216"/>
      <c r="J1234" s="1216"/>
      <c r="K1234" s="1216"/>
      <c r="L1234" s="1216"/>
      <c r="M1234" s="1216"/>
      <c r="N1234" s="1216"/>
      <c r="O1234" s="1216"/>
      <c r="P1234" s="1216"/>
      <c r="Q1234" s="1216"/>
      <c r="R1234" s="1216"/>
      <c r="S1234" s="1216"/>
    </row>
    <row r="1235" spans="1:19" ht="12.75" customHeight="1">
      <c r="A1235" s="1216"/>
      <c r="B1235" s="1216"/>
      <c r="C1235" s="1216"/>
      <c r="D1235" s="1216"/>
      <c r="E1235" s="1216"/>
      <c r="F1235" s="1216"/>
      <c r="G1235" s="1216"/>
      <c r="H1235" s="1216"/>
      <c r="I1235" s="1216"/>
      <c r="J1235" s="1216"/>
      <c r="K1235" s="1216"/>
      <c r="L1235" s="1216"/>
      <c r="M1235" s="1216"/>
      <c r="N1235" s="1216"/>
      <c r="O1235" s="1216"/>
      <c r="P1235" s="1216"/>
      <c r="Q1235" s="1216"/>
      <c r="R1235" s="1216"/>
      <c r="S1235" s="1216"/>
    </row>
    <row r="1236" spans="1:19" ht="12.75" customHeight="1">
      <c r="A1236" s="1216"/>
      <c r="B1236" s="1216"/>
      <c r="C1236" s="1216"/>
      <c r="D1236" s="1216"/>
      <c r="E1236" s="1216"/>
      <c r="F1236" s="1216"/>
      <c r="G1236" s="1216"/>
      <c r="H1236" s="1216"/>
      <c r="I1236" s="1216"/>
      <c r="J1236" s="1216"/>
      <c r="K1236" s="1216"/>
      <c r="L1236" s="1216"/>
      <c r="M1236" s="1216"/>
      <c r="N1236" s="1216"/>
      <c r="O1236" s="1216"/>
      <c r="P1236" s="1216"/>
      <c r="Q1236" s="1216"/>
      <c r="R1236" s="1216"/>
      <c r="S1236" s="1216"/>
    </row>
    <row r="1237" spans="1:19" ht="12.75" customHeight="1">
      <c r="A1237" s="1501" t="s">
        <v>4711</v>
      </c>
      <c r="B1237" s="1501"/>
      <c r="C1237" s="1501"/>
      <c r="D1237" s="1501"/>
      <c r="E1237" s="1501"/>
      <c r="F1237" s="1501"/>
      <c r="G1237" s="1501"/>
      <c r="H1237" s="1501"/>
      <c r="I1237" s="1501"/>
      <c r="J1237" s="1501"/>
      <c r="K1237" s="1501"/>
      <c r="L1237" s="1501"/>
      <c r="M1237" s="1501"/>
      <c r="N1237" s="1501"/>
      <c r="O1237" s="1501"/>
      <c r="P1237" s="1501"/>
      <c r="Q1237" s="1501"/>
      <c r="R1237" s="1501"/>
      <c r="S1237" s="1501"/>
    </row>
    <row r="1238" spans="1:19" ht="12.75" customHeight="1">
      <c r="A1238" s="1501"/>
      <c r="B1238" s="1501"/>
      <c r="C1238" s="1501"/>
      <c r="D1238" s="1501"/>
      <c r="E1238" s="1501"/>
      <c r="F1238" s="1501"/>
      <c r="G1238" s="1501"/>
      <c r="H1238" s="1501"/>
      <c r="I1238" s="1501"/>
      <c r="J1238" s="1501"/>
      <c r="K1238" s="1501"/>
      <c r="L1238" s="1501"/>
      <c r="M1238" s="1501"/>
      <c r="N1238" s="1501"/>
      <c r="O1238" s="1501"/>
      <c r="P1238" s="1501"/>
      <c r="Q1238" s="1501"/>
      <c r="R1238" s="1501"/>
      <c r="S1238" s="1501"/>
    </row>
    <row r="1239" spans="1:19" ht="12.75" customHeight="1">
      <c r="A1239" s="1501"/>
      <c r="B1239" s="1501"/>
      <c r="C1239" s="1501"/>
      <c r="D1239" s="1501"/>
      <c r="E1239" s="1501"/>
      <c r="F1239" s="1501"/>
      <c r="G1239" s="1501"/>
      <c r="H1239" s="1501"/>
      <c r="I1239" s="1501"/>
      <c r="J1239" s="1501"/>
      <c r="K1239" s="1501"/>
      <c r="L1239" s="1501"/>
      <c r="M1239" s="1501"/>
      <c r="N1239" s="1501"/>
      <c r="O1239" s="1501"/>
      <c r="P1239" s="1501"/>
      <c r="Q1239" s="1501"/>
      <c r="R1239" s="1501"/>
      <c r="S1239" s="1501"/>
    </row>
    <row r="1240" spans="1:19" ht="12.75" customHeight="1">
      <c r="A1240" s="1287" t="s">
        <v>4712</v>
      </c>
      <c r="B1240" s="1216"/>
      <c r="C1240" s="1216"/>
      <c r="D1240" s="1216"/>
      <c r="E1240" s="1216"/>
      <c r="F1240" s="1216"/>
      <c r="G1240" s="1216"/>
      <c r="H1240" s="1216"/>
      <c r="I1240" s="1216"/>
      <c r="J1240" s="1216"/>
      <c r="K1240" s="1216"/>
      <c r="L1240" s="1216"/>
      <c r="M1240" s="1216"/>
      <c r="N1240" s="1216"/>
      <c r="O1240" s="1216"/>
      <c r="P1240" s="1216"/>
      <c r="Q1240" s="1216"/>
      <c r="R1240" s="1216"/>
      <c r="S1240" s="1216"/>
    </row>
    <row r="1241" spans="1:19" ht="12.75" customHeight="1">
      <c r="A1241" s="1216"/>
      <c r="B1241" s="1216"/>
      <c r="C1241" s="1216"/>
      <c r="D1241" s="1216"/>
      <c r="E1241" s="1216"/>
      <c r="F1241" s="1216"/>
      <c r="G1241" s="1216"/>
      <c r="H1241" s="1216"/>
      <c r="I1241" s="1216"/>
      <c r="J1241" s="1216"/>
      <c r="K1241" s="1216"/>
      <c r="L1241" s="1216"/>
      <c r="M1241" s="1216"/>
      <c r="N1241" s="1216"/>
      <c r="O1241" s="1216"/>
      <c r="P1241" s="1216"/>
      <c r="Q1241" s="1216"/>
      <c r="R1241" s="1216"/>
      <c r="S1241" s="1216"/>
    </row>
    <row r="1242" spans="1:19" ht="12.75" customHeight="1">
      <c r="A1242" s="1216"/>
      <c r="B1242" s="1216"/>
      <c r="C1242" s="1216"/>
      <c r="D1242" s="1216"/>
      <c r="E1242" s="1216"/>
      <c r="F1242" s="1216"/>
      <c r="G1242" s="1216"/>
      <c r="H1242" s="1216"/>
      <c r="I1242" s="1216"/>
      <c r="J1242" s="1216"/>
      <c r="K1242" s="1216"/>
      <c r="L1242" s="1216"/>
      <c r="M1242" s="1216"/>
      <c r="N1242" s="1216"/>
      <c r="O1242" s="1216"/>
      <c r="P1242" s="1216"/>
      <c r="Q1242" s="1216"/>
      <c r="R1242" s="1216"/>
      <c r="S1242" s="1216"/>
    </row>
    <row r="1243" spans="1:19" ht="12.75" customHeight="1">
      <c r="A1243" s="1216"/>
      <c r="B1243" s="1216"/>
      <c r="C1243" s="1216"/>
      <c r="D1243" s="1216"/>
      <c r="E1243" s="1216"/>
      <c r="F1243" s="1216"/>
      <c r="G1243" s="1216"/>
      <c r="H1243" s="1216"/>
      <c r="I1243" s="1216"/>
      <c r="J1243" s="1216"/>
      <c r="K1243" s="1216"/>
      <c r="L1243" s="1216"/>
      <c r="M1243" s="1216"/>
      <c r="N1243" s="1216"/>
      <c r="O1243" s="1216"/>
      <c r="P1243" s="1216"/>
      <c r="Q1243" s="1216"/>
      <c r="R1243" s="1216"/>
      <c r="S1243" s="1216"/>
    </row>
    <row r="1244" spans="1:19" ht="12.75" customHeight="1">
      <c r="A1244" s="1216"/>
      <c r="B1244" s="1216"/>
      <c r="C1244" s="1216"/>
      <c r="D1244" s="1216"/>
      <c r="E1244" s="1216"/>
      <c r="F1244" s="1216"/>
      <c r="G1244" s="1216"/>
      <c r="H1244" s="1216"/>
      <c r="I1244" s="1216"/>
      <c r="J1244" s="1216"/>
      <c r="K1244" s="1216"/>
      <c r="L1244" s="1216"/>
      <c r="M1244" s="1216"/>
      <c r="N1244" s="1216"/>
      <c r="O1244" s="1216"/>
      <c r="P1244" s="1216"/>
      <c r="Q1244" s="1216"/>
      <c r="R1244" s="1216"/>
      <c r="S1244" s="1216"/>
    </row>
    <row r="1245" spans="1:19" ht="12.75" customHeight="1">
      <c r="A1245" s="1287" t="s">
        <v>4713</v>
      </c>
      <c r="B1245" s="1216"/>
      <c r="C1245" s="1216"/>
      <c r="D1245" s="1216"/>
      <c r="E1245" s="1216"/>
      <c r="F1245" s="1216"/>
      <c r="G1245" s="1216"/>
      <c r="H1245" s="1216"/>
      <c r="I1245" s="1216"/>
      <c r="J1245" s="1216"/>
      <c r="K1245" s="1216"/>
      <c r="L1245" s="1216"/>
      <c r="M1245" s="1216"/>
      <c r="N1245" s="1216"/>
      <c r="O1245" s="1216"/>
      <c r="P1245" s="1216"/>
      <c r="Q1245" s="1216"/>
      <c r="R1245" s="1216"/>
      <c r="S1245" s="1216"/>
    </row>
    <row r="1246" spans="1:19" ht="12.75" customHeight="1">
      <c r="A1246" s="1287"/>
      <c r="B1246" s="1216"/>
      <c r="C1246" s="1216"/>
      <c r="D1246" s="1216"/>
      <c r="E1246" s="1216"/>
      <c r="F1246" s="1216"/>
      <c r="G1246" s="1216"/>
      <c r="H1246" s="1216"/>
      <c r="I1246" s="1216"/>
      <c r="J1246" s="1216"/>
      <c r="K1246" s="1216"/>
      <c r="L1246" s="1216"/>
      <c r="M1246" s="1216"/>
      <c r="N1246" s="1216"/>
      <c r="O1246" s="1216"/>
      <c r="P1246" s="1216"/>
      <c r="Q1246" s="1216"/>
      <c r="R1246" s="1216"/>
      <c r="S1246" s="1216"/>
    </row>
    <row r="1247" spans="1:19" ht="12.75" customHeight="1">
      <c r="A1247" s="1287"/>
      <c r="B1247" s="1216"/>
      <c r="C1247" s="1216"/>
      <c r="D1247" s="1216"/>
      <c r="E1247" s="1216"/>
      <c r="F1247" s="1216"/>
      <c r="G1247" s="1216"/>
      <c r="H1247" s="1216"/>
      <c r="I1247" s="1216"/>
      <c r="J1247" s="1216"/>
      <c r="K1247" s="1216"/>
      <c r="L1247" s="1216"/>
      <c r="M1247" s="1216"/>
      <c r="N1247" s="1216"/>
      <c r="O1247" s="1216"/>
      <c r="P1247" s="1216"/>
      <c r="Q1247" s="1216"/>
      <c r="R1247" s="1216"/>
      <c r="S1247" s="1216"/>
    </row>
    <row r="1248" spans="1:19" ht="12.75" customHeight="1">
      <c r="A1248" s="1287"/>
      <c r="B1248" s="1216"/>
      <c r="C1248" s="1216"/>
      <c r="D1248" s="1216"/>
      <c r="E1248" s="1216"/>
      <c r="F1248" s="1216"/>
      <c r="G1248" s="1216"/>
      <c r="H1248" s="1216"/>
      <c r="I1248" s="1216"/>
      <c r="J1248" s="1216"/>
      <c r="K1248" s="1216"/>
      <c r="L1248" s="1216"/>
      <c r="M1248" s="1216"/>
      <c r="N1248" s="1216"/>
      <c r="O1248" s="1216"/>
      <c r="P1248" s="1216"/>
      <c r="Q1248" s="1216"/>
      <c r="R1248" s="1216"/>
      <c r="S1248" s="1216"/>
    </row>
    <row r="1249" spans="1:19" ht="12.75" customHeight="1">
      <c r="A1249" s="1287"/>
      <c r="B1249" s="1216"/>
      <c r="C1249" s="1216"/>
      <c r="D1249" s="1216"/>
      <c r="E1249" s="1216"/>
      <c r="F1249" s="1216"/>
      <c r="G1249" s="1216"/>
      <c r="H1249" s="1216"/>
      <c r="I1249" s="1216"/>
      <c r="J1249" s="1216"/>
      <c r="K1249" s="1216"/>
      <c r="L1249" s="1216"/>
      <c r="M1249" s="1216"/>
      <c r="N1249" s="1216"/>
      <c r="O1249" s="1216"/>
      <c r="P1249" s="1216"/>
      <c r="Q1249" s="1216"/>
      <c r="R1249" s="1216"/>
      <c r="S1249" s="1216"/>
    </row>
    <row r="1250" spans="1:19" ht="12.75" customHeight="1">
      <c r="A1250" s="1216"/>
      <c r="B1250" s="1216"/>
      <c r="C1250" s="1216"/>
      <c r="D1250" s="1216"/>
      <c r="E1250" s="1216"/>
      <c r="F1250" s="1216"/>
      <c r="G1250" s="1216"/>
      <c r="H1250" s="1216"/>
      <c r="I1250" s="1216"/>
      <c r="J1250" s="1216"/>
      <c r="K1250" s="1216"/>
      <c r="L1250" s="1216"/>
      <c r="M1250" s="1216"/>
      <c r="N1250" s="1216"/>
      <c r="O1250" s="1216"/>
      <c r="P1250" s="1216"/>
      <c r="Q1250" s="1216"/>
      <c r="R1250" s="1216"/>
      <c r="S1250" s="1216"/>
    </row>
    <row r="1251" spans="1:19" ht="12.75" customHeight="1">
      <c r="A1251" s="1216"/>
      <c r="B1251" s="1216"/>
      <c r="C1251" s="1216"/>
      <c r="D1251" s="1216"/>
      <c r="E1251" s="1216"/>
      <c r="F1251" s="1216"/>
      <c r="G1251" s="1216"/>
      <c r="H1251" s="1216"/>
      <c r="I1251" s="1216"/>
      <c r="J1251" s="1216"/>
      <c r="K1251" s="1216"/>
      <c r="L1251" s="1216"/>
      <c r="M1251" s="1216"/>
      <c r="N1251" s="1216"/>
      <c r="O1251" s="1216"/>
      <c r="P1251" s="1216"/>
      <c r="Q1251" s="1216"/>
      <c r="R1251" s="1216"/>
      <c r="S1251" s="1216"/>
    </row>
    <row r="1252" spans="1:19" ht="12.75" customHeight="1">
      <c r="A1252" s="1216"/>
      <c r="B1252" s="1216"/>
      <c r="C1252" s="1216"/>
      <c r="D1252" s="1216"/>
      <c r="E1252" s="1216"/>
      <c r="F1252" s="1216"/>
      <c r="G1252" s="1216"/>
      <c r="H1252" s="1216"/>
      <c r="I1252" s="1216"/>
      <c r="J1252" s="1216"/>
      <c r="K1252" s="1216"/>
      <c r="L1252" s="1216"/>
      <c r="M1252" s="1216"/>
      <c r="N1252" s="1216"/>
      <c r="O1252" s="1216"/>
      <c r="P1252" s="1216"/>
      <c r="Q1252" s="1216"/>
      <c r="R1252" s="1216"/>
      <c r="S1252" s="1216"/>
    </row>
    <row r="1253" spans="1:19" ht="12.75" customHeight="1">
      <c r="A1253" s="1216"/>
      <c r="B1253" s="1216"/>
      <c r="C1253" s="1216"/>
      <c r="D1253" s="1216"/>
      <c r="E1253" s="1216"/>
      <c r="F1253" s="1216"/>
      <c r="G1253" s="1216"/>
      <c r="H1253" s="1216"/>
      <c r="I1253" s="1216"/>
      <c r="J1253" s="1216"/>
      <c r="K1253" s="1216"/>
      <c r="L1253" s="1216"/>
      <c r="M1253" s="1216"/>
      <c r="N1253" s="1216"/>
      <c r="O1253" s="1216"/>
      <c r="P1253" s="1216"/>
      <c r="Q1253" s="1216"/>
      <c r="R1253" s="1216"/>
      <c r="S1253" s="1216"/>
    </row>
    <row r="1254" spans="1:19" ht="12.75" customHeight="1">
      <c r="A1254" s="1287" t="s">
        <v>4723</v>
      </c>
      <c r="B1254" s="1216"/>
      <c r="C1254" s="1216"/>
      <c r="D1254" s="1216"/>
      <c r="E1254" s="1216"/>
      <c r="F1254" s="1216"/>
      <c r="G1254" s="1216"/>
      <c r="H1254" s="1216"/>
      <c r="I1254" s="1216"/>
      <c r="J1254" s="1216"/>
      <c r="K1254" s="1216"/>
      <c r="L1254" s="1216"/>
      <c r="M1254" s="1216"/>
      <c r="N1254" s="1216"/>
      <c r="O1254" s="1216"/>
      <c r="P1254" s="1216"/>
      <c r="Q1254" s="1216"/>
      <c r="R1254" s="1216"/>
      <c r="S1254" s="1216"/>
    </row>
    <row r="1255" spans="1:19" ht="12.75" customHeight="1">
      <c r="A1255" s="1216"/>
      <c r="B1255" s="1216"/>
      <c r="C1255" s="1216"/>
      <c r="D1255" s="1216"/>
      <c r="E1255" s="1216"/>
      <c r="F1255" s="1216"/>
      <c r="G1255" s="1216"/>
      <c r="H1255" s="1216"/>
      <c r="I1255" s="1216"/>
      <c r="J1255" s="1216"/>
      <c r="K1255" s="1216"/>
      <c r="L1255" s="1216"/>
      <c r="M1255" s="1216"/>
      <c r="N1255" s="1216"/>
      <c r="O1255" s="1216"/>
      <c r="P1255" s="1216"/>
      <c r="Q1255" s="1216"/>
      <c r="R1255" s="1216"/>
      <c r="S1255" s="1216"/>
    </row>
    <row r="1256" spans="1:19" ht="12.75" customHeight="1">
      <c r="A1256" s="1216"/>
      <c r="B1256" s="1216"/>
      <c r="C1256" s="1216"/>
      <c r="D1256" s="1216"/>
      <c r="E1256" s="1216"/>
      <c r="F1256" s="1216"/>
      <c r="G1256" s="1216"/>
      <c r="H1256" s="1216"/>
      <c r="I1256" s="1216"/>
      <c r="J1256" s="1216"/>
      <c r="K1256" s="1216"/>
      <c r="L1256" s="1216"/>
      <c r="M1256" s="1216"/>
      <c r="N1256" s="1216"/>
      <c r="O1256" s="1216"/>
      <c r="P1256" s="1216"/>
      <c r="Q1256" s="1216"/>
      <c r="R1256" s="1216"/>
      <c r="S1256" s="1216"/>
    </row>
    <row r="1257" spans="1:19" ht="12.75" customHeight="1">
      <c r="A1257" s="1216"/>
      <c r="B1257" s="1216"/>
      <c r="C1257" s="1216"/>
      <c r="D1257" s="1216"/>
      <c r="E1257" s="1216"/>
      <c r="F1257" s="1216"/>
      <c r="G1257" s="1216"/>
      <c r="H1257" s="1216"/>
      <c r="I1257" s="1216"/>
      <c r="J1257" s="1216"/>
      <c r="K1257" s="1216"/>
      <c r="L1257" s="1216"/>
      <c r="M1257" s="1216"/>
      <c r="N1257" s="1216"/>
      <c r="O1257" s="1216"/>
      <c r="P1257" s="1216"/>
      <c r="Q1257" s="1216"/>
      <c r="R1257" s="1216"/>
      <c r="S1257" s="1216"/>
    </row>
    <row r="1258" spans="1:19" ht="12.75" customHeight="1">
      <c r="A1258" s="1216"/>
      <c r="B1258" s="1216"/>
      <c r="C1258" s="1216"/>
      <c r="D1258" s="1216"/>
      <c r="E1258" s="1216"/>
      <c r="F1258" s="1216"/>
      <c r="G1258" s="1216"/>
      <c r="H1258" s="1216"/>
      <c r="I1258" s="1216"/>
      <c r="J1258" s="1216"/>
      <c r="K1258" s="1216"/>
      <c r="L1258" s="1216"/>
      <c r="M1258" s="1216"/>
      <c r="N1258" s="1216"/>
      <c r="O1258" s="1216"/>
      <c r="P1258" s="1216"/>
      <c r="Q1258" s="1216"/>
      <c r="R1258" s="1216"/>
      <c r="S1258" s="1216"/>
    </row>
    <row r="1259" spans="1:19" ht="12.75" customHeight="1">
      <c r="A1259" s="1216"/>
      <c r="B1259" s="1216"/>
      <c r="C1259" s="1216"/>
      <c r="D1259" s="1216"/>
      <c r="E1259" s="1216"/>
      <c r="F1259" s="1216"/>
      <c r="G1259" s="1216"/>
      <c r="H1259" s="1216"/>
      <c r="I1259" s="1216"/>
      <c r="J1259" s="1216"/>
      <c r="K1259" s="1216"/>
      <c r="L1259" s="1216"/>
      <c r="M1259" s="1216"/>
      <c r="N1259" s="1216"/>
      <c r="O1259" s="1216"/>
      <c r="P1259" s="1216"/>
      <c r="Q1259" s="1216"/>
      <c r="R1259" s="1216"/>
      <c r="S1259" s="1216"/>
    </row>
    <row r="1260" spans="1:19" ht="12.75" customHeight="1">
      <c r="A1260" s="1287" t="s">
        <v>4725</v>
      </c>
      <c r="B1260" s="1216"/>
      <c r="C1260" s="1216"/>
      <c r="D1260" s="1216"/>
      <c r="E1260" s="1216"/>
      <c r="F1260" s="1216"/>
      <c r="G1260" s="1216"/>
      <c r="H1260" s="1216"/>
      <c r="I1260" s="1216"/>
      <c r="J1260" s="1216"/>
      <c r="K1260" s="1216"/>
      <c r="L1260" s="1216"/>
      <c r="M1260" s="1216"/>
      <c r="N1260" s="1216"/>
      <c r="O1260" s="1216"/>
      <c r="P1260" s="1216"/>
      <c r="Q1260" s="1216"/>
      <c r="R1260" s="1216"/>
      <c r="S1260" s="1216"/>
    </row>
    <row r="1261" spans="1:19" ht="12.75" customHeight="1">
      <c r="A1261" s="1287"/>
      <c r="B1261" s="1216"/>
      <c r="C1261" s="1216"/>
      <c r="D1261" s="1216"/>
      <c r="E1261" s="1216"/>
      <c r="F1261" s="1216"/>
      <c r="G1261" s="1216"/>
      <c r="H1261" s="1216"/>
      <c r="I1261" s="1216"/>
      <c r="J1261" s="1216"/>
      <c r="K1261" s="1216"/>
      <c r="L1261" s="1216"/>
      <c r="M1261" s="1216"/>
      <c r="N1261" s="1216"/>
      <c r="O1261" s="1216"/>
      <c r="P1261" s="1216"/>
      <c r="Q1261" s="1216"/>
      <c r="R1261" s="1216"/>
      <c r="S1261" s="1216"/>
    </row>
    <row r="1262" spans="1:19" ht="12.75" customHeight="1">
      <c r="A1262" s="1287"/>
      <c r="B1262" s="1216"/>
      <c r="C1262" s="1216"/>
      <c r="D1262" s="1216"/>
      <c r="E1262" s="1216"/>
      <c r="F1262" s="1216"/>
      <c r="G1262" s="1216"/>
      <c r="H1262" s="1216"/>
      <c r="I1262" s="1216"/>
      <c r="J1262" s="1216"/>
      <c r="K1262" s="1216"/>
      <c r="L1262" s="1216"/>
      <c r="M1262" s="1216"/>
      <c r="N1262" s="1216"/>
      <c r="O1262" s="1216"/>
      <c r="P1262" s="1216"/>
      <c r="Q1262" s="1216"/>
      <c r="R1262" s="1216"/>
      <c r="S1262" s="1216"/>
    </row>
    <row r="1263" spans="1:19" ht="12.75" customHeight="1">
      <c r="A1263" s="1287"/>
      <c r="B1263" s="1216"/>
      <c r="C1263" s="1216"/>
      <c r="D1263" s="1216"/>
      <c r="E1263" s="1216"/>
      <c r="F1263" s="1216"/>
      <c r="G1263" s="1216"/>
      <c r="H1263" s="1216"/>
      <c r="I1263" s="1216"/>
      <c r="J1263" s="1216"/>
      <c r="K1263" s="1216"/>
      <c r="L1263" s="1216"/>
      <c r="M1263" s="1216"/>
      <c r="N1263" s="1216"/>
      <c r="O1263" s="1216"/>
      <c r="P1263" s="1216"/>
      <c r="Q1263" s="1216"/>
      <c r="R1263" s="1216"/>
      <c r="S1263" s="1216"/>
    </row>
    <row r="1264" spans="1:19" ht="12.75" customHeight="1">
      <c r="A1264" s="1287"/>
      <c r="B1264" s="1216"/>
      <c r="C1264" s="1216"/>
      <c r="D1264" s="1216"/>
      <c r="E1264" s="1216"/>
      <c r="F1264" s="1216"/>
      <c r="G1264" s="1216"/>
      <c r="H1264" s="1216"/>
      <c r="I1264" s="1216"/>
      <c r="J1264" s="1216"/>
      <c r="K1264" s="1216"/>
      <c r="L1264" s="1216"/>
      <c r="M1264" s="1216"/>
      <c r="N1264" s="1216"/>
      <c r="O1264" s="1216"/>
      <c r="P1264" s="1216"/>
      <c r="Q1264" s="1216"/>
      <c r="R1264" s="1216"/>
      <c r="S1264" s="1216"/>
    </row>
    <row r="1265" spans="1:19" ht="12.75" customHeight="1">
      <c r="A1265" s="1287"/>
      <c r="B1265" s="1216"/>
      <c r="C1265" s="1216"/>
      <c r="D1265" s="1216"/>
      <c r="E1265" s="1216"/>
      <c r="F1265" s="1216"/>
      <c r="G1265" s="1216"/>
      <c r="H1265" s="1216"/>
      <c r="I1265" s="1216"/>
      <c r="J1265" s="1216"/>
      <c r="K1265" s="1216"/>
      <c r="L1265" s="1216"/>
      <c r="M1265" s="1216"/>
      <c r="N1265" s="1216"/>
      <c r="O1265" s="1216"/>
      <c r="P1265" s="1216"/>
      <c r="Q1265" s="1216"/>
      <c r="R1265" s="1216"/>
      <c r="S1265" s="1216"/>
    </row>
    <row r="1266" spans="1:19" ht="12.75" customHeight="1">
      <c r="A1266" s="1287"/>
      <c r="B1266" s="1216"/>
      <c r="C1266" s="1216"/>
      <c r="D1266" s="1216"/>
      <c r="E1266" s="1216"/>
      <c r="F1266" s="1216"/>
      <c r="G1266" s="1216"/>
      <c r="H1266" s="1216"/>
      <c r="I1266" s="1216"/>
      <c r="J1266" s="1216"/>
      <c r="K1266" s="1216"/>
      <c r="L1266" s="1216"/>
      <c r="M1266" s="1216"/>
      <c r="N1266" s="1216"/>
      <c r="O1266" s="1216"/>
      <c r="P1266" s="1216"/>
      <c r="Q1266" s="1216"/>
      <c r="R1266" s="1216"/>
      <c r="S1266" s="1216"/>
    </row>
    <row r="1267" spans="1:19" ht="12.75" customHeight="1">
      <c r="A1267" s="1287"/>
      <c r="B1267" s="1216"/>
      <c r="C1267" s="1216"/>
      <c r="D1267" s="1216"/>
      <c r="E1267" s="1216"/>
      <c r="F1267" s="1216"/>
      <c r="G1267" s="1216"/>
      <c r="H1267" s="1216"/>
      <c r="I1267" s="1216"/>
      <c r="J1267" s="1216"/>
      <c r="K1267" s="1216"/>
      <c r="L1267" s="1216"/>
      <c r="M1267" s="1216"/>
      <c r="N1267" s="1216"/>
      <c r="O1267" s="1216"/>
      <c r="P1267" s="1216"/>
      <c r="Q1267" s="1216"/>
      <c r="R1267" s="1216"/>
      <c r="S1267" s="1216"/>
    </row>
    <row r="1268" spans="1:19" ht="12.75" customHeight="1">
      <c r="A1268" s="1287"/>
      <c r="B1268" s="1216"/>
      <c r="C1268" s="1216"/>
      <c r="D1268" s="1216"/>
      <c r="E1268" s="1216"/>
      <c r="F1268" s="1216"/>
      <c r="G1268" s="1216"/>
      <c r="H1268" s="1216"/>
      <c r="I1268" s="1216"/>
      <c r="J1268" s="1216"/>
      <c r="K1268" s="1216"/>
      <c r="L1268" s="1216"/>
      <c r="M1268" s="1216"/>
      <c r="N1268" s="1216"/>
      <c r="O1268" s="1216"/>
      <c r="P1268" s="1216"/>
      <c r="Q1268" s="1216"/>
      <c r="R1268" s="1216"/>
      <c r="S1268" s="1216"/>
    </row>
    <row r="1269" spans="1:19" ht="12.75" customHeight="1">
      <c r="A1269" s="1216"/>
      <c r="B1269" s="1216"/>
      <c r="C1269" s="1216"/>
      <c r="D1269" s="1216"/>
      <c r="E1269" s="1216"/>
      <c r="F1269" s="1216"/>
      <c r="G1269" s="1216"/>
      <c r="H1269" s="1216"/>
      <c r="I1269" s="1216"/>
      <c r="J1269" s="1216"/>
      <c r="K1269" s="1216"/>
      <c r="L1269" s="1216"/>
      <c r="M1269" s="1216"/>
      <c r="N1269" s="1216"/>
      <c r="O1269" s="1216"/>
      <c r="P1269" s="1216"/>
      <c r="Q1269" s="1216"/>
      <c r="R1269" s="1216"/>
      <c r="S1269" s="1216"/>
    </row>
    <row r="1270" spans="1:19" ht="12.75" customHeight="1">
      <c r="A1270" s="1216"/>
      <c r="B1270" s="1216"/>
      <c r="C1270" s="1216"/>
      <c r="D1270" s="1216"/>
      <c r="E1270" s="1216"/>
      <c r="F1270" s="1216"/>
      <c r="G1270" s="1216"/>
      <c r="H1270" s="1216"/>
      <c r="I1270" s="1216"/>
      <c r="J1270" s="1216"/>
      <c r="K1270" s="1216"/>
      <c r="L1270" s="1216"/>
      <c r="M1270" s="1216"/>
      <c r="N1270" s="1216"/>
      <c r="O1270" s="1216"/>
      <c r="P1270" s="1216"/>
      <c r="Q1270" s="1216"/>
      <c r="R1270" s="1216"/>
      <c r="S1270" s="1216"/>
    </row>
    <row r="1271" spans="1:19" ht="12.75" customHeight="1">
      <c r="A1271" s="1216"/>
      <c r="B1271" s="1216"/>
      <c r="C1271" s="1216"/>
      <c r="D1271" s="1216"/>
      <c r="E1271" s="1216"/>
      <c r="F1271" s="1216"/>
      <c r="G1271" s="1216"/>
      <c r="H1271" s="1216"/>
      <c r="I1271" s="1216"/>
      <c r="J1271" s="1216"/>
      <c r="K1271" s="1216"/>
      <c r="L1271" s="1216"/>
      <c r="M1271" s="1216"/>
      <c r="N1271" s="1216"/>
      <c r="O1271" s="1216"/>
      <c r="P1271" s="1216"/>
      <c r="Q1271" s="1216"/>
      <c r="R1271" s="1216"/>
      <c r="S1271" s="1216"/>
    </row>
    <row r="1272" spans="1:19" ht="12.75" customHeight="1">
      <c r="A1272" s="1287" t="s">
        <v>4724</v>
      </c>
      <c r="B1272" s="1216"/>
      <c r="C1272" s="1216"/>
      <c r="D1272" s="1216"/>
      <c r="E1272" s="1216"/>
      <c r="F1272" s="1216"/>
      <c r="G1272" s="1216"/>
      <c r="H1272" s="1216"/>
      <c r="I1272" s="1216"/>
      <c r="J1272" s="1216"/>
      <c r="K1272" s="1216"/>
      <c r="L1272" s="1216"/>
      <c r="M1272" s="1216"/>
      <c r="N1272" s="1216"/>
      <c r="O1272" s="1216"/>
      <c r="P1272" s="1216"/>
      <c r="Q1272" s="1216"/>
      <c r="R1272" s="1216"/>
      <c r="S1272" s="1216"/>
    </row>
    <row r="1273" spans="1:19" ht="12.75" customHeight="1">
      <c r="A1273" s="1216"/>
      <c r="B1273" s="1216"/>
      <c r="C1273" s="1216"/>
      <c r="D1273" s="1216"/>
      <c r="E1273" s="1216"/>
      <c r="F1273" s="1216"/>
      <c r="G1273" s="1216"/>
      <c r="H1273" s="1216"/>
      <c r="I1273" s="1216"/>
      <c r="J1273" s="1216"/>
      <c r="K1273" s="1216"/>
      <c r="L1273" s="1216"/>
      <c r="M1273" s="1216"/>
      <c r="N1273" s="1216"/>
      <c r="O1273" s="1216"/>
      <c r="P1273" s="1216"/>
      <c r="Q1273" s="1216"/>
      <c r="R1273" s="1216"/>
      <c r="S1273" s="1216"/>
    </row>
    <row r="1274" spans="1:19" ht="12.75" customHeight="1">
      <c r="A1274" s="1216"/>
      <c r="B1274" s="1216"/>
      <c r="C1274" s="1216"/>
      <c r="D1274" s="1216"/>
      <c r="E1274" s="1216"/>
      <c r="F1274" s="1216"/>
      <c r="G1274" s="1216"/>
      <c r="H1274" s="1216"/>
      <c r="I1274" s="1216"/>
      <c r="J1274" s="1216"/>
      <c r="K1274" s="1216"/>
      <c r="L1274" s="1216"/>
      <c r="M1274" s="1216"/>
      <c r="N1274" s="1216"/>
      <c r="O1274" s="1216"/>
      <c r="P1274" s="1216"/>
      <c r="Q1274" s="1216"/>
      <c r="R1274" s="1216"/>
      <c r="S1274" s="1216"/>
    </row>
    <row r="1275" spans="1:19" ht="12.75" customHeight="1">
      <c r="A1275" s="1216"/>
      <c r="B1275" s="1216"/>
      <c r="C1275" s="1216"/>
      <c r="D1275" s="1216"/>
      <c r="E1275" s="1216"/>
      <c r="F1275" s="1216"/>
      <c r="G1275" s="1216"/>
      <c r="H1275" s="1216"/>
      <c r="I1275" s="1216"/>
      <c r="J1275" s="1216"/>
      <c r="K1275" s="1216"/>
      <c r="L1275" s="1216"/>
      <c r="M1275" s="1216"/>
      <c r="N1275" s="1216"/>
      <c r="O1275" s="1216"/>
      <c r="P1275" s="1216"/>
      <c r="Q1275" s="1216"/>
      <c r="R1275" s="1216"/>
      <c r="S1275" s="1216"/>
    </row>
    <row r="1276" spans="1:19" ht="12.75" customHeight="1">
      <c r="A1276" s="1216"/>
      <c r="B1276" s="1216"/>
      <c r="C1276" s="1216"/>
      <c r="D1276" s="1216"/>
      <c r="E1276" s="1216"/>
      <c r="F1276" s="1216"/>
      <c r="G1276" s="1216"/>
      <c r="H1276" s="1216"/>
      <c r="I1276" s="1216"/>
      <c r="J1276" s="1216"/>
      <c r="K1276" s="1216"/>
      <c r="L1276" s="1216"/>
      <c r="M1276" s="1216"/>
      <c r="N1276" s="1216"/>
      <c r="O1276" s="1216"/>
      <c r="P1276" s="1216"/>
      <c r="Q1276" s="1216"/>
      <c r="R1276" s="1216"/>
      <c r="S1276" s="1216"/>
    </row>
    <row r="1277" spans="1:19" ht="12.75" customHeight="1">
      <c r="A1277" s="1216"/>
      <c r="B1277" s="1216"/>
      <c r="C1277" s="1216"/>
      <c r="D1277" s="1216"/>
      <c r="E1277" s="1216"/>
      <c r="F1277" s="1216"/>
      <c r="G1277" s="1216"/>
      <c r="H1277" s="1216"/>
      <c r="I1277" s="1216"/>
      <c r="J1277" s="1216"/>
      <c r="K1277" s="1216"/>
      <c r="L1277" s="1216"/>
      <c r="M1277" s="1216"/>
      <c r="N1277" s="1216"/>
      <c r="O1277" s="1216"/>
      <c r="P1277" s="1216"/>
      <c r="Q1277" s="1216"/>
      <c r="R1277" s="1216"/>
      <c r="S1277" s="1216"/>
    </row>
    <row r="1278" spans="1:19" ht="12.75" customHeight="1">
      <c r="A1278" s="1216"/>
      <c r="B1278" s="1216"/>
      <c r="C1278" s="1216"/>
      <c r="D1278" s="1216"/>
      <c r="E1278" s="1216"/>
      <c r="F1278" s="1216"/>
      <c r="G1278" s="1216"/>
      <c r="H1278" s="1216"/>
      <c r="I1278" s="1216"/>
      <c r="J1278" s="1216"/>
      <c r="K1278" s="1216"/>
      <c r="L1278" s="1216"/>
      <c r="M1278" s="1216"/>
      <c r="N1278" s="1216"/>
      <c r="O1278" s="1216"/>
      <c r="P1278" s="1216"/>
      <c r="Q1278" s="1216"/>
      <c r="R1278" s="1216"/>
      <c r="S1278" s="1216"/>
    </row>
    <row r="1279" spans="1:19" ht="12.75" customHeight="1">
      <c r="A1279" s="1216"/>
      <c r="B1279" s="1216"/>
      <c r="C1279" s="1216"/>
      <c r="D1279" s="1216"/>
      <c r="E1279" s="1216"/>
      <c r="F1279" s="1216"/>
      <c r="G1279" s="1216"/>
      <c r="H1279" s="1216"/>
      <c r="I1279" s="1216"/>
      <c r="J1279" s="1216"/>
      <c r="K1279" s="1216"/>
      <c r="L1279" s="1216"/>
      <c r="M1279" s="1216"/>
      <c r="N1279" s="1216"/>
      <c r="O1279" s="1216"/>
      <c r="P1279" s="1216"/>
      <c r="Q1279" s="1216"/>
      <c r="R1279" s="1216"/>
      <c r="S1279" s="1216"/>
    </row>
    <row r="1280" spans="1:19" ht="12.75" customHeight="1">
      <c r="A1280" s="1501" t="s">
        <v>4726</v>
      </c>
      <c r="B1280" s="1501"/>
      <c r="C1280" s="1501"/>
      <c r="D1280" s="1501"/>
      <c r="E1280" s="1501"/>
      <c r="F1280" s="1501"/>
      <c r="G1280" s="1501"/>
      <c r="H1280" s="1501"/>
      <c r="I1280" s="1501"/>
      <c r="J1280" s="1501"/>
      <c r="K1280" s="1501"/>
      <c r="L1280" s="1501"/>
      <c r="M1280" s="1501"/>
      <c r="N1280" s="1501"/>
      <c r="O1280" s="1501"/>
      <c r="P1280" s="1501"/>
      <c r="Q1280" s="1501"/>
      <c r="R1280" s="1501"/>
      <c r="S1280" s="1501"/>
    </row>
    <row r="1281" spans="1:19" ht="12.75" customHeight="1">
      <c r="A1281" s="1501"/>
      <c r="B1281" s="1501"/>
      <c r="C1281" s="1501"/>
      <c r="D1281" s="1501"/>
      <c r="E1281" s="1501"/>
      <c r="F1281" s="1501"/>
      <c r="G1281" s="1501"/>
      <c r="H1281" s="1501"/>
      <c r="I1281" s="1501"/>
      <c r="J1281" s="1501"/>
      <c r="K1281" s="1501"/>
      <c r="L1281" s="1501"/>
      <c r="M1281" s="1501"/>
      <c r="N1281" s="1501"/>
      <c r="O1281" s="1501"/>
      <c r="P1281" s="1501"/>
      <c r="Q1281" s="1501"/>
      <c r="R1281" s="1501"/>
      <c r="S1281" s="1501"/>
    </row>
    <row r="1282" spans="1:19" ht="12.75" customHeight="1">
      <c r="A1282" s="1501"/>
      <c r="B1282" s="1501"/>
      <c r="C1282" s="1501"/>
      <c r="D1282" s="1501"/>
      <c r="E1282" s="1501"/>
      <c r="F1282" s="1501"/>
      <c r="G1282" s="1501"/>
      <c r="H1282" s="1501"/>
      <c r="I1282" s="1501"/>
      <c r="J1282" s="1501"/>
      <c r="K1282" s="1501"/>
      <c r="L1282" s="1501"/>
      <c r="M1282" s="1501"/>
      <c r="N1282" s="1501"/>
      <c r="O1282" s="1501"/>
      <c r="P1282" s="1501"/>
      <c r="Q1282" s="1501"/>
      <c r="R1282" s="1501"/>
      <c r="S1282" s="1501"/>
    </row>
    <row r="1283" spans="1:19" ht="12.75" customHeight="1">
      <c r="A1283" s="1501"/>
      <c r="B1283" s="1501"/>
      <c r="C1283" s="1501"/>
      <c r="D1283" s="1501"/>
      <c r="E1283" s="1501"/>
      <c r="F1283" s="1501"/>
      <c r="G1283" s="1501"/>
      <c r="H1283" s="1501"/>
      <c r="I1283" s="1501"/>
      <c r="J1283" s="1501"/>
      <c r="K1283" s="1501"/>
      <c r="L1283" s="1501"/>
      <c r="M1283" s="1501"/>
      <c r="N1283" s="1501"/>
      <c r="O1283" s="1501"/>
      <c r="P1283" s="1501"/>
      <c r="Q1283" s="1501"/>
      <c r="R1283" s="1501"/>
      <c r="S1283" s="1501"/>
    </row>
    <row r="1284" spans="1:19" ht="12.75" customHeight="1">
      <c r="A1284" s="1501"/>
      <c r="B1284" s="1501"/>
      <c r="C1284" s="1501"/>
      <c r="D1284" s="1501"/>
      <c r="E1284" s="1501"/>
      <c r="F1284" s="1501"/>
      <c r="G1284" s="1501"/>
      <c r="H1284" s="1501"/>
      <c r="I1284" s="1501"/>
      <c r="J1284" s="1501"/>
      <c r="K1284" s="1501"/>
      <c r="L1284" s="1501"/>
      <c r="M1284" s="1501"/>
      <c r="N1284" s="1501"/>
      <c r="O1284" s="1501"/>
      <c r="P1284" s="1501"/>
      <c r="Q1284" s="1501"/>
      <c r="R1284" s="1501"/>
      <c r="S1284" s="1501"/>
    </row>
    <row r="1285" spans="1:19" ht="12.75" customHeight="1">
      <c r="A1285" s="1501"/>
      <c r="B1285" s="1501"/>
      <c r="C1285" s="1501"/>
      <c r="D1285" s="1501"/>
      <c r="E1285" s="1501"/>
      <c r="F1285" s="1501"/>
      <c r="G1285" s="1501"/>
      <c r="H1285" s="1501"/>
      <c r="I1285" s="1501"/>
      <c r="J1285" s="1501"/>
      <c r="K1285" s="1501"/>
      <c r="L1285" s="1501"/>
      <c r="M1285" s="1501"/>
      <c r="N1285" s="1501"/>
      <c r="O1285" s="1501"/>
      <c r="P1285" s="1501"/>
      <c r="Q1285" s="1501"/>
      <c r="R1285" s="1501"/>
      <c r="S1285" s="1501"/>
    </row>
    <row r="1286" spans="1:19" ht="12.75" customHeight="1">
      <c r="A1286" s="1287" t="s">
        <v>4727</v>
      </c>
      <c r="B1286" s="1216"/>
      <c r="C1286" s="1216"/>
      <c r="D1286" s="1216"/>
      <c r="E1286" s="1216"/>
      <c r="F1286" s="1216"/>
      <c r="G1286" s="1216"/>
      <c r="H1286" s="1216"/>
      <c r="I1286" s="1216"/>
      <c r="J1286" s="1216"/>
      <c r="K1286" s="1216"/>
      <c r="L1286" s="1216"/>
      <c r="M1286" s="1216"/>
      <c r="N1286" s="1216"/>
      <c r="O1286" s="1216"/>
      <c r="P1286" s="1216"/>
      <c r="Q1286" s="1216"/>
      <c r="R1286" s="1216"/>
      <c r="S1286" s="1216"/>
    </row>
    <row r="1287" spans="1:19" ht="12.75" customHeight="1">
      <c r="A1287" s="1287"/>
      <c r="B1287" s="1216"/>
      <c r="C1287" s="1216"/>
      <c r="D1287" s="1216"/>
      <c r="E1287" s="1216"/>
      <c r="F1287" s="1216"/>
      <c r="G1287" s="1216"/>
      <c r="H1287" s="1216"/>
      <c r="I1287" s="1216"/>
      <c r="J1287" s="1216"/>
      <c r="K1287" s="1216"/>
      <c r="L1287" s="1216"/>
      <c r="M1287" s="1216"/>
      <c r="N1287" s="1216"/>
      <c r="O1287" s="1216"/>
      <c r="P1287" s="1216"/>
      <c r="Q1287" s="1216"/>
      <c r="R1287" s="1216"/>
      <c r="S1287" s="1216"/>
    </row>
    <row r="1288" spans="1:19" ht="12.75" customHeight="1">
      <c r="A1288" s="1287"/>
      <c r="B1288" s="1216"/>
      <c r="C1288" s="1216"/>
      <c r="D1288" s="1216"/>
      <c r="E1288" s="1216"/>
      <c r="F1288" s="1216"/>
      <c r="G1288" s="1216"/>
      <c r="H1288" s="1216"/>
      <c r="I1288" s="1216"/>
      <c r="J1288" s="1216"/>
      <c r="K1288" s="1216"/>
      <c r="L1288" s="1216"/>
      <c r="M1288" s="1216"/>
      <c r="N1288" s="1216"/>
      <c r="O1288" s="1216"/>
      <c r="P1288" s="1216"/>
      <c r="Q1288" s="1216"/>
      <c r="R1288" s="1216"/>
      <c r="S1288" s="1216"/>
    </row>
    <row r="1289" spans="1:19" ht="12.75" customHeight="1">
      <c r="A1289" s="1216"/>
      <c r="B1289" s="1216"/>
      <c r="C1289" s="1216"/>
      <c r="D1289" s="1216"/>
      <c r="E1289" s="1216"/>
      <c r="F1289" s="1216"/>
      <c r="G1289" s="1216"/>
      <c r="H1289" s="1216"/>
      <c r="I1289" s="1216"/>
      <c r="J1289" s="1216"/>
      <c r="K1289" s="1216"/>
      <c r="L1289" s="1216"/>
      <c r="M1289" s="1216"/>
      <c r="N1289" s="1216"/>
      <c r="O1289" s="1216"/>
      <c r="P1289" s="1216"/>
      <c r="Q1289" s="1216"/>
      <c r="R1289" s="1216"/>
      <c r="S1289" s="1216"/>
    </row>
    <row r="1290" spans="1:19" ht="12.75" customHeight="1">
      <c r="A1290" s="1216"/>
      <c r="B1290" s="1216"/>
      <c r="C1290" s="1216"/>
      <c r="D1290" s="1216"/>
      <c r="E1290" s="1216"/>
      <c r="F1290" s="1216"/>
      <c r="G1290" s="1216"/>
      <c r="H1290" s="1216"/>
      <c r="I1290" s="1216"/>
      <c r="J1290" s="1216"/>
      <c r="K1290" s="1216"/>
      <c r="L1290" s="1216"/>
      <c r="M1290" s="1216"/>
      <c r="N1290" s="1216"/>
      <c r="O1290" s="1216"/>
      <c r="P1290" s="1216"/>
      <c r="Q1290" s="1216"/>
      <c r="R1290" s="1216"/>
      <c r="S1290" s="1216"/>
    </row>
    <row r="1291" spans="1:19" ht="12.75" customHeight="1">
      <c r="A1291" s="1216"/>
      <c r="B1291" s="1216"/>
      <c r="C1291" s="1216"/>
      <c r="D1291" s="1216"/>
      <c r="E1291" s="1216"/>
      <c r="F1291" s="1216"/>
      <c r="G1291" s="1216"/>
      <c r="H1291" s="1216"/>
      <c r="I1291" s="1216"/>
      <c r="J1291" s="1216"/>
      <c r="K1291" s="1216"/>
      <c r="L1291" s="1216"/>
      <c r="M1291" s="1216"/>
      <c r="N1291" s="1216"/>
      <c r="O1291" s="1216"/>
      <c r="P1291" s="1216"/>
      <c r="Q1291" s="1216"/>
      <c r="R1291" s="1216"/>
      <c r="S1291" s="1216"/>
    </row>
    <row r="1292" spans="1:19" ht="12.75" customHeight="1">
      <c r="A1292" s="1216"/>
      <c r="B1292" s="1216"/>
      <c r="C1292" s="1216"/>
      <c r="D1292" s="1216"/>
      <c r="E1292" s="1216"/>
      <c r="F1292" s="1216"/>
      <c r="G1292" s="1216"/>
      <c r="H1292" s="1216"/>
      <c r="I1292" s="1216"/>
      <c r="J1292" s="1216"/>
      <c r="K1292" s="1216"/>
      <c r="L1292" s="1216"/>
      <c r="M1292" s="1216"/>
      <c r="N1292" s="1216"/>
      <c r="O1292" s="1216"/>
      <c r="P1292" s="1216"/>
      <c r="Q1292" s="1216"/>
      <c r="R1292" s="1216"/>
      <c r="S1292" s="1216"/>
    </row>
    <row r="1293" spans="1:19" ht="12.75" customHeight="1">
      <c r="A1293" s="1287" t="s">
        <v>4730</v>
      </c>
      <c r="B1293" s="1287"/>
      <c r="C1293" s="1287"/>
      <c r="D1293" s="1287"/>
      <c r="E1293" s="1287"/>
      <c r="F1293" s="1287"/>
      <c r="G1293" s="1287"/>
      <c r="H1293" s="1287"/>
      <c r="I1293" s="1287"/>
      <c r="J1293" s="1287"/>
      <c r="K1293" s="1287"/>
      <c r="L1293" s="1287"/>
      <c r="M1293" s="1287"/>
      <c r="N1293" s="1287"/>
      <c r="O1293" s="1287"/>
      <c r="P1293" s="1287"/>
      <c r="Q1293" s="1287"/>
      <c r="R1293" s="1287"/>
      <c r="S1293" s="1287"/>
    </row>
    <row r="1294" spans="1:19" ht="12.75" customHeight="1">
      <c r="A1294" s="1287" t="s">
        <v>4728</v>
      </c>
      <c r="B1294" s="1216"/>
      <c r="C1294" s="1216"/>
      <c r="D1294" s="1216"/>
      <c r="E1294" s="1216"/>
      <c r="F1294" s="1216"/>
      <c r="G1294" s="1216"/>
      <c r="H1294" s="1216"/>
      <c r="I1294" s="1216"/>
      <c r="J1294" s="1216"/>
      <c r="K1294" s="1216"/>
      <c r="L1294" s="1216"/>
      <c r="M1294" s="1216"/>
      <c r="N1294" s="1216"/>
      <c r="O1294" s="1216"/>
      <c r="P1294" s="1216"/>
      <c r="Q1294" s="1216"/>
      <c r="R1294" s="1216"/>
      <c r="S1294" s="1216"/>
    </row>
    <row r="1295" spans="1:19" ht="12.75" customHeight="1">
      <c r="A1295" s="1216"/>
      <c r="B1295" s="1216"/>
      <c r="C1295" s="1216"/>
      <c r="D1295" s="1216"/>
      <c r="E1295" s="1216"/>
      <c r="F1295" s="1216"/>
      <c r="G1295" s="1216"/>
      <c r="H1295" s="1216"/>
      <c r="I1295" s="1216"/>
      <c r="J1295" s="1216"/>
      <c r="K1295" s="1216"/>
      <c r="L1295" s="1216"/>
      <c r="M1295" s="1216"/>
      <c r="N1295" s="1216"/>
      <c r="O1295" s="1216"/>
      <c r="P1295" s="1216"/>
      <c r="Q1295" s="1216"/>
      <c r="R1295" s="1216"/>
      <c r="S1295" s="1216"/>
    </row>
    <row r="1296" spans="1:19" ht="12.75" customHeight="1">
      <c r="A1296" s="1216"/>
      <c r="B1296" s="1216"/>
      <c r="C1296" s="1216"/>
      <c r="D1296" s="1216"/>
      <c r="E1296" s="1216"/>
      <c r="F1296" s="1216"/>
      <c r="G1296" s="1216"/>
      <c r="H1296" s="1216"/>
      <c r="I1296" s="1216"/>
      <c r="J1296" s="1216"/>
      <c r="K1296" s="1216"/>
      <c r="L1296" s="1216"/>
      <c r="M1296" s="1216"/>
      <c r="N1296" s="1216"/>
      <c r="O1296" s="1216"/>
      <c r="P1296" s="1216"/>
      <c r="Q1296" s="1216"/>
      <c r="R1296" s="1216"/>
      <c r="S1296" s="1216"/>
    </row>
    <row r="1297" spans="1:19" ht="12.75" customHeight="1">
      <c r="A1297" s="1216"/>
      <c r="B1297" s="1216"/>
      <c r="C1297" s="1216"/>
      <c r="D1297" s="1216"/>
      <c r="E1297" s="1216"/>
      <c r="F1297" s="1216"/>
      <c r="G1297" s="1216"/>
      <c r="H1297" s="1216"/>
      <c r="I1297" s="1216"/>
      <c r="J1297" s="1216"/>
      <c r="K1297" s="1216"/>
      <c r="L1297" s="1216"/>
      <c r="M1297" s="1216"/>
      <c r="N1297" s="1216"/>
      <c r="O1297" s="1216"/>
      <c r="P1297" s="1216"/>
      <c r="Q1297" s="1216"/>
      <c r="R1297" s="1216"/>
      <c r="S1297" s="1216"/>
    </row>
    <row r="1298" spans="1:19" ht="12.75" customHeight="1">
      <c r="A1298" s="1216"/>
      <c r="B1298" s="1216"/>
      <c r="C1298" s="1216"/>
      <c r="D1298" s="1216"/>
      <c r="E1298" s="1216"/>
      <c r="F1298" s="1216"/>
      <c r="G1298" s="1216"/>
      <c r="H1298" s="1216"/>
      <c r="I1298" s="1216"/>
      <c r="J1298" s="1216"/>
      <c r="K1298" s="1216"/>
      <c r="L1298" s="1216"/>
      <c r="M1298" s="1216"/>
      <c r="N1298" s="1216"/>
      <c r="O1298" s="1216"/>
      <c r="P1298" s="1216"/>
      <c r="Q1298" s="1216"/>
      <c r="R1298" s="1216"/>
      <c r="S1298" s="1216"/>
    </row>
    <row r="1299" spans="1:19" ht="12.75" customHeight="1">
      <c r="A1299" s="1287" t="s">
        <v>4709</v>
      </c>
      <c r="B1299" s="1216"/>
      <c r="C1299" s="1216"/>
      <c r="D1299" s="1216"/>
      <c r="E1299" s="1216"/>
      <c r="F1299" s="1216"/>
      <c r="G1299" s="1216"/>
      <c r="H1299" s="1216"/>
      <c r="I1299" s="1216"/>
      <c r="J1299" s="1216"/>
      <c r="K1299" s="1216"/>
      <c r="L1299" s="1216"/>
      <c r="M1299" s="1216"/>
      <c r="N1299" s="1216"/>
      <c r="O1299" s="1216"/>
      <c r="P1299" s="1216"/>
      <c r="Q1299" s="1216"/>
      <c r="R1299" s="1216"/>
      <c r="S1299" s="1216"/>
    </row>
    <row r="1300" spans="1:19" ht="12.75" customHeight="1">
      <c r="A1300" s="1287" t="s">
        <v>4708</v>
      </c>
      <c r="B1300" s="1216"/>
      <c r="C1300" s="1216"/>
      <c r="D1300" s="1216"/>
      <c r="E1300" s="1216"/>
      <c r="F1300" s="1216"/>
      <c r="G1300" s="1216"/>
      <c r="H1300" s="1216"/>
      <c r="I1300" s="1216"/>
      <c r="J1300" s="1216"/>
      <c r="K1300" s="1216"/>
      <c r="L1300" s="1216"/>
      <c r="M1300" s="1216"/>
      <c r="N1300" s="1216"/>
      <c r="O1300" s="1216"/>
      <c r="P1300" s="1216"/>
      <c r="Q1300" s="1216"/>
      <c r="R1300" s="1216"/>
      <c r="S1300" s="1216"/>
    </row>
    <row r="1301" spans="1:19" ht="12.75" customHeight="1">
      <c r="A1301" s="1216"/>
      <c r="B1301" s="1216"/>
      <c r="C1301" s="1216"/>
      <c r="D1301" s="1216"/>
      <c r="E1301" s="1216"/>
      <c r="F1301" s="1216"/>
      <c r="G1301" s="1216"/>
      <c r="H1301" s="1216"/>
      <c r="I1301" s="1216"/>
      <c r="J1301" s="1216"/>
      <c r="K1301" s="1216"/>
      <c r="L1301" s="1216"/>
      <c r="M1301" s="1216"/>
      <c r="N1301" s="1216"/>
      <c r="O1301" s="1216"/>
      <c r="P1301" s="1216"/>
      <c r="Q1301" s="1216"/>
      <c r="R1301" s="1216"/>
      <c r="S1301" s="1216"/>
    </row>
    <row r="1302" spans="1:19" ht="12.75" customHeight="1">
      <c r="A1302" s="1287" t="s">
        <v>4729</v>
      </c>
      <c r="B1302" s="1287"/>
      <c r="C1302" s="1287"/>
      <c r="D1302" s="1287"/>
      <c r="E1302" s="1287"/>
      <c r="F1302" s="1287"/>
      <c r="G1302" s="1287"/>
      <c r="H1302" s="1287"/>
      <c r="I1302" s="1287"/>
      <c r="J1302" s="1287"/>
      <c r="K1302" s="1287"/>
      <c r="L1302" s="1287"/>
      <c r="M1302" s="1287"/>
      <c r="N1302" s="1287"/>
      <c r="O1302" s="1287"/>
      <c r="P1302" s="1287"/>
      <c r="Q1302" s="1287"/>
      <c r="R1302" s="1287"/>
      <c r="S1302" s="1287"/>
    </row>
    <row r="1303" spans="1:19" ht="12.75" customHeight="1">
      <c r="A1303" s="1287"/>
      <c r="B1303" s="1287"/>
      <c r="C1303" s="1287"/>
      <c r="D1303" s="1287"/>
      <c r="E1303" s="1287"/>
      <c r="F1303" s="1287"/>
      <c r="G1303" s="1287"/>
      <c r="H1303" s="1287"/>
      <c r="I1303" s="1287"/>
      <c r="J1303" s="1287"/>
      <c r="K1303" s="1287"/>
      <c r="L1303" s="1287"/>
      <c r="M1303" s="1287"/>
      <c r="N1303" s="1287"/>
      <c r="O1303" s="1287"/>
      <c r="P1303" s="1287"/>
      <c r="Q1303" s="1287"/>
      <c r="R1303" s="1287"/>
      <c r="S1303" s="1287"/>
    </row>
    <row r="1304" spans="1:19" ht="12.75" customHeight="1">
      <c r="A1304" s="1287" t="s">
        <v>4731</v>
      </c>
      <c r="B1304" s="1216"/>
      <c r="C1304" s="1216"/>
      <c r="D1304" s="1216"/>
      <c r="E1304" s="1216"/>
      <c r="F1304" s="1216"/>
      <c r="G1304" s="1216"/>
      <c r="H1304" s="1216"/>
      <c r="I1304" s="1216"/>
      <c r="J1304" s="1216"/>
      <c r="K1304" s="1216"/>
      <c r="L1304" s="1216"/>
      <c r="M1304" s="1216"/>
      <c r="N1304" s="1216"/>
      <c r="O1304" s="1216"/>
      <c r="P1304" s="1216"/>
      <c r="Q1304" s="1216"/>
      <c r="R1304" s="1216"/>
      <c r="S1304" s="1216"/>
    </row>
    <row r="1305" spans="1:19" ht="12.75" customHeight="1">
      <c r="A1305" s="1216"/>
      <c r="B1305" s="1216"/>
      <c r="C1305" s="1216"/>
      <c r="D1305" s="1216"/>
      <c r="E1305" s="1216"/>
      <c r="F1305" s="1216"/>
      <c r="G1305" s="1216"/>
      <c r="H1305" s="1216"/>
      <c r="I1305" s="1216"/>
      <c r="J1305" s="1216"/>
      <c r="K1305" s="1216"/>
      <c r="L1305" s="1216"/>
      <c r="M1305" s="1216"/>
      <c r="N1305" s="1216"/>
      <c r="O1305" s="1216"/>
      <c r="P1305" s="1216"/>
      <c r="Q1305" s="1216"/>
      <c r="R1305" s="1216"/>
      <c r="S1305" s="1216"/>
    </row>
    <row r="1306" spans="1:19" ht="12.75" customHeight="1">
      <c r="A1306" s="1216"/>
      <c r="B1306" s="1216"/>
      <c r="C1306" s="1216"/>
      <c r="D1306" s="1216"/>
      <c r="E1306" s="1216"/>
      <c r="F1306" s="1216"/>
      <c r="G1306" s="1216"/>
      <c r="H1306" s="1216"/>
      <c r="I1306" s="1216"/>
      <c r="J1306" s="1216"/>
      <c r="K1306" s="1216"/>
      <c r="L1306" s="1216"/>
      <c r="M1306" s="1216"/>
      <c r="N1306" s="1216"/>
      <c r="O1306" s="1216"/>
      <c r="P1306" s="1216"/>
      <c r="Q1306" s="1216"/>
      <c r="R1306" s="1216"/>
      <c r="S1306" s="1216"/>
    </row>
    <row r="1307" spans="1:19" ht="12.75" customHeight="1">
      <c r="A1307" s="1216"/>
      <c r="B1307" s="1216"/>
      <c r="C1307" s="1216"/>
      <c r="D1307" s="1216"/>
      <c r="E1307" s="1216"/>
      <c r="F1307" s="1216"/>
      <c r="G1307" s="1216"/>
      <c r="H1307" s="1216"/>
      <c r="I1307" s="1216"/>
      <c r="J1307" s="1216"/>
      <c r="K1307" s="1216"/>
      <c r="L1307" s="1216"/>
      <c r="M1307" s="1216"/>
      <c r="N1307" s="1216"/>
      <c r="O1307" s="1216"/>
      <c r="P1307" s="1216"/>
      <c r="Q1307" s="1216"/>
      <c r="R1307" s="1216"/>
      <c r="S1307" s="1216"/>
    </row>
    <row r="1308" spans="1:19" ht="12.75" customHeight="1">
      <c r="A1308" s="1216"/>
      <c r="B1308" s="1216"/>
      <c r="C1308" s="1216"/>
      <c r="D1308" s="1216"/>
      <c r="E1308" s="1216"/>
      <c r="F1308" s="1216"/>
      <c r="G1308" s="1216"/>
      <c r="H1308" s="1216"/>
      <c r="I1308" s="1216"/>
      <c r="J1308" s="1216"/>
      <c r="K1308" s="1216"/>
      <c r="L1308" s="1216"/>
      <c r="M1308" s="1216"/>
      <c r="N1308" s="1216"/>
      <c r="O1308" s="1216"/>
      <c r="P1308" s="1216"/>
      <c r="Q1308" s="1216"/>
      <c r="R1308" s="1216"/>
      <c r="S1308" s="1216"/>
    </row>
    <row r="1309" spans="1:19" ht="12.75" customHeight="1">
      <c r="A1309" s="1216"/>
      <c r="B1309" s="1216"/>
      <c r="C1309" s="1216"/>
      <c r="D1309" s="1216"/>
      <c r="E1309" s="1216"/>
      <c r="F1309" s="1216"/>
      <c r="G1309" s="1216"/>
      <c r="H1309" s="1216"/>
      <c r="I1309" s="1216"/>
      <c r="J1309" s="1216"/>
      <c r="K1309" s="1216"/>
      <c r="L1309" s="1216"/>
      <c r="M1309" s="1216"/>
      <c r="N1309" s="1216"/>
      <c r="O1309" s="1216"/>
      <c r="P1309" s="1216"/>
      <c r="Q1309" s="1216"/>
      <c r="R1309" s="1216"/>
      <c r="S1309" s="1216"/>
    </row>
    <row r="1310" spans="1:19" ht="12.75" customHeight="1">
      <c r="A1310" s="1216"/>
      <c r="B1310" s="1216"/>
      <c r="C1310" s="1216"/>
      <c r="D1310" s="1216"/>
      <c r="E1310" s="1216"/>
      <c r="F1310" s="1216"/>
      <c r="G1310" s="1216"/>
      <c r="H1310" s="1216"/>
      <c r="I1310" s="1216"/>
      <c r="J1310" s="1216"/>
      <c r="K1310" s="1216"/>
      <c r="L1310" s="1216"/>
      <c r="M1310" s="1216"/>
      <c r="N1310" s="1216"/>
      <c r="O1310" s="1216"/>
      <c r="P1310" s="1216"/>
      <c r="Q1310" s="1216"/>
      <c r="R1310" s="1216"/>
      <c r="S1310" s="1216"/>
    </row>
    <row r="1311" spans="1:19" ht="12.75" customHeight="1">
      <c r="A1311" s="1216"/>
      <c r="B1311" s="1216"/>
      <c r="C1311" s="1216"/>
      <c r="D1311" s="1216"/>
      <c r="E1311" s="1216"/>
      <c r="F1311" s="1216"/>
      <c r="G1311" s="1216"/>
      <c r="H1311" s="1216"/>
      <c r="I1311" s="1216"/>
      <c r="J1311" s="1216"/>
      <c r="K1311" s="1216"/>
      <c r="L1311" s="1216"/>
      <c r="M1311" s="1216"/>
      <c r="N1311" s="1216"/>
      <c r="O1311" s="1216"/>
      <c r="P1311" s="1216"/>
      <c r="Q1311" s="1216"/>
      <c r="R1311" s="1216"/>
      <c r="S1311" s="1216"/>
    </row>
    <row r="1312" spans="1:19" ht="12.75" customHeight="1">
      <c r="A1312" s="1216"/>
      <c r="B1312" s="1216"/>
      <c r="C1312" s="1216"/>
      <c r="D1312" s="1216"/>
      <c r="E1312" s="1216"/>
      <c r="F1312" s="1216"/>
      <c r="G1312" s="1216"/>
      <c r="H1312" s="1216"/>
      <c r="I1312" s="1216"/>
      <c r="J1312" s="1216"/>
      <c r="K1312" s="1216"/>
      <c r="L1312" s="1216"/>
      <c r="M1312" s="1216"/>
      <c r="N1312" s="1216"/>
      <c r="O1312" s="1216"/>
      <c r="P1312" s="1216"/>
      <c r="Q1312" s="1216"/>
      <c r="R1312" s="1216"/>
      <c r="S1312" s="1216"/>
    </row>
    <row r="1313" spans="1:19" ht="12.75" customHeight="1">
      <c r="A1313" s="1287" t="s">
        <v>4732</v>
      </c>
      <c r="B1313" s="1216"/>
      <c r="C1313" s="1216"/>
      <c r="D1313" s="1216"/>
      <c r="E1313" s="1216"/>
      <c r="F1313" s="1216"/>
      <c r="G1313" s="1216"/>
      <c r="H1313" s="1216"/>
      <c r="I1313" s="1216"/>
      <c r="J1313" s="1216"/>
      <c r="K1313" s="1216"/>
      <c r="L1313" s="1216"/>
      <c r="M1313" s="1216"/>
      <c r="N1313" s="1216"/>
      <c r="O1313" s="1216"/>
      <c r="P1313" s="1216"/>
      <c r="Q1313" s="1216"/>
      <c r="R1313" s="1216"/>
      <c r="S1313" s="1216"/>
    </row>
    <row r="1314" spans="1:19" ht="12.75" customHeight="1">
      <c r="A1314" s="1216"/>
      <c r="B1314" s="1216"/>
      <c r="C1314" s="1216"/>
      <c r="D1314" s="1216"/>
      <c r="E1314" s="1216"/>
      <c r="F1314" s="1216"/>
      <c r="G1314" s="1216"/>
      <c r="H1314" s="1216"/>
      <c r="I1314" s="1216"/>
      <c r="J1314" s="1216"/>
      <c r="K1314" s="1216"/>
      <c r="L1314" s="1216"/>
      <c r="M1314" s="1216"/>
      <c r="N1314" s="1216"/>
      <c r="O1314" s="1216"/>
      <c r="P1314" s="1216"/>
      <c r="Q1314" s="1216"/>
      <c r="R1314" s="1216"/>
      <c r="S1314" s="1216"/>
    </row>
    <row r="1315" spans="1:19" ht="12.75" customHeight="1">
      <c r="A1315" s="1216"/>
      <c r="B1315" s="1216"/>
      <c r="C1315" s="1216"/>
      <c r="D1315" s="1216"/>
      <c r="E1315" s="1216"/>
      <c r="F1315" s="1216"/>
      <c r="G1315" s="1216"/>
      <c r="H1315" s="1216"/>
      <c r="I1315" s="1216"/>
      <c r="J1315" s="1216"/>
      <c r="K1315" s="1216"/>
      <c r="L1315" s="1216"/>
      <c r="M1315" s="1216"/>
      <c r="N1315" s="1216"/>
      <c r="O1315" s="1216"/>
      <c r="P1315" s="1216"/>
      <c r="Q1315" s="1216"/>
      <c r="R1315" s="1216"/>
      <c r="S1315" s="1216"/>
    </row>
    <row r="1316" spans="1:19" ht="12.75" customHeight="1">
      <c r="A1316" s="1216"/>
      <c r="B1316" s="1216"/>
      <c r="C1316" s="1216"/>
      <c r="D1316" s="1216"/>
      <c r="E1316" s="1216"/>
      <c r="F1316" s="1216"/>
      <c r="G1316" s="1216"/>
      <c r="H1316" s="1216"/>
      <c r="I1316" s="1216"/>
      <c r="J1316" s="1216"/>
      <c r="K1316" s="1216"/>
      <c r="L1316" s="1216"/>
      <c r="M1316" s="1216"/>
      <c r="N1316" s="1216"/>
      <c r="O1316" s="1216"/>
      <c r="P1316" s="1216"/>
      <c r="Q1316" s="1216"/>
      <c r="R1316" s="1216"/>
      <c r="S1316" s="1216"/>
    </row>
    <row r="1317" spans="1:19" ht="12.75" customHeight="1">
      <c r="A1317" s="1287" t="s">
        <v>4733</v>
      </c>
      <c r="B1317" s="1216"/>
      <c r="C1317" s="1216"/>
      <c r="D1317" s="1216"/>
      <c r="E1317" s="1216"/>
      <c r="F1317" s="1216"/>
      <c r="G1317" s="1216"/>
      <c r="H1317" s="1216"/>
      <c r="I1317" s="1216"/>
      <c r="J1317" s="1216"/>
      <c r="K1317" s="1216"/>
      <c r="L1317" s="1216"/>
      <c r="M1317" s="1216"/>
      <c r="N1317" s="1216"/>
      <c r="O1317" s="1216"/>
      <c r="P1317" s="1216"/>
      <c r="Q1317" s="1216"/>
      <c r="R1317" s="1216"/>
      <c r="S1317" s="1216"/>
    </row>
    <row r="1318" spans="1:19" ht="12.75" customHeight="1">
      <c r="A1318" s="1287" t="s">
        <v>4734</v>
      </c>
      <c r="B1318" s="1216"/>
      <c r="C1318" s="1216"/>
      <c r="D1318" s="1216"/>
      <c r="E1318" s="1216"/>
      <c r="F1318" s="1216"/>
      <c r="G1318" s="1216"/>
      <c r="H1318" s="1216"/>
      <c r="I1318" s="1216"/>
      <c r="J1318" s="1216"/>
      <c r="K1318" s="1216"/>
      <c r="L1318" s="1216"/>
      <c r="M1318" s="1216"/>
      <c r="N1318" s="1216"/>
      <c r="O1318" s="1216"/>
      <c r="P1318" s="1216"/>
      <c r="Q1318" s="1216"/>
      <c r="R1318" s="1216"/>
      <c r="S1318" s="1216"/>
    </row>
    <row r="1319" spans="1:19" ht="12.75" customHeight="1">
      <c r="A1319" s="1216"/>
      <c r="B1319" s="1216"/>
      <c r="C1319" s="1216"/>
      <c r="D1319" s="1216"/>
      <c r="E1319" s="1216"/>
      <c r="F1319" s="1216"/>
      <c r="G1319" s="1216"/>
      <c r="H1319" s="1216"/>
      <c r="I1319" s="1216"/>
      <c r="J1319" s="1216"/>
      <c r="K1319" s="1216"/>
      <c r="L1319" s="1216"/>
      <c r="M1319" s="1216"/>
      <c r="N1319" s="1216"/>
      <c r="O1319" s="1216"/>
      <c r="P1319" s="1216"/>
      <c r="Q1319" s="1216"/>
      <c r="R1319" s="1216"/>
      <c r="S1319" s="1216"/>
    </row>
    <row r="1320" spans="1:19" ht="12.75" customHeight="1">
      <c r="A1320" s="1216"/>
      <c r="B1320" s="1216"/>
      <c r="C1320" s="1216"/>
      <c r="D1320" s="1216"/>
      <c r="E1320" s="1216"/>
      <c r="F1320" s="1216"/>
      <c r="G1320" s="1216"/>
      <c r="H1320" s="1216"/>
      <c r="I1320" s="1216"/>
      <c r="J1320" s="1216"/>
      <c r="K1320" s="1216"/>
      <c r="L1320" s="1216"/>
      <c r="M1320" s="1216"/>
      <c r="N1320" s="1216"/>
      <c r="O1320" s="1216"/>
      <c r="P1320" s="1216"/>
      <c r="Q1320" s="1216"/>
      <c r="R1320" s="1216"/>
      <c r="S1320" s="1216"/>
    </row>
    <row r="1321" spans="1:19" ht="12.75" customHeight="1">
      <c r="A1321" s="1287" t="s">
        <v>4735</v>
      </c>
      <c r="B1321" s="1287"/>
      <c r="C1321" s="1287"/>
      <c r="D1321" s="1287"/>
      <c r="E1321" s="1287"/>
      <c r="F1321" s="1287"/>
      <c r="G1321" s="1287"/>
      <c r="H1321" s="1287"/>
      <c r="I1321" s="1287"/>
      <c r="J1321" s="1287"/>
      <c r="K1321" s="1287"/>
      <c r="L1321" s="1287"/>
      <c r="M1321" s="1287"/>
      <c r="N1321" s="1287"/>
      <c r="O1321" s="1287"/>
      <c r="P1321" s="1287"/>
      <c r="Q1321" s="1287"/>
      <c r="R1321" s="1287"/>
      <c r="S1321" s="1287"/>
    </row>
    <row r="1322" spans="1:19" ht="12.75" customHeight="1">
      <c r="A1322" s="1287"/>
      <c r="B1322" s="1287"/>
      <c r="C1322" s="1287"/>
      <c r="D1322" s="1287"/>
      <c r="E1322" s="1287"/>
      <c r="F1322" s="1287"/>
      <c r="G1322" s="1287"/>
      <c r="H1322" s="1287"/>
      <c r="I1322" s="1287"/>
      <c r="J1322" s="1287"/>
      <c r="K1322" s="1287"/>
      <c r="L1322" s="1287"/>
      <c r="M1322" s="1287"/>
      <c r="N1322" s="1287"/>
      <c r="O1322" s="1287"/>
      <c r="P1322" s="1287"/>
      <c r="Q1322" s="1287"/>
      <c r="R1322" s="1287"/>
      <c r="S1322" s="1287"/>
    </row>
    <row r="1323" spans="1:19" ht="12.75" customHeight="1">
      <c r="A1323" s="1287" t="s">
        <v>4736</v>
      </c>
      <c r="B1323" s="1287"/>
      <c r="C1323" s="1287"/>
      <c r="D1323" s="1287"/>
      <c r="E1323" s="1287"/>
      <c r="F1323" s="1287"/>
      <c r="G1323" s="1287"/>
      <c r="H1323" s="1287"/>
      <c r="I1323" s="1287"/>
      <c r="J1323" s="1287"/>
      <c r="K1323" s="1287"/>
      <c r="L1323" s="1287"/>
      <c r="M1323" s="1287"/>
      <c r="N1323" s="1287"/>
      <c r="O1323" s="1287"/>
      <c r="P1323" s="1287"/>
      <c r="Q1323" s="1287"/>
      <c r="R1323" s="1287"/>
      <c r="S1323" s="1287"/>
    </row>
    <row r="1324" spans="1:19" ht="12.75" customHeight="1">
      <c r="A1324" s="1287"/>
      <c r="B1324" s="1287"/>
      <c r="C1324" s="1287"/>
      <c r="D1324" s="1287"/>
      <c r="E1324" s="1287"/>
      <c r="F1324" s="1287"/>
      <c r="G1324" s="1287"/>
      <c r="H1324" s="1287"/>
      <c r="I1324" s="1287"/>
      <c r="J1324" s="1287"/>
      <c r="K1324" s="1287"/>
      <c r="L1324" s="1287"/>
      <c r="M1324" s="1287"/>
      <c r="N1324" s="1287"/>
      <c r="O1324" s="1287"/>
      <c r="P1324" s="1287"/>
      <c r="Q1324" s="1287"/>
      <c r="R1324" s="1287"/>
      <c r="S1324" s="1287"/>
    </row>
    <row r="1325" spans="1:19" ht="12.75" customHeight="1">
      <c r="A1325" s="1287"/>
      <c r="B1325" s="1287"/>
      <c r="C1325" s="1287"/>
      <c r="D1325" s="1287"/>
      <c r="E1325" s="1287"/>
      <c r="F1325" s="1287"/>
      <c r="G1325" s="1287"/>
      <c r="H1325" s="1287"/>
      <c r="I1325" s="1287"/>
      <c r="J1325" s="1287"/>
      <c r="K1325" s="1287"/>
      <c r="L1325" s="1287"/>
      <c r="M1325" s="1287"/>
      <c r="N1325" s="1287"/>
      <c r="O1325" s="1287"/>
      <c r="P1325" s="1287"/>
      <c r="Q1325" s="1287"/>
      <c r="R1325" s="1287"/>
      <c r="S1325" s="1287"/>
    </row>
    <row r="1326" spans="1:19" ht="12.75" customHeight="1">
      <c r="A1326" s="1287"/>
      <c r="B1326" s="1287"/>
      <c r="C1326" s="1287"/>
      <c r="D1326" s="1287"/>
      <c r="E1326" s="1287"/>
      <c r="F1326" s="1287"/>
      <c r="G1326" s="1287"/>
      <c r="H1326" s="1287"/>
      <c r="I1326" s="1287"/>
      <c r="J1326" s="1287"/>
      <c r="K1326" s="1287"/>
      <c r="L1326" s="1287"/>
      <c r="M1326" s="1287"/>
      <c r="N1326" s="1287"/>
      <c r="O1326" s="1287"/>
      <c r="P1326" s="1287"/>
      <c r="Q1326" s="1287"/>
      <c r="R1326" s="1287"/>
      <c r="S1326" s="1287"/>
    </row>
    <row r="1327" spans="1:19" ht="12.75" customHeight="1">
      <c r="A1327" s="1501" t="s">
        <v>4737</v>
      </c>
      <c r="B1327" s="1501"/>
      <c r="C1327" s="1501"/>
      <c r="D1327" s="1501"/>
      <c r="E1327" s="1501"/>
      <c r="F1327" s="1501"/>
      <c r="G1327" s="1501"/>
      <c r="H1327" s="1501"/>
      <c r="I1327" s="1501"/>
      <c r="J1327" s="1501"/>
      <c r="K1327" s="1501"/>
      <c r="L1327" s="1501"/>
      <c r="M1327" s="1501"/>
      <c r="N1327" s="1501"/>
      <c r="O1327" s="1501"/>
      <c r="P1327" s="1501"/>
      <c r="Q1327" s="1501"/>
      <c r="R1327" s="1501"/>
      <c r="S1327" s="1501"/>
    </row>
    <row r="1328" spans="1:19" ht="12.75" customHeight="1">
      <c r="A1328" s="1501"/>
      <c r="B1328" s="1501"/>
      <c r="C1328" s="1501"/>
      <c r="D1328" s="1501"/>
      <c r="E1328" s="1501"/>
      <c r="F1328" s="1501"/>
      <c r="G1328" s="1501"/>
      <c r="H1328" s="1501"/>
      <c r="I1328" s="1501"/>
      <c r="J1328" s="1501"/>
      <c r="K1328" s="1501"/>
      <c r="L1328" s="1501"/>
      <c r="M1328" s="1501"/>
      <c r="N1328" s="1501"/>
      <c r="O1328" s="1501"/>
      <c r="P1328" s="1501"/>
      <c r="Q1328" s="1501"/>
      <c r="R1328" s="1501"/>
      <c r="S1328" s="1501"/>
    </row>
    <row r="1329" spans="1:19" ht="12.75" customHeight="1">
      <c r="A1329" s="1501"/>
      <c r="B1329" s="1501"/>
      <c r="C1329" s="1501"/>
      <c r="D1329" s="1501"/>
      <c r="E1329" s="1501"/>
      <c r="F1329" s="1501"/>
      <c r="G1329" s="1501"/>
      <c r="H1329" s="1501"/>
      <c r="I1329" s="1501"/>
      <c r="J1329" s="1501"/>
      <c r="K1329" s="1501"/>
      <c r="L1329" s="1501"/>
      <c r="M1329" s="1501"/>
      <c r="N1329" s="1501"/>
      <c r="O1329" s="1501"/>
      <c r="P1329" s="1501"/>
      <c r="Q1329" s="1501"/>
      <c r="R1329" s="1501"/>
      <c r="S1329" s="1501"/>
    </row>
    <row r="1330" spans="1:19" ht="12.75" customHeight="1">
      <c r="A1330" s="1216" t="s">
        <v>4754</v>
      </c>
      <c r="B1330" s="1216"/>
      <c r="C1330" s="1216"/>
      <c r="D1330" s="1216"/>
      <c r="E1330" s="1216"/>
      <c r="F1330" s="1216"/>
      <c r="G1330" s="1216"/>
      <c r="H1330" s="1216"/>
      <c r="I1330" s="1216"/>
      <c r="J1330" s="1216"/>
      <c r="K1330" s="1216"/>
      <c r="L1330" s="1216"/>
      <c r="M1330" s="1216"/>
      <c r="N1330" s="1216"/>
      <c r="O1330" s="1216"/>
      <c r="P1330" s="1216"/>
      <c r="Q1330" s="1216"/>
      <c r="R1330" s="1216"/>
      <c r="S1330" s="1216"/>
    </row>
    <row r="1331" spans="1:19" ht="12.75" customHeight="1">
      <c r="A1331" s="1216" t="s">
        <v>4753</v>
      </c>
      <c r="B1331" s="1216"/>
      <c r="C1331" s="1216"/>
      <c r="D1331" s="1216"/>
      <c r="E1331" s="1216"/>
      <c r="F1331" s="1216"/>
      <c r="G1331" s="1216"/>
      <c r="H1331" s="1216"/>
      <c r="I1331" s="1216"/>
      <c r="J1331" s="1216"/>
      <c r="K1331" s="1216"/>
      <c r="L1331" s="1216"/>
      <c r="M1331" s="1216"/>
      <c r="N1331" s="1216"/>
      <c r="O1331" s="1216"/>
      <c r="P1331" s="1216"/>
      <c r="Q1331" s="1216"/>
      <c r="R1331" s="1216"/>
      <c r="S1331" s="1216"/>
    </row>
    <row r="1332" spans="1:19" ht="12.75" customHeight="1">
      <c r="A1332" s="1216" t="s">
        <v>4752</v>
      </c>
      <c r="B1332" s="1216"/>
      <c r="C1332" s="1216"/>
      <c r="D1332" s="1216"/>
      <c r="E1332" s="1216"/>
      <c r="F1332" s="1216"/>
      <c r="G1332" s="1216"/>
      <c r="H1332" s="1216"/>
      <c r="I1332" s="1216"/>
      <c r="J1332" s="1216"/>
      <c r="K1332" s="1216"/>
      <c r="L1332" s="1216"/>
      <c r="M1332" s="1216"/>
      <c r="N1332" s="1216"/>
      <c r="O1332" s="1216"/>
      <c r="P1332" s="1216"/>
      <c r="Q1332" s="1216"/>
      <c r="R1332" s="1216"/>
      <c r="S1332" s="1216"/>
    </row>
    <row r="1333" spans="1:19" ht="12.75" customHeight="1">
      <c r="A1333" s="1216" t="s">
        <v>4751</v>
      </c>
      <c r="B1333" s="1216"/>
      <c r="C1333" s="1216"/>
      <c r="D1333" s="1216"/>
      <c r="E1333" s="1216"/>
      <c r="F1333" s="1216"/>
      <c r="G1333" s="1216"/>
      <c r="H1333" s="1216"/>
      <c r="I1333" s="1216"/>
      <c r="J1333" s="1216"/>
      <c r="K1333" s="1216"/>
      <c r="L1333" s="1216"/>
      <c r="M1333" s="1216"/>
      <c r="N1333" s="1216"/>
      <c r="O1333" s="1216"/>
      <c r="P1333" s="1216"/>
      <c r="Q1333" s="1216"/>
      <c r="R1333" s="1216"/>
      <c r="S1333" s="1216"/>
    </row>
    <row r="1334" spans="1:19" ht="12.75" customHeight="1">
      <c r="A1334" s="1216" t="s">
        <v>4750</v>
      </c>
      <c r="B1334" s="1216"/>
      <c r="C1334" s="1216"/>
      <c r="D1334" s="1216"/>
      <c r="E1334" s="1216"/>
      <c r="F1334" s="1216"/>
      <c r="G1334" s="1216"/>
      <c r="H1334" s="1216"/>
      <c r="I1334" s="1216"/>
      <c r="J1334" s="1216"/>
      <c r="K1334" s="1216"/>
      <c r="L1334" s="1216"/>
      <c r="M1334" s="1216"/>
      <c r="N1334" s="1216"/>
      <c r="O1334" s="1216"/>
      <c r="P1334" s="1216"/>
      <c r="Q1334" s="1216"/>
      <c r="R1334" s="1216"/>
      <c r="S1334" s="1216"/>
    </row>
    <row r="1335" spans="1:19" ht="12.75" customHeight="1">
      <c r="A1335" s="1216" t="s">
        <v>4749</v>
      </c>
      <c r="B1335" s="1216"/>
      <c r="C1335" s="1216"/>
      <c r="D1335" s="1216"/>
      <c r="E1335" s="1216"/>
      <c r="F1335" s="1216"/>
      <c r="G1335" s="1216"/>
      <c r="H1335" s="1216"/>
      <c r="I1335" s="1216"/>
      <c r="J1335" s="1216"/>
      <c r="K1335" s="1216"/>
      <c r="L1335" s="1216"/>
      <c r="M1335" s="1216"/>
      <c r="N1335" s="1216"/>
      <c r="O1335" s="1216"/>
      <c r="P1335" s="1216"/>
      <c r="Q1335" s="1216"/>
      <c r="R1335" s="1216"/>
      <c r="S1335" s="1216"/>
    </row>
    <row r="1336" spans="1:19" ht="12.75" customHeight="1">
      <c r="A1336" s="1216" t="s">
        <v>4748</v>
      </c>
      <c r="B1336" s="1216"/>
      <c r="C1336" s="1216"/>
      <c r="D1336" s="1216"/>
      <c r="E1336" s="1216"/>
      <c r="F1336" s="1216"/>
      <c r="G1336" s="1216"/>
      <c r="H1336" s="1216"/>
      <c r="I1336" s="1216"/>
      <c r="J1336" s="1216"/>
      <c r="K1336" s="1216"/>
      <c r="L1336" s="1216"/>
      <c r="M1336" s="1216"/>
      <c r="N1336" s="1216"/>
      <c r="O1336" s="1216"/>
      <c r="P1336" s="1216"/>
      <c r="Q1336" s="1216"/>
      <c r="R1336" s="1216"/>
      <c r="S1336" s="1216"/>
    </row>
    <row r="1337" spans="1:19" ht="12.75" customHeight="1">
      <c r="A1337" s="1216" t="s">
        <v>4747</v>
      </c>
      <c r="B1337" s="1216"/>
      <c r="C1337" s="1216"/>
      <c r="D1337" s="1216"/>
      <c r="E1337" s="1216"/>
      <c r="F1337" s="1216"/>
      <c r="G1337" s="1216"/>
      <c r="H1337" s="1216"/>
      <c r="I1337" s="1216"/>
      <c r="J1337" s="1216"/>
      <c r="K1337" s="1216"/>
      <c r="L1337" s="1216"/>
      <c r="M1337" s="1216"/>
      <c r="N1337" s="1216"/>
      <c r="O1337" s="1216"/>
      <c r="P1337" s="1216"/>
      <c r="Q1337" s="1216"/>
      <c r="R1337" s="1216"/>
      <c r="S1337" s="1216"/>
    </row>
    <row r="1338" spans="1:19" ht="12.75" customHeight="1">
      <c r="A1338" s="1216" t="s">
        <v>4746</v>
      </c>
      <c r="B1338" s="1216"/>
      <c r="C1338" s="1216"/>
      <c r="D1338" s="1216"/>
      <c r="E1338" s="1216"/>
      <c r="F1338" s="1216"/>
      <c r="G1338" s="1216"/>
      <c r="H1338" s="1216"/>
      <c r="I1338" s="1216"/>
      <c r="J1338" s="1216"/>
      <c r="K1338" s="1216"/>
      <c r="L1338" s="1216"/>
      <c r="M1338" s="1216"/>
      <c r="N1338" s="1216"/>
      <c r="O1338" s="1216"/>
      <c r="P1338" s="1216"/>
      <c r="Q1338" s="1216"/>
      <c r="R1338" s="1216"/>
      <c r="S1338" s="1216"/>
    </row>
    <row r="1339" spans="1:19" ht="12.75" customHeight="1">
      <c r="A1339" s="1216" t="s">
        <v>4745</v>
      </c>
      <c r="B1339" s="1216"/>
      <c r="C1339" s="1216"/>
      <c r="D1339" s="1216"/>
      <c r="E1339" s="1216"/>
      <c r="F1339" s="1216"/>
      <c r="G1339" s="1216"/>
      <c r="H1339" s="1216"/>
      <c r="I1339" s="1216"/>
      <c r="J1339" s="1216"/>
      <c r="K1339" s="1216"/>
      <c r="L1339" s="1216"/>
      <c r="M1339" s="1216"/>
      <c r="N1339" s="1216"/>
      <c r="O1339" s="1216"/>
      <c r="P1339" s="1216"/>
      <c r="Q1339" s="1216"/>
      <c r="R1339" s="1216"/>
      <c r="S1339" s="1216"/>
    </row>
    <row r="1340" spans="1:19" ht="12.75" customHeight="1">
      <c r="A1340" s="1216" t="s">
        <v>4744</v>
      </c>
      <c r="B1340" s="1216"/>
      <c r="C1340" s="1216"/>
      <c r="D1340" s="1216"/>
      <c r="E1340" s="1216"/>
      <c r="F1340" s="1216"/>
      <c r="G1340" s="1216"/>
      <c r="H1340" s="1216"/>
      <c r="I1340" s="1216"/>
      <c r="J1340" s="1216"/>
      <c r="K1340" s="1216"/>
      <c r="L1340" s="1216"/>
      <c r="M1340" s="1216"/>
      <c r="N1340" s="1216"/>
      <c r="O1340" s="1216"/>
      <c r="P1340" s="1216"/>
      <c r="Q1340" s="1216"/>
      <c r="R1340" s="1216"/>
      <c r="S1340" s="1216"/>
    </row>
    <row r="1341" spans="1:19" ht="12.75" customHeight="1">
      <c r="A1341" s="1216" t="s">
        <v>4743</v>
      </c>
      <c r="B1341" s="1216"/>
      <c r="C1341" s="1216"/>
      <c r="D1341" s="1216"/>
      <c r="E1341" s="1216"/>
      <c r="F1341" s="1216"/>
      <c r="G1341" s="1216"/>
      <c r="H1341" s="1216"/>
      <c r="I1341" s="1216"/>
      <c r="J1341" s="1216"/>
      <c r="K1341" s="1216"/>
      <c r="L1341" s="1216"/>
      <c r="M1341" s="1216"/>
      <c r="N1341" s="1216"/>
      <c r="O1341" s="1216"/>
      <c r="P1341" s="1216"/>
      <c r="Q1341" s="1216"/>
      <c r="R1341" s="1216"/>
      <c r="S1341" s="1216"/>
    </row>
    <row r="1342" spans="1:19" ht="12.75" customHeight="1">
      <c r="A1342" s="1216" t="s">
        <v>4742</v>
      </c>
      <c r="B1342" s="1216"/>
      <c r="C1342" s="1216"/>
      <c r="D1342" s="1216"/>
      <c r="E1342" s="1216"/>
      <c r="F1342" s="1216"/>
      <c r="G1342" s="1216"/>
      <c r="H1342" s="1216"/>
      <c r="I1342" s="1216"/>
      <c r="J1342" s="1216"/>
      <c r="K1342" s="1216"/>
      <c r="L1342" s="1216"/>
      <c r="M1342" s="1216"/>
      <c r="N1342" s="1216"/>
      <c r="O1342" s="1216"/>
      <c r="P1342" s="1216"/>
      <c r="Q1342" s="1216"/>
      <c r="R1342" s="1216"/>
      <c r="S1342" s="1216"/>
    </row>
    <row r="1343" spans="1:19" ht="12.75" customHeight="1">
      <c r="A1343" s="1216"/>
      <c r="B1343" s="1216"/>
      <c r="C1343" s="1216"/>
      <c r="D1343" s="1216"/>
      <c r="E1343" s="1216"/>
      <c r="F1343" s="1216"/>
      <c r="G1343" s="1216"/>
      <c r="H1343" s="1216"/>
      <c r="I1343" s="1216"/>
      <c r="J1343" s="1216"/>
      <c r="K1343" s="1216"/>
      <c r="L1343" s="1216"/>
      <c r="M1343" s="1216"/>
      <c r="N1343" s="1216"/>
      <c r="O1343" s="1216"/>
      <c r="P1343" s="1216"/>
      <c r="Q1343" s="1216"/>
      <c r="R1343" s="1216"/>
      <c r="S1343" s="1216"/>
    </row>
    <row r="1344" spans="1:19" ht="12.75" customHeight="1">
      <c r="A1344" s="1216" t="s">
        <v>4741</v>
      </c>
      <c r="B1344" s="1216"/>
      <c r="C1344" s="1216"/>
      <c r="D1344" s="1216"/>
      <c r="E1344" s="1216"/>
      <c r="F1344" s="1216"/>
      <c r="G1344" s="1216"/>
      <c r="H1344" s="1216"/>
      <c r="I1344" s="1216"/>
      <c r="J1344" s="1216"/>
      <c r="K1344" s="1216"/>
      <c r="L1344" s="1216"/>
      <c r="M1344" s="1216"/>
      <c r="N1344" s="1216"/>
      <c r="O1344" s="1216"/>
      <c r="P1344" s="1216"/>
      <c r="Q1344" s="1216"/>
      <c r="R1344" s="1216"/>
      <c r="S1344" s="1216"/>
    </row>
    <row r="1345" spans="1:19" ht="12.75" customHeight="1">
      <c r="A1345" s="1216"/>
      <c r="B1345" s="1216"/>
      <c r="C1345" s="1216"/>
      <c r="D1345" s="1216"/>
      <c r="E1345" s="1216"/>
      <c r="F1345" s="1216"/>
      <c r="G1345" s="1216"/>
      <c r="H1345" s="1216"/>
      <c r="I1345" s="1216"/>
      <c r="J1345" s="1216"/>
      <c r="K1345" s="1216"/>
      <c r="L1345" s="1216"/>
      <c r="M1345" s="1216"/>
      <c r="N1345" s="1216"/>
      <c r="O1345" s="1216"/>
      <c r="P1345" s="1216"/>
      <c r="Q1345" s="1216"/>
      <c r="R1345" s="1216"/>
      <c r="S1345" s="1216"/>
    </row>
    <row r="1346" spans="1:19" ht="12.75" customHeight="1">
      <c r="A1346" s="1216"/>
      <c r="B1346" s="1216"/>
      <c r="C1346" s="1216"/>
      <c r="D1346" s="1216"/>
      <c r="E1346" s="1216"/>
      <c r="F1346" s="1216"/>
      <c r="G1346" s="1216"/>
      <c r="H1346" s="1216"/>
      <c r="I1346" s="1216"/>
      <c r="J1346" s="1216"/>
      <c r="K1346" s="1216"/>
      <c r="L1346" s="1216"/>
      <c r="M1346" s="1216"/>
      <c r="N1346" s="1216"/>
      <c r="O1346" s="1216"/>
      <c r="P1346" s="1216"/>
      <c r="Q1346" s="1216"/>
      <c r="R1346" s="1216"/>
      <c r="S1346" s="1216"/>
    </row>
    <row r="1347" spans="1:19" ht="12.75" customHeight="1">
      <c r="A1347" s="1216"/>
      <c r="B1347" s="1216"/>
      <c r="C1347" s="1216"/>
      <c r="D1347" s="1216"/>
      <c r="E1347" s="1216"/>
      <c r="F1347" s="1216"/>
      <c r="G1347" s="1216"/>
      <c r="H1347" s="1216"/>
      <c r="I1347" s="1216"/>
      <c r="J1347" s="1216"/>
      <c r="K1347" s="1216"/>
      <c r="L1347" s="1216"/>
      <c r="M1347" s="1216"/>
      <c r="N1347" s="1216"/>
      <c r="O1347" s="1216"/>
      <c r="P1347" s="1216"/>
      <c r="Q1347" s="1216"/>
      <c r="R1347" s="1216"/>
      <c r="S1347" s="1216"/>
    </row>
    <row r="1348" spans="1:19" ht="12.75" customHeight="1">
      <c r="A1348" s="1216"/>
      <c r="B1348" s="1216"/>
      <c r="C1348" s="1216"/>
      <c r="D1348" s="1216"/>
      <c r="E1348" s="1216"/>
      <c r="F1348" s="1216"/>
      <c r="G1348" s="1216"/>
      <c r="H1348" s="1216"/>
      <c r="I1348" s="1216"/>
      <c r="J1348" s="1216"/>
      <c r="K1348" s="1216"/>
      <c r="L1348" s="1216"/>
      <c r="M1348" s="1216"/>
      <c r="N1348" s="1216"/>
      <c r="O1348" s="1216"/>
      <c r="P1348" s="1216"/>
      <c r="Q1348" s="1216"/>
      <c r="R1348" s="1216"/>
      <c r="S1348" s="1216"/>
    </row>
    <row r="1349" spans="1:19" ht="12.75" customHeight="1">
      <c r="A1349" s="1216"/>
      <c r="B1349" s="1216"/>
      <c r="C1349" s="1216"/>
      <c r="D1349" s="1216"/>
      <c r="E1349" s="1216"/>
      <c r="F1349" s="1216"/>
      <c r="G1349" s="1216"/>
      <c r="H1349" s="1216"/>
      <c r="I1349" s="1216"/>
      <c r="J1349" s="1216"/>
      <c r="K1349" s="1216"/>
      <c r="L1349" s="1216"/>
      <c r="M1349" s="1216"/>
      <c r="N1349" s="1216"/>
      <c r="O1349" s="1216"/>
      <c r="P1349" s="1216"/>
      <c r="Q1349" s="1216"/>
      <c r="R1349" s="1216"/>
      <c r="S1349" s="1216"/>
    </row>
    <row r="1350" spans="1:19" ht="12.75" customHeight="1">
      <c r="A1350" s="1216" t="s">
        <v>4740</v>
      </c>
      <c r="B1350" s="1216"/>
      <c r="C1350" s="1216"/>
      <c r="D1350" s="1216"/>
      <c r="E1350" s="1216"/>
      <c r="F1350" s="1216"/>
      <c r="G1350" s="1216"/>
      <c r="H1350" s="1216"/>
      <c r="I1350" s="1216"/>
      <c r="J1350" s="1216"/>
      <c r="K1350" s="1216"/>
      <c r="L1350" s="1216"/>
      <c r="M1350" s="1216"/>
      <c r="N1350" s="1216"/>
      <c r="O1350" s="1216"/>
      <c r="P1350" s="1216"/>
      <c r="Q1350" s="1216"/>
      <c r="R1350" s="1216"/>
      <c r="S1350" s="1216"/>
    </row>
    <row r="1351" spans="1:19" ht="12.75" customHeight="1">
      <c r="A1351" s="1216"/>
      <c r="B1351" s="1216"/>
      <c r="C1351" s="1216"/>
      <c r="D1351" s="1216"/>
      <c r="E1351" s="1216"/>
      <c r="F1351" s="1216"/>
      <c r="G1351" s="1216"/>
      <c r="H1351" s="1216"/>
      <c r="I1351" s="1216"/>
      <c r="J1351" s="1216"/>
      <c r="K1351" s="1216"/>
      <c r="L1351" s="1216"/>
      <c r="M1351" s="1216"/>
      <c r="N1351" s="1216"/>
      <c r="O1351" s="1216"/>
      <c r="P1351" s="1216"/>
      <c r="Q1351" s="1216"/>
      <c r="R1351" s="1216"/>
      <c r="S1351" s="1216"/>
    </row>
    <row r="1352" spans="1:19" ht="12.75" customHeight="1">
      <c r="A1352" s="1216"/>
      <c r="B1352" s="1216"/>
      <c r="C1352" s="1216"/>
      <c r="D1352" s="1216"/>
      <c r="E1352" s="1216"/>
      <c r="F1352" s="1216"/>
      <c r="G1352" s="1216"/>
      <c r="H1352" s="1216"/>
      <c r="I1352" s="1216"/>
      <c r="J1352" s="1216"/>
      <c r="K1352" s="1216"/>
      <c r="L1352" s="1216"/>
      <c r="M1352" s="1216"/>
      <c r="N1352" s="1216"/>
      <c r="O1352" s="1216"/>
      <c r="P1352" s="1216"/>
      <c r="Q1352" s="1216"/>
      <c r="R1352" s="1216"/>
      <c r="S1352" s="1216"/>
    </row>
    <row r="1353" spans="1:19" ht="12.75" customHeight="1">
      <c r="A1353" s="1216"/>
      <c r="B1353" s="1216"/>
      <c r="C1353" s="1216"/>
      <c r="D1353" s="1216"/>
      <c r="E1353" s="1216"/>
      <c r="F1353" s="1216"/>
      <c r="G1353" s="1216"/>
      <c r="H1353" s="1216"/>
      <c r="I1353" s="1216"/>
      <c r="J1353" s="1216"/>
      <c r="K1353" s="1216"/>
      <c r="L1353" s="1216"/>
      <c r="M1353" s="1216"/>
      <c r="N1353" s="1216"/>
      <c r="O1353" s="1216"/>
      <c r="P1353" s="1216"/>
      <c r="Q1353" s="1216"/>
      <c r="R1353" s="1216"/>
      <c r="S1353" s="1216"/>
    </row>
    <row r="1354" spans="1:19" ht="12.75" customHeight="1">
      <c r="A1354" s="1216"/>
      <c r="B1354" s="1216"/>
      <c r="C1354" s="1216"/>
      <c r="D1354" s="1216"/>
      <c r="E1354" s="1216"/>
      <c r="F1354" s="1216"/>
      <c r="G1354" s="1216"/>
      <c r="H1354" s="1216"/>
      <c r="I1354" s="1216"/>
      <c r="J1354" s="1216"/>
      <c r="K1354" s="1216"/>
      <c r="L1354" s="1216"/>
      <c r="M1354" s="1216"/>
      <c r="N1354" s="1216"/>
      <c r="O1354" s="1216"/>
      <c r="P1354" s="1216"/>
      <c r="Q1354" s="1216"/>
      <c r="R1354" s="1216"/>
      <c r="S1354" s="1216"/>
    </row>
    <row r="1355" spans="1:19" ht="12.75" customHeight="1">
      <c r="A1355" s="1216" t="s">
        <v>4739</v>
      </c>
      <c r="B1355" s="1216"/>
      <c r="C1355" s="1216"/>
      <c r="D1355" s="1216"/>
      <c r="E1355" s="1216"/>
      <c r="F1355" s="1216"/>
      <c r="G1355" s="1216"/>
      <c r="H1355" s="1216"/>
      <c r="I1355" s="1216"/>
      <c r="J1355" s="1216"/>
      <c r="K1355" s="1216"/>
      <c r="L1355" s="1216"/>
      <c r="M1355" s="1216"/>
      <c r="N1355" s="1216"/>
      <c r="O1355" s="1216"/>
      <c r="P1355" s="1216"/>
      <c r="Q1355" s="1216"/>
      <c r="R1355" s="1216"/>
      <c r="S1355" s="1216"/>
    </row>
    <row r="1356" spans="1:19" ht="12.75" customHeight="1">
      <c r="A1356" s="1216"/>
      <c r="B1356" s="1216"/>
      <c r="C1356" s="1216"/>
      <c r="D1356" s="1216"/>
      <c r="E1356" s="1216"/>
      <c r="F1356" s="1216"/>
      <c r="G1356" s="1216"/>
      <c r="H1356" s="1216"/>
      <c r="I1356" s="1216"/>
      <c r="J1356" s="1216"/>
      <c r="K1356" s="1216"/>
      <c r="L1356" s="1216"/>
      <c r="M1356" s="1216"/>
      <c r="N1356" s="1216"/>
      <c r="O1356" s="1216"/>
      <c r="P1356" s="1216"/>
      <c r="Q1356" s="1216"/>
      <c r="R1356" s="1216"/>
      <c r="S1356" s="1216"/>
    </row>
    <row r="1357" spans="1:19" ht="12.75" customHeight="1">
      <c r="A1357" s="1216"/>
      <c r="B1357" s="1216"/>
      <c r="C1357" s="1216"/>
      <c r="D1357" s="1216"/>
      <c r="E1357" s="1216"/>
      <c r="F1357" s="1216"/>
      <c r="G1357" s="1216"/>
      <c r="H1357" s="1216"/>
      <c r="I1357" s="1216"/>
      <c r="J1357" s="1216"/>
      <c r="K1357" s="1216"/>
      <c r="L1357" s="1216"/>
      <c r="M1357" s="1216"/>
      <c r="N1357" s="1216"/>
      <c r="O1357" s="1216"/>
      <c r="P1357" s="1216"/>
      <c r="Q1357" s="1216"/>
      <c r="R1357" s="1216"/>
      <c r="S1357" s="1216"/>
    </row>
    <row r="1358" spans="1:19" ht="12.75" customHeight="1">
      <c r="A1358" s="1216"/>
      <c r="B1358" s="1216"/>
      <c r="C1358" s="1216"/>
      <c r="D1358" s="1216"/>
      <c r="E1358" s="1216"/>
      <c r="F1358" s="1216"/>
      <c r="G1358" s="1216"/>
      <c r="H1358" s="1216"/>
      <c r="I1358" s="1216"/>
      <c r="J1358" s="1216"/>
      <c r="K1358" s="1216"/>
      <c r="L1358" s="1216"/>
      <c r="M1358" s="1216"/>
      <c r="N1358" s="1216"/>
      <c r="O1358" s="1216"/>
      <c r="P1358" s="1216"/>
      <c r="Q1358" s="1216"/>
      <c r="R1358" s="1216"/>
      <c r="S1358" s="1216"/>
    </row>
    <row r="1359" spans="1:19" ht="12.75" customHeight="1">
      <c r="A1359" s="1216"/>
      <c r="B1359" s="1216"/>
      <c r="C1359" s="1216"/>
      <c r="D1359" s="1216"/>
      <c r="E1359" s="1216"/>
      <c r="F1359" s="1216"/>
      <c r="G1359" s="1216"/>
      <c r="H1359" s="1216"/>
      <c r="I1359" s="1216"/>
      <c r="J1359" s="1216"/>
      <c r="K1359" s="1216"/>
      <c r="L1359" s="1216"/>
      <c r="M1359" s="1216"/>
      <c r="N1359" s="1216"/>
      <c r="O1359" s="1216"/>
      <c r="P1359" s="1216"/>
      <c r="Q1359" s="1216"/>
      <c r="R1359" s="1216"/>
      <c r="S1359" s="1216"/>
    </row>
    <row r="1360" spans="1:19" ht="12.75" customHeight="1">
      <c r="A1360" s="1216"/>
      <c r="B1360" s="1216"/>
      <c r="C1360" s="1216"/>
      <c r="D1360" s="1216"/>
      <c r="E1360" s="1216"/>
      <c r="F1360" s="1216"/>
      <c r="G1360" s="1216"/>
      <c r="H1360" s="1216"/>
      <c r="I1360" s="1216"/>
      <c r="J1360" s="1216"/>
      <c r="K1360" s="1216"/>
      <c r="L1360" s="1216"/>
      <c r="M1360" s="1216"/>
      <c r="N1360" s="1216"/>
      <c r="O1360" s="1216"/>
      <c r="P1360" s="1216"/>
      <c r="Q1360" s="1216"/>
      <c r="R1360" s="1216"/>
      <c r="S1360" s="1216"/>
    </row>
    <row r="1361" spans="1:19" ht="12.75" customHeight="1">
      <c r="A1361" s="1216"/>
      <c r="B1361" s="1216"/>
      <c r="C1361" s="1216"/>
      <c r="D1361" s="1216"/>
      <c r="E1361" s="1216"/>
      <c r="F1361" s="1216"/>
      <c r="G1361" s="1216"/>
      <c r="H1361" s="1216"/>
      <c r="I1361" s="1216"/>
      <c r="J1361" s="1216"/>
      <c r="K1361" s="1216"/>
      <c r="L1361" s="1216"/>
      <c r="M1361" s="1216"/>
      <c r="N1361" s="1216"/>
      <c r="O1361" s="1216"/>
      <c r="P1361" s="1216"/>
      <c r="Q1361" s="1216"/>
      <c r="R1361" s="1216"/>
      <c r="S1361" s="1216"/>
    </row>
    <row r="1362" spans="1:19" ht="12.75" customHeight="1">
      <c r="A1362" s="1216" t="s">
        <v>4738</v>
      </c>
      <c r="B1362" s="1216"/>
      <c r="C1362" s="1216"/>
      <c r="D1362" s="1216"/>
      <c r="E1362" s="1216"/>
      <c r="F1362" s="1216"/>
      <c r="G1362" s="1216"/>
      <c r="H1362" s="1216"/>
      <c r="I1362" s="1216"/>
      <c r="J1362" s="1216"/>
      <c r="K1362" s="1216"/>
      <c r="L1362" s="1216"/>
      <c r="M1362" s="1216"/>
      <c r="N1362" s="1216"/>
      <c r="O1362" s="1216"/>
      <c r="P1362" s="1216"/>
      <c r="Q1362" s="1216"/>
      <c r="R1362" s="1216"/>
      <c r="S1362" s="1216"/>
    </row>
    <row r="1363" spans="1:19" ht="12.75" customHeight="1">
      <c r="A1363" s="1216" t="s">
        <v>4561</v>
      </c>
      <c r="B1363" s="1216"/>
      <c r="C1363" s="1216"/>
      <c r="D1363" s="1216"/>
      <c r="E1363" s="1216"/>
      <c r="F1363" s="1216"/>
      <c r="G1363" s="1216"/>
      <c r="H1363" s="1216"/>
      <c r="I1363" s="1216"/>
      <c r="J1363" s="1216"/>
      <c r="K1363" s="1216"/>
      <c r="L1363" s="1216"/>
      <c r="M1363" s="1216"/>
      <c r="N1363" s="1216"/>
      <c r="O1363" s="1216"/>
      <c r="P1363" s="1216"/>
      <c r="Q1363" s="1216"/>
      <c r="R1363" s="1216"/>
      <c r="S1363" s="1216"/>
    </row>
    <row r="1364" spans="1:19" ht="12.75" customHeight="1">
      <c r="A1364" s="1216"/>
      <c r="B1364" s="1216"/>
      <c r="C1364" s="1216"/>
      <c r="D1364" s="1216"/>
      <c r="E1364" s="1216"/>
      <c r="F1364" s="1216"/>
      <c r="G1364" s="1216"/>
      <c r="H1364" s="1216"/>
      <c r="I1364" s="1216"/>
      <c r="J1364" s="1216"/>
      <c r="K1364" s="1216"/>
      <c r="L1364" s="1216"/>
      <c r="M1364" s="1216"/>
      <c r="N1364" s="1216"/>
      <c r="O1364" s="1216"/>
      <c r="P1364" s="1216"/>
      <c r="Q1364" s="1216"/>
      <c r="R1364" s="1216"/>
      <c r="S1364" s="1216"/>
    </row>
    <row r="1365" spans="1:19" ht="12.75" customHeight="1">
      <c r="A1365" s="1216"/>
      <c r="B1365" s="1216"/>
      <c r="C1365" s="1216"/>
      <c r="D1365" s="1216"/>
      <c r="E1365" s="1216"/>
      <c r="F1365" s="1216"/>
      <c r="G1365" s="1216"/>
      <c r="H1365" s="1216"/>
      <c r="I1365" s="1216"/>
      <c r="J1365" s="1216"/>
      <c r="K1365" s="1216"/>
      <c r="L1365" s="1216"/>
      <c r="M1365" s="1216"/>
      <c r="N1365" s="1216"/>
      <c r="O1365" s="1216"/>
      <c r="P1365" s="1216"/>
      <c r="Q1365" s="1216"/>
      <c r="R1365" s="1216"/>
      <c r="S1365" s="1216"/>
    </row>
    <row r="1366" spans="1:19" ht="12.75" customHeight="1">
      <c r="A1366" s="1216" t="s">
        <v>4562</v>
      </c>
      <c r="B1366" s="1216"/>
      <c r="C1366" s="1216"/>
      <c r="D1366" s="1216"/>
      <c r="E1366" s="1216"/>
      <c r="F1366" s="1216"/>
      <c r="G1366" s="1216"/>
      <c r="H1366" s="1216"/>
      <c r="I1366" s="1216"/>
      <c r="J1366" s="1216"/>
      <c r="K1366" s="1216"/>
      <c r="L1366" s="1216"/>
      <c r="M1366" s="1216"/>
      <c r="N1366" s="1216"/>
      <c r="O1366" s="1216"/>
      <c r="P1366" s="1216"/>
      <c r="Q1366" s="1216"/>
      <c r="R1366" s="1216"/>
      <c r="S1366" s="1216"/>
    </row>
    <row r="1367" spans="1:19" ht="12.75" customHeight="1">
      <c r="A1367" s="1216"/>
      <c r="B1367" s="1216"/>
      <c r="C1367" s="1216"/>
      <c r="D1367" s="1216"/>
      <c r="E1367" s="1216"/>
      <c r="F1367" s="1216"/>
      <c r="G1367" s="1216"/>
      <c r="H1367" s="1216"/>
      <c r="I1367" s="1216"/>
      <c r="J1367" s="1216"/>
      <c r="K1367" s="1216"/>
      <c r="L1367" s="1216"/>
      <c r="M1367" s="1216"/>
      <c r="N1367" s="1216"/>
      <c r="O1367" s="1216"/>
      <c r="P1367" s="1216"/>
      <c r="Q1367" s="1216"/>
      <c r="R1367" s="1216"/>
      <c r="S1367" s="1216"/>
    </row>
    <row r="1368" spans="1:19" ht="12.75" customHeight="1">
      <c r="A1368" s="1216"/>
      <c r="B1368" s="1216"/>
      <c r="C1368" s="1216"/>
      <c r="D1368" s="1216"/>
      <c r="E1368" s="1216"/>
      <c r="F1368" s="1216"/>
      <c r="G1368" s="1216"/>
      <c r="H1368" s="1216"/>
      <c r="I1368" s="1216"/>
      <c r="J1368" s="1216"/>
      <c r="K1368" s="1216"/>
      <c r="L1368" s="1216"/>
      <c r="M1368" s="1216"/>
      <c r="N1368" s="1216"/>
      <c r="O1368" s="1216"/>
      <c r="P1368" s="1216"/>
      <c r="Q1368" s="1216"/>
      <c r="R1368" s="1216"/>
      <c r="S1368" s="1216"/>
    </row>
    <row r="1369" spans="1:19" ht="12.75" customHeight="1">
      <c r="A1369" s="1216"/>
      <c r="B1369" s="1216"/>
      <c r="C1369" s="1216"/>
      <c r="D1369" s="1216"/>
      <c r="E1369" s="1216"/>
      <c r="F1369" s="1216"/>
      <c r="G1369" s="1216"/>
      <c r="H1369" s="1216"/>
      <c r="I1369" s="1216"/>
      <c r="J1369" s="1216"/>
      <c r="K1369" s="1216"/>
      <c r="L1369" s="1216"/>
      <c r="M1369" s="1216"/>
      <c r="N1369" s="1216"/>
      <c r="O1369" s="1216"/>
      <c r="P1369" s="1216"/>
      <c r="Q1369" s="1216"/>
      <c r="R1369" s="1216"/>
      <c r="S1369" s="1216"/>
    </row>
    <row r="1370" spans="1:19" ht="12.75" customHeight="1">
      <c r="A1370" s="1216"/>
      <c r="B1370" s="1216"/>
      <c r="C1370" s="1216"/>
      <c r="D1370" s="1216"/>
      <c r="E1370" s="1216"/>
      <c r="F1370" s="1216"/>
      <c r="G1370" s="1216"/>
      <c r="H1370" s="1216"/>
      <c r="I1370" s="1216"/>
      <c r="J1370" s="1216"/>
      <c r="K1370" s="1216"/>
      <c r="L1370" s="1216"/>
      <c r="M1370" s="1216"/>
      <c r="N1370" s="1216"/>
      <c r="O1370" s="1216"/>
      <c r="P1370" s="1216"/>
      <c r="Q1370" s="1216"/>
      <c r="R1370" s="1216"/>
      <c r="S1370" s="1216"/>
    </row>
    <row r="1371" spans="1:19" ht="12.75" customHeight="1">
      <c r="A1371" s="1216" t="s">
        <v>4540</v>
      </c>
      <c r="B1371" s="1216"/>
      <c r="C1371" s="1216"/>
      <c r="D1371" s="1216"/>
      <c r="E1371" s="1216"/>
      <c r="F1371" s="1216"/>
      <c r="G1371" s="1216"/>
      <c r="H1371" s="1216"/>
      <c r="I1371" s="1216"/>
      <c r="J1371" s="1216"/>
      <c r="K1371" s="1216"/>
      <c r="L1371" s="1216"/>
      <c r="M1371" s="1216"/>
      <c r="N1371" s="1216"/>
      <c r="O1371" s="1216"/>
      <c r="P1371" s="1216"/>
      <c r="Q1371" s="1216"/>
      <c r="R1371" s="1216"/>
      <c r="S1371" s="1216"/>
    </row>
  </sheetData>
  <mergeCells count="962">
    <mergeCell ref="A1371:S1371"/>
    <mergeCell ref="A1363:S1365"/>
    <mergeCell ref="A1366:S1370"/>
    <mergeCell ref="A1333:S1333"/>
    <mergeCell ref="A1334:S1334"/>
    <mergeCell ref="A1335:S1335"/>
    <mergeCell ref="A1336:S1336"/>
    <mergeCell ref="A1:S1"/>
    <mergeCell ref="A1330:S1330"/>
    <mergeCell ref="A1342:S1343"/>
    <mergeCell ref="A1344:S1349"/>
    <mergeCell ref="A1350:S1354"/>
    <mergeCell ref="A1355:S1361"/>
    <mergeCell ref="A1178:S1181"/>
    <mergeCell ref="A1182:S1191"/>
    <mergeCell ref="A1192:S1198"/>
    <mergeCell ref="A1199:S1203"/>
    <mergeCell ref="A1280:S1285"/>
    <mergeCell ref="A1286:S1292"/>
    <mergeCell ref="A1294:S1298"/>
    <mergeCell ref="A1313:S1316"/>
    <mergeCell ref="A1318:S1320"/>
    <mergeCell ref="A1321:S1322"/>
    <mergeCell ref="A1204:S1206"/>
    <mergeCell ref="A1207:S1215"/>
    <mergeCell ref="A1362:S1362"/>
    <mergeCell ref="B1135:G1135"/>
    <mergeCell ref="B1136:G1136"/>
    <mergeCell ref="B1137:G1137"/>
    <mergeCell ref="B1138:G1138"/>
    <mergeCell ref="H1147:P1147"/>
    <mergeCell ref="H1148:P1148"/>
    <mergeCell ref="H1135:P1135"/>
    <mergeCell ref="H1136:P1136"/>
    <mergeCell ref="H1137:P1137"/>
    <mergeCell ref="B1147:G1147"/>
    <mergeCell ref="B1148:G1148"/>
    <mergeCell ref="H1139:P1146"/>
    <mergeCell ref="B1139:G1146"/>
    <mergeCell ref="H1138:P1138"/>
    <mergeCell ref="H1151:P1151"/>
    <mergeCell ref="A1169:S1173"/>
    <mergeCell ref="Q1151:S1151"/>
    <mergeCell ref="Q1155:S1155"/>
    <mergeCell ref="Q1156:S1156"/>
    <mergeCell ref="Q1157:S1157"/>
    <mergeCell ref="B1155:G1155"/>
    <mergeCell ref="B1156:G1156"/>
    <mergeCell ref="H1108:P1109"/>
    <mergeCell ref="Q1108:S1109"/>
    <mergeCell ref="B1120:G1120"/>
    <mergeCell ref="B1157:G1157"/>
    <mergeCell ref="H1150:P1150"/>
    <mergeCell ref="B1149:G1149"/>
    <mergeCell ref="B1150:G1150"/>
    <mergeCell ref="B1151:G1151"/>
    <mergeCell ref="A1160:S1167"/>
    <mergeCell ref="H1155:P1155"/>
    <mergeCell ref="H1156:P1156"/>
    <mergeCell ref="H1157:P1157"/>
    <mergeCell ref="H1149:P1149"/>
    <mergeCell ref="H1129:P1129"/>
    <mergeCell ref="H1120:P1120"/>
    <mergeCell ref="Q1111:S1118"/>
    <mergeCell ref="H1124:P1127"/>
    <mergeCell ref="Q1124:S1127"/>
    <mergeCell ref="H1122:P1122"/>
    <mergeCell ref="B1121:G1121"/>
    <mergeCell ref="B1122:G1122"/>
    <mergeCell ref="B1095:G1095"/>
    <mergeCell ref="B1096:G1096"/>
    <mergeCell ref="B1097:G1097"/>
    <mergeCell ref="B1100:G1100"/>
    <mergeCell ref="B1101:G1101"/>
    <mergeCell ref="H1119:P1119"/>
    <mergeCell ref="B1104:G1105"/>
    <mergeCell ref="H1111:P1118"/>
    <mergeCell ref="H1110:P1110"/>
    <mergeCell ref="H1102:P1103"/>
    <mergeCell ref="H1096:P1096"/>
    <mergeCell ref="H1097:P1097"/>
    <mergeCell ref="H1100:P1100"/>
    <mergeCell ref="H1101:P1101"/>
    <mergeCell ref="H1095:P1095"/>
    <mergeCell ref="H1098:P1099"/>
    <mergeCell ref="B1098:G1099"/>
    <mergeCell ref="B1102:G1103"/>
    <mergeCell ref="H1106:P1107"/>
    <mergeCell ref="B1119:G1119"/>
    <mergeCell ref="B1111:G1118"/>
    <mergeCell ref="B1110:G1110"/>
    <mergeCell ref="B1106:G1107"/>
    <mergeCell ref="B1108:G1109"/>
    <mergeCell ref="A1174:S1177"/>
    <mergeCell ref="Q1138:S1138"/>
    <mergeCell ref="B1168:S1168"/>
    <mergeCell ref="B1124:G1127"/>
    <mergeCell ref="H1123:P1123"/>
    <mergeCell ref="H1130:P1130"/>
    <mergeCell ref="B1129:G1129"/>
    <mergeCell ref="H1128:P1128"/>
    <mergeCell ref="Q1139:S1146"/>
    <mergeCell ref="H1152:P1154"/>
    <mergeCell ref="Q1152:S1154"/>
    <mergeCell ref="B1152:G1154"/>
    <mergeCell ref="B1130:G1130"/>
    <mergeCell ref="A1131:S1133"/>
    <mergeCell ref="B1123:G1123"/>
    <mergeCell ref="B1128:G1128"/>
    <mergeCell ref="A1087:S1090"/>
    <mergeCell ref="Q1137:S1137"/>
    <mergeCell ref="H1075:P1075"/>
    <mergeCell ref="H1076:P1076"/>
    <mergeCell ref="A1091:S1093"/>
    <mergeCell ref="Q1058:S1065"/>
    <mergeCell ref="H1058:P1065"/>
    <mergeCell ref="B1058:G1065"/>
    <mergeCell ref="H1071:P1073"/>
    <mergeCell ref="B1071:G1073"/>
    <mergeCell ref="Q1071:S1073"/>
    <mergeCell ref="B1068:G1068"/>
    <mergeCell ref="B1069:G1069"/>
    <mergeCell ref="B1070:G1070"/>
    <mergeCell ref="Q1068:S1068"/>
    <mergeCell ref="Q1102:S1103"/>
    <mergeCell ref="Q1104:S1105"/>
    <mergeCell ref="Q1135:S1135"/>
    <mergeCell ref="Q1110:S1110"/>
    <mergeCell ref="Q1119:S1119"/>
    <mergeCell ref="Q1074:S1074"/>
    <mergeCell ref="Q1075:S1075"/>
    <mergeCell ref="H1121:P1121"/>
    <mergeCell ref="H1104:P1105"/>
    <mergeCell ref="Q1037:S1037"/>
    <mergeCell ref="Q1031:S1034"/>
    <mergeCell ref="Q1076:S1076"/>
    <mergeCell ref="A1078:S1086"/>
    <mergeCell ref="Q1057:S1057"/>
    <mergeCell ref="B1053:G1053"/>
    <mergeCell ref="B1054:G1054"/>
    <mergeCell ref="B1057:G1057"/>
    <mergeCell ref="H1070:P1070"/>
    <mergeCell ref="H1074:P1074"/>
    <mergeCell ref="B1074:G1074"/>
    <mergeCell ref="H1069:P1069"/>
    <mergeCell ref="H1055:P1056"/>
    <mergeCell ref="B1055:G1056"/>
    <mergeCell ref="Q1055:S1056"/>
    <mergeCell ref="B1067:G1067"/>
    <mergeCell ref="Q1069:S1069"/>
    <mergeCell ref="Q1070:S1070"/>
    <mergeCell ref="B1075:G1075"/>
    <mergeCell ref="B1076:G1076"/>
    <mergeCell ref="Q1066:S1066"/>
    <mergeCell ref="H1066:P1066"/>
    <mergeCell ref="B1066:G1066"/>
    <mergeCell ref="H1038:P1038"/>
    <mergeCell ref="B1028:G1029"/>
    <mergeCell ref="Q1021:S1021"/>
    <mergeCell ref="H1022:P1023"/>
    <mergeCell ref="B1022:G1023"/>
    <mergeCell ref="Q1022:S1023"/>
    <mergeCell ref="H1024:P1025"/>
    <mergeCell ref="H1053:P1053"/>
    <mergeCell ref="H1054:P1054"/>
    <mergeCell ref="H1031:P1034"/>
    <mergeCell ref="B1031:G1034"/>
    <mergeCell ref="B1039:G1039"/>
    <mergeCell ref="H1035:P1036"/>
    <mergeCell ref="B1040:G1040"/>
    <mergeCell ref="Q1054:S1054"/>
    <mergeCell ref="B1035:G1036"/>
    <mergeCell ref="B1038:G1038"/>
    <mergeCell ref="B1024:G1025"/>
    <mergeCell ref="Q1024:S1025"/>
    <mergeCell ref="Q1026:S1027"/>
    <mergeCell ref="Q1028:S1029"/>
    <mergeCell ref="H1026:P1027"/>
    <mergeCell ref="B1026:G1027"/>
    <mergeCell ref="H1028:P1029"/>
    <mergeCell ref="Q1030:S1030"/>
    <mergeCell ref="H1039:P1039"/>
    <mergeCell ref="H1040:P1040"/>
    <mergeCell ref="H1045:P1045"/>
    <mergeCell ref="B1045:G1045"/>
    <mergeCell ref="B1046:G1046"/>
    <mergeCell ref="B1041:G1044"/>
    <mergeCell ref="H1047:P1047"/>
    <mergeCell ref="H1046:P1046"/>
    <mergeCell ref="B1047:G1047"/>
    <mergeCell ref="H1041:P1044"/>
    <mergeCell ref="A1006:S1013"/>
    <mergeCell ref="B998:G998"/>
    <mergeCell ref="B1002:G1002"/>
    <mergeCell ref="H1068:P1068"/>
    <mergeCell ref="Q1038:S1038"/>
    <mergeCell ref="Q1039:S1039"/>
    <mergeCell ref="Q1040:S1040"/>
    <mergeCell ref="Q1045:S1045"/>
    <mergeCell ref="Q1046:S1046"/>
    <mergeCell ref="Q1041:S1044"/>
    <mergeCell ref="H1057:P1057"/>
    <mergeCell ref="Q1047:S1047"/>
    <mergeCell ref="Q1053:S1053"/>
    <mergeCell ref="H1021:P1021"/>
    <mergeCell ref="H1030:P1030"/>
    <mergeCell ref="H1037:P1037"/>
    <mergeCell ref="Q1067:S1067"/>
    <mergeCell ref="A1014:S1017"/>
    <mergeCell ref="Q1035:S1036"/>
    <mergeCell ref="H1067:P1067"/>
    <mergeCell ref="A1049:S1051"/>
    <mergeCell ref="B1021:G1021"/>
    <mergeCell ref="B1030:G1030"/>
    <mergeCell ref="B1037:G1037"/>
    <mergeCell ref="H1002:P1002"/>
    <mergeCell ref="H1003:P1003"/>
    <mergeCell ref="H1004:P1004"/>
    <mergeCell ref="Q994:S994"/>
    <mergeCell ref="Q995:S995"/>
    <mergeCell ref="Q998:S998"/>
    <mergeCell ref="Q1002:S1002"/>
    <mergeCell ref="Q1003:S1003"/>
    <mergeCell ref="B982:G982"/>
    <mergeCell ref="B983:G983"/>
    <mergeCell ref="B984:G984"/>
    <mergeCell ref="B985:G985"/>
    <mergeCell ref="Q996:S996"/>
    <mergeCell ref="H983:P983"/>
    <mergeCell ref="H986:P993"/>
    <mergeCell ref="Q986:S993"/>
    <mergeCell ref="H999:P1001"/>
    <mergeCell ref="B999:G1001"/>
    <mergeCell ref="Q999:S1001"/>
    <mergeCell ref="B986:G993"/>
    <mergeCell ref="B974:G974"/>
    <mergeCell ref="B975:G975"/>
    <mergeCell ref="B976:G976"/>
    <mergeCell ref="A978:S980"/>
    <mergeCell ref="Q974:S974"/>
    <mergeCell ref="Q975:S975"/>
    <mergeCell ref="B951:G952"/>
    <mergeCell ref="B953:G953"/>
    <mergeCell ref="B954:G954"/>
    <mergeCell ref="B955:G955"/>
    <mergeCell ref="B956:G956"/>
    <mergeCell ref="H951:P952"/>
    <mergeCell ref="Q951:S952"/>
    <mergeCell ref="B958:G961"/>
    <mergeCell ref="H958:P961"/>
    <mergeCell ref="Q958:S961"/>
    <mergeCell ref="Q956:S956"/>
    <mergeCell ref="Q957:S957"/>
    <mergeCell ref="B957:G957"/>
    <mergeCell ref="Q953:S953"/>
    <mergeCell ref="Q954:S954"/>
    <mergeCell ref="H956:P956"/>
    <mergeCell ref="H974:P974"/>
    <mergeCell ref="H970:P973"/>
    <mergeCell ref="Q970:S973"/>
    <mergeCell ref="H962:P965"/>
    <mergeCell ref="B962:G965"/>
    <mergeCell ref="H967:P967"/>
    <mergeCell ref="H968:P968"/>
    <mergeCell ref="H969:P969"/>
    <mergeCell ref="B966:G966"/>
    <mergeCell ref="B967:G967"/>
    <mergeCell ref="B968:G968"/>
    <mergeCell ref="B969:G969"/>
    <mergeCell ref="B970:G973"/>
    <mergeCell ref="A898:S902"/>
    <mergeCell ref="A903:S911"/>
    <mergeCell ref="N893:S893"/>
    <mergeCell ref="H897:M897"/>
    <mergeCell ref="N887:S887"/>
    <mergeCell ref="N888:S888"/>
    <mergeCell ref="A912:S914"/>
    <mergeCell ref="A915:S921"/>
    <mergeCell ref="Q997:S997"/>
    <mergeCell ref="H994:P994"/>
    <mergeCell ref="H995:P995"/>
    <mergeCell ref="H996:P996"/>
    <mergeCell ref="Q985:S985"/>
    <mergeCell ref="H957:P957"/>
    <mergeCell ref="Q955:S955"/>
    <mergeCell ref="A947:S949"/>
    <mergeCell ref="H984:P984"/>
    <mergeCell ref="H985:P985"/>
    <mergeCell ref="Q983:S983"/>
    <mergeCell ref="Q966:S966"/>
    <mergeCell ref="Q967:S967"/>
    <mergeCell ref="Q968:S968"/>
    <mergeCell ref="Q969:S969"/>
    <mergeCell ref="Q984:S984"/>
    <mergeCell ref="B892:G892"/>
    <mergeCell ref="B893:G893"/>
    <mergeCell ref="B894:G894"/>
    <mergeCell ref="B895:G895"/>
    <mergeCell ref="N896:S896"/>
    <mergeCell ref="B896:G896"/>
    <mergeCell ref="H887:M887"/>
    <mergeCell ref="H888:M888"/>
    <mergeCell ref="H889:M889"/>
    <mergeCell ref="H890:M890"/>
    <mergeCell ref="H891:M891"/>
    <mergeCell ref="H892:M892"/>
    <mergeCell ref="H893:M893"/>
    <mergeCell ref="H894:M894"/>
    <mergeCell ref="N889:S889"/>
    <mergeCell ref="N890:S890"/>
    <mergeCell ref="N891:S891"/>
    <mergeCell ref="N892:S892"/>
    <mergeCell ref="N894:S894"/>
    <mergeCell ref="N895:S895"/>
    <mergeCell ref="H895:M895"/>
    <mergeCell ref="H896:M896"/>
    <mergeCell ref="G847:M847"/>
    <mergeCell ref="H885:M886"/>
    <mergeCell ref="N837:S838"/>
    <mergeCell ref="G837:M838"/>
    <mergeCell ref="B837:F838"/>
    <mergeCell ref="G848:S848"/>
    <mergeCell ref="B839:F839"/>
    <mergeCell ref="B890:G890"/>
    <mergeCell ref="B891:G891"/>
    <mergeCell ref="N885:S886"/>
    <mergeCell ref="B885:G886"/>
    <mergeCell ref="B840:F840"/>
    <mergeCell ref="B841:F841"/>
    <mergeCell ref="B842:F842"/>
    <mergeCell ref="B843:F843"/>
    <mergeCell ref="B844:F844"/>
    <mergeCell ref="B845:F845"/>
    <mergeCell ref="B846:F846"/>
    <mergeCell ref="B847:F847"/>
    <mergeCell ref="B848:F848"/>
    <mergeCell ref="N840:S840"/>
    <mergeCell ref="N841:S841"/>
    <mergeCell ref="N843:S843"/>
    <mergeCell ref="N842:S842"/>
    <mergeCell ref="G845:M845"/>
    <mergeCell ref="G846:M846"/>
    <mergeCell ref="N844:S844"/>
    <mergeCell ref="N845:S845"/>
    <mergeCell ref="N846:S846"/>
    <mergeCell ref="B784:F784"/>
    <mergeCell ref="B785:F785"/>
    <mergeCell ref="B797:F797"/>
    <mergeCell ref="G786:P796"/>
    <mergeCell ref="B786:F796"/>
    <mergeCell ref="G800:P801"/>
    <mergeCell ref="B800:F801"/>
    <mergeCell ref="G803:P803"/>
    <mergeCell ref="G804:P804"/>
    <mergeCell ref="B804:F804"/>
    <mergeCell ref="G798:P798"/>
    <mergeCell ref="G799:P799"/>
    <mergeCell ref="G802:P802"/>
    <mergeCell ref="G784:P784"/>
    <mergeCell ref="G785:P785"/>
    <mergeCell ref="A850:S855"/>
    <mergeCell ref="B798:F798"/>
    <mergeCell ref="B799:F799"/>
    <mergeCell ref="B802:F802"/>
    <mergeCell ref="B803:F803"/>
    <mergeCell ref="A856:S863"/>
    <mergeCell ref="Q799:S799"/>
    <mergeCell ref="Q802:S802"/>
    <mergeCell ref="Q803:S803"/>
    <mergeCell ref="Q804:S804"/>
    <mergeCell ref="Q800:S801"/>
    <mergeCell ref="A806:S810"/>
    <mergeCell ref="A811:S813"/>
    <mergeCell ref="A814:S819"/>
    <mergeCell ref="A820:S827"/>
    <mergeCell ref="A828:S835"/>
    <mergeCell ref="N847:S847"/>
    <mergeCell ref="G839:M839"/>
    <mergeCell ref="G840:M840"/>
    <mergeCell ref="G841:M841"/>
    <mergeCell ref="N839:S839"/>
    <mergeCell ref="G842:M842"/>
    <mergeCell ref="G843:M843"/>
    <mergeCell ref="G844:M844"/>
    <mergeCell ref="G754:P762"/>
    <mergeCell ref="Q754:S762"/>
    <mergeCell ref="Q783:S783"/>
    <mergeCell ref="Q784:S784"/>
    <mergeCell ref="Q785:S785"/>
    <mergeCell ref="G765:P765"/>
    <mergeCell ref="G797:P797"/>
    <mergeCell ref="A775:S780"/>
    <mergeCell ref="B767:F767"/>
    <mergeCell ref="B771:F771"/>
    <mergeCell ref="B772:F772"/>
    <mergeCell ref="B773:F773"/>
    <mergeCell ref="G773:P773"/>
    <mergeCell ref="Q773:S773"/>
    <mergeCell ref="G782:P782"/>
    <mergeCell ref="G783:P783"/>
    <mergeCell ref="B782:F782"/>
    <mergeCell ref="B783:F783"/>
    <mergeCell ref="B765:F765"/>
    <mergeCell ref="B766:F766"/>
    <mergeCell ref="G766:P766"/>
    <mergeCell ref="G767:P767"/>
    <mergeCell ref="G771:P771"/>
    <mergeCell ref="G772:P772"/>
    <mergeCell ref="B768:F770"/>
    <mergeCell ref="G768:P770"/>
    <mergeCell ref="Q768:S770"/>
    <mergeCell ref="R580:S583"/>
    <mergeCell ref="B584:D587"/>
    <mergeCell ref="E584:F587"/>
    <mergeCell ref="G739:P739"/>
    <mergeCell ref="Q750:S750"/>
    <mergeCell ref="Q739:S739"/>
    <mergeCell ref="Q740:S740"/>
    <mergeCell ref="Q741:S741"/>
    <mergeCell ref="Q735:S735"/>
    <mergeCell ref="B719:F719"/>
    <mergeCell ref="B720:F720"/>
    <mergeCell ref="B721:F721"/>
    <mergeCell ref="B731:F731"/>
    <mergeCell ref="B732:F732"/>
    <mergeCell ref="G732:P732"/>
    <mergeCell ref="G719:P719"/>
    <mergeCell ref="G720:P720"/>
    <mergeCell ref="G721:P721"/>
    <mergeCell ref="G731:P731"/>
    <mergeCell ref="B733:F733"/>
    <mergeCell ref="B734:F734"/>
    <mergeCell ref="A624:S625"/>
    <mergeCell ref="A626:S630"/>
    <mergeCell ref="R576:S579"/>
    <mergeCell ref="B580:D583"/>
    <mergeCell ref="E580:F583"/>
    <mergeCell ref="G580:L583"/>
    <mergeCell ref="A568:S574"/>
    <mergeCell ref="A592:S596"/>
    <mergeCell ref="A597:S598"/>
    <mergeCell ref="A599:S607"/>
    <mergeCell ref="A608:S612"/>
    <mergeCell ref="A613:S623"/>
    <mergeCell ref="B576:D579"/>
    <mergeCell ref="E576:F579"/>
    <mergeCell ref="G576:L579"/>
    <mergeCell ref="M576:Q579"/>
    <mergeCell ref="B588:D590"/>
    <mergeCell ref="E588:Q590"/>
    <mergeCell ref="R588:S590"/>
    <mergeCell ref="M580:Q581"/>
    <mergeCell ref="M582:Q583"/>
    <mergeCell ref="M584:Q585"/>
    <mergeCell ref="M586:Q587"/>
    <mergeCell ref="G584:L587"/>
    <mergeCell ref="B552:D554"/>
    <mergeCell ref="E552:Q554"/>
    <mergeCell ref="R552:S554"/>
    <mergeCell ref="M544:Q547"/>
    <mergeCell ref="M555:Q556"/>
    <mergeCell ref="R555:S558"/>
    <mergeCell ref="M557:Q558"/>
    <mergeCell ref="G544:L547"/>
    <mergeCell ref="R544:S547"/>
    <mergeCell ref="B548:D551"/>
    <mergeCell ref="B555:F558"/>
    <mergeCell ref="G555:L556"/>
    <mergeCell ref="G557:L558"/>
    <mergeCell ref="E548:F551"/>
    <mergeCell ref="G548:L551"/>
    <mergeCell ref="R548:S551"/>
    <mergeCell ref="M548:Q551"/>
    <mergeCell ref="R584:S587"/>
    <mergeCell ref="A560:S567"/>
    <mergeCell ref="A528:S531"/>
    <mergeCell ref="A532:S538"/>
    <mergeCell ref="B540:D543"/>
    <mergeCell ref="A437:S443"/>
    <mergeCell ref="A444:S450"/>
    <mergeCell ref="A451:S455"/>
    <mergeCell ref="A456:S458"/>
    <mergeCell ref="A459:S465"/>
    <mergeCell ref="A466:S468"/>
    <mergeCell ref="A469:S471"/>
    <mergeCell ref="E516:F519"/>
    <mergeCell ref="G516:L519"/>
    <mergeCell ref="A496:S499"/>
    <mergeCell ref="A500:S504"/>
    <mergeCell ref="A505:S510"/>
    <mergeCell ref="B512:D515"/>
    <mergeCell ref="E512:F515"/>
    <mergeCell ref="G512:L515"/>
    <mergeCell ref="M512:Q515"/>
    <mergeCell ref="R524:S526"/>
    <mergeCell ref="E540:F543"/>
    <mergeCell ref="G540:L543"/>
    <mergeCell ref="M425:Q428"/>
    <mergeCell ref="R425:S428"/>
    <mergeCell ref="B429:D431"/>
    <mergeCell ref="E429:Q431"/>
    <mergeCell ref="R429:S431"/>
    <mergeCell ref="A433:S436"/>
    <mergeCell ref="B425:D428"/>
    <mergeCell ref="E425:F428"/>
    <mergeCell ref="G425:L428"/>
    <mergeCell ref="B362:D365"/>
    <mergeCell ref="E362:F365"/>
    <mergeCell ref="E401:Q403"/>
    <mergeCell ref="R401:S403"/>
    <mergeCell ref="B417:D420"/>
    <mergeCell ref="E417:F420"/>
    <mergeCell ref="G417:L420"/>
    <mergeCell ref="M417:Q420"/>
    <mergeCell ref="R417:S420"/>
    <mergeCell ref="B401:D403"/>
    <mergeCell ref="A409:S415"/>
    <mergeCell ref="R397:S400"/>
    <mergeCell ref="B421:D424"/>
    <mergeCell ref="E421:F424"/>
    <mergeCell ref="G421:L424"/>
    <mergeCell ref="M421:Q424"/>
    <mergeCell ref="R421:S424"/>
    <mergeCell ref="B358:D361"/>
    <mergeCell ref="E358:F361"/>
    <mergeCell ref="G358:L361"/>
    <mergeCell ref="M358:Q361"/>
    <mergeCell ref="R358:S361"/>
    <mergeCell ref="R389:S392"/>
    <mergeCell ref="B393:D396"/>
    <mergeCell ref="E393:F396"/>
    <mergeCell ref="G393:L396"/>
    <mergeCell ref="M393:Q396"/>
    <mergeCell ref="R393:S396"/>
    <mergeCell ref="B370:D372"/>
    <mergeCell ref="E370:Q372"/>
    <mergeCell ref="R370:S372"/>
    <mergeCell ref="B366:D369"/>
    <mergeCell ref="E366:F369"/>
    <mergeCell ref="M366:Q369"/>
    <mergeCell ref="G366:L369"/>
    <mergeCell ref="R366:S369"/>
    <mergeCell ref="A1323:S1326"/>
    <mergeCell ref="A1327:S1329"/>
    <mergeCell ref="A1331:S1331"/>
    <mergeCell ref="A1332:S1332"/>
    <mergeCell ref="A1293:S1293"/>
    <mergeCell ref="A1299:S1299"/>
    <mergeCell ref="A1341:S1341"/>
    <mergeCell ref="A1216:S1224"/>
    <mergeCell ref="A1225:S1231"/>
    <mergeCell ref="A1254:S1259"/>
    <mergeCell ref="A1260:S1271"/>
    <mergeCell ref="A1272:S1279"/>
    <mergeCell ref="A1302:S1303"/>
    <mergeCell ref="A1339:S1339"/>
    <mergeCell ref="A1340:S1340"/>
    <mergeCell ref="A1304:S1312"/>
    <mergeCell ref="A1232:S1236"/>
    <mergeCell ref="A1237:S1239"/>
    <mergeCell ref="A1240:S1244"/>
    <mergeCell ref="A1245:S1253"/>
    <mergeCell ref="A1337:S1337"/>
    <mergeCell ref="A1338:S1338"/>
    <mergeCell ref="A1317:S1317"/>
    <mergeCell ref="A1300:S1301"/>
    <mergeCell ref="Q1095:S1095"/>
    <mergeCell ref="Q1096:S1096"/>
    <mergeCell ref="Q1097:S1097"/>
    <mergeCell ref="Q1147:S1147"/>
    <mergeCell ref="Q1148:S1148"/>
    <mergeCell ref="Q1149:S1149"/>
    <mergeCell ref="Q1150:S1150"/>
    <mergeCell ref="Q1100:S1100"/>
    <mergeCell ref="Q1101:S1101"/>
    <mergeCell ref="Q1120:S1120"/>
    <mergeCell ref="Q1121:S1121"/>
    <mergeCell ref="Q1136:S1136"/>
    <mergeCell ref="Q1122:S1122"/>
    <mergeCell ref="Q1123:S1123"/>
    <mergeCell ref="Q1128:S1128"/>
    <mergeCell ref="Q1129:S1129"/>
    <mergeCell ref="Q1130:S1130"/>
    <mergeCell ref="Q1098:S1099"/>
    <mergeCell ref="Q1106:S1107"/>
    <mergeCell ref="B922:S922"/>
    <mergeCell ref="A923:S931"/>
    <mergeCell ref="A932:S942"/>
    <mergeCell ref="A943:S946"/>
    <mergeCell ref="H997:P997"/>
    <mergeCell ref="H998:P998"/>
    <mergeCell ref="Q1004:S1004"/>
    <mergeCell ref="A1018:S1019"/>
    <mergeCell ref="B995:G995"/>
    <mergeCell ref="B996:G996"/>
    <mergeCell ref="B997:G997"/>
    <mergeCell ref="B1003:G1003"/>
    <mergeCell ref="B1004:G1004"/>
    <mergeCell ref="Q982:S982"/>
    <mergeCell ref="H966:P966"/>
    <mergeCell ref="H982:P982"/>
    <mergeCell ref="H975:P975"/>
    <mergeCell ref="H976:P976"/>
    <mergeCell ref="H953:P953"/>
    <mergeCell ref="H954:P954"/>
    <mergeCell ref="H955:P955"/>
    <mergeCell ref="B994:G994"/>
    <mergeCell ref="Q976:S976"/>
    <mergeCell ref="Q962:S965"/>
    <mergeCell ref="A864:S871"/>
    <mergeCell ref="B887:G887"/>
    <mergeCell ref="B888:G888"/>
    <mergeCell ref="B889:G889"/>
    <mergeCell ref="Q752:S752"/>
    <mergeCell ref="Q753:S753"/>
    <mergeCell ref="Q763:S763"/>
    <mergeCell ref="Q797:S797"/>
    <mergeCell ref="Q798:S798"/>
    <mergeCell ref="Q766:S766"/>
    <mergeCell ref="Q767:S767"/>
    <mergeCell ref="Q771:S771"/>
    <mergeCell ref="Q772:S772"/>
    <mergeCell ref="Q786:S796"/>
    <mergeCell ref="G752:P752"/>
    <mergeCell ref="G753:P753"/>
    <mergeCell ref="G763:P763"/>
    <mergeCell ref="G764:P764"/>
    <mergeCell ref="B754:F762"/>
    <mergeCell ref="Q782:S782"/>
    <mergeCell ref="B763:F763"/>
    <mergeCell ref="B764:F764"/>
    <mergeCell ref="Q765:S765"/>
    <mergeCell ref="Q764:S764"/>
    <mergeCell ref="B722:F730"/>
    <mergeCell ref="G722:P730"/>
    <mergeCell ref="Q722:S730"/>
    <mergeCell ref="B736:F738"/>
    <mergeCell ref="G736:P738"/>
    <mergeCell ref="Q721:S721"/>
    <mergeCell ref="A673:S678"/>
    <mergeCell ref="A679:S682"/>
    <mergeCell ref="A683:S686"/>
    <mergeCell ref="A688:S699"/>
    <mergeCell ref="A700:S709"/>
    <mergeCell ref="A710:S715"/>
    <mergeCell ref="Q731:S731"/>
    <mergeCell ref="Q732:S732"/>
    <mergeCell ref="Q719:S719"/>
    <mergeCell ref="B735:F735"/>
    <mergeCell ref="B750:F750"/>
    <mergeCell ref="B751:F751"/>
    <mergeCell ref="B752:F752"/>
    <mergeCell ref="B753:F753"/>
    <mergeCell ref="Q733:S733"/>
    <mergeCell ref="Q734:S734"/>
    <mergeCell ref="Q751:S751"/>
    <mergeCell ref="G734:P734"/>
    <mergeCell ref="G735:P735"/>
    <mergeCell ref="Q736:S738"/>
    <mergeCell ref="G750:P750"/>
    <mergeCell ref="G751:P751"/>
    <mergeCell ref="A743:S748"/>
    <mergeCell ref="G740:P740"/>
    <mergeCell ref="G741:P741"/>
    <mergeCell ref="G742:P742"/>
    <mergeCell ref="G733:P733"/>
    <mergeCell ref="B741:F741"/>
    <mergeCell ref="B739:F739"/>
    <mergeCell ref="B740:F740"/>
    <mergeCell ref="A631:S636"/>
    <mergeCell ref="A637:S638"/>
    <mergeCell ref="A639:S642"/>
    <mergeCell ref="A643:S647"/>
    <mergeCell ref="A665:S672"/>
    <mergeCell ref="Q720:S720"/>
    <mergeCell ref="B655:S655"/>
    <mergeCell ref="A648:S652"/>
    <mergeCell ref="A653:S654"/>
    <mergeCell ref="A656:S664"/>
    <mergeCell ref="B716:F718"/>
    <mergeCell ref="G716:P718"/>
    <mergeCell ref="Q716:S718"/>
    <mergeCell ref="M540:Q543"/>
    <mergeCell ref="B544:D547"/>
    <mergeCell ref="E544:F547"/>
    <mergeCell ref="A472:S477"/>
    <mergeCell ref="A478:S480"/>
    <mergeCell ref="A481:S485"/>
    <mergeCell ref="A486:S489"/>
    <mergeCell ref="A490:S494"/>
    <mergeCell ref="A495:S495"/>
    <mergeCell ref="R512:S515"/>
    <mergeCell ref="B516:D519"/>
    <mergeCell ref="R540:S543"/>
    <mergeCell ref="B520:D523"/>
    <mergeCell ref="E520:F523"/>
    <mergeCell ref="G520:L523"/>
    <mergeCell ref="R520:S523"/>
    <mergeCell ref="B524:D526"/>
    <mergeCell ref="E524:Q526"/>
    <mergeCell ref="R516:S519"/>
    <mergeCell ref="M516:Q517"/>
    <mergeCell ref="M518:Q519"/>
    <mergeCell ref="M520:Q521"/>
    <mergeCell ref="M522:Q523"/>
    <mergeCell ref="A307:S315"/>
    <mergeCell ref="A350:S356"/>
    <mergeCell ref="A344:S349"/>
    <mergeCell ref="A374:S380"/>
    <mergeCell ref="A381:S387"/>
    <mergeCell ref="A405:S408"/>
    <mergeCell ref="E321:F324"/>
    <mergeCell ref="B317:D320"/>
    <mergeCell ref="E317:F320"/>
    <mergeCell ref="G317:L320"/>
    <mergeCell ref="M317:Q320"/>
    <mergeCell ref="R317:S320"/>
    <mergeCell ref="B321:D324"/>
    <mergeCell ref="M321:Q324"/>
    <mergeCell ref="R321:S324"/>
    <mergeCell ref="G321:L324"/>
    <mergeCell ref="G362:L365"/>
    <mergeCell ref="M362:Q365"/>
    <mergeCell ref="R362:S365"/>
    <mergeCell ref="B329:D333"/>
    <mergeCell ref="B397:D400"/>
    <mergeCell ref="E397:F400"/>
    <mergeCell ref="B325:D328"/>
    <mergeCell ref="E325:F328"/>
    <mergeCell ref="B274:D277"/>
    <mergeCell ref="E274:F277"/>
    <mergeCell ref="G274:L277"/>
    <mergeCell ref="M274:Q277"/>
    <mergeCell ref="R274:S277"/>
    <mergeCell ref="M237:Q240"/>
    <mergeCell ref="M241:Q244"/>
    <mergeCell ref="M245:Q248"/>
    <mergeCell ref="M249:Q252"/>
    <mergeCell ref="R237:S240"/>
    <mergeCell ref="R241:S248"/>
    <mergeCell ref="R249:S252"/>
    <mergeCell ref="B245:D248"/>
    <mergeCell ref="B249:D252"/>
    <mergeCell ref="B253:D255"/>
    <mergeCell ref="E237:F240"/>
    <mergeCell ref="E241:F248"/>
    <mergeCell ref="E249:F252"/>
    <mergeCell ref="E253:Q255"/>
    <mergeCell ref="B237:D240"/>
    <mergeCell ref="B241:D244"/>
    <mergeCell ref="A257:S264"/>
    <mergeCell ref="R253:S255"/>
    <mergeCell ref="G249:L252"/>
    <mergeCell ref="G325:L328"/>
    <mergeCell ref="G397:L400"/>
    <mergeCell ref="B286:D289"/>
    <mergeCell ref="E286:F289"/>
    <mergeCell ref="G286:L289"/>
    <mergeCell ref="M286:Q287"/>
    <mergeCell ref="M288:Q289"/>
    <mergeCell ref="B389:D392"/>
    <mergeCell ref="E389:F392"/>
    <mergeCell ref="G389:L392"/>
    <mergeCell ref="M389:Q392"/>
    <mergeCell ref="E329:S333"/>
    <mergeCell ref="B334:D337"/>
    <mergeCell ref="E334:F337"/>
    <mergeCell ref="G334:L337"/>
    <mergeCell ref="R334:S337"/>
    <mergeCell ref="B338:D342"/>
    <mergeCell ref="R338:S342"/>
    <mergeCell ref="E338:Q342"/>
    <mergeCell ref="M325:Q328"/>
    <mergeCell ref="M334:Q337"/>
    <mergeCell ref="A301:S306"/>
    <mergeCell ref="R325:S328"/>
    <mergeCell ref="M397:Q400"/>
    <mergeCell ref="R286:S289"/>
    <mergeCell ref="B290:D292"/>
    <mergeCell ref="E290:Q292"/>
    <mergeCell ref="R290:S292"/>
    <mergeCell ref="A294:S300"/>
    <mergeCell ref="B282:D285"/>
    <mergeCell ref="B278:D281"/>
    <mergeCell ref="E278:F281"/>
    <mergeCell ref="G278:L281"/>
    <mergeCell ref="M278:Q281"/>
    <mergeCell ref="R278:S281"/>
    <mergeCell ref="E282:F285"/>
    <mergeCell ref="G282:L285"/>
    <mergeCell ref="M282:Q283"/>
    <mergeCell ref="R282:S285"/>
    <mergeCell ref="M284:Q285"/>
    <mergeCell ref="G241:L248"/>
    <mergeCell ref="G237:L240"/>
    <mergeCell ref="A265:S272"/>
    <mergeCell ref="R161:S163"/>
    <mergeCell ref="N164:Q164"/>
    <mergeCell ref="N165:Q165"/>
    <mergeCell ref="A207:S216"/>
    <mergeCell ref="A217:S220"/>
    <mergeCell ref="N169:Q171"/>
    <mergeCell ref="N172:Q174"/>
    <mergeCell ref="N161:Q163"/>
    <mergeCell ref="N166:Q168"/>
    <mergeCell ref="H164:M168"/>
    <mergeCell ref="B202:S202"/>
    <mergeCell ref="A198:S201"/>
    <mergeCell ref="H187:K187"/>
    <mergeCell ref="H188:K188"/>
    <mergeCell ref="E164:G168"/>
    <mergeCell ref="N187:O187"/>
    <mergeCell ref="N188:O188"/>
    <mergeCell ref="N189:O189"/>
    <mergeCell ref="N190:O190"/>
    <mergeCell ref="H193:K193"/>
    <mergeCell ref="A221:S225"/>
    <mergeCell ref="A226:S232"/>
    <mergeCell ref="E233:F236"/>
    <mergeCell ref="H169:M174"/>
    <mergeCell ref="H184:K184"/>
    <mergeCell ref="H185:K185"/>
    <mergeCell ref="H186:K186"/>
    <mergeCell ref="G233:L236"/>
    <mergeCell ref="R233:S236"/>
    <mergeCell ref="M233:Q236"/>
    <mergeCell ref="B233:D236"/>
    <mergeCell ref="A203:S206"/>
    <mergeCell ref="B194:C194"/>
    <mergeCell ref="D184:G184"/>
    <mergeCell ref="B195:C195"/>
    <mergeCell ref="D185:G185"/>
    <mergeCell ref="D186:G186"/>
    <mergeCell ref="D187:G187"/>
    <mergeCell ref="D188:G188"/>
    <mergeCell ref="D189:G189"/>
    <mergeCell ref="D190:G190"/>
    <mergeCell ref="D191:G191"/>
    <mergeCell ref="D194:G194"/>
    <mergeCell ref="D195:G195"/>
    <mergeCell ref="B189:C189"/>
    <mergeCell ref="B190:C190"/>
    <mergeCell ref="B191:C191"/>
    <mergeCell ref="B192:C192"/>
    <mergeCell ref="B193:C193"/>
    <mergeCell ref="D192:G192"/>
    <mergeCell ref="D193:G193"/>
    <mergeCell ref="H161:M163"/>
    <mergeCell ref="B185:C185"/>
    <mergeCell ref="B178:C183"/>
    <mergeCell ref="D178:G183"/>
    <mergeCell ref="B186:C186"/>
    <mergeCell ref="B187:C187"/>
    <mergeCell ref="B188:C188"/>
    <mergeCell ref="B184:C184"/>
    <mergeCell ref="B169:D174"/>
    <mergeCell ref="E169:G174"/>
    <mergeCell ref="B176:S176"/>
    <mergeCell ref="B164:D168"/>
    <mergeCell ref="B161:D163"/>
    <mergeCell ref="E161:G163"/>
    <mergeCell ref="H189:K189"/>
    <mergeCell ref="H190:K190"/>
    <mergeCell ref="R164:S168"/>
    <mergeCell ref="R169:S174"/>
    <mergeCell ref="A153:S160"/>
    <mergeCell ref="A144:S146"/>
    <mergeCell ref="A147:S148"/>
    <mergeCell ref="B104:D105"/>
    <mergeCell ref="B110:D111"/>
    <mergeCell ref="F106:K107"/>
    <mergeCell ref="R104:S105"/>
    <mergeCell ref="R108:S109"/>
    <mergeCell ref="R110:S111"/>
    <mergeCell ref="L106:Q107"/>
    <mergeCell ref="L108:Q109"/>
    <mergeCell ref="A149:S152"/>
    <mergeCell ref="A114:S118"/>
    <mergeCell ref="A119:S121"/>
    <mergeCell ref="A131:S139"/>
    <mergeCell ref="A129:S130"/>
    <mergeCell ref="A140:S143"/>
    <mergeCell ref="B128:S128"/>
    <mergeCell ref="L104:Q105"/>
    <mergeCell ref="E105:F105"/>
    <mergeCell ref="E106:E107"/>
    <mergeCell ref="E108:E109"/>
    <mergeCell ref="A2:S2"/>
    <mergeCell ref="A3:S3"/>
    <mergeCell ref="A10:S11"/>
    <mergeCell ref="A12:S15"/>
    <mergeCell ref="A31:S32"/>
    <mergeCell ref="A27:S30"/>
    <mergeCell ref="B16:S16"/>
    <mergeCell ref="A126:S127"/>
    <mergeCell ref="B17:S17"/>
    <mergeCell ref="A4:S7"/>
    <mergeCell ref="A8:S9"/>
    <mergeCell ref="B106:D107"/>
    <mergeCell ref="R106:S107"/>
    <mergeCell ref="B108:D109"/>
    <mergeCell ref="A48:S51"/>
    <mergeCell ref="B52:S52"/>
    <mergeCell ref="A22:S22"/>
    <mergeCell ref="A23:S26"/>
    <mergeCell ref="B18:S18"/>
    <mergeCell ref="B19:S19"/>
    <mergeCell ref="B21:S21"/>
    <mergeCell ref="A20:S20"/>
    <mergeCell ref="A41:S42"/>
    <mergeCell ref="B38:S38"/>
    <mergeCell ref="T49:AP49"/>
    <mergeCell ref="T48:AP48"/>
    <mergeCell ref="A53:S54"/>
    <mergeCell ref="A59:S67"/>
    <mergeCell ref="A55:S56"/>
    <mergeCell ref="A57:S58"/>
    <mergeCell ref="A122:S125"/>
    <mergeCell ref="F108:K109"/>
    <mergeCell ref="E110:Q111"/>
    <mergeCell ref="A78:S88"/>
    <mergeCell ref="A68:S71"/>
    <mergeCell ref="A72:S77"/>
    <mergeCell ref="A89:S92"/>
    <mergeCell ref="A93:S95"/>
    <mergeCell ref="A100:S102"/>
    <mergeCell ref="A96:S99"/>
    <mergeCell ref="G104:K105"/>
    <mergeCell ref="E104:F104"/>
    <mergeCell ref="B47:S47"/>
    <mergeCell ref="A33:S37"/>
    <mergeCell ref="A39:S40"/>
    <mergeCell ref="A43:S46"/>
    <mergeCell ref="H195:K195"/>
    <mergeCell ref="L184:M184"/>
    <mergeCell ref="L185:M185"/>
    <mergeCell ref="L186:M186"/>
    <mergeCell ref="L187:M187"/>
    <mergeCell ref="L188:M188"/>
    <mergeCell ref="L193:M193"/>
    <mergeCell ref="L194:M194"/>
    <mergeCell ref="H191:K191"/>
    <mergeCell ref="H192:K192"/>
    <mergeCell ref="N195:O195"/>
    <mergeCell ref="P184:S195"/>
    <mergeCell ref="H178:K183"/>
    <mergeCell ref="L178:M183"/>
    <mergeCell ref="N178:O183"/>
    <mergeCell ref="P178:S183"/>
    <mergeCell ref="L195:M195"/>
    <mergeCell ref="N184:O184"/>
    <mergeCell ref="N185:O185"/>
    <mergeCell ref="N186:O186"/>
    <mergeCell ref="H194:K194"/>
    <mergeCell ref="N191:O191"/>
    <mergeCell ref="N192:O192"/>
    <mergeCell ref="L189:M189"/>
    <mergeCell ref="L190:M190"/>
    <mergeCell ref="L191:M191"/>
    <mergeCell ref="L192:M192"/>
    <mergeCell ref="N193:O193"/>
    <mergeCell ref="N194:O194"/>
  </mergeCells>
  <hyperlinks>
    <hyperlink ref="A10:S11" location="'375 S.K. EK VE DEĞİŞ G.MEV. (2'!A1" display="          A) 375 sayılı Kanun Hükmünde Kararnamenin Ek 9 uncu Maddesi Uyarınca Yapılacak Ek Ödemeye İlişkin Açıklamalar"/>
    <hyperlink ref="A57:S58" location="'375 S.K. EK VE DEĞİŞ G.MEV. (2'!Yazdırma_Alanı" display="       hiçbir suretle söz konusu ek 9 uncu maddenin birinci fıkrasında belirtilen ek ödemeden yararlandırılmayacaktır."/>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J453"/>
  <sheetViews>
    <sheetView topLeftCell="A357" zoomScaleNormal="100" workbookViewId="0">
      <selection activeCell="AC371" sqref="AC371"/>
    </sheetView>
  </sheetViews>
  <sheetFormatPr defaultRowHeight="15.75" customHeight="1"/>
  <cols>
    <col min="1" max="1" width="2" style="185" customWidth="1"/>
    <col min="2" max="24" width="3.7109375" style="185" customWidth="1"/>
    <col min="25" max="25" width="1.42578125" style="185" customWidth="1"/>
    <col min="26" max="27" width="9.140625" style="185"/>
    <col min="28" max="36" width="5.5703125" style="185" bestFit="1" customWidth="1"/>
    <col min="37" max="16384" width="9.140625" style="185"/>
  </cols>
  <sheetData>
    <row r="1" spans="1:24" ht="15.75" customHeight="1">
      <c r="A1" s="1980" t="s">
        <v>4184</v>
      </c>
      <c r="B1" s="1980"/>
      <c r="C1" s="1980"/>
      <c r="D1" s="1980"/>
      <c r="E1" s="1980"/>
      <c r="F1" s="1980"/>
      <c r="G1" s="1980"/>
      <c r="H1" s="1980"/>
      <c r="I1" s="1980"/>
      <c r="J1" s="1980"/>
      <c r="K1" s="1980"/>
      <c r="L1" s="1980"/>
      <c r="M1" s="1980"/>
      <c r="N1" s="1980"/>
      <c r="O1" s="1980"/>
      <c r="P1" s="1980"/>
      <c r="Q1" s="1980"/>
      <c r="R1" s="1980"/>
      <c r="S1" s="1980"/>
      <c r="T1" s="1980"/>
      <c r="U1" s="1980"/>
      <c r="V1" s="1980"/>
      <c r="W1" s="1980"/>
      <c r="X1" s="1980"/>
    </row>
    <row r="2" spans="1:24" ht="15.75" customHeight="1">
      <c r="A2" s="1536" t="s">
        <v>477</v>
      </c>
      <c r="B2" s="1510"/>
      <c r="C2" s="1510"/>
      <c r="D2" s="1510"/>
      <c r="E2" s="1510"/>
      <c r="F2" s="1510"/>
      <c r="G2" s="1981">
        <v>6.4460000000000003E-2</v>
      </c>
      <c r="H2" s="1981"/>
      <c r="I2" s="1981"/>
      <c r="J2" s="1981"/>
      <c r="K2" s="1981"/>
      <c r="L2" s="1981"/>
    </row>
    <row r="3" spans="1:24" ht="15.75" customHeight="1">
      <c r="A3" s="1536" t="s">
        <v>472</v>
      </c>
      <c r="B3" s="1510"/>
      <c r="C3" s="1510"/>
      <c r="D3" s="1510"/>
      <c r="E3" s="1510"/>
      <c r="F3" s="1510"/>
      <c r="G3" s="1981">
        <v>0.86251</v>
      </c>
      <c r="H3" s="1981"/>
      <c r="I3" s="1981"/>
      <c r="J3" s="1981"/>
      <c r="K3" s="1981"/>
      <c r="L3" s="1981"/>
    </row>
    <row r="4" spans="1:24" ht="15.75" customHeight="1">
      <c r="A4" s="1536" t="s">
        <v>4183</v>
      </c>
      <c r="B4" s="1510"/>
      <c r="C4" s="1510"/>
      <c r="D4" s="1510"/>
      <c r="E4" s="1510"/>
      <c r="F4" s="1510"/>
      <c r="G4" s="1981">
        <v>2.044E-2</v>
      </c>
      <c r="H4" s="1981"/>
      <c r="I4" s="1981"/>
      <c r="J4" s="1981"/>
      <c r="K4" s="1981"/>
      <c r="L4" s="1981"/>
    </row>
    <row r="6" spans="1:24" ht="15.75" customHeight="1">
      <c r="A6" s="1961" t="s">
        <v>3411</v>
      </c>
      <c r="B6" s="1961"/>
      <c r="C6" s="1961"/>
      <c r="D6" s="1961"/>
      <c r="E6" s="1961"/>
      <c r="F6" s="1961"/>
      <c r="G6" s="1961"/>
      <c r="H6" s="1961"/>
      <c r="I6" s="1961"/>
      <c r="J6" s="1961"/>
      <c r="K6" s="1961"/>
      <c r="L6" s="1961"/>
      <c r="M6" s="1961"/>
      <c r="N6" s="1961"/>
      <c r="O6" s="1961"/>
      <c r="P6" s="1961"/>
      <c r="Q6" s="1961"/>
      <c r="R6" s="1961"/>
      <c r="S6" s="1961"/>
      <c r="T6" s="1961"/>
      <c r="U6" s="1961"/>
      <c r="V6" s="1961"/>
      <c r="W6" s="1961"/>
      <c r="X6" s="1961"/>
    </row>
    <row r="7" spans="1:24" ht="15.75" customHeight="1">
      <c r="A7" s="1959" t="s">
        <v>3515</v>
      </c>
      <c r="B7" s="1959"/>
      <c r="C7" s="1959"/>
      <c r="D7" s="1959"/>
      <c r="E7" s="1959"/>
    </row>
    <row r="8" spans="1:24" ht="15.75" customHeight="1">
      <c r="A8" s="1962" t="s">
        <v>3412</v>
      </c>
      <c r="B8" s="1962"/>
      <c r="C8" s="1962"/>
      <c r="D8" s="1962"/>
      <c r="E8" s="1962"/>
      <c r="F8" s="1962"/>
      <c r="G8" s="1962"/>
      <c r="H8" s="1962"/>
      <c r="I8" s="1962"/>
      <c r="J8" s="1962"/>
      <c r="K8" s="1962"/>
      <c r="L8" s="1962"/>
      <c r="M8" s="1962"/>
      <c r="N8" s="1962"/>
      <c r="O8" s="1962"/>
      <c r="P8" s="1962"/>
      <c r="Q8" s="1962"/>
      <c r="R8" s="1962"/>
      <c r="S8" s="1962"/>
      <c r="T8" s="1962"/>
      <c r="U8" s="1962"/>
      <c r="V8" s="1962"/>
      <c r="W8" s="1962"/>
      <c r="X8" s="1962"/>
    </row>
    <row r="9" spans="1:24" ht="15.75" customHeight="1">
      <c r="A9" s="1962" t="s">
        <v>3413</v>
      </c>
      <c r="B9" s="1962"/>
      <c r="C9" s="1962"/>
      <c r="D9" s="1962"/>
      <c r="E9" s="1962"/>
      <c r="F9" s="1962"/>
      <c r="G9" s="1962"/>
      <c r="H9" s="1962"/>
      <c r="I9" s="1962"/>
      <c r="J9" s="1962"/>
      <c r="K9" s="1962"/>
      <c r="L9" s="1962"/>
      <c r="M9" s="1962"/>
      <c r="N9" s="1962"/>
      <c r="O9" s="1962"/>
      <c r="P9" s="1962"/>
      <c r="Q9" s="1962"/>
      <c r="R9" s="1962"/>
      <c r="S9" s="1962"/>
      <c r="T9" s="1962"/>
      <c r="U9" s="1962"/>
      <c r="V9" s="1962"/>
      <c r="W9" s="1962"/>
      <c r="X9" s="1962"/>
    </row>
    <row r="10" spans="1:24" ht="15.75" customHeight="1">
      <c r="A10" s="1959" t="s">
        <v>3516</v>
      </c>
      <c r="B10" s="1959"/>
      <c r="C10" s="1959"/>
      <c r="D10" s="1959"/>
      <c r="E10" s="1959"/>
    </row>
    <row r="11" spans="1:24" ht="15.75" customHeight="1">
      <c r="A11" s="1962" t="s">
        <v>3412</v>
      </c>
      <c r="B11" s="1962"/>
      <c r="C11" s="1962"/>
      <c r="D11" s="1962"/>
      <c r="E11" s="1962"/>
      <c r="F11" s="1962"/>
      <c r="G11" s="1962"/>
      <c r="H11" s="1962"/>
      <c r="I11" s="1962"/>
      <c r="J11" s="1962"/>
      <c r="K11" s="1962"/>
      <c r="L11" s="1962"/>
      <c r="M11" s="1962"/>
      <c r="N11" s="1962"/>
      <c r="O11" s="1962"/>
      <c r="P11" s="1962"/>
      <c r="Q11" s="1962"/>
      <c r="R11" s="1962"/>
      <c r="S11" s="1962"/>
      <c r="T11" s="1962"/>
      <c r="U11" s="1962"/>
      <c r="V11" s="1962"/>
      <c r="W11" s="1962"/>
      <c r="X11" s="1962"/>
    </row>
    <row r="12" spans="1:24" ht="15.75" customHeight="1">
      <c r="A12" s="1962" t="s">
        <v>4133</v>
      </c>
      <c r="B12" s="1962"/>
      <c r="C12" s="1962"/>
      <c r="D12" s="1962"/>
      <c r="E12" s="1962"/>
      <c r="F12" s="1962"/>
      <c r="G12" s="1962"/>
      <c r="H12" s="1962"/>
      <c r="I12" s="1962"/>
      <c r="J12" s="1962"/>
      <c r="K12" s="1962"/>
      <c r="L12" s="1962"/>
      <c r="M12" s="1962"/>
      <c r="N12" s="1962"/>
      <c r="O12" s="1962"/>
      <c r="P12" s="1962"/>
      <c r="Q12" s="1962"/>
      <c r="R12" s="1962"/>
      <c r="S12" s="1962"/>
      <c r="T12" s="1962"/>
      <c r="U12" s="1962"/>
      <c r="V12" s="1962"/>
      <c r="W12" s="1962"/>
      <c r="X12" s="1962"/>
    </row>
    <row r="13" spans="1:24" ht="15.75" customHeight="1">
      <c r="A13" s="552"/>
      <c r="B13" s="552"/>
      <c r="C13" s="552"/>
      <c r="D13" s="552"/>
      <c r="E13" s="552"/>
      <c r="F13" s="552"/>
      <c r="G13" s="552"/>
      <c r="H13" s="552"/>
      <c r="I13" s="552"/>
      <c r="J13" s="552"/>
      <c r="K13" s="552"/>
      <c r="L13" s="552"/>
      <c r="M13" s="552"/>
      <c r="N13" s="552"/>
      <c r="O13" s="552"/>
      <c r="P13" s="552"/>
      <c r="Q13" s="552"/>
      <c r="R13" s="552"/>
      <c r="S13" s="552"/>
      <c r="T13" s="552"/>
      <c r="U13" s="552"/>
      <c r="V13" s="552"/>
      <c r="W13" s="552"/>
      <c r="X13" s="552"/>
    </row>
    <row r="14" spans="1:24" ht="15.75" customHeight="1">
      <c r="A14" s="1963" t="s">
        <v>3414</v>
      </c>
      <c r="B14" s="1963"/>
      <c r="C14" s="1963"/>
      <c r="D14" s="1963"/>
      <c r="E14" s="1963"/>
      <c r="F14" s="1963"/>
      <c r="G14" s="1963"/>
      <c r="H14" s="1963"/>
      <c r="I14" s="1963"/>
      <c r="J14" s="1963"/>
      <c r="K14" s="1963"/>
      <c r="L14" s="1963"/>
      <c r="M14" s="1963"/>
      <c r="N14" s="1963"/>
      <c r="O14" s="1963"/>
      <c r="P14" s="1963"/>
      <c r="Q14" s="1963"/>
      <c r="R14" s="1963"/>
      <c r="S14" s="1963"/>
      <c r="T14" s="1963"/>
      <c r="U14" s="1963"/>
      <c r="V14" s="1963"/>
      <c r="W14" s="1963"/>
      <c r="X14" s="1963"/>
    </row>
    <row r="15" spans="1:24" ht="15.75" customHeight="1">
      <c r="A15" s="1964"/>
      <c r="B15" s="1964"/>
      <c r="C15" s="1964"/>
      <c r="D15" s="1964"/>
      <c r="E15" s="1964"/>
      <c r="F15" s="1964"/>
      <c r="G15" s="1964"/>
      <c r="H15" s="1964"/>
      <c r="I15" s="1964"/>
      <c r="J15" s="1964"/>
      <c r="K15" s="1964"/>
      <c r="L15" s="1964"/>
      <c r="M15" s="1964"/>
      <c r="N15" s="1964"/>
      <c r="O15" s="1964"/>
      <c r="P15" s="1964"/>
      <c r="Q15" s="1964"/>
      <c r="R15" s="1964"/>
      <c r="S15" s="1964"/>
      <c r="T15" s="1964"/>
      <c r="U15" s="1964"/>
      <c r="V15" s="1964"/>
      <c r="W15" s="1964"/>
      <c r="X15" s="1964"/>
    </row>
    <row r="16" spans="1:24" ht="15.75" customHeight="1">
      <c r="A16" s="1964" t="s">
        <v>3415</v>
      </c>
      <c r="B16" s="1964"/>
      <c r="C16" s="1964"/>
      <c r="D16" s="1964"/>
      <c r="E16" s="1964"/>
      <c r="F16" s="1964"/>
      <c r="G16" s="1964"/>
      <c r="H16" s="1964"/>
      <c r="I16" s="1964"/>
      <c r="J16" s="1964"/>
      <c r="K16" s="1964"/>
      <c r="L16" s="1964"/>
      <c r="M16" s="1964"/>
      <c r="N16" s="1964"/>
      <c r="O16" s="1964"/>
      <c r="P16" s="1964"/>
      <c r="Q16" s="1964"/>
      <c r="R16" s="1964"/>
      <c r="S16" s="1964"/>
      <c r="T16" s="1964"/>
      <c r="U16" s="1964"/>
      <c r="V16" s="1964"/>
      <c r="W16" s="1964"/>
      <c r="X16" s="1964"/>
    </row>
    <row r="17" spans="1:24" ht="15.75" customHeight="1">
      <c r="A17" s="1964" t="s">
        <v>3416</v>
      </c>
      <c r="B17" s="1964"/>
      <c r="C17" s="1964"/>
      <c r="D17" s="1964"/>
      <c r="E17" s="1964"/>
      <c r="F17" s="1964"/>
      <c r="G17" s="1964"/>
      <c r="H17" s="1964"/>
      <c r="I17" s="1964"/>
      <c r="J17" s="1964"/>
      <c r="K17" s="1964"/>
      <c r="L17" s="1964"/>
      <c r="M17" s="1964"/>
      <c r="N17" s="1964"/>
      <c r="O17" s="1964"/>
      <c r="P17" s="1964"/>
      <c r="Q17" s="1964"/>
      <c r="R17" s="1964"/>
      <c r="S17" s="1964"/>
      <c r="T17" s="1964"/>
      <c r="U17" s="1964"/>
      <c r="V17" s="1964"/>
      <c r="W17" s="1964"/>
      <c r="X17" s="1964"/>
    </row>
    <row r="18" spans="1:24" ht="28.5" customHeight="1">
      <c r="A18" s="1964" t="s">
        <v>3417</v>
      </c>
      <c r="B18" s="1964"/>
      <c r="C18" s="1964"/>
      <c r="D18" s="1964"/>
      <c r="E18" s="1964"/>
      <c r="F18" s="1964"/>
      <c r="G18" s="1964"/>
      <c r="H18" s="1964"/>
      <c r="I18" s="1964"/>
      <c r="J18" s="1964"/>
      <c r="K18" s="1964"/>
      <c r="L18" s="1964"/>
      <c r="M18" s="1964"/>
      <c r="N18" s="1964"/>
      <c r="O18" s="1964"/>
      <c r="P18" s="1964"/>
      <c r="Q18" s="1964"/>
      <c r="R18" s="1964"/>
      <c r="S18" s="1964"/>
      <c r="T18" s="1964"/>
      <c r="U18" s="1964"/>
      <c r="V18" s="1964"/>
      <c r="W18" s="1964"/>
      <c r="X18" s="1964"/>
    </row>
    <row r="19" spans="1:24" ht="15.75" customHeight="1">
      <c r="A19" s="1964"/>
      <c r="B19" s="1964"/>
      <c r="C19" s="1964"/>
      <c r="D19" s="1964"/>
      <c r="E19" s="1964"/>
      <c r="F19" s="1964"/>
      <c r="G19" s="1964"/>
      <c r="H19" s="1964"/>
      <c r="I19" s="1964"/>
      <c r="J19" s="1964"/>
      <c r="K19" s="1964"/>
      <c r="L19" s="1964"/>
      <c r="M19" s="1964"/>
      <c r="N19" s="1964"/>
      <c r="O19" s="1964"/>
      <c r="P19" s="1964"/>
      <c r="Q19" s="1964"/>
      <c r="R19" s="1964"/>
      <c r="S19" s="1964"/>
      <c r="T19" s="1964"/>
      <c r="U19" s="1964"/>
      <c r="V19" s="1964"/>
      <c r="W19" s="1964"/>
      <c r="X19" s="1964"/>
    </row>
    <row r="20" spans="1:24" ht="15.75" customHeight="1">
      <c r="A20" s="1963" t="s">
        <v>3418</v>
      </c>
      <c r="B20" s="1963"/>
      <c r="C20" s="1963"/>
      <c r="D20" s="1963"/>
      <c r="E20" s="1963"/>
      <c r="F20" s="1963"/>
      <c r="G20" s="1963"/>
      <c r="H20" s="1963"/>
      <c r="I20" s="1963"/>
      <c r="J20" s="1963"/>
      <c r="K20" s="1963"/>
      <c r="L20" s="1963"/>
      <c r="M20" s="1963"/>
      <c r="N20" s="1963"/>
      <c r="O20" s="1963"/>
      <c r="P20" s="1963"/>
      <c r="Q20" s="1963"/>
      <c r="R20" s="1963"/>
      <c r="S20" s="1963"/>
      <c r="T20" s="1963"/>
      <c r="U20" s="1963"/>
      <c r="V20" s="1963"/>
      <c r="W20" s="1963"/>
      <c r="X20" s="1963"/>
    </row>
    <row r="21" spans="1:24" ht="15.75" customHeight="1">
      <c r="A21" s="1964"/>
      <c r="B21" s="1964"/>
      <c r="C21" s="1964"/>
      <c r="D21" s="1964"/>
      <c r="E21" s="1964"/>
      <c r="F21" s="1964"/>
      <c r="G21" s="1964"/>
      <c r="H21" s="1964"/>
      <c r="I21" s="1964"/>
      <c r="J21" s="1964"/>
      <c r="K21" s="1964"/>
      <c r="L21" s="1964"/>
      <c r="M21" s="1964"/>
      <c r="N21" s="1964"/>
      <c r="O21" s="1964"/>
      <c r="P21" s="1964"/>
      <c r="Q21" s="1964"/>
      <c r="R21" s="1964"/>
      <c r="S21" s="1964"/>
      <c r="T21" s="1964"/>
      <c r="U21" s="1964"/>
      <c r="V21" s="1964"/>
      <c r="W21" s="1964"/>
      <c r="X21" s="1964"/>
    </row>
    <row r="22" spans="1:24" ht="15.75" customHeight="1">
      <c r="A22" s="1982" t="s">
        <v>4195</v>
      </c>
      <c r="B22" s="1982"/>
      <c r="C22" s="1982"/>
      <c r="D22" s="1982"/>
      <c r="E22" s="1982"/>
      <c r="F22" s="1982"/>
      <c r="G22" s="1982"/>
      <c r="H22" s="1982"/>
      <c r="I22" s="1982"/>
      <c r="J22" s="1982"/>
      <c r="K22" s="1982"/>
      <c r="L22" s="1982"/>
      <c r="M22" s="1982"/>
      <c r="N22" s="1982"/>
      <c r="O22" s="1982"/>
      <c r="P22" s="1982"/>
      <c r="Q22" s="1982"/>
      <c r="R22" s="1982"/>
      <c r="S22" s="1982"/>
      <c r="T22" s="1982"/>
      <c r="U22" s="1982"/>
      <c r="V22" s="1982"/>
      <c r="W22" s="1982"/>
      <c r="X22" s="1982"/>
    </row>
    <row r="23" spans="1:24" ht="15.75" customHeight="1">
      <c r="A23" s="1964" t="s">
        <v>4194</v>
      </c>
      <c r="B23" s="1964"/>
      <c r="C23" s="1964"/>
      <c r="D23" s="1964"/>
      <c r="E23" s="1964"/>
      <c r="F23" s="1964"/>
      <c r="G23" s="1964"/>
      <c r="H23" s="1964"/>
      <c r="I23" s="1964"/>
      <c r="J23" s="1964"/>
      <c r="K23" s="1964"/>
      <c r="L23" s="1964"/>
      <c r="M23" s="1964"/>
      <c r="N23" s="1964"/>
      <c r="O23" s="1964"/>
      <c r="P23" s="1964"/>
      <c r="Q23" s="1964"/>
      <c r="R23" s="1964"/>
      <c r="S23" s="1964"/>
      <c r="T23" s="1964"/>
      <c r="U23" s="1964"/>
      <c r="V23" s="1964"/>
      <c r="W23" s="1964"/>
      <c r="X23" s="1964"/>
    </row>
    <row r="24" spans="1:24" ht="32.25" customHeight="1">
      <c r="A24" s="1964" t="s">
        <v>3419</v>
      </c>
      <c r="B24" s="1964"/>
      <c r="C24" s="1964"/>
      <c r="D24" s="1964"/>
      <c r="E24" s="1964"/>
      <c r="F24" s="1964"/>
      <c r="G24" s="1964"/>
      <c r="H24" s="1964"/>
      <c r="I24" s="1964"/>
      <c r="J24" s="1964"/>
      <c r="K24" s="1964"/>
      <c r="L24" s="1964"/>
      <c r="M24" s="1964"/>
      <c r="N24" s="1964"/>
      <c r="O24" s="1964"/>
      <c r="P24" s="1964"/>
      <c r="Q24" s="1964"/>
      <c r="R24" s="1964"/>
      <c r="S24" s="1964"/>
      <c r="T24" s="1964"/>
      <c r="U24" s="1964"/>
      <c r="V24" s="1964"/>
      <c r="W24" s="1964"/>
      <c r="X24" s="1964"/>
    </row>
    <row r="25" spans="1:24" ht="15.75" customHeight="1">
      <c r="A25" s="1964"/>
      <c r="B25" s="1964"/>
      <c r="C25" s="1964"/>
      <c r="D25" s="1964"/>
      <c r="E25" s="1964"/>
      <c r="F25" s="1964"/>
      <c r="G25" s="1964"/>
      <c r="H25" s="1964"/>
      <c r="I25" s="1964"/>
      <c r="J25" s="1964"/>
      <c r="K25" s="1964"/>
      <c r="L25" s="1964"/>
      <c r="M25" s="1964"/>
      <c r="N25" s="1964"/>
      <c r="O25" s="1964"/>
      <c r="P25" s="1964"/>
      <c r="Q25" s="1964"/>
      <c r="R25" s="1964"/>
      <c r="S25" s="1964"/>
      <c r="T25" s="1964"/>
      <c r="U25" s="1964"/>
      <c r="V25" s="1964"/>
      <c r="W25" s="1964"/>
      <c r="X25" s="1964"/>
    </row>
    <row r="26" spans="1:24" ht="15.75" customHeight="1">
      <c r="A26" s="1963" t="s">
        <v>3420</v>
      </c>
      <c r="B26" s="1963"/>
      <c r="C26" s="1963"/>
      <c r="D26" s="1963"/>
      <c r="E26" s="1963"/>
      <c r="F26" s="1963"/>
      <c r="G26" s="1963"/>
      <c r="H26" s="1963"/>
      <c r="I26" s="1963"/>
      <c r="J26" s="1963"/>
      <c r="K26" s="1963"/>
      <c r="L26" s="1963"/>
      <c r="M26" s="1963"/>
      <c r="N26" s="1963"/>
      <c r="O26" s="1963"/>
      <c r="P26" s="1963"/>
      <c r="Q26" s="1963"/>
      <c r="R26" s="1963"/>
      <c r="S26" s="1963"/>
      <c r="T26" s="1963"/>
      <c r="U26" s="1963"/>
      <c r="V26" s="1963"/>
      <c r="W26" s="1963"/>
      <c r="X26" s="1963"/>
    </row>
    <row r="27" spans="1:24" ht="15.75" customHeight="1">
      <c r="A27" s="1968"/>
      <c r="B27" s="1968"/>
      <c r="C27" s="1968"/>
      <c r="D27" s="1968"/>
      <c r="E27" s="1968"/>
      <c r="F27" s="1968"/>
      <c r="G27" s="1968"/>
      <c r="H27" s="1968"/>
      <c r="I27" s="1968"/>
      <c r="J27" s="1968"/>
      <c r="K27" s="1968"/>
      <c r="L27" s="1968"/>
      <c r="M27" s="1968"/>
      <c r="N27" s="1968"/>
      <c r="O27" s="1968"/>
      <c r="P27" s="1968"/>
      <c r="Q27" s="1968"/>
      <c r="R27" s="1968"/>
      <c r="S27" s="1968"/>
      <c r="T27" s="1968"/>
      <c r="U27" s="1968"/>
      <c r="V27" s="1968"/>
      <c r="W27" s="1968"/>
      <c r="X27" s="1968"/>
    </row>
    <row r="28" spans="1:24" ht="15.75" customHeight="1">
      <c r="A28" s="1964" t="s">
        <v>3421</v>
      </c>
      <c r="B28" s="1964"/>
      <c r="C28" s="1964"/>
      <c r="D28" s="1964"/>
      <c r="E28" s="1964"/>
      <c r="F28" s="1964"/>
      <c r="G28" s="1964"/>
      <c r="H28" s="1964"/>
      <c r="I28" s="1964"/>
      <c r="J28" s="1964"/>
      <c r="K28" s="1964"/>
      <c r="L28" s="1964"/>
      <c r="M28" s="1964"/>
      <c r="N28" s="1964"/>
      <c r="O28" s="1964"/>
      <c r="P28" s="1964"/>
      <c r="Q28" s="1964"/>
      <c r="R28" s="1964"/>
      <c r="S28" s="1964"/>
      <c r="T28" s="1964"/>
      <c r="U28" s="1964"/>
      <c r="V28" s="1964"/>
      <c r="W28" s="1964"/>
      <c r="X28" s="1964"/>
    </row>
    <row r="29" spans="1:24" ht="15.75" customHeight="1">
      <c r="A29" s="1964"/>
      <c r="B29" s="1964"/>
      <c r="C29" s="1964"/>
      <c r="D29" s="1964"/>
      <c r="E29" s="1964"/>
      <c r="F29" s="1964"/>
      <c r="G29" s="1964"/>
      <c r="H29" s="1964"/>
      <c r="I29" s="1964"/>
      <c r="J29" s="1964"/>
      <c r="K29" s="1964"/>
      <c r="L29" s="1964"/>
      <c r="M29" s="1964"/>
      <c r="N29" s="1964"/>
      <c r="O29" s="1964"/>
      <c r="P29" s="1964"/>
      <c r="Q29" s="1964"/>
      <c r="R29" s="1964"/>
      <c r="S29" s="1964"/>
      <c r="T29" s="1964"/>
      <c r="U29" s="1964"/>
      <c r="V29" s="1964"/>
      <c r="W29" s="1964"/>
      <c r="X29" s="1964"/>
    </row>
    <row r="30" spans="1:24" ht="15.75" customHeight="1">
      <c r="A30" s="1963" t="s">
        <v>3422</v>
      </c>
      <c r="B30" s="1963"/>
      <c r="C30" s="1963"/>
      <c r="D30" s="1963"/>
      <c r="E30" s="1963"/>
      <c r="F30" s="1963"/>
      <c r="G30" s="1963"/>
      <c r="H30" s="1963"/>
      <c r="I30" s="1963"/>
      <c r="J30" s="1963"/>
      <c r="K30" s="1963"/>
      <c r="L30" s="1963"/>
      <c r="M30" s="1963"/>
      <c r="N30" s="1963"/>
      <c r="O30" s="1963"/>
      <c r="P30" s="1963"/>
      <c r="Q30" s="1963"/>
      <c r="R30" s="1963"/>
      <c r="S30" s="1963"/>
      <c r="T30" s="1963"/>
      <c r="U30" s="1963"/>
      <c r="V30" s="1963"/>
      <c r="W30" s="1963"/>
      <c r="X30" s="1963"/>
    </row>
    <row r="31" spans="1:24" ht="15.75" customHeight="1">
      <c r="A31" s="1963"/>
      <c r="B31" s="1963"/>
      <c r="C31" s="1963"/>
      <c r="D31" s="1963"/>
      <c r="E31" s="1963"/>
      <c r="F31" s="1963"/>
      <c r="G31" s="1963"/>
      <c r="H31" s="1963"/>
      <c r="I31" s="1963"/>
      <c r="J31" s="1963"/>
      <c r="K31" s="1963"/>
      <c r="L31" s="1963"/>
      <c r="M31" s="1963"/>
      <c r="N31" s="1963"/>
      <c r="O31" s="1963"/>
      <c r="P31" s="1963"/>
      <c r="Q31" s="1963"/>
      <c r="R31" s="1963"/>
      <c r="S31" s="1963"/>
      <c r="T31" s="1963"/>
      <c r="U31" s="1963"/>
      <c r="V31" s="1963"/>
      <c r="W31" s="1963"/>
      <c r="X31" s="1963"/>
    </row>
    <row r="32" spans="1:24" ht="15.75" customHeight="1">
      <c r="A32" s="1959" t="s">
        <v>3515</v>
      </c>
      <c r="B32" s="1959"/>
      <c r="C32" s="1959"/>
      <c r="D32" s="1959"/>
      <c r="E32" s="1959"/>
      <c r="F32" s="564"/>
      <c r="G32" s="564"/>
      <c r="H32" s="564"/>
      <c r="I32" s="564"/>
      <c r="J32" s="564"/>
      <c r="K32" s="564"/>
      <c r="L32" s="564"/>
      <c r="M32" s="564"/>
      <c r="N32" s="564"/>
      <c r="O32" s="564"/>
      <c r="P32" s="564"/>
      <c r="Q32" s="564"/>
      <c r="R32" s="564"/>
      <c r="S32" s="564"/>
      <c r="T32" s="564"/>
      <c r="U32" s="564"/>
      <c r="V32" s="564"/>
      <c r="W32" s="564"/>
      <c r="X32" s="564"/>
    </row>
    <row r="33" spans="1:24" ht="15.75" customHeight="1">
      <c r="A33" s="1964" t="s">
        <v>4130</v>
      </c>
      <c r="B33" s="1964"/>
      <c r="C33" s="1964"/>
      <c r="D33" s="1964"/>
      <c r="E33" s="1964"/>
      <c r="F33" s="1964"/>
      <c r="G33" s="1964"/>
      <c r="H33" s="1964"/>
      <c r="I33" s="1964"/>
      <c r="J33" s="1964"/>
      <c r="K33" s="1964"/>
      <c r="L33" s="1964"/>
      <c r="M33" s="1964"/>
      <c r="N33" s="1964"/>
      <c r="O33" s="1964"/>
      <c r="P33" s="1964"/>
      <c r="Q33" s="1964"/>
      <c r="R33" s="1964"/>
      <c r="S33" s="1964"/>
      <c r="T33" s="1964"/>
      <c r="U33" s="1964"/>
      <c r="V33" s="1964"/>
      <c r="W33" s="1964"/>
      <c r="X33" s="1964"/>
    </row>
    <row r="34" spans="1:24" ht="15.75" customHeight="1">
      <c r="A34" s="1964" t="s">
        <v>4127</v>
      </c>
      <c r="B34" s="1964"/>
      <c r="C34" s="1964"/>
      <c r="D34" s="1964"/>
      <c r="E34" s="1964"/>
      <c r="F34" s="1964"/>
      <c r="G34" s="1964"/>
      <c r="H34" s="1964"/>
      <c r="I34" s="1964"/>
      <c r="J34" s="1964"/>
      <c r="K34" s="1964"/>
      <c r="L34" s="1964"/>
      <c r="M34" s="1964"/>
      <c r="N34" s="1964"/>
      <c r="O34" s="1964"/>
      <c r="P34" s="1964"/>
      <c r="Q34" s="1964"/>
      <c r="R34" s="1964"/>
      <c r="S34" s="1964"/>
      <c r="T34" s="1964"/>
      <c r="U34" s="1964"/>
      <c r="V34" s="1964"/>
      <c r="W34" s="1964"/>
      <c r="X34" s="1964"/>
    </row>
    <row r="35" spans="1:24" ht="15.75" customHeight="1">
      <c r="A35" s="1964" t="s">
        <v>3423</v>
      </c>
      <c r="B35" s="1964"/>
      <c r="C35" s="1964"/>
      <c r="D35" s="1964"/>
      <c r="E35" s="1964"/>
      <c r="F35" s="1964"/>
      <c r="G35" s="1964"/>
      <c r="H35" s="1964"/>
      <c r="I35" s="1964"/>
      <c r="J35" s="1964"/>
      <c r="K35" s="1964"/>
      <c r="L35" s="1964"/>
      <c r="M35" s="1964"/>
      <c r="N35" s="1964"/>
      <c r="O35" s="1964"/>
      <c r="P35" s="1964"/>
      <c r="Q35" s="1964"/>
      <c r="R35" s="1964"/>
      <c r="S35" s="1964"/>
      <c r="T35" s="1964"/>
      <c r="U35" s="1964"/>
      <c r="V35" s="1964"/>
      <c r="W35" s="1964"/>
      <c r="X35" s="1964"/>
    </row>
    <row r="36" spans="1:24" ht="15.75" customHeight="1">
      <c r="A36" s="1964" t="s">
        <v>3424</v>
      </c>
      <c r="B36" s="1964"/>
      <c r="C36" s="1964"/>
      <c r="D36" s="1964"/>
      <c r="E36" s="1964"/>
      <c r="F36" s="1964"/>
      <c r="G36" s="1964"/>
      <c r="H36" s="1964"/>
      <c r="I36" s="1964"/>
      <c r="J36" s="1964"/>
      <c r="K36" s="1964"/>
      <c r="L36" s="1964"/>
      <c r="M36" s="1964"/>
      <c r="N36" s="1964"/>
      <c r="O36" s="1964"/>
      <c r="P36" s="1964"/>
      <c r="Q36" s="1964"/>
      <c r="R36" s="1964"/>
      <c r="S36" s="1964"/>
      <c r="T36" s="1964"/>
      <c r="U36" s="1964"/>
      <c r="V36" s="1964"/>
      <c r="W36" s="1964"/>
      <c r="X36" s="1964"/>
    </row>
    <row r="37" spans="1:24" ht="15.75" customHeight="1">
      <c r="A37" s="1959" t="s">
        <v>3516</v>
      </c>
      <c r="B37" s="1959"/>
      <c r="C37" s="1959"/>
      <c r="D37" s="1959"/>
      <c r="E37" s="1959"/>
      <c r="F37" s="564"/>
      <c r="G37" s="564"/>
      <c r="H37" s="564"/>
      <c r="I37" s="564"/>
      <c r="J37" s="564"/>
      <c r="K37" s="564"/>
      <c r="L37" s="564"/>
      <c r="M37" s="564"/>
      <c r="N37" s="564"/>
      <c r="O37" s="564"/>
      <c r="P37" s="564"/>
      <c r="Q37" s="564"/>
      <c r="R37" s="564"/>
      <c r="S37" s="564"/>
      <c r="T37" s="564"/>
      <c r="U37" s="564"/>
      <c r="V37" s="564"/>
      <c r="W37" s="564"/>
      <c r="X37" s="564"/>
    </row>
    <row r="38" spans="1:24" ht="15.75" customHeight="1">
      <c r="A38" s="1964" t="s">
        <v>4129</v>
      </c>
      <c r="B38" s="1964"/>
      <c r="C38" s="1964"/>
      <c r="D38" s="1964"/>
      <c r="E38" s="1964"/>
      <c r="F38" s="1964"/>
      <c r="G38" s="1964"/>
      <c r="H38" s="1964"/>
      <c r="I38" s="1964"/>
      <c r="J38" s="1964"/>
      <c r="K38" s="1964"/>
      <c r="L38" s="1964"/>
      <c r="M38" s="1964"/>
      <c r="N38" s="1964"/>
      <c r="O38" s="1964"/>
      <c r="P38" s="1964"/>
      <c r="Q38" s="1964"/>
      <c r="R38" s="1964"/>
      <c r="S38" s="1964"/>
      <c r="T38" s="1964"/>
      <c r="U38" s="1964"/>
      <c r="V38" s="1964"/>
      <c r="W38" s="1964"/>
      <c r="X38" s="1964"/>
    </row>
    <row r="39" spans="1:24" ht="15.75" customHeight="1">
      <c r="A39" s="1964" t="s">
        <v>4128</v>
      </c>
      <c r="B39" s="1964"/>
      <c r="C39" s="1964"/>
      <c r="D39" s="1964"/>
      <c r="E39" s="1964"/>
      <c r="F39" s="1964"/>
      <c r="G39" s="1964"/>
      <c r="H39" s="1964"/>
      <c r="I39" s="1964"/>
      <c r="J39" s="1964"/>
      <c r="K39" s="1964"/>
      <c r="L39" s="1964"/>
      <c r="M39" s="1964"/>
      <c r="N39" s="1964"/>
      <c r="O39" s="1964"/>
      <c r="P39" s="1964"/>
      <c r="Q39" s="1964"/>
      <c r="R39" s="1964"/>
      <c r="S39" s="1964"/>
      <c r="T39" s="1964"/>
      <c r="U39" s="1964"/>
      <c r="V39" s="1964"/>
      <c r="W39" s="1964"/>
      <c r="X39" s="1964"/>
    </row>
    <row r="40" spans="1:24" ht="15.75" customHeight="1">
      <c r="A40" s="1964" t="s">
        <v>4131</v>
      </c>
      <c r="B40" s="1964"/>
      <c r="C40" s="1964"/>
      <c r="D40" s="1964"/>
      <c r="E40" s="1964"/>
      <c r="F40" s="1964"/>
      <c r="G40" s="1964"/>
      <c r="H40" s="1964"/>
      <c r="I40" s="1964"/>
      <c r="J40" s="1964"/>
      <c r="K40" s="1964"/>
      <c r="L40" s="1964"/>
      <c r="M40" s="1964"/>
      <c r="N40" s="1964"/>
      <c r="O40" s="1964"/>
      <c r="P40" s="1964"/>
      <c r="Q40" s="1964"/>
      <c r="R40" s="1964"/>
      <c r="S40" s="1964"/>
      <c r="T40" s="1964"/>
      <c r="U40" s="1964"/>
      <c r="V40" s="1964"/>
      <c r="W40" s="1964"/>
      <c r="X40" s="1964"/>
    </row>
    <row r="41" spans="1:24" ht="15.75" customHeight="1">
      <c r="A41" s="1964" t="s">
        <v>4132</v>
      </c>
      <c r="B41" s="1964"/>
      <c r="C41" s="1964"/>
      <c r="D41" s="1964"/>
      <c r="E41" s="1964"/>
      <c r="F41" s="1964"/>
      <c r="G41" s="1964"/>
      <c r="H41" s="1964"/>
      <c r="I41" s="1964"/>
      <c r="J41" s="1964"/>
      <c r="K41" s="1964"/>
      <c r="L41" s="1964"/>
      <c r="M41" s="1964"/>
      <c r="N41" s="1964"/>
      <c r="O41" s="1964"/>
      <c r="P41" s="1964"/>
      <c r="Q41" s="1964"/>
      <c r="R41" s="1964"/>
      <c r="S41" s="1964"/>
      <c r="T41" s="1964"/>
      <c r="U41" s="1964"/>
      <c r="V41" s="1964"/>
      <c r="W41" s="1964"/>
      <c r="X41" s="1964"/>
    </row>
    <row r="42" spans="1:24" ht="15.75" customHeight="1">
      <c r="A42" s="1964"/>
      <c r="B42" s="1964"/>
      <c r="C42" s="1964"/>
      <c r="D42" s="1964"/>
      <c r="E42" s="1964"/>
      <c r="F42" s="1964"/>
      <c r="G42" s="1964"/>
      <c r="H42" s="1964"/>
      <c r="I42" s="1964"/>
      <c r="J42" s="1964"/>
      <c r="K42" s="1964"/>
      <c r="L42" s="1964"/>
      <c r="M42" s="1964"/>
      <c r="N42" s="1964"/>
      <c r="O42" s="1964"/>
      <c r="P42" s="1964"/>
      <c r="Q42" s="1964"/>
      <c r="R42" s="1964"/>
      <c r="S42" s="1964"/>
      <c r="T42" s="1964"/>
      <c r="U42" s="1964"/>
      <c r="V42" s="1964"/>
      <c r="W42" s="1964"/>
      <c r="X42" s="1964"/>
    </row>
    <row r="43" spans="1:24" ht="15.75" customHeight="1">
      <c r="A43" s="1963" t="s">
        <v>3425</v>
      </c>
      <c r="B43" s="1963"/>
      <c r="C43" s="1963"/>
      <c r="D43" s="1963"/>
      <c r="E43" s="1963"/>
      <c r="F43" s="1963"/>
      <c r="G43" s="1963"/>
      <c r="H43" s="1963"/>
      <c r="I43" s="1963"/>
      <c r="J43" s="1963"/>
      <c r="K43" s="1963"/>
      <c r="L43" s="1963"/>
      <c r="M43" s="1963"/>
      <c r="N43" s="1963"/>
      <c r="O43" s="1963"/>
      <c r="P43" s="1963"/>
      <c r="Q43" s="1963"/>
      <c r="R43" s="1963"/>
      <c r="S43" s="1963"/>
      <c r="T43" s="1963"/>
      <c r="U43" s="1963"/>
      <c r="V43" s="1963"/>
      <c r="W43" s="1963"/>
      <c r="X43" s="1963"/>
    </row>
    <row r="44" spans="1:24" ht="15.75" customHeight="1">
      <c r="A44" s="1377"/>
      <c r="B44" s="1377"/>
      <c r="C44" s="1377"/>
      <c r="D44" s="1377"/>
      <c r="E44" s="1377"/>
      <c r="F44" s="1377"/>
      <c r="G44" s="1377"/>
      <c r="H44" s="1377"/>
      <c r="I44" s="1377"/>
      <c r="J44" s="1377"/>
      <c r="K44" s="1377"/>
      <c r="L44" s="1377"/>
      <c r="M44" s="1377"/>
      <c r="N44" s="1377"/>
      <c r="O44" s="1377"/>
      <c r="P44" s="1377"/>
      <c r="Q44" s="1377"/>
      <c r="R44" s="1377"/>
      <c r="S44" s="1377"/>
      <c r="T44" s="1377"/>
      <c r="U44" s="1377"/>
      <c r="V44" s="1377"/>
      <c r="W44" s="1377"/>
      <c r="X44" s="1377"/>
    </row>
    <row r="45" spans="1:24" ht="15.75" customHeight="1">
      <c r="A45" s="1962" t="s">
        <v>4134</v>
      </c>
      <c r="B45" s="1962"/>
      <c r="C45" s="1962"/>
      <c r="D45" s="1962"/>
      <c r="E45" s="1962"/>
      <c r="F45" s="1962"/>
      <c r="G45" s="1962"/>
      <c r="H45" s="1962"/>
      <c r="I45" s="1962"/>
      <c r="J45" s="1962"/>
      <c r="K45" s="1967">
        <f>$G$2</f>
        <v>6.4460000000000003E-2</v>
      </c>
      <c r="L45" s="1967"/>
      <c r="M45" s="1967"/>
      <c r="N45" s="1967"/>
      <c r="O45" s="551" t="s">
        <v>4135</v>
      </c>
      <c r="P45" s="551"/>
      <c r="Q45" s="551"/>
      <c r="R45" s="551"/>
      <c r="S45" s="551"/>
      <c r="T45" s="551"/>
      <c r="U45" s="551"/>
      <c r="V45" s="551"/>
      <c r="W45" s="551"/>
      <c r="X45" s="551"/>
    </row>
    <row r="46" spans="1:24" ht="15.75" customHeight="1">
      <c r="A46" s="1962" t="s">
        <v>4136</v>
      </c>
      <c r="B46" s="1962"/>
      <c r="C46" s="1962"/>
      <c r="D46" s="1962"/>
      <c r="E46" s="1962"/>
      <c r="F46" s="1962"/>
      <c r="G46" s="1962"/>
      <c r="H46" s="1962"/>
      <c r="I46" s="1962"/>
      <c r="J46" s="1962"/>
      <c r="K46" s="1959">
        <v>9500</v>
      </c>
      <c r="L46" s="1959"/>
      <c r="M46" s="1970">
        <f>$K$45</f>
        <v>6.4460000000000003E-2</v>
      </c>
      <c r="N46" s="1971"/>
      <c r="O46" s="1971"/>
      <c r="P46" s="565" t="s">
        <v>4138</v>
      </c>
      <c r="Q46" s="1972">
        <f>K46*M46</f>
        <v>612.37</v>
      </c>
      <c r="R46" s="1972"/>
      <c r="S46" s="1972"/>
      <c r="T46" s="1972"/>
      <c r="U46" s="1972"/>
      <c r="V46" s="551" t="s">
        <v>4137</v>
      </c>
      <c r="W46" s="551"/>
      <c r="X46" s="551"/>
    </row>
    <row r="47" spans="1:24" ht="15.75" customHeight="1">
      <c r="A47" s="1377"/>
      <c r="B47" s="1377"/>
      <c r="C47" s="1377"/>
      <c r="D47" s="1377"/>
      <c r="E47" s="1377"/>
      <c r="F47" s="1377"/>
      <c r="G47" s="1377"/>
      <c r="H47" s="1377"/>
      <c r="I47" s="1377"/>
      <c r="J47" s="1377"/>
      <c r="K47" s="1377"/>
      <c r="L47" s="1377"/>
      <c r="M47" s="1377"/>
      <c r="N47" s="1377"/>
      <c r="O47" s="1377"/>
      <c r="P47" s="1377"/>
      <c r="Q47" s="1377"/>
      <c r="R47" s="1377"/>
      <c r="S47" s="1377"/>
      <c r="T47" s="1377"/>
      <c r="U47" s="1377"/>
      <c r="V47" s="1377"/>
      <c r="W47" s="1377"/>
      <c r="X47" s="1377"/>
    </row>
    <row r="48" spans="1:24" ht="74.25" customHeight="1">
      <c r="A48" s="1969" t="s">
        <v>4141</v>
      </c>
      <c r="B48" s="1969"/>
      <c r="C48" s="1969"/>
      <c r="D48" s="1969"/>
      <c r="E48" s="1969"/>
      <c r="F48" s="1969"/>
      <c r="G48" s="1969"/>
      <c r="H48" s="1969"/>
      <c r="I48" s="1969"/>
      <c r="J48" s="1969"/>
      <c r="K48" s="1969"/>
      <c r="L48" s="1969"/>
      <c r="M48" s="1969"/>
      <c r="N48" s="1969"/>
      <c r="O48" s="1969"/>
      <c r="P48" s="1969"/>
      <c r="Q48" s="1969"/>
      <c r="R48" s="1969"/>
      <c r="S48" s="1969"/>
      <c r="T48" s="1969"/>
      <c r="U48" s="1969"/>
      <c r="V48" s="1969"/>
      <c r="W48" s="1969"/>
      <c r="X48" s="1969"/>
    </row>
    <row r="49" spans="1:25" ht="15.75" customHeight="1">
      <c r="A49" s="1954" t="s">
        <v>4139</v>
      </c>
      <c r="B49" s="1954"/>
      <c r="C49" s="1954"/>
      <c r="D49" s="1954"/>
      <c r="E49" s="1954"/>
      <c r="F49" s="1954"/>
      <c r="G49" s="1954"/>
      <c r="H49" s="1954"/>
      <c r="I49" s="1954"/>
      <c r="J49" s="1954"/>
      <c r="K49" s="1954"/>
      <c r="L49" s="1954"/>
      <c r="M49" s="1955">
        <f t="shared" ref="M49:M54" si="0">$Q$46</f>
        <v>612.37</v>
      </c>
      <c r="N49" s="1528"/>
      <c r="O49" s="1528"/>
      <c r="P49" s="1956">
        <v>0.6</v>
      </c>
      <c r="Q49" s="1956"/>
      <c r="R49" s="571" t="s">
        <v>4138</v>
      </c>
      <c r="S49" s="1957">
        <f t="shared" ref="S49:S54" si="1">M49*P49</f>
        <v>367.42199999999997</v>
      </c>
      <c r="T49" s="1958"/>
      <c r="U49" s="1958"/>
      <c r="V49" s="1958"/>
    </row>
    <row r="50" spans="1:25" ht="15.75" customHeight="1">
      <c r="A50" s="551"/>
      <c r="B50" s="1960" t="s">
        <v>4140</v>
      </c>
      <c r="C50" s="1960"/>
      <c r="D50" s="1960"/>
      <c r="E50" s="1960"/>
      <c r="F50" s="1960"/>
      <c r="G50" s="1960"/>
      <c r="H50" s="1960"/>
      <c r="I50" s="1960"/>
      <c r="J50" s="1960"/>
      <c r="K50" s="1960"/>
      <c r="L50" s="1960"/>
      <c r="M50" s="1955">
        <f t="shared" si="0"/>
        <v>612.37</v>
      </c>
      <c r="N50" s="1528"/>
      <c r="O50" s="1528"/>
      <c r="P50" s="1959">
        <v>0.03</v>
      </c>
      <c r="Q50" s="1959"/>
      <c r="R50" s="571" t="s">
        <v>4138</v>
      </c>
      <c r="S50" s="1957">
        <f t="shared" si="1"/>
        <v>18.371099999999998</v>
      </c>
      <c r="T50" s="1958"/>
      <c r="U50" s="1958"/>
      <c r="V50" s="1958"/>
      <c r="W50" s="551"/>
      <c r="X50" s="551"/>
    </row>
    <row r="51" spans="1:25" ht="15.75" customHeight="1">
      <c r="A51" s="1959" t="s">
        <v>4142</v>
      </c>
      <c r="B51" s="1959"/>
      <c r="C51" s="1959"/>
      <c r="D51" s="1959"/>
      <c r="E51" s="1959"/>
      <c r="F51" s="1959"/>
      <c r="G51" s="1959"/>
      <c r="H51" s="1959"/>
      <c r="I51" s="1959"/>
      <c r="J51" s="1959"/>
      <c r="K51" s="1959"/>
      <c r="L51" s="1959"/>
      <c r="M51" s="1955">
        <f t="shared" si="0"/>
        <v>612.37</v>
      </c>
      <c r="N51" s="1528"/>
      <c r="O51" s="1528"/>
      <c r="P51" s="1956">
        <v>0.4</v>
      </c>
      <c r="Q51" s="1956"/>
      <c r="R51" s="571" t="s">
        <v>4138</v>
      </c>
      <c r="S51" s="1957">
        <f t="shared" si="1"/>
        <v>244.94800000000001</v>
      </c>
      <c r="T51" s="1958"/>
      <c r="U51" s="1958"/>
      <c r="V51" s="1958"/>
      <c r="W51" s="551"/>
      <c r="X51" s="551"/>
    </row>
    <row r="52" spans="1:25" ht="15.75" customHeight="1">
      <c r="A52" s="551"/>
      <c r="B52" s="551"/>
      <c r="C52" s="551"/>
      <c r="D52" s="551"/>
      <c r="E52" s="551"/>
      <c r="F52" s="551"/>
      <c r="G52" s="551"/>
      <c r="H52" s="551"/>
      <c r="I52" s="551"/>
      <c r="J52" s="551"/>
      <c r="K52" s="551"/>
      <c r="L52" s="551"/>
      <c r="M52" s="1955">
        <f t="shared" si="0"/>
        <v>612.37</v>
      </c>
      <c r="N52" s="1528"/>
      <c r="O52" s="1528"/>
      <c r="P52" s="1959">
        <v>0.02</v>
      </c>
      <c r="Q52" s="1959"/>
      <c r="R52" s="571" t="s">
        <v>4138</v>
      </c>
      <c r="S52" s="1957">
        <f t="shared" si="1"/>
        <v>12.247400000000001</v>
      </c>
      <c r="T52" s="1958"/>
      <c r="U52" s="1958"/>
      <c r="V52" s="1958"/>
      <c r="W52" s="551"/>
      <c r="X52" s="551"/>
    </row>
    <row r="53" spans="1:25" ht="15.75" customHeight="1">
      <c r="A53" s="1964" t="s">
        <v>4143</v>
      </c>
      <c r="B53" s="1964"/>
      <c r="C53" s="1964"/>
      <c r="D53" s="1964"/>
      <c r="E53" s="1964"/>
      <c r="F53" s="1964"/>
      <c r="G53" s="1964"/>
      <c r="H53" s="1964"/>
      <c r="I53" s="1964"/>
      <c r="J53" s="1964"/>
      <c r="K53" s="1964"/>
      <c r="L53" s="1964"/>
      <c r="M53" s="1955">
        <f t="shared" si="0"/>
        <v>612.37</v>
      </c>
      <c r="N53" s="1528"/>
      <c r="O53" s="1528"/>
      <c r="P53" s="1956">
        <v>0.24</v>
      </c>
      <c r="Q53" s="1956"/>
      <c r="R53" s="571" t="s">
        <v>4138</v>
      </c>
      <c r="S53" s="1957">
        <f t="shared" si="1"/>
        <v>146.96879999999999</v>
      </c>
      <c r="T53" s="1958"/>
      <c r="U53" s="1958"/>
      <c r="V53" s="1958"/>
    </row>
    <row r="54" spans="1:25" ht="15.75" customHeight="1">
      <c r="A54" s="551"/>
      <c r="B54" s="551"/>
      <c r="C54" s="551"/>
      <c r="D54" s="551"/>
      <c r="E54" s="551"/>
      <c r="F54" s="551"/>
      <c r="G54" s="551"/>
      <c r="H54" s="551"/>
      <c r="I54" s="551"/>
      <c r="J54" s="551"/>
      <c r="K54" s="551"/>
      <c r="L54" s="551"/>
      <c r="M54" s="1955">
        <f t="shared" si="0"/>
        <v>612.37</v>
      </c>
      <c r="N54" s="1528"/>
      <c r="O54" s="1528"/>
      <c r="P54" s="1959">
        <v>1.2E-2</v>
      </c>
      <c r="Q54" s="1959"/>
      <c r="R54" s="571" t="s">
        <v>4138</v>
      </c>
      <c r="S54" s="1957">
        <f t="shared" si="1"/>
        <v>7.3484400000000001</v>
      </c>
      <c r="T54" s="1958"/>
      <c r="U54" s="1958"/>
      <c r="V54" s="1958"/>
      <c r="W54" s="1962" t="s">
        <v>4145</v>
      </c>
      <c r="X54" s="1962"/>
    </row>
    <row r="55" spans="1:25" ht="15.75" customHeight="1">
      <c r="M55" s="1510" t="s">
        <v>4144</v>
      </c>
      <c r="N55" s="1510"/>
      <c r="O55" s="1510"/>
      <c r="P55" s="1510"/>
      <c r="Q55" s="1510"/>
      <c r="R55" s="1510"/>
      <c r="S55" s="1510"/>
      <c r="T55" s="1510"/>
      <c r="U55" s="1510"/>
      <c r="V55" s="1510"/>
      <c r="W55" s="1510"/>
      <c r="X55" s="1510"/>
    </row>
    <row r="56" spans="1:25" ht="15.75" customHeight="1">
      <c r="A56" s="551"/>
      <c r="B56" s="1964" t="s">
        <v>4146</v>
      </c>
      <c r="C56" s="1964"/>
      <c r="D56" s="1964"/>
      <c r="E56" s="1964"/>
      <c r="F56" s="1964"/>
      <c r="G56" s="1964"/>
      <c r="H56" s="1964"/>
      <c r="I56" s="1964"/>
      <c r="J56" s="1964"/>
      <c r="K56" s="1964"/>
      <c r="L56" s="1964"/>
      <c r="M56" s="1964"/>
      <c r="N56" s="1964"/>
      <c r="O56" s="1964"/>
      <c r="P56" s="1964"/>
      <c r="Q56" s="1964"/>
      <c r="R56" s="1964"/>
      <c r="S56" s="1964"/>
      <c r="T56" s="1964"/>
      <c r="U56" s="551"/>
      <c r="V56" s="551"/>
      <c r="W56" s="551"/>
      <c r="X56" s="551"/>
    </row>
    <row r="57" spans="1:25" ht="15.75" customHeight="1">
      <c r="A57" s="1377"/>
      <c r="B57" s="1377"/>
      <c r="C57" s="1377"/>
      <c r="D57" s="1377"/>
      <c r="E57" s="1377"/>
      <c r="F57" s="1377"/>
      <c r="G57" s="1377"/>
      <c r="H57" s="1377"/>
      <c r="I57" s="1377"/>
      <c r="J57" s="1377"/>
      <c r="K57" s="1377"/>
      <c r="L57" s="1377"/>
      <c r="M57" s="1377"/>
      <c r="N57" s="1377"/>
      <c r="O57" s="1377"/>
      <c r="P57" s="1377"/>
      <c r="Q57" s="1377"/>
      <c r="R57" s="1377"/>
      <c r="S57" s="1377"/>
      <c r="T57" s="1377"/>
      <c r="U57" s="1377"/>
      <c r="V57" s="1377"/>
      <c r="W57" s="1377"/>
      <c r="X57" s="1377"/>
    </row>
    <row r="58" spans="1:25" ht="15.75" customHeight="1">
      <c r="A58" s="1976" t="s">
        <v>3426</v>
      </c>
      <c r="B58" s="1976"/>
      <c r="C58" s="1976"/>
      <c r="D58" s="1976"/>
      <c r="E58" s="1976"/>
      <c r="F58" s="1976"/>
      <c r="G58" s="1976"/>
      <c r="H58" s="1976"/>
      <c r="I58" s="1976"/>
      <c r="J58" s="1976"/>
      <c r="K58" s="1976"/>
      <c r="L58" s="1976"/>
      <c r="M58" s="1976"/>
      <c r="N58" s="1976"/>
      <c r="O58" s="1976"/>
      <c r="P58" s="1976"/>
      <c r="Q58" s="1976"/>
      <c r="R58" s="1976"/>
      <c r="S58" s="1976"/>
      <c r="T58" s="1976"/>
      <c r="U58" s="1976"/>
      <c r="V58" s="1976"/>
      <c r="W58" s="1976"/>
      <c r="X58" s="1976"/>
    </row>
    <row r="59" spans="1:25" ht="15.75" customHeight="1">
      <c r="A59" s="1377"/>
      <c r="B59" s="1377"/>
      <c r="C59" s="1377"/>
      <c r="D59" s="1377"/>
      <c r="E59" s="1377"/>
      <c r="F59" s="1377"/>
      <c r="G59" s="1377"/>
      <c r="H59" s="1377"/>
      <c r="I59" s="1377"/>
      <c r="J59" s="1377"/>
      <c r="K59" s="1377"/>
      <c r="L59" s="1377"/>
      <c r="M59" s="1377"/>
      <c r="N59" s="1377"/>
      <c r="O59" s="1377"/>
      <c r="P59" s="1377"/>
      <c r="Q59" s="1377"/>
      <c r="R59" s="1377"/>
      <c r="S59" s="1377"/>
      <c r="T59" s="1377"/>
      <c r="U59" s="1377"/>
      <c r="V59" s="1377"/>
      <c r="W59" s="1377"/>
      <c r="X59" s="1377"/>
    </row>
    <row r="60" spans="1:25" ht="15.75" customHeight="1">
      <c r="A60" s="1964" t="s">
        <v>4147</v>
      </c>
      <c r="B60" s="1964"/>
      <c r="C60" s="1964"/>
      <c r="D60" s="1964"/>
      <c r="E60" s="1964"/>
      <c r="F60" s="1964"/>
      <c r="G60" s="1964"/>
      <c r="H60" s="2029">
        <v>2000</v>
      </c>
      <c r="I60" s="2029"/>
      <c r="J60" s="565" t="s">
        <v>4148</v>
      </c>
      <c r="K60" s="1970">
        <f>$K$45</f>
        <v>6.4460000000000003E-2</v>
      </c>
      <c r="L60" s="1971"/>
      <c r="M60" s="1971"/>
      <c r="N60" s="565" t="s">
        <v>4138</v>
      </c>
      <c r="O60" s="2030">
        <f>H60*K60</f>
        <v>128.92000000000002</v>
      </c>
      <c r="P60" s="2030"/>
      <c r="Q60" s="2030"/>
      <c r="R60" s="2030"/>
      <c r="S60" s="1962" t="s">
        <v>4149</v>
      </c>
      <c r="T60" s="1962"/>
      <c r="U60" s="1962"/>
      <c r="V60" s="1962"/>
      <c r="W60" s="1962"/>
      <c r="X60" s="551"/>
    </row>
    <row r="61" spans="1:25" ht="78.75" customHeight="1">
      <c r="B61" s="1975" t="s">
        <v>4150</v>
      </c>
      <c r="C61" s="1975"/>
      <c r="D61" s="1975"/>
      <c r="E61" s="1975"/>
      <c r="F61" s="1975"/>
      <c r="G61" s="1975"/>
      <c r="H61" s="1975"/>
      <c r="I61" s="1975"/>
      <c r="J61" s="1975"/>
      <c r="K61" s="1975"/>
      <c r="L61" s="1975"/>
      <c r="M61" s="1975"/>
      <c r="N61" s="1975"/>
      <c r="O61" s="1975"/>
      <c r="P61" s="1975"/>
      <c r="Q61" s="1975"/>
      <c r="R61" s="1975"/>
      <c r="S61" s="1975"/>
      <c r="T61" s="1975"/>
      <c r="U61" s="1975"/>
      <c r="V61" s="1975"/>
      <c r="W61" s="1975"/>
      <c r="X61" s="1975"/>
    </row>
    <row r="62" spans="1:25" ht="31.5" customHeight="1">
      <c r="A62" s="551"/>
      <c r="B62" s="1974" t="s">
        <v>4151</v>
      </c>
      <c r="C62" s="1974"/>
      <c r="D62" s="1974"/>
      <c r="E62" s="1974"/>
      <c r="F62" s="1974"/>
      <c r="G62" s="1974"/>
      <c r="H62" s="1974"/>
      <c r="I62" s="1974"/>
      <c r="J62" s="1974"/>
      <c r="K62" s="1974"/>
      <c r="L62" s="1974"/>
      <c r="M62" s="1974"/>
      <c r="N62" s="1974"/>
      <c r="O62" s="1974"/>
      <c r="P62" s="1974"/>
      <c r="Q62" s="1974"/>
      <c r="R62" s="1974"/>
      <c r="S62" s="1974"/>
      <c r="T62" s="1974"/>
      <c r="U62" s="1974"/>
      <c r="V62" s="1974"/>
      <c r="W62" s="1974"/>
      <c r="X62" s="1974"/>
      <c r="Y62" s="567"/>
    </row>
    <row r="63" spans="1:25" ht="15.75" customHeight="1">
      <c r="A63" s="1976" t="s">
        <v>3427</v>
      </c>
      <c r="B63" s="1976"/>
      <c r="C63" s="1976"/>
      <c r="D63" s="1976"/>
      <c r="E63" s="1976"/>
      <c r="F63" s="1976"/>
      <c r="G63" s="1976"/>
      <c r="H63" s="1976"/>
      <c r="I63" s="1976"/>
      <c r="J63" s="1976"/>
      <c r="K63" s="1976"/>
      <c r="L63" s="1976"/>
      <c r="M63" s="1976"/>
      <c r="N63" s="1976"/>
      <c r="O63" s="1976"/>
      <c r="P63" s="1976"/>
      <c r="Q63" s="1976"/>
      <c r="R63" s="1976"/>
      <c r="S63" s="1976"/>
      <c r="T63" s="1976"/>
      <c r="U63" s="1976"/>
      <c r="V63" s="1976"/>
      <c r="W63" s="1976"/>
      <c r="X63" s="1976"/>
    </row>
    <row r="65" spans="1:24" ht="15.75" customHeight="1">
      <c r="A65" s="1977" t="s">
        <v>4152</v>
      </c>
      <c r="B65" s="1977"/>
      <c r="C65" s="1977"/>
      <c r="D65" s="1977"/>
      <c r="E65" s="1977"/>
      <c r="F65" s="1977"/>
      <c r="G65" s="1977"/>
      <c r="H65" s="1977"/>
      <c r="I65" s="1977"/>
      <c r="J65" s="1977"/>
      <c r="K65" s="1977"/>
      <c r="L65" s="1977"/>
      <c r="M65" s="1977"/>
      <c r="N65" s="1977"/>
      <c r="O65" s="1977"/>
      <c r="P65" s="1977"/>
      <c r="Q65" s="1977"/>
      <c r="R65" s="1977"/>
      <c r="S65" s="1977"/>
      <c r="T65" s="1977"/>
      <c r="U65" s="1977"/>
      <c r="V65" s="1977"/>
      <c r="W65" s="1977"/>
      <c r="X65" s="1977"/>
    </row>
    <row r="66" spans="1:24" ht="15.75" customHeight="1">
      <c r="A66" s="1977" t="s">
        <v>4153</v>
      </c>
      <c r="B66" s="1977"/>
      <c r="C66" s="1977"/>
      <c r="D66" s="1977"/>
      <c r="E66" s="1977"/>
      <c r="F66" s="1977"/>
      <c r="G66" s="1977"/>
      <c r="H66" s="1977"/>
      <c r="I66" s="1977"/>
      <c r="J66" s="1977"/>
      <c r="K66" s="1977"/>
      <c r="L66" s="1977"/>
      <c r="M66" s="1977"/>
      <c r="N66" s="1977"/>
      <c r="O66" s="1977"/>
      <c r="P66" s="1977"/>
      <c r="Q66" s="1977"/>
      <c r="R66" s="1977"/>
      <c r="S66" s="1977"/>
      <c r="T66" s="1977"/>
      <c r="U66" s="1977"/>
      <c r="V66" s="1977"/>
      <c r="W66" s="1977"/>
      <c r="X66" s="1977"/>
    </row>
    <row r="67" spans="1:24" ht="15.75" customHeight="1">
      <c r="A67" s="1977" t="s">
        <v>4154</v>
      </c>
      <c r="B67" s="1977"/>
      <c r="C67" s="1977"/>
      <c r="D67" s="1977"/>
      <c r="E67" s="1977"/>
      <c r="F67" s="1977"/>
      <c r="G67" s="1977"/>
      <c r="H67" s="1977"/>
      <c r="I67" s="1977"/>
      <c r="J67" s="1977"/>
      <c r="K67" s="1977"/>
      <c r="L67" s="1977"/>
      <c r="M67" s="1977"/>
      <c r="N67" s="1977"/>
      <c r="O67" s="1977"/>
      <c r="P67" s="1977"/>
      <c r="Q67" s="1977"/>
      <c r="R67" s="1977"/>
      <c r="S67" s="1977"/>
      <c r="T67" s="1977"/>
      <c r="U67" s="1977"/>
      <c r="V67" s="1977"/>
      <c r="W67" s="1977"/>
      <c r="X67" s="1977"/>
    </row>
    <row r="68" spans="1:24" ht="30.75" customHeight="1">
      <c r="A68" s="1977" t="s">
        <v>4155</v>
      </c>
      <c r="B68" s="1977"/>
      <c r="C68" s="1977"/>
      <c r="D68" s="1977"/>
      <c r="E68" s="1977"/>
      <c r="F68" s="1977"/>
      <c r="G68" s="1977"/>
      <c r="H68" s="1977"/>
      <c r="I68" s="1977"/>
      <c r="J68" s="1977"/>
      <c r="K68" s="1977"/>
      <c r="L68" s="1977"/>
      <c r="M68" s="1977"/>
      <c r="N68" s="1977"/>
      <c r="O68" s="1977"/>
      <c r="P68" s="1977"/>
      <c r="Q68" s="1977"/>
      <c r="R68" s="1977"/>
      <c r="S68" s="1977"/>
      <c r="T68" s="1977"/>
      <c r="U68" s="1977"/>
      <c r="V68" s="1977"/>
      <c r="W68" s="1977"/>
      <c r="X68" s="1977"/>
    </row>
    <row r="69" spans="1:24" ht="15.75" customHeight="1">
      <c r="A69" s="1977"/>
      <c r="B69" s="1977"/>
      <c r="C69" s="1977"/>
      <c r="D69" s="1977"/>
      <c r="E69" s="1977"/>
      <c r="F69" s="1977"/>
      <c r="G69" s="1977"/>
      <c r="H69" s="1977"/>
      <c r="I69" s="1977"/>
      <c r="J69" s="1977"/>
      <c r="K69" s="1977"/>
      <c r="L69" s="1977"/>
      <c r="M69" s="1977"/>
      <c r="N69" s="1977"/>
      <c r="O69" s="1977"/>
      <c r="P69" s="1977"/>
      <c r="Q69" s="1977"/>
      <c r="R69" s="1977"/>
      <c r="S69" s="1977"/>
      <c r="T69" s="1977"/>
      <c r="U69" s="1977"/>
      <c r="V69" s="1977"/>
      <c r="W69" s="1977"/>
      <c r="X69" s="1977"/>
    </row>
    <row r="70" spans="1:24" ht="15.75" customHeight="1">
      <c r="A70" s="1978" t="s">
        <v>3428</v>
      </c>
      <c r="B70" s="1978"/>
      <c r="C70" s="1978"/>
      <c r="D70" s="1978"/>
      <c r="E70" s="1978"/>
      <c r="F70" s="1978"/>
      <c r="G70" s="1978"/>
      <c r="H70" s="1978"/>
      <c r="I70" s="1978"/>
      <c r="J70" s="1978"/>
      <c r="K70" s="1978"/>
      <c r="L70" s="1978"/>
      <c r="M70" s="1978"/>
      <c r="N70" s="1978"/>
      <c r="O70" s="1978"/>
      <c r="P70" s="1978"/>
      <c r="Q70" s="1978"/>
      <c r="R70" s="1978"/>
      <c r="S70" s="1978"/>
      <c r="T70" s="1978"/>
      <c r="U70" s="1978"/>
      <c r="V70" s="1978"/>
      <c r="W70" s="1978"/>
      <c r="X70" s="1978"/>
    </row>
    <row r="71" spans="1:24" ht="15.75" customHeight="1">
      <c r="A71" s="1964"/>
      <c r="B71" s="1964"/>
      <c r="C71" s="1964"/>
      <c r="D71" s="1964"/>
      <c r="E71" s="1964"/>
      <c r="F71" s="1964"/>
      <c r="G71" s="1964"/>
      <c r="H71" s="1964"/>
      <c r="I71" s="1964"/>
      <c r="J71" s="1964"/>
      <c r="K71" s="1964"/>
      <c r="L71" s="1964"/>
      <c r="M71" s="1964"/>
      <c r="N71" s="1964"/>
      <c r="O71" s="1964"/>
      <c r="P71" s="1964"/>
      <c r="Q71" s="1964"/>
      <c r="R71" s="1964"/>
      <c r="S71" s="1964"/>
      <c r="T71" s="1964"/>
      <c r="U71" s="1964"/>
      <c r="V71" s="1964"/>
      <c r="W71" s="1964"/>
      <c r="X71" s="1964"/>
    </row>
    <row r="72" spans="1:24" ht="15.75" customHeight="1">
      <c r="A72" s="1964" t="s">
        <v>3429</v>
      </c>
      <c r="B72" s="1964"/>
      <c r="C72" s="1964"/>
      <c r="D72" s="1964"/>
      <c r="E72" s="1964"/>
      <c r="F72" s="1964"/>
      <c r="G72" s="1964"/>
      <c r="H72" s="1964"/>
      <c r="I72" s="1964"/>
      <c r="J72" s="1964"/>
      <c r="K72" s="1964"/>
      <c r="L72" s="1964"/>
      <c r="M72" s="1964"/>
      <c r="N72" s="1964"/>
      <c r="O72" s="1964"/>
      <c r="P72" s="1964"/>
      <c r="Q72" s="1964"/>
      <c r="R72" s="1964"/>
      <c r="S72" s="1964"/>
      <c r="T72" s="1964"/>
      <c r="U72" s="1964"/>
      <c r="V72" s="1964"/>
      <c r="W72" s="1964"/>
      <c r="X72" s="1964"/>
    </row>
    <row r="73" spans="1:24" ht="15.75" customHeight="1">
      <c r="A73" s="1964" t="s">
        <v>3430</v>
      </c>
      <c r="B73" s="1964"/>
      <c r="C73" s="1964"/>
      <c r="D73" s="1964"/>
      <c r="E73" s="1964"/>
      <c r="F73" s="1964"/>
      <c r="G73" s="1964"/>
      <c r="H73" s="1964"/>
      <c r="I73" s="1964"/>
      <c r="J73" s="1964"/>
      <c r="K73" s="1964"/>
      <c r="L73" s="1964"/>
      <c r="M73" s="1964"/>
      <c r="N73" s="1964"/>
      <c r="O73" s="1964"/>
      <c r="P73" s="1964"/>
      <c r="Q73" s="1964"/>
      <c r="R73" s="1964"/>
      <c r="S73" s="1964"/>
      <c r="T73" s="1964"/>
      <c r="U73" s="1964"/>
      <c r="V73" s="1964"/>
      <c r="W73" s="1964"/>
      <c r="X73" s="1964"/>
    </row>
    <row r="74" spans="1:24" ht="15.75" customHeight="1">
      <c r="A74" s="1964" t="s">
        <v>3431</v>
      </c>
      <c r="B74" s="1964"/>
      <c r="C74" s="1964"/>
      <c r="D74" s="1964"/>
      <c r="E74" s="1964"/>
      <c r="F74" s="1964"/>
      <c r="G74" s="1964"/>
      <c r="H74" s="1964"/>
      <c r="I74" s="1964"/>
      <c r="J74" s="1964"/>
      <c r="K74" s="1964"/>
      <c r="L74" s="1964"/>
      <c r="M74" s="1964"/>
      <c r="N74" s="1964"/>
      <c r="O74" s="1964"/>
      <c r="P74" s="1964"/>
      <c r="Q74" s="1964"/>
      <c r="R74" s="1964"/>
      <c r="S74" s="1964"/>
      <c r="T74" s="1964"/>
      <c r="U74" s="1964"/>
      <c r="V74" s="1964"/>
      <c r="W74" s="1964"/>
      <c r="X74" s="1964"/>
    </row>
    <row r="75" spans="1:24" ht="15.75" customHeight="1">
      <c r="A75" s="1964"/>
      <c r="B75" s="1964"/>
      <c r="C75" s="1964"/>
      <c r="D75" s="1964"/>
      <c r="E75" s="1964"/>
      <c r="F75" s="1964"/>
      <c r="G75" s="1964"/>
      <c r="H75" s="1964"/>
      <c r="I75" s="1964"/>
      <c r="J75" s="1964"/>
      <c r="K75" s="1964"/>
      <c r="L75" s="1964"/>
      <c r="M75" s="1964"/>
      <c r="N75" s="1964"/>
      <c r="O75" s="1964"/>
      <c r="P75" s="1964"/>
      <c r="Q75" s="1964"/>
      <c r="R75" s="1964"/>
      <c r="S75" s="1964"/>
      <c r="T75" s="1964"/>
      <c r="U75" s="1964"/>
      <c r="V75" s="1964"/>
      <c r="W75" s="1964"/>
      <c r="X75" s="1964"/>
    </row>
    <row r="76" spans="1:24" ht="15.75" customHeight="1">
      <c r="A76" s="1978" t="s">
        <v>3432</v>
      </c>
      <c r="B76" s="1978"/>
      <c r="C76" s="1978"/>
      <c r="D76" s="1978"/>
      <c r="E76" s="1978"/>
      <c r="F76" s="1978"/>
      <c r="G76" s="1978"/>
      <c r="H76" s="1978"/>
      <c r="I76" s="1978"/>
      <c r="J76" s="1978"/>
      <c r="K76" s="1978"/>
      <c r="L76" s="1978"/>
      <c r="M76" s="1978"/>
      <c r="N76" s="1978"/>
      <c r="O76" s="1978"/>
      <c r="P76" s="1978"/>
      <c r="Q76" s="1978"/>
      <c r="R76" s="1978"/>
      <c r="S76" s="1978"/>
      <c r="T76" s="1978"/>
      <c r="U76" s="1978"/>
      <c r="V76" s="1978"/>
      <c r="W76" s="1978"/>
      <c r="X76" s="1978"/>
    </row>
    <row r="77" spans="1:24" ht="15.75" customHeight="1">
      <c r="A77" s="1964"/>
      <c r="B77" s="1964"/>
      <c r="C77" s="1964"/>
      <c r="D77" s="1964"/>
      <c r="E77" s="1964"/>
      <c r="F77" s="1964"/>
      <c r="G77" s="1964"/>
      <c r="H77" s="1964"/>
      <c r="I77" s="1964"/>
      <c r="J77" s="1964"/>
      <c r="K77" s="1964"/>
      <c r="L77" s="1964"/>
      <c r="M77" s="1964"/>
      <c r="N77" s="1964"/>
      <c r="O77" s="1964"/>
      <c r="P77" s="1964"/>
      <c r="Q77" s="1964"/>
      <c r="R77" s="1964"/>
      <c r="S77" s="1964"/>
      <c r="T77" s="1964"/>
      <c r="U77" s="1964"/>
      <c r="V77" s="1964"/>
      <c r="W77" s="1964"/>
      <c r="X77" s="1964"/>
    </row>
    <row r="78" spans="1:24" ht="15.75" customHeight="1">
      <c r="A78" s="1964" t="s">
        <v>4156</v>
      </c>
      <c r="B78" s="1964"/>
      <c r="C78" s="1964"/>
      <c r="D78" s="1964"/>
      <c r="E78" s="1964"/>
      <c r="F78" s="1964"/>
      <c r="G78" s="1964"/>
      <c r="H78" s="1964"/>
      <c r="I78" s="1964"/>
      <c r="J78" s="1964"/>
      <c r="K78" s="1964"/>
      <c r="L78" s="1964"/>
      <c r="M78" s="1964"/>
      <c r="N78" s="1964"/>
      <c r="O78" s="1964"/>
      <c r="P78" s="1964"/>
      <c r="Q78" s="1964"/>
      <c r="R78" s="1964"/>
      <c r="S78" s="1964"/>
      <c r="T78" s="1964"/>
      <c r="U78" s="1964"/>
      <c r="V78" s="1964"/>
      <c r="W78" s="1964"/>
      <c r="X78" s="1964"/>
    </row>
    <row r="79" spans="1:24" ht="15.75" customHeight="1">
      <c r="A79" s="1964" t="s">
        <v>4157</v>
      </c>
      <c r="B79" s="1964"/>
      <c r="C79" s="1964"/>
      <c r="D79" s="1964"/>
      <c r="E79" s="1964"/>
      <c r="F79" s="1964"/>
      <c r="G79" s="1964"/>
      <c r="H79" s="1964"/>
      <c r="I79" s="1964"/>
      <c r="J79" s="1964"/>
      <c r="K79" s="1964"/>
      <c r="L79" s="1964"/>
      <c r="M79" s="1964"/>
      <c r="N79" s="1964"/>
      <c r="O79" s="1964"/>
      <c r="P79" s="1964"/>
      <c r="Q79" s="1964"/>
      <c r="R79" s="1964"/>
      <c r="S79" s="1964"/>
      <c r="T79" s="1964"/>
      <c r="U79" s="1964"/>
      <c r="V79" s="1964"/>
      <c r="W79" s="1964"/>
      <c r="X79" s="1964"/>
    </row>
    <row r="80" spans="1:24" ht="15.75" customHeight="1">
      <c r="A80" s="1977"/>
      <c r="B80" s="1977"/>
      <c r="C80" s="1977"/>
      <c r="D80" s="1977"/>
      <c r="E80" s="1977"/>
      <c r="F80" s="1977"/>
      <c r="G80" s="1977"/>
      <c r="H80" s="1977"/>
      <c r="I80" s="1977"/>
      <c r="J80" s="1977"/>
      <c r="K80" s="1977"/>
      <c r="L80" s="1977"/>
      <c r="M80" s="1977"/>
      <c r="N80" s="1977"/>
      <c r="O80" s="1977"/>
      <c r="P80" s="1977"/>
      <c r="Q80" s="1977"/>
      <c r="R80" s="1977"/>
      <c r="S80" s="1977"/>
      <c r="T80" s="1977"/>
      <c r="U80" s="1977"/>
      <c r="V80" s="1977"/>
      <c r="W80" s="1977"/>
      <c r="X80" s="1977"/>
    </row>
    <row r="81" spans="1:24" ht="15.75" customHeight="1">
      <c r="A81" s="1976" t="s">
        <v>3433</v>
      </c>
      <c r="B81" s="1976"/>
      <c r="C81" s="1976"/>
      <c r="D81" s="1976"/>
      <c r="E81" s="1976"/>
      <c r="F81" s="1976"/>
      <c r="G81" s="1976"/>
      <c r="H81" s="1976"/>
      <c r="I81" s="1976"/>
      <c r="J81" s="1976"/>
      <c r="K81" s="1976"/>
      <c r="L81" s="1976"/>
      <c r="M81" s="1976"/>
      <c r="N81" s="1976"/>
      <c r="O81" s="1976"/>
      <c r="P81" s="1976"/>
      <c r="Q81" s="1976"/>
      <c r="R81" s="1976"/>
      <c r="S81" s="1976"/>
      <c r="T81" s="1976"/>
      <c r="U81" s="1976"/>
      <c r="V81" s="1976"/>
      <c r="W81" s="1976"/>
      <c r="X81" s="1976"/>
    </row>
    <row r="82" spans="1:24" ht="15.75" customHeight="1">
      <c r="A82" s="1964"/>
      <c r="B82" s="1964"/>
      <c r="C82" s="1964"/>
      <c r="D82" s="1964"/>
      <c r="E82" s="1964"/>
      <c r="F82" s="1964"/>
      <c r="G82" s="1964"/>
      <c r="H82" s="1964"/>
      <c r="I82" s="1964"/>
      <c r="J82" s="1964"/>
      <c r="K82" s="1964"/>
      <c r="L82" s="1964"/>
      <c r="M82" s="1964"/>
      <c r="N82" s="1964"/>
      <c r="O82" s="1964"/>
      <c r="P82" s="1964"/>
      <c r="Q82" s="1964"/>
      <c r="R82" s="1964"/>
      <c r="S82" s="1964"/>
      <c r="T82" s="1964"/>
      <c r="U82" s="1964"/>
      <c r="V82" s="1964"/>
      <c r="W82" s="1964"/>
      <c r="X82" s="1964"/>
    </row>
    <row r="83" spans="1:24" ht="15.75" customHeight="1">
      <c r="A83" s="1977" t="s">
        <v>3434</v>
      </c>
      <c r="B83" s="1977"/>
      <c r="C83" s="1977"/>
      <c r="D83" s="1977"/>
      <c r="E83" s="1977"/>
      <c r="F83" s="1977"/>
      <c r="G83" s="1977"/>
      <c r="H83" s="1977"/>
      <c r="I83" s="1977"/>
      <c r="J83" s="1977"/>
      <c r="K83" s="1977"/>
      <c r="L83" s="1977"/>
      <c r="M83" s="1977"/>
      <c r="N83" s="1977"/>
      <c r="O83" s="1977"/>
      <c r="P83" s="1977"/>
      <c r="Q83" s="1977"/>
      <c r="R83" s="1977"/>
      <c r="S83" s="1977"/>
      <c r="T83" s="1977"/>
      <c r="U83" s="1977"/>
      <c r="V83" s="1977"/>
      <c r="W83" s="1977"/>
      <c r="X83" s="1977"/>
    </row>
    <row r="84" spans="1:24" ht="15.75" customHeight="1">
      <c r="A84" s="1977" t="s">
        <v>4158</v>
      </c>
      <c r="B84" s="1977"/>
      <c r="C84" s="1977"/>
      <c r="D84" s="1977"/>
      <c r="E84" s="1977"/>
      <c r="F84" s="1977"/>
      <c r="G84" s="1977"/>
      <c r="H84" s="1977"/>
      <c r="I84" s="1977"/>
      <c r="J84" s="1977"/>
      <c r="K84" s="1977"/>
      <c r="L84" s="1977"/>
      <c r="M84" s="1977"/>
      <c r="N84" s="1977"/>
      <c r="O84" s="1977"/>
      <c r="P84" s="1977"/>
      <c r="Q84" s="1977"/>
      <c r="R84" s="1977"/>
      <c r="S84" s="1977"/>
      <c r="T84" s="1977"/>
      <c r="U84" s="1977"/>
      <c r="V84" s="1977"/>
      <c r="W84" s="1977"/>
      <c r="X84" s="1977"/>
    </row>
    <row r="85" spans="1:24" ht="15.75" customHeight="1">
      <c r="A85" s="1977" t="s">
        <v>4159</v>
      </c>
      <c r="B85" s="1977"/>
      <c r="C85" s="1977"/>
      <c r="D85" s="1977"/>
      <c r="E85" s="1977"/>
      <c r="F85" s="1977"/>
      <c r="G85" s="1977"/>
      <c r="H85" s="1977"/>
      <c r="I85" s="1977"/>
      <c r="J85" s="1977"/>
      <c r="K85" s="1977"/>
      <c r="L85" s="1977"/>
      <c r="M85" s="1977"/>
      <c r="N85" s="1977"/>
      <c r="O85" s="1977"/>
      <c r="P85" s="1977"/>
      <c r="Q85" s="1977"/>
      <c r="R85" s="1977"/>
      <c r="S85" s="1977"/>
      <c r="T85" s="1977"/>
      <c r="U85" s="1977"/>
      <c r="V85" s="1977"/>
      <c r="W85" s="1977"/>
      <c r="X85" s="1977"/>
    </row>
    <row r="86" spans="1:24" ht="15.75" customHeight="1">
      <c r="A86" s="1977"/>
      <c r="B86" s="1977"/>
      <c r="C86" s="1977"/>
      <c r="D86" s="1977"/>
      <c r="E86" s="1977"/>
      <c r="F86" s="1977"/>
      <c r="G86" s="1977"/>
      <c r="H86" s="1977"/>
      <c r="I86" s="1977"/>
      <c r="J86" s="1977"/>
      <c r="K86" s="1977"/>
      <c r="L86" s="1977"/>
      <c r="M86" s="1977"/>
      <c r="N86" s="1977"/>
      <c r="O86" s="1977"/>
      <c r="P86" s="1977"/>
      <c r="Q86" s="1977"/>
      <c r="R86" s="1977"/>
      <c r="S86" s="1977"/>
      <c r="T86" s="1977"/>
      <c r="U86" s="1977"/>
      <c r="V86" s="1977"/>
      <c r="W86" s="1977"/>
      <c r="X86" s="1977"/>
    </row>
    <row r="87" spans="1:24" ht="15.75" customHeight="1">
      <c r="A87" s="1976" t="s">
        <v>3435</v>
      </c>
      <c r="B87" s="1976"/>
      <c r="C87" s="1976"/>
      <c r="D87" s="1976"/>
      <c r="E87" s="1976"/>
      <c r="F87" s="1976"/>
      <c r="G87" s="1976"/>
      <c r="H87" s="1976"/>
      <c r="I87" s="1976"/>
      <c r="J87" s="1976"/>
      <c r="K87" s="1976"/>
      <c r="L87" s="1976"/>
      <c r="M87" s="1976"/>
      <c r="N87" s="1976"/>
      <c r="O87" s="1976"/>
      <c r="P87" s="1976"/>
      <c r="Q87" s="1976"/>
      <c r="R87" s="1976"/>
      <c r="S87" s="1976"/>
      <c r="T87" s="1976"/>
      <c r="U87" s="1976"/>
      <c r="V87" s="1976"/>
      <c r="W87" s="1976"/>
      <c r="X87" s="1976"/>
    </row>
    <row r="88" spans="1:24" ht="15.75" customHeight="1">
      <c r="A88" s="1962"/>
      <c r="B88" s="1962"/>
      <c r="C88" s="1962"/>
      <c r="D88" s="1962"/>
      <c r="E88" s="1962"/>
      <c r="F88" s="1962"/>
      <c r="G88" s="1962"/>
      <c r="H88" s="1962"/>
      <c r="I88" s="1962"/>
      <c r="J88" s="1962"/>
      <c r="K88" s="1962"/>
      <c r="L88" s="1962"/>
      <c r="M88" s="1962"/>
      <c r="N88" s="1962"/>
      <c r="O88" s="1962"/>
      <c r="P88" s="1962"/>
      <c r="Q88" s="1962"/>
      <c r="R88" s="1962"/>
      <c r="S88" s="1962"/>
      <c r="T88" s="1962"/>
      <c r="U88" s="1962"/>
      <c r="V88" s="1962"/>
      <c r="W88" s="1962"/>
      <c r="X88" s="1962"/>
    </row>
    <row r="89" spans="1:24" ht="15.75" customHeight="1">
      <c r="A89" s="1979" t="s">
        <v>3436</v>
      </c>
      <c r="B89" s="1979"/>
      <c r="C89" s="1979"/>
      <c r="D89" s="1979"/>
      <c r="E89" s="1979"/>
      <c r="F89" s="1979"/>
      <c r="G89" s="1979"/>
      <c r="H89" s="1979"/>
      <c r="I89" s="1979"/>
      <c r="J89" s="1979"/>
      <c r="K89" s="1979"/>
      <c r="L89" s="1979"/>
      <c r="M89" s="1979"/>
      <c r="N89" s="1979"/>
      <c r="O89" s="1979"/>
      <c r="P89" s="1979"/>
      <c r="Q89" s="1979"/>
      <c r="R89" s="1979"/>
      <c r="S89" s="1979"/>
      <c r="T89" s="1979"/>
      <c r="U89" s="1979"/>
      <c r="V89" s="1979"/>
      <c r="W89" s="1979"/>
      <c r="X89" s="1979"/>
    </row>
    <row r="90" spans="1:24" ht="30" customHeight="1">
      <c r="A90" s="1979" t="s">
        <v>4160</v>
      </c>
      <c r="B90" s="1979"/>
      <c r="C90" s="1979"/>
      <c r="D90" s="1979"/>
      <c r="E90" s="1979"/>
      <c r="F90" s="1979"/>
      <c r="G90" s="1979"/>
      <c r="H90" s="1979"/>
      <c r="I90" s="1979"/>
      <c r="J90" s="1979"/>
      <c r="K90" s="1979"/>
      <c r="L90" s="1979"/>
      <c r="M90" s="1979"/>
      <c r="N90" s="1979"/>
      <c r="O90" s="1979"/>
      <c r="P90" s="1979"/>
      <c r="Q90" s="1979"/>
      <c r="R90" s="1979"/>
      <c r="S90" s="1979"/>
      <c r="T90" s="1979"/>
      <c r="U90" s="1979"/>
      <c r="V90" s="1979"/>
      <c r="W90" s="1979"/>
      <c r="X90" s="1979"/>
    </row>
    <row r="91" spans="1:24" ht="15.75" customHeight="1">
      <c r="A91" s="1979" t="s">
        <v>4161</v>
      </c>
      <c r="B91" s="1979"/>
      <c r="C91" s="1979"/>
      <c r="D91" s="1979"/>
      <c r="E91" s="1979"/>
      <c r="F91" s="1979"/>
      <c r="G91" s="1979"/>
      <c r="H91" s="1979"/>
      <c r="I91" s="1979"/>
      <c r="J91" s="1979"/>
      <c r="K91" s="1979"/>
      <c r="L91" s="1979"/>
      <c r="M91" s="1979"/>
      <c r="N91" s="1979"/>
      <c r="O91" s="1979"/>
      <c r="P91" s="1979"/>
      <c r="Q91" s="1979"/>
      <c r="R91" s="1979"/>
      <c r="S91" s="1979"/>
      <c r="T91" s="1979"/>
      <c r="U91" s="1979"/>
      <c r="V91" s="1979"/>
      <c r="W91" s="1979"/>
      <c r="X91" s="1979"/>
    </row>
    <row r="92" spans="1:24" ht="15.75" customHeight="1">
      <c r="A92" s="1979" t="s">
        <v>4162</v>
      </c>
      <c r="B92" s="1979"/>
      <c r="C92" s="1979"/>
      <c r="D92" s="1979"/>
      <c r="E92" s="1979"/>
      <c r="F92" s="1979"/>
      <c r="G92" s="1979"/>
      <c r="H92" s="1979"/>
      <c r="I92" s="1979"/>
      <c r="J92" s="1979"/>
      <c r="K92" s="1979"/>
      <c r="L92" s="1979"/>
      <c r="M92" s="1979"/>
      <c r="N92" s="1979"/>
      <c r="O92" s="1979"/>
      <c r="P92" s="1979"/>
      <c r="Q92" s="1979"/>
      <c r="R92" s="1979"/>
      <c r="S92" s="1979"/>
      <c r="T92" s="1979"/>
      <c r="U92" s="1979"/>
      <c r="V92" s="1979"/>
      <c r="W92" s="1979"/>
      <c r="X92" s="1979"/>
    </row>
    <row r="93" spans="1:24" ht="15.75" customHeight="1">
      <c r="A93" s="1973"/>
      <c r="B93" s="1973"/>
      <c r="C93" s="1973"/>
      <c r="D93" s="1973"/>
      <c r="E93" s="1973"/>
      <c r="F93" s="1973"/>
      <c r="G93" s="1973"/>
      <c r="H93" s="1973"/>
      <c r="I93" s="1973"/>
      <c r="J93" s="1973"/>
      <c r="K93" s="1973"/>
      <c r="L93" s="1973"/>
      <c r="M93" s="1973"/>
      <c r="N93" s="1973"/>
      <c r="O93" s="1973"/>
      <c r="P93" s="1973"/>
      <c r="Q93" s="1973"/>
      <c r="R93" s="1973"/>
      <c r="S93" s="1973"/>
      <c r="T93" s="1973"/>
      <c r="U93" s="1973"/>
      <c r="V93" s="1973"/>
      <c r="W93" s="1973"/>
      <c r="X93" s="1973"/>
    </row>
    <row r="94" spans="1:24" ht="15.75" customHeight="1">
      <c r="A94" s="1963" t="s">
        <v>3437</v>
      </c>
      <c r="B94" s="1963"/>
      <c r="C94" s="1963"/>
      <c r="D94" s="1963"/>
      <c r="E94" s="1963"/>
      <c r="F94" s="1963"/>
      <c r="G94" s="1963"/>
      <c r="H94" s="1963"/>
      <c r="I94" s="1963"/>
      <c r="J94" s="1963"/>
      <c r="K94" s="1963"/>
      <c r="L94" s="1963"/>
      <c r="M94" s="1963"/>
      <c r="N94" s="1963"/>
      <c r="O94" s="1963"/>
      <c r="P94" s="1963"/>
      <c r="Q94" s="1963"/>
      <c r="R94" s="1963"/>
      <c r="S94" s="1963"/>
      <c r="T94" s="1963"/>
      <c r="U94" s="1963"/>
      <c r="V94" s="1963"/>
      <c r="W94" s="1963"/>
      <c r="X94" s="1963"/>
    </row>
    <row r="95" spans="1:24" ht="15.75" customHeight="1">
      <c r="A95" s="1964"/>
      <c r="B95" s="1964"/>
      <c r="C95" s="1964"/>
      <c r="D95" s="1964"/>
      <c r="E95" s="1964"/>
      <c r="F95" s="1964"/>
      <c r="G95" s="1964"/>
      <c r="H95" s="1964"/>
      <c r="I95" s="1964"/>
      <c r="J95" s="1964"/>
      <c r="K95" s="1964"/>
      <c r="L95" s="1964"/>
      <c r="M95" s="1964"/>
      <c r="N95" s="1964"/>
      <c r="O95" s="1964"/>
      <c r="P95" s="1964"/>
      <c r="Q95" s="1964"/>
      <c r="R95" s="1964"/>
      <c r="S95" s="1964"/>
      <c r="T95" s="1964"/>
      <c r="U95" s="1964"/>
      <c r="V95" s="1964"/>
      <c r="W95" s="1964"/>
      <c r="X95" s="1964"/>
    </row>
    <row r="96" spans="1:24" ht="15.75" customHeight="1">
      <c r="A96" s="1959" t="s">
        <v>3515</v>
      </c>
      <c r="B96" s="1959"/>
      <c r="C96" s="1959"/>
      <c r="D96" s="1959"/>
      <c r="E96" s="1959"/>
      <c r="F96" s="551"/>
      <c r="G96" s="551"/>
      <c r="H96" s="551"/>
      <c r="I96" s="551"/>
      <c r="J96" s="551"/>
      <c r="K96" s="551"/>
      <c r="L96" s="551"/>
      <c r="M96" s="551"/>
      <c r="N96" s="551"/>
      <c r="O96" s="551"/>
      <c r="P96" s="551"/>
      <c r="Q96" s="551"/>
      <c r="R96" s="551"/>
      <c r="S96" s="551"/>
      <c r="T96" s="551"/>
      <c r="U96" s="551"/>
      <c r="V96" s="551"/>
      <c r="W96" s="551"/>
      <c r="X96" s="551"/>
    </row>
    <row r="97" spans="1:24" ht="25.5" customHeight="1">
      <c r="A97" s="1979" t="s">
        <v>4163</v>
      </c>
      <c r="B97" s="1979"/>
      <c r="C97" s="1979"/>
      <c r="D97" s="1979"/>
      <c r="E97" s="1979"/>
      <c r="F97" s="1979"/>
      <c r="G97" s="1979"/>
      <c r="H97" s="1979"/>
      <c r="I97" s="1979"/>
      <c r="J97" s="1979"/>
      <c r="K97" s="1979"/>
      <c r="L97" s="1979"/>
      <c r="M97" s="1979"/>
      <c r="N97" s="1979"/>
      <c r="O97" s="1979"/>
      <c r="P97" s="1979"/>
      <c r="Q97" s="1979"/>
      <c r="R97" s="1979"/>
      <c r="S97" s="1979"/>
      <c r="T97" s="1979"/>
      <c r="U97" s="1979"/>
      <c r="V97" s="1979"/>
      <c r="W97" s="1979"/>
      <c r="X97" s="1979"/>
    </row>
    <row r="98" spans="1:24" ht="15.75" customHeight="1">
      <c r="A98" s="1973" t="s">
        <v>4164</v>
      </c>
      <c r="B98" s="1973"/>
      <c r="C98" s="1973"/>
      <c r="D98" s="1973"/>
      <c r="E98" s="1973"/>
      <c r="F98" s="1973"/>
      <c r="G98" s="1973"/>
      <c r="H98" s="1973"/>
      <c r="I98" s="1973"/>
      <c r="J98" s="1973"/>
      <c r="K98" s="1973"/>
      <c r="L98" s="1973"/>
      <c r="M98" s="1973"/>
      <c r="N98" s="1973"/>
      <c r="O98" s="1973"/>
      <c r="P98" s="1973"/>
      <c r="Q98" s="1973"/>
      <c r="R98" s="1973"/>
      <c r="S98" s="1973"/>
      <c r="T98" s="1973"/>
      <c r="U98" s="1973"/>
      <c r="V98" s="1973"/>
      <c r="W98" s="1973"/>
      <c r="X98" s="1973"/>
    </row>
    <row r="99" spans="1:24" ht="15.75" customHeight="1">
      <c r="A99" s="1973" t="s">
        <v>4165</v>
      </c>
      <c r="B99" s="1973"/>
      <c r="C99" s="1973"/>
      <c r="D99" s="1973"/>
      <c r="E99" s="1973"/>
      <c r="F99" s="1973"/>
      <c r="G99" s="1973"/>
      <c r="H99" s="1973"/>
      <c r="I99" s="1973"/>
      <c r="J99" s="1973"/>
      <c r="K99" s="1973"/>
      <c r="L99" s="1973"/>
      <c r="M99" s="1973"/>
      <c r="N99" s="1973"/>
      <c r="O99" s="1973"/>
      <c r="P99" s="1973"/>
      <c r="Q99" s="1973"/>
      <c r="R99" s="1973"/>
      <c r="S99" s="1973"/>
      <c r="T99" s="1973"/>
      <c r="U99" s="1973"/>
      <c r="V99" s="1973"/>
      <c r="W99" s="1973"/>
      <c r="X99" s="1973"/>
    </row>
    <row r="100" spans="1:24" ht="15.75" customHeight="1">
      <c r="A100" s="1973" t="s">
        <v>4173</v>
      </c>
      <c r="B100" s="1973"/>
      <c r="C100" s="1973"/>
      <c r="D100" s="1973"/>
      <c r="E100" s="1973"/>
      <c r="F100" s="1973"/>
      <c r="G100" s="1973"/>
      <c r="H100" s="1973"/>
      <c r="I100" s="1973"/>
      <c r="J100" s="1973"/>
      <c r="K100" s="1973"/>
      <c r="L100" s="1973"/>
      <c r="M100" s="1973"/>
      <c r="N100" s="1973"/>
      <c r="O100" s="1973"/>
      <c r="P100" s="1973"/>
      <c r="Q100" s="1973"/>
      <c r="R100" s="1973"/>
      <c r="S100" s="1973"/>
      <c r="T100" s="1973"/>
      <c r="U100" s="1973"/>
      <c r="V100" s="1973"/>
      <c r="W100" s="1973"/>
      <c r="X100" s="1973"/>
    </row>
    <row r="101" spans="1:24" ht="15.75" customHeight="1">
      <c r="A101" s="1973" t="s">
        <v>4166</v>
      </c>
      <c r="B101" s="1973"/>
      <c r="C101" s="1973"/>
      <c r="D101" s="1973"/>
      <c r="E101" s="1973"/>
      <c r="F101" s="1973"/>
      <c r="G101" s="1973"/>
      <c r="H101" s="1973"/>
      <c r="I101" s="1973"/>
      <c r="J101" s="1973"/>
      <c r="K101" s="1973"/>
      <c r="L101" s="1973"/>
      <c r="M101" s="1973"/>
      <c r="N101" s="1973"/>
      <c r="O101" s="1973"/>
      <c r="P101" s="1973"/>
      <c r="Q101" s="1973"/>
      <c r="R101" s="1973"/>
      <c r="S101" s="1973"/>
      <c r="T101" s="1973"/>
      <c r="U101" s="1973"/>
      <c r="V101" s="1973"/>
      <c r="W101" s="1973"/>
      <c r="X101" s="1973"/>
    </row>
    <row r="102" spans="1:24" ht="15.75" customHeight="1">
      <c r="A102" s="1973" t="s">
        <v>4167</v>
      </c>
      <c r="B102" s="1973"/>
      <c r="C102" s="1973"/>
      <c r="D102" s="1973"/>
      <c r="E102" s="1973"/>
      <c r="F102" s="1973"/>
      <c r="G102" s="1973"/>
      <c r="H102" s="1973"/>
      <c r="I102" s="1973"/>
      <c r="J102" s="1973"/>
      <c r="K102" s="1973"/>
      <c r="L102" s="1973"/>
      <c r="M102" s="1973"/>
      <c r="N102" s="1973"/>
      <c r="O102" s="1973"/>
      <c r="P102" s="1973"/>
      <c r="Q102" s="1973"/>
      <c r="R102" s="1973"/>
      <c r="S102" s="1973"/>
      <c r="T102" s="1973"/>
      <c r="U102" s="1973"/>
      <c r="V102" s="1973"/>
      <c r="W102" s="1973"/>
      <c r="X102" s="1973"/>
    </row>
    <row r="103" spans="1:24" ht="15.75" customHeight="1">
      <c r="A103" s="1973" t="s">
        <v>3438</v>
      </c>
      <c r="B103" s="1973"/>
      <c r="C103" s="1973"/>
      <c r="D103" s="1973"/>
      <c r="E103" s="1973"/>
      <c r="F103" s="1973"/>
      <c r="G103" s="1973"/>
      <c r="H103" s="1973"/>
      <c r="I103" s="1973"/>
      <c r="J103" s="1973"/>
      <c r="K103" s="1973"/>
      <c r="L103" s="1973"/>
      <c r="M103" s="1973"/>
      <c r="N103" s="1973"/>
      <c r="O103" s="1973"/>
      <c r="P103" s="1973"/>
      <c r="Q103" s="1973"/>
      <c r="R103" s="1973"/>
      <c r="S103" s="1973"/>
      <c r="T103" s="1973"/>
      <c r="U103" s="1973"/>
      <c r="V103" s="1973"/>
      <c r="W103" s="1973"/>
      <c r="X103" s="1973"/>
    </row>
    <row r="104" spans="1:24" ht="15.75" customHeight="1">
      <c r="A104" s="1973" t="s">
        <v>3439</v>
      </c>
      <c r="B104" s="1973"/>
      <c r="C104" s="1973"/>
      <c r="D104" s="1973"/>
      <c r="E104" s="1973"/>
      <c r="F104" s="1973"/>
      <c r="G104" s="1973"/>
      <c r="H104" s="1973"/>
      <c r="I104" s="1973"/>
      <c r="J104" s="1973"/>
      <c r="K104" s="1973"/>
      <c r="L104" s="1973"/>
      <c r="M104" s="1973"/>
      <c r="N104" s="1973"/>
      <c r="O104" s="1973"/>
      <c r="P104" s="1973"/>
      <c r="Q104" s="1973"/>
      <c r="R104" s="1973"/>
      <c r="S104" s="1973"/>
      <c r="T104" s="1973"/>
      <c r="U104" s="1973"/>
      <c r="V104" s="1973"/>
      <c r="W104" s="1973"/>
      <c r="X104" s="1973"/>
    </row>
    <row r="105" spans="1:24" ht="15.75" customHeight="1">
      <c r="A105" s="1973" t="s">
        <v>3440</v>
      </c>
      <c r="B105" s="1973"/>
      <c r="C105" s="1973"/>
      <c r="D105" s="1973"/>
      <c r="E105" s="1973"/>
      <c r="F105" s="1973"/>
      <c r="G105" s="1973"/>
      <c r="H105" s="1973"/>
      <c r="I105" s="1973"/>
      <c r="J105" s="1973"/>
      <c r="K105" s="1973"/>
      <c r="L105" s="1973"/>
      <c r="M105" s="1973"/>
      <c r="N105" s="1973"/>
      <c r="O105" s="1973"/>
      <c r="P105" s="1973"/>
      <c r="Q105" s="1973"/>
      <c r="R105" s="1973"/>
      <c r="S105" s="1973"/>
      <c r="T105" s="1973"/>
      <c r="U105" s="1973"/>
      <c r="V105" s="1973"/>
      <c r="W105" s="1973"/>
      <c r="X105" s="1973"/>
    </row>
    <row r="106" spans="1:24" ht="15.75" customHeight="1">
      <c r="A106" s="1973" t="s">
        <v>3441</v>
      </c>
      <c r="B106" s="1973"/>
      <c r="C106" s="1973"/>
      <c r="D106" s="1973"/>
      <c r="E106" s="1973"/>
      <c r="F106" s="1973"/>
      <c r="G106" s="1973"/>
      <c r="H106" s="1973"/>
      <c r="I106" s="1973"/>
      <c r="J106" s="1973"/>
      <c r="K106" s="1973"/>
      <c r="L106" s="1973"/>
      <c r="M106" s="1973"/>
      <c r="N106" s="1973"/>
      <c r="O106" s="1973"/>
      <c r="P106" s="1973"/>
      <c r="Q106" s="1973"/>
      <c r="R106" s="1973"/>
      <c r="S106" s="1973"/>
      <c r="T106" s="1973"/>
      <c r="U106" s="1973"/>
      <c r="V106" s="1973"/>
      <c r="W106" s="1973"/>
      <c r="X106" s="1973"/>
    </row>
    <row r="107" spans="1:24" ht="15.75" customHeight="1">
      <c r="A107" s="1973" t="s">
        <v>3442</v>
      </c>
      <c r="B107" s="1973"/>
      <c r="C107" s="1973"/>
      <c r="D107" s="1973"/>
      <c r="E107" s="1973"/>
      <c r="F107" s="1973"/>
      <c r="G107" s="1973"/>
      <c r="H107" s="1973"/>
      <c r="I107" s="1973"/>
      <c r="J107" s="1973"/>
      <c r="K107" s="1973"/>
      <c r="L107" s="1973"/>
      <c r="M107" s="1973"/>
      <c r="N107" s="1973"/>
      <c r="O107" s="1973"/>
      <c r="P107" s="1973"/>
      <c r="Q107" s="1973"/>
      <c r="R107" s="1973"/>
      <c r="S107" s="1973"/>
      <c r="T107" s="1973"/>
      <c r="U107" s="1973"/>
      <c r="V107" s="1973"/>
      <c r="W107" s="1973"/>
      <c r="X107" s="1973"/>
    </row>
    <row r="108" spans="1:24" ht="15.75" customHeight="1">
      <c r="A108" s="1959" t="s">
        <v>3516</v>
      </c>
      <c r="B108" s="1959"/>
      <c r="C108" s="1959"/>
      <c r="D108" s="1959"/>
      <c r="E108" s="1959"/>
      <c r="F108" s="551"/>
      <c r="G108" s="551"/>
      <c r="H108" s="551"/>
      <c r="I108" s="551"/>
      <c r="J108" s="551"/>
      <c r="K108" s="551"/>
      <c r="L108" s="551"/>
      <c r="M108" s="551"/>
      <c r="N108" s="551"/>
      <c r="O108" s="551"/>
      <c r="P108" s="551"/>
      <c r="Q108" s="551"/>
      <c r="R108" s="551"/>
      <c r="S108" s="551"/>
      <c r="T108" s="551"/>
      <c r="U108" s="551"/>
      <c r="V108" s="551"/>
      <c r="W108" s="551"/>
      <c r="X108" s="551"/>
    </row>
    <row r="109" spans="1:24" ht="12.75">
      <c r="A109" s="1979" t="s">
        <v>4168</v>
      </c>
      <c r="B109" s="1979"/>
      <c r="C109" s="1979"/>
      <c r="D109" s="1979"/>
      <c r="E109" s="1979"/>
      <c r="F109" s="1979"/>
      <c r="G109" s="1979"/>
      <c r="H109" s="1979"/>
      <c r="I109" s="1979"/>
      <c r="J109" s="1979"/>
      <c r="K109" s="1979"/>
      <c r="L109" s="1979"/>
      <c r="M109" s="1979"/>
      <c r="N109" s="1979"/>
      <c r="O109" s="1979"/>
      <c r="P109" s="1979"/>
      <c r="Q109" s="1979"/>
      <c r="R109" s="1979"/>
      <c r="S109" s="1979"/>
      <c r="T109" s="1979"/>
      <c r="U109" s="1979"/>
      <c r="V109" s="1979"/>
      <c r="W109" s="1979"/>
      <c r="X109" s="1979"/>
    </row>
    <row r="110" spans="1:24" ht="15.75" customHeight="1">
      <c r="A110" s="1973" t="s">
        <v>4170</v>
      </c>
      <c r="B110" s="1973"/>
      <c r="C110" s="1973"/>
      <c r="D110" s="1973"/>
      <c r="E110" s="1973"/>
      <c r="F110" s="1973"/>
      <c r="G110" s="1973"/>
      <c r="H110" s="1973"/>
      <c r="I110" s="1973"/>
      <c r="J110" s="1973"/>
      <c r="K110" s="1973"/>
      <c r="L110" s="1973"/>
      <c r="M110" s="1973"/>
      <c r="N110" s="1973"/>
      <c r="O110" s="1973"/>
      <c r="P110" s="1973"/>
      <c r="Q110" s="1973"/>
      <c r="R110" s="1973"/>
      <c r="S110" s="1973"/>
      <c r="T110" s="1973"/>
      <c r="U110" s="1973"/>
      <c r="V110" s="1973"/>
      <c r="W110" s="1973"/>
      <c r="X110" s="1973"/>
    </row>
    <row r="111" spans="1:24" ht="15.75" customHeight="1">
      <c r="A111" s="1973" t="s">
        <v>4169</v>
      </c>
      <c r="B111" s="1973"/>
      <c r="C111" s="1973"/>
      <c r="D111" s="1973"/>
      <c r="E111" s="1973"/>
      <c r="F111" s="1973"/>
      <c r="G111" s="1973"/>
      <c r="H111" s="1973"/>
      <c r="I111" s="1973"/>
      <c r="J111" s="1973"/>
      <c r="K111" s="1973"/>
      <c r="L111" s="1973"/>
      <c r="M111" s="1973"/>
      <c r="N111" s="1973"/>
      <c r="O111" s="1973"/>
      <c r="P111" s="1973"/>
      <c r="Q111" s="1973"/>
      <c r="R111" s="1973"/>
      <c r="S111" s="1973"/>
      <c r="T111" s="1973"/>
      <c r="U111" s="1973"/>
      <c r="V111" s="1973"/>
      <c r="W111" s="1973"/>
      <c r="X111" s="1973"/>
    </row>
    <row r="112" spans="1:24" ht="15.75" customHeight="1">
      <c r="A112" s="1973" t="s">
        <v>4171</v>
      </c>
      <c r="B112" s="1973"/>
      <c r="C112" s="1973"/>
      <c r="D112" s="1973"/>
      <c r="E112" s="1973"/>
      <c r="F112" s="1973"/>
      <c r="G112" s="1973"/>
      <c r="H112" s="1973"/>
      <c r="I112" s="1973"/>
      <c r="J112" s="1973"/>
      <c r="K112" s="1973"/>
      <c r="L112" s="1973"/>
      <c r="M112" s="1973"/>
      <c r="N112" s="1973"/>
      <c r="O112" s="1973"/>
      <c r="P112" s="1973"/>
      <c r="Q112" s="1973"/>
      <c r="R112" s="1973"/>
      <c r="S112" s="1973"/>
      <c r="T112" s="1973"/>
      <c r="U112" s="1973"/>
      <c r="V112" s="1973"/>
      <c r="W112" s="1973"/>
      <c r="X112" s="1973"/>
    </row>
    <row r="113" spans="1:24" ht="15.75" customHeight="1">
      <c r="A113" s="1973" t="s">
        <v>4172</v>
      </c>
      <c r="B113" s="1973"/>
      <c r="C113" s="1973"/>
      <c r="D113" s="1973"/>
      <c r="E113" s="1973"/>
      <c r="F113" s="1973"/>
      <c r="G113" s="1973"/>
      <c r="H113" s="1973"/>
      <c r="I113" s="1973"/>
      <c r="J113" s="1973"/>
      <c r="K113" s="1973"/>
      <c r="L113" s="1973"/>
      <c r="M113" s="1973"/>
      <c r="N113" s="1973"/>
      <c r="O113" s="1973"/>
      <c r="P113" s="1973"/>
      <c r="Q113" s="1973"/>
      <c r="R113" s="1973"/>
      <c r="S113" s="1973"/>
      <c r="T113" s="1973"/>
      <c r="U113" s="1973"/>
      <c r="V113" s="1973"/>
      <c r="W113" s="1973"/>
      <c r="X113" s="1973"/>
    </row>
    <row r="114" spans="1:24" ht="15.75" customHeight="1">
      <c r="A114" s="1973" t="s">
        <v>4174</v>
      </c>
      <c r="B114" s="1973"/>
      <c r="C114" s="1973"/>
      <c r="D114" s="1973"/>
      <c r="E114" s="1973"/>
      <c r="F114" s="1973"/>
      <c r="G114" s="1973"/>
      <c r="H114" s="1973"/>
      <c r="I114" s="1973"/>
      <c r="J114" s="1973"/>
      <c r="K114" s="1973"/>
      <c r="L114" s="1973"/>
      <c r="M114" s="1973"/>
      <c r="N114" s="1973"/>
      <c r="O114" s="1973"/>
      <c r="P114" s="1973"/>
      <c r="Q114" s="1973"/>
      <c r="R114" s="1973"/>
      <c r="S114" s="1973"/>
      <c r="T114" s="1973"/>
      <c r="U114" s="1973"/>
      <c r="V114" s="1973"/>
      <c r="W114" s="1973"/>
      <c r="X114" s="1973"/>
    </row>
    <row r="115" spans="1:24" ht="15.75" customHeight="1">
      <c r="A115" s="1973"/>
      <c r="B115" s="1973"/>
      <c r="C115" s="1973"/>
      <c r="D115" s="1973"/>
      <c r="E115" s="1973"/>
      <c r="F115" s="1973"/>
      <c r="G115" s="1973"/>
      <c r="H115" s="1973"/>
      <c r="I115" s="1973"/>
      <c r="J115" s="1973"/>
      <c r="K115" s="1973"/>
      <c r="L115" s="1973"/>
      <c r="M115" s="1973"/>
      <c r="N115" s="1973"/>
      <c r="O115" s="1973"/>
      <c r="P115" s="1973"/>
      <c r="Q115" s="1973"/>
      <c r="R115" s="1973"/>
      <c r="S115" s="1973"/>
      <c r="T115" s="1973"/>
      <c r="U115" s="1973"/>
      <c r="V115" s="1973"/>
      <c r="W115" s="1973"/>
      <c r="X115" s="1973"/>
    </row>
    <row r="116" spans="1:24" ht="15.75" customHeight="1">
      <c r="A116" s="1963" t="s">
        <v>3443</v>
      </c>
      <c r="B116" s="1963"/>
      <c r="C116" s="1963"/>
      <c r="D116" s="1963"/>
      <c r="E116" s="1963"/>
      <c r="F116" s="1963"/>
      <c r="G116" s="1963"/>
      <c r="H116" s="1963"/>
      <c r="I116" s="1963"/>
      <c r="J116" s="1963"/>
      <c r="K116" s="1963"/>
      <c r="L116" s="1963"/>
      <c r="M116" s="1963"/>
      <c r="N116" s="1963"/>
      <c r="O116" s="1963"/>
      <c r="P116" s="1963"/>
      <c r="Q116" s="1963"/>
      <c r="R116" s="1963"/>
      <c r="S116" s="1963"/>
      <c r="T116" s="1963"/>
      <c r="U116" s="1963"/>
      <c r="V116" s="1963"/>
      <c r="W116" s="1963"/>
      <c r="X116" s="1963"/>
    </row>
    <row r="117" spans="1:24">
      <c r="A117" s="1968"/>
      <c r="B117" s="1968"/>
      <c r="C117" s="1968"/>
      <c r="D117" s="1968"/>
      <c r="E117" s="1968"/>
      <c r="F117" s="1968"/>
      <c r="G117" s="1968"/>
      <c r="H117" s="1968"/>
      <c r="I117" s="1968"/>
      <c r="J117" s="1968"/>
      <c r="K117" s="1968"/>
      <c r="L117" s="1968"/>
      <c r="M117" s="1968"/>
      <c r="N117" s="1968"/>
      <c r="O117" s="1968"/>
      <c r="P117" s="1968"/>
      <c r="Q117" s="1968"/>
      <c r="R117" s="1968"/>
      <c r="S117" s="1968"/>
      <c r="T117" s="1968"/>
      <c r="U117" s="1968"/>
      <c r="V117" s="1968"/>
      <c r="W117" s="1968"/>
      <c r="X117" s="1968"/>
    </row>
    <row r="118" spans="1:24" ht="36.75" customHeight="1">
      <c r="A118" s="1964" t="s">
        <v>4175</v>
      </c>
      <c r="B118" s="1964"/>
      <c r="C118" s="1964"/>
      <c r="D118" s="1964"/>
      <c r="E118" s="1964"/>
      <c r="F118" s="1964"/>
      <c r="G118" s="1964"/>
      <c r="H118" s="1964"/>
      <c r="I118" s="1964"/>
      <c r="J118" s="1964"/>
      <c r="K118" s="1964"/>
      <c r="L118" s="1964"/>
      <c r="M118" s="1964"/>
      <c r="N118" s="1964"/>
      <c r="O118" s="1964"/>
      <c r="P118" s="1964"/>
      <c r="Q118" s="1964"/>
      <c r="R118" s="1964"/>
      <c r="S118" s="1964"/>
      <c r="T118" s="1964"/>
      <c r="U118" s="1964"/>
      <c r="V118" s="1964"/>
      <c r="W118" s="1964"/>
      <c r="X118" s="1964"/>
    </row>
    <row r="119" spans="1:24" ht="34.5" customHeight="1">
      <c r="A119" s="1964" t="s">
        <v>4176</v>
      </c>
      <c r="B119" s="1964"/>
      <c r="C119" s="1964"/>
      <c r="D119" s="1964"/>
      <c r="E119" s="1964"/>
      <c r="F119" s="1964"/>
      <c r="G119" s="1964"/>
      <c r="H119" s="1964"/>
      <c r="I119" s="1964"/>
      <c r="J119" s="1964"/>
      <c r="K119" s="1964"/>
      <c r="L119" s="1964"/>
      <c r="M119" s="1964"/>
      <c r="N119" s="1964"/>
      <c r="O119" s="1964"/>
      <c r="P119" s="1964"/>
      <c r="Q119" s="1964"/>
      <c r="R119" s="1964"/>
      <c r="S119" s="1964"/>
      <c r="T119" s="1964"/>
      <c r="U119" s="1964"/>
      <c r="V119" s="1964"/>
      <c r="W119" s="1964"/>
      <c r="X119" s="1964"/>
    </row>
    <row r="120" spans="1:24" ht="15.75" customHeight="1">
      <c r="A120" s="1964"/>
      <c r="B120" s="1964"/>
      <c r="C120" s="1964"/>
      <c r="D120" s="1964"/>
      <c r="E120" s="1964"/>
      <c r="F120" s="1964"/>
      <c r="G120" s="1964"/>
      <c r="H120" s="1964"/>
      <c r="I120" s="1964"/>
      <c r="J120" s="1964"/>
      <c r="K120" s="1964"/>
      <c r="L120" s="1964"/>
      <c r="M120" s="1964"/>
      <c r="N120" s="1964"/>
      <c r="O120" s="1964"/>
      <c r="P120" s="1964"/>
      <c r="Q120" s="1964"/>
      <c r="R120" s="1964"/>
      <c r="S120" s="1964"/>
      <c r="T120" s="1964"/>
      <c r="U120" s="1964"/>
      <c r="V120" s="1964"/>
      <c r="W120" s="1964"/>
      <c r="X120" s="1964"/>
    </row>
    <row r="121" spans="1:24" ht="15.75" customHeight="1">
      <c r="A121" s="1963" t="s">
        <v>3444</v>
      </c>
      <c r="B121" s="1963"/>
      <c r="C121" s="1963"/>
      <c r="D121" s="1963"/>
      <c r="E121" s="1963"/>
      <c r="F121" s="1963"/>
      <c r="G121" s="1963"/>
      <c r="H121" s="1963"/>
      <c r="I121" s="1963"/>
      <c r="J121" s="1963"/>
      <c r="K121" s="1963"/>
      <c r="L121" s="1963"/>
      <c r="M121" s="1963"/>
      <c r="N121" s="1963"/>
      <c r="O121" s="1963"/>
      <c r="P121" s="1963"/>
      <c r="Q121" s="1963"/>
      <c r="R121" s="1963"/>
      <c r="S121" s="1963"/>
      <c r="T121" s="1963"/>
      <c r="U121" s="1963"/>
      <c r="V121" s="1963"/>
      <c r="W121" s="1963"/>
      <c r="X121" s="1963"/>
    </row>
    <row r="122" spans="1:24" ht="15.75" customHeight="1">
      <c r="A122" s="1964"/>
      <c r="B122" s="1964"/>
      <c r="C122" s="1964"/>
      <c r="D122" s="1964"/>
      <c r="E122" s="1964"/>
      <c r="F122" s="1964"/>
      <c r="G122" s="1964"/>
      <c r="H122" s="1964"/>
      <c r="I122" s="1964"/>
      <c r="J122" s="1964"/>
      <c r="K122" s="1964"/>
      <c r="L122" s="1964"/>
      <c r="M122" s="1964"/>
      <c r="N122" s="1964"/>
      <c r="O122" s="1964"/>
      <c r="P122" s="1964"/>
      <c r="Q122" s="1964"/>
      <c r="R122" s="1964"/>
      <c r="S122" s="1964"/>
      <c r="T122" s="1964"/>
      <c r="U122" s="1964"/>
      <c r="V122" s="1964"/>
      <c r="W122" s="1964"/>
      <c r="X122" s="1964"/>
    </row>
    <row r="123" spans="1:24" ht="36.75" customHeight="1">
      <c r="A123" s="1964" t="s">
        <v>4177</v>
      </c>
      <c r="B123" s="1964"/>
      <c r="C123" s="1964"/>
      <c r="D123" s="1964"/>
      <c r="E123" s="1964"/>
      <c r="F123" s="1964"/>
      <c r="G123" s="1964"/>
      <c r="H123" s="1964"/>
      <c r="I123" s="1964"/>
      <c r="J123" s="1964"/>
      <c r="K123" s="1964"/>
      <c r="L123" s="1964"/>
      <c r="M123" s="1964"/>
      <c r="N123" s="1964"/>
      <c r="O123" s="1964"/>
      <c r="P123" s="1964"/>
      <c r="Q123" s="1964"/>
      <c r="R123" s="1964"/>
      <c r="S123" s="1964"/>
      <c r="T123" s="1964"/>
      <c r="U123" s="1964"/>
      <c r="V123" s="1964"/>
      <c r="W123" s="1964"/>
      <c r="X123" s="1964"/>
    </row>
    <row r="124" spans="1:24" ht="49.5" customHeight="1">
      <c r="A124" s="2031" t="s">
        <v>4178</v>
      </c>
      <c r="B124" s="1964"/>
      <c r="C124" s="1964"/>
      <c r="D124" s="1964"/>
      <c r="E124" s="1964"/>
      <c r="F124" s="1964"/>
      <c r="G124" s="1964"/>
      <c r="H124" s="1964"/>
      <c r="I124" s="1964"/>
      <c r="J124" s="1964"/>
      <c r="K124" s="1964"/>
      <c r="L124" s="1964"/>
      <c r="M124" s="1964"/>
      <c r="N124" s="1964"/>
      <c r="O124" s="1964"/>
      <c r="P124" s="1964"/>
      <c r="Q124" s="1964"/>
      <c r="R124" s="1964"/>
      <c r="S124" s="1964"/>
      <c r="T124" s="1964"/>
      <c r="U124" s="1964"/>
      <c r="V124" s="1964"/>
      <c r="W124" s="1964"/>
      <c r="X124" s="1964"/>
    </row>
    <row r="125" spans="1:24" ht="15.75" customHeight="1">
      <c r="A125" s="1964"/>
      <c r="B125" s="1964"/>
      <c r="C125" s="1964"/>
      <c r="D125" s="1964"/>
      <c r="E125" s="1964"/>
      <c r="F125" s="1964"/>
      <c r="G125" s="1964"/>
      <c r="H125" s="1964"/>
      <c r="I125" s="1964"/>
      <c r="J125" s="1964"/>
      <c r="K125" s="1964"/>
      <c r="L125" s="1964"/>
      <c r="M125" s="1964"/>
      <c r="N125" s="1964"/>
      <c r="O125" s="1964"/>
      <c r="P125" s="1964"/>
      <c r="Q125" s="1964"/>
      <c r="R125" s="1964"/>
      <c r="S125" s="1964"/>
      <c r="T125" s="1964"/>
      <c r="U125" s="1964"/>
      <c r="V125" s="1964"/>
      <c r="W125" s="1964"/>
      <c r="X125" s="1964"/>
    </row>
    <row r="126" spans="1:24" ht="15.75" customHeight="1">
      <c r="A126" s="1963" t="s">
        <v>3445</v>
      </c>
      <c r="B126" s="1963"/>
      <c r="C126" s="1963"/>
      <c r="D126" s="1963"/>
      <c r="E126" s="1963"/>
      <c r="F126" s="1963"/>
      <c r="G126" s="1963"/>
      <c r="H126" s="1963"/>
      <c r="I126" s="1963"/>
      <c r="J126" s="1963"/>
      <c r="K126" s="1963"/>
      <c r="L126" s="1963"/>
      <c r="M126" s="1963"/>
      <c r="N126" s="1963"/>
      <c r="O126" s="1963"/>
      <c r="P126" s="1963"/>
      <c r="Q126" s="1963"/>
      <c r="R126" s="1963"/>
      <c r="S126" s="1963"/>
      <c r="T126" s="1963"/>
      <c r="U126" s="1963"/>
      <c r="V126" s="1963"/>
      <c r="W126" s="1963"/>
      <c r="X126" s="1963"/>
    </row>
    <row r="127" spans="1:24" ht="15.75" customHeight="1">
      <c r="A127" s="1968"/>
      <c r="B127" s="1968"/>
      <c r="C127" s="1968"/>
      <c r="D127" s="1968"/>
      <c r="E127" s="1968"/>
      <c r="F127" s="1968"/>
      <c r="G127" s="1968"/>
      <c r="H127" s="1968"/>
      <c r="I127" s="1968"/>
      <c r="J127" s="1968"/>
      <c r="K127" s="1968"/>
      <c r="L127" s="1968"/>
      <c r="M127" s="1968"/>
      <c r="N127" s="1968"/>
      <c r="O127" s="1968"/>
      <c r="P127" s="1968"/>
      <c r="Q127" s="1968"/>
      <c r="R127" s="1968"/>
      <c r="S127" s="1968"/>
      <c r="T127" s="1968"/>
      <c r="U127" s="1968"/>
      <c r="V127" s="1968"/>
      <c r="W127" s="1968"/>
      <c r="X127" s="1968"/>
    </row>
    <row r="128" spans="1:24" ht="15.75" customHeight="1">
      <c r="A128" s="1964" t="s">
        <v>3446</v>
      </c>
      <c r="B128" s="1964"/>
      <c r="C128" s="1964"/>
      <c r="D128" s="1964"/>
      <c r="E128" s="1964"/>
      <c r="F128" s="1964"/>
      <c r="G128" s="1964"/>
      <c r="H128" s="1964"/>
      <c r="I128" s="1964"/>
      <c r="J128" s="1964"/>
      <c r="K128" s="1964"/>
      <c r="L128" s="1964"/>
      <c r="M128" s="1964"/>
      <c r="N128" s="1964"/>
      <c r="O128" s="1964"/>
      <c r="P128" s="1964"/>
      <c r="Q128" s="1964"/>
      <c r="R128" s="1964"/>
      <c r="S128" s="1964"/>
      <c r="T128" s="1964"/>
      <c r="U128" s="1964"/>
      <c r="V128" s="1964"/>
      <c r="W128" s="1964"/>
      <c r="X128" s="1964"/>
    </row>
    <row r="129" spans="1:24" ht="33" customHeight="1">
      <c r="A129" s="1964" t="s">
        <v>3447</v>
      </c>
      <c r="B129" s="1964"/>
      <c r="C129" s="1964"/>
      <c r="D129" s="1964"/>
      <c r="E129" s="1964"/>
      <c r="F129" s="1964"/>
      <c r="G129" s="1964"/>
      <c r="H129" s="1964"/>
      <c r="I129" s="1964"/>
      <c r="J129" s="1964"/>
      <c r="K129" s="1964"/>
      <c r="L129" s="1964"/>
      <c r="M129" s="1964"/>
      <c r="N129" s="1964"/>
      <c r="O129" s="1964"/>
      <c r="P129" s="1964"/>
      <c r="Q129" s="1964"/>
      <c r="R129" s="1964"/>
      <c r="S129" s="1964"/>
      <c r="T129" s="1964"/>
      <c r="U129" s="1964"/>
      <c r="V129" s="1964"/>
      <c r="W129" s="1964"/>
      <c r="X129" s="1964"/>
    </row>
    <row r="130" spans="1:24" ht="15.75" customHeight="1">
      <c r="A130" s="1964"/>
      <c r="B130" s="1964"/>
      <c r="C130" s="1964"/>
      <c r="D130" s="1964"/>
      <c r="E130" s="1964"/>
      <c r="F130" s="1964"/>
      <c r="G130" s="1964"/>
      <c r="H130" s="1964"/>
      <c r="I130" s="1964"/>
      <c r="J130" s="1964"/>
      <c r="K130" s="1964"/>
      <c r="L130" s="1964"/>
      <c r="M130" s="1964"/>
      <c r="N130" s="1964"/>
      <c r="O130" s="1964"/>
      <c r="P130" s="1964"/>
      <c r="Q130" s="1964"/>
      <c r="R130" s="1964"/>
      <c r="S130" s="1964"/>
      <c r="T130" s="1964"/>
      <c r="U130" s="1964"/>
      <c r="V130" s="1964"/>
      <c r="W130" s="1964"/>
      <c r="X130" s="1964"/>
    </row>
    <row r="131" spans="1:24">
      <c r="A131" s="1963" t="s">
        <v>3448</v>
      </c>
      <c r="B131" s="1963"/>
      <c r="C131" s="1963"/>
      <c r="D131" s="1963"/>
      <c r="E131" s="1963"/>
      <c r="F131" s="1963"/>
      <c r="G131" s="1963"/>
      <c r="H131" s="1963"/>
      <c r="I131" s="1963"/>
      <c r="J131" s="1963"/>
      <c r="K131" s="1963"/>
      <c r="L131" s="1963"/>
      <c r="M131" s="1963"/>
      <c r="N131" s="1963"/>
      <c r="O131" s="1963"/>
      <c r="P131" s="1963"/>
      <c r="Q131" s="1963"/>
      <c r="R131" s="1963"/>
      <c r="S131" s="1963"/>
      <c r="T131" s="1963"/>
      <c r="U131" s="1963"/>
      <c r="V131" s="1963"/>
      <c r="W131" s="1963"/>
      <c r="X131" s="1963"/>
    </row>
    <row r="132" spans="1:24" ht="51" customHeight="1">
      <c r="A132" s="1968" t="s">
        <v>3449</v>
      </c>
      <c r="B132" s="1968"/>
      <c r="C132" s="1968"/>
      <c r="D132" s="1968"/>
      <c r="E132" s="1968"/>
      <c r="F132" s="1968"/>
      <c r="G132" s="1968"/>
      <c r="H132" s="1968"/>
      <c r="I132" s="1968"/>
      <c r="J132" s="1968"/>
      <c r="K132" s="1968"/>
      <c r="L132" s="1968"/>
      <c r="M132" s="1968"/>
      <c r="N132" s="1968"/>
      <c r="O132" s="1968"/>
      <c r="P132" s="1968"/>
      <c r="Q132" s="1968"/>
      <c r="R132" s="1968"/>
      <c r="S132" s="1968"/>
      <c r="T132" s="1968"/>
      <c r="U132" s="1968"/>
      <c r="V132" s="1968"/>
      <c r="W132" s="1968"/>
      <c r="X132" s="1968"/>
    </row>
    <row r="133" spans="1:24">
      <c r="A133" s="1968" t="s">
        <v>3450</v>
      </c>
      <c r="B133" s="1968"/>
      <c r="C133" s="1968"/>
      <c r="D133" s="1968"/>
      <c r="E133" s="1968"/>
      <c r="F133" s="1968"/>
      <c r="G133" s="1968"/>
      <c r="H133" s="1968"/>
      <c r="I133" s="1968"/>
      <c r="J133" s="1968"/>
      <c r="K133" s="1968"/>
      <c r="L133" s="1968"/>
      <c r="M133" s="1968"/>
      <c r="N133" s="1968"/>
      <c r="O133" s="1968"/>
      <c r="P133" s="1968"/>
      <c r="Q133" s="1968"/>
      <c r="R133" s="1968"/>
      <c r="S133" s="1968"/>
      <c r="T133" s="1968"/>
      <c r="U133" s="1968"/>
      <c r="V133" s="1968"/>
      <c r="W133" s="1968"/>
      <c r="X133" s="1968"/>
    </row>
    <row r="134" spans="1:24" ht="24" customHeight="1">
      <c r="A134" s="1964" t="s">
        <v>3451</v>
      </c>
      <c r="B134" s="1964"/>
      <c r="C134" s="1964"/>
      <c r="D134" s="1964"/>
      <c r="E134" s="1964"/>
      <c r="F134" s="1964"/>
      <c r="G134" s="1964"/>
      <c r="H134" s="1964"/>
      <c r="I134" s="1964"/>
      <c r="J134" s="1964"/>
      <c r="K134" s="1964"/>
      <c r="L134" s="1964"/>
      <c r="M134" s="1964"/>
      <c r="N134" s="1964"/>
      <c r="O134" s="1964"/>
      <c r="P134" s="1964"/>
      <c r="Q134" s="1964"/>
      <c r="R134" s="1964"/>
      <c r="S134" s="1964"/>
      <c r="T134" s="1964"/>
      <c r="U134" s="1964"/>
      <c r="V134" s="1964"/>
      <c r="W134" s="1964"/>
      <c r="X134" s="1964"/>
    </row>
    <row r="135" spans="1:24" ht="20.25" customHeight="1">
      <c r="A135" s="1951">
        <v>740</v>
      </c>
      <c r="B135" s="1951"/>
      <c r="C135" s="1951"/>
      <c r="D135" s="572" t="s">
        <v>4148</v>
      </c>
      <c r="E135" s="1952">
        <f>$K$45</f>
        <v>6.4460000000000003E-2</v>
      </c>
      <c r="F135" s="1953"/>
      <c r="G135" s="1953"/>
      <c r="H135" s="1953"/>
      <c r="I135" s="572" t="s">
        <v>4138</v>
      </c>
      <c r="J135" s="1945">
        <f>A135*E135</f>
        <v>47.700400000000002</v>
      </c>
      <c r="K135" s="1945"/>
      <c r="L135" s="1945"/>
      <c r="M135" s="1945"/>
      <c r="N135" s="551" t="s">
        <v>4179</v>
      </c>
      <c r="O135" s="551"/>
      <c r="P135" s="551"/>
      <c r="Q135" s="551"/>
      <c r="R135" s="551"/>
      <c r="S135" s="551"/>
      <c r="T135" s="551"/>
      <c r="U135" s="551"/>
      <c r="V135" s="551"/>
      <c r="W135" s="551"/>
      <c r="X135" s="551"/>
    </row>
    <row r="136" spans="1:24" ht="20.25" customHeight="1">
      <c r="A136" s="598"/>
      <c r="B136" s="598"/>
      <c r="C136" s="598"/>
      <c r="D136" s="593"/>
      <c r="E136" s="599"/>
      <c r="F136" s="600"/>
      <c r="G136" s="600"/>
      <c r="H136" s="600"/>
      <c r="I136" s="593"/>
      <c r="J136" s="595"/>
      <c r="K136" s="595"/>
      <c r="L136" s="595"/>
      <c r="M136" s="595"/>
      <c r="N136" s="551"/>
      <c r="O136" s="551"/>
      <c r="P136" s="551"/>
      <c r="Q136" s="551"/>
      <c r="R136" s="551"/>
      <c r="S136" s="551"/>
      <c r="T136" s="551"/>
      <c r="U136" s="551"/>
      <c r="V136" s="551"/>
      <c r="W136" s="551"/>
      <c r="X136" s="551"/>
    </row>
    <row r="137" spans="1:24">
      <c r="A137" s="1963" t="s">
        <v>3452</v>
      </c>
      <c r="B137" s="1963"/>
      <c r="C137" s="1963"/>
      <c r="D137" s="1963"/>
      <c r="E137" s="1963"/>
      <c r="F137" s="1963"/>
      <c r="G137" s="1963"/>
      <c r="H137" s="1963"/>
      <c r="I137" s="1963"/>
      <c r="J137" s="1963"/>
      <c r="K137" s="1963"/>
      <c r="L137" s="1963"/>
      <c r="M137" s="1963"/>
      <c r="N137" s="1963"/>
      <c r="O137" s="1963"/>
      <c r="P137" s="1963"/>
      <c r="Q137" s="1963"/>
      <c r="R137" s="1963"/>
      <c r="S137" s="1963"/>
      <c r="T137" s="1963"/>
      <c r="U137" s="1963"/>
      <c r="V137" s="1963"/>
      <c r="W137" s="1963"/>
      <c r="X137" s="1963"/>
    </row>
    <row r="138" spans="1:24" ht="58.5" customHeight="1">
      <c r="A138" s="1968" t="s">
        <v>3453</v>
      </c>
      <c r="B138" s="1968"/>
      <c r="C138" s="1968"/>
      <c r="D138" s="1968"/>
      <c r="E138" s="1968"/>
      <c r="F138" s="1968"/>
      <c r="G138" s="1968"/>
      <c r="H138" s="1968"/>
      <c r="I138" s="1968"/>
      <c r="J138" s="1968"/>
      <c r="K138" s="1968"/>
      <c r="L138" s="1968"/>
      <c r="M138" s="1968"/>
      <c r="N138" s="1968"/>
      <c r="O138" s="1968"/>
      <c r="P138" s="1968"/>
      <c r="Q138" s="1968"/>
      <c r="R138" s="1968"/>
      <c r="S138" s="1968"/>
      <c r="T138" s="1968"/>
      <c r="U138" s="1968"/>
      <c r="V138" s="1968"/>
      <c r="W138" s="1968"/>
      <c r="X138" s="1968"/>
    </row>
    <row r="139" spans="1:24" ht="15.75" customHeight="1">
      <c r="A139" s="1968" t="s">
        <v>3454</v>
      </c>
      <c r="B139" s="1968"/>
      <c r="C139" s="1968"/>
      <c r="D139" s="1968"/>
      <c r="E139" s="1968"/>
      <c r="F139" s="1968"/>
      <c r="G139" s="1968"/>
      <c r="H139" s="1968"/>
      <c r="I139" s="1968"/>
      <c r="J139" s="1968"/>
      <c r="K139" s="1968"/>
      <c r="L139" s="1968"/>
      <c r="M139" s="1968"/>
      <c r="N139" s="1968"/>
      <c r="O139" s="1968"/>
      <c r="P139" s="1968"/>
      <c r="Q139" s="1968"/>
      <c r="R139" s="1968"/>
      <c r="S139" s="1968"/>
      <c r="T139" s="1968"/>
      <c r="U139" s="1968"/>
      <c r="V139" s="1968"/>
      <c r="W139" s="1968"/>
      <c r="X139" s="1968"/>
    </row>
    <row r="140" spans="1:24" ht="15.75" customHeight="1">
      <c r="A140" s="1951">
        <v>1000</v>
      </c>
      <c r="B140" s="1951"/>
      <c r="C140" s="1951"/>
      <c r="D140" s="572" t="s">
        <v>4148</v>
      </c>
      <c r="E140" s="1953">
        <f>$G$3</f>
        <v>0.86251</v>
      </c>
      <c r="F140" s="1953"/>
      <c r="G140" s="1953"/>
      <c r="H140" s="1953"/>
      <c r="I140" s="572" t="s">
        <v>4138</v>
      </c>
      <c r="J140" s="1945">
        <f>A140*E140</f>
        <v>862.51</v>
      </c>
      <c r="K140" s="1945"/>
      <c r="L140" s="1945"/>
      <c r="M140" s="1945"/>
      <c r="N140" s="551" t="s">
        <v>4179</v>
      </c>
      <c r="O140" s="566"/>
      <c r="P140" s="566"/>
      <c r="Q140" s="566"/>
      <c r="R140" s="566"/>
      <c r="S140" s="566"/>
      <c r="T140" s="566"/>
      <c r="U140" s="566"/>
      <c r="V140" s="566"/>
      <c r="W140" s="566"/>
      <c r="X140" s="566"/>
    </row>
    <row r="141" spans="1:24" ht="15.75" customHeight="1">
      <c r="A141" s="1964"/>
      <c r="B141" s="1964"/>
      <c r="C141" s="1964"/>
      <c r="D141" s="1964"/>
      <c r="E141" s="1964"/>
      <c r="F141" s="1964"/>
      <c r="G141" s="1964"/>
      <c r="H141" s="1964"/>
      <c r="I141" s="1964"/>
      <c r="J141" s="1964"/>
      <c r="K141" s="1964"/>
      <c r="L141" s="1964"/>
      <c r="M141" s="1964"/>
      <c r="N141" s="1964"/>
      <c r="O141" s="1964"/>
      <c r="P141" s="1964"/>
      <c r="Q141" s="1964"/>
      <c r="R141" s="1964"/>
      <c r="S141" s="1964"/>
      <c r="T141" s="1964"/>
      <c r="U141" s="1964"/>
      <c r="V141" s="1964"/>
      <c r="W141" s="1964"/>
      <c r="X141" s="1964"/>
    </row>
    <row r="142" spans="1:24">
      <c r="A142" s="1963" t="s">
        <v>3455</v>
      </c>
      <c r="B142" s="1963"/>
      <c r="C142" s="1963"/>
      <c r="D142" s="1963"/>
      <c r="E142" s="1963"/>
      <c r="F142" s="1963"/>
      <c r="G142" s="1963"/>
      <c r="H142" s="1963"/>
      <c r="I142" s="1963"/>
      <c r="J142" s="1963"/>
      <c r="K142" s="1963"/>
      <c r="L142" s="1963"/>
      <c r="M142" s="1963"/>
      <c r="N142" s="1963"/>
      <c r="O142" s="1963"/>
      <c r="P142" s="1963"/>
      <c r="Q142" s="1963"/>
      <c r="R142" s="1963"/>
      <c r="S142" s="1963"/>
      <c r="T142" s="1963"/>
      <c r="U142" s="1963"/>
      <c r="V142" s="1963"/>
      <c r="W142" s="1963"/>
      <c r="X142" s="1963"/>
    </row>
    <row r="143" spans="1:24" ht="89.25" customHeight="1">
      <c r="A143" s="1968" t="s">
        <v>3456</v>
      </c>
      <c r="B143" s="1968"/>
      <c r="C143" s="1968"/>
      <c r="D143" s="1968"/>
      <c r="E143" s="1968"/>
      <c r="F143" s="1968"/>
      <c r="G143" s="1968"/>
      <c r="H143" s="1968"/>
      <c r="I143" s="1968"/>
      <c r="J143" s="1968"/>
      <c r="K143" s="1968"/>
      <c r="L143" s="1968"/>
      <c r="M143" s="1968"/>
      <c r="N143" s="1968"/>
      <c r="O143" s="1968"/>
      <c r="P143" s="1968"/>
      <c r="Q143" s="1968"/>
      <c r="R143" s="1968"/>
      <c r="S143" s="1968"/>
      <c r="T143" s="1968"/>
      <c r="U143" s="1968"/>
      <c r="V143" s="1968"/>
      <c r="W143" s="1968"/>
      <c r="X143" s="1968"/>
    </row>
    <row r="144" spans="1:24" ht="15.75" customHeight="1">
      <c r="A144" s="1968" t="s">
        <v>3457</v>
      </c>
      <c r="B144" s="1968"/>
      <c r="C144" s="1968"/>
      <c r="D144" s="1968"/>
      <c r="E144" s="1968"/>
      <c r="F144" s="1968"/>
      <c r="G144" s="1968"/>
      <c r="H144" s="1968"/>
      <c r="I144" s="1968"/>
      <c r="J144" s="1968"/>
      <c r="K144" s="1968"/>
      <c r="L144" s="1968"/>
      <c r="M144" s="1968"/>
      <c r="N144" s="1968"/>
      <c r="O144" s="1968"/>
      <c r="P144" s="1968"/>
      <c r="Q144" s="1968"/>
      <c r="R144" s="1968"/>
      <c r="S144" s="1968"/>
      <c r="T144" s="1968"/>
      <c r="U144" s="1968"/>
      <c r="V144" s="1968"/>
      <c r="W144" s="1968"/>
      <c r="X144" s="1968"/>
    </row>
    <row r="145" spans="1:24" ht="15.75" customHeight="1">
      <c r="A145" s="1968"/>
      <c r="B145" s="1968"/>
      <c r="C145" s="1968"/>
      <c r="D145" s="1968"/>
      <c r="E145" s="1968"/>
      <c r="F145" s="1968"/>
      <c r="G145" s="1968"/>
      <c r="H145" s="1968"/>
      <c r="I145" s="1968"/>
      <c r="J145" s="1968"/>
      <c r="K145" s="1968"/>
      <c r="L145" s="1968"/>
      <c r="M145" s="1968"/>
      <c r="N145" s="1968"/>
      <c r="O145" s="1968"/>
      <c r="P145" s="1968"/>
      <c r="Q145" s="1968"/>
      <c r="R145" s="1968"/>
      <c r="S145" s="1968"/>
      <c r="T145" s="1968"/>
      <c r="U145" s="1968"/>
      <c r="V145" s="1968"/>
      <c r="W145" s="1968"/>
      <c r="X145" s="1968"/>
    </row>
    <row r="146" spans="1:24" ht="15.75" customHeight="1">
      <c r="A146" s="1959">
        <v>25</v>
      </c>
      <c r="B146" s="1959"/>
      <c r="C146" s="1962" t="s">
        <v>4180</v>
      </c>
      <c r="D146" s="1962"/>
      <c r="E146" s="1962"/>
      <c r="F146" s="1962"/>
      <c r="G146" s="1962"/>
      <c r="H146" s="1962"/>
      <c r="I146" s="1962"/>
      <c r="J146" s="1962"/>
      <c r="K146" s="1962"/>
      <c r="L146" s="1962"/>
      <c r="M146" s="551"/>
      <c r="N146" s="551"/>
      <c r="O146" s="551"/>
      <c r="P146" s="551"/>
      <c r="Q146" s="551"/>
      <c r="R146" s="551"/>
      <c r="S146" s="551"/>
      <c r="T146" s="551"/>
      <c r="U146" s="551"/>
      <c r="V146" s="551"/>
      <c r="W146" s="551"/>
      <c r="X146" s="551"/>
    </row>
    <row r="147" spans="1:24" ht="15.75" customHeight="1">
      <c r="A147" s="1959">
        <f>$A$146</f>
        <v>25</v>
      </c>
      <c r="B147" s="1959"/>
      <c r="C147" s="1983"/>
      <c r="D147" s="573" t="s">
        <v>4148</v>
      </c>
      <c r="E147" s="1984">
        <v>20</v>
      </c>
      <c r="F147" s="1985"/>
      <c r="G147" s="572" t="s">
        <v>4148</v>
      </c>
      <c r="H147" s="1952">
        <f>$K$45</f>
        <v>6.4460000000000003E-2</v>
      </c>
      <c r="I147" s="1953"/>
      <c r="J147" s="1953"/>
      <c r="K147" s="1953"/>
      <c r="L147" s="572" t="s">
        <v>4138</v>
      </c>
      <c r="M147" s="1945">
        <f>A147*E147*H147</f>
        <v>32.230000000000004</v>
      </c>
      <c r="N147" s="1945"/>
      <c r="O147" s="1945"/>
      <c r="P147" s="1945"/>
      <c r="Q147" s="551" t="s">
        <v>4179</v>
      </c>
      <c r="R147" s="551"/>
      <c r="S147" s="551"/>
      <c r="T147" s="551"/>
      <c r="U147" s="551"/>
      <c r="V147" s="551"/>
      <c r="W147" s="551"/>
      <c r="X147" s="551"/>
    </row>
    <row r="148" spans="1:24" ht="15.75" customHeight="1">
      <c r="A148" s="1964"/>
      <c r="B148" s="1964"/>
      <c r="C148" s="1964"/>
      <c r="D148" s="1964"/>
      <c r="E148" s="1964"/>
      <c r="F148" s="1964"/>
      <c r="G148" s="1964"/>
      <c r="H148" s="1964"/>
      <c r="I148" s="1964"/>
      <c r="J148" s="1964"/>
      <c r="K148" s="1964"/>
      <c r="L148" s="1964"/>
      <c r="M148" s="1964"/>
      <c r="N148" s="1964"/>
      <c r="O148" s="1964"/>
      <c r="P148" s="1964"/>
      <c r="Q148" s="1964"/>
      <c r="R148" s="1964"/>
      <c r="S148" s="1964"/>
      <c r="T148" s="1964"/>
      <c r="U148" s="1964"/>
      <c r="V148" s="1964"/>
      <c r="W148" s="1964"/>
      <c r="X148" s="1964"/>
    </row>
    <row r="149" spans="1:24">
      <c r="A149" s="1963" t="s">
        <v>3458</v>
      </c>
      <c r="B149" s="1963"/>
      <c r="C149" s="1963"/>
      <c r="D149" s="1963"/>
      <c r="E149" s="1963"/>
      <c r="F149" s="1963"/>
      <c r="G149" s="1963"/>
      <c r="H149" s="1963"/>
      <c r="I149" s="1963"/>
      <c r="J149" s="1963"/>
      <c r="K149" s="1963"/>
      <c r="L149" s="1963"/>
      <c r="M149" s="1963"/>
      <c r="N149" s="1963"/>
      <c r="O149" s="1963"/>
      <c r="P149" s="1963"/>
      <c r="Q149" s="1963"/>
      <c r="R149" s="1963"/>
      <c r="S149" s="1963"/>
      <c r="T149" s="1963"/>
      <c r="U149" s="1963"/>
      <c r="V149" s="1963"/>
      <c r="W149" s="1963"/>
      <c r="X149" s="1963"/>
    </row>
    <row r="150" spans="1:24" ht="73.5" customHeight="1">
      <c r="A150" s="1968" t="s">
        <v>3459</v>
      </c>
      <c r="B150" s="1968"/>
      <c r="C150" s="1968"/>
      <c r="D150" s="1968"/>
      <c r="E150" s="1968"/>
      <c r="F150" s="1968"/>
      <c r="G150" s="1968"/>
      <c r="H150" s="1968"/>
      <c r="I150" s="1968"/>
      <c r="J150" s="1968"/>
      <c r="K150" s="1968"/>
      <c r="L150" s="1968"/>
      <c r="M150" s="1968"/>
      <c r="N150" s="1968"/>
      <c r="O150" s="1968"/>
      <c r="P150" s="1968"/>
      <c r="Q150" s="1968"/>
      <c r="R150" s="1968"/>
      <c r="S150" s="1968"/>
      <c r="T150" s="1968"/>
      <c r="U150" s="1968"/>
      <c r="V150" s="1968"/>
      <c r="W150" s="1968"/>
      <c r="X150" s="1968"/>
    </row>
    <row r="151" spans="1:24" ht="15.75" customHeight="1">
      <c r="A151" s="1216"/>
      <c r="B151" s="1216"/>
      <c r="C151" s="1216"/>
      <c r="D151" s="1216"/>
      <c r="E151" s="1216"/>
      <c r="F151" s="1216"/>
      <c r="G151" s="1216"/>
      <c r="H151" s="1216"/>
      <c r="I151" s="1216"/>
      <c r="J151" s="1216"/>
      <c r="K151" s="1216"/>
      <c r="L151" s="1216"/>
      <c r="M151" s="1216"/>
      <c r="N151" s="1216"/>
      <c r="O151" s="1216"/>
      <c r="P151" s="1216"/>
      <c r="Q151" s="1216"/>
      <c r="R151" s="1216"/>
      <c r="S151" s="1216"/>
      <c r="T151" s="1216"/>
      <c r="U151" s="1216"/>
      <c r="V151" s="1216"/>
      <c r="W151" s="1216"/>
      <c r="X151" s="1216"/>
    </row>
    <row r="152" spans="1:24" ht="15.75" customHeight="1">
      <c r="A152" s="1968" t="s">
        <v>3460</v>
      </c>
      <c r="B152" s="1968"/>
      <c r="C152" s="1968"/>
      <c r="D152" s="1968"/>
      <c r="E152" s="1968"/>
      <c r="F152" s="1968"/>
      <c r="G152" s="1968"/>
      <c r="H152" s="1968"/>
      <c r="I152" s="1968"/>
      <c r="J152" s="1968"/>
      <c r="K152" s="1968"/>
      <c r="L152" s="1968"/>
      <c r="M152" s="1968"/>
      <c r="N152" s="1968"/>
      <c r="O152" s="1968"/>
      <c r="P152" s="1968"/>
      <c r="Q152" s="1968"/>
      <c r="R152" s="1968"/>
      <c r="S152" s="1968"/>
      <c r="T152" s="1968"/>
      <c r="U152" s="1968"/>
      <c r="V152" s="1968"/>
      <c r="W152" s="1968"/>
      <c r="X152" s="1968"/>
    </row>
    <row r="153" spans="1:24" ht="15.75" customHeight="1">
      <c r="A153" s="566"/>
      <c r="B153" s="566"/>
      <c r="C153" s="566"/>
      <c r="D153" s="566"/>
      <c r="E153" s="566"/>
      <c r="F153" s="566"/>
      <c r="G153" s="566"/>
      <c r="H153" s="566"/>
      <c r="I153" s="566"/>
      <c r="J153" s="566"/>
      <c r="K153" s="566"/>
      <c r="L153" s="566"/>
      <c r="M153" s="566"/>
      <c r="N153" s="566"/>
      <c r="O153" s="566"/>
      <c r="P153" s="566"/>
      <c r="Q153" s="566"/>
      <c r="R153" s="566"/>
      <c r="S153" s="566"/>
      <c r="T153" s="566"/>
      <c r="U153" s="566"/>
      <c r="V153" s="566"/>
      <c r="W153" s="566"/>
      <c r="X153" s="566"/>
    </row>
    <row r="154" spans="1:24" ht="34.5" customHeight="1">
      <c r="A154" s="1964" t="s">
        <v>4181</v>
      </c>
      <c r="B154" s="1964"/>
      <c r="C154" s="1964"/>
      <c r="D154" s="1964"/>
      <c r="E154" s="1964"/>
      <c r="F154" s="1964"/>
      <c r="G154" s="1964"/>
      <c r="H154" s="1964"/>
      <c r="I154" s="1964"/>
      <c r="J154" s="1964"/>
      <c r="K154" s="1964"/>
      <c r="L154" s="1964"/>
      <c r="M154" s="1964"/>
      <c r="N154" s="1964"/>
      <c r="O154" s="1964"/>
      <c r="P154" s="1964"/>
      <c r="Q154" s="1964"/>
      <c r="R154" s="1964"/>
      <c r="S154" s="1964"/>
      <c r="T154" s="1964"/>
      <c r="U154" s="1964"/>
      <c r="V154" s="1964"/>
      <c r="W154" s="1964"/>
      <c r="X154" s="1964"/>
    </row>
    <row r="155" spans="1:24" ht="15.75" customHeight="1">
      <c r="A155" s="1951">
        <v>1100</v>
      </c>
      <c r="B155" s="1951"/>
      <c r="C155" s="1951"/>
      <c r="D155" s="572" t="s">
        <v>4148</v>
      </c>
      <c r="E155" s="1952">
        <f>$K$45</f>
        <v>6.4460000000000003E-2</v>
      </c>
      <c r="F155" s="1953"/>
      <c r="G155" s="1953"/>
      <c r="H155" s="1953"/>
      <c r="I155" s="572" t="s">
        <v>4138</v>
      </c>
      <c r="J155" s="1945">
        <f>A155*E155</f>
        <v>70.906000000000006</v>
      </c>
      <c r="K155" s="1945"/>
      <c r="L155" s="1945"/>
      <c r="M155" s="1945"/>
      <c r="N155" s="551" t="s">
        <v>4179</v>
      </c>
      <c r="O155" s="551"/>
      <c r="P155" s="551"/>
      <c r="Q155" s="551"/>
      <c r="R155" s="551"/>
      <c r="S155" s="551"/>
      <c r="T155" s="551"/>
      <c r="U155" s="551"/>
      <c r="V155" s="551"/>
      <c r="W155" s="551"/>
      <c r="X155" s="551"/>
    </row>
    <row r="156" spans="1:24" ht="15.75" customHeight="1">
      <c r="A156" s="1964" t="s">
        <v>4182</v>
      </c>
      <c r="B156" s="1964"/>
      <c r="C156" s="1964"/>
      <c r="D156" s="1964"/>
      <c r="E156" s="1964"/>
      <c r="F156" s="1964"/>
      <c r="G156" s="1964"/>
      <c r="H156" s="1964"/>
      <c r="I156" s="1964"/>
      <c r="J156" s="1964"/>
      <c r="K156" s="1964"/>
      <c r="L156" s="1964"/>
      <c r="M156" s="1964"/>
      <c r="N156" s="1964"/>
      <c r="O156" s="1964"/>
      <c r="P156" s="1964"/>
      <c r="Q156" s="1964"/>
      <c r="R156" s="1964"/>
      <c r="S156" s="1964"/>
      <c r="T156" s="1964"/>
      <c r="U156" s="1964"/>
      <c r="V156" s="1964"/>
      <c r="W156" s="1964"/>
      <c r="X156" s="1964"/>
    </row>
    <row r="157" spans="1:24" ht="15.75" customHeight="1">
      <c r="A157" s="1951">
        <v>650</v>
      </c>
      <c r="B157" s="1951"/>
      <c r="C157" s="1951"/>
      <c r="D157" s="572" t="s">
        <v>4148</v>
      </c>
      <c r="E157" s="1952">
        <f>$K$45</f>
        <v>6.4460000000000003E-2</v>
      </c>
      <c r="F157" s="1953"/>
      <c r="G157" s="1953"/>
      <c r="H157" s="1953"/>
      <c r="I157" s="572" t="s">
        <v>4138</v>
      </c>
      <c r="J157" s="1945">
        <f>A157*E157</f>
        <v>41.899000000000001</v>
      </c>
      <c r="K157" s="1945"/>
      <c r="L157" s="1945"/>
      <c r="M157" s="1945"/>
      <c r="N157" s="551" t="s">
        <v>4179</v>
      </c>
      <c r="O157" s="551"/>
      <c r="P157" s="551"/>
      <c r="Q157" s="551"/>
      <c r="R157" s="551"/>
      <c r="S157" s="551"/>
      <c r="T157" s="551"/>
      <c r="U157" s="551"/>
      <c r="V157" s="551"/>
      <c r="W157" s="551"/>
      <c r="X157" s="551"/>
    </row>
    <row r="158" spans="1:24" ht="15.75" customHeight="1">
      <c r="A158" s="551"/>
      <c r="B158" s="551"/>
      <c r="C158" s="551"/>
      <c r="D158" s="551"/>
      <c r="E158" s="551"/>
      <c r="F158" s="551"/>
      <c r="G158" s="551"/>
      <c r="H158" s="551"/>
      <c r="I158" s="551"/>
      <c r="J158" s="551"/>
      <c r="K158" s="551"/>
      <c r="L158" s="551"/>
      <c r="M158" s="551"/>
      <c r="N158" s="551"/>
      <c r="O158" s="551"/>
      <c r="P158" s="551"/>
      <c r="Q158" s="551"/>
      <c r="R158" s="551"/>
      <c r="S158" s="551"/>
      <c r="T158" s="551"/>
      <c r="U158" s="551"/>
      <c r="V158" s="551"/>
      <c r="W158" s="551"/>
      <c r="X158" s="551"/>
    </row>
    <row r="159" spans="1:24" ht="15.75" customHeight="1">
      <c r="A159" s="551"/>
      <c r="B159" s="551"/>
      <c r="C159" s="551"/>
      <c r="D159" s="551"/>
      <c r="E159" s="551"/>
      <c r="F159" s="551"/>
      <c r="G159" s="551"/>
      <c r="H159" s="551"/>
      <c r="I159" s="551"/>
      <c r="J159" s="551"/>
      <c r="K159" s="551"/>
      <c r="L159" s="551"/>
      <c r="M159" s="551"/>
      <c r="N159" s="551"/>
      <c r="O159" s="551"/>
      <c r="P159" s="551"/>
      <c r="Q159" s="551"/>
      <c r="R159" s="551"/>
      <c r="S159" s="551"/>
      <c r="T159" s="551"/>
      <c r="U159" s="551"/>
      <c r="V159" s="551"/>
      <c r="W159" s="551"/>
      <c r="X159" s="551"/>
    </row>
    <row r="160" spans="1:24" ht="15.75" customHeight="1">
      <c r="A160" s="1963" t="s">
        <v>3461</v>
      </c>
      <c r="B160" s="1963"/>
      <c r="C160" s="1963"/>
      <c r="D160" s="1963"/>
      <c r="E160" s="1963"/>
      <c r="F160" s="1963"/>
      <c r="G160" s="1963"/>
      <c r="H160" s="1963"/>
      <c r="I160" s="1963"/>
      <c r="J160" s="1963"/>
      <c r="K160" s="1963"/>
      <c r="L160" s="1963"/>
      <c r="M160" s="1963"/>
      <c r="N160" s="1963"/>
      <c r="O160" s="1963"/>
      <c r="P160" s="1963"/>
      <c r="Q160" s="1963"/>
      <c r="R160" s="1963"/>
      <c r="S160" s="1963"/>
      <c r="T160" s="1963"/>
      <c r="U160" s="1963"/>
      <c r="V160" s="1963"/>
      <c r="W160" s="1963"/>
      <c r="X160" s="1963"/>
    </row>
    <row r="161" spans="1:36" ht="15.75" customHeight="1">
      <c r="A161" s="1964"/>
      <c r="B161" s="1964"/>
      <c r="C161" s="1964"/>
      <c r="D161" s="1964"/>
      <c r="E161" s="1964"/>
      <c r="F161" s="1964"/>
      <c r="G161" s="1964"/>
      <c r="H161" s="1964"/>
      <c r="I161" s="1964"/>
      <c r="J161" s="1964"/>
      <c r="K161" s="1964"/>
      <c r="L161" s="1964"/>
      <c r="M161" s="1964"/>
      <c r="N161" s="1964"/>
      <c r="O161" s="1964"/>
      <c r="P161" s="1964"/>
      <c r="Q161" s="1964"/>
      <c r="R161" s="1964"/>
      <c r="S161" s="1964"/>
      <c r="T161" s="1964"/>
      <c r="U161" s="1964"/>
      <c r="V161" s="1964"/>
      <c r="W161" s="1964"/>
      <c r="X161" s="1964"/>
    </row>
    <row r="162" spans="1:36" ht="15.75" customHeight="1">
      <c r="A162" s="1964" t="s">
        <v>3462</v>
      </c>
      <c r="B162" s="1964"/>
      <c r="C162" s="1964"/>
      <c r="D162" s="1964"/>
      <c r="E162" s="1964"/>
      <c r="F162" s="1964"/>
      <c r="G162" s="1964"/>
      <c r="H162" s="1964"/>
      <c r="I162" s="1964"/>
      <c r="J162" s="1964"/>
      <c r="K162" s="1964"/>
      <c r="L162" s="1964"/>
      <c r="M162" s="1964"/>
      <c r="N162" s="1964"/>
      <c r="O162" s="1964"/>
      <c r="P162" s="1964"/>
      <c r="Q162" s="1964"/>
      <c r="R162" s="1964"/>
      <c r="S162" s="1964"/>
      <c r="T162" s="1964"/>
      <c r="U162" s="1964"/>
      <c r="V162" s="1964"/>
      <c r="W162" s="1964"/>
      <c r="X162" s="1964"/>
    </row>
    <row r="163" spans="1:36" ht="15.75" customHeight="1">
      <c r="A163" s="1986" t="s">
        <v>4188</v>
      </c>
      <c r="B163" s="1986"/>
      <c r="C163" s="1986"/>
      <c r="D163" s="1986"/>
      <c r="E163" s="1986" t="s">
        <v>4190</v>
      </c>
      <c r="F163" s="1986"/>
      <c r="G163" s="1986"/>
      <c r="H163" s="1986"/>
      <c r="I163" s="1986" t="s">
        <v>4189</v>
      </c>
      <c r="J163" s="1986"/>
      <c r="K163" s="1986"/>
      <c r="L163" s="1986"/>
      <c r="M163" s="1987" t="s">
        <v>4187</v>
      </c>
      <c r="N163" s="1984"/>
      <c r="O163" s="1984"/>
      <c r="P163" s="1984"/>
      <c r="Q163" s="1985"/>
      <c r="R163" s="1987" t="s">
        <v>4186</v>
      </c>
      <c r="S163" s="1984"/>
      <c r="T163" s="1984"/>
      <c r="U163" s="1984"/>
      <c r="V163" s="1985"/>
      <c r="W163" s="551"/>
      <c r="X163" s="551"/>
    </row>
    <row r="164" spans="1:36" s="292" customFormat="1" ht="15.75" customHeight="1">
      <c r="A164" s="1986">
        <v>750</v>
      </c>
      <c r="B164" s="1986"/>
      <c r="C164" s="1986"/>
      <c r="D164" s="1986"/>
      <c r="E164" s="298" t="s">
        <v>4185</v>
      </c>
      <c r="F164" s="1986">
        <v>1000</v>
      </c>
      <c r="G164" s="1986"/>
      <c r="H164" s="1986"/>
      <c r="I164" s="298" t="s">
        <v>4185</v>
      </c>
      <c r="J164" s="1986">
        <v>500</v>
      </c>
      <c r="K164" s="1986"/>
      <c r="L164" s="1986"/>
      <c r="M164" s="572" t="s">
        <v>4148</v>
      </c>
      <c r="N164" s="1986">
        <f>$G$4</f>
        <v>2.044E-2</v>
      </c>
      <c r="O164" s="1986"/>
      <c r="P164" s="1986"/>
      <c r="Q164" s="1986"/>
      <c r="R164" s="572" t="s">
        <v>4138</v>
      </c>
      <c r="S164" s="1945">
        <f>(A164+F164+J164)*N164</f>
        <v>45.99</v>
      </c>
      <c r="T164" s="1945"/>
      <c r="U164" s="1945"/>
      <c r="V164" s="1945"/>
      <c r="W164" s="551" t="s">
        <v>4179</v>
      </c>
      <c r="X164" s="565"/>
    </row>
    <row r="165" spans="1:36" ht="15.75" customHeight="1">
      <c r="A165" s="1964"/>
      <c r="B165" s="1964"/>
      <c r="C165" s="1964"/>
      <c r="D165" s="1964"/>
      <c r="E165" s="1964"/>
      <c r="F165" s="1964"/>
      <c r="G165" s="1964"/>
      <c r="H165" s="1964"/>
      <c r="I165" s="1964"/>
      <c r="J165" s="1964"/>
      <c r="K165" s="1964"/>
      <c r="L165" s="1964"/>
      <c r="M165" s="1964"/>
      <c r="N165" s="1964"/>
      <c r="O165" s="1964"/>
      <c r="P165" s="1964"/>
      <c r="Q165" s="1964"/>
      <c r="R165" s="1964"/>
      <c r="S165" s="1964"/>
      <c r="T165" s="1964"/>
      <c r="U165" s="1964"/>
      <c r="V165" s="1964"/>
      <c r="W165" s="1964"/>
      <c r="X165" s="1964"/>
    </row>
    <row r="166" spans="1:36" ht="15.75" customHeight="1">
      <c r="A166" s="1963" t="s">
        <v>3463</v>
      </c>
      <c r="B166" s="1963"/>
      <c r="C166" s="1963"/>
      <c r="D166" s="1963"/>
      <c r="E166" s="1963"/>
      <c r="F166" s="1963"/>
      <c r="G166" s="1963"/>
      <c r="H166" s="1963"/>
      <c r="I166" s="1963"/>
      <c r="J166" s="1963"/>
      <c r="K166" s="1963"/>
      <c r="L166" s="1963"/>
      <c r="M166" s="1963"/>
      <c r="N166" s="1963"/>
      <c r="O166" s="1963"/>
      <c r="P166" s="1963"/>
      <c r="Q166" s="1963"/>
      <c r="R166" s="1963"/>
      <c r="S166" s="1963"/>
      <c r="T166" s="1963"/>
      <c r="U166" s="1963"/>
      <c r="V166" s="1963"/>
      <c r="W166" s="1963"/>
      <c r="X166" s="1963"/>
    </row>
    <row r="167" spans="1:36" ht="13.5" thickBot="1">
      <c r="A167" s="1216"/>
      <c r="B167" s="1216"/>
      <c r="C167" s="1216"/>
      <c r="D167" s="1216"/>
      <c r="E167" s="1216"/>
      <c r="F167" s="1216"/>
      <c r="G167" s="1216"/>
      <c r="H167" s="1216"/>
      <c r="I167" s="1216"/>
      <c r="J167" s="1216"/>
      <c r="K167" s="1216"/>
      <c r="L167" s="1216"/>
      <c r="M167" s="1216"/>
      <c r="N167" s="1216"/>
      <c r="O167" s="1216"/>
      <c r="P167" s="1216"/>
      <c r="Q167" s="1216"/>
      <c r="R167" s="1216"/>
      <c r="S167" s="1216"/>
      <c r="T167" s="1216"/>
      <c r="U167" s="1216"/>
      <c r="V167" s="1216"/>
      <c r="W167" s="1216"/>
      <c r="X167" s="1216"/>
    </row>
    <row r="168" spans="1:36" ht="15.75" customHeight="1">
      <c r="A168" s="1968" t="s">
        <v>3464</v>
      </c>
      <c r="B168" s="1968"/>
      <c r="C168" s="1968"/>
      <c r="D168" s="1968"/>
      <c r="E168" s="1968"/>
      <c r="F168" s="1968"/>
      <c r="G168" s="1968"/>
      <c r="H168" s="1968"/>
      <c r="I168" s="1968"/>
      <c r="J168" s="1968"/>
      <c r="K168" s="1968"/>
      <c r="L168" s="1968"/>
      <c r="M168" s="1968"/>
      <c r="N168" s="1968"/>
      <c r="O168" s="1968"/>
      <c r="P168" s="1968"/>
      <c r="Q168" s="1968"/>
      <c r="R168" s="1968"/>
      <c r="S168" s="1968"/>
      <c r="T168" s="1968"/>
      <c r="U168" s="1968"/>
      <c r="V168" s="1968"/>
      <c r="W168" s="1968"/>
      <c r="X168" s="1968"/>
      <c r="AA168" s="1081" t="s">
        <v>524</v>
      </c>
      <c r="AB168" s="1082"/>
      <c r="AC168" s="1082"/>
      <c r="AD168" s="1082"/>
      <c r="AE168" s="1082"/>
      <c r="AF168" s="1082"/>
      <c r="AG168" s="1082"/>
      <c r="AH168" s="1082"/>
      <c r="AI168" s="1082"/>
      <c r="AJ168" s="1083"/>
    </row>
    <row r="169" spans="1:36" ht="15.75" customHeight="1">
      <c r="A169" s="1968" t="s">
        <v>3465</v>
      </c>
      <c r="B169" s="1968"/>
      <c r="C169" s="1968"/>
      <c r="D169" s="1968"/>
      <c r="E169" s="1968"/>
      <c r="F169" s="1968"/>
      <c r="G169" s="1968"/>
      <c r="H169" s="1968"/>
      <c r="I169" s="1968"/>
      <c r="J169" s="1968"/>
      <c r="K169" s="1968"/>
      <c r="L169" s="1968"/>
      <c r="M169" s="1968"/>
      <c r="N169" s="1968"/>
      <c r="O169" s="1968"/>
      <c r="P169" s="1968"/>
      <c r="Q169" s="1968"/>
      <c r="R169" s="1968"/>
      <c r="S169" s="1968"/>
      <c r="T169" s="1968"/>
      <c r="U169" s="1968"/>
      <c r="V169" s="1968"/>
      <c r="W169" s="1968"/>
      <c r="X169" s="1968"/>
      <c r="AA169" s="1988" t="s">
        <v>4191</v>
      </c>
      <c r="AB169" s="1084" t="s">
        <v>526</v>
      </c>
      <c r="AC169" s="1085"/>
      <c r="AD169" s="1085"/>
      <c r="AE169" s="1085"/>
      <c r="AF169" s="1085"/>
      <c r="AG169" s="1085"/>
      <c r="AH169" s="1085"/>
      <c r="AI169" s="1085"/>
      <c r="AJ169" s="1086"/>
    </row>
    <row r="170" spans="1:36" ht="15.75" customHeight="1">
      <c r="A170" s="551"/>
      <c r="B170" s="585">
        <v>1</v>
      </c>
      <c r="C170" s="1959" t="s">
        <v>4192</v>
      </c>
      <c r="D170" s="1959"/>
      <c r="E170" s="1959"/>
      <c r="F170" s="1959"/>
      <c r="G170" s="586">
        <v>4</v>
      </c>
      <c r="H170" s="1962" t="s">
        <v>4193</v>
      </c>
      <c r="I170" s="1962"/>
      <c r="J170" s="1962"/>
      <c r="K170" s="1962"/>
      <c r="L170" s="1962"/>
      <c r="M170" s="1962"/>
      <c r="N170" s="1962"/>
      <c r="O170" s="1962"/>
      <c r="P170" s="1962"/>
      <c r="Q170" s="1962"/>
      <c r="R170" s="1962"/>
      <c r="S170" s="1962"/>
      <c r="T170" s="1962"/>
      <c r="U170" s="1962"/>
      <c r="V170" s="1962"/>
      <c r="W170" s="1962"/>
      <c r="X170" s="1962"/>
      <c r="AA170" s="1989"/>
      <c r="AB170" s="575">
        <v>1</v>
      </c>
      <c r="AC170" s="575">
        <v>2</v>
      </c>
      <c r="AD170" s="575">
        <v>3</v>
      </c>
      <c r="AE170" s="575">
        <v>4</v>
      </c>
      <c r="AF170" s="575">
        <v>5</v>
      </c>
      <c r="AG170" s="575">
        <v>6</v>
      </c>
      <c r="AH170" s="575">
        <v>7</v>
      </c>
      <c r="AI170" s="575">
        <v>8</v>
      </c>
      <c r="AJ170" s="576">
        <v>9</v>
      </c>
    </row>
    <row r="171" spans="1:36" ht="15.75" customHeight="1">
      <c r="A171" s="551"/>
      <c r="B171" s="1990">
        <f>IF(ISBLANK($G$170),"",HLOOKUP(G170,$AA$170:$AJ$185,B170+1))</f>
        <v>1500</v>
      </c>
      <c r="C171" s="1990"/>
      <c r="D171" s="587" t="s">
        <v>4148</v>
      </c>
      <c r="E171" s="2032">
        <f>$K$45</f>
        <v>6.4460000000000003E-2</v>
      </c>
      <c r="F171" s="2032"/>
      <c r="G171" s="2032"/>
      <c r="H171" s="588" t="s">
        <v>4138</v>
      </c>
      <c r="I171" s="1945">
        <f>B171*E171</f>
        <v>96.690000000000012</v>
      </c>
      <c r="J171" s="1945"/>
      <c r="K171" s="1945"/>
      <c r="L171" s="1945"/>
      <c r="M171" s="551" t="s">
        <v>4179</v>
      </c>
      <c r="N171" s="551"/>
      <c r="O171" s="551"/>
      <c r="P171" s="551"/>
      <c r="Q171" s="551"/>
      <c r="R171" s="551"/>
      <c r="S171" s="551"/>
      <c r="T171" s="551"/>
      <c r="U171" s="551"/>
      <c r="V171" s="551"/>
      <c r="W171" s="551"/>
      <c r="X171" s="551"/>
      <c r="AA171" s="577">
        <v>1</v>
      </c>
      <c r="AB171" s="578">
        <v>1320</v>
      </c>
      <c r="AC171" s="579">
        <v>1380</v>
      </c>
      <c r="AD171" s="579">
        <v>1440</v>
      </c>
      <c r="AE171" s="579">
        <v>1500</v>
      </c>
      <c r="AF171" s="579"/>
      <c r="AG171" s="579"/>
      <c r="AH171" s="579"/>
      <c r="AI171" s="579"/>
      <c r="AJ171" s="580"/>
    </row>
    <row r="172" spans="1:36" ht="15.75" customHeight="1">
      <c r="A172" s="1377"/>
      <c r="B172" s="1377"/>
      <c r="C172" s="1377"/>
      <c r="D172" s="1377"/>
      <c r="E172" s="1377"/>
      <c r="F172" s="1377"/>
      <c r="G172" s="1377"/>
      <c r="H172" s="1377"/>
      <c r="I172" s="1377"/>
      <c r="J172" s="1377"/>
      <c r="K172" s="1377"/>
      <c r="L172" s="1377"/>
      <c r="M172" s="1377"/>
      <c r="N172" s="1377"/>
      <c r="O172" s="1377"/>
      <c r="P172" s="1377"/>
      <c r="Q172" s="1377"/>
      <c r="R172" s="1377"/>
      <c r="S172" s="1377"/>
      <c r="T172" s="1377"/>
      <c r="U172" s="1377"/>
      <c r="V172" s="1377"/>
      <c r="W172" s="1377"/>
      <c r="X172" s="1377"/>
      <c r="AA172" s="577">
        <v>2</v>
      </c>
      <c r="AB172" s="578">
        <v>1155</v>
      </c>
      <c r="AC172" s="579">
        <v>1210</v>
      </c>
      <c r="AD172" s="579">
        <v>1265</v>
      </c>
      <c r="AE172" s="579">
        <v>1320</v>
      </c>
      <c r="AF172" s="579">
        <v>1380</v>
      </c>
      <c r="AG172" s="579">
        <v>1440</v>
      </c>
      <c r="AH172" s="579"/>
      <c r="AI172" s="579"/>
      <c r="AJ172" s="580"/>
    </row>
    <row r="173" spans="1:36" ht="15.75" customHeight="1">
      <c r="A173" s="1996" t="s">
        <v>3453</v>
      </c>
      <c r="B173" s="1996"/>
      <c r="C173" s="1996"/>
      <c r="D173" s="1996"/>
      <c r="E173" s="1996"/>
      <c r="F173" s="1996"/>
      <c r="G173" s="1996"/>
      <c r="H173" s="1996"/>
      <c r="I173" s="1996"/>
      <c r="J173" s="1996"/>
      <c r="K173" s="1996"/>
      <c r="L173" s="1996"/>
      <c r="M173" s="1996"/>
      <c r="N173" s="1996"/>
      <c r="O173" s="1996"/>
      <c r="P173" s="1996"/>
      <c r="Q173" s="1996"/>
      <c r="R173" s="1996"/>
      <c r="S173" s="1996"/>
      <c r="T173" s="1996"/>
      <c r="U173" s="1996"/>
      <c r="V173" s="1996"/>
      <c r="W173" s="1996"/>
      <c r="X173" s="1996"/>
      <c r="AA173" s="577">
        <v>3</v>
      </c>
      <c r="AB173" s="578">
        <v>1020</v>
      </c>
      <c r="AC173" s="579">
        <v>1065</v>
      </c>
      <c r="AD173" s="579">
        <v>1110</v>
      </c>
      <c r="AE173" s="579">
        <v>1155</v>
      </c>
      <c r="AF173" s="579">
        <v>1210</v>
      </c>
      <c r="AG173" s="579">
        <v>1265</v>
      </c>
      <c r="AH173" s="579">
        <v>1320</v>
      </c>
      <c r="AI173" s="579">
        <v>1380</v>
      </c>
      <c r="AJ173" s="580"/>
    </row>
    <row r="174" spans="1:36" ht="15" customHeight="1">
      <c r="A174" s="1996"/>
      <c r="B174" s="1996"/>
      <c r="C174" s="1996"/>
      <c r="D174" s="1996"/>
      <c r="E174" s="1996"/>
      <c r="F174" s="1996"/>
      <c r="G174" s="1996"/>
      <c r="H174" s="1996"/>
      <c r="I174" s="1996"/>
      <c r="J174" s="1996"/>
      <c r="K174" s="1996"/>
      <c r="L174" s="1996"/>
      <c r="M174" s="1996"/>
      <c r="N174" s="1996"/>
      <c r="O174" s="1996"/>
      <c r="P174" s="1996"/>
      <c r="Q174" s="1996"/>
      <c r="R174" s="1996"/>
      <c r="S174" s="1996"/>
      <c r="T174" s="1996"/>
      <c r="U174" s="1996"/>
      <c r="V174" s="1996"/>
      <c r="W174" s="1996"/>
      <c r="X174" s="1996"/>
      <c r="AA174" s="577">
        <v>4</v>
      </c>
      <c r="AB174" s="578">
        <v>915</v>
      </c>
      <c r="AC174" s="579">
        <v>950</v>
      </c>
      <c r="AD174" s="579">
        <v>985</v>
      </c>
      <c r="AE174" s="579">
        <v>1020</v>
      </c>
      <c r="AF174" s="579">
        <v>1065</v>
      </c>
      <c r="AG174" s="579">
        <v>1110</v>
      </c>
      <c r="AH174" s="579">
        <v>1155</v>
      </c>
      <c r="AI174" s="579">
        <v>1210</v>
      </c>
      <c r="AJ174" s="580">
        <v>1265</v>
      </c>
    </row>
    <row r="175" spans="1:36" ht="15.75" customHeight="1">
      <c r="A175" s="1996"/>
      <c r="B175" s="1996"/>
      <c r="C175" s="1996"/>
      <c r="D175" s="1996"/>
      <c r="E175" s="1996"/>
      <c r="F175" s="1996"/>
      <c r="G175" s="1996"/>
      <c r="H175" s="1996"/>
      <c r="I175" s="1996"/>
      <c r="J175" s="1996"/>
      <c r="K175" s="1996"/>
      <c r="L175" s="1996"/>
      <c r="M175" s="1996"/>
      <c r="N175" s="1996"/>
      <c r="O175" s="1996"/>
      <c r="P175" s="1996"/>
      <c r="Q175" s="1996"/>
      <c r="R175" s="1996"/>
      <c r="S175" s="1996"/>
      <c r="T175" s="1996"/>
      <c r="U175" s="1996"/>
      <c r="V175" s="1996"/>
      <c r="W175" s="1996"/>
      <c r="X175" s="1996"/>
      <c r="AA175" s="577">
        <v>5</v>
      </c>
      <c r="AB175" s="578">
        <v>835</v>
      </c>
      <c r="AC175" s="579">
        <v>865</v>
      </c>
      <c r="AD175" s="579">
        <v>895</v>
      </c>
      <c r="AE175" s="579">
        <v>915</v>
      </c>
      <c r="AF175" s="579">
        <v>950</v>
      </c>
      <c r="AG175" s="579">
        <v>985</v>
      </c>
      <c r="AH175" s="579">
        <v>1020</v>
      </c>
      <c r="AI175" s="579">
        <v>1065</v>
      </c>
      <c r="AJ175" s="580">
        <v>1110</v>
      </c>
    </row>
    <row r="176" spans="1:36" ht="15.75" customHeight="1">
      <c r="A176" s="1968" t="s">
        <v>3454</v>
      </c>
      <c r="B176" s="1968"/>
      <c r="C176" s="1968"/>
      <c r="D176" s="1968"/>
      <c r="E176" s="1968"/>
      <c r="F176" s="1968"/>
      <c r="G176" s="1968"/>
      <c r="H176" s="1968"/>
      <c r="I176" s="1968"/>
      <c r="J176" s="1968"/>
      <c r="K176" s="1968"/>
      <c r="L176" s="1968"/>
      <c r="M176" s="1968"/>
      <c r="N176" s="1968"/>
      <c r="O176" s="1968"/>
      <c r="P176" s="1968"/>
      <c r="Q176" s="1968"/>
      <c r="R176" s="1968"/>
      <c r="S176" s="1968"/>
      <c r="T176" s="1968"/>
      <c r="U176" s="1968"/>
      <c r="V176" s="1968"/>
      <c r="W176" s="1968"/>
      <c r="X176" s="1968"/>
      <c r="AA176" s="577">
        <v>6</v>
      </c>
      <c r="AB176" s="578">
        <v>760</v>
      </c>
      <c r="AC176" s="579">
        <v>785</v>
      </c>
      <c r="AD176" s="579">
        <v>810</v>
      </c>
      <c r="AE176" s="579">
        <v>835</v>
      </c>
      <c r="AF176" s="579">
        <v>865</v>
      </c>
      <c r="AG176" s="579">
        <v>895</v>
      </c>
      <c r="AH176" s="579">
        <v>915</v>
      </c>
      <c r="AI176" s="579">
        <v>950</v>
      </c>
      <c r="AJ176" s="580">
        <v>985</v>
      </c>
    </row>
    <row r="177" spans="1:36" ht="15.75" customHeight="1">
      <c r="A177" s="99"/>
      <c r="B177" s="1994">
        <v>1000</v>
      </c>
      <c r="C177" s="1995"/>
      <c r="D177" s="587" t="s">
        <v>4148</v>
      </c>
      <c r="E177" s="1991">
        <f>G3</f>
        <v>0.86251</v>
      </c>
      <c r="F177" s="1992"/>
      <c r="G177" s="1993"/>
      <c r="H177" s="588" t="s">
        <v>4138</v>
      </c>
      <c r="I177" s="1997">
        <f>B177*E177</f>
        <v>862.51</v>
      </c>
      <c r="J177" s="1998"/>
      <c r="K177" s="1998"/>
      <c r="L177" s="1999"/>
      <c r="M177" s="551" t="s">
        <v>4179</v>
      </c>
      <c r="N177" s="99"/>
      <c r="O177" s="99"/>
      <c r="P177" s="99"/>
      <c r="Q177" s="99"/>
      <c r="R177" s="99"/>
      <c r="S177" s="99"/>
      <c r="T177" s="99"/>
      <c r="U177" s="99"/>
      <c r="V177" s="99"/>
      <c r="W177" s="99"/>
      <c r="X177" s="99"/>
      <c r="AA177" s="577">
        <v>7</v>
      </c>
      <c r="AB177" s="578">
        <v>705</v>
      </c>
      <c r="AC177" s="579">
        <v>720</v>
      </c>
      <c r="AD177" s="579">
        <v>740</v>
      </c>
      <c r="AE177" s="579">
        <v>760</v>
      </c>
      <c r="AF177" s="579">
        <v>785</v>
      </c>
      <c r="AG177" s="579">
        <v>810</v>
      </c>
      <c r="AH177" s="579">
        <v>835</v>
      </c>
      <c r="AI177" s="579">
        <v>865</v>
      </c>
      <c r="AJ177" s="580">
        <v>895</v>
      </c>
    </row>
    <row r="178" spans="1:36" ht="15.75" customHeight="1">
      <c r="AA178" s="577">
        <v>8</v>
      </c>
      <c r="AB178" s="578">
        <v>660</v>
      </c>
      <c r="AC178" s="579">
        <v>675</v>
      </c>
      <c r="AD178" s="579">
        <v>690</v>
      </c>
      <c r="AE178" s="579">
        <v>705</v>
      </c>
      <c r="AF178" s="579">
        <v>720</v>
      </c>
      <c r="AG178" s="579">
        <v>740</v>
      </c>
      <c r="AH178" s="579">
        <v>760</v>
      </c>
      <c r="AI178" s="579">
        <v>785</v>
      </c>
      <c r="AJ178" s="580">
        <v>810</v>
      </c>
    </row>
    <row r="179" spans="1:36" ht="15.75" customHeight="1">
      <c r="A179" s="1996" t="s">
        <v>3456</v>
      </c>
      <c r="B179" s="1996"/>
      <c r="C179" s="1996"/>
      <c r="D179" s="1996"/>
      <c r="E179" s="1996"/>
      <c r="F179" s="1996"/>
      <c r="G179" s="1996"/>
      <c r="H179" s="1996"/>
      <c r="I179" s="1996"/>
      <c r="J179" s="1996"/>
      <c r="K179" s="1996"/>
      <c r="L179" s="1996"/>
      <c r="M179" s="1996"/>
      <c r="N179" s="1996"/>
      <c r="O179" s="1996"/>
      <c r="P179" s="1996"/>
      <c r="Q179" s="1996"/>
      <c r="R179" s="1996"/>
      <c r="S179" s="1996"/>
      <c r="T179" s="1996"/>
      <c r="U179" s="1996"/>
      <c r="V179" s="1996"/>
      <c r="W179" s="1996"/>
      <c r="X179" s="1996"/>
      <c r="AA179" s="577">
        <v>9</v>
      </c>
      <c r="AB179" s="578">
        <v>620</v>
      </c>
      <c r="AC179" s="579">
        <v>630</v>
      </c>
      <c r="AD179" s="579">
        <v>645</v>
      </c>
      <c r="AE179" s="579">
        <v>660</v>
      </c>
      <c r="AF179" s="579">
        <v>675</v>
      </c>
      <c r="AG179" s="579">
        <v>690</v>
      </c>
      <c r="AH179" s="579">
        <v>705</v>
      </c>
      <c r="AI179" s="579">
        <v>720</v>
      </c>
      <c r="AJ179" s="580">
        <v>740</v>
      </c>
    </row>
    <row r="180" spans="1:36" ht="15.75" customHeight="1">
      <c r="A180" s="1996"/>
      <c r="B180" s="1996"/>
      <c r="C180" s="1996"/>
      <c r="D180" s="1996"/>
      <c r="E180" s="1996"/>
      <c r="F180" s="1996"/>
      <c r="G180" s="1996"/>
      <c r="H180" s="1996"/>
      <c r="I180" s="1996"/>
      <c r="J180" s="1996"/>
      <c r="K180" s="1996"/>
      <c r="L180" s="1996"/>
      <c r="M180" s="1996"/>
      <c r="N180" s="1996"/>
      <c r="O180" s="1996"/>
      <c r="P180" s="1996"/>
      <c r="Q180" s="1996"/>
      <c r="R180" s="1996"/>
      <c r="S180" s="1996"/>
      <c r="T180" s="1996"/>
      <c r="U180" s="1996"/>
      <c r="V180" s="1996"/>
      <c r="W180" s="1996"/>
      <c r="X180" s="1996"/>
      <c r="AA180" s="577">
        <v>10</v>
      </c>
      <c r="AB180" s="578">
        <v>590</v>
      </c>
      <c r="AC180" s="579">
        <v>600</v>
      </c>
      <c r="AD180" s="579">
        <v>610</v>
      </c>
      <c r="AE180" s="579">
        <v>620</v>
      </c>
      <c r="AF180" s="579">
        <v>630</v>
      </c>
      <c r="AG180" s="579">
        <v>645</v>
      </c>
      <c r="AH180" s="579">
        <v>660</v>
      </c>
      <c r="AI180" s="579">
        <v>675</v>
      </c>
      <c r="AJ180" s="580">
        <v>690</v>
      </c>
    </row>
    <row r="181" spans="1:36" ht="15.75" customHeight="1">
      <c r="A181" s="1996"/>
      <c r="B181" s="1996"/>
      <c r="C181" s="1996"/>
      <c r="D181" s="1996"/>
      <c r="E181" s="1996"/>
      <c r="F181" s="1996"/>
      <c r="G181" s="1996"/>
      <c r="H181" s="1996"/>
      <c r="I181" s="1996"/>
      <c r="J181" s="1996"/>
      <c r="K181" s="1996"/>
      <c r="L181" s="1996"/>
      <c r="M181" s="1996"/>
      <c r="N181" s="1996"/>
      <c r="O181" s="1996"/>
      <c r="P181" s="1996"/>
      <c r="Q181" s="1996"/>
      <c r="R181" s="1996"/>
      <c r="S181" s="1996"/>
      <c r="T181" s="1996"/>
      <c r="U181" s="1996"/>
      <c r="V181" s="1996"/>
      <c r="W181" s="1996"/>
      <c r="X181" s="1996"/>
      <c r="AA181" s="577">
        <v>11</v>
      </c>
      <c r="AB181" s="578">
        <v>560</v>
      </c>
      <c r="AC181" s="579">
        <v>570</v>
      </c>
      <c r="AD181" s="579">
        <v>580</v>
      </c>
      <c r="AE181" s="579">
        <v>590</v>
      </c>
      <c r="AF181" s="579">
        <v>600</v>
      </c>
      <c r="AG181" s="579">
        <v>610</v>
      </c>
      <c r="AH181" s="579">
        <v>620</v>
      </c>
      <c r="AI181" s="579">
        <v>630</v>
      </c>
      <c r="AJ181" s="580">
        <v>645</v>
      </c>
    </row>
    <row r="182" spans="1:36" ht="15.75" customHeight="1">
      <c r="A182" s="1996"/>
      <c r="B182" s="1996"/>
      <c r="C182" s="1996"/>
      <c r="D182" s="1996"/>
      <c r="E182" s="1996"/>
      <c r="F182" s="1996"/>
      <c r="G182" s="1996"/>
      <c r="H182" s="1996"/>
      <c r="I182" s="1996"/>
      <c r="J182" s="1996"/>
      <c r="K182" s="1996"/>
      <c r="L182" s="1996"/>
      <c r="M182" s="1996"/>
      <c r="N182" s="1996"/>
      <c r="O182" s="1996"/>
      <c r="P182" s="1996"/>
      <c r="Q182" s="1996"/>
      <c r="R182" s="1996"/>
      <c r="S182" s="1996"/>
      <c r="T182" s="1996"/>
      <c r="U182" s="1996"/>
      <c r="V182" s="1996"/>
      <c r="W182" s="1996"/>
      <c r="X182" s="1996"/>
      <c r="AA182" s="577">
        <v>12</v>
      </c>
      <c r="AB182" s="578">
        <v>545</v>
      </c>
      <c r="AC182" s="579">
        <v>550</v>
      </c>
      <c r="AD182" s="579">
        <v>555</v>
      </c>
      <c r="AE182" s="579">
        <v>560</v>
      </c>
      <c r="AF182" s="579">
        <v>570</v>
      </c>
      <c r="AG182" s="579">
        <v>580</v>
      </c>
      <c r="AH182" s="579">
        <v>590</v>
      </c>
      <c r="AI182" s="579">
        <v>600</v>
      </c>
      <c r="AJ182" s="580">
        <v>610</v>
      </c>
    </row>
    <row r="183" spans="1:36" ht="15.75" customHeight="1">
      <c r="A183" s="1996"/>
      <c r="B183" s="1996"/>
      <c r="C183" s="1996"/>
      <c r="D183" s="1996"/>
      <c r="E183" s="1996"/>
      <c r="F183" s="1996"/>
      <c r="G183" s="1996"/>
      <c r="H183" s="1996"/>
      <c r="I183" s="1996"/>
      <c r="J183" s="1996"/>
      <c r="K183" s="1996"/>
      <c r="L183" s="1996"/>
      <c r="M183" s="1996"/>
      <c r="N183" s="1996"/>
      <c r="O183" s="1996"/>
      <c r="P183" s="1996"/>
      <c r="Q183" s="1996"/>
      <c r="R183" s="1996"/>
      <c r="S183" s="1996"/>
      <c r="T183" s="1996"/>
      <c r="U183" s="1996"/>
      <c r="V183" s="1996"/>
      <c r="W183" s="1996"/>
      <c r="X183" s="1996"/>
      <c r="AA183" s="577">
        <v>13</v>
      </c>
      <c r="AB183" s="578">
        <v>530</v>
      </c>
      <c r="AC183" s="579">
        <v>535</v>
      </c>
      <c r="AD183" s="579">
        <v>540</v>
      </c>
      <c r="AE183" s="579">
        <v>545</v>
      </c>
      <c r="AF183" s="579">
        <v>550</v>
      </c>
      <c r="AG183" s="579">
        <v>555</v>
      </c>
      <c r="AH183" s="579">
        <v>560</v>
      </c>
      <c r="AI183" s="579">
        <v>570</v>
      </c>
      <c r="AJ183" s="580">
        <v>580</v>
      </c>
    </row>
    <row r="184" spans="1:36" ht="15.75" customHeight="1">
      <c r="A184" s="1968" t="s">
        <v>3466</v>
      </c>
      <c r="B184" s="1968"/>
      <c r="C184" s="1968"/>
      <c r="D184" s="1968"/>
      <c r="E184" s="1968"/>
      <c r="F184" s="1968"/>
      <c r="G184" s="1968"/>
      <c r="H184" s="1968"/>
      <c r="I184" s="1968"/>
      <c r="J184" s="1968"/>
      <c r="K184" s="1968"/>
      <c r="L184" s="1968"/>
      <c r="M184" s="1968"/>
      <c r="N184" s="1968"/>
      <c r="O184" s="1968"/>
      <c r="P184" s="1968"/>
      <c r="Q184" s="1968"/>
      <c r="R184" s="1968"/>
      <c r="S184" s="1968"/>
      <c r="T184" s="1968"/>
      <c r="U184" s="1968"/>
      <c r="V184" s="1968"/>
      <c r="W184" s="1968"/>
      <c r="X184" s="1968"/>
      <c r="AA184" s="577">
        <v>14</v>
      </c>
      <c r="AB184" s="578">
        <v>515</v>
      </c>
      <c r="AC184" s="579">
        <v>520</v>
      </c>
      <c r="AD184" s="579">
        <v>525</v>
      </c>
      <c r="AE184" s="579">
        <v>530</v>
      </c>
      <c r="AF184" s="579">
        <v>535</v>
      </c>
      <c r="AG184" s="579">
        <v>540</v>
      </c>
      <c r="AH184" s="579">
        <v>545</v>
      </c>
      <c r="AI184" s="579">
        <v>550</v>
      </c>
      <c r="AJ184" s="580">
        <v>555</v>
      </c>
    </row>
    <row r="185" spans="1:36" ht="15.75" customHeight="1" thickBot="1">
      <c r="A185" s="551"/>
      <c r="B185" s="586">
        <v>25</v>
      </c>
      <c r="C185" s="1964" t="s">
        <v>4180</v>
      </c>
      <c r="D185" s="1964"/>
      <c r="E185" s="1964"/>
      <c r="F185" s="1964"/>
      <c r="G185" s="1964"/>
      <c r="H185" s="1964"/>
      <c r="I185" s="1964"/>
      <c r="J185" s="1964"/>
      <c r="K185" s="1964"/>
      <c r="L185" s="1964"/>
      <c r="M185" s="1964"/>
      <c r="N185" s="1964"/>
      <c r="O185" s="1964"/>
      <c r="P185" s="1964"/>
      <c r="Q185" s="1964"/>
      <c r="R185" s="1964"/>
      <c r="S185" s="1964"/>
      <c r="T185" s="1964"/>
      <c r="U185" s="1964"/>
      <c r="V185" s="1964"/>
      <c r="W185" s="1964"/>
      <c r="X185" s="1964"/>
      <c r="AA185" s="581">
        <v>15</v>
      </c>
      <c r="AB185" s="582">
        <v>500</v>
      </c>
      <c r="AC185" s="583">
        <v>505</v>
      </c>
      <c r="AD185" s="583">
        <v>510</v>
      </c>
      <c r="AE185" s="583">
        <v>518</v>
      </c>
      <c r="AF185" s="583">
        <v>520</v>
      </c>
      <c r="AG185" s="583">
        <v>525</v>
      </c>
      <c r="AH185" s="583">
        <v>530</v>
      </c>
      <c r="AI185" s="583">
        <v>535</v>
      </c>
      <c r="AJ185" s="584">
        <v>540</v>
      </c>
    </row>
    <row r="186" spans="1:36" ht="15.75" customHeight="1">
      <c r="A186" s="551"/>
      <c r="B186" s="565">
        <f>B185</f>
        <v>25</v>
      </c>
      <c r="C186" s="551" t="s">
        <v>4148</v>
      </c>
      <c r="D186" s="565">
        <v>20</v>
      </c>
      <c r="E186" s="587" t="s">
        <v>4148</v>
      </c>
      <c r="F186" s="2000">
        <f>$K$45</f>
        <v>6.4460000000000003E-2</v>
      </c>
      <c r="G186" s="2001"/>
      <c r="H186" s="2002"/>
      <c r="I186" s="588" t="s">
        <v>4138</v>
      </c>
      <c r="J186" s="1997">
        <f>(B186*D186)*F186</f>
        <v>32.230000000000004</v>
      </c>
      <c r="K186" s="1998"/>
      <c r="L186" s="1998"/>
      <c r="M186" s="1999"/>
      <c r="N186" s="551" t="s">
        <v>4179</v>
      </c>
      <c r="P186" s="551"/>
      <c r="Q186" s="551"/>
      <c r="R186" s="551"/>
      <c r="S186" s="551"/>
      <c r="T186" s="551"/>
      <c r="U186" s="551"/>
      <c r="V186" s="551"/>
      <c r="W186" s="551"/>
      <c r="X186" s="551"/>
    </row>
    <row r="187" spans="1:36" ht="15.75" customHeight="1" thickBot="1">
      <c r="A187" s="1411"/>
      <c r="B187" s="1411"/>
      <c r="C187" s="1411"/>
      <c r="D187" s="1411"/>
      <c r="E187" s="1411"/>
      <c r="F187" s="1411"/>
      <c r="G187" s="1411"/>
      <c r="H187" s="1411"/>
      <c r="I187" s="1411"/>
      <c r="J187" s="1411"/>
      <c r="K187" s="1411"/>
      <c r="L187" s="1411"/>
      <c r="M187" s="1411"/>
      <c r="N187" s="1411"/>
      <c r="O187" s="1411"/>
      <c r="P187" s="1411"/>
      <c r="Q187" s="1411"/>
      <c r="R187" s="1411"/>
      <c r="S187" s="1411"/>
      <c r="T187" s="1411"/>
      <c r="U187" s="1411"/>
      <c r="V187" s="1411"/>
      <c r="W187" s="1411"/>
      <c r="X187" s="1411"/>
    </row>
    <row r="188" spans="1:36" ht="15.75" customHeight="1">
      <c r="A188" s="1996" t="s">
        <v>3459</v>
      </c>
      <c r="B188" s="1996"/>
      <c r="C188" s="1996"/>
      <c r="D188" s="1996"/>
      <c r="E188" s="1996"/>
      <c r="F188" s="1996"/>
      <c r="G188" s="1996"/>
      <c r="H188" s="1996"/>
      <c r="I188" s="1996"/>
      <c r="J188" s="1996"/>
      <c r="K188" s="1996"/>
      <c r="L188" s="1996"/>
      <c r="M188" s="1996"/>
      <c r="N188" s="1996"/>
      <c r="O188" s="1996"/>
      <c r="P188" s="1996"/>
      <c r="Q188" s="1996"/>
      <c r="R188" s="1996"/>
      <c r="S188" s="1996"/>
      <c r="T188" s="1996"/>
      <c r="U188" s="1996"/>
      <c r="V188" s="1996"/>
      <c r="W188" s="1996"/>
      <c r="X188" s="1996"/>
      <c r="AA188" s="2003" t="s">
        <v>4196</v>
      </c>
      <c r="AB188" s="2004"/>
      <c r="AC188" s="2004"/>
      <c r="AD188" s="2004"/>
      <c r="AE188" s="2004"/>
      <c r="AF188" s="2004"/>
      <c r="AG188" s="2004"/>
      <c r="AH188" s="2004"/>
      <c r="AI188" s="2004"/>
      <c r="AJ188" s="2005"/>
    </row>
    <row r="189" spans="1:36" ht="15.75" customHeight="1">
      <c r="A189" s="1996"/>
      <c r="B189" s="1996"/>
      <c r="C189" s="1996"/>
      <c r="D189" s="1996"/>
      <c r="E189" s="1996"/>
      <c r="F189" s="1996"/>
      <c r="G189" s="1996"/>
      <c r="H189" s="1996"/>
      <c r="I189" s="1996"/>
      <c r="J189" s="1996"/>
      <c r="K189" s="1996"/>
      <c r="L189" s="1996"/>
      <c r="M189" s="1996"/>
      <c r="N189" s="1996"/>
      <c r="O189" s="1996"/>
      <c r="P189" s="1996"/>
      <c r="Q189" s="1996"/>
      <c r="R189" s="1996"/>
      <c r="S189" s="1996"/>
      <c r="T189" s="1996"/>
      <c r="U189" s="1996"/>
      <c r="V189" s="1996"/>
      <c r="W189" s="1996"/>
      <c r="X189" s="1996"/>
      <c r="AA189" s="2006"/>
      <c r="AB189" s="2007"/>
      <c r="AC189" s="2007"/>
      <c r="AD189" s="2007"/>
      <c r="AE189" s="2007"/>
      <c r="AF189" s="2007"/>
      <c r="AG189" s="2007"/>
      <c r="AH189" s="2007"/>
      <c r="AI189" s="2007"/>
      <c r="AJ189" s="2008"/>
    </row>
    <row r="190" spans="1:36" ht="12.75" customHeight="1" thickBot="1">
      <c r="A190" s="1996"/>
      <c r="B190" s="1996"/>
      <c r="C190" s="1996"/>
      <c r="D190" s="1996"/>
      <c r="E190" s="1996"/>
      <c r="F190" s="1996"/>
      <c r="G190" s="1996"/>
      <c r="H190" s="1996"/>
      <c r="I190" s="1996"/>
      <c r="J190" s="1996"/>
      <c r="K190" s="1996"/>
      <c r="L190" s="1996"/>
      <c r="M190" s="1996"/>
      <c r="N190" s="1996"/>
      <c r="O190" s="1996"/>
      <c r="P190" s="1996"/>
      <c r="Q190" s="1996"/>
      <c r="R190" s="1996"/>
      <c r="S190" s="1996"/>
      <c r="T190" s="1996"/>
      <c r="U190" s="1996"/>
      <c r="V190" s="1996"/>
      <c r="W190" s="1996"/>
      <c r="X190" s="1996"/>
      <c r="AA190" s="2009"/>
      <c r="AB190" s="2010"/>
      <c r="AC190" s="2010"/>
      <c r="AD190" s="2010"/>
      <c r="AE190" s="2010"/>
      <c r="AF190" s="2010"/>
      <c r="AG190" s="2010"/>
      <c r="AH190" s="2010"/>
      <c r="AI190" s="2010"/>
      <c r="AJ190" s="2011"/>
    </row>
    <row r="191" spans="1:36" ht="15.75" customHeight="1">
      <c r="A191" s="1996"/>
      <c r="B191" s="1996"/>
      <c r="C191" s="1996"/>
      <c r="D191" s="1996"/>
      <c r="E191" s="1996"/>
      <c r="F191" s="1996"/>
      <c r="G191" s="1996"/>
      <c r="H191" s="1996"/>
      <c r="I191" s="1996"/>
      <c r="J191" s="1996"/>
      <c r="K191" s="1996"/>
      <c r="L191" s="1996"/>
      <c r="M191" s="1996"/>
      <c r="N191" s="1996"/>
      <c r="O191" s="1996"/>
      <c r="P191" s="1996"/>
      <c r="Q191" s="1996"/>
      <c r="R191" s="1996"/>
      <c r="S191" s="1996"/>
      <c r="T191" s="1996"/>
      <c r="U191" s="1996"/>
      <c r="V191" s="1996"/>
      <c r="W191" s="1996"/>
      <c r="X191" s="1996"/>
    </row>
    <row r="192" spans="1:36" ht="15.75" customHeight="1">
      <c r="A192" s="1996"/>
      <c r="B192" s="1996"/>
      <c r="C192" s="1996"/>
      <c r="D192" s="1996"/>
      <c r="E192" s="1996"/>
      <c r="F192" s="1996"/>
      <c r="G192" s="1996"/>
      <c r="H192" s="1996"/>
      <c r="I192" s="1996"/>
      <c r="J192" s="1996"/>
      <c r="K192" s="1996"/>
      <c r="L192" s="1996"/>
      <c r="M192" s="1996"/>
      <c r="N192" s="1996"/>
      <c r="O192" s="1996"/>
      <c r="P192" s="1996"/>
      <c r="Q192" s="1996"/>
      <c r="R192" s="1996"/>
      <c r="S192" s="1996"/>
      <c r="T192" s="1996"/>
      <c r="U192" s="1996"/>
      <c r="V192" s="1996"/>
      <c r="W192" s="1996"/>
      <c r="X192" s="1996"/>
    </row>
    <row r="193" spans="1:36" ht="15.75" customHeight="1">
      <c r="A193" s="1968" t="s">
        <v>3467</v>
      </c>
      <c r="B193" s="1968"/>
      <c r="C193" s="1968"/>
      <c r="D193" s="1968"/>
      <c r="E193" s="1968"/>
      <c r="F193" s="1968"/>
      <c r="G193" s="1968"/>
      <c r="H193" s="1968"/>
      <c r="I193" s="1968"/>
      <c r="J193" s="1968"/>
      <c r="K193" s="1968"/>
      <c r="L193" s="1968"/>
      <c r="M193" s="1968"/>
      <c r="N193" s="1968"/>
      <c r="O193" s="1968"/>
      <c r="P193" s="1968"/>
      <c r="Q193" s="1968"/>
      <c r="R193" s="1968"/>
      <c r="S193" s="1968"/>
      <c r="T193" s="1968"/>
      <c r="U193" s="1968"/>
      <c r="V193" s="1968"/>
      <c r="W193" s="1968"/>
      <c r="X193" s="1968"/>
    </row>
    <row r="194" spans="1:36" ht="15.75" customHeight="1">
      <c r="A194" s="1964" t="s">
        <v>4181</v>
      </c>
      <c r="B194" s="1964"/>
      <c r="C194" s="1964"/>
      <c r="D194" s="1964"/>
      <c r="E194" s="1964"/>
      <c r="F194" s="1964"/>
      <c r="G194" s="1964"/>
      <c r="H194" s="1964"/>
      <c r="I194" s="1964"/>
      <c r="J194" s="1964"/>
      <c r="K194" s="1964"/>
      <c r="L194" s="1964"/>
      <c r="M194" s="1964"/>
      <c r="N194" s="1964"/>
      <c r="O194" s="1964"/>
      <c r="P194" s="1964"/>
      <c r="Q194" s="1964"/>
      <c r="R194" s="1964"/>
      <c r="S194" s="1964"/>
      <c r="T194" s="1964"/>
      <c r="U194" s="1964"/>
      <c r="V194" s="1964"/>
      <c r="W194" s="1964"/>
      <c r="X194" s="1964"/>
    </row>
    <row r="195" spans="1:36" ht="15.75" customHeight="1">
      <c r="A195" s="1951">
        <v>1100</v>
      </c>
      <c r="B195" s="1951"/>
      <c r="C195" s="1951"/>
      <c r="D195" s="572" t="s">
        <v>4148</v>
      </c>
      <c r="E195" s="1952">
        <f>$K$45</f>
        <v>6.4460000000000003E-2</v>
      </c>
      <c r="F195" s="1953"/>
      <c r="G195" s="1953"/>
      <c r="H195" s="1953"/>
      <c r="I195" s="572" t="s">
        <v>4138</v>
      </c>
      <c r="J195" s="1945">
        <f>A195*E195</f>
        <v>70.906000000000006</v>
      </c>
      <c r="K195" s="1945"/>
      <c r="L195" s="1945"/>
      <c r="M195" s="1945"/>
      <c r="N195" s="551" t="s">
        <v>4179</v>
      </c>
      <c r="O195" s="551"/>
      <c r="P195" s="551"/>
      <c r="Q195" s="551"/>
      <c r="R195" s="551"/>
      <c r="S195" s="551"/>
      <c r="T195" s="551"/>
      <c r="U195" s="551"/>
      <c r="V195" s="551"/>
      <c r="W195" s="551"/>
      <c r="X195" s="551"/>
    </row>
    <row r="196" spans="1:36" ht="15.75" customHeight="1">
      <c r="A196" s="1964" t="s">
        <v>4182</v>
      </c>
      <c r="B196" s="1964"/>
      <c r="C196" s="1964"/>
      <c r="D196" s="1964"/>
      <c r="E196" s="1964"/>
      <c r="F196" s="1964"/>
      <c r="G196" s="1964"/>
      <c r="H196" s="1964"/>
      <c r="I196" s="1964"/>
      <c r="J196" s="1964"/>
      <c r="K196" s="1964"/>
      <c r="L196" s="1964"/>
      <c r="M196" s="1964"/>
      <c r="N196" s="1964"/>
      <c r="O196" s="1964"/>
      <c r="P196" s="1964"/>
      <c r="Q196" s="1964"/>
      <c r="R196" s="1964"/>
      <c r="S196" s="1964"/>
      <c r="T196" s="1964"/>
      <c r="U196" s="1964"/>
      <c r="V196" s="1964"/>
      <c r="W196" s="1964"/>
      <c r="X196" s="1964"/>
    </row>
    <row r="197" spans="1:36" ht="15.75" customHeight="1">
      <c r="A197" s="1951">
        <v>650</v>
      </c>
      <c r="B197" s="1951"/>
      <c r="C197" s="1951"/>
      <c r="D197" s="572" t="s">
        <v>4148</v>
      </c>
      <c r="E197" s="1952">
        <f>$K$45</f>
        <v>6.4460000000000003E-2</v>
      </c>
      <c r="F197" s="1953"/>
      <c r="G197" s="1953"/>
      <c r="H197" s="1953"/>
      <c r="I197" s="572" t="s">
        <v>4138</v>
      </c>
      <c r="J197" s="1945">
        <f>A197*E197</f>
        <v>41.899000000000001</v>
      </c>
      <c r="K197" s="1945"/>
      <c r="L197" s="1945"/>
      <c r="M197" s="1945"/>
      <c r="N197" s="551" t="s">
        <v>4179</v>
      </c>
      <c r="O197" s="551"/>
      <c r="P197" s="551"/>
      <c r="Q197" s="551"/>
      <c r="R197" s="551"/>
      <c r="S197" s="551"/>
      <c r="T197" s="551"/>
      <c r="U197" s="551"/>
      <c r="V197" s="551"/>
      <c r="W197" s="551"/>
      <c r="X197" s="551"/>
    </row>
    <row r="198" spans="1:36" ht="15.75" customHeight="1">
      <c r="A198" s="1216"/>
      <c r="B198" s="1216"/>
      <c r="C198" s="1216"/>
      <c r="D198" s="1216"/>
      <c r="E198" s="1216"/>
      <c r="F198" s="1216"/>
      <c r="G198" s="1216"/>
      <c r="H198" s="1216"/>
      <c r="I198" s="1216"/>
      <c r="J198" s="1216"/>
      <c r="K198" s="1216"/>
      <c r="L198" s="1216"/>
      <c r="M198" s="1216"/>
      <c r="N198" s="1216"/>
      <c r="O198" s="1216"/>
      <c r="P198" s="1216"/>
      <c r="Q198" s="1216"/>
      <c r="R198" s="1216"/>
      <c r="S198" s="1216"/>
      <c r="T198" s="1216"/>
      <c r="U198" s="1216"/>
      <c r="V198" s="1216"/>
      <c r="W198" s="1216"/>
      <c r="X198" s="1216"/>
    </row>
    <row r="199" spans="1:36" ht="16.5" thickBot="1">
      <c r="A199" s="1968" t="s">
        <v>3468</v>
      </c>
      <c r="B199" s="1968"/>
      <c r="C199" s="1968"/>
      <c r="D199" s="1968"/>
      <c r="E199" s="1968"/>
      <c r="F199" s="1968"/>
      <c r="G199" s="1968"/>
      <c r="H199" s="1968"/>
      <c r="I199" s="1968"/>
      <c r="J199" s="1968"/>
      <c r="K199" s="1968"/>
      <c r="L199" s="1968"/>
      <c r="M199" s="1968"/>
      <c r="N199" s="1968"/>
      <c r="O199" s="1968"/>
      <c r="P199" s="1968"/>
      <c r="Q199" s="1968"/>
      <c r="R199" s="1968"/>
      <c r="S199" s="1968"/>
      <c r="T199" s="1968"/>
      <c r="U199" s="1968"/>
      <c r="V199" s="1968"/>
      <c r="W199" s="1968"/>
      <c r="X199" s="1968"/>
    </row>
    <row r="200" spans="1:36" ht="78" customHeight="1">
      <c r="A200" s="1968" t="s">
        <v>3469</v>
      </c>
      <c r="B200" s="1968"/>
      <c r="C200" s="1968"/>
      <c r="D200" s="1968"/>
      <c r="E200" s="1968"/>
      <c r="F200" s="1968"/>
      <c r="G200" s="1968"/>
      <c r="H200" s="1968"/>
      <c r="I200" s="1968"/>
      <c r="J200" s="1968"/>
      <c r="K200" s="1968"/>
      <c r="L200" s="1968"/>
      <c r="M200" s="1968"/>
      <c r="N200" s="1968"/>
      <c r="O200" s="1968"/>
      <c r="P200" s="1968"/>
      <c r="Q200" s="1968"/>
      <c r="R200" s="1968"/>
      <c r="S200" s="1968"/>
      <c r="T200" s="1968"/>
      <c r="U200" s="1968"/>
      <c r="V200" s="1968"/>
      <c r="W200" s="1968"/>
      <c r="X200" s="1968"/>
      <c r="AA200" s="2003" t="s">
        <v>4197</v>
      </c>
      <c r="AB200" s="2004"/>
      <c r="AC200" s="2004"/>
      <c r="AD200" s="2004"/>
      <c r="AE200" s="2004"/>
      <c r="AF200" s="2004"/>
      <c r="AG200" s="2004"/>
      <c r="AH200" s="2004"/>
      <c r="AI200" s="2004"/>
      <c r="AJ200" s="2005"/>
    </row>
    <row r="201" spans="1:36" ht="12.75" customHeight="1" thickBot="1">
      <c r="A201" s="1216"/>
      <c r="B201" s="1216"/>
      <c r="C201" s="1216"/>
      <c r="D201" s="1216"/>
      <c r="E201" s="1216"/>
      <c r="F201" s="1216"/>
      <c r="G201" s="1216"/>
      <c r="H201" s="1216"/>
      <c r="I201" s="1216"/>
      <c r="J201" s="1216"/>
      <c r="K201" s="1216"/>
      <c r="L201" s="1216"/>
      <c r="M201" s="1216"/>
      <c r="N201" s="1216"/>
      <c r="O201" s="1216"/>
      <c r="P201" s="1216"/>
      <c r="Q201" s="1216"/>
      <c r="R201" s="1216"/>
      <c r="S201" s="1216"/>
      <c r="T201" s="1216"/>
      <c r="U201" s="1216"/>
      <c r="V201" s="1216"/>
      <c r="W201" s="1216"/>
      <c r="X201" s="1216"/>
      <c r="AA201" s="2009"/>
      <c r="AB201" s="2010"/>
      <c r="AC201" s="2010"/>
      <c r="AD201" s="2010"/>
      <c r="AE201" s="2010"/>
      <c r="AF201" s="2010"/>
      <c r="AG201" s="2010"/>
      <c r="AH201" s="2010"/>
      <c r="AI201" s="2010"/>
      <c r="AJ201" s="2011"/>
    </row>
    <row r="202" spans="1:36" ht="15.75" customHeight="1">
      <c r="A202" s="1996" t="s">
        <v>3470</v>
      </c>
      <c r="B202" s="1996"/>
      <c r="C202" s="1996"/>
      <c r="D202" s="1996"/>
      <c r="E202" s="1996"/>
      <c r="F202" s="1996"/>
      <c r="G202" s="1996"/>
      <c r="H202" s="1996"/>
      <c r="I202" s="1996"/>
      <c r="J202" s="1996"/>
      <c r="K202" s="1996"/>
      <c r="L202" s="1996"/>
      <c r="M202" s="1996"/>
      <c r="N202" s="1996"/>
      <c r="O202" s="1996"/>
      <c r="P202" s="1996"/>
      <c r="Q202" s="1996"/>
      <c r="R202" s="1996"/>
      <c r="S202" s="1996"/>
      <c r="T202" s="1996"/>
      <c r="U202" s="1996"/>
      <c r="V202" s="1996"/>
      <c r="W202" s="1996"/>
      <c r="X202" s="1996"/>
      <c r="AA202" s="591"/>
      <c r="AB202" s="591"/>
      <c r="AC202" s="591"/>
      <c r="AD202" s="591"/>
      <c r="AE202" s="591"/>
      <c r="AF202" s="591"/>
      <c r="AG202" s="591"/>
      <c r="AH202" s="591"/>
      <c r="AI202" s="591"/>
      <c r="AJ202" s="591"/>
    </row>
    <row r="203" spans="1:36" ht="15.75" customHeight="1">
      <c r="A203" s="1996"/>
      <c r="B203" s="1996"/>
      <c r="C203" s="1996"/>
      <c r="D203" s="1996"/>
      <c r="E203" s="1996"/>
      <c r="F203" s="1996"/>
      <c r="G203" s="1996"/>
      <c r="H203" s="1996"/>
      <c r="I203" s="1996"/>
      <c r="J203" s="1996"/>
      <c r="K203" s="1996"/>
      <c r="L203" s="1996"/>
      <c r="M203" s="1996"/>
      <c r="N203" s="1996"/>
      <c r="O203" s="1996"/>
      <c r="P203" s="1996"/>
      <c r="Q203" s="1996"/>
      <c r="R203" s="1996"/>
      <c r="S203" s="1996"/>
      <c r="T203" s="1996"/>
      <c r="U203" s="1996"/>
      <c r="V203" s="1996"/>
      <c r="W203" s="1996"/>
      <c r="X203" s="1996"/>
      <c r="AA203" s="592"/>
      <c r="AB203" s="592"/>
      <c r="AC203" s="592"/>
      <c r="AD203" s="592"/>
      <c r="AE203" s="592"/>
      <c r="AF203" s="592"/>
      <c r="AG203" s="592"/>
      <c r="AH203" s="592"/>
      <c r="AI203" s="592"/>
      <c r="AJ203" s="592"/>
    </row>
    <row r="204" spans="1:36" ht="20.25" customHeight="1">
      <c r="A204" s="1964" t="s">
        <v>3462</v>
      </c>
      <c r="B204" s="1964"/>
      <c r="C204" s="1964"/>
      <c r="D204" s="1964"/>
      <c r="E204" s="1964"/>
      <c r="F204" s="1964"/>
      <c r="G204" s="1964"/>
      <c r="H204" s="1964"/>
      <c r="I204" s="1964"/>
      <c r="J204" s="1964"/>
      <c r="K204" s="1964"/>
      <c r="L204" s="1964"/>
      <c r="M204" s="1964"/>
      <c r="N204" s="1964"/>
      <c r="O204" s="1964"/>
      <c r="P204" s="1964"/>
      <c r="Q204" s="1964"/>
      <c r="R204" s="1964"/>
      <c r="S204" s="1964"/>
      <c r="T204" s="1964"/>
      <c r="U204" s="1964"/>
      <c r="V204" s="1964"/>
      <c r="W204" s="1964"/>
      <c r="X204" s="1964"/>
    </row>
    <row r="205" spans="1:36" ht="20.25" customHeight="1">
      <c r="A205" s="1986" t="s">
        <v>4188</v>
      </c>
      <c r="B205" s="1986"/>
      <c r="C205" s="1986"/>
      <c r="D205" s="1986"/>
      <c r="E205" s="1986" t="s">
        <v>4190</v>
      </c>
      <c r="F205" s="1986"/>
      <c r="G205" s="1986"/>
      <c r="H205" s="1986"/>
      <c r="I205" s="1986" t="s">
        <v>4189</v>
      </c>
      <c r="J205" s="1986"/>
      <c r="K205" s="1986"/>
      <c r="L205" s="1986"/>
      <c r="M205" s="1987" t="s">
        <v>4187</v>
      </c>
      <c r="N205" s="1984"/>
      <c r="O205" s="1984"/>
      <c r="P205" s="1984"/>
      <c r="Q205" s="1985"/>
      <c r="R205" s="1987" t="s">
        <v>4186</v>
      </c>
      <c r="S205" s="1984"/>
      <c r="T205" s="1984"/>
      <c r="U205" s="1984"/>
      <c r="V205" s="1985"/>
      <c r="W205" s="551"/>
      <c r="X205" s="551"/>
    </row>
    <row r="206" spans="1:36" ht="15.75" customHeight="1">
      <c r="A206" s="1986">
        <v>750</v>
      </c>
      <c r="B206" s="1986"/>
      <c r="C206" s="1986"/>
      <c r="D206" s="1986"/>
      <c r="E206" s="298" t="s">
        <v>4185</v>
      </c>
      <c r="F206" s="1986">
        <v>1000</v>
      </c>
      <c r="G206" s="1986"/>
      <c r="H206" s="1986"/>
      <c r="I206" s="298" t="s">
        <v>4185</v>
      </c>
      <c r="J206" s="1986">
        <v>500</v>
      </c>
      <c r="K206" s="1986"/>
      <c r="L206" s="1986"/>
      <c r="M206" s="572" t="s">
        <v>4148</v>
      </c>
      <c r="N206" s="1986">
        <f>$G$4</f>
        <v>2.044E-2</v>
      </c>
      <c r="O206" s="1986"/>
      <c r="P206" s="1986"/>
      <c r="Q206" s="1986"/>
      <c r="R206" s="572" t="s">
        <v>4138</v>
      </c>
      <c r="S206" s="1945">
        <f>(A206+F206+J206)*N206</f>
        <v>45.99</v>
      </c>
      <c r="T206" s="1945"/>
      <c r="U206" s="1945"/>
      <c r="V206" s="1945"/>
      <c r="W206" s="551" t="s">
        <v>4179</v>
      </c>
      <c r="X206" s="565"/>
    </row>
    <row r="207" spans="1:36" ht="15.75" customHeight="1">
      <c r="A207" s="593"/>
      <c r="B207" s="593"/>
      <c r="C207" s="593"/>
      <c r="D207" s="593"/>
      <c r="E207" s="594"/>
      <c r="F207" s="593"/>
      <c r="G207" s="593"/>
      <c r="H207" s="593"/>
      <c r="I207" s="594"/>
      <c r="J207" s="593"/>
      <c r="K207" s="593"/>
      <c r="L207" s="593"/>
      <c r="M207" s="593"/>
      <c r="N207" s="593"/>
      <c r="O207" s="593"/>
      <c r="P207" s="593"/>
      <c r="Q207" s="593"/>
      <c r="R207" s="593"/>
      <c r="S207" s="595"/>
      <c r="T207" s="595"/>
      <c r="U207" s="595"/>
      <c r="V207" s="595"/>
      <c r="W207" s="551"/>
      <c r="X207" s="565"/>
    </row>
    <row r="208" spans="1:36" ht="15.75" customHeight="1">
      <c r="A208" s="1996" t="s">
        <v>3471</v>
      </c>
      <c r="B208" s="1996"/>
      <c r="C208" s="1996"/>
      <c r="D208" s="1996"/>
      <c r="E208" s="1996"/>
      <c r="F208" s="1996"/>
      <c r="G208" s="1996"/>
      <c r="H208" s="1996"/>
      <c r="I208" s="1996"/>
      <c r="J208" s="1996"/>
      <c r="K208" s="1996"/>
      <c r="L208" s="1996"/>
      <c r="M208" s="1996"/>
      <c r="N208" s="1996"/>
      <c r="O208" s="1996"/>
      <c r="P208" s="1996"/>
      <c r="Q208" s="1996"/>
      <c r="R208" s="1996"/>
      <c r="S208" s="1996"/>
      <c r="T208" s="1996"/>
      <c r="U208" s="1996"/>
      <c r="V208" s="1996"/>
      <c r="W208" s="1996"/>
      <c r="X208" s="1996"/>
    </row>
    <row r="209" spans="1:36" ht="15.75" customHeight="1">
      <c r="A209" s="1996"/>
      <c r="B209" s="1996"/>
      <c r="C209" s="1996"/>
      <c r="D209" s="1996"/>
      <c r="E209" s="1996"/>
      <c r="F209" s="1996"/>
      <c r="G209" s="1996"/>
      <c r="H209" s="1996"/>
      <c r="I209" s="1996"/>
      <c r="J209" s="1996"/>
      <c r="K209" s="1996"/>
      <c r="L209" s="1996"/>
      <c r="M209" s="1996"/>
      <c r="N209" s="1996"/>
      <c r="O209" s="1996"/>
      <c r="P209" s="1996"/>
      <c r="Q209" s="1996"/>
      <c r="R209" s="1996"/>
      <c r="S209" s="1996"/>
      <c r="T209" s="1996"/>
      <c r="U209" s="1996"/>
      <c r="V209" s="1996"/>
      <c r="W209" s="1996"/>
      <c r="X209" s="1996"/>
    </row>
    <row r="210" spans="1:36" ht="15.75" customHeight="1">
      <c r="A210" s="1996"/>
      <c r="B210" s="1996"/>
      <c r="C210" s="1996"/>
      <c r="D210" s="1996"/>
      <c r="E210" s="1996"/>
      <c r="F210" s="1996"/>
      <c r="G210" s="1996"/>
      <c r="H210" s="1996"/>
      <c r="I210" s="1996"/>
      <c r="J210" s="1996"/>
      <c r="K210" s="1996"/>
      <c r="L210" s="1996"/>
      <c r="M210" s="1996"/>
      <c r="N210" s="1996"/>
      <c r="O210" s="1996"/>
      <c r="P210" s="1996"/>
      <c r="Q210" s="1996"/>
      <c r="R210" s="1996"/>
      <c r="S210" s="1996"/>
      <c r="T210" s="1996"/>
      <c r="U210" s="1996"/>
      <c r="V210" s="1996"/>
      <c r="W210" s="1996"/>
      <c r="X210" s="1996"/>
    </row>
    <row r="211" spans="1:36" ht="15.75" customHeight="1">
      <c r="A211" s="1996"/>
      <c r="B211" s="1996"/>
      <c r="C211" s="1996"/>
      <c r="D211" s="1996"/>
      <c r="E211" s="1996"/>
      <c r="F211" s="1996"/>
      <c r="G211" s="1996"/>
      <c r="H211" s="1996"/>
      <c r="I211" s="1996"/>
      <c r="J211" s="1996"/>
      <c r="K211" s="1996"/>
      <c r="L211" s="1996"/>
      <c r="M211" s="1996"/>
      <c r="N211" s="1996"/>
      <c r="O211" s="1996"/>
      <c r="P211" s="1996"/>
      <c r="Q211" s="1996"/>
      <c r="R211" s="1996"/>
      <c r="S211" s="1996"/>
      <c r="T211" s="1996"/>
      <c r="U211" s="1996"/>
      <c r="V211" s="1996"/>
      <c r="W211" s="1996"/>
      <c r="X211" s="1996"/>
    </row>
    <row r="212" spans="1:36" ht="15.75" customHeight="1">
      <c r="A212" s="1964" t="s">
        <v>3472</v>
      </c>
      <c r="B212" s="1964"/>
      <c r="C212" s="1964"/>
      <c r="D212" s="1964"/>
      <c r="E212" s="1964"/>
      <c r="F212" s="1964"/>
      <c r="G212" s="1964"/>
      <c r="H212" s="1964"/>
      <c r="I212" s="1964"/>
      <c r="J212" s="1964"/>
      <c r="K212" s="1964"/>
      <c r="L212" s="1964"/>
      <c r="M212" s="1964"/>
      <c r="N212" s="1964"/>
      <c r="O212" s="1964"/>
      <c r="P212" s="1964"/>
      <c r="Q212" s="1964"/>
      <c r="R212" s="1964"/>
      <c r="S212" s="1964"/>
      <c r="T212" s="1964"/>
      <c r="U212" s="1964"/>
      <c r="V212" s="1964"/>
      <c r="W212" s="1964"/>
      <c r="X212" s="1964"/>
    </row>
    <row r="213" spans="1:36" ht="15.75" customHeight="1">
      <c r="A213" s="1964" t="s">
        <v>3473</v>
      </c>
      <c r="B213" s="1964"/>
      <c r="C213" s="1964"/>
      <c r="D213" s="1964"/>
      <c r="E213" s="1964"/>
      <c r="F213" s="1964"/>
      <c r="G213" s="1964"/>
      <c r="H213" s="1964"/>
      <c r="I213" s="1964"/>
      <c r="J213" s="1964"/>
      <c r="K213" s="1964"/>
      <c r="L213" s="1964"/>
      <c r="M213" s="1964"/>
      <c r="N213" s="1964"/>
      <c r="O213" s="1964"/>
      <c r="P213" s="1964"/>
      <c r="Q213" s="1964"/>
      <c r="R213" s="1964"/>
      <c r="S213" s="1964"/>
      <c r="T213" s="1964"/>
      <c r="U213" s="1964"/>
      <c r="V213" s="1964"/>
      <c r="W213" s="1964"/>
      <c r="X213" s="1964"/>
    </row>
    <row r="214" spans="1:36" ht="15.75" customHeight="1">
      <c r="A214" s="1964" t="s">
        <v>3474</v>
      </c>
      <c r="B214" s="1964"/>
      <c r="C214" s="1964"/>
      <c r="D214" s="1964"/>
      <c r="E214" s="1964"/>
      <c r="F214" s="1964"/>
      <c r="G214" s="1964"/>
      <c r="H214" s="1964"/>
      <c r="I214" s="1964"/>
      <c r="J214" s="1964"/>
      <c r="K214" s="1964"/>
      <c r="L214" s="1964"/>
      <c r="M214" s="1964"/>
      <c r="N214" s="1964"/>
      <c r="O214" s="1964"/>
      <c r="P214" s="1964"/>
      <c r="Q214" s="1964"/>
      <c r="R214" s="1964"/>
      <c r="S214" s="1964"/>
      <c r="T214" s="1964"/>
      <c r="U214" s="1964"/>
      <c r="V214" s="1964"/>
      <c r="W214" s="1964"/>
      <c r="X214" s="1964"/>
    </row>
    <row r="215" spans="1:36" ht="15.75" customHeight="1">
      <c r="A215" s="1964" t="s">
        <v>3475</v>
      </c>
      <c r="B215" s="1964"/>
      <c r="C215" s="1964"/>
      <c r="D215" s="1964"/>
      <c r="E215" s="1964"/>
      <c r="F215" s="1964"/>
      <c r="G215" s="1964"/>
      <c r="H215" s="1964"/>
      <c r="I215" s="1964"/>
      <c r="J215" s="1964"/>
      <c r="K215" s="1964"/>
      <c r="L215" s="1964"/>
      <c r="M215" s="1964"/>
      <c r="N215" s="1964"/>
      <c r="O215" s="1964"/>
      <c r="P215" s="1964"/>
      <c r="Q215" s="1964"/>
      <c r="R215" s="1964"/>
      <c r="S215" s="1964"/>
      <c r="T215" s="1964"/>
      <c r="U215" s="1964"/>
      <c r="V215" s="1964"/>
      <c r="W215" s="1964"/>
      <c r="X215" s="1964"/>
    </row>
    <row r="216" spans="1:36" ht="15.75" customHeight="1">
      <c r="A216" s="1964" t="s">
        <v>3476</v>
      </c>
      <c r="B216" s="1964"/>
      <c r="C216" s="1964"/>
      <c r="D216" s="1964"/>
      <c r="E216" s="1964"/>
      <c r="F216" s="1964"/>
      <c r="G216" s="1964"/>
      <c r="H216" s="1964"/>
      <c r="I216" s="1964"/>
      <c r="J216" s="1964"/>
      <c r="K216" s="1964"/>
      <c r="L216" s="1964"/>
      <c r="M216" s="1964"/>
      <c r="N216" s="1964"/>
      <c r="O216" s="1964"/>
      <c r="P216" s="1964"/>
      <c r="Q216" s="1964"/>
      <c r="R216" s="1964"/>
      <c r="S216" s="1964"/>
      <c r="T216" s="1964"/>
      <c r="U216" s="1964"/>
      <c r="V216" s="1964"/>
      <c r="W216" s="1964"/>
      <c r="X216" s="1964"/>
    </row>
    <row r="217" spans="1:36" ht="15.75" customHeight="1">
      <c r="A217" s="1964" t="s">
        <v>3477</v>
      </c>
      <c r="B217" s="1964"/>
      <c r="C217" s="1964"/>
      <c r="D217" s="1964"/>
      <c r="E217" s="1964"/>
      <c r="F217" s="1964"/>
      <c r="G217" s="1964"/>
      <c r="H217" s="1964"/>
      <c r="I217" s="1964"/>
      <c r="J217" s="1964"/>
      <c r="K217" s="1964"/>
      <c r="L217" s="1964"/>
      <c r="M217" s="1964"/>
      <c r="N217" s="1964"/>
      <c r="O217" s="1964"/>
      <c r="P217" s="1964"/>
      <c r="Q217" s="1964"/>
      <c r="R217" s="1964"/>
      <c r="S217" s="1964"/>
      <c r="T217" s="1964"/>
      <c r="U217" s="1964"/>
      <c r="V217" s="1964"/>
      <c r="W217" s="1964"/>
      <c r="X217" s="1964"/>
    </row>
    <row r="218" spans="1:36" ht="15.75" customHeight="1">
      <c r="A218" s="1964" t="s">
        <v>3478</v>
      </c>
      <c r="B218" s="1964"/>
      <c r="C218" s="1964"/>
      <c r="D218" s="1964"/>
      <c r="E218" s="1964"/>
      <c r="F218" s="1964"/>
      <c r="G218" s="1964"/>
      <c r="H218" s="1964"/>
      <c r="I218" s="1964"/>
      <c r="J218" s="1964"/>
      <c r="K218" s="1964"/>
      <c r="L218" s="1964"/>
      <c r="M218" s="1964"/>
      <c r="N218" s="1964"/>
      <c r="O218" s="1964"/>
      <c r="P218" s="1964"/>
      <c r="Q218" s="1964"/>
      <c r="R218" s="1964"/>
      <c r="S218" s="1964"/>
      <c r="T218" s="1964"/>
      <c r="U218" s="1964"/>
      <c r="V218" s="1964"/>
      <c r="W218" s="1964"/>
      <c r="X218" s="1964"/>
    </row>
    <row r="219" spans="1:36" ht="15.75" customHeight="1">
      <c r="A219" s="1964" t="s">
        <v>3479</v>
      </c>
      <c r="B219" s="1964"/>
      <c r="C219" s="1964"/>
      <c r="D219" s="1964"/>
      <c r="E219" s="1964"/>
      <c r="F219" s="1964"/>
      <c r="G219" s="1964"/>
      <c r="H219" s="1964"/>
      <c r="I219" s="1964"/>
      <c r="J219" s="1964"/>
      <c r="K219" s="1964"/>
      <c r="L219" s="1964"/>
      <c r="M219" s="1964"/>
      <c r="N219" s="1964"/>
      <c r="O219" s="1964"/>
      <c r="P219" s="1964"/>
      <c r="Q219" s="1964"/>
      <c r="R219" s="1964"/>
      <c r="S219" s="1964"/>
      <c r="T219" s="1964"/>
      <c r="U219" s="1964"/>
      <c r="V219" s="1964"/>
      <c r="W219" s="1964"/>
      <c r="X219" s="1964"/>
    </row>
    <row r="220" spans="1:36" ht="15.75" customHeight="1">
      <c r="A220" s="1964" t="s">
        <v>3480</v>
      </c>
      <c r="B220" s="1964"/>
      <c r="C220" s="1964"/>
      <c r="D220" s="1964"/>
      <c r="E220" s="1964"/>
      <c r="F220" s="1964"/>
      <c r="G220" s="1964"/>
      <c r="H220" s="1964"/>
      <c r="I220" s="1964"/>
      <c r="J220" s="1964"/>
      <c r="K220" s="1964"/>
      <c r="L220" s="1964"/>
      <c r="M220" s="1964"/>
      <c r="N220" s="1964"/>
      <c r="O220" s="1964"/>
      <c r="P220" s="1964"/>
      <c r="Q220" s="1964"/>
      <c r="R220" s="1964"/>
      <c r="S220" s="1964"/>
      <c r="T220" s="1964"/>
      <c r="U220" s="1964"/>
      <c r="V220" s="1964"/>
      <c r="W220" s="1964"/>
      <c r="X220" s="1964"/>
    </row>
    <row r="221" spans="1:36" ht="13.5" thickBot="1">
      <c r="A221" s="1216"/>
      <c r="B221" s="1216"/>
      <c r="C221" s="1216"/>
      <c r="D221" s="1216"/>
      <c r="E221" s="1216"/>
      <c r="F221" s="1216"/>
      <c r="G221" s="1216"/>
      <c r="H221" s="1216"/>
      <c r="I221" s="1216"/>
      <c r="J221" s="1216"/>
      <c r="K221" s="1216"/>
      <c r="L221" s="1216"/>
      <c r="M221" s="1216"/>
      <c r="N221" s="1216"/>
      <c r="O221" s="1216"/>
      <c r="P221" s="1216"/>
      <c r="Q221" s="1216"/>
      <c r="R221" s="1216"/>
      <c r="S221" s="1216"/>
      <c r="T221" s="1216"/>
      <c r="U221" s="1216"/>
      <c r="V221" s="1216"/>
      <c r="W221" s="1216"/>
      <c r="X221" s="1216"/>
    </row>
    <row r="222" spans="1:36" ht="15.75" customHeight="1">
      <c r="A222" s="1968" t="s">
        <v>3481</v>
      </c>
      <c r="B222" s="1968"/>
      <c r="C222" s="1968"/>
      <c r="D222" s="1968"/>
      <c r="E222" s="1968"/>
      <c r="F222" s="1968"/>
      <c r="G222" s="1968"/>
      <c r="H222" s="1968"/>
      <c r="I222" s="1968"/>
      <c r="J222" s="1968"/>
      <c r="K222" s="1968"/>
      <c r="L222" s="1968"/>
      <c r="M222" s="1968"/>
      <c r="N222" s="1968"/>
      <c r="O222" s="1968"/>
      <c r="P222" s="1968"/>
      <c r="Q222" s="1968"/>
      <c r="R222" s="1968"/>
      <c r="S222" s="1968"/>
      <c r="T222" s="1968"/>
      <c r="U222" s="1968"/>
      <c r="V222" s="1968"/>
      <c r="W222" s="1968"/>
      <c r="X222" s="1968"/>
      <c r="AA222" s="2003" t="s">
        <v>4197</v>
      </c>
      <c r="AB222" s="2004"/>
      <c r="AC222" s="2004"/>
      <c r="AD222" s="2004"/>
      <c r="AE222" s="2004"/>
      <c r="AF222" s="2004"/>
      <c r="AG222" s="2004"/>
      <c r="AH222" s="2004"/>
      <c r="AI222" s="2004"/>
      <c r="AJ222" s="2005"/>
    </row>
    <row r="223" spans="1:36" ht="15.75" customHeight="1">
      <c r="A223" s="1964" t="s">
        <v>3482</v>
      </c>
      <c r="B223" s="1964"/>
      <c r="C223" s="1964"/>
      <c r="D223" s="1964"/>
      <c r="E223" s="1964"/>
      <c r="F223" s="1964"/>
      <c r="G223" s="1964"/>
      <c r="H223" s="1964"/>
      <c r="I223" s="1964"/>
      <c r="J223" s="1964"/>
      <c r="K223" s="1964"/>
      <c r="L223" s="1964"/>
      <c r="M223" s="1964"/>
      <c r="N223" s="1964"/>
      <c r="O223" s="1964"/>
      <c r="P223" s="1964"/>
      <c r="Q223" s="1964"/>
      <c r="R223" s="1964"/>
      <c r="S223" s="1964"/>
      <c r="T223" s="1964"/>
      <c r="U223" s="1964"/>
      <c r="V223" s="1964"/>
      <c r="W223" s="1964"/>
      <c r="X223" s="1964"/>
      <c r="AA223" s="2006"/>
      <c r="AB223" s="2007"/>
      <c r="AC223" s="2007"/>
      <c r="AD223" s="2007"/>
      <c r="AE223" s="2007"/>
      <c r="AF223" s="2007"/>
      <c r="AG223" s="2007"/>
      <c r="AH223" s="2007"/>
      <c r="AI223" s="2007"/>
      <c r="AJ223" s="2008"/>
    </row>
    <row r="224" spans="1:36" ht="15.75" customHeight="1" thickBot="1">
      <c r="A224" s="1968" t="s">
        <v>4198</v>
      </c>
      <c r="B224" s="1968"/>
      <c r="C224" s="1968"/>
      <c r="D224" s="1968"/>
      <c r="E224" s="1968"/>
      <c r="F224" s="1968"/>
      <c r="G224" s="1968"/>
      <c r="H224" s="1968"/>
      <c r="I224" s="1968"/>
      <c r="J224" s="1968"/>
      <c r="K224" s="1968"/>
      <c r="L224" s="1968"/>
      <c r="M224" s="1968"/>
      <c r="N224" s="1968"/>
      <c r="O224" s="1968"/>
      <c r="P224" s="1968"/>
      <c r="Q224" s="1968"/>
      <c r="R224" s="1968"/>
      <c r="S224" s="1968"/>
      <c r="T224" s="1968"/>
      <c r="U224" s="1968"/>
      <c r="V224" s="1968"/>
      <c r="W224" s="1968"/>
      <c r="X224" s="1968"/>
      <c r="AA224" s="2009"/>
      <c r="AB224" s="2010"/>
      <c r="AC224" s="2010"/>
      <c r="AD224" s="2010"/>
      <c r="AE224" s="2010"/>
      <c r="AF224" s="2010"/>
      <c r="AG224" s="2010"/>
      <c r="AH224" s="2010"/>
      <c r="AI224" s="2010"/>
      <c r="AJ224" s="2011"/>
    </row>
    <row r="225" spans="1:36" ht="15.75" customHeight="1">
      <c r="A225" s="1968"/>
      <c r="B225" s="1968"/>
      <c r="C225" s="1968"/>
      <c r="D225" s="1968"/>
      <c r="E225" s="1968"/>
      <c r="F225" s="1968"/>
      <c r="G225" s="1968"/>
      <c r="H225" s="1968"/>
      <c r="I225" s="1968"/>
      <c r="J225" s="1968"/>
      <c r="K225" s="1968"/>
      <c r="L225" s="1968"/>
      <c r="M225" s="1968"/>
      <c r="N225" s="1968"/>
      <c r="O225" s="1968"/>
      <c r="P225" s="1968"/>
      <c r="Q225" s="1968"/>
      <c r="R225" s="1968"/>
      <c r="S225" s="1968"/>
      <c r="T225" s="1968"/>
      <c r="U225" s="1968"/>
      <c r="V225" s="1968"/>
      <c r="W225" s="1968"/>
      <c r="X225" s="1968"/>
      <c r="AA225" s="601"/>
      <c r="AB225" s="601"/>
      <c r="AC225" s="601"/>
      <c r="AD225" s="601"/>
      <c r="AE225" s="601"/>
      <c r="AF225" s="601"/>
      <c r="AG225" s="601"/>
      <c r="AH225" s="601"/>
      <c r="AI225" s="601"/>
      <c r="AJ225" s="601"/>
    </row>
    <row r="226" spans="1:36" ht="15.75" customHeight="1">
      <c r="A226" s="566"/>
      <c r="B226" s="2033" t="s">
        <v>4200</v>
      </c>
      <c r="C226" s="2033"/>
      <c r="D226" s="2033"/>
      <c r="E226" s="2033"/>
      <c r="F226" s="2033"/>
      <c r="G226" s="2034">
        <v>1500</v>
      </c>
      <c r="H226" s="2034"/>
      <c r="I226" s="589" t="s">
        <v>4185</v>
      </c>
      <c r="J226" s="2035" t="s">
        <v>4199</v>
      </c>
      <c r="K226" s="2035"/>
      <c r="L226" s="2035"/>
      <c r="M226" s="2035"/>
      <c r="N226" s="2034">
        <v>8000</v>
      </c>
      <c r="O226" s="2034"/>
      <c r="P226" s="589" t="s">
        <v>4138</v>
      </c>
      <c r="Q226" s="2035">
        <f>G226+N226</f>
        <v>9500</v>
      </c>
      <c r="R226" s="2035"/>
      <c r="S226" s="2035"/>
      <c r="T226" s="2013" t="s">
        <v>4201</v>
      </c>
      <c r="U226" s="2013"/>
      <c r="V226" s="2013"/>
      <c r="W226" s="2013"/>
      <c r="X226" s="2013"/>
      <c r="AA226" s="601"/>
      <c r="AB226" s="601"/>
      <c r="AC226" s="601"/>
      <c r="AD226" s="601"/>
      <c r="AE226" s="601"/>
      <c r="AF226" s="601"/>
      <c r="AG226" s="601"/>
      <c r="AH226" s="601"/>
      <c r="AI226" s="601"/>
      <c r="AJ226" s="601"/>
    </row>
    <row r="227" spans="1:36" ht="15.75" customHeight="1">
      <c r="A227" s="590"/>
      <c r="C227" s="590"/>
      <c r="D227" s="590"/>
      <c r="E227" s="590"/>
      <c r="F227" s="590"/>
      <c r="G227" s="590"/>
      <c r="H227" s="590"/>
      <c r="I227" s="590"/>
      <c r="J227" s="590"/>
      <c r="K227" s="590"/>
      <c r="L227" s="590"/>
      <c r="M227" s="590"/>
      <c r="N227" s="590"/>
      <c r="O227" s="590"/>
      <c r="P227" s="590"/>
      <c r="Q227" s="590"/>
      <c r="R227" s="590"/>
      <c r="S227" s="590"/>
      <c r="T227" s="590"/>
      <c r="U227" s="590"/>
      <c r="V227" s="590"/>
      <c r="W227" s="590"/>
      <c r="X227" s="590"/>
      <c r="AA227" s="601"/>
      <c r="AB227" s="601"/>
      <c r="AC227" s="601"/>
      <c r="AD227" s="601"/>
      <c r="AE227" s="601"/>
      <c r="AF227" s="601"/>
      <c r="AG227" s="601"/>
      <c r="AH227" s="601"/>
      <c r="AI227" s="601"/>
      <c r="AJ227" s="601"/>
    </row>
    <row r="228" spans="1:36" ht="15.75" customHeight="1">
      <c r="A228" s="551"/>
      <c r="B228" s="596">
        <v>4</v>
      </c>
      <c r="C228" s="2012" t="s">
        <v>4204</v>
      </c>
      <c r="D228" s="2012"/>
      <c r="E228" s="2012"/>
      <c r="F228" s="2012"/>
      <c r="G228" s="2012"/>
      <c r="H228" s="2012"/>
      <c r="I228" s="2012"/>
      <c r="J228" s="2012"/>
      <c r="K228" s="2012"/>
      <c r="L228" s="2012"/>
      <c r="M228" s="2012"/>
      <c r="N228" s="2012"/>
      <c r="O228" s="2012"/>
      <c r="P228" s="2012"/>
      <c r="Q228" s="2012"/>
      <c r="R228" s="2012"/>
      <c r="S228" s="2012"/>
      <c r="T228" s="2012"/>
      <c r="U228" s="2012"/>
      <c r="V228" s="2012"/>
      <c r="W228" s="2012"/>
      <c r="X228" s="2012"/>
      <c r="AA228" s="601"/>
      <c r="AB228" s="601"/>
      <c r="AC228" s="601"/>
      <c r="AD228" s="601"/>
      <c r="AE228" s="601"/>
      <c r="AF228" s="601"/>
      <c r="AG228" s="601"/>
      <c r="AH228" s="601"/>
      <c r="AI228" s="601"/>
      <c r="AJ228" s="601"/>
    </row>
    <row r="229" spans="1:36" ht="15.75" customHeight="1">
      <c r="A229" s="551"/>
      <c r="B229" s="1951">
        <f>Q226</f>
        <v>9500</v>
      </c>
      <c r="C229" s="1951"/>
      <c r="D229" s="1951"/>
      <c r="E229" s="572" t="s">
        <v>4148</v>
      </c>
      <c r="F229" s="1952">
        <f>$K$45</f>
        <v>6.4460000000000003E-2</v>
      </c>
      <c r="G229" s="1953"/>
      <c r="H229" s="1953"/>
      <c r="I229" s="1953"/>
      <c r="J229" s="572" t="s">
        <v>4138</v>
      </c>
      <c r="K229" s="1945">
        <f>B229*F229</f>
        <v>612.37</v>
      </c>
      <c r="L229" s="1945"/>
      <c r="M229" s="1945"/>
      <c r="N229" s="1945"/>
      <c r="O229" s="551" t="s">
        <v>4179</v>
      </c>
      <c r="P229" s="1962" t="s">
        <v>4202</v>
      </c>
      <c r="Q229" s="1962"/>
      <c r="R229" s="1962"/>
      <c r="S229" s="1962"/>
      <c r="T229" s="1962"/>
      <c r="U229" s="1962"/>
      <c r="V229" s="1962"/>
      <c r="W229" s="1962"/>
      <c r="X229" s="1962"/>
      <c r="AA229" s="601"/>
      <c r="AB229" s="601"/>
      <c r="AC229" s="601"/>
      <c r="AD229" s="601"/>
      <c r="AE229" s="601"/>
      <c r="AF229" s="601"/>
      <c r="AG229" s="601"/>
      <c r="AH229" s="601"/>
      <c r="AI229" s="601"/>
      <c r="AJ229" s="601"/>
    </row>
    <row r="230" spans="1:36" ht="15.75" customHeight="1">
      <c r="A230" s="551"/>
      <c r="B230" s="597">
        <f>B228</f>
        <v>4</v>
      </c>
      <c r="C230" s="1964" t="s">
        <v>4203</v>
      </c>
      <c r="D230" s="1964"/>
      <c r="E230" s="1964"/>
      <c r="F230" s="1964"/>
      <c r="G230" s="1964"/>
      <c r="H230" s="1964"/>
      <c r="I230" s="1964"/>
      <c r="J230" s="1964"/>
      <c r="K230" s="1964"/>
      <c r="L230" s="1964"/>
      <c r="M230" s="1964"/>
      <c r="N230" s="1964"/>
      <c r="O230" s="1964"/>
      <c r="P230" s="1964"/>
      <c r="Q230" s="1964"/>
      <c r="R230" s="1964"/>
      <c r="S230" s="1964"/>
      <c r="T230" s="1964"/>
      <c r="U230" s="1964"/>
      <c r="V230" s="1964"/>
      <c r="W230" s="1965">
        <v>0.55000000000000004</v>
      </c>
      <c r="X230" s="1966"/>
      <c r="AA230" s="601"/>
      <c r="AB230" s="601"/>
      <c r="AC230" s="601"/>
      <c r="AD230" s="601"/>
      <c r="AE230" s="601"/>
      <c r="AF230" s="601"/>
      <c r="AG230" s="601"/>
      <c r="AH230" s="601"/>
      <c r="AI230" s="601"/>
      <c r="AJ230" s="601"/>
    </row>
    <row r="231" spans="1:36">
      <c r="A231" s="551"/>
      <c r="B231" s="1945">
        <f>K229</f>
        <v>612.37</v>
      </c>
      <c r="C231" s="1951"/>
      <c r="D231" s="1951"/>
      <c r="E231" s="572" t="s">
        <v>4148</v>
      </c>
      <c r="F231" s="2022">
        <f>W230</f>
        <v>0.55000000000000004</v>
      </c>
      <c r="G231" s="1992"/>
      <c r="H231" s="1992"/>
      <c r="I231" s="1993"/>
      <c r="J231" s="572" t="s">
        <v>4138</v>
      </c>
      <c r="K231" s="1945">
        <f>B231*F231</f>
        <v>336.80350000000004</v>
      </c>
      <c r="L231" s="1945"/>
      <c r="M231" s="1945"/>
      <c r="N231" s="1945"/>
      <c r="O231" s="2036" t="s">
        <v>4179</v>
      </c>
      <c r="P231" s="1959"/>
      <c r="Q231" s="551"/>
      <c r="R231" s="551"/>
      <c r="S231" s="551"/>
      <c r="T231" s="551"/>
      <c r="U231" s="551"/>
      <c r="V231" s="551"/>
      <c r="W231" s="551"/>
      <c r="X231" s="551"/>
      <c r="AA231" s="601"/>
      <c r="AB231" s="601"/>
      <c r="AC231" s="601"/>
      <c r="AD231" s="601"/>
      <c r="AE231" s="601"/>
      <c r="AF231" s="601"/>
      <c r="AG231" s="601"/>
      <c r="AH231" s="601"/>
      <c r="AI231" s="601"/>
      <c r="AJ231" s="601"/>
    </row>
    <row r="232" spans="1:36" ht="15.75" customHeight="1">
      <c r="A232" s="551"/>
      <c r="B232" s="551"/>
      <c r="C232" s="551"/>
      <c r="D232" s="551"/>
      <c r="E232" s="551"/>
      <c r="F232" s="551"/>
      <c r="G232" s="551"/>
      <c r="H232" s="551"/>
      <c r="I232" s="551"/>
      <c r="J232" s="551"/>
      <c r="K232" s="551"/>
      <c r="L232" s="551"/>
      <c r="M232" s="551"/>
      <c r="N232" s="551"/>
      <c r="O232" s="551"/>
      <c r="P232" s="551"/>
      <c r="Q232" s="551"/>
      <c r="R232" s="551"/>
      <c r="S232" s="551"/>
      <c r="T232" s="551"/>
      <c r="U232" s="551"/>
      <c r="V232" s="551"/>
      <c r="W232" s="551"/>
      <c r="X232" s="551"/>
      <c r="AA232" s="601"/>
      <c r="AB232" s="601"/>
      <c r="AC232" s="601"/>
      <c r="AD232" s="601"/>
      <c r="AE232" s="601"/>
      <c r="AF232" s="601"/>
      <c r="AG232" s="601"/>
      <c r="AH232" s="601"/>
      <c r="AI232" s="601"/>
      <c r="AJ232" s="601"/>
    </row>
    <row r="233" spans="1:36" ht="15.75" customHeight="1">
      <c r="A233" s="1996" t="s">
        <v>4206</v>
      </c>
      <c r="B233" s="1996"/>
      <c r="C233" s="1996"/>
      <c r="D233" s="1996"/>
      <c r="E233" s="1996"/>
      <c r="F233" s="1996"/>
      <c r="G233" s="1996"/>
      <c r="H233" s="1996"/>
      <c r="I233" s="1996"/>
      <c r="J233" s="1996"/>
      <c r="K233" s="1996"/>
      <c r="L233" s="1996"/>
      <c r="M233" s="1996"/>
      <c r="N233" s="1996"/>
      <c r="O233" s="1996"/>
      <c r="P233" s="1996"/>
      <c r="Q233" s="1996"/>
      <c r="R233" s="1996"/>
      <c r="S233" s="1996"/>
      <c r="T233" s="1996"/>
      <c r="U233" s="1996"/>
      <c r="V233" s="1996"/>
      <c r="W233" s="1996"/>
      <c r="X233" s="1996"/>
      <c r="AA233" s="603"/>
      <c r="AB233" s="603"/>
      <c r="AC233" s="603"/>
      <c r="AD233" s="603"/>
      <c r="AE233" s="603"/>
      <c r="AF233" s="603"/>
      <c r="AG233" s="603"/>
      <c r="AH233" s="603"/>
      <c r="AI233" s="603"/>
      <c r="AJ233" s="603"/>
    </row>
    <row r="234" spans="1:36" ht="15.75" customHeight="1">
      <c r="A234" s="1996"/>
      <c r="B234" s="1996"/>
      <c r="C234" s="1996"/>
      <c r="D234" s="1996"/>
      <c r="E234" s="1996"/>
      <c r="F234" s="1996"/>
      <c r="G234" s="1996"/>
      <c r="H234" s="1996"/>
      <c r="I234" s="1996"/>
      <c r="J234" s="1996"/>
      <c r="K234" s="1996"/>
      <c r="L234" s="1996"/>
      <c r="M234" s="1996"/>
      <c r="N234" s="1996"/>
      <c r="O234" s="1996"/>
      <c r="P234" s="1996"/>
      <c r="Q234" s="1996"/>
      <c r="R234" s="1996"/>
      <c r="S234" s="1996"/>
      <c r="T234" s="1996"/>
      <c r="U234" s="1996"/>
      <c r="V234" s="1996"/>
      <c r="W234" s="1996"/>
      <c r="X234" s="1996"/>
      <c r="AA234" s="603"/>
      <c r="AB234" s="603"/>
      <c r="AC234" s="603"/>
      <c r="AD234" s="603"/>
      <c r="AE234" s="603"/>
      <c r="AF234" s="603"/>
      <c r="AG234" s="603"/>
      <c r="AH234" s="603"/>
      <c r="AI234" s="603"/>
      <c r="AJ234" s="603"/>
    </row>
    <row r="235" spans="1:36" ht="15.75" customHeight="1">
      <c r="A235" s="1996"/>
      <c r="B235" s="1996"/>
      <c r="C235" s="1996"/>
      <c r="D235" s="1996"/>
      <c r="E235" s="1996"/>
      <c r="F235" s="1996"/>
      <c r="G235" s="1996"/>
      <c r="H235" s="1996"/>
      <c r="I235" s="1996"/>
      <c r="J235" s="1996"/>
      <c r="K235" s="1996"/>
      <c r="L235" s="1996"/>
      <c r="M235" s="1996"/>
      <c r="N235" s="1996"/>
      <c r="O235" s="1996"/>
      <c r="P235" s="1996"/>
      <c r="Q235" s="1996"/>
      <c r="R235" s="1996"/>
      <c r="S235" s="1996"/>
      <c r="T235" s="1996"/>
      <c r="U235" s="1996"/>
      <c r="V235" s="1996"/>
      <c r="W235" s="1996"/>
      <c r="X235" s="1996"/>
      <c r="AA235" s="603"/>
      <c r="AB235" s="603"/>
      <c r="AC235" s="603"/>
      <c r="AD235" s="603"/>
      <c r="AE235" s="603"/>
      <c r="AF235" s="603"/>
      <c r="AG235" s="603"/>
      <c r="AH235" s="603"/>
      <c r="AI235" s="603"/>
      <c r="AJ235" s="603"/>
    </row>
    <row r="236" spans="1:36" ht="15.75" customHeight="1">
      <c r="A236" s="1996"/>
      <c r="B236" s="1996"/>
      <c r="C236" s="1996"/>
      <c r="D236" s="1996"/>
      <c r="E236" s="1996"/>
      <c r="F236" s="1996"/>
      <c r="G236" s="1996"/>
      <c r="H236" s="1996"/>
      <c r="I236" s="1996"/>
      <c r="J236" s="1996"/>
      <c r="K236" s="1996"/>
      <c r="L236" s="1996"/>
      <c r="M236" s="1996"/>
      <c r="N236" s="1996"/>
      <c r="O236" s="1996"/>
      <c r="P236" s="1996"/>
      <c r="Q236" s="1996"/>
      <c r="R236" s="1996"/>
      <c r="S236" s="1996"/>
      <c r="T236" s="1996"/>
      <c r="U236" s="1996"/>
      <c r="V236" s="1996"/>
      <c r="W236" s="1996"/>
      <c r="X236" s="1996"/>
      <c r="AA236" s="603"/>
      <c r="AB236" s="603"/>
      <c r="AC236" s="603"/>
      <c r="AD236" s="603"/>
      <c r="AE236" s="603"/>
      <c r="AF236" s="603"/>
      <c r="AG236" s="603"/>
      <c r="AH236" s="603"/>
      <c r="AI236" s="603"/>
      <c r="AJ236" s="603"/>
    </row>
    <row r="237" spans="1:36" ht="15.75" customHeight="1">
      <c r="A237" s="1996"/>
      <c r="B237" s="1996"/>
      <c r="C237" s="1996"/>
      <c r="D237" s="1996"/>
      <c r="E237" s="1996"/>
      <c r="F237" s="1996"/>
      <c r="G237" s="1996"/>
      <c r="H237" s="1996"/>
      <c r="I237" s="1996"/>
      <c r="J237" s="1996"/>
      <c r="K237" s="1996"/>
      <c r="L237" s="1996"/>
      <c r="M237" s="1996"/>
      <c r="N237" s="1996"/>
      <c r="O237" s="1996"/>
      <c r="P237" s="1996"/>
      <c r="Q237" s="1996"/>
      <c r="R237" s="1996"/>
      <c r="S237" s="1996"/>
      <c r="T237" s="1996"/>
      <c r="U237" s="1996"/>
      <c r="V237" s="1996"/>
      <c r="W237" s="1996"/>
      <c r="X237" s="1996"/>
      <c r="AA237" s="603"/>
      <c r="AB237" s="603"/>
      <c r="AC237" s="603"/>
      <c r="AD237" s="603"/>
      <c r="AE237" s="603"/>
      <c r="AF237" s="603"/>
      <c r="AG237" s="603"/>
      <c r="AH237" s="603"/>
      <c r="AI237" s="603"/>
      <c r="AJ237" s="603"/>
    </row>
    <row r="238" spans="1:36" ht="15.75" customHeight="1">
      <c r="A238" s="1996"/>
      <c r="B238" s="1996"/>
      <c r="C238" s="1996"/>
      <c r="D238" s="1996"/>
      <c r="E238" s="1996"/>
      <c r="F238" s="1996"/>
      <c r="G238" s="1996"/>
      <c r="H238" s="1996"/>
      <c r="I238" s="1996"/>
      <c r="J238" s="1996"/>
      <c r="K238" s="1996"/>
      <c r="L238" s="1996"/>
      <c r="M238" s="1996"/>
      <c r="N238" s="1996"/>
      <c r="O238" s="1996"/>
      <c r="P238" s="1996"/>
      <c r="Q238" s="1996"/>
      <c r="R238" s="1996"/>
      <c r="S238" s="1996"/>
      <c r="T238" s="1996"/>
      <c r="U238" s="1996"/>
      <c r="V238" s="1996"/>
      <c r="W238" s="1996"/>
      <c r="X238" s="1996"/>
      <c r="AA238" s="603"/>
      <c r="AB238" s="603"/>
      <c r="AC238" s="603"/>
      <c r="AD238" s="603"/>
      <c r="AE238" s="603"/>
      <c r="AF238" s="603"/>
      <c r="AG238" s="603"/>
      <c r="AH238" s="603"/>
      <c r="AI238" s="603"/>
      <c r="AJ238" s="603"/>
    </row>
    <row r="239" spans="1:36" ht="15.75" customHeight="1">
      <c r="A239" s="1996"/>
      <c r="B239" s="1996"/>
      <c r="C239" s="1996"/>
      <c r="D239" s="1996"/>
      <c r="E239" s="1996"/>
      <c r="F239" s="1996"/>
      <c r="G239" s="1996"/>
      <c r="H239" s="1996"/>
      <c r="I239" s="1996"/>
      <c r="J239" s="1996"/>
      <c r="K239" s="1996"/>
      <c r="L239" s="1996"/>
      <c r="M239" s="1996"/>
      <c r="N239" s="1996"/>
      <c r="O239" s="1996"/>
      <c r="P239" s="1996"/>
      <c r="Q239" s="1996"/>
      <c r="R239" s="1996"/>
      <c r="S239" s="1996"/>
      <c r="T239" s="1996"/>
      <c r="U239" s="1996"/>
      <c r="V239" s="1996"/>
      <c r="W239" s="1996"/>
      <c r="X239" s="1996"/>
      <c r="AA239" s="603"/>
      <c r="AB239" s="603"/>
      <c r="AC239" s="603"/>
      <c r="AD239" s="603"/>
      <c r="AE239" s="603"/>
      <c r="AF239" s="603"/>
      <c r="AG239" s="603"/>
      <c r="AH239" s="603"/>
      <c r="AI239" s="603"/>
      <c r="AJ239" s="603"/>
    </row>
    <row r="240" spans="1:36" ht="15.75" customHeight="1">
      <c r="A240" s="1996"/>
      <c r="B240" s="1996"/>
      <c r="C240" s="1996"/>
      <c r="D240" s="1996"/>
      <c r="E240" s="1996"/>
      <c r="F240" s="1996"/>
      <c r="G240" s="1996"/>
      <c r="H240" s="1996"/>
      <c r="I240" s="1996"/>
      <c r="J240" s="1996"/>
      <c r="K240" s="1996"/>
      <c r="L240" s="1996"/>
      <c r="M240" s="1996"/>
      <c r="N240" s="1996"/>
      <c r="O240" s="1996"/>
      <c r="P240" s="1996"/>
      <c r="Q240" s="1996"/>
      <c r="R240" s="1996"/>
      <c r="S240" s="1996"/>
      <c r="T240" s="1996"/>
      <c r="U240" s="1996"/>
      <c r="V240" s="1996"/>
      <c r="W240" s="1996"/>
      <c r="X240" s="1996"/>
      <c r="AA240" s="604"/>
      <c r="AB240" s="604"/>
      <c r="AC240" s="604"/>
      <c r="AD240" s="604"/>
      <c r="AE240" s="604"/>
      <c r="AF240" s="604"/>
      <c r="AG240" s="604"/>
      <c r="AH240" s="604"/>
      <c r="AI240" s="604"/>
      <c r="AJ240" s="604"/>
    </row>
    <row r="241" spans="1:36" ht="15.75" customHeight="1">
      <c r="A241" s="1996"/>
      <c r="B241" s="1996"/>
      <c r="C241" s="1996"/>
      <c r="D241" s="1996"/>
      <c r="E241" s="1996"/>
      <c r="F241" s="1996"/>
      <c r="G241" s="1996"/>
      <c r="H241" s="1996"/>
      <c r="I241" s="1996"/>
      <c r="J241" s="1996"/>
      <c r="K241" s="1996"/>
      <c r="L241" s="1996"/>
      <c r="M241" s="1996"/>
      <c r="N241" s="1996"/>
      <c r="O241" s="1996"/>
      <c r="P241" s="1996"/>
      <c r="Q241" s="1996"/>
      <c r="R241" s="1996"/>
      <c r="S241" s="1996"/>
      <c r="T241" s="1996"/>
      <c r="U241" s="1996"/>
      <c r="V241" s="1996"/>
      <c r="W241" s="1996"/>
      <c r="X241" s="1996"/>
      <c r="AA241" s="604"/>
      <c r="AB241" s="604"/>
      <c r="AC241" s="604"/>
      <c r="AD241" s="604"/>
      <c r="AE241" s="604"/>
      <c r="AF241" s="604"/>
      <c r="AG241" s="604"/>
      <c r="AH241" s="604"/>
      <c r="AI241" s="604"/>
      <c r="AJ241" s="604"/>
    </row>
    <row r="242" spans="1:36" ht="15.75" customHeight="1">
      <c r="A242" s="1996"/>
      <c r="B242" s="1996"/>
      <c r="C242" s="1996"/>
      <c r="D242" s="1996"/>
      <c r="E242" s="1996"/>
      <c r="F242" s="1996"/>
      <c r="G242" s="1996"/>
      <c r="H242" s="1996"/>
      <c r="I242" s="1996"/>
      <c r="J242" s="1996"/>
      <c r="K242" s="1996"/>
      <c r="L242" s="1996"/>
      <c r="M242" s="1996"/>
      <c r="N242" s="1996"/>
      <c r="O242" s="1996"/>
      <c r="P242" s="1996"/>
      <c r="Q242" s="1996"/>
      <c r="R242" s="1996"/>
      <c r="S242" s="1996"/>
      <c r="T242" s="1996"/>
      <c r="U242" s="1996"/>
      <c r="V242" s="1996"/>
      <c r="W242" s="1996"/>
      <c r="X242" s="1996"/>
      <c r="AA242" s="604"/>
      <c r="AB242" s="604"/>
      <c r="AC242" s="604"/>
      <c r="AD242" s="604"/>
      <c r="AE242" s="604"/>
      <c r="AF242" s="604"/>
      <c r="AG242" s="604"/>
      <c r="AH242" s="604"/>
      <c r="AI242" s="604"/>
      <c r="AJ242" s="604"/>
    </row>
    <row r="243" spans="1:36" ht="16.5" customHeight="1">
      <c r="A243" s="1996"/>
      <c r="B243" s="1996"/>
      <c r="C243" s="1996"/>
      <c r="D243" s="1996"/>
      <c r="E243" s="1996"/>
      <c r="F243" s="1996"/>
      <c r="G243" s="1996"/>
      <c r="H243" s="1996"/>
      <c r="I243" s="1996"/>
      <c r="J243" s="1996"/>
      <c r="K243" s="1996"/>
      <c r="L243" s="1996"/>
      <c r="M243" s="1996"/>
      <c r="N243" s="1996"/>
      <c r="O243" s="1996"/>
      <c r="P243" s="1996"/>
      <c r="Q243" s="1996"/>
      <c r="R243" s="1996"/>
      <c r="S243" s="1996"/>
      <c r="T243" s="1996"/>
      <c r="U243" s="1996"/>
      <c r="V243" s="1996"/>
      <c r="W243" s="1996"/>
      <c r="X243" s="1996"/>
      <c r="AA243" s="604"/>
      <c r="AB243" s="604"/>
      <c r="AC243" s="604"/>
      <c r="AD243" s="604"/>
      <c r="AE243" s="604"/>
      <c r="AF243" s="604"/>
      <c r="AG243" s="604"/>
      <c r="AH243" s="604"/>
      <c r="AI243" s="604"/>
      <c r="AJ243" s="604"/>
    </row>
    <row r="244" spans="1:36" ht="15.75" customHeight="1">
      <c r="A244" s="1996"/>
      <c r="B244" s="1996"/>
      <c r="C244" s="1996"/>
      <c r="D244" s="1996"/>
      <c r="E244" s="1996"/>
      <c r="F244" s="1996"/>
      <c r="G244" s="1996"/>
      <c r="H244" s="1996"/>
      <c r="I244" s="1996"/>
      <c r="J244" s="1996"/>
      <c r="K244" s="1996"/>
      <c r="L244" s="1996"/>
      <c r="M244" s="1996"/>
      <c r="N244" s="1996"/>
      <c r="O244" s="1996"/>
      <c r="P244" s="1996"/>
      <c r="Q244" s="1996"/>
      <c r="R244" s="1996"/>
      <c r="S244" s="1996"/>
      <c r="T244" s="1996"/>
      <c r="U244" s="1996"/>
      <c r="V244" s="1996"/>
      <c r="W244" s="1996"/>
      <c r="X244" s="1996"/>
    </row>
    <row r="245" spans="1:36">
      <c r="A245" s="1944" t="s">
        <v>4207</v>
      </c>
      <c r="B245" s="1944"/>
      <c r="C245" s="1944"/>
      <c r="D245" s="1944"/>
      <c r="E245" s="1944"/>
      <c r="F245" s="1944"/>
      <c r="G245" s="1944"/>
      <c r="H245" s="1944"/>
      <c r="I245" s="1944"/>
      <c r="J245" s="1944"/>
      <c r="K245" s="1944"/>
      <c r="L245" s="1944"/>
      <c r="M245" s="1944"/>
      <c r="N245" s="1944"/>
      <c r="O245" s="1944"/>
      <c r="P245" s="1944"/>
      <c r="Q245" s="1944"/>
      <c r="R245" s="1944"/>
      <c r="S245" s="1944"/>
      <c r="T245" s="1944"/>
      <c r="U245" s="1944"/>
      <c r="V245" s="1944"/>
      <c r="W245" s="1944"/>
      <c r="X245" s="1944"/>
    </row>
    <row r="246" spans="1:36" ht="42" customHeight="1">
      <c r="A246" s="1947" t="s">
        <v>4208</v>
      </c>
      <c r="B246" s="1947"/>
      <c r="C246" s="1947"/>
      <c r="D246" s="1947"/>
      <c r="E246" s="1947"/>
      <c r="F246" s="1947"/>
      <c r="G246" s="1947"/>
      <c r="H246" s="1947"/>
      <c r="I246" s="1947"/>
      <c r="J246" s="1947"/>
      <c r="K246" s="1947"/>
      <c r="L246" s="1947"/>
      <c r="M246" s="1947"/>
      <c r="N246" s="1947"/>
      <c r="O246" s="1947"/>
      <c r="P246" s="1947"/>
      <c r="Q246" s="1947"/>
      <c r="R246" s="1947"/>
      <c r="S246" s="1947"/>
      <c r="T246" s="1947"/>
      <c r="U246" s="1947"/>
      <c r="V246" s="1947"/>
      <c r="W246" s="1947"/>
      <c r="X246" s="1947"/>
    </row>
    <row r="247" spans="1:36" ht="30.75" customHeight="1">
      <c r="A247" s="1947" t="s">
        <v>4205</v>
      </c>
      <c r="B247" s="1947"/>
      <c r="C247" s="1947"/>
      <c r="D247" s="1947"/>
      <c r="E247" s="1947"/>
      <c r="F247" s="1947"/>
      <c r="G247" s="1947"/>
      <c r="H247" s="1947"/>
      <c r="I247" s="1947"/>
      <c r="J247" s="1947"/>
      <c r="K247" s="1947"/>
      <c r="L247" s="1947"/>
      <c r="M247" s="1947"/>
      <c r="N247" s="1947"/>
      <c r="O247" s="1947"/>
      <c r="P247" s="1947"/>
      <c r="Q247" s="1947"/>
      <c r="R247" s="1947"/>
      <c r="S247" s="1947"/>
      <c r="T247" s="1947"/>
      <c r="U247" s="1947"/>
      <c r="V247" s="1947"/>
      <c r="W247" s="1947"/>
      <c r="X247" s="1947"/>
    </row>
    <row r="248" spans="1:36" ht="45" customHeight="1">
      <c r="A248" s="2017" t="s">
        <v>4209</v>
      </c>
      <c r="B248" s="2017"/>
      <c r="C248" s="2017"/>
      <c r="D248" s="2017"/>
      <c r="E248" s="2017"/>
      <c r="F248" s="2017"/>
      <c r="G248" s="2017"/>
      <c r="H248" s="2017"/>
      <c r="I248" s="2017"/>
      <c r="J248" s="2017"/>
      <c r="K248" s="2017"/>
      <c r="L248" s="2017"/>
      <c r="M248" s="2017"/>
      <c r="N248" s="2017"/>
      <c r="O248" s="2017"/>
      <c r="P248" s="2017"/>
      <c r="Q248" s="2017"/>
      <c r="R248" s="2017"/>
      <c r="S248" s="2017"/>
      <c r="T248" s="2017"/>
      <c r="U248" s="2017"/>
      <c r="V248" s="2017"/>
      <c r="W248" s="2017"/>
      <c r="X248" s="2017"/>
    </row>
    <row r="249" spans="1:36">
      <c r="A249" s="1944" t="s">
        <v>4210</v>
      </c>
      <c r="B249" s="1944"/>
      <c r="C249" s="1944"/>
      <c r="D249" s="1944"/>
      <c r="E249" s="1944"/>
      <c r="F249" s="1944"/>
      <c r="G249" s="1944"/>
      <c r="H249" s="1944"/>
      <c r="I249" s="1944"/>
      <c r="J249" s="1944"/>
      <c r="K249" s="1944"/>
      <c r="L249" s="1944"/>
      <c r="M249" s="1944"/>
      <c r="N249" s="1944"/>
      <c r="O249" s="1944"/>
      <c r="P249" s="1944"/>
      <c r="Q249" s="1944"/>
      <c r="R249" s="1944"/>
      <c r="S249" s="1944"/>
      <c r="T249" s="1944"/>
      <c r="U249" s="1944"/>
      <c r="V249" s="1944"/>
      <c r="W249" s="1944"/>
      <c r="X249" s="1944"/>
    </row>
    <row r="250" spans="1:36" ht="36" customHeight="1">
      <c r="A250" s="2018" t="s">
        <v>4211</v>
      </c>
      <c r="B250" s="2018"/>
      <c r="C250" s="2018"/>
      <c r="D250" s="2018"/>
      <c r="E250" s="2018"/>
      <c r="F250" s="2018"/>
      <c r="G250" s="2018"/>
      <c r="H250" s="2018"/>
      <c r="I250" s="2018"/>
      <c r="J250" s="2018"/>
      <c r="K250" s="2018"/>
      <c r="L250" s="2018"/>
      <c r="M250" s="2018"/>
      <c r="N250" s="2018"/>
      <c r="O250" s="2018"/>
      <c r="P250" s="2018"/>
      <c r="Q250" s="2018"/>
      <c r="R250" s="2018"/>
      <c r="S250" s="2018"/>
      <c r="T250" s="2018"/>
      <c r="U250" s="2018"/>
      <c r="V250" s="2018"/>
      <c r="W250" s="2018"/>
      <c r="X250" s="2018"/>
    </row>
    <row r="251" spans="1:36" ht="16.5" customHeight="1">
      <c r="A251" s="2018" t="s">
        <v>4212</v>
      </c>
      <c r="B251" s="2018"/>
      <c r="C251" s="2018"/>
      <c r="D251" s="2018"/>
      <c r="E251" s="2018"/>
      <c r="F251" s="2018"/>
      <c r="G251" s="2018"/>
      <c r="H251" s="2018"/>
      <c r="I251" s="2018"/>
      <c r="J251" s="2018"/>
      <c r="K251" s="2018"/>
      <c r="L251" s="2018"/>
      <c r="M251" s="2018"/>
      <c r="N251" s="2018"/>
      <c r="O251" s="2018"/>
      <c r="P251" s="2018"/>
      <c r="Q251" s="2018"/>
      <c r="R251" s="2018"/>
      <c r="S251" s="2018"/>
      <c r="T251" s="2018"/>
      <c r="U251" s="2018"/>
      <c r="V251" s="2018"/>
      <c r="W251" s="2018"/>
      <c r="X251" s="2018"/>
    </row>
    <row r="252" spans="1:36">
      <c r="A252" s="1944" t="s">
        <v>4213</v>
      </c>
      <c r="B252" s="1944"/>
      <c r="C252" s="1944"/>
      <c r="D252" s="1944"/>
      <c r="E252" s="1944"/>
      <c r="F252" s="1944"/>
      <c r="G252" s="1944"/>
      <c r="H252" s="1944"/>
      <c r="I252" s="1944"/>
      <c r="J252" s="1944"/>
      <c r="K252" s="1944"/>
      <c r="L252" s="1944"/>
      <c r="M252" s="1944"/>
      <c r="N252" s="1944"/>
      <c r="O252" s="1944"/>
      <c r="P252" s="1944"/>
      <c r="Q252" s="1944"/>
      <c r="R252" s="1944"/>
      <c r="S252" s="1944"/>
      <c r="T252" s="1944"/>
      <c r="U252" s="1944"/>
      <c r="V252" s="1944"/>
      <c r="W252" s="1944"/>
      <c r="X252" s="1944"/>
    </row>
    <row r="253" spans="1:36">
      <c r="A253" s="1948" t="s">
        <v>4214</v>
      </c>
      <c r="B253" s="1948"/>
      <c r="C253" s="1948"/>
      <c r="D253" s="1948"/>
      <c r="E253" s="1948"/>
      <c r="F253" s="1948"/>
      <c r="G253" s="1948"/>
      <c r="H253" s="1948"/>
      <c r="I253" s="1948"/>
      <c r="J253" s="1948"/>
      <c r="K253" s="1948"/>
      <c r="L253" s="1948"/>
      <c r="M253" s="1948"/>
      <c r="N253" s="1948"/>
      <c r="O253" s="1948"/>
      <c r="P253" s="1948"/>
      <c r="Q253" s="1948"/>
      <c r="R253" s="1948"/>
      <c r="S253" s="1948"/>
      <c r="T253" s="1948"/>
      <c r="U253" s="1948"/>
      <c r="V253" s="1948"/>
      <c r="W253" s="1948"/>
      <c r="X253" s="1948"/>
    </row>
    <row r="254" spans="1:36" ht="20.25">
      <c r="A254" s="2014" t="s">
        <v>4215</v>
      </c>
      <c r="B254" s="2014"/>
      <c r="C254" s="2014"/>
      <c r="D254" s="2014"/>
      <c r="E254" s="2014"/>
      <c r="F254" s="2014"/>
      <c r="G254" s="2014"/>
      <c r="H254" s="2014"/>
      <c r="I254" s="2014"/>
      <c r="J254" s="2014"/>
      <c r="K254" s="2014"/>
      <c r="L254" s="2014"/>
      <c r="M254" s="2014"/>
      <c r="N254" s="2014"/>
      <c r="O254" s="2014"/>
      <c r="P254" s="2014"/>
      <c r="Q254" s="2014"/>
      <c r="R254" s="2014"/>
      <c r="S254" s="2014"/>
      <c r="T254" s="2014"/>
      <c r="U254" s="2014"/>
      <c r="V254" s="2014"/>
      <c r="W254" s="2014"/>
      <c r="X254" s="2014"/>
    </row>
    <row r="255" spans="1:36" ht="17.25" customHeight="1">
      <c r="A255" s="2015" t="s">
        <v>4216</v>
      </c>
      <c r="B255" s="2016"/>
      <c r="C255" s="2016"/>
      <c r="D255" s="2016"/>
      <c r="E255" s="2016"/>
      <c r="F255" s="2016"/>
      <c r="G255" s="2016"/>
      <c r="H255" s="2016"/>
      <c r="I255" s="2016"/>
      <c r="J255" s="2016"/>
      <c r="K255" s="2016"/>
      <c r="L255" s="2016"/>
      <c r="M255" s="2016"/>
      <c r="N255" s="2016"/>
      <c r="O255" s="2016"/>
      <c r="P255" s="2016"/>
      <c r="Q255" s="2016"/>
      <c r="R255" s="2016"/>
      <c r="S255" s="2016"/>
      <c r="T255" s="2016"/>
      <c r="U255" s="2016"/>
      <c r="V255" s="2016"/>
      <c r="W255" s="2016"/>
      <c r="X255" s="2016"/>
    </row>
    <row r="256" spans="1:36">
      <c r="A256" s="1944" t="s">
        <v>4217</v>
      </c>
      <c r="B256" s="1944"/>
      <c r="C256" s="1944"/>
      <c r="D256" s="1944"/>
      <c r="E256" s="1944"/>
      <c r="F256" s="1944"/>
      <c r="G256" s="1944"/>
      <c r="H256" s="1944"/>
      <c r="I256" s="1944"/>
      <c r="J256" s="1944"/>
      <c r="K256" s="1944"/>
      <c r="L256" s="1944"/>
      <c r="M256" s="1944"/>
      <c r="N256" s="1944"/>
      <c r="O256" s="1944"/>
      <c r="P256" s="1944"/>
      <c r="Q256" s="1944"/>
      <c r="R256" s="1944"/>
      <c r="S256" s="1944"/>
      <c r="T256" s="1944"/>
      <c r="U256" s="1944"/>
      <c r="V256" s="1944"/>
      <c r="W256" s="1944"/>
      <c r="X256" s="1944"/>
    </row>
    <row r="257" spans="1:24" ht="36.75" customHeight="1">
      <c r="A257" s="1948" t="s">
        <v>4218</v>
      </c>
      <c r="B257" s="1948"/>
      <c r="C257" s="1948"/>
      <c r="D257" s="1948"/>
      <c r="E257" s="1948"/>
      <c r="F257" s="1948"/>
      <c r="G257" s="1948"/>
      <c r="H257" s="1948"/>
      <c r="I257" s="1948"/>
      <c r="J257" s="1948"/>
      <c r="K257" s="1948"/>
      <c r="L257" s="1948"/>
      <c r="M257" s="1948"/>
      <c r="N257" s="1948"/>
      <c r="O257" s="1948"/>
      <c r="P257" s="1948"/>
      <c r="Q257" s="1948"/>
      <c r="R257" s="1948"/>
      <c r="S257" s="1948"/>
      <c r="T257" s="1948"/>
      <c r="U257" s="1948"/>
      <c r="V257" s="1948"/>
      <c r="W257" s="1948"/>
      <c r="X257" s="1948"/>
    </row>
    <row r="258" spans="1:24">
      <c r="A258" s="1944" t="s">
        <v>4219</v>
      </c>
      <c r="B258" s="1944"/>
      <c r="C258" s="1944"/>
      <c r="D258" s="1944"/>
      <c r="E258" s="1944"/>
      <c r="F258" s="1944"/>
      <c r="G258" s="1944"/>
      <c r="H258" s="1944"/>
      <c r="I258" s="1944"/>
      <c r="J258" s="1944"/>
      <c r="K258" s="1944"/>
      <c r="L258" s="1944"/>
      <c r="M258" s="1944"/>
      <c r="N258" s="1944"/>
      <c r="O258" s="1944"/>
      <c r="P258" s="1944"/>
      <c r="Q258" s="1944"/>
      <c r="R258" s="1944"/>
      <c r="S258" s="1944"/>
      <c r="T258" s="1944"/>
      <c r="U258" s="1944"/>
      <c r="V258" s="1944"/>
      <c r="W258" s="1944"/>
      <c r="X258" s="1944"/>
    </row>
    <row r="259" spans="1:24" ht="54" customHeight="1">
      <c r="A259" s="1948" t="s">
        <v>4220</v>
      </c>
      <c r="B259" s="1948"/>
      <c r="C259" s="1948"/>
      <c r="D259" s="1948"/>
      <c r="E259" s="1948"/>
      <c r="F259" s="1948"/>
      <c r="G259" s="1948"/>
      <c r="H259" s="1948"/>
      <c r="I259" s="1948"/>
      <c r="J259" s="1948"/>
      <c r="K259" s="1948"/>
      <c r="L259" s="1948"/>
      <c r="M259" s="1948"/>
      <c r="N259" s="1948"/>
      <c r="O259" s="1948"/>
      <c r="P259" s="1948"/>
      <c r="Q259" s="1948"/>
      <c r="R259" s="1948"/>
      <c r="S259" s="1948"/>
      <c r="T259" s="1948"/>
      <c r="U259" s="1948"/>
      <c r="V259" s="1948"/>
      <c r="W259" s="1948"/>
      <c r="X259" s="1948"/>
    </row>
    <row r="260" spans="1:24">
      <c r="A260" s="1950" t="s">
        <v>4221</v>
      </c>
      <c r="B260" s="1950"/>
      <c r="C260" s="1950"/>
      <c r="D260" s="1950"/>
      <c r="E260" s="1950"/>
      <c r="F260" s="1950"/>
      <c r="G260" s="1950"/>
      <c r="H260" s="1950"/>
      <c r="I260" s="1950"/>
      <c r="J260" s="1950"/>
      <c r="K260" s="1950"/>
      <c r="L260" s="1950"/>
      <c r="M260" s="1950"/>
      <c r="N260" s="1950"/>
      <c r="O260" s="1950"/>
      <c r="P260" s="1950"/>
      <c r="Q260" s="1950"/>
      <c r="R260" s="1950"/>
      <c r="S260" s="1950"/>
      <c r="T260" s="1950"/>
      <c r="U260" s="1950"/>
      <c r="V260" s="1950"/>
      <c r="W260" s="1950"/>
      <c r="X260" s="1950"/>
    </row>
    <row r="261" spans="1:24">
      <c r="A261" s="1948" t="s">
        <v>4222</v>
      </c>
      <c r="B261" s="1948"/>
      <c r="C261" s="1948"/>
      <c r="D261" s="1948"/>
      <c r="E261" s="1948"/>
      <c r="F261" s="1948"/>
      <c r="G261" s="1948"/>
      <c r="H261" s="1948"/>
      <c r="I261" s="1948"/>
      <c r="J261" s="1948"/>
      <c r="K261" s="1948"/>
      <c r="L261" s="1948"/>
      <c r="M261" s="1948"/>
      <c r="N261" s="1948"/>
      <c r="O261" s="1948"/>
      <c r="P261" s="1948"/>
      <c r="Q261" s="1948"/>
      <c r="R261" s="1948"/>
      <c r="S261" s="1948"/>
      <c r="T261" s="1948"/>
      <c r="U261" s="1948"/>
      <c r="V261" s="1948"/>
      <c r="W261" s="1948"/>
      <c r="X261" s="1948"/>
    </row>
    <row r="262" spans="1:24">
      <c r="A262" s="1944" t="s">
        <v>4223</v>
      </c>
      <c r="B262" s="1944"/>
      <c r="C262" s="1944"/>
      <c r="D262" s="1944"/>
      <c r="E262" s="1944"/>
      <c r="F262" s="1944"/>
      <c r="G262" s="1944"/>
      <c r="H262" s="1944"/>
      <c r="I262" s="1944"/>
      <c r="J262" s="1944"/>
      <c r="K262" s="1944"/>
      <c r="L262" s="1944"/>
      <c r="M262" s="1944"/>
      <c r="N262" s="1944"/>
      <c r="O262" s="1944"/>
      <c r="P262" s="1944"/>
      <c r="Q262" s="1944"/>
      <c r="R262" s="1944"/>
      <c r="S262" s="1944"/>
      <c r="T262" s="1944"/>
      <c r="U262" s="1944"/>
      <c r="V262" s="1944"/>
      <c r="W262" s="1944"/>
      <c r="X262" s="1944"/>
    </row>
    <row r="263" spans="1:24" ht="59.25" customHeight="1">
      <c r="A263" s="1944" t="s">
        <v>4224</v>
      </c>
      <c r="B263" s="1944"/>
      <c r="C263" s="1944"/>
      <c r="D263" s="1944"/>
      <c r="E263" s="1944"/>
      <c r="F263" s="1944"/>
      <c r="G263" s="1944"/>
      <c r="H263" s="1944"/>
      <c r="I263" s="1944"/>
      <c r="J263" s="1944"/>
      <c r="K263" s="1944"/>
      <c r="L263" s="1944"/>
      <c r="M263" s="1944"/>
      <c r="N263" s="1944"/>
      <c r="O263" s="1944"/>
      <c r="P263" s="1944"/>
      <c r="Q263" s="1944"/>
      <c r="R263" s="1944"/>
      <c r="S263" s="1944"/>
      <c r="T263" s="1944"/>
      <c r="U263" s="1944"/>
      <c r="V263" s="1944"/>
      <c r="W263" s="1944"/>
      <c r="X263" s="1944"/>
    </row>
    <row r="264" spans="1:24" ht="36.75" customHeight="1">
      <c r="A264" s="1944" t="s">
        <v>4225</v>
      </c>
      <c r="B264" s="1944"/>
      <c r="C264" s="1944"/>
      <c r="D264" s="1944"/>
      <c r="E264" s="1944"/>
      <c r="F264" s="1944"/>
      <c r="G264" s="1944"/>
      <c r="H264" s="1944"/>
      <c r="I264" s="1944"/>
      <c r="J264" s="1944"/>
      <c r="K264" s="1944"/>
      <c r="L264" s="1944"/>
      <c r="M264" s="1944"/>
      <c r="N264" s="1944"/>
      <c r="O264" s="1944"/>
      <c r="P264" s="1944"/>
      <c r="Q264" s="1944"/>
      <c r="R264" s="1944"/>
      <c r="S264" s="1944"/>
      <c r="T264" s="1944"/>
      <c r="U264" s="1944"/>
      <c r="V264" s="1944"/>
      <c r="W264" s="1944"/>
      <c r="X264" s="1944"/>
    </row>
    <row r="265" spans="1:24">
      <c r="A265" s="1944" t="s">
        <v>4226</v>
      </c>
      <c r="B265" s="1944"/>
      <c r="C265" s="1944"/>
      <c r="D265" s="1944"/>
      <c r="E265" s="1944"/>
      <c r="F265" s="1944"/>
      <c r="G265" s="1944"/>
      <c r="H265" s="1944"/>
      <c r="I265" s="1944"/>
      <c r="J265" s="1944"/>
      <c r="K265" s="1944"/>
      <c r="L265" s="1944"/>
      <c r="M265" s="1944"/>
      <c r="N265" s="1944"/>
      <c r="O265" s="1944"/>
      <c r="P265" s="1944"/>
      <c r="Q265" s="1944"/>
      <c r="R265" s="1944"/>
      <c r="S265" s="1944"/>
      <c r="T265" s="1944"/>
      <c r="U265" s="1944"/>
      <c r="V265" s="1944"/>
      <c r="W265" s="1944"/>
      <c r="X265" s="1944"/>
    </row>
    <row r="266" spans="1:24">
      <c r="A266" s="602"/>
      <c r="B266" s="1944" t="s">
        <v>4240</v>
      </c>
      <c r="C266" s="1944"/>
      <c r="D266" s="1944"/>
      <c r="E266" s="1944"/>
      <c r="F266" s="1944"/>
      <c r="G266" s="1944"/>
      <c r="H266" s="1944"/>
      <c r="I266" s="1944"/>
      <c r="J266" s="1944"/>
      <c r="K266" s="1944"/>
      <c r="L266" s="1944"/>
      <c r="M266" s="1944"/>
      <c r="N266" s="1944"/>
      <c r="O266" s="1944"/>
      <c r="P266" s="602"/>
      <c r="Q266" s="602"/>
      <c r="R266" s="602"/>
      <c r="S266" s="602"/>
      <c r="T266" s="602"/>
      <c r="U266" s="602"/>
      <c r="V266" s="602"/>
      <c r="W266" s="602"/>
      <c r="X266" s="602"/>
    </row>
    <row r="267" spans="1:24" ht="18" customHeight="1">
      <c r="A267" s="602"/>
      <c r="B267" s="1951">
        <v>2134</v>
      </c>
      <c r="C267" s="1951"/>
      <c r="D267" s="1951"/>
      <c r="E267" s="572" t="s">
        <v>4148</v>
      </c>
      <c r="F267" s="1952">
        <f>$K$45</f>
        <v>6.4460000000000003E-2</v>
      </c>
      <c r="G267" s="1953"/>
      <c r="H267" s="1953"/>
      <c r="I267" s="1953"/>
      <c r="J267" s="572" t="s">
        <v>4138</v>
      </c>
      <c r="K267" s="1945">
        <f>B267*F267</f>
        <v>137.55764000000002</v>
      </c>
      <c r="L267" s="1945"/>
      <c r="M267" s="1945"/>
      <c r="N267" s="1945"/>
      <c r="O267" s="551" t="s">
        <v>4179</v>
      </c>
      <c r="P267" s="602"/>
      <c r="Q267" s="602"/>
      <c r="R267" s="602"/>
      <c r="S267" s="602"/>
      <c r="T267" s="602"/>
      <c r="U267" s="602"/>
      <c r="V267" s="602"/>
      <c r="W267" s="602"/>
      <c r="X267" s="602"/>
    </row>
    <row r="268" spans="1:24">
      <c r="A268" s="602"/>
      <c r="B268" s="1944" t="s">
        <v>4241</v>
      </c>
      <c r="C268" s="1944"/>
      <c r="D268" s="1944"/>
      <c r="E268" s="1944"/>
      <c r="F268" s="1944"/>
      <c r="G268" s="1944"/>
      <c r="H268" s="1944"/>
      <c r="I268" s="1944"/>
      <c r="J268" s="1944"/>
      <c r="K268" s="1944"/>
      <c r="L268" s="1944"/>
      <c r="M268" s="1944"/>
      <c r="N268" s="1944"/>
      <c r="O268" s="1944"/>
      <c r="P268" s="602"/>
      <c r="Q268" s="602"/>
      <c r="R268" s="602"/>
      <c r="S268" s="602"/>
      <c r="T268" s="602"/>
      <c r="U268" s="602"/>
      <c r="V268" s="602"/>
      <c r="W268" s="602"/>
      <c r="X268" s="602"/>
    </row>
    <row r="269" spans="1:24" ht="31.5">
      <c r="A269" s="602"/>
      <c r="B269" s="1951">
        <v>500</v>
      </c>
      <c r="C269" s="1951"/>
      <c r="D269" s="1951"/>
      <c r="E269" s="572" t="s">
        <v>4148</v>
      </c>
      <c r="F269" s="1952">
        <f>$K$45</f>
        <v>6.4460000000000003E-2</v>
      </c>
      <c r="G269" s="1953"/>
      <c r="H269" s="1953"/>
      <c r="I269" s="1953"/>
      <c r="J269" s="572" t="s">
        <v>4138</v>
      </c>
      <c r="K269" s="1945">
        <f>B269*F269</f>
        <v>32.230000000000004</v>
      </c>
      <c r="L269" s="1945"/>
      <c r="M269" s="1945"/>
      <c r="N269" s="1945"/>
      <c r="O269" s="551" t="s">
        <v>4179</v>
      </c>
      <c r="P269" s="602"/>
      <c r="Q269" s="602"/>
      <c r="R269" s="602"/>
      <c r="S269" s="602"/>
      <c r="T269" s="602"/>
      <c r="U269" s="602"/>
      <c r="V269" s="602"/>
      <c r="W269" s="602"/>
      <c r="X269" s="602"/>
    </row>
    <row r="270" spans="1:24">
      <c r="A270" s="602"/>
      <c r="B270" s="1944" t="s">
        <v>4241</v>
      </c>
      <c r="C270" s="1944"/>
      <c r="D270" s="1944"/>
      <c r="E270" s="1944"/>
      <c r="F270" s="1944"/>
      <c r="G270" s="1944"/>
      <c r="H270" s="1944"/>
      <c r="I270" s="1944"/>
      <c r="J270" s="1944"/>
      <c r="K270" s="1944"/>
      <c r="L270" s="1944"/>
      <c r="M270" s="1944"/>
      <c r="N270" s="1944"/>
      <c r="O270" s="1944"/>
      <c r="P270" s="602"/>
      <c r="Q270" s="602"/>
      <c r="R270" s="602"/>
      <c r="S270" s="602"/>
      <c r="T270" s="602"/>
      <c r="U270" s="602"/>
      <c r="V270" s="602"/>
      <c r="W270" s="602"/>
      <c r="X270" s="602"/>
    </row>
    <row r="271" spans="1:24" ht="31.5">
      <c r="A271" s="602"/>
      <c r="B271" s="1951">
        <v>250</v>
      </c>
      <c r="C271" s="1951"/>
      <c r="D271" s="1951"/>
      <c r="E271" s="572" t="s">
        <v>4148</v>
      </c>
      <c r="F271" s="1952">
        <f>$K$45</f>
        <v>6.4460000000000003E-2</v>
      </c>
      <c r="G271" s="1953"/>
      <c r="H271" s="1953"/>
      <c r="I271" s="1953"/>
      <c r="J271" s="572" t="s">
        <v>4138</v>
      </c>
      <c r="K271" s="1945">
        <f>B271*F271</f>
        <v>16.115000000000002</v>
      </c>
      <c r="L271" s="1945"/>
      <c r="M271" s="1945"/>
      <c r="N271" s="1945"/>
      <c r="O271" s="551" t="s">
        <v>4179</v>
      </c>
      <c r="P271" s="602"/>
      <c r="Q271" s="602"/>
      <c r="R271" s="602"/>
      <c r="S271" s="602"/>
      <c r="T271" s="602"/>
      <c r="U271" s="602"/>
      <c r="V271" s="602"/>
      <c r="W271" s="602"/>
      <c r="X271" s="602"/>
    </row>
    <row r="272" spans="1:24">
      <c r="A272" s="602"/>
      <c r="B272" s="602"/>
      <c r="C272" s="602"/>
      <c r="D272" s="602"/>
      <c r="E272" s="602"/>
      <c r="F272" s="602"/>
      <c r="G272" s="602"/>
      <c r="H272" s="602"/>
      <c r="I272" s="602"/>
      <c r="J272" s="602"/>
      <c r="K272" s="602"/>
      <c r="L272" s="602"/>
      <c r="M272" s="602"/>
      <c r="N272" s="602"/>
      <c r="O272" s="602"/>
      <c r="P272" s="602"/>
      <c r="Q272" s="602"/>
      <c r="R272" s="602"/>
      <c r="S272" s="602"/>
      <c r="T272" s="602"/>
      <c r="U272" s="602"/>
      <c r="V272" s="602"/>
      <c r="W272" s="602"/>
      <c r="X272" s="602"/>
    </row>
    <row r="273" spans="1:24">
      <c r="A273" s="602"/>
      <c r="B273" s="602"/>
      <c r="C273" s="602"/>
      <c r="D273" s="602"/>
      <c r="E273" s="602"/>
      <c r="F273" s="602"/>
      <c r="G273" s="602"/>
      <c r="H273" s="602"/>
      <c r="I273" s="602"/>
      <c r="J273" s="602"/>
      <c r="K273" s="602"/>
      <c r="L273" s="602"/>
      <c r="M273" s="602"/>
      <c r="N273" s="602"/>
      <c r="O273" s="602"/>
      <c r="P273" s="602"/>
      <c r="Q273" s="602"/>
      <c r="R273" s="602"/>
      <c r="S273" s="602"/>
      <c r="T273" s="602"/>
      <c r="U273" s="602"/>
      <c r="V273" s="602"/>
      <c r="W273" s="602"/>
      <c r="X273" s="602"/>
    </row>
    <row r="274" spans="1:24">
      <c r="A274" s="1944" t="s">
        <v>4227</v>
      </c>
      <c r="B274" s="1944"/>
      <c r="C274" s="1944"/>
      <c r="D274" s="1944"/>
      <c r="E274" s="1944"/>
      <c r="F274" s="1944"/>
      <c r="G274" s="1944"/>
      <c r="H274" s="1944"/>
      <c r="I274" s="1944"/>
      <c r="J274" s="1944"/>
      <c r="K274" s="1944"/>
      <c r="L274" s="1944"/>
      <c r="M274" s="1944"/>
      <c r="N274" s="1944"/>
      <c r="O274" s="1944"/>
      <c r="P274" s="1944"/>
      <c r="Q274" s="1944"/>
      <c r="R274" s="1944"/>
      <c r="S274" s="1944"/>
      <c r="T274" s="1944"/>
      <c r="U274" s="1944"/>
      <c r="V274" s="1944"/>
      <c r="W274" s="1944"/>
      <c r="X274" s="1944"/>
    </row>
    <row r="275" spans="1:24">
      <c r="A275" s="1948" t="s">
        <v>4228</v>
      </c>
      <c r="B275" s="1948"/>
      <c r="C275" s="1948"/>
      <c r="D275" s="1948"/>
      <c r="E275" s="1948"/>
      <c r="F275" s="1948"/>
      <c r="G275" s="1948"/>
      <c r="H275" s="1948"/>
      <c r="I275" s="1948"/>
      <c r="J275" s="1948"/>
      <c r="K275" s="1948"/>
      <c r="L275" s="1948"/>
      <c r="M275" s="1948"/>
      <c r="N275" s="1948"/>
      <c r="O275" s="1948"/>
      <c r="P275" s="1948"/>
      <c r="Q275" s="1948"/>
      <c r="R275" s="1948"/>
      <c r="S275" s="1948"/>
      <c r="T275" s="1948"/>
      <c r="U275" s="1948"/>
      <c r="V275" s="1948"/>
      <c r="W275" s="1948"/>
      <c r="X275" s="1948"/>
    </row>
    <row r="276" spans="1:24" ht="43.5" customHeight="1">
      <c r="A276" s="1944" t="s">
        <v>4229</v>
      </c>
      <c r="B276" s="1944"/>
      <c r="C276" s="1944"/>
      <c r="D276" s="1944"/>
      <c r="E276" s="1944"/>
      <c r="F276" s="1944"/>
      <c r="G276" s="1944"/>
      <c r="H276" s="1944"/>
      <c r="I276" s="1944"/>
      <c r="J276" s="1944"/>
      <c r="K276" s="1944"/>
      <c r="L276" s="1944"/>
      <c r="M276" s="1944"/>
      <c r="N276" s="1944"/>
      <c r="O276" s="1944"/>
      <c r="P276" s="1944"/>
      <c r="Q276" s="1944"/>
      <c r="R276" s="1944"/>
      <c r="S276" s="1944"/>
      <c r="T276" s="1944"/>
      <c r="U276" s="1944"/>
      <c r="V276" s="1944"/>
      <c r="W276" s="1944"/>
      <c r="X276" s="1944"/>
    </row>
    <row r="277" spans="1:24" ht="63" customHeight="1">
      <c r="A277" s="1944" t="s">
        <v>4238</v>
      </c>
      <c r="B277" s="1944"/>
      <c r="C277" s="1944"/>
      <c r="D277" s="1944"/>
      <c r="E277" s="1944"/>
      <c r="F277" s="1944"/>
      <c r="G277" s="1944"/>
      <c r="H277" s="1944"/>
      <c r="I277" s="1944"/>
      <c r="J277" s="1944"/>
      <c r="K277" s="1944"/>
      <c r="L277" s="1944"/>
      <c r="M277" s="1944"/>
      <c r="N277" s="1944"/>
      <c r="O277" s="1944"/>
      <c r="P277" s="1944"/>
      <c r="Q277" s="1944"/>
      <c r="R277" s="1944"/>
      <c r="S277" s="1944"/>
      <c r="T277" s="1944"/>
      <c r="U277" s="1944"/>
      <c r="V277" s="1944"/>
      <c r="W277" s="1944"/>
      <c r="X277" s="1944"/>
    </row>
    <row r="278" spans="1:24">
      <c r="A278" s="1944" t="s">
        <v>4230</v>
      </c>
      <c r="B278" s="1944"/>
      <c r="C278" s="1944"/>
      <c r="D278" s="1944"/>
      <c r="E278" s="1944"/>
      <c r="F278" s="1944"/>
      <c r="G278" s="1944"/>
      <c r="H278" s="1944"/>
      <c r="I278" s="1944"/>
      <c r="J278" s="1944"/>
      <c r="K278" s="1944"/>
      <c r="L278" s="1944"/>
      <c r="M278" s="1944"/>
      <c r="N278" s="1944"/>
      <c r="O278" s="1944"/>
      <c r="P278" s="1944"/>
      <c r="Q278" s="1944"/>
      <c r="R278" s="1944"/>
      <c r="S278" s="1944"/>
      <c r="T278" s="1944"/>
      <c r="U278" s="1944"/>
      <c r="V278" s="1944"/>
      <c r="W278" s="1944"/>
      <c r="X278" s="1944"/>
    </row>
    <row r="279" spans="1:24" ht="12.75">
      <c r="A279" s="1947" t="s">
        <v>4231</v>
      </c>
      <c r="B279" s="1947"/>
      <c r="C279" s="1947"/>
      <c r="D279" s="1947"/>
      <c r="E279" s="1947"/>
      <c r="F279" s="1947"/>
      <c r="G279" s="1947"/>
      <c r="H279" s="1947"/>
      <c r="I279" s="1947"/>
      <c r="J279" s="1947"/>
      <c r="K279" s="1947"/>
      <c r="L279" s="1947"/>
      <c r="M279" s="1947"/>
      <c r="N279" s="1947"/>
      <c r="O279" s="1947"/>
      <c r="P279" s="1947"/>
      <c r="Q279" s="1947"/>
      <c r="R279" s="1947"/>
      <c r="S279" s="1947"/>
      <c r="T279" s="1947"/>
      <c r="U279" s="1947"/>
      <c r="V279" s="1947"/>
      <c r="W279" s="1947"/>
      <c r="X279" s="1947"/>
    </row>
    <row r="280" spans="1:24" ht="29.25" customHeight="1">
      <c r="A280" s="1946" t="s">
        <v>4232</v>
      </c>
      <c r="B280" s="1946"/>
      <c r="C280" s="1946"/>
      <c r="D280" s="1946"/>
      <c r="E280" s="1946"/>
      <c r="F280" s="1946"/>
      <c r="G280" s="1946"/>
      <c r="H280" s="1946"/>
      <c r="I280" s="1946"/>
      <c r="J280" s="1946"/>
      <c r="K280" s="1946"/>
      <c r="L280" s="1946"/>
      <c r="M280" s="1946"/>
      <c r="N280" s="1946"/>
      <c r="O280" s="1946"/>
      <c r="P280" s="1946"/>
      <c r="Q280" s="1946"/>
      <c r="R280" s="1946"/>
      <c r="S280" s="1946"/>
      <c r="T280" s="1946"/>
      <c r="U280" s="1946"/>
      <c r="V280" s="1946"/>
      <c r="W280" s="1946"/>
      <c r="X280" s="1946"/>
    </row>
    <row r="281" spans="1:24" ht="37.5" customHeight="1">
      <c r="A281" s="1944" t="s">
        <v>4233</v>
      </c>
      <c r="B281" s="1944"/>
      <c r="C281" s="1944"/>
      <c r="D281" s="1944"/>
      <c r="E281" s="1944"/>
      <c r="F281" s="1944"/>
      <c r="G281" s="1944"/>
      <c r="H281" s="1944"/>
      <c r="I281" s="1944"/>
      <c r="J281" s="1944"/>
      <c r="K281" s="1944"/>
      <c r="L281" s="1944"/>
      <c r="M281" s="1944"/>
      <c r="N281" s="1944"/>
      <c r="O281" s="1944"/>
      <c r="P281" s="1944"/>
      <c r="Q281" s="1944"/>
      <c r="R281" s="1944"/>
      <c r="S281" s="1944"/>
      <c r="T281" s="1944"/>
      <c r="U281" s="1944"/>
      <c r="V281" s="1944"/>
      <c r="W281" s="1944"/>
      <c r="X281" s="1944"/>
    </row>
    <row r="282" spans="1:24">
      <c r="A282" s="1944" t="s">
        <v>4234</v>
      </c>
      <c r="B282" s="1944"/>
      <c r="C282" s="1944"/>
      <c r="D282" s="1944"/>
      <c r="E282" s="1944"/>
      <c r="F282" s="1944"/>
      <c r="G282" s="1944"/>
      <c r="H282" s="1944"/>
      <c r="I282" s="1944"/>
      <c r="J282" s="1944"/>
      <c r="K282" s="1944"/>
      <c r="L282" s="1944"/>
      <c r="M282" s="1944"/>
      <c r="N282" s="1944"/>
      <c r="O282" s="1944"/>
      <c r="P282" s="1944"/>
      <c r="Q282" s="1944"/>
      <c r="R282" s="1944"/>
      <c r="S282" s="1944"/>
      <c r="T282" s="1944"/>
      <c r="U282" s="1944"/>
      <c r="V282" s="1944"/>
      <c r="W282" s="1944"/>
      <c r="X282" s="1944"/>
    </row>
    <row r="283" spans="1:24" ht="17.25" customHeight="1">
      <c r="A283" s="1948" t="s">
        <v>4235</v>
      </c>
      <c r="B283" s="1948"/>
      <c r="C283" s="1948"/>
      <c r="D283" s="1948"/>
      <c r="E283" s="1948"/>
      <c r="F283" s="1948"/>
      <c r="G283" s="1948"/>
      <c r="H283" s="1948"/>
      <c r="I283" s="1948"/>
      <c r="J283" s="1948"/>
      <c r="K283" s="1948"/>
      <c r="L283" s="1948"/>
      <c r="M283" s="1948"/>
      <c r="N283" s="1948"/>
      <c r="O283" s="1948"/>
      <c r="P283" s="1948"/>
      <c r="Q283" s="1948"/>
      <c r="R283" s="1948"/>
      <c r="S283" s="1948"/>
      <c r="T283" s="1948"/>
      <c r="U283" s="1948"/>
      <c r="V283" s="1948"/>
      <c r="W283" s="1948"/>
      <c r="X283" s="1948"/>
    </row>
    <row r="284" spans="1:24" ht="17.25" customHeight="1">
      <c r="A284" s="1948"/>
      <c r="B284" s="1948"/>
      <c r="C284" s="1948"/>
      <c r="D284" s="1948"/>
      <c r="E284" s="1948"/>
      <c r="F284" s="1948"/>
      <c r="G284" s="1948"/>
      <c r="H284" s="1948"/>
      <c r="I284" s="1948"/>
      <c r="J284" s="1948"/>
      <c r="K284" s="1948"/>
      <c r="L284" s="1948"/>
      <c r="M284" s="1948"/>
      <c r="N284" s="1948"/>
      <c r="O284" s="1948"/>
      <c r="P284" s="1948"/>
      <c r="Q284" s="1948"/>
      <c r="R284" s="1948"/>
      <c r="S284" s="1948"/>
      <c r="T284" s="1948"/>
      <c r="U284" s="1948"/>
      <c r="V284" s="1948"/>
      <c r="W284" s="1948"/>
      <c r="X284" s="1948"/>
    </row>
    <row r="285" spans="1:24" ht="17.25" customHeight="1">
      <c r="A285" s="1948"/>
      <c r="B285" s="1948"/>
      <c r="C285" s="1948"/>
      <c r="D285" s="1948"/>
      <c r="E285" s="1948"/>
      <c r="F285" s="1948"/>
      <c r="G285" s="1948"/>
      <c r="H285" s="1948"/>
      <c r="I285" s="1948"/>
      <c r="J285" s="1948"/>
      <c r="K285" s="1948"/>
      <c r="L285" s="1948"/>
      <c r="M285" s="1948"/>
      <c r="N285" s="1948"/>
      <c r="O285" s="1948"/>
      <c r="P285" s="1948"/>
      <c r="Q285" s="1948"/>
      <c r="R285" s="1948"/>
      <c r="S285" s="1948"/>
      <c r="T285" s="1948"/>
      <c r="U285" s="1948"/>
      <c r="V285" s="1948"/>
      <c r="W285" s="1948"/>
      <c r="X285" s="1948"/>
    </row>
    <row r="286" spans="1:24" ht="17.25" customHeight="1">
      <c r="A286" s="1948"/>
      <c r="B286" s="1948"/>
      <c r="C286" s="1948"/>
      <c r="D286" s="1948"/>
      <c r="E286" s="1948"/>
      <c r="F286" s="1948"/>
      <c r="G286" s="1948"/>
      <c r="H286" s="1948"/>
      <c r="I286" s="1948"/>
      <c r="J286" s="1948"/>
      <c r="K286" s="1948"/>
      <c r="L286" s="1948"/>
      <c r="M286" s="1948"/>
      <c r="N286" s="1948"/>
      <c r="O286" s="1948"/>
      <c r="P286" s="1948"/>
      <c r="Q286" s="1948"/>
      <c r="R286" s="1948"/>
      <c r="S286" s="1948"/>
      <c r="T286" s="1948"/>
      <c r="U286" s="1948"/>
      <c r="V286" s="1948"/>
      <c r="W286" s="1948"/>
      <c r="X286" s="1948"/>
    </row>
    <row r="287" spans="1:24" ht="17.25" customHeight="1">
      <c r="A287" s="1948"/>
      <c r="B287" s="1948"/>
      <c r="C287" s="1948"/>
      <c r="D287" s="1948"/>
      <c r="E287" s="1948"/>
      <c r="F287" s="1948"/>
      <c r="G287" s="1948"/>
      <c r="H287" s="1948"/>
      <c r="I287" s="1948"/>
      <c r="J287" s="1948"/>
      <c r="K287" s="1948"/>
      <c r="L287" s="1948"/>
      <c r="M287" s="1948"/>
      <c r="N287" s="1948"/>
      <c r="O287" s="1948"/>
      <c r="P287" s="1948"/>
      <c r="Q287" s="1948"/>
      <c r="R287" s="1948"/>
      <c r="S287" s="1948"/>
      <c r="T287" s="1948"/>
      <c r="U287" s="1948"/>
      <c r="V287" s="1948"/>
      <c r="W287" s="1948"/>
      <c r="X287" s="1948"/>
    </row>
    <row r="288" spans="1:24" ht="17.25" customHeight="1">
      <c r="A288" s="1948"/>
      <c r="B288" s="1948"/>
      <c r="C288" s="1948"/>
      <c r="D288" s="1948"/>
      <c r="E288" s="1948"/>
      <c r="F288" s="1948"/>
      <c r="G288" s="1948"/>
      <c r="H288" s="1948"/>
      <c r="I288" s="1948"/>
      <c r="J288" s="1948"/>
      <c r="K288" s="1948"/>
      <c r="L288" s="1948"/>
      <c r="M288" s="1948"/>
      <c r="N288" s="1948"/>
      <c r="O288" s="1948"/>
      <c r="P288" s="1948"/>
      <c r="Q288" s="1948"/>
      <c r="R288" s="1948"/>
      <c r="S288" s="1948"/>
      <c r="T288" s="1948"/>
      <c r="U288" s="1948"/>
      <c r="V288" s="1948"/>
      <c r="W288" s="1948"/>
      <c r="X288" s="1948"/>
    </row>
    <row r="289" spans="1:24" ht="43.5" customHeight="1">
      <c r="A289" s="1944" t="s">
        <v>4236</v>
      </c>
      <c r="B289" s="1944"/>
      <c r="C289" s="1944"/>
      <c r="D289" s="1944"/>
      <c r="E289" s="1944"/>
      <c r="F289" s="1944"/>
      <c r="G289" s="1944"/>
      <c r="H289" s="1944"/>
      <c r="I289" s="1944"/>
      <c r="J289" s="1944"/>
      <c r="K289" s="1944"/>
      <c r="L289" s="1944"/>
      <c r="M289" s="1944"/>
      <c r="N289" s="1944"/>
      <c r="O289" s="1944"/>
      <c r="P289" s="1944"/>
      <c r="Q289" s="1944"/>
      <c r="R289" s="1944"/>
      <c r="S289" s="1944"/>
      <c r="T289" s="1944"/>
      <c r="U289" s="1944"/>
      <c r="V289" s="1944"/>
      <c r="W289" s="1944"/>
      <c r="X289" s="1944"/>
    </row>
    <row r="290" spans="1:24" ht="35.25" customHeight="1">
      <c r="A290" s="1944" t="s">
        <v>4237</v>
      </c>
      <c r="B290" s="1944"/>
      <c r="C290" s="1944"/>
      <c r="D290" s="1944"/>
      <c r="E290" s="1944"/>
      <c r="F290" s="1944"/>
      <c r="G290" s="1944"/>
      <c r="H290" s="1944"/>
      <c r="I290" s="1944"/>
      <c r="J290" s="1944"/>
      <c r="K290" s="1944"/>
      <c r="L290" s="1944"/>
      <c r="M290" s="1944"/>
      <c r="N290" s="1944"/>
      <c r="O290" s="1944"/>
      <c r="P290" s="1944"/>
      <c r="Q290" s="1944"/>
      <c r="R290" s="1944"/>
      <c r="S290" s="1944"/>
      <c r="T290" s="1944"/>
      <c r="U290" s="1944"/>
      <c r="V290" s="1944"/>
      <c r="W290" s="1944"/>
      <c r="X290" s="1944"/>
    </row>
    <row r="291" spans="1:24" ht="12.75">
      <c r="A291" s="1947" t="s">
        <v>4231</v>
      </c>
      <c r="B291" s="1947"/>
      <c r="C291" s="1947"/>
      <c r="D291" s="1947"/>
      <c r="E291" s="1947"/>
      <c r="F291" s="1947"/>
      <c r="G291" s="1947"/>
      <c r="H291" s="1947"/>
      <c r="I291" s="1947"/>
      <c r="J291" s="1947"/>
      <c r="K291" s="1947"/>
      <c r="L291" s="1947"/>
      <c r="M291" s="1947"/>
      <c r="N291" s="1947"/>
      <c r="O291" s="1947"/>
      <c r="P291" s="1947"/>
      <c r="Q291" s="1947"/>
      <c r="R291" s="1947"/>
      <c r="S291" s="1947"/>
      <c r="T291" s="1947"/>
      <c r="U291" s="1947"/>
      <c r="V291" s="1947"/>
      <c r="W291" s="1947"/>
      <c r="X291" s="1947"/>
    </row>
    <row r="292" spans="1:24" ht="70.5" customHeight="1">
      <c r="A292" s="1949" t="s">
        <v>4239</v>
      </c>
      <c r="B292" s="1949"/>
      <c r="C292" s="1949"/>
      <c r="D292" s="1949"/>
      <c r="E292" s="1949"/>
      <c r="F292" s="1949"/>
      <c r="G292" s="1949"/>
      <c r="H292" s="1949"/>
      <c r="I292" s="1949"/>
      <c r="J292" s="1949"/>
      <c r="K292" s="1949"/>
      <c r="L292" s="1949"/>
      <c r="M292" s="1949"/>
      <c r="N292" s="1949"/>
      <c r="O292" s="1949"/>
      <c r="P292" s="1949"/>
      <c r="Q292" s="1949"/>
      <c r="R292" s="1949"/>
      <c r="S292" s="1949"/>
      <c r="T292" s="1949"/>
      <c r="U292" s="1949"/>
      <c r="V292" s="1949"/>
      <c r="W292" s="1949"/>
      <c r="X292" s="1949"/>
    </row>
    <row r="293" spans="1:24" ht="15.75" customHeight="1">
      <c r="A293" s="1968" t="s">
        <v>3483</v>
      </c>
      <c r="B293" s="1968"/>
      <c r="C293" s="1968"/>
      <c r="D293" s="1968"/>
      <c r="E293" s="1968"/>
      <c r="F293" s="1968"/>
      <c r="G293" s="1968"/>
      <c r="H293" s="1968"/>
      <c r="I293" s="1968"/>
      <c r="J293" s="1968"/>
      <c r="K293" s="1968"/>
      <c r="L293" s="1968"/>
      <c r="M293" s="1968"/>
      <c r="N293" s="1968"/>
      <c r="O293" s="1968"/>
      <c r="P293" s="1968"/>
      <c r="Q293" s="1968"/>
      <c r="R293" s="1968"/>
      <c r="S293" s="1968"/>
      <c r="T293" s="1968"/>
      <c r="U293" s="1968"/>
      <c r="V293" s="1968"/>
      <c r="W293" s="1968"/>
      <c r="X293" s="1968"/>
    </row>
    <row r="294" spans="1:24" ht="15" customHeight="1">
      <c r="A294" s="1968"/>
      <c r="B294" s="1968"/>
      <c r="C294" s="1968"/>
      <c r="D294" s="1968"/>
      <c r="E294" s="1968"/>
      <c r="F294" s="1968"/>
      <c r="G294" s="1968"/>
      <c r="H294" s="1968"/>
      <c r="I294" s="1968"/>
      <c r="J294" s="1968"/>
      <c r="K294" s="1968"/>
      <c r="L294" s="1968"/>
      <c r="M294" s="1968"/>
      <c r="N294" s="1968"/>
      <c r="O294" s="1968"/>
      <c r="P294" s="1968"/>
      <c r="Q294" s="1968"/>
      <c r="R294" s="1968"/>
      <c r="S294" s="1968"/>
      <c r="T294" s="1968"/>
      <c r="U294" s="1968"/>
      <c r="V294" s="1968"/>
      <c r="W294" s="1968"/>
      <c r="X294" s="1968"/>
    </row>
    <row r="295" spans="1:24" ht="12.75">
      <c r="A295" s="1968"/>
      <c r="B295" s="1968"/>
      <c r="C295" s="1968"/>
      <c r="D295" s="1968"/>
      <c r="E295" s="1968"/>
      <c r="F295" s="1968"/>
      <c r="G295" s="1968"/>
      <c r="H295" s="1968"/>
      <c r="I295" s="1968"/>
      <c r="J295" s="1968"/>
      <c r="K295" s="1968"/>
      <c r="L295" s="1968"/>
      <c r="M295" s="1968"/>
      <c r="N295" s="1968"/>
      <c r="O295" s="1968"/>
      <c r="P295" s="1968"/>
      <c r="Q295" s="1968"/>
      <c r="R295" s="1968"/>
      <c r="S295" s="1968"/>
      <c r="T295" s="1968"/>
      <c r="U295" s="1968"/>
      <c r="V295" s="1968"/>
      <c r="W295" s="1968"/>
      <c r="X295" s="1968"/>
    </row>
    <row r="296" spans="1:24" ht="12" customHeight="1">
      <c r="A296" s="1968"/>
      <c r="B296" s="1968"/>
      <c r="C296" s="1968"/>
      <c r="D296" s="1968"/>
      <c r="E296" s="1968"/>
      <c r="F296" s="1968"/>
      <c r="G296" s="1968"/>
      <c r="H296" s="1968"/>
      <c r="I296" s="1968"/>
      <c r="J296" s="1968"/>
      <c r="K296" s="1968"/>
      <c r="L296" s="1968"/>
      <c r="M296" s="1968"/>
      <c r="N296" s="1968"/>
      <c r="O296" s="1968"/>
      <c r="P296" s="1968"/>
      <c r="Q296" s="1968"/>
      <c r="R296" s="1968"/>
      <c r="S296" s="1968"/>
      <c r="T296" s="1968"/>
      <c r="U296" s="1968"/>
      <c r="V296" s="1968"/>
      <c r="W296" s="1968"/>
      <c r="X296" s="1968"/>
    </row>
    <row r="297" spans="1:24" ht="12" customHeight="1">
      <c r="A297" s="1968"/>
      <c r="B297" s="1968"/>
      <c r="C297" s="1968"/>
      <c r="D297" s="1968"/>
      <c r="E297" s="1968"/>
      <c r="F297" s="1968"/>
      <c r="G297" s="1968"/>
      <c r="H297" s="1968"/>
      <c r="I297" s="1968"/>
      <c r="J297" s="1968"/>
      <c r="K297" s="1968"/>
      <c r="L297" s="1968"/>
      <c r="M297" s="1968"/>
      <c r="N297" s="1968"/>
      <c r="O297" s="1968"/>
      <c r="P297" s="1968"/>
      <c r="Q297" s="1968"/>
      <c r="R297" s="1968"/>
      <c r="S297" s="1968"/>
      <c r="T297" s="1968"/>
      <c r="U297" s="1968"/>
      <c r="V297" s="1968"/>
      <c r="W297" s="1968"/>
      <c r="X297" s="1968"/>
    </row>
    <row r="298" spans="1:24" ht="12" customHeight="1">
      <c r="A298" s="1968"/>
      <c r="B298" s="1968"/>
      <c r="C298" s="1968"/>
      <c r="D298" s="1968"/>
      <c r="E298" s="1968"/>
      <c r="F298" s="1968"/>
      <c r="G298" s="1968"/>
      <c r="H298" s="1968"/>
      <c r="I298" s="1968"/>
      <c r="J298" s="1968"/>
      <c r="K298" s="1968"/>
      <c r="L298" s="1968"/>
      <c r="M298" s="1968"/>
      <c r="N298" s="1968"/>
      <c r="O298" s="1968"/>
      <c r="P298" s="1968"/>
      <c r="Q298" s="1968"/>
      <c r="R298" s="1968"/>
      <c r="S298" s="1968"/>
      <c r="T298" s="1968"/>
      <c r="U298" s="1968"/>
      <c r="V298" s="1968"/>
      <c r="W298" s="1968"/>
      <c r="X298" s="1968"/>
    </row>
    <row r="299" spans="1:24" ht="12" customHeight="1">
      <c r="A299" s="1968"/>
      <c r="B299" s="1968"/>
      <c r="C299" s="1968"/>
      <c r="D299" s="1968"/>
      <c r="E299" s="1968"/>
      <c r="F299" s="1968"/>
      <c r="G299" s="1968"/>
      <c r="H299" s="1968"/>
      <c r="I299" s="1968"/>
      <c r="J299" s="1968"/>
      <c r="K299" s="1968"/>
      <c r="L299" s="1968"/>
      <c r="M299" s="1968"/>
      <c r="N299" s="1968"/>
      <c r="O299" s="1968"/>
      <c r="P299" s="1968"/>
      <c r="Q299" s="1968"/>
      <c r="R299" s="1968"/>
      <c r="S299" s="1968"/>
      <c r="T299" s="1968"/>
      <c r="U299" s="1968"/>
      <c r="V299" s="1968"/>
      <c r="W299" s="1968"/>
      <c r="X299" s="1968"/>
    </row>
    <row r="300" spans="1:24" ht="12" customHeight="1">
      <c r="A300" s="1968"/>
      <c r="B300" s="1968"/>
      <c r="C300" s="1968"/>
      <c r="D300" s="1968"/>
      <c r="E300" s="1968"/>
      <c r="F300" s="1968"/>
      <c r="G300" s="1968"/>
      <c r="H300" s="1968"/>
      <c r="I300" s="1968"/>
      <c r="J300" s="1968"/>
      <c r="K300" s="1968"/>
      <c r="L300" s="1968"/>
      <c r="M300" s="1968"/>
      <c r="N300" s="1968"/>
      <c r="O300" s="1968"/>
      <c r="P300" s="1968"/>
      <c r="Q300" s="1968"/>
      <c r="R300" s="1968"/>
      <c r="S300" s="1968"/>
      <c r="T300" s="1968"/>
      <c r="U300" s="1968"/>
      <c r="V300" s="1968"/>
      <c r="W300" s="1968"/>
      <c r="X300" s="1968"/>
    </row>
    <row r="301" spans="1:24" ht="12" customHeight="1">
      <c r="A301" s="1968"/>
      <c r="B301" s="1968"/>
      <c r="C301" s="1968"/>
      <c r="D301" s="1968"/>
      <c r="E301" s="1968"/>
      <c r="F301" s="1968"/>
      <c r="G301" s="1968"/>
      <c r="H301" s="1968"/>
      <c r="I301" s="1968"/>
      <c r="J301" s="1968"/>
      <c r="K301" s="1968"/>
      <c r="L301" s="1968"/>
      <c r="M301" s="1968"/>
      <c r="N301" s="1968"/>
      <c r="O301" s="1968"/>
      <c r="P301" s="1968"/>
      <c r="Q301" s="1968"/>
      <c r="R301" s="1968"/>
      <c r="S301" s="1968"/>
      <c r="T301" s="1968"/>
      <c r="U301" s="1968"/>
      <c r="V301" s="1968"/>
      <c r="W301" s="1968"/>
      <c r="X301" s="1968"/>
    </row>
    <row r="302" spans="1:24" ht="12" customHeight="1">
      <c r="A302" s="1968"/>
      <c r="B302" s="1968"/>
      <c r="C302" s="1968"/>
      <c r="D302" s="1968"/>
      <c r="E302" s="1968"/>
      <c r="F302" s="1968"/>
      <c r="G302" s="1968"/>
      <c r="H302" s="1968"/>
      <c r="I302" s="1968"/>
      <c r="J302" s="1968"/>
      <c r="K302" s="1968"/>
      <c r="L302" s="1968"/>
      <c r="M302" s="1968"/>
      <c r="N302" s="1968"/>
      <c r="O302" s="1968"/>
      <c r="P302" s="1968"/>
      <c r="Q302" s="1968"/>
      <c r="R302" s="1968"/>
      <c r="S302" s="1968"/>
      <c r="T302" s="1968"/>
      <c r="U302" s="1968"/>
      <c r="V302" s="1968"/>
      <c r="W302" s="1968"/>
      <c r="X302" s="1968"/>
    </row>
    <row r="303" spans="1:24" ht="12" customHeight="1">
      <c r="A303" s="1968"/>
      <c r="B303" s="1968"/>
      <c r="C303" s="1968"/>
      <c r="D303" s="1968"/>
      <c r="E303" s="1968"/>
      <c r="F303" s="1968"/>
      <c r="G303" s="1968"/>
      <c r="H303" s="1968"/>
      <c r="I303" s="1968"/>
      <c r="J303" s="1968"/>
      <c r="K303" s="1968"/>
      <c r="L303" s="1968"/>
      <c r="M303" s="1968"/>
      <c r="N303" s="1968"/>
      <c r="O303" s="1968"/>
      <c r="P303" s="1968"/>
      <c r="Q303" s="1968"/>
      <c r="R303" s="1968"/>
      <c r="S303" s="1968"/>
      <c r="T303" s="1968"/>
      <c r="U303" s="1968"/>
      <c r="V303" s="1968"/>
      <c r="W303" s="1968"/>
      <c r="X303" s="1968"/>
    </row>
    <row r="304" spans="1:24" ht="12" customHeight="1">
      <c r="A304" s="1968"/>
      <c r="B304" s="1968"/>
      <c r="C304" s="1968"/>
      <c r="D304" s="1968"/>
      <c r="E304" s="1968"/>
      <c r="F304" s="1968"/>
      <c r="G304" s="1968"/>
      <c r="H304" s="1968"/>
      <c r="I304" s="1968"/>
      <c r="J304" s="1968"/>
      <c r="K304" s="1968"/>
      <c r="L304" s="1968"/>
      <c r="M304" s="1968"/>
      <c r="N304" s="1968"/>
      <c r="O304" s="1968"/>
      <c r="P304" s="1968"/>
      <c r="Q304" s="1968"/>
      <c r="R304" s="1968"/>
      <c r="S304" s="1968"/>
      <c r="T304" s="1968"/>
      <c r="U304" s="1968"/>
      <c r="V304" s="1968"/>
      <c r="W304" s="1968"/>
      <c r="X304" s="1968"/>
    </row>
    <row r="305" spans="1:24" ht="26.25" customHeight="1">
      <c r="A305" s="1968" t="s">
        <v>3484</v>
      </c>
      <c r="B305" s="1968"/>
      <c r="C305" s="1968"/>
      <c r="D305" s="1968"/>
      <c r="E305" s="1968"/>
      <c r="F305" s="1968"/>
      <c r="G305" s="1968"/>
      <c r="H305" s="1968"/>
      <c r="I305" s="1968"/>
      <c r="J305" s="1968"/>
      <c r="K305" s="1968"/>
      <c r="L305" s="1968"/>
      <c r="M305" s="1968"/>
      <c r="N305" s="1968"/>
      <c r="O305" s="1968"/>
      <c r="P305" s="1968"/>
      <c r="Q305" s="1968"/>
      <c r="R305" s="1968"/>
      <c r="S305" s="1968"/>
      <c r="T305" s="1968"/>
      <c r="U305" s="1968"/>
      <c r="V305" s="1968"/>
      <c r="W305" s="1968"/>
      <c r="X305" s="1968"/>
    </row>
    <row r="306" spans="1:24" ht="29.25" customHeight="1">
      <c r="A306" s="1411"/>
      <c r="B306" s="1411"/>
      <c r="C306" s="1411"/>
      <c r="D306" s="1411"/>
      <c r="E306" s="1411"/>
      <c r="F306" s="1411"/>
      <c r="G306" s="1411"/>
      <c r="H306" s="1411"/>
      <c r="I306" s="1411"/>
      <c r="J306" s="1411"/>
      <c r="K306" s="1411"/>
      <c r="L306" s="1411"/>
      <c r="M306" s="1411"/>
      <c r="N306" s="1411"/>
      <c r="O306" s="1411"/>
      <c r="P306" s="1411"/>
      <c r="Q306" s="1411"/>
      <c r="R306" s="1411"/>
      <c r="S306" s="1411"/>
      <c r="T306" s="1411"/>
      <c r="U306" s="1411"/>
      <c r="V306" s="1411"/>
      <c r="W306" s="1411"/>
      <c r="X306" s="1411"/>
    </row>
    <row r="307" spans="1:24" ht="15.75" customHeight="1">
      <c r="A307" s="1377"/>
      <c r="B307" s="1377"/>
      <c r="C307" s="1377"/>
      <c r="D307" s="1377"/>
      <c r="E307" s="1377"/>
      <c r="F307" s="1377"/>
      <c r="G307" s="1377"/>
      <c r="H307" s="1377"/>
      <c r="I307" s="1377"/>
      <c r="J307" s="1377"/>
      <c r="K307" s="1377"/>
      <c r="L307" s="1377"/>
      <c r="M307" s="1377"/>
      <c r="N307" s="1377"/>
      <c r="O307" s="1377"/>
      <c r="P307" s="1377"/>
      <c r="Q307" s="1377"/>
      <c r="R307" s="1377"/>
      <c r="S307" s="1377"/>
      <c r="T307" s="1377"/>
      <c r="U307" s="1377"/>
      <c r="V307" s="1377"/>
      <c r="W307" s="1377"/>
      <c r="X307" s="1377"/>
    </row>
    <row r="308" spans="1:24" ht="28.5" customHeight="1">
      <c r="A308" s="1377"/>
      <c r="B308" s="1377"/>
      <c r="C308" s="1377"/>
      <c r="D308" s="1377"/>
      <c r="E308" s="1377"/>
      <c r="F308" s="1377"/>
      <c r="G308" s="1377"/>
      <c r="H308" s="1377"/>
      <c r="I308" s="1377"/>
      <c r="J308" s="1377"/>
      <c r="K308" s="1377"/>
      <c r="L308" s="1377"/>
      <c r="M308" s="1377"/>
      <c r="N308" s="1377"/>
      <c r="O308" s="1377"/>
      <c r="P308" s="1377"/>
      <c r="Q308" s="1377"/>
      <c r="R308" s="1377"/>
      <c r="S308" s="1377"/>
      <c r="T308" s="1377"/>
      <c r="U308" s="1377"/>
      <c r="V308" s="1377"/>
      <c r="W308" s="1377"/>
      <c r="X308" s="1377"/>
    </row>
    <row r="309" spans="1:24" ht="27.75" customHeight="1">
      <c r="A309" s="1216"/>
      <c r="B309" s="1216"/>
      <c r="C309" s="1216"/>
      <c r="D309" s="1216"/>
      <c r="E309" s="1216"/>
      <c r="F309" s="1216"/>
      <c r="G309" s="1216"/>
      <c r="H309" s="1216"/>
      <c r="I309" s="1216"/>
      <c r="J309" s="1216"/>
      <c r="K309" s="1216"/>
      <c r="L309" s="1216"/>
      <c r="M309" s="1216"/>
      <c r="N309" s="1216"/>
      <c r="O309" s="1216"/>
      <c r="P309" s="1216"/>
      <c r="Q309" s="1216"/>
      <c r="R309" s="1216"/>
      <c r="S309" s="1216"/>
      <c r="T309" s="1216"/>
      <c r="U309" s="1216"/>
      <c r="V309" s="1216"/>
      <c r="W309" s="1216"/>
      <c r="X309" s="1216"/>
    </row>
    <row r="310" spans="1:24" ht="12.75">
      <c r="A310" s="1964" t="s">
        <v>3485</v>
      </c>
      <c r="B310" s="1964"/>
      <c r="C310" s="1964"/>
      <c r="D310" s="1964"/>
      <c r="E310" s="1964"/>
      <c r="F310" s="1964"/>
      <c r="G310" s="1964"/>
      <c r="H310" s="1964"/>
      <c r="I310" s="1964"/>
      <c r="J310" s="1964"/>
      <c r="K310" s="1964"/>
      <c r="L310" s="1964"/>
      <c r="M310" s="1964"/>
      <c r="N310" s="1964"/>
      <c r="O310" s="1964"/>
      <c r="P310" s="1964"/>
      <c r="Q310" s="1964"/>
      <c r="R310" s="1964"/>
      <c r="S310" s="1964"/>
      <c r="T310" s="1964"/>
      <c r="U310" s="1964"/>
      <c r="V310" s="1964"/>
      <c r="W310" s="1964"/>
      <c r="X310" s="1964"/>
    </row>
    <row r="311" spans="1:24" ht="12.75">
      <c r="A311" s="1964"/>
      <c r="B311" s="1964"/>
      <c r="C311" s="1964"/>
      <c r="D311" s="1964"/>
      <c r="E311" s="1964"/>
      <c r="F311" s="1964"/>
      <c r="G311" s="1964"/>
      <c r="H311" s="1964"/>
      <c r="I311" s="1964"/>
      <c r="J311" s="1964"/>
      <c r="K311" s="1964"/>
      <c r="L311" s="1964"/>
      <c r="M311" s="1964"/>
      <c r="N311" s="1964"/>
      <c r="O311" s="1964"/>
      <c r="P311" s="1964"/>
      <c r="Q311" s="1964"/>
      <c r="R311" s="1964"/>
      <c r="S311" s="1964"/>
      <c r="T311" s="1964"/>
      <c r="U311" s="1964"/>
      <c r="V311" s="1964"/>
      <c r="W311" s="1964"/>
      <c r="X311" s="1964"/>
    </row>
    <row r="312" spans="1:24" ht="12.75">
      <c r="A312" s="1964"/>
      <c r="B312" s="1964"/>
      <c r="C312" s="1964"/>
      <c r="D312" s="1964"/>
      <c r="E312" s="1964"/>
      <c r="F312" s="1964"/>
      <c r="G312" s="1964"/>
      <c r="H312" s="1964"/>
      <c r="I312" s="1964"/>
      <c r="J312" s="1964"/>
      <c r="K312" s="1964"/>
      <c r="L312" s="1964"/>
      <c r="M312" s="1964"/>
      <c r="N312" s="1964"/>
      <c r="O312" s="1964"/>
      <c r="P312" s="1964"/>
      <c r="Q312" s="1964"/>
      <c r="R312" s="1964"/>
      <c r="S312" s="1964"/>
      <c r="T312" s="1964"/>
      <c r="U312" s="1964"/>
      <c r="V312" s="1964"/>
      <c r="W312" s="1964"/>
      <c r="X312" s="1964"/>
    </row>
    <row r="313" spans="1:24" ht="12.75">
      <c r="A313" s="1964"/>
      <c r="B313" s="1964"/>
      <c r="C313" s="1964"/>
      <c r="D313" s="1964"/>
      <c r="E313" s="1964"/>
      <c r="F313" s="1964"/>
      <c r="G313" s="1964"/>
      <c r="H313" s="1964"/>
      <c r="I313" s="1964"/>
      <c r="J313" s="1964"/>
      <c r="K313" s="1964"/>
      <c r="L313" s="1964"/>
      <c r="M313" s="1964"/>
      <c r="N313" s="1964"/>
      <c r="O313" s="1964"/>
      <c r="P313" s="1964"/>
      <c r="Q313" s="1964"/>
      <c r="R313" s="1964"/>
      <c r="S313" s="1964"/>
      <c r="T313" s="1964"/>
      <c r="U313" s="1964"/>
      <c r="V313" s="1964"/>
      <c r="W313" s="1964"/>
      <c r="X313" s="1964"/>
    </row>
    <row r="314" spans="1:24" ht="12.75">
      <c r="A314" s="1964"/>
      <c r="B314" s="1964"/>
      <c r="C314" s="1964"/>
      <c r="D314" s="1964"/>
      <c r="E314" s="1964"/>
      <c r="F314" s="1964"/>
      <c r="G314" s="1964"/>
      <c r="H314" s="1964"/>
      <c r="I314" s="1964"/>
      <c r="J314" s="1964"/>
      <c r="K314" s="1964"/>
      <c r="L314" s="1964"/>
      <c r="M314" s="1964"/>
      <c r="N314" s="1964"/>
      <c r="O314" s="1964"/>
      <c r="P314" s="1964"/>
      <c r="Q314" s="1964"/>
      <c r="R314" s="1964"/>
      <c r="S314" s="1964"/>
      <c r="T314" s="1964"/>
      <c r="U314" s="1964"/>
      <c r="V314" s="1964"/>
      <c r="W314" s="1964"/>
      <c r="X314" s="1964"/>
    </row>
    <row r="315" spans="1:24" ht="27.75" customHeight="1">
      <c r="A315" s="1216"/>
      <c r="B315" s="1216"/>
      <c r="C315" s="1216"/>
      <c r="D315" s="1216"/>
      <c r="E315" s="1216"/>
      <c r="F315" s="1216"/>
      <c r="G315" s="1216"/>
      <c r="H315" s="1216"/>
      <c r="I315" s="1216"/>
      <c r="J315" s="1216"/>
      <c r="K315" s="1216"/>
      <c r="L315" s="1216"/>
      <c r="M315" s="1216"/>
      <c r="N315" s="1216"/>
      <c r="O315" s="1216"/>
      <c r="P315" s="1216"/>
      <c r="Q315" s="1216"/>
      <c r="R315" s="1216"/>
      <c r="S315" s="1216"/>
      <c r="T315" s="1216"/>
      <c r="U315" s="1216"/>
      <c r="V315" s="1216"/>
      <c r="W315" s="1216"/>
      <c r="X315" s="1216"/>
    </row>
    <row r="316" spans="1:24" ht="12.75" customHeight="1">
      <c r="A316" s="1996" t="s">
        <v>3486</v>
      </c>
      <c r="B316" s="1996"/>
      <c r="C316" s="1996"/>
      <c r="D316" s="1996"/>
      <c r="E316" s="1996"/>
      <c r="F316" s="1996"/>
      <c r="G316" s="1996"/>
      <c r="H316" s="1996"/>
      <c r="I316" s="1996"/>
      <c r="J316" s="1996"/>
      <c r="K316" s="1996"/>
      <c r="L316" s="1996"/>
      <c r="M316" s="1996"/>
      <c r="N316" s="1996"/>
      <c r="O316" s="1996"/>
      <c r="P316" s="1996"/>
      <c r="Q316" s="1996"/>
      <c r="R316" s="1996"/>
      <c r="S316" s="1996"/>
      <c r="T316" s="1996"/>
      <c r="U316" s="1996"/>
      <c r="V316" s="1996"/>
      <c r="W316" s="1996"/>
      <c r="X316" s="1996"/>
    </row>
    <row r="317" spans="1:24" ht="12.75" customHeight="1">
      <c r="A317" s="1996"/>
      <c r="B317" s="1996"/>
      <c r="C317" s="1996"/>
      <c r="D317" s="1996"/>
      <c r="E317" s="1996"/>
      <c r="F317" s="1996"/>
      <c r="G317" s="1996"/>
      <c r="H317" s="1996"/>
      <c r="I317" s="1996"/>
      <c r="J317" s="1996"/>
      <c r="K317" s="1996"/>
      <c r="L317" s="1996"/>
      <c r="M317" s="1996"/>
      <c r="N317" s="1996"/>
      <c r="O317" s="1996"/>
      <c r="P317" s="1996"/>
      <c r="Q317" s="1996"/>
      <c r="R317" s="1996"/>
      <c r="S317" s="1996"/>
      <c r="T317" s="1996"/>
      <c r="U317" s="1996"/>
      <c r="V317" s="1996"/>
      <c r="W317" s="1996"/>
      <c r="X317" s="1996"/>
    </row>
    <row r="318" spans="1:24" ht="12.75" customHeight="1">
      <c r="A318" s="1996"/>
      <c r="B318" s="1996"/>
      <c r="C318" s="1996"/>
      <c r="D318" s="1996"/>
      <c r="E318" s="1996"/>
      <c r="F318" s="1996"/>
      <c r="G318" s="1996"/>
      <c r="H318" s="1996"/>
      <c r="I318" s="1996"/>
      <c r="J318" s="1996"/>
      <c r="K318" s="1996"/>
      <c r="L318" s="1996"/>
      <c r="M318" s="1996"/>
      <c r="N318" s="1996"/>
      <c r="O318" s="1996"/>
      <c r="P318" s="1996"/>
      <c r="Q318" s="1996"/>
      <c r="R318" s="1996"/>
      <c r="S318" s="1996"/>
      <c r="T318" s="1996"/>
      <c r="U318" s="1996"/>
      <c r="V318" s="1996"/>
      <c r="W318" s="1996"/>
      <c r="X318" s="1996"/>
    </row>
    <row r="319" spans="1:24" ht="12.75" customHeight="1">
      <c r="A319" s="1996"/>
      <c r="B319" s="1996"/>
      <c r="C319" s="1996"/>
      <c r="D319" s="1996"/>
      <c r="E319" s="1996"/>
      <c r="F319" s="1996"/>
      <c r="G319" s="1996"/>
      <c r="H319" s="1996"/>
      <c r="I319" s="1996"/>
      <c r="J319" s="1996"/>
      <c r="K319" s="1996"/>
      <c r="L319" s="1996"/>
      <c r="M319" s="1996"/>
      <c r="N319" s="1996"/>
      <c r="O319" s="1996"/>
      <c r="P319" s="1996"/>
      <c r="Q319" s="1996"/>
      <c r="R319" s="1996"/>
      <c r="S319" s="1996"/>
      <c r="T319" s="1996"/>
      <c r="U319" s="1996"/>
      <c r="V319" s="1996"/>
      <c r="W319" s="1996"/>
      <c r="X319" s="1996"/>
    </row>
    <row r="320" spans="1:24" ht="12.75">
      <c r="A320" s="1996"/>
      <c r="B320" s="1996"/>
      <c r="C320" s="1996"/>
      <c r="D320" s="1996"/>
      <c r="E320" s="1996"/>
      <c r="F320" s="1996"/>
      <c r="G320" s="1996"/>
      <c r="H320" s="1996"/>
      <c r="I320" s="1996"/>
      <c r="J320" s="1996"/>
      <c r="K320" s="1996"/>
      <c r="L320" s="1996"/>
      <c r="M320" s="1996"/>
      <c r="N320" s="1996"/>
      <c r="O320" s="1996"/>
      <c r="P320" s="1996"/>
      <c r="Q320" s="1996"/>
      <c r="R320" s="1996"/>
      <c r="S320" s="1996"/>
      <c r="T320" s="1996"/>
      <c r="U320" s="1996"/>
      <c r="V320" s="1996"/>
      <c r="W320" s="1996"/>
      <c r="X320" s="1996"/>
    </row>
    <row r="321" spans="1:24" ht="12.75">
      <c r="A321" s="1996"/>
      <c r="B321" s="1996"/>
      <c r="C321" s="1996"/>
      <c r="D321" s="1996"/>
      <c r="E321" s="1996"/>
      <c r="F321" s="1996"/>
      <c r="G321" s="1996"/>
      <c r="H321" s="1996"/>
      <c r="I321" s="1996"/>
      <c r="J321" s="1996"/>
      <c r="K321" s="1996"/>
      <c r="L321" s="1996"/>
      <c r="M321" s="1996"/>
      <c r="N321" s="1996"/>
      <c r="O321" s="1996"/>
      <c r="P321" s="1996"/>
      <c r="Q321" s="1996"/>
      <c r="R321" s="1996"/>
      <c r="S321" s="1996"/>
      <c r="T321" s="1996"/>
      <c r="U321" s="1996"/>
      <c r="V321" s="1996"/>
      <c r="W321" s="1996"/>
      <c r="X321" s="1996"/>
    </row>
    <row r="322" spans="1:24">
      <c r="A322" s="1968" t="s">
        <v>3487</v>
      </c>
      <c r="B322" s="1968"/>
      <c r="C322" s="1968"/>
      <c r="D322" s="1968"/>
      <c r="E322" s="1968"/>
      <c r="F322" s="1968"/>
      <c r="G322" s="1968"/>
      <c r="H322" s="1968"/>
      <c r="I322" s="1968"/>
      <c r="J322" s="1968"/>
      <c r="K322" s="1968"/>
      <c r="L322" s="1968"/>
      <c r="M322" s="1968"/>
      <c r="N322" s="1968"/>
      <c r="O322" s="1968"/>
      <c r="P322" s="1968"/>
      <c r="Q322" s="1968"/>
      <c r="R322" s="1968"/>
      <c r="S322" s="1968"/>
      <c r="T322" s="1968"/>
      <c r="U322" s="1968"/>
      <c r="V322" s="1968"/>
      <c r="W322" s="1968"/>
      <c r="X322" s="1968"/>
    </row>
    <row r="323" spans="1:24" ht="12.75"/>
    <row r="324" spans="1:24" ht="12.75"/>
    <row r="325" spans="1:24" ht="15.75" customHeight="1">
      <c r="A325" s="1968" t="s">
        <v>3488</v>
      </c>
      <c r="B325" s="1968"/>
      <c r="C325" s="1968"/>
      <c r="D325" s="1968"/>
      <c r="E325" s="1968"/>
      <c r="F325" s="1968"/>
      <c r="G325" s="1968"/>
      <c r="H325" s="1968"/>
      <c r="I325" s="1968"/>
      <c r="J325" s="1968"/>
      <c r="K325" s="1968"/>
      <c r="L325" s="1968"/>
      <c r="M325" s="1968"/>
      <c r="N325" s="1968"/>
      <c r="O325" s="1968"/>
      <c r="P325" s="1968"/>
      <c r="Q325" s="1968"/>
      <c r="R325" s="1968"/>
      <c r="S325" s="1968"/>
      <c r="T325" s="1968"/>
      <c r="U325" s="1968"/>
      <c r="V325" s="1968"/>
      <c r="W325" s="1968"/>
      <c r="X325" s="1968"/>
    </row>
    <row r="326" spans="1:24" ht="12.75">
      <c r="A326" s="1968"/>
      <c r="B326" s="1968"/>
      <c r="C326" s="1968"/>
      <c r="D326" s="1968"/>
      <c r="E326" s="1968"/>
      <c r="F326" s="1968"/>
      <c r="G326" s="1968"/>
      <c r="H326" s="1968"/>
      <c r="I326" s="1968"/>
      <c r="J326" s="1968"/>
      <c r="K326" s="1968"/>
      <c r="L326" s="1968"/>
      <c r="M326" s="1968"/>
      <c r="N326" s="1968"/>
      <c r="O326" s="1968"/>
      <c r="P326" s="1968"/>
      <c r="Q326" s="1968"/>
      <c r="R326" s="1968"/>
      <c r="S326" s="1968"/>
      <c r="T326" s="1968"/>
      <c r="U326" s="1968"/>
      <c r="V326" s="1968"/>
      <c r="W326" s="1968"/>
      <c r="X326" s="1968"/>
    </row>
    <row r="327" spans="1:24" ht="12.75">
      <c r="A327" s="1968"/>
      <c r="B327" s="1968"/>
      <c r="C327" s="1968"/>
      <c r="D327" s="1968"/>
      <c r="E327" s="1968"/>
      <c r="F327" s="1968"/>
      <c r="G327" s="1968"/>
      <c r="H327" s="1968"/>
      <c r="I327" s="1968"/>
      <c r="J327" s="1968"/>
      <c r="K327" s="1968"/>
      <c r="L327" s="1968"/>
      <c r="M327" s="1968"/>
      <c r="N327" s="1968"/>
      <c r="O327" s="1968"/>
      <c r="P327" s="1968"/>
      <c r="Q327" s="1968"/>
      <c r="R327" s="1968"/>
      <c r="S327" s="1968"/>
      <c r="T327" s="1968"/>
      <c r="U327" s="1968"/>
      <c r="V327" s="1968"/>
      <c r="W327" s="1968"/>
      <c r="X327" s="1968"/>
    </row>
    <row r="328" spans="1:24" ht="12.75">
      <c r="A328" s="1968"/>
      <c r="B328" s="1968"/>
      <c r="C328" s="1968"/>
      <c r="D328" s="1968"/>
      <c r="E328" s="1968"/>
      <c r="F328" s="1968"/>
      <c r="G328" s="1968"/>
      <c r="H328" s="1968"/>
      <c r="I328" s="1968"/>
      <c r="J328" s="1968"/>
      <c r="K328" s="1968"/>
      <c r="L328" s="1968"/>
      <c r="M328" s="1968"/>
      <c r="N328" s="1968"/>
      <c r="O328" s="1968"/>
      <c r="P328" s="1968"/>
      <c r="Q328" s="1968"/>
      <c r="R328" s="1968"/>
      <c r="S328" s="1968"/>
      <c r="T328" s="1968"/>
      <c r="U328" s="1968"/>
      <c r="V328" s="1968"/>
      <c r="W328" s="1968"/>
      <c r="X328" s="1968"/>
    </row>
    <row r="329" spans="1:24" ht="27.75" customHeight="1">
      <c r="A329" s="1968"/>
      <c r="B329" s="1968"/>
      <c r="C329" s="1968"/>
      <c r="D329" s="1968"/>
      <c r="E329" s="1968"/>
      <c r="F329" s="1968"/>
      <c r="G329" s="1968"/>
      <c r="H329" s="1968"/>
      <c r="I329" s="1968"/>
      <c r="J329" s="1968"/>
      <c r="K329" s="1968"/>
      <c r="L329" s="1968"/>
      <c r="M329" s="1968"/>
      <c r="N329" s="1968"/>
      <c r="O329" s="1968"/>
      <c r="P329" s="1968"/>
      <c r="Q329" s="1968"/>
      <c r="R329" s="1968"/>
      <c r="S329" s="1968"/>
      <c r="T329" s="1968"/>
      <c r="U329" s="1968"/>
      <c r="V329" s="1968"/>
      <c r="W329" s="1968"/>
      <c r="X329" s="1968"/>
    </row>
    <row r="330" spans="1:24" ht="27.75" customHeight="1">
      <c r="A330" s="1964" t="s">
        <v>3489</v>
      </c>
      <c r="B330" s="1964"/>
      <c r="C330" s="1964"/>
      <c r="D330" s="1964"/>
      <c r="E330" s="1964"/>
      <c r="F330" s="1964"/>
      <c r="G330" s="1964"/>
      <c r="H330" s="1964"/>
      <c r="I330" s="1964"/>
      <c r="J330" s="1964"/>
      <c r="K330" s="1964"/>
      <c r="L330" s="1964"/>
      <c r="M330" s="1964"/>
      <c r="N330" s="1964"/>
      <c r="O330" s="1964"/>
      <c r="P330" s="1964"/>
      <c r="Q330" s="1964"/>
      <c r="R330" s="1964"/>
      <c r="S330" s="1964"/>
      <c r="T330" s="1964"/>
      <c r="U330" s="1964"/>
      <c r="V330" s="1964"/>
      <c r="W330" s="1964"/>
      <c r="X330" s="1964"/>
    </row>
    <row r="331" spans="1:24">
      <c r="A331" s="1964" t="s">
        <v>3490</v>
      </c>
      <c r="B331" s="1964"/>
      <c r="C331" s="1964"/>
      <c r="D331" s="1964"/>
      <c r="E331" s="1964"/>
      <c r="F331" s="1964"/>
      <c r="G331" s="1964"/>
      <c r="H331" s="1964"/>
      <c r="I331" s="1964"/>
      <c r="J331" s="1964"/>
      <c r="K331" s="1964"/>
      <c r="L331" s="1964"/>
      <c r="M331" s="1964"/>
      <c r="N331" s="1964"/>
      <c r="O331" s="1964"/>
      <c r="P331" s="1964"/>
      <c r="Q331" s="1964"/>
      <c r="R331" s="1964"/>
      <c r="S331" s="1964"/>
      <c r="T331" s="1964"/>
      <c r="U331" s="1964"/>
      <c r="V331" s="1964"/>
      <c r="W331" s="1964"/>
      <c r="X331" s="1964"/>
    </row>
    <row r="332" spans="1:24">
      <c r="A332" s="1964" t="s">
        <v>3491</v>
      </c>
      <c r="B332" s="1964"/>
      <c r="C332" s="1964"/>
      <c r="D332" s="1964"/>
      <c r="E332" s="1964"/>
      <c r="F332" s="1964"/>
      <c r="G332" s="1964"/>
      <c r="H332" s="1964"/>
      <c r="I332" s="1964"/>
      <c r="J332" s="1964"/>
      <c r="K332" s="1964"/>
      <c r="L332" s="1964"/>
      <c r="M332" s="1964"/>
      <c r="N332" s="1964"/>
      <c r="O332" s="1964"/>
      <c r="P332" s="1964"/>
      <c r="Q332" s="1964"/>
      <c r="R332" s="1964"/>
      <c r="S332" s="1964"/>
      <c r="T332" s="1964"/>
      <c r="U332" s="1964"/>
      <c r="V332" s="1964"/>
      <c r="W332" s="1964"/>
      <c r="X332" s="1964"/>
    </row>
    <row r="333" spans="1:24">
      <c r="A333" s="1964" t="s">
        <v>3492</v>
      </c>
      <c r="B333" s="1964"/>
      <c r="C333" s="1964"/>
      <c r="D333" s="1964"/>
      <c r="E333" s="1964"/>
      <c r="F333" s="1964"/>
      <c r="G333" s="1964"/>
      <c r="H333" s="1964"/>
      <c r="I333" s="1964"/>
      <c r="J333" s="1964"/>
      <c r="K333" s="1964"/>
      <c r="L333" s="1964"/>
      <c r="M333" s="1964"/>
      <c r="N333" s="1964"/>
      <c r="O333" s="1964"/>
      <c r="P333" s="1964"/>
      <c r="Q333" s="1964"/>
      <c r="R333" s="1964"/>
      <c r="S333" s="1964"/>
      <c r="T333" s="1964"/>
      <c r="U333" s="1964"/>
      <c r="V333" s="1964"/>
      <c r="W333" s="1964"/>
      <c r="X333" s="1964"/>
    </row>
    <row r="334" spans="1:24">
      <c r="A334" s="551"/>
      <c r="B334" s="551"/>
      <c r="C334" s="551"/>
      <c r="D334" s="551"/>
      <c r="E334" s="551"/>
      <c r="F334" s="551"/>
      <c r="G334" s="551"/>
      <c r="H334" s="551"/>
      <c r="I334" s="551"/>
      <c r="J334" s="551"/>
      <c r="K334" s="551"/>
      <c r="L334" s="551"/>
      <c r="M334" s="551"/>
      <c r="N334" s="551"/>
      <c r="O334" s="551"/>
      <c r="P334" s="551"/>
      <c r="Q334" s="551"/>
      <c r="R334" s="551"/>
      <c r="S334" s="551"/>
      <c r="T334" s="551"/>
      <c r="U334" s="551"/>
      <c r="V334" s="551"/>
      <c r="W334" s="551"/>
      <c r="X334" s="551"/>
    </row>
    <row r="335" spans="1:24" ht="15.75" customHeight="1">
      <c r="A335" s="1964" t="s">
        <v>3493</v>
      </c>
      <c r="B335" s="1964"/>
      <c r="C335" s="1964"/>
      <c r="D335" s="1964"/>
      <c r="E335" s="1964"/>
      <c r="F335" s="1964"/>
      <c r="G335" s="1964"/>
      <c r="H335" s="1964"/>
      <c r="I335" s="1964"/>
      <c r="J335" s="1964"/>
      <c r="K335" s="1964"/>
      <c r="L335" s="1964"/>
      <c r="M335" s="1964"/>
      <c r="N335" s="1964"/>
      <c r="O335" s="1964"/>
      <c r="P335" s="1964"/>
      <c r="Q335" s="1964"/>
      <c r="R335" s="1964"/>
      <c r="S335" s="1964"/>
      <c r="T335" s="1964"/>
      <c r="U335" s="1964"/>
      <c r="V335" s="1964"/>
      <c r="W335" s="1964"/>
      <c r="X335" s="1964"/>
    </row>
    <row r="336" spans="1:24" ht="15.75" customHeight="1">
      <c r="A336" s="1964"/>
      <c r="B336" s="1964"/>
      <c r="C336" s="1964"/>
      <c r="D336" s="1964"/>
      <c r="E336" s="1964"/>
      <c r="F336" s="1964"/>
      <c r="G336" s="1964"/>
      <c r="H336" s="1964"/>
      <c r="I336" s="1964"/>
      <c r="J336" s="1964"/>
      <c r="K336" s="1964"/>
      <c r="L336" s="1964"/>
      <c r="M336" s="1964"/>
      <c r="N336" s="1964"/>
      <c r="O336" s="1964"/>
      <c r="P336" s="1964"/>
      <c r="Q336" s="1964"/>
      <c r="R336" s="1964"/>
      <c r="S336" s="1964"/>
      <c r="T336" s="1964"/>
      <c r="U336" s="1964"/>
      <c r="V336" s="1964"/>
      <c r="W336" s="1964"/>
      <c r="X336" s="1964"/>
    </row>
    <row r="337" spans="1:24" ht="12.75">
      <c r="A337" s="1964"/>
      <c r="B337" s="1964"/>
      <c r="C337" s="1964"/>
      <c r="D337" s="1964"/>
      <c r="E337" s="1964"/>
      <c r="F337" s="1964"/>
      <c r="G337" s="1964"/>
      <c r="H337" s="1964"/>
      <c r="I337" s="1964"/>
      <c r="J337" s="1964"/>
      <c r="K337" s="1964"/>
      <c r="L337" s="1964"/>
      <c r="M337" s="1964"/>
      <c r="N337" s="1964"/>
      <c r="O337" s="1964"/>
      <c r="P337" s="1964"/>
      <c r="Q337" s="1964"/>
      <c r="R337" s="1964"/>
      <c r="S337" s="1964"/>
      <c r="T337" s="1964"/>
      <c r="U337" s="1964"/>
      <c r="V337" s="1964"/>
      <c r="W337" s="1964"/>
      <c r="X337" s="1964"/>
    </row>
    <row r="338" spans="1:24" ht="27.75" customHeight="1">
      <c r="A338" s="99"/>
      <c r="B338" s="99"/>
      <c r="C338" s="99"/>
      <c r="D338" s="99"/>
      <c r="E338" s="99"/>
      <c r="F338" s="99"/>
      <c r="G338" s="99"/>
      <c r="H338" s="99"/>
      <c r="I338" s="99"/>
      <c r="J338" s="99"/>
      <c r="K338" s="99"/>
      <c r="L338" s="99"/>
      <c r="M338" s="99"/>
      <c r="N338" s="99"/>
      <c r="O338" s="99"/>
      <c r="P338" s="99"/>
      <c r="Q338" s="99"/>
      <c r="R338" s="99"/>
      <c r="S338" s="99"/>
      <c r="T338" s="99"/>
      <c r="U338" s="99"/>
      <c r="V338" s="99"/>
      <c r="W338" s="99"/>
      <c r="X338" s="99"/>
    </row>
    <row r="339" spans="1:24" ht="17.25" customHeight="1">
      <c r="A339" s="1968" t="s">
        <v>3494</v>
      </c>
      <c r="B339" s="1968"/>
      <c r="C339" s="1968"/>
      <c r="D339" s="1968"/>
      <c r="E339" s="1968"/>
      <c r="F339" s="1968"/>
      <c r="G339" s="1968"/>
      <c r="H339" s="1968"/>
      <c r="I339" s="1968"/>
      <c r="J339" s="1968"/>
      <c r="K339" s="1968"/>
      <c r="L339" s="1968"/>
      <c r="M339" s="1968"/>
      <c r="N339" s="1968"/>
      <c r="O339" s="1968"/>
      <c r="P339" s="1968"/>
      <c r="Q339" s="1968"/>
      <c r="R339" s="1968"/>
      <c r="S339" s="1968"/>
      <c r="T339" s="1968"/>
      <c r="U339" s="1968"/>
      <c r="V339" s="1968"/>
      <c r="W339" s="1968"/>
      <c r="X339" s="1968"/>
    </row>
    <row r="340" spans="1:24" ht="17.25" customHeight="1">
      <c r="A340" s="1968"/>
      <c r="B340" s="1968"/>
      <c r="C340" s="1968"/>
      <c r="D340" s="1968"/>
      <c r="E340" s="1968"/>
      <c r="F340" s="1968"/>
      <c r="G340" s="1968"/>
      <c r="H340" s="1968"/>
      <c r="I340" s="1968"/>
      <c r="J340" s="1968"/>
      <c r="K340" s="1968"/>
      <c r="L340" s="1968"/>
      <c r="M340" s="1968"/>
      <c r="N340" s="1968"/>
      <c r="O340" s="1968"/>
      <c r="P340" s="1968"/>
      <c r="Q340" s="1968"/>
      <c r="R340" s="1968"/>
      <c r="S340" s="1968"/>
      <c r="T340" s="1968"/>
      <c r="U340" s="1968"/>
      <c r="V340" s="1968"/>
      <c r="W340" s="1968"/>
      <c r="X340" s="1968"/>
    </row>
    <row r="341" spans="1:24" ht="27.75" customHeight="1">
      <c r="A341" s="1964" t="s">
        <v>3495</v>
      </c>
      <c r="B341" s="1964"/>
      <c r="C341" s="1964"/>
      <c r="D341" s="1964"/>
      <c r="E341" s="1964"/>
      <c r="F341" s="1964"/>
      <c r="G341" s="1964"/>
      <c r="H341" s="1964"/>
      <c r="I341" s="1964"/>
      <c r="J341" s="1964"/>
      <c r="K341" s="1964"/>
      <c r="L341" s="1964"/>
      <c r="M341" s="1964"/>
      <c r="N341" s="1964"/>
      <c r="O341" s="1964"/>
      <c r="P341" s="1964"/>
      <c r="Q341" s="1964"/>
      <c r="R341" s="1964"/>
      <c r="S341" s="1964"/>
      <c r="T341" s="1964"/>
      <c r="U341" s="1964"/>
      <c r="V341" s="1964"/>
      <c r="W341" s="1964"/>
      <c r="X341" s="1964"/>
    </row>
    <row r="342" spans="1:24" ht="27.75" customHeight="1">
      <c r="A342" s="1964" t="s">
        <v>3496</v>
      </c>
      <c r="B342" s="1964"/>
      <c r="C342" s="1964"/>
      <c r="D342" s="1964"/>
      <c r="E342" s="1964"/>
      <c r="F342" s="1964"/>
      <c r="G342" s="1964"/>
      <c r="H342" s="1964"/>
      <c r="I342" s="1964"/>
      <c r="J342" s="1964"/>
      <c r="K342" s="1964"/>
      <c r="L342" s="1964"/>
      <c r="M342" s="1964"/>
      <c r="N342" s="1964"/>
      <c r="O342" s="1964"/>
      <c r="P342" s="1964"/>
      <c r="Q342" s="1964"/>
      <c r="R342" s="1964"/>
      <c r="S342" s="1964"/>
      <c r="T342" s="1964"/>
      <c r="U342" s="1964"/>
      <c r="V342" s="1964"/>
      <c r="W342" s="1964"/>
      <c r="X342" s="1964"/>
    </row>
    <row r="343" spans="1:24" ht="12.75">
      <c r="A343" s="1968" t="s">
        <v>3497</v>
      </c>
      <c r="B343" s="1968"/>
      <c r="C343" s="1968"/>
      <c r="D343" s="1968"/>
      <c r="E343" s="1968"/>
      <c r="F343" s="1968"/>
      <c r="G343" s="1968"/>
      <c r="H343" s="1968"/>
      <c r="I343" s="1968"/>
      <c r="J343" s="1968"/>
      <c r="K343" s="1968"/>
      <c r="L343" s="1968"/>
      <c r="M343" s="1968"/>
      <c r="N343" s="1968"/>
      <c r="O343" s="1968"/>
      <c r="P343" s="1968"/>
      <c r="Q343" s="1968"/>
      <c r="R343" s="1968"/>
      <c r="S343" s="1968"/>
      <c r="T343" s="1968"/>
      <c r="U343" s="1968"/>
      <c r="V343" s="1968"/>
      <c r="W343" s="1968"/>
      <c r="X343" s="1968"/>
    </row>
    <row r="344" spans="1:24" ht="12.75">
      <c r="A344" s="1968"/>
      <c r="B344" s="1968"/>
      <c r="C344" s="1968"/>
      <c r="D344" s="1968"/>
      <c r="E344" s="1968"/>
      <c r="F344" s="1968"/>
      <c r="G344" s="1968"/>
      <c r="H344" s="1968"/>
      <c r="I344" s="1968"/>
      <c r="J344" s="1968"/>
      <c r="K344" s="1968"/>
      <c r="L344" s="1968"/>
      <c r="M344" s="1968"/>
      <c r="N344" s="1968"/>
      <c r="O344" s="1968"/>
      <c r="P344" s="1968"/>
      <c r="Q344" s="1968"/>
      <c r="R344" s="1968"/>
      <c r="S344" s="1968"/>
      <c r="T344" s="1968"/>
      <c r="U344" s="1968"/>
      <c r="V344" s="1968"/>
      <c r="W344" s="1968"/>
      <c r="X344" s="1968"/>
    </row>
    <row r="345" spans="1:24" ht="12.75">
      <c r="A345" s="1968"/>
      <c r="B345" s="1968"/>
      <c r="C345" s="1968"/>
      <c r="D345" s="1968"/>
      <c r="E345" s="1968"/>
      <c r="F345" s="1968"/>
      <c r="G345" s="1968"/>
      <c r="H345" s="1968"/>
      <c r="I345" s="1968"/>
      <c r="J345" s="1968"/>
      <c r="K345" s="1968"/>
      <c r="L345" s="1968"/>
      <c r="M345" s="1968"/>
      <c r="N345" s="1968"/>
      <c r="O345" s="1968"/>
      <c r="P345" s="1968"/>
      <c r="Q345" s="1968"/>
      <c r="R345" s="1968"/>
      <c r="S345" s="1968"/>
      <c r="T345" s="1968"/>
      <c r="U345" s="1968"/>
      <c r="V345" s="1968"/>
      <c r="W345" s="1968"/>
      <c r="X345" s="1968"/>
    </row>
    <row r="346" spans="1:24" ht="12.75">
      <c r="A346" s="1968"/>
      <c r="B346" s="1968"/>
      <c r="C346" s="1968"/>
      <c r="D346" s="1968"/>
      <c r="E346" s="1968"/>
      <c r="F346" s="1968"/>
      <c r="G346" s="1968"/>
      <c r="H346" s="1968"/>
      <c r="I346" s="1968"/>
      <c r="J346" s="1968"/>
      <c r="K346" s="1968"/>
      <c r="L346" s="1968"/>
      <c r="M346" s="1968"/>
      <c r="N346" s="1968"/>
      <c r="O346" s="1968"/>
      <c r="P346" s="1968"/>
      <c r="Q346" s="1968"/>
      <c r="R346" s="1968"/>
      <c r="S346" s="1968"/>
      <c r="T346" s="1968"/>
      <c r="U346" s="1968"/>
      <c r="V346" s="1968"/>
      <c r="W346" s="1968"/>
      <c r="X346" s="1968"/>
    </row>
    <row r="347" spans="1:24" ht="12.75">
      <c r="A347" s="1968"/>
      <c r="B347" s="1968"/>
      <c r="C347" s="1968"/>
      <c r="D347" s="1968"/>
      <c r="E347" s="1968"/>
      <c r="F347" s="1968"/>
      <c r="G347" s="1968"/>
      <c r="H347" s="1968"/>
      <c r="I347" s="1968"/>
      <c r="J347" s="1968"/>
      <c r="K347" s="1968"/>
      <c r="L347" s="1968"/>
      <c r="M347" s="1968"/>
      <c r="N347" s="1968"/>
      <c r="O347" s="1968"/>
      <c r="P347" s="1968"/>
      <c r="Q347" s="1968"/>
      <c r="R347" s="1968"/>
      <c r="S347" s="1968"/>
      <c r="T347" s="1968"/>
      <c r="U347" s="1968"/>
      <c r="V347" s="1968"/>
      <c r="W347" s="1968"/>
      <c r="X347" s="1968"/>
    </row>
    <row r="348" spans="1:24">
      <c r="A348" s="566"/>
      <c r="B348" s="566"/>
      <c r="C348" s="566"/>
      <c r="D348" s="566"/>
      <c r="E348" s="566"/>
      <c r="F348" s="566"/>
      <c r="G348" s="566"/>
      <c r="H348" s="566"/>
      <c r="I348" s="566"/>
      <c r="J348" s="566"/>
      <c r="K348" s="566"/>
      <c r="L348" s="566"/>
      <c r="M348" s="566"/>
      <c r="N348" s="566"/>
      <c r="O348" s="566"/>
      <c r="P348" s="566"/>
      <c r="Q348" s="566"/>
      <c r="R348" s="566"/>
      <c r="S348" s="566"/>
      <c r="T348" s="566"/>
      <c r="U348" s="566"/>
      <c r="V348" s="566"/>
      <c r="W348" s="566"/>
      <c r="X348" s="566"/>
    </row>
    <row r="349" spans="1:24" ht="12.75">
      <c r="A349" s="1964" t="s">
        <v>3498</v>
      </c>
      <c r="B349" s="1964"/>
      <c r="C349" s="1964"/>
      <c r="D349" s="1964"/>
      <c r="E349" s="1964"/>
      <c r="F349" s="1964"/>
      <c r="G349" s="1964"/>
      <c r="H349" s="1964"/>
      <c r="I349" s="1964"/>
      <c r="J349" s="1964"/>
      <c r="K349" s="1964"/>
      <c r="L349" s="1964"/>
      <c r="M349" s="1964"/>
      <c r="N349" s="1964"/>
      <c r="O349" s="1964"/>
      <c r="P349" s="1964"/>
      <c r="Q349" s="1964"/>
      <c r="R349" s="1964"/>
      <c r="S349" s="1964"/>
      <c r="T349" s="1964"/>
      <c r="U349" s="1964"/>
      <c r="V349" s="1964"/>
      <c r="W349" s="1964"/>
      <c r="X349" s="1964"/>
    </row>
    <row r="350" spans="1:24" ht="12.75">
      <c r="A350" s="1964"/>
      <c r="B350" s="1964"/>
      <c r="C350" s="1964"/>
      <c r="D350" s="1964"/>
      <c r="E350" s="1964"/>
      <c r="F350" s="1964"/>
      <c r="G350" s="1964"/>
      <c r="H350" s="1964"/>
      <c r="I350" s="1964"/>
      <c r="J350" s="1964"/>
      <c r="K350" s="1964"/>
      <c r="L350" s="1964"/>
      <c r="M350" s="1964"/>
      <c r="N350" s="1964"/>
      <c r="O350" s="1964"/>
      <c r="P350" s="1964"/>
      <c r="Q350" s="1964"/>
      <c r="R350" s="1964"/>
      <c r="S350" s="1964"/>
      <c r="T350" s="1964"/>
      <c r="U350" s="1964"/>
      <c r="V350" s="1964"/>
      <c r="W350" s="1964"/>
      <c r="X350" s="1964"/>
    </row>
    <row r="351" spans="1:24" ht="12.75">
      <c r="A351" s="1964"/>
      <c r="B351" s="1964"/>
      <c r="C351" s="1964"/>
      <c r="D351" s="1964"/>
      <c r="E351" s="1964"/>
      <c r="F351" s="1964"/>
      <c r="G351" s="1964"/>
      <c r="H351" s="1964"/>
      <c r="I351" s="1964"/>
      <c r="J351" s="1964"/>
      <c r="K351" s="1964"/>
      <c r="L351" s="1964"/>
      <c r="M351" s="1964"/>
      <c r="N351" s="1964"/>
      <c r="O351" s="1964"/>
      <c r="P351" s="1964"/>
      <c r="Q351" s="1964"/>
      <c r="R351" s="1964"/>
      <c r="S351" s="1964"/>
      <c r="T351" s="1964"/>
      <c r="U351" s="1964"/>
      <c r="V351" s="1964"/>
      <c r="W351" s="1964"/>
      <c r="X351" s="1964"/>
    </row>
    <row r="352" spans="1:24" ht="12.75">
      <c r="A352" s="1964"/>
      <c r="B352" s="1964"/>
      <c r="C352" s="1964"/>
      <c r="D352" s="1964"/>
      <c r="E352" s="1964"/>
      <c r="F352" s="1964"/>
      <c r="G352" s="1964"/>
      <c r="H352" s="1964"/>
      <c r="I352" s="1964"/>
      <c r="J352" s="1964"/>
      <c r="K352" s="1964"/>
      <c r="L352" s="1964"/>
      <c r="M352" s="1964"/>
      <c r="N352" s="1964"/>
      <c r="O352" s="1964"/>
      <c r="P352" s="1964"/>
      <c r="Q352" s="1964"/>
      <c r="R352" s="1964"/>
      <c r="S352" s="1964"/>
      <c r="T352" s="1964"/>
      <c r="U352" s="1964"/>
      <c r="V352" s="1964"/>
      <c r="W352" s="1964"/>
      <c r="X352" s="1964"/>
    </row>
    <row r="353" spans="1:24" ht="12.75">
      <c r="A353" s="1964"/>
      <c r="B353" s="1964"/>
      <c r="C353" s="1964"/>
      <c r="D353" s="1964"/>
      <c r="E353" s="1964"/>
      <c r="F353" s="1964"/>
      <c r="G353" s="1964"/>
      <c r="H353" s="1964"/>
      <c r="I353" s="1964"/>
      <c r="J353" s="1964"/>
      <c r="K353" s="1964"/>
      <c r="L353" s="1964"/>
      <c r="M353" s="1964"/>
      <c r="N353" s="1964"/>
      <c r="O353" s="1964"/>
      <c r="P353" s="1964"/>
      <c r="Q353" s="1964"/>
      <c r="R353" s="1964"/>
      <c r="S353" s="1964"/>
      <c r="T353" s="1964"/>
      <c r="U353" s="1964"/>
      <c r="V353" s="1964"/>
      <c r="W353" s="1964"/>
      <c r="X353" s="1964"/>
    </row>
    <row r="354" spans="1:24" ht="15.75" customHeight="1">
      <c r="A354" s="1216"/>
      <c r="B354" s="1216"/>
      <c r="C354" s="1216"/>
      <c r="D354" s="1216"/>
      <c r="E354" s="1216"/>
      <c r="F354" s="1216"/>
      <c r="G354" s="1216"/>
      <c r="H354" s="1216"/>
      <c r="I354" s="1216"/>
      <c r="J354" s="1216"/>
      <c r="K354" s="1216"/>
      <c r="L354" s="1216"/>
      <c r="M354" s="1216"/>
      <c r="N354" s="1216"/>
      <c r="O354" s="1216"/>
      <c r="P354" s="1216"/>
      <c r="Q354" s="1216"/>
      <c r="R354" s="1216"/>
      <c r="S354" s="1216"/>
      <c r="T354" s="1216"/>
      <c r="U354" s="1216"/>
      <c r="V354" s="1216"/>
      <c r="W354" s="1216"/>
      <c r="X354" s="1216"/>
    </row>
    <row r="355" spans="1:24" ht="15.75" customHeight="1">
      <c r="A355" s="1968" t="s">
        <v>3499</v>
      </c>
      <c r="B355" s="1968"/>
      <c r="C355" s="1968"/>
      <c r="D355" s="1968"/>
      <c r="E355" s="1968"/>
      <c r="F355" s="1968"/>
      <c r="G355" s="1968"/>
      <c r="H355" s="1968"/>
      <c r="I355" s="1968"/>
      <c r="J355" s="1968"/>
      <c r="K355" s="1968"/>
      <c r="L355" s="1968"/>
      <c r="M355" s="1968"/>
      <c r="N355" s="1968"/>
      <c r="O355" s="1968"/>
      <c r="P355" s="1968"/>
      <c r="Q355" s="1968"/>
      <c r="R355" s="1968"/>
      <c r="S355" s="1968"/>
      <c r="T355" s="1968"/>
      <c r="U355" s="1968"/>
      <c r="V355" s="1968"/>
      <c r="W355" s="1968"/>
      <c r="X355" s="1968"/>
    </row>
    <row r="356" spans="1:24" ht="15.75" customHeight="1">
      <c r="A356" s="1411"/>
      <c r="B356" s="1411"/>
      <c r="C356" s="1411"/>
      <c r="D356" s="1411"/>
      <c r="E356" s="1411"/>
      <c r="F356" s="1411"/>
      <c r="G356" s="1411"/>
      <c r="H356" s="1411"/>
      <c r="I356" s="1411"/>
      <c r="J356" s="1411"/>
      <c r="K356" s="1411"/>
      <c r="L356" s="1411"/>
      <c r="M356" s="1411"/>
      <c r="N356" s="1411"/>
      <c r="O356" s="1411"/>
      <c r="P356" s="1411"/>
      <c r="Q356" s="1411"/>
      <c r="R356" s="1411"/>
      <c r="S356" s="1411"/>
      <c r="T356" s="1411"/>
      <c r="U356" s="1411"/>
      <c r="V356" s="1411"/>
      <c r="W356" s="1411"/>
      <c r="X356" s="1411"/>
    </row>
    <row r="357" spans="1:24" ht="15.75" customHeight="1">
      <c r="A357" s="1377"/>
      <c r="B357" s="1377"/>
      <c r="C357" s="1377"/>
      <c r="D357" s="1377"/>
      <c r="E357" s="1377"/>
      <c r="F357" s="1377"/>
      <c r="G357" s="1377"/>
      <c r="H357" s="1377"/>
      <c r="I357" s="1377"/>
      <c r="J357" s="1377"/>
      <c r="K357" s="1377"/>
      <c r="L357" s="1377"/>
      <c r="M357" s="1377"/>
      <c r="N357" s="1377"/>
      <c r="O357" s="1377"/>
      <c r="P357" s="1377"/>
      <c r="Q357" s="1377"/>
      <c r="R357" s="1377"/>
      <c r="S357" s="1377"/>
      <c r="T357" s="1377"/>
      <c r="U357" s="1377"/>
      <c r="V357" s="1377"/>
      <c r="W357" s="1377"/>
      <c r="X357" s="1377"/>
    </row>
    <row r="358" spans="1:24" ht="15.75" customHeight="1">
      <c r="A358" s="1964" t="s">
        <v>3500</v>
      </c>
      <c r="B358" s="1964"/>
      <c r="C358" s="1964"/>
      <c r="D358" s="1964"/>
      <c r="E358" s="1964"/>
      <c r="F358" s="1964"/>
      <c r="G358" s="1964"/>
      <c r="H358" s="1964"/>
      <c r="I358" s="1964"/>
      <c r="J358" s="1964"/>
      <c r="K358" s="1964"/>
      <c r="L358" s="1964"/>
      <c r="M358" s="1964"/>
      <c r="N358" s="1964"/>
      <c r="O358" s="1964"/>
      <c r="P358" s="1964"/>
      <c r="Q358" s="1964"/>
      <c r="R358" s="1964"/>
      <c r="S358" s="1964"/>
      <c r="T358" s="1964"/>
      <c r="U358" s="1964"/>
      <c r="V358" s="1964"/>
      <c r="W358" s="1964"/>
      <c r="X358" s="1964"/>
    </row>
    <row r="359" spans="1:24" ht="15.75" customHeight="1">
      <c r="A359" s="1964"/>
      <c r="B359" s="1964"/>
      <c r="C359" s="1964"/>
      <c r="D359" s="1964"/>
      <c r="E359" s="1964"/>
      <c r="F359" s="1964"/>
      <c r="G359" s="1964"/>
      <c r="H359" s="1964"/>
      <c r="I359" s="1964"/>
      <c r="J359" s="1964"/>
      <c r="K359" s="1964"/>
      <c r="L359" s="1964"/>
      <c r="M359" s="1964"/>
      <c r="N359" s="1964"/>
      <c r="O359" s="1964"/>
      <c r="P359" s="1964"/>
      <c r="Q359" s="1964"/>
      <c r="R359" s="1964"/>
      <c r="S359" s="1964"/>
      <c r="T359" s="1964"/>
      <c r="U359" s="1964"/>
      <c r="V359" s="1964"/>
      <c r="W359" s="1964"/>
      <c r="X359" s="1964"/>
    </row>
    <row r="360" spans="1:24" ht="15.75" customHeight="1">
      <c r="A360" s="1964"/>
      <c r="B360" s="1964"/>
      <c r="C360" s="1964"/>
      <c r="D360" s="1964"/>
      <c r="E360" s="1964"/>
      <c r="F360" s="1964"/>
      <c r="G360" s="1964"/>
      <c r="H360" s="1964"/>
      <c r="I360" s="1964"/>
      <c r="J360" s="1964"/>
      <c r="K360" s="1964"/>
      <c r="L360" s="1964"/>
      <c r="M360" s="1964"/>
      <c r="N360" s="1964"/>
      <c r="O360" s="1964"/>
      <c r="P360" s="1964"/>
      <c r="Q360" s="1964"/>
      <c r="R360" s="1964"/>
      <c r="S360" s="1964"/>
      <c r="T360" s="1964"/>
      <c r="U360" s="1964"/>
      <c r="V360" s="1964"/>
      <c r="W360" s="1964"/>
      <c r="X360" s="1964"/>
    </row>
    <row r="361" spans="1:24" ht="15.75" customHeight="1">
      <c r="A361" s="1377"/>
      <c r="B361" s="1377"/>
      <c r="C361" s="1377"/>
      <c r="D361" s="1377"/>
      <c r="E361" s="1377"/>
      <c r="F361" s="1377"/>
      <c r="G361" s="1377"/>
      <c r="H361" s="1377"/>
      <c r="I361" s="1377"/>
      <c r="J361" s="1377"/>
      <c r="K361" s="1377"/>
      <c r="L361" s="1377"/>
      <c r="M361" s="1377"/>
      <c r="N361" s="1377"/>
      <c r="O361" s="1377"/>
      <c r="P361" s="1377"/>
      <c r="Q361" s="1377"/>
      <c r="R361" s="1377"/>
      <c r="S361" s="1377"/>
      <c r="T361" s="1377"/>
      <c r="U361" s="1377"/>
      <c r="V361" s="1377"/>
      <c r="W361" s="1377"/>
      <c r="X361" s="1377"/>
    </row>
    <row r="362" spans="1:24" ht="15.75" customHeight="1">
      <c r="A362" s="1377"/>
      <c r="B362" s="1377"/>
      <c r="C362" s="1377"/>
      <c r="D362" s="1377"/>
      <c r="E362" s="1377"/>
      <c r="F362" s="1377"/>
      <c r="G362" s="1377"/>
      <c r="H362" s="1377"/>
      <c r="I362" s="1377"/>
      <c r="J362" s="1377"/>
      <c r="K362" s="1377"/>
      <c r="L362" s="1377"/>
      <c r="M362" s="1377"/>
      <c r="N362" s="1377"/>
      <c r="O362" s="1377"/>
      <c r="P362" s="1377"/>
      <c r="Q362" s="1377"/>
      <c r="R362" s="1377"/>
      <c r="S362" s="1377"/>
      <c r="T362" s="1377"/>
      <c r="U362" s="1377"/>
      <c r="V362" s="1377"/>
      <c r="W362" s="1377"/>
      <c r="X362" s="1377"/>
    </row>
    <row r="363" spans="1:24" ht="15.75" customHeight="1">
      <c r="A363" s="1964"/>
      <c r="B363" s="1964"/>
      <c r="C363" s="1964"/>
      <c r="D363" s="1964"/>
      <c r="E363" s="1964"/>
      <c r="F363" s="1964"/>
      <c r="G363" s="1964"/>
      <c r="H363" s="1964"/>
      <c r="I363" s="1964"/>
      <c r="J363" s="1964"/>
      <c r="K363" s="1964"/>
      <c r="L363" s="1964"/>
      <c r="M363" s="1964"/>
      <c r="N363" s="1964"/>
      <c r="O363" s="1964"/>
      <c r="P363" s="1964"/>
      <c r="Q363" s="1964"/>
      <c r="R363" s="1964"/>
      <c r="S363" s="1964"/>
      <c r="T363" s="1964"/>
      <c r="U363" s="1964"/>
      <c r="V363" s="1964"/>
      <c r="W363" s="1964"/>
      <c r="X363" s="1964"/>
    </row>
    <row r="364" spans="1:24" ht="15.75" customHeight="1">
      <c r="A364" s="1963" t="s">
        <v>3501</v>
      </c>
      <c r="B364" s="1963"/>
      <c r="C364" s="1963"/>
      <c r="D364" s="1963"/>
      <c r="E364" s="1963"/>
      <c r="F364" s="1963"/>
      <c r="G364" s="1963"/>
      <c r="H364" s="1963"/>
      <c r="I364" s="1963"/>
      <c r="J364" s="1963"/>
      <c r="K364" s="1963"/>
      <c r="L364" s="1963"/>
      <c r="M364" s="1963"/>
      <c r="N364" s="1963"/>
      <c r="O364" s="1963"/>
      <c r="P364" s="1963"/>
      <c r="Q364" s="1963"/>
      <c r="R364" s="1963"/>
      <c r="S364" s="1963"/>
      <c r="T364" s="1963"/>
      <c r="U364" s="1963"/>
      <c r="V364" s="1963"/>
      <c r="W364" s="1963"/>
      <c r="X364" s="1963"/>
    </row>
    <row r="365" spans="1:24" ht="15.75" customHeight="1">
      <c r="A365" s="564"/>
      <c r="B365" s="564"/>
      <c r="C365" s="564"/>
      <c r="D365" s="564"/>
      <c r="E365" s="564"/>
      <c r="F365" s="564"/>
      <c r="G365" s="564"/>
      <c r="H365" s="564"/>
      <c r="I365" s="564"/>
      <c r="J365" s="564"/>
      <c r="K365" s="564"/>
      <c r="L365" s="564"/>
      <c r="M365" s="564"/>
      <c r="N365" s="564"/>
      <c r="O365" s="564"/>
      <c r="P365" s="564"/>
      <c r="Q365" s="564"/>
      <c r="R365" s="564"/>
      <c r="S365" s="564"/>
      <c r="T365" s="564"/>
      <c r="U365" s="564"/>
      <c r="V365" s="564"/>
      <c r="W365" s="564"/>
      <c r="X365" s="564"/>
    </row>
    <row r="366" spans="1:24" ht="15.75" customHeight="1">
      <c r="A366" s="99"/>
      <c r="B366" s="2027" t="s">
        <v>3515</v>
      </c>
      <c r="C366" s="2027"/>
      <c r="D366" s="2027"/>
      <c r="E366" s="2027"/>
      <c r="F366" s="2027"/>
      <c r="G366" s="99"/>
      <c r="H366" s="99"/>
      <c r="I366" s="99"/>
      <c r="J366" s="99"/>
      <c r="K366" s="99"/>
      <c r="L366" s="99"/>
      <c r="M366" s="99"/>
      <c r="N366" s="99"/>
      <c r="O366" s="99"/>
      <c r="P366" s="99"/>
      <c r="Q366" s="99"/>
      <c r="R366" s="99"/>
      <c r="S366" s="99"/>
      <c r="T366" s="99"/>
      <c r="U366" s="99"/>
      <c r="V366" s="99"/>
      <c r="W366" s="99"/>
      <c r="X366" s="99"/>
    </row>
    <row r="367" spans="1:24" ht="15.75" customHeight="1">
      <c r="A367" s="1968" t="s">
        <v>3502</v>
      </c>
      <c r="B367" s="1968"/>
      <c r="C367" s="1968"/>
      <c r="D367" s="1968"/>
      <c r="E367" s="1968"/>
      <c r="F367" s="1968"/>
      <c r="G367" s="1968"/>
      <c r="H367" s="1968"/>
      <c r="I367" s="1968"/>
      <c r="J367" s="1968"/>
      <c r="K367" s="1968"/>
      <c r="L367" s="1968"/>
      <c r="M367" s="1968"/>
      <c r="N367" s="1968"/>
      <c r="O367" s="1968"/>
      <c r="P367" s="1968"/>
      <c r="Q367" s="1968"/>
      <c r="R367" s="1968"/>
      <c r="S367" s="1968"/>
      <c r="T367" s="1968"/>
      <c r="U367" s="1968"/>
      <c r="V367" s="1968"/>
      <c r="W367" s="1968"/>
      <c r="X367" s="1968"/>
    </row>
    <row r="368" spans="1:24" ht="15.75" customHeight="1">
      <c r="A368" s="566"/>
      <c r="B368" s="566"/>
      <c r="C368" s="566"/>
      <c r="D368" s="566"/>
      <c r="E368" s="566"/>
      <c r="F368" s="566"/>
      <c r="G368" s="566"/>
      <c r="H368" s="566"/>
      <c r="I368" s="566"/>
      <c r="J368" s="566"/>
      <c r="K368" s="566"/>
      <c r="L368" s="566"/>
      <c r="M368" s="566"/>
      <c r="N368" s="566"/>
      <c r="O368" s="566"/>
      <c r="P368" s="566"/>
      <c r="Q368" s="566"/>
      <c r="R368" s="566"/>
      <c r="S368" s="566"/>
      <c r="T368" s="566"/>
      <c r="U368" s="566"/>
      <c r="V368" s="566"/>
      <c r="W368" s="566"/>
      <c r="X368" s="566"/>
    </row>
    <row r="369" spans="1:24" ht="15.75" customHeight="1">
      <c r="A369" s="1964" t="s">
        <v>4245</v>
      </c>
      <c r="B369" s="1964"/>
      <c r="C369" s="1964"/>
      <c r="D369" s="1964"/>
      <c r="E369" s="1964"/>
      <c r="F369" s="1964"/>
      <c r="G369" s="1964"/>
      <c r="H369" s="1964"/>
      <c r="I369" s="1964"/>
      <c r="J369" s="1964"/>
      <c r="K369" s="1964"/>
      <c r="L369" s="1964"/>
      <c r="M369" s="1964"/>
      <c r="N369" s="1964"/>
      <c r="O369" s="1964"/>
      <c r="P369" s="1964"/>
      <c r="Q369" s="1964"/>
      <c r="R369" s="1964"/>
      <c r="S369" s="1964"/>
      <c r="T369" s="1964"/>
      <c r="U369" s="1964"/>
      <c r="V369" s="1964"/>
      <c r="W369" s="1964"/>
      <c r="X369" s="1964"/>
    </row>
    <row r="370" spans="1:24" ht="15.75" customHeight="1">
      <c r="A370" s="1964"/>
      <c r="B370" s="1964"/>
      <c r="C370" s="1964"/>
      <c r="D370" s="1964"/>
      <c r="E370" s="1964"/>
      <c r="F370" s="1964"/>
      <c r="G370" s="1964"/>
      <c r="H370" s="1964"/>
      <c r="I370" s="1964"/>
      <c r="J370" s="1964"/>
      <c r="K370" s="1964"/>
      <c r="L370" s="1964"/>
      <c r="M370" s="1964"/>
      <c r="N370" s="1964"/>
      <c r="O370" s="1964"/>
      <c r="P370" s="1964"/>
      <c r="Q370" s="1964"/>
      <c r="R370" s="1964"/>
      <c r="S370" s="1964"/>
      <c r="T370" s="1964"/>
      <c r="U370" s="1964"/>
      <c r="V370" s="1964"/>
      <c r="W370" s="1964"/>
      <c r="X370" s="1964"/>
    </row>
    <row r="371" spans="1:24" ht="15.75" customHeight="1">
      <c r="A371" s="551"/>
      <c r="B371" s="551"/>
      <c r="C371" s="551"/>
      <c r="D371" s="551"/>
      <c r="E371" s="551"/>
      <c r="F371" s="551"/>
      <c r="G371" s="551"/>
      <c r="H371" s="551"/>
      <c r="I371" s="551"/>
      <c r="J371" s="551"/>
      <c r="K371" s="551"/>
      <c r="L371" s="551"/>
      <c r="M371" s="551"/>
      <c r="N371" s="551"/>
      <c r="O371" s="551"/>
      <c r="P371" s="551"/>
      <c r="Q371" s="551"/>
      <c r="R371" s="551"/>
      <c r="S371" s="551"/>
      <c r="T371" s="551"/>
      <c r="U371" s="551"/>
      <c r="V371" s="551"/>
      <c r="W371" s="551"/>
      <c r="X371" s="551"/>
    </row>
    <row r="372" spans="1:24" ht="15.75" customHeight="1">
      <c r="A372" s="1964" t="s">
        <v>3503</v>
      </c>
      <c r="B372" s="1964"/>
      <c r="C372" s="1964"/>
      <c r="D372" s="1964"/>
      <c r="E372" s="1964"/>
      <c r="F372" s="1964"/>
      <c r="G372" s="1964"/>
      <c r="H372" s="1964"/>
      <c r="I372" s="1964"/>
      <c r="J372" s="1964"/>
      <c r="K372" s="1964"/>
      <c r="L372" s="1964"/>
      <c r="M372" s="1964"/>
      <c r="N372" s="1964"/>
      <c r="O372" s="1964"/>
      <c r="P372" s="1964"/>
      <c r="Q372" s="1964"/>
      <c r="R372" s="1964"/>
      <c r="S372" s="1964"/>
      <c r="T372" s="1964"/>
      <c r="U372" s="1964"/>
      <c r="V372" s="1964"/>
      <c r="W372" s="1964"/>
      <c r="X372" s="1964"/>
    </row>
    <row r="373" spans="1:24" ht="12.75">
      <c r="A373" s="1964"/>
      <c r="B373" s="1964"/>
      <c r="C373" s="1964"/>
      <c r="D373" s="1964"/>
      <c r="E373" s="1964"/>
      <c r="F373" s="1964"/>
      <c r="G373" s="1964"/>
      <c r="H373" s="1964"/>
      <c r="I373" s="1964"/>
      <c r="J373" s="1964"/>
      <c r="K373" s="1964"/>
      <c r="L373" s="1964"/>
      <c r="M373" s="1964"/>
      <c r="N373" s="1964"/>
      <c r="O373" s="1964"/>
      <c r="P373" s="1964"/>
      <c r="Q373" s="1964"/>
      <c r="R373" s="1964"/>
      <c r="S373" s="1964"/>
      <c r="T373" s="1964"/>
      <c r="U373" s="1964"/>
      <c r="V373" s="1964"/>
      <c r="W373" s="1964"/>
      <c r="X373" s="1964"/>
    </row>
    <row r="374" spans="1:24" ht="15.75" customHeight="1">
      <c r="A374" s="551"/>
      <c r="B374" s="551"/>
      <c r="C374" s="551"/>
      <c r="D374" s="551"/>
      <c r="E374" s="551"/>
      <c r="F374" s="551"/>
      <c r="G374" s="551"/>
      <c r="H374" s="551"/>
      <c r="I374" s="551"/>
      <c r="J374" s="551"/>
      <c r="K374" s="551"/>
      <c r="L374" s="551"/>
      <c r="M374" s="551"/>
      <c r="N374" s="551"/>
      <c r="O374" s="551"/>
      <c r="P374" s="551"/>
      <c r="Q374" s="551"/>
      <c r="R374" s="551"/>
      <c r="S374" s="551"/>
      <c r="T374" s="551"/>
      <c r="U374" s="551"/>
      <c r="V374" s="551"/>
      <c r="W374" s="551"/>
      <c r="X374" s="551"/>
    </row>
    <row r="375" spans="1:24" ht="15.75" customHeight="1">
      <c r="A375" s="1964" t="s">
        <v>4244</v>
      </c>
      <c r="B375" s="1964"/>
      <c r="C375" s="1964"/>
      <c r="D375" s="1964"/>
      <c r="E375" s="1964"/>
      <c r="F375" s="1964"/>
      <c r="G375" s="1964"/>
      <c r="H375" s="1964"/>
      <c r="I375" s="1964"/>
      <c r="J375" s="1964"/>
      <c r="K375" s="1964"/>
      <c r="L375" s="1964"/>
      <c r="M375" s="1964"/>
      <c r="N375" s="1964"/>
      <c r="O375" s="1964"/>
      <c r="P375" s="1964"/>
      <c r="Q375" s="1964"/>
      <c r="R375" s="1964"/>
      <c r="S375" s="1964"/>
      <c r="T375" s="1964"/>
      <c r="U375" s="1964"/>
      <c r="V375" s="1964"/>
      <c r="W375" s="1964"/>
      <c r="X375" s="1964"/>
    </row>
    <row r="376" spans="1:24" ht="15.75" customHeight="1">
      <c r="A376" s="1964"/>
      <c r="B376" s="1964"/>
      <c r="C376" s="1964"/>
      <c r="D376" s="1964"/>
      <c r="E376" s="1964"/>
      <c r="F376" s="1964"/>
      <c r="G376" s="1964"/>
      <c r="H376" s="1964"/>
      <c r="I376" s="1964"/>
      <c r="J376" s="1964"/>
      <c r="K376" s="1964"/>
      <c r="L376" s="1964"/>
      <c r="M376" s="1964"/>
      <c r="N376" s="1964"/>
      <c r="O376" s="1964"/>
      <c r="P376" s="1964"/>
      <c r="Q376" s="1964"/>
      <c r="R376" s="1964"/>
      <c r="S376" s="1964"/>
      <c r="T376" s="1964"/>
      <c r="U376" s="1964"/>
      <c r="V376" s="1964"/>
      <c r="W376" s="1964"/>
      <c r="X376" s="1964"/>
    </row>
    <row r="377" spans="1:24" ht="15.75" customHeight="1">
      <c r="A377" s="1216"/>
      <c r="B377" s="1216"/>
      <c r="C377" s="1216"/>
      <c r="D377" s="1216"/>
      <c r="E377" s="1216"/>
      <c r="F377" s="1216"/>
      <c r="G377" s="1216"/>
      <c r="H377" s="1216"/>
      <c r="I377" s="1216"/>
      <c r="J377" s="1216"/>
      <c r="K377" s="1216"/>
      <c r="L377" s="1216"/>
      <c r="M377" s="1216"/>
      <c r="N377" s="1216"/>
      <c r="O377" s="1216"/>
      <c r="P377" s="1216"/>
      <c r="Q377" s="1216"/>
      <c r="R377" s="1216"/>
      <c r="S377" s="1216"/>
      <c r="T377" s="1216"/>
      <c r="U377" s="1216"/>
      <c r="V377" s="1216"/>
      <c r="W377" s="1216"/>
      <c r="X377" s="1216"/>
    </row>
    <row r="378" spans="1:24" ht="15.75" customHeight="1">
      <c r="A378" s="99"/>
      <c r="B378" s="99"/>
      <c r="C378" s="99"/>
      <c r="D378" s="99"/>
      <c r="E378" s="99"/>
      <c r="F378" s="99"/>
      <c r="G378" s="99"/>
      <c r="H378" s="99"/>
      <c r="I378" s="99"/>
      <c r="J378" s="99"/>
      <c r="K378" s="99"/>
      <c r="L378" s="99"/>
      <c r="M378" s="99"/>
      <c r="N378" s="99"/>
      <c r="O378" s="99"/>
      <c r="P378" s="99"/>
      <c r="Q378" s="99"/>
      <c r="R378" s="99"/>
      <c r="S378" s="99"/>
      <c r="T378" s="99"/>
      <c r="U378" s="99"/>
      <c r="V378" s="99"/>
      <c r="W378" s="99"/>
      <c r="X378" s="99"/>
    </row>
    <row r="379" spans="1:24" ht="15.75" customHeight="1">
      <c r="A379" s="1964" t="s">
        <v>4246</v>
      </c>
      <c r="B379" s="1964"/>
      <c r="C379" s="1964"/>
      <c r="D379" s="1964"/>
      <c r="E379" s="1964"/>
      <c r="F379" s="1964"/>
      <c r="G379" s="1964"/>
      <c r="H379" s="1964"/>
      <c r="I379" s="1964"/>
      <c r="J379" s="1964"/>
      <c r="K379" s="1964"/>
      <c r="L379" s="1964"/>
      <c r="M379" s="1964"/>
      <c r="N379" s="1964"/>
      <c r="O379" s="1964"/>
      <c r="P379" s="1964"/>
      <c r="Q379" s="1964"/>
      <c r="R379" s="1964"/>
      <c r="S379" s="1964"/>
      <c r="T379" s="1964"/>
      <c r="U379" s="1964"/>
      <c r="V379" s="1964"/>
      <c r="W379" s="1964"/>
      <c r="X379" s="1964"/>
    </row>
    <row r="380" spans="1:24" ht="15.75" customHeight="1">
      <c r="A380" s="1964"/>
      <c r="B380" s="1964"/>
      <c r="C380" s="1964"/>
      <c r="D380" s="1964"/>
      <c r="E380" s="1964"/>
      <c r="F380" s="1964"/>
      <c r="G380" s="1964"/>
      <c r="H380" s="1964"/>
      <c r="I380" s="1964"/>
      <c r="J380" s="1964"/>
      <c r="K380" s="1964"/>
      <c r="L380" s="1964"/>
      <c r="M380" s="1964"/>
      <c r="N380" s="1964"/>
      <c r="O380" s="1964"/>
      <c r="P380" s="1964"/>
      <c r="Q380" s="1964"/>
      <c r="R380" s="1964"/>
      <c r="S380" s="1964"/>
      <c r="T380" s="1964"/>
      <c r="U380" s="1964"/>
      <c r="V380" s="1964"/>
      <c r="W380" s="1964"/>
      <c r="X380" s="1964"/>
    </row>
    <row r="381" spans="1:24" ht="15.75" customHeight="1">
      <c r="A381" s="1188" t="s">
        <v>3504</v>
      </c>
      <c r="B381" s="1188"/>
      <c r="C381" s="1188"/>
      <c r="D381" s="1188"/>
      <c r="E381" s="1188"/>
      <c r="F381" s="1188"/>
      <c r="G381" s="1188"/>
      <c r="H381" s="1188"/>
      <c r="I381" s="1188"/>
      <c r="J381" s="1188"/>
      <c r="K381" s="1188"/>
      <c r="L381" s="1188"/>
      <c r="M381" s="1188"/>
      <c r="N381" s="1188"/>
      <c r="O381" s="1188"/>
      <c r="P381" s="1964">
        <v>240</v>
      </c>
      <c r="Q381" s="1964"/>
      <c r="R381" s="551" t="s">
        <v>4138</v>
      </c>
      <c r="S381" s="2028">
        <f t="shared" ref="S381:S386" si="2">$Q$46*P381%</f>
        <v>1469.6879999999999</v>
      </c>
      <c r="T381" s="2028"/>
      <c r="U381" s="2028"/>
      <c r="V381" s="2028"/>
      <c r="W381" s="1964" t="s">
        <v>4249</v>
      </c>
      <c r="X381" s="1964"/>
    </row>
    <row r="382" spans="1:24" ht="15.75" customHeight="1">
      <c r="A382" s="1188" t="s">
        <v>3505</v>
      </c>
      <c r="B382" s="1188"/>
      <c r="C382" s="1188"/>
      <c r="D382" s="1188"/>
      <c r="E382" s="1188"/>
      <c r="F382" s="1188"/>
      <c r="G382" s="1188"/>
      <c r="H382" s="1188"/>
      <c r="I382" s="1188"/>
      <c r="J382" s="1188"/>
      <c r="K382" s="1188"/>
      <c r="L382" s="1188"/>
      <c r="M382" s="1188"/>
      <c r="N382" s="1188"/>
      <c r="O382" s="1188"/>
      <c r="P382" s="1964">
        <v>180</v>
      </c>
      <c r="Q382" s="1964"/>
      <c r="R382" s="551" t="s">
        <v>4138</v>
      </c>
      <c r="S382" s="2028">
        <f t="shared" si="2"/>
        <v>1102.2660000000001</v>
      </c>
      <c r="T382" s="2028"/>
      <c r="U382" s="2028"/>
      <c r="V382" s="2028"/>
      <c r="W382" s="1964" t="s">
        <v>4249</v>
      </c>
      <c r="X382" s="1964"/>
    </row>
    <row r="383" spans="1:24" ht="15.75" customHeight="1">
      <c r="A383" s="1188" t="s">
        <v>3506</v>
      </c>
      <c r="B383" s="1188"/>
      <c r="C383" s="1188"/>
      <c r="D383" s="1188"/>
      <c r="E383" s="1188"/>
      <c r="F383" s="1188"/>
      <c r="G383" s="1188"/>
      <c r="H383" s="1188"/>
      <c r="I383" s="1188"/>
      <c r="J383" s="1188"/>
      <c r="K383" s="1188"/>
      <c r="L383" s="1188"/>
      <c r="M383" s="1188"/>
      <c r="N383" s="1188"/>
      <c r="O383" s="1188"/>
      <c r="P383" s="1964">
        <v>150</v>
      </c>
      <c r="Q383" s="1964"/>
      <c r="R383" s="551" t="s">
        <v>4138</v>
      </c>
      <c r="S383" s="2028">
        <f t="shared" si="2"/>
        <v>918.55500000000006</v>
      </c>
      <c r="T383" s="2028"/>
      <c r="U383" s="2028"/>
      <c r="V383" s="2028"/>
      <c r="W383" s="1964" t="s">
        <v>4249</v>
      </c>
      <c r="X383" s="1964"/>
    </row>
    <row r="384" spans="1:24" ht="15.75" customHeight="1">
      <c r="A384" s="1188" t="s">
        <v>3507</v>
      </c>
      <c r="B384" s="1188"/>
      <c r="C384" s="1188"/>
      <c r="D384" s="1188"/>
      <c r="E384" s="1188"/>
      <c r="F384" s="1188"/>
      <c r="G384" s="1188"/>
      <c r="H384" s="1188"/>
      <c r="I384" s="1188"/>
      <c r="J384" s="1188"/>
      <c r="K384" s="1188"/>
      <c r="L384" s="1188"/>
      <c r="M384" s="1188"/>
      <c r="N384" s="1188"/>
      <c r="O384" s="1188"/>
      <c r="P384" s="1964">
        <v>130</v>
      </c>
      <c r="Q384" s="1964"/>
      <c r="R384" s="551" t="s">
        <v>4138</v>
      </c>
      <c r="S384" s="2028">
        <f t="shared" si="2"/>
        <v>796.08100000000002</v>
      </c>
      <c r="T384" s="2028"/>
      <c r="U384" s="2028"/>
      <c r="V384" s="2028"/>
      <c r="W384" s="1964" t="s">
        <v>4249</v>
      </c>
      <c r="X384" s="1964"/>
    </row>
    <row r="385" spans="1:24" ht="15.75" customHeight="1">
      <c r="A385" s="1188" t="s">
        <v>3508</v>
      </c>
      <c r="B385" s="1188"/>
      <c r="C385" s="1188"/>
      <c r="D385" s="1188"/>
      <c r="E385" s="1188"/>
      <c r="F385" s="1188"/>
      <c r="G385" s="1188"/>
      <c r="H385" s="1188"/>
      <c r="I385" s="1188"/>
      <c r="J385" s="1188"/>
      <c r="K385" s="1188"/>
      <c r="L385" s="1188"/>
      <c r="M385" s="1188"/>
      <c r="N385" s="1188"/>
      <c r="O385" s="1188"/>
      <c r="P385" s="1964">
        <v>70</v>
      </c>
      <c r="Q385" s="1964"/>
      <c r="R385" s="551" t="s">
        <v>4138</v>
      </c>
      <c r="S385" s="2028">
        <f t="shared" si="2"/>
        <v>428.65899999999999</v>
      </c>
      <c r="T385" s="2028"/>
      <c r="U385" s="2028"/>
      <c r="V385" s="2028"/>
      <c r="W385" s="1964" t="s">
        <v>4249</v>
      </c>
      <c r="X385" s="1964"/>
    </row>
    <row r="386" spans="1:24" ht="15.75" customHeight="1">
      <c r="A386" s="1188" t="s">
        <v>3509</v>
      </c>
      <c r="B386" s="1188"/>
      <c r="C386" s="1188"/>
      <c r="D386" s="1188"/>
      <c r="E386" s="1188"/>
      <c r="F386" s="1188"/>
      <c r="G386" s="1188"/>
      <c r="H386" s="1188"/>
      <c r="I386" s="1188"/>
      <c r="J386" s="1188"/>
      <c r="K386" s="1188"/>
      <c r="L386" s="1188"/>
      <c r="M386" s="1188"/>
      <c r="N386" s="1188"/>
      <c r="O386" s="1188"/>
      <c r="P386" s="1964">
        <v>40</v>
      </c>
      <c r="Q386" s="1964"/>
      <c r="R386" s="551" t="s">
        <v>4138</v>
      </c>
      <c r="S386" s="2028">
        <f t="shared" si="2"/>
        <v>244.94800000000001</v>
      </c>
      <c r="T386" s="2028"/>
      <c r="U386" s="2028"/>
      <c r="V386" s="2028"/>
      <c r="W386" s="1964" t="s">
        <v>4249</v>
      </c>
      <c r="X386" s="1964"/>
    </row>
    <row r="387" spans="1:24" ht="15.75" customHeight="1">
      <c r="A387" s="1216"/>
      <c r="B387" s="1216"/>
      <c r="C387" s="1216"/>
      <c r="D387" s="1216"/>
      <c r="E387" s="1216"/>
      <c r="F387" s="1216"/>
      <c r="G387" s="1216"/>
      <c r="H387" s="1216"/>
      <c r="I387" s="1216"/>
      <c r="J387" s="1216"/>
      <c r="K387" s="1216"/>
      <c r="L387" s="1216"/>
      <c r="M387" s="1216"/>
      <c r="N387" s="1216"/>
      <c r="O387" s="1216"/>
      <c r="P387" s="1216"/>
      <c r="Q387" s="1216"/>
      <c r="R387" s="1216"/>
      <c r="S387" s="1216"/>
      <c r="T387" s="1216"/>
      <c r="U387" s="1216"/>
      <c r="V387" s="1216"/>
      <c r="W387" s="1216"/>
      <c r="X387" s="1216"/>
    </row>
    <row r="388" spans="1:24" ht="15.75" customHeight="1">
      <c r="A388" s="1964" t="s">
        <v>4247</v>
      </c>
      <c r="B388" s="1964"/>
      <c r="C388" s="1964"/>
      <c r="D388" s="1964"/>
      <c r="E388" s="1964"/>
      <c r="F388" s="1964"/>
      <c r="G388" s="1964"/>
      <c r="H388" s="1964"/>
      <c r="I388" s="1964"/>
      <c r="J388" s="1964"/>
      <c r="K388" s="1964"/>
      <c r="L388" s="1964"/>
      <c r="M388" s="1964"/>
      <c r="N388" s="1964"/>
      <c r="O388" s="1964"/>
      <c r="P388" s="1964"/>
      <c r="Q388" s="1964"/>
      <c r="R388" s="1964"/>
      <c r="S388" s="1964"/>
      <c r="T388" s="1964"/>
      <c r="U388" s="1964"/>
      <c r="V388" s="1964"/>
      <c r="W388" s="1964"/>
      <c r="X388" s="1964"/>
    </row>
    <row r="389" spans="1:24" ht="15.75" customHeight="1">
      <c r="A389" s="1964"/>
      <c r="B389" s="1964"/>
      <c r="C389" s="1964"/>
      <c r="D389" s="1964"/>
      <c r="E389" s="1964"/>
      <c r="F389" s="1964"/>
      <c r="G389" s="1964"/>
      <c r="H389" s="1964"/>
      <c r="I389" s="1964"/>
      <c r="J389" s="1964"/>
      <c r="K389" s="1964"/>
      <c r="L389" s="1964"/>
      <c r="M389" s="1964"/>
      <c r="N389" s="1964"/>
      <c r="O389" s="1964"/>
      <c r="P389" s="1964"/>
      <c r="Q389" s="1964"/>
      <c r="R389" s="1964"/>
      <c r="S389" s="1964"/>
      <c r="T389" s="1964"/>
      <c r="U389" s="1964"/>
      <c r="V389" s="1964"/>
      <c r="W389" s="1964"/>
      <c r="X389" s="1964"/>
    </row>
    <row r="390" spans="1:24" ht="15.75" customHeight="1">
      <c r="A390" s="551"/>
      <c r="B390" s="551"/>
      <c r="C390" s="551"/>
      <c r="D390" s="551"/>
      <c r="E390" s="551"/>
      <c r="F390" s="551"/>
      <c r="G390" s="551"/>
      <c r="H390" s="551"/>
      <c r="I390" s="551"/>
      <c r="J390" s="551"/>
      <c r="K390" s="551"/>
      <c r="L390" s="551"/>
      <c r="M390" s="551"/>
      <c r="N390" s="551"/>
      <c r="O390" s="551"/>
      <c r="P390" s="551"/>
      <c r="Q390" s="551"/>
      <c r="R390" s="551"/>
      <c r="S390" s="551"/>
      <c r="T390" s="551"/>
      <c r="U390" s="551"/>
      <c r="V390" s="551"/>
      <c r="W390" s="551"/>
      <c r="X390" s="551"/>
    </row>
    <row r="391" spans="1:24" ht="15.75" customHeight="1">
      <c r="A391" s="1964" t="s">
        <v>4248</v>
      </c>
      <c r="B391" s="1964"/>
      <c r="C391" s="1964"/>
      <c r="D391" s="1964"/>
      <c r="E391" s="1964"/>
      <c r="F391" s="1964"/>
      <c r="G391" s="1964"/>
      <c r="H391" s="1964"/>
      <c r="I391" s="1964"/>
      <c r="J391" s="1964"/>
      <c r="K391" s="1964"/>
      <c r="L391" s="1964"/>
      <c r="M391" s="1964"/>
      <c r="N391" s="1964"/>
      <c r="O391" s="1964"/>
      <c r="P391" s="1964"/>
      <c r="Q391" s="1964"/>
      <c r="R391" s="1964"/>
      <c r="S391" s="1964"/>
      <c r="T391" s="1964"/>
      <c r="U391" s="1964"/>
      <c r="V391" s="1964"/>
      <c r="W391" s="1964"/>
      <c r="X391" s="1964"/>
    </row>
    <row r="392" spans="1:24" ht="15.75" customHeight="1">
      <c r="A392" s="1964"/>
      <c r="B392" s="1964"/>
      <c r="C392" s="1964"/>
      <c r="D392" s="1964"/>
      <c r="E392" s="1964"/>
      <c r="F392" s="1964"/>
      <c r="G392" s="1964"/>
      <c r="H392" s="1964"/>
      <c r="I392" s="1964"/>
      <c r="J392" s="1964"/>
      <c r="K392" s="1964"/>
      <c r="L392" s="1964"/>
      <c r="M392" s="1964"/>
      <c r="N392" s="1964"/>
      <c r="O392" s="1964"/>
      <c r="P392" s="1964"/>
      <c r="Q392" s="1964"/>
      <c r="R392" s="1964"/>
      <c r="S392" s="1964"/>
      <c r="T392" s="1964"/>
      <c r="U392" s="1964"/>
      <c r="V392" s="1964"/>
      <c r="W392" s="1964"/>
      <c r="X392" s="1964"/>
    </row>
    <row r="394" spans="1:24" ht="15.75" customHeight="1">
      <c r="A394" s="99"/>
      <c r="B394" s="2027" t="s">
        <v>3516</v>
      </c>
      <c r="C394" s="2027"/>
      <c r="D394" s="2027"/>
      <c r="E394" s="2027"/>
      <c r="F394" s="2027"/>
      <c r="G394" s="99"/>
      <c r="H394" s="99"/>
      <c r="I394" s="99"/>
      <c r="J394" s="99"/>
      <c r="K394" s="99"/>
      <c r="L394" s="99"/>
      <c r="M394" s="99"/>
      <c r="N394" s="99"/>
      <c r="O394" s="99"/>
      <c r="P394" s="99"/>
      <c r="Q394" s="99"/>
      <c r="R394" s="99"/>
      <c r="S394" s="99"/>
      <c r="T394" s="99"/>
      <c r="U394" s="99"/>
      <c r="V394" s="99"/>
      <c r="W394" s="99"/>
      <c r="X394" s="99"/>
    </row>
    <row r="395" spans="1:24" ht="15.75" customHeight="1">
      <c r="A395" s="1968" t="s">
        <v>4255</v>
      </c>
      <c r="B395" s="1968"/>
      <c r="C395" s="1968"/>
      <c r="D395" s="1968"/>
      <c r="E395" s="1968"/>
      <c r="F395" s="1968"/>
      <c r="G395" s="1968"/>
      <c r="H395" s="1968"/>
      <c r="I395" s="1968"/>
      <c r="J395" s="1968"/>
      <c r="K395" s="1968"/>
      <c r="L395" s="1968"/>
      <c r="M395" s="1968"/>
      <c r="N395" s="1968"/>
      <c r="O395" s="1968"/>
      <c r="P395" s="1968"/>
      <c r="Q395" s="1968"/>
      <c r="R395" s="1968"/>
      <c r="S395" s="1968"/>
      <c r="T395" s="1968"/>
      <c r="U395" s="1968"/>
      <c r="V395" s="1968"/>
      <c r="W395" s="1968"/>
      <c r="X395" s="1968"/>
    </row>
    <row r="396" spans="1:24" ht="15.75" customHeight="1">
      <c r="A396" s="566"/>
      <c r="B396" s="566"/>
      <c r="C396" s="566"/>
      <c r="D396" s="566"/>
      <c r="E396" s="566"/>
      <c r="F396" s="566"/>
      <c r="G396" s="566"/>
      <c r="H396" s="566"/>
      <c r="I396" s="566"/>
      <c r="J396" s="566"/>
      <c r="K396" s="566"/>
      <c r="L396" s="566"/>
      <c r="M396" s="566"/>
      <c r="N396" s="566"/>
      <c r="O396" s="566"/>
      <c r="P396" s="566"/>
      <c r="Q396" s="566"/>
      <c r="R396" s="566"/>
      <c r="S396" s="566"/>
      <c r="T396" s="566"/>
      <c r="U396" s="566"/>
      <c r="V396" s="566"/>
      <c r="W396" s="566"/>
      <c r="X396" s="566"/>
    </row>
    <row r="397" spans="1:24" ht="15.75" customHeight="1">
      <c r="A397" s="1964" t="s">
        <v>4253</v>
      </c>
      <c r="B397" s="1964"/>
      <c r="C397" s="1964"/>
      <c r="D397" s="1964"/>
      <c r="E397" s="1964"/>
      <c r="F397" s="1964"/>
      <c r="G397" s="1964"/>
      <c r="H397" s="1964"/>
      <c r="I397" s="1964"/>
      <c r="J397" s="1964"/>
      <c r="K397" s="1964"/>
      <c r="L397" s="1964"/>
      <c r="M397" s="1964"/>
      <c r="N397" s="1964"/>
      <c r="O397" s="1964"/>
      <c r="P397" s="1964"/>
      <c r="Q397" s="1964"/>
      <c r="R397" s="1964"/>
      <c r="S397" s="1964"/>
      <c r="T397" s="1964"/>
      <c r="U397" s="1964"/>
      <c r="V397" s="1964"/>
      <c r="W397" s="1964"/>
      <c r="X397" s="1964"/>
    </row>
    <row r="398" spans="1:24" ht="15.75" customHeight="1">
      <c r="A398" s="1964"/>
      <c r="B398" s="1964"/>
      <c r="C398" s="1964"/>
      <c r="D398" s="1964"/>
      <c r="E398" s="1964"/>
      <c r="F398" s="1964"/>
      <c r="G398" s="1964"/>
      <c r="H398" s="1964"/>
      <c r="I398" s="1964"/>
      <c r="J398" s="1964"/>
      <c r="K398" s="1964"/>
      <c r="L398" s="1964"/>
      <c r="M398" s="1964"/>
      <c r="N398" s="1964"/>
      <c r="O398" s="1964"/>
      <c r="P398" s="1964"/>
      <c r="Q398" s="1964"/>
      <c r="R398" s="1964"/>
      <c r="S398" s="1964"/>
      <c r="T398" s="1964"/>
      <c r="U398" s="1964"/>
      <c r="V398" s="1964"/>
      <c r="W398" s="1964"/>
      <c r="X398" s="1964"/>
    </row>
    <row r="399" spans="1:24" ht="15.75" customHeight="1">
      <c r="A399" s="551"/>
      <c r="B399" s="551"/>
      <c r="C399" s="551"/>
      <c r="D399" s="551"/>
      <c r="E399" s="551"/>
      <c r="F399" s="551"/>
      <c r="G399" s="551"/>
      <c r="H399" s="551"/>
      <c r="I399" s="551"/>
      <c r="J399" s="551"/>
      <c r="K399" s="551"/>
      <c r="L399" s="551"/>
      <c r="M399" s="551"/>
      <c r="N399" s="551"/>
      <c r="O399" s="551"/>
      <c r="P399" s="551"/>
      <c r="Q399" s="551"/>
      <c r="R399" s="551"/>
      <c r="S399" s="551"/>
      <c r="T399" s="551"/>
      <c r="U399" s="551"/>
      <c r="V399" s="551"/>
      <c r="W399" s="551"/>
      <c r="X399" s="551"/>
    </row>
    <row r="400" spans="1:24" ht="15.75" customHeight="1">
      <c r="A400" s="1964" t="s">
        <v>4252</v>
      </c>
      <c r="B400" s="1964"/>
      <c r="C400" s="1964"/>
      <c r="D400" s="1964"/>
      <c r="E400" s="1964"/>
      <c r="F400" s="1964"/>
      <c r="G400" s="1964"/>
      <c r="H400" s="1964"/>
      <c r="I400" s="1964"/>
      <c r="J400" s="1964"/>
      <c r="K400" s="1964"/>
      <c r="L400" s="1964"/>
      <c r="M400" s="1964"/>
      <c r="N400" s="1964"/>
      <c r="O400" s="1964"/>
      <c r="P400" s="1964"/>
      <c r="Q400" s="1964"/>
      <c r="R400" s="1964"/>
      <c r="S400" s="1964"/>
      <c r="T400" s="1964"/>
      <c r="U400" s="1964"/>
      <c r="V400" s="1964"/>
      <c r="W400" s="1964"/>
      <c r="X400" s="1964"/>
    </row>
    <row r="401" spans="1:24" ht="15.75" customHeight="1">
      <c r="A401" s="1964"/>
      <c r="B401" s="1964"/>
      <c r="C401" s="1964"/>
      <c r="D401" s="1964"/>
      <c r="E401" s="1964"/>
      <c r="F401" s="1964"/>
      <c r="G401" s="1964"/>
      <c r="H401" s="1964"/>
      <c r="I401" s="1964"/>
      <c r="J401" s="1964"/>
      <c r="K401" s="1964"/>
      <c r="L401" s="1964"/>
      <c r="M401" s="1964"/>
      <c r="N401" s="1964"/>
      <c r="O401" s="1964"/>
      <c r="P401" s="1964"/>
      <c r="Q401" s="1964"/>
      <c r="R401" s="1964"/>
      <c r="S401" s="1964"/>
      <c r="T401" s="1964"/>
      <c r="U401" s="1964"/>
      <c r="V401" s="1964"/>
      <c r="W401" s="1964"/>
      <c r="X401" s="1964"/>
    </row>
    <row r="402" spans="1:24" ht="15.75" customHeight="1">
      <c r="A402" s="551"/>
      <c r="B402" s="551"/>
      <c r="C402" s="551"/>
      <c r="D402" s="551"/>
      <c r="E402" s="551"/>
      <c r="F402" s="551"/>
      <c r="G402" s="551"/>
      <c r="H402" s="551"/>
      <c r="I402" s="551"/>
      <c r="J402" s="551"/>
      <c r="K402" s="551"/>
      <c r="L402" s="551"/>
      <c r="M402" s="551"/>
      <c r="N402" s="551"/>
      <c r="O402" s="551"/>
      <c r="P402" s="551"/>
      <c r="Q402" s="551"/>
      <c r="R402" s="551"/>
      <c r="S402" s="551"/>
      <c r="T402" s="551"/>
      <c r="U402" s="551"/>
      <c r="V402" s="551"/>
      <c r="W402" s="551"/>
      <c r="X402" s="551"/>
    </row>
    <row r="403" spans="1:24" ht="15.75" customHeight="1">
      <c r="A403" s="1964" t="s">
        <v>4254</v>
      </c>
      <c r="B403" s="1964"/>
      <c r="C403" s="1964"/>
      <c r="D403" s="1964"/>
      <c r="E403" s="1964"/>
      <c r="F403" s="1964"/>
      <c r="G403" s="1964"/>
      <c r="H403" s="1964"/>
      <c r="I403" s="1964"/>
      <c r="J403" s="1964"/>
      <c r="K403" s="1964"/>
      <c r="L403" s="1964"/>
      <c r="M403" s="1964"/>
      <c r="N403" s="1964"/>
      <c r="O403" s="1964"/>
      <c r="P403" s="1964"/>
      <c r="Q403" s="1964"/>
      <c r="R403" s="1964"/>
      <c r="S403" s="1964"/>
      <c r="T403" s="1964"/>
      <c r="U403" s="1964"/>
      <c r="V403" s="1964"/>
      <c r="W403" s="1964"/>
      <c r="X403" s="1964"/>
    </row>
    <row r="404" spans="1:24" ht="15.75" customHeight="1">
      <c r="A404" s="1964"/>
      <c r="B404" s="1964"/>
      <c r="C404" s="1964"/>
      <c r="D404" s="1964"/>
      <c r="E404" s="1964"/>
      <c r="F404" s="1964"/>
      <c r="G404" s="1964"/>
      <c r="H404" s="1964"/>
      <c r="I404" s="1964"/>
      <c r="J404" s="1964"/>
      <c r="K404" s="1964"/>
      <c r="L404" s="1964"/>
      <c r="M404" s="1964"/>
      <c r="N404" s="1964"/>
      <c r="O404" s="1964"/>
      <c r="P404" s="1964"/>
      <c r="Q404" s="1964"/>
      <c r="R404" s="1964"/>
      <c r="S404" s="1964"/>
      <c r="T404" s="1964"/>
      <c r="U404" s="1964"/>
      <c r="V404" s="1964"/>
      <c r="W404" s="1964"/>
      <c r="X404" s="1964"/>
    </row>
    <row r="406" spans="1:24" s="300" customFormat="1" ht="15.75" customHeight="1">
      <c r="A406" s="1968" t="s">
        <v>4256</v>
      </c>
      <c r="B406" s="1968"/>
      <c r="C406" s="1968"/>
      <c r="D406" s="1968"/>
      <c r="E406" s="1968"/>
      <c r="F406" s="1968"/>
      <c r="G406" s="1968"/>
      <c r="H406" s="1968"/>
      <c r="I406" s="1968"/>
      <c r="J406" s="1968"/>
      <c r="K406" s="1968"/>
      <c r="L406" s="1968"/>
      <c r="M406" s="1968"/>
      <c r="N406" s="1968"/>
      <c r="O406" s="1968"/>
      <c r="P406" s="1968"/>
      <c r="Q406" s="1968"/>
      <c r="R406" s="1968"/>
      <c r="S406" s="1968"/>
      <c r="T406" s="1968"/>
      <c r="U406" s="1968"/>
      <c r="V406" s="1968"/>
      <c r="W406" s="1968"/>
      <c r="X406" s="1968"/>
    </row>
    <row r="408" spans="1:24" ht="15.75" customHeight="1">
      <c r="A408" s="1964" t="s">
        <v>4257</v>
      </c>
      <c r="B408" s="1964"/>
      <c r="C408" s="1964"/>
      <c r="D408" s="1964"/>
      <c r="E408" s="1964"/>
      <c r="F408" s="1964"/>
      <c r="G408" s="1964"/>
      <c r="H408" s="1964"/>
      <c r="I408" s="1964"/>
      <c r="J408" s="1964"/>
      <c r="K408" s="1964"/>
      <c r="L408" s="1964"/>
      <c r="M408" s="1964"/>
      <c r="N408" s="1964"/>
      <c r="O408" s="1964"/>
      <c r="P408" s="1964"/>
      <c r="Q408" s="1964"/>
      <c r="R408" s="1964"/>
      <c r="S408" s="1964"/>
      <c r="T408" s="1964"/>
      <c r="U408" s="1964"/>
      <c r="V408" s="1964"/>
      <c r="W408" s="1964"/>
      <c r="X408" s="1964"/>
    </row>
    <row r="409" spans="1:24" ht="15.75" customHeight="1">
      <c r="A409" s="1964"/>
      <c r="B409" s="1964"/>
      <c r="C409" s="1964"/>
      <c r="D409" s="1964"/>
      <c r="E409" s="1964"/>
      <c r="F409" s="1964"/>
      <c r="G409" s="1964"/>
      <c r="H409" s="1964"/>
      <c r="I409" s="1964"/>
      <c r="J409" s="1964"/>
      <c r="K409" s="1964"/>
      <c r="L409" s="1964"/>
      <c r="M409" s="1964"/>
      <c r="N409" s="1964"/>
      <c r="O409" s="1964"/>
      <c r="P409" s="1964"/>
      <c r="Q409" s="1964"/>
      <c r="R409" s="1964"/>
      <c r="S409" s="1964"/>
      <c r="T409" s="1964"/>
      <c r="U409" s="1964"/>
      <c r="V409" s="1964"/>
      <c r="W409" s="1964"/>
      <c r="X409" s="1964"/>
    </row>
    <row r="410" spans="1:24" ht="15.75" customHeight="1">
      <c r="A410" s="551"/>
      <c r="B410" s="551"/>
      <c r="C410" s="551"/>
      <c r="D410" s="551"/>
      <c r="E410" s="551"/>
      <c r="F410" s="551"/>
      <c r="G410" s="551"/>
      <c r="H410" s="551"/>
      <c r="I410" s="551"/>
      <c r="J410" s="551"/>
      <c r="K410" s="551"/>
      <c r="L410" s="551"/>
      <c r="M410" s="551"/>
      <c r="N410" s="551"/>
      <c r="O410" s="551"/>
      <c r="P410" s="551"/>
      <c r="Q410" s="551"/>
      <c r="R410" s="551"/>
      <c r="S410" s="551"/>
      <c r="T410" s="551"/>
      <c r="U410" s="551"/>
      <c r="V410" s="551"/>
      <c r="W410" s="551"/>
      <c r="X410" s="551"/>
    </row>
    <row r="411" spans="1:24" ht="15.75" customHeight="1">
      <c r="A411" s="1964" t="s">
        <v>4258</v>
      </c>
      <c r="B411" s="1964"/>
      <c r="C411" s="1964"/>
      <c r="D411" s="1964"/>
      <c r="E411" s="1964"/>
      <c r="F411" s="1964"/>
      <c r="G411" s="1964"/>
      <c r="H411" s="1964"/>
      <c r="I411" s="1964"/>
      <c r="J411" s="1964"/>
      <c r="K411" s="1964"/>
      <c r="L411" s="1964"/>
      <c r="M411" s="1964"/>
      <c r="N411" s="1964"/>
      <c r="O411" s="1964"/>
      <c r="P411" s="1964"/>
      <c r="Q411" s="1964"/>
      <c r="R411" s="1964"/>
      <c r="S411" s="1964"/>
      <c r="T411" s="1964"/>
      <c r="U411" s="1964"/>
      <c r="V411" s="1964"/>
      <c r="W411" s="1964"/>
      <c r="X411" s="1964"/>
    </row>
    <row r="412" spans="1:24" ht="15.75" customHeight="1">
      <c r="A412" s="1964"/>
      <c r="B412" s="1964"/>
      <c r="C412" s="1964"/>
      <c r="D412" s="1964"/>
      <c r="E412" s="1964"/>
      <c r="F412" s="1964"/>
      <c r="G412" s="1964"/>
      <c r="H412" s="1964"/>
      <c r="I412" s="1964"/>
      <c r="J412" s="1964"/>
      <c r="K412" s="1964"/>
      <c r="L412" s="1964"/>
      <c r="M412" s="1964"/>
      <c r="N412" s="1964"/>
      <c r="O412" s="1964"/>
      <c r="P412" s="1964"/>
      <c r="Q412" s="1964"/>
      <c r="R412" s="1964"/>
      <c r="S412" s="1964"/>
      <c r="T412" s="1964"/>
      <c r="U412" s="1964"/>
      <c r="V412" s="1964"/>
      <c r="W412" s="1964"/>
      <c r="X412" s="1964"/>
    </row>
    <row r="413" spans="1:24" ht="15.75" customHeight="1">
      <c r="A413" s="551"/>
      <c r="B413" s="551"/>
      <c r="C413" s="551"/>
      <c r="D413" s="551"/>
      <c r="E413" s="551"/>
      <c r="F413" s="551"/>
      <c r="G413" s="551"/>
      <c r="H413" s="551"/>
      <c r="I413" s="551"/>
      <c r="J413" s="551"/>
      <c r="K413" s="551"/>
      <c r="L413" s="551"/>
      <c r="M413" s="551"/>
      <c r="N413" s="551"/>
      <c r="O413" s="551"/>
      <c r="P413" s="551"/>
      <c r="Q413" s="551"/>
      <c r="R413" s="551"/>
      <c r="S413" s="551"/>
      <c r="T413" s="551"/>
      <c r="U413" s="551"/>
      <c r="V413" s="551"/>
      <c r="W413" s="551"/>
      <c r="X413" s="551"/>
    </row>
    <row r="414" spans="1:24" ht="15.75" customHeight="1">
      <c r="A414" s="1964" t="s">
        <v>4259</v>
      </c>
      <c r="B414" s="1964"/>
      <c r="C414" s="1964"/>
      <c r="D414" s="1964"/>
      <c r="E414" s="1964"/>
      <c r="F414" s="1964"/>
      <c r="G414" s="1964"/>
      <c r="H414" s="1964"/>
      <c r="I414" s="1964"/>
      <c r="J414" s="1964"/>
      <c r="K414" s="1964"/>
      <c r="L414" s="1964"/>
      <c r="M414" s="1964"/>
      <c r="N414" s="1964"/>
      <c r="O414" s="1964"/>
      <c r="P414" s="1964"/>
      <c r="Q414" s="1964"/>
      <c r="R414" s="1964"/>
      <c r="S414" s="1964"/>
      <c r="T414" s="1964"/>
      <c r="U414" s="1964"/>
      <c r="V414" s="1964"/>
      <c r="W414" s="1964"/>
      <c r="X414" s="1964"/>
    </row>
    <row r="415" spans="1:24" ht="15.75" customHeight="1">
      <c r="A415" s="1964"/>
      <c r="B415" s="1964"/>
      <c r="C415" s="1964"/>
      <c r="D415" s="1964"/>
      <c r="E415" s="1964"/>
      <c r="F415" s="1964"/>
      <c r="G415" s="1964"/>
      <c r="H415" s="1964"/>
      <c r="I415" s="1964"/>
      <c r="J415" s="1964"/>
      <c r="K415" s="1964"/>
      <c r="L415" s="1964"/>
      <c r="M415" s="1964"/>
      <c r="N415" s="1964"/>
      <c r="O415" s="1964"/>
      <c r="P415" s="1964"/>
      <c r="Q415" s="1964"/>
      <c r="R415" s="1964"/>
      <c r="S415" s="1964"/>
      <c r="T415" s="1964"/>
      <c r="U415" s="1964"/>
      <c r="V415" s="1964"/>
      <c r="W415" s="1964"/>
      <c r="X415" s="1964"/>
    </row>
    <row r="417" spans="1:24" ht="15.75" customHeight="1">
      <c r="A417" s="1968" t="s">
        <v>4260</v>
      </c>
      <c r="B417" s="1968"/>
      <c r="C417" s="1968"/>
      <c r="D417" s="1968"/>
      <c r="E417" s="1968"/>
      <c r="F417" s="1968"/>
      <c r="G417" s="1968"/>
      <c r="H417" s="1968"/>
      <c r="I417" s="1968"/>
      <c r="J417" s="1968"/>
      <c r="K417" s="1968"/>
      <c r="L417" s="1968"/>
      <c r="M417" s="1968"/>
      <c r="N417" s="1968"/>
      <c r="O417" s="1968"/>
      <c r="P417" s="1968"/>
      <c r="Q417" s="1968"/>
      <c r="R417" s="1968"/>
      <c r="S417" s="1968"/>
      <c r="T417" s="1968"/>
      <c r="U417" s="1968"/>
      <c r="V417" s="1968"/>
      <c r="W417" s="1968"/>
      <c r="X417" s="1968"/>
    </row>
    <row r="419" spans="1:24" ht="15.75" customHeight="1">
      <c r="A419" s="1964" t="s">
        <v>4247</v>
      </c>
      <c r="B419" s="1964"/>
      <c r="C419" s="1964"/>
      <c r="D419" s="1964"/>
      <c r="E419" s="1964"/>
      <c r="F419" s="1964"/>
      <c r="G419" s="1964"/>
      <c r="H419" s="1964"/>
      <c r="I419" s="1964"/>
      <c r="J419" s="1964"/>
      <c r="K419" s="1964"/>
      <c r="L419" s="1964"/>
      <c r="M419" s="1964"/>
      <c r="N419" s="1964"/>
      <c r="O419" s="1964"/>
      <c r="P419" s="1964"/>
      <c r="Q419" s="1964"/>
      <c r="R419" s="1964"/>
      <c r="S419" s="1964"/>
      <c r="T419" s="1964"/>
      <c r="U419" s="1964"/>
      <c r="V419" s="1964"/>
      <c r="W419" s="1964"/>
      <c r="X419" s="1964"/>
    </row>
    <row r="420" spans="1:24" ht="15.75" customHeight="1">
      <c r="A420" s="1964"/>
      <c r="B420" s="1964"/>
      <c r="C420" s="1964"/>
      <c r="D420" s="1964"/>
      <c r="E420" s="1964"/>
      <c r="F420" s="1964"/>
      <c r="G420" s="1964"/>
      <c r="H420" s="1964"/>
      <c r="I420" s="1964"/>
      <c r="J420" s="1964"/>
      <c r="K420" s="1964"/>
      <c r="L420" s="1964"/>
      <c r="M420" s="1964"/>
      <c r="N420" s="1964"/>
      <c r="O420" s="1964"/>
      <c r="P420" s="1964"/>
      <c r="Q420" s="1964"/>
      <c r="R420" s="1964"/>
      <c r="S420" s="1964"/>
      <c r="T420" s="1964"/>
      <c r="U420" s="1964"/>
      <c r="V420" s="1964"/>
      <c r="W420" s="1964"/>
      <c r="X420" s="1964"/>
    </row>
    <row r="421" spans="1:24" ht="15.75" customHeight="1">
      <c r="A421" s="99"/>
      <c r="B421" s="99"/>
      <c r="C421" s="99"/>
      <c r="D421" s="99"/>
      <c r="E421" s="99"/>
      <c r="F421" s="99"/>
      <c r="G421" s="99"/>
      <c r="H421" s="99"/>
      <c r="I421" s="99"/>
      <c r="J421" s="99"/>
      <c r="K421" s="99"/>
      <c r="L421" s="99"/>
      <c r="M421" s="99"/>
      <c r="N421" s="99"/>
      <c r="O421" s="99"/>
      <c r="P421" s="99"/>
      <c r="Q421" s="99"/>
      <c r="R421" s="99"/>
      <c r="S421" s="99"/>
      <c r="T421" s="99"/>
      <c r="U421" s="99"/>
      <c r="V421" s="99"/>
      <c r="W421" s="99"/>
      <c r="X421" s="99"/>
    </row>
    <row r="422" spans="1:24" ht="15.75" customHeight="1">
      <c r="A422" s="1968" t="s">
        <v>3510</v>
      </c>
      <c r="B422" s="1968"/>
      <c r="C422" s="1968"/>
      <c r="D422" s="1968"/>
      <c r="E422" s="1968"/>
      <c r="F422" s="1968"/>
      <c r="G422" s="1968"/>
      <c r="H422" s="1968"/>
      <c r="I422" s="1968"/>
      <c r="J422" s="1968"/>
      <c r="K422" s="1968"/>
      <c r="L422" s="1968"/>
      <c r="M422" s="1968"/>
      <c r="N422" s="1968"/>
      <c r="O422" s="1968"/>
      <c r="P422" s="1968"/>
      <c r="Q422" s="1968"/>
      <c r="R422" s="1968"/>
      <c r="S422" s="1968"/>
      <c r="T422" s="1968"/>
      <c r="U422" s="1968"/>
      <c r="V422" s="1968"/>
      <c r="W422" s="1968"/>
      <c r="X422" s="1968"/>
    </row>
    <row r="423" spans="1:24" ht="15.75" customHeight="1">
      <c r="A423" s="1968"/>
      <c r="B423" s="1968"/>
      <c r="C423" s="1968"/>
      <c r="D423" s="1968"/>
      <c r="E423" s="1968"/>
      <c r="F423" s="1968"/>
      <c r="G423" s="1968"/>
      <c r="H423" s="1968"/>
      <c r="I423" s="1968"/>
      <c r="J423" s="1968"/>
      <c r="K423" s="1968"/>
      <c r="L423" s="1968"/>
      <c r="M423" s="1968"/>
      <c r="N423" s="1968"/>
      <c r="O423" s="1968"/>
      <c r="P423" s="1968"/>
      <c r="Q423" s="1968"/>
      <c r="R423" s="1968"/>
      <c r="S423" s="1968"/>
      <c r="T423" s="1968"/>
      <c r="U423" s="1968"/>
      <c r="V423" s="1968"/>
      <c r="W423" s="1968"/>
      <c r="X423" s="1968"/>
    </row>
    <row r="424" spans="1:24" ht="15.75" customHeight="1">
      <c r="A424" s="566"/>
      <c r="B424" s="566"/>
      <c r="C424" s="566"/>
      <c r="D424" s="566"/>
      <c r="E424" s="566"/>
      <c r="F424" s="566"/>
      <c r="G424" s="566"/>
      <c r="H424" s="566"/>
      <c r="I424" s="566"/>
      <c r="J424" s="566"/>
      <c r="K424" s="566"/>
      <c r="L424" s="566"/>
      <c r="M424" s="566"/>
      <c r="N424" s="566"/>
      <c r="O424" s="566"/>
      <c r="P424" s="566"/>
      <c r="Q424" s="566"/>
      <c r="R424" s="566"/>
      <c r="S424" s="566"/>
      <c r="T424" s="566"/>
      <c r="U424" s="566"/>
      <c r="V424" s="566"/>
      <c r="W424" s="566"/>
      <c r="X424" s="566"/>
    </row>
    <row r="425" spans="1:24" ht="15.75" customHeight="1">
      <c r="A425" s="1964" t="s">
        <v>3511</v>
      </c>
      <c r="B425" s="1964"/>
      <c r="C425" s="1964"/>
      <c r="D425" s="1964"/>
      <c r="E425" s="1964"/>
      <c r="F425" s="1964"/>
      <c r="G425" s="1964"/>
      <c r="H425" s="1964"/>
      <c r="I425" s="1964"/>
      <c r="J425" s="1964"/>
      <c r="K425" s="1964"/>
      <c r="L425" s="1964"/>
      <c r="M425" s="1964"/>
      <c r="N425" s="1964"/>
      <c r="O425" s="1964"/>
      <c r="P425" s="1964"/>
      <c r="Q425" s="1964"/>
      <c r="R425" s="1964"/>
      <c r="S425" s="1964"/>
      <c r="T425" s="1964"/>
      <c r="U425" s="1964"/>
      <c r="V425" s="1964"/>
      <c r="W425" s="1964"/>
      <c r="X425" s="1964"/>
    </row>
    <row r="426" spans="1:24" ht="15.75" customHeight="1">
      <c r="A426" s="1964"/>
      <c r="B426" s="1964"/>
      <c r="C426" s="1964"/>
      <c r="D426" s="1964"/>
      <c r="E426" s="1964"/>
      <c r="F426" s="1964"/>
      <c r="G426" s="1964"/>
      <c r="H426" s="1964"/>
      <c r="I426" s="1964"/>
      <c r="J426" s="1964"/>
      <c r="K426" s="1964"/>
      <c r="L426" s="1964"/>
      <c r="M426" s="1964"/>
      <c r="N426" s="1964"/>
      <c r="O426" s="1964"/>
      <c r="P426" s="1964"/>
      <c r="Q426" s="1964"/>
      <c r="R426" s="1964"/>
      <c r="S426" s="1964"/>
      <c r="T426" s="1964"/>
      <c r="U426" s="1964"/>
      <c r="V426" s="1964"/>
      <c r="W426" s="1964"/>
      <c r="X426" s="1964"/>
    </row>
    <row r="427" spans="1:24" ht="15.75" customHeight="1">
      <c r="A427" s="1216"/>
      <c r="B427" s="1216"/>
      <c r="C427" s="1216"/>
      <c r="D427" s="1216"/>
      <c r="E427" s="1216"/>
      <c r="F427" s="1216"/>
      <c r="G427" s="1216"/>
      <c r="H427" s="1216"/>
      <c r="I427" s="1216"/>
      <c r="J427" s="1216"/>
      <c r="K427" s="1216"/>
      <c r="L427" s="1216"/>
      <c r="M427" s="1216"/>
      <c r="N427" s="1216"/>
      <c r="O427" s="1216"/>
      <c r="P427" s="1216"/>
      <c r="Q427" s="1216"/>
      <c r="R427" s="1216"/>
      <c r="S427" s="1216"/>
      <c r="T427" s="1216"/>
      <c r="U427" s="1216"/>
      <c r="V427" s="1216"/>
      <c r="W427" s="1216"/>
      <c r="X427" s="1216"/>
    </row>
    <row r="428" spans="1:24" ht="15.75" customHeight="1">
      <c r="A428" s="2039" t="s">
        <v>275</v>
      </c>
      <c r="B428" s="2040"/>
      <c r="C428" s="2040"/>
      <c r="D428" s="2040"/>
      <c r="E428" s="2040"/>
      <c r="F428" s="2040"/>
      <c r="G428" s="2040"/>
      <c r="H428" s="2040"/>
      <c r="I428" s="2040"/>
      <c r="J428" s="2040"/>
      <c r="K428" s="2040"/>
      <c r="L428" s="2040"/>
      <c r="M428" s="2040"/>
      <c r="N428" s="2040"/>
      <c r="O428" s="2040"/>
      <c r="P428" s="2040"/>
      <c r="Q428" s="2040"/>
      <c r="R428" s="2040"/>
      <c r="S428" s="2040"/>
      <c r="T428" s="2040"/>
      <c r="U428" s="2040"/>
      <c r="V428" s="2040"/>
      <c r="W428" s="2040"/>
      <c r="X428" s="2040"/>
    </row>
    <row r="429" spans="1:24" ht="15.75" customHeight="1">
      <c r="A429" s="2025">
        <v>9400</v>
      </c>
      <c r="B429" s="2026"/>
      <c r="C429" s="2026"/>
      <c r="D429" s="2026"/>
      <c r="E429" s="2026"/>
      <c r="F429" s="2026"/>
      <c r="G429" s="956" t="s">
        <v>276</v>
      </c>
      <c r="H429" s="956"/>
      <c r="I429" s="956"/>
      <c r="J429" s="956"/>
      <c r="K429" s="956"/>
      <c r="L429" s="2021"/>
      <c r="M429" s="2021"/>
      <c r="N429" s="2021"/>
      <c r="O429" s="2021"/>
      <c r="P429" s="2021"/>
      <c r="Q429" s="2021"/>
      <c r="R429" s="2021"/>
      <c r="S429" s="2021"/>
      <c r="T429" s="2021"/>
      <c r="U429" s="2021"/>
      <c r="V429" s="2020">
        <v>0.15</v>
      </c>
      <c r="W429" s="2020"/>
      <c r="X429" s="606"/>
    </row>
    <row r="430" spans="1:24" ht="15.75" customHeight="1">
      <c r="A430" s="2025">
        <v>23000</v>
      </c>
      <c r="B430" s="2026"/>
      <c r="C430" s="2026"/>
      <c r="D430" s="2026"/>
      <c r="E430" s="2026"/>
      <c r="F430" s="2026"/>
      <c r="G430" s="956" t="s">
        <v>277</v>
      </c>
      <c r="H430" s="956"/>
      <c r="I430" s="956"/>
      <c r="J430" s="2024">
        <v>9400</v>
      </c>
      <c r="K430" s="2024"/>
      <c r="L430" s="2024"/>
      <c r="M430" s="956" t="s">
        <v>278</v>
      </c>
      <c r="N430" s="956"/>
      <c r="O430" s="956"/>
      <c r="P430" s="2023">
        <v>1410</v>
      </c>
      <c r="Q430" s="2023"/>
      <c r="R430" s="2023"/>
      <c r="S430" s="956" t="s">
        <v>279</v>
      </c>
      <c r="T430" s="956"/>
      <c r="U430" s="956"/>
      <c r="V430" s="2020">
        <v>0.2</v>
      </c>
      <c r="W430" s="2020"/>
      <c r="X430" s="606"/>
    </row>
    <row r="431" spans="1:24" ht="15.75" customHeight="1">
      <c r="A431" s="2025">
        <v>80000</v>
      </c>
      <c r="B431" s="2026"/>
      <c r="C431" s="2026"/>
      <c r="D431" s="2026"/>
      <c r="E431" s="2026"/>
      <c r="F431" s="2026"/>
      <c r="G431" s="956" t="s">
        <v>277</v>
      </c>
      <c r="H431" s="956"/>
      <c r="I431" s="956"/>
      <c r="J431" s="2024">
        <v>23000</v>
      </c>
      <c r="K431" s="2024"/>
      <c r="L431" s="2024"/>
      <c r="M431" s="956" t="s">
        <v>278</v>
      </c>
      <c r="N431" s="956"/>
      <c r="O431" s="956"/>
      <c r="P431" s="2023">
        <v>4130</v>
      </c>
      <c r="Q431" s="2023"/>
      <c r="R431" s="2023"/>
      <c r="S431" s="956" t="s">
        <v>279</v>
      </c>
      <c r="T431" s="956"/>
      <c r="U431" s="956"/>
      <c r="V431" s="2020">
        <v>0.27</v>
      </c>
      <c r="W431" s="2020"/>
      <c r="X431" s="606"/>
    </row>
    <row r="432" spans="1:24" ht="15.75" customHeight="1">
      <c r="A432" s="2025">
        <v>80000</v>
      </c>
      <c r="B432" s="2026"/>
      <c r="C432" s="2026"/>
      <c r="D432" s="2026"/>
      <c r="E432" s="2026"/>
      <c r="F432" s="2026"/>
      <c r="G432" s="956" t="s">
        <v>280</v>
      </c>
      <c r="H432" s="956"/>
      <c r="I432" s="956"/>
      <c r="J432" s="2024">
        <v>80000</v>
      </c>
      <c r="K432" s="2024"/>
      <c r="L432" s="2024"/>
      <c r="M432" s="956" t="s">
        <v>278</v>
      </c>
      <c r="N432" s="956"/>
      <c r="O432" s="956"/>
      <c r="P432" s="2023">
        <v>19520</v>
      </c>
      <c r="Q432" s="2023"/>
      <c r="R432" s="2023"/>
      <c r="S432" s="956" t="s">
        <v>279</v>
      </c>
      <c r="T432" s="956"/>
      <c r="U432" s="956"/>
      <c r="V432" s="2020">
        <v>0.35</v>
      </c>
      <c r="W432" s="2020"/>
      <c r="X432" s="606"/>
    </row>
    <row r="433" spans="1:24" ht="15.75" customHeight="1">
      <c r="A433" s="2037" t="s">
        <v>281</v>
      </c>
      <c r="B433" s="2038"/>
      <c r="C433" s="2038"/>
      <c r="D433" s="2038"/>
      <c r="E433" s="2038"/>
      <c r="F433" s="2038"/>
      <c r="G433" s="2038"/>
      <c r="H433" s="2038"/>
      <c r="I433" s="2038"/>
      <c r="J433" s="2038"/>
      <c r="K433" s="2038"/>
      <c r="L433" s="2038"/>
      <c r="M433" s="2038"/>
      <c r="N433" s="2038"/>
      <c r="O433" s="2038"/>
      <c r="P433" s="2038"/>
      <c r="Q433" s="2038"/>
      <c r="R433" s="2038"/>
      <c r="S433" s="2038"/>
      <c r="T433" s="2038"/>
      <c r="U433" s="2038"/>
      <c r="V433" s="2038"/>
      <c r="W433" s="2038"/>
      <c r="X433" s="2038"/>
    </row>
    <row r="434" spans="1:24" ht="15.75" customHeight="1">
      <c r="A434" s="605"/>
      <c r="B434" s="605"/>
      <c r="C434" s="605"/>
      <c r="D434" s="605"/>
      <c r="E434" s="605"/>
      <c r="F434" s="605"/>
      <c r="G434" s="605"/>
      <c r="H434" s="605"/>
      <c r="I434" s="605"/>
      <c r="J434" s="605"/>
      <c r="K434" s="605"/>
      <c r="L434" s="605"/>
      <c r="M434" s="605"/>
      <c r="N434" s="605"/>
      <c r="O434" s="605"/>
      <c r="P434" s="605"/>
      <c r="Q434" s="605"/>
      <c r="R434" s="605"/>
      <c r="S434" s="605"/>
      <c r="T434" s="605"/>
      <c r="U434" s="605"/>
      <c r="V434" s="605"/>
      <c r="W434" s="605"/>
      <c r="X434" s="605"/>
    </row>
    <row r="435" spans="1:24" ht="15.75" customHeight="1">
      <c r="A435" s="1968" t="s">
        <v>4250</v>
      </c>
      <c r="B435" s="1968"/>
      <c r="C435" s="1968"/>
      <c r="D435" s="1968"/>
      <c r="E435" s="1968"/>
      <c r="F435" s="1968"/>
      <c r="G435" s="1968"/>
      <c r="H435" s="1968"/>
      <c r="I435" s="1968"/>
      <c r="J435" s="1968"/>
      <c r="K435" s="1968"/>
      <c r="L435" s="1968"/>
      <c r="M435" s="1968"/>
      <c r="N435" s="1968"/>
      <c r="O435" s="1968"/>
      <c r="P435" s="1968"/>
      <c r="Q435" s="1968"/>
      <c r="R435" s="1968"/>
      <c r="S435" s="1968"/>
      <c r="T435" s="1968"/>
      <c r="U435" s="1968"/>
      <c r="V435" s="1968"/>
      <c r="W435" s="1968"/>
      <c r="X435" s="1968"/>
    </row>
    <row r="436" spans="1:24" ht="15.75" customHeight="1">
      <c r="A436" s="1968"/>
      <c r="B436" s="1968"/>
      <c r="C436" s="1968"/>
      <c r="D436" s="1968"/>
      <c r="E436" s="1968"/>
      <c r="F436" s="1968"/>
      <c r="G436" s="1968"/>
      <c r="H436" s="1968"/>
      <c r="I436" s="1968"/>
      <c r="J436" s="1968"/>
      <c r="K436" s="1968"/>
      <c r="L436" s="1968"/>
      <c r="M436" s="1968"/>
      <c r="N436" s="1968"/>
      <c r="O436" s="1968"/>
      <c r="P436" s="1968"/>
      <c r="Q436" s="1968"/>
      <c r="R436" s="1968"/>
      <c r="S436" s="1968"/>
      <c r="T436" s="1968"/>
      <c r="U436" s="1968"/>
      <c r="V436" s="1968"/>
      <c r="W436" s="1968"/>
      <c r="X436" s="1968"/>
    </row>
    <row r="437" spans="1:24" ht="15.75" customHeight="1">
      <c r="A437" s="1968"/>
      <c r="B437" s="1968"/>
      <c r="C437" s="1968"/>
      <c r="D437" s="1968"/>
      <c r="E437" s="1968"/>
      <c r="F437" s="1968"/>
      <c r="G437" s="1968"/>
      <c r="H437" s="1968"/>
      <c r="I437" s="1968"/>
      <c r="J437" s="1968"/>
      <c r="K437" s="1968"/>
      <c r="L437" s="1968"/>
      <c r="M437" s="1968"/>
      <c r="N437" s="1968"/>
      <c r="O437" s="1968"/>
      <c r="P437" s="1968"/>
      <c r="Q437" s="1968"/>
      <c r="R437" s="1968"/>
      <c r="S437" s="1968"/>
      <c r="T437" s="1968"/>
      <c r="U437" s="1968"/>
      <c r="V437" s="1968"/>
      <c r="W437" s="1968"/>
      <c r="X437" s="1968"/>
    </row>
    <row r="438" spans="1:24" ht="15.75" customHeight="1">
      <c r="A438" s="566"/>
      <c r="B438" s="566"/>
      <c r="C438" s="566"/>
      <c r="D438" s="566"/>
      <c r="E438" s="566"/>
      <c r="F438" s="566"/>
      <c r="G438" s="566"/>
      <c r="H438" s="566"/>
      <c r="I438" s="566"/>
      <c r="J438" s="566"/>
      <c r="K438" s="566"/>
      <c r="L438" s="566"/>
      <c r="M438" s="566"/>
      <c r="N438" s="566"/>
      <c r="O438" s="566"/>
      <c r="P438" s="566"/>
      <c r="Q438" s="566"/>
      <c r="R438" s="566"/>
      <c r="S438" s="566"/>
      <c r="T438" s="566"/>
      <c r="U438" s="566"/>
      <c r="V438" s="566"/>
      <c r="W438" s="566"/>
      <c r="X438" s="566"/>
    </row>
    <row r="439" spans="1:24" ht="15.75" customHeight="1">
      <c r="A439" s="1964" t="s">
        <v>4251</v>
      </c>
      <c r="B439" s="1964"/>
      <c r="C439" s="1964"/>
      <c r="D439" s="1964"/>
      <c r="E439" s="1964"/>
      <c r="F439" s="1964"/>
      <c r="G439" s="1964"/>
      <c r="H439" s="1964"/>
      <c r="I439" s="1964"/>
      <c r="J439" s="1964"/>
      <c r="K439" s="1964"/>
      <c r="L439" s="1964"/>
      <c r="M439" s="1964"/>
      <c r="N439" s="1964"/>
      <c r="O439" s="1964"/>
      <c r="P439" s="1964"/>
      <c r="Q439" s="1964"/>
      <c r="R439" s="1964"/>
      <c r="S439" s="1964"/>
      <c r="T439" s="1964"/>
      <c r="U439" s="1964"/>
      <c r="V439" s="1964"/>
      <c r="W439" s="1964"/>
      <c r="X439" s="1964"/>
    </row>
    <row r="440" spans="1:24" ht="15.75" customHeight="1">
      <c r="A440" s="1964"/>
      <c r="B440" s="1964"/>
      <c r="C440" s="1964"/>
      <c r="D440" s="1964"/>
      <c r="E440" s="1964"/>
      <c r="F440" s="1964"/>
      <c r="G440" s="1964"/>
      <c r="H440" s="1964"/>
      <c r="I440" s="1964"/>
      <c r="J440" s="1964"/>
      <c r="K440" s="1964"/>
      <c r="L440" s="1964"/>
      <c r="M440" s="1964"/>
      <c r="N440" s="1964"/>
      <c r="O440" s="1964"/>
      <c r="P440" s="1964"/>
      <c r="Q440" s="1964"/>
      <c r="R440" s="1964"/>
      <c r="S440" s="1964"/>
      <c r="T440" s="1964"/>
      <c r="U440" s="1964"/>
      <c r="V440" s="1964"/>
      <c r="W440" s="1964"/>
      <c r="X440" s="1964"/>
    </row>
    <row r="441" spans="1:24" ht="15.75" customHeight="1">
      <c r="A441" s="551"/>
      <c r="B441" s="551"/>
      <c r="C441" s="551"/>
      <c r="D441" s="551"/>
      <c r="E441" s="551"/>
      <c r="F441" s="551"/>
      <c r="G441" s="551"/>
      <c r="H441" s="551"/>
      <c r="I441" s="551"/>
      <c r="J441" s="551"/>
      <c r="K441" s="551"/>
      <c r="L441" s="551"/>
      <c r="M441" s="551"/>
      <c r="N441" s="551"/>
      <c r="O441" s="551"/>
      <c r="P441" s="551"/>
      <c r="Q441" s="551"/>
      <c r="R441" s="551"/>
      <c r="S441" s="551"/>
      <c r="T441" s="551"/>
      <c r="U441" s="551"/>
      <c r="V441" s="551"/>
      <c r="W441" s="551"/>
      <c r="X441" s="551"/>
    </row>
    <row r="443" spans="1:24" ht="15.75" customHeight="1">
      <c r="A443" s="553"/>
    </row>
    <row r="444" spans="1:24" ht="15.75" customHeight="1">
      <c r="A444" s="551"/>
    </row>
    <row r="445" spans="1:24" ht="15.75" customHeight="1">
      <c r="A445" s="551"/>
    </row>
    <row r="446" spans="1:24" ht="15.75" customHeight="1">
      <c r="A446" s="554"/>
    </row>
    <row r="447" spans="1:24" ht="15.75" customHeight="1">
      <c r="A447" s="554"/>
    </row>
    <row r="448" spans="1:24" ht="15.75" customHeight="1">
      <c r="A448" s="554"/>
    </row>
    <row r="449" spans="1:24" ht="15.75" customHeight="1">
      <c r="A449" s="2019" t="s">
        <v>569</v>
      </c>
      <c r="B449" s="2019"/>
      <c r="C449" s="2019"/>
      <c r="D449" s="2019"/>
      <c r="E449" s="2019"/>
      <c r="F449" s="2019"/>
      <c r="G449" s="2019"/>
      <c r="H449" s="2019"/>
      <c r="I449" s="2019"/>
      <c r="J449" s="2019"/>
      <c r="K449" s="2019"/>
      <c r="L449" s="2019"/>
      <c r="M449" s="2019"/>
      <c r="N449" s="2019"/>
      <c r="O449" s="2019"/>
      <c r="P449" s="2019"/>
      <c r="Q449" s="2019"/>
      <c r="R449" s="2019"/>
      <c r="S449" s="2019"/>
      <c r="T449" s="2019"/>
      <c r="U449" s="2019"/>
      <c r="V449" s="2019"/>
      <c r="W449" s="2019"/>
      <c r="X449" s="2019"/>
    </row>
    <row r="450" spans="1:24" ht="15.75" customHeight="1">
      <c r="A450" s="2019" t="s">
        <v>3512</v>
      </c>
      <c r="B450" s="2019"/>
      <c r="C450" s="2019"/>
      <c r="D450" s="2019"/>
      <c r="E450" s="2019"/>
      <c r="F450" s="2019"/>
      <c r="G450" s="2019"/>
      <c r="H450" s="2019"/>
      <c r="I450" s="2019"/>
      <c r="J450" s="2019"/>
      <c r="K450" s="2019"/>
      <c r="L450" s="2019"/>
      <c r="M450" s="2019"/>
      <c r="N450" s="2019"/>
      <c r="O450" s="2019"/>
      <c r="P450" s="2019"/>
      <c r="Q450" s="2019"/>
      <c r="R450" s="2019"/>
      <c r="S450" s="2019"/>
      <c r="T450" s="2019"/>
      <c r="U450" s="2019"/>
      <c r="V450" s="2019"/>
      <c r="W450" s="2019"/>
      <c r="X450" s="2019"/>
    </row>
    <row r="451" spans="1:24" ht="15.75" customHeight="1">
      <c r="A451" s="2019" t="s">
        <v>3513</v>
      </c>
      <c r="B451" s="2019"/>
      <c r="C451" s="2019"/>
      <c r="D451" s="2019"/>
      <c r="E451" s="2019"/>
      <c r="F451" s="2019"/>
      <c r="G451" s="2019"/>
      <c r="H451" s="2019"/>
      <c r="I451" s="2019"/>
      <c r="J451" s="2019"/>
      <c r="K451" s="2019"/>
      <c r="L451" s="2019"/>
      <c r="M451" s="2019"/>
      <c r="N451" s="2019"/>
      <c r="O451" s="2019"/>
      <c r="P451" s="2019"/>
      <c r="Q451" s="2019"/>
      <c r="R451" s="2019"/>
      <c r="S451" s="2019"/>
      <c r="T451" s="2019"/>
      <c r="U451" s="2019"/>
      <c r="V451" s="2019"/>
      <c r="W451" s="2019"/>
      <c r="X451" s="2019"/>
    </row>
    <row r="452" spans="1:24" ht="15.75" customHeight="1">
      <c r="A452" s="1778" t="s">
        <v>3514</v>
      </c>
      <c r="B452" s="1778"/>
      <c r="C452" s="1778"/>
      <c r="D452" s="1778"/>
      <c r="E452" s="1778"/>
      <c r="F452" s="1778"/>
      <c r="G452" s="1778"/>
      <c r="H452" s="1778"/>
      <c r="I452" s="1778"/>
      <c r="J452" s="1778"/>
      <c r="K452" s="1778"/>
      <c r="L452" s="1778"/>
      <c r="M452" s="1778"/>
      <c r="N452" s="1778"/>
      <c r="O452" s="1778"/>
      <c r="P452" s="1778"/>
      <c r="Q452" s="1778"/>
      <c r="R452" s="1778"/>
      <c r="S452" s="1778"/>
      <c r="T452" s="1778"/>
      <c r="U452" s="1778"/>
      <c r="V452" s="1778"/>
      <c r="W452" s="1778"/>
      <c r="X452" s="1778"/>
    </row>
    <row r="453" spans="1:24" ht="15.75" customHeight="1">
      <c r="A453" s="1964"/>
      <c r="B453" s="1964"/>
      <c r="C453" s="1964"/>
      <c r="D453" s="1964"/>
      <c r="E453" s="1964"/>
      <c r="F453" s="1964"/>
      <c r="G453" s="1964"/>
      <c r="H453" s="1964"/>
      <c r="I453" s="1964"/>
      <c r="J453" s="1964"/>
      <c r="K453" s="1964"/>
      <c r="L453" s="1964"/>
      <c r="M453" s="1964"/>
      <c r="N453" s="1964"/>
      <c r="O453" s="1964"/>
      <c r="P453" s="1964"/>
      <c r="Q453" s="1964"/>
      <c r="R453" s="1964"/>
      <c r="S453" s="1964"/>
      <c r="T453" s="1964"/>
      <c r="U453" s="1964"/>
      <c r="V453" s="1964"/>
      <c r="W453" s="1964"/>
      <c r="X453" s="1964"/>
    </row>
  </sheetData>
  <mergeCells count="450">
    <mergeCell ref="S386:V386"/>
    <mergeCell ref="A439:X440"/>
    <mergeCell ref="A419:X420"/>
    <mergeCell ref="A417:X417"/>
    <mergeCell ref="P385:Q385"/>
    <mergeCell ref="P386:Q386"/>
    <mergeCell ref="A406:X406"/>
    <mergeCell ref="A397:X398"/>
    <mergeCell ref="A400:X401"/>
    <mergeCell ref="A433:X433"/>
    <mergeCell ref="A408:X409"/>
    <mergeCell ref="A411:X412"/>
    <mergeCell ref="A414:X415"/>
    <mergeCell ref="A403:X404"/>
    <mergeCell ref="A435:X437"/>
    <mergeCell ref="S432:U432"/>
    <mergeCell ref="A427:X427"/>
    <mergeCell ref="A428:X428"/>
    <mergeCell ref="S431:U431"/>
    <mergeCell ref="A429:F429"/>
    <mergeCell ref="G429:K429"/>
    <mergeCell ref="A431:F431"/>
    <mergeCell ref="A432:F432"/>
    <mergeCell ref="G430:I430"/>
    <mergeCell ref="K231:N231"/>
    <mergeCell ref="O231:P231"/>
    <mergeCell ref="W384:X384"/>
    <mergeCell ref="A367:X367"/>
    <mergeCell ref="A369:X370"/>
    <mergeCell ref="A356:X356"/>
    <mergeCell ref="A325:X329"/>
    <mergeCell ref="A335:X337"/>
    <mergeCell ref="A339:X340"/>
    <mergeCell ref="A343:X347"/>
    <mergeCell ref="A381:O381"/>
    <mergeCell ref="A372:X373"/>
    <mergeCell ref="B366:F366"/>
    <mergeCell ref="A357:X357"/>
    <mergeCell ref="A361:X361"/>
    <mergeCell ref="A362:X362"/>
    <mergeCell ref="A358:X360"/>
    <mergeCell ref="P382:Q382"/>
    <mergeCell ref="P383:Q383"/>
    <mergeCell ref="P381:Q381"/>
    <mergeCell ref="A382:O382"/>
    <mergeCell ref="A383:O383"/>
    <mergeCell ref="P384:Q384"/>
    <mergeCell ref="A375:X376"/>
    <mergeCell ref="C230:V230"/>
    <mergeCell ref="E171:G171"/>
    <mergeCell ref="I171:L171"/>
    <mergeCell ref="A179:X183"/>
    <mergeCell ref="C185:X185"/>
    <mergeCell ref="A188:X192"/>
    <mergeCell ref="A195:C195"/>
    <mergeCell ref="A224:X225"/>
    <mergeCell ref="A218:X218"/>
    <mergeCell ref="A219:X219"/>
    <mergeCell ref="B229:D229"/>
    <mergeCell ref="F229:I229"/>
    <mergeCell ref="K229:N229"/>
    <mergeCell ref="A201:X201"/>
    <mergeCell ref="E195:H195"/>
    <mergeCell ref="A197:C197"/>
    <mergeCell ref="A208:X211"/>
    <mergeCell ref="A217:X217"/>
    <mergeCell ref="A202:X203"/>
    <mergeCell ref="B226:F226"/>
    <mergeCell ref="G226:H226"/>
    <mergeCell ref="J226:M226"/>
    <mergeCell ref="N226:O226"/>
    <mergeCell ref="Q226:S226"/>
    <mergeCell ref="M52:O52"/>
    <mergeCell ref="P52:Q52"/>
    <mergeCell ref="S52:V52"/>
    <mergeCell ref="A53:L53"/>
    <mergeCell ref="M53:O53"/>
    <mergeCell ref="P53:Q53"/>
    <mergeCell ref="S53:V53"/>
    <mergeCell ref="S54:V54"/>
    <mergeCell ref="M55:X55"/>
    <mergeCell ref="W54:X54"/>
    <mergeCell ref="B56:T56"/>
    <mergeCell ref="A60:G60"/>
    <mergeCell ref="H60:I60"/>
    <mergeCell ref="K60:M60"/>
    <mergeCell ref="O60:R60"/>
    <mergeCell ref="A58:X58"/>
    <mergeCell ref="S60:W60"/>
    <mergeCell ref="A135:C135"/>
    <mergeCell ref="E135:H135"/>
    <mergeCell ref="J135:M135"/>
    <mergeCell ref="A132:X132"/>
    <mergeCell ref="A133:X133"/>
    <mergeCell ref="A134:X134"/>
    <mergeCell ref="A126:X126"/>
    <mergeCell ref="A127:X127"/>
    <mergeCell ref="A128:X128"/>
    <mergeCell ref="A129:X129"/>
    <mergeCell ref="A130:X130"/>
    <mergeCell ref="A131:X131"/>
    <mergeCell ref="A124:X124"/>
    <mergeCell ref="A125:X125"/>
    <mergeCell ref="A70:X70"/>
    <mergeCell ref="A71:X71"/>
    <mergeCell ref="A72:X72"/>
    <mergeCell ref="A385:O385"/>
    <mergeCell ref="A377:X377"/>
    <mergeCell ref="S381:V381"/>
    <mergeCell ref="S382:V382"/>
    <mergeCell ref="S383:V383"/>
    <mergeCell ref="W381:X381"/>
    <mergeCell ref="W382:X382"/>
    <mergeCell ref="W383:X383"/>
    <mergeCell ref="A379:X380"/>
    <mergeCell ref="S384:V384"/>
    <mergeCell ref="S385:V385"/>
    <mergeCell ref="A384:O384"/>
    <mergeCell ref="G431:I431"/>
    <mergeCell ref="G432:I432"/>
    <mergeCell ref="J431:L431"/>
    <mergeCell ref="J432:L432"/>
    <mergeCell ref="M431:O431"/>
    <mergeCell ref="M432:O432"/>
    <mergeCell ref="A363:X363"/>
    <mergeCell ref="A364:X364"/>
    <mergeCell ref="W385:X385"/>
    <mergeCell ref="J430:L430"/>
    <mergeCell ref="M430:O430"/>
    <mergeCell ref="P430:R430"/>
    <mergeCell ref="V429:W429"/>
    <mergeCell ref="W386:X386"/>
    <mergeCell ref="A386:O386"/>
    <mergeCell ref="S430:U430"/>
    <mergeCell ref="A430:F430"/>
    <mergeCell ref="B394:F394"/>
    <mergeCell ref="A395:X395"/>
    <mergeCell ref="A387:X387"/>
    <mergeCell ref="A422:X423"/>
    <mergeCell ref="A425:X426"/>
    <mergeCell ref="A388:X389"/>
    <mergeCell ref="A391:X392"/>
    <mergeCell ref="B231:D231"/>
    <mergeCell ref="F231:I231"/>
    <mergeCell ref="A305:X305"/>
    <mergeCell ref="A306:X306"/>
    <mergeCell ref="A293:X304"/>
    <mergeCell ref="A449:X449"/>
    <mergeCell ref="A330:X330"/>
    <mergeCell ref="A331:X331"/>
    <mergeCell ref="A332:X332"/>
    <mergeCell ref="A333:X333"/>
    <mergeCell ref="A322:X322"/>
    <mergeCell ref="A307:X307"/>
    <mergeCell ref="A308:X308"/>
    <mergeCell ref="A309:X309"/>
    <mergeCell ref="A315:X315"/>
    <mergeCell ref="A310:X314"/>
    <mergeCell ref="A316:X321"/>
    <mergeCell ref="A341:X341"/>
    <mergeCell ref="A342:X342"/>
    <mergeCell ref="P431:R431"/>
    <mergeCell ref="P432:R432"/>
    <mergeCell ref="A263:X263"/>
    <mergeCell ref="A264:X264"/>
    <mergeCell ref="A265:X265"/>
    <mergeCell ref="A452:X452"/>
    <mergeCell ref="A233:X244"/>
    <mergeCell ref="A245:X245"/>
    <mergeCell ref="A246:X246"/>
    <mergeCell ref="A247:X247"/>
    <mergeCell ref="A253:X253"/>
    <mergeCell ref="A254:X254"/>
    <mergeCell ref="A255:X255"/>
    <mergeCell ref="A256:X256"/>
    <mergeCell ref="A257:X257"/>
    <mergeCell ref="A248:X248"/>
    <mergeCell ref="A249:X249"/>
    <mergeCell ref="A250:X250"/>
    <mergeCell ref="A251:X251"/>
    <mergeCell ref="A252:X252"/>
    <mergeCell ref="A450:X450"/>
    <mergeCell ref="A451:X451"/>
    <mergeCell ref="V430:W430"/>
    <mergeCell ref="V431:W431"/>
    <mergeCell ref="V432:W432"/>
    <mergeCell ref="L429:U429"/>
    <mergeCell ref="A354:X354"/>
    <mergeCell ref="A355:X355"/>
    <mergeCell ref="A349:X353"/>
    <mergeCell ref="T226:X226"/>
    <mergeCell ref="A206:D206"/>
    <mergeCell ref="A220:X220"/>
    <mergeCell ref="A221:X221"/>
    <mergeCell ref="A222:X222"/>
    <mergeCell ref="A223:X223"/>
    <mergeCell ref="A213:X213"/>
    <mergeCell ref="A214:X214"/>
    <mergeCell ref="A215:X215"/>
    <mergeCell ref="A216:X216"/>
    <mergeCell ref="AA222:AJ224"/>
    <mergeCell ref="P229:X229"/>
    <mergeCell ref="C228:X228"/>
    <mergeCell ref="A172:X172"/>
    <mergeCell ref="A184:X184"/>
    <mergeCell ref="A187:X187"/>
    <mergeCell ref="J206:L206"/>
    <mergeCell ref="N206:Q206"/>
    <mergeCell ref="S206:V206"/>
    <mergeCell ref="A176:X176"/>
    <mergeCell ref="E197:H197"/>
    <mergeCell ref="J197:M197"/>
    <mergeCell ref="J195:M195"/>
    <mergeCell ref="A204:X204"/>
    <mergeCell ref="A205:D205"/>
    <mergeCell ref="E205:H205"/>
    <mergeCell ref="I205:L205"/>
    <mergeCell ref="M205:Q205"/>
    <mergeCell ref="R205:V205"/>
    <mergeCell ref="F206:H206"/>
    <mergeCell ref="A212:X212"/>
    <mergeCell ref="A200:X200"/>
    <mergeCell ref="AA188:AJ190"/>
    <mergeCell ref="AA200:AJ201"/>
    <mergeCell ref="B171:C171"/>
    <mergeCell ref="E177:G177"/>
    <mergeCell ref="B177:C177"/>
    <mergeCell ref="A173:X175"/>
    <mergeCell ref="A198:X198"/>
    <mergeCell ref="A199:X199"/>
    <mergeCell ref="I177:L177"/>
    <mergeCell ref="F186:H186"/>
    <mergeCell ref="J186:M186"/>
    <mergeCell ref="A196:X196"/>
    <mergeCell ref="A193:X193"/>
    <mergeCell ref="A194:X194"/>
    <mergeCell ref="A166:X166"/>
    <mergeCell ref="A167:X167"/>
    <mergeCell ref="A168:X168"/>
    <mergeCell ref="A169:X169"/>
    <mergeCell ref="AA168:AJ168"/>
    <mergeCell ref="AA169:AA170"/>
    <mergeCell ref="AB169:AJ169"/>
    <mergeCell ref="C170:F170"/>
    <mergeCell ref="H170:X170"/>
    <mergeCell ref="A157:C157"/>
    <mergeCell ref="A160:X160"/>
    <mergeCell ref="A161:X161"/>
    <mergeCell ref="A162:X162"/>
    <mergeCell ref="A165:X165"/>
    <mergeCell ref="E163:H163"/>
    <mergeCell ref="I163:L163"/>
    <mergeCell ref="A163:D163"/>
    <mergeCell ref="A164:D164"/>
    <mergeCell ref="F164:H164"/>
    <mergeCell ref="J164:L164"/>
    <mergeCell ref="S164:V164"/>
    <mergeCell ref="M163:Q163"/>
    <mergeCell ref="R163:V163"/>
    <mergeCell ref="N164:Q164"/>
    <mergeCell ref="E157:H157"/>
    <mergeCell ref="J157:M157"/>
    <mergeCell ref="A151:X151"/>
    <mergeCell ref="A152:X152"/>
    <mergeCell ref="H147:K147"/>
    <mergeCell ref="M147:P147"/>
    <mergeCell ref="A147:C147"/>
    <mergeCell ref="E147:F147"/>
    <mergeCell ref="A154:X154"/>
    <mergeCell ref="A156:X156"/>
    <mergeCell ref="A155:C155"/>
    <mergeCell ref="E155:H155"/>
    <mergeCell ref="J155:M155"/>
    <mergeCell ref="A142:X142"/>
    <mergeCell ref="A143:X143"/>
    <mergeCell ref="A144:X144"/>
    <mergeCell ref="A145:X145"/>
    <mergeCell ref="A146:B146"/>
    <mergeCell ref="C146:L146"/>
    <mergeCell ref="A148:X148"/>
    <mergeCell ref="A149:X149"/>
    <mergeCell ref="A150:X150"/>
    <mergeCell ref="A1:X1"/>
    <mergeCell ref="G4:L4"/>
    <mergeCell ref="A120:X120"/>
    <mergeCell ref="A121:X121"/>
    <mergeCell ref="A122:X122"/>
    <mergeCell ref="A123:X123"/>
    <mergeCell ref="A116:X116"/>
    <mergeCell ref="A117:X117"/>
    <mergeCell ref="A118:X118"/>
    <mergeCell ref="A119:X119"/>
    <mergeCell ref="A2:F2"/>
    <mergeCell ref="A3:F3"/>
    <mergeCell ref="A4:F4"/>
    <mergeCell ref="G2:L2"/>
    <mergeCell ref="G3:L3"/>
    <mergeCell ref="A98:X98"/>
    <mergeCell ref="A99:X99"/>
    <mergeCell ref="A22:X22"/>
    <mergeCell ref="A103:X103"/>
    <mergeCell ref="A104:X104"/>
    <mergeCell ref="A105:X105"/>
    <mergeCell ref="A106:X106"/>
    <mergeCell ref="A107:X107"/>
    <mergeCell ref="A113:X113"/>
    <mergeCell ref="A141:X141"/>
    <mergeCell ref="A92:X92"/>
    <mergeCell ref="A93:X93"/>
    <mergeCell ref="A85:X85"/>
    <mergeCell ref="A86:X86"/>
    <mergeCell ref="A87:X87"/>
    <mergeCell ref="A88:X88"/>
    <mergeCell ref="A100:X100"/>
    <mergeCell ref="A101:X101"/>
    <mergeCell ref="A102:X102"/>
    <mergeCell ref="A94:X94"/>
    <mergeCell ref="A95:X95"/>
    <mergeCell ref="A97:X97"/>
    <mergeCell ref="A96:E96"/>
    <mergeCell ref="A108:E108"/>
    <mergeCell ref="A109:X109"/>
    <mergeCell ref="A110:X110"/>
    <mergeCell ref="A140:C140"/>
    <mergeCell ref="E140:H140"/>
    <mergeCell ref="J140:M140"/>
    <mergeCell ref="A137:X137"/>
    <mergeCell ref="A138:X138"/>
    <mergeCell ref="A139:X139"/>
    <mergeCell ref="A73:X73"/>
    <mergeCell ref="A74:X74"/>
    <mergeCell ref="A67:X67"/>
    <mergeCell ref="A68:X68"/>
    <mergeCell ref="A69:X69"/>
    <mergeCell ref="A80:X80"/>
    <mergeCell ref="A81:X81"/>
    <mergeCell ref="A82:X82"/>
    <mergeCell ref="A83:X83"/>
    <mergeCell ref="A84:X84"/>
    <mergeCell ref="A75:X75"/>
    <mergeCell ref="A76:X76"/>
    <mergeCell ref="A77:X77"/>
    <mergeCell ref="A78:X78"/>
    <mergeCell ref="A79:X79"/>
    <mergeCell ref="A89:X89"/>
    <mergeCell ref="A90:X90"/>
    <mergeCell ref="A91:X91"/>
    <mergeCell ref="A46:J46"/>
    <mergeCell ref="K46:L46"/>
    <mergeCell ref="M46:O46"/>
    <mergeCell ref="A42:X42"/>
    <mergeCell ref="A43:X43"/>
    <mergeCell ref="A44:X44"/>
    <mergeCell ref="Q46:U46"/>
    <mergeCell ref="A114:X114"/>
    <mergeCell ref="A115:X115"/>
    <mergeCell ref="A51:L51"/>
    <mergeCell ref="M51:O51"/>
    <mergeCell ref="P51:Q51"/>
    <mergeCell ref="S51:V51"/>
    <mergeCell ref="M54:O54"/>
    <mergeCell ref="P54:Q54"/>
    <mergeCell ref="B62:X62"/>
    <mergeCell ref="B61:X61"/>
    <mergeCell ref="A111:X111"/>
    <mergeCell ref="A112:X112"/>
    <mergeCell ref="A57:X57"/>
    <mergeCell ref="A59:X59"/>
    <mergeCell ref="A63:X63"/>
    <mergeCell ref="A65:X65"/>
    <mergeCell ref="A66:X66"/>
    <mergeCell ref="W230:X230"/>
    <mergeCell ref="A453:X453"/>
    <mergeCell ref="A40:X40"/>
    <mergeCell ref="A41:X41"/>
    <mergeCell ref="A45:J45"/>
    <mergeCell ref="K45:N45"/>
    <mergeCell ref="A24:X24"/>
    <mergeCell ref="A25:X25"/>
    <mergeCell ref="A26:X26"/>
    <mergeCell ref="A27:X27"/>
    <mergeCell ref="A28:X28"/>
    <mergeCell ref="A29:X29"/>
    <mergeCell ref="A34:X34"/>
    <mergeCell ref="A37:E37"/>
    <mergeCell ref="A38:X38"/>
    <mergeCell ref="A39:X39"/>
    <mergeCell ref="A30:X30"/>
    <mergeCell ref="A31:X31"/>
    <mergeCell ref="A32:E32"/>
    <mergeCell ref="A33:X33"/>
    <mergeCell ref="A35:X35"/>
    <mergeCell ref="A36:X36"/>
    <mergeCell ref="A47:X47"/>
    <mergeCell ref="A48:X48"/>
    <mergeCell ref="A49:L49"/>
    <mergeCell ref="M49:O49"/>
    <mergeCell ref="P49:Q49"/>
    <mergeCell ref="S49:V49"/>
    <mergeCell ref="M50:O50"/>
    <mergeCell ref="P50:Q50"/>
    <mergeCell ref="S50:V50"/>
    <mergeCell ref="B50:L50"/>
    <mergeCell ref="A6:X6"/>
    <mergeCell ref="A8:X8"/>
    <mergeCell ref="A9:X9"/>
    <mergeCell ref="A14:X14"/>
    <mergeCell ref="A7:E7"/>
    <mergeCell ref="A10:E10"/>
    <mergeCell ref="A11:X11"/>
    <mergeCell ref="A12:X12"/>
    <mergeCell ref="A15:X15"/>
    <mergeCell ref="A16:X16"/>
    <mergeCell ref="A17:X17"/>
    <mergeCell ref="A18:X18"/>
    <mergeCell ref="A19:X19"/>
    <mergeCell ref="A20:X20"/>
    <mergeCell ref="A21:X21"/>
    <mergeCell ref="A23:X23"/>
    <mergeCell ref="A258:X258"/>
    <mergeCell ref="A259:X259"/>
    <mergeCell ref="A260:X260"/>
    <mergeCell ref="A261:X261"/>
    <mergeCell ref="A262:X262"/>
    <mergeCell ref="B266:O266"/>
    <mergeCell ref="K269:N269"/>
    <mergeCell ref="B270:O270"/>
    <mergeCell ref="B271:D271"/>
    <mergeCell ref="F271:I271"/>
    <mergeCell ref="B267:D267"/>
    <mergeCell ref="F267:I267"/>
    <mergeCell ref="K267:N267"/>
    <mergeCell ref="B268:O268"/>
    <mergeCell ref="B269:D269"/>
    <mergeCell ref="F269:I269"/>
    <mergeCell ref="A277:X277"/>
    <mergeCell ref="A278:X278"/>
    <mergeCell ref="K271:N271"/>
    <mergeCell ref="A280:X280"/>
    <mergeCell ref="A279:X279"/>
    <mergeCell ref="A290:X290"/>
    <mergeCell ref="A283:X288"/>
    <mergeCell ref="A292:X292"/>
    <mergeCell ref="A291:X291"/>
    <mergeCell ref="A282:X282"/>
    <mergeCell ref="A289:X289"/>
    <mergeCell ref="A281:X281"/>
    <mergeCell ref="A274:X274"/>
    <mergeCell ref="A275:X275"/>
    <mergeCell ref="A276:X276"/>
  </mergeCells>
  <hyperlinks>
    <hyperlink ref="A452" r:id="rId1" display="mailto:hialaca@muhasebat.gov.tr"/>
  </hyperlinks>
  <pageMargins left="0.7" right="0.7" top="0.75" bottom="0.75" header="0.3" footer="0.3"/>
  <pageSetup paperSize="9" orientation="portrait" r:id="rId2"/>
  <drawing r:id="rId3"/>
  <legacyDrawing r:id="rId4"/>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8"/>
  <sheetViews>
    <sheetView workbookViewId="0">
      <selection activeCell="D10" sqref="D10"/>
    </sheetView>
  </sheetViews>
  <sheetFormatPr defaultRowHeight="12.75"/>
  <sheetData>
    <row r="1" spans="1:3">
      <c r="A1" t="s">
        <v>4785</v>
      </c>
      <c r="B1" t="s">
        <v>3519</v>
      </c>
      <c r="C1" t="s">
        <v>4786</v>
      </c>
    </row>
    <row r="2" spans="1:3">
      <c r="A2" t="s">
        <v>583</v>
      </c>
    </row>
    <row r="4" spans="1:3">
      <c r="A4" t="s">
        <v>4787</v>
      </c>
    </row>
    <row r="6" spans="1:3">
      <c r="A6" t="s">
        <v>4788</v>
      </c>
    </row>
    <row r="10" spans="1:3">
      <c r="A10" t="s">
        <v>4789</v>
      </c>
    </row>
    <row r="12" spans="1:3">
      <c r="A12" t="s">
        <v>4790</v>
      </c>
    </row>
    <row r="14" spans="1:3">
      <c r="A14" t="s">
        <v>4791</v>
      </c>
    </row>
    <row r="16" spans="1:3">
      <c r="A16" t="s">
        <v>4792</v>
      </c>
    </row>
    <row r="18" spans="1:1">
      <c r="A18" t="s">
        <v>4793</v>
      </c>
    </row>
    <row r="20" spans="1:1">
      <c r="A20" t="s">
        <v>4794</v>
      </c>
    </row>
    <row r="22" spans="1:1">
      <c r="A22" t="s">
        <v>4795</v>
      </c>
    </row>
    <row r="24" spans="1:1">
      <c r="A24" t="s">
        <v>4796</v>
      </c>
    </row>
    <row r="26" spans="1:1">
      <c r="A26" t="s">
        <v>4797</v>
      </c>
    </row>
    <row r="28" spans="1:1">
      <c r="A28" t="s">
        <v>4798</v>
      </c>
    </row>
    <row r="30" spans="1:1">
      <c r="A30" t="s">
        <v>4799</v>
      </c>
    </row>
    <row r="32" spans="1:1">
      <c r="A32" t="s">
        <v>4800</v>
      </c>
    </row>
    <row r="34" spans="1:1">
      <c r="A34" t="s">
        <v>4801</v>
      </c>
    </row>
    <row r="36" spans="1:1">
      <c r="A36" t="s">
        <v>4802</v>
      </c>
    </row>
    <row r="38" spans="1:1">
      <c r="A38" t="s">
        <v>4803</v>
      </c>
    </row>
    <row r="40" spans="1:1">
      <c r="A40" t="s">
        <v>4804</v>
      </c>
    </row>
    <row r="44" spans="1:1">
      <c r="A44" t="s">
        <v>4805</v>
      </c>
    </row>
    <row r="46" spans="1:1">
      <c r="A46" t="s">
        <v>4806</v>
      </c>
    </row>
    <row r="48" spans="1:1">
      <c r="A48" t="s">
        <v>4807</v>
      </c>
    </row>
    <row r="52" spans="1:1">
      <c r="A52" t="s">
        <v>4808</v>
      </c>
    </row>
    <row r="54" spans="1:1">
      <c r="A54" t="s">
        <v>4809</v>
      </c>
    </row>
    <row r="56" spans="1:1">
      <c r="A56" t="s">
        <v>4810</v>
      </c>
    </row>
    <row r="58" spans="1:1">
      <c r="A58" t="s">
        <v>4811</v>
      </c>
    </row>
  </sheetData>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24</vt:i4>
      </vt:variant>
      <vt:variant>
        <vt:lpstr>Adlandırılmış Aralıklar</vt:lpstr>
      </vt:variant>
      <vt:variant>
        <vt:i4>17</vt:i4>
      </vt:variant>
    </vt:vector>
  </HeadingPairs>
  <TitlesOfParts>
    <vt:vector size="41" baseType="lpstr">
      <vt:lpstr>YARDIM ADRESLERİ </vt:lpstr>
      <vt:lpstr>KATSAYILAR </vt:lpstr>
      <vt:lpstr>katsayılar 1</vt:lpstr>
      <vt:lpstr>E.Y.D.M.AYLIĞI </vt:lpstr>
      <vt:lpstr>AİLE VE COCUK YARDIMI </vt:lpstr>
      <vt:lpstr>sataklık ind</vt:lpstr>
      <vt:lpstr>Vergi dilemleri </vt:lpstr>
      <vt:lpstr>Damga vergisi nisbetleri </vt:lpstr>
      <vt:lpstr>AGİ</vt:lpstr>
      <vt:lpstr>Sakatıl İnd. İade </vt:lpstr>
      <vt:lpstr>agi iade </vt:lpstr>
      <vt:lpstr>NAKİL BİLDİRİM </vt:lpstr>
      <vt:lpstr>EK GÖSTERGELER </vt:lpstr>
      <vt:lpstr>EK GÖSTERGELER T.S.K </vt:lpstr>
      <vt:lpstr>EK ÖDEME 375 </vt:lpstr>
      <vt:lpstr>375 S.K. EK VE DEĞİŞ G.MEV.</vt:lpstr>
      <vt:lpstr>375 S.K. EK VE DEĞİŞ G.MEV. (2</vt:lpstr>
      <vt:lpstr>YAN ÖDEME VE ÖZ.HİZ</vt:lpstr>
      <vt:lpstr>666 S.K.H.K</vt:lpstr>
      <vt:lpstr>659 S. K.H.K</vt:lpstr>
      <vt:lpstr>161 S.D.M. TEBLİĞİ</vt:lpstr>
      <vt:lpstr>MAAŞ HAKKINDA </vt:lpstr>
      <vt:lpstr>MUH.MD.YAYIN TARİHİ </vt:lpstr>
      <vt:lpstr>Sayfa1</vt:lpstr>
      <vt:lpstr>'375 S.K. EK VE DEĞİŞ G.MEV.'!_KHK61</vt:lpstr>
      <vt:lpstr>'375 S.K. EK VE DEĞİŞ G.MEV. (2'!_KHK61</vt:lpstr>
      <vt:lpstr>'161 S.D.M. TEBLİĞİ'!bookmark0</vt:lpstr>
      <vt:lpstr>'161 S.D.M. TEBLİĞİ'!bookmark1</vt:lpstr>
      <vt:lpstr>'161 S.D.M. TEBLİĞİ'!bookmark2</vt:lpstr>
      <vt:lpstr>'161 S.D.M. TEBLİĞİ'!bookmark3</vt:lpstr>
      <vt:lpstr>'161 S.D.M. TEBLİĞİ'!bookmark4</vt:lpstr>
      <vt:lpstr>'161 S.D.M. TEBLİĞİ'!bookmark5</vt:lpstr>
      <vt:lpstr>'161 S.D.M. TEBLİĞİ'!bookmark6</vt:lpstr>
      <vt:lpstr>'MAAŞ HAKKINDA '!OLE_LINK29</vt:lpstr>
      <vt:lpstr>'666 S.K.H.K'!OLE_LINK9</vt:lpstr>
      <vt:lpstr>'161 S.D.M. TEBLİĞİ'!Yazdırma_Alanı</vt:lpstr>
      <vt:lpstr>'375 S.K. EK VE DEĞİŞ G.MEV.'!Yazdırma_Alanı</vt:lpstr>
      <vt:lpstr>'375 S.K. EK VE DEĞİŞ G.MEV. (2'!Yazdırma_Alanı</vt:lpstr>
      <vt:lpstr>'EK ÖDEME 375 '!Yazdırma_Alanı</vt:lpstr>
      <vt:lpstr>'NAKİL BİLDİRİM '!Yazdırma_Alanı</vt:lpstr>
      <vt:lpstr>'KATSAYILAR '!Yazdırma_Başlıkları</vt:lpstr>
    </vt:vector>
  </TitlesOfParts>
  <Company>Muhasebat Genel Mudurlugu</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p1</dc:creator>
  <cp:lastModifiedBy>Halil İbrahim Alaca</cp:lastModifiedBy>
  <cp:lastPrinted>2012-12-21T15:10:49Z</cp:lastPrinted>
  <dcterms:created xsi:type="dcterms:W3CDTF">2011-02-12T08:31:28Z</dcterms:created>
  <dcterms:modified xsi:type="dcterms:W3CDTF">2013-01-31T14:40:14Z</dcterms:modified>
</cp:coreProperties>
</file>